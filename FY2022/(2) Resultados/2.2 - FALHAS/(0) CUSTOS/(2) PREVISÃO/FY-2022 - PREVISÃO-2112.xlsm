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DADOS\PIL\PUB\QUALIDADE\FY2022\(2) Resultados\2.2 - FALHAS\(0) CUSTOS\(2) PREVISÃO\"/>
    </mc:Choice>
  </mc:AlternateContent>
  <xr:revisionPtr revIDLastSave="0" documentId="13_ncr:1_{7EB71C82-C3EA-493A-8C6C-C98C121B9502}" xr6:coauthVersionLast="47" xr6:coauthVersionMax="47" xr10:uidLastSave="{00000000-0000-0000-0000-000000000000}"/>
  <bookViews>
    <workbookView xWindow="-120" yWindow="-120" windowWidth="29040" windowHeight="16440" tabRatio="841" activeTab="2" xr2:uid="{00000000-000D-0000-FFFF-FFFF00000000}"/>
  </bookViews>
  <sheets>
    <sheet name="Configurações" sheetId="29" r:id="rId1"/>
    <sheet name="Prod &amp; Defects - Qty" sheetId="20" r:id="rId2"/>
    <sheet name="Prod &amp; Defects - Costs" sheetId="26" r:id="rId3"/>
    <sheet name="Falhas UM-1 - Qty" sheetId="1" r:id="rId4"/>
    <sheet name="Falhas UM-1 - Cost" sheetId="2" r:id="rId5"/>
    <sheet name="Falhas UM-3-1 Qty" sheetId="21" r:id="rId6"/>
    <sheet name="Falhas UM-3-1 Cost" sheetId="23" r:id="rId7"/>
    <sheet name="Falhas UM-3-2 Qty" sheetId="22" r:id="rId8"/>
    <sheet name="Falhas UM-3-2 Cost" sheetId="24" r:id="rId9"/>
    <sheet name="Falhas UM-4 Qty" sheetId="15" r:id="rId10"/>
    <sheet name="Falhas UM-4 Cost" sheetId="16" r:id="rId11"/>
    <sheet name="BLIND-PVC-PRE - Qty" sheetId="9" r:id="rId12"/>
    <sheet name="BLIND-PVC-PRE - Cost" sheetId="28" r:id="rId13"/>
    <sheet name="SM - Qty" sheetId="18" r:id="rId14"/>
    <sheet name="SM Cost" sheetId="19" r:id="rId15"/>
    <sheet name="RESUMO - QLOSS-BP" sheetId="27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</externalReferences>
  <definedNames>
    <definedName name="ArqNome">MID(CELL("nome.arquivo"),SEARCH("[",CELL("nome.arquivo"))+1,SEARCH("]",CELL("nome.arquivo"))-SEARCH("[",CELL("nome.arquivo"))-1)</definedName>
    <definedName name="BLD_BP">'BLIND-PVC-PRE - Cost'!$F$23:$Q$23</definedName>
    <definedName name="bld_BP_y">OFFSET('BLIND-PVC-PRE - Cost'!$F$23,,,,COUNTA('BLIND-PVC-PRE - Cost'!$F$23:$Q$23))</definedName>
    <definedName name="bld_Total_y">OFFSET('BLIND-PVC-PRE - Cost'!$F$22,,,,COUNTA('BLIND-PVC-PRE - Cost'!$F$22:$Q$22))</definedName>
    <definedName name="BLD_TotalQloss">'BLIND-PVC-PRE - Cost'!$F$22:$Q$22</definedName>
    <definedName name="bld_um1_y">OFFSET('BLIND-PVC-PRE - Cost'!$F$10,0,0,,COUNTA('BLIND-PVC-PRE - Cost'!$F$10:$Q$10))</definedName>
    <definedName name="bld_um3_y">OFFSET('BLIND-PVC-PRE - Cost'!$F$58,,,,COUNTA('BLIND-PVC-PRE - Cost'!$F$58:$Q$58))</definedName>
    <definedName name="Custo_LR6">Configurações!$C$15</definedName>
    <definedName name="Custo_UM_1">Configurações!$C$12</definedName>
    <definedName name="Custo_UM_3">Configurações!$C$13</definedName>
    <definedName name="Custo_UM_4">Configurações!$C$14</definedName>
    <definedName name="LinUM1_BP" localSheetId="12">OFFSET('[1]Falhas UM-1 - Cost'!$F$70,0,0,,COUNTIF('[1]Falhas UM-1 - Cost'!$F$69:$Q$69,"&gt;0"))</definedName>
    <definedName name="LinUM1_BP">OFFSET('Falhas UM-1 - Cost'!$F$70,0,0,,COUNTIF('Falhas UM-1 - Cost'!$F$69:$Q$69,"&gt;0"))</definedName>
    <definedName name="LinUM1_X" localSheetId="12">OFFSET('[1]Falhas UM-1 - Cost'!$F$5,0,0,,COUNTIF('[1]Falhas UM-1 - Cost'!$F$69:$Q$69,"&gt;0"))</definedName>
    <definedName name="LinUM1_X">OFFSET('Falhas UM-1 - Cost'!$F$5,0,0,,COUNTIF('Falhas UM-1 - Cost'!$F$69:$Q$69,"&gt;0"))</definedName>
    <definedName name="LinUM1_Y" localSheetId="12">OFFSET('[1]Falhas UM-1 - Cost'!$F$69,0,0,1,COUNTIF('[1]Falhas UM-1 - Cost'!$F$69:$Q$69,"&gt;0"))</definedName>
    <definedName name="LinUM1_Y">OFFSET('Falhas UM-1 - Cost'!$F$69,0,0,1,COUNTIF('Falhas UM-1 - Cost'!$F$69:$Q$69,"&gt;0"))</definedName>
    <definedName name="LinUM31_BP" localSheetId="12">OFFSET('[1]Falhas UM-3-1 Cost'!$E$66,0,0,,COUNTIF('[1]Falhas UM-3-1 Cost'!$E$65:$P$65,"&gt;0"))</definedName>
    <definedName name="LinUM31_BP">OFFSET('Falhas UM-3-1 Cost'!$E$65,0,0,,COUNTIF('Falhas UM-3-1 Cost'!$E$64:$P$64,"&gt;0"))</definedName>
    <definedName name="LinUM31_X" localSheetId="12">OFFSET('[1]Falhas UM-3-1 Cost'!$E$4,0,0,,COUNTIF('[1]Falhas UM-3-1 Cost'!$E$65:$P$65,"&gt;0"))</definedName>
    <definedName name="LinUM31_X">OFFSET('Falhas UM-3-1 Cost'!$E$4,0,0,,COUNTIF('Falhas UM-3-1 Cost'!$E$64:$P$64,"&gt;0"))</definedName>
    <definedName name="LinUM31_Y">OFFSET('Falhas UM-3-1 Cost'!$E$64,0,0,,COUNTIF('Falhas UM-3-1 Cost'!$E$64:$P$64,"&gt;0"))</definedName>
    <definedName name="LinUM32_BP">OFFSET('Falhas UM-3-2 Cost'!$E$65,0,0,,COUNTIF('Falhas UM-3-2 Cost'!$E$64:$P$64,"&gt;0"))</definedName>
    <definedName name="LinUM32_X">OFFSET('Falhas UM-3-2 Cost'!$E$5,0,0,,COUNTIF('Falhas UM-3-2 Cost'!$E$64:$P$64,"&gt;0"))</definedName>
    <definedName name="LinUM32_Y">OFFSET('Falhas UM-3-2 Cost'!$E$64,0,0,,COUNTIF('Falhas UM-3-2 Cost'!$E$64:$P$64,"&gt;0"))</definedName>
    <definedName name="LinUM4_BP">OFFSET('Falhas UM-4 Cost'!$E$70,0,0,,COUNTIF('Falhas UM-4 Cost'!$E$69:$P$69,"&gt;0"))</definedName>
    <definedName name="LinUM4_X">OFFSET('Falhas UM-4 Cost'!$E$5,0,0,,COUNTIF('Falhas UM-4 Cost'!$E$69:$P$69,"&gt;0"))</definedName>
    <definedName name="LinUM4_Y">OFFSET('Falhas UM-4 Cost'!$E$69,0,0,,COUNTIF('Falhas UM-4 Cost'!$E$69:$P$69,"&gt;0"))</definedName>
    <definedName name="período">OFFSET('BLIND-PVC-PRE - Cost'!$F$5,,,,COUNTA('BLIND-PVC-PRE - Cost'!$F$6:$Q$6))</definedName>
    <definedName name="PesoPVC_UM1">Configurações!$C$8</definedName>
    <definedName name="PesoPVC_UM3">Configurações!$C$9</definedName>
    <definedName name="pre_BP_y">OFFSET('BLIND-PVC-PRE - Cost'!$F$33,,,,COUNTA('BLIND-PVC-PRE - Cost'!$F$33:$Q$33))</definedName>
    <definedName name="pre_Total_y">OFFSET('BLIND-PVC-PRE - Cost'!$F$32,,,,COUNTA('BLIND-PVC-PRE - Cost'!$F$32:$Q$32))</definedName>
    <definedName name="pre_um1_y">OFFSET('BLIND-PVC-PRE - Cost'!$F$29,,,,COUNTA('BLIND-PVC-PRE - Cost'!$F$29:$Q$29))</definedName>
    <definedName name="pre_UM3_y">OFFSET('BLIND-PVC-PRE - Cost'!$F$30,,,,COUNTA('BLIND-PVC-PRE - Cost'!$F$30:$Q$30))</definedName>
    <definedName name="pre_UM4_y">OFFSET('BLIND-PVC-PRE - Cost'!$F$31,,,,COUNTA('BLIND-PVC-PRE - Cost'!$F$31:$Q$31))</definedName>
    <definedName name="PRENSA_BP">'BLIND-PVC-PRE - Cost'!$F$33:$Q$33</definedName>
    <definedName name="PRENSA_Qloss">'BLIND-PVC-PRE - Cost'!$F$32:$Q$32</definedName>
    <definedName name="PVC_BP">'BLIND-PVC-PRE - Cost'!$F$28:$Q$28</definedName>
    <definedName name="pvc_BP_y">OFFSET('BLIND-PVC-PRE - Cost'!$F$28,,,,COUNTA('BLIND-PVC-PRE - Cost'!$F$27:$Q$27))</definedName>
    <definedName name="PVC_Qloss">'BLIND-PVC-PRE - Cost'!$F$27:$Q$27</definedName>
    <definedName name="pvc_Total_y">OFFSET('BLIND-PVC-PRE - Cost'!$F$27,,,,COUNTA('BLIND-PVC-PRE - Cost'!$F$27:$Q$27))</definedName>
    <definedName name="pvc_um1_y">OFFSET('BLIND-PVC-PRE - Cost'!$F$24,,,,COUNTA('BLIND-PVC-PRE - Cost'!$F$24:$Q$24))</definedName>
    <definedName name="pvc_um3_y">OFFSET('BLIND-PVC-PRE - Cost'!$F$25,,,,COUNTA('BLIND-PVC-PRE - Cost'!$F$25:$Q$25))</definedName>
    <definedName name="Redutor">Configurações!$D$5</definedName>
    <definedName name="SM_Qloss">'SM Cost'!$F$42:$Q$42</definedName>
    <definedName name="UM1_BP">'Falhas UM-1 - Cost'!$F$70:$Q$70</definedName>
    <definedName name="UM1_Qloss">'Falhas UM-1 - Cost'!$F$69:$Q$69</definedName>
    <definedName name="UM3L1_BP">'Falhas UM-3-1 Cost'!$E$65:$P$65</definedName>
    <definedName name="UM3L1_Qloss">'Falhas UM-3-1 Cost'!$E$64:$P$64</definedName>
    <definedName name="UM3L2_BP">'Falhas UM-3-2 Cost'!$E$65:$P$65</definedName>
    <definedName name="UM3L2_Qloss">'Falhas UM-3-2 Cost'!$E$64:$P$64</definedName>
    <definedName name="UM4_BP">'Falhas UM-4 Cost'!$E$70:$P$70</definedName>
    <definedName name="UM4_Qloss">'Falhas UM-4 Cost'!$E$69:$P$69</definedName>
    <definedName name="V_BLD_UM1_BM1">Configurações!$H$7</definedName>
    <definedName name="V_BLD_UM1_BM2">Configurações!$H$8</definedName>
    <definedName name="V_BLD_UM1_BM3">Configurações!$H$9</definedName>
    <definedName name="V_BLD_UM3_BM1">Configurações!$H$11</definedName>
    <definedName name="V_BLD_UM3_BM2">Configurações!$H$12</definedName>
    <definedName name="V_BLD_UM3_BM3">Configurações!$H$13</definedName>
    <definedName name="V_BLD_UM3_BM4">Configurações!$H$14</definedName>
    <definedName name="V_BLD_UM3_BM5">Configurações!$H$15</definedName>
    <definedName name="V_BLD_UM3_OP1">Configurações!$H$17</definedName>
    <definedName name="V_BLD_UM3_OP2">Configurações!$H$18</definedName>
    <definedName name="V_BLD_UM3_OP3">Configurações!$H$19</definedName>
    <definedName name="V_BLD_UM3_OP4">Configurações!$H$20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9" i="20" l="1" a="1"/>
  <c r="Q29" i="20" s="1"/>
  <c r="Q28" i="20" s="1" a="1"/>
  <c r="Q28" i="20" s="1"/>
  <c r="P29" i="20" a="1"/>
  <c r="P29" i="20" s="1"/>
  <c r="P28" i="20" s="1" a="1"/>
  <c r="P28" i="20" s="1"/>
  <c r="O29" i="20" a="1"/>
  <c r="O29" i="20" s="1"/>
  <c r="O28" i="20" s="1" a="1"/>
  <c r="O28" i="20" s="1"/>
  <c r="N29" i="20" a="1"/>
  <c r="N29" i="20" s="1"/>
  <c r="N28" i="20" s="1" a="1"/>
  <c r="N28" i="20" s="1"/>
  <c r="M29" i="20" a="1"/>
  <c r="M29" i="20" s="1"/>
  <c r="M28" i="20" s="1" a="1"/>
  <c r="M28" i="20" s="1"/>
  <c r="L29" i="20" a="1"/>
  <c r="L29" i="20" s="1"/>
  <c r="L28" i="20" s="1" a="1"/>
  <c r="L28" i="20" s="1"/>
  <c r="K29" i="20" a="1"/>
  <c r="K29" i="20" s="1"/>
  <c r="K28" i="20" s="1" a="1"/>
  <c r="K28" i="20" s="1"/>
  <c r="J29" i="20" a="1"/>
  <c r="J29" i="20" s="1"/>
  <c r="J28" i="20" s="1" a="1"/>
  <c r="J28" i="20" s="1"/>
  <c r="I29" i="20" a="1"/>
  <c r="I29" i="20" s="1"/>
  <c r="I28" i="20" s="1" a="1"/>
  <c r="I28" i="20" s="1"/>
  <c r="H29" i="20" a="1"/>
  <c r="H29" i="20" s="1"/>
  <c r="H28" i="20" s="1" a="1"/>
  <c r="H28" i="20" s="1"/>
  <c r="G29" i="20" a="1"/>
  <c r="G29" i="20" s="1"/>
  <c r="G28" i="20" s="1" a="1"/>
  <c r="G28" i="20" s="1"/>
  <c r="F29" i="20" a="1"/>
  <c r="F29" i="20" s="1"/>
  <c r="F28" i="20" s="1" a="1"/>
  <c r="F28" i="20" s="1"/>
  <c r="Q27" i="20" a="1"/>
  <c r="Q27" i="20" s="1"/>
  <c r="P27" i="20" a="1"/>
  <c r="P27" i="20" s="1"/>
  <c r="O27" i="20" a="1"/>
  <c r="O27" i="20" s="1"/>
  <c r="N27" i="20" a="1"/>
  <c r="N27" i="20" s="1"/>
  <c r="M27" i="20" a="1"/>
  <c r="M27" i="20" s="1"/>
  <c r="L27" i="20" a="1"/>
  <c r="L27" i="20" s="1"/>
  <c r="K27" i="20" a="1"/>
  <c r="K27" i="20" s="1"/>
  <c r="J27" i="20" a="1"/>
  <c r="J27" i="20" s="1"/>
  <c r="I27" i="20" a="1"/>
  <c r="I27" i="20" s="1"/>
  <c r="H27" i="20" a="1"/>
  <c r="H27" i="20" s="1"/>
  <c r="G27" i="20" a="1"/>
  <c r="G27" i="20" s="1"/>
  <c r="F27" i="20" a="1"/>
  <c r="F27" i="20" s="1"/>
  <c r="C15" i="29"/>
  <c r="R29" i="26" l="1" a="1"/>
  <c r="R29" i="26" s="1"/>
  <c r="R28" i="26" s="1" a="1"/>
  <c r="R28" i="26" s="1"/>
  <c r="Q29" i="26" a="1"/>
  <c r="Q29" i="26" s="1"/>
  <c r="Q28" i="26" s="1" a="1"/>
  <c r="Q28" i="26" s="1"/>
  <c r="P29" i="26" a="1"/>
  <c r="P29" i="26" s="1"/>
  <c r="P28" i="26" s="1" a="1"/>
  <c r="P28" i="26" s="1"/>
  <c r="O29" i="26" a="1"/>
  <c r="O29" i="26" s="1"/>
  <c r="O28" i="26" s="1" a="1"/>
  <c r="O28" i="26" s="1"/>
  <c r="N29" i="26" a="1"/>
  <c r="N29" i="26" s="1"/>
  <c r="N28" i="26" s="1" a="1"/>
  <c r="N28" i="26" s="1"/>
  <c r="M29" i="26" a="1"/>
  <c r="M29" i="26" s="1"/>
  <c r="M28" i="26" s="1" a="1"/>
  <c r="M28" i="26" s="1"/>
  <c r="L29" i="26" a="1"/>
  <c r="L29" i="26" s="1"/>
  <c r="L28" i="26" s="1" a="1"/>
  <c r="L28" i="26" s="1"/>
  <c r="K29" i="26" a="1"/>
  <c r="K29" i="26" s="1"/>
  <c r="K28" i="26" s="1" a="1"/>
  <c r="K28" i="26" s="1"/>
  <c r="J29" i="26" a="1"/>
  <c r="J29" i="26" s="1"/>
  <c r="J28" i="26" s="1" a="1"/>
  <c r="J28" i="26" s="1"/>
  <c r="I29" i="26" a="1"/>
  <c r="I29" i="26" s="1"/>
  <c r="I28" i="26" s="1" a="1"/>
  <c r="I28" i="26" s="1"/>
  <c r="H29" i="26" a="1"/>
  <c r="H29" i="26" s="1"/>
  <c r="H28" i="26" s="1" a="1"/>
  <c r="H28" i="26" s="1"/>
  <c r="G29" i="26" a="1"/>
  <c r="G29" i="26" s="1"/>
  <c r="G28" i="26" s="1" a="1"/>
  <c r="G28" i="26" s="1"/>
  <c r="R27" i="26" a="1"/>
  <c r="R27" i="26" s="1"/>
  <c r="Q27" i="26" a="1"/>
  <c r="Q27" i="26" s="1"/>
  <c r="P27" i="26" a="1"/>
  <c r="P27" i="26" s="1"/>
  <c r="O27" i="26" a="1"/>
  <c r="O27" i="26" s="1"/>
  <c r="N27" i="26" a="1"/>
  <c r="N27" i="26" s="1"/>
  <c r="M27" i="26" a="1"/>
  <c r="M27" i="26" s="1"/>
  <c r="L27" i="26" a="1"/>
  <c r="L27" i="26" s="1"/>
  <c r="K27" i="26" a="1"/>
  <c r="K27" i="26" s="1"/>
  <c r="J27" i="26" a="1"/>
  <c r="J27" i="26" s="1"/>
  <c r="I27" i="26" a="1"/>
  <c r="I27" i="26" s="1"/>
  <c r="H27" i="26" a="1"/>
  <c r="H27" i="26" s="1"/>
  <c r="G27" i="26" a="1"/>
  <c r="G27" i="26" s="1"/>
  <c r="E35" i="19" l="1"/>
  <c r="E36" i="19"/>
  <c r="E6" i="19"/>
  <c r="E7" i="19"/>
  <c r="E8" i="19"/>
  <c r="E10" i="19"/>
  <c r="E11" i="19"/>
  <c r="E12" i="19"/>
  <c r="E14" i="19"/>
  <c r="E15" i="19"/>
  <c r="E16" i="19"/>
  <c r="E18" i="19"/>
  <c r="E19" i="19"/>
  <c r="E20" i="19"/>
  <c r="E22" i="19"/>
  <c r="E23" i="19"/>
  <c r="E24" i="19"/>
  <c r="E26" i="19"/>
  <c r="E27" i="19"/>
  <c r="E28" i="19"/>
  <c r="E31" i="19"/>
  <c r="E32" i="19"/>
  <c r="E33" i="19"/>
  <c r="E40" i="18"/>
  <c r="E39" i="18"/>
  <c r="E38" i="18"/>
  <c r="E34" i="18"/>
  <c r="E30" i="18"/>
  <c r="E29" i="18"/>
  <c r="E25" i="18"/>
  <c r="E21" i="18"/>
  <c r="E17" i="18"/>
  <c r="E13" i="18"/>
  <c r="E9" i="18"/>
  <c r="G36" i="18"/>
  <c r="H36" i="18"/>
  <c r="I36" i="18"/>
  <c r="J36" i="18"/>
  <c r="K36" i="18"/>
  <c r="L36" i="18"/>
  <c r="M36" i="18"/>
  <c r="N36" i="18"/>
  <c r="O36" i="18"/>
  <c r="P36" i="18"/>
  <c r="Q36" i="18"/>
  <c r="G34" i="18"/>
  <c r="H34" i="18"/>
  <c r="I34" i="18"/>
  <c r="J34" i="18"/>
  <c r="K34" i="18"/>
  <c r="L34" i="18"/>
  <c r="M34" i="18"/>
  <c r="N34" i="18"/>
  <c r="O34" i="18"/>
  <c r="P34" i="18"/>
  <c r="Q34" i="18"/>
  <c r="G29" i="18"/>
  <c r="H29" i="18"/>
  <c r="I29" i="18"/>
  <c r="J29" i="18"/>
  <c r="K29" i="18"/>
  <c r="L29" i="18"/>
  <c r="M29" i="18"/>
  <c r="N29" i="18"/>
  <c r="O29" i="18"/>
  <c r="P29" i="18"/>
  <c r="Q29" i="18"/>
  <c r="G25" i="18"/>
  <c r="H25" i="18"/>
  <c r="I25" i="18"/>
  <c r="J25" i="18"/>
  <c r="K25" i="18"/>
  <c r="L25" i="18"/>
  <c r="M25" i="18"/>
  <c r="N25" i="18"/>
  <c r="O25" i="18"/>
  <c r="P25" i="18"/>
  <c r="Q25" i="18"/>
  <c r="G21" i="18"/>
  <c r="H21" i="18"/>
  <c r="I21" i="18"/>
  <c r="J21" i="18"/>
  <c r="K21" i="18"/>
  <c r="L21" i="18"/>
  <c r="M21" i="18"/>
  <c r="N21" i="18"/>
  <c r="O21" i="18"/>
  <c r="P21" i="18"/>
  <c r="Q21" i="18"/>
  <c r="G17" i="18"/>
  <c r="H17" i="18"/>
  <c r="I17" i="18"/>
  <c r="J17" i="18"/>
  <c r="K17" i="18"/>
  <c r="L17" i="18"/>
  <c r="M17" i="18"/>
  <c r="N17" i="18"/>
  <c r="O17" i="18"/>
  <c r="P17" i="18"/>
  <c r="Q17" i="18"/>
  <c r="G13" i="18"/>
  <c r="H13" i="18"/>
  <c r="I13" i="18"/>
  <c r="J13" i="18"/>
  <c r="K13" i="18"/>
  <c r="L13" i="18"/>
  <c r="M13" i="18"/>
  <c r="N13" i="18"/>
  <c r="O13" i="18"/>
  <c r="P13" i="18"/>
  <c r="Q13" i="18"/>
  <c r="F36" i="18"/>
  <c r="F34" i="18"/>
  <c r="F29" i="18"/>
  <c r="F25" i="18"/>
  <c r="F21" i="18"/>
  <c r="F17" i="18"/>
  <c r="F13" i="18"/>
  <c r="G9" i="18"/>
  <c r="H9" i="18"/>
  <c r="I9" i="18"/>
  <c r="J9" i="18"/>
  <c r="K9" i="18"/>
  <c r="L9" i="18"/>
  <c r="M9" i="18"/>
  <c r="N9" i="18"/>
  <c r="O9" i="18"/>
  <c r="P9" i="18"/>
  <c r="Q9" i="18"/>
  <c r="F9" i="18"/>
  <c r="N36" i="19" l="1"/>
  <c r="F36" i="19"/>
  <c r="H36" i="19"/>
  <c r="K36" i="19"/>
  <c r="G36" i="19"/>
  <c r="O36" i="19"/>
  <c r="J36" i="19"/>
  <c r="L36" i="19"/>
  <c r="P36" i="19"/>
  <c r="I36" i="19"/>
  <c r="Q36" i="19"/>
  <c r="M36" i="19"/>
  <c r="R32" i="28" l="1"/>
  <c r="E25" i="28"/>
  <c r="E29" i="28"/>
  <c r="E30" i="28"/>
  <c r="E31" i="28"/>
  <c r="D60" i="16" l="1"/>
  <c r="D59" i="16"/>
  <c r="D62" i="16"/>
  <c r="D61" i="16"/>
  <c r="D17" i="16"/>
  <c r="D36" i="16" s="1"/>
  <c r="D16" i="16"/>
  <c r="D20" i="16" s="1"/>
  <c r="D13" i="16"/>
  <c r="D12" i="16"/>
  <c r="D10" i="16"/>
  <c r="D11" i="16" s="1"/>
  <c r="D9" i="16"/>
  <c r="D8" i="16"/>
  <c r="D7" i="16"/>
  <c r="D6" i="16"/>
  <c r="D14" i="16" l="1"/>
  <c r="D39" i="16"/>
  <c r="D21" i="16"/>
  <c r="D18" i="16"/>
  <c r="D37" i="16" l="1"/>
  <c r="D19" i="16"/>
  <c r="D40" i="16"/>
  <c r="D22" i="16"/>
  <c r="D38" i="16" l="1"/>
  <c r="D41" i="16"/>
  <c r="D23" i="16"/>
  <c r="D24" i="16" l="1"/>
  <c r="D42" i="16"/>
  <c r="D25" i="16" l="1"/>
  <c r="D43" i="16"/>
  <c r="D44" i="16" l="1"/>
  <c r="D26" i="16"/>
  <c r="D45" i="16" l="1"/>
  <c r="D27" i="16"/>
  <c r="D46" i="16" l="1"/>
  <c r="D28" i="16"/>
  <c r="D47" i="16" l="1"/>
  <c r="D29" i="16"/>
  <c r="D48" i="16" l="1"/>
  <c r="D30" i="16"/>
  <c r="D49" i="16" l="1"/>
  <c r="D31" i="16"/>
  <c r="D32" i="16" l="1"/>
  <c r="D35" i="16"/>
  <c r="D50" i="16"/>
  <c r="D33" i="16" l="1"/>
  <c r="D51" i="16"/>
  <c r="D53" i="16" l="1"/>
  <c r="D52" i="16"/>
  <c r="D57" i="16" l="1"/>
  <c r="C14" i="29" s="1"/>
  <c r="D58" i="16" l="1"/>
  <c r="D4" i="24" l="1"/>
  <c r="D5" i="24"/>
  <c r="E5" i="24"/>
  <c r="D4" i="22"/>
  <c r="D6" i="23"/>
  <c r="D6" i="24" s="1"/>
  <c r="D7" i="23"/>
  <c r="D7" i="24" s="1"/>
  <c r="D8" i="23"/>
  <c r="D8" i="24" s="1"/>
  <c r="D9" i="23"/>
  <c r="D9" i="24" s="1"/>
  <c r="D10" i="23"/>
  <c r="D10" i="24" s="1"/>
  <c r="D11" i="23"/>
  <c r="D11" i="24" s="1"/>
  <c r="D12" i="23"/>
  <c r="D12" i="24" s="1"/>
  <c r="D13" i="23"/>
  <c r="D13" i="24" s="1"/>
  <c r="D14" i="23"/>
  <c r="D14" i="24" s="1"/>
  <c r="D15" i="23"/>
  <c r="D15" i="24" s="1"/>
  <c r="D16" i="23"/>
  <c r="D16" i="24" s="1"/>
  <c r="D17" i="23"/>
  <c r="D17" i="24" s="1"/>
  <c r="D18" i="23"/>
  <c r="D18" i="24" s="1"/>
  <c r="D19" i="23"/>
  <c r="D19" i="24" s="1"/>
  <c r="D20" i="23"/>
  <c r="D20" i="24" s="1"/>
  <c r="D21" i="23"/>
  <c r="D21" i="24" s="1"/>
  <c r="D22" i="23"/>
  <c r="D22" i="24" s="1"/>
  <c r="D23" i="23"/>
  <c r="D23" i="24" s="1"/>
  <c r="D24" i="23"/>
  <c r="D24" i="24" s="1"/>
  <c r="D25" i="23"/>
  <c r="D25" i="24" s="1"/>
  <c r="D26" i="23"/>
  <c r="D26" i="24" s="1"/>
  <c r="D27" i="23"/>
  <c r="D27" i="24" s="1"/>
  <c r="D28" i="23"/>
  <c r="D28" i="24" s="1"/>
  <c r="D29" i="23"/>
  <c r="D29" i="24" s="1"/>
  <c r="D30" i="23"/>
  <c r="D30" i="24" s="1"/>
  <c r="D31" i="23"/>
  <c r="D31" i="24" s="1"/>
  <c r="D32" i="23"/>
  <c r="D32" i="24" s="1"/>
  <c r="D33" i="23"/>
  <c r="D33" i="24" s="1"/>
  <c r="D34" i="23"/>
  <c r="D34" i="24" s="1"/>
  <c r="D35" i="23"/>
  <c r="D35" i="24" s="1"/>
  <c r="D36" i="23"/>
  <c r="D36" i="24" s="1"/>
  <c r="D37" i="23"/>
  <c r="D37" i="24" s="1"/>
  <c r="D38" i="23"/>
  <c r="D38" i="24" s="1"/>
  <c r="D39" i="23"/>
  <c r="D39" i="24" s="1"/>
  <c r="D40" i="23"/>
  <c r="D40" i="24" s="1"/>
  <c r="D41" i="23"/>
  <c r="D41" i="24" s="1"/>
  <c r="D42" i="23"/>
  <c r="D42" i="24" s="1"/>
  <c r="D43" i="23"/>
  <c r="D43" i="24" s="1"/>
  <c r="D44" i="23"/>
  <c r="D44" i="24" s="1"/>
  <c r="D45" i="23"/>
  <c r="D45" i="24" s="1"/>
  <c r="D46" i="23"/>
  <c r="D46" i="24" s="1"/>
  <c r="D47" i="23"/>
  <c r="D47" i="24" s="1"/>
  <c r="D48" i="23"/>
  <c r="D48" i="24" s="1"/>
  <c r="D49" i="23"/>
  <c r="D49" i="24" s="1"/>
  <c r="D50" i="23"/>
  <c r="D51" i="23"/>
  <c r="D51" i="24" s="1"/>
  <c r="D52" i="23"/>
  <c r="D52" i="24" s="1"/>
  <c r="D53" i="23"/>
  <c r="D53" i="24" s="1"/>
  <c r="D54" i="23"/>
  <c r="D54" i="24" s="1"/>
  <c r="D55" i="23"/>
  <c r="D56" i="23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C12" i="29" s="1"/>
  <c r="E59" i="2"/>
  <c r="E60" i="2"/>
  <c r="E61" i="2"/>
  <c r="D50" i="24" l="1"/>
  <c r="C13" i="29"/>
  <c r="F9" i="20"/>
  <c r="G9" i="26" s="1"/>
  <c r="G9" i="20"/>
  <c r="H9" i="26" s="1"/>
  <c r="H9" i="20"/>
  <c r="I9" i="26" s="1"/>
  <c r="I9" i="20"/>
  <c r="J9" i="26" s="1"/>
  <c r="J9" i="20"/>
  <c r="K9" i="26" s="1"/>
  <c r="K9" i="20"/>
  <c r="L9" i="26" s="1"/>
  <c r="L9" i="20"/>
  <c r="M9" i="26" s="1"/>
  <c r="M9" i="20"/>
  <c r="N9" i="26" s="1"/>
  <c r="N9" i="20"/>
  <c r="O9" i="26" s="1"/>
  <c r="O9" i="20"/>
  <c r="P9" i="26" s="1"/>
  <c r="P9" i="20"/>
  <c r="Q9" i="26" s="1"/>
  <c r="Q9" i="20"/>
  <c r="R9" i="26" s="1"/>
  <c r="F8" i="20"/>
  <c r="G8" i="20"/>
  <c r="H8" i="20"/>
  <c r="I8" i="20"/>
  <c r="J8" i="20"/>
  <c r="K8" i="20"/>
  <c r="L8" i="20"/>
  <c r="M8" i="20"/>
  <c r="N8" i="20"/>
  <c r="O8" i="20"/>
  <c r="P8" i="20"/>
  <c r="Q8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E11" i="20"/>
  <c r="K53" i="9" l="1"/>
  <c r="L8" i="26"/>
  <c r="F53" i="9"/>
  <c r="G8" i="26"/>
  <c r="M53" i="9"/>
  <c r="N8" i="26"/>
  <c r="L53" i="9"/>
  <c r="M8" i="26"/>
  <c r="J53" i="9"/>
  <c r="K8" i="26"/>
  <c r="N53" i="9"/>
  <c r="O8" i="26"/>
  <c r="Q53" i="9"/>
  <c r="Q56" i="28" s="1"/>
  <c r="R8" i="26"/>
  <c r="I53" i="9"/>
  <c r="J8" i="26"/>
  <c r="P53" i="9"/>
  <c r="P56" i="28" s="1"/>
  <c r="Q8" i="26"/>
  <c r="H53" i="9"/>
  <c r="I8" i="26"/>
  <c r="O53" i="9"/>
  <c r="O56" i="28" s="1"/>
  <c r="P8" i="26"/>
  <c r="G53" i="9"/>
  <c r="H8" i="26"/>
  <c r="M39" i="9"/>
  <c r="M38" i="9"/>
  <c r="M40" i="9"/>
  <c r="M41" i="9"/>
  <c r="M37" i="9"/>
  <c r="Q38" i="9"/>
  <c r="Q41" i="28" s="1"/>
  <c r="Q39" i="9"/>
  <c r="Q42" i="28" s="1"/>
  <c r="Q41" i="9"/>
  <c r="Q44" i="28" s="1"/>
  <c r="Q40" i="9"/>
  <c r="Q43" i="28" s="1"/>
  <c r="Q37" i="9"/>
  <c r="Q40" i="28" s="1"/>
  <c r="I38" i="9"/>
  <c r="I41" i="9"/>
  <c r="I37" i="9"/>
  <c r="I40" i="9"/>
  <c r="I39" i="9"/>
  <c r="K37" i="9"/>
  <c r="K40" i="9"/>
  <c r="K38" i="9"/>
  <c r="K41" i="9"/>
  <c r="K39" i="9"/>
  <c r="H39" i="9"/>
  <c r="H41" i="9"/>
  <c r="H37" i="9"/>
  <c r="H40" i="9"/>
  <c r="H38" i="9"/>
  <c r="L38" i="9"/>
  <c r="L37" i="9"/>
  <c r="L40" i="9"/>
  <c r="L41" i="9"/>
  <c r="L39" i="9"/>
  <c r="J38" i="9"/>
  <c r="J37" i="9"/>
  <c r="J40" i="9"/>
  <c r="J41" i="9"/>
  <c r="J39" i="9"/>
  <c r="P41" i="9"/>
  <c r="P44" i="28" s="1"/>
  <c r="P39" i="9"/>
  <c r="P42" i="28" s="1"/>
  <c r="P37" i="9"/>
  <c r="P40" i="28" s="1"/>
  <c r="P38" i="9"/>
  <c r="P41" i="28" s="1"/>
  <c r="P40" i="9"/>
  <c r="P43" i="28" s="1"/>
  <c r="O39" i="9"/>
  <c r="O42" i="28" s="1"/>
  <c r="O37" i="9"/>
  <c r="O40" i="28" s="1"/>
  <c r="O38" i="9"/>
  <c r="O41" i="28" s="1"/>
  <c r="O41" i="9"/>
  <c r="O44" i="28" s="1"/>
  <c r="O40" i="9"/>
  <c r="O43" i="28" s="1"/>
  <c r="G41" i="9"/>
  <c r="G39" i="9"/>
  <c r="G40" i="9"/>
  <c r="G38" i="9"/>
  <c r="G37" i="9"/>
  <c r="N39" i="9"/>
  <c r="N37" i="9"/>
  <c r="N40" i="9"/>
  <c r="N38" i="9"/>
  <c r="N41" i="9"/>
  <c r="F41" i="9"/>
  <c r="F39" i="9"/>
  <c r="F38" i="9"/>
  <c r="F40" i="9"/>
  <c r="F37" i="9"/>
  <c r="L52" i="9"/>
  <c r="L50" i="9"/>
  <c r="I52" i="9"/>
  <c r="I50" i="9"/>
  <c r="P50" i="9"/>
  <c r="P53" i="28" s="1"/>
  <c r="P52" i="9"/>
  <c r="P55" i="28" s="1"/>
  <c r="H52" i="9"/>
  <c r="H50" i="9"/>
  <c r="G50" i="9"/>
  <c r="G52" i="9"/>
  <c r="K52" i="9"/>
  <c r="K50" i="9"/>
  <c r="J52" i="9"/>
  <c r="J50" i="9"/>
  <c r="Q52" i="9"/>
  <c r="Q55" i="28" s="1"/>
  <c r="Q50" i="9"/>
  <c r="Q53" i="28" s="1"/>
  <c r="O52" i="9"/>
  <c r="O55" i="28" s="1"/>
  <c r="O50" i="9"/>
  <c r="O53" i="28" s="1"/>
  <c r="N52" i="9"/>
  <c r="N50" i="9"/>
  <c r="F52" i="9"/>
  <c r="F50" i="9"/>
  <c r="R11" i="20"/>
  <c r="M52" i="9"/>
  <c r="M50" i="9"/>
  <c r="K5" i="20"/>
  <c r="L5" i="26" s="1"/>
  <c r="N5" i="20"/>
  <c r="O5" i="26" s="1"/>
  <c r="Q5" i="20"/>
  <c r="R5" i="26" s="1"/>
  <c r="O5" i="20"/>
  <c r="P5" i="26" s="1"/>
  <c r="P5" i="20"/>
  <c r="Q5" i="26" s="1"/>
  <c r="F5" i="20"/>
  <c r="G5" i="26" s="1"/>
  <c r="G5" i="20"/>
  <c r="H5" i="26" s="1"/>
  <c r="H5" i="20"/>
  <c r="I5" i="26" s="1"/>
  <c r="M5" i="20"/>
  <c r="N5" i="26" s="1"/>
  <c r="L5" i="20"/>
  <c r="M5" i="26" s="1"/>
  <c r="J5" i="20"/>
  <c r="K5" i="26" s="1"/>
  <c r="I5" i="20"/>
  <c r="J5" i="26" s="1"/>
  <c r="P45" i="28" l="1"/>
  <c r="P51" i="28" s="1"/>
  <c r="O45" i="28"/>
  <c r="O51" i="28" s="1"/>
  <c r="Q45" i="28"/>
  <c r="Q51" i="28" s="1"/>
  <c r="N42" i="9"/>
  <c r="I35" i="9"/>
  <c r="I33" i="9"/>
  <c r="I34" i="9"/>
  <c r="J35" i="9"/>
  <c r="J33" i="9"/>
  <c r="J34" i="9"/>
  <c r="Q35" i="9"/>
  <c r="Q38" i="28" s="1"/>
  <c r="Q34" i="9"/>
  <c r="Q37" i="28" s="1"/>
  <c r="Q33" i="9"/>
  <c r="Q36" i="28" s="1"/>
  <c r="J42" i="9"/>
  <c r="K42" i="9"/>
  <c r="H34" i="9"/>
  <c r="H33" i="9"/>
  <c r="H35" i="9"/>
  <c r="F42" i="9"/>
  <c r="L35" i="9"/>
  <c r="L33" i="9"/>
  <c r="L34" i="9"/>
  <c r="N34" i="9"/>
  <c r="N35" i="9"/>
  <c r="N33" i="9"/>
  <c r="H42" i="9"/>
  <c r="O35" i="9"/>
  <c r="O38" i="28" s="1"/>
  <c r="O33" i="9"/>
  <c r="O36" i="28" s="1"/>
  <c r="O34" i="9"/>
  <c r="O37" i="28" s="1"/>
  <c r="M34" i="9"/>
  <c r="M33" i="9"/>
  <c r="M35" i="9"/>
  <c r="K35" i="9"/>
  <c r="K33" i="9"/>
  <c r="K34" i="9"/>
  <c r="P42" i="9"/>
  <c r="I42" i="9"/>
  <c r="M42" i="9"/>
  <c r="G33" i="9"/>
  <c r="G34" i="9"/>
  <c r="G35" i="9"/>
  <c r="F33" i="9"/>
  <c r="F35" i="9"/>
  <c r="F34" i="9"/>
  <c r="L42" i="9"/>
  <c r="P33" i="9"/>
  <c r="P36" i="28" s="1"/>
  <c r="P34" i="9"/>
  <c r="P37" i="28" s="1"/>
  <c r="P35" i="9"/>
  <c r="P38" i="28" s="1"/>
  <c r="G42" i="9"/>
  <c r="O42" i="9"/>
  <c r="Q42" i="9"/>
  <c r="G51" i="9"/>
  <c r="G49" i="9"/>
  <c r="P49" i="9"/>
  <c r="P52" i="28" s="1"/>
  <c r="P51" i="9"/>
  <c r="P54" i="28" s="1"/>
  <c r="F51" i="9"/>
  <c r="F49" i="9"/>
  <c r="I51" i="9"/>
  <c r="I49" i="9"/>
  <c r="Q51" i="9"/>
  <c r="Q54" i="28" s="1"/>
  <c r="Q49" i="9"/>
  <c r="Q52" i="28" s="1"/>
  <c r="L49" i="9"/>
  <c r="L51" i="9"/>
  <c r="N51" i="9"/>
  <c r="N49" i="9"/>
  <c r="M51" i="9"/>
  <c r="M49" i="9"/>
  <c r="O51" i="9"/>
  <c r="O54" i="28" s="1"/>
  <c r="O49" i="9"/>
  <c r="O52" i="28" s="1"/>
  <c r="J51" i="9"/>
  <c r="J49" i="9"/>
  <c r="K49" i="9"/>
  <c r="K51" i="9"/>
  <c r="H51" i="9"/>
  <c r="H49" i="9"/>
  <c r="F62" i="1"/>
  <c r="F63" i="1"/>
  <c r="H63" i="1"/>
  <c r="H62" i="1"/>
  <c r="G63" i="1"/>
  <c r="G62" i="1"/>
  <c r="P63" i="1"/>
  <c r="P62" i="1"/>
  <c r="I63" i="1"/>
  <c r="I62" i="1"/>
  <c r="O63" i="1"/>
  <c r="O62" i="1"/>
  <c r="J63" i="1"/>
  <c r="J62" i="1"/>
  <c r="Q63" i="1"/>
  <c r="Q62" i="1"/>
  <c r="L62" i="1"/>
  <c r="L63" i="1"/>
  <c r="N63" i="1"/>
  <c r="N62" i="1"/>
  <c r="M62" i="1"/>
  <c r="M63" i="1"/>
  <c r="K62" i="1"/>
  <c r="K63" i="1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22" i="9"/>
  <c r="E25" i="9"/>
  <c r="E26" i="9"/>
  <c r="E30" i="9"/>
  <c r="D20" i="15"/>
  <c r="D32" i="15"/>
  <c r="D62" i="15"/>
  <c r="F27" i="26"/>
  <c r="F28" i="26"/>
  <c r="F29" i="26"/>
  <c r="F39" i="26"/>
  <c r="F48" i="26"/>
  <c r="F57" i="26"/>
  <c r="E43" i="20"/>
  <c r="E27" i="20"/>
  <c r="E28" i="20"/>
  <c r="E29" i="20"/>
  <c r="E35" i="20"/>
  <c r="P44" i="9" l="1"/>
  <c r="P47" i="28" s="1"/>
  <c r="P45" i="9"/>
  <c r="P48" i="28" s="1"/>
  <c r="P43" i="9"/>
  <c r="P46" i="28" s="1"/>
  <c r="P46" i="9"/>
  <c r="P49" i="28" s="1"/>
  <c r="K43" i="9"/>
  <c r="K46" i="9"/>
  <c r="K44" i="9"/>
  <c r="K45" i="9"/>
  <c r="Q44" i="9"/>
  <c r="Q47" i="28" s="1"/>
  <c r="Q45" i="9"/>
  <c r="Q48" i="28" s="1"/>
  <c r="Q43" i="9"/>
  <c r="Q46" i="9"/>
  <c r="Q49" i="28" s="1"/>
  <c r="O43" i="9"/>
  <c r="O46" i="28" s="1"/>
  <c r="O46" i="9"/>
  <c r="O49" i="28" s="1"/>
  <c r="O45" i="9"/>
  <c r="O48" i="28" s="1"/>
  <c r="O44" i="9"/>
  <c r="O47" i="28" s="1"/>
  <c r="H44" i="9"/>
  <c r="H45" i="9"/>
  <c r="H43" i="9"/>
  <c r="H46" i="9"/>
  <c r="F46" i="9"/>
  <c r="F45" i="9"/>
  <c r="F43" i="9"/>
  <c r="F44" i="9"/>
  <c r="G45" i="9"/>
  <c r="G43" i="9"/>
  <c r="G44" i="9"/>
  <c r="G46" i="9"/>
  <c r="L43" i="9"/>
  <c r="L46" i="9"/>
  <c r="L45" i="9"/>
  <c r="L44" i="9"/>
  <c r="M45" i="9"/>
  <c r="M43" i="9"/>
  <c r="M46" i="9"/>
  <c r="M44" i="9"/>
  <c r="J46" i="9"/>
  <c r="J45" i="9"/>
  <c r="J44" i="9"/>
  <c r="J43" i="9"/>
  <c r="N45" i="9"/>
  <c r="N43" i="9"/>
  <c r="N46" i="9"/>
  <c r="N44" i="9"/>
  <c r="I44" i="9"/>
  <c r="I45" i="9"/>
  <c r="I46" i="9"/>
  <c r="I43" i="9"/>
  <c r="M20" i="15"/>
  <c r="M20" i="16" s="1"/>
  <c r="F20" i="15"/>
  <c r="F20" i="16" s="1"/>
  <c r="N20" i="15"/>
  <c r="N20" i="16" s="1"/>
  <c r="G20" i="15"/>
  <c r="G20" i="16" s="1"/>
  <c r="O20" i="15"/>
  <c r="O20" i="16" s="1"/>
  <c r="H20" i="15"/>
  <c r="H20" i="16" s="1"/>
  <c r="P20" i="15"/>
  <c r="P20" i="16" s="1"/>
  <c r="I20" i="15"/>
  <c r="J20" i="15"/>
  <c r="J20" i="16" s="1"/>
  <c r="K20" i="15"/>
  <c r="K20" i="16" s="1"/>
  <c r="L20" i="15"/>
  <c r="L20" i="16" s="1"/>
  <c r="E20" i="15"/>
  <c r="E20" i="16" s="1"/>
  <c r="I32" i="15"/>
  <c r="I32" i="16" s="1"/>
  <c r="J32" i="15"/>
  <c r="J32" i="16" s="1"/>
  <c r="E32" i="15"/>
  <c r="E32" i="16" s="1"/>
  <c r="K32" i="15"/>
  <c r="K32" i="16" s="1"/>
  <c r="L32" i="15"/>
  <c r="L32" i="16" s="1"/>
  <c r="N32" i="15"/>
  <c r="N32" i="16" s="1"/>
  <c r="M32" i="15"/>
  <c r="M32" i="16" s="1"/>
  <c r="F32" i="15"/>
  <c r="F32" i="16" s="1"/>
  <c r="G32" i="15"/>
  <c r="G32" i="16" s="1"/>
  <c r="O32" i="15"/>
  <c r="O32" i="16" s="1"/>
  <c r="H32" i="15"/>
  <c r="H32" i="16" s="1"/>
  <c r="P32" i="15"/>
  <c r="P32" i="16" s="1"/>
  <c r="O50" i="28" l="1"/>
  <c r="Q47" i="9"/>
  <c r="Q46" i="28"/>
  <c r="Q50" i="28" s="1"/>
  <c r="P50" i="28"/>
  <c r="I47" i="9"/>
  <c r="J47" i="9"/>
  <c r="H47" i="9"/>
  <c r="F47" i="9"/>
  <c r="L47" i="9"/>
  <c r="O47" i="9"/>
  <c r="K47" i="9"/>
  <c r="P47" i="9"/>
  <c r="N47" i="9"/>
  <c r="M47" i="9"/>
  <c r="G47" i="9"/>
  <c r="I20" i="16"/>
  <c r="N56" i="28" l="1"/>
  <c r="N55" i="28"/>
  <c r="N54" i="28"/>
  <c r="N53" i="28"/>
  <c r="N52" i="28"/>
  <c r="N49" i="28"/>
  <c r="N48" i="28"/>
  <c r="N47" i="28"/>
  <c r="N46" i="28"/>
  <c r="N44" i="28"/>
  <c r="N43" i="28"/>
  <c r="N42" i="28"/>
  <c r="N41" i="28"/>
  <c r="N40" i="28"/>
  <c r="N38" i="28"/>
  <c r="N37" i="28"/>
  <c r="N36" i="28"/>
  <c r="M68" i="16"/>
  <c r="M66" i="16"/>
  <c r="M64" i="16"/>
  <c r="M66" i="15"/>
  <c r="M65" i="15"/>
  <c r="M64" i="15"/>
  <c r="M63" i="24"/>
  <c r="M61" i="24"/>
  <c r="M59" i="24"/>
  <c r="M65" i="24" s="1"/>
  <c r="M60" i="22"/>
  <c r="M59" i="22"/>
  <c r="M58" i="22"/>
  <c r="M73" i="22" s="1"/>
  <c r="M63" i="23"/>
  <c r="M61" i="23"/>
  <c r="M59" i="23"/>
  <c r="M61" i="21"/>
  <c r="M60" i="21"/>
  <c r="M59" i="21"/>
  <c r="N68" i="2"/>
  <c r="N66" i="2"/>
  <c r="N64" i="2"/>
  <c r="N79" i="1"/>
  <c r="N78" i="1"/>
  <c r="M79" i="15" l="1"/>
  <c r="M80" i="15"/>
  <c r="N70" i="2"/>
  <c r="M74" i="21"/>
  <c r="M65" i="23"/>
  <c r="M70" i="16"/>
  <c r="M69" i="16" s="1"/>
  <c r="N50" i="28"/>
  <c r="N80" i="1"/>
  <c r="N45" i="28"/>
  <c r="N51" i="28" s="1"/>
  <c r="M81" i="15"/>
  <c r="M74" i="22"/>
  <c r="M75" i="22" s="1"/>
  <c r="M75" i="21"/>
  <c r="M76" i="21" l="1"/>
  <c r="M56" i="28" l="1"/>
  <c r="M55" i="28"/>
  <c r="M54" i="28"/>
  <c r="M53" i="28"/>
  <c r="M52" i="28"/>
  <c r="M49" i="28"/>
  <c r="M48" i="28"/>
  <c r="M47" i="28"/>
  <c r="M46" i="28"/>
  <c r="M44" i="28"/>
  <c r="M43" i="28"/>
  <c r="M42" i="28"/>
  <c r="M41" i="28"/>
  <c r="M40" i="28"/>
  <c r="M38" i="28"/>
  <c r="M37" i="28"/>
  <c r="M36" i="28"/>
  <c r="L56" i="28"/>
  <c r="L55" i="28"/>
  <c r="L54" i="28"/>
  <c r="L53" i="28"/>
  <c r="L52" i="28"/>
  <c r="L49" i="28"/>
  <c r="L48" i="28"/>
  <c r="L47" i="28"/>
  <c r="L46" i="28"/>
  <c r="L44" i="28"/>
  <c r="L43" i="28"/>
  <c r="L42" i="28"/>
  <c r="L41" i="28"/>
  <c r="L40" i="28"/>
  <c r="L38" i="28"/>
  <c r="L37" i="28"/>
  <c r="L36" i="28"/>
  <c r="K56" i="28"/>
  <c r="K55" i="28"/>
  <c r="K54" i="28"/>
  <c r="K53" i="28"/>
  <c r="K52" i="28"/>
  <c r="K49" i="28"/>
  <c r="K48" i="28"/>
  <c r="K47" i="28"/>
  <c r="K46" i="28"/>
  <c r="K44" i="28"/>
  <c r="K43" i="28"/>
  <c r="K42" i="28"/>
  <c r="K41" i="28"/>
  <c r="K40" i="28"/>
  <c r="K38" i="28"/>
  <c r="K37" i="28"/>
  <c r="K36" i="28"/>
  <c r="J56" i="28"/>
  <c r="J55" i="28"/>
  <c r="J54" i="28"/>
  <c r="J53" i="28"/>
  <c r="J52" i="28"/>
  <c r="J49" i="28"/>
  <c r="J48" i="28"/>
  <c r="J47" i="28"/>
  <c r="J46" i="28"/>
  <c r="J44" i="28"/>
  <c r="J43" i="28"/>
  <c r="J42" i="28"/>
  <c r="J41" i="28"/>
  <c r="J40" i="28"/>
  <c r="J38" i="28"/>
  <c r="J37" i="28"/>
  <c r="J36" i="28"/>
  <c r="I56" i="28"/>
  <c r="I55" i="28"/>
  <c r="I54" i="28"/>
  <c r="I53" i="28"/>
  <c r="I52" i="28"/>
  <c r="I49" i="28"/>
  <c r="I48" i="28"/>
  <c r="I47" i="28"/>
  <c r="I46" i="28"/>
  <c r="I44" i="28"/>
  <c r="I43" i="28"/>
  <c r="I42" i="28"/>
  <c r="I41" i="28"/>
  <c r="I40" i="28"/>
  <c r="I38" i="28"/>
  <c r="I37" i="28"/>
  <c r="I36" i="28"/>
  <c r="H56" i="28"/>
  <c r="H55" i="28"/>
  <c r="H54" i="28"/>
  <c r="H53" i="28"/>
  <c r="H52" i="28"/>
  <c r="H49" i="28"/>
  <c r="H48" i="28"/>
  <c r="H46" i="28"/>
  <c r="H44" i="28"/>
  <c r="H43" i="28"/>
  <c r="H42" i="28"/>
  <c r="H41" i="28"/>
  <c r="H40" i="28"/>
  <c r="H38" i="28"/>
  <c r="H37" i="28"/>
  <c r="H36" i="28"/>
  <c r="G56" i="28"/>
  <c r="G55" i="28"/>
  <c r="G54" i="28"/>
  <c r="G53" i="28"/>
  <c r="G52" i="28"/>
  <c r="G49" i="28"/>
  <c r="G48" i="28"/>
  <c r="G47" i="28"/>
  <c r="G46" i="28"/>
  <c r="G44" i="28"/>
  <c r="G43" i="28"/>
  <c r="G42" i="28"/>
  <c r="G41" i="28"/>
  <c r="G38" i="28"/>
  <c r="G37" i="28"/>
  <c r="G36" i="28"/>
  <c r="F55" i="28"/>
  <c r="F56" i="28"/>
  <c r="F54" i="28"/>
  <c r="F53" i="28"/>
  <c r="F52" i="28"/>
  <c r="F47" i="28"/>
  <c r="F48" i="28"/>
  <c r="F49" i="28"/>
  <c r="F41" i="28"/>
  <c r="F42" i="28"/>
  <c r="F43" i="28"/>
  <c r="F44" i="28"/>
  <c r="F37" i="28"/>
  <c r="F38" i="28"/>
  <c r="F36" i="28"/>
  <c r="I45" i="28" l="1"/>
  <c r="I51" i="28" s="1"/>
  <c r="J45" i="28"/>
  <c r="J51" i="28" s="1"/>
  <c r="L45" i="28"/>
  <c r="L51" i="28" s="1"/>
  <c r="G50" i="28"/>
  <c r="L50" i="28"/>
  <c r="M50" i="28"/>
  <c r="K45" i="28"/>
  <c r="K51" i="28" s="1"/>
  <c r="K50" i="28"/>
  <c r="H45" i="28"/>
  <c r="H51" i="28" s="1"/>
  <c r="I50" i="28"/>
  <c r="F46" i="28"/>
  <c r="F50" i="28" s="1"/>
  <c r="G40" i="28"/>
  <c r="G45" i="28" s="1"/>
  <c r="G51" i="28" s="1"/>
  <c r="H47" i="28"/>
  <c r="H50" i="28" s="1"/>
  <c r="J50" i="28"/>
  <c r="M45" i="28"/>
  <c r="M51" i="28" s="1"/>
  <c r="F40" i="28"/>
  <c r="F45" i="28" s="1"/>
  <c r="F51" i="28" s="1"/>
  <c r="N45" i="18"/>
  <c r="L68" i="16"/>
  <c r="L66" i="16"/>
  <c r="L64" i="16"/>
  <c r="L66" i="15"/>
  <c r="L65" i="15"/>
  <c r="L64" i="15"/>
  <c r="L63" i="24"/>
  <c r="L61" i="24"/>
  <c r="L59" i="24"/>
  <c r="L60" i="22"/>
  <c r="L59" i="22"/>
  <c r="L58" i="22"/>
  <c r="L63" i="23"/>
  <c r="L61" i="23"/>
  <c r="L59" i="23"/>
  <c r="L61" i="21"/>
  <c r="L60" i="21"/>
  <c r="L59" i="21"/>
  <c r="M68" i="2"/>
  <c r="M66" i="2"/>
  <c r="M64" i="2"/>
  <c r="L73" i="22" l="1"/>
  <c r="L65" i="23"/>
  <c r="L70" i="16"/>
  <c r="L69" i="16" s="1"/>
  <c r="L65" i="24"/>
  <c r="L75" i="21"/>
  <c r="M78" i="1"/>
  <c r="M70" i="2"/>
  <c r="L74" i="22"/>
  <c r="L75" i="22" s="1"/>
  <c r="M79" i="1"/>
  <c r="L74" i="21"/>
  <c r="L79" i="15"/>
  <c r="L80" i="15"/>
  <c r="L76" i="21" l="1"/>
  <c r="M80" i="1"/>
  <c r="L81" i="15"/>
  <c r="F60" i="28" l="1" a="1"/>
  <c r="F60" i="28" s="1"/>
  <c r="M45" i="18"/>
  <c r="K68" i="16"/>
  <c r="K66" i="16"/>
  <c r="K64" i="16"/>
  <c r="K66" i="15"/>
  <c r="K65" i="15"/>
  <c r="K64" i="15"/>
  <c r="K63" i="24"/>
  <c r="K61" i="24"/>
  <c r="K59" i="24"/>
  <c r="K60" i="22"/>
  <c r="K59" i="22"/>
  <c r="K58" i="22"/>
  <c r="K63" i="23"/>
  <c r="K61" i="23"/>
  <c r="K59" i="23"/>
  <c r="K61" i="21"/>
  <c r="K60" i="21"/>
  <c r="K59" i="21"/>
  <c r="L68" i="2"/>
  <c r="L66" i="2"/>
  <c r="L64" i="2"/>
  <c r="J68" i="16"/>
  <c r="J66" i="16"/>
  <c r="J64" i="16"/>
  <c r="J63" i="24"/>
  <c r="J61" i="24"/>
  <c r="J59" i="24"/>
  <c r="J63" i="23"/>
  <c r="J61" i="23"/>
  <c r="J59" i="23"/>
  <c r="K68" i="2"/>
  <c r="K66" i="2"/>
  <c r="K64" i="2"/>
  <c r="J66" i="15"/>
  <c r="J65" i="15"/>
  <c r="J64" i="15"/>
  <c r="J60" i="22"/>
  <c r="J59" i="22"/>
  <c r="J58" i="22"/>
  <c r="J61" i="21"/>
  <c r="J60" i="21"/>
  <c r="J59" i="21"/>
  <c r="I68" i="16"/>
  <c r="I66" i="16"/>
  <c r="I64" i="16"/>
  <c r="I63" i="24"/>
  <c r="I61" i="24"/>
  <c r="I59" i="24"/>
  <c r="I63" i="23"/>
  <c r="I61" i="23"/>
  <c r="I59" i="23"/>
  <c r="J68" i="2"/>
  <c r="J66" i="2"/>
  <c r="J64" i="2"/>
  <c r="I66" i="15"/>
  <c r="I65" i="15"/>
  <c r="I64" i="15"/>
  <c r="I60" i="22"/>
  <c r="I59" i="22"/>
  <c r="I58" i="22"/>
  <c r="I61" i="21"/>
  <c r="I60" i="21"/>
  <c r="I59" i="21"/>
  <c r="K79" i="15" l="1"/>
  <c r="J70" i="16"/>
  <c r="J69" i="16" s="1"/>
  <c r="K65" i="23"/>
  <c r="K74" i="21"/>
  <c r="L70" i="2"/>
  <c r="K65" i="24"/>
  <c r="K70" i="16"/>
  <c r="K69" i="16" s="1"/>
  <c r="L45" i="18"/>
  <c r="K73" i="22"/>
  <c r="K74" i="22"/>
  <c r="J73" i="22"/>
  <c r="L78" i="1"/>
  <c r="J74" i="21"/>
  <c r="K80" i="15"/>
  <c r="K81" i="15" s="1"/>
  <c r="K75" i="21"/>
  <c r="K78" i="1"/>
  <c r="J80" i="15"/>
  <c r="I65" i="24"/>
  <c r="J79" i="15"/>
  <c r="J65" i="23"/>
  <c r="J75" i="21"/>
  <c r="K70" i="2"/>
  <c r="J65" i="24"/>
  <c r="J74" i="22"/>
  <c r="K79" i="1"/>
  <c r="I65" i="23"/>
  <c r="J70" i="2"/>
  <c r="I73" i="22"/>
  <c r="I75" i="21"/>
  <c r="I70" i="16"/>
  <c r="I69" i="16" s="1"/>
  <c r="I74" i="22"/>
  <c r="I79" i="15"/>
  <c r="I74" i="21"/>
  <c r="I80" i="15"/>
  <c r="J45" i="18"/>
  <c r="H68" i="16"/>
  <c r="H66" i="16"/>
  <c r="H64" i="16"/>
  <c r="H66" i="15"/>
  <c r="H65" i="15"/>
  <c r="H64" i="15"/>
  <c r="H63" i="24"/>
  <c r="H61" i="24"/>
  <c r="H59" i="24"/>
  <c r="K76" i="21" l="1"/>
  <c r="J75" i="22"/>
  <c r="J76" i="21"/>
  <c r="K75" i="22"/>
  <c r="J81" i="15"/>
  <c r="K80" i="1"/>
  <c r="I76" i="21"/>
  <c r="I75" i="22"/>
  <c r="I81" i="15"/>
  <c r="J79" i="1"/>
  <c r="J78" i="1"/>
  <c r="H79" i="15"/>
  <c r="H80" i="15"/>
  <c r="H58" i="22"/>
  <c r="G59" i="22"/>
  <c r="F59" i="22"/>
  <c r="E59" i="22"/>
  <c r="H59" i="22"/>
  <c r="J80" i="1" l="1"/>
  <c r="H81" i="15"/>
  <c r="H60" i="22"/>
  <c r="H73" i="22" s="1"/>
  <c r="H63" i="23"/>
  <c r="H61" i="23"/>
  <c r="H59" i="23"/>
  <c r="H60" i="21"/>
  <c r="H59" i="21"/>
  <c r="H61" i="21"/>
  <c r="I68" i="2"/>
  <c r="I66" i="2"/>
  <c r="I64" i="2"/>
  <c r="G66" i="15"/>
  <c r="F66" i="15"/>
  <c r="E66" i="15"/>
  <c r="I78" i="1" l="1"/>
  <c r="I79" i="1"/>
  <c r="H75" i="21"/>
  <c r="H74" i="21"/>
  <c r="H74" i="22"/>
  <c r="H75" i="22" s="1"/>
  <c r="G60" i="22"/>
  <c r="F60" i="22"/>
  <c r="G61" i="21"/>
  <c r="F61" i="21"/>
  <c r="E60" i="22"/>
  <c r="E61" i="21"/>
  <c r="H76" i="21" l="1"/>
  <c r="I80" i="1"/>
  <c r="G65" i="15" l="1"/>
  <c r="G80" i="15" s="1"/>
  <c r="F65" i="15"/>
  <c r="F80" i="15" s="1"/>
  <c r="G64" i="15"/>
  <c r="G79" i="15" s="1"/>
  <c r="F64" i="15"/>
  <c r="F79" i="15" s="1"/>
  <c r="E64" i="15"/>
  <c r="E79" i="15" s="1"/>
  <c r="E65" i="15"/>
  <c r="E80" i="15" s="1"/>
  <c r="E81" i="15" l="1"/>
  <c r="F81" i="15"/>
  <c r="G74" i="22"/>
  <c r="G58" i="22"/>
  <c r="G73" i="22" s="1"/>
  <c r="F74" i="22"/>
  <c r="F58" i="22"/>
  <c r="F73" i="22" s="1"/>
  <c r="G60" i="21"/>
  <c r="G75" i="21" s="1"/>
  <c r="G59" i="21"/>
  <c r="G74" i="21" s="1"/>
  <c r="F60" i="21"/>
  <c r="F75" i="21" s="1"/>
  <c r="F59" i="21"/>
  <c r="F74" i="21" s="1"/>
  <c r="E74" i="22"/>
  <c r="E58" i="22"/>
  <c r="E73" i="22" s="1"/>
  <c r="E60" i="21"/>
  <c r="E75" i="21" s="1"/>
  <c r="E59" i="21"/>
  <c r="E74" i="21" s="1"/>
  <c r="E75" i="22" l="1"/>
  <c r="F76" i="21"/>
  <c r="F75" i="22"/>
  <c r="H78" i="1"/>
  <c r="E76" i="21" l="1"/>
  <c r="H79" i="1"/>
  <c r="H80" i="1" s="1"/>
  <c r="G79" i="1" l="1"/>
  <c r="G78" i="1"/>
  <c r="G80" i="1" l="1"/>
  <c r="F79" i="1"/>
  <c r="F78" i="1" l="1"/>
  <c r="F80" i="1" l="1"/>
  <c r="G68" i="16"/>
  <c r="G66" i="16"/>
  <c r="G64" i="16"/>
  <c r="G63" i="24"/>
  <c r="G61" i="24"/>
  <c r="G59" i="24"/>
  <c r="G63" i="23"/>
  <c r="G61" i="23"/>
  <c r="G59" i="23"/>
  <c r="H68" i="2"/>
  <c r="H66" i="2"/>
  <c r="H64" i="2"/>
  <c r="I45" i="18"/>
  <c r="G70" i="16" l="1"/>
  <c r="G69" i="16" s="1"/>
  <c r="H70" i="2"/>
  <c r="G65" i="24"/>
  <c r="G65" i="23"/>
  <c r="G75" i="22" l="1"/>
  <c r="G76" i="21" l="1"/>
  <c r="G81" i="15"/>
  <c r="I39" i="26" l="1"/>
  <c r="J39" i="26"/>
  <c r="K39" i="26" s="1"/>
  <c r="L39" i="26" s="1"/>
  <c r="M39" i="26" s="1"/>
  <c r="N39" i="26" s="1"/>
  <c r="O39" i="26" s="1"/>
  <c r="P39" i="26" s="1"/>
  <c r="Q39" i="26" s="1"/>
  <c r="R39" i="26" s="1"/>
  <c r="H39" i="26"/>
  <c r="N64" i="16"/>
  <c r="R5" i="19" l="1"/>
  <c r="S5" i="19"/>
  <c r="T5" i="19"/>
  <c r="R32" i="16"/>
  <c r="R20" i="16"/>
  <c r="Q5" i="16"/>
  <c r="R5" i="16"/>
  <c r="S5" i="16"/>
  <c r="R55" i="24"/>
  <c r="Q5" i="24"/>
  <c r="R5" i="24"/>
  <c r="S5" i="24"/>
  <c r="R55" i="23"/>
  <c r="Q4" i="23"/>
  <c r="R4" i="23"/>
  <c r="S4" i="23"/>
  <c r="N63" i="23" l="1"/>
  <c r="O63" i="23"/>
  <c r="P63" i="23"/>
  <c r="N61" i="23"/>
  <c r="O61" i="23"/>
  <c r="P61" i="23"/>
  <c r="N59" i="23"/>
  <c r="O59" i="23"/>
  <c r="P59" i="23"/>
  <c r="P65" i="23" l="1"/>
  <c r="H65" i="23"/>
  <c r="O65" i="23"/>
  <c r="N65" i="23"/>
  <c r="R63" i="23"/>
  <c r="R59" i="23"/>
  <c r="R61" i="23"/>
  <c r="R65" i="23" l="1"/>
  <c r="F73" i="18"/>
  <c r="F70" i="18" l="1"/>
  <c r="S68" i="2" l="1"/>
  <c r="O66" i="16" l="1"/>
  <c r="P66" i="16"/>
  <c r="N66" i="16"/>
  <c r="P64" i="16"/>
  <c r="O64" i="16"/>
  <c r="R64" i="16" l="1"/>
  <c r="R66" i="16"/>
  <c r="O64" i="2"/>
  <c r="Q64" i="2" l="1"/>
  <c r="P64" i="2"/>
  <c r="S64" i="2" l="1"/>
  <c r="R64" i="2" l="1"/>
  <c r="O61" i="24" l="1"/>
  <c r="P61" i="24"/>
  <c r="N61" i="24"/>
  <c r="R61" i="24" l="1"/>
  <c r="P63" i="24"/>
  <c r="N63" i="24"/>
  <c r="O63" i="24"/>
  <c r="R63" i="24" l="1"/>
  <c r="H65" i="24" l="1"/>
  <c r="O59" i="24"/>
  <c r="O65" i="24" s="1"/>
  <c r="P59" i="24"/>
  <c r="P65" i="24" s="1"/>
  <c r="N59" i="24"/>
  <c r="N65" i="24" s="1"/>
  <c r="R65" i="24" l="1"/>
  <c r="R59" i="24"/>
  <c r="O68" i="2"/>
  <c r="P68" i="2"/>
  <c r="Q68" i="2"/>
  <c r="R68" i="2" l="1"/>
  <c r="H70" i="16" l="1"/>
  <c r="H69" i="16" s="1"/>
  <c r="P68" i="16"/>
  <c r="P70" i="16" s="1"/>
  <c r="N68" i="16"/>
  <c r="N70" i="16" s="1"/>
  <c r="N69" i="16" s="1"/>
  <c r="O68" i="16"/>
  <c r="O70" i="16" s="1"/>
  <c r="O69" i="16" s="1"/>
  <c r="R68" i="16" l="1"/>
  <c r="R70" i="16"/>
  <c r="Q66" i="2"/>
  <c r="Q70" i="2" s="1"/>
  <c r="O66" i="2"/>
  <c r="O70" i="2" s="1"/>
  <c r="P66" i="2" l="1"/>
  <c r="P70" i="2" s="1"/>
  <c r="I70" i="2"/>
  <c r="S66" i="2" l="1"/>
  <c r="S70" i="2" s="1"/>
  <c r="R66" i="2" l="1"/>
  <c r="R70" i="2" s="1"/>
  <c r="Q63" i="23" l="1"/>
  <c r="S63" i="23" s="1"/>
  <c r="Q61" i="23"/>
  <c r="S61" i="23" s="1"/>
  <c r="Q55" i="24"/>
  <c r="S55" i="24" s="1"/>
  <c r="Q55" i="23"/>
  <c r="S55" i="23" s="1"/>
  <c r="F70" i="2" l="1"/>
  <c r="E70" i="16"/>
  <c r="E65" i="23"/>
  <c r="Q59" i="23"/>
  <c r="Q20" i="16"/>
  <c r="S20" i="16" s="1"/>
  <c r="Q32" i="16"/>
  <c r="S32" i="16" s="1"/>
  <c r="Q65" i="23" l="1"/>
  <c r="S65" i="23" s="1"/>
  <c r="S59" i="23"/>
  <c r="R51" i="15"/>
  <c r="R52" i="15"/>
  <c r="R53" i="15"/>
  <c r="R32" i="15"/>
  <c r="R20" i="15"/>
  <c r="Q52" i="18" l="1"/>
  <c r="Q66" i="18"/>
  <c r="Q59" i="18"/>
  <c r="P52" i="18" l="1"/>
  <c r="P59" i="18"/>
  <c r="P66" i="18"/>
  <c r="O59" i="18" l="1"/>
  <c r="O52" i="18"/>
  <c r="O66" i="18"/>
  <c r="S32" i="15" l="1"/>
  <c r="T32" i="15" s="1"/>
  <c r="S20" i="15"/>
  <c r="T20" i="15" s="1"/>
  <c r="E5" i="15" l="1"/>
  <c r="D5" i="16" l="1"/>
  <c r="D5" i="15"/>
  <c r="D5" i="22"/>
  <c r="D6" i="21"/>
  <c r="D5" i="23"/>
  <c r="E5" i="9"/>
  <c r="E5" i="18"/>
  <c r="E5" i="19"/>
  <c r="E5" i="2"/>
  <c r="F59" i="18" l="1"/>
  <c r="F52" i="18" l="1"/>
  <c r="F66" i="18"/>
  <c r="H4" i="26" l="1"/>
  <c r="I4" i="26"/>
  <c r="J4" i="26"/>
  <c r="K4" i="26"/>
  <c r="L4" i="26"/>
  <c r="M4" i="26"/>
  <c r="N4" i="26"/>
  <c r="O4" i="26"/>
  <c r="P4" i="26"/>
  <c r="Q4" i="26"/>
  <c r="R4" i="26"/>
  <c r="G4" i="26"/>
  <c r="T68" i="18" l="1"/>
  <c r="R69" i="18" l="1"/>
  <c r="R68" i="18"/>
  <c r="V68" i="18" s="1"/>
  <c r="T71" i="18"/>
  <c r="T72" i="18"/>
  <c r="T69" i="18"/>
  <c r="R72" i="18"/>
  <c r="R71" i="18"/>
  <c r="T73" i="18" l="1"/>
  <c r="V69" i="18"/>
  <c r="V70" i="18" s="1"/>
  <c r="R70" i="18"/>
  <c r="V71" i="18"/>
  <c r="T70" i="18"/>
  <c r="V72" i="18"/>
  <c r="R73" i="18"/>
  <c r="V73" i="18" l="1"/>
  <c r="R51" i="26" l="1"/>
  <c r="R49" i="26" l="1"/>
  <c r="Q51" i="26"/>
  <c r="R50" i="26" l="1"/>
  <c r="Q49" i="26"/>
  <c r="Q50" i="26" l="1"/>
  <c r="P51" i="26" l="1"/>
  <c r="P49" i="26" l="1"/>
  <c r="P50" i="26" l="1"/>
  <c r="AA6" i="22"/>
  <c r="AA6" i="15" s="1"/>
  <c r="O51" i="26" l="1"/>
  <c r="O49" i="26" l="1"/>
  <c r="O50" i="26" l="1"/>
  <c r="A2" i="27" l="1" a="1"/>
  <c r="A3" i="27" s="1"/>
  <c r="A2" i="27" l="1"/>
  <c r="A10" i="27"/>
  <c r="A5" i="27"/>
  <c r="A7" i="27"/>
  <c r="A6" i="27"/>
  <c r="A13" i="27"/>
  <c r="A12" i="27"/>
  <c r="A4" i="27"/>
  <c r="A9" i="27"/>
  <c r="A8" i="27"/>
  <c r="A11" i="27"/>
  <c r="S40" i="19" l="1"/>
  <c r="S39" i="19"/>
  <c r="S38" i="19"/>
  <c r="S37" i="19"/>
  <c r="S36" i="19"/>
  <c r="R39" i="19" l="1"/>
  <c r="T39" i="19" s="1"/>
  <c r="R38" i="19"/>
  <c r="T38" i="19" s="1"/>
  <c r="R37" i="19"/>
  <c r="T37" i="19" s="1"/>
  <c r="T64" i="18" l="1"/>
  <c r="T63" i="18"/>
  <c r="T62" i="18"/>
  <c r="T61" i="18"/>
  <c r="T60" i="18"/>
  <c r="T57" i="18"/>
  <c r="T56" i="18"/>
  <c r="T55" i="18"/>
  <c r="T54" i="18"/>
  <c r="T53" i="18"/>
  <c r="T50" i="18"/>
  <c r="T49" i="18"/>
  <c r="T48" i="18"/>
  <c r="T47" i="18"/>
  <c r="T46" i="18"/>
  <c r="S51" i="18"/>
  <c r="S52" i="18" s="1"/>
  <c r="U51" i="18"/>
  <c r="U52" i="18" s="1"/>
  <c r="S58" i="18"/>
  <c r="S59" i="18" s="1"/>
  <c r="U58" i="18"/>
  <c r="U59" i="18" s="1"/>
  <c r="S65" i="18"/>
  <c r="S66" i="18" s="1"/>
  <c r="U65" i="18"/>
  <c r="U66" i="18" s="1"/>
  <c r="T51" i="18" l="1"/>
  <c r="T52" i="18" s="1"/>
  <c r="T58" i="18"/>
  <c r="T59" i="18" s="1"/>
  <c r="T65" i="18"/>
  <c r="T66" i="18" s="1"/>
  <c r="R46" i="18" l="1"/>
  <c r="V46" i="18"/>
  <c r="R60" i="18"/>
  <c r="V60" i="18"/>
  <c r="V53" i="18"/>
  <c r="R53" i="18"/>
  <c r="R49" i="18" l="1"/>
  <c r="V49" i="18"/>
  <c r="W49" i="18" s="1"/>
  <c r="R50" i="18"/>
  <c r="V50" i="18"/>
  <c r="W50" i="18" s="1"/>
  <c r="R62" i="18"/>
  <c r="V62" i="18"/>
  <c r="W62" i="18" s="1"/>
  <c r="V54" i="18"/>
  <c r="W54" i="18" s="1"/>
  <c r="R54" i="18"/>
  <c r="R61" i="18"/>
  <c r="V61" i="18"/>
  <c r="W61" i="18" s="1"/>
  <c r="V57" i="18"/>
  <c r="W57" i="18" s="1"/>
  <c r="R57" i="18"/>
  <c r="R56" i="18"/>
  <c r="V56" i="18"/>
  <c r="W56" i="18" s="1"/>
  <c r="R47" i="18"/>
  <c r="V47" i="18"/>
  <c r="W47" i="18" s="1"/>
  <c r="V63" i="18"/>
  <c r="W63" i="18" s="1"/>
  <c r="R63" i="18"/>
  <c r="R55" i="18"/>
  <c r="V55" i="18"/>
  <c r="W55" i="18" s="1"/>
  <c r="R48" i="18"/>
  <c r="V48" i="18"/>
  <c r="W48" i="18" s="1"/>
  <c r="V64" i="18"/>
  <c r="W64" i="18" s="1"/>
  <c r="R64" i="18"/>
  <c r="R51" i="18" l="1"/>
  <c r="R52" i="18" s="1"/>
  <c r="V58" i="18"/>
  <c r="V65" i="18"/>
  <c r="R65" i="18"/>
  <c r="R66" i="18" s="1"/>
  <c r="V51" i="18"/>
  <c r="R58" i="18"/>
  <c r="R59" i="18" s="1"/>
  <c r="V59" i="18" l="1"/>
  <c r="W59" i="18"/>
  <c r="W58" i="18"/>
  <c r="V52" i="18"/>
  <c r="W52" i="18"/>
  <c r="W51" i="18"/>
  <c r="V66" i="18"/>
  <c r="W66" i="18"/>
  <c r="W65" i="18"/>
  <c r="S39" i="26" l="1"/>
  <c r="O48" i="26" l="1"/>
  <c r="K48" i="26"/>
  <c r="O57" i="26" l="1"/>
  <c r="G48" i="26"/>
  <c r="J48" i="26"/>
  <c r="N48" i="26"/>
  <c r="R48" i="26"/>
  <c r="I48" i="26"/>
  <c r="M48" i="26"/>
  <c r="Q48" i="26"/>
  <c r="H48" i="26"/>
  <c r="L48" i="26"/>
  <c r="P48" i="26"/>
  <c r="F5" i="15"/>
  <c r="G5" i="15"/>
  <c r="H5" i="15"/>
  <c r="I5" i="15"/>
  <c r="J5" i="15"/>
  <c r="K5" i="15"/>
  <c r="L5" i="15"/>
  <c r="M5" i="15"/>
  <c r="N5" i="15"/>
  <c r="O5" i="15"/>
  <c r="P5" i="15"/>
  <c r="F4" i="22"/>
  <c r="G4" i="22"/>
  <c r="H4" i="22"/>
  <c r="I4" i="22"/>
  <c r="J4" i="22"/>
  <c r="K4" i="22"/>
  <c r="L4" i="22"/>
  <c r="M4" i="22"/>
  <c r="N4" i="22"/>
  <c r="O4" i="22"/>
  <c r="P4" i="22"/>
  <c r="E4" i="22"/>
  <c r="F4" i="23"/>
  <c r="G4" i="23"/>
  <c r="H4" i="23"/>
  <c r="I4" i="23"/>
  <c r="J4" i="23"/>
  <c r="K4" i="23"/>
  <c r="L4" i="23"/>
  <c r="M4" i="23"/>
  <c r="N4" i="23"/>
  <c r="O4" i="23"/>
  <c r="P4" i="23"/>
  <c r="E4" i="23"/>
  <c r="F4" i="21"/>
  <c r="G4" i="21"/>
  <c r="H4" i="21"/>
  <c r="I4" i="21"/>
  <c r="J4" i="21"/>
  <c r="K4" i="21"/>
  <c r="L4" i="21"/>
  <c r="M4" i="21"/>
  <c r="N4" i="21"/>
  <c r="O4" i="21"/>
  <c r="P4" i="21"/>
  <c r="E4" i="21"/>
  <c r="U48" i="26" l="1"/>
  <c r="V48" i="26"/>
  <c r="T48" i="26"/>
  <c r="Q57" i="26"/>
  <c r="R57" i="26"/>
  <c r="P57" i="26"/>
  <c r="S48" i="26"/>
  <c r="S57" i="26" s="1"/>
  <c r="G43" i="20" l="1"/>
  <c r="H43" i="20"/>
  <c r="I43" i="20"/>
  <c r="J43" i="20"/>
  <c r="K43" i="20"/>
  <c r="L43" i="20"/>
  <c r="M43" i="20"/>
  <c r="L50" i="20" l="1"/>
  <c r="L49" i="20"/>
  <c r="M49" i="20"/>
  <c r="M50" i="20"/>
  <c r="K49" i="20"/>
  <c r="K50" i="20"/>
  <c r="J49" i="20"/>
  <c r="J50" i="20"/>
  <c r="I49" i="20"/>
  <c r="I50" i="20"/>
  <c r="H49" i="20"/>
  <c r="H50" i="20"/>
  <c r="D56" i="24"/>
  <c r="D55" i="24" l="1"/>
  <c r="N43" i="20" l="1"/>
  <c r="O43" i="20"/>
  <c r="Q43" i="20"/>
  <c r="P43" i="20"/>
  <c r="P50" i="20" l="1"/>
  <c r="P49" i="20"/>
  <c r="Q49" i="20"/>
  <c r="Q50" i="20"/>
  <c r="O50" i="20"/>
  <c r="O49" i="20"/>
  <c r="N49" i="20"/>
  <c r="N50" i="20"/>
  <c r="S5" i="26" l="1"/>
  <c r="S27" i="26"/>
  <c r="S28" i="26"/>
  <c r="S29" i="26"/>
  <c r="R8" i="20" l="1"/>
  <c r="R5" i="20"/>
  <c r="F43" i="20" l="1"/>
  <c r="F49" i="20" l="1"/>
  <c r="F50" i="20"/>
  <c r="R43" i="20"/>
  <c r="B22" i="23" l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50" i="23" s="1"/>
  <c r="B51" i="23" s="1"/>
  <c r="B52" i="23" s="1"/>
  <c r="B53" i="23" s="1"/>
  <c r="B7" i="23"/>
  <c r="B22" i="22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50" i="22" s="1"/>
  <c r="B51" i="22" s="1"/>
  <c r="B52" i="22" s="1"/>
  <c r="B53" i="22" s="1"/>
  <c r="B7" i="22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23" i="21"/>
  <c r="B24" i="21" s="1"/>
  <c r="B25" i="21" s="1"/>
  <c r="B8" i="21"/>
  <c r="B9" i="21" s="1"/>
  <c r="B8" i="23" l="1"/>
  <c r="B9" i="23" s="1"/>
  <c r="B10" i="23" s="1"/>
  <c r="B11" i="23" s="1"/>
  <c r="B12" i="23" s="1"/>
  <c r="B13" i="23" s="1"/>
  <c r="B14" i="23" s="1"/>
  <c r="B15" i="23" s="1"/>
  <c r="B16" i="23" s="1"/>
  <c r="B17" i="23" s="1"/>
  <c r="B26" i="21"/>
  <c r="B10" i="21"/>
  <c r="B11" i="21" l="1"/>
  <c r="B27" i="21"/>
  <c r="B28" i="21" l="1"/>
  <c r="B12" i="21"/>
  <c r="B13" i="21" l="1"/>
  <c r="B29" i="21"/>
  <c r="B30" i="21" l="1"/>
  <c r="B14" i="21"/>
  <c r="B15" i="21" l="1"/>
  <c r="B31" i="21"/>
  <c r="B32" i="21" l="1"/>
  <c r="B16" i="21"/>
  <c r="B17" i="21" l="1"/>
  <c r="B33" i="21"/>
  <c r="B18" i="21" l="1"/>
  <c r="B34" i="21"/>
  <c r="B35" i="21" l="1"/>
  <c r="B36" i="21" l="1"/>
  <c r="B38" i="21" l="1"/>
  <c r="B39" i="21" l="1"/>
  <c r="B40" i="21" l="1"/>
  <c r="B41" i="21" l="1"/>
  <c r="B42" i="21" l="1"/>
  <c r="B43" i="21" l="1"/>
  <c r="B44" i="21" l="1"/>
  <c r="B45" i="21" l="1"/>
  <c r="B46" i="21" l="1"/>
  <c r="B47" i="21" l="1"/>
  <c r="B48" i="21" s="1"/>
  <c r="B49" i="21" l="1"/>
  <c r="B51" i="21" l="1"/>
  <c r="B52" i="21" l="1"/>
  <c r="B53" i="21" l="1"/>
  <c r="B54" i="21" l="1"/>
  <c r="R27" i="20" l="1"/>
  <c r="R28" i="20"/>
  <c r="R29" i="20"/>
  <c r="K45" i="18" l="1"/>
  <c r="Q5" i="18" l="1"/>
  <c r="P5" i="18"/>
  <c r="O5" i="18"/>
  <c r="N5" i="18"/>
  <c r="M5" i="18"/>
  <c r="L5" i="18"/>
  <c r="K5" i="18"/>
  <c r="J5" i="18"/>
  <c r="I5" i="18"/>
  <c r="H5" i="18"/>
  <c r="G5" i="18"/>
  <c r="F5" i="18"/>
  <c r="B28" i="9"/>
  <c r="B29" i="9" s="1"/>
  <c r="B7" i="9"/>
  <c r="B8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3" i="9" s="1"/>
  <c r="B24" i="9" s="1"/>
  <c r="Q5" i="2"/>
  <c r="P5" i="2"/>
  <c r="O5" i="2"/>
  <c r="N5" i="2"/>
  <c r="M5" i="2"/>
  <c r="L5" i="2"/>
  <c r="K5" i="2"/>
  <c r="J5" i="2"/>
  <c r="I5" i="2"/>
  <c r="H5" i="2"/>
  <c r="G5" i="2"/>
  <c r="F5" i="2"/>
  <c r="C38" i="2"/>
  <c r="C39" i="2" s="1"/>
  <c r="C40" i="2" s="1"/>
  <c r="C41" i="2" s="1"/>
  <c r="C42" i="2" s="1"/>
  <c r="C43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18" i="2"/>
  <c r="C38" i="1"/>
  <c r="C39" i="1" s="1"/>
  <c r="C40" i="1" s="1"/>
  <c r="C41" i="1" s="1"/>
  <c r="C42" i="1" s="1"/>
  <c r="C43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18" i="1"/>
  <c r="C19" i="1" s="1"/>
  <c r="C20" i="1" s="1"/>
  <c r="C21" i="1" s="1"/>
  <c r="C23" i="1" s="1"/>
  <c r="C24" i="1" s="1"/>
  <c r="C25" i="1" s="1"/>
  <c r="C26" i="1" s="1"/>
  <c r="C27" i="1" s="1"/>
  <c r="C28" i="1" s="1"/>
  <c r="C31" i="1" s="1"/>
  <c r="C32" i="1" s="1"/>
  <c r="C33" i="1" s="1"/>
  <c r="F5" i="24" l="1"/>
  <c r="G5" i="19"/>
  <c r="F5" i="16"/>
  <c r="G5" i="9" s="1"/>
  <c r="H5" i="24"/>
  <c r="I5" i="19"/>
  <c r="H5" i="16"/>
  <c r="I5" i="9" s="1"/>
  <c r="K5" i="19"/>
  <c r="J5" i="24"/>
  <c r="J5" i="16"/>
  <c r="K5" i="9" s="1"/>
  <c r="M5" i="19"/>
  <c r="L5" i="24"/>
  <c r="L5" i="16"/>
  <c r="M5" i="9" s="1"/>
  <c r="O5" i="19"/>
  <c r="N5" i="16"/>
  <c r="O5" i="9" s="1"/>
  <c r="N5" i="24"/>
  <c r="Q5" i="19"/>
  <c r="P5" i="16"/>
  <c r="Q5" i="9" s="1"/>
  <c r="P5" i="24"/>
  <c r="F5" i="19"/>
  <c r="E5" i="16"/>
  <c r="H5" i="19"/>
  <c r="G5" i="16"/>
  <c r="H5" i="9" s="1"/>
  <c r="G5" i="24"/>
  <c r="J5" i="19"/>
  <c r="I5" i="16"/>
  <c r="J5" i="9" s="1"/>
  <c r="I5" i="24"/>
  <c r="K5" i="16"/>
  <c r="L5" i="9" s="1"/>
  <c r="L5" i="19"/>
  <c r="K5" i="24"/>
  <c r="M5" i="16"/>
  <c r="N5" i="9" s="1"/>
  <c r="M5" i="24"/>
  <c r="N5" i="19"/>
  <c r="P5" i="19"/>
  <c r="O5" i="16"/>
  <c r="P5" i="9" s="1"/>
  <c r="O5" i="24"/>
  <c r="C19" i="2"/>
  <c r="C20" i="2" s="1"/>
  <c r="C21" i="2" s="1"/>
  <c r="C23" i="2" s="1"/>
  <c r="C24" i="2" s="1"/>
  <c r="C25" i="2" s="1"/>
  <c r="C26" i="2" s="1"/>
  <c r="C27" i="2" s="1"/>
  <c r="C28" i="2" s="1"/>
  <c r="C31" i="2" s="1"/>
  <c r="C32" i="2" s="1"/>
  <c r="C33" i="2" s="1"/>
  <c r="F5" i="9" l="1"/>
  <c r="X22" i="9" l="1"/>
  <c r="X25" i="9"/>
  <c r="X26" i="9"/>
  <c r="X30" i="9"/>
  <c r="R25" i="9" l="1"/>
  <c r="T25" i="9"/>
  <c r="V25" i="9" l="1"/>
  <c r="S8" i="26" l="1"/>
  <c r="R27" i="15" l="1"/>
  <c r="R26" i="15"/>
  <c r="R24" i="15"/>
  <c r="S56" i="21" l="1"/>
  <c r="R44" i="15" l="1"/>
  <c r="R45" i="15"/>
  <c r="R60" i="15"/>
  <c r="R29" i="15"/>
  <c r="R7" i="15"/>
  <c r="R49" i="15"/>
  <c r="R40" i="15"/>
  <c r="R50" i="15"/>
  <c r="R42" i="15"/>
  <c r="R59" i="15"/>
  <c r="R38" i="15"/>
  <c r="R36" i="15"/>
  <c r="R16" i="15"/>
  <c r="R39" i="15"/>
  <c r="R48" i="15"/>
  <c r="R28" i="15"/>
  <c r="R10" i="15"/>
  <c r="R37" i="15"/>
  <c r="R14" i="15"/>
  <c r="R41" i="15"/>
  <c r="R47" i="15"/>
  <c r="R30" i="15"/>
  <c r="R13" i="15"/>
  <c r="R21" i="15"/>
  <c r="R8" i="15"/>
  <c r="R31" i="15"/>
  <c r="R43" i="15"/>
  <c r="R11" i="15"/>
  <c r="R12" i="15"/>
  <c r="R25" i="15"/>
  <c r="R46" i="15"/>
  <c r="R19" i="15"/>
  <c r="R23" i="15"/>
  <c r="R18" i="15"/>
  <c r="R9" i="15"/>
  <c r="R17" i="15"/>
  <c r="R33" i="15"/>
  <c r="R22" i="15"/>
  <c r="R56" i="15" l="1"/>
  <c r="R55" i="15"/>
  <c r="R35" i="15"/>
  <c r="R6" i="15"/>
  <c r="R34" i="15"/>
  <c r="R54" i="15" l="1"/>
  <c r="R15" i="15"/>
  <c r="R61" i="15"/>
  <c r="R62" i="15" l="1"/>
  <c r="R26" i="9" l="1"/>
  <c r="T26" i="9"/>
  <c r="R30" i="9" l="1"/>
  <c r="V26" i="9"/>
  <c r="T30" i="9"/>
  <c r="V30" i="9" l="1"/>
  <c r="S56" i="22" l="1"/>
  <c r="Q56" i="22"/>
  <c r="U56" i="22" l="1"/>
  <c r="Q57" i="21" l="1"/>
  <c r="S57" i="21"/>
  <c r="U57" i="21" l="1"/>
  <c r="S30" i="19" l="1"/>
  <c r="S42" i="19" l="1"/>
  <c r="Q52" i="20" l="1"/>
  <c r="K52" i="20" l="1"/>
  <c r="G50" i="20"/>
  <c r="G49" i="20"/>
  <c r="R9" i="20"/>
  <c r="R52" i="20" l="1"/>
  <c r="S43" i="20"/>
  <c r="R50" i="20"/>
  <c r="R49" i="20"/>
  <c r="S9" i="26" l="1"/>
  <c r="R36" i="19"/>
  <c r="T36" i="19" s="1"/>
  <c r="G45" i="18" l="1"/>
  <c r="H45" i="18"/>
  <c r="R30" i="19"/>
  <c r="T30" i="19" s="1"/>
  <c r="T64" i="2" l="1"/>
  <c r="R40" i="19" l="1"/>
  <c r="T40" i="19" s="1"/>
  <c r="R42" i="19" l="1"/>
  <c r="T42" i="19" s="1"/>
  <c r="P2" i="27" a="1"/>
  <c r="P2" i="27" l="1"/>
  <c r="P10" i="27"/>
  <c r="P9" i="27"/>
  <c r="P4" i="27"/>
  <c r="P3" i="27"/>
  <c r="P11" i="27"/>
  <c r="P13" i="27"/>
  <c r="P5" i="27"/>
  <c r="P7" i="27"/>
  <c r="P8" i="27"/>
  <c r="P6" i="27"/>
  <c r="P12" i="27"/>
  <c r="Q59" i="24"/>
  <c r="S59" i="24"/>
  <c r="T66" i="2" l="1"/>
  <c r="Q66" i="16"/>
  <c r="S66" i="16"/>
  <c r="Q64" i="16" l="1"/>
  <c r="S64" i="16"/>
  <c r="F70" i="16"/>
  <c r="F69" i="16" s="1"/>
  <c r="Q68" i="16" l="1"/>
  <c r="S68" i="16"/>
  <c r="Q70" i="16"/>
  <c r="S70" i="16"/>
  <c r="H2" i="27" a="1"/>
  <c r="H8" i="27" l="1"/>
  <c r="H2" i="27"/>
  <c r="H5" i="27"/>
  <c r="H11" i="27"/>
  <c r="H9" i="27"/>
  <c r="H6" i="27"/>
  <c r="H4" i="27"/>
  <c r="H7" i="27"/>
  <c r="H12" i="27"/>
  <c r="H13" i="27"/>
  <c r="H10" i="27"/>
  <c r="H3" i="27"/>
  <c r="Q61" i="24" l="1"/>
  <c r="S61" i="24"/>
  <c r="F65" i="23"/>
  <c r="D2" i="27" l="1" a="1"/>
  <c r="S63" i="24"/>
  <c r="Q63" i="24"/>
  <c r="F65" i="24"/>
  <c r="D11" i="27" l="1"/>
  <c r="D5" i="27"/>
  <c r="D4" i="27"/>
  <c r="D13" i="27"/>
  <c r="D6" i="27"/>
  <c r="D8" i="27"/>
  <c r="D12" i="27"/>
  <c r="D7" i="27"/>
  <c r="D2" i="27"/>
  <c r="D3" i="27"/>
  <c r="D9" i="27"/>
  <c r="D10" i="27"/>
  <c r="T68" i="2" l="1"/>
  <c r="T70" i="2" s="1"/>
  <c r="G70" i="2"/>
  <c r="B2" i="27" s="1" a="1"/>
  <c r="B9" i="27" l="1"/>
  <c r="B6" i="27"/>
  <c r="B13" i="27"/>
  <c r="B11" i="27"/>
  <c r="B8" i="27"/>
  <c r="B3" i="27"/>
  <c r="B7" i="27"/>
  <c r="B12" i="27"/>
  <c r="B2" i="27"/>
  <c r="B4" i="27"/>
  <c r="B5" i="27"/>
  <c r="B10" i="27"/>
  <c r="L79" i="1" l="1"/>
  <c r="L80" i="1" s="1"/>
  <c r="E20" i="18"/>
  <c r="E12" i="18"/>
  <c r="Q20" i="18" l="1"/>
  <c r="Q20" i="19" s="1"/>
  <c r="P20" i="18"/>
  <c r="P20" i="19" s="1"/>
  <c r="L20" i="18"/>
  <c r="L20" i="19" s="1"/>
  <c r="I20" i="18"/>
  <c r="I20" i="19" s="1"/>
  <c r="H20" i="18"/>
  <c r="H20" i="19" s="1"/>
  <c r="F20" i="18"/>
  <c r="F20" i="19" s="1"/>
  <c r="N20" i="18"/>
  <c r="N20" i="19" s="1"/>
  <c r="G20" i="18"/>
  <c r="G20" i="19" s="1"/>
  <c r="J20" i="18"/>
  <c r="J20" i="19" s="1"/>
  <c r="K20" i="18"/>
  <c r="K20" i="19" s="1"/>
  <c r="M20" i="18"/>
  <c r="M20" i="19" s="1"/>
  <c r="O20" i="18"/>
  <c r="O20" i="19" s="1"/>
  <c r="E32" i="18"/>
  <c r="M12" i="18"/>
  <c r="M12" i="19" s="1"/>
  <c r="Q12" i="18"/>
  <c r="Q12" i="19" s="1"/>
  <c r="N12" i="18"/>
  <c r="N12" i="19" s="1"/>
  <c r="K12" i="18"/>
  <c r="K12" i="19" s="1"/>
  <c r="G12" i="18"/>
  <c r="G12" i="19" s="1"/>
  <c r="F12" i="18"/>
  <c r="F12" i="19" s="1"/>
  <c r="O12" i="18"/>
  <c r="O12" i="19" s="1"/>
  <c r="L12" i="18"/>
  <c r="L12" i="19" s="1"/>
  <c r="H12" i="18"/>
  <c r="H12" i="19" s="1"/>
  <c r="J12" i="18"/>
  <c r="J12" i="19" s="1"/>
  <c r="P12" i="18"/>
  <c r="P12" i="19" s="1"/>
  <c r="I12" i="18"/>
  <c r="I12" i="19" s="1"/>
  <c r="E14" i="18"/>
  <c r="E24" i="18"/>
  <c r="E22" i="18"/>
  <c r="E6" i="18"/>
  <c r="E16" i="18"/>
  <c r="E27" i="18"/>
  <c r="E7" i="18"/>
  <c r="E18" i="18"/>
  <c r="E28" i="18"/>
  <c r="E8" i="18"/>
  <c r="E19" i="18"/>
  <c r="E33" i="18"/>
  <c r="E31" i="18"/>
  <c r="E10" i="18"/>
  <c r="E26" i="18"/>
  <c r="E11" i="18"/>
  <c r="E37" i="18"/>
  <c r="R20" i="19" l="1"/>
  <c r="Q32" i="18"/>
  <c r="Q32" i="19" s="1"/>
  <c r="K32" i="18"/>
  <c r="K32" i="19" s="1"/>
  <c r="F32" i="18"/>
  <c r="F32" i="19" s="1"/>
  <c r="G32" i="18"/>
  <c r="G32" i="19" s="1"/>
  <c r="M32" i="18"/>
  <c r="M32" i="19" s="1"/>
  <c r="H32" i="18"/>
  <c r="H32" i="19" s="1"/>
  <c r="N32" i="18"/>
  <c r="N32" i="19" s="1"/>
  <c r="I32" i="18"/>
  <c r="I32" i="19" s="1"/>
  <c r="L32" i="18"/>
  <c r="L32" i="19" s="1"/>
  <c r="J32" i="18"/>
  <c r="J32" i="19" s="1"/>
  <c r="P32" i="18"/>
  <c r="P32" i="19" s="1"/>
  <c r="O32" i="18"/>
  <c r="O32" i="19" s="1"/>
  <c r="I22" i="18"/>
  <c r="I22" i="19" s="1"/>
  <c r="H22" i="18"/>
  <c r="H22" i="19" s="1"/>
  <c r="F22" i="18"/>
  <c r="F22" i="19" s="1"/>
  <c r="L22" i="18"/>
  <c r="L22" i="19" s="1"/>
  <c r="J22" i="18"/>
  <c r="J22" i="19" s="1"/>
  <c r="P22" i="18"/>
  <c r="P22" i="19" s="1"/>
  <c r="Q22" i="18"/>
  <c r="Q22" i="19" s="1"/>
  <c r="K22" i="18"/>
  <c r="K22" i="19" s="1"/>
  <c r="N22" i="18"/>
  <c r="N22" i="19" s="1"/>
  <c r="M22" i="18"/>
  <c r="M22" i="19" s="1"/>
  <c r="O22" i="18"/>
  <c r="O22" i="19" s="1"/>
  <c r="G22" i="18"/>
  <c r="G22" i="19" s="1"/>
  <c r="E35" i="18"/>
  <c r="E36" i="18"/>
  <c r="P27" i="18"/>
  <c r="P27" i="19" s="1"/>
  <c r="F27" i="18"/>
  <c r="F27" i="19" s="1"/>
  <c r="Q27" i="18"/>
  <c r="Q27" i="19" s="1"/>
  <c r="O27" i="18"/>
  <c r="O27" i="19" s="1"/>
  <c r="I27" i="18"/>
  <c r="I27" i="19" s="1"/>
  <c r="L27" i="18"/>
  <c r="L27" i="19" s="1"/>
  <c r="H27" i="18"/>
  <c r="H27" i="19" s="1"/>
  <c r="G27" i="18"/>
  <c r="G27" i="19" s="1"/>
  <c r="J27" i="18"/>
  <c r="J27" i="19" s="1"/>
  <c r="N27" i="18"/>
  <c r="N27" i="19" s="1"/>
  <c r="M27" i="18"/>
  <c r="M27" i="19" s="1"/>
  <c r="K27" i="18"/>
  <c r="K27" i="19" s="1"/>
  <c r="R12" i="19"/>
  <c r="K31" i="18"/>
  <c r="K31" i="19" s="1"/>
  <c r="O31" i="18"/>
  <c r="O31" i="19" s="1"/>
  <c r="M31" i="18"/>
  <c r="M31" i="19" s="1"/>
  <c r="G31" i="18"/>
  <c r="G31" i="19" s="1"/>
  <c r="J31" i="18"/>
  <c r="J31" i="19" s="1"/>
  <c r="Q31" i="18"/>
  <c r="Q31" i="19" s="1"/>
  <c r="P31" i="18"/>
  <c r="P31" i="19" s="1"/>
  <c r="F31" i="18"/>
  <c r="F31" i="19" s="1"/>
  <c r="H31" i="18"/>
  <c r="H31" i="19" s="1"/>
  <c r="I31" i="18"/>
  <c r="I31" i="19" s="1"/>
  <c r="L31" i="18"/>
  <c r="L31" i="19" s="1"/>
  <c r="N31" i="18"/>
  <c r="N31" i="19" s="1"/>
  <c r="I26" i="18"/>
  <c r="I26" i="19" s="1"/>
  <c r="P26" i="18"/>
  <c r="P26" i="19" s="1"/>
  <c r="F26" i="18"/>
  <c r="F26" i="19" s="1"/>
  <c r="G26" i="18"/>
  <c r="G26" i="19" s="1"/>
  <c r="J26" i="18"/>
  <c r="J26" i="19" s="1"/>
  <c r="O26" i="18"/>
  <c r="O26" i="19" s="1"/>
  <c r="K26" i="18"/>
  <c r="K26" i="19" s="1"/>
  <c r="H26" i="18"/>
  <c r="H26" i="19" s="1"/>
  <c r="Q26" i="18"/>
  <c r="Q26" i="19" s="1"/>
  <c r="M26" i="18"/>
  <c r="M26" i="19" s="1"/>
  <c r="L26" i="18"/>
  <c r="L26" i="19" s="1"/>
  <c r="N26" i="18"/>
  <c r="N26" i="19" s="1"/>
  <c r="M19" i="18"/>
  <c r="M19" i="19" s="1"/>
  <c r="O19" i="18"/>
  <c r="O19" i="19" s="1"/>
  <c r="P19" i="18"/>
  <c r="P19" i="19" s="1"/>
  <c r="G19" i="18"/>
  <c r="G19" i="19" s="1"/>
  <c r="I19" i="18"/>
  <c r="I19" i="19" s="1"/>
  <c r="Q19" i="18"/>
  <c r="Q19" i="19" s="1"/>
  <c r="K19" i="18"/>
  <c r="K19" i="19" s="1"/>
  <c r="F19" i="18"/>
  <c r="F19" i="19" s="1"/>
  <c r="N19" i="18"/>
  <c r="N19" i="19" s="1"/>
  <c r="H19" i="18"/>
  <c r="H19" i="19" s="1"/>
  <c r="J19" i="18"/>
  <c r="J19" i="19" s="1"/>
  <c r="L19" i="18"/>
  <c r="L19" i="19" s="1"/>
  <c r="G6" i="18"/>
  <c r="G6" i="19" s="1"/>
  <c r="L6" i="18"/>
  <c r="L6" i="19" s="1"/>
  <c r="O6" i="18"/>
  <c r="O6" i="19" s="1"/>
  <c r="K6" i="18"/>
  <c r="K6" i="19" s="1"/>
  <c r="H6" i="18"/>
  <c r="H6" i="19" s="1"/>
  <c r="M6" i="18"/>
  <c r="M6" i="19" s="1"/>
  <c r="P6" i="18"/>
  <c r="P6" i="19" s="1"/>
  <c r="N6" i="18"/>
  <c r="N6" i="19" s="1"/>
  <c r="I6" i="18"/>
  <c r="I6" i="19" s="1"/>
  <c r="Q6" i="18"/>
  <c r="Q6" i="19" s="1"/>
  <c r="J6" i="18"/>
  <c r="J6" i="19" s="1"/>
  <c r="F6" i="18"/>
  <c r="F6" i="19" s="1"/>
  <c r="I14" i="18"/>
  <c r="I14" i="19" s="1"/>
  <c r="J14" i="18"/>
  <c r="J14" i="19" s="1"/>
  <c r="L14" i="18"/>
  <c r="L14" i="19" s="1"/>
  <c r="O14" i="18"/>
  <c r="O14" i="19" s="1"/>
  <c r="K14" i="18"/>
  <c r="K14" i="19" s="1"/>
  <c r="Q14" i="18"/>
  <c r="Q14" i="19" s="1"/>
  <c r="P14" i="18"/>
  <c r="P14" i="19" s="1"/>
  <c r="F14" i="18"/>
  <c r="F14" i="19" s="1"/>
  <c r="G14" i="18"/>
  <c r="G14" i="19" s="1"/>
  <c r="N14" i="18"/>
  <c r="N14" i="19" s="1"/>
  <c r="H14" i="18"/>
  <c r="H14" i="19" s="1"/>
  <c r="M14" i="18"/>
  <c r="M14" i="19" s="1"/>
  <c r="F18" i="18"/>
  <c r="F18" i="19" s="1"/>
  <c r="Q18" i="18"/>
  <c r="Q18" i="19" s="1"/>
  <c r="Q21" i="19" s="1"/>
  <c r="H18" i="18"/>
  <c r="H18" i="19" s="1"/>
  <c r="H21" i="19" s="1"/>
  <c r="I18" i="18"/>
  <c r="I18" i="19" s="1"/>
  <c r="L18" i="18"/>
  <c r="L18" i="19" s="1"/>
  <c r="N18" i="18"/>
  <c r="N18" i="19" s="1"/>
  <c r="K18" i="18"/>
  <c r="K18" i="19" s="1"/>
  <c r="J18" i="18"/>
  <c r="J18" i="19" s="1"/>
  <c r="J21" i="19" s="1"/>
  <c r="M18" i="18"/>
  <c r="M18" i="19" s="1"/>
  <c r="M21" i="19" s="1"/>
  <c r="O18" i="18"/>
  <c r="O18" i="19" s="1"/>
  <c r="O21" i="19" s="1"/>
  <c r="P18" i="18"/>
  <c r="P18" i="19" s="1"/>
  <c r="P21" i="19" s="1"/>
  <c r="G18" i="18"/>
  <c r="G18" i="19" s="1"/>
  <c r="G21" i="19" s="1"/>
  <c r="K8" i="18"/>
  <c r="K8" i="19" s="1"/>
  <c r="L8" i="18"/>
  <c r="L8" i="19" s="1"/>
  <c r="M8" i="18"/>
  <c r="M8" i="19" s="1"/>
  <c r="N8" i="18"/>
  <c r="N8" i="19" s="1"/>
  <c r="Q8" i="18"/>
  <c r="Q8" i="19" s="1"/>
  <c r="O8" i="18"/>
  <c r="O8" i="19" s="1"/>
  <c r="I8" i="18"/>
  <c r="I8" i="19" s="1"/>
  <c r="G8" i="18"/>
  <c r="G8" i="19" s="1"/>
  <c r="J8" i="18"/>
  <c r="J8" i="19" s="1"/>
  <c r="H8" i="18"/>
  <c r="H8" i="19" s="1"/>
  <c r="F8" i="18"/>
  <c r="F8" i="19" s="1"/>
  <c r="P8" i="18"/>
  <c r="P8" i="19" s="1"/>
  <c r="S20" i="19"/>
  <c r="T20" i="19" s="1"/>
  <c r="J11" i="18"/>
  <c r="J11" i="19" s="1"/>
  <c r="K11" i="18"/>
  <c r="K11" i="19" s="1"/>
  <c r="L11" i="18"/>
  <c r="L11" i="19" s="1"/>
  <c r="M11" i="18"/>
  <c r="M11" i="19" s="1"/>
  <c r="P11" i="18"/>
  <c r="P11" i="19" s="1"/>
  <c r="G11" i="18"/>
  <c r="G11" i="19" s="1"/>
  <c r="H11" i="18"/>
  <c r="H11" i="19" s="1"/>
  <c r="N11" i="18"/>
  <c r="N11" i="19" s="1"/>
  <c r="I11" i="18"/>
  <c r="I11" i="19" s="1"/>
  <c r="O11" i="18"/>
  <c r="O11" i="19" s="1"/>
  <c r="Q11" i="18"/>
  <c r="Q11" i="19" s="1"/>
  <c r="F11" i="18"/>
  <c r="F11" i="19" s="1"/>
  <c r="G7" i="18"/>
  <c r="G7" i="19" s="1"/>
  <c r="O7" i="18"/>
  <c r="O7" i="19" s="1"/>
  <c r="M7" i="18"/>
  <c r="M7" i="19" s="1"/>
  <c r="Q7" i="18"/>
  <c r="Q7" i="19" s="1"/>
  <c r="H7" i="18"/>
  <c r="H7" i="19" s="1"/>
  <c r="L7" i="18"/>
  <c r="L7" i="19" s="1"/>
  <c r="P7" i="18"/>
  <c r="P7" i="19" s="1"/>
  <c r="I7" i="18"/>
  <c r="I7" i="19" s="1"/>
  <c r="N7" i="18"/>
  <c r="N7" i="19" s="1"/>
  <c r="J7" i="18"/>
  <c r="J7" i="19" s="1"/>
  <c r="F7" i="18"/>
  <c r="F7" i="19" s="1"/>
  <c r="K7" i="18"/>
  <c r="K7" i="19" s="1"/>
  <c r="M16" i="18"/>
  <c r="M16" i="19" s="1"/>
  <c r="I16" i="18"/>
  <c r="I16" i="19" s="1"/>
  <c r="O16" i="18"/>
  <c r="O16" i="19" s="1"/>
  <c r="F16" i="18"/>
  <c r="F16" i="19" s="1"/>
  <c r="G16" i="18"/>
  <c r="G16" i="19" s="1"/>
  <c r="K16" i="18"/>
  <c r="K16" i="19" s="1"/>
  <c r="P16" i="18"/>
  <c r="P16" i="19" s="1"/>
  <c r="N16" i="18"/>
  <c r="N16" i="19" s="1"/>
  <c r="J16" i="18"/>
  <c r="J16" i="19" s="1"/>
  <c r="L16" i="18"/>
  <c r="L16" i="19" s="1"/>
  <c r="H16" i="18"/>
  <c r="H16" i="19" s="1"/>
  <c r="Q16" i="18"/>
  <c r="Q16" i="19" s="1"/>
  <c r="K33" i="18"/>
  <c r="K33" i="19" s="1"/>
  <c r="M33" i="18"/>
  <c r="M33" i="19" s="1"/>
  <c r="O33" i="18"/>
  <c r="O33" i="19" s="1"/>
  <c r="Q33" i="18"/>
  <c r="Q33" i="19" s="1"/>
  <c r="G33" i="18"/>
  <c r="G33" i="19" s="1"/>
  <c r="L33" i="18"/>
  <c r="L33" i="19" s="1"/>
  <c r="F33" i="18"/>
  <c r="F33" i="19" s="1"/>
  <c r="N33" i="18"/>
  <c r="N33" i="19" s="1"/>
  <c r="I33" i="18"/>
  <c r="I33" i="19" s="1"/>
  <c r="P33" i="18"/>
  <c r="P33" i="19" s="1"/>
  <c r="J33" i="18"/>
  <c r="J33" i="19" s="1"/>
  <c r="H33" i="18"/>
  <c r="H33" i="19" s="1"/>
  <c r="E15" i="18"/>
  <c r="S12" i="19"/>
  <c r="J24" i="18"/>
  <c r="J24" i="19" s="1"/>
  <c r="K24" i="18"/>
  <c r="K24" i="19" s="1"/>
  <c r="F24" i="18"/>
  <c r="F24" i="19" s="1"/>
  <c r="H24" i="18"/>
  <c r="H24" i="19" s="1"/>
  <c r="M24" i="18"/>
  <c r="M24" i="19" s="1"/>
  <c r="Q24" i="18"/>
  <c r="Q24" i="19" s="1"/>
  <c r="O24" i="18"/>
  <c r="O24" i="19" s="1"/>
  <c r="L24" i="18"/>
  <c r="L24" i="19" s="1"/>
  <c r="G24" i="18"/>
  <c r="G24" i="19" s="1"/>
  <c r="N24" i="18"/>
  <c r="N24" i="19" s="1"/>
  <c r="I24" i="18"/>
  <c r="I24" i="19" s="1"/>
  <c r="P24" i="18"/>
  <c r="P24" i="19" s="1"/>
  <c r="K10" i="18"/>
  <c r="K10" i="19" s="1"/>
  <c r="I10" i="18"/>
  <c r="I10" i="19" s="1"/>
  <c r="L10" i="18"/>
  <c r="L10" i="19" s="1"/>
  <c r="Q10" i="18"/>
  <c r="Q10" i="19" s="1"/>
  <c r="M10" i="18"/>
  <c r="M10" i="19" s="1"/>
  <c r="J10" i="18"/>
  <c r="J10" i="19" s="1"/>
  <c r="H10" i="18"/>
  <c r="H10" i="19" s="1"/>
  <c r="F10" i="18"/>
  <c r="F10" i="19" s="1"/>
  <c r="P10" i="18"/>
  <c r="P10" i="19" s="1"/>
  <c r="P13" i="19" s="1"/>
  <c r="N10" i="18"/>
  <c r="N10" i="19" s="1"/>
  <c r="N13" i="19" s="1"/>
  <c r="G10" i="18"/>
  <c r="G10" i="19" s="1"/>
  <c r="G13" i="19" s="1"/>
  <c r="O10" i="18"/>
  <c r="O10" i="19" s="1"/>
  <c r="O13" i="19" s="1"/>
  <c r="J28" i="18"/>
  <c r="J28" i="19" s="1"/>
  <c r="L28" i="18"/>
  <c r="L28" i="19" s="1"/>
  <c r="K28" i="18"/>
  <c r="K28" i="19" s="1"/>
  <c r="N28" i="18"/>
  <c r="N28" i="19" s="1"/>
  <c r="M28" i="18"/>
  <c r="M28" i="19" s="1"/>
  <c r="P28" i="18"/>
  <c r="P28" i="19" s="1"/>
  <c r="O28" i="18"/>
  <c r="O28" i="19" s="1"/>
  <c r="H28" i="18"/>
  <c r="H28" i="19" s="1"/>
  <c r="Q28" i="18"/>
  <c r="Q28" i="19" s="1"/>
  <c r="F28" i="18"/>
  <c r="F28" i="19" s="1"/>
  <c r="G28" i="18"/>
  <c r="G28" i="19" s="1"/>
  <c r="I28" i="18"/>
  <c r="I28" i="19" s="1"/>
  <c r="E23" i="18"/>
  <c r="K9" i="19" l="1"/>
  <c r="L52" i="26" s="1"/>
  <c r="P34" i="19"/>
  <c r="J13" i="19"/>
  <c r="Q13" i="19"/>
  <c r="I13" i="19"/>
  <c r="G9" i="19"/>
  <c r="Q29" i="19"/>
  <c r="R55" i="26" s="1"/>
  <c r="I29" i="19"/>
  <c r="J55" i="26" s="1"/>
  <c r="K13" i="19"/>
  <c r="R7" i="19"/>
  <c r="P9" i="19"/>
  <c r="Q52" i="26" s="1"/>
  <c r="S19" i="19"/>
  <c r="R27" i="19"/>
  <c r="Q34" i="19"/>
  <c r="R8" i="19"/>
  <c r="K21" i="19"/>
  <c r="H9" i="19"/>
  <c r="I52" i="26" s="1"/>
  <c r="N21" i="19"/>
  <c r="M13" i="19"/>
  <c r="L13" i="19"/>
  <c r="S10" i="19"/>
  <c r="P15" i="18"/>
  <c r="P15" i="19" s="1"/>
  <c r="P17" i="19" s="1"/>
  <c r="K15" i="18"/>
  <c r="K15" i="19" s="1"/>
  <c r="K17" i="19" s="1"/>
  <c r="L53" i="26" s="1"/>
  <c r="O15" i="18"/>
  <c r="O15" i="19" s="1"/>
  <c r="O17" i="19" s="1"/>
  <c r="P53" i="26" s="1"/>
  <c r="N15" i="18"/>
  <c r="N15" i="19" s="1"/>
  <c r="N17" i="19" s="1"/>
  <c r="O53" i="26" s="1"/>
  <c r="Q15" i="18"/>
  <c r="Q15" i="19" s="1"/>
  <c r="Q17" i="19" s="1"/>
  <c r="R53" i="26" s="1"/>
  <c r="M15" i="18"/>
  <c r="M15" i="19" s="1"/>
  <c r="G15" i="18"/>
  <c r="G15" i="19" s="1"/>
  <c r="L15" i="18"/>
  <c r="L15" i="19" s="1"/>
  <c r="L17" i="19" s="1"/>
  <c r="J15" i="18"/>
  <c r="J15" i="19" s="1"/>
  <c r="J17" i="19" s="1"/>
  <c r="K53" i="26" s="1"/>
  <c r="H15" i="18"/>
  <c r="H15" i="19" s="1"/>
  <c r="F15" i="18"/>
  <c r="F15" i="19" s="1"/>
  <c r="F17" i="19" s="1"/>
  <c r="I15" i="18"/>
  <c r="I15" i="19" s="1"/>
  <c r="I17" i="19" s="1"/>
  <c r="J53" i="26" s="1"/>
  <c r="J9" i="19"/>
  <c r="K52" i="26" s="1"/>
  <c r="O9" i="19"/>
  <c r="P52" i="26" s="1"/>
  <c r="L29" i="19"/>
  <c r="S26" i="19"/>
  <c r="F29" i="19"/>
  <c r="R26" i="19"/>
  <c r="F34" i="19"/>
  <c r="R31" i="19"/>
  <c r="T12" i="19"/>
  <c r="S22" i="19"/>
  <c r="H34" i="19"/>
  <c r="F21" i="19"/>
  <c r="R18" i="19"/>
  <c r="Q9" i="19"/>
  <c r="R52" i="26" s="1"/>
  <c r="L9" i="19"/>
  <c r="S6" i="19"/>
  <c r="M29" i="19"/>
  <c r="N55" i="26" s="1"/>
  <c r="P29" i="19"/>
  <c r="Q55" i="26" s="1"/>
  <c r="R22" i="19"/>
  <c r="F13" i="19"/>
  <c r="R10" i="19"/>
  <c r="T10" i="19" s="1"/>
  <c r="M17" i="19"/>
  <c r="N53" i="26" s="1"/>
  <c r="N9" i="19"/>
  <c r="O52" i="26" s="1"/>
  <c r="H29" i="19"/>
  <c r="I55" i="26" s="1"/>
  <c r="J34" i="19"/>
  <c r="H52" i="26"/>
  <c r="H13" i="19"/>
  <c r="R24" i="19"/>
  <c r="S8" i="19"/>
  <c r="H17" i="19"/>
  <c r="S14" i="19"/>
  <c r="K29" i="19"/>
  <c r="L55" i="26" s="1"/>
  <c r="N34" i="19"/>
  <c r="G34" i="19"/>
  <c r="I9" i="19"/>
  <c r="J52" i="26" s="1"/>
  <c r="R28" i="19"/>
  <c r="S28" i="19"/>
  <c r="R16" i="19"/>
  <c r="R11" i="19"/>
  <c r="L21" i="19"/>
  <c r="S18" i="19"/>
  <c r="M9" i="19"/>
  <c r="N52" i="26" s="1"/>
  <c r="O29" i="19"/>
  <c r="P55" i="26" s="1"/>
  <c r="L34" i="19"/>
  <c r="S31" i="19"/>
  <c r="M34" i="19"/>
  <c r="R32" i="19"/>
  <c r="I23" i="18"/>
  <c r="I23" i="19" s="1"/>
  <c r="I25" i="19" s="1"/>
  <c r="J23" i="18"/>
  <c r="J23" i="19" s="1"/>
  <c r="J25" i="19" s="1"/>
  <c r="F23" i="18"/>
  <c r="F23" i="19" s="1"/>
  <c r="F25" i="19" s="1"/>
  <c r="O23" i="18"/>
  <c r="O23" i="19" s="1"/>
  <c r="O25" i="19" s="1"/>
  <c r="K23" i="18"/>
  <c r="K23" i="19" s="1"/>
  <c r="K25" i="19" s="1"/>
  <c r="M23" i="18"/>
  <c r="M23" i="19" s="1"/>
  <c r="M25" i="19" s="1"/>
  <c r="L23" i="18"/>
  <c r="L23" i="19" s="1"/>
  <c r="L25" i="19" s="1"/>
  <c r="P23" i="18"/>
  <c r="P23" i="19" s="1"/>
  <c r="P25" i="19" s="1"/>
  <c r="Q56" i="26" s="1"/>
  <c r="Q23" i="18"/>
  <c r="Q23" i="19" s="1"/>
  <c r="Q25" i="19" s="1"/>
  <c r="R56" i="26" s="1"/>
  <c r="G23" i="18"/>
  <c r="G23" i="19" s="1"/>
  <c r="G25" i="19" s="1"/>
  <c r="H23" i="18"/>
  <c r="H23" i="19" s="1"/>
  <c r="H25" i="19" s="1"/>
  <c r="I56" i="26" s="1"/>
  <c r="N23" i="18"/>
  <c r="N23" i="19" s="1"/>
  <c r="N25" i="19" s="1"/>
  <c r="R33" i="19"/>
  <c r="S11" i="19"/>
  <c r="I21" i="19"/>
  <c r="G17" i="19"/>
  <c r="H53" i="26" s="1"/>
  <c r="J29" i="19"/>
  <c r="K55" i="26" s="1"/>
  <c r="I34" i="19"/>
  <c r="O34" i="19"/>
  <c r="J35" i="18"/>
  <c r="J35" i="19" s="1"/>
  <c r="P35" i="18"/>
  <c r="P35" i="19" s="1"/>
  <c r="L35" i="18"/>
  <c r="L35" i="19" s="1"/>
  <c r="F35" i="18"/>
  <c r="F35" i="19" s="1"/>
  <c r="H35" i="18"/>
  <c r="H35" i="19" s="1"/>
  <c r="I35" i="18"/>
  <c r="I35" i="19" s="1"/>
  <c r="K35" i="18"/>
  <c r="K35" i="19" s="1"/>
  <c r="Q35" i="18"/>
  <c r="Q35" i="19" s="1"/>
  <c r="M35" i="18"/>
  <c r="M35" i="19" s="1"/>
  <c r="N35" i="18"/>
  <c r="N35" i="19" s="1"/>
  <c r="G35" i="18"/>
  <c r="G35" i="19" s="1"/>
  <c r="O35" i="18"/>
  <c r="O35" i="19" s="1"/>
  <c r="S24" i="19"/>
  <c r="S33" i="19"/>
  <c r="S16" i="19"/>
  <c r="S7" i="19"/>
  <c r="T7" i="19" s="1"/>
  <c r="R14" i="19"/>
  <c r="F9" i="19"/>
  <c r="R6" i="19"/>
  <c r="T6" i="19" s="1"/>
  <c r="R19" i="19"/>
  <c r="T19" i="19" s="1"/>
  <c r="N29" i="19"/>
  <c r="O55" i="26" s="1"/>
  <c r="G29" i="19"/>
  <c r="H55" i="26" s="1"/>
  <c r="K34" i="19"/>
  <c r="S27" i="19"/>
  <c r="S32" i="19"/>
  <c r="O56" i="26" l="1"/>
  <c r="K56" i="26"/>
  <c r="T8" i="19"/>
  <c r="N56" i="26"/>
  <c r="T32" i="19"/>
  <c r="T22" i="19"/>
  <c r="T27" i="19"/>
  <c r="P56" i="26"/>
  <c r="H56" i="26"/>
  <c r="R25" i="19"/>
  <c r="L56" i="26"/>
  <c r="K41" i="19"/>
  <c r="K43" i="19" s="1"/>
  <c r="L33" i="26" s="1"/>
  <c r="T14" i="19"/>
  <c r="R35" i="19"/>
  <c r="M52" i="26"/>
  <c r="S9" i="19"/>
  <c r="G55" i="26"/>
  <c r="R29" i="19"/>
  <c r="S25" i="19"/>
  <c r="G53" i="26"/>
  <c r="R17" i="19"/>
  <c r="S35" i="19"/>
  <c r="J56" i="26"/>
  <c r="M41" i="19"/>
  <c r="M43" i="19" s="1"/>
  <c r="N33" i="26" s="1"/>
  <c r="T28" i="19"/>
  <c r="N41" i="19"/>
  <c r="N43" i="19" s="1"/>
  <c r="O33" i="26" s="1"/>
  <c r="R13" i="19"/>
  <c r="Q41" i="19"/>
  <c r="Q43" i="19" s="1"/>
  <c r="R33" i="26" s="1"/>
  <c r="S23" i="19"/>
  <c r="I41" i="19"/>
  <c r="I43" i="19" s="1"/>
  <c r="J33" i="26" s="1"/>
  <c r="M53" i="26"/>
  <c r="S17" i="19"/>
  <c r="G41" i="19"/>
  <c r="G43" i="19" s="1"/>
  <c r="H33" i="26" s="1"/>
  <c r="O41" i="19"/>
  <c r="O43" i="19" s="1"/>
  <c r="P33" i="26" s="1"/>
  <c r="R15" i="19"/>
  <c r="T33" i="19"/>
  <c r="H41" i="19"/>
  <c r="H43" i="19" s="1"/>
  <c r="I33" i="26" s="1"/>
  <c r="I53" i="26"/>
  <c r="T18" i="19"/>
  <c r="M55" i="26"/>
  <c r="S29" i="19"/>
  <c r="M56" i="26"/>
  <c r="S21" i="19"/>
  <c r="G56" i="26"/>
  <c r="R21" i="19"/>
  <c r="T31" i="19"/>
  <c r="J41" i="19"/>
  <c r="J43" i="19" s="1"/>
  <c r="K33" i="26" s="1"/>
  <c r="F41" i="19"/>
  <c r="S34" i="19"/>
  <c r="T11" i="19"/>
  <c r="R34" i="19"/>
  <c r="S15" i="19"/>
  <c r="G52" i="26"/>
  <c r="R9" i="19"/>
  <c r="R23" i="19"/>
  <c r="T16" i="19"/>
  <c r="T24" i="19"/>
  <c r="T26" i="19"/>
  <c r="P41" i="19"/>
  <c r="P43" i="19" s="1"/>
  <c r="Q33" i="26" s="1"/>
  <c r="Q53" i="26"/>
  <c r="L41" i="19"/>
  <c r="S13" i="19"/>
  <c r="T9" i="19" l="1"/>
  <c r="S56" i="26"/>
  <c r="T25" i="19"/>
  <c r="T13" i="19"/>
  <c r="S55" i="26"/>
  <c r="S53" i="26"/>
  <c r="T34" i="19"/>
  <c r="T15" i="19"/>
  <c r="T23" i="19"/>
  <c r="L43" i="19"/>
  <c r="S41" i="19"/>
  <c r="S52" i="26"/>
  <c r="T21" i="19"/>
  <c r="T17" i="19"/>
  <c r="T35" i="19"/>
  <c r="T29" i="19"/>
  <c r="F43" i="19"/>
  <c r="R41" i="19"/>
  <c r="T41" i="19" l="1"/>
  <c r="G33" i="26"/>
  <c r="R43" i="19"/>
  <c r="M33" i="26"/>
  <c r="S43" i="19"/>
  <c r="T43" i="19" l="1"/>
  <c r="S33" i="26"/>
  <c r="F50" i="26" l="1"/>
  <c r="F5" i="26" l="1"/>
  <c r="F7" i="26"/>
  <c r="F6" i="26" l="1"/>
  <c r="E8" i="20" l="1"/>
  <c r="E7" i="20"/>
  <c r="E6" i="20"/>
  <c r="E5" i="20"/>
  <c r="S6" i="20" l="1"/>
  <c r="S7" i="20"/>
  <c r="N7" i="20" s="1"/>
  <c r="N6" i="20"/>
  <c r="F6" i="20"/>
  <c r="H6" i="20"/>
  <c r="I6" i="20"/>
  <c r="P6" i="20"/>
  <c r="G6" i="20"/>
  <c r="Q6" i="20"/>
  <c r="K6" i="20"/>
  <c r="O6" i="20"/>
  <c r="L6" i="20"/>
  <c r="J6" i="20"/>
  <c r="M6" i="20"/>
  <c r="P7" i="20"/>
  <c r="F7" i="20"/>
  <c r="J7" i="20"/>
  <c r="O7" i="20"/>
  <c r="M7" i="20"/>
  <c r="I7" i="20"/>
  <c r="Q7" i="20"/>
  <c r="G7" i="20"/>
  <c r="K7" i="20"/>
  <c r="L7" i="20"/>
  <c r="H7" i="20"/>
  <c r="E59" i="1"/>
  <c r="D51" i="15"/>
  <c r="D52" i="15"/>
  <c r="D53" i="15"/>
  <c r="L6" i="26" l="1"/>
  <c r="K10" i="20"/>
  <c r="R6" i="26"/>
  <c r="Q10" i="20"/>
  <c r="G53" i="15"/>
  <c r="G53" i="16" s="1"/>
  <c r="O53" i="15"/>
  <c r="O53" i="16" s="1"/>
  <c r="E53" i="15"/>
  <c r="E53" i="16" s="1"/>
  <c r="H53" i="15"/>
  <c r="H53" i="16" s="1"/>
  <c r="N53" i="15"/>
  <c r="N53" i="16" s="1"/>
  <c r="I53" i="15"/>
  <c r="I53" i="16" s="1"/>
  <c r="K53" i="15"/>
  <c r="P53" i="15"/>
  <c r="P53" i="16" s="1"/>
  <c r="L53" i="15"/>
  <c r="L53" i="16" s="1"/>
  <c r="F53" i="15"/>
  <c r="F53" i="16" s="1"/>
  <c r="M53" i="15"/>
  <c r="M53" i="16" s="1"/>
  <c r="J53" i="15"/>
  <c r="J53" i="16" s="1"/>
  <c r="L7" i="26"/>
  <c r="G7" i="26"/>
  <c r="R7" i="20"/>
  <c r="V56" i="22" s="1"/>
  <c r="W56" i="22" s="1"/>
  <c r="X56" i="22" s="1"/>
  <c r="Y56" i="22" s="1"/>
  <c r="Z56" i="22" s="1"/>
  <c r="R56" i="22"/>
  <c r="H6" i="26"/>
  <c r="G10" i="20"/>
  <c r="F52" i="15"/>
  <c r="F52" i="16" s="1"/>
  <c r="L52" i="15"/>
  <c r="L52" i="16" s="1"/>
  <c r="K52" i="15"/>
  <c r="M52" i="15"/>
  <c r="M52" i="16" s="1"/>
  <c r="N52" i="15"/>
  <c r="N52" i="16" s="1"/>
  <c r="E52" i="15"/>
  <c r="E52" i="16" s="1"/>
  <c r="G52" i="15"/>
  <c r="G52" i="16" s="1"/>
  <c r="O52" i="15"/>
  <c r="O52" i="16" s="1"/>
  <c r="H52" i="15"/>
  <c r="H52" i="16" s="1"/>
  <c r="J52" i="15"/>
  <c r="J52" i="16" s="1"/>
  <c r="P52" i="15"/>
  <c r="P52" i="16" s="1"/>
  <c r="I52" i="15"/>
  <c r="I52" i="16" s="1"/>
  <c r="Q7" i="26"/>
  <c r="Q6" i="26"/>
  <c r="P10" i="20"/>
  <c r="M51" i="15"/>
  <c r="M51" i="16" s="1"/>
  <c r="N51" i="15"/>
  <c r="N51" i="16" s="1"/>
  <c r="F51" i="15"/>
  <c r="F51" i="16" s="1"/>
  <c r="G51" i="15"/>
  <c r="G51" i="16" s="1"/>
  <c r="E51" i="15"/>
  <c r="E51" i="16" s="1"/>
  <c r="I51" i="15"/>
  <c r="I51" i="16" s="1"/>
  <c r="K51" i="15"/>
  <c r="O51" i="15"/>
  <c r="O51" i="16" s="1"/>
  <c r="P51" i="15"/>
  <c r="P51" i="16" s="1"/>
  <c r="H51" i="15"/>
  <c r="H51" i="16" s="1"/>
  <c r="L51" i="15"/>
  <c r="L51" i="16" s="1"/>
  <c r="J51" i="15"/>
  <c r="J51" i="16" s="1"/>
  <c r="R7" i="26"/>
  <c r="N6" i="26"/>
  <c r="M10" i="20"/>
  <c r="J6" i="26"/>
  <c r="I10" i="20"/>
  <c r="Q59" i="1"/>
  <c r="N59" i="1"/>
  <c r="N76" i="1" s="1"/>
  <c r="P59" i="1"/>
  <c r="J59" i="1"/>
  <c r="J76" i="1" s="1"/>
  <c r="L59" i="1"/>
  <c r="G59" i="1"/>
  <c r="G76" i="1" s="1"/>
  <c r="F59" i="1"/>
  <c r="O59" i="1"/>
  <c r="K59" i="1"/>
  <c r="K76" i="1" s="1"/>
  <c r="M59" i="1"/>
  <c r="M76" i="1" s="1"/>
  <c r="I59" i="1"/>
  <c r="I76" i="1" s="1"/>
  <c r="H59" i="1"/>
  <c r="H76" i="1" s="1"/>
  <c r="J7" i="26"/>
  <c r="K6" i="26"/>
  <c r="J10" i="20"/>
  <c r="I6" i="26"/>
  <c r="H10" i="20"/>
  <c r="I7" i="26"/>
  <c r="M7" i="26"/>
  <c r="T56" i="22"/>
  <c r="H7" i="26"/>
  <c r="N7" i="26"/>
  <c r="M6" i="26"/>
  <c r="L10" i="20"/>
  <c r="U10" i="20" s="1"/>
  <c r="T56" i="21"/>
  <c r="T57" i="21"/>
  <c r="G6" i="26"/>
  <c r="R6" i="20"/>
  <c r="V57" i="21" s="1"/>
  <c r="W57" i="21" s="1"/>
  <c r="F10" i="20"/>
  <c r="R57" i="21"/>
  <c r="K7" i="26"/>
  <c r="O7" i="26"/>
  <c r="P7" i="26"/>
  <c r="P6" i="26"/>
  <c r="O10" i="20"/>
  <c r="O6" i="26"/>
  <c r="N10" i="20"/>
  <c r="D57" i="15"/>
  <c r="D58" i="15"/>
  <c r="O10" i="26" l="1"/>
  <c r="P10" i="26"/>
  <c r="Q10" i="26"/>
  <c r="K10" i="26"/>
  <c r="M10" i="26"/>
  <c r="Q52" i="16"/>
  <c r="F58" i="15"/>
  <c r="J58" i="15"/>
  <c r="N58" i="15"/>
  <c r="L58" i="15"/>
  <c r="G58" i="15"/>
  <c r="M58" i="15"/>
  <c r="O58" i="15"/>
  <c r="K58" i="15"/>
  <c r="E58" i="15"/>
  <c r="E58" i="16" s="1"/>
  <c r="H58" i="15"/>
  <c r="P58" i="15"/>
  <c r="I58" i="15"/>
  <c r="L57" i="15"/>
  <c r="M57" i="15"/>
  <c r="G57" i="15"/>
  <c r="I57" i="15"/>
  <c r="H57" i="15"/>
  <c r="O57" i="15"/>
  <c r="F57" i="15"/>
  <c r="E57" i="15"/>
  <c r="J57" i="15"/>
  <c r="P57" i="15"/>
  <c r="K57" i="15"/>
  <c r="N57" i="15"/>
  <c r="G10" i="26"/>
  <c r="S6" i="26"/>
  <c r="R10" i="20"/>
  <c r="X57" i="21"/>
  <c r="Y57" i="21" s="1"/>
  <c r="Z57" i="21" s="1"/>
  <c r="Q51" i="16"/>
  <c r="R10" i="26"/>
  <c r="I10" i="26"/>
  <c r="N10" i="26"/>
  <c r="J10" i="26"/>
  <c r="K53" i="16"/>
  <c r="R53" i="16" s="1"/>
  <c r="S53" i="15"/>
  <c r="K52" i="16"/>
  <c r="R52" i="16" s="1"/>
  <c r="S52" i="15"/>
  <c r="F76" i="1"/>
  <c r="R59" i="1"/>
  <c r="H10" i="26"/>
  <c r="K51" i="16"/>
  <c r="R51" i="16" s="1"/>
  <c r="S51" i="15"/>
  <c r="S7" i="26"/>
  <c r="L76" i="1"/>
  <c r="T59" i="1"/>
  <c r="U59" i="1" s="1"/>
  <c r="Q53" i="16"/>
  <c r="L10" i="26"/>
  <c r="S52" i="16" l="1"/>
  <c r="S53" i="16"/>
  <c r="N57" i="16"/>
  <c r="N61" i="15"/>
  <c r="O26" i="20" s="1"/>
  <c r="N59" i="16"/>
  <c r="I57" i="16"/>
  <c r="I61" i="15"/>
  <c r="J26" i="20" s="1"/>
  <c r="I59" i="16"/>
  <c r="K58" i="16"/>
  <c r="K60" i="16"/>
  <c r="K59" i="16"/>
  <c r="K61" i="15"/>
  <c r="K57" i="16"/>
  <c r="G59" i="16"/>
  <c r="G57" i="16"/>
  <c r="G61" i="15"/>
  <c r="H26" i="20" s="1"/>
  <c r="O58" i="16"/>
  <c r="O60" i="16"/>
  <c r="Q26" i="26" s="1"/>
  <c r="S10" i="26"/>
  <c r="V57" i="26" s="1"/>
  <c r="T51" i="15"/>
  <c r="U51" i="15"/>
  <c r="V51" i="15" s="1"/>
  <c r="W51" i="15" s="1"/>
  <c r="X51" i="15" s="1"/>
  <c r="Y51" i="15" s="1"/>
  <c r="Z51" i="15" s="1"/>
  <c r="U53" i="15"/>
  <c r="V53" i="15" s="1"/>
  <c r="W53" i="15" s="1"/>
  <c r="X53" i="15" s="1"/>
  <c r="Y53" i="15" s="1"/>
  <c r="Z53" i="15" s="1"/>
  <c r="T53" i="15"/>
  <c r="S51" i="16"/>
  <c r="P57" i="16"/>
  <c r="P59" i="16"/>
  <c r="P61" i="15"/>
  <c r="Q26" i="20" s="1"/>
  <c r="M57" i="16"/>
  <c r="M61" i="15"/>
  <c r="N26" i="20" s="1"/>
  <c r="M59" i="16"/>
  <c r="M60" i="16"/>
  <c r="O26" i="26" s="1"/>
  <c r="M58" i="16"/>
  <c r="J57" i="16"/>
  <c r="J59" i="16"/>
  <c r="J61" i="15"/>
  <c r="K26" i="20" s="1"/>
  <c r="L57" i="16"/>
  <c r="L59" i="16"/>
  <c r="L61" i="15"/>
  <c r="M26" i="20" s="1"/>
  <c r="G58" i="16"/>
  <c r="G60" i="16"/>
  <c r="V59" i="1"/>
  <c r="W59" i="1" s="1"/>
  <c r="S59" i="1"/>
  <c r="E61" i="15"/>
  <c r="F26" i="20" s="1"/>
  <c r="E57" i="16"/>
  <c r="I58" i="16"/>
  <c r="I60" i="16"/>
  <c r="K26" i="26" s="1"/>
  <c r="L60" i="16"/>
  <c r="N26" i="26" s="1"/>
  <c r="L58" i="16"/>
  <c r="L61" i="16" s="1"/>
  <c r="L67" i="16" s="1"/>
  <c r="F57" i="16"/>
  <c r="F59" i="16"/>
  <c r="F61" i="15"/>
  <c r="G26" i="20" s="1"/>
  <c r="P58" i="16"/>
  <c r="P60" i="16"/>
  <c r="R26" i="26" s="1"/>
  <c r="N60" i="16"/>
  <c r="P26" i="26" s="1"/>
  <c r="N58" i="16"/>
  <c r="N61" i="16" s="1"/>
  <c r="N67" i="16" s="1"/>
  <c r="T52" i="15"/>
  <c r="U52" i="15"/>
  <c r="V52" i="15" s="1"/>
  <c r="W52" i="15" s="1"/>
  <c r="X52" i="15" s="1"/>
  <c r="Y52" i="15" s="1"/>
  <c r="Z52" i="15" s="1"/>
  <c r="O57" i="16"/>
  <c r="O59" i="16"/>
  <c r="O61" i="15"/>
  <c r="P26" i="20" s="1"/>
  <c r="H60" i="16"/>
  <c r="H58" i="16"/>
  <c r="J60" i="16"/>
  <c r="L26" i="26" s="1"/>
  <c r="J58" i="16"/>
  <c r="J61" i="16" s="1"/>
  <c r="J67" i="16" s="1"/>
  <c r="H57" i="16"/>
  <c r="H61" i="15"/>
  <c r="I26" i="20" s="1"/>
  <c r="H59" i="16"/>
  <c r="F60" i="16"/>
  <c r="F58" i="16"/>
  <c r="F61" i="16" s="1"/>
  <c r="F67" i="16" s="1"/>
  <c r="H61" i="16" l="1"/>
  <c r="H67" i="16" s="1"/>
  <c r="P61" i="16"/>
  <c r="P67" i="16" s="1"/>
  <c r="O61" i="16"/>
  <c r="O67" i="16" s="1"/>
  <c r="R60" i="16"/>
  <c r="M26" i="26"/>
  <c r="Y59" i="1"/>
  <c r="X59" i="1"/>
  <c r="R58" i="16"/>
  <c r="M61" i="16"/>
  <c r="M67" i="16" s="1"/>
  <c r="H26" i="26"/>
  <c r="J26" i="26"/>
  <c r="G61" i="16"/>
  <c r="G67" i="16" s="1"/>
  <c r="I61" i="16"/>
  <c r="I67" i="16" s="1"/>
  <c r="Q58" i="16"/>
  <c r="R57" i="16"/>
  <c r="K61" i="16"/>
  <c r="K67" i="16" s="1"/>
  <c r="Q57" i="16"/>
  <c r="E61" i="16"/>
  <c r="E67" i="16" s="1"/>
  <c r="L26" i="20"/>
  <c r="S61" i="15"/>
  <c r="R26" i="20"/>
  <c r="R59" i="16"/>
  <c r="S57" i="16" l="1"/>
  <c r="Z59" i="1"/>
  <c r="AA59" i="1" s="1"/>
  <c r="I26" i="26"/>
  <c r="Q61" i="16"/>
  <c r="G26" i="26"/>
  <c r="S26" i="26" s="1"/>
  <c r="R67" i="16"/>
  <c r="R61" i="16"/>
  <c r="S58" i="16"/>
  <c r="T61" i="15"/>
  <c r="U61" i="15"/>
  <c r="V61" i="15" s="1"/>
  <c r="W61" i="15" s="1"/>
  <c r="X61" i="15" s="1"/>
  <c r="Y61" i="15" s="1"/>
  <c r="Z61" i="15" s="1"/>
  <c r="S61" i="16" l="1"/>
  <c r="Q67" i="16"/>
  <c r="S67" i="16"/>
  <c r="F8" i="26" l="1"/>
  <c r="D27" i="15" l="1"/>
  <c r="D26" i="15"/>
  <c r="D24" i="15"/>
  <c r="I24" i="15" l="1"/>
  <c r="I24" i="16" s="1"/>
  <c r="G24" i="15"/>
  <c r="G24" i="16" s="1"/>
  <c r="K24" i="15"/>
  <c r="M24" i="15"/>
  <c r="M24" i="16" s="1"/>
  <c r="J24" i="15"/>
  <c r="J24" i="16" s="1"/>
  <c r="O24" i="15"/>
  <c r="O24" i="16" s="1"/>
  <c r="E24" i="15"/>
  <c r="E24" i="16" s="1"/>
  <c r="H24" i="15"/>
  <c r="H24" i="16" s="1"/>
  <c r="P24" i="15"/>
  <c r="P24" i="16" s="1"/>
  <c r="F24" i="15"/>
  <c r="F24" i="16" s="1"/>
  <c r="N24" i="15"/>
  <c r="N24" i="16" s="1"/>
  <c r="L24" i="15"/>
  <c r="L24" i="16" s="1"/>
  <c r="N26" i="15"/>
  <c r="N26" i="16" s="1"/>
  <c r="O26" i="15"/>
  <c r="O26" i="16" s="1"/>
  <c r="H26" i="15"/>
  <c r="H26" i="16" s="1"/>
  <c r="M26" i="15"/>
  <c r="M26" i="16" s="1"/>
  <c r="G26" i="15"/>
  <c r="G26" i="16" s="1"/>
  <c r="J26" i="15"/>
  <c r="J26" i="16" s="1"/>
  <c r="F26" i="15"/>
  <c r="F26" i="16" s="1"/>
  <c r="K26" i="15"/>
  <c r="P26" i="15"/>
  <c r="P26" i="16" s="1"/>
  <c r="L26" i="15"/>
  <c r="L26" i="16" s="1"/>
  <c r="I26" i="15"/>
  <c r="I26" i="16" s="1"/>
  <c r="E26" i="15"/>
  <c r="E26" i="16" s="1"/>
  <c r="H27" i="15"/>
  <c r="H27" i="16" s="1"/>
  <c r="N27" i="15"/>
  <c r="N27" i="16" s="1"/>
  <c r="E27" i="15"/>
  <c r="E27" i="16" s="1"/>
  <c r="J27" i="15"/>
  <c r="J27" i="16" s="1"/>
  <c r="K27" i="15"/>
  <c r="F27" i="15"/>
  <c r="F27" i="16" s="1"/>
  <c r="P27" i="15"/>
  <c r="P27" i="16" s="1"/>
  <c r="G27" i="15"/>
  <c r="G27" i="16" s="1"/>
  <c r="I27" i="15"/>
  <c r="I27" i="16" s="1"/>
  <c r="O27" i="15"/>
  <c r="O27" i="16" s="1"/>
  <c r="L27" i="15"/>
  <c r="L27" i="16" s="1"/>
  <c r="M27" i="15"/>
  <c r="M27" i="16" s="1"/>
  <c r="Q26" i="16" l="1"/>
  <c r="Q24" i="16"/>
  <c r="K27" i="16"/>
  <c r="R27" i="16" s="1"/>
  <c r="S27" i="15"/>
  <c r="K26" i="16"/>
  <c r="R26" i="16" s="1"/>
  <c r="S26" i="16" s="1"/>
  <c r="S26" i="15"/>
  <c r="Q27" i="16"/>
  <c r="K24" i="16"/>
  <c r="R24" i="16" s="1"/>
  <c r="S24" i="15"/>
  <c r="S27" i="16" l="1"/>
  <c r="T26" i="15"/>
  <c r="U26" i="15"/>
  <c r="V26" i="15" s="1"/>
  <c r="W26" i="15" s="1"/>
  <c r="X26" i="15" s="1"/>
  <c r="Y26" i="15" s="1"/>
  <c r="Z26" i="15" s="1"/>
  <c r="S24" i="16"/>
  <c r="T27" i="15"/>
  <c r="U27" i="15"/>
  <c r="V27" i="15" s="1"/>
  <c r="W27" i="15" s="1"/>
  <c r="X27" i="15" s="1"/>
  <c r="Y27" i="15" s="1"/>
  <c r="Z27" i="15" s="1"/>
  <c r="T24" i="15"/>
  <c r="U24" i="15"/>
  <c r="V24" i="15" s="1"/>
  <c r="W24" i="15" s="1"/>
  <c r="X24" i="15" s="1"/>
  <c r="Y24" i="15" s="1"/>
  <c r="Z24" i="15" s="1"/>
  <c r="D18" i="21"/>
  <c r="P18" i="21" l="1"/>
  <c r="P17" i="23" s="1"/>
  <c r="I18" i="21"/>
  <c r="I17" i="23" s="1"/>
  <c r="J18" i="21"/>
  <c r="J17" i="23" s="1"/>
  <c r="F18" i="21"/>
  <c r="F17" i="23" s="1"/>
  <c r="O18" i="21"/>
  <c r="O17" i="23" s="1"/>
  <c r="H18" i="21"/>
  <c r="H17" i="23" s="1"/>
  <c r="L18" i="21"/>
  <c r="L17" i="23" s="1"/>
  <c r="G18" i="21"/>
  <c r="G17" i="23" s="1"/>
  <c r="M18" i="21"/>
  <c r="M17" i="23" s="1"/>
  <c r="N18" i="21"/>
  <c r="N17" i="23" s="1"/>
  <c r="K18" i="21"/>
  <c r="E18" i="21"/>
  <c r="E17" i="23" l="1"/>
  <c r="Q17" i="23" s="1"/>
  <c r="Q18" i="21"/>
  <c r="K17" i="23"/>
  <c r="R17" i="23" s="1"/>
  <c r="S18" i="21"/>
  <c r="T18" i="21" s="1"/>
  <c r="R18" i="21" l="1"/>
  <c r="U18" i="21"/>
  <c r="V18" i="21" s="1"/>
  <c r="W18" i="21" s="1"/>
  <c r="S17" i="23"/>
  <c r="D16" i="22"/>
  <c r="D17" i="22"/>
  <c r="P17" i="22" l="1"/>
  <c r="P17" i="24" s="1"/>
  <c r="E17" i="22"/>
  <c r="H17" i="22"/>
  <c r="H17" i="24" s="1"/>
  <c r="J17" i="22"/>
  <c r="J17" i="24" s="1"/>
  <c r="O17" i="22"/>
  <c r="O17" i="24" s="1"/>
  <c r="K17" i="22"/>
  <c r="M17" i="22"/>
  <c r="M17" i="24" s="1"/>
  <c r="N17" i="22"/>
  <c r="N17" i="24" s="1"/>
  <c r="L17" i="22"/>
  <c r="L17" i="24" s="1"/>
  <c r="I17" i="22"/>
  <c r="I17" i="24" s="1"/>
  <c r="G17" i="22"/>
  <c r="G17" i="24" s="1"/>
  <c r="F17" i="22"/>
  <c r="F17" i="24" s="1"/>
  <c r="X18" i="21"/>
  <c r="Y18" i="21" s="1"/>
  <c r="Z18" i="21" s="1"/>
  <c r="P16" i="22"/>
  <c r="P16" i="24" s="1"/>
  <c r="H16" i="22"/>
  <c r="H16" i="24" s="1"/>
  <c r="J16" i="22"/>
  <c r="J16" i="24" s="1"/>
  <c r="E16" i="22"/>
  <c r="O16" i="22"/>
  <c r="O16" i="24" s="1"/>
  <c r="K16" i="22"/>
  <c r="N16" i="22"/>
  <c r="N16" i="24" s="1"/>
  <c r="L16" i="22"/>
  <c r="L16" i="24" s="1"/>
  <c r="F16" i="22"/>
  <c r="F16" i="24" s="1"/>
  <c r="M16" i="22"/>
  <c r="M16" i="24" s="1"/>
  <c r="I16" i="22"/>
  <c r="I16" i="24" s="1"/>
  <c r="G16" i="22"/>
  <c r="G16" i="24" s="1"/>
  <c r="K17" i="24" l="1"/>
  <c r="R17" i="24" s="1"/>
  <c r="S17" i="22"/>
  <c r="T17" i="22" s="1"/>
  <c r="K16" i="24"/>
  <c r="R16" i="24" s="1"/>
  <c r="S16" i="22"/>
  <c r="T16" i="22" s="1"/>
  <c r="E16" i="24"/>
  <c r="Q16" i="24" s="1"/>
  <c r="S16" i="24" s="1"/>
  <c r="Q16" i="22"/>
  <c r="E17" i="24"/>
  <c r="Q17" i="24" s="1"/>
  <c r="Q17" i="22"/>
  <c r="R17" i="22" l="1"/>
  <c r="U17" i="22"/>
  <c r="V17" i="22" s="1"/>
  <c r="W17" i="22" s="1"/>
  <c r="X17" i="22" s="1"/>
  <c r="Y17" i="22" s="1"/>
  <c r="Z17" i="22" s="1"/>
  <c r="R16" i="22"/>
  <c r="U16" i="22"/>
  <c r="V16" i="22" s="1"/>
  <c r="W16" i="22" s="1"/>
  <c r="X16" i="22" s="1"/>
  <c r="Y16" i="22" s="1"/>
  <c r="Z16" i="22" s="1"/>
  <c r="S17" i="24"/>
  <c r="D51" i="21"/>
  <c r="L51" i="21" l="1"/>
  <c r="G51" i="21"/>
  <c r="P51" i="21"/>
  <c r="I51" i="21"/>
  <c r="J51" i="21"/>
  <c r="F51" i="21"/>
  <c r="O51" i="21"/>
  <c r="H51" i="21"/>
  <c r="M51" i="21"/>
  <c r="N51" i="21"/>
  <c r="K51" i="21"/>
  <c r="E51" i="21"/>
  <c r="F51" i="26"/>
  <c r="F49" i="26"/>
  <c r="H50" i="23" l="1"/>
  <c r="H71" i="21"/>
  <c r="O50" i="23"/>
  <c r="F50" i="23"/>
  <c r="F71" i="21"/>
  <c r="J50" i="23"/>
  <c r="J71" i="21"/>
  <c r="I50" i="23"/>
  <c r="I71" i="21"/>
  <c r="E50" i="23"/>
  <c r="E71" i="21"/>
  <c r="Q51" i="21"/>
  <c r="K50" i="23"/>
  <c r="K71" i="21"/>
  <c r="S51" i="21"/>
  <c r="T51" i="21" s="1"/>
  <c r="P50" i="23"/>
  <c r="N50" i="23"/>
  <c r="G50" i="23"/>
  <c r="G71" i="21"/>
  <c r="M50" i="23"/>
  <c r="M71" i="21"/>
  <c r="L50" i="23"/>
  <c r="L71" i="21"/>
  <c r="Q50" i="23" l="1"/>
  <c r="R50" i="23"/>
  <c r="R51" i="21"/>
  <c r="U51" i="21"/>
  <c r="V51" i="21" s="1"/>
  <c r="W51" i="21" s="1"/>
  <c r="E7" i="9"/>
  <c r="E6" i="9"/>
  <c r="E8" i="9"/>
  <c r="S50" i="23" l="1"/>
  <c r="M6" i="9"/>
  <c r="I6" i="9"/>
  <c r="F6" i="9"/>
  <c r="Q6" i="9"/>
  <c r="L6" i="9"/>
  <c r="O6" i="9"/>
  <c r="N6" i="9"/>
  <c r="J6" i="9"/>
  <c r="K6" i="9"/>
  <c r="H6" i="9"/>
  <c r="G6" i="9"/>
  <c r="P6" i="9"/>
  <c r="H7" i="9"/>
  <c r="H7" i="28" s="1"/>
  <c r="N7" i="9"/>
  <c r="N7" i="28" s="1"/>
  <c r="L7" i="9"/>
  <c r="I7" i="9"/>
  <c r="I7" i="28" s="1"/>
  <c r="O7" i="9"/>
  <c r="O7" i="28" s="1"/>
  <c r="F7" i="9"/>
  <c r="P7" i="9"/>
  <c r="P7" i="28" s="1"/>
  <c r="M7" i="9"/>
  <c r="M7" i="28" s="1"/>
  <c r="K7" i="9"/>
  <c r="K7" i="28" s="1"/>
  <c r="J7" i="9"/>
  <c r="J7" i="28" s="1"/>
  <c r="Q7" i="9"/>
  <c r="Q7" i="28" s="1"/>
  <c r="G7" i="9"/>
  <c r="G7" i="28" s="1"/>
  <c r="G8" i="9"/>
  <c r="G8" i="28" s="1"/>
  <c r="J8" i="9"/>
  <c r="J8" i="28" s="1"/>
  <c r="Q8" i="9"/>
  <c r="Q8" i="28" s="1"/>
  <c r="O8" i="9"/>
  <c r="O8" i="28" s="1"/>
  <c r="F8" i="9"/>
  <c r="M8" i="9"/>
  <c r="M8" i="28" s="1"/>
  <c r="K8" i="9"/>
  <c r="K8" i="28" s="1"/>
  <c r="H8" i="9"/>
  <c r="H8" i="28" s="1"/>
  <c r="L8" i="9"/>
  <c r="N8" i="9"/>
  <c r="N8" i="28" s="1"/>
  <c r="P8" i="9"/>
  <c r="P8" i="28" s="1"/>
  <c r="I8" i="9"/>
  <c r="I8" i="28" s="1"/>
  <c r="X51" i="21"/>
  <c r="Y51" i="21" s="1"/>
  <c r="Z51" i="21" s="1"/>
  <c r="E10" i="9"/>
  <c r="E9" i="9"/>
  <c r="M9" i="9" l="1"/>
  <c r="M9" i="28" s="1"/>
  <c r="I9" i="9"/>
  <c r="I9" i="28" s="1"/>
  <c r="L36" i="9"/>
  <c r="L39" i="28" s="1"/>
  <c r="M36" i="9"/>
  <c r="M39" i="28" s="1"/>
  <c r="N36" i="9"/>
  <c r="N39" i="28" s="1"/>
  <c r="L9" i="9"/>
  <c r="F9" i="9"/>
  <c r="F10" i="9" s="1"/>
  <c r="Q9" i="9"/>
  <c r="Q9" i="28" s="1"/>
  <c r="Q36" i="9"/>
  <c r="Q39" i="28" s="1"/>
  <c r="F36" i="9"/>
  <c r="F39" i="28" s="1"/>
  <c r="K36" i="9"/>
  <c r="K39" i="28" s="1"/>
  <c r="K9" i="9"/>
  <c r="K9" i="28" s="1"/>
  <c r="J9" i="9"/>
  <c r="J9" i="28" s="1"/>
  <c r="G36" i="9"/>
  <c r="G39" i="28" s="1"/>
  <c r="N9" i="9"/>
  <c r="N9" i="28" s="1"/>
  <c r="I36" i="9"/>
  <c r="I39" i="28" s="1"/>
  <c r="O9" i="9"/>
  <c r="O9" i="28" s="1"/>
  <c r="H9" i="9"/>
  <c r="H9" i="28" s="1"/>
  <c r="J36" i="9"/>
  <c r="J39" i="28" s="1"/>
  <c r="P9" i="9"/>
  <c r="P9" i="28" s="1"/>
  <c r="G9" i="9"/>
  <c r="G9" i="28" s="1"/>
  <c r="H36" i="9"/>
  <c r="H39" i="28" s="1"/>
  <c r="O36" i="9"/>
  <c r="O39" i="28" s="1"/>
  <c r="P36" i="9"/>
  <c r="P39" i="28" s="1"/>
  <c r="K6" i="28"/>
  <c r="K10" i="9"/>
  <c r="J6" i="28"/>
  <c r="L8" i="28"/>
  <c r="T8" i="9"/>
  <c r="U8" i="9" s="1"/>
  <c r="M6" i="28"/>
  <c r="M10" i="28" s="1"/>
  <c r="M10" i="9"/>
  <c r="L7" i="28"/>
  <c r="S7" i="28" s="1"/>
  <c r="T7" i="9"/>
  <c r="U7" i="9" s="1"/>
  <c r="N6" i="28"/>
  <c r="O6" i="28"/>
  <c r="O10" i="9"/>
  <c r="F8" i="28"/>
  <c r="R8" i="9"/>
  <c r="L6" i="28"/>
  <c r="L10" i="9"/>
  <c r="T6" i="9"/>
  <c r="P6" i="28"/>
  <c r="P10" i="28" s="1"/>
  <c r="P10" i="9"/>
  <c r="Q6" i="28"/>
  <c r="G6" i="28"/>
  <c r="G10" i="28" s="1"/>
  <c r="F6" i="28"/>
  <c r="R6" i="9"/>
  <c r="S8" i="28"/>
  <c r="R8" i="28"/>
  <c r="F7" i="28"/>
  <c r="R7" i="9"/>
  <c r="H6" i="28"/>
  <c r="H10" i="9"/>
  <c r="I6" i="28"/>
  <c r="I10" i="28" s="1"/>
  <c r="I10" i="9"/>
  <c r="Q10" i="9" l="1"/>
  <c r="J10" i="9"/>
  <c r="J10" i="28"/>
  <c r="G10" i="9"/>
  <c r="N10" i="9"/>
  <c r="T10" i="9" s="1"/>
  <c r="K10" i="28"/>
  <c r="R6" i="28"/>
  <c r="H10" i="28"/>
  <c r="R7" i="28"/>
  <c r="T7" i="28" s="1"/>
  <c r="S8" i="9"/>
  <c r="V8" i="9"/>
  <c r="W8" i="9" s="1"/>
  <c r="X8" i="9" s="1"/>
  <c r="Q10" i="28"/>
  <c r="R10" i="9"/>
  <c r="S10" i="9" s="1"/>
  <c r="T8" i="28"/>
  <c r="N10" i="28"/>
  <c r="F9" i="28"/>
  <c r="F10" i="28" s="1"/>
  <c r="R9" i="9"/>
  <c r="L9" i="28"/>
  <c r="S9" i="28" s="1"/>
  <c r="T9" i="9"/>
  <c r="U9" i="9" s="1"/>
  <c r="S6" i="9"/>
  <c r="V6" i="9"/>
  <c r="W6" i="9" s="1"/>
  <c r="X6" i="9" s="1"/>
  <c r="O10" i="28"/>
  <c r="U6" i="9"/>
  <c r="S7" i="9"/>
  <c r="V7" i="9"/>
  <c r="W7" i="9" s="1"/>
  <c r="X7" i="9" s="1"/>
  <c r="S6" i="28"/>
  <c r="L10" i="28"/>
  <c r="R9" i="28" l="1"/>
  <c r="F61" i="28" a="1"/>
  <c r="S10" i="28"/>
  <c r="U10" i="9"/>
  <c r="V10" i="9"/>
  <c r="W10" i="9" s="1"/>
  <c r="X10" i="9" s="1"/>
  <c r="T9" i="28"/>
  <c r="T10" i="28" s="1"/>
  <c r="T6" i="28"/>
  <c r="R10" i="28"/>
  <c r="V9" i="9"/>
  <c r="W9" i="9" s="1"/>
  <c r="X9" i="9" s="1"/>
  <c r="S9" i="9"/>
  <c r="F61" i="28" l="1"/>
  <c r="S61" i="28"/>
  <c r="E6" i="1"/>
  <c r="F6" i="1" l="1"/>
  <c r="K6" i="1"/>
  <c r="L6" i="1"/>
  <c r="H6" i="1"/>
  <c r="I6" i="1"/>
  <c r="G6" i="1"/>
  <c r="Q6" i="1"/>
  <c r="O6" i="1"/>
  <c r="N6" i="1"/>
  <c r="P6" i="1"/>
  <c r="M6" i="1"/>
  <c r="J6" i="1"/>
  <c r="V61" i="28" a="1"/>
  <c r="V61" i="28" s="1"/>
  <c r="W61" i="28" s="1"/>
  <c r="U61" i="28"/>
  <c r="U62" i="28" s="1"/>
  <c r="U63" i="28" s="1"/>
  <c r="U64" i="28" s="1"/>
  <c r="R61" i="28"/>
  <c r="T61" i="28" s="1"/>
  <c r="D23" i="21"/>
  <c r="O6" i="2" l="1"/>
  <c r="Q6" i="2"/>
  <c r="H23" i="21"/>
  <c r="H22" i="23" s="1"/>
  <c r="L23" i="21"/>
  <c r="L22" i="23" s="1"/>
  <c r="G23" i="21"/>
  <c r="G22" i="23" s="1"/>
  <c r="P23" i="21"/>
  <c r="P22" i="23" s="1"/>
  <c r="I23" i="21"/>
  <c r="I22" i="23" s="1"/>
  <c r="J23" i="21"/>
  <c r="J22" i="23" s="1"/>
  <c r="F23" i="21"/>
  <c r="F22" i="23" s="1"/>
  <c r="O23" i="21"/>
  <c r="O22" i="23" s="1"/>
  <c r="M23" i="21"/>
  <c r="M22" i="23" s="1"/>
  <c r="N23" i="21"/>
  <c r="N22" i="23" s="1"/>
  <c r="K23" i="21"/>
  <c r="E23" i="21"/>
  <c r="G6" i="2"/>
  <c r="I6" i="2"/>
  <c r="J6" i="2"/>
  <c r="H6" i="2"/>
  <c r="M6" i="2"/>
  <c r="L6" i="2"/>
  <c r="T6" i="1"/>
  <c r="P6" i="2"/>
  <c r="K6" i="2"/>
  <c r="N6" i="2"/>
  <c r="F6" i="2"/>
  <c r="R6" i="1"/>
  <c r="D32" i="21"/>
  <c r="D40" i="21"/>
  <c r="D28" i="21"/>
  <c r="D41" i="21"/>
  <c r="D35" i="21"/>
  <c r="D34" i="21"/>
  <c r="D27" i="22"/>
  <c r="D31" i="21"/>
  <c r="D42" i="21"/>
  <c r="D33" i="21"/>
  <c r="D44" i="21"/>
  <c r="D30" i="21"/>
  <c r="D46" i="21"/>
  <c r="D39" i="22"/>
  <c r="D34" i="22"/>
  <c r="D22" i="22"/>
  <c r="D45" i="21"/>
  <c r="D39" i="21"/>
  <c r="D21" i="21"/>
  <c r="D28" i="22"/>
  <c r="D25" i="21"/>
  <c r="D32" i="22"/>
  <c r="D35" i="22"/>
  <c r="D21" i="22"/>
  <c r="D23" i="22"/>
  <c r="D24" i="22"/>
  <c r="D56" i="21"/>
  <c r="E56" i="21" s="1"/>
  <c r="Q56" i="21" s="1"/>
  <c r="D44" i="22"/>
  <c r="D47" i="22"/>
  <c r="D27" i="21"/>
  <c r="D26" i="22"/>
  <c r="D33" i="22"/>
  <c r="D22" i="21"/>
  <c r="D26" i="21"/>
  <c r="D41" i="22"/>
  <c r="D43" i="21"/>
  <c r="D38" i="22"/>
  <c r="D20" i="22"/>
  <c r="D43" i="22"/>
  <c r="D36" i="21"/>
  <c r="D30" i="22"/>
  <c r="D19" i="22"/>
  <c r="D48" i="21"/>
  <c r="D55" i="22"/>
  <c r="D29" i="21"/>
  <c r="D40" i="22"/>
  <c r="D24" i="21"/>
  <c r="D25" i="22"/>
  <c r="D42" i="22"/>
  <c r="D31" i="22"/>
  <c r="L36" i="21" l="1"/>
  <c r="L35" i="23" s="1"/>
  <c r="I36" i="21"/>
  <c r="I35" i="23" s="1"/>
  <c r="H36" i="21"/>
  <c r="H35" i="23" s="1"/>
  <c r="F36" i="21"/>
  <c r="F35" i="23" s="1"/>
  <c r="P36" i="21"/>
  <c r="P35" i="23" s="1"/>
  <c r="G36" i="21"/>
  <c r="G35" i="23" s="1"/>
  <c r="J36" i="21"/>
  <c r="J35" i="23" s="1"/>
  <c r="O36" i="21"/>
  <c r="O35" i="23" s="1"/>
  <c r="N36" i="21"/>
  <c r="N35" i="23" s="1"/>
  <c r="M36" i="21"/>
  <c r="M35" i="23" s="1"/>
  <c r="K36" i="21"/>
  <c r="E36" i="21"/>
  <c r="K41" i="22"/>
  <c r="J41" i="22"/>
  <c r="J41" i="24" s="1"/>
  <c r="E41" i="22"/>
  <c r="P41" i="22"/>
  <c r="P41" i="24" s="1"/>
  <c r="H41" i="22"/>
  <c r="H41" i="24" s="1"/>
  <c r="O41" i="22"/>
  <c r="O41" i="24" s="1"/>
  <c r="F41" i="22"/>
  <c r="F41" i="24" s="1"/>
  <c r="G41" i="22"/>
  <c r="G41" i="24" s="1"/>
  <c r="N41" i="22"/>
  <c r="N41" i="24" s="1"/>
  <c r="L41" i="22"/>
  <c r="L41" i="24" s="1"/>
  <c r="M41" i="22"/>
  <c r="M41" i="24" s="1"/>
  <c r="I41" i="22"/>
  <c r="I41" i="24" s="1"/>
  <c r="G26" i="22"/>
  <c r="G26" i="24" s="1"/>
  <c r="J26" i="22"/>
  <c r="J26" i="24" s="1"/>
  <c r="P26" i="22"/>
  <c r="P26" i="24" s="1"/>
  <c r="O26" i="22"/>
  <c r="O26" i="24" s="1"/>
  <c r="H26" i="22"/>
  <c r="H26" i="24" s="1"/>
  <c r="E26" i="22"/>
  <c r="L26" i="22"/>
  <c r="L26" i="24" s="1"/>
  <c r="N26" i="22"/>
  <c r="N26" i="24" s="1"/>
  <c r="F26" i="22"/>
  <c r="F26" i="24" s="1"/>
  <c r="I26" i="22"/>
  <c r="I26" i="24" s="1"/>
  <c r="K26" i="22"/>
  <c r="M26" i="22"/>
  <c r="M26" i="24" s="1"/>
  <c r="R56" i="21"/>
  <c r="U56" i="21"/>
  <c r="V56" i="21" s="1"/>
  <c r="W56" i="21" s="1"/>
  <c r="P22" i="22"/>
  <c r="P22" i="24" s="1"/>
  <c r="E22" i="22"/>
  <c r="G22" i="22"/>
  <c r="G22" i="24" s="1"/>
  <c r="O22" i="22"/>
  <c r="O22" i="24" s="1"/>
  <c r="J22" i="22"/>
  <c r="J22" i="24" s="1"/>
  <c r="H22" i="22"/>
  <c r="H22" i="24" s="1"/>
  <c r="M22" i="22"/>
  <c r="M22" i="24" s="1"/>
  <c r="N22" i="22"/>
  <c r="N22" i="24" s="1"/>
  <c r="K22" i="22"/>
  <c r="L22" i="22"/>
  <c r="L22" i="24" s="1"/>
  <c r="I22" i="22"/>
  <c r="I22" i="24" s="1"/>
  <c r="F22" i="22"/>
  <c r="F22" i="24" s="1"/>
  <c r="F31" i="21"/>
  <c r="F30" i="23" s="1"/>
  <c r="P31" i="21"/>
  <c r="P30" i="23" s="1"/>
  <c r="H31" i="21"/>
  <c r="H30" i="23" s="1"/>
  <c r="G31" i="21"/>
  <c r="G30" i="23" s="1"/>
  <c r="J31" i="21"/>
  <c r="J30" i="23" s="1"/>
  <c r="L31" i="21"/>
  <c r="L30" i="23" s="1"/>
  <c r="I31" i="21"/>
  <c r="I30" i="23" s="1"/>
  <c r="O31" i="21"/>
  <c r="O30" i="23" s="1"/>
  <c r="N31" i="21"/>
  <c r="N30" i="23" s="1"/>
  <c r="K31" i="21"/>
  <c r="E31" i="21"/>
  <c r="M31" i="21"/>
  <c r="M30" i="23" s="1"/>
  <c r="K22" i="23"/>
  <c r="R22" i="23" s="1"/>
  <c r="S23" i="21"/>
  <c r="T23" i="21" s="1"/>
  <c r="P40" i="22"/>
  <c r="P40" i="24" s="1"/>
  <c r="O40" i="22"/>
  <c r="O40" i="24" s="1"/>
  <c r="J40" i="22"/>
  <c r="J40" i="24" s="1"/>
  <c r="E40" i="22"/>
  <c r="H40" i="22"/>
  <c r="H40" i="24" s="1"/>
  <c r="I40" i="22"/>
  <c r="I40" i="24" s="1"/>
  <c r="L40" i="22"/>
  <c r="L40" i="24" s="1"/>
  <c r="K40" i="22"/>
  <c r="F40" i="22"/>
  <c r="F40" i="24" s="1"/>
  <c r="N40" i="22"/>
  <c r="N40" i="24" s="1"/>
  <c r="G40" i="22"/>
  <c r="G40" i="24" s="1"/>
  <c r="M40" i="22"/>
  <c r="M40" i="24" s="1"/>
  <c r="O35" i="22"/>
  <c r="O35" i="24" s="1"/>
  <c r="P35" i="22"/>
  <c r="P35" i="24" s="1"/>
  <c r="H35" i="22"/>
  <c r="H35" i="24" s="1"/>
  <c r="G35" i="22"/>
  <c r="G35" i="24" s="1"/>
  <c r="E35" i="22"/>
  <c r="J35" i="22"/>
  <c r="J35" i="24" s="1"/>
  <c r="K35" i="22"/>
  <c r="F35" i="22"/>
  <c r="F35" i="24" s="1"/>
  <c r="M35" i="22"/>
  <c r="M35" i="24" s="1"/>
  <c r="N35" i="22"/>
  <c r="N35" i="24" s="1"/>
  <c r="L35" i="22"/>
  <c r="L35" i="24" s="1"/>
  <c r="I35" i="22"/>
  <c r="I35" i="24" s="1"/>
  <c r="P21" i="21"/>
  <c r="P20" i="23" s="1"/>
  <c r="H21" i="21"/>
  <c r="H20" i="23" s="1"/>
  <c r="G21" i="21"/>
  <c r="G20" i="23" s="1"/>
  <c r="L21" i="21"/>
  <c r="L20" i="23" s="1"/>
  <c r="I21" i="21"/>
  <c r="I20" i="23" s="1"/>
  <c r="O21" i="21"/>
  <c r="O20" i="23" s="1"/>
  <c r="J21" i="21"/>
  <c r="J20" i="23" s="1"/>
  <c r="F21" i="21"/>
  <c r="F20" i="23" s="1"/>
  <c r="K21" i="21"/>
  <c r="M21" i="21"/>
  <c r="M20" i="23" s="1"/>
  <c r="E21" i="21"/>
  <c r="N21" i="21"/>
  <c r="N20" i="23" s="1"/>
  <c r="H34" i="22"/>
  <c r="H34" i="24" s="1"/>
  <c r="G34" i="22"/>
  <c r="G34" i="24" s="1"/>
  <c r="O34" i="22"/>
  <c r="O34" i="24" s="1"/>
  <c r="E34" i="22"/>
  <c r="J34" i="22"/>
  <c r="J34" i="24" s="1"/>
  <c r="P34" i="22"/>
  <c r="P34" i="24" s="1"/>
  <c r="F34" i="22"/>
  <c r="F34" i="24" s="1"/>
  <c r="L34" i="22"/>
  <c r="L34" i="24" s="1"/>
  <c r="M34" i="22"/>
  <c r="M34" i="24" s="1"/>
  <c r="K34" i="22"/>
  <c r="N34" i="22"/>
  <c r="N34" i="24" s="1"/>
  <c r="I34" i="22"/>
  <c r="I34" i="24" s="1"/>
  <c r="L44" i="21"/>
  <c r="L43" i="23" s="1"/>
  <c r="J44" i="21"/>
  <c r="J43" i="23" s="1"/>
  <c r="P44" i="21"/>
  <c r="P43" i="23" s="1"/>
  <c r="I44" i="21"/>
  <c r="I43" i="23" s="1"/>
  <c r="F44" i="21"/>
  <c r="F43" i="23" s="1"/>
  <c r="O44" i="21"/>
  <c r="O43" i="23" s="1"/>
  <c r="H44" i="21"/>
  <c r="H43" i="23" s="1"/>
  <c r="E44" i="21"/>
  <c r="M44" i="21"/>
  <c r="M43" i="23" s="1"/>
  <c r="N44" i="21"/>
  <c r="N43" i="23" s="1"/>
  <c r="G44" i="21"/>
  <c r="G43" i="23" s="1"/>
  <c r="K44" i="21"/>
  <c r="O41" i="21"/>
  <c r="O40" i="23" s="1"/>
  <c r="I41" i="21"/>
  <c r="I40" i="23" s="1"/>
  <c r="F41" i="21"/>
  <c r="F40" i="23" s="1"/>
  <c r="L41" i="21"/>
  <c r="L40" i="23" s="1"/>
  <c r="H41" i="21"/>
  <c r="H40" i="23" s="1"/>
  <c r="P41" i="21"/>
  <c r="P40" i="23" s="1"/>
  <c r="J41" i="21"/>
  <c r="J40" i="23" s="1"/>
  <c r="G41" i="21"/>
  <c r="G40" i="23" s="1"/>
  <c r="E41" i="21"/>
  <c r="N41" i="21"/>
  <c r="N40" i="23" s="1"/>
  <c r="M41" i="21"/>
  <c r="M40" i="23" s="1"/>
  <c r="K41" i="21"/>
  <c r="V6" i="1"/>
  <c r="W6" i="1" s="1"/>
  <c r="S6" i="1"/>
  <c r="H42" i="21"/>
  <c r="H41" i="23" s="1"/>
  <c r="I42" i="21"/>
  <c r="I41" i="23" s="1"/>
  <c r="J42" i="21"/>
  <c r="J41" i="23" s="1"/>
  <c r="G42" i="21"/>
  <c r="G41" i="23" s="1"/>
  <c r="L42" i="21"/>
  <c r="L41" i="23" s="1"/>
  <c r="O42" i="21"/>
  <c r="O41" i="23" s="1"/>
  <c r="P42" i="21"/>
  <c r="P41" i="23" s="1"/>
  <c r="F42" i="21"/>
  <c r="F41" i="23" s="1"/>
  <c r="N42" i="21"/>
  <c r="N41" i="23" s="1"/>
  <c r="M42" i="21"/>
  <c r="M41" i="23" s="1"/>
  <c r="K42" i="21"/>
  <c r="E42" i="21"/>
  <c r="E22" i="23"/>
  <c r="Q22" i="23" s="1"/>
  <c r="S22" i="23" s="1"/>
  <c r="Q23" i="21"/>
  <c r="O19" i="22"/>
  <c r="H19" i="22"/>
  <c r="G19" i="22"/>
  <c r="E19" i="22"/>
  <c r="P19" i="22"/>
  <c r="J19" i="22"/>
  <c r="N19" i="22"/>
  <c r="F19" i="22"/>
  <c r="I19" i="22"/>
  <c r="K19" i="22"/>
  <c r="M19" i="22"/>
  <c r="L19" i="22"/>
  <c r="F26" i="21"/>
  <c r="F25" i="23" s="1"/>
  <c r="P26" i="21"/>
  <c r="P25" i="23" s="1"/>
  <c r="L26" i="21"/>
  <c r="L25" i="23" s="1"/>
  <c r="I26" i="21"/>
  <c r="I25" i="23" s="1"/>
  <c r="H26" i="21"/>
  <c r="H25" i="23" s="1"/>
  <c r="O26" i="21"/>
  <c r="O25" i="23" s="1"/>
  <c r="J26" i="21"/>
  <c r="J25" i="23" s="1"/>
  <c r="G26" i="21"/>
  <c r="G25" i="23" s="1"/>
  <c r="K26" i="21"/>
  <c r="M26" i="21"/>
  <c r="M25" i="23" s="1"/>
  <c r="E26" i="21"/>
  <c r="N26" i="21"/>
  <c r="N25" i="23" s="1"/>
  <c r="J27" i="21"/>
  <c r="J26" i="23" s="1"/>
  <c r="I27" i="21"/>
  <c r="I26" i="23" s="1"/>
  <c r="O27" i="21"/>
  <c r="O26" i="23" s="1"/>
  <c r="G27" i="21"/>
  <c r="G26" i="23" s="1"/>
  <c r="H27" i="21"/>
  <c r="H26" i="23" s="1"/>
  <c r="L27" i="21"/>
  <c r="L26" i="23" s="1"/>
  <c r="P27" i="21"/>
  <c r="P26" i="23" s="1"/>
  <c r="F27" i="21"/>
  <c r="F26" i="23" s="1"/>
  <c r="N27" i="21"/>
  <c r="N26" i="23" s="1"/>
  <c r="M27" i="21"/>
  <c r="M26" i="23" s="1"/>
  <c r="K27" i="21"/>
  <c r="E27" i="21"/>
  <c r="J24" i="22"/>
  <c r="J24" i="24" s="1"/>
  <c r="O24" i="22"/>
  <c r="O24" i="24" s="1"/>
  <c r="E24" i="22"/>
  <c r="P24" i="22"/>
  <c r="P24" i="24" s="1"/>
  <c r="H24" i="22"/>
  <c r="H24" i="24" s="1"/>
  <c r="I24" i="22"/>
  <c r="I24" i="24" s="1"/>
  <c r="M24" i="22"/>
  <c r="M24" i="24" s="1"/>
  <c r="G24" i="22"/>
  <c r="G24" i="24" s="1"/>
  <c r="L24" i="22"/>
  <c r="L24" i="24" s="1"/>
  <c r="K24" i="22"/>
  <c r="N24" i="22"/>
  <c r="N24" i="24" s="1"/>
  <c r="F24" i="22"/>
  <c r="F24" i="24" s="1"/>
  <c r="P27" i="22"/>
  <c r="P27" i="24" s="1"/>
  <c r="J27" i="22"/>
  <c r="J27" i="24" s="1"/>
  <c r="E27" i="22"/>
  <c r="H27" i="22"/>
  <c r="H27" i="24" s="1"/>
  <c r="O27" i="22"/>
  <c r="O27" i="24" s="1"/>
  <c r="I27" i="22"/>
  <c r="I27" i="24" s="1"/>
  <c r="M27" i="22"/>
  <c r="M27" i="24" s="1"/>
  <c r="K27" i="22"/>
  <c r="L27" i="22"/>
  <c r="L27" i="24" s="1"/>
  <c r="G27" i="22"/>
  <c r="G27" i="24" s="1"/>
  <c r="F27" i="22"/>
  <c r="F27" i="24" s="1"/>
  <c r="N27" i="22"/>
  <c r="N27" i="24" s="1"/>
  <c r="U6" i="1"/>
  <c r="G35" i="21"/>
  <c r="G34" i="23" s="1"/>
  <c r="O35" i="21"/>
  <c r="O34" i="23" s="1"/>
  <c r="J35" i="21"/>
  <c r="J34" i="23" s="1"/>
  <c r="F35" i="21"/>
  <c r="F34" i="23" s="1"/>
  <c r="P35" i="21"/>
  <c r="P34" i="23" s="1"/>
  <c r="H35" i="21"/>
  <c r="H34" i="23" s="1"/>
  <c r="L35" i="21"/>
  <c r="L34" i="23" s="1"/>
  <c r="I35" i="21"/>
  <c r="I34" i="23" s="1"/>
  <c r="K35" i="21"/>
  <c r="M35" i="21"/>
  <c r="M34" i="23" s="1"/>
  <c r="E35" i="21"/>
  <c r="N35" i="21"/>
  <c r="N34" i="23" s="1"/>
  <c r="O43" i="22"/>
  <c r="O43" i="24" s="1"/>
  <c r="G43" i="22"/>
  <c r="G43" i="24" s="1"/>
  <c r="K43" i="22"/>
  <c r="E43" i="22"/>
  <c r="H43" i="22"/>
  <c r="H43" i="24" s="1"/>
  <c r="J43" i="22"/>
  <c r="J43" i="24" s="1"/>
  <c r="P43" i="22"/>
  <c r="P43" i="24" s="1"/>
  <c r="L43" i="22"/>
  <c r="L43" i="24" s="1"/>
  <c r="F43" i="22"/>
  <c r="F43" i="24" s="1"/>
  <c r="N43" i="22"/>
  <c r="N43" i="24" s="1"/>
  <c r="I43" i="22"/>
  <c r="I43" i="24" s="1"/>
  <c r="M43" i="22"/>
  <c r="M43" i="24" s="1"/>
  <c r="J42" i="22"/>
  <c r="J42" i="24" s="1"/>
  <c r="H42" i="22"/>
  <c r="H42" i="24" s="1"/>
  <c r="P42" i="22"/>
  <c r="P42" i="24" s="1"/>
  <c r="O42" i="22"/>
  <c r="O42" i="24" s="1"/>
  <c r="E42" i="22"/>
  <c r="G42" i="22"/>
  <c r="G42" i="24" s="1"/>
  <c r="I42" i="22"/>
  <c r="I42" i="24" s="1"/>
  <c r="N42" i="22"/>
  <c r="N42" i="24" s="1"/>
  <c r="K42" i="22"/>
  <c r="F42" i="22"/>
  <c r="F42" i="24" s="1"/>
  <c r="M42" i="22"/>
  <c r="M42" i="24" s="1"/>
  <c r="L42" i="22"/>
  <c r="L42" i="24" s="1"/>
  <c r="F29" i="21"/>
  <c r="F28" i="23" s="1"/>
  <c r="O29" i="21"/>
  <c r="O28" i="23" s="1"/>
  <c r="L29" i="21"/>
  <c r="L28" i="23" s="1"/>
  <c r="P29" i="21"/>
  <c r="P28" i="23" s="1"/>
  <c r="H29" i="21"/>
  <c r="H28" i="23" s="1"/>
  <c r="I29" i="21"/>
  <c r="I28" i="23" s="1"/>
  <c r="G29" i="21"/>
  <c r="G28" i="23" s="1"/>
  <c r="J29" i="21"/>
  <c r="J28" i="23" s="1"/>
  <c r="N29" i="21"/>
  <c r="N28" i="23" s="1"/>
  <c r="K29" i="21"/>
  <c r="E29" i="21"/>
  <c r="M29" i="21"/>
  <c r="M28" i="23" s="1"/>
  <c r="J20" i="22"/>
  <c r="J20" i="24" s="1"/>
  <c r="P20" i="22"/>
  <c r="P20" i="24" s="1"/>
  <c r="O20" i="22"/>
  <c r="O20" i="24" s="1"/>
  <c r="E20" i="22"/>
  <c r="H20" i="22"/>
  <c r="H20" i="24" s="1"/>
  <c r="M20" i="22"/>
  <c r="M20" i="24" s="1"/>
  <c r="G20" i="22"/>
  <c r="G20" i="24" s="1"/>
  <c r="F20" i="22"/>
  <c r="F20" i="24" s="1"/>
  <c r="I20" i="22"/>
  <c r="I20" i="24" s="1"/>
  <c r="L20" i="22"/>
  <c r="L20" i="24" s="1"/>
  <c r="K20" i="22"/>
  <c r="N20" i="22"/>
  <c r="N20" i="24" s="1"/>
  <c r="E32" i="22"/>
  <c r="J32" i="22"/>
  <c r="J32" i="24" s="1"/>
  <c r="P32" i="22"/>
  <c r="P32" i="24" s="1"/>
  <c r="H32" i="22"/>
  <c r="H32" i="24" s="1"/>
  <c r="G32" i="22"/>
  <c r="G32" i="24" s="1"/>
  <c r="O32" i="22"/>
  <c r="O32" i="24" s="1"/>
  <c r="K32" i="22"/>
  <c r="F32" i="22"/>
  <c r="F32" i="24" s="1"/>
  <c r="N32" i="22"/>
  <c r="N32" i="24" s="1"/>
  <c r="L32" i="22"/>
  <c r="L32" i="24" s="1"/>
  <c r="M32" i="22"/>
  <c r="M32" i="24" s="1"/>
  <c r="I32" i="22"/>
  <c r="I32" i="24" s="1"/>
  <c r="J39" i="21"/>
  <c r="J38" i="23" s="1"/>
  <c r="G39" i="21"/>
  <c r="G38" i="23" s="1"/>
  <c r="O39" i="21"/>
  <c r="O38" i="23" s="1"/>
  <c r="P39" i="21"/>
  <c r="P38" i="23" s="1"/>
  <c r="L39" i="21"/>
  <c r="L38" i="23" s="1"/>
  <c r="I39" i="21"/>
  <c r="I38" i="23" s="1"/>
  <c r="F39" i="21"/>
  <c r="F38" i="23" s="1"/>
  <c r="H39" i="21"/>
  <c r="H38" i="23" s="1"/>
  <c r="E39" i="21"/>
  <c r="N39" i="21"/>
  <c r="N38" i="23" s="1"/>
  <c r="M39" i="21"/>
  <c r="M38" i="23" s="1"/>
  <c r="K39" i="21"/>
  <c r="O39" i="22"/>
  <c r="O39" i="24" s="1"/>
  <c r="H39" i="22"/>
  <c r="P39" i="22"/>
  <c r="P39" i="24" s="1"/>
  <c r="J39" i="22"/>
  <c r="E39" i="22"/>
  <c r="L39" i="22"/>
  <c r="K39" i="22"/>
  <c r="F39" i="22"/>
  <c r="N39" i="22"/>
  <c r="N39" i="24" s="1"/>
  <c r="I39" i="22"/>
  <c r="G39" i="22"/>
  <c r="M39" i="22"/>
  <c r="F28" i="21"/>
  <c r="F27" i="23" s="1"/>
  <c r="L28" i="21"/>
  <c r="L27" i="23" s="1"/>
  <c r="H28" i="21"/>
  <c r="H27" i="23" s="1"/>
  <c r="G28" i="21"/>
  <c r="G27" i="23" s="1"/>
  <c r="P28" i="21"/>
  <c r="P27" i="23" s="1"/>
  <c r="O28" i="21"/>
  <c r="O27" i="23" s="1"/>
  <c r="J28" i="21"/>
  <c r="J27" i="23" s="1"/>
  <c r="I28" i="21"/>
  <c r="I27" i="23" s="1"/>
  <c r="N28" i="21"/>
  <c r="N27" i="23" s="1"/>
  <c r="K28" i="21"/>
  <c r="E28" i="21"/>
  <c r="M28" i="21"/>
  <c r="M27" i="23" s="1"/>
  <c r="R6" i="2"/>
  <c r="O48" i="21"/>
  <c r="O47" i="23" s="1"/>
  <c r="F48" i="21"/>
  <c r="F47" i="23" s="1"/>
  <c r="J48" i="21"/>
  <c r="J47" i="23" s="1"/>
  <c r="L48" i="21"/>
  <c r="L47" i="23" s="1"/>
  <c r="I48" i="21"/>
  <c r="I47" i="23" s="1"/>
  <c r="G48" i="21"/>
  <c r="G47" i="23" s="1"/>
  <c r="P48" i="21"/>
  <c r="P47" i="23" s="1"/>
  <c r="H48" i="21"/>
  <c r="H47" i="23" s="1"/>
  <c r="M48" i="21"/>
  <c r="M47" i="23" s="1"/>
  <c r="N48" i="21"/>
  <c r="N47" i="23" s="1"/>
  <c r="E48" i="21"/>
  <c r="K48" i="21"/>
  <c r="G31" i="22"/>
  <c r="G31" i="24" s="1"/>
  <c r="E31" i="22"/>
  <c r="J31" i="22"/>
  <c r="J31" i="24" s="1"/>
  <c r="P31" i="22"/>
  <c r="P31" i="24" s="1"/>
  <c r="O31" i="22"/>
  <c r="O31" i="24" s="1"/>
  <c r="H31" i="22"/>
  <c r="H31" i="24" s="1"/>
  <c r="L31" i="22"/>
  <c r="L31" i="24" s="1"/>
  <c r="N31" i="22"/>
  <c r="N31" i="24" s="1"/>
  <c r="I31" i="22"/>
  <c r="I31" i="24" s="1"/>
  <c r="F31" i="22"/>
  <c r="F31" i="24" s="1"/>
  <c r="M31" i="22"/>
  <c r="M31" i="24" s="1"/>
  <c r="K31" i="22"/>
  <c r="J30" i="22"/>
  <c r="J30" i="24" s="1"/>
  <c r="H30" i="22"/>
  <c r="H30" i="24" s="1"/>
  <c r="O30" i="22"/>
  <c r="O30" i="24" s="1"/>
  <c r="E30" i="22"/>
  <c r="P30" i="22"/>
  <c r="P30" i="24" s="1"/>
  <c r="N30" i="22"/>
  <c r="N30" i="24" s="1"/>
  <c r="G30" i="22"/>
  <c r="G30" i="24" s="1"/>
  <c r="F30" i="22"/>
  <c r="F30" i="24" s="1"/>
  <c r="M30" i="22"/>
  <c r="M30" i="24" s="1"/>
  <c r="L30" i="22"/>
  <c r="L30" i="24" s="1"/>
  <c r="K30" i="22"/>
  <c r="I30" i="22"/>
  <c r="I30" i="24" s="1"/>
  <c r="E38" i="22"/>
  <c r="P38" i="22"/>
  <c r="P38" i="24" s="1"/>
  <c r="G38" i="22"/>
  <c r="G38" i="24" s="1"/>
  <c r="J38" i="22"/>
  <c r="J38" i="24" s="1"/>
  <c r="O38" i="22"/>
  <c r="O38" i="24" s="1"/>
  <c r="H38" i="22"/>
  <c r="H38" i="24" s="1"/>
  <c r="K38" i="22"/>
  <c r="L38" i="22"/>
  <c r="L38" i="24" s="1"/>
  <c r="M38" i="22"/>
  <c r="M38" i="24" s="1"/>
  <c r="N38" i="22"/>
  <c r="N38" i="24" s="1"/>
  <c r="I38" i="22"/>
  <c r="I38" i="24" s="1"/>
  <c r="F38" i="22"/>
  <c r="F38" i="24" s="1"/>
  <c r="J47" i="22"/>
  <c r="J47" i="24" s="1"/>
  <c r="E47" i="22"/>
  <c r="P47" i="22"/>
  <c r="P47" i="24" s="1"/>
  <c r="H47" i="22"/>
  <c r="H47" i="24" s="1"/>
  <c r="O47" i="22"/>
  <c r="O47" i="24" s="1"/>
  <c r="G47" i="22"/>
  <c r="G47" i="24" s="1"/>
  <c r="L47" i="22"/>
  <c r="L47" i="24" s="1"/>
  <c r="F47" i="22"/>
  <c r="F47" i="24" s="1"/>
  <c r="I47" i="22"/>
  <c r="I47" i="24" s="1"/>
  <c r="M47" i="22"/>
  <c r="M47" i="24" s="1"/>
  <c r="K47" i="22"/>
  <c r="N47" i="22"/>
  <c r="N47" i="24" s="1"/>
  <c r="O23" i="22"/>
  <c r="O23" i="24" s="1"/>
  <c r="P23" i="22"/>
  <c r="P23" i="24" s="1"/>
  <c r="H23" i="22"/>
  <c r="H23" i="24" s="1"/>
  <c r="E23" i="22"/>
  <c r="J23" i="22"/>
  <c r="J23" i="24" s="1"/>
  <c r="I23" i="22"/>
  <c r="I23" i="24" s="1"/>
  <c r="M23" i="22"/>
  <c r="M23" i="24" s="1"/>
  <c r="F23" i="22"/>
  <c r="F23" i="24" s="1"/>
  <c r="G23" i="22"/>
  <c r="G23" i="24" s="1"/>
  <c r="L23" i="22"/>
  <c r="L23" i="24" s="1"/>
  <c r="K23" i="22"/>
  <c r="N23" i="22"/>
  <c r="N23" i="24" s="1"/>
  <c r="O25" i="21"/>
  <c r="O24" i="23" s="1"/>
  <c r="H25" i="21"/>
  <c r="H24" i="23" s="1"/>
  <c r="G25" i="21"/>
  <c r="G24" i="23" s="1"/>
  <c r="F25" i="21"/>
  <c r="F24" i="23" s="1"/>
  <c r="J25" i="21"/>
  <c r="J24" i="23" s="1"/>
  <c r="P25" i="21"/>
  <c r="P24" i="23" s="1"/>
  <c r="L25" i="21"/>
  <c r="L24" i="23" s="1"/>
  <c r="I25" i="21"/>
  <c r="I24" i="23" s="1"/>
  <c r="N25" i="21"/>
  <c r="N24" i="23" s="1"/>
  <c r="K25" i="21"/>
  <c r="E25" i="21"/>
  <c r="M25" i="21"/>
  <c r="M24" i="23" s="1"/>
  <c r="S6" i="2"/>
  <c r="P24" i="21"/>
  <c r="P23" i="23" s="1"/>
  <c r="I24" i="21"/>
  <c r="I23" i="23" s="1"/>
  <c r="F24" i="21"/>
  <c r="F23" i="23" s="1"/>
  <c r="G24" i="21"/>
  <c r="G23" i="23" s="1"/>
  <c r="O24" i="21"/>
  <c r="O23" i="23" s="1"/>
  <c r="J24" i="21"/>
  <c r="J23" i="23" s="1"/>
  <c r="L24" i="21"/>
  <c r="L23" i="23" s="1"/>
  <c r="H24" i="21"/>
  <c r="H23" i="23" s="1"/>
  <c r="E24" i="21"/>
  <c r="K24" i="21"/>
  <c r="M24" i="21"/>
  <c r="M23" i="23" s="1"/>
  <c r="N24" i="21"/>
  <c r="N23" i="23" s="1"/>
  <c r="J32" i="21"/>
  <c r="J31" i="23" s="1"/>
  <c r="H32" i="21"/>
  <c r="H31" i="23" s="1"/>
  <c r="I32" i="21"/>
  <c r="I31" i="23" s="1"/>
  <c r="P32" i="21"/>
  <c r="P31" i="23" s="1"/>
  <c r="O32" i="21"/>
  <c r="O31" i="23" s="1"/>
  <c r="F32" i="21"/>
  <c r="F31" i="23" s="1"/>
  <c r="L32" i="21"/>
  <c r="L31" i="23" s="1"/>
  <c r="G32" i="21"/>
  <c r="G31" i="23" s="1"/>
  <c r="E32" i="21"/>
  <c r="N32" i="21"/>
  <c r="N31" i="23" s="1"/>
  <c r="M32" i="21"/>
  <c r="M31" i="23" s="1"/>
  <c r="K32" i="21"/>
  <c r="L22" i="21"/>
  <c r="L21" i="23" s="1"/>
  <c r="I22" i="21"/>
  <c r="I21" i="23" s="1"/>
  <c r="F22" i="21"/>
  <c r="F21" i="23" s="1"/>
  <c r="H22" i="21"/>
  <c r="H21" i="23" s="1"/>
  <c r="G22" i="21"/>
  <c r="G21" i="23" s="1"/>
  <c r="J22" i="21"/>
  <c r="J21" i="23" s="1"/>
  <c r="P22" i="21"/>
  <c r="P21" i="23" s="1"/>
  <c r="O22" i="21"/>
  <c r="O21" i="23" s="1"/>
  <c r="M22" i="21"/>
  <c r="M21" i="23" s="1"/>
  <c r="N22" i="21"/>
  <c r="N21" i="23" s="1"/>
  <c r="E22" i="21"/>
  <c r="K22" i="21"/>
  <c r="H45" i="21"/>
  <c r="H44" i="23" s="1"/>
  <c r="P45" i="21"/>
  <c r="P44" i="23" s="1"/>
  <c r="J45" i="21"/>
  <c r="J44" i="23" s="1"/>
  <c r="I45" i="21"/>
  <c r="I44" i="23" s="1"/>
  <c r="F45" i="21"/>
  <c r="F44" i="23" s="1"/>
  <c r="O45" i="21"/>
  <c r="O44" i="23" s="1"/>
  <c r="L45" i="21"/>
  <c r="L44" i="23" s="1"/>
  <c r="G45" i="21"/>
  <c r="G44" i="23" s="1"/>
  <c r="M45" i="21"/>
  <c r="M44" i="23" s="1"/>
  <c r="K45" i="21"/>
  <c r="E45" i="21"/>
  <c r="N45" i="21"/>
  <c r="N44" i="23" s="1"/>
  <c r="J46" i="21"/>
  <c r="J45" i="23" s="1"/>
  <c r="L46" i="21"/>
  <c r="L45" i="23" s="1"/>
  <c r="P46" i="21"/>
  <c r="P45" i="23" s="1"/>
  <c r="F46" i="21"/>
  <c r="F45" i="23" s="1"/>
  <c r="O46" i="21"/>
  <c r="O45" i="23" s="1"/>
  <c r="I46" i="21"/>
  <c r="I45" i="23" s="1"/>
  <c r="H46" i="21"/>
  <c r="H45" i="23" s="1"/>
  <c r="G46" i="21"/>
  <c r="G45" i="23" s="1"/>
  <c r="E46" i="21"/>
  <c r="K46" i="21"/>
  <c r="M46" i="21"/>
  <c r="M45" i="23" s="1"/>
  <c r="N46" i="21"/>
  <c r="N45" i="23" s="1"/>
  <c r="G33" i="21"/>
  <c r="G32" i="23" s="1"/>
  <c r="H33" i="21"/>
  <c r="H32" i="23" s="1"/>
  <c r="P33" i="21"/>
  <c r="P32" i="23" s="1"/>
  <c r="J33" i="21"/>
  <c r="J32" i="23" s="1"/>
  <c r="O33" i="21"/>
  <c r="O32" i="23" s="1"/>
  <c r="L33" i="21"/>
  <c r="L32" i="23" s="1"/>
  <c r="F33" i="21"/>
  <c r="F32" i="23" s="1"/>
  <c r="I33" i="21"/>
  <c r="I32" i="23" s="1"/>
  <c r="K33" i="21"/>
  <c r="N33" i="21"/>
  <c r="N32" i="23" s="1"/>
  <c r="E33" i="21"/>
  <c r="M33" i="21"/>
  <c r="M32" i="23" s="1"/>
  <c r="P34" i="21"/>
  <c r="P33" i="23" s="1"/>
  <c r="J34" i="21"/>
  <c r="J33" i="23" s="1"/>
  <c r="G34" i="21"/>
  <c r="G33" i="23" s="1"/>
  <c r="H34" i="21"/>
  <c r="H33" i="23" s="1"/>
  <c r="F34" i="21"/>
  <c r="F33" i="23" s="1"/>
  <c r="I34" i="21"/>
  <c r="I33" i="23" s="1"/>
  <c r="L34" i="21"/>
  <c r="L33" i="23" s="1"/>
  <c r="O34" i="21"/>
  <c r="O33" i="23" s="1"/>
  <c r="E34" i="21"/>
  <c r="N34" i="21"/>
  <c r="N33" i="23" s="1"/>
  <c r="K34" i="21"/>
  <c r="M34" i="21"/>
  <c r="M33" i="23" s="1"/>
  <c r="O30" i="21"/>
  <c r="O29" i="23" s="1"/>
  <c r="J30" i="21"/>
  <c r="J29" i="23" s="1"/>
  <c r="P30" i="21"/>
  <c r="P29" i="23" s="1"/>
  <c r="F30" i="21"/>
  <c r="F29" i="23" s="1"/>
  <c r="G30" i="21"/>
  <c r="G29" i="23" s="1"/>
  <c r="H30" i="21"/>
  <c r="H29" i="23" s="1"/>
  <c r="L30" i="21"/>
  <c r="L29" i="23" s="1"/>
  <c r="I30" i="21"/>
  <c r="I29" i="23" s="1"/>
  <c r="M30" i="21"/>
  <c r="M29" i="23" s="1"/>
  <c r="K30" i="21"/>
  <c r="E30" i="21"/>
  <c r="N30" i="21"/>
  <c r="N29" i="23" s="1"/>
  <c r="E55" i="22"/>
  <c r="H55" i="22"/>
  <c r="G55" i="22"/>
  <c r="J55" i="22"/>
  <c r="K55" i="22"/>
  <c r="P55" i="22"/>
  <c r="O55" i="22"/>
  <c r="L55" i="22"/>
  <c r="M55" i="22"/>
  <c r="N55" i="22"/>
  <c r="F55" i="22"/>
  <c r="I55" i="22"/>
  <c r="O25" i="22"/>
  <c r="O25" i="24" s="1"/>
  <c r="G25" i="22"/>
  <c r="G25" i="24" s="1"/>
  <c r="E25" i="22"/>
  <c r="J25" i="22"/>
  <c r="J25" i="24" s="1"/>
  <c r="P25" i="22"/>
  <c r="P25" i="24" s="1"/>
  <c r="H25" i="22"/>
  <c r="H25" i="24" s="1"/>
  <c r="F25" i="22"/>
  <c r="F25" i="24" s="1"/>
  <c r="K25" i="22"/>
  <c r="N25" i="22"/>
  <c r="N25" i="24" s="1"/>
  <c r="M25" i="22"/>
  <c r="M25" i="24" s="1"/>
  <c r="L25" i="22"/>
  <c r="L25" i="24" s="1"/>
  <c r="I25" i="22"/>
  <c r="I25" i="24" s="1"/>
  <c r="J43" i="21"/>
  <c r="J42" i="23" s="1"/>
  <c r="G43" i="21"/>
  <c r="G42" i="23" s="1"/>
  <c r="F43" i="21"/>
  <c r="F42" i="23" s="1"/>
  <c r="L43" i="21"/>
  <c r="L42" i="23" s="1"/>
  <c r="I43" i="21"/>
  <c r="I42" i="23" s="1"/>
  <c r="O43" i="21"/>
  <c r="O42" i="23" s="1"/>
  <c r="P43" i="21"/>
  <c r="P42" i="23" s="1"/>
  <c r="H43" i="21"/>
  <c r="H42" i="23" s="1"/>
  <c r="K43" i="21"/>
  <c r="E43" i="21"/>
  <c r="M43" i="21"/>
  <c r="M42" i="23" s="1"/>
  <c r="N43" i="21"/>
  <c r="N42" i="23" s="1"/>
  <c r="E33" i="22"/>
  <c r="O33" i="22"/>
  <c r="O33" i="24" s="1"/>
  <c r="H33" i="22"/>
  <c r="H33" i="24" s="1"/>
  <c r="J33" i="22"/>
  <c r="J33" i="24" s="1"/>
  <c r="P33" i="22"/>
  <c r="P33" i="24" s="1"/>
  <c r="I33" i="22"/>
  <c r="I33" i="24" s="1"/>
  <c r="M33" i="22"/>
  <c r="M33" i="24" s="1"/>
  <c r="K33" i="22"/>
  <c r="N33" i="22"/>
  <c r="N33" i="24" s="1"/>
  <c r="G33" i="22"/>
  <c r="G33" i="24" s="1"/>
  <c r="F33" i="22"/>
  <c r="F33" i="24" s="1"/>
  <c r="L33" i="22"/>
  <c r="L33" i="24" s="1"/>
  <c r="J44" i="22"/>
  <c r="J44" i="24" s="1"/>
  <c r="E44" i="22"/>
  <c r="H44" i="22"/>
  <c r="H44" i="24" s="1"/>
  <c r="O44" i="22"/>
  <c r="O44" i="24" s="1"/>
  <c r="P44" i="22"/>
  <c r="P44" i="24" s="1"/>
  <c r="G44" i="22"/>
  <c r="G44" i="24" s="1"/>
  <c r="I44" i="22"/>
  <c r="I44" i="24" s="1"/>
  <c r="K44" i="22"/>
  <c r="N44" i="22"/>
  <c r="N44" i="24" s="1"/>
  <c r="F44" i="22"/>
  <c r="F44" i="24" s="1"/>
  <c r="L44" i="22"/>
  <c r="L44" i="24" s="1"/>
  <c r="M44" i="22"/>
  <c r="M44" i="24" s="1"/>
  <c r="O21" i="22"/>
  <c r="O21" i="24" s="1"/>
  <c r="G21" i="22"/>
  <c r="G21" i="24" s="1"/>
  <c r="E21" i="22"/>
  <c r="H21" i="22"/>
  <c r="H21" i="24" s="1"/>
  <c r="J21" i="22"/>
  <c r="J21" i="24" s="1"/>
  <c r="P21" i="22"/>
  <c r="P21" i="24" s="1"/>
  <c r="L21" i="22"/>
  <c r="L21" i="24" s="1"/>
  <c r="I21" i="22"/>
  <c r="I21" i="24" s="1"/>
  <c r="N21" i="22"/>
  <c r="N21" i="24" s="1"/>
  <c r="K21" i="22"/>
  <c r="F21" i="22"/>
  <c r="F21" i="24" s="1"/>
  <c r="M21" i="22"/>
  <c r="M21" i="24" s="1"/>
  <c r="K28" i="22"/>
  <c r="H28" i="22"/>
  <c r="H28" i="24" s="1"/>
  <c r="P28" i="22"/>
  <c r="P28" i="24" s="1"/>
  <c r="G28" i="22"/>
  <c r="G28" i="24" s="1"/>
  <c r="J28" i="22"/>
  <c r="J28" i="24" s="1"/>
  <c r="E28" i="22"/>
  <c r="O28" i="22"/>
  <c r="O28" i="24" s="1"/>
  <c r="M28" i="22"/>
  <c r="M28" i="24" s="1"/>
  <c r="L28" i="22"/>
  <c r="L28" i="24" s="1"/>
  <c r="N28" i="22"/>
  <c r="N28" i="24" s="1"/>
  <c r="I28" i="22"/>
  <c r="I28" i="24" s="1"/>
  <c r="F28" i="22"/>
  <c r="F28" i="24" s="1"/>
  <c r="O40" i="21"/>
  <c r="O39" i="23" s="1"/>
  <c r="J40" i="21"/>
  <c r="H40" i="21"/>
  <c r="G40" i="21"/>
  <c r="L40" i="21"/>
  <c r="I40" i="21"/>
  <c r="P40" i="21"/>
  <c r="P39" i="23" s="1"/>
  <c r="F40" i="21"/>
  <c r="K40" i="21"/>
  <c r="E40" i="21"/>
  <c r="N40" i="21"/>
  <c r="N39" i="23" s="1"/>
  <c r="M40" i="21"/>
  <c r="D45" i="22"/>
  <c r="D29" i="22"/>
  <c r="S55" i="22" l="1"/>
  <c r="T55" i="22" s="1"/>
  <c r="E39" i="23"/>
  <c r="Q40" i="21"/>
  <c r="J39" i="23"/>
  <c r="E28" i="24"/>
  <c r="Q28" i="24" s="1"/>
  <c r="Q28" i="22"/>
  <c r="K21" i="24"/>
  <c r="R21" i="24" s="1"/>
  <c r="S21" i="22"/>
  <c r="T21" i="22" s="1"/>
  <c r="K29" i="23"/>
  <c r="R29" i="23" s="1"/>
  <c r="S30" i="21"/>
  <c r="T30" i="21" s="1"/>
  <c r="E32" i="23"/>
  <c r="Q32" i="23" s="1"/>
  <c r="Q33" i="21"/>
  <c r="E44" i="23"/>
  <c r="Q44" i="23" s="1"/>
  <c r="Q45" i="21"/>
  <c r="K23" i="24"/>
  <c r="R23" i="24" s="1"/>
  <c r="S23" i="22"/>
  <c r="T23" i="22" s="1"/>
  <c r="T6" i="2"/>
  <c r="I39" i="24"/>
  <c r="H39" i="24"/>
  <c r="K28" i="23"/>
  <c r="R28" i="23" s="1"/>
  <c r="S29" i="21"/>
  <c r="T29" i="21" s="1"/>
  <c r="K25" i="23"/>
  <c r="R25" i="23" s="1"/>
  <c r="S26" i="21"/>
  <c r="T26" i="21" s="1"/>
  <c r="P19" i="24"/>
  <c r="K41" i="23"/>
  <c r="R41" i="23" s="1"/>
  <c r="S42" i="21"/>
  <c r="T42" i="21" s="1"/>
  <c r="E22" i="24"/>
  <c r="Q22" i="24" s="1"/>
  <c r="Q22" i="22"/>
  <c r="E31" i="24"/>
  <c r="Q31" i="24" s="1"/>
  <c r="Q31" i="22"/>
  <c r="E32" i="24"/>
  <c r="Q32" i="24" s="1"/>
  <c r="Q32" i="22"/>
  <c r="E42" i="24"/>
  <c r="Q42" i="24" s="1"/>
  <c r="Q42" i="22"/>
  <c r="E26" i="23"/>
  <c r="Q26" i="23" s="1"/>
  <c r="Q27" i="21"/>
  <c r="L19" i="24"/>
  <c r="E19" i="24"/>
  <c r="Q19" i="22"/>
  <c r="K34" i="24"/>
  <c r="R34" i="24" s="1"/>
  <c r="S34" i="22"/>
  <c r="T34" i="22" s="1"/>
  <c r="K22" i="24"/>
  <c r="R22" i="24" s="1"/>
  <c r="S22" i="22"/>
  <c r="T22" i="22" s="1"/>
  <c r="E41" i="24"/>
  <c r="Q41" i="24" s="1"/>
  <c r="Q41" i="22"/>
  <c r="K33" i="24"/>
  <c r="R33" i="24" s="1"/>
  <c r="S33" i="22"/>
  <c r="T33" i="22" s="1"/>
  <c r="K25" i="24"/>
  <c r="R25" i="24" s="1"/>
  <c r="S25" i="22"/>
  <c r="T25" i="22" s="1"/>
  <c r="K32" i="23"/>
  <c r="R32" i="23" s="1"/>
  <c r="S33" i="21"/>
  <c r="T33" i="21" s="1"/>
  <c r="E31" i="23"/>
  <c r="Q31" i="23" s="1"/>
  <c r="Q32" i="21"/>
  <c r="E38" i="24"/>
  <c r="Q38" i="24" s="1"/>
  <c r="Q38" i="22"/>
  <c r="F39" i="24"/>
  <c r="K38" i="23"/>
  <c r="R38" i="23" s="1"/>
  <c r="S39" i="21"/>
  <c r="T39" i="21" s="1"/>
  <c r="E20" i="24"/>
  <c r="Q20" i="24" s="1"/>
  <c r="Q20" i="22"/>
  <c r="E27" i="24"/>
  <c r="Q27" i="24" s="1"/>
  <c r="Q27" i="22"/>
  <c r="K26" i="23"/>
  <c r="R26" i="23" s="1"/>
  <c r="S27" i="21"/>
  <c r="T27" i="21" s="1"/>
  <c r="M19" i="24"/>
  <c r="G19" i="24"/>
  <c r="E40" i="23"/>
  <c r="Q40" i="23" s="1"/>
  <c r="Q41" i="21"/>
  <c r="X56" i="21"/>
  <c r="Y56" i="21" s="1"/>
  <c r="Z56" i="21" s="1"/>
  <c r="E26" i="24"/>
  <c r="Q26" i="24" s="1"/>
  <c r="Q26" i="22"/>
  <c r="K39" i="23"/>
  <c r="S40" i="21"/>
  <c r="T40" i="21" s="1"/>
  <c r="K21" i="23"/>
  <c r="R21" i="23" s="1"/>
  <c r="S22" i="21"/>
  <c r="T22" i="21" s="1"/>
  <c r="E30" i="24"/>
  <c r="Q30" i="24" s="1"/>
  <c r="Q30" i="22"/>
  <c r="E27" i="23"/>
  <c r="Q27" i="23" s="1"/>
  <c r="Q28" i="21"/>
  <c r="K39" i="24"/>
  <c r="S39" i="22"/>
  <c r="T39" i="22" s="1"/>
  <c r="K32" i="24"/>
  <c r="R32" i="24" s="1"/>
  <c r="S32" i="22"/>
  <c r="T32" i="22" s="1"/>
  <c r="K20" i="24"/>
  <c r="R20" i="24" s="1"/>
  <c r="S20" i="22"/>
  <c r="T20" i="22" s="1"/>
  <c r="E34" i="23"/>
  <c r="Q34" i="23" s="1"/>
  <c r="Q35" i="21"/>
  <c r="K19" i="24"/>
  <c r="S19" i="22"/>
  <c r="T19" i="22" s="1"/>
  <c r="H19" i="24"/>
  <c r="K43" i="23"/>
  <c r="R43" i="23" s="1"/>
  <c r="S44" i="21"/>
  <c r="T44" i="21" s="1"/>
  <c r="E40" i="24"/>
  <c r="Q40" i="24" s="1"/>
  <c r="Q40" i="22"/>
  <c r="E30" i="23"/>
  <c r="Q30" i="23" s="1"/>
  <c r="Q31" i="21"/>
  <c r="K41" i="24"/>
  <c r="R41" i="24" s="1"/>
  <c r="S41" i="22"/>
  <c r="T41" i="22" s="1"/>
  <c r="O45" i="22"/>
  <c r="O45" i="24" s="1"/>
  <c r="G45" i="22"/>
  <c r="G45" i="24" s="1"/>
  <c r="P45" i="22"/>
  <c r="P45" i="24" s="1"/>
  <c r="H45" i="22"/>
  <c r="H45" i="24" s="1"/>
  <c r="E45" i="22"/>
  <c r="J45" i="22"/>
  <c r="J45" i="24" s="1"/>
  <c r="F45" i="22"/>
  <c r="F45" i="24" s="1"/>
  <c r="I45" i="22"/>
  <c r="I45" i="24" s="1"/>
  <c r="N45" i="22"/>
  <c r="N45" i="24" s="1"/>
  <c r="L45" i="22"/>
  <c r="L45" i="24" s="1"/>
  <c r="M45" i="22"/>
  <c r="M45" i="24" s="1"/>
  <c r="K45" i="22"/>
  <c r="K67" i="22" s="1"/>
  <c r="I39" i="23"/>
  <c r="E44" i="24"/>
  <c r="Q44" i="24" s="1"/>
  <c r="Q44" i="22"/>
  <c r="E42" i="23"/>
  <c r="Q42" i="23" s="1"/>
  <c r="Q43" i="21"/>
  <c r="K33" i="23"/>
  <c r="R33" i="23" s="1"/>
  <c r="S34" i="21"/>
  <c r="T34" i="21" s="1"/>
  <c r="E21" i="23"/>
  <c r="Q21" i="23" s="1"/>
  <c r="Q22" i="21"/>
  <c r="E24" i="23"/>
  <c r="Q24" i="23" s="1"/>
  <c r="Q25" i="21"/>
  <c r="K47" i="24"/>
  <c r="R47" i="24" s="1"/>
  <c r="S47" i="22"/>
  <c r="T47" i="22" s="1"/>
  <c r="K38" i="24"/>
  <c r="R38" i="24" s="1"/>
  <c r="S38" i="22"/>
  <c r="T38" i="22" s="1"/>
  <c r="K30" i="24"/>
  <c r="R30" i="24" s="1"/>
  <c r="S30" i="22"/>
  <c r="T30" i="22" s="1"/>
  <c r="K47" i="23"/>
  <c r="R47" i="23" s="1"/>
  <c r="S48" i="21"/>
  <c r="T48" i="21" s="1"/>
  <c r="K27" i="23"/>
  <c r="R27" i="23" s="1"/>
  <c r="S28" i="21"/>
  <c r="T28" i="21" s="1"/>
  <c r="L39" i="24"/>
  <c r="I19" i="24"/>
  <c r="O19" i="24"/>
  <c r="E20" i="23"/>
  <c r="Q20" i="23" s="1"/>
  <c r="Q21" i="21"/>
  <c r="K35" i="24"/>
  <c r="R35" i="24" s="1"/>
  <c r="S35" i="22"/>
  <c r="T35" i="22" s="1"/>
  <c r="K30" i="23"/>
  <c r="R30" i="23" s="1"/>
  <c r="S31" i="21"/>
  <c r="T31" i="21" s="1"/>
  <c r="E35" i="23"/>
  <c r="Q35" i="23" s="1"/>
  <c r="Q36" i="21"/>
  <c r="L39" i="23"/>
  <c r="K28" i="24"/>
  <c r="R28" i="24" s="1"/>
  <c r="S28" i="22"/>
  <c r="T28" i="22" s="1"/>
  <c r="K42" i="23"/>
  <c r="R42" i="23" s="1"/>
  <c r="S43" i="21"/>
  <c r="T43" i="21" s="1"/>
  <c r="Q55" i="22"/>
  <c r="K45" i="23"/>
  <c r="R45" i="23" s="1"/>
  <c r="S46" i="21"/>
  <c r="T46" i="21" s="1"/>
  <c r="K23" i="23"/>
  <c r="R23" i="23" s="1"/>
  <c r="S24" i="21"/>
  <c r="T24" i="21" s="1"/>
  <c r="K24" i="23"/>
  <c r="R24" i="23" s="1"/>
  <c r="S25" i="21"/>
  <c r="T25" i="21" s="1"/>
  <c r="E47" i="24"/>
  <c r="Q47" i="24" s="1"/>
  <c r="S47" i="24" s="1"/>
  <c r="Q47" i="22"/>
  <c r="E47" i="23"/>
  <c r="Q47" i="23" s="1"/>
  <c r="Q48" i="21"/>
  <c r="E39" i="24"/>
  <c r="E67" i="22"/>
  <c r="Q39" i="22"/>
  <c r="E38" i="23"/>
  <c r="Q38" i="23" s="1"/>
  <c r="S38" i="23" s="1"/>
  <c r="Q39" i="21"/>
  <c r="K42" i="24"/>
  <c r="R42" i="24" s="1"/>
  <c r="S42" i="22"/>
  <c r="T42" i="22" s="1"/>
  <c r="K34" i="23"/>
  <c r="R34" i="23" s="1"/>
  <c r="S35" i="21"/>
  <c r="T35" i="21" s="1"/>
  <c r="K27" i="24"/>
  <c r="R27" i="24" s="1"/>
  <c r="S27" i="22"/>
  <c r="T27" i="22" s="1"/>
  <c r="F19" i="24"/>
  <c r="R23" i="21"/>
  <c r="U23" i="21"/>
  <c r="V23" i="21" s="1"/>
  <c r="W23" i="21" s="1"/>
  <c r="K26" i="24"/>
  <c r="R26" i="24" s="1"/>
  <c r="S26" i="22"/>
  <c r="T26" i="22" s="1"/>
  <c r="K35" i="23"/>
  <c r="R35" i="23" s="1"/>
  <c r="S36" i="21"/>
  <c r="T36" i="21" s="1"/>
  <c r="E33" i="24"/>
  <c r="Q33" i="24" s="1"/>
  <c r="Q33" i="22"/>
  <c r="F39" i="23"/>
  <c r="M39" i="23"/>
  <c r="K44" i="24"/>
  <c r="R44" i="24" s="1"/>
  <c r="S44" i="22"/>
  <c r="T44" i="22" s="1"/>
  <c r="E33" i="23"/>
  <c r="Q33" i="23" s="1"/>
  <c r="Q34" i="21"/>
  <c r="E45" i="23"/>
  <c r="Q45" i="23" s="1"/>
  <c r="Q46" i="21"/>
  <c r="E23" i="23"/>
  <c r="Q23" i="23" s="1"/>
  <c r="Q24" i="21"/>
  <c r="M39" i="24"/>
  <c r="J39" i="24"/>
  <c r="E43" i="24"/>
  <c r="Q43" i="24" s="1"/>
  <c r="Q43" i="22"/>
  <c r="E24" i="24"/>
  <c r="Q24" i="24" s="1"/>
  <c r="Q24" i="22"/>
  <c r="E25" i="23"/>
  <c r="Q25" i="23" s="1"/>
  <c r="Q26" i="21"/>
  <c r="N19" i="24"/>
  <c r="Y6" i="1"/>
  <c r="X6" i="1"/>
  <c r="K20" i="23"/>
  <c r="R20" i="23" s="1"/>
  <c r="S21" i="21"/>
  <c r="T21" i="21" s="1"/>
  <c r="E35" i="24"/>
  <c r="Q35" i="24" s="1"/>
  <c r="S35" i="24" s="1"/>
  <c r="Q35" i="22"/>
  <c r="K44" i="23"/>
  <c r="R44" i="23" s="1"/>
  <c r="S45" i="21"/>
  <c r="T45" i="21" s="1"/>
  <c r="O29" i="22"/>
  <c r="O29" i="24" s="1"/>
  <c r="P29" i="22"/>
  <c r="P29" i="24" s="1"/>
  <c r="E29" i="22"/>
  <c r="E36" i="22" s="1"/>
  <c r="H29" i="22"/>
  <c r="H29" i="24" s="1"/>
  <c r="J29" i="22"/>
  <c r="J29" i="24" s="1"/>
  <c r="K29" i="22"/>
  <c r="K36" i="22" s="1"/>
  <c r="G29" i="22"/>
  <c r="G29" i="24" s="1"/>
  <c r="N29" i="22"/>
  <c r="N29" i="24" s="1"/>
  <c r="F29" i="22"/>
  <c r="F29" i="24" s="1"/>
  <c r="L29" i="22"/>
  <c r="L29" i="24" s="1"/>
  <c r="I29" i="22"/>
  <c r="I29" i="24" s="1"/>
  <c r="I36" i="24" s="1"/>
  <c r="M29" i="22"/>
  <c r="M29" i="24" s="1"/>
  <c r="G39" i="23"/>
  <c r="H39" i="23"/>
  <c r="E21" i="24"/>
  <c r="Q21" i="24" s="1"/>
  <c r="Q21" i="22"/>
  <c r="E25" i="24"/>
  <c r="Q25" i="24" s="1"/>
  <c r="Q25" i="22"/>
  <c r="E29" i="23"/>
  <c r="Q29" i="23" s="1"/>
  <c r="S29" i="23" s="1"/>
  <c r="Q30" i="21"/>
  <c r="K31" i="23"/>
  <c r="R31" i="23" s="1"/>
  <c r="S32" i="21"/>
  <c r="T32" i="21" s="1"/>
  <c r="E23" i="24"/>
  <c r="Q23" i="24" s="1"/>
  <c r="Q23" i="22"/>
  <c r="K31" i="24"/>
  <c r="R31" i="24" s="1"/>
  <c r="S31" i="22"/>
  <c r="T31" i="22" s="1"/>
  <c r="G39" i="24"/>
  <c r="E28" i="23"/>
  <c r="Q28" i="23" s="1"/>
  <c r="S28" i="23" s="1"/>
  <c r="Q29" i="21"/>
  <c r="K43" i="24"/>
  <c r="R43" i="24" s="1"/>
  <c r="S43" i="22"/>
  <c r="T43" i="22" s="1"/>
  <c r="K24" i="24"/>
  <c r="R24" i="24" s="1"/>
  <c r="S24" i="22"/>
  <c r="T24" i="22" s="1"/>
  <c r="J19" i="24"/>
  <c r="J36" i="22"/>
  <c r="J66" i="22"/>
  <c r="E41" i="23"/>
  <c r="Q41" i="23" s="1"/>
  <c r="S41" i="23" s="1"/>
  <c r="Q42" i="21"/>
  <c r="K40" i="23"/>
  <c r="R40" i="23" s="1"/>
  <c r="S41" i="21"/>
  <c r="T41" i="21" s="1"/>
  <c r="E43" i="23"/>
  <c r="Q43" i="23" s="1"/>
  <c r="S43" i="23" s="1"/>
  <c r="Q44" i="21"/>
  <c r="E34" i="24"/>
  <c r="Q34" i="24" s="1"/>
  <c r="S34" i="24" s="1"/>
  <c r="Q34" i="22"/>
  <c r="K40" i="24"/>
  <c r="R40" i="24" s="1"/>
  <c r="S40" i="22"/>
  <c r="T40" i="22" s="1"/>
  <c r="D36" i="22"/>
  <c r="S21" i="24" l="1"/>
  <c r="S23" i="24"/>
  <c r="S45" i="23"/>
  <c r="J67" i="22"/>
  <c r="S25" i="24"/>
  <c r="J68" i="22"/>
  <c r="J69" i="22" s="1"/>
  <c r="S25" i="23"/>
  <c r="S33" i="24"/>
  <c r="J36" i="24"/>
  <c r="Z6" i="1"/>
  <c r="AA6" i="1" s="1"/>
  <c r="S27" i="23"/>
  <c r="S40" i="24"/>
  <c r="Q39" i="24"/>
  <c r="S20" i="23"/>
  <c r="N36" i="24"/>
  <c r="F67" i="22"/>
  <c r="R23" i="22"/>
  <c r="U23" i="22"/>
  <c r="V23" i="22" s="1"/>
  <c r="W23" i="22" s="1"/>
  <c r="X23" i="22" s="1"/>
  <c r="Y23" i="22" s="1"/>
  <c r="Z23" i="22" s="1"/>
  <c r="R46" i="21"/>
  <c r="U46" i="21"/>
  <c r="V46" i="21" s="1"/>
  <c r="W46" i="21" s="1"/>
  <c r="R48" i="21"/>
  <c r="U48" i="21"/>
  <c r="V48" i="21" s="1"/>
  <c r="W48" i="21" s="1"/>
  <c r="R34" i="22"/>
  <c r="U34" i="22"/>
  <c r="V34" i="22" s="1"/>
  <c r="W34" i="22" s="1"/>
  <c r="X34" i="22" s="1"/>
  <c r="Y34" i="22" s="1"/>
  <c r="Z34" i="22" s="1"/>
  <c r="S33" i="23"/>
  <c r="F36" i="22"/>
  <c r="R47" i="22"/>
  <c r="U47" i="22"/>
  <c r="V47" i="22" s="1"/>
  <c r="W47" i="22" s="1"/>
  <c r="X47" i="22" s="1"/>
  <c r="Y47" i="22" s="1"/>
  <c r="Z47" i="22" s="1"/>
  <c r="R55" i="22"/>
  <c r="U55" i="22"/>
  <c r="V55" i="22" s="1"/>
  <c r="W55" i="22" s="1"/>
  <c r="X55" i="22" s="1"/>
  <c r="Y55" i="22" s="1"/>
  <c r="Z55" i="22" s="1"/>
  <c r="S35" i="23"/>
  <c r="O36" i="24"/>
  <c r="R25" i="21"/>
  <c r="U25" i="21"/>
  <c r="V25" i="21" s="1"/>
  <c r="W25" i="21" s="1"/>
  <c r="R44" i="22"/>
  <c r="U44" i="22"/>
  <c r="V44" i="22" s="1"/>
  <c r="W44" i="22" s="1"/>
  <c r="X44" i="22" s="1"/>
  <c r="Y44" i="22" s="1"/>
  <c r="Z44" i="22" s="1"/>
  <c r="H66" i="22"/>
  <c r="S34" i="23"/>
  <c r="R28" i="21"/>
  <c r="U28" i="21"/>
  <c r="V28" i="21" s="1"/>
  <c r="W28" i="21" s="1"/>
  <c r="R39" i="23"/>
  <c r="G36" i="22"/>
  <c r="S27" i="24"/>
  <c r="S38" i="24"/>
  <c r="E66" i="22"/>
  <c r="E68" i="22" s="1"/>
  <c r="E69" i="22" s="1"/>
  <c r="U42" i="22"/>
  <c r="V42" i="22" s="1"/>
  <c r="W42" i="22" s="1"/>
  <c r="X42" i="22" s="1"/>
  <c r="Y42" i="22" s="1"/>
  <c r="Z42" i="22" s="1"/>
  <c r="R42" i="22"/>
  <c r="S22" i="24"/>
  <c r="G67" i="22"/>
  <c r="R30" i="21"/>
  <c r="U30" i="21"/>
  <c r="V30" i="21" s="1"/>
  <c r="W30" i="21" s="1"/>
  <c r="K29" i="24"/>
  <c r="R29" i="24" s="1"/>
  <c r="S29" i="22"/>
  <c r="T29" i="22" s="1"/>
  <c r="U35" i="22"/>
  <c r="V35" i="22" s="1"/>
  <c r="W35" i="22" s="1"/>
  <c r="X35" i="22" s="1"/>
  <c r="Y35" i="22" s="1"/>
  <c r="Z35" i="22" s="1"/>
  <c r="R35" i="22"/>
  <c r="U26" i="21"/>
  <c r="V26" i="21" s="1"/>
  <c r="W26" i="21" s="1"/>
  <c r="R26" i="21"/>
  <c r="M67" i="22"/>
  <c r="F36" i="24"/>
  <c r="R39" i="21"/>
  <c r="U39" i="21"/>
  <c r="V39" i="21" s="1"/>
  <c r="W39" i="21" s="1"/>
  <c r="I66" i="22"/>
  <c r="S24" i="23"/>
  <c r="S44" i="24"/>
  <c r="H36" i="22"/>
  <c r="R26" i="22"/>
  <c r="U26" i="22"/>
  <c r="V26" i="22" s="1"/>
  <c r="W26" i="22" s="1"/>
  <c r="X26" i="22" s="1"/>
  <c r="Y26" i="22" s="1"/>
  <c r="Z26" i="22" s="1"/>
  <c r="G36" i="24"/>
  <c r="R20" i="22"/>
  <c r="U20" i="22"/>
  <c r="V20" i="22" s="1"/>
  <c r="W20" i="22" s="1"/>
  <c r="X20" i="22" s="1"/>
  <c r="Y20" i="22" s="1"/>
  <c r="Z20" i="22" s="1"/>
  <c r="R32" i="21"/>
  <c r="U32" i="21"/>
  <c r="V32" i="21" s="1"/>
  <c r="W32" i="21" s="1"/>
  <c r="R41" i="22"/>
  <c r="U41" i="22"/>
  <c r="V41" i="22" s="1"/>
  <c r="W41" i="22" s="1"/>
  <c r="X41" i="22" s="1"/>
  <c r="Y41" i="22" s="1"/>
  <c r="Z41" i="22" s="1"/>
  <c r="S42" i="24"/>
  <c r="H67" i="22"/>
  <c r="R45" i="21"/>
  <c r="U45" i="21"/>
  <c r="V45" i="21" s="1"/>
  <c r="W45" i="21" s="1"/>
  <c r="R28" i="22"/>
  <c r="U28" i="22"/>
  <c r="V28" i="22" s="1"/>
  <c r="W28" i="22" s="1"/>
  <c r="X28" i="22" s="1"/>
  <c r="Y28" i="22" s="1"/>
  <c r="Z28" i="22" s="1"/>
  <c r="R21" i="22"/>
  <c r="U21" i="22"/>
  <c r="V21" i="22" s="1"/>
  <c r="W21" i="22" s="1"/>
  <c r="X21" i="22" s="1"/>
  <c r="Y21" i="22" s="1"/>
  <c r="Z21" i="22" s="1"/>
  <c r="R44" i="21"/>
  <c r="U44" i="21"/>
  <c r="V44" i="21" s="1"/>
  <c r="W44" i="21" s="1"/>
  <c r="I36" i="22"/>
  <c r="U22" i="21"/>
  <c r="V22" i="21" s="1"/>
  <c r="W22" i="21" s="1"/>
  <c r="R22" i="21"/>
  <c r="R31" i="21"/>
  <c r="U31" i="21"/>
  <c r="V31" i="21" s="1"/>
  <c r="W31" i="21" s="1"/>
  <c r="H36" i="24"/>
  <c r="R30" i="22"/>
  <c r="U30" i="22"/>
  <c r="V30" i="22" s="1"/>
  <c r="W30" i="22" s="1"/>
  <c r="X30" i="22" s="1"/>
  <c r="Y30" i="22" s="1"/>
  <c r="Z30" i="22" s="1"/>
  <c r="S26" i="24"/>
  <c r="M66" i="22"/>
  <c r="S20" i="24"/>
  <c r="S31" i="23"/>
  <c r="S41" i="24"/>
  <c r="Q19" i="24"/>
  <c r="R32" i="22"/>
  <c r="U32" i="22"/>
  <c r="V32" i="22" s="1"/>
  <c r="W32" i="22" s="1"/>
  <c r="X32" i="22" s="1"/>
  <c r="Y32" i="22" s="1"/>
  <c r="Z32" i="22" s="1"/>
  <c r="S44" i="23"/>
  <c r="S28" i="24"/>
  <c r="R43" i="22"/>
  <c r="U43" i="22"/>
  <c r="V43" i="22" s="1"/>
  <c r="W43" i="22" s="1"/>
  <c r="X43" i="22" s="1"/>
  <c r="Y43" i="22" s="1"/>
  <c r="Z43" i="22" s="1"/>
  <c r="U21" i="21"/>
  <c r="V21" i="21" s="1"/>
  <c r="W21" i="21" s="1"/>
  <c r="R21" i="21"/>
  <c r="S43" i="24"/>
  <c r="U25" i="22"/>
  <c r="V25" i="22" s="1"/>
  <c r="W25" i="22" s="1"/>
  <c r="X25" i="22" s="1"/>
  <c r="Y25" i="22" s="1"/>
  <c r="Z25" i="22" s="1"/>
  <c r="R25" i="22"/>
  <c r="U24" i="22"/>
  <c r="V24" i="22" s="1"/>
  <c r="W24" i="22" s="1"/>
  <c r="X24" i="22" s="1"/>
  <c r="Y24" i="22" s="1"/>
  <c r="Z24" i="22" s="1"/>
  <c r="R24" i="22"/>
  <c r="U24" i="21"/>
  <c r="V24" i="21" s="1"/>
  <c r="W24" i="21" s="1"/>
  <c r="R24" i="21"/>
  <c r="R39" i="22"/>
  <c r="U39" i="22"/>
  <c r="V39" i="22" s="1"/>
  <c r="W39" i="22" s="1"/>
  <c r="X39" i="22" s="1"/>
  <c r="Y39" i="22" s="1"/>
  <c r="Z39" i="22" s="1"/>
  <c r="S21" i="23"/>
  <c r="E45" i="24"/>
  <c r="Q45" i="24" s="1"/>
  <c r="Q45" i="22"/>
  <c r="S30" i="23"/>
  <c r="S30" i="24"/>
  <c r="M36" i="22"/>
  <c r="L66" i="22"/>
  <c r="S32" i="24"/>
  <c r="P36" i="24"/>
  <c r="I67" i="22"/>
  <c r="U33" i="21"/>
  <c r="V33" i="21" s="1"/>
  <c r="W33" i="21" s="1"/>
  <c r="R33" i="21"/>
  <c r="U42" i="21"/>
  <c r="V42" i="21" s="1"/>
  <c r="W42" i="21" s="1"/>
  <c r="R42" i="21"/>
  <c r="E29" i="24"/>
  <c r="Q29" i="24" s="1"/>
  <c r="Q29" i="22"/>
  <c r="S24" i="24"/>
  <c r="S23" i="23"/>
  <c r="L67" i="22"/>
  <c r="K45" i="24"/>
  <c r="R45" i="24" s="1"/>
  <c r="S45" i="22"/>
  <c r="T45" i="22" s="1"/>
  <c r="R40" i="22"/>
  <c r="U40" i="22"/>
  <c r="V40" i="22" s="1"/>
  <c r="W40" i="22" s="1"/>
  <c r="X40" i="22" s="1"/>
  <c r="Y40" i="22" s="1"/>
  <c r="Z40" i="22" s="1"/>
  <c r="K66" i="22"/>
  <c r="K68" i="22" s="1"/>
  <c r="K69" i="22" s="1"/>
  <c r="M36" i="24"/>
  <c r="L36" i="22"/>
  <c r="R31" i="22"/>
  <c r="U31" i="22"/>
  <c r="V31" i="22" s="1"/>
  <c r="W31" i="22" s="1"/>
  <c r="X31" i="22" s="1"/>
  <c r="Y31" i="22" s="1"/>
  <c r="Z31" i="22" s="1"/>
  <c r="P36" i="22"/>
  <c r="S32" i="23"/>
  <c r="X23" i="21"/>
  <c r="Y23" i="21" s="1"/>
  <c r="Z23" i="21" s="1"/>
  <c r="R41" i="21"/>
  <c r="U41" i="21"/>
  <c r="V41" i="21" s="1"/>
  <c r="W41" i="21" s="1"/>
  <c r="L36" i="24"/>
  <c r="S31" i="24"/>
  <c r="U40" i="21"/>
  <c r="V40" i="21" s="1"/>
  <c r="W40" i="21" s="1"/>
  <c r="R40" i="21"/>
  <c r="R43" i="21"/>
  <c r="U43" i="21"/>
  <c r="V43" i="21" s="1"/>
  <c r="W43" i="21" s="1"/>
  <c r="R19" i="24"/>
  <c r="S40" i="23"/>
  <c r="U27" i="21"/>
  <c r="V27" i="21" s="1"/>
  <c r="W27" i="21" s="1"/>
  <c r="R27" i="21"/>
  <c r="U29" i="21"/>
  <c r="V29" i="21" s="1"/>
  <c r="W29" i="21" s="1"/>
  <c r="R29" i="21"/>
  <c r="N36" i="22"/>
  <c r="U34" i="21"/>
  <c r="V34" i="21" s="1"/>
  <c r="W34" i="21" s="1"/>
  <c r="R34" i="21"/>
  <c r="R33" i="22"/>
  <c r="U33" i="22"/>
  <c r="V33" i="22" s="1"/>
  <c r="W33" i="22" s="1"/>
  <c r="X33" i="22" s="1"/>
  <c r="Y33" i="22" s="1"/>
  <c r="Z33" i="22" s="1"/>
  <c r="F66" i="22"/>
  <c r="S47" i="23"/>
  <c r="U36" i="21"/>
  <c r="V36" i="21" s="1"/>
  <c r="W36" i="21" s="1"/>
  <c r="R36" i="21"/>
  <c r="O36" i="22"/>
  <c r="S42" i="23"/>
  <c r="R35" i="21"/>
  <c r="U35" i="21"/>
  <c r="V35" i="21" s="1"/>
  <c r="W35" i="21" s="1"/>
  <c r="R39" i="24"/>
  <c r="S39" i="24" s="1"/>
  <c r="G66" i="22"/>
  <c r="G68" i="22" s="1"/>
  <c r="G69" i="22" s="1"/>
  <c r="U27" i="22"/>
  <c r="V27" i="22" s="1"/>
  <c r="W27" i="22" s="1"/>
  <c r="X27" i="22" s="1"/>
  <c r="Y27" i="22" s="1"/>
  <c r="Z27" i="22" s="1"/>
  <c r="R27" i="22"/>
  <c r="U38" i="22"/>
  <c r="V38" i="22" s="1"/>
  <c r="W38" i="22" s="1"/>
  <c r="X38" i="22" s="1"/>
  <c r="Y38" i="22" s="1"/>
  <c r="Z38" i="22" s="1"/>
  <c r="R38" i="22"/>
  <c r="U19" i="22"/>
  <c r="V19" i="22" s="1"/>
  <c r="W19" i="22" s="1"/>
  <c r="X19" i="22" s="1"/>
  <c r="Y19" i="22" s="1"/>
  <c r="Z19" i="22" s="1"/>
  <c r="R19" i="22"/>
  <c r="S26" i="23"/>
  <c r="U22" i="22"/>
  <c r="V22" i="22" s="1"/>
  <c r="W22" i="22" s="1"/>
  <c r="X22" i="22" s="1"/>
  <c r="Y22" i="22" s="1"/>
  <c r="Z22" i="22" s="1"/>
  <c r="R22" i="22"/>
  <c r="Q39" i="23"/>
  <c r="S39" i="23" s="1"/>
  <c r="F68" i="22" l="1"/>
  <c r="F69" i="22" s="1"/>
  <c r="K36" i="24"/>
  <c r="S29" i="24"/>
  <c r="E36" i="24"/>
  <c r="Q36" i="24" s="1"/>
  <c r="L68" i="22"/>
  <c r="L69" i="22" s="1"/>
  <c r="Q36" i="22"/>
  <c r="R36" i="22" s="1"/>
  <c r="S36" i="22"/>
  <c r="T36" i="22" s="1"/>
  <c r="X36" i="21"/>
  <c r="Y36" i="21" s="1"/>
  <c r="Z36" i="21" s="1"/>
  <c r="S45" i="24"/>
  <c r="X22" i="21"/>
  <c r="Y22" i="21" s="1"/>
  <c r="Z22" i="21" s="1"/>
  <c r="U29" i="22"/>
  <c r="V29" i="22" s="1"/>
  <c r="W29" i="22" s="1"/>
  <c r="X29" i="22" s="1"/>
  <c r="Y29" i="22" s="1"/>
  <c r="Z29" i="22" s="1"/>
  <c r="R29" i="22"/>
  <c r="X45" i="21"/>
  <c r="Y45" i="21" s="1"/>
  <c r="Z45" i="21" s="1"/>
  <c r="I68" i="22"/>
  <c r="I69" i="22" s="1"/>
  <c r="X48" i="21"/>
  <c r="Y48" i="21" s="1"/>
  <c r="Z48" i="21" s="1"/>
  <c r="X29" i="21"/>
  <c r="Y29" i="21" s="1"/>
  <c r="Z29" i="21" s="1"/>
  <c r="X44" i="21"/>
  <c r="Y44" i="21" s="1"/>
  <c r="Z44" i="21" s="1"/>
  <c r="X39" i="21"/>
  <c r="Y39" i="21" s="1"/>
  <c r="Z39" i="21" s="1"/>
  <c r="H68" i="22"/>
  <c r="H69" i="22" s="1"/>
  <c r="X35" i="21"/>
  <c r="Y35" i="21" s="1"/>
  <c r="Z35" i="21" s="1"/>
  <c r="X27" i="21"/>
  <c r="Y27" i="21" s="1"/>
  <c r="Z27" i="21" s="1"/>
  <c r="X40" i="21"/>
  <c r="Y40" i="21" s="1"/>
  <c r="Z40" i="21" s="1"/>
  <c r="S19" i="24"/>
  <c r="X46" i="21"/>
  <c r="Y46" i="21" s="1"/>
  <c r="Z46" i="21" s="1"/>
  <c r="X42" i="21"/>
  <c r="Y42" i="21" s="1"/>
  <c r="Z42" i="21" s="1"/>
  <c r="X21" i="21"/>
  <c r="Y21" i="21" s="1"/>
  <c r="Z21" i="21" s="1"/>
  <c r="X30" i="21"/>
  <c r="Y30" i="21" s="1"/>
  <c r="Z30" i="21" s="1"/>
  <c r="X24" i="21"/>
  <c r="Y24" i="21" s="1"/>
  <c r="Z24" i="21" s="1"/>
  <c r="X31" i="21"/>
  <c r="Y31" i="21" s="1"/>
  <c r="Z31" i="21" s="1"/>
  <c r="M68" i="22"/>
  <c r="M69" i="22" s="1"/>
  <c r="X25" i="21"/>
  <c r="Y25" i="21" s="1"/>
  <c r="Z25" i="21" s="1"/>
  <c r="X34" i="21"/>
  <c r="Y34" i="21" s="1"/>
  <c r="Z34" i="21" s="1"/>
  <c r="R36" i="24"/>
  <c r="X41" i="21"/>
  <c r="Y41" i="21" s="1"/>
  <c r="Z41" i="21" s="1"/>
  <c r="X43" i="21"/>
  <c r="Y43" i="21" s="1"/>
  <c r="Z43" i="21" s="1"/>
  <c r="X33" i="21"/>
  <c r="Y33" i="21" s="1"/>
  <c r="Z33" i="21" s="1"/>
  <c r="U45" i="22"/>
  <c r="V45" i="22" s="1"/>
  <c r="W45" i="22" s="1"/>
  <c r="X45" i="22" s="1"/>
  <c r="Y45" i="22" s="1"/>
  <c r="Z45" i="22" s="1"/>
  <c r="R45" i="22"/>
  <c r="X32" i="21"/>
  <c r="Y32" i="21" s="1"/>
  <c r="Z32" i="21" s="1"/>
  <c r="X26" i="21"/>
  <c r="Y26" i="21" s="1"/>
  <c r="Z26" i="21" s="1"/>
  <c r="X28" i="21"/>
  <c r="Y28" i="21" s="1"/>
  <c r="Z28" i="21" s="1"/>
  <c r="S36" i="24" l="1"/>
  <c r="U36" i="22"/>
  <c r="V36" i="22" s="1"/>
  <c r="W36" i="22" s="1"/>
  <c r="X36" i="22" s="1"/>
  <c r="Y36" i="22" s="1"/>
  <c r="Z36" i="22" s="1"/>
  <c r="E20" i="1"/>
  <c r="E23" i="1"/>
  <c r="E32" i="1"/>
  <c r="E16" i="1"/>
  <c r="E18" i="1"/>
  <c r="E34" i="1"/>
  <c r="E24" i="1"/>
  <c r="E31" i="1"/>
  <c r="E29" i="1"/>
  <c r="E17" i="1"/>
  <c r="E26" i="1"/>
  <c r="E21" i="1"/>
  <c r="E33" i="1"/>
  <c r="E27" i="1"/>
  <c r="E25" i="1"/>
  <c r="E28" i="1"/>
  <c r="E30" i="1"/>
  <c r="E19" i="1"/>
  <c r="E35" i="1"/>
  <c r="J33" i="1" l="1"/>
  <c r="J33" i="2" s="1"/>
  <c r="O33" i="1"/>
  <c r="O33" i="2" s="1"/>
  <c r="N33" i="1"/>
  <c r="N33" i="2" s="1"/>
  <c r="F33" i="1"/>
  <c r="H33" i="1"/>
  <c r="H33" i="2" s="1"/>
  <c r="G33" i="1"/>
  <c r="G33" i="2" s="1"/>
  <c r="K33" i="1"/>
  <c r="K33" i="2" s="1"/>
  <c r="P33" i="1"/>
  <c r="P33" i="2" s="1"/>
  <c r="Q33" i="1"/>
  <c r="Q33" i="2" s="1"/>
  <c r="L33" i="1"/>
  <c r="I33" i="1"/>
  <c r="I33" i="2" s="1"/>
  <c r="M33" i="1"/>
  <c r="M33" i="2" s="1"/>
  <c r="L18" i="1"/>
  <c r="Q18" i="1"/>
  <c r="Q18" i="2" s="1"/>
  <c r="H18" i="1"/>
  <c r="H18" i="2" s="1"/>
  <c r="M18" i="1"/>
  <c r="M18" i="2" s="1"/>
  <c r="J18" i="1"/>
  <c r="J18" i="2" s="1"/>
  <c r="N18" i="1"/>
  <c r="N18" i="2" s="1"/>
  <c r="F18" i="1"/>
  <c r="G18" i="1"/>
  <c r="G18" i="2" s="1"/>
  <c r="K18" i="1"/>
  <c r="K18" i="2" s="1"/>
  <c r="O18" i="1"/>
  <c r="O18" i="2" s="1"/>
  <c r="P18" i="1"/>
  <c r="P18" i="2" s="1"/>
  <c r="I18" i="1"/>
  <c r="I18" i="2" s="1"/>
  <c r="F21" i="1"/>
  <c r="P21" i="1"/>
  <c r="P21" i="2" s="1"/>
  <c r="M21" i="1"/>
  <c r="M21" i="2" s="1"/>
  <c r="N21" i="1"/>
  <c r="N21" i="2" s="1"/>
  <c r="G21" i="1"/>
  <c r="G21" i="2" s="1"/>
  <c r="I21" i="1"/>
  <c r="I21" i="2" s="1"/>
  <c r="Q21" i="1"/>
  <c r="Q21" i="2" s="1"/>
  <c r="O21" i="1"/>
  <c r="O21" i="2" s="1"/>
  <c r="L21" i="1"/>
  <c r="J21" i="1"/>
  <c r="J21" i="2" s="1"/>
  <c r="H21" i="1"/>
  <c r="H21" i="2" s="1"/>
  <c r="K21" i="1"/>
  <c r="K21" i="2" s="1"/>
  <c r="I19" i="1"/>
  <c r="I19" i="2" s="1"/>
  <c r="F19" i="1"/>
  <c r="Q19" i="1"/>
  <c r="Q19" i="2" s="1"/>
  <c r="H19" i="1"/>
  <c r="H19" i="2" s="1"/>
  <c r="J19" i="1"/>
  <c r="J19" i="2" s="1"/>
  <c r="G19" i="1"/>
  <c r="G19" i="2" s="1"/>
  <c r="P19" i="1"/>
  <c r="P19" i="2" s="1"/>
  <c r="K19" i="1"/>
  <c r="K19" i="2" s="1"/>
  <c r="O19" i="1"/>
  <c r="O19" i="2" s="1"/>
  <c r="L19" i="1"/>
  <c r="M19" i="1"/>
  <c r="M19" i="2" s="1"/>
  <c r="N19" i="1"/>
  <c r="N19" i="2" s="1"/>
  <c r="M16" i="1"/>
  <c r="J16" i="1"/>
  <c r="F16" i="1"/>
  <c r="H16" i="1"/>
  <c r="N16" i="1"/>
  <c r="P16" i="1"/>
  <c r="I16" i="1"/>
  <c r="Q16" i="1"/>
  <c r="G16" i="1"/>
  <c r="O16" i="1"/>
  <c r="K16" i="1"/>
  <c r="L16" i="1"/>
  <c r="O32" i="1"/>
  <c r="O32" i="2" s="1"/>
  <c r="Q32" i="1"/>
  <c r="Q32" i="2" s="1"/>
  <c r="F32" i="1"/>
  <c r="K32" i="1"/>
  <c r="K32" i="2" s="1"/>
  <c r="H32" i="1"/>
  <c r="H32" i="2" s="1"/>
  <c r="L32" i="1"/>
  <c r="P32" i="1"/>
  <c r="P32" i="2" s="1"/>
  <c r="N32" i="1"/>
  <c r="N32" i="2" s="1"/>
  <c r="I32" i="1"/>
  <c r="I32" i="2" s="1"/>
  <c r="M32" i="1"/>
  <c r="M32" i="2" s="1"/>
  <c r="G32" i="1"/>
  <c r="G32" i="2" s="1"/>
  <c r="J32" i="1"/>
  <c r="J32" i="2" s="1"/>
  <c r="I34" i="1"/>
  <c r="I34" i="2" s="1"/>
  <c r="Q34" i="1"/>
  <c r="Q34" i="2" s="1"/>
  <c r="O34" i="1"/>
  <c r="O34" i="2" s="1"/>
  <c r="M34" i="1"/>
  <c r="M34" i="2" s="1"/>
  <c r="J34" i="1"/>
  <c r="J34" i="2" s="1"/>
  <c r="L34" i="1"/>
  <c r="H34" i="1"/>
  <c r="H34" i="2" s="1"/>
  <c r="F34" i="1"/>
  <c r="N34" i="1"/>
  <c r="N34" i="2" s="1"/>
  <c r="P34" i="1"/>
  <c r="P34" i="2" s="1"/>
  <c r="G34" i="1"/>
  <c r="G34" i="2" s="1"/>
  <c r="K34" i="1"/>
  <c r="K34" i="2" s="1"/>
  <c r="G26" i="1"/>
  <c r="G26" i="2" s="1"/>
  <c r="N26" i="1"/>
  <c r="N26" i="2" s="1"/>
  <c r="I26" i="1"/>
  <c r="I26" i="2" s="1"/>
  <c r="K26" i="1"/>
  <c r="K26" i="2" s="1"/>
  <c r="O26" i="1"/>
  <c r="O26" i="2" s="1"/>
  <c r="L26" i="1"/>
  <c r="Q26" i="1"/>
  <c r="Q26" i="2" s="1"/>
  <c r="H26" i="1"/>
  <c r="H26" i="2" s="1"/>
  <c r="M26" i="1"/>
  <c r="M26" i="2" s="1"/>
  <c r="P26" i="1"/>
  <c r="P26" i="2" s="1"/>
  <c r="F26" i="1"/>
  <c r="J26" i="1"/>
  <c r="J26" i="2" s="1"/>
  <c r="G17" i="1"/>
  <c r="G17" i="2" s="1"/>
  <c r="K17" i="1"/>
  <c r="K17" i="2" s="1"/>
  <c r="O17" i="1"/>
  <c r="O17" i="2" s="1"/>
  <c r="L17" i="1"/>
  <c r="H17" i="1"/>
  <c r="H17" i="2" s="1"/>
  <c r="M17" i="1"/>
  <c r="M17" i="2" s="1"/>
  <c r="N17" i="1"/>
  <c r="N17" i="2" s="1"/>
  <c r="J17" i="1"/>
  <c r="J17" i="2" s="1"/>
  <c r="P17" i="1"/>
  <c r="P17" i="2" s="1"/>
  <c r="F17" i="1"/>
  <c r="I17" i="1"/>
  <c r="I17" i="2" s="1"/>
  <c r="Q17" i="1"/>
  <c r="Q17" i="2" s="1"/>
  <c r="J23" i="1"/>
  <c r="H23" i="1"/>
  <c r="P23" i="1"/>
  <c r="M23" i="1"/>
  <c r="F23" i="1"/>
  <c r="Q23" i="1"/>
  <c r="K23" i="1"/>
  <c r="O23" i="1"/>
  <c r="L23" i="1"/>
  <c r="G23" i="1"/>
  <c r="I23" i="1"/>
  <c r="N23" i="1"/>
  <c r="M24" i="1"/>
  <c r="I24" i="1"/>
  <c r="L24" i="1"/>
  <c r="P24" i="1"/>
  <c r="P24" i="2" s="1"/>
  <c r="N24" i="1"/>
  <c r="Q24" i="1"/>
  <c r="Q24" i="2" s="1"/>
  <c r="F24" i="1"/>
  <c r="J24" i="1"/>
  <c r="G24" i="1"/>
  <c r="K24" i="1"/>
  <c r="H24" i="1"/>
  <c r="O24" i="1"/>
  <c r="O24" i="2" s="1"/>
  <c r="P29" i="1"/>
  <c r="P29" i="2" s="1"/>
  <c r="N29" i="1"/>
  <c r="N29" i="2" s="1"/>
  <c r="G29" i="1"/>
  <c r="G29" i="2" s="1"/>
  <c r="K29" i="1"/>
  <c r="K29" i="2" s="1"/>
  <c r="H29" i="1"/>
  <c r="H29" i="2" s="1"/>
  <c r="I29" i="1"/>
  <c r="I29" i="2" s="1"/>
  <c r="Q29" i="1"/>
  <c r="Q29" i="2" s="1"/>
  <c r="F29" i="1"/>
  <c r="M29" i="1"/>
  <c r="M29" i="2" s="1"/>
  <c r="J29" i="1"/>
  <c r="J29" i="2" s="1"/>
  <c r="O29" i="1"/>
  <c r="O29" i="2" s="1"/>
  <c r="L29" i="1"/>
  <c r="N20" i="1"/>
  <c r="N20" i="2" s="1"/>
  <c r="J20" i="1"/>
  <c r="J20" i="2" s="1"/>
  <c r="G20" i="1"/>
  <c r="G20" i="2" s="1"/>
  <c r="F20" i="1"/>
  <c r="I20" i="1"/>
  <c r="I20" i="2" s="1"/>
  <c r="Q20" i="1"/>
  <c r="Q20" i="2" s="1"/>
  <c r="O20" i="1"/>
  <c r="O20" i="2" s="1"/>
  <c r="K20" i="1"/>
  <c r="K20" i="2" s="1"/>
  <c r="P20" i="1"/>
  <c r="P20" i="2" s="1"/>
  <c r="H20" i="1"/>
  <c r="H20" i="2" s="1"/>
  <c r="L20" i="1"/>
  <c r="M20" i="1"/>
  <c r="M20" i="2" s="1"/>
  <c r="O35" i="1"/>
  <c r="O35" i="2" s="1"/>
  <c r="I35" i="1"/>
  <c r="I35" i="2" s="1"/>
  <c r="M35" i="1"/>
  <c r="M35" i="2" s="1"/>
  <c r="J35" i="1"/>
  <c r="J35" i="2" s="1"/>
  <c r="F35" i="1"/>
  <c r="H35" i="1"/>
  <c r="H35" i="2" s="1"/>
  <c r="L35" i="1"/>
  <c r="P35" i="1"/>
  <c r="P35" i="2" s="1"/>
  <c r="K35" i="1"/>
  <c r="K35" i="2" s="1"/>
  <c r="Q35" i="1"/>
  <c r="Q35" i="2" s="1"/>
  <c r="N35" i="1"/>
  <c r="N35" i="2" s="1"/>
  <c r="G35" i="1"/>
  <c r="G35" i="2" s="1"/>
  <c r="K30" i="1"/>
  <c r="K30" i="2" s="1"/>
  <c r="P30" i="1"/>
  <c r="P30" i="2" s="1"/>
  <c r="L30" i="1"/>
  <c r="I30" i="1"/>
  <c r="I30" i="2" s="1"/>
  <c r="F30" i="1"/>
  <c r="G30" i="1"/>
  <c r="G30" i="2" s="1"/>
  <c r="M30" i="1"/>
  <c r="M30" i="2" s="1"/>
  <c r="Q30" i="1"/>
  <c r="Q30" i="2" s="1"/>
  <c r="N30" i="1"/>
  <c r="N30" i="2" s="1"/>
  <c r="J30" i="1"/>
  <c r="J30" i="2" s="1"/>
  <c r="H30" i="1"/>
  <c r="H30" i="2" s="1"/>
  <c r="O30" i="1"/>
  <c r="O30" i="2" s="1"/>
  <c r="H28" i="1"/>
  <c r="H28" i="2" s="1"/>
  <c r="Q28" i="1"/>
  <c r="Q28" i="2" s="1"/>
  <c r="G28" i="1"/>
  <c r="G28" i="2" s="1"/>
  <c r="K28" i="1"/>
  <c r="K28" i="2" s="1"/>
  <c r="L28" i="1"/>
  <c r="P28" i="1"/>
  <c r="P28" i="2" s="1"/>
  <c r="M28" i="1"/>
  <c r="M28" i="2" s="1"/>
  <c r="J28" i="1"/>
  <c r="J28" i="2" s="1"/>
  <c r="O28" i="1"/>
  <c r="O28" i="2" s="1"/>
  <c r="N28" i="1"/>
  <c r="N28" i="2" s="1"/>
  <c r="I28" i="1"/>
  <c r="I28" i="2" s="1"/>
  <c r="F28" i="1"/>
  <c r="J25" i="1"/>
  <c r="J25" i="2" s="1"/>
  <c r="Q25" i="1"/>
  <c r="Q25" i="2" s="1"/>
  <c r="M25" i="1"/>
  <c r="M25" i="2" s="1"/>
  <c r="F25" i="1"/>
  <c r="H25" i="1"/>
  <c r="H25" i="2" s="1"/>
  <c r="K25" i="1"/>
  <c r="K25" i="2" s="1"/>
  <c r="P25" i="1"/>
  <c r="P25" i="2" s="1"/>
  <c r="L25" i="1"/>
  <c r="I25" i="1"/>
  <c r="I25" i="2" s="1"/>
  <c r="N25" i="1"/>
  <c r="N25" i="2" s="1"/>
  <c r="G25" i="1"/>
  <c r="G25" i="2" s="1"/>
  <c r="O25" i="1"/>
  <c r="O25" i="2" s="1"/>
  <c r="O27" i="1"/>
  <c r="O27" i="2" s="1"/>
  <c r="J27" i="1"/>
  <c r="J27" i="2" s="1"/>
  <c r="N27" i="1"/>
  <c r="N27" i="2" s="1"/>
  <c r="K27" i="1"/>
  <c r="K27" i="2" s="1"/>
  <c r="H27" i="1"/>
  <c r="H27" i="2" s="1"/>
  <c r="L27" i="1"/>
  <c r="P27" i="1"/>
  <c r="P27" i="2" s="1"/>
  <c r="M27" i="1"/>
  <c r="M27" i="2" s="1"/>
  <c r="I27" i="1"/>
  <c r="I27" i="2" s="1"/>
  <c r="Q27" i="1"/>
  <c r="Q27" i="2" s="1"/>
  <c r="F27" i="1"/>
  <c r="G27" i="1"/>
  <c r="G27" i="2" s="1"/>
  <c r="H31" i="1"/>
  <c r="H31" i="2" s="1"/>
  <c r="L31" i="1"/>
  <c r="J31" i="1"/>
  <c r="J31" i="2" s="1"/>
  <c r="P31" i="1"/>
  <c r="P31" i="2" s="1"/>
  <c r="O31" i="1"/>
  <c r="O31" i="2" s="1"/>
  <c r="I31" i="1"/>
  <c r="I31" i="2" s="1"/>
  <c r="M31" i="1"/>
  <c r="M31" i="2" s="1"/>
  <c r="Q31" i="1"/>
  <c r="Q31" i="2" s="1"/>
  <c r="N31" i="1"/>
  <c r="N31" i="2" s="1"/>
  <c r="F31" i="1"/>
  <c r="K31" i="1"/>
  <c r="K31" i="2" s="1"/>
  <c r="G31" i="1"/>
  <c r="G31" i="2" s="1"/>
  <c r="E22" i="1"/>
  <c r="E36" i="1"/>
  <c r="F34" i="2" l="1"/>
  <c r="R34" i="2" s="1"/>
  <c r="R34" i="1"/>
  <c r="F27" i="2"/>
  <c r="R27" i="2" s="1"/>
  <c r="R27" i="1"/>
  <c r="F24" i="2"/>
  <c r="F71" i="1"/>
  <c r="R24" i="1"/>
  <c r="I23" i="2"/>
  <c r="I36" i="1"/>
  <c r="P23" i="2"/>
  <c r="P36" i="2" s="1"/>
  <c r="P36" i="1"/>
  <c r="F26" i="2"/>
  <c r="R26" i="2" s="1"/>
  <c r="R26" i="1"/>
  <c r="F32" i="2"/>
  <c r="R32" i="2" s="1"/>
  <c r="R32" i="1"/>
  <c r="I16" i="2"/>
  <c r="I22" i="2" s="1"/>
  <c r="I22" i="1"/>
  <c r="L25" i="2"/>
  <c r="S25" i="2" s="1"/>
  <c r="T25" i="1"/>
  <c r="U25" i="1" s="1"/>
  <c r="Q16" i="2"/>
  <c r="Q22" i="2" s="1"/>
  <c r="Q22" i="1"/>
  <c r="G23" i="2"/>
  <c r="G36" i="1"/>
  <c r="H23" i="2"/>
  <c r="H36" i="1"/>
  <c r="L34" i="2"/>
  <c r="S34" i="2" s="1"/>
  <c r="T34" i="1"/>
  <c r="U34" i="1" s="1"/>
  <c r="P16" i="2"/>
  <c r="P22" i="2" s="1"/>
  <c r="P22" i="1"/>
  <c r="L19" i="2"/>
  <c r="S19" i="2" s="1"/>
  <c r="T19" i="1"/>
  <c r="U19" i="1" s="1"/>
  <c r="F19" i="2"/>
  <c r="R19" i="2" s="1"/>
  <c r="T19" i="2" s="1"/>
  <c r="R19" i="1"/>
  <c r="F28" i="2"/>
  <c r="R28" i="2" s="1"/>
  <c r="R28" i="1"/>
  <c r="L29" i="2"/>
  <c r="S29" i="2" s="1"/>
  <c r="T29" i="1"/>
  <c r="U29" i="1" s="1"/>
  <c r="F30" i="2"/>
  <c r="R30" i="2" s="1"/>
  <c r="R30" i="1"/>
  <c r="N24" i="2"/>
  <c r="N71" i="1"/>
  <c r="L23" i="2"/>
  <c r="L36" i="1"/>
  <c r="T23" i="1"/>
  <c r="J23" i="2"/>
  <c r="J36" i="1"/>
  <c r="N16" i="2"/>
  <c r="N22" i="2" s="1"/>
  <c r="N22" i="1"/>
  <c r="L18" i="2"/>
  <c r="S18" i="2" s="1"/>
  <c r="T18" i="1"/>
  <c r="U18" i="1" s="1"/>
  <c r="N23" i="2"/>
  <c r="N36" i="1"/>
  <c r="F25" i="2"/>
  <c r="R25" i="2" s="1"/>
  <c r="T25" i="2" s="1"/>
  <c r="R25" i="1"/>
  <c r="F20" i="2"/>
  <c r="R20" i="2" s="1"/>
  <c r="R20" i="1"/>
  <c r="F29" i="2"/>
  <c r="R29" i="2" s="1"/>
  <c r="R29" i="1"/>
  <c r="O23" i="2"/>
  <c r="O36" i="2" s="1"/>
  <c r="O36" i="1"/>
  <c r="L17" i="2"/>
  <c r="S17" i="2" s="1"/>
  <c r="T17" i="1"/>
  <c r="U17" i="1" s="1"/>
  <c r="L16" i="2"/>
  <c r="L22" i="1"/>
  <c r="T16" i="1"/>
  <c r="H16" i="2"/>
  <c r="H22" i="2" s="1"/>
  <c r="H22" i="1"/>
  <c r="F33" i="2"/>
  <c r="R33" i="2" s="1"/>
  <c r="R33" i="1"/>
  <c r="J24" i="2"/>
  <c r="J71" i="1"/>
  <c r="L30" i="2"/>
  <c r="S30" i="2" s="1"/>
  <c r="T30" i="1"/>
  <c r="U30" i="1" s="1"/>
  <c r="L35" i="2"/>
  <c r="S35" i="2" s="1"/>
  <c r="T35" i="1"/>
  <c r="U35" i="1" s="1"/>
  <c r="L20" i="2"/>
  <c r="S20" i="2" s="1"/>
  <c r="T20" i="1"/>
  <c r="U20" i="1" s="1"/>
  <c r="H24" i="2"/>
  <c r="H71" i="1"/>
  <c r="L24" i="2"/>
  <c r="L71" i="1"/>
  <c r="T24" i="1"/>
  <c r="U24" i="1" s="1"/>
  <c r="K23" i="2"/>
  <c r="K36" i="1"/>
  <c r="K16" i="2"/>
  <c r="K22" i="2" s="1"/>
  <c r="K22" i="1"/>
  <c r="F16" i="2"/>
  <c r="F22" i="1"/>
  <c r="F18" i="2"/>
  <c r="R18" i="2" s="1"/>
  <c r="T18" i="2" s="1"/>
  <c r="R18" i="1"/>
  <c r="F31" i="2"/>
  <c r="R31" i="2" s="1"/>
  <c r="R31" i="1"/>
  <c r="L31" i="2"/>
  <c r="S31" i="2" s="1"/>
  <c r="T31" i="1"/>
  <c r="U31" i="1" s="1"/>
  <c r="L27" i="2"/>
  <c r="S27" i="2" s="1"/>
  <c r="T27" i="1"/>
  <c r="U27" i="1" s="1"/>
  <c r="K24" i="2"/>
  <c r="K71" i="1"/>
  <c r="I24" i="2"/>
  <c r="I71" i="1"/>
  <c r="Q23" i="2"/>
  <c r="Q36" i="2" s="1"/>
  <c r="Q36" i="1"/>
  <c r="F17" i="2"/>
  <c r="R17" i="2" s="1"/>
  <c r="T17" i="2" s="1"/>
  <c r="R17" i="1"/>
  <c r="L26" i="2"/>
  <c r="S26" i="2" s="1"/>
  <c r="T26" i="1"/>
  <c r="U26" i="1" s="1"/>
  <c r="L32" i="2"/>
  <c r="S32" i="2" s="1"/>
  <c r="T32" i="1"/>
  <c r="U32" i="1" s="1"/>
  <c r="O16" i="2"/>
  <c r="O22" i="2" s="1"/>
  <c r="O22" i="1"/>
  <c r="J16" i="2"/>
  <c r="J22" i="2" s="1"/>
  <c r="J22" i="1"/>
  <c r="L33" i="2"/>
  <c r="S33" i="2" s="1"/>
  <c r="T33" i="1"/>
  <c r="U33" i="1" s="1"/>
  <c r="M23" i="2"/>
  <c r="M36" i="1"/>
  <c r="L28" i="2"/>
  <c r="S28" i="2" s="1"/>
  <c r="T28" i="1"/>
  <c r="U28" i="1" s="1"/>
  <c r="F35" i="2"/>
  <c r="R35" i="2" s="1"/>
  <c r="T35" i="2" s="1"/>
  <c r="R35" i="1"/>
  <c r="G24" i="2"/>
  <c r="G71" i="1"/>
  <c r="M24" i="2"/>
  <c r="M71" i="1"/>
  <c r="F23" i="2"/>
  <c r="F36" i="1"/>
  <c r="R23" i="1"/>
  <c r="G16" i="2"/>
  <c r="G22" i="2" s="1"/>
  <c r="G22" i="1"/>
  <c r="M16" i="2"/>
  <c r="M22" i="2" s="1"/>
  <c r="M22" i="1"/>
  <c r="L21" i="2"/>
  <c r="S21" i="2" s="1"/>
  <c r="T21" i="1"/>
  <c r="U21" i="1" s="1"/>
  <c r="F21" i="2"/>
  <c r="R21" i="2" s="1"/>
  <c r="R21" i="1"/>
  <c r="D44" i="15"/>
  <c r="D45" i="15"/>
  <c r="D60" i="15"/>
  <c r="D29" i="15"/>
  <c r="D7" i="15"/>
  <c r="D49" i="15"/>
  <c r="D40" i="15"/>
  <c r="D50" i="15"/>
  <c r="D42" i="15"/>
  <c r="D59" i="15"/>
  <c r="D38" i="15"/>
  <c r="D36" i="15"/>
  <c r="D16" i="15"/>
  <c r="D39" i="15"/>
  <c r="D48" i="15"/>
  <c r="D28" i="15"/>
  <c r="D10" i="15"/>
  <c r="D37" i="15"/>
  <c r="E56" i="1"/>
  <c r="D14" i="15"/>
  <c r="D41" i="15"/>
  <c r="D47" i="15"/>
  <c r="D30" i="15"/>
  <c r="D13" i="15"/>
  <c r="D21" i="15"/>
  <c r="D8" i="15"/>
  <c r="D31" i="15"/>
  <c r="D43" i="15"/>
  <c r="D11" i="15"/>
  <c r="D12" i="15"/>
  <c r="D25" i="15"/>
  <c r="D46" i="15"/>
  <c r="D19" i="15"/>
  <c r="D23" i="15"/>
  <c r="D18" i="15"/>
  <c r="D9" i="15"/>
  <c r="D17" i="15"/>
  <c r="D33" i="15"/>
  <c r="D22" i="15"/>
  <c r="K36" i="2" l="1"/>
  <c r="S24" i="2"/>
  <c r="H36" i="2"/>
  <c r="I36" i="2"/>
  <c r="T21" i="2"/>
  <c r="H60" i="15"/>
  <c r="E60" i="15"/>
  <c r="E60" i="16" s="1"/>
  <c r="Q60" i="16" s="1"/>
  <c r="S60" i="16" s="1"/>
  <c r="P60" i="15"/>
  <c r="G60" i="15"/>
  <c r="I60" i="15"/>
  <c r="M60" i="15"/>
  <c r="J60" i="15"/>
  <c r="O60" i="15"/>
  <c r="K60" i="15"/>
  <c r="L60" i="15"/>
  <c r="N60" i="15"/>
  <c r="F60" i="15"/>
  <c r="V20" i="1"/>
  <c r="W20" i="1" s="1"/>
  <c r="S20" i="1"/>
  <c r="H19" i="15"/>
  <c r="H19" i="16" s="1"/>
  <c r="N19" i="15"/>
  <c r="N19" i="16" s="1"/>
  <c r="P19" i="15"/>
  <c r="P19" i="16" s="1"/>
  <c r="E19" i="15"/>
  <c r="E19" i="16" s="1"/>
  <c r="I19" i="15"/>
  <c r="I19" i="16" s="1"/>
  <c r="G19" i="15"/>
  <c r="G19" i="16" s="1"/>
  <c r="F19" i="15"/>
  <c r="F19" i="16" s="1"/>
  <c r="J19" i="15"/>
  <c r="J19" i="16" s="1"/>
  <c r="O19" i="15"/>
  <c r="O19" i="16" s="1"/>
  <c r="K19" i="15"/>
  <c r="L19" i="15"/>
  <c r="L19" i="16" s="1"/>
  <c r="M19" i="15"/>
  <c r="M19" i="16" s="1"/>
  <c r="O39" i="15"/>
  <c r="O39" i="16" s="1"/>
  <c r="G39" i="15"/>
  <c r="G39" i="16" s="1"/>
  <c r="H39" i="15"/>
  <c r="H39" i="16" s="1"/>
  <c r="P39" i="15"/>
  <c r="P39" i="16" s="1"/>
  <c r="E39" i="15"/>
  <c r="E39" i="16" s="1"/>
  <c r="M39" i="15"/>
  <c r="M39" i="16" s="1"/>
  <c r="I39" i="15"/>
  <c r="I39" i="16" s="1"/>
  <c r="L39" i="15"/>
  <c r="L39" i="16" s="1"/>
  <c r="F39" i="15"/>
  <c r="F39" i="16" s="1"/>
  <c r="K39" i="15"/>
  <c r="N39" i="15"/>
  <c r="N39" i="16" s="1"/>
  <c r="J39" i="15"/>
  <c r="J39" i="16" s="1"/>
  <c r="G49" i="15"/>
  <c r="G49" i="16" s="1"/>
  <c r="M49" i="15"/>
  <c r="M49" i="16" s="1"/>
  <c r="O49" i="15"/>
  <c r="O49" i="16" s="1"/>
  <c r="L49" i="15"/>
  <c r="L49" i="16" s="1"/>
  <c r="H49" i="15"/>
  <c r="H49" i="16" s="1"/>
  <c r="N49" i="15"/>
  <c r="N49" i="16" s="1"/>
  <c r="K49" i="15"/>
  <c r="P49" i="15"/>
  <c r="P49" i="16" s="1"/>
  <c r="F49" i="15"/>
  <c r="F49" i="16" s="1"/>
  <c r="E49" i="15"/>
  <c r="E49" i="16" s="1"/>
  <c r="I49" i="15"/>
  <c r="I49" i="16" s="1"/>
  <c r="J49" i="15"/>
  <c r="J49" i="16" s="1"/>
  <c r="V21" i="1"/>
  <c r="W21" i="1" s="1"/>
  <c r="S21" i="1"/>
  <c r="R36" i="1"/>
  <c r="S36" i="1" s="1"/>
  <c r="V23" i="1"/>
  <c r="S23" i="1"/>
  <c r="F22" i="2"/>
  <c r="R22" i="2" s="1"/>
  <c r="R16" i="2"/>
  <c r="L22" i="2"/>
  <c r="S22" i="2" s="1"/>
  <c r="S16" i="2"/>
  <c r="T20" i="2"/>
  <c r="V30" i="1"/>
  <c r="W30" i="1" s="1"/>
  <c r="S30" i="1"/>
  <c r="V32" i="1"/>
  <c r="W32" i="1" s="1"/>
  <c r="S32" i="1"/>
  <c r="S24" i="1"/>
  <c r="V24" i="1"/>
  <c r="W24" i="1" s="1"/>
  <c r="O9" i="15"/>
  <c r="O9" i="16" s="1"/>
  <c r="H9" i="15"/>
  <c r="H9" i="16" s="1"/>
  <c r="G9" i="15"/>
  <c r="G9" i="16" s="1"/>
  <c r="P9" i="15"/>
  <c r="P9" i="16" s="1"/>
  <c r="I9" i="15"/>
  <c r="I9" i="16" s="1"/>
  <c r="M9" i="15"/>
  <c r="M9" i="16" s="1"/>
  <c r="J9" i="15"/>
  <c r="J9" i="16" s="1"/>
  <c r="F9" i="15"/>
  <c r="F9" i="16" s="1"/>
  <c r="K9" i="15"/>
  <c r="N9" i="15"/>
  <c r="N9" i="16" s="1"/>
  <c r="L9" i="15"/>
  <c r="L9" i="16" s="1"/>
  <c r="E9" i="15"/>
  <c r="E9" i="16" s="1"/>
  <c r="I22" i="15"/>
  <c r="I22" i="16" s="1"/>
  <c r="J22" i="15"/>
  <c r="J22" i="16" s="1"/>
  <c r="E22" i="15"/>
  <c r="E22" i="16" s="1"/>
  <c r="K22" i="15"/>
  <c r="P22" i="15"/>
  <c r="P22" i="16" s="1"/>
  <c r="G22" i="15"/>
  <c r="G22" i="16" s="1"/>
  <c r="L22" i="15"/>
  <c r="L22" i="16" s="1"/>
  <c r="O22" i="15"/>
  <c r="O22" i="16" s="1"/>
  <c r="M22" i="15"/>
  <c r="M22" i="16" s="1"/>
  <c r="N22" i="15"/>
  <c r="N22" i="16" s="1"/>
  <c r="H22" i="15"/>
  <c r="H22" i="16" s="1"/>
  <c r="F22" i="15"/>
  <c r="F22" i="16" s="1"/>
  <c r="E13" i="15"/>
  <c r="E13" i="16" s="1"/>
  <c r="M13" i="15"/>
  <c r="M13" i="16" s="1"/>
  <c r="F13" i="15"/>
  <c r="F13" i="16" s="1"/>
  <c r="H13" i="15"/>
  <c r="H13" i="16" s="1"/>
  <c r="N13" i="15"/>
  <c r="N13" i="16" s="1"/>
  <c r="I13" i="15"/>
  <c r="I13" i="16" s="1"/>
  <c r="G13" i="15"/>
  <c r="G13" i="16" s="1"/>
  <c r="L13" i="15"/>
  <c r="L13" i="16" s="1"/>
  <c r="J13" i="15"/>
  <c r="J13" i="16" s="1"/>
  <c r="O13" i="15"/>
  <c r="O13" i="16" s="1"/>
  <c r="K13" i="15"/>
  <c r="P13" i="15"/>
  <c r="P13" i="16" s="1"/>
  <c r="H56" i="1"/>
  <c r="H56" i="2" s="1"/>
  <c r="M56" i="1"/>
  <c r="M56" i="2" s="1"/>
  <c r="O56" i="1"/>
  <c r="O56" i="2" s="1"/>
  <c r="P56" i="1"/>
  <c r="P56" i="2" s="1"/>
  <c r="N56" i="1"/>
  <c r="N56" i="2" s="1"/>
  <c r="I56" i="1"/>
  <c r="I56" i="2" s="1"/>
  <c r="G56" i="1"/>
  <c r="G56" i="2" s="1"/>
  <c r="L56" i="1"/>
  <c r="Q56" i="1"/>
  <c r="Q56" i="2" s="1"/>
  <c r="J56" i="1"/>
  <c r="J56" i="2" s="1"/>
  <c r="F56" i="1"/>
  <c r="K56" i="1"/>
  <c r="K56" i="2" s="1"/>
  <c r="N45" i="15"/>
  <c r="N45" i="16" s="1"/>
  <c r="G45" i="15"/>
  <c r="G45" i="16" s="1"/>
  <c r="F45" i="15"/>
  <c r="F45" i="16" s="1"/>
  <c r="O45" i="15"/>
  <c r="O45" i="16" s="1"/>
  <c r="I45" i="15"/>
  <c r="I45" i="16" s="1"/>
  <c r="K45" i="15"/>
  <c r="E45" i="15"/>
  <c r="E45" i="16" s="1"/>
  <c r="L45" i="15"/>
  <c r="L45" i="16" s="1"/>
  <c r="H45" i="15"/>
  <c r="H45" i="16" s="1"/>
  <c r="M45" i="15"/>
  <c r="M45" i="16" s="1"/>
  <c r="J45" i="15"/>
  <c r="J45" i="16" s="1"/>
  <c r="P45" i="15"/>
  <c r="P45" i="16" s="1"/>
  <c r="S25" i="1"/>
  <c r="V25" i="1"/>
  <c r="W25" i="1" s="1"/>
  <c r="T30" i="2"/>
  <c r="G36" i="2"/>
  <c r="T32" i="2"/>
  <c r="J21" i="15"/>
  <c r="J21" i="16" s="1"/>
  <c r="O21" i="15"/>
  <c r="O21" i="16" s="1"/>
  <c r="K21" i="15"/>
  <c r="H21" i="15"/>
  <c r="H21" i="16" s="1"/>
  <c r="G21" i="15"/>
  <c r="G21" i="16" s="1"/>
  <c r="L21" i="15"/>
  <c r="L21" i="16" s="1"/>
  <c r="P21" i="15"/>
  <c r="P21" i="16" s="1"/>
  <c r="M21" i="15"/>
  <c r="M21" i="16" s="1"/>
  <c r="I21" i="15"/>
  <c r="I21" i="16" s="1"/>
  <c r="F21" i="15"/>
  <c r="F21" i="16" s="1"/>
  <c r="N21" i="15"/>
  <c r="N21" i="16" s="1"/>
  <c r="E21" i="15"/>
  <c r="E21" i="16" s="1"/>
  <c r="S35" i="1"/>
  <c r="V35" i="1"/>
  <c r="W35" i="1" s="1"/>
  <c r="H46" i="15"/>
  <c r="H46" i="16" s="1"/>
  <c r="N46" i="15"/>
  <c r="N46" i="16" s="1"/>
  <c r="P46" i="15"/>
  <c r="P46" i="16" s="1"/>
  <c r="M46" i="15"/>
  <c r="M46" i="16" s="1"/>
  <c r="I46" i="15"/>
  <c r="I46" i="16" s="1"/>
  <c r="O46" i="15"/>
  <c r="O46" i="16" s="1"/>
  <c r="J46" i="15"/>
  <c r="J46" i="16" s="1"/>
  <c r="G46" i="15"/>
  <c r="G46" i="16" s="1"/>
  <c r="K46" i="15"/>
  <c r="L46" i="15"/>
  <c r="L46" i="16" s="1"/>
  <c r="E46" i="15"/>
  <c r="E46" i="16" s="1"/>
  <c r="F46" i="15"/>
  <c r="F46" i="16" s="1"/>
  <c r="E31" i="15"/>
  <c r="E31" i="16" s="1"/>
  <c r="G31" i="15"/>
  <c r="G31" i="16" s="1"/>
  <c r="O31" i="15"/>
  <c r="O31" i="16" s="1"/>
  <c r="H31" i="15"/>
  <c r="H31" i="16" s="1"/>
  <c r="L31" i="15"/>
  <c r="L31" i="16" s="1"/>
  <c r="P31" i="15"/>
  <c r="P31" i="16" s="1"/>
  <c r="K31" i="15"/>
  <c r="M31" i="15"/>
  <c r="M31" i="16" s="1"/>
  <c r="I31" i="15"/>
  <c r="I31" i="16" s="1"/>
  <c r="F31" i="15"/>
  <c r="F31" i="16" s="1"/>
  <c r="J31" i="15"/>
  <c r="J31" i="16" s="1"/>
  <c r="N31" i="15"/>
  <c r="N31" i="16" s="1"/>
  <c r="L16" i="15"/>
  <c r="M16" i="15"/>
  <c r="K16" i="15"/>
  <c r="F16" i="15"/>
  <c r="N16" i="15"/>
  <c r="I16" i="15"/>
  <c r="G16" i="15"/>
  <c r="J16" i="15"/>
  <c r="O16" i="15"/>
  <c r="P16" i="15"/>
  <c r="E16" i="15"/>
  <c r="H16" i="15"/>
  <c r="K59" i="15"/>
  <c r="I59" i="15"/>
  <c r="O59" i="15"/>
  <c r="E59" i="15"/>
  <c r="E59" i="16" s="1"/>
  <c r="Q59" i="16" s="1"/>
  <c r="S59" i="16" s="1"/>
  <c r="H59" i="15"/>
  <c r="L59" i="15"/>
  <c r="J59" i="15"/>
  <c r="M59" i="15"/>
  <c r="P59" i="15"/>
  <c r="F59" i="15"/>
  <c r="N59" i="15"/>
  <c r="G59" i="15"/>
  <c r="N50" i="15"/>
  <c r="N50" i="16" s="1"/>
  <c r="F50" i="15"/>
  <c r="F50" i="16" s="1"/>
  <c r="G50" i="15"/>
  <c r="G50" i="16" s="1"/>
  <c r="O50" i="15"/>
  <c r="O50" i="16" s="1"/>
  <c r="H50" i="15"/>
  <c r="H50" i="16" s="1"/>
  <c r="L50" i="15"/>
  <c r="L50" i="16" s="1"/>
  <c r="P50" i="15"/>
  <c r="P50" i="16" s="1"/>
  <c r="E50" i="15"/>
  <c r="E50" i="16" s="1"/>
  <c r="J50" i="15"/>
  <c r="J50" i="16" s="1"/>
  <c r="K50" i="15"/>
  <c r="M50" i="15"/>
  <c r="M50" i="16" s="1"/>
  <c r="I50" i="15"/>
  <c r="I50" i="16" s="1"/>
  <c r="F36" i="2"/>
  <c r="R23" i="2"/>
  <c r="S33" i="1"/>
  <c r="V33" i="1"/>
  <c r="W33" i="1" s="1"/>
  <c r="J36" i="2"/>
  <c r="S26" i="1"/>
  <c r="V26" i="1"/>
  <c r="W26" i="1" s="1"/>
  <c r="R24" i="2"/>
  <c r="T24" i="2" s="1"/>
  <c r="O33" i="15"/>
  <c r="O33" i="16" s="1"/>
  <c r="G33" i="15"/>
  <c r="G33" i="16" s="1"/>
  <c r="H33" i="15"/>
  <c r="H33" i="16" s="1"/>
  <c r="J25" i="26" s="1"/>
  <c r="P33" i="15"/>
  <c r="P33" i="16" s="1"/>
  <c r="I33" i="15"/>
  <c r="I33" i="16" s="1"/>
  <c r="F33" i="15"/>
  <c r="F33" i="16" s="1"/>
  <c r="H25" i="26" s="1"/>
  <c r="J33" i="15"/>
  <c r="J33" i="16" s="1"/>
  <c r="M33" i="15"/>
  <c r="M33" i="16" s="1"/>
  <c r="N33" i="15"/>
  <c r="N33" i="16" s="1"/>
  <c r="K33" i="15"/>
  <c r="E33" i="15"/>
  <c r="E33" i="16" s="1"/>
  <c r="L33" i="15"/>
  <c r="L33" i="16" s="1"/>
  <c r="N25" i="26" s="1"/>
  <c r="I11" i="15"/>
  <c r="I11" i="16" s="1"/>
  <c r="J11" i="15"/>
  <c r="J11" i="16" s="1"/>
  <c r="K11" i="15"/>
  <c r="P11" i="15"/>
  <c r="P11" i="16" s="1"/>
  <c r="L11" i="15"/>
  <c r="L11" i="16" s="1"/>
  <c r="G11" i="15"/>
  <c r="G11" i="16" s="1"/>
  <c r="M11" i="15"/>
  <c r="M11" i="16" s="1"/>
  <c r="O11" i="15"/>
  <c r="O11" i="16" s="1"/>
  <c r="E11" i="15"/>
  <c r="E11" i="16" s="1"/>
  <c r="N11" i="15"/>
  <c r="N11" i="16" s="1"/>
  <c r="H11" i="15"/>
  <c r="H11" i="16" s="1"/>
  <c r="F11" i="15"/>
  <c r="F11" i="16" s="1"/>
  <c r="O25" i="15"/>
  <c r="O25" i="16" s="1"/>
  <c r="G25" i="15"/>
  <c r="G25" i="16" s="1"/>
  <c r="H25" i="15"/>
  <c r="H25" i="16" s="1"/>
  <c r="P25" i="15"/>
  <c r="P25" i="16" s="1"/>
  <c r="I25" i="15"/>
  <c r="I25" i="16" s="1"/>
  <c r="M25" i="15"/>
  <c r="M25" i="16" s="1"/>
  <c r="F25" i="15"/>
  <c r="F25" i="16" s="1"/>
  <c r="J25" i="15"/>
  <c r="J25" i="16" s="1"/>
  <c r="N25" i="15"/>
  <c r="N25" i="16" s="1"/>
  <c r="K25" i="15"/>
  <c r="E25" i="15"/>
  <c r="E25" i="16" s="1"/>
  <c r="L25" i="15"/>
  <c r="L25" i="16" s="1"/>
  <c r="M47" i="15"/>
  <c r="M47" i="16" s="1"/>
  <c r="I47" i="15"/>
  <c r="I47" i="16" s="1"/>
  <c r="F47" i="15"/>
  <c r="F47" i="16" s="1"/>
  <c r="K47" i="15"/>
  <c r="N47" i="15"/>
  <c r="N47" i="16" s="1"/>
  <c r="J47" i="15"/>
  <c r="J47" i="16" s="1"/>
  <c r="G47" i="15"/>
  <c r="G47" i="16" s="1"/>
  <c r="L47" i="15"/>
  <c r="L47" i="16" s="1"/>
  <c r="O47" i="15"/>
  <c r="O47" i="16" s="1"/>
  <c r="H47" i="15"/>
  <c r="H47" i="16" s="1"/>
  <c r="E47" i="15"/>
  <c r="E47" i="16" s="1"/>
  <c r="P47" i="15"/>
  <c r="P47" i="16" s="1"/>
  <c r="K7" i="15"/>
  <c r="H7" i="15"/>
  <c r="H7" i="16" s="1"/>
  <c r="O7" i="15"/>
  <c r="O7" i="16" s="1"/>
  <c r="L7" i="15"/>
  <c r="L7" i="16" s="1"/>
  <c r="P7" i="15"/>
  <c r="P7" i="16" s="1"/>
  <c r="E7" i="15"/>
  <c r="E7" i="16" s="1"/>
  <c r="I7" i="15"/>
  <c r="I7" i="16" s="1"/>
  <c r="M7" i="15"/>
  <c r="M7" i="16" s="1"/>
  <c r="J7" i="15"/>
  <c r="J7" i="16" s="1"/>
  <c r="F7" i="15"/>
  <c r="F7" i="16" s="1"/>
  <c r="N7" i="15"/>
  <c r="N7" i="16" s="1"/>
  <c r="G7" i="15"/>
  <c r="G7" i="16" s="1"/>
  <c r="V31" i="1"/>
  <c r="W31" i="1" s="1"/>
  <c r="S31" i="1"/>
  <c r="T33" i="2"/>
  <c r="U23" i="1"/>
  <c r="T36" i="1"/>
  <c r="U36" i="1" s="1"/>
  <c r="T26" i="2"/>
  <c r="S27" i="1"/>
  <c r="V27" i="1"/>
  <c r="W27" i="1" s="1"/>
  <c r="H14" i="15"/>
  <c r="H14" i="16" s="1"/>
  <c r="P14" i="15"/>
  <c r="P14" i="16" s="1"/>
  <c r="E14" i="15"/>
  <c r="E14" i="16" s="1"/>
  <c r="O14" i="15"/>
  <c r="O14" i="16" s="1"/>
  <c r="I14" i="15"/>
  <c r="I14" i="16" s="1"/>
  <c r="F14" i="15"/>
  <c r="F14" i="16" s="1"/>
  <c r="J14" i="15"/>
  <c r="J14" i="16" s="1"/>
  <c r="N14" i="15"/>
  <c r="N14" i="16" s="1"/>
  <c r="K14" i="15"/>
  <c r="M14" i="15"/>
  <c r="M14" i="16" s="1"/>
  <c r="G14" i="15"/>
  <c r="G14" i="16" s="1"/>
  <c r="L14" i="15"/>
  <c r="L14" i="16" s="1"/>
  <c r="K18" i="15"/>
  <c r="P18" i="15"/>
  <c r="P18" i="16" s="1"/>
  <c r="H18" i="15"/>
  <c r="H18" i="16" s="1"/>
  <c r="L18" i="15"/>
  <c r="L18" i="16" s="1"/>
  <c r="I18" i="15"/>
  <c r="I18" i="16" s="1"/>
  <c r="M18" i="15"/>
  <c r="M18" i="16" s="1"/>
  <c r="E18" i="15"/>
  <c r="E18" i="16" s="1"/>
  <c r="F18" i="15"/>
  <c r="F18" i="16" s="1"/>
  <c r="J18" i="15"/>
  <c r="J18" i="16" s="1"/>
  <c r="N18" i="15"/>
  <c r="N18" i="16" s="1"/>
  <c r="G18" i="15"/>
  <c r="G18" i="16" s="1"/>
  <c r="O18" i="15"/>
  <c r="O18" i="16" s="1"/>
  <c r="I43" i="15"/>
  <c r="I43" i="16" s="1"/>
  <c r="P43" i="15"/>
  <c r="P43" i="16" s="1"/>
  <c r="J43" i="15"/>
  <c r="J43" i="16" s="1"/>
  <c r="H43" i="15"/>
  <c r="H43" i="16" s="1"/>
  <c r="K43" i="15"/>
  <c r="E43" i="15"/>
  <c r="E43" i="16" s="1"/>
  <c r="L43" i="15"/>
  <c r="L43" i="16" s="1"/>
  <c r="F43" i="15"/>
  <c r="F43" i="16" s="1"/>
  <c r="M43" i="15"/>
  <c r="M43" i="16" s="1"/>
  <c r="N43" i="15"/>
  <c r="N43" i="16" s="1"/>
  <c r="G43" i="15"/>
  <c r="G43" i="16" s="1"/>
  <c r="O43" i="15"/>
  <c r="O43" i="16" s="1"/>
  <c r="N37" i="15"/>
  <c r="N37" i="16" s="1"/>
  <c r="G37" i="15"/>
  <c r="G37" i="16" s="1"/>
  <c r="O37" i="15"/>
  <c r="O37" i="16" s="1"/>
  <c r="I37" i="15"/>
  <c r="I37" i="16" s="1"/>
  <c r="F37" i="15"/>
  <c r="F37" i="16" s="1"/>
  <c r="K37" i="15"/>
  <c r="J37" i="15"/>
  <c r="J37" i="16" s="1"/>
  <c r="L37" i="15"/>
  <c r="L37" i="16" s="1"/>
  <c r="H37" i="15"/>
  <c r="H37" i="16" s="1"/>
  <c r="E37" i="15"/>
  <c r="E37" i="16" s="1"/>
  <c r="M37" i="15"/>
  <c r="M37" i="16" s="1"/>
  <c r="P37" i="15"/>
  <c r="P37" i="16" s="1"/>
  <c r="M28" i="15"/>
  <c r="M28" i="16" s="1"/>
  <c r="J28" i="15"/>
  <c r="J28" i="16" s="1"/>
  <c r="F28" i="15"/>
  <c r="F28" i="16" s="1"/>
  <c r="K28" i="15"/>
  <c r="N28" i="15"/>
  <c r="N28" i="16" s="1"/>
  <c r="E28" i="15"/>
  <c r="E28" i="16" s="1"/>
  <c r="G28" i="15"/>
  <c r="G28" i="16" s="1"/>
  <c r="L28" i="15"/>
  <c r="L28" i="16" s="1"/>
  <c r="I28" i="15"/>
  <c r="I28" i="16" s="1"/>
  <c r="O28" i="15"/>
  <c r="O28" i="16" s="1"/>
  <c r="H28" i="15"/>
  <c r="H28" i="16" s="1"/>
  <c r="P28" i="15"/>
  <c r="P28" i="16" s="1"/>
  <c r="F36" i="15"/>
  <c r="F36" i="16" s="1"/>
  <c r="K36" i="15"/>
  <c r="J36" i="15"/>
  <c r="J36" i="16" s="1"/>
  <c r="N36" i="15"/>
  <c r="N36" i="16" s="1"/>
  <c r="L36" i="15"/>
  <c r="L36" i="16" s="1"/>
  <c r="G36" i="15"/>
  <c r="G36" i="16" s="1"/>
  <c r="E36" i="15"/>
  <c r="E36" i="16" s="1"/>
  <c r="O36" i="15"/>
  <c r="O36" i="16" s="1"/>
  <c r="M36" i="15"/>
  <c r="M36" i="16" s="1"/>
  <c r="H36" i="15"/>
  <c r="H36" i="16" s="1"/>
  <c r="P36" i="15"/>
  <c r="P36" i="16" s="1"/>
  <c r="I36" i="15"/>
  <c r="I36" i="16" s="1"/>
  <c r="L42" i="15"/>
  <c r="L42" i="16" s="1"/>
  <c r="P42" i="15"/>
  <c r="P42" i="16" s="1"/>
  <c r="E42" i="15"/>
  <c r="E42" i="16" s="1"/>
  <c r="J42" i="15"/>
  <c r="J42" i="16" s="1"/>
  <c r="H42" i="15"/>
  <c r="H42" i="16" s="1"/>
  <c r="M42" i="15"/>
  <c r="M42" i="16" s="1"/>
  <c r="I42" i="15"/>
  <c r="I42" i="16" s="1"/>
  <c r="F42" i="15"/>
  <c r="F42" i="16" s="1"/>
  <c r="K42" i="15"/>
  <c r="N42" i="15"/>
  <c r="N42" i="16" s="1"/>
  <c r="G42" i="15"/>
  <c r="G42" i="16" s="1"/>
  <c r="O42" i="15"/>
  <c r="O42" i="16" s="1"/>
  <c r="J40" i="15"/>
  <c r="P40" i="15"/>
  <c r="P40" i="16" s="1"/>
  <c r="K40" i="15"/>
  <c r="O40" i="15"/>
  <c r="O40" i="16" s="1"/>
  <c r="L40" i="15"/>
  <c r="I40" i="15"/>
  <c r="E40" i="15"/>
  <c r="G40" i="15"/>
  <c r="M40" i="15"/>
  <c r="F40" i="15"/>
  <c r="H40" i="15"/>
  <c r="N40" i="15"/>
  <c r="N40" i="16" s="1"/>
  <c r="F29" i="15"/>
  <c r="F29" i="16" s="1"/>
  <c r="N29" i="15"/>
  <c r="N29" i="16" s="1"/>
  <c r="M29" i="15"/>
  <c r="M29" i="16" s="1"/>
  <c r="E29" i="15"/>
  <c r="E29" i="16" s="1"/>
  <c r="G29" i="15"/>
  <c r="G29" i="16" s="1"/>
  <c r="J29" i="15"/>
  <c r="J29" i="16" s="1"/>
  <c r="H29" i="15"/>
  <c r="H29" i="16" s="1"/>
  <c r="K29" i="15"/>
  <c r="P29" i="15"/>
  <c r="P29" i="16" s="1"/>
  <c r="O29" i="15"/>
  <c r="O29" i="16" s="1"/>
  <c r="L29" i="15"/>
  <c r="L29" i="16" s="1"/>
  <c r="I29" i="15"/>
  <c r="I29" i="16" s="1"/>
  <c r="M36" i="2"/>
  <c r="T31" i="2"/>
  <c r="N36" i="2"/>
  <c r="S28" i="1"/>
  <c r="V28" i="1"/>
  <c r="W28" i="1" s="1"/>
  <c r="T27" i="2"/>
  <c r="H8" i="15"/>
  <c r="H8" i="16" s="1"/>
  <c r="F8" i="15"/>
  <c r="F8" i="16" s="1"/>
  <c r="P8" i="15"/>
  <c r="P8" i="16" s="1"/>
  <c r="N8" i="15"/>
  <c r="N8" i="16" s="1"/>
  <c r="E8" i="15"/>
  <c r="E8" i="16" s="1"/>
  <c r="G8" i="15"/>
  <c r="G8" i="16" s="1"/>
  <c r="I8" i="15"/>
  <c r="I8" i="16" s="1"/>
  <c r="O8" i="15"/>
  <c r="O8" i="16" s="1"/>
  <c r="J8" i="15"/>
  <c r="J8" i="16" s="1"/>
  <c r="M8" i="15"/>
  <c r="M8" i="16" s="1"/>
  <c r="K8" i="15"/>
  <c r="L8" i="15"/>
  <c r="L8" i="16" s="1"/>
  <c r="G30" i="15"/>
  <c r="G30" i="16" s="1"/>
  <c r="K30" i="15"/>
  <c r="L30" i="15"/>
  <c r="L30" i="16" s="1"/>
  <c r="O30" i="15"/>
  <c r="O30" i="16" s="1"/>
  <c r="M30" i="15"/>
  <c r="M30" i="16" s="1"/>
  <c r="H30" i="15"/>
  <c r="H30" i="16" s="1"/>
  <c r="N30" i="15"/>
  <c r="N30" i="16" s="1"/>
  <c r="P30" i="15"/>
  <c r="P30" i="16" s="1"/>
  <c r="F30" i="15"/>
  <c r="F30" i="16" s="1"/>
  <c r="I30" i="15"/>
  <c r="I30" i="16" s="1"/>
  <c r="J30" i="15"/>
  <c r="J30" i="16" s="1"/>
  <c r="E30" i="15"/>
  <c r="E30" i="16" s="1"/>
  <c r="F10" i="15"/>
  <c r="F10" i="16" s="1"/>
  <c r="M10" i="15"/>
  <c r="M10" i="16" s="1"/>
  <c r="N10" i="15"/>
  <c r="N10" i="16" s="1"/>
  <c r="G10" i="15"/>
  <c r="G10" i="16" s="1"/>
  <c r="O10" i="15"/>
  <c r="O10" i="16" s="1"/>
  <c r="J10" i="15"/>
  <c r="J10" i="16" s="1"/>
  <c r="H10" i="15"/>
  <c r="H10" i="16" s="1"/>
  <c r="K10" i="15"/>
  <c r="P10" i="15"/>
  <c r="P10" i="16" s="1"/>
  <c r="I10" i="15"/>
  <c r="I10" i="16" s="1"/>
  <c r="L10" i="15"/>
  <c r="L10" i="16" s="1"/>
  <c r="E10" i="15"/>
  <c r="E10" i="16" s="1"/>
  <c r="V18" i="1"/>
  <c r="W18" i="1" s="1"/>
  <c r="S18" i="1"/>
  <c r="V29" i="1"/>
  <c r="W29" i="1" s="1"/>
  <c r="S29" i="1"/>
  <c r="L36" i="2"/>
  <c r="S23" i="2"/>
  <c r="T28" i="2"/>
  <c r="V34" i="1"/>
  <c r="W34" i="1" s="1"/>
  <c r="S34" i="1"/>
  <c r="S17" i="1"/>
  <c r="V17" i="1"/>
  <c r="W17" i="1" s="1"/>
  <c r="F17" i="15"/>
  <c r="F17" i="16" s="1"/>
  <c r="J17" i="15"/>
  <c r="J17" i="16" s="1"/>
  <c r="N17" i="15"/>
  <c r="N17" i="16" s="1"/>
  <c r="K17" i="15"/>
  <c r="E17" i="15"/>
  <c r="E17" i="16" s="1"/>
  <c r="L17" i="15"/>
  <c r="L17" i="16" s="1"/>
  <c r="G17" i="15"/>
  <c r="G17" i="16" s="1"/>
  <c r="M17" i="15"/>
  <c r="M17" i="16" s="1"/>
  <c r="O17" i="15"/>
  <c r="O17" i="16" s="1"/>
  <c r="H17" i="15"/>
  <c r="H17" i="16" s="1"/>
  <c r="P17" i="15"/>
  <c r="P17" i="16" s="1"/>
  <c r="I17" i="15"/>
  <c r="I17" i="16" s="1"/>
  <c r="G12" i="15"/>
  <c r="G12" i="16" s="1"/>
  <c r="K12" i="15"/>
  <c r="O12" i="15"/>
  <c r="O12" i="16" s="1"/>
  <c r="H12" i="15"/>
  <c r="H12" i="16" s="1"/>
  <c r="P12" i="15"/>
  <c r="P12" i="16" s="1"/>
  <c r="L12" i="15"/>
  <c r="L12" i="16" s="1"/>
  <c r="E12" i="15"/>
  <c r="E12" i="16" s="1"/>
  <c r="M12" i="15"/>
  <c r="M12" i="16" s="1"/>
  <c r="I12" i="15"/>
  <c r="I12" i="16" s="1"/>
  <c r="N12" i="15"/>
  <c r="N12" i="16" s="1"/>
  <c r="F12" i="15"/>
  <c r="F12" i="16" s="1"/>
  <c r="J12" i="15"/>
  <c r="J12" i="16" s="1"/>
  <c r="E23" i="15"/>
  <c r="E23" i="16" s="1"/>
  <c r="G23" i="15"/>
  <c r="G23" i="16" s="1"/>
  <c r="O23" i="15"/>
  <c r="O23" i="16" s="1"/>
  <c r="K23" i="15"/>
  <c r="H23" i="15"/>
  <c r="H23" i="16" s="1"/>
  <c r="L23" i="15"/>
  <c r="L23" i="16" s="1"/>
  <c r="P23" i="15"/>
  <c r="P23" i="16" s="1"/>
  <c r="M23" i="15"/>
  <c r="M23" i="16" s="1"/>
  <c r="I23" i="15"/>
  <c r="I23" i="16" s="1"/>
  <c r="F23" i="15"/>
  <c r="F23" i="16" s="1"/>
  <c r="J23" i="15"/>
  <c r="J23" i="16" s="1"/>
  <c r="N23" i="15"/>
  <c r="N23" i="16" s="1"/>
  <c r="G41" i="15"/>
  <c r="G41" i="16" s="1"/>
  <c r="M41" i="15"/>
  <c r="M41" i="16" s="1"/>
  <c r="K41" i="15"/>
  <c r="O41" i="15"/>
  <c r="O41" i="16" s="1"/>
  <c r="F41" i="15"/>
  <c r="F41" i="16" s="1"/>
  <c r="H41" i="15"/>
  <c r="H41" i="16" s="1"/>
  <c r="L41" i="15"/>
  <c r="L41" i="16" s="1"/>
  <c r="P41" i="15"/>
  <c r="P41" i="16" s="1"/>
  <c r="N41" i="15"/>
  <c r="N41" i="16" s="1"/>
  <c r="E41" i="15"/>
  <c r="E41" i="16" s="1"/>
  <c r="I41" i="15"/>
  <c r="I41" i="16" s="1"/>
  <c r="J41" i="15"/>
  <c r="J41" i="16" s="1"/>
  <c r="J48" i="15"/>
  <c r="J48" i="16" s="1"/>
  <c r="P48" i="15"/>
  <c r="P48" i="16" s="1"/>
  <c r="H48" i="15"/>
  <c r="H48" i="16" s="1"/>
  <c r="K48" i="15"/>
  <c r="G48" i="15"/>
  <c r="G48" i="16" s="1"/>
  <c r="L48" i="15"/>
  <c r="L48" i="16" s="1"/>
  <c r="I48" i="15"/>
  <c r="I48" i="16" s="1"/>
  <c r="E48" i="15"/>
  <c r="E48" i="16" s="1"/>
  <c r="O48" i="15"/>
  <c r="O48" i="16" s="1"/>
  <c r="M48" i="15"/>
  <c r="M48" i="16" s="1"/>
  <c r="F48" i="15"/>
  <c r="F48" i="16" s="1"/>
  <c r="N48" i="15"/>
  <c r="N48" i="16" s="1"/>
  <c r="K38" i="15"/>
  <c r="M38" i="15"/>
  <c r="M38" i="16" s="1"/>
  <c r="L38" i="15"/>
  <c r="L38" i="16" s="1"/>
  <c r="E38" i="15"/>
  <c r="E38" i="16" s="1"/>
  <c r="H38" i="15"/>
  <c r="H38" i="16" s="1"/>
  <c r="F38" i="15"/>
  <c r="F38" i="16" s="1"/>
  <c r="P38" i="15"/>
  <c r="P38" i="16" s="1"/>
  <c r="N38" i="15"/>
  <c r="N38" i="16" s="1"/>
  <c r="O38" i="15"/>
  <c r="O38" i="16" s="1"/>
  <c r="I38" i="15"/>
  <c r="I38" i="16" s="1"/>
  <c r="G38" i="15"/>
  <c r="G38" i="16" s="1"/>
  <c r="J38" i="15"/>
  <c r="J38" i="16" s="1"/>
  <c r="H44" i="15"/>
  <c r="H44" i="16" s="1"/>
  <c r="O44" i="15"/>
  <c r="O44" i="16" s="1"/>
  <c r="P44" i="15"/>
  <c r="P44" i="16" s="1"/>
  <c r="I44" i="15"/>
  <c r="I44" i="16" s="1"/>
  <c r="J44" i="15"/>
  <c r="J44" i="16" s="1"/>
  <c r="F44" i="15"/>
  <c r="F44" i="16" s="1"/>
  <c r="L44" i="15"/>
  <c r="L44" i="16" s="1"/>
  <c r="N44" i="15"/>
  <c r="N44" i="16" s="1"/>
  <c r="E44" i="15"/>
  <c r="E44" i="16" s="1"/>
  <c r="M44" i="15"/>
  <c r="M44" i="16" s="1"/>
  <c r="G44" i="15"/>
  <c r="G44" i="16" s="1"/>
  <c r="K44" i="15"/>
  <c r="U16" i="1"/>
  <c r="T22" i="1"/>
  <c r="U22" i="1" s="1"/>
  <c r="T29" i="2"/>
  <c r="S19" i="1"/>
  <c r="V19" i="1"/>
  <c r="W19" i="1" s="1"/>
  <c r="T34" i="2"/>
  <c r="D55" i="15"/>
  <c r="D35" i="15"/>
  <c r="D6" i="15"/>
  <c r="D34" i="15"/>
  <c r="Q44" i="16" l="1"/>
  <c r="O25" i="26"/>
  <c r="R25" i="26"/>
  <c r="I25" i="26"/>
  <c r="Q23" i="16"/>
  <c r="Q30" i="16"/>
  <c r="Q49" i="16"/>
  <c r="Q9" i="16"/>
  <c r="S9" i="16" s="1"/>
  <c r="Q41" i="16"/>
  <c r="K12" i="16"/>
  <c r="R12" i="16" s="1"/>
  <c r="S12" i="15"/>
  <c r="X18" i="1"/>
  <c r="Y18" i="1"/>
  <c r="Y28" i="1"/>
  <c r="X28" i="1"/>
  <c r="L40" i="16"/>
  <c r="L73" i="15"/>
  <c r="K42" i="16"/>
  <c r="R42" i="16" s="1"/>
  <c r="S42" i="15"/>
  <c r="K14" i="16"/>
  <c r="R14" i="16" s="1"/>
  <c r="S14" i="15"/>
  <c r="Y31" i="1"/>
  <c r="X31" i="1"/>
  <c r="Q47" i="16"/>
  <c r="K11" i="16"/>
  <c r="R11" i="16" s="1"/>
  <c r="S11" i="15"/>
  <c r="L25" i="26"/>
  <c r="X26" i="1"/>
  <c r="Y26" i="1"/>
  <c r="E16" i="16"/>
  <c r="E34" i="15"/>
  <c r="E72" i="15"/>
  <c r="K16" i="16"/>
  <c r="K34" i="15"/>
  <c r="K72" i="15"/>
  <c r="S16" i="15"/>
  <c r="K31" i="16"/>
  <c r="R31" i="16" s="1"/>
  <c r="S31" i="15"/>
  <c r="Q46" i="16"/>
  <c r="K13" i="16"/>
  <c r="R13" i="16" s="1"/>
  <c r="S13" i="15"/>
  <c r="X30" i="1"/>
  <c r="Y30" i="1"/>
  <c r="Q39" i="16"/>
  <c r="K47" i="16"/>
  <c r="R47" i="16" s="1"/>
  <c r="S47" i="15"/>
  <c r="F16" i="16"/>
  <c r="F34" i="16" s="1"/>
  <c r="F34" i="15"/>
  <c r="F72" i="15"/>
  <c r="K19" i="16"/>
  <c r="R19" i="16" s="1"/>
  <c r="S19" i="15"/>
  <c r="K38" i="16"/>
  <c r="R38" i="16" s="1"/>
  <c r="S38" i="15"/>
  <c r="Q17" i="16"/>
  <c r="X34" i="1"/>
  <c r="Y34" i="1"/>
  <c r="K30" i="16"/>
  <c r="R30" i="16" s="1"/>
  <c r="S30" i="15"/>
  <c r="K29" i="16"/>
  <c r="R29" i="16" s="1"/>
  <c r="S29" i="15"/>
  <c r="X27" i="1"/>
  <c r="Y27" i="1"/>
  <c r="Q7" i="16"/>
  <c r="K50" i="16"/>
  <c r="R50" i="16" s="1"/>
  <c r="S50" i="15"/>
  <c r="P16" i="16"/>
  <c r="P34" i="16" s="1"/>
  <c r="P34" i="15"/>
  <c r="M34" i="15"/>
  <c r="M16" i="16"/>
  <c r="M34" i="16" s="1"/>
  <c r="M72" i="15"/>
  <c r="W23" i="1"/>
  <c r="V36" i="1"/>
  <c r="W36" i="1" s="1"/>
  <c r="H16" i="16"/>
  <c r="H34" i="16" s="1"/>
  <c r="H34" i="15"/>
  <c r="H72" i="15"/>
  <c r="K44" i="16"/>
  <c r="R44" i="16" s="1"/>
  <c r="S44" i="15"/>
  <c r="K48" i="16"/>
  <c r="R48" i="16" s="1"/>
  <c r="S48" i="15"/>
  <c r="K23" i="16"/>
  <c r="R23" i="16" s="1"/>
  <c r="S23" i="16" s="1"/>
  <c r="S23" i="15"/>
  <c r="K17" i="16"/>
  <c r="R17" i="16" s="1"/>
  <c r="S17" i="15"/>
  <c r="Q8" i="16"/>
  <c r="H40" i="16"/>
  <c r="H73" i="15"/>
  <c r="K40" i="16"/>
  <c r="K73" i="15"/>
  <c r="S40" i="15"/>
  <c r="Q11" i="16"/>
  <c r="S11" i="16" s="1"/>
  <c r="K25" i="26"/>
  <c r="O16" i="16"/>
  <c r="O34" i="16" s="1"/>
  <c r="O34" i="15"/>
  <c r="L16" i="16"/>
  <c r="L34" i="15"/>
  <c r="L72" i="15"/>
  <c r="L74" i="15" s="1"/>
  <c r="L75" i="15" s="1"/>
  <c r="K46" i="16"/>
  <c r="R46" i="16" s="1"/>
  <c r="S46" i="15"/>
  <c r="Q13" i="16"/>
  <c r="K9" i="16"/>
  <c r="R9" i="16" s="1"/>
  <c r="S9" i="15"/>
  <c r="K49" i="16"/>
  <c r="R49" i="16" s="1"/>
  <c r="S49" i="15"/>
  <c r="Y20" i="1"/>
  <c r="X20" i="1"/>
  <c r="K41" i="16"/>
  <c r="R41" i="16" s="1"/>
  <c r="S41" i="15"/>
  <c r="L56" i="2"/>
  <c r="S56" i="2" s="1"/>
  <c r="T56" i="1"/>
  <c r="U56" i="1" s="1"/>
  <c r="Q12" i="16"/>
  <c r="S12" i="16" s="1"/>
  <c r="Q10" i="16"/>
  <c r="F40" i="16"/>
  <c r="F73" i="15"/>
  <c r="K36" i="16"/>
  <c r="R36" i="16" s="1"/>
  <c r="S36" i="15"/>
  <c r="Q28" i="16"/>
  <c r="Q37" i="16"/>
  <c r="Q43" i="16"/>
  <c r="Y33" i="1"/>
  <c r="X33" i="1"/>
  <c r="Z33" i="1" s="1"/>
  <c r="AA33" i="1" s="1"/>
  <c r="Q50" i="16"/>
  <c r="J16" i="16"/>
  <c r="J34" i="16" s="1"/>
  <c r="J34" i="15"/>
  <c r="J72" i="15"/>
  <c r="Y35" i="1"/>
  <c r="X35" i="1"/>
  <c r="K22" i="16"/>
  <c r="S22" i="15"/>
  <c r="Y24" i="1"/>
  <c r="X24" i="1"/>
  <c r="Z24" i="1" s="1"/>
  <c r="AA24" i="1" s="1"/>
  <c r="T22" i="2"/>
  <c r="K39" i="16"/>
  <c r="R39" i="16" s="1"/>
  <c r="S39" i="15"/>
  <c r="K10" i="16"/>
  <c r="R10" i="16" s="1"/>
  <c r="S10" i="15"/>
  <c r="S49" i="16"/>
  <c r="G6" i="15"/>
  <c r="L6" i="15"/>
  <c r="O6" i="15"/>
  <c r="M6" i="15"/>
  <c r="N6" i="15"/>
  <c r="H6" i="15"/>
  <c r="P6" i="15"/>
  <c r="K6" i="15"/>
  <c r="E6" i="15"/>
  <c r="I6" i="15"/>
  <c r="F6" i="15"/>
  <c r="J6" i="15"/>
  <c r="J35" i="15"/>
  <c r="H35" i="15"/>
  <c r="K35" i="15"/>
  <c r="P35" i="15"/>
  <c r="N35" i="15"/>
  <c r="L35" i="15"/>
  <c r="E35" i="15"/>
  <c r="M35" i="15"/>
  <c r="O35" i="15"/>
  <c r="F35" i="15"/>
  <c r="G35" i="15"/>
  <c r="I35" i="15"/>
  <c r="X19" i="1"/>
  <c r="Y19" i="1"/>
  <c r="S36" i="2"/>
  <c r="K8" i="16"/>
  <c r="R8" i="16" s="1"/>
  <c r="S8" i="15"/>
  <c r="M40" i="16"/>
  <c r="M73" i="15"/>
  <c r="J40" i="16"/>
  <c r="J73" i="15"/>
  <c r="K43" i="16"/>
  <c r="R43" i="16" s="1"/>
  <c r="S43" i="15"/>
  <c r="K18" i="16"/>
  <c r="R18" i="16" s="1"/>
  <c r="S18" i="15"/>
  <c r="Q25" i="16"/>
  <c r="Q33" i="16"/>
  <c r="G25" i="26"/>
  <c r="G16" i="16"/>
  <c r="G34" i="16" s="1"/>
  <c r="G34" i="15"/>
  <c r="G72" i="15"/>
  <c r="Q45" i="16"/>
  <c r="F56" i="2"/>
  <c r="R56" i="2" s="1"/>
  <c r="R56" i="1"/>
  <c r="Q22" i="16"/>
  <c r="Y21" i="1"/>
  <c r="X21" i="1"/>
  <c r="K37" i="16"/>
  <c r="R37" i="16" s="1"/>
  <c r="S37" i="15"/>
  <c r="Q29" i="16"/>
  <c r="S29" i="16" s="1"/>
  <c r="G40" i="16"/>
  <c r="G73" i="15"/>
  <c r="K28" i="16"/>
  <c r="R28" i="16" s="1"/>
  <c r="S28" i="15"/>
  <c r="K25" i="16"/>
  <c r="R25" i="16" s="1"/>
  <c r="S25" i="15"/>
  <c r="K33" i="16"/>
  <c r="S33" i="15"/>
  <c r="T23" i="2"/>
  <c r="I34" i="15"/>
  <c r="I16" i="16"/>
  <c r="I34" i="16" s="1"/>
  <c r="I72" i="15"/>
  <c r="Q21" i="16"/>
  <c r="Y25" i="1"/>
  <c r="X25" i="1"/>
  <c r="K45" i="16"/>
  <c r="R45" i="16" s="1"/>
  <c r="S45" i="15"/>
  <c r="Q19" i="16"/>
  <c r="S19" i="16" s="1"/>
  <c r="I40" i="16"/>
  <c r="I73" i="15"/>
  <c r="S44" i="16"/>
  <c r="O55" i="15"/>
  <c r="O55" i="16" s="1"/>
  <c r="L55" i="15"/>
  <c r="G55" i="15"/>
  <c r="H55" i="15"/>
  <c r="F55" i="15"/>
  <c r="I55" i="15"/>
  <c r="E55" i="15"/>
  <c r="P55" i="15"/>
  <c r="P55" i="16" s="1"/>
  <c r="N55" i="15"/>
  <c r="N55" i="16" s="1"/>
  <c r="J55" i="15"/>
  <c r="M55" i="15"/>
  <c r="K55" i="15"/>
  <c r="Q38" i="16"/>
  <c r="S38" i="16" s="1"/>
  <c r="Q48" i="16"/>
  <c r="S48" i="16" s="1"/>
  <c r="X17" i="1"/>
  <c r="Y17" i="1"/>
  <c r="X29" i="1"/>
  <c r="Y29" i="1"/>
  <c r="E40" i="16"/>
  <c r="E73" i="15"/>
  <c r="Q42" i="16"/>
  <c r="S42" i="16" s="1"/>
  <c r="Q36" i="16"/>
  <c r="S36" i="16" s="1"/>
  <c r="Q18" i="16"/>
  <c r="Q14" i="16"/>
  <c r="S14" i="16" s="1"/>
  <c r="K7" i="16"/>
  <c r="R7" i="16" s="1"/>
  <c r="S7" i="15"/>
  <c r="P25" i="26"/>
  <c r="Q25" i="26"/>
  <c r="R36" i="2"/>
  <c r="S59" i="15"/>
  <c r="N16" i="16"/>
  <c r="N34" i="16" s="1"/>
  <c r="N34" i="15"/>
  <c r="Q31" i="16"/>
  <c r="S31" i="16" s="1"/>
  <c r="K21" i="16"/>
  <c r="R21" i="16" s="1"/>
  <c r="S21" i="15"/>
  <c r="Y32" i="1"/>
  <c r="X32" i="1"/>
  <c r="T16" i="2"/>
  <c r="L34" i="16"/>
  <c r="S60" i="15"/>
  <c r="E24" i="20"/>
  <c r="F25" i="26"/>
  <c r="D54" i="15"/>
  <c r="E25" i="20"/>
  <c r="D15" i="15"/>
  <c r="E26" i="20"/>
  <c r="D61" i="15"/>
  <c r="Z25" i="1" l="1"/>
  <c r="AA25" i="1" s="1"/>
  <c r="S50" i="16"/>
  <c r="S30" i="16"/>
  <c r="Z26" i="1"/>
  <c r="AA26" i="1" s="1"/>
  <c r="Z18" i="1"/>
  <c r="AA18" i="1" s="1"/>
  <c r="S45" i="16"/>
  <c r="J74" i="15"/>
  <c r="J75" i="15" s="1"/>
  <c r="S10" i="16"/>
  <c r="Z29" i="1"/>
  <c r="AA29" i="1" s="1"/>
  <c r="Z21" i="1"/>
  <c r="AA21" i="1" s="1"/>
  <c r="S47" i="16"/>
  <c r="Z31" i="1"/>
  <c r="AA31" i="1" s="1"/>
  <c r="Z28" i="1"/>
  <c r="AA28" i="1" s="1"/>
  <c r="M74" i="15"/>
  <c r="M75" i="15" s="1"/>
  <c r="S17" i="16"/>
  <c r="S37" i="16"/>
  <c r="T25" i="15"/>
  <c r="U25" i="15"/>
  <c r="V25" i="15" s="1"/>
  <c r="W25" i="15" s="1"/>
  <c r="X25" i="15" s="1"/>
  <c r="Y25" i="15" s="1"/>
  <c r="Z25" i="15" s="1"/>
  <c r="T37" i="15"/>
  <c r="U37" i="15"/>
  <c r="V37" i="15" s="1"/>
  <c r="W37" i="15" s="1"/>
  <c r="X37" i="15" s="1"/>
  <c r="Y37" i="15" s="1"/>
  <c r="Z37" i="15" s="1"/>
  <c r="G74" i="15"/>
  <c r="G75" i="15" s="1"/>
  <c r="T43" i="15"/>
  <c r="U43" i="15"/>
  <c r="V43" i="15" s="1"/>
  <c r="W43" i="15" s="1"/>
  <c r="X43" i="15" s="1"/>
  <c r="Y43" i="15" s="1"/>
  <c r="Z43" i="15" s="1"/>
  <c r="T36" i="2"/>
  <c r="M35" i="16"/>
  <c r="M54" i="16" s="1"/>
  <c r="M65" i="16" s="1"/>
  <c r="M54" i="15"/>
  <c r="J6" i="16"/>
  <c r="J15" i="16" s="1"/>
  <c r="J63" i="16" s="1"/>
  <c r="J15" i="15"/>
  <c r="M6" i="16"/>
  <c r="M15" i="16" s="1"/>
  <c r="M63" i="16" s="1"/>
  <c r="M15" i="15"/>
  <c r="S28" i="16"/>
  <c r="S8" i="16"/>
  <c r="Z27" i="1"/>
  <c r="AA27" i="1" s="1"/>
  <c r="T47" i="15"/>
  <c r="U47" i="15"/>
  <c r="V47" i="15" s="1"/>
  <c r="W47" i="15" s="1"/>
  <c r="X47" i="15" s="1"/>
  <c r="Y47" i="15" s="1"/>
  <c r="Z47" i="15" s="1"/>
  <c r="S46" i="16"/>
  <c r="R33" i="16"/>
  <c r="M25" i="26"/>
  <c r="S25" i="26" s="1"/>
  <c r="J35" i="16"/>
  <c r="J54" i="16" s="1"/>
  <c r="J65" i="16" s="1"/>
  <c r="J54" i="15"/>
  <c r="T44" i="15"/>
  <c r="U44" i="15"/>
  <c r="V44" i="15" s="1"/>
  <c r="W44" i="15" s="1"/>
  <c r="X44" i="15" s="1"/>
  <c r="Y44" i="15" s="1"/>
  <c r="Z44" i="15" s="1"/>
  <c r="E74" i="15"/>
  <c r="E75" i="15" s="1"/>
  <c r="T60" i="15"/>
  <c r="U60" i="15"/>
  <c r="V60" i="15" s="1"/>
  <c r="W60" i="15" s="1"/>
  <c r="X60" i="15" s="1"/>
  <c r="Y60" i="15" s="1"/>
  <c r="Z60" i="15" s="1"/>
  <c r="S18" i="16"/>
  <c r="Z17" i="1"/>
  <c r="AA17" i="1" s="1"/>
  <c r="E55" i="16"/>
  <c r="E76" i="15"/>
  <c r="S21" i="16"/>
  <c r="E35" i="16"/>
  <c r="E54" i="15"/>
  <c r="F15" i="15"/>
  <c r="F6" i="16"/>
  <c r="F15" i="16" s="1"/>
  <c r="F63" i="16" s="1"/>
  <c r="O6" i="16"/>
  <c r="O15" i="16" s="1"/>
  <c r="O63" i="16" s="1"/>
  <c r="O15" i="15"/>
  <c r="T36" i="15"/>
  <c r="U36" i="15"/>
  <c r="V36" i="15" s="1"/>
  <c r="W36" i="15" s="1"/>
  <c r="X36" i="15" s="1"/>
  <c r="Y36" i="15" s="1"/>
  <c r="Z36" i="15" s="1"/>
  <c r="T41" i="15"/>
  <c r="U41" i="15"/>
  <c r="V41" i="15" s="1"/>
  <c r="W41" i="15" s="1"/>
  <c r="X41" i="15" s="1"/>
  <c r="Y41" i="15" s="1"/>
  <c r="Z41" i="15" s="1"/>
  <c r="S13" i="16"/>
  <c r="T17" i="15"/>
  <c r="U17" i="15"/>
  <c r="V17" i="15" s="1"/>
  <c r="W17" i="15" s="1"/>
  <c r="X17" i="15" s="1"/>
  <c r="Y17" i="15" s="1"/>
  <c r="Z17" i="15" s="1"/>
  <c r="H74" i="15"/>
  <c r="H75" i="15" s="1"/>
  <c r="T29" i="15"/>
  <c r="U29" i="15"/>
  <c r="V29" i="15" s="1"/>
  <c r="W29" i="15" s="1"/>
  <c r="X29" i="15" s="1"/>
  <c r="Y29" i="15" s="1"/>
  <c r="Z29" i="15" s="1"/>
  <c r="T38" i="15"/>
  <c r="U38" i="15"/>
  <c r="V38" i="15" s="1"/>
  <c r="W38" i="15" s="1"/>
  <c r="X38" i="15" s="1"/>
  <c r="Y38" i="15" s="1"/>
  <c r="Z38" i="15" s="1"/>
  <c r="T31" i="15"/>
  <c r="U31" i="15"/>
  <c r="V31" i="15" s="1"/>
  <c r="W31" i="15" s="1"/>
  <c r="X31" i="15" s="1"/>
  <c r="Y31" i="15" s="1"/>
  <c r="Z31" i="15" s="1"/>
  <c r="E34" i="16"/>
  <c r="Q34" i="16" s="1"/>
  <c r="Q16" i="16"/>
  <c r="T9" i="15"/>
  <c r="U9" i="15"/>
  <c r="V9" i="15" s="1"/>
  <c r="W9" i="15" s="1"/>
  <c r="X9" i="15" s="1"/>
  <c r="Y9" i="15" s="1"/>
  <c r="Z9" i="15" s="1"/>
  <c r="T59" i="15"/>
  <c r="U59" i="15"/>
  <c r="V59" i="15" s="1"/>
  <c r="W59" i="15" s="1"/>
  <c r="X59" i="15" s="1"/>
  <c r="Y59" i="15" s="1"/>
  <c r="Z59" i="15" s="1"/>
  <c r="I55" i="16"/>
  <c r="I76" i="15"/>
  <c r="I74" i="15"/>
  <c r="I75" i="15" s="1"/>
  <c r="T28" i="15"/>
  <c r="U28" i="15"/>
  <c r="V28" i="15" s="1"/>
  <c r="W28" i="15" s="1"/>
  <c r="X28" i="15" s="1"/>
  <c r="Y28" i="15" s="1"/>
  <c r="Z28" i="15" s="1"/>
  <c r="L54" i="15"/>
  <c r="L35" i="16"/>
  <c r="L54" i="16" s="1"/>
  <c r="L65" i="16" s="1"/>
  <c r="I6" i="16"/>
  <c r="I15" i="16" s="1"/>
  <c r="I63" i="16" s="1"/>
  <c r="I15" i="15"/>
  <c r="L6" i="16"/>
  <c r="L15" i="16" s="1"/>
  <c r="L63" i="16" s="1"/>
  <c r="L15" i="15"/>
  <c r="T46" i="15"/>
  <c r="U46" i="15"/>
  <c r="V46" i="15" s="1"/>
  <c r="W46" i="15" s="1"/>
  <c r="X46" i="15" s="1"/>
  <c r="Y46" i="15" s="1"/>
  <c r="Z46" i="15" s="1"/>
  <c r="T14" i="15"/>
  <c r="U14" i="15"/>
  <c r="V14" i="15" s="1"/>
  <c r="W14" i="15" s="1"/>
  <c r="X14" i="15" s="1"/>
  <c r="Y14" i="15" s="1"/>
  <c r="Z14" i="15" s="1"/>
  <c r="O35" i="16"/>
  <c r="O54" i="16" s="1"/>
  <c r="O65" i="16" s="1"/>
  <c r="O54" i="15"/>
  <c r="P25" i="20" s="1"/>
  <c r="T39" i="15"/>
  <c r="U39" i="15"/>
  <c r="V39" i="15" s="1"/>
  <c r="W39" i="15" s="1"/>
  <c r="X39" i="15" s="1"/>
  <c r="Y39" i="15" s="1"/>
  <c r="Z39" i="15" s="1"/>
  <c r="Z32" i="1"/>
  <c r="AA32" i="1" s="1"/>
  <c r="F55" i="16"/>
  <c r="F76" i="15"/>
  <c r="Z19" i="1"/>
  <c r="AA19" i="1" s="1"/>
  <c r="N35" i="16"/>
  <c r="N54" i="16" s="1"/>
  <c r="N65" i="16" s="1"/>
  <c r="N54" i="15"/>
  <c r="O25" i="20" s="1"/>
  <c r="E15" i="15"/>
  <c r="E6" i="16"/>
  <c r="G15" i="15"/>
  <c r="G6" i="16"/>
  <c r="G15" i="16" s="1"/>
  <c r="G63" i="16" s="1"/>
  <c r="Z20" i="1"/>
  <c r="AA20" i="1" s="1"/>
  <c r="T40" i="15"/>
  <c r="U40" i="15"/>
  <c r="V40" i="15" s="1"/>
  <c r="W40" i="15" s="1"/>
  <c r="X40" i="15" s="1"/>
  <c r="Y40" i="15" s="1"/>
  <c r="Z40" i="15" s="1"/>
  <c r="T23" i="15"/>
  <c r="U23" i="15"/>
  <c r="V23" i="15" s="1"/>
  <c r="W23" i="15" s="1"/>
  <c r="X23" i="15" s="1"/>
  <c r="Y23" i="15" s="1"/>
  <c r="Z23" i="15" s="1"/>
  <c r="T30" i="15"/>
  <c r="U30" i="15"/>
  <c r="V30" i="15" s="1"/>
  <c r="W30" i="15" s="1"/>
  <c r="X30" i="15" s="1"/>
  <c r="Y30" i="15" s="1"/>
  <c r="Z30" i="15" s="1"/>
  <c r="T19" i="15"/>
  <c r="U19" i="15"/>
  <c r="V19" i="15" s="1"/>
  <c r="W19" i="15" s="1"/>
  <c r="X19" i="15" s="1"/>
  <c r="Y19" i="15" s="1"/>
  <c r="Z19" i="15" s="1"/>
  <c r="S39" i="16"/>
  <c r="T16" i="15"/>
  <c r="U16" i="15"/>
  <c r="V16" i="15" s="1"/>
  <c r="W16" i="15" s="1"/>
  <c r="X16" i="15" s="1"/>
  <c r="Y16" i="15" s="1"/>
  <c r="Z16" i="15" s="1"/>
  <c r="P35" i="16"/>
  <c r="P54" i="16" s="1"/>
  <c r="P65" i="16" s="1"/>
  <c r="P54" i="15"/>
  <c r="Q25" i="20" s="1"/>
  <c r="K55" i="16"/>
  <c r="K76" i="15"/>
  <c r="S55" i="15"/>
  <c r="S33" i="16"/>
  <c r="I35" i="16"/>
  <c r="I54" i="16" s="1"/>
  <c r="I65" i="16" s="1"/>
  <c r="I54" i="15"/>
  <c r="K15" i="15"/>
  <c r="K6" i="16"/>
  <c r="S6" i="15"/>
  <c r="T22" i="15"/>
  <c r="U22" i="15"/>
  <c r="V22" i="15" s="1"/>
  <c r="W22" i="15" s="1"/>
  <c r="X22" i="15" s="1"/>
  <c r="Y22" i="15" s="1"/>
  <c r="Z22" i="15" s="1"/>
  <c r="K74" i="15"/>
  <c r="K75" i="15" s="1"/>
  <c r="T12" i="15"/>
  <c r="U12" i="15"/>
  <c r="V12" i="15" s="1"/>
  <c r="W12" i="15" s="1"/>
  <c r="X12" i="15" s="1"/>
  <c r="Y12" i="15" s="1"/>
  <c r="Z12" i="15" s="1"/>
  <c r="T21" i="15"/>
  <c r="U21" i="15"/>
  <c r="V21" i="15" s="1"/>
  <c r="W21" i="15" s="1"/>
  <c r="X21" i="15" s="1"/>
  <c r="Y21" i="15" s="1"/>
  <c r="Z21" i="15" s="1"/>
  <c r="Q40" i="16"/>
  <c r="M55" i="16"/>
  <c r="M76" i="15"/>
  <c r="G55" i="16"/>
  <c r="G76" i="15"/>
  <c r="T45" i="15"/>
  <c r="U45" i="15"/>
  <c r="V45" i="15" s="1"/>
  <c r="W45" i="15" s="1"/>
  <c r="X45" i="15" s="1"/>
  <c r="Y45" i="15" s="1"/>
  <c r="Z45" i="15" s="1"/>
  <c r="S56" i="1"/>
  <c r="V56" i="1"/>
  <c r="W56" i="1" s="1"/>
  <c r="S25" i="16"/>
  <c r="G35" i="16"/>
  <c r="G54" i="16" s="1"/>
  <c r="G65" i="16" s="1"/>
  <c r="G54" i="15"/>
  <c r="K35" i="16"/>
  <c r="K54" i="15"/>
  <c r="S35" i="15"/>
  <c r="P6" i="16"/>
  <c r="P15" i="16" s="1"/>
  <c r="P63" i="16" s="1"/>
  <c r="P15" i="15"/>
  <c r="T10" i="15"/>
  <c r="U10" i="15"/>
  <c r="V10" i="15" s="1"/>
  <c r="W10" i="15" s="1"/>
  <c r="X10" i="15" s="1"/>
  <c r="Y10" i="15" s="1"/>
  <c r="Z10" i="15" s="1"/>
  <c r="K34" i="16"/>
  <c r="R34" i="16" s="1"/>
  <c r="R22" i="16"/>
  <c r="S22" i="16" s="1"/>
  <c r="T49" i="15"/>
  <c r="U49" i="15"/>
  <c r="V49" i="15" s="1"/>
  <c r="W49" i="15" s="1"/>
  <c r="X49" i="15" s="1"/>
  <c r="Y49" i="15" s="1"/>
  <c r="Z49" i="15" s="1"/>
  <c r="R40" i="16"/>
  <c r="T48" i="15"/>
  <c r="U48" i="15"/>
  <c r="V48" i="15" s="1"/>
  <c r="W48" i="15" s="1"/>
  <c r="X48" i="15" s="1"/>
  <c r="Y48" i="15" s="1"/>
  <c r="Z48" i="15" s="1"/>
  <c r="Y36" i="1"/>
  <c r="X36" i="1"/>
  <c r="F74" i="15"/>
  <c r="F75" i="15" s="1"/>
  <c r="Z30" i="1"/>
  <c r="AA30" i="1" s="1"/>
  <c r="S34" i="15"/>
  <c r="T11" i="15"/>
  <c r="U11" i="15"/>
  <c r="V11" i="15" s="1"/>
  <c r="W11" i="15" s="1"/>
  <c r="X11" i="15" s="1"/>
  <c r="Y11" i="15" s="1"/>
  <c r="Z11" i="15" s="1"/>
  <c r="H55" i="16"/>
  <c r="H76" i="15"/>
  <c r="T50" i="15"/>
  <c r="U50" i="15"/>
  <c r="V50" i="15" s="1"/>
  <c r="W50" i="15" s="1"/>
  <c r="X50" i="15" s="1"/>
  <c r="Y50" i="15" s="1"/>
  <c r="Z50" i="15" s="1"/>
  <c r="T42" i="15"/>
  <c r="U42" i="15"/>
  <c r="V42" i="15" s="1"/>
  <c r="W42" i="15" s="1"/>
  <c r="X42" i="15" s="1"/>
  <c r="Y42" i="15" s="1"/>
  <c r="Z42" i="15" s="1"/>
  <c r="T7" i="15"/>
  <c r="U7" i="15"/>
  <c r="V7" i="15" s="1"/>
  <c r="W7" i="15" s="1"/>
  <c r="X7" i="15" s="1"/>
  <c r="Y7" i="15" s="1"/>
  <c r="Z7" i="15" s="1"/>
  <c r="J55" i="16"/>
  <c r="J76" i="15"/>
  <c r="L55" i="16"/>
  <c r="L76" i="15"/>
  <c r="T33" i="15"/>
  <c r="U33" i="15"/>
  <c r="V33" i="15" s="1"/>
  <c r="W33" i="15" s="1"/>
  <c r="X33" i="15" s="1"/>
  <c r="Y33" i="15" s="1"/>
  <c r="Z33" i="15" s="1"/>
  <c r="T56" i="2"/>
  <c r="T18" i="15"/>
  <c r="U18" i="15"/>
  <c r="V18" i="15" s="1"/>
  <c r="W18" i="15" s="1"/>
  <c r="X18" i="15" s="1"/>
  <c r="Y18" i="15" s="1"/>
  <c r="Z18" i="15" s="1"/>
  <c r="T8" i="15"/>
  <c r="U8" i="15"/>
  <c r="V8" i="15" s="1"/>
  <c r="W8" i="15" s="1"/>
  <c r="X8" i="15" s="1"/>
  <c r="Y8" i="15" s="1"/>
  <c r="Z8" i="15" s="1"/>
  <c r="F35" i="16"/>
  <c r="F54" i="16" s="1"/>
  <c r="F65" i="16" s="1"/>
  <c r="F54" i="15"/>
  <c r="H35" i="16"/>
  <c r="H54" i="16" s="1"/>
  <c r="H65" i="16" s="1"/>
  <c r="H54" i="15"/>
  <c r="H15" i="15"/>
  <c r="H6" i="16"/>
  <c r="H15" i="16" s="1"/>
  <c r="H63" i="16" s="1"/>
  <c r="Z35" i="1"/>
  <c r="AA35" i="1" s="1"/>
  <c r="S43" i="16"/>
  <c r="Y23" i="1"/>
  <c r="X23" i="1"/>
  <c r="S7" i="16"/>
  <c r="Z34" i="1"/>
  <c r="AA34" i="1" s="1"/>
  <c r="T13" i="15"/>
  <c r="U13" i="15"/>
  <c r="V13" i="15" s="1"/>
  <c r="W13" i="15" s="1"/>
  <c r="X13" i="15" s="1"/>
  <c r="Y13" i="15" s="1"/>
  <c r="Z13" i="15" s="1"/>
  <c r="R16" i="16"/>
  <c r="S41" i="16"/>
  <c r="N15" i="15"/>
  <c r="N6" i="16"/>
  <c r="N15" i="16" s="1"/>
  <c r="N63" i="16" s="1"/>
  <c r="F24" i="26"/>
  <c r="F26" i="26"/>
  <c r="E42" i="20"/>
  <c r="Z36" i="1" l="1"/>
  <c r="S40" i="16"/>
  <c r="R55" i="16"/>
  <c r="Y56" i="1"/>
  <c r="X56" i="1"/>
  <c r="T6" i="15"/>
  <c r="U6" i="15"/>
  <c r="V6" i="15" s="1"/>
  <c r="W6" i="15" s="1"/>
  <c r="X6" i="15" s="1"/>
  <c r="Y6" i="15" s="1"/>
  <c r="Z6" i="15" s="1"/>
  <c r="O54" i="26"/>
  <c r="J54" i="26"/>
  <c r="P62" i="16"/>
  <c r="R24" i="26"/>
  <c r="R47" i="26" s="1"/>
  <c r="K15" i="16"/>
  <c r="K63" i="16" s="1"/>
  <c r="R6" i="16"/>
  <c r="E15" i="16"/>
  <c r="E63" i="16" s="1"/>
  <c r="Q6" i="16"/>
  <c r="S16" i="16"/>
  <c r="O62" i="15"/>
  <c r="P24" i="20"/>
  <c r="P42" i="20" s="1"/>
  <c r="P48" i="20" s="1"/>
  <c r="Q55" i="16"/>
  <c r="S55" i="16" s="1"/>
  <c r="J69" i="15"/>
  <c r="K25" i="20"/>
  <c r="H69" i="15"/>
  <c r="I25" i="20"/>
  <c r="P62" i="15"/>
  <c r="Q24" i="20"/>
  <c r="Q42" i="20" s="1"/>
  <c r="Q48" i="20" s="1"/>
  <c r="N62" i="16"/>
  <c r="P24" i="26"/>
  <c r="P47" i="26" s="1"/>
  <c r="Z23" i="1"/>
  <c r="AA23" i="1" s="1"/>
  <c r="AA36" i="1" s="1"/>
  <c r="F69" i="15"/>
  <c r="G25" i="20"/>
  <c r="T34" i="15"/>
  <c r="U34" i="15"/>
  <c r="V34" i="15" s="1"/>
  <c r="W34" i="15" s="1"/>
  <c r="X34" i="15" s="1"/>
  <c r="Y34" i="15" s="1"/>
  <c r="Z34" i="15" s="1"/>
  <c r="T35" i="15"/>
  <c r="U35" i="15"/>
  <c r="V35" i="15" s="1"/>
  <c r="W35" i="15" s="1"/>
  <c r="X35" i="15" s="1"/>
  <c r="Y35" i="15" s="1"/>
  <c r="Z35" i="15" s="1"/>
  <c r="K62" i="15"/>
  <c r="K68" i="15"/>
  <c r="L24" i="20"/>
  <c r="S15" i="15"/>
  <c r="R54" i="26"/>
  <c r="E62" i="15"/>
  <c r="E68" i="15"/>
  <c r="F24" i="20"/>
  <c r="L68" i="15"/>
  <c r="M24" i="20"/>
  <c r="S34" i="16"/>
  <c r="O62" i="16"/>
  <c r="Q24" i="26"/>
  <c r="Q47" i="26" s="1"/>
  <c r="L54" i="26"/>
  <c r="G62" i="15"/>
  <c r="G68" i="15"/>
  <c r="H24" i="20"/>
  <c r="N62" i="15"/>
  <c r="O24" i="20"/>
  <c r="O42" i="20" s="1"/>
  <c r="O48" i="20" s="1"/>
  <c r="H54" i="26"/>
  <c r="K69" i="15"/>
  <c r="S54" i="15"/>
  <c r="L25" i="20"/>
  <c r="I69" i="15"/>
  <c r="J25" i="20"/>
  <c r="L62" i="16"/>
  <c r="N24" i="26"/>
  <c r="N47" i="26" s="1"/>
  <c r="F62" i="16"/>
  <c r="H24" i="26"/>
  <c r="H47" i="26" s="1"/>
  <c r="M62" i="15"/>
  <c r="M68" i="15"/>
  <c r="N24" i="20"/>
  <c r="K54" i="16"/>
  <c r="K65" i="16" s="1"/>
  <c r="R35" i="16"/>
  <c r="K54" i="26"/>
  <c r="P54" i="26"/>
  <c r="I62" i="15"/>
  <c r="I68" i="15"/>
  <c r="J24" i="20"/>
  <c r="F62" i="15"/>
  <c r="F68" i="15"/>
  <c r="F70" i="15" s="1"/>
  <c r="F71" i="15" s="1"/>
  <c r="G24" i="20"/>
  <c r="M62" i="16"/>
  <c r="O24" i="26"/>
  <c r="O47" i="26" s="1"/>
  <c r="Q54" i="26"/>
  <c r="E69" i="15"/>
  <c r="F25" i="20"/>
  <c r="J62" i="15"/>
  <c r="J68" i="15"/>
  <c r="J70" i="15" s="1"/>
  <c r="J71" i="15" s="1"/>
  <c r="K24" i="20"/>
  <c r="K42" i="20" s="1"/>
  <c r="K48" i="20" s="1"/>
  <c r="H62" i="16"/>
  <c r="J24" i="26"/>
  <c r="J47" i="26" s="1"/>
  <c r="I54" i="26"/>
  <c r="T55" i="15"/>
  <c r="U55" i="15"/>
  <c r="V55" i="15" s="1"/>
  <c r="W55" i="15" s="1"/>
  <c r="X55" i="15" s="1"/>
  <c r="Y55" i="15" s="1"/>
  <c r="Z55" i="15" s="1"/>
  <c r="N54" i="26"/>
  <c r="E54" i="16"/>
  <c r="E65" i="16" s="1"/>
  <c r="Q35" i="16"/>
  <c r="S35" i="16" s="1"/>
  <c r="J62" i="16"/>
  <c r="L24" i="26"/>
  <c r="L47" i="26" s="1"/>
  <c r="G69" i="15"/>
  <c r="H25" i="20"/>
  <c r="I62" i="16"/>
  <c r="K24" i="26"/>
  <c r="K47" i="26" s="1"/>
  <c r="H62" i="15"/>
  <c r="H68" i="15"/>
  <c r="H70" i="15" s="1"/>
  <c r="H71" i="15" s="1"/>
  <c r="I24" i="20"/>
  <c r="I42" i="20" s="1"/>
  <c r="I48" i="20" s="1"/>
  <c r="G62" i="16"/>
  <c r="I24" i="26"/>
  <c r="I47" i="26" s="1"/>
  <c r="L62" i="15"/>
  <c r="L69" i="15"/>
  <c r="M25" i="20"/>
  <c r="M69" i="15"/>
  <c r="N25" i="20"/>
  <c r="F47" i="26"/>
  <c r="Z56" i="1" l="1"/>
  <c r="AA56" i="1" s="1"/>
  <c r="P69" i="16"/>
  <c r="M70" i="15"/>
  <c r="M71" i="15" s="1"/>
  <c r="H42" i="20"/>
  <c r="H48" i="20" s="1"/>
  <c r="S6" i="16"/>
  <c r="T15" i="15"/>
  <c r="U15" i="15"/>
  <c r="V15" i="15" s="1"/>
  <c r="W15" i="15" s="1"/>
  <c r="X15" i="15" s="1"/>
  <c r="Y15" i="15" s="1"/>
  <c r="Z15" i="15" s="1"/>
  <c r="Q54" i="16"/>
  <c r="G54" i="26"/>
  <c r="T54" i="15"/>
  <c r="U54" i="15"/>
  <c r="V54" i="15" s="1"/>
  <c r="W54" i="15" s="1"/>
  <c r="X54" i="15" s="1"/>
  <c r="Y54" i="15" s="1"/>
  <c r="Z54" i="15" s="1"/>
  <c r="G70" i="15"/>
  <c r="G71" i="15" s="1"/>
  <c r="M42" i="20"/>
  <c r="M48" i="20" s="1"/>
  <c r="L42" i="20"/>
  <c r="L48" i="20" s="1"/>
  <c r="E62" i="16"/>
  <c r="Q62" i="16" s="1"/>
  <c r="Q15" i="16"/>
  <c r="G24" i="26"/>
  <c r="R25" i="20"/>
  <c r="J42" i="20"/>
  <c r="J48" i="20" s="1"/>
  <c r="L70" i="15"/>
  <c r="L71" i="15" s="1"/>
  <c r="K70" i="15"/>
  <c r="K71" i="15" s="1"/>
  <c r="I70" i="15"/>
  <c r="I71" i="15" s="1"/>
  <c r="R65" i="16"/>
  <c r="R54" i="16"/>
  <c r="M54" i="26"/>
  <c r="R24" i="20"/>
  <c r="F42" i="20"/>
  <c r="S62" i="15"/>
  <c r="K62" i="16"/>
  <c r="R62" i="16" s="1"/>
  <c r="R15" i="16"/>
  <c r="M24" i="26"/>
  <c r="M47" i="26" s="1"/>
  <c r="U47" i="26" s="1"/>
  <c r="N42" i="20"/>
  <c r="N48" i="20" s="1"/>
  <c r="E70" i="15"/>
  <c r="E71" i="15" s="1"/>
  <c r="G42" i="20"/>
  <c r="G48" i="20" s="1"/>
  <c r="R69" i="16" l="1"/>
  <c r="R63" i="16"/>
  <c r="S24" i="26"/>
  <c r="G47" i="26"/>
  <c r="S63" i="16"/>
  <c r="E69" i="16"/>
  <c r="F101" i="16" s="1"/>
  <c r="Q63" i="16"/>
  <c r="T62" i="15"/>
  <c r="U62" i="15"/>
  <c r="V62" i="15" s="1"/>
  <c r="S15" i="16"/>
  <c r="S54" i="26"/>
  <c r="T56" i="26" s="1"/>
  <c r="F48" i="20"/>
  <c r="R42" i="20"/>
  <c r="S62" i="16"/>
  <c r="S54" i="16"/>
  <c r="S65" i="16"/>
  <c r="Q65" i="16"/>
  <c r="E28" i="9"/>
  <c r="E27" i="9"/>
  <c r="E23" i="9"/>
  <c r="E24" i="9"/>
  <c r="Q23" i="9" l="1"/>
  <c r="Q24" i="28" s="1"/>
  <c r="N23" i="9"/>
  <c r="N24" i="28" s="1"/>
  <c r="H23" i="9"/>
  <c r="H24" i="28" s="1"/>
  <c r="K23" i="9"/>
  <c r="K24" i="28" s="1"/>
  <c r="J23" i="9"/>
  <c r="J24" i="28" s="1"/>
  <c r="F23" i="9"/>
  <c r="L23" i="9"/>
  <c r="M23" i="9"/>
  <c r="M24" i="28" s="1"/>
  <c r="I23" i="9"/>
  <c r="I24" i="28" s="1"/>
  <c r="P23" i="9"/>
  <c r="P24" i="28" s="1"/>
  <c r="G23" i="9"/>
  <c r="G24" i="28" s="1"/>
  <c r="O23" i="9"/>
  <c r="O24" i="28" s="1"/>
  <c r="Q69" i="16"/>
  <c r="S69" i="16"/>
  <c r="I2" i="27" a="1"/>
  <c r="F100" i="16"/>
  <c r="F102" i="16"/>
  <c r="F103" i="16"/>
  <c r="R48" i="20"/>
  <c r="S42" i="20"/>
  <c r="I27" i="9"/>
  <c r="I29" i="28" s="1"/>
  <c r="G27" i="9"/>
  <c r="G29" i="28" s="1"/>
  <c r="O27" i="9"/>
  <c r="O29" i="28" s="1"/>
  <c r="N27" i="9"/>
  <c r="N29" i="28" s="1"/>
  <c r="L27" i="9"/>
  <c r="M27" i="9"/>
  <c r="M29" i="28" s="1"/>
  <c r="Q27" i="9"/>
  <c r="Q29" i="28" s="1"/>
  <c r="P27" i="9"/>
  <c r="P29" i="28" s="1"/>
  <c r="F27" i="9"/>
  <c r="J27" i="9"/>
  <c r="J29" i="28" s="1"/>
  <c r="K27" i="9"/>
  <c r="K29" i="28" s="1"/>
  <c r="H27" i="9"/>
  <c r="H29" i="28" s="1"/>
  <c r="V47" i="26"/>
  <c r="T47" i="26"/>
  <c r="S47" i="26"/>
  <c r="H28" i="9"/>
  <c r="H30" i="28" s="1"/>
  <c r="P28" i="9"/>
  <c r="P30" i="28" s="1"/>
  <c r="J28" i="9"/>
  <c r="J30" i="28" s="1"/>
  <c r="F28" i="9"/>
  <c r="G28" i="9"/>
  <c r="G30" i="28" s="1"/>
  <c r="I28" i="9"/>
  <c r="I30" i="28" s="1"/>
  <c r="N28" i="9"/>
  <c r="N30" i="28" s="1"/>
  <c r="L28" i="9"/>
  <c r="M28" i="9"/>
  <c r="M30" i="28" s="1"/>
  <c r="O28" i="9"/>
  <c r="O30" i="28" s="1"/>
  <c r="K28" i="9"/>
  <c r="K30" i="28" s="1"/>
  <c r="Q28" i="9"/>
  <c r="Q30" i="28" s="1"/>
  <c r="P24" i="9"/>
  <c r="P25" i="28" s="1"/>
  <c r="Q24" i="9"/>
  <c r="Q25" i="28" s="1"/>
  <c r="I24" i="9"/>
  <c r="I25" i="28" s="1"/>
  <c r="J24" i="9"/>
  <c r="J25" i="28" s="1"/>
  <c r="M24" i="9"/>
  <c r="M25" i="28" s="1"/>
  <c r="H24" i="9"/>
  <c r="H25" i="28" s="1"/>
  <c r="N24" i="9"/>
  <c r="N25" i="28" s="1"/>
  <c r="G24" i="9"/>
  <c r="G25" i="28" s="1"/>
  <c r="F24" i="9"/>
  <c r="K24" i="9"/>
  <c r="K25" i="28" s="1"/>
  <c r="O24" i="9"/>
  <c r="O25" i="28" s="1"/>
  <c r="L24" i="9"/>
  <c r="E29" i="9"/>
  <c r="M27" i="28" l="1"/>
  <c r="N49" i="26"/>
  <c r="I5" i="27"/>
  <c r="I2" i="27"/>
  <c r="I4" i="27"/>
  <c r="I12" i="27"/>
  <c r="I8" i="27"/>
  <c r="I7" i="27"/>
  <c r="I3" i="27"/>
  <c r="I11" i="27"/>
  <c r="I10" i="27"/>
  <c r="I6" i="27"/>
  <c r="I9" i="27"/>
  <c r="I13" i="27"/>
  <c r="L24" i="28"/>
  <c r="T23" i="9"/>
  <c r="F30" i="28"/>
  <c r="R28" i="9"/>
  <c r="S28" i="9" s="1"/>
  <c r="F29" i="28"/>
  <c r="R27" i="9"/>
  <c r="S27" i="9" s="1"/>
  <c r="F24" i="28"/>
  <c r="R23" i="9"/>
  <c r="S23" i="9" s="1"/>
  <c r="K29" i="9"/>
  <c r="K31" i="28" s="1"/>
  <c r="L29" i="9"/>
  <c r="P29" i="9"/>
  <c r="P31" i="28" s="1"/>
  <c r="P32" i="28" s="1"/>
  <c r="F29" i="9"/>
  <c r="Q29" i="9"/>
  <c r="Q31" i="28" s="1"/>
  <c r="Q32" i="28" s="1"/>
  <c r="M29" i="9"/>
  <c r="M31" i="28" s="1"/>
  <c r="J29" i="9"/>
  <c r="J31" i="28" s="1"/>
  <c r="N29" i="9"/>
  <c r="N31" i="28" s="1"/>
  <c r="N32" i="28" s="1"/>
  <c r="O29" i="9"/>
  <c r="O31" i="28" s="1"/>
  <c r="O32" i="28" s="1"/>
  <c r="I29" i="9"/>
  <c r="I31" i="28" s="1"/>
  <c r="G29" i="9"/>
  <c r="G31" i="28" s="1"/>
  <c r="H29" i="9"/>
  <c r="H31" i="28" s="1"/>
  <c r="J27" i="28"/>
  <c r="K49" i="26"/>
  <c r="L25" i="28"/>
  <c r="T24" i="9"/>
  <c r="L30" i="28"/>
  <c r="T28" i="9"/>
  <c r="O27" i="28"/>
  <c r="K27" i="28"/>
  <c r="L49" i="26"/>
  <c r="G27" i="28"/>
  <c r="H49" i="26"/>
  <c r="H27" i="28"/>
  <c r="I49" i="26"/>
  <c r="L29" i="28"/>
  <c r="T27" i="9"/>
  <c r="P27" i="28"/>
  <c r="N27" i="28"/>
  <c r="F25" i="28"/>
  <c r="R24" i="9"/>
  <c r="S24" i="9" s="1"/>
  <c r="I27" i="28"/>
  <c r="J49" i="26"/>
  <c r="Q27" i="28"/>
  <c r="F32" i="26"/>
  <c r="F31" i="26"/>
  <c r="F66" i="28" l="1" a="1"/>
  <c r="S66" i="28" s="1"/>
  <c r="F70" i="28" a="1"/>
  <c r="F70" i="28" s="1"/>
  <c r="V27" i="9"/>
  <c r="W27" i="9" s="1"/>
  <c r="X27" i="9" s="1"/>
  <c r="U27" i="9"/>
  <c r="P33" i="28"/>
  <c r="Q32" i="26"/>
  <c r="M28" i="28"/>
  <c r="N31" i="26"/>
  <c r="Q28" i="28"/>
  <c r="R31" i="26"/>
  <c r="V28" i="9"/>
  <c r="W28" i="9" s="1"/>
  <c r="X28" i="9" s="1"/>
  <c r="U28" i="9"/>
  <c r="I32" i="28"/>
  <c r="J51" i="26"/>
  <c r="L31" i="28"/>
  <c r="T29" i="9"/>
  <c r="V23" i="9"/>
  <c r="W23" i="9" s="1"/>
  <c r="X23" i="9" s="1"/>
  <c r="U23" i="9"/>
  <c r="O33" i="28"/>
  <c r="P32" i="26"/>
  <c r="K32" i="28"/>
  <c r="L51" i="26"/>
  <c r="L27" i="28"/>
  <c r="M49" i="26"/>
  <c r="G32" i="28"/>
  <c r="H51" i="26"/>
  <c r="H28" i="28"/>
  <c r="I31" i="26"/>
  <c r="V24" i="9"/>
  <c r="W24" i="9" s="1"/>
  <c r="X24" i="9" s="1"/>
  <c r="U24" i="9"/>
  <c r="N33" i="28"/>
  <c r="O32" i="26"/>
  <c r="O28" i="28"/>
  <c r="P31" i="26"/>
  <c r="I28" i="28"/>
  <c r="J31" i="26"/>
  <c r="J32" i="28"/>
  <c r="K51" i="26"/>
  <c r="F27" i="28"/>
  <c r="F65" i="28" a="1"/>
  <c r="G49" i="26"/>
  <c r="G28" i="28"/>
  <c r="H31" i="26"/>
  <c r="M32" i="28"/>
  <c r="N51" i="26"/>
  <c r="N28" i="28"/>
  <c r="O31" i="26"/>
  <c r="J28" i="28"/>
  <c r="K31" i="26"/>
  <c r="Q33" i="28"/>
  <c r="R32" i="26"/>
  <c r="F69" i="28" a="1"/>
  <c r="P28" i="28"/>
  <c r="Q31" i="26"/>
  <c r="K28" i="28"/>
  <c r="L31" i="26"/>
  <c r="H32" i="28"/>
  <c r="I51" i="26"/>
  <c r="F31" i="28"/>
  <c r="R29" i="9"/>
  <c r="S29" i="9" s="1"/>
  <c r="F66" i="28" l="1"/>
  <c r="V66" i="28" s="1" a="1"/>
  <c r="V66" i="28" s="1"/>
  <c r="S70" i="28"/>
  <c r="F65" i="28"/>
  <c r="S65" i="28"/>
  <c r="T49" i="26" a="1"/>
  <c r="T49" i="26" s="1"/>
  <c r="S49" i="26"/>
  <c r="F28" i="28"/>
  <c r="G31" i="26"/>
  <c r="F67" i="28" a="1"/>
  <c r="M2" i="27" a="1"/>
  <c r="L28" i="28"/>
  <c r="M31" i="26"/>
  <c r="H32" i="26"/>
  <c r="G33" i="28"/>
  <c r="V29" i="9"/>
  <c r="W29" i="9" s="1"/>
  <c r="X29" i="9" s="1"/>
  <c r="U29" i="9"/>
  <c r="F32" i="28"/>
  <c r="G51" i="26"/>
  <c r="F71" i="28" a="1"/>
  <c r="J33" i="28"/>
  <c r="K32" i="26"/>
  <c r="F69" i="28"/>
  <c r="S69" i="28"/>
  <c r="N32" i="26"/>
  <c r="M33" i="28"/>
  <c r="L32" i="28"/>
  <c r="M51" i="26"/>
  <c r="H33" i="28"/>
  <c r="I32" i="26"/>
  <c r="I33" i="28"/>
  <c r="J32" i="26"/>
  <c r="K33" i="28"/>
  <c r="L32" i="26"/>
  <c r="V70" i="28" a="1"/>
  <c r="V70" i="28" s="1"/>
  <c r="R70" i="28"/>
  <c r="R66" i="28" l="1"/>
  <c r="T66" i="28" s="1"/>
  <c r="S31" i="26"/>
  <c r="T70" i="28"/>
  <c r="T51" i="26"/>
  <c r="S51" i="26"/>
  <c r="G32" i="26"/>
  <c r="F33" i="28"/>
  <c r="F72" i="28" a="1"/>
  <c r="O2" i="27" a="1"/>
  <c r="F67" i="28"/>
  <c r="S67" i="28"/>
  <c r="M8" i="27"/>
  <c r="M10" i="27"/>
  <c r="M3" i="27"/>
  <c r="M6" i="27"/>
  <c r="M9" i="27"/>
  <c r="M2" i="27"/>
  <c r="M7" i="27"/>
  <c r="M13" i="27"/>
  <c r="M4" i="27"/>
  <c r="M12" i="27"/>
  <c r="M11" i="27"/>
  <c r="M5" i="27"/>
  <c r="F68" i="28" a="1"/>
  <c r="L2" i="27" a="1"/>
  <c r="V69" i="28" a="1"/>
  <c r="V69" i="28" s="1"/>
  <c r="W69" i="28" s="1"/>
  <c r="U69" i="28"/>
  <c r="U70" i="28" s="1"/>
  <c r="U71" i="28" s="1"/>
  <c r="U72" i="28" s="1"/>
  <c r="U73" i="28" s="1"/>
  <c r="R69" i="28"/>
  <c r="T69" i="28" s="1"/>
  <c r="L33" i="28"/>
  <c r="M32" i="26"/>
  <c r="F71" i="28"/>
  <c r="S71" i="28"/>
  <c r="V65" i="28" a="1"/>
  <c r="V65" i="28" s="1"/>
  <c r="W65" i="28" s="1"/>
  <c r="R65" i="28"/>
  <c r="T65" i="28" s="1"/>
  <c r="U65" i="28"/>
  <c r="U66" i="28" s="1"/>
  <c r="U67" i="28" s="1"/>
  <c r="U68" i="28" s="1"/>
  <c r="E16" i="20"/>
  <c r="F15" i="26"/>
  <c r="F16" i="26"/>
  <c r="W66" i="28" l="1"/>
  <c r="V67" i="28" a="1"/>
  <c r="V67" i="28" s="1"/>
  <c r="R67" i="28"/>
  <c r="T67" i="28" s="1"/>
  <c r="V71" i="28" a="1"/>
  <c r="V71" i="28" s="1"/>
  <c r="W71" i="28" s="1"/>
  <c r="R71" i="28"/>
  <c r="T71" i="28" s="1"/>
  <c r="L11" i="27"/>
  <c r="L2" i="27"/>
  <c r="L7" i="27"/>
  <c r="L13" i="27"/>
  <c r="L12" i="27"/>
  <c r="L4" i="27"/>
  <c r="L10" i="27"/>
  <c r="L8" i="27"/>
  <c r="L3" i="27"/>
  <c r="L6" i="27"/>
  <c r="L5" i="27"/>
  <c r="L9" i="27"/>
  <c r="O3" i="27"/>
  <c r="O6" i="27"/>
  <c r="O9" i="27"/>
  <c r="O13" i="27"/>
  <c r="O7" i="27"/>
  <c r="O11" i="27"/>
  <c r="O5" i="27"/>
  <c r="O2" i="27"/>
  <c r="O4" i="27"/>
  <c r="O12" i="27"/>
  <c r="O8" i="27"/>
  <c r="O10" i="27"/>
  <c r="F68" i="28"/>
  <c r="S68" i="28"/>
  <c r="F72" i="28"/>
  <c r="S72" i="28"/>
  <c r="F73" i="28" a="1"/>
  <c r="N2" i="27" a="1"/>
  <c r="W70" i="28"/>
  <c r="S32" i="26"/>
  <c r="E37" i="1"/>
  <c r="E38" i="1"/>
  <c r="E41" i="1"/>
  <c r="E13" i="1"/>
  <c r="E49" i="1"/>
  <c r="E10" i="1"/>
  <c r="E9" i="1"/>
  <c r="E55" i="1"/>
  <c r="E11" i="1"/>
  <c r="E46" i="1"/>
  <c r="E40" i="1"/>
  <c r="E47" i="1"/>
  <c r="E43" i="1"/>
  <c r="E53" i="1"/>
  <c r="E54" i="1"/>
  <c r="E8" i="1"/>
  <c r="E44" i="1"/>
  <c r="E51" i="1"/>
  <c r="E14" i="1"/>
  <c r="E48" i="1"/>
  <c r="E45" i="1"/>
  <c r="E42" i="1"/>
  <c r="E50" i="1"/>
  <c r="E39" i="1"/>
  <c r="E52" i="1"/>
  <c r="E12" i="1"/>
  <c r="E7" i="1"/>
  <c r="N49" i="1" l="1"/>
  <c r="N49" i="2" s="1"/>
  <c r="J49" i="1"/>
  <c r="J49" i="2" s="1"/>
  <c r="F49" i="1"/>
  <c r="K49" i="1"/>
  <c r="K49" i="2" s="1"/>
  <c r="Q49" i="1"/>
  <c r="Q49" i="2" s="1"/>
  <c r="G49" i="1"/>
  <c r="G49" i="2" s="1"/>
  <c r="L49" i="1"/>
  <c r="O49" i="1"/>
  <c r="O49" i="2" s="1"/>
  <c r="H49" i="1"/>
  <c r="H49" i="2" s="1"/>
  <c r="P49" i="1"/>
  <c r="P49" i="2" s="1"/>
  <c r="I49" i="1"/>
  <c r="I49" i="2" s="1"/>
  <c r="M49" i="1"/>
  <c r="M49" i="2" s="1"/>
  <c r="F48" i="1"/>
  <c r="K48" i="1"/>
  <c r="K48" i="2" s="1"/>
  <c r="L48" i="1"/>
  <c r="P48" i="1"/>
  <c r="P48" i="2" s="1"/>
  <c r="N48" i="1"/>
  <c r="N48" i="2" s="1"/>
  <c r="J48" i="1"/>
  <c r="J48" i="2" s="1"/>
  <c r="H48" i="1"/>
  <c r="H48" i="2" s="1"/>
  <c r="M48" i="1"/>
  <c r="M48" i="2" s="1"/>
  <c r="I48" i="1"/>
  <c r="I48" i="2" s="1"/>
  <c r="G48" i="1"/>
  <c r="G48" i="2" s="1"/>
  <c r="Q48" i="1"/>
  <c r="Q48" i="2" s="1"/>
  <c r="O48" i="1"/>
  <c r="O48" i="2" s="1"/>
  <c r="G47" i="1"/>
  <c r="G47" i="2" s="1"/>
  <c r="O47" i="1"/>
  <c r="O47" i="2" s="1"/>
  <c r="H47" i="1"/>
  <c r="H47" i="2" s="1"/>
  <c r="L47" i="1"/>
  <c r="I47" i="1"/>
  <c r="I47" i="2" s="1"/>
  <c r="K47" i="1"/>
  <c r="K47" i="2" s="1"/>
  <c r="P47" i="1"/>
  <c r="P47" i="2" s="1"/>
  <c r="M47" i="1"/>
  <c r="M47" i="2" s="1"/>
  <c r="Q47" i="1"/>
  <c r="Q47" i="2" s="1"/>
  <c r="N47" i="1"/>
  <c r="N47" i="2" s="1"/>
  <c r="J47" i="1"/>
  <c r="J47" i="2" s="1"/>
  <c r="F47" i="1"/>
  <c r="P13" i="1"/>
  <c r="P13" i="2" s="1"/>
  <c r="O13" i="1"/>
  <c r="O13" i="2" s="1"/>
  <c r="I13" i="1"/>
  <c r="I13" i="2" s="1"/>
  <c r="M13" i="1"/>
  <c r="M13" i="2" s="1"/>
  <c r="Q13" i="1"/>
  <c r="Q13" i="2" s="1"/>
  <c r="N13" i="1"/>
  <c r="N13" i="2" s="1"/>
  <c r="F13" i="1"/>
  <c r="F13" i="2" s="1"/>
  <c r="H13" i="1"/>
  <c r="H13" i="2" s="1"/>
  <c r="J13" i="1"/>
  <c r="J13" i="2" s="1"/>
  <c r="K13" i="1"/>
  <c r="K13" i="2" s="1"/>
  <c r="L13" i="1"/>
  <c r="G13" i="1"/>
  <c r="G13" i="2" s="1"/>
  <c r="Q45" i="1"/>
  <c r="Q45" i="2" s="1"/>
  <c r="O45" i="1"/>
  <c r="O45" i="2" s="1"/>
  <c r="I45" i="1"/>
  <c r="I45" i="2" s="1"/>
  <c r="J45" i="1"/>
  <c r="J45" i="2" s="1"/>
  <c r="H45" i="1"/>
  <c r="H45" i="2" s="1"/>
  <c r="K45" i="1"/>
  <c r="K45" i="2" s="1"/>
  <c r="P45" i="1"/>
  <c r="P45" i="2" s="1"/>
  <c r="M45" i="1"/>
  <c r="M45" i="2" s="1"/>
  <c r="G45" i="1"/>
  <c r="G45" i="2" s="1"/>
  <c r="L45" i="1"/>
  <c r="N45" i="1"/>
  <c r="N45" i="2" s="1"/>
  <c r="F45" i="1"/>
  <c r="N14" i="1"/>
  <c r="N14" i="2" s="1"/>
  <c r="L14" i="1"/>
  <c r="F14" i="1"/>
  <c r="F14" i="2" s="1"/>
  <c r="J14" i="1"/>
  <c r="J14" i="2" s="1"/>
  <c r="G14" i="1"/>
  <c r="G14" i="2" s="1"/>
  <c r="K14" i="1"/>
  <c r="K14" i="2" s="1"/>
  <c r="Q14" i="1"/>
  <c r="Q14" i="2" s="1"/>
  <c r="O14" i="1"/>
  <c r="O14" i="2" s="1"/>
  <c r="H14" i="1"/>
  <c r="H14" i="2" s="1"/>
  <c r="P14" i="1"/>
  <c r="P14" i="2" s="1"/>
  <c r="I14" i="1"/>
  <c r="I14" i="2" s="1"/>
  <c r="M14" i="1"/>
  <c r="M14" i="2" s="1"/>
  <c r="F40" i="1"/>
  <c r="P40" i="1"/>
  <c r="P40" i="2" s="1"/>
  <c r="K40" i="1"/>
  <c r="K40" i="2" s="1"/>
  <c r="L40" i="1"/>
  <c r="N40" i="1"/>
  <c r="N40" i="2" s="1"/>
  <c r="H40" i="1"/>
  <c r="H40" i="2" s="1"/>
  <c r="M40" i="1"/>
  <c r="M40" i="2" s="1"/>
  <c r="J40" i="1"/>
  <c r="J40" i="2" s="1"/>
  <c r="I40" i="1"/>
  <c r="I40" i="2" s="1"/>
  <c r="G40" i="1"/>
  <c r="G40" i="2" s="1"/>
  <c r="Q40" i="1"/>
  <c r="Q40" i="2" s="1"/>
  <c r="O40" i="1"/>
  <c r="O40" i="2" s="1"/>
  <c r="N41" i="1"/>
  <c r="N41" i="2" s="1"/>
  <c r="J41" i="1"/>
  <c r="J41" i="2" s="1"/>
  <c r="M41" i="1"/>
  <c r="M41" i="2" s="1"/>
  <c r="F41" i="1"/>
  <c r="K41" i="1"/>
  <c r="K41" i="2" s="1"/>
  <c r="G41" i="1"/>
  <c r="G41" i="2" s="1"/>
  <c r="L41" i="1"/>
  <c r="Q41" i="1"/>
  <c r="Q41" i="2" s="1"/>
  <c r="O41" i="1"/>
  <c r="O41" i="2" s="1"/>
  <c r="H41" i="1"/>
  <c r="H41" i="2" s="1"/>
  <c r="P41" i="1"/>
  <c r="P41" i="2" s="1"/>
  <c r="I41" i="1"/>
  <c r="I41" i="2" s="1"/>
  <c r="V68" i="28" a="1"/>
  <c r="V68" i="28" s="1"/>
  <c r="R68" i="28"/>
  <c r="T68" i="28" s="1"/>
  <c r="O51" i="1"/>
  <c r="O51" i="2" s="1"/>
  <c r="M51" i="1"/>
  <c r="M51" i="2" s="1"/>
  <c r="H51" i="1"/>
  <c r="H51" i="2" s="1"/>
  <c r="N51" i="1"/>
  <c r="N51" i="2" s="1"/>
  <c r="L51" i="1"/>
  <c r="P51" i="1"/>
  <c r="P51" i="2" s="1"/>
  <c r="F51" i="1"/>
  <c r="Q51" i="1"/>
  <c r="Q51" i="2" s="1"/>
  <c r="G51" i="1"/>
  <c r="G51" i="2" s="1"/>
  <c r="I51" i="1"/>
  <c r="I51" i="2" s="1"/>
  <c r="J51" i="1"/>
  <c r="J51" i="2" s="1"/>
  <c r="K51" i="1"/>
  <c r="K51" i="2" s="1"/>
  <c r="I46" i="1"/>
  <c r="I46" i="2" s="1"/>
  <c r="K46" i="1"/>
  <c r="K46" i="2" s="1"/>
  <c r="Q46" i="1"/>
  <c r="Q46" i="2" s="1"/>
  <c r="J46" i="1"/>
  <c r="J46" i="2" s="1"/>
  <c r="N46" i="1"/>
  <c r="N46" i="2" s="1"/>
  <c r="F46" i="1"/>
  <c r="G46" i="1"/>
  <c r="G46" i="2" s="1"/>
  <c r="P46" i="1"/>
  <c r="P46" i="2" s="1"/>
  <c r="O46" i="1"/>
  <c r="O46" i="2" s="1"/>
  <c r="L46" i="1"/>
  <c r="H46" i="1"/>
  <c r="H46" i="2" s="1"/>
  <c r="M46" i="1"/>
  <c r="M46" i="2" s="1"/>
  <c r="G38" i="1"/>
  <c r="G38" i="2" s="1"/>
  <c r="K38" i="1"/>
  <c r="K38" i="2" s="1"/>
  <c r="F38" i="1"/>
  <c r="O38" i="1"/>
  <c r="O38" i="2" s="1"/>
  <c r="L38" i="1"/>
  <c r="H38" i="1"/>
  <c r="H38" i="2" s="1"/>
  <c r="M38" i="1"/>
  <c r="M38" i="2" s="1"/>
  <c r="I38" i="1"/>
  <c r="I38" i="2" s="1"/>
  <c r="P38" i="1"/>
  <c r="P38" i="2" s="1"/>
  <c r="Q38" i="1"/>
  <c r="Q38" i="2" s="1"/>
  <c r="J38" i="1"/>
  <c r="J38" i="2" s="1"/>
  <c r="N38" i="1"/>
  <c r="N38" i="2" s="1"/>
  <c r="Q43" i="1"/>
  <c r="Q43" i="2" s="1"/>
  <c r="M43" i="1"/>
  <c r="M43" i="2" s="1"/>
  <c r="J43" i="1"/>
  <c r="J43" i="2" s="1"/>
  <c r="O43" i="1"/>
  <c r="O43" i="2" s="1"/>
  <c r="K43" i="1"/>
  <c r="K43" i="2" s="1"/>
  <c r="G43" i="1"/>
  <c r="G43" i="2" s="1"/>
  <c r="L43" i="1"/>
  <c r="I43" i="1"/>
  <c r="I43" i="2" s="1"/>
  <c r="H43" i="1"/>
  <c r="H43" i="2" s="1"/>
  <c r="F43" i="1"/>
  <c r="P43" i="1"/>
  <c r="P43" i="2" s="1"/>
  <c r="N43" i="1"/>
  <c r="N43" i="2" s="1"/>
  <c r="F7" i="1"/>
  <c r="I7" i="1"/>
  <c r="N7" i="1"/>
  <c r="K7" i="1"/>
  <c r="H7" i="1"/>
  <c r="L7" i="1"/>
  <c r="P7" i="1"/>
  <c r="M7" i="1"/>
  <c r="O7" i="1"/>
  <c r="Q7" i="1"/>
  <c r="G7" i="1"/>
  <c r="J7" i="1"/>
  <c r="H44" i="1"/>
  <c r="H44" i="2" s="1"/>
  <c r="J44" i="1"/>
  <c r="J44" i="2" s="1"/>
  <c r="P44" i="1"/>
  <c r="P44" i="2" s="1"/>
  <c r="I44" i="1"/>
  <c r="I44" i="2" s="1"/>
  <c r="O44" i="1"/>
  <c r="O44" i="2" s="1"/>
  <c r="L44" i="1"/>
  <c r="Q44" i="1"/>
  <c r="Q44" i="2" s="1"/>
  <c r="M44" i="1"/>
  <c r="M44" i="2" s="1"/>
  <c r="N44" i="1"/>
  <c r="N44" i="2" s="1"/>
  <c r="F44" i="1"/>
  <c r="G44" i="1"/>
  <c r="G44" i="2" s="1"/>
  <c r="K44" i="1"/>
  <c r="K44" i="2" s="1"/>
  <c r="L37" i="1"/>
  <c r="K37" i="1"/>
  <c r="M37" i="1"/>
  <c r="N37" i="1"/>
  <c r="H37" i="1"/>
  <c r="P37" i="1"/>
  <c r="I37" i="1"/>
  <c r="F37" i="1"/>
  <c r="Q37" i="1"/>
  <c r="J37" i="1"/>
  <c r="G37" i="1"/>
  <c r="O37" i="1"/>
  <c r="N50" i="1"/>
  <c r="N50" i="2" s="1"/>
  <c r="M50" i="1"/>
  <c r="M50" i="2" s="1"/>
  <c r="G50" i="1"/>
  <c r="G50" i="2" s="1"/>
  <c r="P50" i="1"/>
  <c r="P50" i="2" s="1"/>
  <c r="O50" i="1"/>
  <c r="O50" i="2" s="1"/>
  <c r="L50" i="1"/>
  <c r="J50" i="1"/>
  <c r="J50" i="2" s="1"/>
  <c r="H50" i="1"/>
  <c r="H50" i="2" s="1"/>
  <c r="F50" i="1"/>
  <c r="Q50" i="1"/>
  <c r="Q50" i="2" s="1"/>
  <c r="K50" i="1"/>
  <c r="K50" i="2" s="1"/>
  <c r="I50" i="1"/>
  <c r="I50" i="2" s="1"/>
  <c r="V72" i="28" a="1"/>
  <c r="V72" i="28" s="1"/>
  <c r="R72" i="28"/>
  <c r="T72" i="28" s="1"/>
  <c r="G12" i="1"/>
  <c r="G12" i="2" s="1"/>
  <c r="P12" i="1"/>
  <c r="P12" i="2" s="1"/>
  <c r="O12" i="1"/>
  <c r="O12" i="2" s="1"/>
  <c r="L12" i="1"/>
  <c r="J12" i="1"/>
  <c r="J12" i="2" s="1"/>
  <c r="K12" i="1"/>
  <c r="K12" i="2" s="1"/>
  <c r="H12" i="1"/>
  <c r="H12" i="2" s="1"/>
  <c r="M12" i="1"/>
  <c r="M12" i="2" s="1"/>
  <c r="I12" i="1"/>
  <c r="I12" i="2" s="1"/>
  <c r="N12" i="1"/>
  <c r="N12" i="2" s="1"/>
  <c r="Q12" i="1"/>
  <c r="Q12" i="2" s="1"/>
  <c r="F12" i="1"/>
  <c r="M52" i="1"/>
  <c r="M52" i="2" s="1"/>
  <c r="J52" i="1"/>
  <c r="J52" i="2" s="1"/>
  <c r="H52" i="1"/>
  <c r="H52" i="2" s="1"/>
  <c r="Q52" i="1"/>
  <c r="Q52" i="2" s="1"/>
  <c r="N52" i="1"/>
  <c r="N52" i="2" s="1"/>
  <c r="F52" i="1"/>
  <c r="G52" i="1"/>
  <c r="G52" i="2" s="1"/>
  <c r="K52" i="1"/>
  <c r="K52" i="2" s="1"/>
  <c r="O52" i="1"/>
  <c r="O52" i="2" s="1"/>
  <c r="I52" i="1"/>
  <c r="I52" i="2" s="1"/>
  <c r="P52" i="1"/>
  <c r="P52" i="2" s="1"/>
  <c r="L52" i="1"/>
  <c r="G11" i="1"/>
  <c r="G11" i="2" s="1"/>
  <c r="M11" i="1"/>
  <c r="M11" i="2" s="1"/>
  <c r="O11" i="1"/>
  <c r="O11" i="2" s="1"/>
  <c r="K11" i="1"/>
  <c r="K11" i="2" s="1"/>
  <c r="I11" i="1"/>
  <c r="I11" i="2" s="1"/>
  <c r="H11" i="1"/>
  <c r="H11" i="2" s="1"/>
  <c r="L11" i="1"/>
  <c r="P11" i="1"/>
  <c r="P11" i="2" s="1"/>
  <c r="F11" i="1"/>
  <c r="Q11" i="1"/>
  <c r="Q11" i="2" s="1"/>
  <c r="J11" i="1"/>
  <c r="J11" i="2" s="1"/>
  <c r="N11" i="1"/>
  <c r="N11" i="2" s="1"/>
  <c r="J39" i="1"/>
  <c r="G39" i="1"/>
  <c r="P39" i="1"/>
  <c r="P39" i="2" s="1"/>
  <c r="O39" i="1"/>
  <c r="O39" i="2" s="1"/>
  <c r="Q39" i="1"/>
  <c r="Q39" i="2" s="1"/>
  <c r="K39" i="1"/>
  <c r="H39" i="1"/>
  <c r="L39" i="1"/>
  <c r="N39" i="1"/>
  <c r="M39" i="1"/>
  <c r="I39" i="1"/>
  <c r="F39" i="1"/>
  <c r="Q8" i="1"/>
  <c r="Q8" i="2" s="1"/>
  <c r="L8" i="1"/>
  <c r="N8" i="1"/>
  <c r="N8" i="2" s="1"/>
  <c r="F8" i="1"/>
  <c r="I8" i="1"/>
  <c r="I8" i="2" s="1"/>
  <c r="J8" i="1"/>
  <c r="J8" i="2" s="1"/>
  <c r="P8" i="1"/>
  <c r="P8" i="2" s="1"/>
  <c r="G8" i="1"/>
  <c r="G8" i="2" s="1"/>
  <c r="K8" i="1"/>
  <c r="K8" i="2" s="1"/>
  <c r="O8" i="1"/>
  <c r="O8" i="2" s="1"/>
  <c r="H8" i="1"/>
  <c r="H8" i="2" s="1"/>
  <c r="M8" i="1"/>
  <c r="M8" i="2" s="1"/>
  <c r="K55" i="1"/>
  <c r="K55" i="2" s="1"/>
  <c r="L55" i="1"/>
  <c r="I55" i="1"/>
  <c r="I55" i="2" s="1"/>
  <c r="M55" i="1"/>
  <c r="M55" i="2" s="1"/>
  <c r="Q55" i="1"/>
  <c r="Q55" i="2" s="1"/>
  <c r="N55" i="1"/>
  <c r="N55" i="2" s="1"/>
  <c r="J55" i="1"/>
  <c r="J55" i="2" s="1"/>
  <c r="G55" i="1"/>
  <c r="G55" i="2" s="1"/>
  <c r="P55" i="1"/>
  <c r="P55" i="2" s="1"/>
  <c r="F55" i="1"/>
  <c r="O55" i="1"/>
  <c r="O55" i="2" s="1"/>
  <c r="H55" i="1"/>
  <c r="H55" i="2" s="1"/>
  <c r="N11" i="27"/>
  <c r="N3" i="27"/>
  <c r="N7" i="27"/>
  <c r="N13" i="27"/>
  <c r="N9" i="27"/>
  <c r="N10" i="27"/>
  <c r="N6" i="27"/>
  <c r="N5" i="27"/>
  <c r="N4" i="27"/>
  <c r="N8" i="27"/>
  <c r="N2" i="27"/>
  <c r="N12" i="27"/>
  <c r="G54" i="1"/>
  <c r="G54" i="2" s="1"/>
  <c r="K54" i="1"/>
  <c r="K54" i="2" s="1"/>
  <c r="I54" i="1"/>
  <c r="I54" i="2" s="1"/>
  <c r="F54" i="1"/>
  <c r="O54" i="1"/>
  <c r="O54" i="2" s="1"/>
  <c r="L54" i="1"/>
  <c r="H54" i="1"/>
  <c r="H54" i="2" s="1"/>
  <c r="M54" i="1"/>
  <c r="M54" i="2" s="1"/>
  <c r="P54" i="1"/>
  <c r="P54" i="2" s="1"/>
  <c r="N54" i="1"/>
  <c r="N54" i="2" s="1"/>
  <c r="Q54" i="1"/>
  <c r="Q54" i="2" s="1"/>
  <c r="J54" i="1"/>
  <c r="J54" i="2" s="1"/>
  <c r="K9" i="1"/>
  <c r="K9" i="2" s="1"/>
  <c r="G9" i="1"/>
  <c r="G9" i="2" s="1"/>
  <c r="H9" i="1"/>
  <c r="H9" i="2" s="1"/>
  <c r="F9" i="1"/>
  <c r="P9" i="1"/>
  <c r="P9" i="2" s="1"/>
  <c r="Q9" i="1"/>
  <c r="Q9" i="2" s="1"/>
  <c r="O9" i="1"/>
  <c r="O9" i="2" s="1"/>
  <c r="L9" i="1"/>
  <c r="I9" i="1"/>
  <c r="I9" i="2" s="1"/>
  <c r="M9" i="1"/>
  <c r="M9" i="2" s="1"/>
  <c r="N9" i="1"/>
  <c r="N9" i="2" s="1"/>
  <c r="J9" i="1"/>
  <c r="J9" i="2" s="1"/>
  <c r="F73" i="28"/>
  <c r="S73" i="28"/>
  <c r="F42" i="1"/>
  <c r="P42" i="1"/>
  <c r="P42" i="2" s="1"/>
  <c r="N42" i="1"/>
  <c r="N42" i="2" s="1"/>
  <c r="O42" i="1"/>
  <c r="O42" i="2" s="1"/>
  <c r="K42" i="1"/>
  <c r="K42" i="2" s="1"/>
  <c r="I42" i="1"/>
  <c r="I42" i="2" s="1"/>
  <c r="J42" i="1"/>
  <c r="J42" i="2" s="1"/>
  <c r="L42" i="1"/>
  <c r="Q42" i="1"/>
  <c r="Q42" i="2" s="1"/>
  <c r="H42" i="1"/>
  <c r="H42" i="2" s="1"/>
  <c r="M42" i="1"/>
  <c r="M42" i="2" s="1"/>
  <c r="G42" i="1"/>
  <c r="G42" i="2" s="1"/>
  <c r="M53" i="1"/>
  <c r="M53" i="2" s="1"/>
  <c r="N53" i="1"/>
  <c r="N53" i="2" s="1"/>
  <c r="P53" i="1"/>
  <c r="P53" i="2" s="1"/>
  <c r="F53" i="1"/>
  <c r="O53" i="1"/>
  <c r="O53" i="2" s="1"/>
  <c r="K53" i="1"/>
  <c r="K53" i="2" s="1"/>
  <c r="I53" i="1"/>
  <c r="I53" i="2" s="1"/>
  <c r="G53" i="1"/>
  <c r="G53" i="2" s="1"/>
  <c r="Q53" i="1"/>
  <c r="Q53" i="2" s="1"/>
  <c r="J53" i="1"/>
  <c r="J53" i="2" s="1"/>
  <c r="H53" i="1"/>
  <c r="H53" i="2" s="1"/>
  <c r="L53" i="1"/>
  <c r="Q10" i="1"/>
  <c r="Q10" i="2" s="1"/>
  <c r="O10" i="1"/>
  <c r="O10" i="2" s="1"/>
  <c r="M10" i="1"/>
  <c r="M10" i="2" s="1"/>
  <c r="G10" i="1"/>
  <c r="G10" i="2" s="1"/>
  <c r="J10" i="1"/>
  <c r="J10" i="2" s="1"/>
  <c r="H10" i="1"/>
  <c r="H10" i="2" s="1"/>
  <c r="K10" i="1"/>
  <c r="K10" i="2" s="1"/>
  <c r="P10" i="1"/>
  <c r="P10" i="2" s="1"/>
  <c r="L10" i="1"/>
  <c r="F10" i="1"/>
  <c r="I10" i="1"/>
  <c r="I10" i="2" s="1"/>
  <c r="N10" i="1"/>
  <c r="N10" i="2" s="1"/>
  <c r="E57" i="1"/>
  <c r="E15" i="1"/>
  <c r="F9" i="2" l="1"/>
  <c r="R9" i="2" s="1"/>
  <c r="R9" i="1"/>
  <c r="F8" i="2"/>
  <c r="R8" i="2" s="1"/>
  <c r="R8" i="1"/>
  <c r="L39" i="2"/>
  <c r="L72" i="1"/>
  <c r="L73" i="1" s="1"/>
  <c r="L74" i="1" s="1"/>
  <c r="T39" i="1"/>
  <c r="U39" i="1" s="1"/>
  <c r="F12" i="2"/>
  <c r="R12" i="2" s="1"/>
  <c r="R12" i="1"/>
  <c r="L12" i="2"/>
  <c r="S12" i="2" s="1"/>
  <c r="T12" i="1"/>
  <c r="U12" i="1" s="1"/>
  <c r="P37" i="2"/>
  <c r="P57" i="2" s="1"/>
  <c r="P57" i="1"/>
  <c r="P16" i="20" s="1"/>
  <c r="F44" i="2"/>
  <c r="R44" i="2" s="1"/>
  <c r="R44" i="1"/>
  <c r="L7" i="2"/>
  <c r="T7" i="1"/>
  <c r="L15" i="1"/>
  <c r="F43" i="2"/>
  <c r="R43" i="2" s="1"/>
  <c r="R43" i="1"/>
  <c r="L46" i="2"/>
  <c r="S46" i="2" s="1"/>
  <c r="T46" i="1"/>
  <c r="U46" i="1" s="1"/>
  <c r="F41" i="2"/>
  <c r="R41" i="2" s="1"/>
  <c r="R41" i="1"/>
  <c r="H39" i="2"/>
  <c r="H72" i="1"/>
  <c r="H73" i="1" s="1"/>
  <c r="H74" i="1" s="1"/>
  <c r="F50" i="2"/>
  <c r="R50" i="2" s="1"/>
  <c r="R50" i="1"/>
  <c r="H37" i="2"/>
  <c r="H57" i="2" s="1"/>
  <c r="H57" i="1"/>
  <c r="H7" i="2"/>
  <c r="H15" i="2" s="1"/>
  <c r="H15" i="1"/>
  <c r="L38" i="2"/>
  <c r="S38" i="2" s="1"/>
  <c r="T38" i="1"/>
  <c r="U38" i="1" s="1"/>
  <c r="L51" i="2"/>
  <c r="S51" i="2" s="1"/>
  <c r="T51" i="1"/>
  <c r="U51" i="1" s="1"/>
  <c r="R14" i="2"/>
  <c r="L13" i="2"/>
  <c r="S13" i="2" s="1"/>
  <c r="T13" i="1"/>
  <c r="U13" i="1" s="1"/>
  <c r="L48" i="2"/>
  <c r="S48" i="2" s="1"/>
  <c r="T48" i="1"/>
  <c r="U48" i="1" s="1"/>
  <c r="L49" i="2"/>
  <c r="S49" i="2" s="1"/>
  <c r="T49" i="1"/>
  <c r="U49" i="1" s="1"/>
  <c r="L54" i="2"/>
  <c r="S54" i="2" s="1"/>
  <c r="T54" i="1"/>
  <c r="U54" i="1" s="1"/>
  <c r="L8" i="2"/>
  <c r="S8" i="2" s="1"/>
  <c r="T8" i="1"/>
  <c r="U8" i="1" s="1"/>
  <c r="K39" i="2"/>
  <c r="K72" i="1"/>
  <c r="K73" i="1" s="1"/>
  <c r="K74" i="1" s="1"/>
  <c r="F52" i="2"/>
  <c r="R52" i="2" s="1"/>
  <c r="R52" i="1"/>
  <c r="O37" i="2"/>
  <c r="O57" i="2" s="1"/>
  <c r="O57" i="1"/>
  <c r="O16" i="20" s="1"/>
  <c r="N37" i="2"/>
  <c r="N57" i="1"/>
  <c r="J7" i="2"/>
  <c r="J15" i="2" s="1"/>
  <c r="J15" i="1"/>
  <c r="K7" i="2"/>
  <c r="K15" i="2" s="1"/>
  <c r="K15" i="1"/>
  <c r="L14" i="2"/>
  <c r="S14" i="2" s="1"/>
  <c r="T14" i="1"/>
  <c r="U14" i="1" s="1"/>
  <c r="F11" i="2"/>
  <c r="R11" i="2" s="1"/>
  <c r="R11" i="1"/>
  <c r="G37" i="2"/>
  <c r="G57" i="1"/>
  <c r="M37" i="2"/>
  <c r="M57" i="1"/>
  <c r="G7" i="2"/>
  <c r="G15" i="2" s="1"/>
  <c r="G15" i="1"/>
  <c r="N7" i="2"/>
  <c r="N15" i="2" s="1"/>
  <c r="N15" i="1"/>
  <c r="L43" i="2"/>
  <c r="S43" i="2" s="1"/>
  <c r="T43" i="1"/>
  <c r="U43" i="1" s="1"/>
  <c r="F38" i="2"/>
  <c r="R38" i="2" s="1"/>
  <c r="R38" i="1"/>
  <c r="F48" i="2"/>
  <c r="R48" i="2" s="1"/>
  <c r="R48" i="1"/>
  <c r="F10" i="2"/>
  <c r="R10" i="2" s="1"/>
  <c r="R10" i="1"/>
  <c r="L9" i="2"/>
  <c r="S9" i="2" s="1"/>
  <c r="T9" i="1"/>
  <c r="U9" i="1" s="1"/>
  <c r="F54" i="2"/>
  <c r="R54" i="2" s="1"/>
  <c r="T54" i="2" s="1"/>
  <c r="R54" i="1"/>
  <c r="F39" i="2"/>
  <c r="F72" i="1"/>
  <c r="F73" i="1" s="1"/>
  <c r="F74" i="1" s="1"/>
  <c r="R39" i="1"/>
  <c r="L52" i="2"/>
  <c r="S52" i="2" s="1"/>
  <c r="T52" i="1"/>
  <c r="U52" i="1" s="1"/>
  <c r="L50" i="2"/>
  <c r="S50" i="2" s="1"/>
  <c r="T50" i="1"/>
  <c r="U50" i="1" s="1"/>
  <c r="J37" i="2"/>
  <c r="J57" i="1"/>
  <c r="K37" i="2"/>
  <c r="K57" i="1"/>
  <c r="L44" i="2"/>
  <c r="S44" i="2" s="1"/>
  <c r="T44" i="1"/>
  <c r="U44" i="1" s="1"/>
  <c r="Q7" i="2"/>
  <c r="Q15" i="2" s="1"/>
  <c r="Q15" i="1"/>
  <c r="Q15" i="20" s="1"/>
  <c r="I7" i="2"/>
  <c r="I15" i="2" s="1"/>
  <c r="I15" i="1"/>
  <c r="F46" i="2"/>
  <c r="R46" i="2" s="1"/>
  <c r="T46" i="2" s="1"/>
  <c r="R46" i="1"/>
  <c r="L40" i="2"/>
  <c r="S40" i="2" s="1"/>
  <c r="T40" i="1"/>
  <c r="U40" i="1" s="1"/>
  <c r="F45" i="2"/>
  <c r="R45" i="2" s="1"/>
  <c r="R45" i="1"/>
  <c r="F47" i="2"/>
  <c r="R47" i="2" s="1"/>
  <c r="R47" i="1"/>
  <c r="L47" i="2"/>
  <c r="S47" i="2" s="1"/>
  <c r="T47" i="1"/>
  <c r="U47" i="1" s="1"/>
  <c r="I39" i="2"/>
  <c r="I72" i="1"/>
  <c r="I73" i="1" s="1"/>
  <c r="I74" i="1" s="1"/>
  <c r="L11" i="2"/>
  <c r="S11" i="2" s="1"/>
  <c r="T11" i="1"/>
  <c r="U11" i="1" s="1"/>
  <c r="Q37" i="2"/>
  <c r="Q57" i="2" s="1"/>
  <c r="Q57" i="1"/>
  <c r="Q16" i="20" s="1"/>
  <c r="L37" i="2"/>
  <c r="L57" i="1"/>
  <c r="T37" i="1"/>
  <c r="O7" i="2"/>
  <c r="O15" i="2" s="1"/>
  <c r="O15" i="1"/>
  <c r="O15" i="20" s="1"/>
  <c r="F7" i="2"/>
  <c r="R7" i="1"/>
  <c r="F15" i="1"/>
  <c r="L41" i="2"/>
  <c r="S41" i="2" s="1"/>
  <c r="T41" i="1"/>
  <c r="U41" i="1" s="1"/>
  <c r="R13" i="2"/>
  <c r="T13" i="2" s="1"/>
  <c r="F49" i="2"/>
  <c r="R49" i="2" s="1"/>
  <c r="T49" i="2" s="1"/>
  <c r="R49" i="1"/>
  <c r="L10" i="2"/>
  <c r="S10" i="2" s="1"/>
  <c r="T10" i="1"/>
  <c r="U10" i="1" s="1"/>
  <c r="L53" i="2"/>
  <c r="S53" i="2" s="1"/>
  <c r="T53" i="1"/>
  <c r="U53" i="1" s="1"/>
  <c r="F53" i="2"/>
  <c r="R53" i="2" s="1"/>
  <c r="R53" i="1"/>
  <c r="L42" i="2"/>
  <c r="S42" i="2" s="1"/>
  <c r="T42" i="1"/>
  <c r="U42" i="1" s="1"/>
  <c r="F55" i="2"/>
  <c r="R55" i="2" s="1"/>
  <c r="R55" i="1"/>
  <c r="L55" i="2"/>
  <c r="S55" i="2" s="1"/>
  <c r="T55" i="1"/>
  <c r="U55" i="1" s="1"/>
  <c r="M39" i="2"/>
  <c r="M72" i="1"/>
  <c r="M73" i="1" s="1"/>
  <c r="M74" i="1" s="1"/>
  <c r="G39" i="2"/>
  <c r="G72" i="1"/>
  <c r="G73" i="1" s="1"/>
  <c r="G74" i="1" s="1"/>
  <c r="F37" i="2"/>
  <c r="F57" i="1"/>
  <c r="R37" i="1"/>
  <c r="M7" i="2"/>
  <c r="M15" i="2" s="1"/>
  <c r="M15" i="1"/>
  <c r="L45" i="2"/>
  <c r="S45" i="2" s="1"/>
  <c r="T45" i="1"/>
  <c r="U45" i="1" s="1"/>
  <c r="F42" i="2"/>
  <c r="R42" i="2" s="1"/>
  <c r="R42" i="1"/>
  <c r="V73" i="28" a="1"/>
  <c r="V73" i="28" s="1"/>
  <c r="R73" i="28"/>
  <c r="T73" i="28" s="1"/>
  <c r="N39" i="2"/>
  <c r="N72" i="1"/>
  <c r="N73" i="1" s="1"/>
  <c r="N74" i="1" s="1"/>
  <c r="J39" i="2"/>
  <c r="J72" i="1"/>
  <c r="J73" i="1" s="1"/>
  <c r="J74" i="1" s="1"/>
  <c r="I37" i="2"/>
  <c r="I57" i="1"/>
  <c r="P7" i="2"/>
  <c r="P15" i="2" s="1"/>
  <c r="P15" i="1"/>
  <c r="P15" i="20" s="1"/>
  <c r="F51" i="2"/>
  <c r="R51" i="2" s="1"/>
  <c r="T51" i="2" s="1"/>
  <c r="R51" i="1"/>
  <c r="F40" i="2"/>
  <c r="R40" i="2" s="1"/>
  <c r="T40" i="2" s="1"/>
  <c r="R40" i="1"/>
  <c r="I57" i="2" l="1"/>
  <c r="T38" i="2"/>
  <c r="T12" i="2"/>
  <c r="S41" i="1"/>
  <c r="V41" i="1"/>
  <c r="W41" i="1" s="1"/>
  <c r="S7" i="2"/>
  <c r="L15" i="2"/>
  <c r="V53" i="1"/>
  <c r="W53" i="1" s="1"/>
  <c r="S53" i="1"/>
  <c r="U37" i="1"/>
  <c r="T57" i="1"/>
  <c r="U57" i="1" s="1"/>
  <c r="S10" i="1"/>
  <c r="V10" i="1"/>
  <c r="W10" i="1" s="1"/>
  <c r="N67" i="1"/>
  <c r="N15" i="20"/>
  <c r="S11" i="1"/>
  <c r="V11" i="1"/>
  <c r="W11" i="1" s="1"/>
  <c r="N68" i="1"/>
  <c r="N16" i="20"/>
  <c r="H63" i="2"/>
  <c r="I15" i="26"/>
  <c r="T41" i="2"/>
  <c r="V44" i="1"/>
  <c r="W44" i="1" s="1"/>
  <c r="S44" i="1"/>
  <c r="O63" i="2"/>
  <c r="P15" i="26"/>
  <c r="H67" i="1"/>
  <c r="H15" i="20"/>
  <c r="S51" i="1"/>
  <c r="V51" i="1"/>
  <c r="W51" i="1" s="1"/>
  <c r="M67" i="1"/>
  <c r="M15" i="20"/>
  <c r="T53" i="2"/>
  <c r="L68" i="1"/>
  <c r="L16" i="20"/>
  <c r="V46" i="1"/>
  <c r="W46" i="1" s="1"/>
  <c r="S46" i="1"/>
  <c r="K68" i="1"/>
  <c r="K16" i="20"/>
  <c r="S39" i="1"/>
  <c r="V39" i="1"/>
  <c r="W39" i="1" s="1"/>
  <c r="T10" i="2"/>
  <c r="N63" i="2"/>
  <c r="O15" i="26"/>
  <c r="T11" i="2"/>
  <c r="N57" i="2"/>
  <c r="H68" i="1"/>
  <c r="H16" i="20"/>
  <c r="T44" i="2"/>
  <c r="J63" i="2"/>
  <c r="K15" i="26"/>
  <c r="M63" i="2"/>
  <c r="N15" i="26"/>
  <c r="L57" i="2"/>
  <c r="S37" i="2"/>
  <c r="K57" i="2"/>
  <c r="V48" i="1"/>
  <c r="W48" i="1" s="1"/>
  <c r="S48" i="1"/>
  <c r="G67" i="1"/>
  <c r="G15" i="20"/>
  <c r="T14" i="2"/>
  <c r="H65" i="2"/>
  <c r="I16" i="26"/>
  <c r="S39" i="2"/>
  <c r="F67" i="1"/>
  <c r="F15" i="20"/>
  <c r="V47" i="1"/>
  <c r="W47" i="1" s="1"/>
  <c r="S47" i="1"/>
  <c r="I67" i="1"/>
  <c r="I15" i="20"/>
  <c r="J68" i="1"/>
  <c r="J16" i="20"/>
  <c r="R39" i="2"/>
  <c r="T48" i="2"/>
  <c r="G63" i="2"/>
  <c r="H15" i="26"/>
  <c r="O65" i="2"/>
  <c r="P16" i="26"/>
  <c r="V50" i="1"/>
  <c r="W50" i="1" s="1"/>
  <c r="S50" i="1"/>
  <c r="V43" i="1"/>
  <c r="W43" i="1" s="1"/>
  <c r="S43" i="1"/>
  <c r="P65" i="2"/>
  <c r="Q16" i="26"/>
  <c r="V8" i="1"/>
  <c r="W8" i="1" s="1"/>
  <c r="S8" i="1"/>
  <c r="V37" i="1"/>
  <c r="S37" i="1"/>
  <c r="R57" i="1"/>
  <c r="S57" i="1" s="1"/>
  <c r="P63" i="2"/>
  <c r="Q15" i="26"/>
  <c r="F68" i="1"/>
  <c r="F16" i="20"/>
  <c r="S55" i="1"/>
  <c r="V55" i="1"/>
  <c r="W55" i="1" s="1"/>
  <c r="S7" i="1"/>
  <c r="V7" i="1"/>
  <c r="W7" i="1" s="1"/>
  <c r="Q65" i="2"/>
  <c r="R16" i="26"/>
  <c r="T47" i="2"/>
  <c r="I63" i="2"/>
  <c r="J15" i="26"/>
  <c r="J57" i="2"/>
  <c r="V54" i="1"/>
  <c r="W54" i="1" s="1"/>
  <c r="S54" i="1"/>
  <c r="V38" i="1"/>
  <c r="W38" i="1" s="1"/>
  <c r="S38" i="1"/>
  <c r="M68" i="1"/>
  <c r="M16" i="20"/>
  <c r="K67" i="1"/>
  <c r="K69" i="1" s="1"/>
  <c r="K70" i="1" s="1"/>
  <c r="K15" i="20"/>
  <c r="V52" i="1"/>
  <c r="W52" i="1" s="1"/>
  <c r="S52" i="1"/>
  <c r="T50" i="2"/>
  <c r="T43" i="2"/>
  <c r="T8" i="2"/>
  <c r="V40" i="1"/>
  <c r="W40" i="1" s="1"/>
  <c r="S40" i="1"/>
  <c r="G57" i="2"/>
  <c r="I68" i="1"/>
  <c r="I16" i="20"/>
  <c r="V42" i="1"/>
  <c r="W42" i="1" s="1"/>
  <c r="S42" i="1"/>
  <c r="F57" i="2"/>
  <c r="R37" i="2"/>
  <c r="T55" i="2"/>
  <c r="R7" i="2"/>
  <c r="F15" i="2"/>
  <c r="S45" i="1"/>
  <c r="V45" i="1"/>
  <c r="W45" i="1" s="1"/>
  <c r="M57" i="2"/>
  <c r="K63" i="2"/>
  <c r="L15" i="26"/>
  <c r="T52" i="2"/>
  <c r="L67" i="1"/>
  <c r="L15" i="20"/>
  <c r="S9" i="1"/>
  <c r="V9" i="1"/>
  <c r="W9" i="1" s="1"/>
  <c r="I65" i="2"/>
  <c r="J16" i="26"/>
  <c r="T42" i="2"/>
  <c r="S49" i="1"/>
  <c r="V49" i="1"/>
  <c r="W49" i="1" s="1"/>
  <c r="T45" i="2"/>
  <c r="Q63" i="2"/>
  <c r="R15" i="26"/>
  <c r="G68" i="1"/>
  <c r="G16" i="20"/>
  <c r="J67" i="1"/>
  <c r="J15" i="20"/>
  <c r="U7" i="1"/>
  <c r="T15" i="1"/>
  <c r="U15" i="1" s="1"/>
  <c r="S12" i="1"/>
  <c r="V12" i="1"/>
  <c r="W12" i="1" s="1"/>
  <c r="T9" i="2"/>
  <c r="D20" i="21"/>
  <c r="J69" i="1" l="1"/>
  <c r="J70" i="1" s="1"/>
  <c r="T37" i="2"/>
  <c r="L69" i="1"/>
  <c r="L70" i="1" s="1"/>
  <c r="H69" i="1"/>
  <c r="H70" i="1" s="1"/>
  <c r="G69" i="1"/>
  <c r="G70" i="1" s="1"/>
  <c r="T39" i="2"/>
  <c r="I69" i="1"/>
  <c r="I70" i="1" s="1"/>
  <c r="Y9" i="1"/>
  <c r="X9" i="1"/>
  <c r="Y48" i="1"/>
  <c r="X48" i="1"/>
  <c r="Y39" i="1"/>
  <c r="X39" i="1"/>
  <c r="Y11" i="1"/>
  <c r="X11" i="1"/>
  <c r="Y42" i="1"/>
  <c r="X42" i="1"/>
  <c r="R16" i="1"/>
  <c r="R15" i="20"/>
  <c r="Y12" i="1"/>
  <c r="X12" i="1"/>
  <c r="F63" i="2"/>
  <c r="G15" i="26"/>
  <c r="R15" i="2"/>
  <c r="Y52" i="1"/>
  <c r="X52" i="1"/>
  <c r="Y54" i="1"/>
  <c r="X54" i="1"/>
  <c r="X7" i="1"/>
  <c r="Y7" i="1"/>
  <c r="X43" i="1"/>
  <c r="Y43" i="1"/>
  <c r="F69" i="1"/>
  <c r="F70" i="1" s="1"/>
  <c r="K65" i="2"/>
  <c r="L16" i="26"/>
  <c r="Y53" i="1"/>
  <c r="X53" i="1"/>
  <c r="M65" i="2"/>
  <c r="N16" i="26"/>
  <c r="Y38" i="1"/>
  <c r="X38" i="1"/>
  <c r="Y47" i="1"/>
  <c r="X47" i="1"/>
  <c r="T7" i="2"/>
  <c r="G65" i="2"/>
  <c r="H16" i="26"/>
  <c r="J65" i="2"/>
  <c r="K16" i="26"/>
  <c r="M69" i="1"/>
  <c r="M70" i="1" s="1"/>
  <c r="Y44" i="1"/>
  <c r="X44" i="1"/>
  <c r="L63" i="2"/>
  <c r="M15" i="26"/>
  <c r="S15" i="2"/>
  <c r="S63" i="2" s="1"/>
  <c r="X49" i="1"/>
  <c r="Y49" i="1"/>
  <c r="L65" i="2"/>
  <c r="M16" i="26"/>
  <c r="S57" i="2"/>
  <c r="S65" i="2" s="1"/>
  <c r="N65" i="2"/>
  <c r="O16" i="26"/>
  <c r="X51" i="1"/>
  <c r="Y51" i="1"/>
  <c r="N69" i="1"/>
  <c r="N70" i="1" s="1"/>
  <c r="X45" i="1"/>
  <c r="Y45" i="1"/>
  <c r="Y55" i="1"/>
  <c r="X55" i="1"/>
  <c r="V57" i="1"/>
  <c r="W57" i="1" s="1"/>
  <c r="W37" i="1"/>
  <c r="Y40" i="1"/>
  <c r="X40" i="1"/>
  <c r="Y10" i="1"/>
  <c r="X10" i="1"/>
  <c r="X41" i="1"/>
  <c r="Y41" i="1"/>
  <c r="X50" i="1"/>
  <c r="Y50" i="1"/>
  <c r="O20" i="21"/>
  <c r="H20" i="21"/>
  <c r="L20" i="21"/>
  <c r="G20" i="21"/>
  <c r="P20" i="21"/>
  <c r="I20" i="21"/>
  <c r="J20" i="21"/>
  <c r="F20" i="21"/>
  <c r="M20" i="21"/>
  <c r="N20" i="21"/>
  <c r="K20" i="21"/>
  <c r="E20" i="21"/>
  <c r="F65" i="2"/>
  <c r="R57" i="2"/>
  <c r="G16" i="26"/>
  <c r="R16" i="20"/>
  <c r="Y8" i="1"/>
  <c r="X8" i="1"/>
  <c r="Z8" i="1" s="1"/>
  <c r="AA8" i="1" s="1"/>
  <c r="Y46" i="1"/>
  <c r="X46" i="1"/>
  <c r="D37" i="21"/>
  <c r="Z10" i="1" l="1"/>
  <c r="AA10" i="1" s="1"/>
  <c r="T65" i="2"/>
  <c r="Z47" i="1"/>
  <c r="AA47" i="1" s="1"/>
  <c r="Z48" i="1"/>
  <c r="AA48" i="1" s="1"/>
  <c r="Z55" i="1"/>
  <c r="AA55" i="1" s="1"/>
  <c r="Z45" i="1"/>
  <c r="AA45" i="1" s="1"/>
  <c r="Z38" i="1"/>
  <c r="AA38" i="1" s="1"/>
  <c r="Z42" i="1"/>
  <c r="AA42" i="1" s="1"/>
  <c r="Z43" i="1"/>
  <c r="AA43" i="1" s="1"/>
  <c r="Z51" i="1"/>
  <c r="AA51" i="1" s="1"/>
  <c r="S16" i="26"/>
  <c r="Z7" i="1"/>
  <c r="AA7" i="1" s="1"/>
  <c r="Z39" i="1"/>
  <c r="AA39" i="1" s="1"/>
  <c r="J19" i="23"/>
  <c r="J36" i="23" s="1"/>
  <c r="J37" i="21"/>
  <c r="J67" i="21"/>
  <c r="Z50" i="1"/>
  <c r="AA50" i="1" s="1"/>
  <c r="R63" i="2"/>
  <c r="T15" i="2"/>
  <c r="F37" i="21"/>
  <c r="F19" i="23"/>
  <c r="F36" i="23" s="1"/>
  <c r="F67" i="21"/>
  <c r="I37" i="21"/>
  <c r="I19" i="23"/>
  <c r="I36" i="23" s="1"/>
  <c r="I67" i="21"/>
  <c r="S15" i="26"/>
  <c r="P19" i="23"/>
  <c r="P36" i="23" s="1"/>
  <c r="P37" i="21"/>
  <c r="T63" i="2"/>
  <c r="Z12" i="1"/>
  <c r="AA12" i="1" s="1"/>
  <c r="R65" i="2"/>
  <c r="T57" i="2"/>
  <c r="K37" i="21"/>
  <c r="K19" i="23"/>
  <c r="K67" i="21"/>
  <c r="S20" i="21"/>
  <c r="T20" i="21" s="1"/>
  <c r="L37" i="21"/>
  <c r="L19" i="23"/>
  <c r="L36" i="23" s="1"/>
  <c r="L67" i="21"/>
  <c r="Z41" i="1"/>
  <c r="AA41" i="1" s="1"/>
  <c r="Z40" i="1"/>
  <c r="AA40" i="1" s="1"/>
  <c r="Z49" i="1"/>
  <c r="AA49" i="1" s="1"/>
  <c r="Z53" i="1"/>
  <c r="AA53" i="1" s="1"/>
  <c r="Z54" i="1"/>
  <c r="AA54" i="1" s="1"/>
  <c r="R22" i="1"/>
  <c r="S22" i="1" s="1"/>
  <c r="S16" i="1"/>
  <c r="V16" i="1"/>
  <c r="E19" i="23"/>
  <c r="E37" i="21"/>
  <c r="E67" i="21"/>
  <c r="Q20" i="21"/>
  <c r="N37" i="21"/>
  <c r="N19" i="23"/>
  <c r="N36" i="23" s="1"/>
  <c r="H19" i="23"/>
  <c r="H36" i="23" s="1"/>
  <c r="H37" i="21"/>
  <c r="H67" i="21"/>
  <c r="G37" i="21"/>
  <c r="G19" i="23"/>
  <c r="G36" i="23" s="1"/>
  <c r="G67" i="21"/>
  <c r="Z46" i="1"/>
  <c r="AA46" i="1" s="1"/>
  <c r="M37" i="21"/>
  <c r="M19" i="23"/>
  <c r="M36" i="23" s="1"/>
  <c r="M67" i="21"/>
  <c r="O37" i="21"/>
  <c r="O19" i="23"/>
  <c r="O36" i="23" s="1"/>
  <c r="X37" i="1"/>
  <c r="Y37" i="1"/>
  <c r="Z44" i="1"/>
  <c r="AA44" i="1" s="1"/>
  <c r="Z52" i="1"/>
  <c r="AA52" i="1" s="1"/>
  <c r="Z11" i="1"/>
  <c r="AA11" i="1" s="1"/>
  <c r="Z9" i="1"/>
  <c r="AA9" i="1" s="1"/>
  <c r="Y57" i="1"/>
  <c r="X57" i="1"/>
  <c r="E36" i="23" l="1"/>
  <c r="Q36" i="23" s="1"/>
  <c r="Q19" i="23"/>
  <c r="K36" i="23"/>
  <c r="R36" i="23" s="1"/>
  <c r="R19" i="23"/>
  <c r="W16" i="1"/>
  <c r="V22" i="1"/>
  <c r="W22" i="1" s="1"/>
  <c r="S37" i="21"/>
  <c r="T37" i="21" s="1"/>
  <c r="Z57" i="1"/>
  <c r="Z37" i="1"/>
  <c r="AA37" i="1" s="1"/>
  <c r="AA57" i="1" s="1"/>
  <c r="R20" i="21"/>
  <c r="U20" i="21"/>
  <c r="V20" i="21" s="1"/>
  <c r="W20" i="21" s="1"/>
  <c r="Q37" i="21"/>
  <c r="D15" i="21"/>
  <c r="D17" i="21"/>
  <c r="D13" i="21"/>
  <c r="D14" i="21"/>
  <c r="O14" i="21" l="1"/>
  <c r="O13" i="23" s="1"/>
  <c r="L14" i="21"/>
  <c r="L13" i="23" s="1"/>
  <c r="H14" i="21"/>
  <c r="H13" i="23" s="1"/>
  <c r="G14" i="21"/>
  <c r="G13" i="23" s="1"/>
  <c r="J14" i="21"/>
  <c r="J13" i="23" s="1"/>
  <c r="I14" i="21"/>
  <c r="I13" i="23" s="1"/>
  <c r="P14" i="21"/>
  <c r="P13" i="23" s="1"/>
  <c r="F14" i="21"/>
  <c r="F13" i="23" s="1"/>
  <c r="E14" i="21"/>
  <c r="M14" i="21"/>
  <c r="M13" i="23" s="1"/>
  <c r="K14" i="21"/>
  <c r="N14" i="21"/>
  <c r="N13" i="23" s="1"/>
  <c r="R37" i="21"/>
  <c r="U37" i="21"/>
  <c r="V37" i="21" s="1"/>
  <c r="W37" i="21" s="1"/>
  <c r="F13" i="21"/>
  <c r="F12" i="23" s="1"/>
  <c r="H13" i="21"/>
  <c r="H12" i="23" s="1"/>
  <c r="G13" i="21"/>
  <c r="G12" i="23" s="1"/>
  <c r="P13" i="21"/>
  <c r="P12" i="23" s="1"/>
  <c r="O13" i="21"/>
  <c r="O12" i="23" s="1"/>
  <c r="I13" i="21"/>
  <c r="I12" i="23" s="1"/>
  <c r="L13" i="21"/>
  <c r="L12" i="23" s="1"/>
  <c r="J13" i="21"/>
  <c r="J12" i="23" s="1"/>
  <c r="K13" i="21"/>
  <c r="E13" i="21"/>
  <c r="N13" i="21"/>
  <c r="N12" i="23" s="1"/>
  <c r="M13" i="21"/>
  <c r="M12" i="23" s="1"/>
  <c r="F17" i="21"/>
  <c r="F16" i="23" s="1"/>
  <c r="O17" i="21"/>
  <c r="O16" i="23" s="1"/>
  <c r="L17" i="21"/>
  <c r="L16" i="23" s="1"/>
  <c r="H17" i="21"/>
  <c r="H16" i="23" s="1"/>
  <c r="I17" i="21"/>
  <c r="I16" i="23" s="1"/>
  <c r="J17" i="21"/>
  <c r="J16" i="23" s="1"/>
  <c r="P17" i="21"/>
  <c r="P16" i="23" s="1"/>
  <c r="G17" i="21"/>
  <c r="G16" i="23" s="1"/>
  <c r="E17" i="21"/>
  <c r="M17" i="21"/>
  <c r="M16" i="23" s="1"/>
  <c r="N17" i="21"/>
  <c r="N16" i="23" s="1"/>
  <c r="K17" i="21"/>
  <c r="S19" i="23"/>
  <c r="S36" i="23"/>
  <c r="J15" i="21"/>
  <c r="J14" i="23" s="1"/>
  <c r="F15" i="21"/>
  <c r="F14" i="23" s="1"/>
  <c r="O15" i="21"/>
  <c r="O14" i="23" s="1"/>
  <c r="L15" i="21"/>
  <c r="L14" i="23" s="1"/>
  <c r="H15" i="21"/>
  <c r="H14" i="23" s="1"/>
  <c r="P15" i="21"/>
  <c r="P14" i="23" s="1"/>
  <c r="I15" i="21"/>
  <c r="I14" i="23" s="1"/>
  <c r="K15" i="21"/>
  <c r="M15" i="21"/>
  <c r="M14" i="23" s="1"/>
  <c r="G15" i="21"/>
  <c r="G14" i="23" s="1"/>
  <c r="E15" i="21"/>
  <c r="N15" i="21"/>
  <c r="N14" i="23" s="1"/>
  <c r="X20" i="21"/>
  <c r="Y20" i="21" s="1"/>
  <c r="Z20" i="21" s="1"/>
  <c r="Z37" i="21" s="1"/>
  <c r="X22" i="1"/>
  <c r="Y22" i="1"/>
  <c r="X16" i="1"/>
  <c r="Y16" i="1"/>
  <c r="D16" i="21"/>
  <c r="D7" i="21"/>
  <c r="Z16" i="1" l="1"/>
  <c r="AA16" i="1" s="1"/>
  <c r="AA22" i="1" s="1"/>
  <c r="E13" i="23"/>
  <c r="Q13" i="23" s="1"/>
  <c r="Q14" i="21"/>
  <c r="K14" i="23"/>
  <c r="R14" i="23" s="1"/>
  <c r="S15" i="21"/>
  <c r="T15" i="21" s="1"/>
  <c r="E12" i="23"/>
  <c r="Q12" i="23" s="1"/>
  <c r="Q13" i="21"/>
  <c r="Z22" i="1"/>
  <c r="K12" i="23"/>
  <c r="R12" i="23" s="1"/>
  <c r="S13" i="21"/>
  <c r="T13" i="21" s="1"/>
  <c r="K16" i="23"/>
  <c r="R16" i="23" s="1"/>
  <c r="S17" i="21"/>
  <c r="T17" i="21" s="1"/>
  <c r="X37" i="21"/>
  <c r="Y37" i="21" s="1"/>
  <c r="P7" i="21"/>
  <c r="L7" i="21"/>
  <c r="I7" i="21"/>
  <c r="G7" i="21"/>
  <c r="J7" i="21"/>
  <c r="F7" i="21"/>
  <c r="O7" i="21"/>
  <c r="H7" i="21"/>
  <c r="N7" i="21"/>
  <c r="M7" i="21"/>
  <c r="K7" i="21"/>
  <c r="E7" i="21"/>
  <c r="P16" i="21"/>
  <c r="P15" i="23" s="1"/>
  <c r="I16" i="21"/>
  <c r="I15" i="23" s="1"/>
  <c r="J16" i="21"/>
  <c r="J15" i="23" s="1"/>
  <c r="F16" i="21"/>
  <c r="F15" i="23" s="1"/>
  <c r="O16" i="21"/>
  <c r="O15" i="23" s="1"/>
  <c r="H16" i="21"/>
  <c r="H15" i="23" s="1"/>
  <c r="L16" i="21"/>
  <c r="L15" i="23" s="1"/>
  <c r="G16" i="21"/>
  <c r="G15" i="23" s="1"/>
  <c r="M16" i="21"/>
  <c r="M15" i="23" s="1"/>
  <c r="K16" i="21"/>
  <c r="N16" i="21"/>
  <c r="N15" i="23" s="1"/>
  <c r="E16" i="21"/>
  <c r="E14" i="23"/>
  <c r="Q14" i="23" s="1"/>
  <c r="S14" i="23" s="1"/>
  <c r="Q15" i="21"/>
  <c r="E16" i="23"/>
  <c r="Q16" i="23" s="1"/>
  <c r="S16" i="23" s="1"/>
  <c r="Q17" i="21"/>
  <c r="K13" i="23"/>
  <c r="R13" i="23" s="1"/>
  <c r="S14" i="21"/>
  <c r="T14" i="21" s="1"/>
  <c r="K6" i="23" l="1"/>
  <c r="S7" i="21"/>
  <c r="T7" i="21" s="1"/>
  <c r="I6" i="23"/>
  <c r="M6" i="23"/>
  <c r="L6" i="23"/>
  <c r="R15" i="21"/>
  <c r="U15" i="21"/>
  <c r="V15" i="21" s="1"/>
  <c r="W15" i="21" s="1"/>
  <c r="H6" i="23"/>
  <c r="S12" i="23"/>
  <c r="N6" i="23"/>
  <c r="O6" i="23"/>
  <c r="K15" i="23"/>
  <c r="R15" i="23" s="1"/>
  <c r="S16" i="21"/>
  <c r="T16" i="21" s="1"/>
  <c r="F6" i="23"/>
  <c r="U13" i="21"/>
  <c r="V13" i="21" s="1"/>
  <c r="W13" i="21" s="1"/>
  <c r="R13" i="21"/>
  <c r="J6" i="23"/>
  <c r="R14" i="21"/>
  <c r="U14" i="21"/>
  <c r="V14" i="21" s="1"/>
  <c r="W14" i="21" s="1"/>
  <c r="P6" i="23"/>
  <c r="E15" i="23"/>
  <c r="Q15" i="23" s="1"/>
  <c r="Q16" i="21"/>
  <c r="R17" i="21"/>
  <c r="U17" i="21"/>
  <c r="V17" i="21" s="1"/>
  <c r="W17" i="21" s="1"/>
  <c r="E6" i="23"/>
  <c r="Q7" i="21"/>
  <c r="G6" i="23"/>
  <c r="S13" i="23"/>
  <c r="D50" i="22"/>
  <c r="S15" i="23" l="1"/>
  <c r="X13" i="21"/>
  <c r="Y13" i="21" s="1"/>
  <c r="Z13" i="21" s="1"/>
  <c r="R16" i="21"/>
  <c r="U16" i="21"/>
  <c r="V16" i="21" s="1"/>
  <c r="W16" i="21" s="1"/>
  <c r="X14" i="21"/>
  <c r="Y14" i="21" s="1"/>
  <c r="Z14" i="21" s="1"/>
  <c r="Q6" i="23"/>
  <c r="X15" i="21"/>
  <c r="Y15" i="21" s="1"/>
  <c r="Z15" i="21" s="1"/>
  <c r="J50" i="22"/>
  <c r="O50" i="22"/>
  <c r="G50" i="22"/>
  <c r="P50" i="22"/>
  <c r="H50" i="22"/>
  <c r="E50" i="22"/>
  <c r="L50" i="22"/>
  <c r="M50" i="22"/>
  <c r="K50" i="22"/>
  <c r="F50" i="22"/>
  <c r="I50" i="22"/>
  <c r="N50" i="22"/>
  <c r="R7" i="21"/>
  <c r="U7" i="21"/>
  <c r="V7" i="21" s="1"/>
  <c r="W7" i="21" s="1"/>
  <c r="X17" i="21"/>
  <c r="Y17" i="21" s="1"/>
  <c r="Z17" i="21" s="1"/>
  <c r="R6" i="23"/>
  <c r="D52" i="21"/>
  <c r="D51" i="22"/>
  <c r="E51" i="22" l="1"/>
  <c r="E54" i="22" s="1"/>
  <c r="J51" i="22"/>
  <c r="O51" i="22"/>
  <c r="O51" i="24" s="1"/>
  <c r="P51" i="22"/>
  <c r="P51" i="24" s="1"/>
  <c r="H51" i="22"/>
  <c r="N51" i="22"/>
  <c r="N51" i="24" s="1"/>
  <c r="L51" i="22"/>
  <c r="L54" i="22" s="1"/>
  <c r="M23" i="20" s="1"/>
  <c r="M51" i="22"/>
  <c r="M54" i="22" s="1"/>
  <c r="N23" i="20" s="1"/>
  <c r="K51" i="22"/>
  <c r="F51" i="22"/>
  <c r="I51" i="22"/>
  <c r="I54" i="22" s="1"/>
  <c r="J23" i="20" s="1"/>
  <c r="G51" i="22"/>
  <c r="N50" i="24"/>
  <c r="N54" i="22"/>
  <c r="O23" i="20" s="1"/>
  <c r="P50" i="24"/>
  <c r="P54" i="22"/>
  <c r="Q23" i="20" s="1"/>
  <c r="H52" i="21"/>
  <c r="L52" i="21"/>
  <c r="G52" i="21"/>
  <c r="P52" i="21"/>
  <c r="I52" i="21"/>
  <c r="J52" i="21"/>
  <c r="F52" i="21"/>
  <c r="O52" i="21"/>
  <c r="M52" i="21"/>
  <c r="N52" i="21"/>
  <c r="K52" i="21"/>
  <c r="E52" i="21"/>
  <c r="I50" i="24"/>
  <c r="I70" i="22"/>
  <c r="G50" i="24"/>
  <c r="G70" i="22"/>
  <c r="F50" i="24"/>
  <c r="F54" i="22"/>
  <c r="G23" i="20" s="1"/>
  <c r="F70" i="22"/>
  <c r="O50" i="24"/>
  <c r="J54" i="22"/>
  <c r="K23" i="20" s="1"/>
  <c r="J50" i="24"/>
  <c r="J70" i="22"/>
  <c r="M50" i="24"/>
  <c r="M70" i="22"/>
  <c r="H50" i="24"/>
  <c r="H54" i="22"/>
  <c r="I23" i="20" s="1"/>
  <c r="H70" i="22"/>
  <c r="X16" i="21"/>
  <c r="Y16" i="21" s="1"/>
  <c r="Z16" i="21" s="1"/>
  <c r="L50" i="24"/>
  <c r="L70" i="22"/>
  <c r="K50" i="24"/>
  <c r="K54" i="22"/>
  <c r="K70" i="22"/>
  <c r="S50" i="22"/>
  <c r="T50" i="22" s="1"/>
  <c r="X7" i="21"/>
  <c r="Y7" i="21" s="1"/>
  <c r="Z7" i="21" s="1"/>
  <c r="E50" i="24"/>
  <c r="E70" i="22"/>
  <c r="Q50" i="22"/>
  <c r="S6" i="23"/>
  <c r="D55" i="21"/>
  <c r="E23" i="20"/>
  <c r="D54" i="22"/>
  <c r="O54" i="22" l="1"/>
  <c r="P23" i="20" s="1"/>
  <c r="R50" i="24"/>
  <c r="O51" i="23"/>
  <c r="O55" i="21"/>
  <c r="P20" i="20" s="1"/>
  <c r="M51" i="24"/>
  <c r="M71" i="22"/>
  <c r="M72" i="22" s="1"/>
  <c r="R50" i="22"/>
  <c r="U50" i="22"/>
  <c r="V50" i="22" s="1"/>
  <c r="W50" i="22" s="1"/>
  <c r="X50" i="22" s="1"/>
  <c r="Y50" i="22" s="1"/>
  <c r="Z50" i="22" s="1"/>
  <c r="L23" i="20"/>
  <c r="F51" i="23"/>
  <c r="F72" i="21"/>
  <c r="F73" i="21" s="1"/>
  <c r="F55" i="21"/>
  <c r="G20" i="20" s="1"/>
  <c r="L51" i="24"/>
  <c r="L71" i="22"/>
  <c r="L72" i="22" s="1"/>
  <c r="J51" i="23"/>
  <c r="J72" i="21"/>
  <c r="J73" i="21" s="1"/>
  <c r="J55" i="21"/>
  <c r="K20" i="20" s="1"/>
  <c r="F23" i="20"/>
  <c r="I51" i="23"/>
  <c r="I72" i="21"/>
  <c r="I73" i="21" s="1"/>
  <c r="I55" i="21"/>
  <c r="J20" i="20" s="1"/>
  <c r="H51" i="24"/>
  <c r="H71" i="22"/>
  <c r="H72" i="22" s="1"/>
  <c r="E51" i="23"/>
  <c r="E72" i="21"/>
  <c r="E73" i="21" s="1"/>
  <c r="Q52" i="21"/>
  <c r="E55" i="21"/>
  <c r="P51" i="23"/>
  <c r="P55" i="21"/>
  <c r="Q20" i="20" s="1"/>
  <c r="G51" i="24"/>
  <c r="G71" i="22"/>
  <c r="G72" i="22" s="1"/>
  <c r="Q50" i="24"/>
  <c r="S50" i="24" s="1"/>
  <c r="K51" i="23"/>
  <c r="K72" i="21"/>
  <c r="K73" i="21" s="1"/>
  <c r="S52" i="21"/>
  <c r="T52" i="21" s="1"/>
  <c r="K55" i="21"/>
  <c r="G51" i="23"/>
  <c r="G72" i="21"/>
  <c r="G73" i="21" s="1"/>
  <c r="G55" i="21"/>
  <c r="H20" i="20" s="1"/>
  <c r="I51" i="24"/>
  <c r="I71" i="22"/>
  <c r="I72" i="22" s="1"/>
  <c r="N51" i="23"/>
  <c r="N55" i="21"/>
  <c r="O20" i="20" s="1"/>
  <c r="L51" i="23"/>
  <c r="L72" i="21"/>
  <c r="L73" i="21" s="1"/>
  <c r="L55" i="21"/>
  <c r="M20" i="20" s="1"/>
  <c r="F51" i="24"/>
  <c r="F71" i="22"/>
  <c r="F72" i="22" s="1"/>
  <c r="J51" i="24"/>
  <c r="J71" i="22"/>
  <c r="J72" i="22" s="1"/>
  <c r="G54" i="22"/>
  <c r="H23" i="20" s="1"/>
  <c r="M51" i="23"/>
  <c r="M72" i="21"/>
  <c r="M73" i="21" s="1"/>
  <c r="M55" i="21"/>
  <c r="N20" i="20" s="1"/>
  <c r="H51" i="23"/>
  <c r="H72" i="21"/>
  <c r="H73" i="21" s="1"/>
  <c r="H55" i="21"/>
  <c r="I20" i="20" s="1"/>
  <c r="K51" i="24"/>
  <c r="K71" i="22"/>
  <c r="K72" i="22" s="1"/>
  <c r="S51" i="22"/>
  <c r="T51" i="22" s="1"/>
  <c r="E51" i="24"/>
  <c r="E71" i="22"/>
  <c r="E72" i="22" s="1"/>
  <c r="Q51" i="22"/>
  <c r="D53" i="21"/>
  <c r="D52" i="22"/>
  <c r="S54" i="22" l="1"/>
  <c r="T54" i="22" s="1"/>
  <c r="Q54" i="22"/>
  <c r="R51" i="23"/>
  <c r="R23" i="20"/>
  <c r="Q51" i="23"/>
  <c r="F20" i="20"/>
  <c r="Q55" i="21"/>
  <c r="H52" i="22"/>
  <c r="H52" i="24" s="1"/>
  <c r="E52" i="22"/>
  <c r="J52" i="22"/>
  <c r="J52" i="24" s="1"/>
  <c r="O52" i="22"/>
  <c r="O52" i="24" s="1"/>
  <c r="P52" i="22"/>
  <c r="P52" i="24" s="1"/>
  <c r="N52" i="22"/>
  <c r="N52" i="24" s="1"/>
  <c r="L52" i="22"/>
  <c r="L52" i="24" s="1"/>
  <c r="M52" i="22"/>
  <c r="M52" i="24" s="1"/>
  <c r="K52" i="22"/>
  <c r="F52" i="22"/>
  <c r="F52" i="24" s="1"/>
  <c r="I52" i="22"/>
  <c r="I52" i="24" s="1"/>
  <c r="G52" i="22"/>
  <c r="G52" i="24" s="1"/>
  <c r="U51" i="22"/>
  <c r="V51" i="22" s="1"/>
  <c r="W51" i="22" s="1"/>
  <c r="X51" i="22" s="1"/>
  <c r="Y51" i="22" s="1"/>
  <c r="Z51" i="22" s="1"/>
  <c r="R51" i="22"/>
  <c r="R52" i="21"/>
  <c r="U52" i="21"/>
  <c r="V52" i="21" s="1"/>
  <c r="W52" i="21" s="1"/>
  <c r="O53" i="21"/>
  <c r="O52" i="23" s="1"/>
  <c r="H53" i="21"/>
  <c r="H52" i="23" s="1"/>
  <c r="L53" i="21"/>
  <c r="L52" i="23" s="1"/>
  <c r="G53" i="21"/>
  <c r="G52" i="23" s="1"/>
  <c r="P53" i="21"/>
  <c r="P52" i="23" s="1"/>
  <c r="I53" i="21"/>
  <c r="I52" i="23" s="1"/>
  <c r="J53" i="21"/>
  <c r="J52" i="23" s="1"/>
  <c r="F53" i="21"/>
  <c r="F52" i="23" s="1"/>
  <c r="M53" i="21"/>
  <c r="M52" i="23" s="1"/>
  <c r="N53" i="21"/>
  <c r="N52" i="23" s="1"/>
  <c r="K53" i="21"/>
  <c r="E53" i="21"/>
  <c r="Q51" i="24"/>
  <c r="S51" i="23"/>
  <c r="U54" i="22"/>
  <c r="V54" i="22" s="1"/>
  <c r="W54" i="22" s="1"/>
  <c r="X54" i="22" s="1"/>
  <c r="Y54" i="22" s="1"/>
  <c r="Z54" i="22" s="1"/>
  <c r="R54" i="22"/>
  <c r="R51" i="24"/>
  <c r="L20" i="20"/>
  <c r="S55" i="21"/>
  <c r="T55" i="21" s="1"/>
  <c r="D9" i="21"/>
  <c r="D10" i="21"/>
  <c r="D11" i="21"/>
  <c r="D12" i="21"/>
  <c r="E52" i="23" l="1"/>
  <c r="Q52" i="23" s="1"/>
  <c r="Q53" i="21"/>
  <c r="J11" i="21"/>
  <c r="J10" i="23" s="1"/>
  <c r="F11" i="21"/>
  <c r="F10" i="23" s="1"/>
  <c r="O11" i="21"/>
  <c r="O10" i="23" s="1"/>
  <c r="H11" i="21"/>
  <c r="H10" i="23" s="1"/>
  <c r="G11" i="21"/>
  <c r="G10" i="23" s="1"/>
  <c r="L11" i="21"/>
  <c r="L10" i="23" s="1"/>
  <c r="P11" i="21"/>
  <c r="P10" i="23" s="1"/>
  <c r="I11" i="21"/>
  <c r="I10" i="23" s="1"/>
  <c r="E11" i="21"/>
  <c r="M11" i="21"/>
  <c r="M10" i="23" s="1"/>
  <c r="K11" i="21"/>
  <c r="N11" i="21"/>
  <c r="N10" i="23" s="1"/>
  <c r="K52" i="23"/>
  <c r="R52" i="23" s="1"/>
  <c r="S53" i="21"/>
  <c r="T53" i="21" s="1"/>
  <c r="E52" i="24"/>
  <c r="Q52" i="24" s="1"/>
  <c r="Q52" i="22"/>
  <c r="F10" i="21"/>
  <c r="F9" i="23" s="1"/>
  <c r="O10" i="21"/>
  <c r="O9" i="23" s="1"/>
  <c r="G10" i="21"/>
  <c r="G9" i="23" s="1"/>
  <c r="J10" i="21"/>
  <c r="J9" i="23" s="1"/>
  <c r="P10" i="21"/>
  <c r="P9" i="23" s="1"/>
  <c r="L10" i="21"/>
  <c r="L9" i="23" s="1"/>
  <c r="H10" i="21"/>
  <c r="H9" i="23" s="1"/>
  <c r="I10" i="21"/>
  <c r="I9" i="23" s="1"/>
  <c r="K10" i="21"/>
  <c r="N10" i="21"/>
  <c r="N9" i="23" s="1"/>
  <c r="E10" i="21"/>
  <c r="M10" i="21"/>
  <c r="M9" i="23" s="1"/>
  <c r="K52" i="24"/>
  <c r="R52" i="24" s="1"/>
  <c r="S52" i="22"/>
  <c r="T52" i="22" s="1"/>
  <c r="F12" i="21"/>
  <c r="F11" i="23" s="1"/>
  <c r="O12" i="21"/>
  <c r="O11" i="23" s="1"/>
  <c r="L12" i="21"/>
  <c r="L11" i="23" s="1"/>
  <c r="H12" i="21"/>
  <c r="H11" i="23" s="1"/>
  <c r="P12" i="21"/>
  <c r="P11" i="23" s="1"/>
  <c r="I12" i="21"/>
  <c r="I11" i="23" s="1"/>
  <c r="J12" i="21"/>
  <c r="J11" i="23" s="1"/>
  <c r="G12" i="21"/>
  <c r="G11" i="23" s="1"/>
  <c r="E12" i="21"/>
  <c r="N12" i="21"/>
  <c r="N11" i="23" s="1"/>
  <c r="K12" i="21"/>
  <c r="M12" i="21"/>
  <c r="M11" i="23" s="1"/>
  <c r="S51" i="24"/>
  <c r="X52" i="21"/>
  <c r="Y52" i="21" s="1"/>
  <c r="Z52" i="21" s="1"/>
  <c r="Z55" i="21" s="1"/>
  <c r="R55" i="21"/>
  <c r="U55" i="21"/>
  <c r="V55" i="21" s="1"/>
  <c r="W55" i="21" s="1"/>
  <c r="H9" i="21"/>
  <c r="H8" i="23" s="1"/>
  <c r="O9" i="21"/>
  <c r="O8" i="23" s="1"/>
  <c r="P9" i="21"/>
  <c r="P8" i="23" s="1"/>
  <c r="I9" i="21"/>
  <c r="I8" i="23" s="1"/>
  <c r="G9" i="21"/>
  <c r="G8" i="23" s="1"/>
  <c r="J9" i="21"/>
  <c r="J8" i="23" s="1"/>
  <c r="L9" i="21"/>
  <c r="L8" i="23" s="1"/>
  <c r="F9" i="21"/>
  <c r="F8" i="23" s="1"/>
  <c r="K9" i="21"/>
  <c r="M9" i="21"/>
  <c r="M8" i="23" s="1"/>
  <c r="N9" i="21"/>
  <c r="N8" i="23" s="1"/>
  <c r="E9" i="21"/>
  <c r="R20" i="20"/>
  <c r="D8" i="21"/>
  <c r="F18" i="26"/>
  <c r="S52" i="23" l="1"/>
  <c r="P8" i="21"/>
  <c r="I8" i="21"/>
  <c r="J8" i="21"/>
  <c r="F8" i="21"/>
  <c r="O8" i="21"/>
  <c r="H8" i="21"/>
  <c r="L8" i="21"/>
  <c r="M8" i="21"/>
  <c r="N8" i="21"/>
  <c r="G8" i="21"/>
  <c r="K8" i="21"/>
  <c r="E8" i="21"/>
  <c r="E9" i="23"/>
  <c r="Q9" i="23" s="1"/>
  <c r="Q10" i="21"/>
  <c r="E8" i="23"/>
  <c r="Q8" i="23" s="1"/>
  <c r="Q9" i="21"/>
  <c r="K10" i="23"/>
  <c r="R10" i="23" s="1"/>
  <c r="S11" i="21"/>
  <c r="T11" i="21" s="1"/>
  <c r="K8" i="23"/>
  <c r="R8" i="23" s="1"/>
  <c r="S9" i="21"/>
  <c r="T9" i="21" s="1"/>
  <c r="R52" i="22"/>
  <c r="U52" i="22"/>
  <c r="V52" i="22" s="1"/>
  <c r="W52" i="22" s="1"/>
  <c r="X52" i="22" s="1"/>
  <c r="Y52" i="22" s="1"/>
  <c r="Z52" i="22" s="1"/>
  <c r="E10" i="23"/>
  <c r="Q10" i="23" s="1"/>
  <c r="S10" i="23" s="1"/>
  <c r="Q11" i="21"/>
  <c r="K11" i="23"/>
  <c r="R11" i="23" s="1"/>
  <c r="S12" i="21"/>
  <c r="T12" i="21" s="1"/>
  <c r="K9" i="23"/>
  <c r="R9" i="23" s="1"/>
  <c r="S10" i="21"/>
  <c r="T10" i="21" s="1"/>
  <c r="X55" i="21"/>
  <c r="Y55" i="21" s="1"/>
  <c r="E11" i="23"/>
  <c r="Q11" i="23" s="1"/>
  <c r="Q12" i="21"/>
  <c r="S52" i="24"/>
  <c r="U53" i="21"/>
  <c r="V53" i="21" s="1"/>
  <c r="W53" i="21" s="1"/>
  <c r="R53" i="21"/>
  <c r="D19" i="21"/>
  <c r="E18" i="20"/>
  <c r="S11" i="23" l="1"/>
  <c r="S8" i="23"/>
  <c r="S9" i="23"/>
  <c r="M7" i="23"/>
  <c r="M18" i="23" s="1"/>
  <c r="M19" i="21"/>
  <c r="L7" i="23"/>
  <c r="L18" i="23" s="1"/>
  <c r="L19" i="21"/>
  <c r="U10" i="21"/>
  <c r="V10" i="21" s="1"/>
  <c r="W10" i="21" s="1"/>
  <c r="R10" i="21"/>
  <c r="H7" i="23"/>
  <c r="H18" i="23" s="1"/>
  <c r="H19" i="21"/>
  <c r="O7" i="23"/>
  <c r="O18" i="23" s="1"/>
  <c r="O19" i="21"/>
  <c r="P18" i="20" s="1"/>
  <c r="E7" i="23"/>
  <c r="Q8" i="21"/>
  <c r="E19" i="21"/>
  <c r="F7" i="23"/>
  <c r="F18" i="23" s="1"/>
  <c r="F19" i="21"/>
  <c r="U12" i="21"/>
  <c r="V12" i="21" s="1"/>
  <c r="W12" i="21" s="1"/>
  <c r="R12" i="21"/>
  <c r="U9" i="21"/>
  <c r="V9" i="21" s="1"/>
  <c r="W9" i="21" s="1"/>
  <c r="R9" i="21"/>
  <c r="K7" i="23"/>
  <c r="S8" i="21"/>
  <c r="T8" i="21" s="1"/>
  <c r="K19" i="21"/>
  <c r="J7" i="23"/>
  <c r="J18" i="23" s="1"/>
  <c r="J19" i="21"/>
  <c r="G7" i="23"/>
  <c r="G18" i="23" s="1"/>
  <c r="G19" i="21"/>
  <c r="I7" i="23"/>
  <c r="I18" i="23" s="1"/>
  <c r="I19" i="21"/>
  <c r="R11" i="21"/>
  <c r="U11" i="21"/>
  <c r="V11" i="21" s="1"/>
  <c r="W11" i="21" s="1"/>
  <c r="X53" i="21"/>
  <c r="Y53" i="21" s="1"/>
  <c r="Z53" i="21" s="1"/>
  <c r="N7" i="23"/>
  <c r="N18" i="23" s="1"/>
  <c r="N19" i="21"/>
  <c r="O18" i="20" s="1"/>
  <c r="P7" i="23"/>
  <c r="P18" i="23" s="1"/>
  <c r="P19" i="21"/>
  <c r="Q18" i="20" s="1"/>
  <c r="J58" i="23" l="1"/>
  <c r="L18" i="26"/>
  <c r="F63" i="21"/>
  <c r="G18" i="20"/>
  <c r="H58" i="23"/>
  <c r="J18" i="26"/>
  <c r="K63" i="21"/>
  <c r="S19" i="21"/>
  <c r="T19" i="21" s="1"/>
  <c r="L18" i="20"/>
  <c r="F58" i="23"/>
  <c r="H18" i="26"/>
  <c r="E63" i="21"/>
  <c r="F18" i="20"/>
  <c r="Q19" i="21"/>
  <c r="X10" i="21"/>
  <c r="Y10" i="21" s="1"/>
  <c r="Z10" i="21" s="1"/>
  <c r="X12" i="21"/>
  <c r="Y12" i="21" s="1"/>
  <c r="Z12" i="21" s="1"/>
  <c r="I63" i="21"/>
  <c r="J18" i="20"/>
  <c r="K18" i="23"/>
  <c r="R7" i="23"/>
  <c r="R8" i="21"/>
  <c r="U8" i="21"/>
  <c r="V8" i="21" s="1"/>
  <c r="W8" i="21" s="1"/>
  <c r="L63" i="21"/>
  <c r="M18" i="20"/>
  <c r="H63" i="21"/>
  <c r="I18" i="20"/>
  <c r="P58" i="23"/>
  <c r="R18" i="26"/>
  <c r="I58" i="23"/>
  <c r="K18" i="26"/>
  <c r="E18" i="23"/>
  <c r="Q7" i="23"/>
  <c r="L58" i="23"/>
  <c r="N18" i="26"/>
  <c r="X11" i="21"/>
  <c r="Y11" i="21" s="1"/>
  <c r="Z11" i="21" s="1"/>
  <c r="X9" i="21"/>
  <c r="Y9" i="21" s="1"/>
  <c r="Z9" i="21" s="1"/>
  <c r="M63" i="21"/>
  <c r="N18" i="20"/>
  <c r="J63" i="21"/>
  <c r="K18" i="20"/>
  <c r="G63" i="21"/>
  <c r="H18" i="20"/>
  <c r="N58" i="23"/>
  <c r="P18" i="26"/>
  <c r="G58" i="23"/>
  <c r="I18" i="26"/>
  <c r="O58" i="23"/>
  <c r="Q18" i="26"/>
  <c r="M58" i="23"/>
  <c r="O18" i="26"/>
  <c r="D47" i="21"/>
  <c r="D46" i="22"/>
  <c r="K58" i="23" l="1"/>
  <c r="R18" i="23"/>
  <c r="M18" i="26"/>
  <c r="U19" i="21"/>
  <c r="V19" i="21" s="1"/>
  <c r="W19" i="21" s="1"/>
  <c r="R19" i="21"/>
  <c r="R18" i="20"/>
  <c r="P46" i="22"/>
  <c r="P46" i="24" s="1"/>
  <c r="H46" i="22"/>
  <c r="H46" i="24" s="1"/>
  <c r="E46" i="22"/>
  <c r="J46" i="22"/>
  <c r="J46" i="24" s="1"/>
  <c r="O46" i="22"/>
  <c r="O46" i="24" s="1"/>
  <c r="N46" i="22"/>
  <c r="N46" i="24" s="1"/>
  <c r="L46" i="22"/>
  <c r="L46" i="24" s="1"/>
  <c r="M46" i="22"/>
  <c r="M46" i="24" s="1"/>
  <c r="K46" i="22"/>
  <c r="F46" i="22"/>
  <c r="F46" i="24" s="1"/>
  <c r="I46" i="22"/>
  <c r="I46" i="24" s="1"/>
  <c r="G46" i="22"/>
  <c r="G46" i="24" s="1"/>
  <c r="S7" i="23"/>
  <c r="Q18" i="23"/>
  <c r="E58" i="23"/>
  <c r="G18" i="26"/>
  <c r="L47" i="21"/>
  <c r="G47" i="21"/>
  <c r="P47" i="21"/>
  <c r="P46" i="23" s="1"/>
  <c r="I47" i="21"/>
  <c r="J47" i="21"/>
  <c r="F47" i="21"/>
  <c r="O47" i="21"/>
  <c r="O46" i="23" s="1"/>
  <c r="H47" i="21"/>
  <c r="M47" i="21"/>
  <c r="N47" i="21"/>
  <c r="N46" i="23" s="1"/>
  <c r="K47" i="21"/>
  <c r="E47" i="21"/>
  <c r="X8" i="21"/>
  <c r="Y8" i="21" s="1"/>
  <c r="Z8" i="21" s="1"/>
  <c r="Z19" i="21" s="1"/>
  <c r="D49" i="21"/>
  <c r="D48" i="22"/>
  <c r="D37" i="22"/>
  <c r="D38" i="21"/>
  <c r="P37" i="22" l="1"/>
  <c r="H37" i="22"/>
  <c r="E37" i="22"/>
  <c r="J37" i="22"/>
  <c r="O37" i="22"/>
  <c r="L37" i="22"/>
  <c r="N37" i="22"/>
  <c r="M37" i="22"/>
  <c r="K37" i="22"/>
  <c r="F37" i="22"/>
  <c r="I37" i="22"/>
  <c r="G37" i="22"/>
  <c r="J46" i="23"/>
  <c r="J68" i="21"/>
  <c r="J69" i="21" s="1"/>
  <c r="J70" i="21" s="1"/>
  <c r="S18" i="26"/>
  <c r="E46" i="23"/>
  <c r="Q47" i="21"/>
  <c r="E68" i="21"/>
  <c r="E69" i="21" s="1"/>
  <c r="E70" i="21" s="1"/>
  <c r="I46" i="23"/>
  <c r="I68" i="21"/>
  <c r="I69" i="21" s="1"/>
  <c r="I70" i="21" s="1"/>
  <c r="Q58" i="23"/>
  <c r="X19" i="21"/>
  <c r="Y19" i="21" s="1"/>
  <c r="F46" i="23"/>
  <c r="F68" i="21"/>
  <c r="F69" i="21" s="1"/>
  <c r="F70" i="21" s="1"/>
  <c r="H38" i="21"/>
  <c r="L38" i="21"/>
  <c r="G38" i="21"/>
  <c r="I38" i="21"/>
  <c r="J38" i="21"/>
  <c r="P38" i="21"/>
  <c r="F38" i="21"/>
  <c r="O38" i="21"/>
  <c r="N38" i="21"/>
  <c r="M38" i="21"/>
  <c r="K38" i="21"/>
  <c r="E38" i="21"/>
  <c r="K46" i="23"/>
  <c r="S47" i="21"/>
  <c r="T47" i="21" s="1"/>
  <c r="K68" i="21"/>
  <c r="K69" i="21" s="1"/>
  <c r="K70" i="21" s="1"/>
  <c r="S18" i="23"/>
  <c r="E46" i="24"/>
  <c r="Q46" i="24" s="1"/>
  <c r="Q46" i="22"/>
  <c r="O48" i="22"/>
  <c r="O48" i="24" s="1"/>
  <c r="G48" i="22"/>
  <c r="G48" i="24" s="1"/>
  <c r="P48" i="22"/>
  <c r="P48" i="24" s="1"/>
  <c r="H48" i="22"/>
  <c r="H48" i="24" s="1"/>
  <c r="E48" i="22"/>
  <c r="J48" i="22"/>
  <c r="J48" i="24" s="1"/>
  <c r="N48" i="22"/>
  <c r="N48" i="24" s="1"/>
  <c r="M48" i="22"/>
  <c r="M48" i="24" s="1"/>
  <c r="K48" i="22"/>
  <c r="F48" i="22"/>
  <c r="F48" i="24" s="1"/>
  <c r="L48" i="22"/>
  <c r="L48" i="24" s="1"/>
  <c r="I48" i="22"/>
  <c r="I48" i="24" s="1"/>
  <c r="G46" i="23"/>
  <c r="G68" i="21"/>
  <c r="G69" i="21" s="1"/>
  <c r="G70" i="21" s="1"/>
  <c r="O49" i="21"/>
  <c r="O48" i="23" s="1"/>
  <c r="H49" i="21"/>
  <c r="H48" i="23" s="1"/>
  <c r="P49" i="21"/>
  <c r="P48" i="23" s="1"/>
  <c r="L49" i="21"/>
  <c r="L48" i="23" s="1"/>
  <c r="G49" i="21"/>
  <c r="G48" i="23" s="1"/>
  <c r="I49" i="21"/>
  <c r="I48" i="23" s="1"/>
  <c r="J49" i="21"/>
  <c r="J48" i="23" s="1"/>
  <c r="F49" i="21"/>
  <c r="F48" i="23" s="1"/>
  <c r="M49" i="21"/>
  <c r="M48" i="23" s="1"/>
  <c r="N49" i="21"/>
  <c r="N48" i="23" s="1"/>
  <c r="K49" i="21"/>
  <c r="E49" i="21"/>
  <c r="M46" i="23"/>
  <c r="M68" i="21"/>
  <c r="M69" i="21" s="1"/>
  <c r="M70" i="21" s="1"/>
  <c r="L46" i="23"/>
  <c r="L68" i="21"/>
  <c r="L69" i="21" s="1"/>
  <c r="L70" i="21" s="1"/>
  <c r="K46" i="24"/>
  <c r="R46" i="24" s="1"/>
  <c r="S46" i="22"/>
  <c r="T46" i="22" s="1"/>
  <c r="R58" i="23"/>
  <c r="H46" i="23"/>
  <c r="H68" i="21"/>
  <c r="H69" i="21" s="1"/>
  <c r="H70" i="21" s="1"/>
  <c r="D50" i="21"/>
  <c r="E22" i="20"/>
  <c r="E19" i="20"/>
  <c r="F19" i="26"/>
  <c r="D49" i="22"/>
  <c r="F22" i="26"/>
  <c r="E48" i="23" l="1"/>
  <c r="Q48" i="23" s="1"/>
  <c r="Q49" i="21"/>
  <c r="R46" i="23"/>
  <c r="J37" i="23"/>
  <c r="J49" i="23" s="1"/>
  <c r="J50" i="21"/>
  <c r="M49" i="22"/>
  <c r="M37" i="24"/>
  <c r="M49" i="24" s="1"/>
  <c r="K48" i="23"/>
  <c r="R48" i="23" s="1"/>
  <c r="S49" i="21"/>
  <c r="T49" i="21" s="1"/>
  <c r="K48" i="24"/>
  <c r="R48" i="24" s="1"/>
  <c r="S48" i="22"/>
  <c r="T48" i="22" s="1"/>
  <c r="E37" i="23"/>
  <c r="E50" i="21"/>
  <c r="Q38" i="21"/>
  <c r="I50" i="21"/>
  <c r="I37" i="23"/>
  <c r="I49" i="23" s="1"/>
  <c r="S58" i="23"/>
  <c r="N37" i="24"/>
  <c r="N49" i="24" s="1"/>
  <c r="N49" i="22"/>
  <c r="O22" i="20" s="1"/>
  <c r="K37" i="23"/>
  <c r="K50" i="21"/>
  <c r="S38" i="21"/>
  <c r="T38" i="21" s="1"/>
  <c r="G50" i="21"/>
  <c r="G37" i="23"/>
  <c r="G49" i="23" s="1"/>
  <c r="L49" i="22"/>
  <c r="L37" i="24"/>
  <c r="L49" i="24" s="1"/>
  <c r="R46" i="22"/>
  <c r="U46" i="22"/>
  <c r="V46" i="22" s="1"/>
  <c r="W46" i="22" s="1"/>
  <c r="X46" i="22" s="1"/>
  <c r="Y46" i="22" s="1"/>
  <c r="Z46" i="22" s="1"/>
  <c r="M50" i="21"/>
  <c r="M37" i="23"/>
  <c r="M49" i="23" s="1"/>
  <c r="L50" i="21"/>
  <c r="L37" i="23"/>
  <c r="L49" i="23" s="1"/>
  <c r="O37" i="24"/>
  <c r="O49" i="24" s="1"/>
  <c r="O49" i="22"/>
  <c r="P22" i="20" s="1"/>
  <c r="S46" i="24"/>
  <c r="N37" i="23"/>
  <c r="N49" i="23" s="1"/>
  <c r="N50" i="21"/>
  <c r="O19" i="20" s="1"/>
  <c r="O40" i="20" s="1"/>
  <c r="O46" i="20" s="1"/>
  <c r="H37" i="23"/>
  <c r="H49" i="23" s="1"/>
  <c r="H50" i="21"/>
  <c r="G49" i="22"/>
  <c r="G37" i="24"/>
  <c r="G49" i="24" s="1"/>
  <c r="J49" i="22"/>
  <c r="J37" i="24"/>
  <c r="J49" i="24" s="1"/>
  <c r="E48" i="24"/>
  <c r="Q48" i="24" s="1"/>
  <c r="S48" i="24" s="1"/>
  <c r="Q48" i="22"/>
  <c r="O37" i="23"/>
  <c r="O49" i="23" s="1"/>
  <c r="O50" i="21"/>
  <c r="P19" i="20" s="1"/>
  <c r="P40" i="20" s="1"/>
  <c r="P46" i="20" s="1"/>
  <c r="I49" i="22"/>
  <c r="I37" i="24"/>
  <c r="I49" i="24" s="1"/>
  <c r="E37" i="24"/>
  <c r="E49" i="22"/>
  <c r="Q37" i="22"/>
  <c r="F50" i="21"/>
  <c r="F37" i="23"/>
  <c r="F49" i="23" s="1"/>
  <c r="U47" i="21"/>
  <c r="V47" i="21" s="1"/>
  <c r="W47" i="21" s="1"/>
  <c r="R47" i="21"/>
  <c r="F49" i="22"/>
  <c r="F37" i="24"/>
  <c r="F49" i="24" s="1"/>
  <c r="H49" i="22"/>
  <c r="H37" i="24"/>
  <c r="H49" i="24" s="1"/>
  <c r="P50" i="21"/>
  <c r="Q19" i="20" s="1"/>
  <c r="Q40" i="20" s="1"/>
  <c r="Q46" i="20" s="1"/>
  <c r="P37" i="23"/>
  <c r="P49" i="23" s="1"/>
  <c r="Q46" i="23"/>
  <c r="S46" i="23" s="1"/>
  <c r="K49" i="22"/>
  <c r="K37" i="24"/>
  <c r="S37" i="22"/>
  <c r="T37" i="22" s="1"/>
  <c r="P49" i="22"/>
  <c r="Q22" i="20" s="1"/>
  <c r="P37" i="24"/>
  <c r="P49" i="24" s="1"/>
  <c r="D6" i="22"/>
  <c r="M60" i="24" l="1"/>
  <c r="O22" i="26"/>
  <c r="F64" i="21"/>
  <c r="F65" i="21" s="1"/>
  <c r="F66" i="21" s="1"/>
  <c r="G19" i="20"/>
  <c r="G40" i="20" s="1"/>
  <c r="G46" i="20" s="1"/>
  <c r="U48" i="22"/>
  <c r="V48" i="22" s="1"/>
  <c r="W48" i="22" s="1"/>
  <c r="X48" i="22" s="1"/>
  <c r="Y48" i="22" s="1"/>
  <c r="Z48" i="22" s="1"/>
  <c r="R48" i="22"/>
  <c r="M64" i="21"/>
  <c r="M65" i="21" s="1"/>
  <c r="M66" i="21" s="1"/>
  <c r="N19" i="20"/>
  <c r="N40" i="20" s="1"/>
  <c r="N46" i="20" s="1"/>
  <c r="K64" i="21"/>
  <c r="K65" i="21" s="1"/>
  <c r="K66" i="21" s="1"/>
  <c r="S50" i="21"/>
  <c r="T50" i="21" s="1"/>
  <c r="L19" i="20"/>
  <c r="L40" i="20" s="1"/>
  <c r="L46" i="20" s="1"/>
  <c r="U38" i="21"/>
  <c r="V38" i="21" s="1"/>
  <c r="W38" i="21" s="1"/>
  <c r="R38" i="21"/>
  <c r="M63" i="22"/>
  <c r="N22" i="20"/>
  <c r="H60" i="23"/>
  <c r="J19" i="26"/>
  <c r="P60" i="24"/>
  <c r="R22" i="26"/>
  <c r="H60" i="24"/>
  <c r="J22" i="26"/>
  <c r="R37" i="22"/>
  <c r="U37" i="22"/>
  <c r="V37" i="22" s="1"/>
  <c r="W37" i="22" s="1"/>
  <c r="X37" i="22" s="1"/>
  <c r="Y37" i="22" s="1"/>
  <c r="Z37" i="22" s="1"/>
  <c r="N60" i="23"/>
  <c r="P19" i="26"/>
  <c r="K49" i="23"/>
  <c r="R37" i="23"/>
  <c r="E64" i="21"/>
  <c r="E65" i="21" s="1"/>
  <c r="E66" i="21" s="1"/>
  <c r="Q50" i="21"/>
  <c r="F19" i="20"/>
  <c r="J64" i="21"/>
  <c r="J65" i="21" s="1"/>
  <c r="J66" i="21" s="1"/>
  <c r="K19" i="20"/>
  <c r="K40" i="20" s="1"/>
  <c r="K46" i="20" s="1"/>
  <c r="F60" i="23"/>
  <c r="H19" i="26"/>
  <c r="H63" i="22"/>
  <c r="I22" i="20"/>
  <c r="E63" i="22"/>
  <c r="F22" i="20"/>
  <c r="Q49" i="22"/>
  <c r="J60" i="24"/>
  <c r="L22" i="26"/>
  <c r="E49" i="23"/>
  <c r="Q37" i="23"/>
  <c r="S37" i="23" s="1"/>
  <c r="J60" i="23"/>
  <c r="L19" i="26"/>
  <c r="M60" i="23"/>
  <c r="O19" i="26"/>
  <c r="O6" i="22"/>
  <c r="P6" i="22"/>
  <c r="H6" i="22"/>
  <c r="E6" i="22"/>
  <c r="J6" i="22"/>
  <c r="G6" i="22"/>
  <c r="N6" i="22"/>
  <c r="L6" i="22"/>
  <c r="M6" i="22"/>
  <c r="K6" i="22"/>
  <c r="F6" i="22"/>
  <c r="I6" i="22"/>
  <c r="F60" i="24"/>
  <c r="H22" i="26"/>
  <c r="E49" i="24"/>
  <c r="Q37" i="24"/>
  <c r="J63" i="22"/>
  <c r="K22" i="20"/>
  <c r="L60" i="24"/>
  <c r="N22" i="26"/>
  <c r="N60" i="24"/>
  <c r="P22" i="26"/>
  <c r="I64" i="21"/>
  <c r="I65" i="21" s="1"/>
  <c r="I66" i="21" s="1"/>
  <c r="J19" i="20"/>
  <c r="J40" i="20" s="1"/>
  <c r="J46" i="20" s="1"/>
  <c r="K49" i="24"/>
  <c r="R37" i="24"/>
  <c r="F63" i="22"/>
  <c r="G22" i="20"/>
  <c r="I60" i="24"/>
  <c r="K22" i="26"/>
  <c r="G60" i="24"/>
  <c r="I22" i="26"/>
  <c r="O60" i="24"/>
  <c r="Q22" i="26"/>
  <c r="L63" i="22"/>
  <c r="M22" i="20"/>
  <c r="U49" i="21"/>
  <c r="V49" i="21" s="1"/>
  <c r="W49" i="21" s="1"/>
  <c r="R49" i="21"/>
  <c r="P60" i="23"/>
  <c r="R19" i="26"/>
  <c r="K63" i="22"/>
  <c r="S49" i="22"/>
  <c r="T49" i="22" s="1"/>
  <c r="L22" i="20"/>
  <c r="I63" i="22"/>
  <c r="J22" i="20"/>
  <c r="G63" i="22"/>
  <c r="H22" i="20"/>
  <c r="L60" i="23"/>
  <c r="N19" i="26"/>
  <c r="G60" i="23"/>
  <c r="I19" i="26"/>
  <c r="S48" i="23"/>
  <c r="O60" i="23"/>
  <c r="Q19" i="26"/>
  <c r="X47" i="21"/>
  <c r="Y47" i="21" s="1"/>
  <c r="Z47" i="21" s="1"/>
  <c r="H64" i="21"/>
  <c r="H65" i="21" s="1"/>
  <c r="H66" i="21" s="1"/>
  <c r="I19" i="20"/>
  <c r="I40" i="20" s="1"/>
  <c r="I46" i="20" s="1"/>
  <c r="L64" i="21"/>
  <c r="L65" i="21" s="1"/>
  <c r="L66" i="21" s="1"/>
  <c r="M19" i="20"/>
  <c r="M40" i="20" s="1"/>
  <c r="M46" i="20" s="1"/>
  <c r="G64" i="21"/>
  <c r="G65" i="21" s="1"/>
  <c r="G66" i="21" s="1"/>
  <c r="H19" i="20"/>
  <c r="H40" i="20" s="1"/>
  <c r="H46" i="20" s="1"/>
  <c r="I60" i="23"/>
  <c r="K19" i="26"/>
  <c r="D14" i="22"/>
  <c r="D54" i="21"/>
  <c r="D15" i="22"/>
  <c r="D13" i="22"/>
  <c r="D12" i="22"/>
  <c r="D53" i="22"/>
  <c r="S37" i="24" l="1"/>
  <c r="E13" i="22"/>
  <c r="J13" i="22"/>
  <c r="J13" i="24" s="1"/>
  <c r="O13" i="22"/>
  <c r="O13" i="24" s="1"/>
  <c r="P13" i="22"/>
  <c r="P13" i="24" s="1"/>
  <c r="H13" i="22"/>
  <c r="H13" i="24" s="1"/>
  <c r="I13" i="22"/>
  <c r="I13" i="24" s="1"/>
  <c r="F13" i="22"/>
  <c r="F13" i="24" s="1"/>
  <c r="L13" i="22"/>
  <c r="L13" i="24" s="1"/>
  <c r="M13" i="22"/>
  <c r="M13" i="24" s="1"/>
  <c r="G13" i="22"/>
  <c r="G13" i="24" s="1"/>
  <c r="K13" i="22"/>
  <c r="N13" i="22"/>
  <c r="N13" i="24" s="1"/>
  <c r="L6" i="24"/>
  <c r="U49" i="22"/>
  <c r="V49" i="22" s="1"/>
  <c r="W49" i="22" s="1"/>
  <c r="X49" i="22" s="1"/>
  <c r="Y49" i="22" s="1"/>
  <c r="Z49" i="22" s="1"/>
  <c r="R49" i="22"/>
  <c r="O6" i="24"/>
  <c r="Q49" i="24"/>
  <c r="E60" i="24"/>
  <c r="G22" i="26"/>
  <c r="N6" i="24"/>
  <c r="R22" i="20"/>
  <c r="R19" i="20"/>
  <c r="F40" i="20"/>
  <c r="O54" i="21"/>
  <c r="O53" i="23" s="1"/>
  <c r="O54" i="23" s="1"/>
  <c r="H54" i="21"/>
  <c r="H53" i="23" s="1"/>
  <c r="H54" i="23" s="1"/>
  <c r="L54" i="21"/>
  <c r="L53" i="23" s="1"/>
  <c r="L54" i="23" s="1"/>
  <c r="G54" i="21"/>
  <c r="G53" i="23" s="1"/>
  <c r="G54" i="23" s="1"/>
  <c r="P54" i="21"/>
  <c r="P53" i="23" s="1"/>
  <c r="P54" i="23" s="1"/>
  <c r="I54" i="21"/>
  <c r="I53" i="23" s="1"/>
  <c r="I54" i="23" s="1"/>
  <c r="J54" i="21"/>
  <c r="J53" i="23" s="1"/>
  <c r="J54" i="23" s="1"/>
  <c r="F54" i="21"/>
  <c r="F53" i="23" s="1"/>
  <c r="F54" i="23" s="1"/>
  <c r="M54" i="21"/>
  <c r="M53" i="23" s="1"/>
  <c r="M54" i="23" s="1"/>
  <c r="N54" i="21"/>
  <c r="N53" i="23" s="1"/>
  <c r="N54" i="23" s="1"/>
  <c r="K54" i="21"/>
  <c r="E54" i="21"/>
  <c r="G6" i="24"/>
  <c r="U50" i="21"/>
  <c r="V50" i="21" s="1"/>
  <c r="W50" i="21" s="1"/>
  <c r="R50" i="21"/>
  <c r="K60" i="24"/>
  <c r="R60" i="24" s="1"/>
  <c r="R49" i="24"/>
  <c r="M22" i="26"/>
  <c r="M6" i="24"/>
  <c r="X38" i="21"/>
  <c r="Y38" i="21" s="1"/>
  <c r="Z38" i="21" s="1"/>
  <c r="H12" i="22"/>
  <c r="H12" i="24" s="1"/>
  <c r="E12" i="22"/>
  <c r="G12" i="22"/>
  <c r="G12" i="24" s="1"/>
  <c r="O12" i="22"/>
  <c r="O12" i="24" s="1"/>
  <c r="P12" i="22"/>
  <c r="P12" i="24" s="1"/>
  <c r="J12" i="22"/>
  <c r="J12" i="24" s="1"/>
  <c r="K12" i="22"/>
  <c r="F12" i="22"/>
  <c r="F12" i="24" s="1"/>
  <c r="N12" i="22"/>
  <c r="N12" i="24" s="1"/>
  <c r="L12" i="22"/>
  <c r="L12" i="24" s="1"/>
  <c r="I12" i="22"/>
  <c r="I12" i="24" s="1"/>
  <c r="M12" i="22"/>
  <c r="M12" i="24" s="1"/>
  <c r="X49" i="21"/>
  <c r="Y49" i="21" s="1"/>
  <c r="Z49" i="21" s="1"/>
  <c r="J6" i="24"/>
  <c r="I6" i="24"/>
  <c r="E6" i="24"/>
  <c r="Q6" i="22"/>
  <c r="P15" i="22"/>
  <c r="P15" i="24" s="1"/>
  <c r="J15" i="22"/>
  <c r="J15" i="24" s="1"/>
  <c r="E15" i="22"/>
  <c r="H15" i="22"/>
  <c r="H15" i="24" s="1"/>
  <c r="O15" i="22"/>
  <c r="O15" i="24" s="1"/>
  <c r="G15" i="22"/>
  <c r="G15" i="24" s="1"/>
  <c r="K15" i="22"/>
  <c r="F15" i="22"/>
  <c r="F15" i="24" s="1"/>
  <c r="N15" i="22"/>
  <c r="N15" i="24" s="1"/>
  <c r="I15" i="22"/>
  <c r="I15" i="24" s="1"/>
  <c r="M15" i="22"/>
  <c r="M15" i="24" s="1"/>
  <c r="L15" i="22"/>
  <c r="L15" i="24" s="1"/>
  <c r="J14" i="22"/>
  <c r="J14" i="24" s="1"/>
  <c r="O14" i="22"/>
  <c r="O14" i="24" s="1"/>
  <c r="H14" i="22"/>
  <c r="H14" i="24" s="1"/>
  <c r="E14" i="22"/>
  <c r="P14" i="22"/>
  <c r="P14" i="24" s="1"/>
  <c r="M14" i="22"/>
  <c r="M14" i="24" s="1"/>
  <c r="N14" i="22"/>
  <c r="N14" i="24" s="1"/>
  <c r="K14" i="22"/>
  <c r="I14" i="22"/>
  <c r="I14" i="24" s="1"/>
  <c r="G14" i="22"/>
  <c r="G14" i="24" s="1"/>
  <c r="F14" i="22"/>
  <c r="F14" i="24" s="1"/>
  <c r="L14" i="22"/>
  <c r="L14" i="24" s="1"/>
  <c r="F6" i="24"/>
  <c r="H6" i="24"/>
  <c r="Q49" i="23"/>
  <c r="E60" i="23"/>
  <c r="G19" i="26"/>
  <c r="K60" i="23"/>
  <c r="R49" i="23"/>
  <c r="M19" i="26"/>
  <c r="J53" i="22"/>
  <c r="J53" i="24" s="1"/>
  <c r="J54" i="24" s="1"/>
  <c r="H53" i="22"/>
  <c r="H53" i="24" s="1"/>
  <c r="H54" i="24" s="1"/>
  <c r="G53" i="22"/>
  <c r="G53" i="24" s="1"/>
  <c r="G54" i="24" s="1"/>
  <c r="O53" i="22"/>
  <c r="O53" i="24" s="1"/>
  <c r="O54" i="24" s="1"/>
  <c r="P53" i="22"/>
  <c r="P53" i="24" s="1"/>
  <c r="P54" i="24" s="1"/>
  <c r="E53" i="22"/>
  <c r="L53" i="22"/>
  <c r="L53" i="24" s="1"/>
  <c r="L54" i="24" s="1"/>
  <c r="I53" i="22"/>
  <c r="I53" i="24" s="1"/>
  <c r="I54" i="24" s="1"/>
  <c r="M53" i="22"/>
  <c r="M53" i="24" s="1"/>
  <c r="M54" i="24" s="1"/>
  <c r="K53" i="22"/>
  <c r="F53" i="22"/>
  <c r="F53" i="24" s="1"/>
  <c r="F54" i="24" s="1"/>
  <c r="N53" i="22"/>
  <c r="N53" i="24" s="1"/>
  <c r="N54" i="24" s="1"/>
  <c r="K6" i="24"/>
  <c r="S6" i="22"/>
  <c r="T6" i="22" s="1"/>
  <c r="P6" i="24"/>
  <c r="D9" i="22"/>
  <c r="D8" i="22"/>
  <c r="D11" i="22"/>
  <c r="D10" i="22"/>
  <c r="D7" i="22"/>
  <c r="S22" i="26" l="1"/>
  <c r="R6" i="24"/>
  <c r="S49" i="24"/>
  <c r="I56" i="24"/>
  <c r="I62" i="24"/>
  <c r="K23" i="26"/>
  <c r="X50" i="21"/>
  <c r="Y50" i="21" s="1"/>
  <c r="O56" i="23"/>
  <c r="O62" i="23"/>
  <c r="O64" i="23" s="1"/>
  <c r="Q20" i="26"/>
  <c r="Q45" i="26" s="1"/>
  <c r="K15" i="24"/>
  <c r="R15" i="24" s="1"/>
  <c r="S15" i="22"/>
  <c r="T15" i="22" s="1"/>
  <c r="M56" i="23"/>
  <c r="M62" i="23"/>
  <c r="M64" i="23" s="1"/>
  <c r="O20" i="26"/>
  <c r="O45" i="26" s="1"/>
  <c r="O7" i="22"/>
  <c r="P7" i="22"/>
  <c r="E7" i="22"/>
  <c r="H7" i="22"/>
  <c r="J7" i="22"/>
  <c r="M7" i="22"/>
  <c r="N7" i="22"/>
  <c r="L7" i="22"/>
  <c r="G7" i="22"/>
  <c r="K7" i="22"/>
  <c r="F7" i="22"/>
  <c r="I7" i="22"/>
  <c r="L56" i="24"/>
  <c r="L62" i="24"/>
  <c r="N23" i="26"/>
  <c r="Q6" i="24"/>
  <c r="S6" i="24" s="1"/>
  <c r="F56" i="23"/>
  <c r="F62" i="23"/>
  <c r="F64" i="23" s="1"/>
  <c r="H20" i="26"/>
  <c r="H45" i="26" s="1"/>
  <c r="S60" i="24"/>
  <c r="Q60" i="24"/>
  <c r="O8" i="22"/>
  <c r="O8" i="24" s="1"/>
  <c r="H8" i="22"/>
  <c r="H8" i="24" s="1"/>
  <c r="J8" i="22"/>
  <c r="J8" i="24" s="1"/>
  <c r="E8" i="22"/>
  <c r="P8" i="22"/>
  <c r="P8" i="24" s="1"/>
  <c r="F8" i="22"/>
  <c r="F8" i="24" s="1"/>
  <c r="I8" i="22"/>
  <c r="I8" i="24" s="1"/>
  <c r="G8" i="22"/>
  <c r="G8" i="24" s="1"/>
  <c r="M8" i="22"/>
  <c r="M8" i="24" s="1"/>
  <c r="N8" i="22"/>
  <c r="N8" i="24" s="1"/>
  <c r="L8" i="22"/>
  <c r="L8" i="24" s="1"/>
  <c r="K8" i="22"/>
  <c r="E53" i="24"/>
  <c r="Q53" i="22"/>
  <c r="E12" i="24"/>
  <c r="Q12" i="24" s="1"/>
  <c r="Q12" i="22"/>
  <c r="J56" i="23"/>
  <c r="J62" i="23"/>
  <c r="J64" i="23" s="1"/>
  <c r="L20" i="26"/>
  <c r="L45" i="26" s="1"/>
  <c r="R40" i="20"/>
  <c r="F46" i="20"/>
  <c r="P56" i="24"/>
  <c r="P62" i="24"/>
  <c r="R23" i="26"/>
  <c r="R60" i="23"/>
  <c r="K14" i="24"/>
  <c r="R14" i="24" s="1"/>
  <c r="S14" i="22"/>
  <c r="T14" i="22" s="1"/>
  <c r="I56" i="23"/>
  <c r="I62" i="23"/>
  <c r="I64" i="23" s="1"/>
  <c r="K20" i="26"/>
  <c r="K45" i="26" s="1"/>
  <c r="E15" i="24"/>
  <c r="Q15" i="24" s="1"/>
  <c r="Q15" i="22"/>
  <c r="P56" i="23"/>
  <c r="P62" i="23"/>
  <c r="P64" i="23" s="1"/>
  <c r="R20" i="26"/>
  <c r="R45" i="26" s="1"/>
  <c r="N56" i="24"/>
  <c r="N62" i="24"/>
  <c r="P23" i="26"/>
  <c r="P11" i="22"/>
  <c r="P11" i="24" s="1"/>
  <c r="O11" i="22"/>
  <c r="O11" i="24" s="1"/>
  <c r="H11" i="22"/>
  <c r="H11" i="24" s="1"/>
  <c r="J11" i="22"/>
  <c r="J11" i="24" s="1"/>
  <c r="E11" i="22"/>
  <c r="K11" i="22"/>
  <c r="I11" i="22"/>
  <c r="I11" i="24" s="1"/>
  <c r="M11" i="22"/>
  <c r="M11" i="24" s="1"/>
  <c r="G11" i="22"/>
  <c r="G11" i="24" s="1"/>
  <c r="L11" i="22"/>
  <c r="L11" i="24" s="1"/>
  <c r="F11" i="22"/>
  <c r="F11" i="24" s="1"/>
  <c r="N11" i="22"/>
  <c r="N11" i="24" s="1"/>
  <c r="F56" i="24"/>
  <c r="F62" i="24"/>
  <c r="H23" i="26"/>
  <c r="G56" i="24"/>
  <c r="G62" i="24"/>
  <c r="I23" i="26"/>
  <c r="S19" i="26"/>
  <c r="K12" i="24"/>
  <c r="R12" i="24" s="1"/>
  <c r="S12" i="22"/>
  <c r="T12" i="22" s="1"/>
  <c r="Z50" i="21"/>
  <c r="E53" i="23"/>
  <c r="Q54" i="21"/>
  <c r="G56" i="23"/>
  <c r="G62" i="23"/>
  <c r="G64" i="23" s="1"/>
  <c r="I20" i="26"/>
  <c r="I45" i="26" s="1"/>
  <c r="K13" i="24"/>
  <c r="R13" i="24" s="1"/>
  <c r="S13" i="22"/>
  <c r="T13" i="22" s="1"/>
  <c r="P10" i="22"/>
  <c r="P10" i="24" s="1"/>
  <c r="G10" i="22"/>
  <c r="G10" i="24" s="1"/>
  <c r="J10" i="22"/>
  <c r="J10" i="24" s="1"/>
  <c r="H10" i="22"/>
  <c r="H10" i="24" s="1"/>
  <c r="E10" i="22"/>
  <c r="O10" i="22"/>
  <c r="O10" i="24" s="1"/>
  <c r="K10" i="22"/>
  <c r="L10" i="22"/>
  <c r="L10" i="24" s="1"/>
  <c r="F10" i="22"/>
  <c r="F10" i="24" s="1"/>
  <c r="I10" i="22"/>
  <c r="I10" i="24" s="1"/>
  <c r="M10" i="22"/>
  <c r="M10" i="24" s="1"/>
  <c r="N10" i="22"/>
  <c r="N10" i="24" s="1"/>
  <c r="O56" i="24"/>
  <c r="O62" i="24"/>
  <c r="Q23" i="26"/>
  <c r="J9" i="22"/>
  <c r="J9" i="24" s="1"/>
  <c r="G9" i="22"/>
  <c r="G9" i="24" s="1"/>
  <c r="E9" i="22"/>
  <c r="O9" i="22"/>
  <c r="O9" i="24" s="1"/>
  <c r="P9" i="22"/>
  <c r="P9" i="24" s="1"/>
  <c r="H9" i="22"/>
  <c r="H9" i="24" s="1"/>
  <c r="F9" i="22"/>
  <c r="F9" i="24" s="1"/>
  <c r="I9" i="22"/>
  <c r="I9" i="24" s="1"/>
  <c r="N9" i="22"/>
  <c r="N9" i="24" s="1"/>
  <c r="K9" i="22"/>
  <c r="L9" i="22"/>
  <c r="L9" i="24" s="1"/>
  <c r="M9" i="22"/>
  <c r="M9" i="24" s="1"/>
  <c r="K53" i="24"/>
  <c r="S53" i="22"/>
  <c r="T53" i="22" s="1"/>
  <c r="H56" i="24"/>
  <c r="H62" i="24"/>
  <c r="J23" i="26"/>
  <c r="Q60" i="23"/>
  <c r="K53" i="23"/>
  <c r="S54" i="21"/>
  <c r="T54" i="21" s="1"/>
  <c r="L56" i="23"/>
  <c r="L62" i="23"/>
  <c r="L64" i="23" s="1"/>
  <c r="N20" i="26"/>
  <c r="N45" i="26" s="1"/>
  <c r="M56" i="24"/>
  <c r="M62" i="24"/>
  <c r="O23" i="26"/>
  <c r="J56" i="24"/>
  <c r="J62" i="24"/>
  <c r="L23" i="26"/>
  <c r="S49" i="23"/>
  <c r="E14" i="24"/>
  <c r="Q14" i="24" s="1"/>
  <c r="Q14" i="22"/>
  <c r="U6" i="22"/>
  <c r="V6" i="22" s="1"/>
  <c r="W6" i="22" s="1"/>
  <c r="X6" i="22" s="1"/>
  <c r="Y6" i="22" s="1"/>
  <c r="Z6" i="22" s="1"/>
  <c r="R6" i="22"/>
  <c r="N56" i="23"/>
  <c r="N62" i="23"/>
  <c r="N64" i="23" s="1"/>
  <c r="P20" i="26"/>
  <c r="P45" i="26" s="1"/>
  <c r="H56" i="23"/>
  <c r="H62" i="23"/>
  <c r="H64" i="23" s="1"/>
  <c r="J20" i="26"/>
  <c r="J45" i="26" s="1"/>
  <c r="E13" i="24"/>
  <c r="Q13" i="24" s="1"/>
  <c r="Q13" i="22"/>
  <c r="F23" i="26"/>
  <c r="F20" i="26"/>
  <c r="D18" i="22"/>
  <c r="E21" i="20"/>
  <c r="S14" i="24" l="1"/>
  <c r="K10" i="24"/>
  <c r="R10" i="24" s="1"/>
  <c r="S10" i="22"/>
  <c r="T10" i="22" s="1"/>
  <c r="S40" i="20"/>
  <c r="R46" i="20"/>
  <c r="K8" i="24"/>
  <c r="R8" i="24" s="1"/>
  <c r="S8" i="22"/>
  <c r="T8" i="22" s="1"/>
  <c r="E8" i="24"/>
  <c r="Q8" i="24" s="1"/>
  <c r="Q8" i="22"/>
  <c r="K7" i="24"/>
  <c r="S7" i="22"/>
  <c r="T7" i="22" s="1"/>
  <c r="K18" i="22"/>
  <c r="P7" i="24"/>
  <c r="P18" i="24" s="1"/>
  <c r="P18" i="22"/>
  <c r="Q21" i="20" s="1"/>
  <c r="Q41" i="20" s="1"/>
  <c r="Q47" i="20" s="1"/>
  <c r="E11" i="24"/>
  <c r="Q11" i="24" s="1"/>
  <c r="Q11" i="22"/>
  <c r="E10" i="24"/>
  <c r="Q10" i="24" s="1"/>
  <c r="Q10" i="22"/>
  <c r="G7" i="24"/>
  <c r="G18" i="24" s="1"/>
  <c r="G18" i="22"/>
  <c r="O7" i="24"/>
  <c r="O18" i="24" s="1"/>
  <c r="O18" i="22"/>
  <c r="P21" i="20" s="1"/>
  <c r="P41" i="20" s="1"/>
  <c r="P47" i="20" s="1"/>
  <c r="K54" i="23"/>
  <c r="R53" i="23"/>
  <c r="R54" i="21"/>
  <c r="U54" i="21"/>
  <c r="V54" i="21" s="1"/>
  <c r="W54" i="21" s="1"/>
  <c r="R15" i="22"/>
  <c r="U15" i="22"/>
  <c r="V15" i="22" s="1"/>
  <c r="W15" i="22" s="1"/>
  <c r="X15" i="22" s="1"/>
  <c r="Y15" i="22" s="1"/>
  <c r="Z15" i="22" s="1"/>
  <c r="N7" i="24"/>
  <c r="N18" i="24" s="1"/>
  <c r="N18" i="22"/>
  <c r="O21" i="20" s="1"/>
  <c r="O41" i="20" s="1"/>
  <c r="O47" i="20" s="1"/>
  <c r="K54" i="24"/>
  <c r="R53" i="24"/>
  <c r="R13" i="22"/>
  <c r="U13" i="22"/>
  <c r="V13" i="22" s="1"/>
  <c r="W13" i="22" s="1"/>
  <c r="X13" i="22" s="1"/>
  <c r="Y13" i="22" s="1"/>
  <c r="Z13" i="22" s="1"/>
  <c r="E9" i="24"/>
  <c r="Q9" i="24" s="1"/>
  <c r="Q9" i="22"/>
  <c r="E54" i="23"/>
  <c r="Q53" i="23"/>
  <c r="S15" i="24"/>
  <c r="R12" i="22"/>
  <c r="U12" i="22"/>
  <c r="V12" i="22" s="1"/>
  <c r="W12" i="22" s="1"/>
  <c r="X12" i="22" s="1"/>
  <c r="Y12" i="22" s="1"/>
  <c r="Z12" i="22" s="1"/>
  <c r="M7" i="24"/>
  <c r="M18" i="24" s="1"/>
  <c r="M18" i="22"/>
  <c r="L7" i="24"/>
  <c r="L18" i="24" s="1"/>
  <c r="L18" i="22"/>
  <c r="S13" i="24"/>
  <c r="S60" i="23"/>
  <c r="K9" i="24"/>
  <c r="R9" i="24" s="1"/>
  <c r="S9" i="22"/>
  <c r="T9" i="22" s="1"/>
  <c r="S12" i="24"/>
  <c r="J7" i="24"/>
  <c r="J18" i="24" s="1"/>
  <c r="J18" i="22"/>
  <c r="K11" i="24"/>
  <c r="R11" i="24" s="1"/>
  <c r="S11" i="22"/>
  <c r="T11" i="22" s="1"/>
  <c r="R53" i="22"/>
  <c r="U53" i="22"/>
  <c r="V53" i="22" s="1"/>
  <c r="W53" i="22" s="1"/>
  <c r="X53" i="22" s="1"/>
  <c r="Y53" i="22" s="1"/>
  <c r="Z53" i="22" s="1"/>
  <c r="I7" i="24"/>
  <c r="I18" i="24" s="1"/>
  <c r="I18" i="22"/>
  <c r="H7" i="24"/>
  <c r="H18" i="24" s="1"/>
  <c r="H18" i="22"/>
  <c r="R14" i="22"/>
  <c r="U14" i="22"/>
  <c r="V14" i="22" s="1"/>
  <c r="W14" i="22" s="1"/>
  <c r="X14" i="22" s="1"/>
  <c r="Y14" i="22" s="1"/>
  <c r="Z14" i="22" s="1"/>
  <c r="E54" i="24"/>
  <c r="Q53" i="24"/>
  <c r="F7" i="24"/>
  <c r="F18" i="24" s="1"/>
  <c r="F18" i="22"/>
  <c r="E7" i="24"/>
  <c r="Q7" i="22"/>
  <c r="E18" i="22"/>
  <c r="F21" i="26"/>
  <c r="D56" i="22"/>
  <c r="F45" i="26"/>
  <c r="E41" i="20"/>
  <c r="S8" i="24" l="1"/>
  <c r="S53" i="23"/>
  <c r="S10" i="24"/>
  <c r="S9" i="24"/>
  <c r="E62" i="22"/>
  <c r="E64" i="22" s="1"/>
  <c r="E65" i="22" s="1"/>
  <c r="F21" i="20"/>
  <c r="Q18" i="22"/>
  <c r="K56" i="24"/>
  <c r="R56" i="24" s="1"/>
  <c r="K62" i="24"/>
  <c r="R62" i="24" s="1"/>
  <c r="R54" i="24"/>
  <c r="M23" i="26"/>
  <c r="U11" i="22"/>
  <c r="V11" i="22" s="1"/>
  <c r="W11" i="22" s="1"/>
  <c r="X11" i="22" s="1"/>
  <c r="Y11" i="22" s="1"/>
  <c r="Z11" i="22" s="1"/>
  <c r="R11" i="22"/>
  <c r="E56" i="24"/>
  <c r="Q56" i="24" s="1"/>
  <c r="Q54" i="24"/>
  <c r="E62" i="24"/>
  <c r="G23" i="26"/>
  <c r="U8" i="22"/>
  <c r="V8" i="22" s="1"/>
  <c r="W8" i="22" s="1"/>
  <c r="X8" i="22" s="1"/>
  <c r="Y8" i="22" s="1"/>
  <c r="Z8" i="22" s="1"/>
  <c r="R8" i="22"/>
  <c r="U7" i="22"/>
  <c r="V7" i="22" s="1"/>
  <c r="W7" i="22" s="1"/>
  <c r="X7" i="22" s="1"/>
  <c r="Y7" i="22" s="1"/>
  <c r="Z7" i="22" s="1"/>
  <c r="R7" i="22"/>
  <c r="K56" i="23"/>
  <c r="R56" i="23" s="1"/>
  <c r="K62" i="23"/>
  <c r="R54" i="23"/>
  <c r="M20" i="26"/>
  <c r="M45" i="26" s="1"/>
  <c r="U45" i="26" s="1"/>
  <c r="S11" i="24"/>
  <c r="H62" i="22"/>
  <c r="H64" i="22" s="1"/>
  <c r="H65" i="22" s="1"/>
  <c r="I21" i="20"/>
  <c r="I41" i="20" s="1"/>
  <c r="I47" i="20" s="1"/>
  <c r="J62" i="22"/>
  <c r="J64" i="22" s="1"/>
  <c r="J65" i="22" s="1"/>
  <c r="K21" i="20"/>
  <c r="K41" i="20" s="1"/>
  <c r="K47" i="20" s="1"/>
  <c r="L62" i="22"/>
  <c r="L64" i="22" s="1"/>
  <c r="L65" i="22" s="1"/>
  <c r="M21" i="20"/>
  <c r="M41" i="20" s="1"/>
  <c r="M47" i="20" s="1"/>
  <c r="E56" i="23"/>
  <c r="Q56" i="23" s="1"/>
  <c r="Q54" i="23"/>
  <c r="E62" i="23"/>
  <c r="G20" i="26"/>
  <c r="N58" i="24"/>
  <c r="N64" i="24" s="1"/>
  <c r="P21" i="26"/>
  <c r="P46" i="26" s="1"/>
  <c r="E18" i="24"/>
  <c r="Q7" i="24"/>
  <c r="L58" i="24"/>
  <c r="L64" i="24" s="1"/>
  <c r="N21" i="26"/>
  <c r="N46" i="26" s="1"/>
  <c r="O58" i="24"/>
  <c r="O64" i="24" s="1"/>
  <c r="Q21" i="26"/>
  <c r="Q46" i="26" s="1"/>
  <c r="P58" i="24"/>
  <c r="P64" i="24" s="1"/>
  <c r="R21" i="26"/>
  <c r="R46" i="26" s="1"/>
  <c r="F62" i="22"/>
  <c r="F64" i="22" s="1"/>
  <c r="F65" i="22" s="1"/>
  <c r="G21" i="20"/>
  <c r="G41" i="20" s="1"/>
  <c r="G47" i="20" s="1"/>
  <c r="F58" i="24"/>
  <c r="F64" i="24" s="1"/>
  <c r="H21" i="26"/>
  <c r="H46" i="26" s="1"/>
  <c r="I62" i="22"/>
  <c r="I64" i="22" s="1"/>
  <c r="I65" i="22" s="1"/>
  <c r="J21" i="20"/>
  <c r="J41" i="20" s="1"/>
  <c r="J47" i="20" s="1"/>
  <c r="M62" i="22"/>
  <c r="M64" i="22" s="1"/>
  <c r="M65" i="22" s="1"/>
  <c r="N21" i="20"/>
  <c r="N41" i="20" s="1"/>
  <c r="N47" i="20" s="1"/>
  <c r="G62" i="22"/>
  <c r="G64" i="22" s="1"/>
  <c r="G65" i="22" s="1"/>
  <c r="H21" i="20"/>
  <c r="H41" i="20" s="1"/>
  <c r="H47" i="20" s="1"/>
  <c r="K62" i="22"/>
  <c r="K64" i="22" s="1"/>
  <c r="K65" i="22" s="1"/>
  <c r="L21" i="20"/>
  <c r="L41" i="20" s="1"/>
  <c r="L47" i="20" s="1"/>
  <c r="S18" i="22"/>
  <c r="T18" i="22" s="1"/>
  <c r="J58" i="24"/>
  <c r="J64" i="24" s="1"/>
  <c r="L21" i="26"/>
  <c r="L46" i="26" s="1"/>
  <c r="R9" i="22"/>
  <c r="U9" i="22"/>
  <c r="V9" i="22" s="1"/>
  <c r="W9" i="22" s="1"/>
  <c r="X9" i="22" s="1"/>
  <c r="Y9" i="22" s="1"/>
  <c r="Z9" i="22" s="1"/>
  <c r="I58" i="24"/>
  <c r="I64" i="24" s="1"/>
  <c r="K21" i="26"/>
  <c r="K46" i="26" s="1"/>
  <c r="M58" i="24"/>
  <c r="M64" i="24" s="1"/>
  <c r="O21" i="26"/>
  <c r="O46" i="26" s="1"/>
  <c r="G58" i="24"/>
  <c r="G64" i="24" s="1"/>
  <c r="I21" i="26"/>
  <c r="I46" i="26" s="1"/>
  <c r="H58" i="24"/>
  <c r="H64" i="24" s="1"/>
  <c r="J21" i="26"/>
  <c r="J46" i="26" s="1"/>
  <c r="S53" i="24"/>
  <c r="X54" i="21"/>
  <c r="Y54" i="21" s="1"/>
  <c r="Z54" i="21" s="1"/>
  <c r="U10" i="22"/>
  <c r="V10" i="22" s="1"/>
  <c r="W10" i="22" s="1"/>
  <c r="X10" i="22" s="1"/>
  <c r="Y10" i="22" s="1"/>
  <c r="Z10" i="22" s="1"/>
  <c r="R10" i="22"/>
  <c r="K18" i="24"/>
  <c r="R7" i="24"/>
  <c r="F46" i="26"/>
  <c r="S23" i="26" l="1"/>
  <c r="Q62" i="23"/>
  <c r="E64" i="23"/>
  <c r="S20" i="26"/>
  <c r="G45" i="26"/>
  <c r="S54" i="23"/>
  <c r="S56" i="23"/>
  <c r="S7" i="24"/>
  <c r="Q62" i="24"/>
  <c r="S62" i="24"/>
  <c r="Q18" i="24"/>
  <c r="E58" i="24"/>
  <c r="G21" i="26"/>
  <c r="R62" i="23"/>
  <c r="R64" i="23" s="1"/>
  <c r="K64" i="23"/>
  <c r="S54" i="24"/>
  <c r="U18" i="22"/>
  <c r="V18" i="22" s="1"/>
  <c r="W18" i="22" s="1"/>
  <c r="X18" i="22" s="1"/>
  <c r="Y18" i="22" s="1"/>
  <c r="Z18" i="22" s="1"/>
  <c r="R18" i="22"/>
  <c r="S56" i="24"/>
  <c r="R21" i="20"/>
  <c r="F41" i="20"/>
  <c r="K58" i="24"/>
  <c r="R18" i="24"/>
  <c r="M21" i="26"/>
  <c r="M46" i="26" s="1"/>
  <c r="U46" i="26" s="1"/>
  <c r="K64" i="24" l="1"/>
  <c r="R58" i="24"/>
  <c r="R41" i="20"/>
  <c r="F47" i="20"/>
  <c r="G46" i="26"/>
  <c r="S21" i="26"/>
  <c r="E65" i="24" a="1"/>
  <c r="E65" i="24" s="1"/>
  <c r="Q58" i="24"/>
  <c r="E64" i="24" a="1"/>
  <c r="E64" i="24" s="1"/>
  <c r="S58" i="24"/>
  <c r="V45" i="26"/>
  <c r="T45" i="26"/>
  <c r="S45" i="26"/>
  <c r="S18" i="24"/>
  <c r="E2" i="27" a="1"/>
  <c r="S62" i="23"/>
  <c r="Q64" i="23"/>
  <c r="S64" i="23" s="1"/>
  <c r="E58" i="1"/>
  <c r="F93" i="23" l="1"/>
  <c r="E11" i="27"/>
  <c r="E10" i="27"/>
  <c r="E6" i="27"/>
  <c r="E8" i="27"/>
  <c r="E2" i="27"/>
  <c r="E3" i="27"/>
  <c r="E12" i="27"/>
  <c r="E9" i="27"/>
  <c r="E7" i="27"/>
  <c r="E4" i="27"/>
  <c r="E13" i="27"/>
  <c r="E5" i="27"/>
  <c r="F91" i="23"/>
  <c r="T46" i="26"/>
  <c r="V46" i="26"/>
  <c r="S46" i="26"/>
  <c r="W46" i="26" s="1"/>
  <c r="J58" i="1"/>
  <c r="H58" i="1"/>
  <c r="P58" i="1"/>
  <c r="M58" i="1"/>
  <c r="G58" i="1"/>
  <c r="K58" i="1"/>
  <c r="I58" i="1"/>
  <c r="Q58" i="1"/>
  <c r="N58" i="1"/>
  <c r="F58" i="1"/>
  <c r="O58" i="1"/>
  <c r="L58" i="1"/>
  <c r="F94" i="23"/>
  <c r="R47" i="20"/>
  <c r="S41" i="20"/>
  <c r="F2" i="27" a="1"/>
  <c r="S65" i="24"/>
  <c r="Q65" i="24"/>
  <c r="F92" i="23"/>
  <c r="S64" i="24"/>
  <c r="Q64" i="24"/>
  <c r="F92" i="24" s="1"/>
  <c r="G2" i="27" a="1"/>
  <c r="F93" i="24"/>
  <c r="R64" i="24"/>
  <c r="E17" i="20"/>
  <c r="F17" i="26"/>
  <c r="F91" i="24" l="1"/>
  <c r="G9" i="27"/>
  <c r="G10" i="27"/>
  <c r="G2" i="27"/>
  <c r="G11" i="27"/>
  <c r="G5" i="27"/>
  <c r="G3" i="27"/>
  <c r="G4" i="27"/>
  <c r="G8" i="27"/>
  <c r="G7" i="27"/>
  <c r="G6" i="27"/>
  <c r="G13" i="27"/>
  <c r="G12" i="27"/>
  <c r="K60" i="1"/>
  <c r="K58" i="2"/>
  <c r="K59" i="2" s="1"/>
  <c r="K75" i="1"/>
  <c r="K77" i="1"/>
  <c r="G58" i="2"/>
  <c r="G59" i="2" s="1"/>
  <c r="G60" i="1"/>
  <c r="G75" i="1"/>
  <c r="G77" i="1"/>
  <c r="L60" i="1"/>
  <c r="L58" i="2"/>
  <c r="L75" i="1"/>
  <c r="L77" i="1"/>
  <c r="T58" i="1"/>
  <c r="M58" i="2"/>
  <c r="M59" i="2" s="1"/>
  <c r="M60" i="1"/>
  <c r="M77" i="1"/>
  <c r="M75" i="1"/>
  <c r="O60" i="1"/>
  <c r="O58" i="2"/>
  <c r="O59" i="2" s="1"/>
  <c r="P58" i="2"/>
  <c r="P59" i="2" s="1"/>
  <c r="P60" i="1"/>
  <c r="I60" i="1"/>
  <c r="I58" i="2"/>
  <c r="I59" i="2" s="1"/>
  <c r="I75" i="1"/>
  <c r="I77" i="1"/>
  <c r="F60" i="1"/>
  <c r="F58" i="2"/>
  <c r="F75" i="1"/>
  <c r="F77" i="1"/>
  <c r="R58" i="1"/>
  <c r="H58" i="2"/>
  <c r="H59" i="2" s="1"/>
  <c r="H60" i="1"/>
  <c r="H75" i="1"/>
  <c r="H77" i="1"/>
  <c r="F94" i="24"/>
  <c r="N58" i="2"/>
  <c r="N59" i="2" s="1"/>
  <c r="N60" i="1"/>
  <c r="N77" i="1"/>
  <c r="N75" i="1"/>
  <c r="J58" i="2"/>
  <c r="J59" i="2" s="1"/>
  <c r="J60" i="1"/>
  <c r="J75" i="1"/>
  <c r="J77" i="1"/>
  <c r="F11" i="27"/>
  <c r="F2" i="27"/>
  <c r="F8" i="27"/>
  <c r="F9" i="27"/>
  <c r="F6" i="27"/>
  <c r="F12" i="27"/>
  <c r="F5" i="27"/>
  <c r="F4" i="27"/>
  <c r="F13" i="27"/>
  <c r="F3" i="27"/>
  <c r="F10" i="27"/>
  <c r="F7" i="27"/>
  <c r="Q60" i="1"/>
  <c r="Q58" i="2"/>
  <c r="Q59" i="2" s="1"/>
  <c r="E60" i="1"/>
  <c r="F13" i="26"/>
  <c r="F14" i="26"/>
  <c r="F12" i="26"/>
  <c r="F36" i="26"/>
  <c r="F44" i="26"/>
  <c r="F35" i="26"/>
  <c r="F34" i="26"/>
  <c r="F61" i="1" l="1"/>
  <c r="F17" i="20"/>
  <c r="O61" i="1"/>
  <c r="O17" i="20"/>
  <c r="L59" i="2"/>
  <c r="S58" i="2"/>
  <c r="K60" i="2"/>
  <c r="K67" i="2"/>
  <c r="K69" i="2" s="1"/>
  <c r="L17" i="26"/>
  <c r="Q60" i="2"/>
  <c r="Q67" i="2"/>
  <c r="Q69" i="2" s="1"/>
  <c r="R17" i="26"/>
  <c r="J61" i="1"/>
  <c r="J17" i="20"/>
  <c r="L61" i="1"/>
  <c r="L17" i="20"/>
  <c r="K61" i="1"/>
  <c r="K17" i="20"/>
  <c r="N60" i="2"/>
  <c r="N67" i="2"/>
  <c r="N69" i="2" s="1"/>
  <c r="O17" i="26"/>
  <c r="F59" i="2"/>
  <c r="R58" i="2"/>
  <c r="J60" i="2"/>
  <c r="J67" i="2"/>
  <c r="J69" i="2" s="1"/>
  <c r="K17" i="26"/>
  <c r="H61" i="1"/>
  <c r="H17" i="20"/>
  <c r="H60" i="2"/>
  <c r="H67" i="2"/>
  <c r="H69" i="2" s="1"/>
  <c r="I17" i="26"/>
  <c r="I60" i="2"/>
  <c r="I67" i="2"/>
  <c r="I69" i="2" s="1"/>
  <c r="J17" i="26"/>
  <c r="M61" i="1"/>
  <c r="M17" i="20"/>
  <c r="P60" i="2"/>
  <c r="P67" i="2"/>
  <c r="P69" i="2" s="1"/>
  <c r="Q17" i="26"/>
  <c r="O60" i="2"/>
  <c r="O67" i="2"/>
  <c r="O69" i="2" s="1"/>
  <c r="P17" i="26"/>
  <c r="S58" i="1"/>
  <c r="R60" i="1"/>
  <c r="S60" i="1" s="1"/>
  <c r="V58" i="1"/>
  <c r="I61" i="1"/>
  <c r="I17" i="20"/>
  <c r="M60" i="2"/>
  <c r="M67" i="2"/>
  <c r="M69" i="2" s="1"/>
  <c r="N17" i="26"/>
  <c r="G61" i="1"/>
  <c r="G17" i="20"/>
  <c r="Q61" i="1"/>
  <c r="Q17" i="20"/>
  <c r="N61" i="1"/>
  <c r="N17" i="20"/>
  <c r="P61" i="1"/>
  <c r="P17" i="20"/>
  <c r="U58" i="1"/>
  <c r="T60" i="1"/>
  <c r="G60" i="2"/>
  <c r="G67" i="2"/>
  <c r="G69" i="2" s="1"/>
  <c r="H17" i="26"/>
  <c r="F60" i="2" l="1"/>
  <c r="F67" i="2"/>
  <c r="G17" i="26"/>
  <c r="J13" i="20" a="1"/>
  <c r="J13" i="20" s="1"/>
  <c r="J30" i="20" a="1"/>
  <c r="J30" i="20" s="1"/>
  <c r="J39" i="20"/>
  <c r="J31" i="20" a="1"/>
  <c r="J31" i="20" s="1"/>
  <c r="J12" i="20" a="1"/>
  <c r="J12" i="20" s="1"/>
  <c r="J32" i="20" a="1"/>
  <c r="J32" i="20" s="1"/>
  <c r="J14" i="20" a="1"/>
  <c r="J14" i="20" s="1"/>
  <c r="I14" i="20" a="1"/>
  <c r="I14" i="20" s="1"/>
  <c r="I13" i="20" a="1"/>
  <c r="I13" i="20" s="1"/>
  <c r="I32" i="20" a="1"/>
  <c r="I32" i="20" s="1"/>
  <c r="I31" i="20" a="1"/>
  <c r="I31" i="20" s="1"/>
  <c r="I12" i="20" a="1"/>
  <c r="I12" i="20" s="1"/>
  <c r="I39" i="20"/>
  <c r="I30" i="20" a="1"/>
  <c r="I30" i="20" s="1"/>
  <c r="I33" i="20" s="1"/>
  <c r="I34" i="20" s="1"/>
  <c r="I36" i="20" s="1"/>
  <c r="J13" i="26" a="1"/>
  <c r="J13" i="26" s="1"/>
  <c r="J36" i="26" a="1"/>
  <c r="J36" i="26" s="1"/>
  <c r="J34" i="26" a="1"/>
  <c r="J34" i="26" s="1"/>
  <c r="J14" i="26" a="1"/>
  <c r="J14" i="26" s="1"/>
  <c r="J12" i="26" a="1"/>
  <c r="J12" i="26" s="1"/>
  <c r="J35" i="26" a="1"/>
  <c r="J35" i="26" s="1"/>
  <c r="J44" i="26"/>
  <c r="H39" i="20"/>
  <c r="H13" i="20" a="1"/>
  <c r="H13" i="20" s="1"/>
  <c r="H31" i="20" a="1"/>
  <c r="H31" i="20" s="1"/>
  <c r="H32" i="20" a="1"/>
  <c r="H32" i="20" s="1"/>
  <c r="H14" i="20" a="1"/>
  <c r="H14" i="20" s="1"/>
  <c r="H30" i="20" a="1"/>
  <c r="H30" i="20" s="1"/>
  <c r="H12" i="20" a="1"/>
  <c r="H12" i="20" s="1"/>
  <c r="O34" i="26" a="1"/>
  <c r="O34" i="26" s="1"/>
  <c r="O12" i="26" a="1"/>
  <c r="O12" i="26" s="1"/>
  <c r="O35" i="26" a="1"/>
  <c r="O35" i="26" s="1"/>
  <c r="O13" i="26" a="1"/>
  <c r="O13" i="26" s="1"/>
  <c r="O14" i="26" a="1"/>
  <c r="O14" i="26" s="1"/>
  <c r="O36" i="26" a="1"/>
  <c r="O36" i="26" s="1"/>
  <c r="O44" i="26"/>
  <c r="S59" i="2"/>
  <c r="S67" i="2" s="1"/>
  <c r="S69" i="2" s="1"/>
  <c r="P44" i="26"/>
  <c r="P14" i="26" a="1"/>
  <c r="P14" i="26" s="1"/>
  <c r="P35" i="26" a="1"/>
  <c r="P35" i="26" s="1"/>
  <c r="P36" i="26" a="1"/>
  <c r="P36" i="26" s="1"/>
  <c r="P13" i="26" a="1"/>
  <c r="P13" i="26" s="1"/>
  <c r="P34" i="26" a="1"/>
  <c r="P34" i="26" s="1"/>
  <c r="P12" i="26" a="1"/>
  <c r="P12" i="26" s="1"/>
  <c r="P14" i="20" a="1"/>
  <c r="P14" i="20" s="1"/>
  <c r="P30" i="20" a="1"/>
  <c r="P30" i="20" s="1"/>
  <c r="P32" i="20" a="1"/>
  <c r="P32" i="20" s="1"/>
  <c r="P12" i="20" a="1"/>
  <c r="P12" i="20" s="1"/>
  <c r="P39" i="20"/>
  <c r="P13" i="20" a="1"/>
  <c r="P13" i="20" s="1"/>
  <c r="P31" i="20" a="1"/>
  <c r="P31" i="20" s="1"/>
  <c r="W58" i="1"/>
  <c r="V60" i="1"/>
  <c r="W60" i="1" s="1"/>
  <c r="Q44" i="26"/>
  <c r="Q12" i="26" a="1"/>
  <c r="Q12" i="26" s="1"/>
  <c r="Q14" i="26" a="1"/>
  <c r="Q14" i="26" s="1"/>
  <c r="Q36" i="26" a="1"/>
  <c r="Q36" i="26" s="1"/>
  <c r="Q35" i="26" a="1"/>
  <c r="Q35" i="26" s="1"/>
  <c r="Q34" i="26" a="1"/>
  <c r="Q34" i="26" s="1"/>
  <c r="Q13" i="26" a="1"/>
  <c r="Q13" i="26" s="1"/>
  <c r="K13" i="26" a="1"/>
  <c r="K13" i="26" s="1"/>
  <c r="K44" i="26"/>
  <c r="K14" i="26" a="1"/>
  <c r="K14" i="26" s="1"/>
  <c r="K36" i="26" a="1"/>
  <c r="K36" i="26" s="1"/>
  <c r="K35" i="26" a="1"/>
  <c r="K35" i="26" s="1"/>
  <c r="K34" i="26" a="1"/>
  <c r="K34" i="26" s="1"/>
  <c r="K12" i="26" a="1"/>
  <c r="K12" i="26" s="1"/>
  <c r="R13" i="26" a="1"/>
  <c r="R13" i="26" s="1"/>
  <c r="R12" i="26" a="1"/>
  <c r="R12" i="26" s="1"/>
  <c r="R34" i="26" a="1"/>
  <c r="R34" i="26" s="1"/>
  <c r="R44" i="26"/>
  <c r="R35" i="26" a="1"/>
  <c r="R35" i="26" s="1"/>
  <c r="R14" i="26" a="1"/>
  <c r="R14" i="26" s="1"/>
  <c r="R36" i="26" a="1"/>
  <c r="R36" i="26" s="1"/>
  <c r="O14" i="20" a="1"/>
  <c r="O14" i="20" s="1"/>
  <c r="O31" i="20" a="1"/>
  <c r="O31" i="20" s="1"/>
  <c r="O13" i="20" a="1"/>
  <c r="O13" i="20" s="1"/>
  <c r="O32" i="20" a="1"/>
  <c r="O32" i="20" s="1"/>
  <c r="O39" i="20"/>
  <c r="O12" i="20" a="1"/>
  <c r="O12" i="20" s="1"/>
  <c r="O30" i="20" a="1"/>
  <c r="O30" i="20" s="1"/>
  <c r="T61" i="1"/>
  <c r="U61" i="1" s="1"/>
  <c r="U60" i="1"/>
  <c r="L60" i="2"/>
  <c r="L67" i="2"/>
  <c r="L69" i="2" s="1"/>
  <c r="M17" i="26"/>
  <c r="N39" i="20"/>
  <c r="N31" i="20" a="1"/>
  <c r="N31" i="20" s="1"/>
  <c r="N32" i="20" a="1"/>
  <c r="N32" i="20" s="1"/>
  <c r="N12" i="20" a="1"/>
  <c r="N12" i="20" s="1"/>
  <c r="N14" i="20" a="1"/>
  <c r="N14" i="20" s="1"/>
  <c r="N13" i="20" a="1"/>
  <c r="N13" i="20" s="1"/>
  <c r="N30" i="20" a="1"/>
  <c r="N30" i="20" s="1"/>
  <c r="G31" i="20" a="1"/>
  <c r="G31" i="20" s="1"/>
  <c r="G39" i="20"/>
  <c r="G30" i="20" a="1"/>
  <c r="G30" i="20" s="1"/>
  <c r="G14" i="20" a="1"/>
  <c r="G14" i="20" s="1"/>
  <c r="G12" i="20" a="1"/>
  <c r="G12" i="20" s="1"/>
  <c r="G13" i="20" a="1"/>
  <c r="G13" i="20" s="1"/>
  <c r="G32" i="20" a="1"/>
  <c r="G32" i="20" s="1"/>
  <c r="I34" i="26" a="1"/>
  <c r="I34" i="26" s="1"/>
  <c r="I44" i="26"/>
  <c r="I36" i="26" a="1"/>
  <c r="I36" i="26" s="1"/>
  <c r="I35" i="26" a="1"/>
  <c r="I35" i="26" s="1"/>
  <c r="I14" i="26" a="1"/>
  <c r="I14" i="26" s="1"/>
  <c r="I12" i="26" a="1"/>
  <c r="I12" i="26" s="1"/>
  <c r="I13" i="26" a="1"/>
  <c r="I13" i="26" s="1"/>
  <c r="K31" i="20" a="1"/>
  <c r="K31" i="20" s="1"/>
  <c r="K12" i="20" a="1"/>
  <c r="K12" i="20" s="1"/>
  <c r="K14" i="20" a="1"/>
  <c r="K14" i="20" s="1"/>
  <c r="K32" i="20" a="1"/>
  <c r="K32" i="20" s="1"/>
  <c r="K39" i="20"/>
  <c r="K30" i="20" a="1"/>
  <c r="K30" i="20" s="1"/>
  <c r="K13" i="20" a="1"/>
  <c r="K13" i="20" s="1"/>
  <c r="R17" i="20"/>
  <c r="F30" i="20" a="1"/>
  <c r="F30" i="20" s="1"/>
  <c r="F14" i="20" a="1"/>
  <c r="F14" i="20" s="1"/>
  <c r="F13" i="20" a="1"/>
  <c r="F13" i="20" s="1"/>
  <c r="R14" i="1" s="1"/>
  <c r="F12" i="20" a="1"/>
  <c r="F12" i="20" s="1"/>
  <c r="R13" i="1" s="1"/>
  <c r="F32" i="20" a="1"/>
  <c r="F32" i="20" s="1"/>
  <c r="F31" i="20" a="1"/>
  <c r="F31" i="20" s="1"/>
  <c r="F39" i="20"/>
  <c r="H13" i="26" a="1"/>
  <c r="H13" i="26" s="1"/>
  <c r="H36" i="26" a="1"/>
  <c r="H36" i="26" s="1"/>
  <c r="H14" i="26" a="1"/>
  <c r="H14" i="26" s="1"/>
  <c r="H12" i="26" a="1"/>
  <c r="H12" i="26" s="1"/>
  <c r="H35" i="26" a="1"/>
  <c r="H35" i="26" s="1"/>
  <c r="H44" i="26"/>
  <c r="H34" i="26" a="1"/>
  <c r="H34" i="26" s="1"/>
  <c r="N44" i="26"/>
  <c r="N14" i="26" a="1"/>
  <c r="N14" i="26" s="1"/>
  <c r="N36" i="26" a="1"/>
  <c r="N36" i="26" s="1"/>
  <c r="N12" i="26" a="1"/>
  <c r="N12" i="26" s="1"/>
  <c r="N13" i="26" a="1"/>
  <c r="N13" i="26" s="1"/>
  <c r="N35" i="26" a="1"/>
  <c r="N35" i="26" s="1"/>
  <c r="N34" i="26" a="1"/>
  <c r="N34" i="26" s="1"/>
  <c r="L30" i="20" a="1"/>
  <c r="L30" i="20" s="1"/>
  <c r="L14" i="20" a="1"/>
  <c r="L14" i="20" s="1"/>
  <c r="L13" i="20" a="1"/>
  <c r="L13" i="20" s="1"/>
  <c r="L39" i="20"/>
  <c r="L31" i="20" a="1"/>
  <c r="L31" i="20" s="1"/>
  <c r="L12" i="20" a="1"/>
  <c r="L12" i="20" s="1"/>
  <c r="L32" i="20" a="1"/>
  <c r="L32" i="20" s="1"/>
  <c r="L12" i="26" a="1"/>
  <c r="L12" i="26" s="1"/>
  <c r="L35" i="26" a="1"/>
  <c r="L35" i="26" s="1"/>
  <c r="L36" i="26" a="1"/>
  <c r="L36" i="26" s="1"/>
  <c r="L44" i="26"/>
  <c r="L34" i="26" a="1"/>
  <c r="L34" i="26" s="1"/>
  <c r="L13" i="26" a="1"/>
  <c r="L13" i="26" s="1"/>
  <c r="L14" i="26" a="1"/>
  <c r="L14" i="26" s="1"/>
  <c r="Q39" i="20"/>
  <c r="Q13" i="20" a="1"/>
  <c r="Q13" i="20" s="1"/>
  <c r="Q12" i="20" a="1"/>
  <c r="Q12" i="20" s="1"/>
  <c r="Q31" i="20" a="1"/>
  <c r="Q31" i="20" s="1"/>
  <c r="Q32" i="20" a="1"/>
  <c r="Q32" i="20" s="1"/>
  <c r="Q14" i="20" a="1"/>
  <c r="Q14" i="20" s="1"/>
  <c r="Q30" i="20" a="1"/>
  <c r="Q30" i="20" s="1"/>
  <c r="M39" i="20"/>
  <c r="M13" i="20" a="1"/>
  <c r="M13" i="20" s="1"/>
  <c r="M14" i="20" a="1"/>
  <c r="M14" i="20" s="1"/>
  <c r="M12" i="20" a="1"/>
  <c r="M12" i="20" s="1"/>
  <c r="M31" i="20" a="1"/>
  <c r="M31" i="20" s="1"/>
  <c r="M32" i="20" a="1"/>
  <c r="M32" i="20" s="1"/>
  <c r="M30" i="20" a="1"/>
  <c r="M30" i="20" s="1"/>
  <c r="T58" i="2"/>
  <c r="R59" i="2"/>
  <c r="R67" i="2" s="1"/>
  <c r="R69" i="2" s="1"/>
  <c r="E20" i="20"/>
  <c r="R60" i="2" l="1" a="1"/>
  <c r="R60" i="2" s="1"/>
  <c r="Q33" i="20"/>
  <c r="Q34" i="20" s="1"/>
  <c r="Q36" i="20" s="1"/>
  <c r="N33" i="20"/>
  <c r="N34" i="20" s="1"/>
  <c r="N36" i="20" s="1"/>
  <c r="S60" i="2" a="1"/>
  <c r="S60" i="2" s="1"/>
  <c r="M33" i="20"/>
  <c r="M34" i="20" s="1"/>
  <c r="M36" i="20" s="1"/>
  <c r="H33" i="20"/>
  <c r="H34" i="20" s="1"/>
  <c r="H36" i="20" s="1"/>
  <c r="T59" i="2"/>
  <c r="T60" i="2" s="1" a="1"/>
  <c r="T60" i="2" s="1"/>
  <c r="R12" i="20" a="1"/>
  <c r="R12" i="20" s="1"/>
  <c r="R13" i="20" a="1"/>
  <c r="R13" i="20" s="1"/>
  <c r="R14" i="20" a="1"/>
  <c r="R14" i="20" s="1"/>
  <c r="J51" i="20"/>
  <c r="J45" i="20"/>
  <c r="R30" i="20"/>
  <c r="F33" i="20"/>
  <c r="F34" i="20" s="1"/>
  <c r="F36" i="20" s="1"/>
  <c r="F45" i="20"/>
  <c r="R39" i="20"/>
  <c r="K53" i="20"/>
  <c r="F51" i="20"/>
  <c r="J33" i="20"/>
  <c r="J34" i="20" s="1"/>
  <c r="J36" i="20" s="1"/>
  <c r="I45" i="20"/>
  <c r="I51" i="20"/>
  <c r="L51" i="20"/>
  <c r="Q53" i="20"/>
  <c r="L45" i="20"/>
  <c r="L33" i="20"/>
  <c r="L34" i="20" s="1"/>
  <c r="L36" i="20" s="1"/>
  <c r="R31" i="20"/>
  <c r="K33" i="20"/>
  <c r="K34" i="20" s="1"/>
  <c r="K36" i="20" s="1"/>
  <c r="O33" i="20"/>
  <c r="O34" i="20" s="1"/>
  <c r="O36" i="20" s="1"/>
  <c r="P45" i="20"/>
  <c r="P51" i="20"/>
  <c r="R32" i="20"/>
  <c r="K45" i="20"/>
  <c r="K51" i="20"/>
  <c r="G33" i="20"/>
  <c r="G34" i="20" s="1"/>
  <c r="G36" i="20" s="1"/>
  <c r="S17" i="26"/>
  <c r="G14" i="26" a="1"/>
  <c r="G14" i="26" s="1"/>
  <c r="G44" i="26"/>
  <c r="G35" i="26" a="1"/>
  <c r="G35" i="26" s="1"/>
  <c r="G34" i="26" a="1"/>
  <c r="G34" i="26" s="1"/>
  <c r="G12" i="26" a="1"/>
  <c r="G12" i="26" s="1"/>
  <c r="G36" i="26" a="1"/>
  <c r="G36" i="26" s="1"/>
  <c r="G13" i="26" a="1"/>
  <c r="G13" i="26" s="1"/>
  <c r="Q45" i="20"/>
  <c r="Q51" i="20"/>
  <c r="S13" i="1"/>
  <c r="V13" i="1"/>
  <c r="W13" i="1" s="1"/>
  <c r="R15" i="1"/>
  <c r="G51" i="20"/>
  <c r="G45" i="20"/>
  <c r="N45" i="20"/>
  <c r="N51" i="20"/>
  <c r="O45" i="20"/>
  <c r="O51" i="20"/>
  <c r="T67" i="2"/>
  <c r="T69" i="2" s="1"/>
  <c r="F69" i="2"/>
  <c r="C2" i="27" s="1" a="1"/>
  <c r="Y60" i="1"/>
  <c r="X60" i="1"/>
  <c r="X58" i="1"/>
  <c r="Y58" i="1"/>
  <c r="M45" i="20"/>
  <c r="M51" i="20"/>
  <c r="S14" i="1"/>
  <c r="V14" i="1"/>
  <c r="W14" i="1" s="1"/>
  <c r="M44" i="26"/>
  <c r="M36" i="26" a="1"/>
  <c r="M36" i="26" s="1"/>
  <c r="M35" i="26" a="1"/>
  <c r="M35" i="26" s="1"/>
  <c r="M13" i="26" a="1"/>
  <c r="M13" i="26" s="1"/>
  <c r="M12" i="26" a="1"/>
  <c r="M12" i="26" s="1"/>
  <c r="M34" i="26" a="1"/>
  <c r="M34" i="26" s="1"/>
  <c r="M14" i="26" a="1"/>
  <c r="M14" i="26" s="1"/>
  <c r="P33" i="20"/>
  <c r="P34" i="20" s="1"/>
  <c r="P36" i="20" s="1"/>
  <c r="H45" i="20"/>
  <c r="H51" i="20"/>
  <c r="E40" i="20"/>
  <c r="D57" i="21"/>
  <c r="Z58" i="1" l="1"/>
  <c r="AA58" i="1" s="1"/>
  <c r="S36" i="26"/>
  <c r="Z60" i="1"/>
  <c r="AA60" i="1" s="1"/>
  <c r="Y14" i="1"/>
  <c r="X14" i="1"/>
  <c r="U44" i="26"/>
  <c r="V15" i="1"/>
  <c r="R61" i="1"/>
  <c r="S61" i="1" s="1"/>
  <c r="S15" i="1"/>
  <c r="S34" i="26"/>
  <c r="R45" i="20"/>
  <c r="R51" i="20"/>
  <c r="R53" i="20"/>
  <c r="S39" i="20"/>
  <c r="C5" i="27"/>
  <c r="C12" i="27"/>
  <c r="C11" i="27"/>
  <c r="C10" i="27"/>
  <c r="C9" i="27"/>
  <c r="C4" i="27"/>
  <c r="C7" i="27"/>
  <c r="C13" i="27"/>
  <c r="C6" i="27"/>
  <c r="C3" i="27"/>
  <c r="C2" i="27"/>
  <c r="C8" i="27"/>
  <c r="Y13" i="1"/>
  <c r="X13" i="1"/>
  <c r="S35" i="26"/>
  <c r="V44" i="26"/>
  <c r="T44" i="26"/>
  <c r="S44" i="26"/>
  <c r="S12" i="26" a="1"/>
  <c r="S12" i="26" s="1"/>
  <c r="S13" i="26" a="1"/>
  <c r="S13" i="26" s="1"/>
  <c r="S14" i="26" a="1"/>
  <c r="S14" i="26" s="1"/>
  <c r="R33" i="20"/>
  <c r="R34" i="20" s="1"/>
  <c r="R36" i="20" s="1"/>
  <c r="V61" i="1" l="1"/>
  <c r="W61" i="1" s="1"/>
  <c r="W15" i="1"/>
  <c r="Z13" i="1"/>
  <c r="AA13" i="1" s="1"/>
  <c r="Z14" i="1"/>
  <c r="AA14" i="1" s="1"/>
  <c r="AA15" i="1" l="1"/>
  <c r="Y15" i="1"/>
  <c r="X15" i="1"/>
  <c r="Y61" i="1"/>
  <c r="X61" i="1"/>
  <c r="E15" i="20"/>
  <c r="Z61" i="1" l="1"/>
  <c r="AA61" i="1" s="1"/>
  <c r="Z15" i="1"/>
  <c r="E32" i="20"/>
  <c r="E13" i="20"/>
  <c r="E12" i="20"/>
  <c r="E14" i="20"/>
  <c r="E30" i="20"/>
  <c r="E31" i="20"/>
  <c r="E39" i="20"/>
  <c r="E61" i="1" l="1"/>
  <c r="E33" i="20"/>
  <c r="E17" i="9" l="1"/>
  <c r="E13" i="9"/>
  <c r="E15" i="9"/>
  <c r="E18" i="9"/>
  <c r="E14" i="9"/>
  <c r="E11" i="9"/>
  <c r="E12" i="9"/>
  <c r="E19" i="9"/>
  <c r="E20" i="9"/>
  <c r="I17" i="9" l="1"/>
  <c r="F17" i="9"/>
  <c r="Q17" i="9"/>
  <c r="J17" i="9"/>
  <c r="K17" i="9"/>
  <c r="P17" i="9"/>
  <c r="G17" i="9"/>
  <c r="L17" i="9"/>
  <c r="O17" i="9"/>
  <c r="M17" i="9"/>
  <c r="H17" i="9"/>
  <c r="N17" i="9"/>
  <c r="H15" i="9"/>
  <c r="H15" i="28" s="1"/>
  <c r="F15" i="9"/>
  <c r="O15" i="9"/>
  <c r="O15" i="28" s="1"/>
  <c r="Q15" i="9"/>
  <c r="Q15" i="28" s="1"/>
  <c r="I15" i="9"/>
  <c r="I15" i="28" s="1"/>
  <c r="N15" i="9"/>
  <c r="N15" i="28" s="1"/>
  <c r="J15" i="9"/>
  <c r="J15" i="28" s="1"/>
  <c r="K15" i="9"/>
  <c r="K15" i="28" s="1"/>
  <c r="P15" i="9"/>
  <c r="P15" i="28" s="1"/>
  <c r="G15" i="9"/>
  <c r="G15" i="28" s="1"/>
  <c r="M15" i="9"/>
  <c r="M15" i="28" s="1"/>
  <c r="L15" i="9"/>
  <c r="M13" i="9"/>
  <c r="M13" i="28" s="1"/>
  <c r="Q13" i="9"/>
  <c r="Q13" i="28" s="1"/>
  <c r="G13" i="9"/>
  <c r="G13" i="28" s="1"/>
  <c r="N13" i="9"/>
  <c r="N13" i="28" s="1"/>
  <c r="J13" i="9"/>
  <c r="J13" i="28" s="1"/>
  <c r="L13" i="9"/>
  <c r="O13" i="9"/>
  <c r="O13" i="28" s="1"/>
  <c r="H13" i="9"/>
  <c r="H13" i="28" s="1"/>
  <c r="I13" i="9"/>
  <c r="I13" i="28" s="1"/>
  <c r="K13" i="9"/>
  <c r="K13" i="28" s="1"/>
  <c r="F13" i="9"/>
  <c r="P13" i="9"/>
  <c r="P13" i="28" s="1"/>
  <c r="K12" i="9"/>
  <c r="K12" i="28" s="1"/>
  <c r="L12" i="9"/>
  <c r="P12" i="9"/>
  <c r="P12" i="28" s="1"/>
  <c r="G12" i="9"/>
  <c r="G12" i="28" s="1"/>
  <c r="F12" i="9"/>
  <c r="H12" i="9"/>
  <c r="H12" i="28" s="1"/>
  <c r="J12" i="9"/>
  <c r="J12" i="28" s="1"/>
  <c r="O12" i="9"/>
  <c r="O12" i="28" s="1"/>
  <c r="Q12" i="9"/>
  <c r="Q12" i="28" s="1"/>
  <c r="I12" i="9"/>
  <c r="I12" i="28" s="1"/>
  <c r="N12" i="9"/>
  <c r="N12" i="28" s="1"/>
  <c r="M12" i="9"/>
  <c r="M12" i="28" s="1"/>
  <c r="I20" i="9"/>
  <c r="I20" i="28" s="1"/>
  <c r="J20" i="9"/>
  <c r="J20" i="28" s="1"/>
  <c r="F20" i="9"/>
  <c r="H20" i="9"/>
  <c r="H20" i="28" s="1"/>
  <c r="M20" i="9"/>
  <c r="M20" i="28" s="1"/>
  <c r="N20" i="9"/>
  <c r="N20" i="28" s="1"/>
  <c r="P20" i="9"/>
  <c r="P20" i="28" s="1"/>
  <c r="O20" i="9"/>
  <c r="O20" i="28" s="1"/>
  <c r="K20" i="9"/>
  <c r="K20" i="28" s="1"/>
  <c r="Q20" i="9"/>
  <c r="Q20" i="28" s="1"/>
  <c r="G20" i="9"/>
  <c r="G20" i="28" s="1"/>
  <c r="L20" i="9"/>
  <c r="N18" i="9"/>
  <c r="N18" i="28" s="1"/>
  <c r="G18" i="9"/>
  <c r="G18" i="28" s="1"/>
  <c r="O18" i="9"/>
  <c r="O18" i="28" s="1"/>
  <c r="P18" i="9"/>
  <c r="P18" i="28" s="1"/>
  <c r="F18" i="9"/>
  <c r="L18" i="9"/>
  <c r="I18" i="9"/>
  <c r="I18" i="28" s="1"/>
  <c r="H18" i="9"/>
  <c r="H18" i="28" s="1"/>
  <c r="Q18" i="9"/>
  <c r="Q18" i="28" s="1"/>
  <c r="M18" i="9"/>
  <c r="M18" i="28" s="1"/>
  <c r="K18" i="9"/>
  <c r="K18" i="28" s="1"/>
  <c r="J18" i="9"/>
  <c r="J18" i="28" s="1"/>
  <c r="I19" i="9"/>
  <c r="I19" i="28" s="1"/>
  <c r="H19" i="9"/>
  <c r="H19" i="28" s="1"/>
  <c r="Q19" i="9"/>
  <c r="Q19" i="28" s="1"/>
  <c r="P19" i="9"/>
  <c r="P19" i="28" s="1"/>
  <c r="O19" i="9"/>
  <c r="O19" i="28" s="1"/>
  <c r="M19" i="9"/>
  <c r="M19" i="28" s="1"/>
  <c r="J19" i="9"/>
  <c r="J19" i="28" s="1"/>
  <c r="N19" i="9"/>
  <c r="N19" i="28" s="1"/>
  <c r="L19" i="9"/>
  <c r="F19" i="9"/>
  <c r="G19" i="9"/>
  <c r="G19" i="28" s="1"/>
  <c r="K19" i="9"/>
  <c r="K19" i="28" s="1"/>
  <c r="Q14" i="9"/>
  <c r="Q14" i="28" s="1"/>
  <c r="O14" i="9"/>
  <c r="O14" i="28" s="1"/>
  <c r="G14" i="9"/>
  <c r="G14" i="28" s="1"/>
  <c r="F14" i="9"/>
  <c r="P14" i="9"/>
  <c r="P14" i="28" s="1"/>
  <c r="M14" i="9"/>
  <c r="M14" i="28" s="1"/>
  <c r="I14" i="9"/>
  <c r="I14" i="28" s="1"/>
  <c r="J14" i="9"/>
  <c r="J14" i="28" s="1"/>
  <c r="L14" i="9"/>
  <c r="N14" i="9"/>
  <c r="N14" i="28" s="1"/>
  <c r="H14" i="9"/>
  <c r="H14" i="28" s="1"/>
  <c r="K14" i="9"/>
  <c r="K14" i="28" s="1"/>
  <c r="J11" i="9"/>
  <c r="Q11" i="9"/>
  <c r="M11" i="9"/>
  <c r="P11" i="9"/>
  <c r="G11" i="9"/>
  <c r="F11" i="9"/>
  <c r="N11" i="9"/>
  <c r="H11" i="9"/>
  <c r="I11" i="9"/>
  <c r="O11" i="9"/>
  <c r="L11" i="9"/>
  <c r="K11" i="9"/>
  <c r="E16" i="9"/>
  <c r="E21" i="9"/>
  <c r="H11" i="28" l="1"/>
  <c r="H16" i="28" s="1"/>
  <c r="H16" i="9"/>
  <c r="F14" i="28"/>
  <c r="R14" i="28" s="1"/>
  <c r="R14" i="9"/>
  <c r="L15" i="28"/>
  <c r="S15" i="28" s="1"/>
  <c r="T15" i="9"/>
  <c r="U15" i="9" s="1"/>
  <c r="L17" i="28"/>
  <c r="L21" i="9"/>
  <c r="T17" i="9"/>
  <c r="U17" i="9" s="1"/>
  <c r="N11" i="28"/>
  <c r="N16" i="28" s="1"/>
  <c r="N16" i="9"/>
  <c r="G21" i="9"/>
  <c r="G17" i="28"/>
  <c r="G21" i="28" s="1"/>
  <c r="F11" i="28"/>
  <c r="F16" i="9"/>
  <c r="R11" i="9"/>
  <c r="L12" i="28"/>
  <c r="S12" i="28" s="1"/>
  <c r="T12" i="9"/>
  <c r="U12" i="9" s="1"/>
  <c r="L13" i="28"/>
  <c r="S13" i="28" s="1"/>
  <c r="T13" i="9"/>
  <c r="U13" i="9" s="1"/>
  <c r="F15" i="28"/>
  <c r="R15" i="28" s="1"/>
  <c r="T15" i="28" s="1"/>
  <c r="R15" i="9"/>
  <c r="P17" i="28"/>
  <c r="P21" i="28" s="1"/>
  <c r="P21" i="9"/>
  <c r="G11" i="28"/>
  <c r="G16" i="28" s="1"/>
  <c r="G16" i="9"/>
  <c r="G22" i="9" s="1"/>
  <c r="L14" i="28"/>
  <c r="S14" i="28" s="1"/>
  <c r="T14" i="9"/>
  <c r="U14" i="9" s="1"/>
  <c r="K17" i="28"/>
  <c r="K21" i="28" s="1"/>
  <c r="K21" i="9"/>
  <c r="K11" i="28"/>
  <c r="K16" i="28" s="1"/>
  <c r="K22" i="28" s="1"/>
  <c r="K16" i="9"/>
  <c r="P16" i="9"/>
  <c r="P11" i="28"/>
  <c r="P16" i="28" s="1"/>
  <c r="L20" i="28"/>
  <c r="S20" i="28" s="1"/>
  <c r="T20" i="9"/>
  <c r="U20" i="9" s="1"/>
  <c r="N17" i="28"/>
  <c r="N21" i="28" s="1"/>
  <c r="N58" i="28" s="1"/>
  <c r="N21" i="9"/>
  <c r="J17" i="28"/>
  <c r="J21" i="28" s="1"/>
  <c r="J21" i="9"/>
  <c r="L11" i="28"/>
  <c r="L16" i="9"/>
  <c r="T11" i="9"/>
  <c r="M11" i="28"/>
  <c r="M16" i="28" s="1"/>
  <c r="M16" i="9"/>
  <c r="F20" i="28"/>
  <c r="R20" i="28" s="1"/>
  <c r="R20" i="9"/>
  <c r="F13" i="28"/>
  <c r="R13" i="28" s="1"/>
  <c r="T13" i="28" s="1"/>
  <c r="R13" i="9"/>
  <c r="H17" i="28"/>
  <c r="H21" i="28" s="1"/>
  <c r="H21" i="9"/>
  <c r="Q17" i="28"/>
  <c r="Q21" i="28" s="1"/>
  <c r="Q21" i="9"/>
  <c r="O16" i="9"/>
  <c r="O11" i="28"/>
  <c r="Q16" i="9"/>
  <c r="Q11" i="28"/>
  <c r="Q16" i="28" s="1"/>
  <c r="F19" i="28"/>
  <c r="R19" i="28" s="1"/>
  <c r="R19" i="9"/>
  <c r="L18" i="28"/>
  <c r="S18" i="28" s="1"/>
  <c r="T18" i="9"/>
  <c r="U18" i="9" s="1"/>
  <c r="M17" i="28"/>
  <c r="M21" i="28" s="1"/>
  <c r="M58" i="28" s="1"/>
  <c r="M21" i="9"/>
  <c r="F21" i="9"/>
  <c r="F17" i="28"/>
  <c r="R17" i="9"/>
  <c r="I11" i="28"/>
  <c r="I16" i="28" s="1"/>
  <c r="I16" i="9"/>
  <c r="J16" i="9"/>
  <c r="J22" i="9" s="1"/>
  <c r="J11" i="28"/>
  <c r="J16" i="28" s="1"/>
  <c r="J22" i="28" s="1"/>
  <c r="L19" i="28"/>
  <c r="S19" i="28" s="1"/>
  <c r="T19" i="9"/>
  <c r="U19" i="9" s="1"/>
  <c r="F18" i="28"/>
  <c r="R18" i="28" s="1"/>
  <c r="R18" i="9"/>
  <c r="F12" i="28"/>
  <c r="R12" i="28" s="1"/>
  <c r="T12" i="28" s="1"/>
  <c r="R12" i="9"/>
  <c r="O17" i="28"/>
  <c r="O21" i="28" s="1"/>
  <c r="O21" i="9"/>
  <c r="I17" i="28"/>
  <c r="I21" i="28" s="1"/>
  <c r="I58" i="28" s="1"/>
  <c r="I21" i="9"/>
  <c r="P22" i="9" l="1"/>
  <c r="G22" i="28"/>
  <c r="Q22" i="9"/>
  <c r="I22" i="9"/>
  <c r="M22" i="9"/>
  <c r="Q58" i="28"/>
  <c r="P22" i="28"/>
  <c r="P23" i="28" s="1"/>
  <c r="R21" i="9"/>
  <c r="S21" i="9" s="1"/>
  <c r="H22" i="28"/>
  <c r="S18" i="9"/>
  <c r="V18" i="9"/>
  <c r="W18" i="9" s="1"/>
  <c r="X18" i="9" s="1"/>
  <c r="S19" i="9"/>
  <c r="V19" i="9"/>
  <c r="W19" i="9" s="1"/>
  <c r="X19" i="9" s="1"/>
  <c r="M22" i="28"/>
  <c r="K58" i="28"/>
  <c r="F22" i="9"/>
  <c r="L21" i="28"/>
  <c r="S17" i="28"/>
  <c r="S21" i="28" s="1"/>
  <c r="S15" i="9"/>
  <c r="V15" i="9"/>
  <c r="W15" i="9" s="1"/>
  <c r="X15" i="9" s="1"/>
  <c r="I22" i="28"/>
  <c r="T18" i="28"/>
  <c r="S17" i="9"/>
  <c r="V17" i="9"/>
  <c r="W17" i="9" s="1"/>
  <c r="X17" i="9" s="1"/>
  <c r="T19" i="28"/>
  <c r="U11" i="9"/>
  <c r="T16" i="9"/>
  <c r="T20" i="28"/>
  <c r="R11" i="28"/>
  <c r="F16" i="28"/>
  <c r="S12" i="9"/>
  <c r="V12" i="9"/>
  <c r="W12" i="9" s="1"/>
  <c r="X12" i="9" s="1"/>
  <c r="F21" i="28"/>
  <c r="R17" i="28"/>
  <c r="Q22" i="28"/>
  <c r="S13" i="9"/>
  <c r="V13" i="9"/>
  <c r="W13" i="9" s="1"/>
  <c r="X13" i="9" s="1"/>
  <c r="L22" i="9"/>
  <c r="H58" i="28"/>
  <c r="G58" i="28"/>
  <c r="P58" i="28"/>
  <c r="O16" i="28"/>
  <c r="O58" i="28" s="1"/>
  <c r="S20" i="9"/>
  <c r="V20" i="9"/>
  <c r="W20" i="9" s="1"/>
  <c r="X20" i="9" s="1"/>
  <c r="G23" i="28"/>
  <c r="H30" i="26"/>
  <c r="H37" i="26" s="1"/>
  <c r="H38" i="26" s="1"/>
  <c r="H40" i="26" s="1"/>
  <c r="H50" i="26"/>
  <c r="H57" i="26" s="1"/>
  <c r="N22" i="9"/>
  <c r="S14" i="9"/>
  <c r="V14" i="9"/>
  <c r="W14" i="9" s="1"/>
  <c r="X14" i="9" s="1"/>
  <c r="J23" i="28"/>
  <c r="K30" i="26"/>
  <c r="K37" i="26" s="1"/>
  <c r="K38" i="26" s="1"/>
  <c r="K40" i="26" s="1"/>
  <c r="K50" i="26"/>
  <c r="K57" i="26" s="1"/>
  <c r="O22" i="9"/>
  <c r="J58" i="28"/>
  <c r="K22" i="9"/>
  <c r="N22" i="28"/>
  <c r="T14" i="28"/>
  <c r="K23" i="28"/>
  <c r="L30" i="26"/>
  <c r="L37" i="26" s="1"/>
  <c r="L38" i="26" s="1"/>
  <c r="L40" i="26" s="1"/>
  <c r="L50" i="26"/>
  <c r="L57" i="26" s="1"/>
  <c r="H22" i="9"/>
  <c r="S11" i="28"/>
  <c r="L16" i="28"/>
  <c r="L22" i="28" s="1"/>
  <c r="S11" i="9"/>
  <c r="V11" i="9"/>
  <c r="W11" i="9" s="1"/>
  <c r="X11" i="9" s="1"/>
  <c r="R16" i="9"/>
  <c r="S16" i="9" s="1"/>
  <c r="T21" i="9"/>
  <c r="H23" i="28"/>
  <c r="I30" i="26"/>
  <c r="I37" i="26" s="1"/>
  <c r="I38" i="26" s="1"/>
  <c r="I40" i="26" s="1"/>
  <c r="I50" i="26"/>
  <c r="I57" i="26" s="1"/>
  <c r="F30" i="26"/>
  <c r="Q30" i="26" l="1"/>
  <c r="Q37" i="26" s="1"/>
  <c r="Q38" i="26" s="1"/>
  <c r="Q40" i="26" s="1"/>
  <c r="F22" i="28"/>
  <c r="F23" i="28" s="1"/>
  <c r="O22" i="28"/>
  <c r="L23" i="28"/>
  <c r="M30" i="26"/>
  <c r="M37" i="26" s="1"/>
  <c r="M38" i="26" s="1"/>
  <c r="M40" i="26" s="1"/>
  <c r="M50" i="26"/>
  <c r="M57" i="26" s="1"/>
  <c r="R22" i="9"/>
  <c r="U21" i="9"/>
  <c r="V21" i="9"/>
  <c r="W21" i="9" s="1"/>
  <c r="X21" i="9" s="1"/>
  <c r="T22" i="9"/>
  <c r="M23" i="28"/>
  <c r="N30" i="26"/>
  <c r="N37" i="26" s="1"/>
  <c r="N38" i="26" s="1"/>
  <c r="N40" i="26" s="1"/>
  <c r="N50" i="26"/>
  <c r="N57" i="26" s="1"/>
  <c r="T11" i="28"/>
  <c r="R16" i="28"/>
  <c r="I23" i="28"/>
  <c r="J30" i="26"/>
  <c r="J37" i="26" s="1"/>
  <c r="J38" i="26" s="1"/>
  <c r="J40" i="26" s="1"/>
  <c r="J50" i="26"/>
  <c r="J57" i="26" s="1"/>
  <c r="Q23" i="28"/>
  <c r="R30" i="26"/>
  <c r="R37" i="26" s="1"/>
  <c r="R38" i="26" s="1"/>
  <c r="R40" i="26" s="1"/>
  <c r="N23" i="28"/>
  <c r="O30" i="26"/>
  <c r="O37" i="26" s="1"/>
  <c r="O38" i="26" s="1"/>
  <c r="O40" i="26" s="1"/>
  <c r="R21" i="28"/>
  <c r="T17" i="28"/>
  <c r="T21" i="28" s="1"/>
  <c r="U16" i="9"/>
  <c r="V16" i="9"/>
  <c r="W16" i="9" s="1"/>
  <c r="X16" i="9" s="1"/>
  <c r="F58" i="28"/>
  <c r="O23" i="28"/>
  <c r="P30" i="26"/>
  <c r="P37" i="26" s="1"/>
  <c r="P38" i="26" s="1"/>
  <c r="P40" i="26" s="1"/>
  <c r="S16" i="28"/>
  <c r="S22" i="28" s="1"/>
  <c r="L58" i="28"/>
  <c r="K2" i="27" l="1" a="1"/>
  <c r="K12" i="27" s="1"/>
  <c r="R12" i="27" s="1"/>
  <c r="F63" i="28" a="1"/>
  <c r="S63" i="28" s="1"/>
  <c r="G50" i="26"/>
  <c r="G30" i="26"/>
  <c r="S30" i="26" s="1"/>
  <c r="S37" i="26" s="1"/>
  <c r="S38" i="26" s="1"/>
  <c r="S40" i="26" s="1"/>
  <c r="V22" i="9"/>
  <c r="F62" i="28" a="1"/>
  <c r="S62" i="28" s="1"/>
  <c r="T16" i="28"/>
  <c r="T22" i="28" s="1"/>
  <c r="F64" i="28" a="1"/>
  <c r="J2" i="27" a="1"/>
  <c r="K7" i="27"/>
  <c r="R7" i="27" s="1"/>
  <c r="K9" i="27"/>
  <c r="R9" i="27" s="1"/>
  <c r="K2" i="27"/>
  <c r="R2" i="27" s="1"/>
  <c r="K11" i="27"/>
  <c r="R11" i="27" s="1"/>
  <c r="K13" i="27"/>
  <c r="R13" i="27" s="1"/>
  <c r="K6" i="27"/>
  <c r="R6" i="27" s="1"/>
  <c r="U57" i="26"/>
  <c r="T50" i="26"/>
  <c r="S50" i="26"/>
  <c r="G57" i="26"/>
  <c r="T57" i="26" s="1"/>
  <c r="R22" i="28"/>
  <c r="G37" i="26"/>
  <c r="G38" i="26" s="1"/>
  <c r="G40" i="26" s="1"/>
  <c r="F54" i="26"/>
  <c r="F63" i="28" l="1"/>
  <c r="K4" i="27"/>
  <c r="R4" i="27" s="1"/>
  <c r="K10" i="27"/>
  <c r="R10" i="27" s="1"/>
  <c r="K8" i="27"/>
  <c r="R8" i="27" s="1"/>
  <c r="K3" i="27"/>
  <c r="R3" i="27" s="1"/>
  <c r="K5" i="27"/>
  <c r="R5" i="27" s="1"/>
  <c r="F62" i="28"/>
  <c r="V62" i="28" s="1" a="1"/>
  <c r="V62" i="28" s="1"/>
  <c r="W62" i="28" s="1"/>
  <c r="J9" i="27"/>
  <c r="Q9" i="27" s="1"/>
  <c r="J11" i="27"/>
  <c r="Q11" i="27" s="1"/>
  <c r="J6" i="27"/>
  <c r="Q6" i="27" s="1"/>
  <c r="J3" i="27"/>
  <c r="Q3" i="27" s="1"/>
  <c r="J2" i="27"/>
  <c r="Q2" i="27" s="1"/>
  <c r="J7" i="27"/>
  <c r="Q7" i="27" s="1"/>
  <c r="J13" i="27"/>
  <c r="Q13" i="27" s="1"/>
  <c r="J12" i="27"/>
  <c r="Q12" i="27" s="1"/>
  <c r="J10" i="27"/>
  <c r="Q10" i="27" s="1"/>
  <c r="J5" i="27"/>
  <c r="Q5" i="27" s="1"/>
  <c r="J4" i="27"/>
  <c r="Q4" i="27" s="1"/>
  <c r="J8" i="27"/>
  <c r="Q8" i="27" s="1"/>
  <c r="F64" i="28"/>
  <c r="S64" i="28"/>
  <c r="V63" i="28" a="1"/>
  <c r="V63" i="28" s="1"/>
  <c r="R63" i="28"/>
  <c r="T63" i="28" s="1"/>
  <c r="R62" i="28" l="1"/>
  <c r="T62" i="28" s="1"/>
  <c r="V64" i="28" a="1"/>
  <c r="V64" i="28" s="1"/>
  <c r="R64" i="28"/>
  <c r="T64" i="28" s="1"/>
  <c r="D56" i="15" l="1"/>
  <c r="G56" i="15" l="1"/>
  <c r="I56" i="15"/>
  <c r="K56" i="15"/>
  <c r="O56" i="15"/>
  <c r="O56" i="16" s="1"/>
  <c r="H56" i="15"/>
  <c r="M56" i="15"/>
  <c r="E56" i="15"/>
  <c r="P56" i="15"/>
  <c r="P56" i="16" s="1"/>
  <c r="N56" i="15"/>
  <c r="N56" i="16" s="1"/>
  <c r="L56" i="15"/>
  <c r="F56" i="15"/>
  <c r="J56" i="15"/>
  <c r="J56" i="16" l="1"/>
  <c r="J77" i="15"/>
  <c r="J78" i="15" s="1"/>
  <c r="F56" i="16"/>
  <c r="F77" i="15"/>
  <c r="F78" i="15" s="1"/>
  <c r="K56" i="16"/>
  <c r="K77" i="15"/>
  <c r="K78" i="15" s="1"/>
  <c r="S56" i="15"/>
  <c r="E56" i="16"/>
  <c r="E77" i="15"/>
  <c r="E78" i="15" s="1"/>
  <c r="H56" i="16"/>
  <c r="H77" i="15"/>
  <c r="H78" i="15" s="1"/>
  <c r="L56" i="16"/>
  <c r="L77" i="15"/>
  <c r="L78" i="15" s="1"/>
  <c r="I56" i="16"/>
  <c r="I77" i="15"/>
  <c r="I78" i="15" s="1"/>
  <c r="M56" i="16"/>
  <c r="M77" i="15"/>
  <c r="M78" i="15" s="1"/>
  <c r="G56" i="16"/>
  <c r="G77" i="15"/>
  <c r="G78" i="15" s="1"/>
  <c r="E9" i="20"/>
  <c r="Q56" i="16" l="1"/>
  <c r="T56" i="15"/>
  <c r="U56" i="15"/>
  <c r="V56" i="15" s="1"/>
  <c r="W56" i="15" s="1"/>
  <c r="X56" i="15" s="1"/>
  <c r="Y56" i="15" s="1"/>
  <c r="Z56" i="15" s="1"/>
  <c r="R56" i="16"/>
  <c r="E10" i="20"/>
  <c r="S56" i="16" l="1"/>
  <c r="E34" i="20"/>
  <c r="E36" i="20" l="1"/>
  <c r="F10" i="26"/>
  <c r="F9" i="26"/>
  <c r="F53" i="26" l="1"/>
  <c r="F55" i="26" l="1"/>
  <c r="F52" i="26" l="1"/>
  <c r="F56" i="26"/>
  <c r="F33" i="26" l="1"/>
  <c r="F37" i="26" l="1"/>
  <c r="F38" i="26" l="1"/>
  <c r="F40" i="2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Panasonic do Brasil Limitada</author>
  </authors>
  <commentList>
    <comment ref="Y23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>Panasonic do Brasil Limitada:</t>
        </r>
        <r>
          <rPr>
            <sz val="8"/>
            <color indexed="81"/>
            <rFont val="Tahoma"/>
            <family val="2"/>
          </rPr>
          <t xml:space="preserve">
Consumo/1000 pilhas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<sst xmlns="http://schemas.openxmlformats.org/spreadsheetml/2006/main" count="1327" uniqueCount="325">
  <si>
    <t>T O T A L (pçs)</t>
  </si>
  <si>
    <t>Total</t>
  </si>
  <si>
    <t xml:space="preserve"> Voltagem</t>
  </si>
  <si>
    <t>GPER-360</t>
  </si>
  <si>
    <t>Shrink 2 pcs</t>
  </si>
  <si>
    <t>Bandeja</t>
  </si>
  <si>
    <t xml:space="preserve"> Outros acab.</t>
  </si>
  <si>
    <t>Embaladeira</t>
  </si>
  <si>
    <t>Empurrador</t>
  </si>
  <si>
    <t>Estrela</t>
  </si>
  <si>
    <t>Transf. De Correia</t>
  </si>
  <si>
    <t xml:space="preserve"> Shrink</t>
  </si>
  <si>
    <t>S/ Bottom Plate</t>
  </si>
  <si>
    <t>S/ Arruela</t>
  </si>
  <si>
    <t>Ch. Manchada</t>
  </si>
  <si>
    <t>Ch. Riscada</t>
  </si>
  <si>
    <t>S/ Cap</t>
  </si>
  <si>
    <t>S/ Anel vermelho</t>
  </si>
  <si>
    <t xml:space="preserve"> Encaixotadeira acab.</t>
  </si>
  <si>
    <t xml:space="preserve"> Testador</t>
  </si>
  <si>
    <t>NÃO RECUPERÁVEL</t>
  </si>
  <si>
    <t>ACABAMENTO</t>
  </si>
  <si>
    <t xml:space="preserve"> Encaixotadeira</t>
  </si>
  <si>
    <t xml:space="preserve"> S/ Bottom Plate</t>
  </si>
  <si>
    <t xml:space="preserve"> S/ Arruela</t>
  </si>
  <si>
    <t>Chapa manchada</t>
  </si>
  <si>
    <t>Chapa riscada</t>
  </si>
  <si>
    <t xml:space="preserve"> S/ CAP</t>
  </si>
  <si>
    <t xml:space="preserve"> S/ Anel Vermelho</t>
  </si>
  <si>
    <t xml:space="preserve"> LEAK</t>
  </si>
  <si>
    <t>RECUPERADO APÓS SHIMA</t>
  </si>
  <si>
    <t>CAP / Term. Inferior</t>
  </si>
  <si>
    <t>Anel Vermelho</t>
  </si>
  <si>
    <t>Arruela</t>
  </si>
  <si>
    <t xml:space="preserve">Tubo de Chapa </t>
  </si>
  <si>
    <t xml:space="preserve"> Não recuperado pvc</t>
  </si>
  <si>
    <t xml:space="preserve"> Recuperado pvc</t>
  </si>
  <si>
    <t>RECUPERÁVEL</t>
  </si>
  <si>
    <t xml:space="preserve"> Outros ñ recup.</t>
  </si>
  <si>
    <t xml:space="preserve"> CAP~SHIMA</t>
  </si>
  <si>
    <t xml:space="preserve"> Encolhimento</t>
  </si>
  <si>
    <t xml:space="preserve"> PVC</t>
  </si>
  <si>
    <t xml:space="preserve"> PY</t>
  </si>
  <si>
    <t xml:space="preserve"> Evertack</t>
  </si>
  <si>
    <t xml:space="preserve"> Carvão~Bobina Baixa</t>
  </si>
  <si>
    <t xml:space="preserve"> Isol. Superior</t>
  </si>
  <si>
    <t xml:space="preserve"> Tampão</t>
  </si>
  <si>
    <t>MONTAGEM</t>
  </si>
  <si>
    <t>ppm</t>
  </si>
  <si>
    <t>Qty</t>
  </si>
  <si>
    <t>Descrição</t>
  </si>
  <si>
    <t>Cód.</t>
  </si>
  <si>
    <t>Target</t>
  </si>
  <si>
    <t>Annual</t>
  </si>
  <si>
    <t>2nd Half</t>
  </si>
  <si>
    <t>1st Half</t>
  </si>
  <si>
    <t>Qtde de falhas</t>
  </si>
  <si>
    <t>Operações</t>
  </si>
  <si>
    <t>Resumo de falhas da Linha UM-1</t>
  </si>
  <si>
    <t>T O T A L</t>
  </si>
  <si>
    <t xml:space="preserve"> Amperagem</t>
  </si>
  <si>
    <t>Encaixotamento</t>
  </si>
  <si>
    <t>Encolhimento</t>
  </si>
  <si>
    <t>ACB</t>
  </si>
  <si>
    <t>MTG</t>
  </si>
  <si>
    <t>BLD</t>
  </si>
  <si>
    <t>PVC Shrink</t>
  </si>
  <si>
    <t>Cartucho</t>
  </si>
  <si>
    <t>Defeito de Blindagem</t>
  </si>
  <si>
    <t>S/ CAP</t>
  </si>
  <si>
    <t>S/ anel vermelho</t>
  </si>
  <si>
    <t>Term.Inferior/arruela</t>
  </si>
  <si>
    <t>Tubo de Chapa</t>
  </si>
  <si>
    <t>Recuperado do PVC</t>
  </si>
  <si>
    <t xml:space="preserve"> CAP</t>
  </si>
  <si>
    <t>PY</t>
  </si>
  <si>
    <t>Evertack</t>
  </si>
  <si>
    <t>Tb. c/ Boca Amass.</t>
  </si>
  <si>
    <t xml:space="preserve"> Carvão</t>
  </si>
  <si>
    <t>Isol. Sup.</t>
  </si>
  <si>
    <t>Resumo de falhas da Linha UM-3</t>
  </si>
  <si>
    <t>R$</t>
  </si>
  <si>
    <t>Falhas</t>
  </si>
  <si>
    <t>Sub-Total</t>
  </si>
  <si>
    <t>PVC Blister  477 x 0,30</t>
  </si>
  <si>
    <t>PVC Blister  477 x 0,25</t>
  </si>
  <si>
    <t>PVC Blister  477 x 0,18</t>
  </si>
  <si>
    <t>Pilhas</t>
  </si>
  <si>
    <t>Cartela</t>
  </si>
  <si>
    <t>PVC</t>
  </si>
  <si>
    <t>OUTROS</t>
  </si>
  <si>
    <t>Alk</t>
  </si>
  <si>
    <t>SubTotal</t>
  </si>
  <si>
    <t>LR-6</t>
  </si>
  <si>
    <t>LR-14</t>
  </si>
  <si>
    <t>LR-20</t>
  </si>
  <si>
    <t>UM-3</t>
  </si>
  <si>
    <t>UM-2</t>
  </si>
  <si>
    <t>UM-1</t>
  </si>
  <si>
    <t>SUPERMERCADO</t>
  </si>
  <si>
    <t>PRENSA</t>
  </si>
  <si>
    <t>BLINDAGEM</t>
  </si>
  <si>
    <t>Cód</t>
  </si>
  <si>
    <t>Resumo de falhas de Blindagem e PVC</t>
  </si>
  <si>
    <t>VA</t>
  </si>
  <si>
    <t>%</t>
  </si>
  <si>
    <t>LR6</t>
  </si>
  <si>
    <t>Modelo</t>
  </si>
  <si>
    <t>Chapa Riscada</t>
  </si>
  <si>
    <t>Chapa Manchada</t>
  </si>
  <si>
    <t>Chapa Invertida</t>
  </si>
  <si>
    <t>Chapa Aberta</t>
  </si>
  <si>
    <t>Falha de Impressão</t>
  </si>
  <si>
    <t>Sem Arruela</t>
  </si>
  <si>
    <t>Fundo Amassado</t>
  </si>
  <si>
    <t>Sem Cap</t>
  </si>
  <si>
    <t>Outros</t>
  </si>
  <si>
    <t>Shrink 2 peças</t>
  </si>
  <si>
    <t>BLISTER 3</t>
  </si>
  <si>
    <t>UM-4</t>
  </si>
  <si>
    <t>Total recup.</t>
  </si>
  <si>
    <t>Amassado Superior</t>
  </si>
  <si>
    <t>Amassado Inferior</t>
  </si>
  <si>
    <t>Pank (MTG)</t>
  </si>
  <si>
    <t>Recuperadas</t>
  </si>
  <si>
    <t>Pank (ACB)</t>
  </si>
  <si>
    <t>Cap Amassado / Afundado</t>
  </si>
  <si>
    <t>Cap Rachado</t>
  </si>
  <si>
    <t>Sem Anel Vermelho</t>
  </si>
  <si>
    <t>Dois Anéis Vermelhos</t>
  </si>
  <si>
    <t>Sem Bottom Plate</t>
  </si>
  <si>
    <t>Bottom Plate Amassado</t>
  </si>
  <si>
    <t>Sem Arruela / Sem Bottom Plate</t>
  </si>
  <si>
    <t>Fundo Sujo</t>
  </si>
  <si>
    <t>Máq. 1</t>
  </si>
  <si>
    <t>Máq. 2</t>
  </si>
  <si>
    <t>Máq. 3</t>
  </si>
  <si>
    <t>UM-3 
BODY MAKER</t>
  </si>
  <si>
    <t>Máq. 4</t>
  </si>
  <si>
    <t>Máq. 5</t>
  </si>
  <si>
    <t>UM-3 
OTTO PRESS</t>
  </si>
  <si>
    <t>Resumo de falhas da Linha UM-4</t>
  </si>
  <si>
    <t>MONTAGEM - NÃO RECUPERÁVEL</t>
  </si>
  <si>
    <t>TAMPÃO</t>
  </si>
  <si>
    <t>ISOL. SUPERIOR</t>
  </si>
  <si>
    <t>CARVÃO</t>
  </si>
  <si>
    <t>EVERTACK</t>
  </si>
  <si>
    <t>CAP/PY</t>
  </si>
  <si>
    <t>FECHAMENTO</t>
  </si>
  <si>
    <t>BOTTOM PLATE</t>
  </si>
  <si>
    <t>TESTADOR VA</t>
  </si>
  <si>
    <t>ENCAXOTADEIRA</t>
  </si>
  <si>
    <t>Pilha deformada</t>
  </si>
  <si>
    <t>PVC Mal impresso</t>
  </si>
  <si>
    <t>PVC rasgado</t>
  </si>
  <si>
    <t>PVC deformado</t>
  </si>
  <si>
    <t>PVC IMPRESSO ATÈ TESTADOR -NÃO RECUPERÁVEL</t>
  </si>
  <si>
    <t>PY Deslocado</t>
  </si>
  <si>
    <t>Sem PY</t>
  </si>
  <si>
    <t>Fundo sujo</t>
  </si>
  <si>
    <t>Tubo de Zinco Trincado</t>
  </si>
  <si>
    <t>Pilha amassada</t>
  </si>
  <si>
    <t>ACABAMENTO - SHRINK - NÃO RECUPERÁVEL</t>
  </si>
  <si>
    <t>First Half</t>
  </si>
  <si>
    <t>Second Half</t>
  </si>
  <si>
    <t>SM</t>
  </si>
  <si>
    <t>Fisrt Half</t>
  </si>
  <si>
    <t>vs Last Month</t>
  </si>
  <si>
    <t>Montagem</t>
  </si>
  <si>
    <t>Acabamento</t>
  </si>
  <si>
    <t>UM-3-1</t>
  </si>
  <si>
    <t>UM-3-2</t>
  </si>
  <si>
    <t>ACABAMENTO - NÃO RECUPERÁVEL</t>
  </si>
  <si>
    <t>Assembly</t>
  </si>
  <si>
    <t>Finishing</t>
  </si>
  <si>
    <t>Real</t>
  </si>
  <si>
    <t>BP</t>
  </si>
  <si>
    <t>Prensa</t>
  </si>
  <si>
    <t>Defect ratio</t>
  </si>
  <si>
    <t>Un.</t>
  </si>
  <si>
    <t>pçs</t>
  </si>
  <si>
    <t>vs BP</t>
  </si>
  <si>
    <t>Total Manganês</t>
  </si>
  <si>
    <t>Total Panabras</t>
  </si>
  <si>
    <t>UM-3 - L1</t>
  </si>
  <si>
    <t>UM-3 - L2</t>
  </si>
  <si>
    <t>pcs</t>
  </si>
  <si>
    <t>Gestão de Produção e Quantidade de Falhas (pçs)</t>
  </si>
  <si>
    <t>Gestão de Custo de Produção e Falhas (R$)</t>
  </si>
  <si>
    <t>Anual</t>
  </si>
  <si>
    <t>Produção</t>
  </si>
  <si>
    <t>Forecast</t>
  </si>
  <si>
    <t>Objetivo</t>
  </si>
  <si>
    <t>Alloyd 1</t>
  </si>
  <si>
    <t>Blister</t>
  </si>
  <si>
    <t>Blister + Cartela</t>
  </si>
  <si>
    <t>Pilhas Amassadas</t>
  </si>
  <si>
    <t>Alloyd 2</t>
  </si>
  <si>
    <t>Taxa</t>
  </si>
  <si>
    <t>PRE</t>
  </si>
  <si>
    <t>COMPONENTES</t>
  </si>
  <si>
    <t>Objetivo (ppm)</t>
  </si>
  <si>
    <t>Custo por milheiro (R$)</t>
  </si>
  <si>
    <t>total</t>
  </si>
  <si>
    <t>Sulliter</t>
  </si>
  <si>
    <t>Pilha caida no prato</t>
  </si>
  <si>
    <t>Pilha Queimada</t>
  </si>
  <si>
    <t>Comp.</t>
  </si>
  <si>
    <t>Embalagem</t>
  </si>
  <si>
    <t>IMP</t>
  </si>
  <si>
    <t>Taxa defeituosoa</t>
  </si>
  <si>
    <t>ALC</t>
  </si>
  <si>
    <t>Mn</t>
  </si>
  <si>
    <t>Semestral</t>
  </si>
  <si>
    <t>Alc</t>
  </si>
  <si>
    <t>Alloyd 3</t>
  </si>
  <si>
    <t>Outros - recup. Acb</t>
  </si>
  <si>
    <t>Outros - acabamento</t>
  </si>
  <si>
    <t xml:space="preserve"> Voltagem - montagem</t>
  </si>
  <si>
    <t xml:space="preserve"> Voltagem - acabamento</t>
  </si>
  <si>
    <t>TOTAL</t>
  </si>
  <si>
    <t>conta</t>
  </si>
  <si>
    <t>LinUM31_X</t>
  </si>
  <si>
    <t>LinUM31_Y</t>
  </si>
  <si>
    <t>LinUM31_BP</t>
  </si>
  <si>
    <t>LinUM32_X</t>
  </si>
  <si>
    <t>LinUM32_Y</t>
  </si>
  <si>
    <t>LinUM32_BP</t>
  </si>
  <si>
    <t>LinUM4_X</t>
  </si>
  <si>
    <t>LinUM4_Y</t>
  </si>
  <si>
    <t>LinUM4_BP</t>
  </si>
  <si>
    <t>Período</t>
  </si>
  <si>
    <t>UM-1 - Qloss</t>
  </si>
  <si>
    <t>UM-1 - BP</t>
  </si>
  <si>
    <t>UM-3-1 - Qloss</t>
  </si>
  <si>
    <t>UM-3-1 BP</t>
  </si>
  <si>
    <t>UM-3-2 - Qloss</t>
  </si>
  <si>
    <t>UM-3 - BP</t>
  </si>
  <si>
    <t>UM-4 - Qloss</t>
  </si>
  <si>
    <t>UM-4 - BP</t>
  </si>
  <si>
    <t>BLD - Qloss</t>
  </si>
  <si>
    <t>BLD-BP</t>
  </si>
  <si>
    <t>PVC - Qloss</t>
  </si>
  <si>
    <t>PVC - BP</t>
  </si>
  <si>
    <t>PRENSA - Qloss</t>
  </si>
  <si>
    <t>PRENSA BP</t>
  </si>
  <si>
    <t>Qloss</t>
  </si>
  <si>
    <t>Bat. Espec.</t>
  </si>
  <si>
    <t>Amassada na saída da encaixotadeira</t>
  </si>
  <si>
    <t>Amassada na faca</t>
  </si>
  <si>
    <t>FY2020</t>
  </si>
  <si>
    <t>Total Qty</t>
  </si>
  <si>
    <t>Total Custo</t>
  </si>
  <si>
    <t>FY-2021</t>
  </si>
  <si>
    <t>Fração Defeituosa Total</t>
  </si>
  <si>
    <t>Blindagem</t>
  </si>
  <si>
    <t>Total (Qt)</t>
  </si>
  <si>
    <t>Total (ppm)</t>
  </si>
  <si>
    <t>Fração Defeituosa de Aparência</t>
  </si>
  <si>
    <t>Fração Defeituosa de VA</t>
  </si>
  <si>
    <t>Voltagem (ppm)</t>
  </si>
  <si>
    <t>Amperagem (ppm)</t>
  </si>
  <si>
    <t>Dados Para Japão</t>
  </si>
  <si>
    <t>Amperagem</t>
  </si>
  <si>
    <t>V (ppm)</t>
  </si>
  <si>
    <t>A (ppm)</t>
  </si>
  <si>
    <t>MTG - Voltagem</t>
  </si>
  <si>
    <t>MTG - Amperagem</t>
  </si>
  <si>
    <t>ACB - Voltagem</t>
  </si>
  <si>
    <t>ACB - Amperagem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</si>
  <si>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</si>
  <si>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</si>
  <si>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</si>
  <si>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</si>
  <si>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</si>
  <si>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</si>
  <si>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</si>
  <si>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</si>
  <si>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</si>
  <si>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</si>
  <si>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</si>
  <si>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</si>
  <si>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 xml:space="preserve">Fração Defeituosa Interna de VA </t>
  </si>
  <si>
    <t>Defeitos de V Internos</t>
  </si>
  <si>
    <t>Defeitos de A Internos</t>
  </si>
  <si>
    <t>Fração Defeituosa Interna de VA</t>
  </si>
  <si>
    <t>Qtd Defeitos Internos V</t>
  </si>
  <si>
    <t>Qtd Defeitos Internos A</t>
  </si>
  <si>
    <t>Produção VA</t>
  </si>
  <si>
    <t>Qtd Produção VA</t>
  </si>
  <si>
    <t>Ago</t>
  </si>
  <si>
    <t>Set</t>
  </si>
  <si>
    <t>Custo da Produção</t>
  </si>
  <si>
    <t>bld_um1_y</t>
  </si>
  <si>
    <t>eixo_x</t>
  </si>
  <si>
    <t>bld_um3_y</t>
  </si>
  <si>
    <t>pvc_um1_y</t>
  </si>
  <si>
    <t>pvc_um3_y</t>
  </si>
  <si>
    <t>x</t>
  </si>
  <si>
    <t>y</t>
  </si>
  <si>
    <t>pre_um1_y</t>
  </si>
  <si>
    <t>bld_Total_y</t>
  </si>
  <si>
    <t>total BLD UM3</t>
  </si>
  <si>
    <t>pvc_Total_y</t>
  </si>
  <si>
    <t>bld_BP_y</t>
  </si>
  <si>
    <t>pvc_BP_y</t>
  </si>
  <si>
    <t>pre_UM3_y</t>
  </si>
  <si>
    <t>pre_UM4_y</t>
  </si>
  <si>
    <t>Variáveis dos gráficos</t>
  </si>
  <si>
    <t>Setor</t>
  </si>
  <si>
    <t>pre_Total_y</t>
  </si>
  <si>
    <t>pre_BP_y</t>
  </si>
  <si>
    <t>Último</t>
  </si>
  <si>
    <t>FY2021</t>
  </si>
  <si>
    <t>Configurações</t>
  </si>
  <si>
    <t>Contantes</t>
  </si>
  <si>
    <t>Redutor de Falhas</t>
  </si>
  <si>
    <t xml:space="preserve">Peso Unitário do tubo PVC </t>
  </si>
  <si>
    <t>Velocidade das Máquinas da Blindagem</t>
  </si>
  <si>
    <t>Body Makers</t>
  </si>
  <si>
    <t>Otto Press</t>
  </si>
  <si>
    <t>g</t>
  </si>
  <si>
    <t>pçs/m</t>
  </si>
  <si>
    <t>Custos</t>
  </si>
  <si>
    <t>R$/kPçs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</si>
</sst>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"/>
    <numFmt numFmtId="165" formatCode="0.000"/>
    <numFmt numFmtId="166" formatCode="0.000%"/>
    <numFmt numFmtId="167" formatCode="0.0%"/>
    <numFmt numFmtId="168" formatCode="#,##0.00_ ;\-#,##0.00\ "/>
    <numFmt numFmtId="169" formatCode="0.0000%"/>
    <numFmt numFmtId="170" formatCode="#,##0.00,"/>
    <numFmt numFmtId="171" formatCode="_-* #,##0.000_-;\-* #,##0.000_-;_-* &quot;-&quot;??_-;_-@_-"/>
    <numFmt numFmtId="172" formatCode="#,##0.000,"/>
    <numFmt numFmtId="173" formatCode="#,##0.000"/>
    <numFmt numFmtId="174" formatCode="#,##0_ ;\-#,##0\ "/>
  </numFmts>
  <fonts count="32">
    <font>
      <sz val="10"/>
      <name val="Arial"/>
    </font>
    <font>
      <sz val="10"/>
      <name val="Arial"/>
      <family val="2"/>
    </font>
    <font>
      <sz val="10"/>
      <name val="New Century Schoolbook"/>
      <family val="1"/>
    </font>
    <font>
      <sz val="10"/>
      <name val="Century Schoolbook"/>
      <family val="1"/>
    </font>
    <font>
      <b/>
      <i/>
      <sz val="12"/>
      <name val="Century Schoolbook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Calibri"/>
      <family val="2"/>
      <scheme val="minor"/>
    </font>
    <font>
      <sz val="10"/>
      <color rgb="FF2C0DE3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2"/>
      <name val="Calibri"/>
      <family val="2"/>
      <scheme val="minor"/>
    </font>
    <font>
      <sz val="10"/>
      <name val="Arial"/>
      <family val="2"/>
    </font>
    <font>
      <sz val="10"/>
      <color rgb="FF0000FF"/>
      <name val="Calibri"/>
      <family val="2"/>
      <scheme val="minor"/>
    </font>
    <font>
      <i/>
      <sz val="10"/>
      <color rgb="FF0070C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4"/>
      <color theme="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Calibri"/>
      <family val="2"/>
      <scheme val="minor"/>
    </font>
    <font>
      <sz val="10"/>
      <color rgb="FF0000FF"/>
      <name val="Arial"/>
      <family val="2"/>
    </font>
    <font>
      <sz val="12"/>
      <name val="Calibri"/>
      <family val="2"/>
      <scheme val="minor"/>
    </font>
    <font>
      <b/>
      <sz val="10"/>
      <name val="Arial"/>
      <family val="2"/>
    </font>
    <font>
      <sz val="1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59999389629810485"/>
        <bgColor indexed="64"/>
      </patternFill>
    </fill>
  </fills>
  <borders count="219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/>
      <top style="hair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/>
      <top style="hair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9" fontId="12" fillId="0" borderId="0" applyFont="0" applyFill="0" applyBorder="0" applyAlignment="0" applyProtection="0"/>
    <xf numFmtId="44" fontId="19" fillId="0" borderId="0" applyFont="0" applyFill="0" applyBorder="0" applyAlignment="0" applyProtection="0"/>
    <xf numFmtId="43" fontId="21" fillId="0" borderId="0" applyFont="0" applyFill="0" applyBorder="0" applyAlignment="0" applyProtection="0"/>
    <xf numFmtId="170" fontId="1" fillId="0" borderId="65" applyFill="0" applyBorder="0">
      <alignment horizontal="right"/>
    </xf>
  </cellStyleXfs>
  <cellXfs count="1073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5" xfId="0" applyFont="1" applyFill="1" applyBorder="1"/>
    <xf numFmtId="0" fontId="2" fillId="2" borderId="6" xfId="0" applyFont="1" applyFill="1" applyBorder="1"/>
    <xf numFmtId="17" fontId="2" fillId="2" borderId="36" xfId="0" applyNumberFormat="1" applyFont="1" applyFill="1" applyBorder="1" applyAlignment="1">
      <alignment horizontal="left"/>
    </xf>
    <xf numFmtId="17" fontId="2" fillId="2" borderId="9" xfId="0" applyNumberFormat="1" applyFont="1" applyFill="1" applyBorder="1" applyAlignment="1">
      <alignment horizontal="left"/>
    </xf>
    <xf numFmtId="17" fontId="2" fillId="2" borderId="33" xfId="0" applyNumberFormat="1" applyFont="1" applyFill="1" applyBorder="1" applyAlignment="1">
      <alignment horizontal="left"/>
    </xf>
    <xf numFmtId="0" fontId="2" fillId="2" borderId="40" xfId="0" applyFont="1" applyFill="1" applyBorder="1"/>
    <xf numFmtId="0" fontId="2" fillId="2" borderId="24" xfId="0" applyFont="1" applyFill="1" applyBorder="1"/>
    <xf numFmtId="0" fontId="2" fillId="2" borderId="10" xfId="0" applyFont="1" applyFill="1" applyBorder="1"/>
    <xf numFmtId="0" fontId="2" fillId="2" borderId="41" xfId="0" applyFont="1" applyFill="1" applyBorder="1" applyAlignment="1">
      <alignment horizontal="centerContinuous"/>
    </xf>
    <xf numFmtId="0" fontId="2" fillId="2" borderId="42" xfId="0" applyFont="1" applyFill="1" applyBorder="1" applyAlignment="1">
      <alignment horizontal="centerContinuous"/>
    </xf>
    <xf numFmtId="0" fontId="2" fillId="2" borderId="43" xfId="0" applyFont="1" applyFill="1" applyBorder="1" applyAlignment="1">
      <alignment horizontal="centerContinuous"/>
    </xf>
    <xf numFmtId="0" fontId="2" fillId="2" borderId="44" xfId="0" applyFont="1" applyFill="1" applyBorder="1" applyAlignment="1">
      <alignment horizontal="centerContinuous"/>
    </xf>
    <xf numFmtId="0" fontId="2" fillId="2" borderId="46" xfId="0" applyFont="1" applyFill="1" applyBorder="1"/>
    <xf numFmtId="0" fontId="2" fillId="2" borderId="47" xfId="0" applyFont="1" applyFill="1" applyBorder="1"/>
    <xf numFmtId="0" fontId="3" fillId="0" borderId="0" xfId="0" applyFont="1"/>
    <xf numFmtId="17" fontId="2" fillId="2" borderId="24" xfId="0" applyNumberFormat="1" applyFont="1" applyFill="1" applyBorder="1" applyAlignment="1">
      <alignment horizontal="left"/>
    </xf>
    <xf numFmtId="0" fontId="2" fillId="2" borderId="52" xfId="0" applyFont="1" applyFill="1" applyBorder="1" applyAlignment="1">
      <alignment horizontal="centerContinuous"/>
    </xf>
    <xf numFmtId="0" fontId="3" fillId="2" borderId="39" xfId="0" applyFont="1" applyFill="1" applyBorder="1" applyAlignment="1">
      <alignment horizontal="center"/>
    </xf>
    <xf numFmtId="0" fontId="3" fillId="2" borderId="10" xfId="0" applyFont="1" applyFill="1" applyBorder="1"/>
    <xf numFmtId="0" fontId="3" fillId="2" borderId="47" xfId="0" applyFont="1" applyFill="1" applyBorder="1"/>
    <xf numFmtId="1" fontId="0" fillId="0" borderId="19" xfId="0" applyNumberFormat="1" applyBorder="1"/>
    <xf numFmtId="0" fontId="3" fillId="2" borderId="80" xfId="0" applyFont="1" applyFill="1" applyBorder="1" applyAlignment="1">
      <alignment horizontal="center"/>
    </xf>
    <xf numFmtId="0" fontId="2" fillId="2" borderId="86" xfId="0" applyFont="1" applyFill="1" applyBorder="1"/>
    <xf numFmtId="0" fontId="2" fillId="2" borderId="97" xfId="0" applyFont="1" applyFill="1" applyBorder="1" applyAlignment="1">
      <alignment horizontal="center"/>
    </xf>
    <xf numFmtId="17" fontId="3" fillId="2" borderId="39" xfId="0" applyNumberFormat="1" applyFont="1" applyFill="1" applyBorder="1" applyAlignment="1">
      <alignment horizontal="center"/>
    </xf>
    <xf numFmtId="0" fontId="8" fillId="2" borderId="26" xfId="0" applyFont="1" applyFill="1" applyBorder="1"/>
    <xf numFmtId="0" fontId="8" fillId="0" borderId="26" xfId="0" applyFont="1" applyBorder="1"/>
    <xf numFmtId="0" fontId="8" fillId="2" borderId="7" xfId="0" applyFont="1" applyFill="1" applyBorder="1"/>
    <xf numFmtId="0" fontId="8" fillId="3" borderId="7" xfId="0" applyFont="1" applyFill="1" applyBorder="1"/>
    <xf numFmtId="0" fontId="8" fillId="2" borderId="28" xfId="0" applyFont="1" applyFill="1" applyBorder="1"/>
    <xf numFmtId="0" fontId="8" fillId="0" borderId="28" xfId="0" applyFont="1" applyBorder="1"/>
    <xf numFmtId="0" fontId="8" fillId="2" borderId="34" xfId="0" applyFont="1" applyFill="1" applyBorder="1"/>
    <xf numFmtId="0" fontId="8" fillId="3" borderId="34" xfId="0" quotePrefix="1" applyFont="1" applyFill="1" applyBorder="1" applyAlignment="1">
      <alignment horizontal="left"/>
    </xf>
    <xf numFmtId="0" fontId="8" fillId="0" borderId="28" xfId="0" quotePrefix="1" applyFont="1" applyBorder="1" applyAlignment="1">
      <alignment horizontal="left"/>
    </xf>
    <xf numFmtId="0" fontId="8" fillId="2" borderId="59" xfId="0" applyFont="1" applyFill="1" applyBorder="1"/>
    <xf numFmtId="0" fontId="8" fillId="0" borderId="59" xfId="0" applyFont="1" applyBorder="1"/>
    <xf numFmtId="0" fontId="8" fillId="2" borderId="101" xfId="0" applyFont="1" applyFill="1" applyBorder="1"/>
    <xf numFmtId="0" fontId="8" fillId="0" borderId="101" xfId="0" applyFont="1" applyBorder="1"/>
    <xf numFmtId="0" fontId="8" fillId="2" borderId="8" xfId="0" applyFont="1" applyFill="1" applyBorder="1"/>
    <xf numFmtId="0" fontId="8" fillId="3" borderId="8" xfId="0" applyFont="1" applyFill="1" applyBorder="1"/>
    <xf numFmtId="0" fontId="8" fillId="2" borderId="18" xfId="0" applyFont="1" applyFill="1" applyBorder="1"/>
    <xf numFmtId="0" fontId="8" fillId="0" borderId="18" xfId="0" applyFont="1" applyBorder="1"/>
    <xf numFmtId="0" fontId="8" fillId="0" borderId="18" xfId="0" quotePrefix="1" applyFont="1" applyBorder="1" applyAlignment="1">
      <alignment horizontal="left"/>
    </xf>
    <xf numFmtId="0" fontId="8" fillId="0" borderId="17" xfId="0" applyFont="1" applyBorder="1"/>
    <xf numFmtId="0" fontId="8" fillId="2" borderId="13" xfId="0" applyFont="1" applyFill="1" applyBorder="1"/>
    <xf numFmtId="0" fontId="8" fillId="2" borderId="0" xfId="0" applyFont="1" applyFill="1"/>
    <xf numFmtId="3" fontId="8" fillId="0" borderId="28" xfId="0" applyNumberFormat="1" applyFont="1" applyBorder="1"/>
    <xf numFmtId="3" fontId="8" fillId="3" borderId="8" xfId="0" applyNumberFormat="1" applyFont="1" applyFill="1" applyBorder="1"/>
    <xf numFmtId="3" fontId="8" fillId="3" borderId="34" xfId="0" applyNumberFormat="1" applyFont="1" applyFill="1" applyBorder="1"/>
    <xf numFmtId="3" fontId="8" fillId="0" borderId="59" xfId="0" applyNumberFormat="1" applyFont="1" applyBorder="1"/>
    <xf numFmtId="3" fontId="8" fillId="0" borderId="101" xfId="0" applyNumberFormat="1" applyFont="1" applyBorder="1"/>
    <xf numFmtId="2" fontId="8" fillId="0" borderId="26" xfId="0" applyNumberFormat="1" applyFont="1" applyBorder="1"/>
    <xf numFmtId="2" fontId="8" fillId="3" borderId="7" xfId="0" applyNumberFormat="1" applyFont="1" applyFill="1" applyBorder="1"/>
    <xf numFmtId="2" fontId="8" fillId="0" borderId="28" xfId="0" applyNumberFormat="1" applyFont="1" applyBorder="1"/>
    <xf numFmtId="2" fontId="8" fillId="0" borderId="59" xfId="0" applyNumberFormat="1" applyFont="1" applyBorder="1"/>
    <xf numFmtId="2" fontId="8" fillId="0" borderId="101" xfId="0" applyNumberFormat="1" applyFont="1" applyBorder="1"/>
    <xf numFmtId="2" fontId="8" fillId="3" borderId="8" xfId="0" applyNumberFormat="1" applyFont="1" applyFill="1" applyBorder="1"/>
    <xf numFmtId="1" fontId="8" fillId="0" borderId="26" xfId="0" applyNumberFormat="1" applyFont="1" applyBorder="1"/>
    <xf numFmtId="0" fontId="8" fillId="0" borderId="11" xfId="0" applyFont="1" applyBorder="1"/>
    <xf numFmtId="0" fontId="2" fillId="2" borderId="102" xfId="0" applyFont="1" applyFill="1" applyBorder="1" applyAlignment="1">
      <alignment horizontal="centerContinuous"/>
    </xf>
    <xf numFmtId="17" fontId="2" fillId="2" borderId="103" xfId="0" applyNumberFormat="1" applyFont="1" applyFill="1" applyBorder="1" applyAlignment="1">
      <alignment horizontal="left"/>
    </xf>
    <xf numFmtId="0" fontId="8" fillId="0" borderId="93" xfId="0" applyFont="1" applyBorder="1"/>
    <xf numFmtId="1" fontId="8" fillId="0" borderId="51" xfId="0" applyNumberFormat="1" applyFont="1" applyBorder="1"/>
    <xf numFmtId="0" fontId="8" fillId="2" borderId="0" xfId="0" applyFont="1" applyFill="1" applyAlignment="1">
      <alignment horizontal="center"/>
    </xf>
    <xf numFmtId="0" fontId="8" fillId="0" borderId="87" xfId="0" applyFont="1" applyBorder="1"/>
    <xf numFmtId="0" fontId="10" fillId="6" borderId="26" xfId="0" quotePrefix="1" applyFont="1" applyFill="1" applyBorder="1" applyAlignment="1">
      <alignment horizontal="left"/>
    </xf>
    <xf numFmtId="0" fontId="10" fillId="6" borderId="59" xfId="0" quotePrefix="1" applyFont="1" applyFill="1" applyBorder="1" applyAlignment="1">
      <alignment horizontal="left"/>
    </xf>
    <xf numFmtId="0" fontId="10" fillId="6" borderId="59" xfId="0" applyFont="1" applyFill="1" applyBorder="1"/>
    <xf numFmtId="0" fontId="8" fillId="2" borderId="9" xfId="0" applyFont="1" applyFill="1" applyBorder="1" applyAlignment="1">
      <alignment horizontal="center"/>
    </xf>
    <xf numFmtId="0" fontId="8" fillId="3" borderId="98" xfId="0" applyFont="1" applyFill="1" applyBorder="1"/>
    <xf numFmtId="0" fontId="8" fillId="3" borderId="119" xfId="0" applyFont="1" applyFill="1" applyBorder="1"/>
    <xf numFmtId="0" fontId="8" fillId="0" borderId="88" xfId="0" applyFont="1" applyBorder="1"/>
    <xf numFmtId="0" fontId="8" fillId="2" borderId="69" xfId="0" applyFont="1" applyFill="1" applyBorder="1" applyAlignment="1">
      <alignment horizontal="center"/>
    </xf>
    <xf numFmtId="0" fontId="8" fillId="0" borderId="0" xfId="1" applyFont="1"/>
    <xf numFmtId="0" fontId="8" fillId="2" borderId="47" xfId="1" applyFont="1" applyFill="1" applyBorder="1"/>
    <xf numFmtId="0" fontId="8" fillId="2" borderId="42" xfId="1" applyFont="1" applyFill="1" applyBorder="1" applyAlignment="1">
      <alignment horizontal="centerContinuous"/>
    </xf>
    <xf numFmtId="0" fontId="8" fillId="2" borderId="76" xfId="1" applyFont="1" applyFill="1" applyBorder="1"/>
    <xf numFmtId="0" fontId="8" fillId="0" borderId="70" xfId="1" applyFont="1" applyBorder="1"/>
    <xf numFmtId="3" fontId="9" fillId="0" borderId="57" xfId="1" applyNumberFormat="1" applyFont="1" applyBorder="1"/>
    <xf numFmtId="0" fontId="8" fillId="2" borderId="67" xfId="1" applyFont="1" applyFill="1" applyBorder="1"/>
    <xf numFmtId="0" fontId="8" fillId="0" borderId="28" xfId="1" applyFont="1" applyBorder="1"/>
    <xf numFmtId="3" fontId="9" fillId="0" borderId="27" xfId="1" applyNumberFormat="1" applyFont="1" applyBorder="1"/>
    <xf numFmtId="0" fontId="8" fillId="3" borderId="81" xfId="1" applyFont="1" applyFill="1" applyBorder="1"/>
    <xf numFmtId="0" fontId="8" fillId="3" borderId="37" xfId="1" applyFont="1" applyFill="1" applyBorder="1"/>
    <xf numFmtId="3" fontId="9" fillId="3" borderId="81" xfId="1" applyNumberFormat="1" applyFont="1" applyFill="1" applyBorder="1"/>
    <xf numFmtId="3" fontId="8" fillId="3" borderId="24" xfId="1" applyNumberFormat="1" applyFont="1" applyFill="1" applyBorder="1"/>
    <xf numFmtId="3" fontId="8" fillId="3" borderId="40" xfId="1" applyNumberFormat="1" applyFont="1" applyFill="1" applyBorder="1"/>
    <xf numFmtId="0" fontId="8" fillId="0" borderId="59" xfId="1" applyFont="1" applyBorder="1"/>
    <xf numFmtId="0" fontId="8" fillId="0" borderId="72" xfId="1" applyFont="1" applyBorder="1"/>
    <xf numFmtId="3" fontId="9" fillId="0" borderId="16" xfId="1" applyNumberFormat="1" applyFont="1" applyBorder="1"/>
    <xf numFmtId="0" fontId="8" fillId="0" borderId="101" xfId="1" applyFont="1" applyBorder="1"/>
    <xf numFmtId="3" fontId="9" fillId="0" borderId="74" xfId="1" applyNumberFormat="1" applyFont="1" applyBorder="1"/>
    <xf numFmtId="3" fontId="9" fillId="0" borderId="20" xfId="1" applyNumberFormat="1" applyFont="1" applyBorder="1"/>
    <xf numFmtId="0" fontId="8" fillId="2" borderId="25" xfId="1" applyFont="1" applyFill="1" applyBorder="1" applyAlignment="1">
      <alignment vertical="center" textRotation="90"/>
    </xf>
    <xf numFmtId="0" fontId="8" fillId="2" borderId="71" xfId="1" applyFont="1" applyFill="1" applyBorder="1"/>
    <xf numFmtId="0" fontId="8" fillId="3" borderId="54" xfId="1" applyFont="1" applyFill="1" applyBorder="1"/>
    <xf numFmtId="3" fontId="9" fillId="3" borderId="73" xfId="1" applyNumberFormat="1" applyFont="1" applyFill="1" applyBorder="1"/>
    <xf numFmtId="0" fontId="8" fillId="0" borderId="54" xfId="1" applyFont="1" applyBorder="1"/>
    <xf numFmtId="0" fontId="8" fillId="2" borderId="57" xfId="1" applyFont="1" applyFill="1" applyBorder="1"/>
    <xf numFmtId="0" fontId="8" fillId="2" borderId="16" xfId="1" applyFont="1" applyFill="1" applyBorder="1"/>
    <xf numFmtId="0" fontId="8" fillId="2" borderId="69" xfId="1" applyFont="1" applyFill="1" applyBorder="1"/>
    <xf numFmtId="0" fontId="8" fillId="3" borderId="34" xfId="1" applyFont="1" applyFill="1" applyBorder="1"/>
    <xf numFmtId="0" fontId="8" fillId="2" borderId="68" xfId="1" applyFont="1" applyFill="1" applyBorder="1"/>
    <xf numFmtId="0" fontId="8" fillId="2" borderId="6" xfId="1" applyFont="1" applyFill="1" applyBorder="1"/>
    <xf numFmtId="0" fontId="8" fillId="2" borderId="66" xfId="1" applyFont="1" applyFill="1" applyBorder="1"/>
    <xf numFmtId="0" fontId="8" fillId="0" borderId="3" xfId="1" applyFont="1" applyBorder="1" applyAlignment="1">
      <alignment horizontal="centerContinuous"/>
    </xf>
    <xf numFmtId="3" fontId="8" fillId="0" borderId="66" xfId="1" applyNumberFormat="1" applyFont="1" applyBorder="1"/>
    <xf numFmtId="0" fontId="10" fillId="0" borderId="0" xfId="1" applyFont="1"/>
    <xf numFmtId="0" fontId="8" fillId="7" borderId="65" xfId="1" applyFont="1" applyFill="1" applyBorder="1" applyAlignment="1">
      <alignment horizontal="center"/>
    </xf>
    <xf numFmtId="0" fontId="8" fillId="7" borderId="14" xfId="1" applyFont="1" applyFill="1" applyBorder="1"/>
    <xf numFmtId="0" fontId="8" fillId="7" borderId="74" xfId="1" applyFont="1" applyFill="1" applyBorder="1"/>
    <xf numFmtId="0" fontId="8" fillId="7" borderId="101" xfId="1" applyFont="1" applyFill="1" applyBorder="1"/>
    <xf numFmtId="17" fontId="8" fillId="7" borderId="74" xfId="1" applyNumberFormat="1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1" fillId="0" borderId="11" xfId="0" applyFont="1" applyBorder="1"/>
    <xf numFmtId="0" fontId="1" fillId="0" borderId="26" xfId="0" applyFont="1" applyBorder="1"/>
    <xf numFmtId="0" fontId="2" fillId="2" borderId="120" xfId="0" applyFont="1" applyFill="1" applyBorder="1" applyAlignment="1">
      <alignment horizontal="centerContinuous"/>
    </xf>
    <xf numFmtId="17" fontId="2" fillId="2" borderId="50" xfId="0" applyNumberFormat="1" applyFont="1" applyFill="1" applyBorder="1" applyAlignment="1">
      <alignment horizontal="left"/>
    </xf>
    <xf numFmtId="0" fontId="8" fillId="2" borderId="66" xfId="0" applyFont="1" applyFill="1" applyBorder="1" applyAlignment="1">
      <alignment horizontal="center"/>
    </xf>
    <xf numFmtId="0" fontId="8" fillId="3" borderId="94" xfId="0" applyFont="1" applyFill="1" applyBorder="1"/>
    <xf numFmtId="0" fontId="8" fillId="3" borderId="1" xfId="0" applyFont="1" applyFill="1" applyBorder="1"/>
    <xf numFmtId="2" fontId="8" fillId="0" borderId="26" xfId="0" applyNumberFormat="1" applyFont="1" applyBorder="1" applyAlignment="1">
      <alignment horizontal="right"/>
    </xf>
    <xf numFmtId="2" fontId="8" fillId="0" borderId="59" xfId="0" applyNumberFormat="1" applyFont="1" applyBorder="1" applyAlignment="1">
      <alignment horizontal="right"/>
    </xf>
    <xf numFmtId="0" fontId="8" fillId="2" borderId="10" xfId="1" applyFont="1" applyFill="1" applyBorder="1"/>
    <xf numFmtId="0" fontId="8" fillId="2" borderId="39" xfId="1" applyFont="1" applyFill="1" applyBorder="1" applyAlignment="1">
      <alignment horizontal="center"/>
    </xf>
    <xf numFmtId="0" fontId="8" fillId="0" borderId="85" xfId="1" applyFont="1" applyBorder="1"/>
    <xf numFmtId="3" fontId="9" fillId="0" borderId="22" xfId="1" applyNumberFormat="1" applyFont="1" applyBorder="1"/>
    <xf numFmtId="0" fontId="8" fillId="0" borderId="55" xfId="1" applyFont="1" applyBorder="1"/>
    <xf numFmtId="0" fontId="8" fillId="4" borderId="55" xfId="1" applyFont="1" applyFill="1" applyBorder="1"/>
    <xf numFmtId="3" fontId="9" fillId="4" borderId="20" xfId="1" applyNumberFormat="1" applyFont="1" applyFill="1" applyBorder="1"/>
    <xf numFmtId="0" fontId="8" fillId="4" borderId="40" xfId="1" applyFont="1" applyFill="1" applyBorder="1"/>
    <xf numFmtId="3" fontId="9" fillId="4" borderId="9" xfId="1" applyNumberFormat="1" applyFont="1" applyFill="1" applyBorder="1"/>
    <xf numFmtId="0" fontId="9" fillId="0" borderId="85" xfId="1" applyFont="1" applyBorder="1"/>
    <xf numFmtId="0" fontId="9" fillId="0" borderId="83" xfId="1" applyFont="1" applyBorder="1"/>
    <xf numFmtId="0" fontId="8" fillId="4" borderId="83" xfId="1" applyFont="1" applyFill="1" applyBorder="1"/>
    <xf numFmtId="0" fontId="8" fillId="0" borderId="83" xfId="1" applyFont="1" applyBorder="1"/>
    <xf numFmtId="0" fontId="8" fillId="4" borderId="84" xfId="1" applyFont="1" applyFill="1" applyBorder="1"/>
    <xf numFmtId="0" fontId="8" fillId="4" borderId="80" xfId="1" applyFont="1" applyFill="1" applyBorder="1"/>
    <xf numFmtId="3" fontId="9" fillId="4" borderId="39" xfId="1" applyNumberFormat="1" applyFont="1" applyFill="1" applyBorder="1"/>
    <xf numFmtId="0" fontId="8" fillId="2" borderId="124" xfId="1" applyFont="1" applyFill="1" applyBorder="1" applyAlignment="1">
      <alignment horizontal="center" vertical="center"/>
    </xf>
    <xf numFmtId="0" fontId="8" fillId="5" borderId="85" xfId="1" applyFont="1" applyFill="1" applyBorder="1"/>
    <xf numFmtId="3" fontId="8" fillId="0" borderId="27" xfId="1" applyNumberFormat="1" applyFont="1" applyBorder="1"/>
    <xf numFmtId="3" fontId="9" fillId="4" borderId="67" xfId="1" applyNumberFormat="1" applyFont="1" applyFill="1" applyBorder="1"/>
    <xf numFmtId="0" fontId="8" fillId="3" borderId="80" xfId="1" applyFont="1" applyFill="1" applyBorder="1"/>
    <xf numFmtId="0" fontId="8" fillId="3" borderId="40" xfId="1" applyFont="1" applyFill="1" applyBorder="1"/>
    <xf numFmtId="3" fontId="9" fillId="3" borderId="39" xfId="1" applyNumberFormat="1" applyFont="1" applyFill="1" applyBorder="1"/>
    <xf numFmtId="0" fontId="8" fillId="0" borderId="6" xfId="1" applyFont="1" applyBorder="1"/>
    <xf numFmtId="0" fontId="8" fillId="0" borderId="4" xfId="1" applyFont="1" applyBorder="1"/>
    <xf numFmtId="0" fontId="8" fillId="0" borderId="4" xfId="1" applyFont="1" applyBorder="1" applyAlignment="1">
      <alignment horizontal="centerContinuous"/>
    </xf>
    <xf numFmtId="3" fontId="9" fillId="0" borderId="2" xfId="1" applyNumberFormat="1" applyFont="1" applyBorder="1"/>
    <xf numFmtId="17" fontId="8" fillId="2" borderId="39" xfId="1" applyNumberFormat="1" applyFont="1" applyFill="1" applyBorder="1" applyAlignment="1">
      <alignment horizontal="center"/>
    </xf>
    <xf numFmtId="4" fontId="9" fillId="0" borderId="22" xfId="1" applyNumberFormat="1" applyFont="1" applyBorder="1"/>
    <xf numFmtId="4" fontId="9" fillId="0" borderId="20" xfId="1" applyNumberFormat="1" applyFont="1" applyBorder="1"/>
    <xf numFmtId="4" fontId="9" fillId="4" borderId="20" xfId="1" applyNumberFormat="1" applyFont="1" applyFill="1" applyBorder="1"/>
    <xf numFmtId="4" fontId="9" fillId="0" borderId="27" xfId="1" applyNumberFormat="1" applyFont="1" applyBorder="1"/>
    <xf numFmtId="4" fontId="9" fillId="4" borderId="9" xfId="1" applyNumberFormat="1" applyFont="1" applyFill="1" applyBorder="1"/>
    <xf numFmtId="4" fontId="9" fillId="4" borderId="39" xfId="1" applyNumberFormat="1" applyFont="1" applyFill="1" applyBorder="1"/>
    <xf numFmtId="4" fontId="9" fillId="5" borderId="22" xfId="1" applyNumberFormat="1" applyFont="1" applyFill="1" applyBorder="1"/>
    <xf numFmtId="4" fontId="8" fillId="0" borderId="27" xfId="1" applyNumberFormat="1" applyFont="1" applyBorder="1"/>
    <xf numFmtId="4" fontId="9" fillId="4" borderId="67" xfId="1" applyNumberFormat="1" applyFont="1" applyFill="1" applyBorder="1"/>
    <xf numFmtId="4" fontId="9" fillId="3" borderId="39" xfId="1" applyNumberFormat="1" applyFont="1" applyFill="1" applyBorder="1"/>
    <xf numFmtId="4" fontId="9" fillId="0" borderId="2" xfId="1" applyNumberFormat="1" applyFont="1" applyBorder="1"/>
    <xf numFmtId="2" fontId="8" fillId="0" borderId="28" xfId="0" applyNumberFormat="1" applyFont="1" applyBorder="1" applyAlignment="1">
      <alignment horizontal="right"/>
    </xf>
    <xf numFmtId="2" fontId="8" fillId="0" borderId="101" xfId="0" applyNumberFormat="1" applyFont="1" applyBorder="1" applyAlignment="1">
      <alignment horizontal="right"/>
    </xf>
    <xf numFmtId="1" fontId="8" fillId="3" borderId="105" xfId="0" applyNumberFormat="1" applyFont="1" applyFill="1" applyBorder="1" applyAlignment="1">
      <alignment horizontal="right"/>
    </xf>
    <xf numFmtId="1" fontId="8" fillId="3" borderId="8" xfId="0" applyNumberFormat="1" applyFont="1" applyFill="1" applyBorder="1" applyAlignment="1">
      <alignment horizontal="right"/>
    </xf>
    <xf numFmtId="1" fontId="8" fillId="3" borderId="112" xfId="0" applyNumberFormat="1" applyFont="1" applyFill="1" applyBorder="1" applyAlignment="1">
      <alignment horizontal="right"/>
    </xf>
    <xf numFmtId="1" fontId="8" fillId="0" borderId="89" xfId="0" applyNumberFormat="1" applyFont="1" applyBorder="1" applyAlignment="1">
      <alignment horizontal="right"/>
    </xf>
    <xf numFmtId="1" fontId="8" fillId="0" borderId="3" xfId="0" applyNumberFormat="1" applyFont="1" applyBorder="1" applyAlignment="1">
      <alignment horizontal="right"/>
    </xf>
    <xf numFmtId="1" fontId="8" fillId="0" borderId="114" xfId="0" applyNumberFormat="1" applyFont="1" applyBorder="1" applyAlignment="1">
      <alignment horizontal="right"/>
    </xf>
    <xf numFmtId="0" fontId="8" fillId="0" borderId="65" xfId="0" applyFont="1" applyBorder="1" applyAlignment="1">
      <alignment horizontal="centerContinuous"/>
    </xf>
    <xf numFmtId="2" fontId="8" fillId="3" borderId="7" xfId="0" applyNumberFormat="1" applyFont="1" applyFill="1" applyBorder="1" applyAlignment="1">
      <alignment horizontal="right"/>
    </xf>
    <xf numFmtId="2" fontId="8" fillId="0" borderId="28" xfId="0" quotePrefix="1" applyNumberFormat="1" applyFont="1" applyBorder="1" applyAlignment="1">
      <alignment horizontal="right"/>
    </xf>
    <xf numFmtId="2" fontId="8" fillId="0" borderId="18" xfId="0" applyNumberFormat="1" applyFont="1" applyBorder="1" applyAlignment="1">
      <alignment horizontal="right"/>
    </xf>
    <xf numFmtId="2" fontId="8" fillId="0" borderId="18" xfId="0" quotePrefix="1" applyNumberFormat="1" applyFont="1" applyBorder="1" applyAlignment="1">
      <alignment horizontal="right"/>
    </xf>
    <xf numFmtId="2" fontId="8" fillId="0" borderId="17" xfId="0" applyNumberFormat="1" applyFont="1" applyBorder="1" applyAlignment="1">
      <alignment horizontal="right"/>
    </xf>
    <xf numFmtId="2" fontId="8" fillId="0" borderId="13" xfId="0" applyNumberFormat="1" applyFont="1" applyBorder="1" applyAlignment="1">
      <alignment horizontal="right"/>
    </xf>
    <xf numFmtId="164" fontId="1" fillId="0" borderId="0" xfId="0" applyNumberFormat="1" applyFont="1"/>
    <xf numFmtId="164" fontId="8" fillId="0" borderId="0" xfId="1" applyNumberFormat="1" applyFont="1"/>
    <xf numFmtId="0" fontId="0" fillId="0" borderId="126" xfId="0" applyBorder="1"/>
    <xf numFmtId="0" fontId="1" fillId="0" borderId="127" xfId="0" applyFont="1" applyBorder="1"/>
    <xf numFmtId="0" fontId="0" fillId="0" borderId="11" xfId="0" applyBorder="1"/>
    <xf numFmtId="0" fontId="1" fillId="0" borderId="19" xfId="0" applyFont="1" applyBorder="1"/>
    <xf numFmtId="3" fontId="0" fillId="0" borderId="19" xfId="0" applyNumberFormat="1" applyBorder="1"/>
    <xf numFmtId="0" fontId="0" fillId="0" borderId="92" xfId="0" applyBorder="1"/>
    <xf numFmtId="0" fontId="1" fillId="0" borderId="15" xfId="0" applyFont="1" applyBorder="1"/>
    <xf numFmtId="0" fontId="1" fillId="0" borderId="128" xfId="0" applyFont="1" applyBorder="1"/>
    <xf numFmtId="0" fontId="8" fillId="2" borderId="14" xfId="1" applyFont="1" applyFill="1" applyBorder="1"/>
    <xf numFmtId="0" fontId="8" fillId="2" borderId="74" xfId="1" applyFont="1" applyFill="1" applyBorder="1"/>
    <xf numFmtId="0" fontId="8" fillId="2" borderId="101" xfId="1" applyFont="1" applyFill="1" applyBorder="1"/>
    <xf numFmtId="0" fontId="8" fillId="2" borderId="74" xfId="1" applyFont="1" applyFill="1" applyBorder="1" applyAlignment="1">
      <alignment horizontal="center"/>
    </xf>
    <xf numFmtId="0" fontId="8" fillId="2" borderId="73" xfId="1" applyFont="1" applyFill="1" applyBorder="1"/>
    <xf numFmtId="0" fontId="8" fillId="2" borderId="78" xfId="1" applyFont="1" applyFill="1" applyBorder="1"/>
    <xf numFmtId="0" fontId="8" fillId="2" borderId="84" xfId="1" applyFont="1" applyFill="1" applyBorder="1"/>
    <xf numFmtId="3" fontId="9" fillId="0" borderId="129" xfId="1" applyNumberFormat="1" applyFont="1" applyBorder="1"/>
    <xf numFmtId="3" fontId="9" fillId="3" borderId="9" xfId="1" applyNumberFormat="1" applyFont="1" applyFill="1" applyBorder="1"/>
    <xf numFmtId="0" fontId="8" fillId="0" borderId="65" xfId="1" applyFont="1" applyBorder="1"/>
    <xf numFmtId="0" fontId="8" fillId="2" borderId="99" xfId="1" applyFont="1" applyFill="1" applyBorder="1" applyAlignment="1">
      <alignment horizontal="center"/>
    </xf>
    <xf numFmtId="17" fontId="8" fillId="2" borderId="42" xfId="1" applyNumberFormat="1" applyFont="1" applyFill="1" applyBorder="1" applyAlignment="1">
      <alignment horizontal="centerContinuous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4" fontId="13" fillId="0" borderId="0" xfId="1" applyNumberFormat="1" applyFont="1"/>
    <xf numFmtId="2" fontId="8" fillId="0" borderId="0" xfId="0" applyNumberFormat="1" applyFont="1" applyAlignment="1">
      <alignment horizontal="right"/>
    </xf>
    <xf numFmtId="2" fontId="8" fillId="3" borderId="125" xfId="0" applyNumberFormat="1" applyFont="1" applyFill="1" applyBorder="1" applyAlignment="1">
      <alignment horizontal="right"/>
    </xf>
    <xf numFmtId="2" fontId="8" fillId="0" borderId="65" xfId="0" applyNumberFormat="1" applyFont="1" applyBorder="1" applyAlignment="1">
      <alignment horizontal="right"/>
    </xf>
    <xf numFmtId="2" fontId="8" fillId="0" borderId="65" xfId="0" applyNumberFormat="1" applyFont="1" applyBorder="1" applyAlignment="1">
      <alignment horizontal="centerContinuous"/>
    </xf>
    <xf numFmtId="0" fontId="8" fillId="0" borderId="125" xfId="0" applyFont="1" applyBorder="1"/>
    <xf numFmtId="0" fontId="8" fillId="0" borderId="0" xfId="0" applyFont="1"/>
    <xf numFmtId="0" fontId="1" fillId="0" borderId="65" xfId="0" applyFont="1" applyBorder="1"/>
    <xf numFmtId="2" fontId="1" fillId="0" borderId="65" xfId="0" applyNumberFormat="1" applyFont="1" applyBorder="1"/>
    <xf numFmtId="0" fontId="3" fillId="0" borderId="0" xfId="0" applyFont="1" applyAlignment="1">
      <alignment horizontal="right"/>
    </xf>
    <xf numFmtId="17" fontId="2" fillId="2" borderId="95" xfId="0" applyNumberFormat="1" applyFont="1" applyFill="1" applyBorder="1" applyAlignment="1">
      <alignment horizontal="right"/>
    </xf>
    <xf numFmtId="1" fontId="8" fillId="0" borderId="26" xfId="0" applyNumberFormat="1" applyFont="1" applyBorder="1" applyAlignment="1">
      <alignment horizontal="right"/>
    </xf>
    <xf numFmtId="1" fontId="8" fillId="3" borderId="7" xfId="0" applyNumberFormat="1" applyFont="1" applyFill="1" applyBorder="1" applyAlignment="1">
      <alignment horizontal="right"/>
    </xf>
    <xf numFmtId="1" fontId="8" fillId="0" borderId="28" xfId="0" applyNumberFormat="1" applyFont="1" applyBorder="1" applyAlignment="1">
      <alignment horizontal="right"/>
    </xf>
    <xf numFmtId="1" fontId="8" fillId="3" borderId="34" xfId="0" quotePrefix="1" applyNumberFormat="1" applyFont="1" applyFill="1" applyBorder="1" applyAlignment="1">
      <alignment horizontal="right"/>
    </xf>
    <xf numFmtId="1" fontId="8" fillId="0" borderId="28" xfId="0" quotePrefix="1" applyNumberFormat="1" applyFont="1" applyBorder="1" applyAlignment="1">
      <alignment horizontal="right"/>
    </xf>
    <xf numFmtId="1" fontId="8" fillId="0" borderId="59" xfId="0" applyNumberFormat="1" applyFont="1" applyBorder="1" applyAlignment="1">
      <alignment horizontal="right"/>
    </xf>
    <xf numFmtId="1" fontId="8" fillId="0" borderId="101" xfId="0" applyNumberFormat="1" applyFont="1" applyBorder="1" applyAlignment="1">
      <alignment horizontal="right"/>
    </xf>
    <xf numFmtId="1" fontId="8" fillId="0" borderId="18" xfId="0" applyNumberFormat="1" applyFont="1" applyBorder="1" applyAlignment="1">
      <alignment horizontal="right"/>
    </xf>
    <xf numFmtId="1" fontId="8" fillId="0" borderId="18" xfId="0" quotePrefix="1" applyNumberFormat="1" applyFont="1" applyBorder="1" applyAlignment="1">
      <alignment horizontal="right"/>
    </xf>
    <xf numFmtId="1" fontId="8" fillId="0" borderId="17" xfId="0" applyNumberFormat="1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65" xfId="0" applyFont="1" applyBorder="1" applyAlignment="1">
      <alignment horizontal="center"/>
    </xf>
    <xf numFmtId="0" fontId="1" fillId="0" borderId="65" xfId="0" applyFont="1" applyBorder="1" applyAlignment="1">
      <alignment horizontal="right"/>
    </xf>
    <xf numFmtId="1" fontId="8" fillId="3" borderId="107" xfId="0" quotePrefix="1" applyNumberFormat="1" applyFont="1" applyFill="1" applyBorder="1" applyAlignment="1">
      <alignment horizontal="right"/>
    </xf>
    <xf numFmtId="0" fontId="8" fillId="2" borderId="79" xfId="1" applyFont="1" applyFill="1" applyBorder="1"/>
    <xf numFmtId="0" fontId="8" fillId="0" borderId="0" xfId="1" applyFont="1" applyAlignment="1">
      <alignment horizontal="centerContinuous"/>
    </xf>
    <xf numFmtId="3" fontId="9" fillId="0" borderId="0" xfId="1" applyNumberFormat="1" applyFont="1"/>
    <xf numFmtId="0" fontId="8" fillId="0" borderId="65" xfId="0" applyFont="1" applyBorder="1"/>
    <xf numFmtId="3" fontId="8" fillId="0" borderId="0" xfId="1" applyNumberFormat="1" applyFont="1"/>
    <xf numFmtId="0" fontId="1" fillId="0" borderId="65" xfId="0" applyFont="1" applyBorder="1" applyAlignment="1">
      <alignment horizontal="centerContinuous"/>
    </xf>
    <xf numFmtId="17" fontId="1" fillId="0" borderId="65" xfId="0" applyNumberFormat="1" applyFont="1" applyBorder="1" applyAlignment="1">
      <alignment horizontal="right"/>
    </xf>
    <xf numFmtId="0" fontId="1" fillId="0" borderId="127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28" xfId="0" applyFont="1" applyBorder="1" applyAlignment="1">
      <alignment horizontal="center"/>
    </xf>
    <xf numFmtId="0" fontId="0" fillId="0" borderId="0" xfId="0" applyAlignment="1">
      <alignment horizontal="centerContinuous"/>
    </xf>
    <xf numFmtId="0" fontId="7" fillId="0" borderId="0" xfId="0" applyFont="1" applyAlignment="1">
      <alignment horizontal="centerContinuous"/>
    </xf>
    <xf numFmtId="0" fontId="1" fillId="0" borderId="47" xfId="0" applyFont="1" applyBorder="1"/>
    <xf numFmtId="0" fontId="0" fillId="0" borderId="75" xfId="0" applyBorder="1"/>
    <xf numFmtId="0" fontId="1" fillId="0" borderId="132" xfId="0" applyFont="1" applyBorder="1"/>
    <xf numFmtId="0" fontId="1" fillId="0" borderId="132" xfId="0" applyFont="1" applyBorder="1" applyAlignment="1">
      <alignment horizontal="center"/>
    </xf>
    <xf numFmtId="3" fontId="0" fillId="0" borderId="132" xfId="0" applyNumberFormat="1" applyBorder="1"/>
    <xf numFmtId="0" fontId="0" fillId="0" borderId="14" xfId="0" applyBorder="1"/>
    <xf numFmtId="0" fontId="0" fillId="0" borderId="134" xfId="0" applyBorder="1"/>
    <xf numFmtId="0" fontId="1" fillId="0" borderId="135" xfId="0" applyFont="1" applyBorder="1"/>
    <xf numFmtId="0" fontId="0" fillId="0" borderId="6" xfId="0" applyBorder="1"/>
    <xf numFmtId="0" fontId="0" fillId="0" borderId="1" xfId="0" applyBorder="1"/>
    <xf numFmtId="0" fontId="1" fillId="0" borderId="138" xfId="0" applyFont="1" applyBorder="1"/>
    <xf numFmtId="0" fontId="1" fillId="0" borderId="138" xfId="0" applyFont="1" applyBorder="1" applyAlignment="1">
      <alignment horizontal="center"/>
    </xf>
    <xf numFmtId="3" fontId="0" fillId="0" borderId="138" xfId="0" applyNumberFormat="1" applyBorder="1"/>
    <xf numFmtId="0" fontId="0" fillId="0" borderId="138" xfId="0" applyBorder="1" applyAlignment="1">
      <alignment horizontal="center"/>
    </xf>
    <xf numFmtId="4" fontId="1" fillId="0" borderId="133" xfId="0" applyNumberFormat="1" applyFont="1" applyBorder="1"/>
    <xf numFmtId="4" fontId="1" fillId="0" borderId="136" xfId="0" applyNumberFormat="1" applyFont="1" applyBorder="1"/>
    <xf numFmtId="4" fontId="1" fillId="0" borderId="137" xfId="0" applyNumberFormat="1" applyFont="1" applyBorder="1"/>
    <xf numFmtId="4" fontId="1" fillId="0" borderId="139" xfId="0" applyNumberFormat="1" applyFont="1" applyBorder="1"/>
    <xf numFmtId="4" fontId="1" fillId="0" borderId="65" xfId="0" applyNumberFormat="1" applyFont="1" applyBorder="1"/>
    <xf numFmtId="4" fontId="1" fillId="0" borderId="56" xfId="0" applyNumberFormat="1" applyFont="1" applyBorder="1"/>
    <xf numFmtId="1" fontId="10" fillId="0" borderId="0" xfId="1" applyNumberFormat="1" applyFont="1"/>
    <xf numFmtId="0" fontId="0" fillId="0" borderId="141" xfId="0" applyBorder="1"/>
    <xf numFmtId="0" fontId="0" fillId="0" borderId="132" xfId="0" applyBorder="1"/>
    <xf numFmtId="4" fontId="1" fillId="0" borderId="52" xfId="0" applyNumberFormat="1" applyFont="1" applyBorder="1"/>
    <xf numFmtId="0" fontId="0" fillId="0" borderId="108" xfId="0" applyBorder="1"/>
    <xf numFmtId="0" fontId="0" fillId="0" borderId="19" xfId="0" applyBorder="1"/>
    <xf numFmtId="0" fontId="0" fillId="0" borderId="19" xfId="0" applyBorder="1" applyAlignment="1">
      <alignment horizontal="center"/>
    </xf>
    <xf numFmtId="0" fontId="0" fillId="0" borderId="142" xfId="0" applyBorder="1"/>
    <xf numFmtId="0" fontId="0" fillId="0" borderId="138" xfId="0" applyBorder="1"/>
    <xf numFmtId="1" fontId="0" fillId="0" borderId="132" xfId="0" applyNumberFormat="1" applyBorder="1"/>
    <xf numFmtId="1" fontId="0" fillId="0" borderId="138" xfId="0" applyNumberFormat="1" applyBorder="1"/>
    <xf numFmtId="1" fontId="0" fillId="0" borderId="0" xfId="0" applyNumberFormat="1"/>
    <xf numFmtId="9" fontId="0" fillId="0" borderId="0" xfId="2" applyFont="1"/>
    <xf numFmtId="1" fontId="0" fillId="0" borderId="52" xfId="0" applyNumberFormat="1" applyBorder="1"/>
    <xf numFmtId="1" fontId="0" fillId="0" borderId="136" xfId="0" applyNumberFormat="1" applyBorder="1"/>
    <xf numFmtId="1" fontId="0" fillId="0" borderId="139" xfId="0" applyNumberFormat="1" applyBorder="1"/>
    <xf numFmtId="1" fontId="8" fillId="0" borderId="87" xfId="0" applyNumberFormat="1" applyFont="1" applyBorder="1"/>
    <xf numFmtId="3" fontId="8" fillId="0" borderId="87" xfId="0" applyNumberFormat="1" applyFont="1" applyBorder="1"/>
    <xf numFmtId="1" fontId="8" fillId="0" borderId="122" xfId="0" applyNumberFormat="1" applyFont="1" applyBorder="1"/>
    <xf numFmtId="4" fontId="1" fillId="0" borderId="0" xfId="0" applyNumberFormat="1" applyFont="1"/>
    <xf numFmtId="1" fontId="8" fillId="0" borderId="104" xfId="0" applyNumberFormat="1" applyFont="1" applyBorder="1" applyAlignment="1">
      <alignment horizontal="right"/>
    </xf>
    <xf numFmtId="1" fontId="8" fillId="0" borderId="51" xfId="0" applyNumberFormat="1" applyFont="1" applyBorder="1" applyAlignment="1">
      <alignment horizontal="right"/>
    </xf>
    <xf numFmtId="1" fontId="8" fillId="3" borderId="49" xfId="0" applyNumberFormat="1" applyFont="1" applyFill="1" applyBorder="1" applyAlignment="1">
      <alignment horizontal="right"/>
    </xf>
    <xf numFmtId="1" fontId="8" fillId="0" borderId="106" xfId="0" applyNumberFormat="1" applyFont="1" applyBorder="1" applyAlignment="1">
      <alignment horizontal="right"/>
    </xf>
    <xf numFmtId="1" fontId="8" fillId="3" borderId="25" xfId="0" quotePrefix="1" applyNumberFormat="1" applyFont="1" applyFill="1" applyBorder="1" applyAlignment="1">
      <alignment horizontal="right"/>
    </xf>
    <xf numFmtId="1" fontId="8" fillId="0" borderId="104" xfId="0" quotePrefix="1" applyNumberFormat="1" applyFont="1" applyBorder="1" applyAlignment="1">
      <alignment horizontal="right"/>
    </xf>
    <xf numFmtId="1" fontId="8" fillId="0" borderId="106" xfId="0" quotePrefix="1" applyNumberFormat="1" applyFont="1" applyBorder="1" applyAlignment="1">
      <alignment horizontal="right"/>
    </xf>
    <xf numFmtId="1" fontId="8" fillId="0" borderId="108" xfId="0" applyNumberFormat="1" applyFont="1" applyBorder="1" applyAlignment="1">
      <alignment horizontal="right"/>
    </xf>
    <xf numFmtId="1" fontId="8" fillId="0" borderId="109" xfId="0" applyNumberFormat="1" applyFont="1" applyBorder="1" applyAlignment="1">
      <alignment horizontal="right"/>
    </xf>
    <xf numFmtId="1" fontId="8" fillId="0" borderId="110" xfId="0" applyNumberFormat="1" applyFont="1" applyBorder="1" applyAlignment="1">
      <alignment horizontal="right"/>
    </xf>
    <xf numFmtId="1" fontId="8" fillId="0" borderId="111" xfId="0" applyNumberFormat="1" applyFont="1" applyBorder="1" applyAlignment="1">
      <alignment horizontal="right"/>
    </xf>
    <xf numFmtId="1" fontId="8" fillId="0" borderId="68" xfId="0" applyNumberFormat="1" applyFont="1" applyBorder="1" applyAlignment="1">
      <alignment horizontal="right"/>
    </xf>
    <xf numFmtId="1" fontId="8" fillId="0" borderId="68" xfId="0" quotePrefix="1" applyNumberFormat="1" applyFont="1" applyBorder="1" applyAlignment="1">
      <alignment horizontal="right"/>
    </xf>
    <xf numFmtId="1" fontId="8" fillId="0" borderId="113" xfId="0" applyNumberFormat="1" applyFont="1" applyBorder="1" applyAlignment="1">
      <alignment horizontal="right"/>
    </xf>
    <xf numFmtId="0" fontId="8" fillId="0" borderId="104" xfId="0" applyFont="1" applyBorder="1" applyAlignment="1">
      <alignment horizontal="right"/>
    </xf>
    <xf numFmtId="0" fontId="8" fillId="0" borderId="51" xfId="0" applyFont="1" applyBorder="1" applyAlignment="1">
      <alignment horizontal="right"/>
    </xf>
    <xf numFmtId="0" fontId="8" fillId="3" borderId="105" xfId="0" applyFont="1" applyFill="1" applyBorder="1" applyAlignment="1">
      <alignment horizontal="right"/>
    </xf>
    <xf numFmtId="0" fontId="8" fillId="3" borderId="49" xfId="0" applyFont="1" applyFill="1" applyBorder="1" applyAlignment="1">
      <alignment horizontal="right"/>
    </xf>
    <xf numFmtId="0" fontId="8" fillId="0" borderId="106" xfId="0" applyFont="1" applyBorder="1" applyAlignment="1">
      <alignment horizontal="right"/>
    </xf>
    <xf numFmtId="0" fontId="8" fillId="3" borderId="25" xfId="0" quotePrefix="1" applyFont="1" applyFill="1" applyBorder="1" applyAlignment="1">
      <alignment horizontal="right"/>
    </xf>
    <xf numFmtId="0" fontId="8" fillId="3" borderId="107" xfId="0" quotePrefix="1" applyFont="1" applyFill="1" applyBorder="1" applyAlignment="1">
      <alignment horizontal="right"/>
    </xf>
    <xf numFmtId="0" fontId="8" fillId="0" borderId="104" xfId="0" quotePrefix="1" applyFont="1" applyBorder="1" applyAlignment="1">
      <alignment horizontal="right"/>
    </xf>
    <xf numFmtId="0" fontId="8" fillId="0" borderId="106" xfId="0" quotePrefix="1" applyFont="1" applyBorder="1" applyAlignment="1">
      <alignment horizontal="right"/>
    </xf>
    <xf numFmtId="0" fontId="8" fillId="0" borderId="108" xfId="0" applyFont="1" applyBorder="1" applyAlignment="1">
      <alignment horizontal="right"/>
    </xf>
    <xf numFmtId="0" fontId="8" fillId="0" borderId="109" xfId="0" applyFont="1" applyBorder="1" applyAlignment="1">
      <alignment horizontal="right"/>
    </xf>
    <xf numFmtId="0" fontId="8" fillId="0" borderId="110" xfId="0" applyFont="1" applyBorder="1" applyAlignment="1">
      <alignment horizontal="right"/>
    </xf>
    <xf numFmtId="0" fontId="8" fillId="0" borderId="111" xfId="0" applyFont="1" applyBorder="1" applyAlignment="1">
      <alignment horizontal="right"/>
    </xf>
    <xf numFmtId="0" fontId="8" fillId="3" borderId="112" xfId="0" applyFont="1" applyFill="1" applyBorder="1" applyAlignment="1">
      <alignment horizontal="right"/>
    </xf>
    <xf numFmtId="0" fontId="8" fillId="0" borderId="68" xfId="0" applyFont="1" applyBorder="1" applyAlignment="1">
      <alignment horizontal="right"/>
    </xf>
    <xf numFmtId="0" fontId="8" fillId="0" borderId="68" xfId="0" quotePrefix="1" applyFont="1" applyBorder="1" applyAlignment="1">
      <alignment horizontal="right"/>
    </xf>
    <xf numFmtId="0" fontId="8" fillId="2" borderId="44" xfId="1" applyFont="1" applyFill="1" applyBorder="1" applyAlignment="1">
      <alignment horizontal="center"/>
    </xf>
    <xf numFmtId="0" fontId="8" fillId="2" borderId="144" xfId="1" applyFont="1" applyFill="1" applyBorder="1" applyAlignment="1">
      <alignment horizontal="center"/>
    </xf>
    <xf numFmtId="0" fontId="8" fillId="0" borderId="145" xfId="1" applyFont="1" applyBorder="1"/>
    <xf numFmtId="0" fontId="8" fillId="0" borderId="144" xfId="1" applyFont="1" applyBorder="1"/>
    <xf numFmtId="0" fontId="8" fillId="0" borderId="146" xfId="1" applyFont="1" applyBorder="1"/>
    <xf numFmtId="0" fontId="8" fillId="3" borderId="143" xfId="1" applyFont="1" applyFill="1" applyBorder="1"/>
    <xf numFmtId="0" fontId="8" fillId="0" borderId="143" xfId="1" applyFont="1" applyBorder="1"/>
    <xf numFmtId="2" fontId="8" fillId="0" borderId="145" xfId="1" applyNumberFormat="1" applyFont="1" applyBorder="1"/>
    <xf numFmtId="2" fontId="8" fillId="0" borderId="55" xfId="1" applyNumberFormat="1" applyFont="1" applyBorder="1"/>
    <xf numFmtId="2" fontId="8" fillId="0" borderId="83" xfId="1" applyNumberFormat="1" applyFont="1" applyBorder="1"/>
    <xf numFmtId="2" fontId="8" fillId="0" borderId="144" xfId="1" applyNumberFormat="1" applyFont="1" applyBorder="1"/>
    <xf numFmtId="2" fontId="8" fillId="3" borderId="80" xfId="1" applyNumberFormat="1" applyFont="1" applyFill="1" applyBorder="1"/>
    <xf numFmtId="2" fontId="8" fillId="0" borderId="146" xfId="1" applyNumberFormat="1" applyFont="1" applyBorder="1"/>
    <xf numFmtId="2" fontId="8" fillId="3" borderId="40" xfId="1" applyNumberFormat="1" applyFont="1" applyFill="1" applyBorder="1"/>
    <xf numFmtId="2" fontId="8" fillId="3" borderId="143" xfId="1" applyNumberFormat="1" applyFont="1" applyFill="1" applyBorder="1"/>
    <xf numFmtId="2" fontId="8" fillId="0" borderId="143" xfId="1" applyNumberFormat="1" applyFont="1" applyBorder="1"/>
    <xf numFmtId="1" fontId="8" fillId="0" borderId="145" xfId="1" applyNumberFormat="1" applyFont="1" applyBorder="1"/>
    <xf numFmtId="1" fontId="8" fillId="0" borderId="55" xfId="1" applyNumberFormat="1" applyFont="1" applyBorder="1"/>
    <xf numFmtId="1" fontId="8" fillId="0" borderId="83" xfId="1" applyNumberFormat="1" applyFont="1" applyBorder="1"/>
    <xf numFmtId="1" fontId="8" fillId="0" borderId="144" xfId="1" applyNumberFormat="1" applyFont="1" applyBorder="1"/>
    <xf numFmtId="1" fontId="8" fillId="3" borderId="80" xfId="1" applyNumberFormat="1" applyFont="1" applyFill="1" applyBorder="1"/>
    <xf numFmtId="1" fontId="8" fillId="0" borderId="146" xfId="1" applyNumberFormat="1" applyFont="1" applyBorder="1"/>
    <xf numFmtId="1" fontId="8" fillId="3" borderId="40" xfId="1" applyNumberFormat="1" applyFont="1" applyFill="1" applyBorder="1"/>
    <xf numFmtId="1" fontId="8" fillId="3" borderId="143" xfId="1" applyNumberFormat="1" applyFont="1" applyFill="1" applyBorder="1"/>
    <xf numFmtId="1" fontId="8" fillId="0" borderId="143" xfId="1" applyNumberFormat="1" applyFont="1" applyBorder="1"/>
    <xf numFmtId="1" fontId="8" fillId="0" borderId="4" xfId="1" applyNumberFormat="1" applyFont="1" applyBorder="1" applyAlignment="1">
      <alignment horizontal="centerContinuous"/>
    </xf>
    <xf numFmtId="3" fontId="15" fillId="0" borderId="57" xfId="1" applyNumberFormat="1" applyFont="1" applyBorder="1"/>
    <xf numFmtId="3" fontId="15" fillId="0" borderId="27" xfId="1" applyNumberFormat="1" applyFont="1" applyBorder="1"/>
    <xf numFmtId="3" fontId="15" fillId="0" borderId="20" xfId="1" applyNumberFormat="1" applyFont="1" applyBorder="1"/>
    <xf numFmtId="3" fontId="15" fillId="0" borderId="74" xfId="1" applyNumberFormat="1" applyFont="1" applyBorder="1"/>
    <xf numFmtId="3" fontId="15" fillId="3" borderId="81" xfId="1" applyNumberFormat="1" applyFont="1" applyFill="1" applyBorder="1"/>
    <xf numFmtId="3" fontId="15" fillId="0" borderId="16" xfId="1" applyNumberFormat="1" applyFont="1" applyBorder="1"/>
    <xf numFmtId="3" fontId="15" fillId="3" borderId="73" xfId="1" applyNumberFormat="1" applyFont="1" applyFill="1" applyBorder="1"/>
    <xf numFmtId="3" fontId="15" fillId="0" borderId="129" xfId="1" applyNumberFormat="1" applyFont="1" applyBorder="1"/>
    <xf numFmtId="3" fontId="15" fillId="3" borderId="9" xfId="1" applyNumberFormat="1" applyFont="1" applyFill="1" applyBorder="1"/>
    <xf numFmtId="3" fontId="15" fillId="0" borderId="2" xfId="1" applyNumberFormat="1" applyFont="1" applyBorder="1"/>
    <xf numFmtId="4" fontId="15" fillId="0" borderId="57" xfId="1" applyNumberFormat="1" applyFont="1" applyBorder="1"/>
    <xf numFmtId="4" fontId="15" fillId="0" borderId="27" xfId="1" applyNumberFormat="1" applyFont="1" applyBorder="1"/>
    <xf numFmtId="4" fontId="15" fillId="0" borderId="20" xfId="1" applyNumberFormat="1" applyFont="1" applyBorder="1"/>
    <xf numFmtId="4" fontId="15" fillId="0" borderId="74" xfId="1" applyNumberFormat="1" applyFont="1" applyBorder="1"/>
    <xf numFmtId="4" fontId="15" fillId="3" borderId="81" xfId="1" applyNumberFormat="1" applyFont="1" applyFill="1" applyBorder="1"/>
    <xf numFmtId="4" fontId="15" fillId="0" borderId="16" xfId="1" applyNumberFormat="1" applyFont="1" applyBorder="1"/>
    <xf numFmtId="4" fontId="15" fillId="3" borderId="73" xfId="1" applyNumberFormat="1" applyFont="1" applyFill="1" applyBorder="1"/>
    <xf numFmtId="4" fontId="15" fillId="0" borderId="129" xfId="1" applyNumberFormat="1" applyFont="1" applyBorder="1"/>
    <xf numFmtId="4" fontId="15" fillId="3" borderId="9" xfId="1" applyNumberFormat="1" applyFont="1" applyFill="1" applyBorder="1"/>
    <xf numFmtId="3" fontId="8" fillId="0" borderId="145" xfId="1" applyNumberFormat="1" applyFont="1" applyBorder="1"/>
    <xf numFmtId="3" fontId="8" fillId="0" borderId="55" xfId="1" applyNumberFormat="1" applyFont="1" applyBorder="1"/>
    <xf numFmtId="3" fontId="8" fillId="0" borderId="83" xfId="1" applyNumberFormat="1" applyFont="1" applyBorder="1"/>
    <xf numFmtId="3" fontId="8" fillId="0" borderId="144" xfId="1" applyNumberFormat="1" applyFont="1" applyBorder="1"/>
    <xf numFmtId="3" fontId="8" fillId="3" borderId="80" xfId="1" applyNumberFormat="1" applyFont="1" applyFill="1" applyBorder="1"/>
    <xf numFmtId="3" fontId="8" fillId="0" borderId="146" xfId="1" applyNumberFormat="1" applyFont="1" applyBorder="1"/>
    <xf numFmtId="3" fontId="8" fillId="3" borderId="143" xfId="1" applyNumberFormat="1" applyFont="1" applyFill="1" applyBorder="1"/>
    <xf numFmtId="3" fontId="8" fillId="0" borderId="143" xfId="1" applyNumberFormat="1" applyFont="1" applyBorder="1"/>
    <xf numFmtId="3" fontId="8" fillId="0" borderId="4" xfId="1" applyNumberFormat="1" applyFont="1" applyBorder="1" applyAlignment="1">
      <alignment horizontal="centerContinuous"/>
    </xf>
    <xf numFmtId="4" fontId="15" fillId="0" borderId="2" xfId="1" applyNumberFormat="1" applyFont="1" applyBorder="1"/>
    <xf numFmtId="4" fontId="15" fillId="0" borderId="127" xfId="1" applyNumberFormat="1" applyFont="1" applyBorder="1"/>
    <xf numFmtId="4" fontId="15" fillId="0" borderId="147" xfId="1" applyNumberFormat="1" applyFont="1" applyBorder="1"/>
    <xf numFmtId="4" fontId="15" fillId="0" borderId="19" xfId="1" applyNumberFormat="1" applyFont="1" applyBorder="1"/>
    <xf numFmtId="4" fontId="15" fillId="0" borderId="128" xfId="1" applyNumberFormat="1" applyFont="1" applyBorder="1"/>
    <xf numFmtId="4" fontId="15" fillId="3" borderId="82" xfId="1" applyNumberFormat="1" applyFont="1" applyFill="1" applyBorder="1"/>
    <xf numFmtId="4" fontId="15" fillId="0" borderId="15" xfId="1" applyNumberFormat="1" applyFont="1" applyBorder="1"/>
    <xf numFmtId="4" fontId="15" fillId="0" borderId="61" xfId="1" applyNumberFormat="1" applyFont="1" applyBorder="1"/>
    <xf numFmtId="3" fontId="15" fillId="0" borderId="67" xfId="1" applyNumberFormat="1" applyFont="1" applyBorder="1"/>
    <xf numFmtId="3" fontId="15" fillId="0" borderId="71" xfId="1" applyNumberFormat="1" applyFont="1" applyBorder="1"/>
    <xf numFmtId="3" fontId="15" fillId="0" borderId="76" xfId="1" applyNumberFormat="1" applyFont="1" applyBorder="1"/>
    <xf numFmtId="3" fontId="15" fillId="0" borderId="73" xfId="1" applyNumberFormat="1" applyFont="1" applyBorder="1"/>
    <xf numFmtId="3" fontId="15" fillId="3" borderId="69" xfId="1" applyNumberFormat="1" applyFont="1" applyFill="1" applyBorder="1"/>
    <xf numFmtId="3" fontId="15" fillId="0" borderId="66" xfId="1" applyNumberFormat="1" applyFont="1" applyBorder="1"/>
    <xf numFmtId="0" fontId="8" fillId="7" borderId="0" xfId="1" applyFont="1" applyFill="1" applyAlignment="1">
      <alignment horizontal="center" wrapText="1"/>
    </xf>
    <xf numFmtId="4" fontId="15" fillId="0" borderId="71" xfId="1" applyNumberFormat="1" applyFont="1" applyBorder="1"/>
    <xf numFmtId="4" fontId="15" fillId="0" borderId="76" xfId="1" applyNumberFormat="1" applyFont="1" applyBorder="1"/>
    <xf numFmtId="4" fontId="15" fillId="0" borderId="73" xfId="1" applyNumberFormat="1" applyFont="1" applyBorder="1"/>
    <xf numFmtId="4" fontId="15" fillId="3" borderId="69" xfId="1" applyNumberFormat="1" applyFont="1" applyFill="1" applyBorder="1"/>
    <xf numFmtId="1" fontId="15" fillId="0" borderId="87" xfId="0" applyNumberFormat="1" applyFont="1" applyBorder="1"/>
    <xf numFmtId="1" fontId="15" fillId="0" borderId="26" xfId="0" applyNumberFormat="1" applyFont="1" applyBorder="1"/>
    <xf numFmtId="1" fontId="16" fillId="6" borderId="26" xfId="0" quotePrefix="1" applyNumberFormat="1" applyFont="1" applyFill="1" applyBorder="1" applyAlignment="1">
      <alignment horizontal="right"/>
    </xf>
    <xf numFmtId="1" fontId="15" fillId="0" borderId="59" xfId="0" applyNumberFormat="1" applyFont="1" applyBorder="1"/>
    <xf numFmtId="1" fontId="16" fillId="6" borderId="59" xfId="0" quotePrefix="1" applyNumberFormat="1" applyFont="1" applyFill="1" applyBorder="1" applyAlignment="1">
      <alignment horizontal="right"/>
    </xf>
    <xf numFmtId="1" fontId="16" fillId="6" borderId="59" xfId="0" applyNumberFormat="1" applyFont="1" applyFill="1" applyBorder="1"/>
    <xf numFmtId="1" fontId="15" fillId="3" borderId="119" xfId="0" applyNumberFormat="1" applyFont="1" applyFill="1" applyBorder="1"/>
    <xf numFmtId="3" fontId="15" fillId="0" borderId="87" xfId="0" applyNumberFormat="1" applyFont="1" applyBorder="1"/>
    <xf numFmtId="3" fontId="15" fillId="0" borderId="26" xfId="0" applyNumberFormat="1" applyFont="1" applyBorder="1"/>
    <xf numFmtId="3" fontId="16" fillId="6" borderId="26" xfId="0" quotePrefix="1" applyNumberFormat="1" applyFont="1" applyFill="1" applyBorder="1" applyAlignment="1">
      <alignment horizontal="right"/>
    </xf>
    <xf numFmtId="3" fontId="15" fillId="0" borderId="59" xfId="0" applyNumberFormat="1" applyFont="1" applyBorder="1"/>
    <xf numFmtId="3" fontId="16" fillId="6" borderId="59" xfId="0" quotePrefix="1" applyNumberFormat="1" applyFont="1" applyFill="1" applyBorder="1" applyAlignment="1">
      <alignment horizontal="right"/>
    </xf>
    <xf numFmtId="3" fontId="16" fillId="6" borderId="59" xfId="0" applyNumberFormat="1" applyFont="1" applyFill="1" applyBorder="1"/>
    <xf numFmtId="3" fontId="15" fillId="3" borderId="119" xfId="0" applyNumberFormat="1" applyFont="1" applyFill="1" applyBorder="1"/>
    <xf numFmtId="0" fontId="15" fillId="3" borderId="1" xfId="0" applyFont="1" applyFill="1" applyBorder="1"/>
    <xf numFmtId="3" fontId="15" fillId="3" borderId="1" xfId="0" applyNumberFormat="1" applyFont="1" applyFill="1" applyBorder="1"/>
    <xf numFmtId="1" fontId="16" fillId="6" borderId="51" xfId="0" quotePrefix="1" applyNumberFormat="1" applyFont="1" applyFill="1" applyBorder="1" applyAlignment="1">
      <alignment horizontal="right"/>
    </xf>
    <xf numFmtId="1" fontId="15" fillId="0" borderId="109" xfId="0" applyNumberFormat="1" applyFont="1" applyBorder="1"/>
    <xf numFmtId="1" fontId="16" fillId="6" borderId="109" xfId="0" quotePrefix="1" applyNumberFormat="1" applyFont="1" applyFill="1" applyBorder="1" applyAlignment="1">
      <alignment horizontal="right"/>
    </xf>
    <xf numFmtId="1" fontId="16" fillId="6" borderId="109" xfId="0" applyNumberFormat="1" applyFont="1" applyFill="1" applyBorder="1"/>
    <xf numFmtId="0" fontId="15" fillId="3" borderId="119" xfId="0" applyFont="1" applyFill="1" applyBorder="1"/>
    <xf numFmtId="0" fontId="15" fillId="3" borderId="123" xfId="0" applyFont="1" applyFill="1" applyBorder="1"/>
    <xf numFmtId="0" fontId="15" fillId="0" borderId="122" xfId="0" applyFont="1" applyBorder="1"/>
    <xf numFmtId="0" fontId="15" fillId="0" borderId="51" xfId="0" applyFont="1" applyBorder="1"/>
    <xf numFmtId="0" fontId="15" fillId="0" borderId="11" xfId="0" applyFont="1" applyBorder="1"/>
    <xf numFmtId="0" fontId="15" fillId="0" borderId="50" xfId="0" applyFont="1" applyBorder="1"/>
    <xf numFmtId="167" fontId="15" fillId="0" borderId="87" xfId="2" applyNumberFormat="1" applyFont="1" applyBorder="1"/>
    <xf numFmtId="167" fontId="15" fillId="0" borderId="122" xfId="2" applyNumberFormat="1" applyFont="1" applyBorder="1"/>
    <xf numFmtId="167" fontId="15" fillId="0" borderId="26" xfId="2" applyNumberFormat="1" applyFont="1" applyBorder="1"/>
    <xf numFmtId="167" fontId="15" fillId="0" borderId="51" xfId="2" applyNumberFormat="1" applyFont="1" applyBorder="1"/>
    <xf numFmtId="1" fontId="15" fillId="3" borderId="1" xfId="0" applyNumberFormat="1" applyFont="1" applyFill="1" applyBorder="1"/>
    <xf numFmtId="0" fontId="15" fillId="3" borderId="48" xfId="0" applyFont="1" applyFill="1" applyBorder="1"/>
    <xf numFmtId="1" fontId="15" fillId="0" borderId="11" xfId="0" applyNumberFormat="1" applyFont="1" applyBorder="1"/>
    <xf numFmtId="4" fontId="1" fillId="0" borderId="140" xfId="0" applyNumberFormat="1" applyFont="1" applyBorder="1"/>
    <xf numFmtId="2" fontId="8" fillId="0" borderId="0" xfId="1" applyNumberFormat="1" applyFont="1"/>
    <xf numFmtId="4" fontId="8" fillId="0" borderId="0" xfId="1" applyNumberFormat="1" applyFont="1"/>
    <xf numFmtId="0" fontId="8" fillId="2" borderId="78" xfId="1" applyFont="1" applyFill="1" applyBorder="1" applyAlignment="1">
      <alignment horizontal="center"/>
    </xf>
    <xf numFmtId="3" fontId="14" fillId="0" borderId="65" xfId="0" applyNumberFormat="1" applyFont="1" applyBorder="1" applyAlignment="1">
      <alignment horizontal="right"/>
    </xf>
    <xf numFmtId="1" fontId="2" fillId="2" borderId="36" xfId="0" applyNumberFormat="1" applyFont="1" applyFill="1" applyBorder="1" applyAlignment="1">
      <alignment horizontal="center"/>
    </xf>
    <xf numFmtId="1" fontId="8" fillId="0" borderId="87" xfId="0" applyNumberFormat="1" applyFont="1" applyBorder="1" applyAlignment="1">
      <alignment horizontal="right"/>
    </xf>
    <xf numFmtId="1" fontId="10" fillId="6" borderId="26" xfId="0" quotePrefix="1" applyNumberFormat="1" applyFont="1" applyFill="1" applyBorder="1" applyAlignment="1">
      <alignment horizontal="right"/>
    </xf>
    <xf numFmtId="1" fontId="10" fillId="6" borderId="59" xfId="0" quotePrefix="1" applyNumberFormat="1" applyFont="1" applyFill="1" applyBorder="1" applyAlignment="1">
      <alignment horizontal="right"/>
    </xf>
    <xf numFmtId="1" fontId="10" fillId="6" borderId="59" xfId="0" applyNumberFormat="1" applyFont="1" applyFill="1" applyBorder="1" applyAlignment="1">
      <alignment horizontal="right"/>
    </xf>
    <xf numFmtId="1" fontId="8" fillId="3" borderId="119" xfId="0" applyNumberFormat="1" applyFont="1" applyFill="1" applyBorder="1" applyAlignment="1">
      <alignment horizontal="right"/>
    </xf>
    <xf numFmtId="1" fontId="8" fillId="0" borderId="11" xfId="0" applyNumberFormat="1" applyFont="1" applyBorder="1" applyAlignment="1">
      <alignment horizontal="right"/>
    </xf>
    <xf numFmtId="1" fontId="8" fillId="3" borderId="1" xfId="0" applyNumberFormat="1" applyFont="1" applyFill="1" applyBorder="1" applyAlignment="1">
      <alignment horizontal="right"/>
    </xf>
    <xf numFmtId="167" fontId="8" fillId="0" borderId="87" xfId="2" applyNumberFormat="1" applyFont="1" applyBorder="1" applyAlignment="1">
      <alignment horizontal="right"/>
    </xf>
    <xf numFmtId="167" fontId="8" fillId="0" borderId="26" xfId="2" applyNumberFormat="1" applyFont="1" applyBorder="1" applyAlignment="1">
      <alignment horizontal="right"/>
    </xf>
    <xf numFmtId="3" fontId="9" fillId="0" borderId="149" xfId="1" applyNumberFormat="1" applyFont="1" applyBorder="1"/>
    <xf numFmtId="3" fontId="9" fillId="0" borderId="133" xfId="1" applyNumberFormat="1" applyFont="1" applyBorder="1"/>
    <xf numFmtId="3" fontId="9" fillId="0" borderId="150" xfId="1" applyNumberFormat="1" applyFont="1" applyBorder="1"/>
    <xf numFmtId="3" fontId="9" fillId="0" borderId="151" xfId="1" applyNumberFormat="1" applyFont="1" applyBorder="1"/>
    <xf numFmtId="3" fontId="9" fillId="0" borderId="152" xfId="1" applyNumberFormat="1" applyFont="1" applyBorder="1"/>
    <xf numFmtId="3" fontId="9" fillId="0" borderId="136" xfId="1" applyNumberFormat="1" applyFont="1" applyBorder="1"/>
    <xf numFmtId="3" fontId="9" fillId="0" borderId="148" xfId="1" applyNumberFormat="1" applyFont="1" applyBorder="1"/>
    <xf numFmtId="3" fontId="9" fillId="0" borderId="140" xfId="1" applyNumberFormat="1" applyFont="1" applyBorder="1"/>
    <xf numFmtId="3" fontId="9" fillId="3" borderId="153" xfId="1" applyNumberFormat="1" applyFont="1" applyFill="1" applyBorder="1"/>
    <xf numFmtId="3" fontId="9" fillId="3" borderId="154" xfId="1" applyNumberFormat="1" applyFont="1" applyFill="1" applyBorder="1"/>
    <xf numFmtId="3" fontId="9" fillId="0" borderId="155" xfId="1" applyNumberFormat="1" applyFont="1" applyBorder="1"/>
    <xf numFmtId="3" fontId="9" fillId="0" borderId="137" xfId="1" applyNumberFormat="1" applyFont="1" applyBorder="1"/>
    <xf numFmtId="3" fontId="9" fillId="3" borderId="156" xfId="1" applyNumberFormat="1" applyFont="1" applyFill="1" applyBorder="1"/>
    <xf numFmtId="3" fontId="9" fillId="3" borderId="137" xfId="1" applyNumberFormat="1" applyFont="1" applyFill="1" applyBorder="1"/>
    <xf numFmtId="3" fontId="9" fillId="0" borderId="157" xfId="1" applyNumberFormat="1" applyFont="1" applyBorder="1"/>
    <xf numFmtId="3" fontId="9" fillId="0" borderId="53" xfId="1" applyNumberFormat="1" applyFont="1" applyBorder="1"/>
    <xf numFmtId="3" fontId="9" fillId="3" borderId="103" xfId="1" applyNumberFormat="1" applyFont="1" applyFill="1" applyBorder="1"/>
    <xf numFmtId="3" fontId="9" fillId="3" borderId="32" xfId="1" applyNumberFormat="1" applyFont="1" applyFill="1" applyBorder="1"/>
    <xf numFmtId="3" fontId="9" fillId="0" borderId="158" xfId="1" applyNumberFormat="1" applyFont="1" applyBorder="1"/>
    <xf numFmtId="3" fontId="9" fillId="0" borderId="130" xfId="1" applyNumberFormat="1" applyFont="1" applyBorder="1"/>
    <xf numFmtId="0" fontId="1" fillId="0" borderId="0" xfId="0" applyFont="1" applyAlignment="1">
      <alignment horizontal="centerContinuous"/>
    </xf>
    <xf numFmtId="0" fontId="1" fillId="0" borderId="0" xfId="0" applyFont="1" applyAlignment="1">
      <alignment horizontal="center"/>
    </xf>
    <xf numFmtId="0" fontId="1" fillId="0" borderId="75" xfId="0" applyFont="1" applyBorder="1"/>
    <xf numFmtId="4" fontId="1" fillId="0" borderId="132" xfId="0" applyNumberFormat="1" applyFont="1" applyBorder="1"/>
    <xf numFmtId="4" fontId="17" fillId="0" borderId="132" xfId="0" applyNumberFormat="1" applyFont="1" applyBorder="1"/>
    <xf numFmtId="0" fontId="1" fillId="0" borderId="14" xfId="0" applyFont="1" applyBorder="1"/>
    <xf numFmtId="4" fontId="1" fillId="0" borderId="19" xfId="0" applyNumberFormat="1" applyFont="1" applyBorder="1"/>
    <xf numFmtId="4" fontId="17" fillId="0" borderId="19" xfId="0" applyNumberFormat="1" applyFont="1" applyBorder="1"/>
    <xf numFmtId="0" fontId="1" fillId="0" borderId="134" xfId="0" applyFont="1" applyBorder="1"/>
    <xf numFmtId="0" fontId="1" fillId="0" borderId="92" xfId="0" applyFont="1" applyBorder="1"/>
    <xf numFmtId="4" fontId="1" fillId="0" borderId="15" xfId="0" applyNumberFormat="1" applyFont="1" applyBorder="1"/>
    <xf numFmtId="4" fontId="17" fillId="0" borderId="15" xfId="0" applyNumberFormat="1" applyFont="1" applyBorder="1"/>
    <xf numFmtId="0" fontId="1" fillId="0" borderId="126" xfId="0" applyFont="1" applyBorder="1"/>
    <xf numFmtId="4" fontId="1" fillId="0" borderId="127" xfId="0" applyNumberFormat="1" applyFont="1" applyBorder="1"/>
    <xf numFmtId="4" fontId="17" fillId="0" borderId="127" xfId="0" applyNumberFormat="1" applyFont="1" applyBorder="1"/>
    <xf numFmtId="0" fontId="1" fillId="0" borderId="6" xfId="0" applyFont="1" applyBorder="1"/>
    <xf numFmtId="0" fontId="1" fillId="0" borderId="1" xfId="0" applyFont="1" applyBorder="1"/>
    <xf numFmtId="4" fontId="1" fillId="0" borderId="138" xfId="0" applyNumberFormat="1" applyFont="1" applyBorder="1"/>
    <xf numFmtId="4" fontId="17" fillId="0" borderId="138" xfId="0" applyNumberFormat="1" applyFont="1" applyBorder="1"/>
    <xf numFmtId="166" fontId="1" fillId="0" borderId="65" xfId="2" applyNumberFormat="1" applyFont="1" applyBorder="1"/>
    <xf numFmtId="166" fontId="1" fillId="0" borderId="56" xfId="2" applyNumberFormat="1" applyFont="1" applyBorder="1"/>
    <xf numFmtId="166" fontId="1" fillId="0" borderId="127" xfId="2" applyNumberFormat="1" applyFont="1" applyBorder="1"/>
    <xf numFmtId="166" fontId="1" fillId="0" borderId="133" xfId="2" applyNumberFormat="1" applyFont="1" applyBorder="1"/>
    <xf numFmtId="166" fontId="1" fillId="0" borderId="138" xfId="2" applyNumberFormat="1" applyFont="1" applyBorder="1"/>
    <xf numFmtId="166" fontId="17" fillId="0" borderId="138" xfId="2" applyNumberFormat="1" applyFont="1" applyBorder="1"/>
    <xf numFmtId="166" fontId="1" fillId="0" borderId="139" xfId="2" applyNumberFormat="1" applyFont="1" applyBorder="1"/>
    <xf numFmtId="0" fontId="2" fillId="2" borderId="96" xfId="0" applyFont="1" applyFill="1" applyBorder="1" applyAlignment="1">
      <alignment horizontal="center" wrapText="1"/>
    </xf>
    <xf numFmtId="0" fontId="8" fillId="7" borderId="144" xfId="1" applyFont="1" applyFill="1" applyBorder="1" applyAlignment="1">
      <alignment horizontal="center"/>
    </xf>
    <xf numFmtId="0" fontId="3" fillId="2" borderId="62" xfId="0" applyFont="1" applyFill="1" applyBorder="1" applyAlignment="1">
      <alignment horizontal="center" wrapText="1"/>
    </xf>
    <xf numFmtId="0" fontId="8" fillId="2" borderId="42" xfId="1" applyFont="1" applyFill="1" applyBorder="1" applyAlignment="1">
      <alignment horizontal="centerContinuous" wrapText="1"/>
    </xf>
    <xf numFmtId="3" fontId="14" fillId="0" borderId="52" xfId="0" applyNumberFormat="1" applyFont="1" applyBorder="1"/>
    <xf numFmtId="3" fontId="14" fillId="0" borderId="136" xfId="0" applyNumberFormat="1" applyFont="1" applyBorder="1"/>
    <xf numFmtId="3" fontId="14" fillId="0" borderId="137" xfId="0" applyNumberFormat="1" applyFont="1" applyBorder="1"/>
    <xf numFmtId="3" fontId="14" fillId="0" borderId="133" xfId="0" applyNumberFormat="1" applyFont="1" applyBorder="1"/>
    <xf numFmtId="3" fontId="14" fillId="0" borderId="139" xfId="0" applyNumberFormat="1" applyFont="1" applyBorder="1"/>
    <xf numFmtId="3" fontId="14" fillId="0" borderId="140" xfId="0" applyNumberFormat="1" applyFont="1" applyBorder="1"/>
    <xf numFmtId="3" fontId="14" fillId="0" borderId="56" xfId="0" applyNumberFormat="1" applyFont="1" applyBorder="1"/>
    <xf numFmtId="0" fontId="1" fillId="0" borderId="147" xfId="0" applyFont="1" applyBorder="1"/>
    <xf numFmtId="0" fontId="1" fillId="0" borderId="147" xfId="0" applyFont="1" applyBorder="1" applyAlignment="1">
      <alignment horizontal="center"/>
    </xf>
    <xf numFmtId="4" fontId="17" fillId="0" borderId="147" xfId="0" applyNumberFormat="1" applyFont="1" applyBorder="1"/>
    <xf numFmtId="4" fontId="1" fillId="0" borderId="159" xfId="0" applyNumberFormat="1" applyFont="1" applyBorder="1"/>
    <xf numFmtId="166" fontId="0" fillId="0" borderId="0" xfId="2" applyNumberFormat="1" applyFont="1"/>
    <xf numFmtId="3" fontId="15" fillId="0" borderId="12" xfId="1" applyNumberFormat="1" applyFont="1" applyBorder="1"/>
    <xf numFmtId="0" fontId="0" fillId="0" borderId="65" xfId="0" applyBorder="1" applyAlignment="1">
      <alignment horizontal="center"/>
    </xf>
    <xf numFmtId="10" fontId="0" fillId="0" borderId="65" xfId="2" applyNumberFormat="1" applyFont="1" applyBorder="1"/>
    <xf numFmtId="0" fontId="0" fillId="0" borderId="30" xfId="0" applyBorder="1"/>
    <xf numFmtId="4" fontId="1" fillId="0" borderId="65" xfId="0" applyNumberFormat="1" applyFont="1" applyBorder="1" applyAlignment="1">
      <alignment horizontal="center"/>
    </xf>
    <xf numFmtId="4" fontId="1" fillId="0" borderId="132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4" fontId="1" fillId="0" borderId="15" xfId="0" applyNumberFormat="1" applyFont="1" applyBorder="1" applyAlignment="1">
      <alignment horizontal="center"/>
    </xf>
    <xf numFmtId="4" fontId="1" fillId="0" borderId="127" xfId="0" applyNumberFormat="1" applyFont="1" applyBorder="1" applyAlignment="1">
      <alignment horizontal="center"/>
    </xf>
    <xf numFmtId="4" fontId="1" fillId="0" borderId="138" xfId="0" applyNumberFormat="1" applyFont="1" applyBorder="1" applyAlignment="1">
      <alignment horizontal="center"/>
    </xf>
    <xf numFmtId="4" fontId="1" fillId="0" borderId="147" xfId="0" applyNumberFormat="1" applyFont="1" applyBorder="1" applyAlignment="1">
      <alignment horizontal="center"/>
    </xf>
    <xf numFmtId="166" fontId="1" fillId="0" borderId="65" xfId="2" applyNumberFormat="1" applyFont="1" applyBorder="1" applyAlignment="1">
      <alignment horizontal="center"/>
    </xf>
    <xf numFmtId="166" fontId="1" fillId="0" borderId="127" xfId="2" applyNumberFormat="1" applyFont="1" applyBorder="1" applyAlignment="1">
      <alignment horizontal="center"/>
    </xf>
    <xf numFmtId="166" fontId="1" fillId="0" borderId="138" xfId="2" applyNumberFormat="1" applyFont="1" applyBorder="1" applyAlignment="1">
      <alignment horizontal="center"/>
    </xf>
    <xf numFmtId="0" fontId="0" fillId="0" borderId="132" xfId="0" applyBorder="1" applyAlignment="1">
      <alignment horizontal="center"/>
    </xf>
    <xf numFmtId="4" fontId="0" fillId="0" borderId="132" xfId="0" applyNumberFormat="1" applyBorder="1" applyAlignment="1">
      <alignment horizontal="center"/>
    </xf>
    <xf numFmtId="4" fontId="0" fillId="0" borderId="132" xfId="0" applyNumberFormat="1" applyBorder="1"/>
    <xf numFmtId="4" fontId="0" fillId="0" borderId="19" xfId="0" applyNumberFormat="1" applyBorder="1" applyAlignment="1">
      <alignment horizontal="center"/>
    </xf>
    <xf numFmtId="4" fontId="0" fillId="0" borderId="19" xfId="0" applyNumberFormat="1" applyBorder="1"/>
    <xf numFmtId="0" fontId="0" fillId="0" borderId="109" xfId="0" applyBorder="1" applyAlignment="1">
      <alignment horizontal="center"/>
    </xf>
    <xf numFmtId="0" fontId="0" fillId="0" borderId="110" xfId="0" applyBorder="1"/>
    <xf numFmtId="0" fontId="0" fillId="0" borderId="128" xfId="0" applyBorder="1" applyAlignment="1">
      <alignment horizontal="center"/>
    </xf>
    <xf numFmtId="4" fontId="0" fillId="0" borderId="128" xfId="0" applyNumberFormat="1" applyBorder="1" applyAlignment="1">
      <alignment horizontal="center"/>
    </xf>
    <xf numFmtId="4" fontId="0" fillId="0" borderId="128" xfId="0" applyNumberFormat="1" applyBorder="1"/>
    <xf numFmtId="0" fontId="0" fillId="0" borderId="111" xfId="0" applyBorder="1" applyAlignment="1">
      <alignment horizontal="center"/>
    </xf>
    <xf numFmtId="0" fontId="0" fillId="0" borderId="161" xfId="0" applyBorder="1" applyAlignment="1">
      <alignment horizontal="center"/>
    </xf>
    <xf numFmtId="4" fontId="0" fillId="0" borderId="138" xfId="0" applyNumberFormat="1" applyBorder="1" applyAlignment="1">
      <alignment horizontal="center"/>
    </xf>
    <xf numFmtId="4" fontId="0" fillId="0" borderId="138" xfId="0" applyNumberFormat="1" applyBorder="1"/>
    <xf numFmtId="4" fontId="0" fillId="0" borderId="0" xfId="0" applyNumberFormat="1"/>
    <xf numFmtId="4" fontId="0" fillId="0" borderId="0" xfId="0" applyNumberFormat="1" applyAlignment="1">
      <alignment horizontal="center"/>
    </xf>
    <xf numFmtId="3" fontId="1" fillId="0" borderId="65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3" fontId="1" fillId="0" borderId="132" xfId="0" applyNumberFormat="1" applyFont="1" applyBorder="1" applyAlignment="1">
      <alignment horizontal="center"/>
    </xf>
    <xf numFmtId="3" fontId="1" fillId="0" borderId="19" xfId="0" applyNumberFormat="1" applyFont="1" applyBorder="1" applyAlignment="1">
      <alignment horizontal="center"/>
    </xf>
    <xf numFmtId="3" fontId="1" fillId="0" borderId="15" xfId="0" applyNumberFormat="1" applyFont="1" applyBorder="1" applyAlignment="1">
      <alignment horizontal="center"/>
    </xf>
    <xf numFmtId="3" fontId="1" fillId="0" borderId="127" xfId="0" applyNumberFormat="1" applyFont="1" applyBorder="1" applyAlignment="1">
      <alignment horizontal="center"/>
    </xf>
    <xf numFmtId="3" fontId="1" fillId="0" borderId="138" xfId="0" applyNumberFormat="1" applyFont="1" applyBorder="1" applyAlignment="1">
      <alignment horizontal="center"/>
    </xf>
    <xf numFmtId="3" fontId="1" fillId="0" borderId="128" xfId="0" applyNumberFormat="1" applyFont="1" applyBorder="1" applyAlignment="1">
      <alignment horizontal="center"/>
    </xf>
    <xf numFmtId="166" fontId="0" fillId="0" borderId="138" xfId="2" applyNumberFormat="1" applyFont="1" applyBorder="1" applyAlignment="1">
      <alignment horizontal="center"/>
    </xf>
    <xf numFmtId="0" fontId="18" fillId="0" borderId="0" xfId="0" applyFont="1"/>
    <xf numFmtId="9" fontId="3" fillId="0" borderId="0" xfId="2" applyFont="1"/>
    <xf numFmtId="3" fontId="0" fillId="0" borderId="0" xfId="0" applyNumberFormat="1"/>
    <xf numFmtId="166" fontId="1" fillId="0" borderId="0" xfId="2" applyNumberFormat="1" applyFont="1"/>
    <xf numFmtId="165" fontId="1" fillId="0" borderId="0" xfId="0" applyNumberFormat="1" applyFont="1"/>
    <xf numFmtId="0" fontId="0" fillId="0" borderId="60" xfId="0" applyBorder="1" applyAlignment="1">
      <alignment horizontal="center"/>
    </xf>
    <xf numFmtId="10" fontId="0" fillId="0" borderId="60" xfId="2" applyNumberFormat="1" applyFont="1" applyBorder="1"/>
    <xf numFmtId="0" fontId="0" fillId="0" borderId="65" xfId="0" applyBorder="1"/>
    <xf numFmtId="3" fontId="0" fillId="0" borderId="65" xfId="2" applyNumberFormat="1" applyFont="1" applyBorder="1"/>
    <xf numFmtId="0" fontId="8" fillId="0" borderId="19" xfId="0" applyFont="1" applyBorder="1"/>
    <xf numFmtId="3" fontId="1" fillId="0" borderId="19" xfId="0" applyNumberFormat="1" applyFont="1" applyBorder="1"/>
    <xf numFmtId="0" fontId="8" fillId="0" borderId="15" xfId="0" applyFont="1" applyBorder="1"/>
    <xf numFmtId="0" fontId="8" fillId="0" borderId="127" xfId="1" applyFont="1" applyBorder="1"/>
    <xf numFmtId="9" fontId="8" fillId="0" borderId="127" xfId="2" applyFont="1" applyBorder="1"/>
    <xf numFmtId="0" fontId="8" fillId="0" borderId="19" xfId="1" applyFont="1" applyBorder="1"/>
    <xf numFmtId="1" fontId="8" fillId="0" borderId="19" xfId="1" applyNumberFormat="1" applyFont="1" applyBorder="1"/>
    <xf numFmtId="9" fontId="8" fillId="0" borderId="19" xfId="2" applyFont="1" applyBorder="1"/>
    <xf numFmtId="0" fontId="8" fillId="0" borderId="15" xfId="1" applyFont="1" applyBorder="1"/>
    <xf numFmtId="1" fontId="8" fillId="0" borderId="15" xfId="1" applyNumberFormat="1" applyFont="1" applyBorder="1"/>
    <xf numFmtId="3" fontId="17" fillId="0" borderId="65" xfId="0" applyNumberFormat="1" applyFont="1" applyBorder="1" applyAlignment="1">
      <alignment horizontal="right"/>
    </xf>
    <xf numFmtId="3" fontId="8" fillId="0" borderId="101" xfId="0" applyNumberFormat="1" applyFont="1" applyBorder="1" applyAlignment="1">
      <alignment horizontal="right"/>
    </xf>
    <xf numFmtId="3" fontId="8" fillId="0" borderId="18" xfId="0" applyNumberFormat="1" applyFont="1" applyBorder="1" applyAlignment="1">
      <alignment horizontal="right"/>
    </xf>
    <xf numFmtId="3" fontId="8" fillId="0" borderId="18" xfId="0" quotePrefix="1" applyNumberFormat="1" applyFont="1" applyBorder="1" applyAlignment="1">
      <alignment horizontal="right"/>
    </xf>
    <xf numFmtId="3" fontId="8" fillId="0" borderId="17" xfId="0" applyNumberFormat="1" applyFont="1" applyBorder="1" applyAlignment="1">
      <alignment horizontal="right"/>
    </xf>
    <xf numFmtId="3" fontId="8" fillId="3" borderId="163" xfId="1" applyNumberFormat="1" applyFont="1" applyFill="1" applyBorder="1"/>
    <xf numFmtId="0" fontId="8" fillId="3" borderId="8" xfId="1" applyFont="1" applyFill="1" applyBorder="1"/>
    <xf numFmtId="2" fontId="8" fillId="3" borderId="91" xfId="1" applyNumberFormat="1" applyFont="1" applyFill="1" applyBorder="1"/>
    <xf numFmtId="4" fontId="15" fillId="3" borderId="162" xfId="1" applyNumberFormat="1" applyFont="1" applyFill="1" applyBorder="1"/>
    <xf numFmtId="3" fontId="8" fillId="3" borderId="164" xfId="1" applyNumberFormat="1" applyFont="1" applyFill="1" applyBorder="1"/>
    <xf numFmtId="3" fontId="17" fillId="0" borderId="132" xfId="0" applyNumberFormat="1" applyFont="1" applyBorder="1"/>
    <xf numFmtId="3" fontId="17" fillId="0" borderId="19" xfId="0" applyNumberFormat="1" applyFont="1" applyBorder="1"/>
    <xf numFmtId="3" fontId="17" fillId="0" borderId="15" xfId="0" applyNumberFormat="1" applyFont="1" applyBorder="1"/>
    <xf numFmtId="3" fontId="17" fillId="0" borderId="127" xfId="0" applyNumberFormat="1" applyFont="1" applyBorder="1"/>
    <xf numFmtId="3" fontId="17" fillId="0" borderId="138" xfId="0" applyNumberFormat="1" applyFont="1" applyBorder="1"/>
    <xf numFmtId="3" fontId="17" fillId="0" borderId="128" xfId="0" applyNumberFormat="1" applyFont="1" applyBorder="1"/>
    <xf numFmtId="3" fontId="17" fillId="0" borderId="65" xfId="0" applyNumberFormat="1" applyFont="1" applyBorder="1"/>
    <xf numFmtId="0" fontId="8" fillId="0" borderId="65" xfId="0" applyFont="1" applyBorder="1" applyAlignment="1">
      <alignment horizontal="center" vertical="center"/>
    </xf>
    <xf numFmtId="2" fontId="8" fillId="0" borderId="65" xfId="0" applyNumberFormat="1" applyFont="1" applyBorder="1"/>
    <xf numFmtId="4" fontId="8" fillId="0" borderId="65" xfId="0" applyNumberFormat="1" applyFont="1" applyBorder="1" applyAlignment="1">
      <alignment horizontal="right"/>
    </xf>
    <xf numFmtId="4" fontId="8" fillId="0" borderId="65" xfId="0" applyNumberFormat="1" applyFont="1" applyBorder="1"/>
    <xf numFmtId="0" fontId="8" fillId="0" borderId="65" xfId="1" applyFont="1" applyBorder="1" applyAlignment="1">
      <alignment horizontal="center"/>
    </xf>
    <xf numFmtId="1" fontId="8" fillId="3" borderId="34" xfId="0" applyNumberFormat="1" applyFont="1" applyFill="1" applyBorder="1" applyAlignment="1">
      <alignment horizontal="right"/>
    </xf>
    <xf numFmtId="169" fontId="17" fillId="0" borderId="65" xfId="2" applyNumberFormat="1" applyFont="1" applyBorder="1"/>
    <xf numFmtId="169" fontId="17" fillId="0" borderId="127" xfId="2" applyNumberFormat="1" applyFont="1" applyBorder="1"/>
    <xf numFmtId="169" fontId="17" fillId="0" borderId="138" xfId="2" applyNumberFormat="1" applyFont="1" applyBorder="1"/>
    <xf numFmtId="169" fontId="14" fillId="0" borderId="56" xfId="2" applyNumberFormat="1" applyFont="1" applyBorder="1"/>
    <xf numFmtId="169" fontId="14" fillId="0" borderId="133" xfId="2" applyNumberFormat="1" applyFont="1" applyBorder="1"/>
    <xf numFmtId="169" fontId="14" fillId="0" borderId="139" xfId="2" applyNumberFormat="1" applyFont="1" applyBorder="1"/>
    <xf numFmtId="4" fontId="15" fillId="0" borderId="87" xfId="0" applyNumberFormat="1" applyFont="1" applyBorder="1"/>
    <xf numFmtId="4" fontId="15" fillId="0" borderId="26" xfId="0" applyNumberFormat="1" applyFont="1" applyBorder="1"/>
    <xf numFmtId="4" fontId="15" fillId="0" borderId="11" xfId="0" applyNumberFormat="1" applyFont="1" applyBorder="1"/>
    <xf numFmtId="4" fontId="15" fillId="3" borderId="119" xfId="0" applyNumberFormat="1" applyFont="1" applyFill="1" applyBorder="1"/>
    <xf numFmtId="168" fontId="1" fillId="0" borderId="0" xfId="0" applyNumberFormat="1" applyFont="1"/>
    <xf numFmtId="1" fontId="0" fillId="0" borderId="65" xfId="0" applyNumberFormat="1" applyBorder="1"/>
    <xf numFmtId="14" fontId="0" fillId="0" borderId="0" xfId="0" applyNumberFormat="1"/>
    <xf numFmtId="3" fontId="8" fillId="2" borderId="67" xfId="1" applyNumberFormat="1" applyFont="1" applyFill="1" applyBorder="1"/>
    <xf numFmtId="3" fontId="8" fillId="3" borderId="81" xfId="1" applyNumberFormat="1" applyFont="1" applyFill="1" applyBorder="1"/>
    <xf numFmtId="3" fontId="8" fillId="2" borderId="73" xfId="1" applyNumberFormat="1" applyFont="1" applyFill="1" applyBorder="1"/>
    <xf numFmtId="3" fontId="8" fillId="2" borderId="78" xfId="1" applyNumberFormat="1" applyFont="1" applyFill="1" applyBorder="1"/>
    <xf numFmtId="3" fontId="8" fillId="2" borderId="84" xfId="1" applyNumberFormat="1" applyFont="1" applyFill="1" applyBorder="1"/>
    <xf numFmtId="3" fontId="8" fillId="2" borderId="71" xfId="1" applyNumberFormat="1" applyFont="1" applyFill="1" applyBorder="1"/>
    <xf numFmtId="3" fontId="8" fillId="2" borderId="57" xfId="1" applyNumberFormat="1" applyFont="1" applyFill="1" applyBorder="1"/>
    <xf numFmtId="3" fontId="8" fillId="2" borderId="16" xfId="1" applyNumberFormat="1" applyFont="1" applyFill="1" applyBorder="1"/>
    <xf numFmtId="3" fontId="8" fillId="2" borderId="69" xfId="1" applyNumberFormat="1" applyFont="1" applyFill="1" applyBorder="1"/>
    <xf numFmtId="3" fontId="8" fillId="2" borderId="66" xfId="1" applyNumberFormat="1" applyFont="1" applyFill="1" applyBorder="1"/>
    <xf numFmtId="2" fontId="8" fillId="3" borderId="34" xfId="0" quotePrefix="1" applyNumberFormat="1" applyFont="1" applyFill="1" applyBorder="1" applyAlignment="1">
      <alignment horizontal="right"/>
    </xf>
    <xf numFmtId="2" fontId="0" fillId="0" borderId="0" xfId="2" applyNumberFormat="1" applyFont="1"/>
    <xf numFmtId="3" fontId="8" fillId="0" borderId="65" xfId="1" applyNumberFormat="1" applyFont="1" applyBorder="1"/>
    <xf numFmtId="1" fontId="8" fillId="0" borderId="65" xfId="1" applyNumberFormat="1" applyFont="1" applyBorder="1"/>
    <xf numFmtId="3" fontId="8" fillId="0" borderId="127" xfId="1" applyNumberFormat="1" applyFont="1" applyBorder="1"/>
    <xf numFmtId="3" fontId="8" fillId="0" borderId="19" xfId="1" applyNumberFormat="1" applyFont="1" applyBorder="1"/>
    <xf numFmtId="3" fontId="8" fillId="0" borderId="0" xfId="1" applyNumberFormat="1" applyFont="1" applyBorder="1"/>
    <xf numFmtId="3" fontId="15" fillId="0" borderId="78" xfId="1" applyNumberFormat="1" applyFont="1" applyBorder="1"/>
    <xf numFmtId="0" fontId="8" fillId="2" borderId="67" xfId="0" applyFont="1" applyFill="1" applyBorder="1"/>
    <xf numFmtId="4" fontId="15" fillId="0" borderId="84" xfId="1" applyNumberFormat="1" applyFont="1" applyBorder="1"/>
    <xf numFmtId="0" fontId="8" fillId="0" borderId="72" xfId="0" applyFont="1" applyBorder="1"/>
    <xf numFmtId="2" fontId="8" fillId="0" borderId="165" xfId="1" applyNumberFormat="1" applyFont="1" applyBorder="1"/>
    <xf numFmtId="2" fontId="8" fillId="0" borderId="166" xfId="1" applyNumberFormat="1" applyFont="1" applyBorder="1"/>
    <xf numFmtId="171" fontId="1" fillId="0" borderId="0" xfId="0" applyNumberFormat="1" applyFont="1"/>
    <xf numFmtId="0" fontId="1" fillId="0" borderId="42" xfId="0" applyFont="1" applyBorder="1"/>
    <xf numFmtId="0" fontId="1" fillId="0" borderId="84" xfId="0" applyFont="1" applyBorder="1"/>
    <xf numFmtId="0" fontId="1" fillId="0" borderId="167" xfId="0" applyFont="1" applyBorder="1"/>
    <xf numFmtId="0" fontId="8" fillId="2" borderId="156" xfId="1" applyFont="1" applyFill="1" applyBorder="1"/>
    <xf numFmtId="0" fontId="2" fillId="2" borderId="44" xfId="0" applyFont="1" applyFill="1" applyBorder="1" applyAlignment="1">
      <alignment horizontal="centerContinuous" vertical="center"/>
    </xf>
    <xf numFmtId="168" fontId="1" fillId="0" borderId="79" xfId="3" applyNumberFormat="1" applyFont="1" applyFill="1" applyBorder="1"/>
    <xf numFmtId="0" fontId="2" fillId="2" borderId="36" xfId="0" applyNumberFormat="1" applyFont="1" applyFill="1" applyBorder="1" applyAlignment="1">
      <alignment horizontal="center"/>
    </xf>
    <xf numFmtId="0" fontId="8" fillId="0" borderId="169" xfId="0" applyFont="1" applyBorder="1"/>
    <xf numFmtId="0" fontId="8" fillId="0" borderId="171" xfId="0" applyFont="1" applyBorder="1"/>
    <xf numFmtId="0" fontId="8" fillId="2" borderId="172" xfId="0" applyFont="1" applyFill="1" applyBorder="1"/>
    <xf numFmtId="0" fontId="8" fillId="0" borderId="172" xfId="0" applyFont="1" applyBorder="1"/>
    <xf numFmtId="3" fontId="8" fillId="0" borderId="172" xfId="0" applyNumberFormat="1" applyFont="1" applyBorder="1"/>
    <xf numFmtId="3" fontId="8" fillId="0" borderId="172" xfId="0" applyNumberFormat="1" applyFont="1" applyBorder="1" applyAlignment="1">
      <alignment horizontal="right"/>
    </xf>
    <xf numFmtId="1" fontId="8" fillId="0" borderId="173" xfId="0" applyNumberFormat="1" applyFont="1" applyBorder="1" applyAlignment="1">
      <alignment horizontal="right"/>
    </xf>
    <xf numFmtId="1" fontId="8" fillId="8" borderId="21" xfId="0" applyNumberFormat="1" applyFont="1" applyFill="1" applyBorder="1" applyAlignment="1">
      <alignment horizontal="right"/>
    </xf>
    <xf numFmtId="1" fontId="8" fillId="0" borderId="172" xfId="0" applyNumberFormat="1" applyFont="1" applyBorder="1" applyAlignment="1">
      <alignment horizontal="right"/>
    </xf>
    <xf numFmtId="1" fontId="8" fillId="0" borderId="174" xfId="0" quotePrefix="1" applyNumberFormat="1" applyFont="1" applyBorder="1" applyAlignment="1">
      <alignment horizontal="right"/>
    </xf>
    <xf numFmtId="1" fontId="8" fillId="0" borderId="174" xfId="0" applyNumberFormat="1" applyFont="1" applyBorder="1" applyAlignment="1">
      <alignment horizontal="right"/>
    </xf>
    <xf numFmtId="1" fontId="8" fillId="0" borderId="111" xfId="0" quotePrefix="1" applyNumberFormat="1" applyFont="1" applyBorder="1" applyAlignment="1">
      <alignment horizontal="right"/>
    </xf>
    <xf numFmtId="1" fontId="8" fillId="3" borderId="25" xfId="0" applyNumberFormat="1" applyFont="1" applyFill="1" applyBorder="1" applyAlignment="1">
      <alignment horizontal="right"/>
    </xf>
    <xf numFmtId="1" fontId="8" fillId="0" borderId="175" xfId="0" applyNumberFormat="1" applyFont="1" applyBorder="1" applyAlignment="1">
      <alignment horizontal="right"/>
    </xf>
    <xf numFmtId="1" fontId="8" fillId="8" borderId="176" xfId="0" applyNumberFormat="1" applyFont="1" applyFill="1" applyBorder="1" applyAlignment="1">
      <alignment horizontal="right"/>
    </xf>
    <xf numFmtId="1" fontId="1" fillId="0" borderId="65" xfId="0" applyNumberFormat="1" applyFont="1" applyBorder="1" applyAlignment="1"/>
    <xf numFmtId="1" fontId="8" fillId="0" borderId="169" xfId="0" applyNumberFormat="1" applyFont="1" applyBorder="1"/>
    <xf numFmtId="1" fontId="8" fillId="0" borderId="65" xfId="0" applyNumberFormat="1" applyFont="1" applyBorder="1"/>
    <xf numFmtId="1" fontId="8" fillId="0" borderId="171" xfId="0" applyNumberFormat="1" applyFont="1" applyBorder="1"/>
    <xf numFmtId="0" fontId="8" fillId="0" borderId="13" xfId="1" applyFont="1" applyBorder="1"/>
    <xf numFmtId="3" fontId="15" fillId="0" borderId="79" xfId="1" applyNumberFormat="1" applyFont="1" applyBorder="1"/>
    <xf numFmtId="17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right"/>
    </xf>
    <xf numFmtId="1" fontId="1" fillId="0" borderId="169" xfId="0" applyNumberFormat="1" applyFont="1" applyBorder="1" applyAlignment="1"/>
    <xf numFmtId="1" fontId="1" fillId="0" borderId="171" xfId="0" applyNumberFormat="1" applyFont="1" applyBorder="1" applyAlignment="1"/>
    <xf numFmtId="1" fontId="8" fillId="0" borderId="0" xfId="0" applyNumberFormat="1" applyFont="1" applyBorder="1" applyAlignment="1">
      <alignment horizontal="right"/>
    </xf>
    <xf numFmtId="1" fontId="1" fillId="0" borderId="60" xfId="0" applyNumberFormat="1" applyFont="1" applyBorder="1" applyAlignment="1"/>
    <xf numFmtId="1" fontId="1" fillId="0" borderId="65" xfId="0" applyNumberFormat="1" applyFont="1" applyFill="1" applyBorder="1" applyAlignment="1">
      <alignment horizontal="right"/>
    </xf>
    <xf numFmtId="1" fontId="1" fillId="0" borderId="169" xfId="0" applyNumberFormat="1" applyFont="1" applyFill="1" applyBorder="1" applyAlignment="1">
      <alignment horizontal="right"/>
    </xf>
    <xf numFmtId="1" fontId="1" fillId="0" borderId="171" xfId="0" applyNumberFormat="1" applyFont="1" applyFill="1" applyBorder="1" applyAlignment="1">
      <alignment horizontal="right"/>
    </xf>
    <xf numFmtId="1" fontId="8" fillId="0" borderId="0" xfId="1" applyNumberFormat="1" applyFont="1"/>
    <xf numFmtId="0" fontId="8" fillId="0" borderId="11" xfId="0" applyFont="1" applyFill="1" applyBorder="1"/>
    <xf numFmtId="1" fontId="20" fillId="0" borderId="0" xfId="0" applyNumberFormat="1" applyFont="1" applyAlignment="1">
      <alignment horizontal="right"/>
    </xf>
    <xf numFmtId="1" fontId="8" fillId="0" borderId="61" xfId="0" applyNumberFormat="1" applyFont="1" applyBorder="1"/>
    <xf numFmtId="172" fontId="1" fillId="0" borderId="65" xfId="3" applyNumberFormat="1" applyFont="1" applyBorder="1"/>
    <xf numFmtId="172" fontId="8" fillId="0" borderId="65" xfId="1" applyNumberFormat="1" applyFont="1" applyBorder="1"/>
    <xf numFmtId="172" fontId="8" fillId="0" borderId="65" xfId="0" applyNumberFormat="1" applyFont="1" applyBorder="1" applyAlignment="1">
      <alignment horizontal="right"/>
    </xf>
    <xf numFmtId="17" fontId="1" fillId="0" borderId="0" xfId="0" applyNumberFormat="1" applyFont="1"/>
    <xf numFmtId="0" fontId="3" fillId="2" borderId="42" xfId="0" applyFont="1" applyFill="1" applyBorder="1"/>
    <xf numFmtId="165" fontId="8" fillId="0" borderId="87" xfId="0" applyNumberFormat="1" applyFont="1" applyBorder="1" applyAlignment="1">
      <alignment horizontal="right"/>
    </xf>
    <xf numFmtId="2" fontId="8" fillId="0" borderId="87" xfId="0" applyNumberFormat="1" applyFont="1" applyBorder="1" applyAlignment="1">
      <alignment horizontal="right"/>
    </xf>
    <xf numFmtId="165" fontId="8" fillId="0" borderId="26" xfId="0" applyNumberFormat="1" applyFont="1" applyBorder="1" applyAlignment="1">
      <alignment horizontal="right"/>
    </xf>
    <xf numFmtId="165" fontId="10" fillId="6" borderId="26" xfId="0" quotePrefix="1" applyNumberFormat="1" applyFont="1" applyFill="1" applyBorder="1" applyAlignment="1">
      <alignment horizontal="right"/>
    </xf>
    <xf numFmtId="2" fontId="10" fillId="6" borderId="26" xfId="0" quotePrefix="1" applyNumberFormat="1" applyFont="1" applyFill="1" applyBorder="1" applyAlignment="1">
      <alignment horizontal="right"/>
    </xf>
    <xf numFmtId="2" fontId="1" fillId="0" borderId="0" xfId="0" applyNumberFormat="1" applyFont="1"/>
    <xf numFmtId="165" fontId="8" fillId="0" borderId="59" xfId="0" applyNumberFormat="1" applyFont="1" applyBorder="1" applyAlignment="1">
      <alignment horizontal="right"/>
    </xf>
    <xf numFmtId="165" fontId="10" fillId="6" borderId="59" xfId="0" quotePrefix="1" applyNumberFormat="1" applyFont="1" applyFill="1" applyBorder="1" applyAlignment="1">
      <alignment horizontal="right"/>
    </xf>
    <xf numFmtId="165" fontId="10" fillId="6" borderId="59" xfId="0" applyNumberFormat="1" applyFont="1" applyFill="1" applyBorder="1" applyAlignment="1">
      <alignment horizontal="right"/>
    </xf>
    <xf numFmtId="0" fontId="8" fillId="3" borderId="119" xfId="0" applyFont="1" applyFill="1" applyBorder="1" applyAlignment="1">
      <alignment horizontal="right"/>
    </xf>
    <xf numFmtId="2" fontId="8" fillId="3" borderId="119" xfId="0" applyNumberFormat="1" applyFont="1" applyFill="1" applyBorder="1"/>
    <xf numFmtId="0" fontId="8" fillId="3" borderId="93" xfId="0" applyFont="1" applyFill="1" applyBorder="1"/>
    <xf numFmtId="0" fontId="8" fillId="3" borderId="11" xfId="0" applyFont="1" applyFill="1" applyBorder="1"/>
    <xf numFmtId="0" fontId="8" fillId="3" borderId="11" xfId="0" applyFont="1" applyFill="1" applyBorder="1" applyAlignment="1">
      <alignment horizontal="right"/>
    </xf>
    <xf numFmtId="2" fontId="8" fillId="3" borderId="11" xfId="0" applyNumberFormat="1" applyFont="1" applyFill="1" applyBorder="1"/>
    <xf numFmtId="0" fontId="8" fillId="2" borderId="31" xfId="0" applyFont="1" applyFill="1" applyBorder="1" applyAlignment="1">
      <alignment horizontal="center"/>
    </xf>
    <xf numFmtId="2" fontId="8" fillId="0" borderId="87" xfId="0" applyNumberFormat="1" applyFont="1" applyBorder="1"/>
    <xf numFmtId="0" fontId="8" fillId="2" borderId="29" xfId="0" applyFont="1" applyFill="1" applyBorder="1" applyAlignment="1">
      <alignment horizontal="center"/>
    </xf>
    <xf numFmtId="2" fontId="8" fillId="0" borderId="11" xfId="0" applyNumberFormat="1" applyFont="1" applyBorder="1"/>
    <xf numFmtId="165" fontId="8" fillId="0" borderId="26" xfId="0" applyNumberFormat="1" applyFont="1" applyBorder="1"/>
    <xf numFmtId="2" fontId="8" fillId="3" borderId="1" xfId="0" applyNumberFormat="1" applyFont="1" applyFill="1" applyBorder="1"/>
    <xf numFmtId="173" fontId="1" fillId="0" borderId="0" xfId="0" applyNumberFormat="1" applyFont="1"/>
    <xf numFmtId="17" fontId="1" fillId="0" borderId="0" xfId="0" applyNumberFormat="1" applyFont="1" applyAlignment="1">
      <alignment horizontal="center"/>
    </xf>
    <xf numFmtId="1" fontId="1" fillId="0" borderId="0" xfId="0" applyNumberFormat="1" applyFont="1"/>
    <xf numFmtId="14" fontId="1" fillId="0" borderId="0" xfId="0" applyNumberFormat="1" applyFont="1"/>
    <xf numFmtId="3" fontId="8" fillId="0" borderId="19" xfId="0" applyNumberFormat="1" applyFont="1" applyBorder="1" applyAlignment="1">
      <alignment horizontal="right"/>
    </xf>
    <xf numFmtId="0" fontId="10" fillId="6" borderId="19" xfId="0" quotePrefix="1" applyFont="1" applyFill="1" applyBorder="1" applyAlignment="1">
      <alignment horizontal="left"/>
    </xf>
    <xf numFmtId="3" fontId="10" fillId="6" borderId="19" xfId="0" quotePrefix="1" applyNumberFormat="1" applyFont="1" applyFill="1" applyBorder="1" applyAlignment="1">
      <alignment horizontal="right"/>
    </xf>
    <xf numFmtId="0" fontId="10" fillId="6" borderId="19" xfId="0" applyFont="1" applyFill="1" applyBorder="1"/>
    <xf numFmtId="3" fontId="10" fillId="6" borderId="19" xfId="0" applyNumberFormat="1" applyFont="1" applyFill="1" applyBorder="1" applyAlignment="1">
      <alignment horizontal="right"/>
    </xf>
    <xf numFmtId="3" fontId="8" fillId="3" borderId="19" xfId="0" applyNumberFormat="1" applyFont="1" applyFill="1" applyBorder="1" applyAlignment="1">
      <alignment horizontal="right"/>
    </xf>
    <xf numFmtId="0" fontId="1" fillId="0" borderId="55" xfId="0" applyFont="1" applyBorder="1"/>
    <xf numFmtId="0" fontId="26" fillId="0" borderId="0" xfId="0" applyFont="1"/>
    <xf numFmtId="0" fontId="27" fillId="0" borderId="0" xfId="0" applyFont="1" applyFill="1" applyBorder="1"/>
    <xf numFmtId="0" fontId="28" fillId="0" borderId="0" xfId="0" applyFont="1"/>
    <xf numFmtId="17" fontId="28" fillId="0" borderId="0" xfId="0" applyNumberFormat="1" applyFont="1"/>
    <xf numFmtId="0" fontId="1" fillId="0" borderId="139" xfId="0" applyFont="1" applyBorder="1"/>
    <xf numFmtId="0" fontId="1" fillId="0" borderId="136" xfId="0" applyFont="1" applyBorder="1"/>
    <xf numFmtId="164" fontId="1" fillId="0" borderId="132" xfId="0" applyNumberFormat="1" applyFont="1" applyBorder="1" applyAlignment="1">
      <alignment horizontal="center"/>
    </xf>
    <xf numFmtId="164" fontId="1" fillId="0" borderId="19" xfId="0" applyNumberFormat="1" applyFont="1" applyBorder="1" applyAlignment="1">
      <alignment horizontal="center"/>
    </xf>
    <xf numFmtId="164" fontId="1" fillId="0" borderId="138" xfId="0" applyNumberFormat="1" applyFont="1" applyBorder="1" applyAlignment="1">
      <alignment horizontal="center"/>
    </xf>
    <xf numFmtId="164" fontId="1" fillId="0" borderId="42" xfId="0" applyNumberFormat="1" applyFont="1" applyBorder="1" applyAlignment="1">
      <alignment horizontal="center"/>
    </xf>
    <xf numFmtId="164" fontId="1" fillId="0" borderId="84" xfId="0" applyNumberFormat="1" applyFont="1" applyBorder="1" applyAlignment="1">
      <alignment horizontal="center"/>
    </xf>
    <xf numFmtId="164" fontId="1" fillId="0" borderId="167" xfId="0" applyNumberFormat="1" applyFont="1" applyBorder="1" applyAlignment="1">
      <alignment horizontal="center"/>
    </xf>
    <xf numFmtId="1" fontId="1" fillId="0" borderId="132" xfId="0" applyNumberFormat="1" applyFon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138" xfId="0" applyNumberFormat="1" applyBorder="1" applyAlignment="1">
      <alignment horizontal="center"/>
    </xf>
    <xf numFmtId="4" fontId="1" fillId="0" borderId="0" xfId="0" applyNumberFormat="1" applyFont="1" applyAlignment="1">
      <alignment horizontal="center"/>
    </xf>
    <xf numFmtId="3" fontId="8" fillId="0" borderId="15" xfId="1" applyNumberFormat="1" applyFont="1" applyBorder="1"/>
    <xf numFmtId="17" fontId="2" fillId="2" borderId="38" xfId="0" applyNumberFormat="1" applyFont="1" applyFill="1" applyBorder="1" applyAlignment="1">
      <alignment horizontal="right"/>
    </xf>
    <xf numFmtId="3" fontId="8" fillId="0" borderId="180" xfId="0" applyNumberFormat="1" applyFont="1" applyBorder="1" applyAlignment="1">
      <alignment horizontal="right"/>
    </xf>
    <xf numFmtId="3" fontId="8" fillId="0" borderId="117" xfId="0" applyNumberFormat="1" applyFont="1" applyBorder="1" applyAlignment="1">
      <alignment horizontal="right"/>
    </xf>
    <xf numFmtId="3" fontId="8" fillId="3" borderId="164" xfId="0" applyNumberFormat="1" applyFont="1" applyFill="1" applyBorder="1" applyAlignment="1">
      <alignment horizontal="right"/>
    </xf>
    <xf numFmtId="3" fontId="8" fillId="3" borderId="181" xfId="0" applyNumberFormat="1" applyFont="1" applyFill="1" applyBorder="1" applyAlignment="1">
      <alignment horizontal="right"/>
    </xf>
    <xf numFmtId="3" fontId="8" fillId="3" borderId="182" xfId="0" quotePrefix="1" applyNumberFormat="1" applyFont="1" applyFill="1" applyBorder="1" applyAlignment="1">
      <alignment horizontal="right"/>
    </xf>
    <xf numFmtId="3" fontId="8" fillId="0" borderId="117" xfId="0" quotePrefix="1" applyNumberFormat="1" applyFont="1" applyBorder="1" applyAlignment="1">
      <alignment horizontal="right"/>
    </xf>
    <xf numFmtId="3" fontId="8" fillId="0" borderId="118" xfId="0" applyNumberFormat="1" applyFont="1" applyBorder="1" applyAlignment="1">
      <alignment horizontal="right"/>
    </xf>
    <xf numFmtId="3" fontId="8" fillId="0" borderId="183" xfId="0" applyNumberFormat="1" applyFont="1" applyBorder="1" applyAlignment="1">
      <alignment horizontal="right"/>
    </xf>
    <xf numFmtId="3" fontId="8" fillId="0" borderId="184" xfId="0" applyNumberFormat="1" applyFont="1" applyBorder="1" applyAlignment="1">
      <alignment horizontal="right"/>
    </xf>
    <xf numFmtId="0" fontId="2" fillId="2" borderId="81" xfId="0" applyFont="1" applyFill="1" applyBorder="1" applyAlignment="1">
      <alignment horizontal="centerContinuous"/>
    </xf>
    <xf numFmtId="0" fontId="2" fillId="2" borderId="154" xfId="0" applyFont="1" applyFill="1" applyBorder="1" applyAlignment="1">
      <alignment horizontal="centerContinuous"/>
    </xf>
    <xf numFmtId="2" fontId="8" fillId="3" borderId="91" xfId="0" applyNumberFormat="1" applyFont="1" applyFill="1" applyBorder="1" applyAlignment="1">
      <alignment horizontal="right"/>
    </xf>
    <xf numFmtId="2" fontId="8" fillId="0" borderId="93" xfId="0" applyNumberFormat="1" applyFont="1" applyBorder="1" applyAlignment="1">
      <alignment horizontal="right"/>
    </xf>
    <xf numFmtId="2" fontId="8" fillId="3" borderId="185" xfId="0" applyNumberFormat="1" applyFont="1" applyFill="1" applyBorder="1" applyAlignment="1">
      <alignment horizontal="right"/>
    </xf>
    <xf numFmtId="2" fontId="8" fillId="0" borderId="21" xfId="0" applyNumberFormat="1" applyFont="1" applyBorder="1"/>
    <xf numFmtId="2" fontId="8" fillId="0" borderId="147" xfId="0" applyNumberFormat="1" applyFont="1" applyBorder="1"/>
    <xf numFmtId="2" fontId="8" fillId="0" borderId="147" xfId="0" quotePrefix="1" applyNumberFormat="1" applyFont="1" applyBorder="1" applyAlignment="1">
      <alignment horizontal="right"/>
    </xf>
    <xf numFmtId="2" fontId="8" fillId="0" borderId="128" xfId="0" applyNumberFormat="1" applyFont="1" applyBorder="1"/>
    <xf numFmtId="2" fontId="8" fillId="3" borderId="186" xfId="0" applyNumberFormat="1" applyFont="1" applyFill="1" applyBorder="1"/>
    <xf numFmtId="2" fontId="8" fillId="3" borderId="60" xfId="0" applyNumberFormat="1" applyFont="1" applyFill="1" applyBorder="1" applyAlignment="1">
      <alignment horizontal="right"/>
    </xf>
    <xf numFmtId="2" fontId="8" fillId="0" borderId="187" xfId="0" applyNumberFormat="1" applyFont="1" applyBorder="1"/>
    <xf numFmtId="2" fontId="8" fillId="0" borderId="151" xfId="0" applyNumberFormat="1" applyFont="1" applyBorder="1"/>
    <xf numFmtId="2" fontId="8" fillId="3" borderId="188" xfId="0" applyNumberFormat="1" applyFont="1" applyFill="1" applyBorder="1"/>
    <xf numFmtId="2" fontId="8" fillId="3" borderId="32" xfId="0" quotePrefix="1" applyNumberFormat="1" applyFont="1" applyFill="1" applyBorder="1" applyAlignment="1">
      <alignment horizontal="right"/>
    </xf>
    <xf numFmtId="2" fontId="8" fillId="0" borderId="151" xfId="0" quotePrefix="1" applyNumberFormat="1" applyFont="1" applyBorder="1" applyAlignment="1">
      <alignment horizontal="right"/>
    </xf>
    <xf numFmtId="2" fontId="8" fillId="0" borderId="136" xfId="0" applyNumberFormat="1" applyFont="1" applyBorder="1"/>
    <xf numFmtId="2" fontId="8" fillId="0" borderId="140" xfId="0" applyNumberFormat="1" applyFont="1" applyBorder="1"/>
    <xf numFmtId="2" fontId="8" fillId="3" borderId="189" xfId="0" applyNumberFormat="1" applyFont="1" applyFill="1" applyBorder="1" applyAlignment="1">
      <alignment horizontal="right"/>
    </xf>
    <xf numFmtId="0" fontId="8" fillId="0" borderId="55" xfId="0" applyFont="1" applyBorder="1"/>
    <xf numFmtId="0" fontId="8" fillId="3" borderId="91" xfId="0" applyFont="1" applyFill="1" applyBorder="1"/>
    <xf numFmtId="0" fontId="8" fillId="3" borderId="86" xfId="0" quotePrefix="1" applyFont="1" applyFill="1" applyBorder="1" applyAlignment="1">
      <alignment horizontal="left"/>
    </xf>
    <xf numFmtId="0" fontId="8" fillId="0" borderId="99" xfId="0" applyFont="1" applyBorder="1"/>
    <xf numFmtId="0" fontId="8" fillId="3" borderId="190" xfId="0" applyFont="1" applyFill="1" applyBorder="1"/>
    <xf numFmtId="0" fontId="8" fillId="3" borderId="185" xfId="0" applyFont="1" applyFill="1" applyBorder="1"/>
    <xf numFmtId="0" fontId="8" fillId="0" borderId="58" xfId="0" applyFont="1" applyBorder="1" applyAlignment="1">
      <alignment horizontal="centerContinuous"/>
    </xf>
    <xf numFmtId="2" fontId="8" fillId="0" borderId="26" xfId="0" quotePrefix="1" applyNumberFormat="1" applyFont="1" applyBorder="1" applyAlignment="1">
      <alignment horizontal="right"/>
    </xf>
    <xf numFmtId="2" fontId="8" fillId="0" borderId="191" xfId="0" applyNumberFormat="1" applyFont="1" applyBorder="1" applyAlignment="1">
      <alignment horizontal="right"/>
    </xf>
    <xf numFmtId="2" fontId="8" fillId="0" borderId="77" xfId="0" applyNumberFormat="1" applyFont="1" applyBorder="1" applyAlignment="1">
      <alignment horizontal="right"/>
    </xf>
    <xf numFmtId="2" fontId="8" fillId="0" borderId="55" xfId="0" applyNumberFormat="1" applyFont="1" applyBorder="1" applyAlignment="1">
      <alignment horizontal="right"/>
    </xf>
    <xf numFmtId="2" fontId="8" fillId="0" borderId="55" xfId="0" quotePrefix="1" applyNumberFormat="1" applyFont="1" applyBorder="1" applyAlignment="1">
      <alignment horizontal="right"/>
    </xf>
    <xf numFmtId="2" fontId="8" fillId="0" borderId="144" xfId="0" applyNumberFormat="1" applyFont="1" applyBorder="1" applyAlignment="1">
      <alignment horizontal="right"/>
    </xf>
    <xf numFmtId="2" fontId="8" fillId="0" borderId="11" xfId="0" applyNumberFormat="1" applyFont="1" applyBorder="1" applyAlignment="1">
      <alignment horizontal="right"/>
    </xf>
    <xf numFmtId="2" fontId="8" fillId="3" borderId="126" xfId="0" applyNumberFormat="1" applyFont="1" applyFill="1" applyBorder="1" applyAlignment="1">
      <alignment horizontal="right"/>
    </xf>
    <xf numFmtId="2" fontId="8" fillId="0" borderId="192" xfId="0" applyNumberFormat="1" applyFont="1" applyBorder="1" applyAlignment="1">
      <alignment horizontal="right"/>
    </xf>
    <xf numFmtId="3" fontId="8" fillId="3" borderId="193" xfId="0" applyNumberFormat="1" applyFont="1" applyFill="1" applyBorder="1" applyAlignment="1">
      <alignment horizontal="right"/>
    </xf>
    <xf numFmtId="3" fontId="8" fillId="3" borderId="97" xfId="0" quotePrefix="1" applyNumberFormat="1" applyFont="1" applyFill="1" applyBorder="1" applyAlignment="1">
      <alignment horizontal="right"/>
    </xf>
    <xf numFmtId="0" fontId="8" fillId="0" borderId="192" xfId="0" applyFont="1" applyBorder="1" applyAlignment="1">
      <alignment horizontal="right"/>
    </xf>
    <xf numFmtId="0" fontId="8" fillId="0" borderId="192" xfId="0" quotePrefix="1" applyFont="1" applyBorder="1" applyAlignment="1">
      <alignment horizontal="right"/>
    </xf>
    <xf numFmtId="0" fontId="8" fillId="0" borderId="194" xfId="0" applyFont="1" applyBorder="1" applyAlignment="1">
      <alignment horizontal="right"/>
    </xf>
    <xf numFmtId="0" fontId="8" fillId="0" borderId="195" xfId="0" applyFont="1" applyBorder="1" applyAlignment="1">
      <alignment horizontal="right"/>
    </xf>
    <xf numFmtId="0" fontId="8" fillId="0" borderId="196" xfId="0" applyFont="1" applyBorder="1" applyAlignment="1">
      <alignment horizontal="right"/>
    </xf>
    <xf numFmtId="3" fontId="8" fillId="3" borderId="197" xfId="0" applyNumberFormat="1" applyFont="1" applyFill="1" applyBorder="1" applyAlignment="1">
      <alignment horizontal="right"/>
    </xf>
    <xf numFmtId="3" fontId="8" fillId="0" borderId="198" xfId="0" applyNumberFormat="1" applyFont="1" applyBorder="1" applyAlignment="1">
      <alignment horizontal="centerContinuous"/>
    </xf>
    <xf numFmtId="17" fontId="2" fillId="2" borderId="40" xfId="0" applyNumberFormat="1" applyFont="1" applyFill="1" applyBorder="1" applyAlignment="1">
      <alignment horizontal="left"/>
    </xf>
    <xf numFmtId="2" fontId="8" fillId="0" borderId="99" xfId="0" applyNumberFormat="1" applyFont="1" applyBorder="1" applyAlignment="1">
      <alignment horizontal="right"/>
    </xf>
    <xf numFmtId="0" fontId="2" fillId="2" borderId="153" xfId="0" applyFont="1" applyFill="1" applyBorder="1" applyAlignment="1">
      <alignment horizontal="centerContinuous"/>
    </xf>
    <xf numFmtId="2" fontId="8" fillId="0" borderId="104" xfId="0" applyNumberFormat="1" applyFont="1" applyBorder="1"/>
    <xf numFmtId="2" fontId="8" fillId="3" borderId="105" xfId="0" applyNumberFormat="1" applyFont="1" applyFill="1" applyBorder="1"/>
    <xf numFmtId="2" fontId="8" fillId="3" borderId="25" xfId="0" quotePrefix="1" applyNumberFormat="1" applyFont="1" applyFill="1" applyBorder="1" applyAlignment="1">
      <alignment horizontal="right"/>
    </xf>
    <xf numFmtId="2" fontId="8" fillId="0" borderId="104" xfId="0" quotePrefix="1" applyNumberFormat="1" applyFont="1" applyBorder="1" applyAlignment="1">
      <alignment horizontal="right"/>
    </xf>
    <xf numFmtId="2" fontId="8" fillId="0" borderId="108" xfId="0" applyNumberFormat="1" applyFont="1" applyBorder="1"/>
    <xf numFmtId="2" fontId="8" fillId="0" borderId="110" xfId="0" applyNumberFormat="1" applyFont="1" applyBorder="1"/>
    <xf numFmtId="2" fontId="8" fillId="0" borderId="173" xfId="0" applyNumberFormat="1" applyFont="1" applyBorder="1"/>
    <xf numFmtId="2" fontId="8" fillId="0" borderId="30" xfId="0" applyNumberFormat="1" applyFont="1" applyBorder="1" applyAlignment="1">
      <alignment horizontal="right"/>
    </xf>
    <xf numFmtId="2" fontId="8" fillId="3" borderId="100" xfId="0" applyNumberFormat="1" applyFont="1" applyFill="1" applyBorder="1" applyAlignment="1">
      <alignment horizontal="right"/>
    </xf>
    <xf numFmtId="2" fontId="8" fillId="0" borderId="64" xfId="0" applyNumberFormat="1" applyFont="1" applyBorder="1" applyAlignment="1">
      <alignment horizontal="right"/>
    </xf>
    <xf numFmtId="2" fontId="8" fillId="0" borderId="171" xfId="0" applyNumberFormat="1" applyFont="1" applyBorder="1" applyAlignment="1">
      <alignment horizontal="right"/>
    </xf>
    <xf numFmtId="2" fontId="8" fillId="0" borderId="199" xfId="0" applyNumberFormat="1" applyFont="1" applyBorder="1" applyAlignment="1">
      <alignment horizontal="right"/>
    </xf>
    <xf numFmtId="2" fontId="8" fillId="0" borderId="200" xfId="0" applyNumberFormat="1" applyFont="1" applyBorder="1" applyAlignment="1">
      <alignment horizontal="right"/>
    </xf>
    <xf numFmtId="2" fontId="8" fillId="0" borderId="201" xfId="0" applyNumberFormat="1" applyFont="1" applyBorder="1" applyAlignment="1">
      <alignment horizontal="right"/>
    </xf>
    <xf numFmtId="0" fontId="8" fillId="0" borderId="61" xfId="0" applyFont="1" applyBorder="1" applyAlignment="1">
      <alignment horizontal="centerContinuous"/>
    </xf>
    <xf numFmtId="3" fontId="8" fillId="0" borderId="61" xfId="0" applyNumberFormat="1" applyFont="1" applyBorder="1"/>
    <xf numFmtId="3" fontId="8" fillId="0" borderId="129" xfId="0" applyNumberFormat="1" applyFont="1" applyBorder="1" applyAlignment="1">
      <alignment horizontal="right"/>
    </xf>
    <xf numFmtId="3" fontId="8" fillId="0" borderId="202" xfId="0" applyNumberFormat="1" applyFont="1" applyBorder="1" applyAlignment="1">
      <alignment horizontal="right"/>
    </xf>
    <xf numFmtId="0" fontId="8" fillId="3" borderId="186" xfId="0" applyFont="1" applyFill="1" applyBorder="1"/>
    <xf numFmtId="17" fontId="2" fillId="2" borderId="98" xfId="0" applyNumberFormat="1" applyFont="1" applyFill="1" applyBorder="1" applyAlignment="1">
      <alignment horizontal="right"/>
    </xf>
    <xf numFmtId="3" fontId="8" fillId="3" borderId="190" xfId="0" applyNumberFormat="1" applyFont="1" applyFill="1" applyBorder="1" applyAlignment="1">
      <alignment horizontal="right"/>
    </xf>
    <xf numFmtId="3" fontId="8" fillId="3" borderId="86" xfId="0" quotePrefix="1" applyNumberFormat="1" applyFont="1" applyFill="1" applyBorder="1" applyAlignment="1">
      <alignment horizontal="right"/>
    </xf>
    <xf numFmtId="3" fontId="8" fillId="0" borderId="99" xfId="0" applyNumberFormat="1" applyFont="1" applyBorder="1" applyAlignment="1">
      <alignment horizontal="right"/>
    </xf>
    <xf numFmtId="3" fontId="8" fillId="0" borderId="88" xfId="0" applyNumberFormat="1" applyFont="1" applyBorder="1" applyAlignment="1">
      <alignment horizontal="right"/>
    </xf>
    <xf numFmtId="3" fontId="8" fillId="0" borderId="203" xfId="0" applyNumberFormat="1" applyFont="1" applyBorder="1" applyAlignment="1">
      <alignment horizontal="right"/>
    </xf>
    <xf numFmtId="0" fontId="8" fillId="2" borderId="63" xfId="1" applyFont="1" applyFill="1" applyBorder="1" applyAlignment="1">
      <alignment wrapText="1"/>
    </xf>
    <xf numFmtId="17" fontId="8" fillId="2" borderId="52" xfId="1" applyNumberFormat="1" applyFont="1" applyFill="1" applyBorder="1" applyAlignment="1">
      <alignment horizontal="centerContinuous"/>
    </xf>
    <xf numFmtId="0" fontId="8" fillId="2" borderId="205" xfId="1" applyFont="1" applyFill="1" applyBorder="1"/>
    <xf numFmtId="0" fontId="8" fillId="2" borderId="206" xfId="1" applyFont="1" applyFill="1" applyBorder="1" applyAlignment="1">
      <alignment horizontal="center"/>
    </xf>
    <xf numFmtId="0" fontId="8" fillId="2" borderId="204" xfId="1" applyFont="1" applyFill="1" applyBorder="1" applyAlignment="1">
      <alignment horizontal="center"/>
    </xf>
    <xf numFmtId="0" fontId="8" fillId="2" borderId="139" xfId="1" applyFont="1" applyFill="1" applyBorder="1" applyAlignment="1">
      <alignment horizontal="center"/>
    </xf>
    <xf numFmtId="3" fontId="8" fillId="0" borderId="57" xfId="1" applyNumberFormat="1" applyFont="1" applyBorder="1"/>
    <xf numFmtId="3" fontId="8" fillId="0" borderId="20" xfId="1" applyNumberFormat="1" applyFont="1" applyBorder="1"/>
    <xf numFmtId="3" fontId="8" fillId="0" borderId="74" xfId="1" applyNumberFormat="1" applyFont="1" applyBorder="1"/>
    <xf numFmtId="3" fontId="8" fillId="0" borderId="16" xfId="1" applyNumberFormat="1" applyFont="1" applyBorder="1"/>
    <xf numFmtId="3" fontId="8" fillId="3" borderId="73" xfId="1" applyNumberFormat="1" applyFont="1" applyFill="1" applyBorder="1"/>
    <xf numFmtId="3" fontId="8" fillId="0" borderId="129" xfId="1" applyNumberFormat="1" applyFont="1" applyBorder="1"/>
    <xf numFmtId="3" fontId="8" fillId="3" borderId="9" xfId="1" applyNumberFormat="1" applyFont="1" applyFill="1" applyBorder="1"/>
    <xf numFmtId="3" fontId="8" fillId="0" borderId="2" xfId="1" applyNumberFormat="1" applyFont="1" applyBorder="1"/>
    <xf numFmtId="4" fontId="15" fillId="3" borderId="186" xfId="1" applyNumberFormat="1" applyFont="1" applyFill="1" applyBorder="1"/>
    <xf numFmtId="0" fontId="8" fillId="2" borderId="207" xfId="1" applyFont="1" applyFill="1" applyBorder="1"/>
    <xf numFmtId="4" fontId="15" fillId="0" borderId="151" xfId="1" applyNumberFormat="1" applyFont="1" applyBorder="1"/>
    <xf numFmtId="4" fontId="15" fillId="0" borderId="136" xfId="1" applyNumberFormat="1" applyFont="1" applyBorder="1"/>
    <xf numFmtId="4" fontId="15" fillId="0" borderId="140" xfId="1" applyNumberFormat="1" applyFont="1" applyBorder="1"/>
    <xf numFmtId="0" fontId="8" fillId="3" borderId="153" xfId="1" applyFont="1" applyFill="1" applyBorder="1"/>
    <xf numFmtId="4" fontId="15" fillId="3" borderId="154" xfId="1" applyNumberFormat="1" applyFont="1" applyFill="1" applyBorder="1"/>
    <xf numFmtId="4" fontId="15" fillId="0" borderId="137" xfId="1" applyNumberFormat="1" applyFont="1" applyBorder="1"/>
    <xf numFmtId="0" fontId="8" fillId="2" borderId="113" xfId="1" applyFont="1" applyFill="1" applyBorder="1"/>
    <xf numFmtId="0" fontId="8" fillId="2" borderId="160" xfId="1" applyFont="1" applyFill="1" applyBorder="1"/>
    <xf numFmtId="3" fontId="8" fillId="3" borderId="103" xfId="1" applyNumberFormat="1" applyFont="1" applyFill="1" applyBorder="1"/>
    <xf numFmtId="0" fontId="8" fillId="2" borderId="134" xfId="1" applyFont="1" applyFill="1" applyBorder="1"/>
    <xf numFmtId="4" fontId="15" fillId="3" borderId="137" xfId="1" applyNumberFormat="1" applyFont="1" applyFill="1" applyBorder="1"/>
    <xf numFmtId="4" fontId="15" fillId="0" borderId="53" xfId="1" applyNumberFormat="1" applyFont="1" applyBorder="1"/>
    <xf numFmtId="0" fontId="8" fillId="2" borderId="149" xfId="1" applyFont="1" applyFill="1" applyBorder="1"/>
    <xf numFmtId="4" fontId="15" fillId="0" borderId="133" xfId="1" applyNumberFormat="1" applyFont="1" applyBorder="1"/>
    <xf numFmtId="0" fontId="8" fillId="2" borderId="155" xfId="1" applyFont="1" applyFill="1" applyBorder="1"/>
    <xf numFmtId="4" fontId="15" fillId="3" borderId="32" xfId="1" applyNumberFormat="1" applyFont="1" applyFill="1" applyBorder="1"/>
    <xf numFmtId="0" fontId="8" fillId="2" borderId="208" xfId="1" applyFont="1" applyFill="1" applyBorder="1"/>
    <xf numFmtId="0" fontId="8" fillId="0" borderId="205" xfId="1" applyFont="1" applyBorder="1" applyAlignment="1">
      <alignment horizontal="centerContinuous"/>
    </xf>
    <xf numFmtId="0" fontId="8" fillId="0" borderId="209" xfId="1" applyFont="1" applyBorder="1" applyAlignment="1">
      <alignment horizontal="centerContinuous"/>
    </xf>
    <xf numFmtId="4" fontId="9" fillId="0" borderId="204" xfId="1" applyNumberFormat="1" applyFont="1" applyBorder="1"/>
    <xf numFmtId="4" fontId="9" fillId="0" borderId="139" xfId="1" applyNumberFormat="1" applyFont="1" applyBorder="1"/>
    <xf numFmtId="0" fontId="8" fillId="2" borderId="167" xfId="1" applyFont="1" applyFill="1" applyBorder="1" applyAlignment="1">
      <alignment horizontal="center"/>
    </xf>
    <xf numFmtId="4" fontId="15" fillId="0" borderId="67" xfId="1" applyNumberFormat="1" applyFont="1" applyBorder="1"/>
    <xf numFmtId="4" fontId="15" fillId="0" borderId="78" xfId="1" applyNumberFormat="1" applyFont="1" applyBorder="1"/>
    <xf numFmtId="4" fontId="9" fillId="0" borderId="167" xfId="1" applyNumberFormat="1" applyFont="1" applyBorder="1"/>
    <xf numFmtId="17" fontId="8" fillId="2" borderId="102" xfId="1" applyNumberFormat="1" applyFont="1" applyFill="1" applyBorder="1" applyAlignment="1">
      <alignment horizontal="centerContinuous"/>
    </xf>
    <xf numFmtId="0" fontId="8" fillId="2" borderId="207" xfId="1" applyFont="1" applyFill="1" applyBorder="1" applyAlignment="1">
      <alignment horizontal="center"/>
    </xf>
    <xf numFmtId="4" fontId="15" fillId="0" borderId="150" xfId="1" applyNumberFormat="1" applyFont="1" applyBorder="1"/>
    <xf numFmtId="4" fontId="15" fillId="0" borderId="152" xfId="1" applyNumberFormat="1" applyFont="1" applyBorder="1"/>
    <xf numFmtId="4" fontId="15" fillId="0" borderId="148" xfId="1" applyNumberFormat="1" applyFont="1" applyBorder="1"/>
    <xf numFmtId="4" fontId="15" fillId="3" borderId="153" xfId="1" applyNumberFormat="1" applyFont="1" applyFill="1" applyBorder="1"/>
    <xf numFmtId="4" fontId="15" fillId="0" borderId="155" xfId="1" applyNumberFormat="1" applyFont="1" applyBorder="1"/>
    <xf numFmtId="4" fontId="15" fillId="3" borderId="156" xfId="1" applyNumberFormat="1" applyFont="1" applyFill="1" applyBorder="1"/>
    <xf numFmtId="4" fontId="15" fillId="0" borderId="157" xfId="1" applyNumberFormat="1" applyFont="1" applyBorder="1"/>
    <xf numFmtId="4" fontId="15" fillId="0" borderId="149" xfId="1" applyNumberFormat="1" applyFont="1" applyBorder="1"/>
    <xf numFmtId="4" fontId="15" fillId="3" borderId="103" xfId="1" applyNumberFormat="1" applyFont="1" applyFill="1" applyBorder="1"/>
    <xf numFmtId="4" fontId="9" fillId="0" borderId="207" xfId="1" applyNumberFormat="1" applyFont="1" applyBorder="1"/>
    <xf numFmtId="174" fontId="1" fillId="0" borderId="0" xfId="0" applyNumberFormat="1" applyFont="1"/>
    <xf numFmtId="0" fontId="8" fillId="2" borderId="144" xfId="1" applyFont="1" applyFill="1" applyBorder="1" applyAlignment="1">
      <alignment horizontal="center" wrapText="1"/>
    </xf>
    <xf numFmtId="4" fontId="15" fillId="0" borderId="210" xfId="1" applyNumberFormat="1" applyFont="1" applyBorder="1"/>
    <xf numFmtId="4" fontId="15" fillId="0" borderId="104" xfId="1" applyNumberFormat="1" applyFont="1" applyBorder="1"/>
    <xf numFmtId="4" fontId="15" fillId="0" borderId="108" xfId="1" applyNumberFormat="1" applyFont="1" applyBorder="1"/>
    <xf numFmtId="4" fontId="15" fillId="0" borderId="110" xfId="1" applyNumberFormat="1" applyFont="1" applyBorder="1"/>
    <xf numFmtId="4" fontId="15" fillId="3" borderId="211" xfId="1" applyNumberFormat="1" applyFont="1" applyFill="1" applyBorder="1"/>
    <xf numFmtId="4" fontId="15" fillId="0" borderId="175" xfId="1" applyNumberFormat="1" applyFont="1" applyBorder="1"/>
    <xf numFmtId="4" fontId="15" fillId="0" borderId="212" xfId="1" applyNumberFormat="1" applyFont="1" applyBorder="1"/>
    <xf numFmtId="4" fontId="15" fillId="0" borderId="158" xfId="1" applyNumberFormat="1" applyFont="1" applyBorder="1"/>
    <xf numFmtId="4" fontId="15" fillId="0" borderId="130" xfId="1" applyNumberFormat="1" applyFont="1" applyBorder="1"/>
    <xf numFmtId="0" fontId="8" fillId="2" borderId="141" xfId="1" applyFont="1" applyFill="1" applyBorder="1"/>
    <xf numFmtId="0" fontId="8" fillId="2" borderId="132" xfId="1" applyFont="1" applyFill="1" applyBorder="1" applyAlignment="1">
      <alignment wrapText="1"/>
    </xf>
    <xf numFmtId="0" fontId="8" fillId="2" borderId="132" xfId="1" applyFont="1" applyFill="1" applyBorder="1" applyAlignment="1">
      <alignment horizontal="center"/>
    </xf>
    <xf numFmtId="0" fontId="8" fillId="2" borderId="52" xfId="1" applyFont="1" applyFill="1" applyBorder="1" applyAlignment="1">
      <alignment horizontal="center"/>
    </xf>
    <xf numFmtId="0" fontId="8" fillId="2" borderId="175" xfId="1" applyFont="1" applyFill="1" applyBorder="1"/>
    <xf numFmtId="0" fontId="8" fillId="2" borderId="15" xfId="1" applyFont="1" applyFill="1" applyBorder="1"/>
    <xf numFmtId="0" fontId="8" fillId="2" borderId="15" xfId="1" applyFont="1" applyFill="1" applyBorder="1" applyAlignment="1">
      <alignment horizontal="center"/>
    </xf>
    <xf numFmtId="17" fontId="8" fillId="2" borderId="15" xfId="1" applyNumberFormat="1" applyFont="1" applyFill="1" applyBorder="1" applyAlignment="1">
      <alignment horizontal="centerContinuous"/>
    </xf>
    <xf numFmtId="17" fontId="8" fillId="2" borderId="137" xfId="1" applyNumberFormat="1" applyFont="1" applyFill="1" applyBorder="1" applyAlignment="1">
      <alignment horizontal="centerContinuous"/>
    </xf>
    <xf numFmtId="2" fontId="8" fillId="0" borderId="213" xfId="1" applyNumberFormat="1" applyFont="1" applyBorder="1"/>
    <xf numFmtId="4" fontId="15" fillId="0" borderId="213" xfId="1" applyNumberFormat="1" applyFont="1" applyBorder="1"/>
    <xf numFmtId="2" fontId="8" fillId="0" borderId="73" xfId="1" applyNumberFormat="1" applyFont="1" applyBorder="1"/>
    <xf numFmtId="2" fontId="8" fillId="0" borderId="76" xfId="1" applyNumberFormat="1" applyFont="1" applyBorder="1"/>
    <xf numFmtId="0" fontId="8" fillId="2" borderId="213" xfId="1" applyFont="1" applyFill="1" applyBorder="1"/>
    <xf numFmtId="0" fontId="8" fillId="0" borderId="172" xfId="1" applyFont="1" applyBorder="1"/>
    <xf numFmtId="0" fontId="8" fillId="2" borderId="129" xfId="1" applyFont="1" applyFill="1" applyBorder="1"/>
    <xf numFmtId="0" fontId="8" fillId="0" borderId="61" xfId="1" applyFont="1" applyBorder="1"/>
    <xf numFmtId="0" fontId="8" fillId="7" borderId="47" xfId="1" applyFont="1" applyFill="1" applyBorder="1"/>
    <xf numFmtId="0" fontId="8" fillId="7" borderId="62" xfId="1" applyFont="1" applyFill="1" applyBorder="1" applyAlignment="1">
      <alignment horizontal="center" wrapText="1"/>
    </xf>
    <xf numFmtId="4" fontId="15" fillId="3" borderId="188" xfId="1" applyNumberFormat="1" applyFont="1" applyFill="1" applyBorder="1"/>
    <xf numFmtId="4" fontId="15" fillId="0" borderId="187" xfId="1" applyNumberFormat="1" applyFont="1" applyBorder="1"/>
    <xf numFmtId="0" fontId="8" fillId="0" borderId="14" xfId="1" applyFont="1" applyBorder="1"/>
    <xf numFmtId="4" fontId="8" fillId="0" borderId="56" xfId="0" applyNumberFormat="1" applyFont="1" applyBorder="1" applyAlignment="1">
      <alignment horizontal="right"/>
    </xf>
    <xf numFmtId="172" fontId="8" fillId="0" borderId="56" xfId="0" applyNumberFormat="1" applyFont="1" applyBorder="1" applyAlignment="1">
      <alignment horizontal="right"/>
    </xf>
    <xf numFmtId="0" fontId="8" fillId="0" borderId="171" xfId="1" applyFont="1" applyBorder="1"/>
    <xf numFmtId="0" fontId="8" fillId="0" borderId="171" xfId="0" applyFont="1" applyBorder="1" applyAlignment="1">
      <alignment horizontal="centerContinuous"/>
    </xf>
    <xf numFmtId="172" fontId="8" fillId="0" borderId="171" xfId="1" applyNumberFormat="1" applyFont="1" applyBorder="1"/>
    <xf numFmtId="172" fontId="8" fillId="0" borderId="171" xfId="0" applyNumberFormat="1" applyFont="1" applyBorder="1" applyAlignment="1">
      <alignment horizontal="right"/>
    </xf>
    <xf numFmtId="172" fontId="8" fillId="0" borderId="199" xfId="0" applyNumberFormat="1" applyFont="1" applyBorder="1" applyAlignment="1">
      <alignment horizontal="right"/>
    </xf>
    <xf numFmtId="0" fontId="8" fillId="7" borderId="6" xfId="1" applyFont="1" applyFill="1" applyBorder="1"/>
    <xf numFmtId="0" fontId="8" fillId="7" borderId="204" xfId="1" applyFont="1" applyFill="1" applyBorder="1"/>
    <xf numFmtId="0" fontId="8" fillId="7" borderId="205" xfId="1" applyFont="1" applyFill="1" applyBorder="1"/>
    <xf numFmtId="0" fontId="8" fillId="7" borderId="209" xfId="1" applyFont="1" applyFill="1" applyBorder="1"/>
    <xf numFmtId="17" fontId="8" fillId="7" borderId="204" xfId="1" applyNumberFormat="1" applyFont="1" applyFill="1" applyBorder="1" applyAlignment="1">
      <alignment horizontal="center"/>
    </xf>
    <xf numFmtId="17" fontId="8" fillId="7" borderId="139" xfId="1" applyNumberFormat="1" applyFont="1" applyFill="1" applyBorder="1" applyAlignment="1">
      <alignment horizontal="center"/>
    </xf>
    <xf numFmtId="17" fontId="8" fillId="7" borderId="167" xfId="1" applyNumberFormat="1" applyFont="1" applyFill="1" applyBorder="1" applyAlignment="1">
      <alignment horizontal="center"/>
    </xf>
    <xf numFmtId="4" fontId="8" fillId="0" borderId="58" xfId="0" applyNumberFormat="1" applyFont="1" applyBorder="1" applyAlignment="1">
      <alignment horizontal="right"/>
    </xf>
    <xf numFmtId="4" fontId="8" fillId="0" borderId="58" xfId="0" applyNumberFormat="1" applyFont="1" applyBorder="1"/>
    <xf numFmtId="172" fontId="8" fillId="0" borderId="58" xfId="1" applyNumberFormat="1" applyFont="1" applyBorder="1"/>
    <xf numFmtId="172" fontId="8" fillId="0" borderId="201" xfId="1" applyNumberFormat="1" applyFont="1" applyBorder="1"/>
    <xf numFmtId="17" fontId="8" fillId="7" borderId="207" xfId="1" applyNumberFormat="1" applyFont="1" applyFill="1" applyBorder="1" applyAlignment="1">
      <alignment horizontal="center"/>
    </xf>
    <xf numFmtId="4" fontId="15" fillId="3" borderId="214" xfId="1" applyNumberFormat="1" applyFont="1" applyFill="1" applyBorder="1"/>
    <xf numFmtId="4" fontId="15" fillId="0" borderId="215" xfId="1" applyNumberFormat="1" applyFont="1" applyBorder="1"/>
    <xf numFmtId="4" fontId="15" fillId="0" borderId="156" xfId="1" applyNumberFormat="1" applyFont="1" applyBorder="1"/>
    <xf numFmtId="4" fontId="15" fillId="0" borderId="216" xfId="1" applyNumberFormat="1" applyFont="1" applyBorder="1"/>
    <xf numFmtId="4" fontId="15" fillId="0" borderId="134" xfId="1" applyNumberFormat="1" applyFont="1" applyBorder="1"/>
    <xf numFmtId="4" fontId="15" fillId="3" borderId="10" xfId="1" applyNumberFormat="1" applyFont="1" applyFill="1" applyBorder="1"/>
    <xf numFmtId="4" fontId="8" fillId="0" borderId="170" xfId="0" applyNumberFormat="1" applyFont="1" applyBorder="1" applyAlignment="1">
      <alignment horizontal="right"/>
    </xf>
    <xf numFmtId="172" fontId="8" fillId="0" borderId="170" xfId="0" applyNumberFormat="1" applyFont="1" applyBorder="1" applyAlignment="1">
      <alignment horizontal="right"/>
    </xf>
    <xf numFmtId="172" fontId="8" fillId="0" borderId="64" xfId="0" applyNumberFormat="1" applyFont="1" applyBorder="1" applyAlignment="1">
      <alignment horizontal="right"/>
    </xf>
    <xf numFmtId="2" fontId="15" fillId="0" borderId="87" xfId="0" applyNumberFormat="1" applyFont="1" applyBorder="1"/>
    <xf numFmtId="2" fontId="15" fillId="0" borderId="26" xfId="0" applyNumberFormat="1" applyFont="1" applyBorder="1"/>
    <xf numFmtId="0" fontId="30" fillId="0" borderId="0" xfId="0" applyFont="1"/>
    <xf numFmtId="0" fontId="31" fillId="0" borderId="0" xfId="0" applyFont="1"/>
    <xf numFmtId="0" fontId="1" fillId="0" borderId="217" xfId="0" applyFont="1" applyBorder="1"/>
    <xf numFmtId="0" fontId="1" fillId="0" borderId="218" xfId="0" applyFont="1" applyBorder="1"/>
    <xf numFmtId="0" fontId="0" fillId="0" borderId="79" xfId="0" applyBorder="1"/>
    <xf numFmtId="0" fontId="1" fillId="0" borderId="0" xfId="0" applyFont="1" applyBorder="1"/>
    <xf numFmtId="0" fontId="0" fillId="0" borderId="71" xfId="0" applyBorder="1"/>
    <xf numFmtId="0" fontId="1" fillId="0" borderId="143" xfId="0" applyFont="1" applyBorder="1"/>
    <xf numFmtId="0" fontId="30" fillId="0" borderId="217" xfId="0" applyFont="1" applyBorder="1"/>
    <xf numFmtId="0" fontId="0" fillId="0" borderId="218" xfId="0" applyBorder="1"/>
    <xf numFmtId="0" fontId="1" fillId="0" borderId="79" xfId="0" applyFont="1" applyBorder="1"/>
    <xf numFmtId="0" fontId="1" fillId="0" borderId="71" xfId="0" applyFont="1" applyBorder="1"/>
    <xf numFmtId="165" fontId="8" fillId="0" borderId="21" xfId="0" applyNumberFormat="1" applyFont="1" applyBorder="1" applyAlignment="1">
      <alignment horizontal="right"/>
    </xf>
    <xf numFmtId="0" fontId="8" fillId="2" borderId="179" xfId="1" applyFont="1" applyFill="1" applyBorder="1" applyAlignment="1">
      <alignment horizontal="center" vertical="center"/>
    </xf>
    <xf numFmtId="0" fontId="8" fillId="5" borderId="55" xfId="1" applyFont="1" applyFill="1" applyBorder="1"/>
    <xf numFmtId="3" fontId="9" fillId="5" borderId="27" xfId="1" applyNumberFormat="1" applyFont="1" applyFill="1" applyBorder="1"/>
    <xf numFmtId="0" fontId="8" fillId="0" borderId="213" xfId="1" applyFont="1" applyFill="1" applyBorder="1"/>
    <xf numFmtId="0" fontId="8" fillId="0" borderId="85" xfId="1" applyFont="1" applyFill="1" applyBorder="1"/>
    <xf numFmtId="3" fontId="9" fillId="0" borderId="22" xfId="1" applyNumberFormat="1" applyFont="1" applyFill="1" applyBorder="1"/>
    <xf numFmtId="0" fontId="0" fillId="10" borderId="0" xfId="0" applyFill="1"/>
    <xf numFmtId="0" fontId="0" fillId="10" borderId="0" xfId="0" applyFill="1" applyBorder="1"/>
    <xf numFmtId="0" fontId="0" fillId="10" borderId="143" xfId="0" applyFill="1" applyBorder="1"/>
    <xf numFmtId="0" fontId="0" fillId="9" borderId="218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143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Border="1"/>
    <xf numFmtId="165" fontId="0" fillId="10" borderId="0" xfId="0" applyNumberFormat="1" applyFill="1"/>
    <xf numFmtId="170" fontId="1" fillId="0" borderId="65" xfId="4" applyNumberFormat="1" applyFont="1" applyBorder="1" applyAlignment="1">
      <alignment horizontal="right"/>
    </xf>
    <xf numFmtId="170" fontId="1" fillId="0" borderId="65" xfId="0" applyNumberFormat="1" applyFont="1" applyBorder="1" applyAlignment="1">
      <alignment horizontal="right"/>
    </xf>
    <xf numFmtId="0" fontId="1" fillId="0" borderId="135" xfId="0" applyFont="1" applyBorder="1" applyAlignment="1">
      <alignment horizontal="center" vertical="center"/>
    </xf>
    <xf numFmtId="0" fontId="1" fillId="0" borderId="12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60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1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7" fillId="0" borderId="143" xfId="0" applyFont="1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44" xfId="0" applyBorder="1" applyAlignment="1">
      <alignment horizontal="center"/>
    </xf>
    <xf numFmtId="0" fontId="8" fillId="0" borderId="65" xfId="0" applyFont="1" applyBorder="1" applyAlignment="1">
      <alignment horizontal="center"/>
    </xf>
    <xf numFmtId="0" fontId="8" fillId="0" borderId="60" xfId="0" applyFont="1" applyBorder="1" applyAlignment="1">
      <alignment horizontal="center"/>
    </xf>
    <xf numFmtId="0" fontId="8" fillId="0" borderId="168" xfId="0" applyFont="1" applyFill="1" applyBorder="1" applyAlignment="1">
      <alignment horizontal="center" vertical="center" wrapText="1"/>
    </xf>
    <xf numFmtId="0" fontId="8" fillId="0" borderId="169" xfId="0" applyFont="1" applyFill="1" applyBorder="1" applyAlignment="1">
      <alignment horizontal="center" vertical="center" wrapText="1"/>
    </xf>
    <xf numFmtId="0" fontId="8" fillId="0" borderId="170" xfId="0" applyFont="1" applyFill="1" applyBorder="1" applyAlignment="1">
      <alignment horizontal="center" vertical="center" wrapText="1"/>
    </xf>
    <xf numFmtId="0" fontId="8" fillId="0" borderId="65" xfId="0" applyFont="1" applyFill="1" applyBorder="1" applyAlignment="1">
      <alignment horizontal="center" vertical="center" wrapText="1"/>
    </xf>
    <xf numFmtId="0" fontId="8" fillId="0" borderId="64" xfId="0" applyFont="1" applyFill="1" applyBorder="1" applyAlignment="1">
      <alignment horizontal="center" vertical="center" wrapText="1"/>
    </xf>
    <xf numFmtId="0" fontId="8" fillId="0" borderId="171" xfId="0" applyFont="1" applyFill="1" applyBorder="1" applyAlignment="1">
      <alignment horizontal="center" vertical="center" wrapText="1"/>
    </xf>
    <xf numFmtId="0" fontId="8" fillId="0" borderId="169" xfId="0" applyFont="1" applyFill="1" applyBorder="1" applyAlignment="1">
      <alignment horizontal="center"/>
    </xf>
    <xf numFmtId="0" fontId="8" fillId="0" borderId="65" xfId="0" applyFont="1" applyFill="1" applyBorder="1" applyAlignment="1">
      <alignment horizontal="center"/>
    </xf>
    <xf numFmtId="0" fontId="8" fillId="0" borderId="171" xfId="0" applyFont="1" applyFill="1" applyBorder="1" applyAlignment="1">
      <alignment horizontal="center"/>
    </xf>
    <xf numFmtId="0" fontId="8" fillId="0" borderId="169" xfId="0" applyFont="1" applyBorder="1" applyAlignment="1">
      <alignment horizontal="center"/>
    </xf>
    <xf numFmtId="0" fontId="8" fillId="0" borderId="171" xfId="0" applyFont="1" applyBorder="1" applyAlignment="1">
      <alignment horizontal="center"/>
    </xf>
    <xf numFmtId="0" fontId="8" fillId="0" borderId="177" xfId="0" applyFont="1" applyBorder="1" applyAlignment="1">
      <alignment horizontal="center"/>
    </xf>
    <xf numFmtId="0" fontId="8" fillId="0" borderId="178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2" borderId="12" xfId="0" applyFont="1" applyFill="1" applyBorder="1" applyAlignment="1">
      <alignment horizontal="center" vertical="center" textRotation="90"/>
    </xf>
    <xf numFmtId="0" fontId="2" fillId="2" borderId="9" xfId="0" applyFont="1" applyFill="1" applyBorder="1" applyAlignment="1">
      <alignment horizontal="center" vertical="center" textRotation="90"/>
    </xf>
    <xf numFmtId="0" fontId="2" fillId="2" borderId="29" xfId="0" applyFont="1" applyFill="1" applyBorder="1" applyAlignment="1">
      <alignment horizontal="center" vertical="center" textRotation="90" shrinkToFit="1"/>
    </xf>
    <xf numFmtId="0" fontId="2" fillId="2" borderId="24" xfId="0" applyFont="1" applyFill="1" applyBorder="1" applyAlignment="1">
      <alignment horizontal="center" vertical="center" textRotation="90" shrinkToFit="1"/>
    </xf>
    <xf numFmtId="0" fontId="2" fillId="2" borderId="35" xfId="0" applyFont="1" applyFill="1" applyBorder="1" applyAlignment="1">
      <alignment horizontal="center" vertical="center" textRotation="90"/>
    </xf>
    <xf numFmtId="0" fontId="2" fillId="2" borderId="30" xfId="0" applyFont="1" applyFill="1" applyBorder="1" applyAlignment="1">
      <alignment horizontal="center" vertical="center" textRotation="90"/>
    </xf>
    <xf numFmtId="0" fontId="2" fillId="2" borderId="25" xfId="0" applyFont="1" applyFill="1" applyBorder="1" applyAlignment="1">
      <alignment horizontal="center" vertical="center" textRotation="90"/>
    </xf>
    <xf numFmtId="0" fontId="2" fillId="2" borderId="31" xfId="0" applyFont="1" applyFill="1" applyBorder="1" applyAlignment="1">
      <alignment horizontal="center" vertical="center" textRotation="90"/>
    </xf>
    <xf numFmtId="0" fontId="2" fillId="2" borderId="29" xfId="0" applyFont="1" applyFill="1" applyBorder="1" applyAlignment="1">
      <alignment horizontal="center" vertical="center" textRotation="90"/>
    </xf>
    <xf numFmtId="0" fontId="2" fillId="2" borderId="24" xfId="0" applyFont="1" applyFill="1" applyBorder="1" applyAlignment="1">
      <alignment horizontal="center" vertical="center" textRotation="90"/>
    </xf>
    <xf numFmtId="0" fontId="2" fillId="2" borderId="45" xfId="0" applyFont="1" applyFill="1" applyBorder="1" applyAlignment="1">
      <alignment horizontal="center"/>
    </xf>
    <xf numFmtId="0" fontId="2" fillId="2" borderId="44" xfId="0" applyFont="1" applyFill="1" applyBorder="1" applyAlignment="1">
      <alignment horizontal="center"/>
    </xf>
    <xf numFmtId="0" fontId="8" fillId="0" borderId="168" xfId="0" applyFont="1" applyBorder="1" applyAlignment="1">
      <alignment horizontal="center" vertical="center" wrapText="1"/>
    </xf>
    <xf numFmtId="0" fontId="8" fillId="0" borderId="169" xfId="0" applyFont="1" applyBorder="1" applyAlignment="1">
      <alignment horizontal="center" vertical="center" wrapText="1"/>
    </xf>
    <xf numFmtId="0" fontId="8" fillId="0" borderId="170" xfId="0" applyFont="1" applyBorder="1" applyAlignment="1">
      <alignment horizontal="center" vertical="center" wrapText="1"/>
    </xf>
    <xf numFmtId="0" fontId="8" fillId="0" borderId="65" xfId="0" applyFont="1" applyBorder="1" applyAlignment="1">
      <alignment horizontal="center" vertical="center" wrapText="1"/>
    </xf>
    <xf numFmtId="0" fontId="8" fillId="0" borderId="64" xfId="0" applyFont="1" applyBorder="1" applyAlignment="1">
      <alignment horizontal="center" vertical="center" wrapText="1"/>
    </xf>
    <xf numFmtId="0" fontId="8" fillId="0" borderId="171" xfId="0" applyFont="1" applyBorder="1" applyAlignment="1">
      <alignment horizontal="center" vertical="center" wrapText="1"/>
    </xf>
    <xf numFmtId="0" fontId="8" fillId="0" borderId="100" xfId="0" applyFont="1" applyBorder="1" applyAlignment="1">
      <alignment horizontal="center" vertical="center" wrapText="1"/>
    </xf>
    <xf numFmtId="0" fontId="8" fillId="0" borderId="60" xfId="0" applyFont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textRotation="90"/>
    </xf>
    <xf numFmtId="0" fontId="2" fillId="2" borderId="10" xfId="0" applyFont="1" applyFill="1" applyBorder="1" applyAlignment="1">
      <alignment horizontal="center" vertical="center" textRotation="90"/>
    </xf>
    <xf numFmtId="0" fontId="2" fillId="2" borderId="23" xfId="0" applyFont="1" applyFill="1" applyBorder="1" applyAlignment="1">
      <alignment horizontal="center" vertical="center" textRotation="90"/>
    </xf>
    <xf numFmtId="0" fontId="1" fillId="0" borderId="65" xfId="0" applyFont="1" applyBorder="1" applyAlignment="1">
      <alignment horizontal="center" vertical="center"/>
    </xf>
    <xf numFmtId="0" fontId="2" fillId="2" borderId="131" xfId="0" applyFont="1" applyFill="1" applyBorder="1" applyAlignment="1">
      <alignment horizontal="center"/>
    </xf>
    <xf numFmtId="0" fontId="2" fillId="2" borderId="3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9" xfId="0" applyFont="1" applyFill="1" applyBorder="1" applyAlignment="1">
      <alignment horizontal="center"/>
    </xf>
    <xf numFmtId="0" fontId="11" fillId="0" borderId="0" xfId="1" applyFont="1" applyAlignment="1">
      <alignment horizontal="center"/>
    </xf>
    <xf numFmtId="0" fontId="8" fillId="2" borderId="42" xfId="1" applyFont="1" applyFill="1" applyBorder="1" applyAlignment="1">
      <alignment horizontal="center"/>
    </xf>
    <xf numFmtId="0" fontId="8" fillId="2" borderId="43" xfId="1" applyFont="1" applyFill="1" applyBorder="1" applyAlignment="1">
      <alignment horizontal="center"/>
    </xf>
    <xf numFmtId="0" fontId="8" fillId="2" borderId="78" xfId="1" applyFont="1" applyFill="1" applyBorder="1" applyAlignment="1">
      <alignment horizontal="center"/>
    </xf>
    <xf numFmtId="0" fontId="8" fillId="2" borderId="77" xfId="1" applyFont="1" applyFill="1" applyBorder="1" applyAlignment="1">
      <alignment horizontal="center"/>
    </xf>
    <xf numFmtId="0" fontId="8" fillId="2" borderId="100" xfId="1" applyFont="1" applyFill="1" applyBorder="1" applyAlignment="1">
      <alignment horizontal="center" vertical="center" textRotation="90"/>
    </xf>
    <xf numFmtId="0" fontId="8" fillId="2" borderId="30" xfId="1" applyFont="1" applyFill="1" applyBorder="1" applyAlignment="1">
      <alignment horizontal="center" vertical="center" textRotation="90"/>
    </xf>
    <xf numFmtId="0" fontId="8" fillId="2" borderId="25" xfId="1" applyFont="1" applyFill="1" applyBorder="1" applyAlignment="1">
      <alignment horizontal="center" vertical="center" textRotation="90"/>
    </xf>
    <xf numFmtId="0" fontId="8" fillId="2" borderId="35" xfId="1" quotePrefix="1" applyFont="1" applyFill="1" applyBorder="1" applyAlignment="1">
      <alignment horizontal="center" vertical="center" textRotation="90"/>
    </xf>
    <xf numFmtId="0" fontId="8" fillId="0" borderId="126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8" fillId="2" borderId="47" xfId="1" applyFont="1" applyFill="1" applyBorder="1" applyAlignment="1">
      <alignment horizontal="center"/>
    </xf>
    <xf numFmtId="0" fontId="8" fillId="2" borderId="75" xfId="1" applyFont="1" applyFill="1" applyBorder="1" applyAlignment="1">
      <alignment horizontal="center"/>
    </xf>
    <xf numFmtId="0" fontId="8" fillId="2" borderId="14" xfId="1" applyFont="1" applyFill="1" applyBorder="1" applyAlignment="1">
      <alignment horizontal="center" vertical="center" textRotation="90"/>
    </xf>
    <xf numFmtId="0" fontId="8" fillId="2" borderId="10" xfId="1" applyFont="1" applyFill="1" applyBorder="1" applyAlignment="1">
      <alignment horizontal="center" vertical="center" textRotation="90"/>
    </xf>
    <xf numFmtId="0" fontId="8" fillId="2" borderId="121" xfId="1" quotePrefix="1" applyFont="1" applyFill="1" applyBorder="1" applyAlignment="1">
      <alignment horizontal="center" vertical="center" textRotation="90"/>
    </xf>
    <xf numFmtId="0" fontId="10" fillId="0" borderId="58" xfId="1" applyFont="1" applyBorder="1" applyAlignment="1">
      <alignment horizontal="center"/>
    </xf>
    <xf numFmtId="0" fontId="10" fillId="0" borderId="90" xfId="1" applyFont="1" applyBorder="1" applyAlignment="1">
      <alignment horizontal="center"/>
    </xf>
    <xf numFmtId="0" fontId="8" fillId="2" borderId="132" xfId="1" applyFont="1" applyFill="1" applyBorder="1" applyAlignment="1">
      <alignment horizontal="center"/>
    </xf>
    <xf numFmtId="0" fontId="8" fillId="7" borderId="78" xfId="1" applyFont="1" applyFill="1" applyBorder="1" applyAlignment="1">
      <alignment horizontal="center"/>
    </xf>
    <xf numFmtId="0" fontId="8" fillId="7" borderId="77" xfId="1" applyFont="1" applyFill="1" applyBorder="1" applyAlignment="1">
      <alignment horizontal="center"/>
    </xf>
    <xf numFmtId="0" fontId="8" fillId="0" borderId="47" xfId="0" applyFont="1" applyBorder="1" applyAlignment="1">
      <alignment horizontal="center" vertical="center" wrapText="1"/>
    </xf>
    <xf numFmtId="0" fontId="8" fillId="0" borderId="75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7" borderId="65" xfId="1" applyFont="1" applyFill="1" applyBorder="1" applyAlignment="1">
      <alignment horizontal="center"/>
    </xf>
    <xf numFmtId="0" fontId="8" fillId="7" borderId="67" xfId="1" applyFont="1" applyFill="1" applyBorder="1" applyAlignment="1">
      <alignment horizontal="center"/>
    </xf>
    <xf numFmtId="0" fontId="8" fillId="7" borderId="55" xfId="1" applyFont="1" applyFill="1" applyBorder="1" applyAlignment="1">
      <alignment horizontal="center"/>
    </xf>
    <xf numFmtId="0" fontId="29" fillId="7" borderId="47" xfId="1" applyFont="1" applyFill="1" applyBorder="1" applyAlignment="1">
      <alignment horizontal="center" vertical="center"/>
    </xf>
    <xf numFmtId="0" fontId="29" fillId="7" borderId="62" xfId="1" applyFont="1" applyFill="1" applyBorder="1" applyAlignment="1">
      <alignment horizontal="center" vertical="center"/>
    </xf>
    <xf numFmtId="0" fontId="29" fillId="7" borderId="120" xfId="1" applyFont="1" applyFill="1" applyBorder="1" applyAlignment="1">
      <alignment horizontal="center" vertical="center"/>
    </xf>
    <xf numFmtId="0" fontId="8" fillId="7" borderId="63" xfId="1" applyFont="1" applyFill="1" applyBorder="1" applyAlignment="1">
      <alignment horizontal="center"/>
    </xf>
    <xf numFmtId="0" fontId="8" fillId="7" borderId="75" xfId="1" applyFont="1" applyFill="1" applyBorder="1" applyAlignment="1">
      <alignment horizontal="center"/>
    </xf>
    <xf numFmtId="0" fontId="8" fillId="7" borderId="42" xfId="1" applyFont="1" applyFill="1" applyBorder="1" applyAlignment="1">
      <alignment horizontal="center"/>
    </xf>
    <xf numFmtId="0" fontId="8" fillId="7" borderId="44" xfId="1" applyFont="1" applyFill="1" applyBorder="1" applyAlignment="1">
      <alignment horizontal="center"/>
    </xf>
    <xf numFmtId="0" fontId="8" fillId="0" borderId="19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 textRotation="90"/>
    </xf>
    <xf numFmtId="0" fontId="3" fillId="2" borderId="30" xfId="0" applyFont="1" applyFill="1" applyBorder="1" applyAlignment="1">
      <alignment horizontal="center" vertical="center" textRotation="90"/>
    </xf>
    <xf numFmtId="0" fontId="3" fillId="2" borderId="89" xfId="0" applyFont="1" applyFill="1" applyBorder="1" applyAlignment="1">
      <alignment horizontal="center" vertical="center" textRotation="90"/>
    </xf>
    <xf numFmtId="0" fontId="3" fillId="2" borderId="25" xfId="0" applyFont="1" applyFill="1" applyBorder="1" applyAlignment="1">
      <alignment horizontal="center" vertical="center" textRotation="90"/>
    </xf>
    <xf numFmtId="0" fontId="8" fillId="0" borderId="115" xfId="0" applyFont="1" applyBorder="1" applyAlignment="1">
      <alignment horizontal="center" vertical="center"/>
    </xf>
    <xf numFmtId="0" fontId="8" fillId="0" borderId="116" xfId="0" applyFont="1" applyBorder="1" applyAlignment="1">
      <alignment horizontal="center" vertical="center"/>
    </xf>
    <xf numFmtId="0" fontId="8" fillId="0" borderId="117" xfId="0" applyFont="1" applyBorder="1" applyAlignment="1">
      <alignment horizontal="center" vertical="center"/>
    </xf>
    <xf numFmtId="0" fontId="8" fillId="0" borderId="118" xfId="0" applyFont="1" applyBorder="1" applyAlignment="1">
      <alignment horizontal="center" vertical="center" wrapText="1"/>
    </xf>
    <xf numFmtId="0" fontId="8" fillId="0" borderId="118" xfId="0" applyFont="1" applyBorder="1" applyAlignment="1">
      <alignment horizontal="center" vertical="center"/>
    </xf>
    <xf numFmtId="0" fontId="3" fillId="2" borderId="38" xfId="0" applyFont="1" applyFill="1" applyBorder="1" applyAlignment="1">
      <alignment horizontal="center"/>
    </xf>
    <xf numFmtId="0" fontId="3" fillId="2" borderId="37" xfId="0" applyFont="1" applyFill="1" applyBorder="1" applyAlignment="1">
      <alignment horizontal="center"/>
    </xf>
    <xf numFmtId="0" fontId="3" fillId="2" borderId="63" xfId="0" applyFont="1" applyFill="1" applyBorder="1" applyAlignment="1">
      <alignment horizontal="center"/>
    </xf>
    <xf numFmtId="0" fontId="3" fillId="2" borderId="62" xfId="0" applyFont="1" applyFill="1" applyBorder="1" applyAlignment="1">
      <alignment horizontal="center"/>
    </xf>
    <xf numFmtId="0" fontId="3" fillId="2" borderId="75" xfId="0" applyFont="1" applyFill="1" applyBorder="1" applyAlignment="1">
      <alignment horizontal="center"/>
    </xf>
    <xf numFmtId="0" fontId="3" fillId="2" borderId="42" xfId="0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3" fillId="2" borderId="121" xfId="0" applyFont="1" applyFill="1" applyBorder="1" applyAlignment="1">
      <alignment horizontal="center" vertical="center" textRotation="90"/>
    </xf>
    <xf numFmtId="0" fontId="3" fillId="2" borderId="14" xfId="0" applyFont="1" applyFill="1" applyBorder="1" applyAlignment="1">
      <alignment horizontal="center" vertical="center" textRotation="90"/>
    </xf>
    <xf numFmtId="0" fontId="3" fillId="2" borderId="10" xfId="0" applyFont="1" applyFill="1" applyBorder="1" applyAlignment="1">
      <alignment horizontal="center" vertical="center" textRotation="90"/>
    </xf>
    <xf numFmtId="0" fontId="1" fillId="0" borderId="141" xfId="0" applyFont="1" applyBorder="1" applyAlignment="1">
      <alignment horizontal="center" vertical="center"/>
    </xf>
    <xf numFmtId="0" fontId="1" fillId="0" borderId="108" xfId="0" applyFont="1" applyBorder="1" applyAlignment="1">
      <alignment horizontal="center" vertical="center"/>
    </xf>
    <xf numFmtId="0" fontId="1" fillId="0" borderId="142" xfId="0" applyFont="1" applyBorder="1" applyAlignment="1">
      <alignment horizontal="center" vertical="center"/>
    </xf>
    <xf numFmtId="0" fontId="8" fillId="2" borderId="12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0" borderId="128" xfId="0" applyFont="1" applyBorder="1" applyAlignment="1">
      <alignment horizontal="center" vertical="center"/>
    </xf>
    <xf numFmtId="0" fontId="8" fillId="0" borderId="179" xfId="0" applyFont="1" applyBorder="1" applyAlignment="1">
      <alignment horizontal="center" vertical="center"/>
    </xf>
    <xf numFmtId="0" fontId="8" fillId="0" borderId="147" xfId="0" applyFont="1" applyBorder="1" applyAlignment="1">
      <alignment horizontal="center" vertical="center"/>
    </xf>
    <xf numFmtId="0" fontId="2" fillId="2" borderId="42" xfId="0" applyFont="1" applyFill="1" applyBorder="1" applyAlignment="1">
      <alignment horizontal="center"/>
    </xf>
    <xf numFmtId="0" fontId="2" fillId="2" borderId="41" xfId="0" applyFont="1" applyFill="1" applyBorder="1" applyAlignment="1">
      <alignment horizontal="center"/>
    </xf>
    <xf numFmtId="0" fontId="8" fillId="2" borderId="19" xfId="1" applyFont="1" applyFill="1" applyBorder="1" applyAlignment="1">
      <alignment horizontal="center" vertical="center"/>
    </xf>
    <xf numFmtId="0" fontId="8" fillId="2" borderId="82" xfId="1" applyFont="1" applyFill="1" applyBorder="1" applyAlignment="1">
      <alignment horizontal="center" vertical="center"/>
    </xf>
    <xf numFmtId="0" fontId="8" fillId="2" borderId="63" xfId="1" applyFont="1" applyFill="1" applyBorder="1" applyAlignment="1">
      <alignment horizontal="center"/>
    </xf>
    <xf numFmtId="0" fontId="8" fillId="2" borderId="62" xfId="1" applyFont="1" applyFill="1" applyBorder="1" applyAlignment="1">
      <alignment horizontal="center"/>
    </xf>
    <xf numFmtId="0" fontId="8" fillId="2" borderId="38" xfId="1" applyFont="1" applyFill="1" applyBorder="1" applyAlignment="1">
      <alignment horizontal="center"/>
    </xf>
    <xf numFmtId="0" fontId="8" fillId="2" borderId="37" xfId="1" applyFont="1" applyFill="1" applyBorder="1" applyAlignment="1">
      <alignment horizontal="center"/>
    </xf>
    <xf numFmtId="0" fontId="8" fillId="2" borderId="35" xfId="1" applyFont="1" applyFill="1" applyBorder="1" applyAlignment="1">
      <alignment horizontal="center" vertical="center" textRotation="90"/>
    </xf>
    <xf numFmtId="0" fontId="8" fillId="2" borderId="2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</cellXfs>
  <cellStyles count="6">
    <cellStyle name="DIV1000" xfId="5" xr:uid="{5C72FB82-A0DA-43D3-93CC-05CB4020BD9C}"/>
    <cellStyle name="Moeda" xfId="3" builtinId="4"/>
    <cellStyle name="Normal" xfId="0" builtinId="0"/>
    <cellStyle name="Normal 2" xfId="1" xr:uid="{00000000-0005-0000-0000-000002000000}"/>
    <cellStyle name="Porcentagem" xfId="2" builtinId="5"/>
    <cellStyle name="Vírgula" xfId="4" builtinId="3"/>
  </cellStyles>
  <dxfs count="6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F2F2F2"/>
      <color rgb="FFFFFFCC"/>
      <color rgb="FF0000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39" Type="http://schemas.openxmlformats.org/officeDocument/2006/relationships/externalLink" Target="externalLinks/externalLink23.xml"/><Relationship Id="rId21" Type="http://schemas.openxmlformats.org/officeDocument/2006/relationships/externalLink" Target="externalLinks/externalLink5.xml"/><Relationship Id="rId34" Type="http://schemas.openxmlformats.org/officeDocument/2006/relationships/externalLink" Target="externalLinks/externalLink18.xml"/><Relationship Id="rId42" Type="http://schemas.openxmlformats.org/officeDocument/2006/relationships/externalLink" Target="externalLinks/externalLink26.xml"/><Relationship Id="rId47" Type="http://schemas.openxmlformats.org/officeDocument/2006/relationships/externalLink" Target="externalLinks/externalLink31.xml"/><Relationship Id="rId50" Type="http://schemas.openxmlformats.org/officeDocument/2006/relationships/externalLink" Target="externalLinks/externalLink34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3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externalLink" Target="externalLinks/externalLink16.xml"/><Relationship Id="rId37" Type="http://schemas.openxmlformats.org/officeDocument/2006/relationships/externalLink" Target="externalLinks/externalLink21.xml"/><Relationship Id="rId40" Type="http://schemas.openxmlformats.org/officeDocument/2006/relationships/externalLink" Target="externalLinks/externalLink24.xml"/><Relationship Id="rId45" Type="http://schemas.openxmlformats.org/officeDocument/2006/relationships/externalLink" Target="externalLinks/externalLink29.xml"/><Relationship Id="rId53" Type="http://schemas.openxmlformats.org/officeDocument/2006/relationships/theme" Target="theme/theme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externalLink" Target="externalLinks/externalLink14.xml"/><Relationship Id="rId35" Type="http://schemas.openxmlformats.org/officeDocument/2006/relationships/externalLink" Target="externalLinks/externalLink19.xml"/><Relationship Id="rId43" Type="http://schemas.openxmlformats.org/officeDocument/2006/relationships/externalLink" Target="externalLinks/externalLink27.xml"/><Relationship Id="rId48" Type="http://schemas.openxmlformats.org/officeDocument/2006/relationships/externalLink" Target="externalLinks/externalLink32.xml"/><Relationship Id="rId56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externalLink" Target="externalLinks/externalLink17.xml"/><Relationship Id="rId38" Type="http://schemas.openxmlformats.org/officeDocument/2006/relationships/externalLink" Target="externalLinks/externalLink22.xml"/><Relationship Id="rId46" Type="http://schemas.openxmlformats.org/officeDocument/2006/relationships/externalLink" Target="externalLinks/externalLink30.xml"/><Relationship Id="rId20" Type="http://schemas.openxmlformats.org/officeDocument/2006/relationships/externalLink" Target="externalLinks/externalLink4.xml"/><Relationship Id="rId41" Type="http://schemas.openxmlformats.org/officeDocument/2006/relationships/externalLink" Target="externalLinks/externalLink25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36" Type="http://schemas.openxmlformats.org/officeDocument/2006/relationships/externalLink" Target="externalLinks/externalLink20.xml"/><Relationship Id="rId49" Type="http://schemas.openxmlformats.org/officeDocument/2006/relationships/externalLink" Target="externalLinks/externalLink33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5.xml"/><Relationship Id="rId44" Type="http://schemas.openxmlformats.org/officeDocument/2006/relationships/externalLink" Target="externalLinks/externalLink28.xml"/><Relationship Id="rId52" Type="http://schemas.openxmlformats.org/officeDocument/2006/relationships/externalLink" Target="externalLinks/externalLink3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de Falhas - UM-1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8577415513564905E-2"/>
          <c:y val="0.17171296296296296"/>
          <c:w val="0.9414307385082139"/>
          <c:h val="0.671196230154227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'Falhas UM-1 - Cost'!$E$70</c:f>
              <c:strCache>
                <c:ptCount val="1"/>
                <c:pt idx="0">
                  <c:v>BP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50000"/>
                  </a:schemeClr>
                </a:gs>
                <a:gs pos="50000">
                  <a:schemeClr val="accent4">
                    <a:lumMod val="40000"/>
                    <a:lumOff val="60000"/>
                  </a:schemeClr>
                </a:gs>
                <a:gs pos="100000">
                  <a:schemeClr val="accent4">
                    <a:lumMod val="50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[0]!LinUM1_X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[0]!LinUM1_BP</c:f>
              <c:numCache>
                <c:formatCode>#,##0.000,</c:formatCode>
                <c:ptCount val="12"/>
                <c:pt idx="0">
                  <c:v>4605.4622694100417</c:v>
                </c:pt>
                <c:pt idx="1">
                  <c:v>4679.5607101937167</c:v>
                </c:pt>
                <c:pt idx="2">
                  <c:v>2943.3037714297143</c:v>
                </c:pt>
                <c:pt idx="3">
                  <c:v>4552.9948183563265</c:v>
                </c:pt>
                <c:pt idx="4">
                  <c:v>4301.5417738451069</c:v>
                </c:pt>
                <c:pt idx="5">
                  <c:v>4644.647599723633</c:v>
                </c:pt>
                <c:pt idx="6">
                  <c:v>1511.0425264903513</c:v>
                </c:pt>
                <c:pt idx="7">
                  <c:v>719.42684626137043</c:v>
                </c:pt>
                <c:pt idx="8">
                  <c:v>1008.1926523914865</c:v>
                </c:pt>
                <c:pt idx="9">
                  <c:v>1845.8988045699998</c:v>
                </c:pt>
                <c:pt idx="10">
                  <c:v>1878.3257282199997</c:v>
                </c:pt>
                <c:pt idx="11">
                  <c:v>2289.9406609799998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9-4FF0-951C-1AC7B1FA7569}"/>
            </c:ext>
          </c:extLst>
        </c:ser>
        <c:ser>
          <c:idx val="0"/>
          <c:order val="1"/>
          <c:tx>
            <c:strRef>
              <c:f>'Falhas UM-1 - Cost'!$E$69</c:f>
              <c:strCache>
                <c:ptCount val="1"/>
                <c:pt idx="0">
                  <c:v>Real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[0]!LinUM1_X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[0]!LinUM1_Y</c:f>
              <c:numCache>
                <c:formatCode>#,##0.000,</c:formatCode>
                <c:ptCount val="12"/>
                <c:pt idx="0">
                  <c:v>2568.5447771905974</c:v>
                </c:pt>
                <c:pt idx="1">
                  <c:v>1401.620590647882</c:v>
                </c:pt>
                <c:pt idx="2">
                  <c:v>1395.188850122327</c:v>
                </c:pt>
                <c:pt idx="3">
                  <c:v>1409.94078419838</c:v>
                </c:pt>
                <c:pt idx="4">
                  <c:v>2546.9379671898623</c:v>
                </c:pt>
                <c:pt idx="5">
                  <c:v>2951.4369387756697</c:v>
                </c:pt>
                <c:pt idx="6">
                  <c:v>2972.4489903514768</c:v>
                </c:pt>
                <c:pt idx="7">
                  <c:v>2975.8518725432909</c:v>
                </c:pt>
                <c:pt idx="8">
                  <c:v>2385.9260948508086</c:v>
                </c:pt>
                <c:pt idx="9">
                  <c:v>2211.1470290865996</c:v>
                </c:pt>
                <c:pt idx="10">
                  <c:v>2237.2480150468928</c:v>
                </c:pt>
                <c:pt idx="11">
                  <c:v>2754.3331933599238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9-4FF0-951C-1AC7B1FA75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overlap val="-27"/>
        <c:axId val="394387560"/>
        <c:axId val="394392264"/>
      </c:barChart>
      <c:dateAx>
        <c:axId val="39438756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4392264"/>
        <c:crosses val="autoZero"/>
        <c:auto val="1"/>
        <c:lblOffset val="100"/>
        <c:baseTimeUnit val="months"/>
      </c:dateAx>
      <c:valAx>
        <c:axId val="394392264"/>
        <c:scaling>
          <c:orientation val="minMax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Custo (R$)</a:t>
                </a:r>
              </a:p>
            </c:rich>
          </c:tx>
          <c:layout>
            <c:manualLayout>
              <c:xMode val="edge"/>
              <c:yMode val="edge"/>
              <c:x val="7.0060176101491081E-3"/>
              <c:y val="0.304560002916302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0," sourceLinked="1"/>
        <c:majorTickMark val="none"/>
        <c:minorTickMark val="none"/>
        <c:tickLblPos val="nextTo"/>
        <c:crossAx val="394387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490097202416623"/>
          <c:y val="5.6662657801780585E-2"/>
          <c:w val="0.16809822656682349"/>
          <c:h val="7.87840280771819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Custo de Falhas UM-3 Linha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2230215979837074E-2"/>
          <c:y val="0.1725003645377661"/>
          <c:w val="0.94104221029046731"/>
          <c:h val="0.5620771224271362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'Falhas UM-3-1 Cost'!$C$65</c:f>
              <c:strCache>
                <c:ptCount val="1"/>
                <c:pt idx="0">
                  <c:v>BP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50000"/>
                  </a:schemeClr>
                </a:gs>
                <a:gs pos="51000">
                  <a:schemeClr val="accent4">
                    <a:lumMod val="60000"/>
                    <a:lumOff val="40000"/>
                  </a:schemeClr>
                </a:gs>
                <a:gs pos="100000">
                  <a:schemeClr val="accent4">
                    <a:lumMod val="50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[0]!LinUM31_X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[0]!LinUM31_BP</c:f>
              <c:numCache>
                <c:formatCode>#,##0.000,</c:formatCode>
                <c:ptCount val="12"/>
                <c:pt idx="0">
                  <c:v>2077.765446177159</c:v>
                </c:pt>
                <c:pt idx="1">
                  <c:v>2015.8266915265965</c:v>
                </c:pt>
                <c:pt idx="2">
                  <c:v>1210.3443384703271</c:v>
                </c:pt>
                <c:pt idx="3">
                  <c:v>1864.80441628072</c:v>
                </c:pt>
                <c:pt idx="4">
                  <c:v>2361.3107130551816</c:v>
                </c:pt>
                <c:pt idx="5">
                  <c:v>2720.4269641422911</c:v>
                </c:pt>
                <c:pt idx="6">
                  <c:v>102.16506556073583</c:v>
                </c:pt>
                <c:pt idx="7">
                  <c:v>2325.4985181262555</c:v>
                </c:pt>
                <c:pt idx="8">
                  <c:v>2665.1160679261939</c:v>
                </c:pt>
                <c:pt idx="9">
                  <c:v>1102.2378402894863</c:v>
                </c:pt>
                <c:pt idx="10">
                  <c:v>1228.0378248110455</c:v>
                </c:pt>
                <c:pt idx="11">
                  <c:v>1258.3398077062914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7C-46A6-9C79-3CD23890BB50}"/>
            </c:ext>
          </c:extLst>
        </c:ser>
        <c:ser>
          <c:idx val="0"/>
          <c:order val="1"/>
          <c:tx>
            <c:strRef>
              <c:f>'Falhas UM-3-1 Cost'!$C$64</c:f>
              <c:strCache>
                <c:ptCount val="1"/>
                <c:pt idx="0">
                  <c:v>Real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[0]!LinUM31_X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[0]!LinUM31_Y</c:f>
              <c:numCache>
                <c:formatCode>#,##0.000,</c:formatCode>
                <c:ptCount val="12"/>
                <c:pt idx="0">
                  <c:v>2059.1156257786065</c:v>
                </c:pt>
                <c:pt idx="1">
                  <c:v>2155.0009578700328</c:v>
                </c:pt>
                <c:pt idx="2">
                  <c:v>2073.9396070426642</c:v>
                </c:pt>
                <c:pt idx="3">
                  <c:v>2087.3477330442106</c:v>
                </c:pt>
                <c:pt idx="4">
                  <c:v>2112.8475032577135</c:v>
                </c:pt>
                <c:pt idx="5">
                  <c:v>2402.2686099973944</c:v>
                </c:pt>
                <c:pt idx="6">
                  <c:v>2372.7203920333045</c:v>
                </c:pt>
                <c:pt idx="7">
                  <c:v>2373.9649536816196</c:v>
                </c:pt>
                <c:pt idx="8">
                  <c:v>2258.7591000669563</c:v>
                </c:pt>
                <c:pt idx="9">
                  <c:v>1751.7336677654839</c:v>
                </c:pt>
                <c:pt idx="10">
                  <c:v>1681.3467779419311</c:v>
                </c:pt>
                <c:pt idx="11">
                  <c:v>2131.7594342527827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7C-46A6-9C79-3CD23890BB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7"/>
        <c:axId val="394387952"/>
        <c:axId val="394388344"/>
      </c:barChart>
      <c:dateAx>
        <c:axId val="39438795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394388344"/>
        <c:crosses val="autoZero"/>
        <c:auto val="1"/>
        <c:lblOffset val="100"/>
        <c:baseTimeUnit val="months"/>
        <c:majorUnit val="1"/>
        <c:majorTimeUnit val="months"/>
      </c:dateAx>
      <c:valAx>
        <c:axId val="3943883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/>
                  <a:t>Custo (R$)</a:t>
                </a:r>
              </a:p>
            </c:rich>
          </c:tx>
          <c:layout>
            <c:manualLayout>
              <c:xMode val="edge"/>
              <c:yMode val="edge"/>
              <c:x val="1.3737475013619303E-2"/>
              <c:y val="0.27521602206142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#,##0.000," sourceLinked="1"/>
        <c:majorTickMark val="none"/>
        <c:minorTickMark val="none"/>
        <c:tickLblPos val="nextTo"/>
        <c:crossAx val="39438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825227879265586"/>
          <c:y val="4.1652328481687026E-2"/>
          <c:w val="0.11830092218738594"/>
          <c:h val="8.92403032954214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Custo de Falhas UM-3 Linha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7686278313351315E-2"/>
          <c:y val="0.13132398548562785"/>
          <c:w val="0.90898039275197562"/>
          <c:h val="0.6210574955076213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'Falhas UM-3-2 Cost'!$C$65</c:f>
              <c:strCache>
                <c:ptCount val="1"/>
                <c:pt idx="0">
                  <c:v>BP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50000"/>
                  </a:schemeClr>
                </a:gs>
                <a:gs pos="50000">
                  <a:schemeClr val="accent4">
                    <a:lumMod val="60000"/>
                    <a:lumOff val="40000"/>
                  </a:schemeClr>
                </a:gs>
                <a:gs pos="100000">
                  <a:schemeClr val="accent4">
                    <a:lumMod val="50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[0]!LinUM32_X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[0]!LinUM32_BP</c:f>
              <c:numCache>
                <c:formatCode>#,##0.000,</c:formatCode>
                <c:ptCount val="12"/>
                <c:pt idx="0">
                  <c:v>8154.7947498654521</c:v>
                </c:pt>
                <c:pt idx="1">
                  <c:v>5335.2673649185435</c:v>
                </c:pt>
                <c:pt idx="2">
                  <c:v>4627.4525857269182</c:v>
                </c:pt>
                <c:pt idx="3">
                  <c:v>5011.742968832983</c:v>
                </c:pt>
                <c:pt idx="4">
                  <c:v>6964.492353935766</c:v>
                </c:pt>
                <c:pt idx="5">
                  <c:v>7024.808770773443</c:v>
                </c:pt>
                <c:pt idx="6">
                  <c:v>2144.8487617068295</c:v>
                </c:pt>
                <c:pt idx="7">
                  <c:v>5970.3481714972268</c:v>
                </c:pt>
                <c:pt idx="8">
                  <c:v>5655.1925741622736</c:v>
                </c:pt>
                <c:pt idx="9">
                  <c:v>2979.1592677595672</c:v>
                </c:pt>
                <c:pt idx="10">
                  <c:v>3319.1749849417893</c:v>
                </c:pt>
                <c:pt idx="11">
                  <c:v>3401.0760319518922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71-4F32-A467-D0BEF0E65BEB}"/>
            </c:ext>
          </c:extLst>
        </c:ser>
        <c:ser>
          <c:idx val="0"/>
          <c:order val="1"/>
          <c:tx>
            <c:strRef>
              <c:f>'Falhas UM-3-2 Cost'!$C$64</c:f>
              <c:strCache>
                <c:ptCount val="1"/>
                <c:pt idx="0">
                  <c:v>Real</c:v>
                </c:pt>
              </c:strCache>
            </c:strRef>
          </c:tx>
          <c:spPr>
            <a:gradFill flip="none" rotWithShape="1">
              <a:gsLst>
                <a:gs pos="0">
                  <a:srgbClr val="002060"/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0"/>
              <a:tileRect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rgbClr val="002060"/>
                  </a:gs>
                  <a:gs pos="50000">
                    <a:schemeClr val="accent5">
                      <a:lumMod val="40000"/>
                      <a:lumOff val="60000"/>
                    </a:schemeClr>
                  </a:gs>
                  <a:gs pos="100000">
                    <a:srgbClr val="002060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A2-407D-93F7-A06810103B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[0]!LinUM32_X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[0]!LinUM32_Y</c:f>
              <c:numCache>
                <c:formatCode>#,##0.000,</c:formatCode>
                <c:ptCount val="12"/>
                <c:pt idx="0">
                  <c:v>6128.9806651355857</c:v>
                </c:pt>
                <c:pt idx="1">
                  <c:v>6414.3844273629929</c:v>
                </c:pt>
                <c:pt idx="2">
                  <c:v>6173.1044109856439</c:v>
                </c:pt>
                <c:pt idx="3">
                  <c:v>6213.0138478285153</c:v>
                </c:pt>
                <c:pt idx="4">
                  <c:v>6288.9141987594458</c:v>
                </c:pt>
                <c:pt idx="5">
                  <c:v>7150.3793564622365</c:v>
                </c:pt>
                <c:pt idx="6">
                  <c:v>7062.4287555713126</c:v>
                </c:pt>
                <c:pt idx="7">
                  <c:v>7066.1332072221076</c:v>
                </c:pt>
                <c:pt idx="8">
                  <c:v>6723.2216968266093</c:v>
                </c:pt>
                <c:pt idx="9">
                  <c:v>5214.0548329538296</c:v>
                </c:pt>
                <c:pt idx="10">
                  <c:v>5004.5474690123519</c:v>
                </c:pt>
                <c:pt idx="11">
                  <c:v>6345.2057726555595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71-4F32-A467-D0BEF0E65B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overlap val="-27"/>
        <c:axId val="394389912"/>
        <c:axId val="394391088"/>
      </c:barChart>
      <c:dateAx>
        <c:axId val="39438991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394391088"/>
        <c:crosses val="autoZero"/>
        <c:auto val="1"/>
        <c:lblOffset val="100"/>
        <c:baseTimeUnit val="months"/>
        <c:majorUnit val="1"/>
        <c:majorTimeUnit val="months"/>
      </c:dateAx>
      <c:valAx>
        <c:axId val="394391088"/>
        <c:scaling>
          <c:orientation val="minMax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/>
                  <a:t>Custo (R$)</a:t>
                </a:r>
              </a:p>
            </c:rich>
          </c:tx>
          <c:layout>
            <c:manualLayout>
              <c:xMode val="edge"/>
              <c:yMode val="edge"/>
              <c:x val="1.6420615604867572E-2"/>
              <c:y val="0.295558407859407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#,##0.000," sourceLinked="1"/>
        <c:majorTickMark val="out"/>
        <c:minorTickMark val="none"/>
        <c:tickLblPos val="nextTo"/>
        <c:crossAx val="394389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972113497384939"/>
          <c:y val="2.5527256075985286E-2"/>
          <c:w val="0.11886490238486426"/>
          <c:h val="7.5719509064544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Montagem UM-4 - Custo de Falhas (kR$)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427813529959667"/>
          <c:y val="0.17171296296296296"/>
          <c:w val="0.85203641798273577"/>
          <c:h val="0.562055581807106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'Falhas UM-4 Cost'!$C$70</c:f>
              <c:strCache>
                <c:ptCount val="1"/>
                <c:pt idx="0">
                  <c:v>BP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50000">
                  <a:schemeClr val="accent4">
                    <a:lumMod val="40000"/>
                    <a:lumOff val="60000"/>
                  </a:schemeClr>
                </a:gs>
                <a:gs pos="100000">
                  <a:schemeClr val="accent4">
                    <a:lumMod val="75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4">
                      <a:lumMod val="75000"/>
                    </a:schemeClr>
                  </a:gs>
                  <a:gs pos="50000">
                    <a:schemeClr val="accent4">
                      <a:lumMod val="40000"/>
                      <a:lumOff val="60000"/>
                    </a:schemeClr>
                  </a:gs>
                  <a:gs pos="100000">
                    <a:schemeClr val="accent4">
                      <a:lumMod val="75000"/>
                    </a:schemeClr>
                  </a:gs>
                </a:gsLst>
                <a:lin ang="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40-49EF-89C1-F610CDBE57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[0]!LinUM4_X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[0]!LinUM4_BP</c:f>
              <c:numCache>
                <c:formatCode>#,##0.000,</c:formatCode>
                <c:ptCount val="12"/>
                <c:pt idx="0">
                  <c:v>2061.5599192637101</c:v>
                </c:pt>
                <c:pt idx="1">
                  <c:v>3801.756763171702</c:v>
                </c:pt>
                <c:pt idx="2">
                  <c:v>2517.7117939257155</c:v>
                </c:pt>
                <c:pt idx="3">
                  <c:v>3582.4234130501068</c:v>
                </c:pt>
                <c:pt idx="4">
                  <c:v>3899.7266270056975</c:v>
                </c:pt>
                <c:pt idx="5">
                  <c:v>3921.8965134373011</c:v>
                </c:pt>
                <c:pt idx="6">
                  <c:v>3787.3580781191786</c:v>
                </c:pt>
                <c:pt idx="7">
                  <c:v>3950.8139313174561</c:v>
                </c:pt>
                <c:pt idx="8">
                  <c:v>3760.784136607409</c:v>
                </c:pt>
                <c:pt idx="9">
                  <c:v>3358.0266990965456</c:v>
                </c:pt>
                <c:pt idx="10">
                  <c:v>3390.8338489089228</c:v>
                </c:pt>
                <c:pt idx="11">
                  <c:v>3836.0484668561312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7-4E45-B371-02DB54A3BDD1}"/>
            </c:ext>
          </c:extLst>
        </c:ser>
        <c:ser>
          <c:idx val="1"/>
          <c:order val="1"/>
          <c:tx>
            <c:strRef>
              <c:f>'Falhas UM-4 Cost'!$C$69</c:f>
              <c:strCache>
                <c:ptCount val="1"/>
                <c:pt idx="0">
                  <c:v>Real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75000"/>
                  </a:schemeClr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chemeClr val="accent5">
                    <a:lumMod val="75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[0]!LinUM4_X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[0]!LinUM4_Y</c:f>
              <c:numCache>
                <c:formatCode>#,##0.000,</c:formatCode>
                <c:ptCount val="12"/>
                <c:pt idx="0">
                  <c:v>2608.5282730863819</c:v>
                </c:pt>
                <c:pt idx="1">
                  <c:v>3801.756763171702</c:v>
                </c:pt>
                <c:pt idx="2">
                  <c:v>2517.7117939257155</c:v>
                </c:pt>
                <c:pt idx="3">
                  <c:v>3582.4234130501068</c:v>
                </c:pt>
                <c:pt idx="4">
                  <c:v>3899.7266270056975</c:v>
                </c:pt>
                <c:pt idx="5">
                  <c:v>3921.8965134373011</c:v>
                </c:pt>
                <c:pt idx="6">
                  <c:v>3787.3580781191786</c:v>
                </c:pt>
                <c:pt idx="7">
                  <c:v>3950.8139313174561</c:v>
                </c:pt>
                <c:pt idx="8">
                  <c:v>3760.784136607409</c:v>
                </c:pt>
                <c:pt idx="9">
                  <c:v>3358.0266990965456</c:v>
                </c:pt>
                <c:pt idx="10">
                  <c:v>3390.8338489089228</c:v>
                </c:pt>
                <c:pt idx="11">
                  <c:v>2868.5012050423347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4-4DD9-A6C5-D60BD9ED45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overlap val="-27"/>
        <c:axId val="409551288"/>
        <c:axId val="409554424"/>
      </c:barChart>
      <c:dateAx>
        <c:axId val="40955128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9554424"/>
        <c:crosses val="autoZero"/>
        <c:auto val="1"/>
        <c:lblOffset val="100"/>
        <c:baseTimeUnit val="months"/>
      </c:dateAx>
      <c:valAx>
        <c:axId val="40955442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Custo de Falhas</a:t>
                </a:r>
              </a:p>
            </c:rich>
          </c:tx>
          <c:layout>
            <c:manualLayout>
              <c:xMode val="edge"/>
              <c:yMode val="edge"/>
              <c:x val="1.0408188775700133E-2"/>
              <c:y val="0.23213800963262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0," sourceLinked="1"/>
        <c:majorTickMark val="none"/>
        <c:minorTickMark val="none"/>
        <c:tickLblPos val="nextTo"/>
        <c:crossAx val="40955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6241555089948"/>
          <c:y val="3.3133410380052866E-2"/>
          <c:w val="0.17869039777333764"/>
          <c:h val="7.77787582573777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Custo de Falhas da Blindagem (R$)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'BLIND-PVC-PRE - Cost'!$C$6:$C$10</c:f>
              <c:strCache>
                <c:ptCount val="1"/>
                <c:pt idx="0">
                  <c:v>UM-1</c:v>
                </c:pt>
              </c:strCache>
            </c:strRef>
          </c:tx>
          <c:spPr>
            <a:gradFill>
              <a:gsLst>
                <a:gs pos="0">
                  <a:srgbClr val="FFC000"/>
                </a:gs>
                <a:gs pos="53000">
                  <a:schemeClr val="accent4">
                    <a:lumMod val="40000"/>
                    <a:lumOff val="60000"/>
                  </a:schemeClr>
                </a:gs>
                <a:gs pos="100000">
                  <a:srgbClr val="FFC000"/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[0]!bld_um1_y</c:f>
              <c:numCache>
                <c:formatCode>0.00</c:formatCode>
                <c:ptCount val="12"/>
                <c:pt idx="0">
                  <c:v>149.93155807225128</c:v>
                </c:pt>
                <c:pt idx="1">
                  <c:v>81.815649409016402</c:v>
                </c:pt>
                <c:pt idx="2">
                  <c:v>81.440214693345354</c:v>
                </c:pt>
                <c:pt idx="3">
                  <c:v>82.301317244580972</c:v>
                </c:pt>
                <c:pt idx="4">
                  <c:v>148.67032146966241</c:v>
                </c:pt>
                <c:pt idx="5">
                  <c:v>172.28180824888744</c:v>
                </c:pt>
                <c:pt idx="6">
                  <c:v>173.50832750563995</c:v>
                </c:pt>
                <c:pt idx="7">
                  <c:v>173.70696115745932</c:v>
                </c:pt>
                <c:pt idx="8">
                  <c:v>139.27170747534873</c:v>
                </c:pt>
                <c:pt idx="9">
                  <c:v>129.06947238832706</c:v>
                </c:pt>
                <c:pt idx="10">
                  <c:v>130.59304383897896</c:v>
                </c:pt>
                <c:pt idx="11">
                  <c:v>160.77643294280369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80-4B0C-BBF6-86A717844DC2}"/>
            </c:ext>
          </c:extLst>
        </c:ser>
        <c:ser>
          <c:idx val="1"/>
          <c:order val="1"/>
          <c:tx>
            <c:v>UM-3</c:v>
          </c:tx>
          <c:spPr>
            <a:gradFill>
              <a:gsLst>
                <a:gs pos="0">
                  <a:srgbClr val="0000FF"/>
                </a:gs>
                <a:gs pos="53000">
                  <a:schemeClr val="accent1">
                    <a:lumMod val="45000"/>
                    <a:lumOff val="55000"/>
                  </a:schemeClr>
                </a:gs>
                <a:gs pos="100000">
                  <a:srgbClr val="0000FF"/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[0]!bld_um3_y</c:f>
              <c:numCache>
                <c:formatCode>0.00</c:formatCode>
                <c:ptCount val="12"/>
                <c:pt idx="0">
                  <c:v>917.00451218012199</c:v>
                </c:pt>
                <c:pt idx="1">
                  <c:v>959.70599095039734</c:v>
                </c:pt>
                <c:pt idx="2">
                  <c:v>923.60620930554398</c:v>
                </c:pt>
                <c:pt idx="3">
                  <c:v>929.57737085148631</c:v>
                </c:pt>
                <c:pt idx="4">
                  <c:v>940.93341324784092</c:v>
                </c:pt>
                <c:pt idx="5">
                  <c:v>1069.8239221040872</c:v>
                </c:pt>
                <c:pt idx="6">
                  <c:v>1056.6649479985381</c:v>
                </c:pt>
                <c:pt idx="7">
                  <c:v>1057.2191998496255</c:v>
                </c:pt>
                <c:pt idx="8">
                  <c:v>1005.9135391710213</c:v>
                </c:pt>
                <c:pt idx="9">
                  <c:v>780.11533561714407</c:v>
                </c:pt>
                <c:pt idx="10">
                  <c:v>748.76930785723289</c:v>
                </c:pt>
                <c:pt idx="11">
                  <c:v>949.35563385527269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80-4B0C-BBF6-86A717844D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224953280"/>
        <c:axId val="1224950784"/>
      </c:barChart>
      <c:lineChart>
        <c:grouping val="standard"/>
        <c:varyColors val="0"/>
        <c:ser>
          <c:idx val="2"/>
          <c:order val="2"/>
          <c:tx>
            <c:v>BP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[0]!bld_BP_y</c:f>
              <c:numCache>
                <c:formatCode>0.00</c:formatCode>
                <c:ptCount val="12"/>
                <c:pt idx="0">
                  <c:v>1066.9360702523732</c:v>
                </c:pt>
                <c:pt idx="1">
                  <c:v>1041.5216403594136</c:v>
                </c:pt>
                <c:pt idx="2">
                  <c:v>1005.0464239988894</c:v>
                </c:pt>
                <c:pt idx="3">
                  <c:v>1011.8786880960672</c:v>
                </c:pt>
                <c:pt idx="4">
                  <c:v>1089.6037347175034</c:v>
                </c:pt>
                <c:pt idx="5">
                  <c:v>1242.1057303529747</c:v>
                </c:pt>
                <c:pt idx="6">
                  <c:v>1230.1732755041778</c:v>
                </c:pt>
                <c:pt idx="7">
                  <c:v>1230.9261610070848</c:v>
                </c:pt>
                <c:pt idx="8">
                  <c:v>1145.1852466463699</c:v>
                </c:pt>
                <c:pt idx="9">
                  <c:v>909.18480800547115</c:v>
                </c:pt>
                <c:pt idx="10">
                  <c:v>879.36235169621182</c:v>
                </c:pt>
                <c:pt idx="11">
                  <c:v>1110.1320667980763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80-4B0C-BBF6-86A717844D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24953280"/>
        <c:axId val="1224950784"/>
      </c:lineChart>
      <c:scatterChart>
        <c:scatterStyle val="lineMarker"/>
        <c:varyColors val="0"/>
        <c:ser>
          <c:idx val="3"/>
          <c:order val="3"/>
          <c:tx>
            <c:v>Total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xVal>
          <c:yVal>
            <c:numRef>
              <c:f>[0]!bld_Total_y</c:f>
              <c:numCache>
                <c:formatCode>0.00</c:formatCode>
                <c:ptCount val="12"/>
                <c:pt idx="0">
                  <c:v>1066.9360702523732</c:v>
                </c:pt>
                <c:pt idx="1">
                  <c:v>1041.5216403594136</c:v>
                </c:pt>
                <c:pt idx="2">
                  <c:v>1005.0464239988894</c:v>
                </c:pt>
                <c:pt idx="3">
                  <c:v>1011.8786880960672</c:v>
                </c:pt>
                <c:pt idx="4">
                  <c:v>1089.6037347175034</c:v>
                </c:pt>
                <c:pt idx="5">
                  <c:v>1242.1057303529747</c:v>
                </c:pt>
                <c:pt idx="6">
                  <c:v>1230.1732755041778</c:v>
                </c:pt>
                <c:pt idx="7">
                  <c:v>1230.9261610070848</c:v>
                </c:pt>
                <c:pt idx="8">
                  <c:v>1145.1852466463699</c:v>
                </c:pt>
                <c:pt idx="9">
                  <c:v>909.18480800547115</c:v>
                </c:pt>
                <c:pt idx="10">
                  <c:v>879.36235169621182</c:v>
                </c:pt>
                <c:pt idx="11">
                  <c:v>1110.1320667980763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80-4B0C-BBF6-86A717844D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6952880"/>
        <c:axId val="1246957040"/>
      </c:scatterChart>
      <c:dateAx>
        <c:axId val="1224953280"/>
        <c:scaling>
          <c:orientation val="minMax"/>
          <c:min val="44287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4950784"/>
        <c:crosses val="autoZero"/>
        <c:auto val="1"/>
        <c:lblOffset val="100"/>
        <c:baseTimeUnit val="months"/>
        <c:majorUnit val="1"/>
        <c:majorTimeUnit val="months"/>
      </c:dateAx>
      <c:valAx>
        <c:axId val="12249507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224953280"/>
        <c:crosses val="autoZero"/>
        <c:crossBetween val="between"/>
      </c:valAx>
      <c:valAx>
        <c:axId val="124695704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1246952880"/>
        <c:crosses val="max"/>
        <c:crossBetween val="midCat"/>
      </c:valAx>
      <c:valAx>
        <c:axId val="124695288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246957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accent1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Custo de Falhas da PVC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'BLIND-PVC-PRE - Cost'!$C$6:$C$10</c:f>
              <c:strCache>
                <c:ptCount val="1"/>
                <c:pt idx="0">
                  <c:v>UM-1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53000">
                  <a:schemeClr val="accent4">
                    <a:lumMod val="40000"/>
                    <a:lumOff val="60000"/>
                  </a:schemeClr>
                </a:gs>
                <a:gs pos="100000">
                  <a:schemeClr val="accent4">
                    <a:lumMod val="75000"/>
                  </a:schemeClr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[0]!pvc_um1_y</c:f>
              <c:numCache>
                <c:formatCode>0.00</c:formatCode>
                <c:ptCount val="12"/>
                <c:pt idx="0">
                  <c:v>606.33614900591988</c:v>
                </c:pt>
                <c:pt idx="1">
                  <c:v>330.86954093530943</c:v>
                </c:pt>
                <c:pt idx="2">
                  <c:v>329.3512505724932</c:v>
                </c:pt>
                <c:pt idx="3">
                  <c:v>332.83362354005601</c:v>
                </c:pt>
                <c:pt idx="4">
                  <c:v>601.23559943229009</c:v>
                </c:pt>
                <c:pt idx="5">
                  <c:v>696.7224879172378</c:v>
                </c:pt>
                <c:pt idx="6">
                  <c:v>701.68263755072951</c:v>
                </c:pt>
                <c:pt idx="7">
                  <c:v>702.48592916628832</c:v>
                </c:pt>
                <c:pt idx="8">
                  <c:v>563.22679402416452</c:v>
                </c:pt>
                <c:pt idx="9">
                  <c:v>521.96807562322033</c:v>
                </c:pt>
                <c:pt idx="10">
                  <c:v>528.12952994278714</c:v>
                </c:pt>
                <c:pt idx="11">
                  <c:v>650.19375810441954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06-482F-BB64-138889F18411}"/>
            </c:ext>
          </c:extLst>
        </c:ser>
        <c:ser>
          <c:idx val="1"/>
          <c:order val="1"/>
          <c:tx>
            <c:v>UM-3</c:v>
          </c:tx>
          <c:spPr>
            <a:gradFill>
              <a:gsLst>
                <a:gs pos="0">
                  <a:srgbClr val="0000FF"/>
                </a:gs>
                <a:gs pos="53000">
                  <a:schemeClr val="accent1">
                    <a:lumMod val="40000"/>
                    <a:lumOff val="60000"/>
                  </a:schemeClr>
                </a:gs>
                <a:gs pos="100000">
                  <a:srgbClr val="0000FF"/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[0]!pvc_um3_y</c:f>
              <c:numCache>
                <c:formatCode>0.00</c:formatCode>
                <c:ptCount val="12"/>
                <c:pt idx="0">
                  <c:v>1592.4503170380212</c:v>
                </c:pt>
                <c:pt idx="1">
                  <c:v>1666.6047868388853</c:v>
                </c:pt>
                <c:pt idx="2">
                  <c:v>1603.9146823063813</c:v>
                </c:pt>
                <c:pt idx="3">
                  <c:v>1614.2840730461439</c:v>
                </c:pt>
                <c:pt idx="4">
                  <c:v>1634.0047320769033</c:v>
                </c:pt>
                <c:pt idx="5">
                  <c:v>1857.8332181585563</c:v>
                </c:pt>
                <c:pt idx="6">
                  <c:v>1834.9816266909661</c:v>
                </c:pt>
                <c:pt idx="7">
                  <c:v>1835.9441285372059</c:v>
                </c:pt>
                <c:pt idx="8">
                  <c:v>1746.8478214544327</c:v>
                </c:pt>
                <c:pt idx="9">
                  <c:v>1354.7315166162741</c:v>
                </c:pt>
                <c:pt idx="10">
                  <c:v>1300.2966788579752</c:v>
                </c:pt>
                <c:pt idx="11">
                  <c:v>1648.6305792764801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06-482F-BB64-138889F184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224953280"/>
        <c:axId val="1224950784"/>
      </c:barChart>
      <c:lineChart>
        <c:grouping val="standard"/>
        <c:varyColors val="0"/>
        <c:ser>
          <c:idx val="2"/>
          <c:order val="2"/>
          <c:tx>
            <c:v>BP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[0]!pvc_BP_y</c:f>
              <c:numCache>
                <c:formatCode>0.00</c:formatCode>
                <c:ptCount val="12"/>
                <c:pt idx="0">
                  <c:v>2198.7864660439409</c:v>
                </c:pt>
                <c:pt idx="1">
                  <c:v>1997.4743277741948</c:v>
                </c:pt>
                <c:pt idx="2">
                  <c:v>1933.2659328788745</c:v>
                </c:pt>
                <c:pt idx="3">
                  <c:v>1947.1176965862001</c:v>
                </c:pt>
                <c:pt idx="4">
                  <c:v>2235.2403315091933</c:v>
                </c:pt>
                <c:pt idx="5">
                  <c:v>2554.5557060757942</c:v>
                </c:pt>
                <c:pt idx="6">
                  <c:v>2536.6642642416955</c:v>
                </c:pt>
                <c:pt idx="7">
                  <c:v>2538.4300577034942</c:v>
                </c:pt>
                <c:pt idx="8">
                  <c:v>2310.0746154785975</c:v>
                </c:pt>
                <c:pt idx="9">
                  <c:v>1876.6995922394945</c:v>
                </c:pt>
                <c:pt idx="10">
                  <c:v>1828.4262088007622</c:v>
                </c:pt>
                <c:pt idx="11">
                  <c:v>2298.8243373808996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06-482F-BB64-138889F184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24953280"/>
        <c:axId val="1224950784"/>
      </c:lineChart>
      <c:scatterChart>
        <c:scatterStyle val="lineMarker"/>
        <c:varyColors val="0"/>
        <c:ser>
          <c:idx val="3"/>
          <c:order val="3"/>
          <c:tx>
            <c:v>Total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xVal>
          <c:yVal>
            <c:numRef>
              <c:f>[0]!pvc_Total_y</c:f>
              <c:numCache>
                <c:formatCode>0.00</c:formatCode>
                <c:ptCount val="12"/>
                <c:pt idx="0">
                  <c:v>2198.7864660439409</c:v>
                </c:pt>
                <c:pt idx="1">
                  <c:v>1997.4743277741948</c:v>
                </c:pt>
                <c:pt idx="2">
                  <c:v>1933.2659328788745</c:v>
                </c:pt>
                <c:pt idx="3">
                  <c:v>1947.1176965862001</c:v>
                </c:pt>
                <c:pt idx="4">
                  <c:v>2235.2403315091933</c:v>
                </c:pt>
                <c:pt idx="5">
                  <c:v>2554.5557060757942</c:v>
                </c:pt>
                <c:pt idx="6">
                  <c:v>2536.6642642416955</c:v>
                </c:pt>
                <c:pt idx="7">
                  <c:v>2538.4300577034942</c:v>
                </c:pt>
                <c:pt idx="8">
                  <c:v>2310.0746154785975</c:v>
                </c:pt>
                <c:pt idx="9">
                  <c:v>1876.6995922394945</c:v>
                </c:pt>
                <c:pt idx="10">
                  <c:v>1828.4262088007622</c:v>
                </c:pt>
                <c:pt idx="11">
                  <c:v>2298.8243373808996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06-482F-BB64-138889F184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6952880"/>
        <c:axId val="1246957040"/>
      </c:scatterChart>
      <c:dateAx>
        <c:axId val="12249532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4950784"/>
        <c:crosses val="autoZero"/>
        <c:auto val="1"/>
        <c:lblOffset val="100"/>
        <c:baseTimeUnit val="months"/>
      </c:dateAx>
      <c:valAx>
        <c:axId val="12249507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224953280"/>
        <c:crosses val="autoZero"/>
        <c:crossBetween val="between"/>
      </c:valAx>
      <c:valAx>
        <c:axId val="124695704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1246952880"/>
        <c:crosses val="max"/>
        <c:crossBetween val="midCat"/>
      </c:valAx>
      <c:valAx>
        <c:axId val="124695288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246957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Custo de Falhas da Prensa (R$)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'BLIND-PVC-PRE - Cost'!$C$6:$C$10</c:f>
              <c:strCache>
                <c:ptCount val="1"/>
                <c:pt idx="0">
                  <c:v>UM-1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50000">
                  <a:schemeClr val="accent4">
                    <a:lumMod val="40000"/>
                    <a:lumOff val="60000"/>
                  </a:schemeClr>
                </a:gs>
                <a:gs pos="100000">
                  <a:schemeClr val="accent4">
                    <a:lumMod val="75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[0]!pre_um1_y</c:f>
              <c:numCache>
                <c:formatCode>0.00</c:formatCode>
                <c:ptCount val="12"/>
                <c:pt idx="0">
                  <c:v>190.75871911748999</c:v>
                </c:pt>
                <c:pt idx="1">
                  <c:v>104.09448608216714</c:v>
                </c:pt>
                <c:pt idx="2">
                  <c:v>103.61681849573986</c:v>
                </c:pt>
                <c:pt idx="3">
                  <c:v>104.71240385358266</c:v>
                </c:pt>
                <c:pt idx="4">
                  <c:v>189.15404107700692</c:v>
                </c:pt>
                <c:pt idx="5">
                  <c:v>219.19506134236039</c:v>
                </c:pt>
                <c:pt idx="6">
                  <c:v>220.75556831900568</c:v>
                </c:pt>
                <c:pt idx="7">
                  <c:v>221.00829097114021</c:v>
                </c:pt>
                <c:pt idx="8">
                  <c:v>177.19613448224578</c:v>
                </c:pt>
                <c:pt idx="9">
                  <c:v>164.21577649518392</c:v>
                </c:pt>
                <c:pt idx="10">
                  <c:v>166.15422455873488</c:v>
                </c:pt>
                <c:pt idx="11">
                  <c:v>204.55671112060855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016-B785-6F460641034F}"/>
            </c:ext>
          </c:extLst>
        </c:ser>
        <c:ser>
          <c:idx val="1"/>
          <c:order val="1"/>
          <c:tx>
            <c:v>UM-3</c:v>
          </c:tx>
          <c:spPr>
            <a:gradFill>
              <a:gsLst>
                <a:gs pos="0">
                  <a:schemeClr val="accent5">
                    <a:lumMod val="75000"/>
                  </a:schemeClr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chemeClr val="accent5">
                    <a:lumMod val="75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[0]!pre_UM3_y</c:f>
              <c:numCache>
                <c:formatCode>0.00</c:formatCode>
                <c:ptCount val="12"/>
                <c:pt idx="0">
                  <c:v>343.56985907670207</c:v>
                </c:pt>
                <c:pt idx="1">
                  <c:v>359.56862554797164</c:v>
                </c:pt>
                <c:pt idx="2">
                  <c:v>346.04328654725612</c:v>
                </c:pt>
                <c:pt idx="3">
                  <c:v>348.28047415496621</c:v>
                </c:pt>
                <c:pt idx="4">
                  <c:v>352.53519028118109</c:v>
                </c:pt>
                <c:pt idx="5">
                  <c:v>400.82600387683624</c:v>
                </c:pt>
                <c:pt idx="6">
                  <c:v>395.89579162707423</c:v>
                </c:pt>
                <c:pt idx="7">
                  <c:v>396.10345061657955</c:v>
                </c:pt>
                <c:pt idx="8">
                  <c:v>376.88099491973918</c:v>
                </c:pt>
                <c:pt idx="9">
                  <c:v>292.28222147385668</c:v>
                </c:pt>
                <c:pt idx="10">
                  <c:v>280.53794955693542</c:v>
                </c:pt>
                <c:pt idx="11">
                  <c:v>355.6907049038179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016-B785-6F460641034F}"/>
            </c:ext>
          </c:extLst>
        </c:ser>
        <c:ser>
          <c:idx val="4"/>
          <c:order val="2"/>
          <c:tx>
            <c:v>UM-4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50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75000"/>
                  </a:schemeClr>
                </a:gs>
              </a:gsLst>
              <a:lin ang="0" scaled="0"/>
            </a:gra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[0]!pre_UM4_y</c:f>
              <c:numCache>
                <c:formatCode>0.00</c:formatCode>
                <c:ptCount val="12"/>
                <c:pt idx="0">
                  <c:v>349.61520011308926</c:v>
                </c:pt>
                <c:pt idx="1">
                  <c:v>399.18164314925951</c:v>
                </c:pt>
                <c:pt idx="2">
                  <c:v>361.55910703493038</c:v>
                </c:pt>
                <c:pt idx="3">
                  <c:v>363.37702153657852</c:v>
                </c:pt>
                <c:pt idx="4">
                  <c:v>392.29116770422519</c:v>
                </c:pt>
                <c:pt idx="5">
                  <c:v>413.39077176978731</c:v>
                </c:pt>
                <c:pt idx="6">
                  <c:v>403.35268068020156</c:v>
                </c:pt>
                <c:pt idx="7">
                  <c:v>402.54584971370866</c:v>
                </c:pt>
                <c:pt idx="8">
                  <c:v>402.06990781576928</c:v>
                </c:pt>
                <c:pt idx="9">
                  <c:v>297.56694809527608</c:v>
                </c:pt>
                <c:pt idx="10">
                  <c:v>310.79917459569896</c:v>
                </c:pt>
                <c:pt idx="11">
                  <c:v>384.45878972165673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D2-4B4A-863A-4335B3136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4953280"/>
        <c:axId val="1224950784"/>
      </c:barChart>
      <c:lineChart>
        <c:grouping val="standard"/>
        <c:varyColors val="0"/>
        <c:ser>
          <c:idx val="2"/>
          <c:order val="3"/>
          <c:tx>
            <c:v>BP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cat>
          <c:val>
            <c:numRef>
              <c:f>[0]!pre_BP_y</c:f>
              <c:numCache>
                <c:formatCode>0.00</c:formatCode>
                <c:ptCount val="12"/>
                <c:pt idx="0">
                  <c:v>883.94377830728126</c:v>
                </c:pt>
                <c:pt idx="1">
                  <c:v>862.84475477939827</c:v>
                </c:pt>
                <c:pt idx="2">
                  <c:v>811.21921207792639</c:v>
                </c:pt>
                <c:pt idx="3">
                  <c:v>816.3698995451274</c:v>
                </c:pt>
                <c:pt idx="4">
                  <c:v>933.9803990624132</c:v>
                </c:pt>
                <c:pt idx="5">
                  <c:v>1033.4118369889839</c:v>
                </c:pt>
                <c:pt idx="6">
                  <c:v>1020.0040406262815</c:v>
                </c:pt>
                <c:pt idx="7">
                  <c:v>1019.6575913014284</c:v>
                </c:pt>
                <c:pt idx="8">
                  <c:v>956.14703721775425</c:v>
                </c:pt>
                <c:pt idx="9">
                  <c:v>754.0649460643167</c:v>
                </c:pt>
                <c:pt idx="10">
                  <c:v>757.49134871136926</c:v>
                </c:pt>
                <c:pt idx="11">
                  <c:v>944.70620574608324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20-4016-B785-6F46064103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24953280"/>
        <c:axId val="1224950784"/>
      </c:lineChart>
      <c:scatterChart>
        <c:scatterStyle val="lineMarker"/>
        <c:varyColors val="0"/>
        <c:ser>
          <c:idx val="3"/>
          <c:order val="4"/>
          <c:tx>
            <c:v>Total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[0]!período</c:f>
              <c:numCache>
                <c:formatCode>mmm\-yy</c:formatCode>
                <c:ptCount val="12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  <c:pt idx="3">
                  <c:v>44378</c:v>
                </c:pt>
                <c:pt idx="4">
                  <c:v>44409</c:v>
                </c:pt>
                <c:pt idx="5">
                  <c:v>44440</c:v>
                </c:pt>
                <c:pt idx="6">
                  <c:v>44470</c:v>
                </c:pt>
                <c:pt idx="7">
                  <c:v>44501</c:v>
                </c:pt>
                <c:pt idx="8">
                  <c:v>44531</c:v>
                </c:pt>
                <c:pt idx="9">
                  <c:v>44562</c:v>
                </c:pt>
                <c:pt idx="10">
                  <c:v>44593</c:v>
                </c:pt>
                <c:pt idx="11">
                  <c:v>44621</c:v>
                </c:pt>
              </c:numCache>
            </c:numRef>
          </c:xVal>
          <c:yVal>
            <c:numRef>
              <c:f>[0]!pre_Total_y</c:f>
              <c:numCache>
                <c:formatCode>0.00</c:formatCode>
                <c:ptCount val="12"/>
                <c:pt idx="0">
                  <c:v>883.94377830728126</c:v>
                </c:pt>
                <c:pt idx="1">
                  <c:v>862.84475477939827</c:v>
                </c:pt>
                <c:pt idx="2">
                  <c:v>811.21921207792639</c:v>
                </c:pt>
                <c:pt idx="3">
                  <c:v>816.3698995451274</c:v>
                </c:pt>
                <c:pt idx="4">
                  <c:v>933.9803990624132</c:v>
                </c:pt>
                <c:pt idx="5">
                  <c:v>1033.4118369889839</c:v>
                </c:pt>
                <c:pt idx="6">
                  <c:v>1020.0040406262815</c:v>
                </c:pt>
                <c:pt idx="7">
                  <c:v>1019.6575913014284</c:v>
                </c:pt>
                <c:pt idx="8">
                  <c:v>956.14703721775425</c:v>
                </c:pt>
                <c:pt idx="9">
                  <c:v>754.0649460643167</c:v>
                </c:pt>
                <c:pt idx="10">
                  <c:v>757.49134871136926</c:v>
                </c:pt>
                <c:pt idx="11">
                  <c:v>944.70620574608324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20-4016-B785-6F46064103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46952880"/>
        <c:axId val="1246957040"/>
      </c:scatterChart>
      <c:dateAx>
        <c:axId val="12249532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4950784"/>
        <c:crosses val="autoZero"/>
        <c:auto val="1"/>
        <c:lblOffset val="100"/>
        <c:baseTimeUnit val="months"/>
      </c:dateAx>
      <c:valAx>
        <c:axId val="12249507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224953280"/>
        <c:crosses val="autoZero"/>
        <c:crossBetween val="between"/>
      </c:valAx>
      <c:valAx>
        <c:axId val="124695704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1246952880"/>
        <c:crosses val="max"/>
        <c:crossBetween val="between"/>
      </c:valAx>
      <c:catAx>
        <c:axId val="124695288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246957040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2F2F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9526</xdr:colOff>
      <xdr:row>71</xdr:row>
      <xdr:rowOff>9524</xdr:rowOff>
    </xdr:from>
    <xdr:to>
      <xdr:col>20</xdr:col>
      <xdr:colOff>19050</xdr:colOff>
      <xdr:row>91</xdr:row>
      <xdr:rowOff>76199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4D45314-4DA4-420E-BE03-9FBBF8AF3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1</xdr:col>
      <xdr:colOff>709882</xdr:colOff>
      <xdr:row>67</xdr:row>
      <xdr:rowOff>17971</xdr:rowOff>
    </xdr:from>
    <xdr:to>
      <xdr:col>19</xdr:col>
      <xdr:colOff>17971</xdr:colOff>
      <xdr:row>87</xdr:row>
      <xdr:rowOff>154018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9D760FD-0B43-452D-BC15-C406CBE4F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1</xdr:col>
      <xdr:colOff>8985</xdr:colOff>
      <xdr:row>65</xdr:row>
      <xdr:rowOff>134788</xdr:rowOff>
    </xdr:from>
    <xdr:to>
      <xdr:col>19</xdr:col>
      <xdr:colOff>8986</xdr:colOff>
      <xdr:row>88</xdr:row>
      <xdr:rowOff>17971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924CF84E-8096-46CE-9112-766BFE126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1</xdr:col>
      <xdr:colOff>8985</xdr:colOff>
      <xdr:row>71</xdr:row>
      <xdr:rowOff>79612</xdr:rowOff>
    </xdr:from>
    <xdr:to>
      <xdr:col>18</xdr:col>
      <xdr:colOff>745825</xdr:colOff>
      <xdr:row>97</xdr:row>
      <xdr:rowOff>89858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247650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095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285750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276225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381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4762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>
          <a:spLocks noChangeArrowheads="1"/>
        </xdr:cNvSpPr>
      </xdr:nvSpPr>
      <xdr:spPr bwMode="auto">
        <a:xfrm>
          <a:off x="304800" y="0"/>
          <a:ext cx="4572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4762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>
          <a:spLocks noChangeArrowheads="1"/>
        </xdr:cNvSpPr>
      </xdr:nvSpPr>
      <xdr:spPr bwMode="auto">
        <a:xfrm>
          <a:off x="266700" y="0"/>
          <a:ext cx="4953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247650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1B95AA29-B79E-44E8-B9A9-96A97252EEA4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095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285750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471A33FD-AC43-4F0E-9B43-10D2265DF0E5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70BDDE09-741E-4B3C-9267-CAA94D7C175B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276225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BB500150-C3DA-48BD-8FE8-47A76B1CC75D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381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52AD27B6-62FE-448C-8780-EBE497173AE4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4B013E91-931F-4D63-A403-59275355101D}"/>
            </a:ext>
          </a:extLst>
        </xdr:cNvPr>
        <xdr:cNvSpPr txBox="1">
          <a:spLocks noChangeArrowheads="1"/>
        </xdr:cNvSpPr>
      </xdr:nvSpPr>
      <xdr:spPr bwMode="auto">
        <a:xfrm>
          <a:off x="304800" y="0"/>
          <a:ext cx="95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A4AEF315-0E36-4B1B-81CE-B6D5B1F4E962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7AD65BAE-BECE-4CF6-9B0A-77A73C4C938D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3ED02239-07FA-4742-B472-398C2CF63BE5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DE127AE2-A342-49CD-BA8D-50328324022C}"/>
            </a:ext>
          </a:extLst>
        </xdr:cNvPr>
        <xdr:cNvSpPr txBox="1">
          <a:spLocks noChangeArrowheads="1"/>
        </xdr:cNvSpPr>
      </xdr:nvSpPr>
      <xdr:spPr bwMode="auto">
        <a:xfrm>
          <a:off x="266700" y="0"/>
          <a:ext cx="476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A29B48A7-8C3A-4678-8BCE-844C608FB073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4</xdr:col>
      <xdr:colOff>114300</xdr:colOff>
      <xdr:row>73</xdr:row>
      <xdr:rowOff>157162</xdr:rowOff>
    </xdr:from>
    <xdr:to>
      <xdr:col>16</xdr:col>
      <xdr:colOff>742950</xdr:colOff>
      <xdr:row>96</xdr:row>
      <xdr:rowOff>142875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5ED7670-6643-4A27-9174-02AAD8DA2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97</xdr:row>
      <xdr:rowOff>133350</xdr:rowOff>
    </xdr:from>
    <xdr:to>
      <xdr:col>16</xdr:col>
      <xdr:colOff>752475</xdr:colOff>
      <xdr:row>120</xdr:row>
      <xdr:rowOff>119063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A3E1073-F722-41DF-9392-83DC74C390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104775</xdr:colOff>
      <xdr:row>121</xdr:row>
      <xdr:rowOff>133350</xdr:rowOff>
    </xdr:from>
    <xdr:to>
      <xdr:col>16</xdr:col>
      <xdr:colOff>742950</xdr:colOff>
      <xdr:row>144</xdr:row>
      <xdr:rowOff>119063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18F3263-A1F7-42C2-8040-1C37D3293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247650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095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285750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276225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381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>
          <a:spLocks noChangeArrowheads="1"/>
        </xdr:cNvSpPr>
      </xdr:nvSpPr>
      <xdr:spPr bwMode="auto">
        <a:xfrm>
          <a:off x="304800" y="0"/>
          <a:ext cx="95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2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 txBox="1">
          <a:spLocks noChangeArrowheads="1"/>
        </xdr:cNvSpPr>
      </xdr:nvSpPr>
      <xdr:spPr bwMode="auto">
        <a:xfrm>
          <a:off x="266700" y="0"/>
          <a:ext cx="476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247650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095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285750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276225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381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>
          <a:spLocks noChangeArrowheads="1"/>
        </xdr:cNvSpPr>
      </xdr:nvSpPr>
      <xdr:spPr bwMode="auto">
        <a:xfrm>
          <a:off x="304800" y="0"/>
          <a:ext cx="95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2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 txBox="1">
          <a:spLocks noChangeArrowheads="1"/>
        </xdr:cNvSpPr>
      </xdr:nvSpPr>
      <xdr:spPr bwMode="auto">
        <a:xfrm>
          <a:off x="266700" y="0"/>
          <a:ext cx="476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3)%20TOTALIZA&#199;&#195;O/PBR/FY-2021%20-%20TOTALIZA&#199;&#195;O%20DE%20PRODU&#199;&#195;O%20E%20FALHAS_PB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1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3)%20TOTALIZA&#199;&#195;O/PBR/FY-2021%20-%20TOTALIZA&#199;&#195;O%20DE%20PRODU&#199;&#195;O%20E%20FALHAS%20-%20Forecas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2/(1)%20Quality%20Business%20Plan/1.1%20-%20Plan/BP/BP%20FY22%20-%20F&#225;brica%20Rev.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ALCALINA/05%20-%20RELATORIOS/2022-d/QC%20-%20Previs&#227;o%20FY202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3)%20TOTALIZA&#199;&#195;O/PBR/Resumo%20de%20falhas%20Blindagem%20202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06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07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0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09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10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11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2)%20PREVIS&#195;O/FY-2021%20-%20PREVIS&#195;O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04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05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06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07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08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09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10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11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112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04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05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06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07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08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09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10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11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Acabamento/SJCPIL-R%2015-115-00%20-%20ACB%20-%20UM-4%20-%20VA%20-%202112.xlsm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0)%20BASE%20DE%20CUSTOS/C&#225;lculo%20Custo%20de%20Falhas%20-%202111.xlsm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7%20-%20Outras%20Perdas/SJCPIL-R%2016-098-01%20-%202112.xlsm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04.xlsm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1)%20PRODU&#199;&#195;O%20E%20FALHAS/SJCPIL-R%2017-202-04%20-%20RESUMO%20DE%20PRODU&#199;&#195;O%20E%20FALHAS%20-%202105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2/(1)%20Quality%20Business%20Plan/1.1%20-%20Plan/PSI/BP%20FY22%20-%20F&#225;brica%20Rev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&amp; Defects - Qty"/>
      <sheetName val="Prod &amp; Defects - Costs"/>
      <sheetName val="Falhas UM-1 - Qty"/>
      <sheetName val="Falhas UM-1 - Cost"/>
      <sheetName val="Falhas UM-3-1 Qty"/>
      <sheetName val="Falhas UM-3-1 Cost"/>
      <sheetName val="Falhas UM-3-2 Qty"/>
      <sheetName val="Falhas UM-3-2 Cost"/>
      <sheetName val="Falhas UM-4 Qty"/>
      <sheetName val="Falhas UM-4 Cost"/>
      <sheetName val="BLIND-PVC-PRE - Qty"/>
      <sheetName val="SM - Qty"/>
      <sheetName val="SM Cost"/>
      <sheetName val="RESUMO - QLOSS-BP"/>
      <sheetName val="FY-2021 - TOTALIZAÇÃO DE PRODUÇ"/>
    </sheetNames>
    <sheetDataSet>
      <sheetData sheetId="0"/>
      <sheetData sheetId="1"/>
      <sheetData sheetId="2"/>
      <sheetData sheetId="3">
        <row r="5">
          <cell r="F5">
            <v>44287</v>
          </cell>
        </row>
        <row r="69">
          <cell r="F69">
            <v>5418.9550040078148</v>
          </cell>
          <cell r="G69">
            <v>5725.0495287425374</v>
          </cell>
          <cell r="H69">
            <v>3181.8914303949509</v>
          </cell>
          <cell r="I69">
            <v>6049.2762179302399</v>
          </cell>
          <cell r="J69">
            <v>4438.8106539213304</v>
          </cell>
          <cell r="K69">
            <v>6633.3630201919987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</row>
        <row r="70">
          <cell r="F70">
            <v>4605.4622694100417</v>
          </cell>
        </row>
      </sheetData>
      <sheetData sheetId="4"/>
      <sheetData sheetId="5">
        <row r="4">
          <cell r="E4">
            <v>44287</v>
          </cell>
        </row>
        <row r="65">
          <cell r="E65">
            <v>3207.0404457199993</v>
          </cell>
          <cell r="F65">
            <v>2193.8975065317213</v>
          </cell>
          <cell r="G65">
            <v>1733.2221342625007</v>
          </cell>
          <cell r="H65">
            <v>2908.3430361963897</v>
          </cell>
          <cell r="I65">
            <v>3661.0597097441869</v>
          </cell>
          <cell r="J65">
            <v>4059.0530088156697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</row>
        <row r="66">
          <cell r="E66">
            <v>2077.765446177159</v>
          </cell>
        </row>
      </sheetData>
      <sheetData sheetId="6"/>
      <sheetData sheetId="7">
        <row r="6">
          <cell r="E6">
            <v>44287</v>
          </cell>
        </row>
      </sheetData>
      <sheetData sheetId="8"/>
      <sheetData sheetId="9">
        <row r="5">
          <cell r="E5">
            <v>44287</v>
          </cell>
        </row>
      </sheetData>
      <sheetData sheetId="10"/>
      <sheetData sheetId="11"/>
      <sheetData sheetId="12">
        <row r="42">
          <cell r="F42">
            <v>220.1724008724</v>
          </cell>
        </row>
      </sheetData>
      <sheetData sheetId="13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 Cascata"/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Rascunho"/>
      <sheetName val="Resumo por Operação"/>
      <sheetName val="Dados do Pareto"/>
      <sheetName val="Gráfico2"/>
      <sheetName val="Gráfico4"/>
      <sheetName val="Controle de Revisões"/>
    </sheetNames>
    <sheetDataSet>
      <sheetData sheetId="0"/>
      <sheetData sheetId="1">
        <row r="20">
          <cell r="D20">
            <v>467.88451780000003</v>
          </cell>
        </row>
      </sheetData>
      <sheetData sheetId="2">
        <row r="6">
          <cell r="I6">
            <v>515.30999999999995</v>
          </cell>
        </row>
        <row r="7">
          <cell r="I7">
            <v>618.44879999999989</v>
          </cell>
        </row>
        <row r="8">
          <cell r="I8">
            <v>618.44879999999989</v>
          </cell>
        </row>
        <row r="9">
          <cell r="I9">
            <v>621.94139999999993</v>
          </cell>
        </row>
        <row r="10">
          <cell r="I10">
            <v>642.23119999999994</v>
          </cell>
        </row>
        <row r="11">
          <cell r="I11">
            <v>653.37899999999991</v>
          </cell>
        </row>
        <row r="12">
          <cell r="I12">
            <v>682.67179999999996</v>
          </cell>
        </row>
        <row r="13">
          <cell r="I13">
            <v>842.06137999999987</v>
          </cell>
        </row>
        <row r="14">
          <cell r="I14">
            <v>842.06137999999987</v>
          </cell>
        </row>
        <row r="15">
          <cell r="I15">
            <v>1672.2408026755852</v>
          </cell>
          <cell r="N15">
            <v>203.46487250348508</v>
          </cell>
        </row>
        <row r="16">
          <cell r="I16">
            <v>11.1478</v>
          </cell>
        </row>
        <row r="17">
          <cell r="I17">
            <v>8.8379999999999992</v>
          </cell>
        </row>
        <row r="18">
          <cell r="I18">
            <v>3.3452999999999999</v>
          </cell>
        </row>
        <row r="19">
          <cell r="I19">
            <v>24.538799999999998</v>
          </cell>
        </row>
        <row r="20">
          <cell r="I20">
            <v>8.8379999999999992</v>
          </cell>
        </row>
        <row r="21">
          <cell r="I21">
            <v>25.540679999999998</v>
          </cell>
        </row>
        <row r="22">
          <cell r="I22">
            <v>1592.9165594717435</v>
          </cell>
          <cell r="N22">
            <v>100.42622236588403</v>
          </cell>
        </row>
        <row r="23">
          <cell r="I23">
            <v>842.06137999999987</v>
          </cell>
        </row>
        <row r="24">
          <cell r="I24">
            <v>842.06137999999987</v>
          </cell>
        </row>
        <row r="25">
          <cell r="I25">
            <v>842.06137999999987</v>
          </cell>
        </row>
        <row r="26">
          <cell r="I26">
            <v>842.06137999999987</v>
          </cell>
        </row>
        <row r="27">
          <cell r="I27">
            <v>842.06137999999987</v>
          </cell>
        </row>
        <row r="28">
          <cell r="I28">
            <v>842.06137999999987</v>
          </cell>
        </row>
        <row r="29">
          <cell r="I29">
            <v>842.06137999999987</v>
          </cell>
        </row>
        <row r="30">
          <cell r="I30">
            <v>842.06137999999987</v>
          </cell>
        </row>
        <row r="31">
          <cell r="I31">
            <v>842.06137999999987</v>
          </cell>
        </row>
        <row r="32">
          <cell r="I32">
            <v>842.06137999999987</v>
          </cell>
        </row>
        <row r="33">
          <cell r="I33">
            <v>842.06137999999987</v>
          </cell>
        </row>
        <row r="34">
          <cell r="I34">
            <v>842.06137999999987</v>
          </cell>
        </row>
        <row r="35">
          <cell r="I35">
            <v>0</v>
          </cell>
        </row>
        <row r="36">
          <cell r="I36">
            <v>505.96003773261299</v>
          </cell>
          <cell r="N36">
            <v>123.26868968230758</v>
          </cell>
        </row>
        <row r="37">
          <cell r="I37">
            <v>842.06137999999987</v>
          </cell>
        </row>
        <row r="38">
          <cell r="I38">
            <v>842.06137999999987</v>
          </cell>
        </row>
        <row r="39">
          <cell r="I39">
            <v>842.06137999999987</v>
          </cell>
        </row>
        <row r="40">
          <cell r="I40">
            <v>842.06137999999987</v>
          </cell>
        </row>
        <row r="41">
          <cell r="I41">
            <v>842.06137999999987</v>
          </cell>
        </row>
        <row r="42">
          <cell r="I42">
            <v>842.06137999999987</v>
          </cell>
        </row>
        <row r="43">
          <cell r="I43">
            <v>842.06137999999987</v>
          </cell>
        </row>
        <row r="44">
          <cell r="I44">
            <v>842.06137999999987</v>
          </cell>
        </row>
        <row r="45">
          <cell r="I45">
            <v>842.06137999999987</v>
          </cell>
        </row>
        <row r="46">
          <cell r="I46">
            <v>842.06137999999987</v>
          </cell>
        </row>
        <row r="47">
          <cell r="I47">
            <v>842.06137999999987</v>
          </cell>
        </row>
        <row r="48">
          <cell r="I48">
            <v>842.06137999999987</v>
          </cell>
        </row>
        <row r="49">
          <cell r="I49">
            <v>842.06137999999987</v>
          </cell>
        </row>
        <row r="50">
          <cell r="I50">
            <v>842.06137999999987</v>
          </cell>
        </row>
        <row r="51">
          <cell r="I51">
            <v>842.06137999999987</v>
          </cell>
        </row>
        <row r="52">
          <cell r="I52">
            <v>842.06137999999987</v>
          </cell>
        </row>
        <row r="53">
          <cell r="I53">
            <v>842.06137999999987</v>
          </cell>
        </row>
        <row r="54">
          <cell r="I54">
            <v>123.28</v>
          </cell>
        </row>
        <row r="55">
          <cell r="I55">
            <v>8.7911999999999999</v>
          </cell>
        </row>
        <row r="56">
          <cell r="I56">
            <v>2.1126</v>
          </cell>
        </row>
        <row r="57">
          <cell r="I57">
            <v>405.84068830580736</v>
          </cell>
          <cell r="N57">
            <v>260.17569178413726</v>
          </cell>
        </row>
        <row r="58">
          <cell r="I58">
            <v>842.06137999999987</v>
          </cell>
        </row>
        <row r="59">
          <cell r="I59">
            <v>842.06137999999987</v>
          </cell>
        </row>
        <row r="60">
          <cell r="I60">
            <v>574.56478861161145</v>
          </cell>
          <cell r="N60">
            <v>320.85717605567254</v>
          </cell>
        </row>
        <row r="61">
          <cell r="I61"/>
        </row>
      </sheetData>
      <sheetData sheetId="3">
        <row r="7">
          <cell r="P7">
            <v>116.9538</v>
          </cell>
        </row>
        <row r="8">
          <cell r="P8">
            <v>117.59650000000001</v>
          </cell>
        </row>
        <row r="9">
          <cell r="P9">
            <v>127.59650000000001</v>
          </cell>
        </row>
        <row r="10">
          <cell r="P10">
            <v>127.59650000000001</v>
          </cell>
        </row>
        <row r="11">
          <cell r="P11">
            <v>128.46100000000001</v>
          </cell>
        </row>
        <row r="12">
          <cell r="P12">
            <v>132.2688</v>
          </cell>
        </row>
        <row r="13">
          <cell r="P13">
            <v>142.75</v>
          </cell>
        </row>
        <row r="14">
          <cell r="P14">
            <v>142.75</v>
          </cell>
        </row>
        <row r="15">
          <cell r="P15">
            <v>210.98159999999999</v>
          </cell>
        </row>
        <row r="16">
          <cell r="P16">
            <v>16.421200000000002</v>
          </cell>
        </row>
        <row r="17">
          <cell r="P17">
            <v>60.866</v>
          </cell>
        </row>
        <row r="18">
          <cell r="P18">
            <v>0.3019</v>
          </cell>
        </row>
        <row r="19">
          <cell r="P19">
            <v>1046.8903269685857</v>
          </cell>
          <cell r="Y19">
            <v>851.57581519818848</v>
          </cell>
          <cell r="AA19">
            <v>1838.5066857501345</v>
          </cell>
        </row>
        <row r="20">
          <cell r="P20">
            <v>210.98159999999999</v>
          </cell>
        </row>
        <row r="21">
          <cell r="P21">
            <v>210.98159999999999</v>
          </cell>
        </row>
        <row r="22">
          <cell r="P22">
            <v>210.98159999999999</v>
          </cell>
        </row>
        <row r="23">
          <cell r="P23">
            <v>210.98159999999999</v>
          </cell>
        </row>
        <row r="24">
          <cell r="P24">
            <v>210.98159999999999</v>
          </cell>
        </row>
        <row r="25">
          <cell r="P25">
            <v>210.98159999999999</v>
          </cell>
        </row>
        <row r="26">
          <cell r="P26">
            <v>210.98159999999999</v>
          </cell>
        </row>
        <row r="27">
          <cell r="P27">
            <v>210.98159999999999</v>
          </cell>
        </row>
        <row r="28">
          <cell r="P28">
            <v>210.98159999999999</v>
          </cell>
        </row>
        <row r="29">
          <cell r="P29">
            <v>210.98159999999999</v>
          </cell>
        </row>
        <row r="30">
          <cell r="P30">
            <v>210.98159999999999</v>
          </cell>
        </row>
        <row r="31">
          <cell r="P31">
            <v>210.98159999999999</v>
          </cell>
        </row>
        <row r="32">
          <cell r="P32">
            <v>210.98159999999999</v>
          </cell>
        </row>
        <row r="33">
          <cell r="P33">
            <v>210.98159999999999</v>
          </cell>
        </row>
        <row r="34">
          <cell r="P34">
            <v>210.98159999999999</v>
          </cell>
        </row>
        <row r="35">
          <cell r="P35">
            <v>210.98159999999999</v>
          </cell>
        </row>
        <row r="36">
          <cell r="P36">
            <v>210.98159999999999</v>
          </cell>
        </row>
        <row r="37">
          <cell r="P37">
            <v>352.61910011204191</v>
          </cell>
          <cell r="Y37">
            <v>361.21336690104084</v>
          </cell>
          <cell r="AA37">
            <v>766.94615497965947</v>
          </cell>
        </row>
        <row r="38">
          <cell r="P38">
            <v>210.98159999999999</v>
          </cell>
        </row>
        <row r="39">
          <cell r="P39">
            <v>210.98159999999999</v>
          </cell>
        </row>
        <row r="40">
          <cell r="P40">
            <v>210.98159999999999</v>
          </cell>
        </row>
        <row r="41">
          <cell r="P41">
            <v>210.98159999999999</v>
          </cell>
        </row>
        <row r="42">
          <cell r="P42">
            <v>210.98159999999999</v>
          </cell>
        </row>
        <row r="43">
          <cell r="P43">
            <v>210.98159999999999</v>
          </cell>
        </row>
        <row r="44">
          <cell r="P44">
            <v>210.98159999999999</v>
          </cell>
        </row>
        <row r="45">
          <cell r="P45">
            <v>210.98159999999999</v>
          </cell>
        </row>
        <row r="46">
          <cell r="P46">
            <v>210.98159999999999</v>
          </cell>
        </row>
        <row r="47">
          <cell r="P47">
            <v>210.98159999999999</v>
          </cell>
        </row>
        <row r="48">
          <cell r="P48">
            <v>210.98159999999999</v>
          </cell>
        </row>
        <row r="49">
          <cell r="P49">
            <v>210.98159999999999</v>
          </cell>
        </row>
        <row r="50">
          <cell r="P50">
            <v>657.86546343483792</v>
          </cell>
          <cell r="Y50">
            <v>423.17849626951363</v>
          </cell>
          <cell r="AA50">
            <v>1119.9374483934378</v>
          </cell>
        </row>
        <row r="51">
          <cell r="P51">
            <v>210.98159999999999</v>
          </cell>
        </row>
        <row r="52">
          <cell r="P52">
            <v>210.98159999999999</v>
          </cell>
        </row>
        <row r="53">
          <cell r="P53">
            <v>120</v>
          </cell>
        </row>
        <row r="54">
          <cell r="P54">
            <v>2.1146400000000001</v>
          </cell>
        </row>
        <row r="55">
          <cell r="P55">
            <v>52260.816986935024</v>
          </cell>
          <cell r="Y55">
            <v>1029.1483895574513</v>
          </cell>
          <cell r="AA55">
            <v>1929.8022850390416</v>
          </cell>
        </row>
        <row r="56">
          <cell r="P56"/>
        </row>
        <row r="57">
          <cell r="P57">
            <v>55513.159759441412</v>
          </cell>
        </row>
      </sheetData>
      <sheetData sheetId="4">
        <row r="16">
          <cell r="P16">
            <v>881.37034321509555</v>
          </cell>
        </row>
        <row r="35">
          <cell r="P35">
            <v>674.84603493293946</v>
          </cell>
        </row>
        <row r="55">
          <cell r="P55">
            <v>14.288028238276382</v>
          </cell>
        </row>
        <row r="62">
          <cell r="P62">
            <v>2190.2797302210975</v>
          </cell>
        </row>
      </sheetData>
      <sheetData sheetId="5">
        <row r="6">
          <cell r="N6">
            <v>175.01089999999999</v>
          </cell>
        </row>
        <row r="7">
          <cell r="N7">
            <v>175.01089999999999</v>
          </cell>
        </row>
        <row r="8">
          <cell r="N8">
            <v>175.01089999999999</v>
          </cell>
        </row>
        <row r="9">
          <cell r="N9">
            <v>175.01089999999999</v>
          </cell>
        </row>
        <row r="11">
          <cell r="N11">
            <v>60.866</v>
          </cell>
        </row>
        <row r="12">
          <cell r="N12">
            <v>60.866</v>
          </cell>
        </row>
        <row r="13">
          <cell r="N13">
            <v>60.866</v>
          </cell>
        </row>
        <row r="14">
          <cell r="N14">
            <v>60.866</v>
          </cell>
        </row>
        <row r="15">
          <cell r="N15">
            <v>60.866</v>
          </cell>
        </row>
        <row r="17">
          <cell r="N17">
            <v>60.866</v>
          </cell>
        </row>
        <row r="23">
          <cell r="N23">
            <v>14.04</v>
          </cell>
        </row>
        <row r="24">
          <cell r="N24">
            <v>14.04</v>
          </cell>
        </row>
        <row r="27">
          <cell r="N27">
            <v>1.47657127</v>
          </cell>
        </row>
        <row r="28">
          <cell r="N28">
            <v>0.40350349000000002</v>
          </cell>
        </row>
        <row r="29">
          <cell r="N29">
            <v>0.52740282999999999</v>
          </cell>
        </row>
      </sheetData>
      <sheetData sheetId="6">
        <row r="6">
          <cell r="I6">
            <v>20</v>
          </cell>
        </row>
        <row r="7">
          <cell r="I7">
            <v>26.07</v>
          </cell>
        </row>
        <row r="8">
          <cell r="I8">
            <v>842.06137999999987</v>
          </cell>
        </row>
        <row r="10">
          <cell r="I10">
            <v>10</v>
          </cell>
        </row>
        <row r="11">
          <cell r="I11">
            <v>24.22</v>
          </cell>
        </row>
        <row r="12">
          <cell r="I12">
            <v>570</v>
          </cell>
        </row>
        <row r="14">
          <cell r="I14">
            <v>10</v>
          </cell>
        </row>
        <row r="15">
          <cell r="I15">
            <v>19.795000000000002</v>
          </cell>
        </row>
        <row r="16">
          <cell r="I16">
            <v>210.98159999999999</v>
          </cell>
        </row>
        <row r="18">
          <cell r="I18">
            <v>20</v>
          </cell>
        </row>
        <row r="19">
          <cell r="I19">
            <v>26.07</v>
          </cell>
        </row>
        <row r="20">
          <cell r="I20">
            <v>1763.52</v>
          </cell>
        </row>
        <row r="22">
          <cell r="I22">
            <v>10</v>
          </cell>
        </row>
        <row r="23">
          <cell r="I23">
            <v>24.22</v>
          </cell>
        </row>
        <row r="24">
          <cell r="I24">
            <v>1027.44</v>
          </cell>
        </row>
        <row r="26">
          <cell r="I26">
            <v>10</v>
          </cell>
        </row>
        <row r="27">
          <cell r="I27">
            <v>19.795000000000002</v>
          </cell>
        </row>
        <row r="28">
          <cell r="I28">
            <v>467.88451780000003</v>
          </cell>
        </row>
        <row r="31">
          <cell r="I31">
            <v>20</v>
          </cell>
        </row>
        <row r="32">
          <cell r="I32">
            <v>48.44</v>
          </cell>
        </row>
        <row r="33">
          <cell r="I33">
            <v>460</v>
          </cell>
        </row>
        <row r="35">
          <cell r="I35">
            <v>42.16</v>
          </cell>
        </row>
        <row r="36">
          <cell r="I36">
            <v>10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&amp; Defects - Qty"/>
      <sheetName val="Prod &amp; Defects - Costs"/>
      <sheetName val="Falhas UM-1 - Qty"/>
      <sheetName val="Falhas UM-1 - Cost"/>
      <sheetName val="Falhas UM-3-1 Qty"/>
      <sheetName val="Falhas UM-3-1 Cost"/>
      <sheetName val="Falhas UM-3-2 Qty"/>
      <sheetName val="Falhas UM-3-2 Cost"/>
      <sheetName val="Falhas UM-4 Qty"/>
      <sheetName val="Falhas UM-4 Cost"/>
      <sheetName val="BLIND-PVC-PRE - Qty"/>
      <sheetName val="BLIND-PVC-PRE - Cost"/>
      <sheetName val="SM - Qty"/>
      <sheetName val="SM Cost"/>
      <sheetName val="RESUMO - QLOSS-BP"/>
    </sheetNames>
    <sheetDataSet>
      <sheetData sheetId="0">
        <row r="5">
          <cell r="R5">
            <v>20656836</v>
          </cell>
        </row>
        <row r="6">
          <cell r="R6">
            <v>38255265</v>
          </cell>
        </row>
        <row r="7">
          <cell r="R7">
            <v>127057053</v>
          </cell>
        </row>
        <row r="8">
          <cell r="R8">
            <v>123886277</v>
          </cell>
        </row>
        <row r="9">
          <cell r="R9">
            <v>34751656.57017827</v>
          </cell>
        </row>
        <row r="10">
          <cell r="R10">
            <v>344607087.57017827</v>
          </cell>
        </row>
        <row r="11">
          <cell r="R11"/>
        </row>
        <row r="12">
          <cell r="R12">
            <v>576662.07609696453</v>
          </cell>
        </row>
        <row r="13">
          <cell r="R13">
            <v>122642.45041711483</v>
          </cell>
        </row>
        <row r="14">
          <cell r="R14">
            <v>307241.23168989731</v>
          </cell>
        </row>
        <row r="15">
          <cell r="R15">
            <v>32525.701883701884</v>
          </cell>
        </row>
        <row r="16">
          <cell r="R16">
            <v>10595.178364317426</v>
          </cell>
        </row>
        <row r="17">
          <cell r="R17">
            <v>16640</v>
          </cell>
        </row>
        <row r="18">
          <cell r="R18">
            <v>82497.609940922732</v>
          </cell>
        </row>
        <row r="19">
          <cell r="R19">
            <v>21528.777937908919</v>
          </cell>
        </row>
        <row r="20">
          <cell r="R20">
            <v>32657.058642857148</v>
          </cell>
        </row>
        <row r="21">
          <cell r="R21">
            <v>207178.07119886391</v>
          </cell>
        </row>
        <row r="22">
          <cell r="R22">
            <v>89570.989907268086</v>
          </cell>
        </row>
        <row r="23">
          <cell r="R23">
            <v>95736.872231952424</v>
          </cell>
        </row>
        <row r="24">
          <cell r="R24">
            <v>254460.69307347608</v>
          </cell>
        </row>
        <row r="25">
          <cell r="R25">
            <v>947.50420762040176</v>
          </cell>
        </row>
        <row r="26">
          <cell r="R26">
            <v>162207.30081508774</v>
          </cell>
        </row>
        <row r="27">
          <cell r="R27">
            <v>3882.040480970003</v>
          </cell>
        </row>
        <row r="28">
          <cell r="R28">
            <v>19836.222900316789</v>
          </cell>
        </row>
        <row r="29">
          <cell r="R29">
            <v>11144.238014155619</v>
          </cell>
        </row>
        <row r="30">
          <cell r="R30">
            <v>580544.11657793459</v>
          </cell>
        </row>
        <row r="31">
          <cell r="R31">
            <v>142478.67331743162</v>
          </cell>
        </row>
        <row r="32">
          <cell r="R32">
            <v>318385.46970405296</v>
          </cell>
        </row>
        <row r="33">
          <cell r="R33">
            <v>1041408.2595994191</v>
          </cell>
        </row>
        <row r="34">
          <cell r="R34">
            <v>3.0220163692580445E-3</v>
          </cell>
        </row>
        <row r="35">
          <cell r="R35">
            <v>2.5999999999999999E-3</v>
          </cell>
        </row>
        <row r="36">
          <cell r="R36">
            <v>4.220163692580446E-4</v>
          </cell>
        </row>
        <row r="39">
          <cell r="R39">
            <v>59760.880248019312</v>
          </cell>
        </row>
        <row r="40">
          <cell r="R40">
            <v>136683.44652168881</v>
          </cell>
        </row>
        <row r="41">
          <cell r="R41">
            <v>392485.93333808432</v>
          </cell>
        </row>
        <row r="42">
          <cell r="R42">
            <v>417615.49809618416</v>
          </cell>
        </row>
        <row r="43">
          <cell r="R43">
            <v>34862.501395442414</v>
          </cell>
        </row>
      </sheetData>
      <sheetData sheetId="1">
        <row r="5">
          <cell r="S5">
            <v>11879755.261673879</v>
          </cell>
        </row>
        <row r="6">
          <cell r="S6">
            <v>5844294.4263750995</v>
          </cell>
        </row>
        <row r="7">
          <cell r="S7">
            <v>19672441.375560801</v>
          </cell>
        </row>
        <row r="8">
          <cell r="S8">
            <v>9476787.8878905997</v>
          </cell>
        </row>
        <row r="9">
          <cell r="S9">
            <v>11015443.082194392</v>
          </cell>
        </row>
        <row r="10">
          <cell r="S10">
            <v>57888722.033694774</v>
          </cell>
        </row>
        <row r="12">
          <cell r="S12">
            <v>98614.426854329649</v>
          </cell>
        </row>
        <row r="13">
          <cell r="S13">
            <v>34363.861933335371</v>
          </cell>
        </row>
        <row r="14">
          <cell r="S14">
            <v>46036.410790784139</v>
          </cell>
        </row>
        <row r="15">
          <cell r="S15">
            <v>25590.419181519195</v>
          </cell>
        </row>
        <row r="16">
          <cell r="S16">
            <v>12474.556221251054</v>
          </cell>
        </row>
        <row r="17">
          <cell r="S17">
            <v>6243.9316452646672</v>
          </cell>
        </row>
        <row r="18">
          <cell r="S18">
            <v>16829.504301929261</v>
          </cell>
        </row>
        <row r="19">
          <cell r="S19">
            <v>4209.4466397847245</v>
          </cell>
        </row>
        <row r="20">
          <cell r="S20">
            <v>7867.8158213471488</v>
          </cell>
        </row>
        <row r="21">
          <cell r="S21">
            <v>44556.953357484716</v>
          </cell>
        </row>
        <row r="22">
          <cell r="S22">
            <v>17426.030680019267</v>
          </cell>
        </row>
        <row r="23">
          <cell r="S23">
            <v>24292.251480313065</v>
          </cell>
        </row>
        <row r="24">
          <cell r="S24">
            <v>11637.550013396485</v>
          </cell>
        </row>
        <row r="25">
          <cell r="S25">
            <v>253.82839228032179</v>
          </cell>
        </row>
        <row r="26">
          <cell r="S26">
            <v>7632.4118438592523</v>
          </cell>
        </row>
        <row r="27">
          <cell r="S27">
            <v>2924.8316002481388</v>
          </cell>
        </row>
        <row r="28">
          <cell r="S28">
            <v>901.63510925115895</v>
          </cell>
        </row>
        <row r="29">
          <cell r="S29">
            <v>4589.5321609397997</v>
          </cell>
        </row>
        <row r="30">
          <cell r="S30">
            <v>11452.063732902468</v>
          </cell>
        </row>
        <row r="31">
          <cell r="S31">
            <v>24046.092205872992</v>
          </cell>
        </row>
        <row r="32">
          <cell r="S32">
            <v>11291.11594810884</v>
          </cell>
        </row>
        <row r="33">
          <cell r="S33">
            <v>2716.9932784206921</v>
          </cell>
        </row>
        <row r="34">
          <cell r="S34">
            <v>101539.25845457779</v>
          </cell>
        </row>
        <row r="35">
          <cell r="S35">
            <v>35265.497042586525</v>
          </cell>
        </row>
        <row r="36">
          <cell r="S36">
            <v>50625.942951723933</v>
          </cell>
        </row>
        <row r="37">
          <cell r="S37">
            <v>236936.96361419326</v>
          </cell>
        </row>
        <row r="38">
          <cell r="S38">
            <v>4.0929727810588299E-3</v>
          </cell>
        </row>
        <row r="39">
          <cell r="S39">
            <v>9.2000000000000003E-4</v>
          </cell>
        </row>
        <row r="40">
          <cell r="S40">
            <v>3.1729727810588301E-3</v>
          </cell>
        </row>
        <row r="44">
          <cell r="S44">
            <v>44308.907048034904</v>
          </cell>
        </row>
        <row r="45">
          <cell r="S45">
            <v>28906.766763061139</v>
          </cell>
        </row>
        <row r="46">
          <cell r="S46">
            <v>86275.235517817055</v>
          </cell>
        </row>
        <row r="47">
          <cell r="S47">
            <v>19523.790249536061</v>
          </cell>
        </row>
        <row r="48">
          <cell r="S48">
            <v>8415.9988704390998</v>
          </cell>
        </row>
        <row r="49">
          <cell r="S49">
            <v>8120.162911693199</v>
          </cell>
        </row>
        <row r="50">
          <cell r="S50">
            <v>23388.137766394648</v>
          </cell>
        </row>
        <row r="51">
          <cell r="S51">
            <v>2869.2472979353843</v>
          </cell>
        </row>
        <row r="52">
          <cell r="S52">
            <v>188.13399204246184</v>
          </cell>
        </row>
        <row r="53">
          <cell r="S53">
            <v>499.73332612508625</v>
          </cell>
        </row>
        <row r="54">
          <cell r="S54">
            <v>139.65992481805313</v>
          </cell>
        </row>
        <row r="55">
          <cell r="S55">
            <v>220.44627839661393</v>
          </cell>
        </row>
        <row r="56">
          <cell r="S56">
            <v>1756.57343943253</v>
          </cell>
        </row>
        <row r="57">
          <cell r="S57">
            <v>8415.9988704390998</v>
          </cell>
        </row>
      </sheetData>
      <sheetData sheetId="2">
        <row r="6">
          <cell r="AA6">
            <v>30.6</v>
          </cell>
        </row>
        <row r="7">
          <cell r="AA7">
            <v>64.8</v>
          </cell>
        </row>
        <row r="8">
          <cell r="AA8">
            <v>702</v>
          </cell>
        </row>
        <row r="9">
          <cell r="AA9">
            <v>3.6</v>
          </cell>
        </row>
        <row r="10">
          <cell r="AA10">
            <v>1.8</v>
          </cell>
        </row>
        <row r="11">
          <cell r="AA11">
            <v>9.9</v>
          </cell>
        </row>
        <row r="12">
          <cell r="AA12">
            <v>20.7</v>
          </cell>
        </row>
        <row r="13">
          <cell r="AA13">
            <v>0.9</v>
          </cell>
        </row>
        <row r="14">
          <cell r="AA14">
            <v>17.100000000000001</v>
          </cell>
        </row>
        <row r="15">
          <cell r="AA15">
            <v>851.4</v>
          </cell>
        </row>
        <row r="16">
          <cell r="AA16">
            <v>8253</v>
          </cell>
        </row>
        <row r="17">
          <cell r="AA17">
            <v>32.4</v>
          </cell>
        </row>
        <row r="18">
          <cell r="AA18">
            <v>7.2</v>
          </cell>
        </row>
        <row r="19">
          <cell r="AA19">
            <v>1306.8</v>
          </cell>
        </row>
        <row r="20">
          <cell r="AA20">
            <v>0</v>
          </cell>
        </row>
        <row r="21">
          <cell r="AA21">
            <v>2736.9</v>
          </cell>
        </row>
        <row r="22">
          <cell r="AA22">
            <v>8285.4</v>
          </cell>
        </row>
        <row r="23">
          <cell r="AA23">
            <v>0.9</v>
          </cell>
        </row>
        <row r="24">
          <cell r="AA24">
            <v>27.900000000000002</v>
          </cell>
        </row>
        <row r="25">
          <cell r="AA25">
            <v>116.10000000000001</v>
          </cell>
        </row>
        <row r="26">
          <cell r="AA26">
            <v>21.6</v>
          </cell>
        </row>
        <row r="27">
          <cell r="AA27">
            <v>23.400000000000002</v>
          </cell>
        </row>
        <row r="28">
          <cell r="AA28">
            <v>45</v>
          </cell>
        </row>
        <row r="29">
          <cell r="AA29">
            <v>8.1</v>
          </cell>
        </row>
        <row r="30">
          <cell r="AA30">
            <v>5.4</v>
          </cell>
        </row>
        <row r="31">
          <cell r="AA31">
            <v>54.9</v>
          </cell>
        </row>
        <row r="32">
          <cell r="AA32">
            <v>16.2</v>
          </cell>
        </row>
        <row r="33">
          <cell r="AA33">
            <v>13.5</v>
          </cell>
        </row>
        <row r="34">
          <cell r="AA34">
            <v>47.7</v>
          </cell>
        </row>
        <row r="35">
          <cell r="AA35">
            <v>0</v>
          </cell>
        </row>
        <row r="36">
          <cell r="AA36">
            <v>380.7</v>
          </cell>
        </row>
        <row r="37">
          <cell r="AA37">
            <v>6.3</v>
          </cell>
        </row>
        <row r="38">
          <cell r="AA38">
            <v>2.7</v>
          </cell>
        </row>
        <row r="39">
          <cell r="AA39">
            <v>1.8</v>
          </cell>
        </row>
        <row r="40">
          <cell r="AA40">
            <v>1.8</v>
          </cell>
        </row>
        <row r="41">
          <cell r="AA41">
            <v>17.100000000000001</v>
          </cell>
        </row>
        <row r="42">
          <cell r="AA42">
            <v>14.4</v>
          </cell>
        </row>
        <row r="43">
          <cell r="AA43">
            <v>10.8</v>
          </cell>
        </row>
        <row r="44">
          <cell r="AA44">
            <v>5.4</v>
          </cell>
        </row>
        <row r="45">
          <cell r="AA45">
            <v>3.6</v>
          </cell>
        </row>
        <row r="46">
          <cell r="AA46">
            <v>36</v>
          </cell>
        </row>
        <row r="47">
          <cell r="AA47">
            <v>2.7</v>
          </cell>
        </row>
        <row r="48">
          <cell r="AA48">
            <v>67.5</v>
          </cell>
        </row>
        <row r="49">
          <cell r="AA49">
            <v>4.5</v>
          </cell>
        </row>
        <row r="50">
          <cell r="AA50">
            <v>17.100000000000001</v>
          </cell>
        </row>
        <row r="51">
          <cell r="AA51">
            <v>38.700000000000003</v>
          </cell>
        </row>
        <row r="52">
          <cell r="AA52">
            <v>45.9</v>
          </cell>
        </row>
        <row r="53">
          <cell r="AA53">
            <v>128.70000000000002</v>
          </cell>
        </row>
        <row r="54">
          <cell r="AA54">
            <v>79.2</v>
          </cell>
        </row>
        <row r="55">
          <cell r="AA55">
            <v>12921.300000000001</v>
          </cell>
        </row>
        <row r="56">
          <cell r="AA56">
            <v>19415.7</v>
          </cell>
        </row>
        <row r="57">
          <cell r="AA57">
            <v>405</v>
          </cell>
        </row>
        <row r="58">
          <cell r="AA58">
            <v>274.98708349803866</v>
          </cell>
        </row>
        <row r="59">
          <cell r="AA59">
            <v>41.824605282665452</v>
          </cell>
        </row>
        <row r="60">
          <cell r="AA60">
            <v>804.03805212485702</v>
          </cell>
        </row>
        <row r="61">
          <cell r="AA61">
            <v>1565.0559137596399</v>
          </cell>
        </row>
      </sheetData>
      <sheetData sheetId="3"/>
      <sheetData sheetId="4">
        <row r="7">
          <cell r="Z7">
            <v>121.3962633968371</v>
          </cell>
        </row>
        <row r="8">
          <cell r="Z8">
            <v>41.971788784926609</v>
          </cell>
        </row>
        <row r="9">
          <cell r="Z9">
            <v>54.28632462875138</v>
          </cell>
        </row>
        <row r="10">
          <cell r="Z10">
            <v>225.87483178891424</v>
          </cell>
        </row>
        <row r="11">
          <cell r="Z11">
            <v>38.935252102984336</v>
          </cell>
        </row>
        <row r="12">
          <cell r="Z12">
            <v>34.053480924228865</v>
          </cell>
        </row>
        <row r="13">
          <cell r="Z13">
            <v>219.47066863828059</v>
          </cell>
        </row>
        <row r="14">
          <cell r="Z14">
            <v>73.74397384195774</v>
          </cell>
        </row>
        <row r="15">
          <cell r="Z15">
            <v>354.70889829125093</v>
          </cell>
        </row>
        <row r="16">
          <cell r="Z16">
            <v>4041.3762041835894</v>
          </cell>
        </row>
        <row r="17">
          <cell r="Z17">
            <v>382.91648546289002</v>
          </cell>
        </row>
        <row r="18">
          <cell r="Z18">
            <v>0.7627605596333501</v>
          </cell>
        </row>
        <row r="19">
          <cell r="Z19">
            <v>1164.4414823981319</v>
          </cell>
        </row>
        <row r="20">
          <cell r="Z20">
            <v>15.41539461789352</v>
          </cell>
        </row>
        <row r="21">
          <cell r="Z21">
            <v>11.878919919708069</v>
          </cell>
        </row>
        <row r="22">
          <cell r="Z22">
            <v>3.4622590777180284</v>
          </cell>
        </row>
        <row r="23">
          <cell r="Z23">
            <v>45.562338486824174</v>
          </cell>
        </row>
        <row r="24">
          <cell r="Z24">
            <v>1.859037810499655</v>
          </cell>
        </row>
        <row r="25">
          <cell r="Z25">
            <v>39.965426095795472</v>
          </cell>
        </row>
        <row r="26">
          <cell r="Z26">
            <v>21.766573067483453</v>
          </cell>
        </row>
        <row r="27">
          <cell r="Z27">
            <v>1.9212837278207657</v>
          </cell>
        </row>
        <row r="28">
          <cell r="Z28">
            <v>75.547479355194639</v>
          </cell>
        </row>
        <row r="29">
          <cell r="Z29">
            <v>3.4528089383025282</v>
          </cell>
        </row>
        <row r="30">
          <cell r="Z30">
            <v>3.6595983448721832</v>
          </cell>
        </row>
        <row r="31">
          <cell r="Z31">
            <v>55.008362059831747</v>
          </cell>
        </row>
        <row r="32">
          <cell r="Z32">
            <v>90.385106622901247</v>
          </cell>
        </row>
        <row r="33">
          <cell r="Z33">
            <v>5.5805261594901925</v>
          </cell>
        </row>
        <row r="34">
          <cell r="Z34">
            <v>9.0081393473553302</v>
          </cell>
        </row>
        <row r="35">
          <cell r="Z35">
            <v>57.560455962342658</v>
          </cell>
        </row>
        <row r="36">
          <cell r="Z36">
            <v>50.769953212028682</v>
          </cell>
        </row>
        <row r="37">
          <cell r="Z37">
            <v>492.80366280606239</v>
          </cell>
        </row>
        <row r="38">
          <cell r="Z38">
            <v>2.8964922640948902</v>
          </cell>
        </row>
        <row r="39">
          <cell r="Z39">
            <v>0.98175724583383017</v>
          </cell>
        </row>
        <row r="40">
          <cell r="Z40">
            <v>28.8235802825271</v>
          </cell>
        </row>
        <row r="41">
          <cell r="Z41">
            <v>15.265994842353845</v>
          </cell>
        </row>
        <row r="42">
          <cell r="Z42">
            <v>15.750618628106325</v>
          </cell>
        </row>
        <row r="43">
          <cell r="Z43">
            <v>16.601700392433028</v>
          </cell>
        </row>
        <row r="44">
          <cell r="Z44">
            <v>49.156143002756849</v>
          </cell>
        </row>
        <row r="45">
          <cell r="Z45">
            <v>52.38686012049628</v>
          </cell>
        </row>
        <row r="46">
          <cell r="Z46">
            <v>5.06533414872544</v>
          </cell>
        </row>
        <row r="47">
          <cell r="Z47">
            <v>66.099022574009552</v>
          </cell>
        </row>
        <row r="48">
          <cell r="Z48">
            <v>97.075779064921022</v>
          </cell>
        </row>
        <row r="49">
          <cell r="Z49">
            <v>82.945465709852684</v>
          </cell>
        </row>
        <row r="50">
          <cell r="Z50">
            <v>433.04874827611081</v>
          </cell>
        </row>
        <row r="51">
          <cell r="Z51">
            <v>589.86825897508936</v>
          </cell>
        </row>
        <row r="52">
          <cell r="Z52">
            <v>67.024501424781633</v>
          </cell>
        </row>
        <row r="53">
          <cell r="Z53">
            <v>0</v>
          </cell>
        </row>
        <row r="54">
          <cell r="Z54">
            <v>13903.48007456857</v>
          </cell>
        </row>
        <row r="55">
          <cell r="Z55">
            <v>656.89276039987101</v>
          </cell>
        </row>
        <row r="56">
          <cell r="Z56">
            <v>0</v>
          </cell>
        </row>
        <row r="57">
          <cell r="Z57">
            <v>3130.8658999026993</v>
          </cell>
        </row>
      </sheetData>
      <sheetData sheetId="5"/>
      <sheetData sheetId="6">
        <row r="7">
          <cell r="Z7">
            <v>118.06979635896622</v>
          </cell>
        </row>
        <row r="8">
          <cell r="Z8">
            <v>38.458308049571997</v>
          </cell>
        </row>
        <row r="9">
          <cell r="Z9">
            <v>36.495113832934081</v>
          </cell>
        </row>
        <row r="10">
          <cell r="Z10">
            <v>204.97485718250766</v>
          </cell>
        </row>
        <row r="11">
          <cell r="Z11">
            <v>31.983111345788689</v>
          </cell>
        </row>
        <row r="12">
          <cell r="Z12">
            <v>24.588471739216409</v>
          </cell>
        </row>
        <row r="13">
          <cell r="Z13">
            <v>246.23308343301653</v>
          </cell>
        </row>
        <row r="14">
          <cell r="Z14">
            <v>77.803421801904264</v>
          </cell>
        </row>
        <row r="15">
          <cell r="Z15">
            <v>130.10550232337039</v>
          </cell>
        </row>
        <row r="16">
          <cell r="Z16">
            <v>4406.8431118528397</v>
          </cell>
        </row>
        <row r="17">
          <cell r="Z17">
            <v>441.9026259560618</v>
          </cell>
        </row>
        <row r="18">
          <cell r="Z18">
            <v>0</v>
          </cell>
        </row>
        <row r="19">
          <cell r="Z19">
            <v>911.52025771986257</v>
          </cell>
        </row>
        <row r="20">
          <cell r="Z20">
            <v>16.2158482962828</v>
          </cell>
        </row>
        <row r="21">
          <cell r="Z21">
            <v>8.5518952738860463</v>
          </cell>
        </row>
        <row r="22">
          <cell r="Z22">
            <v>9.127301446679045</v>
          </cell>
        </row>
        <row r="23">
          <cell r="Z23">
            <v>42.417513141972357</v>
          </cell>
        </row>
        <row r="24">
          <cell r="Z24">
            <v>4.6334990709184734</v>
          </cell>
        </row>
        <row r="25">
          <cell r="Z25">
            <v>8.6469121687136976</v>
          </cell>
        </row>
        <row r="26">
          <cell r="Z26">
            <v>2.2568606235377313</v>
          </cell>
        </row>
        <row r="27">
          <cell r="Z27">
            <v>0.12435809805700651</v>
          </cell>
        </row>
        <row r="28">
          <cell r="Z28">
            <v>73.780059567657062</v>
          </cell>
        </row>
        <row r="29">
          <cell r="Z29">
            <v>7.6776752665357814E-2</v>
          </cell>
        </row>
        <row r="30">
          <cell r="Z30">
            <v>19.257715791914773</v>
          </cell>
        </row>
        <row r="31">
          <cell r="Z31">
            <v>27.180031684087268</v>
          </cell>
        </row>
        <row r="32">
          <cell r="Z32">
            <v>22.173251862235844</v>
          </cell>
        </row>
        <row r="33">
          <cell r="Z33">
            <v>0.56314722811915607</v>
          </cell>
        </row>
        <row r="34">
          <cell r="Z34">
            <v>29.970002653182036</v>
          </cell>
        </row>
        <row r="35">
          <cell r="Z35">
            <v>22.181087676043315</v>
          </cell>
        </row>
        <row r="36">
          <cell r="Z36">
            <v>56.063159091180836</v>
          </cell>
        </row>
        <row r="37">
          <cell r="Z37">
            <v>343.21942042713272</v>
          </cell>
        </row>
        <row r="38">
          <cell r="Z38">
            <v>2.8192779111743689</v>
          </cell>
        </row>
        <row r="39">
          <cell r="Z39">
            <v>2.8312030611744516</v>
          </cell>
        </row>
        <row r="40">
          <cell r="Z40">
            <v>59.901160856665875</v>
          </cell>
        </row>
        <row r="41">
          <cell r="Z41">
            <v>5.5379132336987755</v>
          </cell>
        </row>
        <row r="42">
          <cell r="Z42">
            <v>17.432547640928032</v>
          </cell>
        </row>
        <row r="43">
          <cell r="Z43">
            <v>13.321188455318989</v>
          </cell>
        </row>
        <row r="44">
          <cell r="Z44">
            <v>47.714336672169743</v>
          </cell>
        </row>
        <row r="45">
          <cell r="Z45">
            <v>19.35737510478716</v>
          </cell>
        </row>
        <row r="46">
          <cell r="Z46">
            <v>11.469143761368569</v>
          </cell>
        </row>
        <row r="47">
          <cell r="Z47">
            <v>108.91208832017664</v>
          </cell>
        </row>
        <row r="48">
          <cell r="Z48">
            <v>177.497919675231</v>
          </cell>
        </row>
        <row r="49">
          <cell r="Z49">
            <v>75.677712127976179</v>
          </cell>
        </row>
        <row r="50">
          <cell r="Z50">
            <v>542.4718668206699</v>
          </cell>
        </row>
        <row r="51">
          <cell r="Z51">
            <v>533.87563326357508</v>
          </cell>
        </row>
        <row r="52">
          <cell r="Z52">
            <v>45.938878745352184</v>
          </cell>
        </row>
        <row r="53">
          <cell r="Z53">
            <v>0</v>
          </cell>
        </row>
        <row r="54">
          <cell r="Z54">
            <v>13993.844745515144</v>
          </cell>
        </row>
        <row r="55">
          <cell r="Z55">
            <v>579.81451200892718</v>
          </cell>
        </row>
        <row r="56">
          <cell r="Z56">
            <v>0</v>
          </cell>
        </row>
        <row r="57">
          <cell r="Z57">
            <v>2816.1200912800682</v>
          </cell>
        </row>
      </sheetData>
      <sheetData sheetId="7"/>
      <sheetData sheetId="8">
        <row r="6">
          <cell r="Z6">
            <v>46.977434528527112</v>
          </cell>
        </row>
        <row r="7">
          <cell r="Z7">
            <v>41.104732995195612</v>
          </cell>
        </row>
        <row r="8">
          <cell r="Z8">
            <v>8.9913879135210699</v>
          </cell>
        </row>
        <row r="9">
          <cell r="Z9">
            <v>131.45991239905331</v>
          </cell>
        </row>
        <row r="10">
          <cell r="Z10">
            <v>10.184283193429819</v>
          </cell>
        </row>
        <row r="11">
          <cell r="Z11">
            <v>1.9062681825247401</v>
          </cell>
        </row>
        <row r="12">
          <cell r="Z12">
            <v>10.827105817437154</v>
          </cell>
        </row>
        <row r="13">
          <cell r="Z13">
            <v>336.45564999670427</v>
          </cell>
        </row>
        <row r="14">
          <cell r="Z14">
            <v>3.5227271890032679</v>
          </cell>
        </row>
        <row r="15">
          <cell r="Z15">
            <v>256.43320960745876</v>
          </cell>
        </row>
        <row r="16">
          <cell r="Z16">
            <v>1.863402513903941E-2</v>
          </cell>
        </row>
        <row r="17">
          <cell r="Z17">
            <v>841.90653805885165</v>
          </cell>
        </row>
        <row r="18">
          <cell r="Z18">
            <v>0</v>
          </cell>
        </row>
        <row r="19">
          <cell r="Z19">
            <v>7.6786755073391028E-2</v>
          </cell>
        </row>
        <row r="20">
          <cell r="Z20"/>
        </row>
        <row r="21">
          <cell r="Z21">
            <v>8.9928689852764077</v>
          </cell>
        </row>
        <row r="22">
          <cell r="Z22">
            <v>57.421373727050423</v>
          </cell>
        </row>
        <row r="23">
          <cell r="Z23">
            <v>7.9335272748244604E-2</v>
          </cell>
        </row>
        <row r="24">
          <cell r="Z24">
            <v>1.0546861783085262</v>
          </cell>
        </row>
        <row r="25">
          <cell r="Z25">
            <v>8.3369407851475952E-2</v>
          </cell>
        </row>
        <row r="26">
          <cell r="Z26">
            <v>0.15024089519996231</v>
          </cell>
        </row>
        <row r="27">
          <cell r="Z27">
            <v>0.14847843852263223</v>
          </cell>
        </row>
        <row r="28">
          <cell r="Z28">
            <v>30.114308342501509</v>
          </cell>
        </row>
        <row r="29">
          <cell r="Z29">
            <v>3.1295036304404626</v>
          </cell>
        </row>
        <row r="30">
          <cell r="Z30">
            <v>0.62449615860528485</v>
          </cell>
        </row>
        <row r="31">
          <cell r="Z31">
            <v>5.0107948741826691</v>
          </cell>
        </row>
        <row r="32">
          <cell r="Z32"/>
        </row>
        <row r="33">
          <cell r="Z33">
            <v>10.36177049333695</v>
          </cell>
        </row>
        <row r="34">
          <cell r="Z34">
            <v>264.64459157050038</v>
          </cell>
        </row>
        <row r="35">
          <cell r="Z35">
            <v>0.496907337041051</v>
          </cell>
        </row>
        <row r="36">
          <cell r="Z36">
            <v>2.4256994277213683E-2</v>
          </cell>
        </row>
        <row r="37">
          <cell r="Z37">
            <v>6.0512561529874331E-3</v>
          </cell>
        </row>
        <row r="38">
          <cell r="Z38">
            <v>3.650076498034649E-2</v>
          </cell>
        </row>
        <row r="39">
          <cell r="Z39">
            <v>0.46696352200662578</v>
          </cell>
        </row>
        <row r="40">
          <cell r="Z40">
            <v>0.47779924362519127</v>
          </cell>
        </row>
        <row r="41">
          <cell r="Z41">
            <v>0</v>
          </cell>
        </row>
        <row r="42">
          <cell r="Z42">
            <v>0</v>
          </cell>
        </row>
        <row r="43">
          <cell r="Z43">
            <v>0</v>
          </cell>
        </row>
        <row r="44">
          <cell r="Z44">
            <v>0</v>
          </cell>
        </row>
        <row r="45">
          <cell r="Z45">
            <v>0</v>
          </cell>
        </row>
        <row r="46">
          <cell r="Z46">
            <v>0</v>
          </cell>
        </row>
        <row r="47">
          <cell r="Z47">
            <v>0</v>
          </cell>
        </row>
        <row r="48">
          <cell r="Z48">
            <v>0</v>
          </cell>
        </row>
        <row r="49">
          <cell r="Z49">
            <v>2.274942550270707</v>
          </cell>
        </row>
        <row r="50">
          <cell r="Z50">
            <v>0.42478847718039192</v>
          </cell>
        </row>
        <row r="51">
          <cell r="Z51">
            <v>0.36886874716381862</v>
          </cell>
        </row>
        <row r="52">
          <cell r="Z52">
            <v>0.15555936419232733</v>
          </cell>
        </row>
        <row r="53">
          <cell r="Z53">
            <v>1.2582159393833139</v>
          </cell>
        </row>
        <row r="54">
          <cell r="Z54">
            <v>2.8417149686716243</v>
          </cell>
        </row>
        <row r="55">
          <cell r="Z55">
            <v>263.77659336546066</v>
          </cell>
        </row>
        <row r="56">
          <cell r="Z56">
            <v>11.87122360784304</v>
          </cell>
        </row>
        <row r="57">
          <cell r="Z57">
            <v>924.56483963181438</v>
          </cell>
        </row>
        <row r="58">
          <cell r="Z58">
            <v>35.241793473272089</v>
          </cell>
        </row>
        <row r="59">
          <cell r="Z59">
            <v>2.4634181233810101E-2</v>
          </cell>
        </row>
        <row r="60">
          <cell r="Z60">
            <v>4.4379227322803887</v>
          </cell>
        </row>
        <row r="61">
          <cell r="Z61">
            <v>1007.5249737080243</v>
          </cell>
        </row>
        <row r="62">
          <cell r="Z62"/>
        </row>
      </sheetData>
      <sheetData sheetId="9"/>
      <sheetData sheetId="10">
        <row r="6">
          <cell r="X6">
            <v>28.397308843393422</v>
          </cell>
        </row>
        <row r="7">
          <cell r="X7">
            <v>145.6112561004272</v>
          </cell>
        </row>
        <row r="8">
          <cell r="X8">
            <v>190.71636471217249</v>
          </cell>
        </row>
        <row r="9">
          <cell r="X9">
            <v>229.28956666566941</v>
          </cell>
        </row>
        <row r="10">
          <cell r="X10">
            <v>515.6919025263785</v>
          </cell>
        </row>
        <row r="11">
          <cell r="X11">
            <v>408.96461516150521</v>
          </cell>
        </row>
        <row r="12">
          <cell r="X12">
            <v>591.2093995282795</v>
          </cell>
        </row>
        <row r="13">
          <cell r="X13">
            <v>419.37594255133644</v>
          </cell>
        </row>
        <row r="14">
          <cell r="X14">
            <v>520.19731455550425</v>
          </cell>
        </row>
        <row r="15">
          <cell r="X15">
            <v>997.93248849991369</v>
          </cell>
        </row>
        <row r="16">
          <cell r="X16">
            <v>642.6298879268802</v>
          </cell>
        </row>
        <row r="17">
          <cell r="X17">
            <v>350.24486719877422</v>
          </cell>
        </row>
        <row r="18">
          <cell r="X18">
            <v>383.48955521906561</v>
          </cell>
        </row>
        <row r="19">
          <cell r="X19">
            <v>549.3995333454651</v>
          </cell>
        </row>
        <row r="20">
          <cell r="X20">
            <v>451.93970389891518</v>
          </cell>
        </row>
        <row r="21">
          <cell r="X21">
            <v>269.90742374062569</v>
          </cell>
        </row>
        <row r="22">
          <cell r="X22">
            <v>0</v>
          </cell>
        </row>
        <row r="23">
          <cell r="X23">
            <v>37904.288565322728</v>
          </cell>
        </row>
        <row r="24">
          <cell r="X24">
            <v>31572.560106671994</v>
          </cell>
        </row>
        <row r="25">
          <cell r="X25">
            <v>0</v>
          </cell>
        </row>
        <row r="26">
          <cell r="X26">
            <v>0</v>
          </cell>
        </row>
        <row r="27">
          <cell r="X27">
            <v>8.9577527565087245E-2</v>
          </cell>
        </row>
        <row r="28">
          <cell r="X28">
            <v>6.0676251326009109E-2</v>
          </cell>
        </row>
        <row r="29">
          <cell r="X29">
            <v>6.7251281979924402E-2</v>
          </cell>
        </row>
        <row r="30">
          <cell r="X30">
            <v>0</v>
          </cell>
        </row>
      </sheetData>
      <sheetData sheetId="11"/>
      <sheetData sheetId="12">
        <row r="6">
          <cell r="X6">
            <v>2108.1687734006514</v>
          </cell>
        </row>
        <row r="7">
          <cell r="X7">
            <v>1354.2214397583934</v>
          </cell>
        </row>
        <row r="8">
          <cell r="X8">
            <v>232.92619995316559</v>
          </cell>
        </row>
        <row r="9">
          <cell r="X9"/>
        </row>
        <row r="10">
          <cell r="X10">
            <v>1171.192636864655</v>
          </cell>
        </row>
        <row r="11">
          <cell r="X11">
            <v>1198.9083838921426</v>
          </cell>
        </row>
        <row r="12">
          <cell r="X12">
            <v>0</v>
          </cell>
        </row>
        <row r="13">
          <cell r="X13"/>
        </row>
        <row r="14">
          <cell r="X14">
            <v>1934.5240670689773</v>
          </cell>
        </row>
        <row r="15">
          <cell r="X15">
            <v>1934.5240670689773</v>
          </cell>
        </row>
        <row r="16">
          <cell r="X16">
            <v>131.44927753331822</v>
          </cell>
        </row>
        <row r="17">
          <cell r="X17"/>
        </row>
        <row r="18">
          <cell r="X18">
            <v>2113.5464643428613</v>
          </cell>
        </row>
        <row r="19">
          <cell r="X19">
            <v>1960.8996278938448</v>
          </cell>
        </row>
        <row r="20">
          <cell r="X20">
            <v>280.41524280494684</v>
          </cell>
        </row>
        <row r="21">
          <cell r="X21"/>
        </row>
        <row r="22">
          <cell r="X22">
            <v>1022.4768263751063</v>
          </cell>
        </row>
        <row r="23">
          <cell r="X23">
            <v>868.34943813976133</v>
          </cell>
        </row>
        <row r="24">
          <cell r="X24">
            <v>0</v>
          </cell>
        </row>
        <row r="25">
          <cell r="X25"/>
        </row>
        <row r="26">
          <cell r="X26">
            <v>1226.6161935678967</v>
          </cell>
        </row>
        <row r="27">
          <cell r="X27">
            <v>1147.8748543665515</v>
          </cell>
        </row>
        <row r="28">
          <cell r="X28">
            <v>26.735116350440492</v>
          </cell>
        </row>
        <row r="29">
          <cell r="X29"/>
        </row>
        <row r="30">
          <cell r="X30"/>
        </row>
        <row r="31">
          <cell r="X31">
            <v>1359.09167646848</v>
          </cell>
        </row>
        <row r="32">
          <cell r="X32">
            <v>1324.7594799299206</v>
          </cell>
        </row>
        <row r="33">
          <cell r="X33">
            <v>21.917959381883186</v>
          </cell>
        </row>
        <row r="34">
          <cell r="X34"/>
        </row>
        <row r="35">
          <cell r="X35">
            <v>539.88633971795412</v>
          </cell>
        </row>
        <row r="37">
          <cell r="X37">
            <v>289.33446085248835</v>
          </cell>
        </row>
        <row r="38">
          <cell r="X38"/>
        </row>
        <row r="39">
          <cell r="X39"/>
        </row>
        <row r="40">
          <cell r="X40"/>
        </row>
        <row r="41">
          <cell r="W41"/>
        </row>
        <row r="42">
          <cell r="W42"/>
        </row>
        <row r="43">
          <cell r="W43"/>
        </row>
        <row r="46">
          <cell r="W46"/>
        </row>
        <row r="47">
          <cell r="W47">
            <v>0</v>
          </cell>
        </row>
        <row r="48">
          <cell r="W48">
            <v>0</v>
          </cell>
        </row>
        <row r="49">
          <cell r="W49">
            <v>1988</v>
          </cell>
        </row>
        <row r="50">
          <cell r="W50">
            <v>105</v>
          </cell>
        </row>
        <row r="51">
          <cell r="W51">
            <v>2094</v>
          </cell>
        </row>
        <row r="52">
          <cell r="W52">
            <v>2093.5399629847811</v>
          </cell>
        </row>
        <row r="53">
          <cell r="W53"/>
        </row>
        <row r="54">
          <cell r="W54">
            <v>183</v>
          </cell>
        </row>
        <row r="55">
          <cell r="W55">
            <v>16</v>
          </cell>
        </row>
        <row r="56">
          <cell r="W56">
            <v>887</v>
          </cell>
        </row>
        <row r="57">
          <cell r="W57">
            <v>36</v>
          </cell>
        </row>
        <row r="58">
          <cell r="W58">
            <v>1122</v>
          </cell>
        </row>
        <row r="59">
          <cell r="W59">
            <v>1121.8938553011901</v>
          </cell>
        </row>
        <row r="60">
          <cell r="W60"/>
        </row>
        <row r="61">
          <cell r="W61">
            <v>3</v>
          </cell>
        </row>
        <row r="62">
          <cell r="W62">
            <v>2</v>
          </cell>
        </row>
        <row r="63">
          <cell r="W63">
            <v>921</v>
          </cell>
        </row>
        <row r="64">
          <cell r="W64">
            <v>12</v>
          </cell>
        </row>
        <row r="65">
          <cell r="W65">
            <v>938</v>
          </cell>
        </row>
        <row r="66">
          <cell r="W66">
            <v>937.82893580786197</v>
          </cell>
        </row>
        <row r="68">
          <cell r="W68"/>
        </row>
        <row r="69">
          <cell r="W69"/>
        </row>
        <row r="70">
          <cell r="W70"/>
        </row>
        <row r="71">
          <cell r="W71"/>
        </row>
        <row r="72">
          <cell r="W72"/>
        </row>
        <row r="73">
          <cell r="W73"/>
        </row>
      </sheetData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(Rev.2) BP22 (2)"/>
      <sheetName val="PRODUCTION (Rev.1) BP22"/>
      <sheetName val="Internal Price - BP2022"/>
    </sheetNames>
    <sheetDataSet>
      <sheetData sheetId="0">
        <row r="108">
          <cell r="B108">
            <v>1442218.0025000002</v>
          </cell>
          <cell r="C108">
            <v>786999.10800000001</v>
          </cell>
          <cell r="D108">
            <v>783387.73550000007</v>
          </cell>
          <cell r="E108">
            <v>791670.83225000009</v>
          </cell>
          <cell r="F108">
            <v>1430085.946</v>
          </cell>
          <cell r="G108">
            <v>1657208.9862499998</v>
          </cell>
          <cell r="H108">
            <v>1669007.0904999999</v>
          </cell>
          <cell r="I108">
            <v>1670917.7825</v>
          </cell>
          <cell r="J108">
            <v>1339679.0264999999</v>
          </cell>
          <cell r="K108">
            <v>1241541.9345</v>
          </cell>
          <cell r="L108">
            <v>1256197.436</v>
          </cell>
          <cell r="M108">
            <v>1546536.7594999999</v>
          </cell>
        </row>
        <row r="109">
          <cell r="B109">
            <v>14032951.3575</v>
          </cell>
          <cell r="C109">
            <v>14686413.544999998</v>
          </cell>
          <cell r="D109">
            <v>14133977.354000002</v>
          </cell>
          <cell r="E109">
            <v>14225354.243000001</v>
          </cell>
          <cell r="F109">
            <v>14399136.147499997</v>
          </cell>
          <cell r="G109">
            <v>16371552.004999999</v>
          </cell>
          <cell r="H109">
            <v>16170179.775</v>
          </cell>
          <cell r="I109">
            <v>16178661.51</v>
          </cell>
          <cell r="J109">
            <v>15393529.233000001</v>
          </cell>
          <cell r="K109">
            <v>11938131.615000002</v>
          </cell>
          <cell r="L109">
            <v>11458442.281999998</v>
          </cell>
          <cell r="M109">
            <v>14528021.676999999</v>
          </cell>
        </row>
        <row r="110">
          <cell r="B110">
            <v>9857057.3350800052</v>
          </cell>
          <cell r="C110">
            <v>11254534.534999996</v>
          </cell>
          <cell r="D110">
            <v>10193804.064900002</v>
          </cell>
          <cell r="E110">
            <v>10245058.379550003</v>
          </cell>
          <cell r="F110">
            <v>11060264.3445</v>
          </cell>
          <cell r="G110">
            <v>11655146.96675</v>
          </cell>
          <cell r="H110">
            <v>11372132.843299998</v>
          </cell>
          <cell r="I110">
            <v>11349385.0363</v>
          </cell>
          <cell r="J110">
            <v>11335966.321739998</v>
          </cell>
          <cell r="K110">
            <v>8389607.9674200006</v>
          </cell>
          <cell r="L110">
            <v>8762677.6029599998</v>
          </cell>
          <cell r="M110">
            <v>10839438.13666</v>
          </cell>
        </row>
        <row r="111">
          <cell r="B111">
            <v>2866874.4319000007</v>
          </cell>
          <cell r="C111">
            <v>3185354.3056000001</v>
          </cell>
          <cell r="D111">
            <v>3093608.6620000005</v>
          </cell>
          <cell r="E111">
            <v>3151055.1489999997</v>
          </cell>
          <cell r="F111">
            <v>3141480.7345000003</v>
          </cell>
          <cell r="G111">
            <v>3469465.8730000006</v>
          </cell>
          <cell r="H111">
            <v>3542507.2598000006</v>
          </cell>
          <cell r="I111">
            <v>3579027.9532000008</v>
          </cell>
          <cell r="J111">
            <v>3319138.7550000004</v>
          </cell>
          <cell r="K111">
            <v>2144673.8849999998</v>
          </cell>
          <cell r="L111">
            <v>2440418.0299999998</v>
          </cell>
          <cell r="M111">
            <v>3089352.807000001</v>
          </cell>
        </row>
      </sheetData>
      <sheetData sheetId="1"/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P - ORIGINAL"/>
      <sheetName val="PROCSQUALIDADE"/>
      <sheetName val="CUSTO POR PROCESSO"/>
      <sheetName val="MONTAGEM"/>
      <sheetName val="ACABAMENTO"/>
      <sheetName val="COLETOR"/>
      <sheetName val="TOTAL"/>
      <sheetName val="Resumo de VA"/>
    </sheetNames>
    <sheetDataSet>
      <sheetData sheetId="0">
        <row r="4">
          <cell r="E4">
            <v>44652</v>
          </cell>
          <cell r="F4"/>
          <cell r="G4"/>
          <cell r="H4">
            <v>44682</v>
          </cell>
          <cell r="I4"/>
          <cell r="J4"/>
          <cell r="K4">
            <v>44713</v>
          </cell>
          <cell r="L4"/>
          <cell r="M4"/>
          <cell r="N4">
            <v>44743</v>
          </cell>
          <cell r="O4"/>
          <cell r="P4"/>
          <cell r="Q4">
            <v>44774</v>
          </cell>
          <cell r="R4"/>
          <cell r="S4"/>
          <cell r="T4">
            <v>44805</v>
          </cell>
          <cell r="U4"/>
          <cell r="V4"/>
        </row>
        <row r="15">
          <cell r="E15">
            <v>102.07306767174221</v>
          </cell>
          <cell r="F15">
            <v>218.95813977415466</v>
          </cell>
          <cell r="G15">
            <v>11.506646387376504</v>
          </cell>
          <cell r="H15">
            <v>102.07306767174221</v>
          </cell>
          <cell r="I15">
            <v>325.20527160509084</v>
          </cell>
          <cell r="J15">
            <v>17.090125388945296</v>
          </cell>
          <cell r="K15">
            <v>102.07306767174219</v>
          </cell>
          <cell r="L15">
            <v>315.83860024515189</v>
          </cell>
          <cell r="M15">
            <v>16.597889862662726</v>
          </cell>
          <cell r="N15">
            <v>102.07306767174221</v>
          </cell>
          <cell r="O15">
            <v>321.70353664320015</v>
          </cell>
          <cell r="P15">
            <v>22.471681158475192</v>
          </cell>
          <cell r="Q15">
            <v>102.07306767174219</v>
          </cell>
          <cell r="R15">
            <v>320.72604724352544</v>
          </cell>
          <cell r="S15">
            <v>22.403401430019361</v>
          </cell>
          <cell r="T15">
            <v>102.07306767174221</v>
          </cell>
          <cell r="U15">
            <v>354.21133202356026</v>
          </cell>
          <cell r="V15">
            <v>24.74242030102495</v>
          </cell>
        </row>
        <row r="16">
          <cell r="E16">
            <v>400.55433234637866</v>
          </cell>
          <cell r="F16">
            <v>859.23381641758613</v>
          </cell>
          <cell r="G16">
            <v>58.803530262699404</v>
          </cell>
          <cell r="H16">
            <v>400.5543323463786</v>
          </cell>
          <cell r="I16">
            <v>1276.1679786308762</v>
          </cell>
          <cell r="J16">
            <v>87.337324157686311</v>
          </cell>
          <cell r="K16">
            <v>400.55433234637849</v>
          </cell>
          <cell r="L16">
            <v>1239.4113602743676</v>
          </cell>
          <cell r="M16">
            <v>84.821805240038174</v>
          </cell>
          <cell r="N16">
            <v>400.55433234637854</v>
          </cell>
          <cell r="O16">
            <v>1262.426497731871</v>
          </cell>
          <cell r="P16">
            <v>86.396896101365215</v>
          </cell>
          <cell r="Q16">
            <v>400.55433234637854</v>
          </cell>
          <cell r="R16">
            <v>1258.5906414889539</v>
          </cell>
          <cell r="S16">
            <v>86.13438095781072</v>
          </cell>
          <cell r="T16">
            <v>400.55433234637854</v>
          </cell>
          <cell r="U16">
            <v>1389.9933336430599</v>
          </cell>
          <cell r="V16">
            <v>95.127209262567362</v>
          </cell>
        </row>
        <row r="17">
          <cell r="E17">
            <v>0.26775022215667021</v>
          </cell>
          <cell r="F17">
            <v>0.57435415535934897</v>
          </cell>
          <cell r="G17">
            <v>3.9307172635494249E-2</v>
          </cell>
          <cell r="H17">
            <v>0.26775022215667021</v>
          </cell>
          <cell r="I17">
            <v>0.85305346165165519</v>
          </cell>
          <cell r="J17">
            <v>5.8380564276528289E-2</v>
          </cell>
          <cell r="K17">
            <v>0.26775022215667016</v>
          </cell>
          <cell r="L17">
            <v>0.82848352959516547</v>
          </cell>
          <cell r="M17">
            <v>5.6699067673822309E-2</v>
          </cell>
          <cell r="N17">
            <v>0.26775022215667021</v>
          </cell>
          <cell r="O17">
            <v>0.84386797976729344</v>
          </cell>
          <cell r="P17">
            <v>5.77519358966345E-2</v>
          </cell>
          <cell r="Q17">
            <v>0.26775022215667021</v>
          </cell>
          <cell r="R17">
            <v>0.84130390473860561</v>
          </cell>
          <cell r="S17">
            <v>5.7576457859499143E-2</v>
          </cell>
          <cell r="T17">
            <v>0.26775022215667021</v>
          </cell>
          <cell r="U17">
            <v>0.92913992890578878</v>
          </cell>
          <cell r="V17">
            <v>6.3587706726315085E-2</v>
          </cell>
        </row>
        <row r="21">
          <cell r="E21">
            <v>924.18451681077352</v>
          </cell>
          <cell r="F21">
            <v>1982.479092915353</v>
          </cell>
          <cell r="G21">
            <v>67.33745533670141</v>
          </cell>
          <cell r="H21">
            <v>924.18451681077329</v>
          </cell>
          <cell r="I21">
            <v>2944.4561984676297</v>
          </cell>
          <cell r="J21">
            <v>100.01224651686825</v>
          </cell>
          <cell r="K21">
            <v>924.18451681077318</v>
          </cell>
          <cell r="L21">
            <v>2859.6489829859797</v>
          </cell>
          <cell r="M21">
            <v>97.131660232183805</v>
          </cell>
          <cell r="N21">
            <v>923.51953767554392</v>
          </cell>
          <cell r="O21">
            <v>2912.7509768301079</v>
          </cell>
          <cell r="P21">
            <v>98.935337835416647</v>
          </cell>
          <cell r="Q21">
            <v>923.5195376755438</v>
          </cell>
          <cell r="R21">
            <v>2903.9006445227533</v>
          </cell>
          <cell r="S21">
            <v>98.634724901544516</v>
          </cell>
          <cell r="T21">
            <v>924.18451681077306</v>
          </cell>
          <cell r="U21">
            <v>3207.0813212731473</v>
          </cell>
          <cell r="V21">
            <v>106.15967637958302</v>
          </cell>
        </row>
        <row r="26">
          <cell r="E26">
            <v>83.760479510442678</v>
          </cell>
          <cell r="F26">
            <v>179.6755912066603</v>
          </cell>
          <cell r="G26">
            <v>1.6123788095567018</v>
          </cell>
          <cell r="H26">
            <v>83.758945639277229</v>
          </cell>
          <cell r="I26">
            <v>266.85639304556696</v>
          </cell>
          <cell r="J26">
            <v>2.39472479512541</v>
          </cell>
          <cell r="K26">
            <v>83.758945639277201</v>
          </cell>
          <cell r="L26">
            <v>259.17030566568019</v>
          </cell>
          <cell r="M26">
            <v>2.32575112799287</v>
          </cell>
          <cell r="N26">
            <v>83.762013409697786</v>
          </cell>
          <cell r="O26">
            <v>263.98294527911594</v>
          </cell>
          <cell r="P26">
            <v>2.3689389537772403</v>
          </cell>
          <cell r="Q26">
            <v>83.762013409697786</v>
          </cell>
          <cell r="R26">
            <v>263.1808386768767</v>
          </cell>
          <cell r="S26">
            <v>2.3617409828131786</v>
          </cell>
          <cell r="T26">
            <v>83.758945639277201</v>
          </cell>
          <cell r="U26">
            <v>290.6581371610007</v>
          </cell>
          <cell r="V26">
            <v>2.6083176798599608</v>
          </cell>
        </row>
        <row r="35">
          <cell r="E35">
            <v>44835</v>
          </cell>
          <cell r="F35"/>
          <cell r="G35"/>
          <cell r="H35">
            <v>44866</v>
          </cell>
          <cell r="I35"/>
          <cell r="J35"/>
          <cell r="K35">
            <v>44896</v>
          </cell>
          <cell r="L35"/>
          <cell r="M35"/>
          <cell r="N35">
            <v>44927</v>
          </cell>
          <cell r="O35"/>
          <cell r="P35"/>
          <cell r="Q35">
            <v>44958</v>
          </cell>
          <cell r="R35"/>
          <cell r="S35"/>
          <cell r="T35">
            <v>44986</v>
          </cell>
          <cell r="U35"/>
          <cell r="V35"/>
        </row>
        <row r="46">
          <cell r="E46">
            <v>102.07306767174222</v>
          </cell>
          <cell r="F46">
            <v>365.73468171431767</v>
          </cell>
          <cell r="G46">
            <v>25.547350961192091</v>
          </cell>
          <cell r="H46">
            <v>102.07306767174219</v>
          </cell>
          <cell r="I46">
            <v>339.17705365788345</v>
          </cell>
          <cell r="J46">
            <v>23.692243752123801</v>
          </cell>
          <cell r="K46">
            <v>102.07306767174222</v>
          </cell>
          <cell r="L46">
            <v>219.16051815414579</v>
          </cell>
          <cell r="M46">
            <v>11.517281737390938</v>
          </cell>
          <cell r="N46">
            <v>102.07306767174221</v>
          </cell>
          <cell r="O46">
            <v>249.38210126409018</v>
          </cell>
          <cell r="P46">
            <v>13.105480607145349</v>
          </cell>
          <cell r="Q46">
            <v>102.07306767174219</v>
          </cell>
          <cell r="R46">
            <v>315.69562471875997</v>
          </cell>
          <cell r="S46">
            <v>16.590376240077429</v>
          </cell>
          <cell r="T46">
            <v>102.07306767174221</v>
          </cell>
          <cell r="U46">
            <v>295.85589363482904</v>
          </cell>
          <cell r="V46">
            <v>16.820045636265146</v>
          </cell>
        </row>
        <row r="47">
          <cell r="E47">
            <v>400.26612120597218</v>
          </cell>
          <cell r="F47">
            <v>1433.8878599686307</v>
          </cell>
          <cell r="G47">
            <v>98.131226397174785</v>
          </cell>
          <cell r="H47">
            <v>400.26612120597213</v>
          </cell>
          <cell r="I47">
            <v>1329.7668608848501</v>
          </cell>
          <cell r="J47">
            <v>91.005479943045501</v>
          </cell>
          <cell r="K47">
            <v>400.26612120597207</v>
          </cell>
          <cell r="L47">
            <v>859.23381641758613</v>
          </cell>
          <cell r="M47">
            <v>58.803530262699404</v>
          </cell>
          <cell r="N47">
            <v>400.26612120597207</v>
          </cell>
          <cell r="O47">
            <v>977.71960214416799</v>
          </cell>
          <cell r="P47">
            <v>66.912362053936349</v>
          </cell>
          <cell r="Q47">
            <v>400.26612120597207</v>
          </cell>
          <cell r="R47">
            <v>1237.7063110548359</v>
          </cell>
          <cell r="S47">
            <v>84.705116497737336</v>
          </cell>
          <cell r="T47">
            <v>400.26612120597213</v>
          </cell>
          <cell r="U47">
            <v>1159.9232869977625</v>
          </cell>
          <cell r="V47">
            <v>79.381866502602747</v>
          </cell>
        </row>
        <row r="48">
          <cell r="E48">
            <v>0.26755756765105088</v>
          </cell>
          <cell r="F48">
            <v>0.9584811898186032</v>
          </cell>
          <cell r="G48">
            <v>6.5595739570303985E-2</v>
          </cell>
          <cell r="H48">
            <v>0.26755756765105088</v>
          </cell>
          <cell r="I48">
            <v>0.88888159150056822</v>
          </cell>
          <cell r="J48">
            <v>6.0832540068880683E-2</v>
          </cell>
          <cell r="K48">
            <v>0.26755756765105082</v>
          </cell>
          <cell r="L48">
            <v>0.57435415535934897</v>
          </cell>
          <cell r="M48">
            <v>3.9307172635494249E-2</v>
          </cell>
          <cell r="N48">
            <v>0.26755756765105088</v>
          </cell>
          <cell r="O48">
            <v>0.65355588378620855</v>
          </cell>
          <cell r="P48">
            <v>4.4727514741936064E-2</v>
          </cell>
          <cell r="Q48">
            <v>0.26755756765105082</v>
          </cell>
          <cell r="R48">
            <v>0.827343790812056</v>
          </cell>
          <cell r="S48">
            <v>5.6621067177631899E-2</v>
          </cell>
          <cell r="T48">
            <v>0.26755756765105082</v>
          </cell>
          <cell r="U48">
            <v>0.77534979077390531</v>
          </cell>
          <cell r="V48">
            <v>5.3062744988370811E-2</v>
          </cell>
        </row>
        <row r="52">
          <cell r="E52">
            <v>923.51953767554403</v>
          </cell>
          <cell r="F52">
            <v>3308.3575735238792</v>
          </cell>
          <cell r="G52">
            <v>112.37262533618762</v>
          </cell>
          <cell r="H52">
            <v>923.51953767554392</v>
          </cell>
          <cell r="I52">
            <v>3068.122959996128</v>
          </cell>
          <cell r="J52">
            <v>104.21274732457857</v>
          </cell>
          <cell r="K52">
            <v>923.5195376755438</v>
          </cell>
          <cell r="L52">
            <v>1982.479092915353</v>
          </cell>
          <cell r="M52">
            <v>67.33745533670141</v>
          </cell>
          <cell r="N52">
            <v>923.51953767554392</v>
          </cell>
          <cell r="O52">
            <v>2255.8570588687298</v>
          </cell>
          <cell r="P52">
            <v>76.623089993939018</v>
          </cell>
          <cell r="Q52">
            <v>923.51953767554392</v>
          </cell>
          <cell r="R52">
            <v>2855.7149846196135</v>
          </cell>
          <cell r="S52">
            <v>96.998036911647148</v>
          </cell>
          <cell r="T52">
            <v>923.5195376755438</v>
          </cell>
          <cell r="U52">
            <v>2676.2490278212631</v>
          </cell>
          <cell r="V52">
            <v>90.902244580946757</v>
          </cell>
        </row>
        <row r="53">
          <cell r="E53">
            <v>43.117650603614123</v>
          </cell>
          <cell r="F53">
            <v>154.49061928788279</v>
          </cell>
          <cell r="G53">
            <v>1.3863730690529124</v>
          </cell>
          <cell r="H53">
            <v>43.11765060361413</v>
          </cell>
          <cell r="I53">
            <v>143.27236570027085</v>
          </cell>
          <cell r="J53">
            <v>1.285702331066614</v>
          </cell>
          <cell r="K53">
            <v>43.117650603614123</v>
          </cell>
          <cell r="L53">
            <v>92.575973419809799</v>
          </cell>
          <cell r="M53">
            <v>0.83076135614046986</v>
          </cell>
          <cell r="N53">
            <v>43.11765060361413</v>
          </cell>
          <cell r="O53">
            <v>105.34192459685057</v>
          </cell>
          <cell r="P53">
            <v>0.94532087434470424</v>
          </cell>
          <cell r="Q53">
            <v>43.11765060361413</v>
          </cell>
          <cell r="R53">
            <v>133.35353470079994</v>
          </cell>
          <cell r="S53">
            <v>1.1966923948158619</v>
          </cell>
          <cell r="T53">
            <v>43.11765060361413</v>
          </cell>
          <cell r="U53">
            <v>124.97299958913197</v>
          </cell>
          <cell r="V53">
            <v>1.1214868694796054</v>
          </cell>
        </row>
        <row r="54"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</row>
        <row r="55"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</row>
        <row r="56">
          <cell r="E56">
            <v>40.64436280608367</v>
          </cell>
          <cell r="F56">
            <v>145.62882468245928</v>
          </cell>
          <cell r="G56">
            <v>1.3068488012296093</v>
          </cell>
          <cell r="H56">
            <v>40.644362806083677</v>
          </cell>
          <cell r="I56">
            <v>135.05406556450004</v>
          </cell>
          <cell r="J56">
            <v>1.2119526753648959</v>
          </cell>
          <cell r="K56">
            <v>40.644362806083677</v>
          </cell>
          <cell r="L56">
            <v>87.265688137602737</v>
          </cell>
          <cell r="M56">
            <v>0.78310774106549075</v>
          </cell>
          <cell r="N56">
            <v>40.644362806083677</v>
          </cell>
          <cell r="O56">
            <v>99.299366780587633</v>
          </cell>
          <cell r="P56">
            <v>0.89109596759453003</v>
          </cell>
          <cell r="Q56">
            <v>40.644362806083677</v>
          </cell>
          <cell r="R56">
            <v>125.704192366146</v>
          </cell>
          <cell r="S56">
            <v>1.1280484715950665</v>
          </cell>
          <cell r="T56">
            <v>40.644362806083677</v>
          </cell>
          <cell r="U56">
            <v>117.80437628574006</v>
          </cell>
          <cell r="V56">
            <v>1.057156838725517</v>
          </cell>
        </row>
        <row r="57">
          <cell r="E57">
            <v>83.762013409697801</v>
          </cell>
          <cell r="F57">
            <v>300.1194439703421</v>
          </cell>
          <cell r="G57">
            <v>2.6932218702825219</v>
          </cell>
          <cell r="H57">
            <v>83.762013409697815</v>
          </cell>
          <cell r="I57">
            <v>278.32643126477092</v>
          </cell>
          <cell r="J57">
            <v>2.4976550064315099</v>
          </cell>
          <cell r="K57">
            <v>83.762013409697786</v>
          </cell>
          <cell r="L57">
            <v>179.84166155741252</v>
          </cell>
          <cell r="M57">
            <v>1.6138690972059606</v>
          </cell>
          <cell r="N57">
            <v>83.762013409697801</v>
          </cell>
          <cell r="O57">
            <v>204.64129137743822</v>
          </cell>
          <cell r="P57">
            <v>1.8364168419392342</v>
          </cell>
          <cell r="Q57">
            <v>83.762013409697815</v>
          </cell>
          <cell r="R57">
            <v>259.05772706694597</v>
          </cell>
          <cell r="S57">
            <v>2.3247408664109281</v>
          </cell>
          <cell r="T57">
            <v>83.762013409697801</v>
          </cell>
          <cell r="U57">
            <v>242.77737587487204</v>
          </cell>
          <cell r="V57">
            <v>2.1786437082051222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IND-PVC-PRE - Qty"/>
      <sheetName val="BLIND-PVC-PRE - Cost"/>
    </sheetNames>
    <sheetDataSet>
      <sheetData sheetId="0"/>
      <sheetData sheetId="1">
        <row r="10">
          <cell r="N10"/>
          <cell r="O10"/>
          <cell r="P10"/>
          <cell r="Q10"/>
        </row>
        <row r="16">
          <cell r="N16"/>
          <cell r="O16"/>
          <cell r="P16"/>
          <cell r="Q16"/>
        </row>
        <row r="21">
          <cell r="N21"/>
          <cell r="O21"/>
          <cell r="P21"/>
          <cell r="Q21"/>
        </row>
        <row r="24">
          <cell r="N24"/>
          <cell r="O24"/>
          <cell r="P24"/>
          <cell r="Q24"/>
        </row>
        <row r="25">
          <cell r="N25"/>
          <cell r="O25"/>
          <cell r="P25"/>
          <cell r="Q25"/>
        </row>
        <row r="29">
          <cell r="N29"/>
          <cell r="O29"/>
          <cell r="P29"/>
          <cell r="Q29"/>
        </row>
        <row r="30">
          <cell r="N30"/>
          <cell r="O30"/>
          <cell r="P30"/>
          <cell r="Q30"/>
        </row>
        <row r="31">
          <cell r="N31"/>
          <cell r="O31"/>
          <cell r="P31"/>
          <cell r="Q31"/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Gráfico Cascata"/>
      <sheetName val="Rascunho"/>
      <sheetName val="Resumo por Operação"/>
      <sheetName val="Dados do Pareto"/>
      <sheetName val="Gráfico2"/>
      <sheetName val="Pareto 10"/>
      <sheetName val="Controle de Revisões"/>
    </sheetNames>
    <sheetDataSet>
      <sheetData sheetId="0"/>
      <sheetData sheetId="1">
        <row r="15">
          <cell r="N15">
            <v>706.50781096374499</v>
          </cell>
        </row>
        <row r="22">
          <cell r="N22">
            <v>341.83872417148592</v>
          </cell>
        </row>
        <row r="36">
          <cell r="N36">
            <v>403.41712054703964</v>
          </cell>
        </row>
        <row r="57">
          <cell r="N57">
            <v>882.1179329165509</v>
          </cell>
        </row>
        <row r="60">
          <cell r="N60">
            <v>609.42218283089301</v>
          </cell>
        </row>
      </sheetData>
      <sheetData sheetId="2">
        <row r="19">
          <cell r="Y19">
            <v>413.69785398349745</v>
          </cell>
          <cell r="AA19">
            <v>1515.2137953211366</v>
          </cell>
        </row>
        <row r="37">
          <cell r="Y37">
            <v>170.40145063698841</v>
          </cell>
          <cell r="AA37">
            <v>616.89222222510887</v>
          </cell>
        </row>
        <row r="50">
          <cell r="Y50">
            <v>147.79891108979984</v>
          </cell>
          <cell r="AA50">
            <v>910.98651261364182</v>
          </cell>
        </row>
        <row r="55">
          <cell r="Y55">
            <v>478.44612276004136</v>
          </cell>
          <cell r="AA55">
            <v>1584.3600555670314</v>
          </cell>
        </row>
      </sheetData>
      <sheetData sheetId="3">
        <row r="16">
          <cell r="P16">
            <v>647.33602791381998</v>
          </cell>
        </row>
        <row r="35">
          <cell r="P35">
            <v>513.62882051376187</v>
          </cell>
        </row>
        <row r="55">
          <cell r="P55">
            <v>8.7983859479515054</v>
          </cell>
        </row>
        <row r="62">
          <cell r="P62">
            <v>1347.9485595501822</v>
          </cell>
        </row>
      </sheetData>
      <sheetData sheetId="4">
        <row r="6">
          <cell r="N6">
            <v>124.53149999999999</v>
          </cell>
        </row>
        <row r="7">
          <cell r="N7">
            <v>124.53149999999999</v>
          </cell>
        </row>
        <row r="8">
          <cell r="N8">
            <v>124.53149999999999</v>
          </cell>
        </row>
        <row r="9">
          <cell r="N9">
            <v>124.53149999999999</v>
          </cell>
        </row>
        <row r="11">
          <cell r="N11">
            <v>43.864600000000003</v>
          </cell>
        </row>
        <row r="12">
          <cell r="N12">
            <v>43.864600000000003</v>
          </cell>
        </row>
        <row r="13">
          <cell r="N13">
            <v>43.864600000000003</v>
          </cell>
        </row>
        <row r="14">
          <cell r="N14">
            <v>43.864600000000003</v>
          </cell>
        </row>
        <row r="15">
          <cell r="N15">
            <v>43.864600000000003</v>
          </cell>
        </row>
        <row r="17">
          <cell r="N17">
            <v>43.864600000000003</v>
          </cell>
        </row>
        <row r="23">
          <cell r="N23">
            <v>14.21</v>
          </cell>
        </row>
        <row r="24">
          <cell r="N24">
            <v>14.21</v>
          </cell>
        </row>
        <row r="27">
          <cell r="N27">
            <v>1.3617978799999999</v>
          </cell>
        </row>
        <row r="28">
          <cell r="N28">
            <v>0.37200200999999999</v>
          </cell>
        </row>
        <row r="29">
          <cell r="N29">
            <v>0.48710163000000001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Gráfico Cascata"/>
      <sheetName val="Rascunho"/>
      <sheetName val="Resumo por Operação"/>
      <sheetName val="Dados do Pareto"/>
      <sheetName val="Gráfico2"/>
      <sheetName val="Pareto 10"/>
      <sheetName val="Controle de Revisões"/>
    </sheetNames>
    <sheetDataSet>
      <sheetData sheetId="0"/>
      <sheetData sheetId="1">
        <row r="15">
          <cell r="N15">
            <v>931.31548420654178</v>
          </cell>
        </row>
        <row r="22">
          <cell r="N22">
            <v>459.0152255667191</v>
          </cell>
        </row>
        <row r="36">
          <cell r="N36">
            <v>535.72619480534297</v>
          </cell>
        </row>
        <row r="57">
          <cell r="N57">
            <v>1232.4914047144839</v>
          </cell>
        </row>
        <row r="60">
          <cell r="N60">
            <v>1394.4465090632384</v>
          </cell>
        </row>
      </sheetData>
      <sheetData sheetId="2">
        <row r="19">
          <cell r="Y19">
            <v>605.13621960417652</v>
          </cell>
          <cell r="AA19">
            <v>1597.7408536066321</v>
          </cell>
        </row>
        <row r="37">
          <cell r="Y37">
            <v>256.38116526827866</v>
          </cell>
          <cell r="AA37">
            <v>668.34114510242216</v>
          </cell>
        </row>
        <row r="50">
          <cell r="Y50">
            <v>272.89789702033005</v>
          </cell>
          <cell r="AA50">
            <v>1029.9057161303365</v>
          </cell>
        </row>
        <row r="55">
          <cell r="Y55">
            <v>730.38913438793463</v>
          </cell>
          <cell r="AA55">
            <v>1715.7552539935928</v>
          </cell>
        </row>
      </sheetData>
      <sheetData sheetId="3">
        <row r="16">
          <cell r="P16">
            <v>891.1274212529737</v>
          </cell>
        </row>
        <row r="35">
          <cell r="P35">
            <v>703.80086078501847</v>
          </cell>
        </row>
        <row r="55">
          <cell r="P55">
            <v>12.888034448388382</v>
          </cell>
        </row>
        <row r="62">
          <cell r="P62">
            <v>1974.6070965637261</v>
          </cell>
        </row>
      </sheetData>
      <sheetData sheetId="4">
        <row r="6">
          <cell r="N6">
            <v>129.37309999999999</v>
          </cell>
        </row>
        <row r="7">
          <cell r="N7">
            <v>129.37309999999999</v>
          </cell>
        </row>
        <row r="8">
          <cell r="N8">
            <v>129.37309999999999</v>
          </cell>
        </row>
        <row r="9">
          <cell r="N9">
            <v>129.37309999999999</v>
          </cell>
        </row>
        <row r="11">
          <cell r="N11">
            <v>50.476300000000002</v>
          </cell>
        </row>
        <row r="12">
          <cell r="N12">
            <v>50.476300000000002</v>
          </cell>
        </row>
        <row r="13">
          <cell r="N13">
            <v>50.476300000000002</v>
          </cell>
        </row>
        <row r="14">
          <cell r="N14">
            <v>50.476300000000002</v>
          </cell>
        </row>
        <row r="15">
          <cell r="N15">
            <v>50.476300000000002</v>
          </cell>
        </row>
        <row r="17">
          <cell r="N17">
            <v>50.476300000000002</v>
          </cell>
        </row>
        <row r="23">
          <cell r="N23">
            <v>14.29</v>
          </cell>
        </row>
        <row r="24">
          <cell r="N24">
            <v>14.29</v>
          </cell>
        </row>
        <row r="27">
          <cell r="N27">
            <v>1.4224561</v>
          </cell>
        </row>
        <row r="28">
          <cell r="N28">
            <v>0.38880200999999998</v>
          </cell>
        </row>
        <row r="29">
          <cell r="N29">
            <v>0.50790162999999999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Gráfico Cascata"/>
      <sheetName val="Rascunho"/>
      <sheetName val="Resumo por Operação"/>
      <sheetName val="Dados do Pareto"/>
      <sheetName val="Gráfico2"/>
      <sheetName val="Pareto 10"/>
      <sheetName val="Controle de Revisões"/>
    </sheetNames>
    <sheetDataSet>
      <sheetData sheetId="0"/>
      <sheetData sheetId="1">
        <row r="15">
          <cell r="N15">
            <v>897.87182420888166</v>
          </cell>
        </row>
        <row r="22">
          <cell r="N22">
            <v>445.02066312656302</v>
          </cell>
        </row>
        <row r="36">
          <cell r="N36">
            <v>517.29551218690392</v>
          </cell>
        </row>
        <row r="57">
          <cell r="N57">
            <v>1094.8806540654805</v>
          </cell>
        </row>
        <row r="60">
          <cell r="N60">
            <v>1346.4731202572775</v>
          </cell>
        </row>
      </sheetData>
      <sheetData sheetId="2">
        <row r="19">
          <cell r="Y19">
            <v>782.23431943608784</v>
          </cell>
          <cell r="AA19">
            <v>2325.931248626805</v>
          </cell>
        </row>
        <row r="37">
          <cell r="Y37">
            <v>324.781928852992</v>
          </cell>
          <cell r="AA37">
            <v>949.25151949670055</v>
          </cell>
        </row>
        <row r="50">
          <cell r="Y50">
            <v>333.11905185955891</v>
          </cell>
          <cell r="AA50">
            <v>1295.2736813196091</v>
          </cell>
        </row>
        <row r="55">
          <cell r="Y55">
            <v>921.17541290654276</v>
          </cell>
          <cell r="AA55">
            <v>2394.0359044926522</v>
          </cell>
        </row>
      </sheetData>
      <sheetData sheetId="3">
        <row r="16">
          <cell r="P16">
            <v>1011.6403371019119</v>
          </cell>
        </row>
        <row r="35">
          <cell r="P35">
            <v>800.48664316889017</v>
          </cell>
        </row>
        <row r="55">
          <cell r="P55">
            <v>13.537474735050603</v>
          </cell>
        </row>
        <row r="62">
          <cell r="P62">
            <v>2074.0621719998448</v>
          </cell>
        </row>
      </sheetData>
      <sheetData sheetId="4">
        <row r="6">
          <cell r="N6">
            <v>129.37309999999999</v>
          </cell>
        </row>
        <row r="7">
          <cell r="N7">
            <v>129.37309999999999</v>
          </cell>
        </row>
        <row r="8">
          <cell r="N8">
            <v>129.37309999999999</v>
          </cell>
        </row>
        <row r="9">
          <cell r="N9">
            <v>129.37309999999999</v>
          </cell>
        </row>
        <row r="11">
          <cell r="N11">
            <v>51.476300000000002</v>
          </cell>
        </row>
        <row r="12">
          <cell r="N12">
            <v>51.476300000000002</v>
          </cell>
        </row>
        <row r="13">
          <cell r="N13">
            <v>51.476300000000002</v>
          </cell>
        </row>
        <row r="14">
          <cell r="N14">
            <v>51.476300000000002</v>
          </cell>
        </row>
        <row r="15">
          <cell r="N15">
            <v>51.476300000000002</v>
          </cell>
        </row>
        <row r="17">
          <cell r="N17">
            <v>51.476300000000002</v>
          </cell>
        </row>
        <row r="23">
          <cell r="N23">
            <v>14.29</v>
          </cell>
        </row>
        <row r="24">
          <cell r="N24">
            <v>14.29</v>
          </cell>
        </row>
        <row r="27">
          <cell r="N27">
            <v>1.4222035700000002</v>
          </cell>
        </row>
        <row r="28">
          <cell r="N28">
            <v>0.38880233999999997</v>
          </cell>
        </row>
        <row r="29">
          <cell r="N29">
            <v>0.5091019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Gráfico Cascata"/>
      <sheetName val="Rascunho"/>
      <sheetName val="Resumo por Operação"/>
      <sheetName val="Dados do Pareto"/>
      <sheetName val="Gráfico2"/>
      <sheetName val="Gráfico4"/>
      <sheetName val="Controle de Revisões"/>
    </sheetNames>
    <sheetDataSet>
      <sheetData sheetId="0"/>
      <sheetData sheetId="1">
        <row r="15">
          <cell r="N15">
            <v>952.36324810906603</v>
          </cell>
        </row>
        <row r="22">
          <cell r="N22">
            <v>473.48725192729353</v>
          </cell>
        </row>
        <row r="36">
          <cell r="N36">
            <v>564.26037043317115</v>
          </cell>
        </row>
        <row r="57">
          <cell r="N57">
            <v>1185.818358969517</v>
          </cell>
        </row>
        <row r="60">
          <cell r="N60">
            <v>1468.718370284585</v>
          </cell>
        </row>
      </sheetData>
      <sheetData sheetId="2">
        <row r="19">
          <cell r="Y19">
            <v>905.60029572798248</v>
          </cell>
          <cell r="AA19">
            <v>2263.8008797491489</v>
          </cell>
        </row>
        <row r="37">
          <cell r="Y37">
            <v>377.63518618121907</v>
          </cell>
          <cell r="AA37">
            <v>927.23003504832184</v>
          </cell>
        </row>
        <row r="50">
          <cell r="Y50">
            <v>372.0545826009282</v>
          </cell>
          <cell r="AA50">
            <v>1456.8526027872238</v>
          </cell>
        </row>
        <row r="55">
          <cell r="Y55">
            <v>1065.1368996321614</v>
          </cell>
          <cell r="AA55">
            <v>2376.9252531887491</v>
          </cell>
        </row>
      </sheetData>
      <sheetData sheetId="3">
        <row r="16">
          <cell r="P16">
            <v>982.58562468934576</v>
          </cell>
        </row>
        <row r="35">
          <cell r="P35">
            <v>776.97720473306208</v>
          </cell>
        </row>
        <row r="55">
          <cell r="P55">
            <v>14.022035973989116</v>
          </cell>
        </row>
        <row r="62">
          <cell r="P62">
            <v>2148.3116480409039</v>
          </cell>
        </row>
      </sheetData>
      <sheetData sheetId="4">
        <row r="6">
          <cell r="N6">
            <v>152.0729</v>
          </cell>
        </row>
        <row r="7">
          <cell r="N7">
            <v>152.0729</v>
          </cell>
        </row>
        <row r="8">
          <cell r="N8">
            <v>152.0729</v>
          </cell>
        </row>
        <row r="9">
          <cell r="N9">
            <v>152.0729</v>
          </cell>
        </row>
        <row r="11">
          <cell r="N11">
            <v>54.365499999999997</v>
          </cell>
        </row>
        <row r="12">
          <cell r="N12">
            <v>54.365499999999997</v>
          </cell>
        </row>
        <row r="13">
          <cell r="N13">
            <v>54.365499999999997</v>
          </cell>
        </row>
        <row r="14">
          <cell r="N14">
            <v>54.365499999999997</v>
          </cell>
        </row>
        <row r="15">
          <cell r="N15">
            <v>54.365499999999997</v>
          </cell>
        </row>
        <row r="17">
          <cell r="N17">
            <v>54.365499999999997</v>
          </cell>
        </row>
        <row r="23">
          <cell r="N23">
            <v>14.4</v>
          </cell>
        </row>
        <row r="24">
          <cell r="N24">
            <v>14.4</v>
          </cell>
        </row>
        <row r="27">
          <cell r="N27">
            <v>1.4598833099999999</v>
          </cell>
        </row>
        <row r="28">
          <cell r="N28">
            <v>0.39930233999999998</v>
          </cell>
        </row>
        <row r="29">
          <cell r="N29">
            <v>0.51390190000000002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Gráfico Cascata"/>
      <sheetName val="Rascunho"/>
      <sheetName val="Resumo por Operação"/>
      <sheetName val="Dados do Pareto"/>
      <sheetName val="Gráfico1"/>
      <sheetName val="Gráfico3"/>
      <sheetName val="Controle de Revisões"/>
    </sheetNames>
    <sheetDataSet>
      <sheetData sheetId="0"/>
      <sheetData sheetId="1">
        <row r="15">
          <cell r="N15">
            <v>322.89274912953698</v>
          </cell>
        </row>
        <row r="22">
          <cell r="N22">
            <v>164.1860681920268</v>
          </cell>
        </row>
        <row r="36">
          <cell r="N36">
            <v>191.67514641664403</v>
          </cell>
        </row>
        <row r="57">
          <cell r="N57">
            <v>333.37560798801934</v>
          </cell>
        </row>
        <row r="60">
          <cell r="N60">
            <v>498.91295476412409</v>
          </cell>
        </row>
      </sheetData>
      <sheetData sheetId="2">
        <row r="19">
          <cell r="Y19">
            <v>21.815092194815421</v>
          </cell>
          <cell r="AA19">
            <v>649.30426867448364</v>
          </cell>
        </row>
        <row r="37">
          <cell r="Y37">
            <v>9.6020916976421571</v>
          </cell>
          <cell r="AA37">
            <v>283.24189558367783</v>
          </cell>
        </row>
        <row r="50">
          <cell r="Y50">
            <v>36.779923915723444</v>
          </cell>
          <cell r="AA50">
            <v>479.15648713173374</v>
          </cell>
        </row>
        <row r="55">
          <cell r="Y55">
            <v>33.96795775255481</v>
          </cell>
          <cell r="AA55">
            <v>733.14611031693437</v>
          </cell>
        </row>
      </sheetData>
      <sheetData sheetId="3">
        <row r="16">
          <cell r="P16">
            <v>930.20484605470517</v>
          </cell>
        </row>
        <row r="35">
          <cell r="P35">
            <v>731.94283999709239</v>
          </cell>
        </row>
        <row r="55">
          <cell r="P55">
            <v>13.780469193764519</v>
          </cell>
        </row>
        <row r="62">
          <cell r="P62">
            <v>2111.4299228736168</v>
          </cell>
        </row>
      </sheetData>
      <sheetData sheetId="4">
        <row r="6">
          <cell r="N6">
            <v>152.0729</v>
          </cell>
        </row>
        <row r="7">
          <cell r="N7">
            <v>152.0729</v>
          </cell>
        </row>
        <row r="8">
          <cell r="N8">
            <v>152.0729</v>
          </cell>
        </row>
        <row r="9">
          <cell r="N9">
            <v>152.0729</v>
          </cell>
        </row>
        <row r="11">
          <cell r="N11">
            <v>56.7545</v>
          </cell>
        </row>
        <row r="12">
          <cell r="N12">
            <v>56.7545</v>
          </cell>
        </row>
        <row r="13">
          <cell r="N13">
            <v>56.7545</v>
          </cell>
        </row>
        <row r="14">
          <cell r="N14">
            <v>56.7545</v>
          </cell>
        </row>
        <row r="15">
          <cell r="N15">
            <v>56.7545</v>
          </cell>
        </row>
        <row r="17">
          <cell r="N17">
            <v>56.7545</v>
          </cell>
        </row>
        <row r="23">
          <cell r="N23">
            <v>14.29</v>
          </cell>
        </row>
        <row r="24">
          <cell r="N24">
            <v>14.29</v>
          </cell>
        </row>
        <row r="27">
          <cell r="N27">
            <v>1.4752554600000001</v>
          </cell>
        </row>
        <row r="28">
          <cell r="N28">
            <v>0.40350234000000001</v>
          </cell>
        </row>
        <row r="29">
          <cell r="N29">
            <v>0.51980190000000004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Gráfico Cascata"/>
      <sheetName val="Falhas UM-1"/>
      <sheetName val="Falhas UM-3"/>
      <sheetName val="Falhas UM-4"/>
      <sheetName val="Falhas BLIND-PVC"/>
      <sheetName val="Falhas SM"/>
      <sheetName val="Custo do Blister"/>
      <sheetName val="Rascunho"/>
      <sheetName val="Resumo por Operação"/>
      <sheetName val="Dados do Pareto"/>
      <sheetName val="Gráfico1"/>
      <sheetName val="Gráfico3"/>
      <sheetName val="Controle de Revisões"/>
    </sheetNames>
    <sheetDataSet>
      <sheetData sheetId="0"/>
      <sheetData sheetId="1"/>
      <sheetData sheetId="2">
        <row r="15">
          <cell r="N15">
            <v>115.1769181916662</v>
          </cell>
        </row>
        <row r="22">
          <cell r="N22">
            <v>57.257201443458456</v>
          </cell>
        </row>
        <row r="36">
          <cell r="N36">
            <v>69.978715437474307</v>
          </cell>
        </row>
        <row r="57">
          <cell r="N57">
            <v>294.86578622476304</v>
          </cell>
        </row>
        <row r="60">
          <cell r="N60">
            <v>182.14822496400842</v>
          </cell>
        </row>
      </sheetData>
      <sheetData sheetId="3">
        <row r="19">
          <cell r="Y19">
            <v>688.94421179729295</v>
          </cell>
          <cell r="AA19">
            <v>1645.2167816315887</v>
          </cell>
        </row>
        <row r="37">
          <cell r="Y37">
            <v>350.27818829942368</v>
          </cell>
          <cell r="AA37">
            <v>851.71628549329512</v>
          </cell>
        </row>
        <row r="50">
          <cell r="Y50">
            <v>307.44403039765626</v>
          </cell>
          <cell r="AA50">
            <v>1297.748070793939</v>
          </cell>
        </row>
        <row r="55">
          <cell r="Y55">
            <v>978.83208763188259</v>
          </cell>
          <cell r="AA55">
            <v>2175.6670335784042</v>
          </cell>
        </row>
      </sheetData>
      <sheetData sheetId="4">
        <row r="16">
          <cell r="P16">
            <v>922.98808658536689</v>
          </cell>
        </row>
        <row r="35">
          <cell r="P35">
            <v>723.12397752552431</v>
          </cell>
        </row>
        <row r="55">
          <cell r="P55">
            <v>14.943532422025161</v>
          </cell>
        </row>
        <row r="62">
          <cell r="P62">
            <v>2289.7583347845398</v>
          </cell>
        </row>
      </sheetData>
      <sheetData sheetId="5">
        <row r="6">
          <cell r="N6">
            <v>175.01089999999999</v>
          </cell>
        </row>
        <row r="7">
          <cell r="N7">
            <v>175.01089999999999</v>
          </cell>
        </row>
        <row r="8">
          <cell r="N8">
            <v>175.01089999999999</v>
          </cell>
        </row>
        <row r="9">
          <cell r="N9">
            <v>175.01089999999999</v>
          </cell>
        </row>
        <row r="11">
          <cell r="N11">
            <v>60.4771</v>
          </cell>
        </row>
        <row r="12">
          <cell r="N12">
            <v>60.4771</v>
          </cell>
        </row>
        <row r="13">
          <cell r="N13">
            <v>60.4771</v>
          </cell>
        </row>
        <row r="14">
          <cell r="N14">
            <v>60.4771</v>
          </cell>
        </row>
        <row r="15">
          <cell r="N15">
            <v>60.4771</v>
          </cell>
        </row>
        <row r="17">
          <cell r="N17">
            <v>60.4771</v>
          </cell>
        </row>
        <row r="23">
          <cell r="N23">
            <v>14.04</v>
          </cell>
        </row>
        <row r="24">
          <cell r="N24">
            <v>14.04</v>
          </cell>
        </row>
        <row r="27">
          <cell r="N27">
            <v>1.4757206500000002</v>
          </cell>
        </row>
        <row r="28">
          <cell r="N28">
            <v>0.40350349000000002</v>
          </cell>
        </row>
        <row r="29">
          <cell r="N29">
            <v>0.52080282999999994</v>
          </cell>
        </row>
      </sheetData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ário"/>
      <sheetName val="Prod &amp; Defects - Qty"/>
      <sheetName val="Prod &amp; Defects - Costs"/>
      <sheetName val="Falhas UM-1 - Qty"/>
      <sheetName val="Falhas UM-1 - Cost"/>
      <sheetName val="Falhas UM-3-1 Qty"/>
      <sheetName val="Falhas UM-3-1 Cost"/>
      <sheetName val="Falhas UM-3-2 Qty"/>
      <sheetName val="Falhas UM-3-2 Cost"/>
      <sheetName val="Falhas UM-4 Qty"/>
      <sheetName val="Falhas UM-4 Cost"/>
      <sheetName val="BLIND-PVC-PRE - Qty"/>
      <sheetName val="BLIND-PVC-PRE - Cost"/>
      <sheetName val="SM - Qty"/>
      <sheetName val="SM Cost"/>
    </sheetNames>
    <sheetDataSet>
      <sheetData sheetId="0"/>
      <sheetData sheetId="1"/>
      <sheetData sheetId="2"/>
      <sheetData sheetId="3"/>
      <sheetData sheetId="4">
        <row r="63">
          <cell r="O63">
            <v>827.06542840999987</v>
          </cell>
          <cell r="P63">
            <v>841.38677233999988</v>
          </cell>
          <cell r="Q63">
            <v>1024.8207649199996</v>
          </cell>
          <cell r="R63">
            <v>6011.6765362999986</v>
          </cell>
          <cell r="S63">
            <v>6239.9623417599996</v>
          </cell>
        </row>
        <row r="65">
          <cell r="O65">
            <v>698.67234391999989</v>
          </cell>
          <cell r="P65">
            <v>711.47504939999999</v>
          </cell>
          <cell r="Q65">
            <v>868.73004661999994</v>
          </cell>
          <cell r="R65">
            <v>5092.0425502199996</v>
          </cell>
          <cell r="S65">
            <v>5284.9677494600001</v>
          </cell>
        </row>
        <row r="67">
          <cell r="O67">
            <v>320.16103224000005</v>
          </cell>
          <cell r="P67">
            <v>325.46390647999999</v>
          </cell>
          <cell r="Q67">
            <v>396.38984944000003</v>
          </cell>
          <cell r="R67">
            <v>2327.2989320800002</v>
          </cell>
          <cell r="S67">
            <v>0</v>
          </cell>
        </row>
      </sheetData>
      <sheetData sheetId="5"/>
      <sheetData sheetId="6">
        <row r="60">
          <cell r="N60">
            <v>630.50599336081393</v>
          </cell>
          <cell r="O60">
            <v>702.46654607120627</v>
          </cell>
          <cell r="P60">
            <v>719.79999365194942</v>
          </cell>
        </row>
        <row r="62">
          <cell r="N62">
            <v>183.32949260428899</v>
          </cell>
          <cell r="O62">
            <v>204.2531503566918</v>
          </cell>
          <cell r="P62">
            <v>209.29312171861702</v>
          </cell>
        </row>
        <row r="64">
          <cell r="N64">
            <v>288.40235432438345</v>
          </cell>
          <cell r="O64">
            <v>321.31812838314738</v>
          </cell>
          <cell r="P64">
            <v>329.24669233572496</v>
          </cell>
        </row>
      </sheetData>
      <sheetData sheetId="7"/>
      <sheetData sheetId="8">
        <row r="60">
          <cell r="N60">
            <v>1479.1217437973996</v>
          </cell>
          <cell r="O60">
            <v>1647.9360284043817</v>
          </cell>
          <cell r="P60">
            <v>1688.5990506145097</v>
          </cell>
        </row>
        <row r="62">
          <cell r="N62">
            <v>630.22056231217584</v>
          </cell>
          <cell r="O62">
            <v>702.14853836788609</v>
          </cell>
          <cell r="P62">
            <v>719.47413906981842</v>
          </cell>
        </row>
        <row r="64">
          <cell r="N64">
            <v>869.81696164999187</v>
          </cell>
          <cell r="O64">
            <v>969.09041816952151</v>
          </cell>
          <cell r="P64">
            <v>993.00284226756423</v>
          </cell>
        </row>
      </sheetData>
      <sheetData sheetId="9"/>
      <sheetData sheetId="10">
        <row r="64">
          <cell r="N64">
            <v>1998.0580181021035</v>
          </cell>
          <cell r="O64">
            <v>2030.8651679144805</v>
          </cell>
          <cell r="P64">
            <v>2476.0797858616888</v>
          </cell>
        </row>
        <row r="66">
          <cell r="F66">
            <v>13.300387815042095</v>
          </cell>
        </row>
        <row r="68">
          <cell r="F68">
            <v>1346.6682931794001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7">
          <cell r="AT7">
            <v>4549750</v>
          </cell>
        </row>
        <row r="109">
          <cell r="AT109">
            <v>4303.0608695652172</v>
          </cell>
        </row>
        <row r="110">
          <cell r="AT110">
            <v>312.1391304347826</v>
          </cell>
        </row>
      </sheetData>
      <sheetData sheetId="5"/>
      <sheetData sheetId="6">
        <row r="7">
          <cell r="AT7">
            <v>12550000</v>
          </cell>
        </row>
        <row r="109">
          <cell r="AT109">
            <v>9960.7083333333321</v>
          </cell>
        </row>
        <row r="110">
          <cell r="AT110">
            <v>401.34722222222223</v>
          </cell>
        </row>
      </sheetData>
      <sheetData sheetId="7"/>
      <sheetData sheetId="8"/>
      <sheetData sheetId="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7">
          <cell r="AT7">
            <v>3422300</v>
          </cell>
        </row>
        <row r="109">
          <cell r="AT109">
            <v>1196.09375</v>
          </cell>
        </row>
        <row r="110">
          <cell r="AT110">
            <v>76.55</v>
          </cell>
        </row>
      </sheetData>
      <sheetData sheetId="5"/>
      <sheetData sheetId="6">
        <row r="7">
          <cell r="AT7">
            <v>11099911</v>
          </cell>
        </row>
        <row r="109">
          <cell r="AT109">
            <v>6113.0437499999998</v>
          </cell>
        </row>
        <row r="110">
          <cell r="AT110">
            <v>1028.3625</v>
          </cell>
        </row>
      </sheetData>
      <sheetData sheetId="7"/>
      <sheetData sheetId="8"/>
      <sheetData sheetId="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7">
          <cell r="AT7">
            <v>1665500</v>
          </cell>
        </row>
        <row r="109">
          <cell r="AT109">
            <v>1021.5749999999999</v>
          </cell>
        </row>
        <row r="110">
          <cell r="AT110">
            <v>212.02500000000001</v>
          </cell>
        </row>
      </sheetData>
      <sheetData sheetId="5"/>
      <sheetData sheetId="6">
        <row r="7">
          <cell r="AT7">
            <v>8168700</v>
          </cell>
        </row>
        <row r="109">
          <cell r="AT109">
            <v>2692.7727272727275</v>
          </cell>
        </row>
        <row r="110">
          <cell r="AT110">
            <v>393.55909090909091</v>
          </cell>
        </row>
      </sheetData>
      <sheetData sheetId="7"/>
      <sheetData sheetId="8"/>
      <sheetData sheetId="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7">
          <cell r="AT7">
            <v>3504050</v>
          </cell>
        </row>
        <row r="109">
          <cell r="AT109">
            <v>2121.6</v>
          </cell>
        </row>
        <row r="110">
          <cell r="AT110">
            <v>209.36842105263156</v>
          </cell>
        </row>
      </sheetData>
      <sheetData sheetId="5"/>
      <sheetData sheetId="6">
        <row r="7">
          <cell r="AT7">
            <v>13917911</v>
          </cell>
        </row>
        <row r="109">
          <cell r="AT109">
            <v>8076.9756097560985</v>
          </cell>
        </row>
        <row r="110">
          <cell r="AT110">
            <v>836.54390243902435</v>
          </cell>
        </row>
      </sheetData>
      <sheetData sheetId="7"/>
      <sheetData sheetId="8"/>
      <sheetData sheetId="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7">
          <cell r="AT7">
            <v>3948600</v>
          </cell>
        </row>
        <row r="109">
          <cell r="AT109">
            <v>4196.4285714285716</v>
          </cell>
        </row>
        <row r="110">
          <cell r="AT110">
            <v>643.45238095238096</v>
          </cell>
        </row>
      </sheetData>
      <sheetData sheetId="5"/>
      <sheetData sheetId="6">
        <row r="7">
          <cell r="AT7">
            <v>14779898</v>
          </cell>
        </row>
        <row r="109">
          <cell r="AT109">
            <v>8232.1902439024398</v>
          </cell>
        </row>
        <row r="110">
          <cell r="AT110">
            <v>917.97804878048782</v>
          </cell>
        </row>
      </sheetData>
      <sheetData sheetId="7"/>
      <sheetData sheetId="8"/>
      <sheetData sheetId="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7">
          <cell r="AT7">
            <v>4555850</v>
          </cell>
        </row>
        <row r="109">
          <cell r="AT109">
            <v>1929.8500000000001</v>
          </cell>
        </row>
        <row r="110">
          <cell r="AT110">
            <v>197.93333333333334</v>
          </cell>
        </row>
      </sheetData>
      <sheetData sheetId="5"/>
      <sheetData sheetId="6">
        <row r="7">
          <cell r="AT7">
            <v>13811200</v>
          </cell>
        </row>
        <row r="109">
          <cell r="AT109">
            <v>7294.7384615384608</v>
          </cell>
        </row>
        <row r="110">
          <cell r="AT110">
            <v>769.48717948717945</v>
          </cell>
        </row>
      </sheetData>
      <sheetData sheetId="7"/>
      <sheetData sheetId="8"/>
      <sheetData sheetId="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7">
          <cell r="AT7">
            <v>517200</v>
          </cell>
        </row>
        <row r="109">
          <cell r="AT109">
            <v>224</v>
          </cell>
        </row>
        <row r="110">
          <cell r="AT110">
            <v>10.666666666666666</v>
          </cell>
        </row>
      </sheetData>
      <sheetData sheetId="5"/>
      <sheetData sheetId="6">
        <row r="7">
          <cell r="AT7">
            <v>3952300</v>
          </cell>
        </row>
        <row r="109">
          <cell r="AT109">
            <v>3308.1923076923076</v>
          </cell>
        </row>
        <row r="110">
          <cell r="AT110">
            <v>104.46923076923078</v>
          </cell>
        </row>
      </sheetData>
      <sheetData sheetId="7"/>
      <sheetData sheetId="8"/>
      <sheetData sheetId="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7">
          <cell r="AT7">
            <v>4163650</v>
          </cell>
        </row>
        <row r="109">
          <cell r="AT109">
            <v>1759.5454545454545</v>
          </cell>
        </row>
        <row r="110">
          <cell r="AT110">
            <v>465.02272727272725</v>
          </cell>
        </row>
      </sheetData>
      <sheetData sheetId="5"/>
      <sheetData sheetId="6">
        <row r="7">
          <cell r="AT7">
            <v>12889550</v>
          </cell>
        </row>
        <row r="109">
          <cell r="AT109">
            <v>5032.363157894737</v>
          </cell>
        </row>
        <row r="110">
          <cell r="AT110">
            <v>439.72105263157897</v>
          </cell>
        </row>
      </sheetData>
      <sheetData sheetId="7"/>
      <sheetData sheetId="8"/>
      <sheetData sheetId="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/>
      <sheetData sheetId="4">
        <row r="7">
          <cell r="AT7">
            <v>3774300</v>
          </cell>
        </row>
        <row r="109">
          <cell r="AT109">
            <v>2663.73</v>
          </cell>
        </row>
        <row r="110">
          <cell r="AT110">
            <v>313.38</v>
          </cell>
        </row>
      </sheetData>
      <sheetData sheetId="5"/>
      <sheetData sheetId="6">
        <row r="7">
          <cell r="AT7">
            <v>10965800</v>
          </cell>
        </row>
        <row r="109">
          <cell r="AT109">
            <v>4502.7272727272721</v>
          </cell>
        </row>
        <row r="110">
          <cell r="AT110">
            <v>775.46969696969688</v>
          </cell>
        </row>
      </sheetData>
      <sheetData sheetId="7"/>
      <sheetData sheetId="8"/>
      <sheetData sheetId="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K7">
            <v>9241105</v>
          </cell>
        </row>
        <row r="110">
          <cell r="K110">
            <v>9186.4315068493142</v>
          </cell>
        </row>
        <row r="111">
          <cell r="K111">
            <v>359.88082191780825</v>
          </cell>
        </row>
      </sheetData>
      <sheetData sheetId="7"/>
      <sheetData sheetId="8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K7">
            <v>10903402</v>
          </cell>
        </row>
        <row r="110">
          <cell r="K110">
            <v>8757.6952380952389</v>
          </cell>
        </row>
        <row r="111">
          <cell r="K111">
            <v>736.62857142857138</v>
          </cell>
        </row>
      </sheetData>
      <sheetData sheetId="7"/>
      <sheetData sheetId="8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K7">
            <v>8381306</v>
          </cell>
        </row>
        <row r="110">
          <cell r="K110">
            <v>8237.268</v>
          </cell>
        </row>
        <row r="111">
          <cell r="K111">
            <v>539.76400000000001</v>
          </cell>
        </row>
      </sheetData>
      <sheetData sheetId="7"/>
      <sheetData sheetId="8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K7">
            <v>10452595</v>
          </cell>
        </row>
        <row r="110">
          <cell r="K110">
            <v>10219.051724137931</v>
          </cell>
        </row>
        <row r="111">
          <cell r="K111">
            <v>779.65517241379314</v>
          </cell>
        </row>
      </sheetData>
      <sheetData sheetId="7"/>
      <sheetData sheetId="8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K7">
            <v>11646400</v>
          </cell>
        </row>
        <row r="110">
          <cell r="K110">
            <v>14084.011594202899</v>
          </cell>
        </row>
        <row r="111">
          <cell r="K111">
            <v>1282.9565217391305</v>
          </cell>
        </row>
      </sheetData>
      <sheetData sheetId="7"/>
      <sheetData sheetId="8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K7">
            <v>12910309</v>
          </cell>
        </row>
        <row r="110">
          <cell r="K110">
            <v>12731.919444444444</v>
          </cell>
        </row>
        <row r="111">
          <cell r="K111">
            <v>189.32222222222222</v>
          </cell>
        </row>
      </sheetData>
      <sheetData sheetId="7"/>
      <sheetData sheetId="8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K7">
            <v>11324855</v>
          </cell>
        </row>
        <row r="110">
          <cell r="K110">
            <v>8104.318181818182</v>
          </cell>
        </row>
        <row r="111">
          <cell r="K111">
            <v>1039.0151515151515</v>
          </cell>
        </row>
      </sheetData>
      <sheetData sheetId="7"/>
      <sheetData sheetId="8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K7">
            <v>10437050</v>
          </cell>
        </row>
        <row r="110">
          <cell r="K110">
            <v>4771.5190476190473</v>
          </cell>
        </row>
        <row r="111">
          <cell r="K111">
            <v>424.9444444444444</v>
          </cell>
        </row>
      </sheetData>
      <sheetData sheetId="7"/>
      <sheetData sheetId="8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4 - Dia"/>
      <sheetName val="UM-4 - 2T"/>
      <sheetName val="UM-4 - 3T"/>
      <sheetName val="Totalização (MTG+ACB)"/>
      <sheetName val="Gráfico Total Falhas (D+N)"/>
      <sheetName val="Dados do Gráfico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K7">
            <v>10062850</v>
          </cell>
        </row>
        <row r="110">
          <cell r="K110">
            <v>6275.3263157894744</v>
          </cell>
        </row>
        <row r="111">
          <cell r="K111">
            <v>268.46315789473687</v>
          </cell>
        </row>
      </sheetData>
      <sheetData sheetId="7"/>
      <sheetData sheetId="8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usto Falhas UM-1"/>
      <sheetName val="2111 - UM-1SHNASPA"/>
      <sheetName val="Base Custo Falhas UM-3"/>
      <sheetName val="2111 - UM-3SHPA"/>
      <sheetName val="Base Custo Falhas UM-4"/>
      <sheetName val="2111 - UM-4SHPA"/>
      <sheetName val="Base Custo Falhas LR6"/>
      <sheetName val="2111 - LR6-NACPA"/>
      <sheetName val="2110 - UM-1SHNASPA"/>
      <sheetName val="Cálculo Custo de Falhas - 2111"/>
    </sheetNames>
    <sheetDataSet>
      <sheetData sheetId="0"/>
      <sheetData sheetId="1"/>
      <sheetData sheetId="2"/>
      <sheetData sheetId="3"/>
      <sheetData sheetId="4">
        <row r="51">
          <cell r="J51">
            <v>84.901899999999998</v>
          </cell>
          <cell r="K51">
            <v>84.901899999999998</v>
          </cell>
          <cell r="L51">
            <v>106.7903</v>
          </cell>
          <cell r="N51">
            <v>106.7903</v>
          </cell>
          <cell r="O51">
            <v>126.7903</v>
          </cell>
          <cell r="P51">
            <v>126.7903</v>
          </cell>
          <cell r="S51">
            <v>156.09710000000001</v>
          </cell>
          <cell r="V51">
            <v>20.357800000000001</v>
          </cell>
          <cell r="W51">
            <v>156.09710000000001</v>
          </cell>
        </row>
      </sheetData>
      <sheetData sheetId="5"/>
      <sheetData sheetId="6"/>
      <sheetData sheetId="7"/>
      <sheetData sheetId="8" refreshError="1"/>
      <sheetData sheetId="9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Outras Perdas"/>
    </sheetNames>
    <sheetDataSet>
      <sheetData sheetId="0"/>
      <sheetData sheetId="1">
        <row r="53">
          <cell r="F53">
            <v>5.8390659999999997E-2</v>
          </cell>
        </row>
        <row r="62">
          <cell r="F62">
            <v>0.18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Rascunho"/>
      <sheetName val="Falhas BLIND-PVC"/>
      <sheetName val="Falhas SM"/>
      <sheetName val="Custo do Blister"/>
      <sheetName val="Gráfico Cascata"/>
      <sheetName val="Resumo por Operação"/>
      <sheetName val="Dados do Pareto"/>
      <sheetName val="Gráfico2"/>
      <sheetName val="Pareto 10"/>
      <sheetName val="Controle de Revisões"/>
    </sheetNames>
    <sheetDataSet>
      <sheetData sheetId="0"/>
      <sheetData sheetId="1"/>
      <sheetData sheetId="2"/>
      <sheetData sheetId="3"/>
      <sheetData sheetId="4"/>
      <sheetData sheetId="5">
        <row r="6">
          <cell r="N6">
            <v>120.1662</v>
          </cell>
        </row>
        <row r="7">
          <cell r="N7">
            <v>120.1662</v>
          </cell>
        </row>
        <row r="8">
          <cell r="N8">
            <v>120.1662</v>
          </cell>
        </row>
        <row r="9">
          <cell r="N9">
            <v>120.1662</v>
          </cell>
        </row>
        <row r="11">
          <cell r="N11">
            <v>40.892200000000003</v>
          </cell>
        </row>
        <row r="12">
          <cell r="N12">
            <v>40.892200000000003</v>
          </cell>
        </row>
        <row r="13">
          <cell r="N13">
            <v>40.892200000000003</v>
          </cell>
        </row>
        <row r="14">
          <cell r="N14">
            <v>40.892200000000003</v>
          </cell>
        </row>
        <row r="15">
          <cell r="N15">
            <v>40.892200000000003</v>
          </cell>
        </row>
        <row r="17">
          <cell r="N17">
            <v>40.892200000000003</v>
          </cell>
        </row>
        <row r="23">
          <cell r="N23">
            <v>13.94</v>
          </cell>
        </row>
        <row r="24">
          <cell r="N24">
            <v>13.94</v>
          </cell>
        </row>
        <row r="27">
          <cell r="N27">
            <v>1.3577795500000001</v>
          </cell>
        </row>
        <row r="28">
          <cell r="N28">
            <v>0.37170200999999997</v>
          </cell>
        </row>
        <row r="29">
          <cell r="N29">
            <v>0.47860163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Gráfico Cascata"/>
      <sheetName val="Rascunho"/>
      <sheetName val="Resumo por Operação"/>
      <sheetName val="Dados do Pareto"/>
      <sheetName val="Gráfico2"/>
      <sheetName val="Pareto 10"/>
      <sheetName val="Controle de Revisões"/>
    </sheetNames>
    <sheetDataSet>
      <sheetData sheetId="0"/>
      <sheetData sheetId="1"/>
      <sheetData sheetId="2"/>
      <sheetData sheetId="3"/>
      <sheetData sheetId="4">
        <row r="6">
          <cell r="N6">
            <v>124.53149999999999</v>
          </cell>
        </row>
        <row r="7">
          <cell r="N7">
            <v>124.53149999999999</v>
          </cell>
        </row>
        <row r="8">
          <cell r="N8">
            <v>124.53149999999999</v>
          </cell>
        </row>
        <row r="9">
          <cell r="N9">
            <v>124.53149999999999</v>
          </cell>
        </row>
        <row r="11">
          <cell r="N11">
            <v>42.975700000000003</v>
          </cell>
        </row>
        <row r="12">
          <cell r="N12">
            <v>42.975700000000003</v>
          </cell>
        </row>
        <row r="13">
          <cell r="N13">
            <v>42.975700000000003</v>
          </cell>
        </row>
        <row r="14">
          <cell r="N14">
            <v>42.975700000000003</v>
          </cell>
        </row>
        <row r="15">
          <cell r="N15">
            <v>42.975700000000003</v>
          </cell>
        </row>
        <row r="17">
          <cell r="N17">
            <v>42.975700000000003</v>
          </cell>
        </row>
        <row r="23">
          <cell r="N23">
            <v>14.21</v>
          </cell>
        </row>
        <row r="24">
          <cell r="N24">
            <v>14.21</v>
          </cell>
        </row>
        <row r="27">
          <cell r="N27">
            <v>1.3619149799999999</v>
          </cell>
        </row>
        <row r="28">
          <cell r="N28">
            <v>0.37240200999999995</v>
          </cell>
        </row>
        <row r="29">
          <cell r="N29">
            <v>0.50250163000000003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(Rev.2) BP22 (2)"/>
      <sheetName val="PRODUCTION (Rev.1) BP22"/>
      <sheetName val="Internal Price - BP2022"/>
    </sheetNames>
    <sheetDataSet>
      <sheetData sheetId="0">
        <row r="7">
          <cell r="B7">
            <v>137755.12049999999</v>
          </cell>
          <cell r="C7">
            <v>136054.44</v>
          </cell>
          <cell r="D7">
            <v>134353.75950000001</v>
          </cell>
          <cell r="E7">
            <v>136904.78025000001</v>
          </cell>
          <cell r="F7">
            <v>136054.44</v>
          </cell>
          <cell r="G7">
            <v>157312.94625000001</v>
          </cell>
          <cell r="H7">
            <v>158163.28649999999</v>
          </cell>
          <cell r="I7">
            <v>158163.28649999999</v>
          </cell>
          <cell r="J7">
            <v>158163.28649999999</v>
          </cell>
          <cell r="K7">
            <v>117346.95450000001</v>
          </cell>
          <cell r="L7">
            <v>122448.99599999998</v>
          </cell>
          <cell r="M7">
            <v>147959.2035</v>
          </cell>
        </row>
        <row r="9">
          <cell r="B9">
            <v>30085.246800000001</v>
          </cell>
          <cell r="C9">
            <v>29713.824000000001</v>
          </cell>
          <cell r="D9">
            <v>29342.4012</v>
          </cell>
          <cell r="E9">
            <v>29899.535400000001</v>
          </cell>
          <cell r="F9">
            <v>29713.824000000001</v>
          </cell>
          <cell r="G9">
            <v>34356.608999999997</v>
          </cell>
          <cell r="H9">
            <v>34542.320399999997</v>
          </cell>
          <cell r="I9">
            <v>34542.320399999997</v>
          </cell>
          <cell r="J9">
            <v>34542.320399999997</v>
          </cell>
          <cell r="K9">
            <v>25628.173200000001</v>
          </cell>
          <cell r="L9">
            <v>26742.441599999998</v>
          </cell>
          <cell r="M9">
            <v>32313.783599999995</v>
          </cell>
        </row>
        <row r="10">
          <cell r="B10">
            <v>9447.84</v>
          </cell>
          <cell r="C10">
            <v>9331.2000000000007</v>
          </cell>
          <cell r="D10">
            <v>9214.56</v>
          </cell>
          <cell r="E10">
            <v>9389.52</v>
          </cell>
          <cell r="F10">
            <v>9331.2000000000007</v>
          </cell>
          <cell r="G10">
            <v>10789.2</v>
          </cell>
          <cell r="H10">
            <v>10847.52</v>
          </cell>
          <cell r="I10">
            <v>10847.52</v>
          </cell>
          <cell r="J10">
            <v>10847.52</v>
          </cell>
          <cell r="K10">
            <v>8048.1600000000008</v>
          </cell>
          <cell r="L10">
            <v>8398.08</v>
          </cell>
          <cell r="M10">
            <v>10147.679999999998</v>
          </cell>
        </row>
        <row r="13">
          <cell r="B13">
            <v>1476979.4340000001</v>
          </cell>
          <cell r="C13">
            <v>1458745.12</v>
          </cell>
          <cell r="D13">
            <v>1440510.8060000001</v>
          </cell>
          <cell r="E13">
            <v>1467862.277</v>
          </cell>
          <cell r="F13">
            <v>1458745.12</v>
          </cell>
          <cell r="G13">
            <v>1686674.0449999999</v>
          </cell>
          <cell r="H13">
            <v>1695791.202</v>
          </cell>
          <cell r="I13">
            <v>1695791.202</v>
          </cell>
          <cell r="J13">
            <v>1695791.202</v>
          </cell>
          <cell r="K13">
            <v>1258167.6660000002</v>
          </cell>
          <cell r="L13">
            <v>1312870.608</v>
          </cell>
          <cell r="M13">
            <v>1586385.318</v>
          </cell>
        </row>
        <row r="14">
          <cell r="B14">
            <v>4301.1000000000004</v>
          </cell>
          <cell r="C14">
            <v>4248</v>
          </cell>
          <cell r="D14">
            <v>4194.8999999999996</v>
          </cell>
          <cell r="E14">
            <v>4274.55</v>
          </cell>
          <cell r="F14">
            <v>4248</v>
          </cell>
          <cell r="G14">
            <v>4911.75</v>
          </cell>
          <cell r="H14">
            <v>4938.3</v>
          </cell>
          <cell r="I14">
            <v>4938.3</v>
          </cell>
          <cell r="J14">
            <v>4938.3</v>
          </cell>
          <cell r="K14">
            <v>3663.9</v>
          </cell>
          <cell r="L14">
            <v>3823.2</v>
          </cell>
          <cell r="M14">
            <v>4619.7</v>
          </cell>
        </row>
        <row r="15">
          <cell r="B15">
            <v>33878.330999999998</v>
          </cell>
          <cell r="C15">
            <v>33460.080000000002</v>
          </cell>
          <cell r="D15">
            <v>33041.828999999998</v>
          </cell>
          <cell r="E15">
            <v>33669.205500000004</v>
          </cell>
          <cell r="F15">
            <v>33460.080000000002</v>
          </cell>
          <cell r="G15">
            <v>38688.217499999999</v>
          </cell>
          <cell r="H15">
            <v>38897.343000000001</v>
          </cell>
          <cell r="I15">
            <v>38897.343000000001</v>
          </cell>
          <cell r="J15">
            <v>38897.343000000001</v>
          </cell>
          <cell r="K15">
            <v>28859.319000000003</v>
          </cell>
          <cell r="L15">
            <v>30114.071999999996</v>
          </cell>
          <cell r="M15">
            <v>36387.837</v>
          </cell>
        </row>
        <row r="22">
          <cell r="B22">
            <v>75738.1345</v>
          </cell>
          <cell r="C22">
            <v>20000</v>
          </cell>
          <cell r="D22">
            <v>50000</v>
          </cell>
          <cell r="E22">
            <v>45000</v>
          </cell>
          <cell r="F22">
            <v>80000</v>
          </cell>
          <cell r="G22">
            <v>100000</v>
          </cell>
          <cell r="H22">
            <v>100000</v>
          </cell>
          <cell r="I22">
            <v>94552.066000000006</v>
          </cell>
          <cell r="J22">
            <v>62713.105000000003</v>
          </cell>
          <cell r="K22">
            <v>62713.105000000003</v>
          </cell>
          <cell r="L22">
            <v>80079.811000000002</v>
          </cell>
          <cell r="M22">
            <v>80079.811000000002</v>
          </cell>
        </row>
        <row r="23">
          <cell r="B23">
            <v>70830.078999999998</v>
          </cell>
          <cell r="C23">
            <v>71281.225999999995</v>
          </cell>
          <cell r="D23">
            <v>70378.932000000001</v>
          </cell>
          <cell r="E23">
            <v>73085.813999999998</v>
          </cell>
          <cell r="F23">
            <v>72634.667000000001</v>
          </cell>
          <cell r="G23">
            <v>85717.930000000008</v>
          </cell>
          <cell r="H23">
            <v>87522.517999999996</v>
          </cell>
          <cell r="I23">
            <v>88424.812000000005</v>
          </cell>
          <cell r="J23">
            <v>85717.930000000008</v>
          </cell>
          <cell r="K23">
            <v>58649.11</v>
          </cell>
          <cell r="L23">
            <v>63160.580000000009</v>
          </cell>
          <cell r="M23">
            <v>74890.402000000002</v>
          </cell>
        </row>
        <row r="24">
          <cell r="B24">
            <v>21008.012999999999</v>
          </cell>
          <cell r="C24">
            <v>21141.822</v>
          </cell>
          <cell r="D24">
            <v>20874.204000000002</v>
          </cell>
          <cell r="E24">
            <v>21677.058000000001</v>
          </cell>
          <cell r="F24">
            <v>21543.249</v>
          </cell>
          <cell r="G24">
            <v>25423.71</v>
          </cell>
          <cell r="H24">
            <v>25958.946</v>
          </cell>
          <cell r="I24">
            <v>26226.564000000002</v>
          </cell>
          <cell r="J24">
            <v>25423.71</v>
          </cell>
          <cell r="K24">
            <v>17395.170000000002</v>
          </cell>
          <cell r="L24">
            <v>18733.260000000002</v>
          </cell>
          <cell r="M24">
            <v>22212.294000000002</v>
          </cell>
        </row>
        <row r="25">
          <cell r="B25">
            <v>36353.954449999997</v>
          </cell>
          <cell r="C25">
            <v>36585.508300000001</v>
          </cell>
          <cell r="D25">
            <v>36122.400600000001</v>
          </cell>
          <cell r="E25">
            <v>37511.723700000002</v>
          </cell>
          <cell r="F25">
            <v>37280.169849999998</v>
          </cell>
          <cell r="G25">
            <v>43995.231500000002</v>
          </cell>
          <cell r="H25">
            <v>44921.446900000003</v>
          </cell>
          <cell r="I25">
            <v>45384.554600000003</v>
          </cell>
          <cell r="J25">
            <v>43995.231500000002</v>
          </cell>
          <cell r="K25">
            <v>30102.000500000002</v>
          </cell>
          <cell r="L25">
            <v>32417.539000000004</v>
          </cell>
          <cell r="M25">
            <v>38437.939100000003</v>
          </cell>
        </row>
        <row r="26">
          <cell r="B26">
            <v>57039.874100000008</v>
          </cell>
          <cell r="C26">
            <v>100000</v>
          </cell>
          <cell r="D26">
            <v>56676.562800000007</v>
          </cell>
          <cell r="E26">
            <v>58856.430600000007</v>
          </cell>
          <cell r="F26">
            <v>58493.119300000006</v>
          </cell>
          <cell r="G26">
            <v>69029.147000000012</v>
          </cell>
          <cell r="H26">
            <v>70482.392200000017</v>
          </cell>
          <cell r="I26">
            <v>71209.014800000019</v>
          </cell>
          <cell r="J26">
            <v>69029.147000000012</v>
          </cell>
          <cell r="K26">
            <v>47230.469000000005</v>
          </cell>
          <cell r="L26">
            <v>50863.582000000009</v>
          </cell>
          <cell r="M26">
            <v>60309.675800000012</v>
          </cell>
        </row>
        <row r="27">
          <cell r="B27">
            <v>731047.04420000012</v>
          </cell>
          <cell r="C27">
            <v>830000</v>
          </cell>
          <cell r="D27">
            <v>800000</v>
          </cell>
          <cell r="E27">
            <v>800000</v>
          </cell>
          <cell r="F27">
            <v>800000</v>
          </cell>
          <cell r="G27">
            <v>884706.61400000006</v>
          </cell>
          <cell r="H27">
            <v>903332.01640000008</v>
          </cell>
          <cell r="I27">
            <v>912644.71760000009</v>
          </cell>
          <cell r="J27">
            <v>800000</v>
          </cell>
          <cell r="K27">
            <v>500000</v>
          </cell>
          <cell r="L27">
            <v>600000</v>
          </cell>
          <cell r="M27">
            <v>800000</v>
          </cell>
        </row>
        <row r="28">
          <cell r="B28">
            <v>632644.3112</v>
          </cell>
          <cell r="C28">
            <v>800000</v>
          </cell>
          <cell r="D28">
            <v>800000</v>
          </cell>
          <cell r="E28">
            <v>800000</v>
          </cell>
          <cell r="F28">
            <v>800000</v>
          </cell>
          <cell r="G28">
            <v>765620.50400000007</v>
          </cell>
          <cell r="H28">
            <v>781738.83040000009</v>
          </cell>
          <cell r="I28">
            <v>789797.99360000005</v>
          </cell>
          <cell r="J28">
            <v>700000</v>
          </cell>
          <cell r="K28">
            <v>400000</v>
          </cell>
          <cell r="L28">
            <v>500000</v>
          </cell>
          <cell r="M28">
            <v>700000</v>
          </cell>
        </row>
        <row r="29">
          <cell r="B29">
            <v>287473.04450000002</v>
          </cell>
          <cell r="C29">
            <v>289304.08299999998</v>
          </cell>
          <cell r="D29">
            <v>285642.00599999999</v>
          </cell>
          <cell r="E29">
            <v>296628.23700000002</v>
          </cell>
          <cell r="F29">
            <v>294797.1985</v>
          </cell>
          <cell r="G29">
            <v>347897.315</v>
          </cell>
          <cell r="H29">
            <v>355221.46899999998</v>
          </cell>
          <cell r="I29">
            <v>358883.54600000003</v>
          </cell>
          <cell r="J29">
            <v>347897.315</v>
          </cell>
          <cell r="K29">
            <v>238035.005</v>
          </cell>
          <cell r="L29">
            <v>256345.39</v>
          </cell>
          <cell r="M29">
            <v>303952.391</v>
          </cell>
        </row>
        <row r="30">
          <cell r="B30">
            <v>292294.23190000001</v>
          </cell>
          <cell r="C30">
            <v>294155.97860000003</v>
          </cell>
          <cell r="D30">
            <v>290432.48520000005</v>
          </cell>
          <cell r="E30">
            <v>301602.96540000004</v>
          </cell>
          <cell r="F30">
            <v>299741.21870000003</v>
          </cell>
          <cell r="G30">
            <v>353731.87300000002</v>
          </cell>
          <cell r="H30">
            <v>361178.85980000003</v>
          </cell>
          <cell r="I30">
            <v>364902.35320000007</v>
          </cell>
          <cell r="J30">
            <v>353731.87300000002</v>
          </cell>
          <cell r="K30">
            <v>242027.07100000003</v>
          </cell>
          <cell r="L30">
            <v>260644.53800000006</v>
          </cell>
          <cell r="M30">
            <v>309049.95220000006</v>
          </cell>
        </row>
        <row r="31">
          <cell r="B31">
            <v>567137.12880000006</v>
          </cell>
          <cell r="C31">
            <v>570749.46720000007</v>
          </cell>
          <cell r="D31">
            <v>563524.79040000006</v>
          </cell>
          <cell r="E31">
            <v>585198.8208000001</v>
          </cell>
          <cell r="F31">
            <v>581586.4824000001</v>
          </cell>
          <cell r="G31">
            <v>686344.29600000009</v>
          </cell>
          <cell r="H31">
            <v>700793.64960000012</v>
          </cell>
          <cell r="I31">
            <v>708018.32640000014</v>
          </cell>
          <cell r="J31">
            <v>686344.29600000009</v>
          </cell>
          <cell r="K31">
            <v>469603.99200000009</v>
          </cell>
          <cell r="L31">
            <v>505727.37600000011</v>
          </cell>
          <cell r="M31">
            <v>599648.17440000013</v>
          </cell>
        </row>
        <row r="32">
          <cell r="B32">
            <v>7336.3823500000008</v>
          </cell>
          <cell r="C32">
            <v>7383.1109000000006</v>
          </cell>
          <cell r="D32">
            <v>7289.6538</v>
          </cell>
          <cell r="E32">
            <v>7570.0251000000007</v>
          </cell>
          <cell r="F32">
            <v>7523.2965500000009</v>
          </cell>
          <cell r="G32">
            <v>8878.424500000001</v>
          </cell>
          <cell r="H32">
            <v>9065.3387000000002</v>
          </cell>
          <cell r="I32">
            <v>9158.7958000000017</v>
          </cell>
          <cell r="J32">
            <v>8878.424500000001</v>
          </cell>
          <cell r="K32">
            <v>6074.7115000000003</v>
          </cell>
          <cell r="L32">
            <v>6541.9970000000012</v>
          </cell>
          <cell r="M32">
            <v>7756.9393000000009</v>
          </cell>
        </row>
        <row r="33">
          <cell r="B33">
            <v>1994.6850000000004</v>
          </cell>
          <cell r="C33">
            <v>2007.3900000000003</v>
          </cell>
          <cell r="D33">
            <v>1981.9800000000002</v>
          </cell>
          <cell r="E33">
            <v>2058.2100000000005</v>
          </cell>
          <cell r="F33">
            <v>2045.5050000000003</v>
          </cell>
          <cell r="G33">
            <v>2413.9500000000003</v>
          </cell>
          <cell r="H33">
            <v>2464.7700000000004</v>
          </cell>
          <cell r="I33">
            <v>2490.1800000000003</v>
          </cell>
          <cell r="J33">
            <v>2413.9500000000003</v>
          </cell>
          <cell r="K33">
            <v>1651.6500000000003</v>
          </cell>
          <cell r="L33">
            <v>1778.7000000000005</v>
          </cell>
          <cell r="M33">
            <v>2109.0300000000002</v>
          </cell>
        </row>
        <row r="34">
          <cell r="B34">
            <v>25135.966900000003</v>
          </cell>
          <cell r="C34">
            <v>25296.068600000002</v>
          </cell>
          <cell r="D34">
            <v>24975.8652</v>
          </cell>
          <cell r="E34">
            <v>25936.475400000003</v>
          </cell>
          <cell r="F34">
            <v>25776.373700000004</v>
          </cell>
          <cell r="G34">
            <v>30419.323000000004</v>
          </cell>
          <cell r="H34">
            <v>31059.729800000005</v>
          </cell>
          <cell r="I34">
            <v>31379.933200000003</v>
          </cell>
          <cell r="J34">
            <v>30419.323000000004</v>
          </cell>
          <cell r="K34">
            <v>20813.221000000001</v>
          </cell>
          <cell r="L34">
            <v>22414.238000000005</v>
          </cell>
          <cell r="M34">
            <v>26576.882200000004</v>
          </cell>
        </row>
        <row r="44">
          <cell r="B44">
            <v>140763.6409</v>
          </cell>
          <cell r="C44">
            <v>141660.22459999999</v>
          </cell>
          <cell r="D44">
            <v>139867.05719999998</v>
          </cell>
          <cell r="E44">
            <v>145246.5594</v>
          </cell>
          <cell r="F44">
            <v>144349.97570000001</v>
          </cell>
          <cell r="G44">
            <v>170350.90299999999</v>
          </cell>
          <cell r="H44">
            <v>173937.2378</v>
          </cell>
          <cell r="I44">
            <v>175730.40520000001</v>
          </cell>
          <cell r="J44">
            <v>170350.90299999999</v>
          </cell>
          <cell r="K44">
            <v>116555.88099999999</v>
          </cell>
          <cell r="L44">
            <v>125521.71800000001</v>
          </cell>
          <cell r="M44">
            <v>148832.89420000001</v>
          </cell>
        </row>
        <row r="45">
          <cell r="B45">
            <v>56211.443975000002</v>
          </cell>
          <cell r="C45">
            <v>40000</v>
          </cell>
          <cell r="D45">
            <v>55853.409299999999</v>
          </cell>
          <cell r="E45">
            <v>58001.61735</v>
          </cell>
          <cell r="F45">
            <v>57643.582674999998</v>
          </cell>
          <cell r="G45">
            <v>68026.588250000001</v>
          </cell>
          <cell r="H45">
            <v>69458.726949999997</v>
          </cell>
          <cell r="I45">
            <v>70174.796300000002</v>
          </cell>
          <cell r="J45">
            <v>68026.588250000001</v>
          </cell>
          <cell r="K45">
            <v>46544.507749999997</v>
          </cell>
          <cell r="L45">
            <v>50124.854500000001</v>
          </cell>
          <cell r="M45">
            <v>59433.756050000004</v>
          </cell>
        </row>
        <row r="46">
          <cell r="B46">
            <v>118580.68700000001</v>
          </cell>
          <cell r="C46">
            <v>130000</v>
          </cell>
          <cell r="D46">
            <v>117825.39599999999</v>
          </cell>
          <cell r="E46">
            <v>122357.14200000001</v>
          </cell>
          <cell r="F46">
            <v>121601.85100000001</v>
          </cell>
          <cell r="G46">
            <v>143505.29</v>
          </cell>
          <cell r="H46">
            <v>146526.454</v>
          </cell>
          <cell r="I46">
            <v>148037.03599999999</v>
          </cell>
          <cell r="J46">
            <v>143505.29</v>
          </cell>
          <cell r="K46">
            <v>98187.83</v>
          </cell>
          <cell r="L46">
            <v>105740.74</v>
          </cell>
          <cell r="M46">
            <v>125378.30600000001</v>
          </cell>
        </row>
        <row r="47">
          <cell r="B47">
            <v>154424.23444999999</v>
          </cell>
          <cell r="C47">
            <v>155407.82829999999</v>
          </cell>
          <cell r="D47">
            <v>153440.64059999998</v>
          </cell>
          <cell r="E47">
            <v>159342.20370000001</v>
          </cell>
          <cell r="F47">
            <v>158358.60985000001</v>
          </cell>
          <cell r="G47">
            <v>186882.8315</v>
          </cell>
          <cell r="H47">
            <v>190817.20689999999</v>
          </cell>
          <cell r="I47">
            <v>192784.3946</v>
          </cell>
          <cell r="J47">
            <v>186882.8315</v>
          </cell>
          <cell r="K47">
            <v>127867.20050000001</v>
          </cell>
          <cell r="L47">
            <v>137703.139</v>
          </cell>
          <cell r="M47">
            <v>163276.5791</v>
          </cell>
        </row>
        <row r="48"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54">
          <cell r="B54">
            <v>4456.9944999999998</v>
          </cell>
          <cell r="C54">
            <v>4485.3829999999998</v>
          </cell>
          <cell r="D54">
            <v>4428.6059999999998</v>
          </cell>
          <cell r="E54">
            <v>4598.9369999999999</v>
          </cell>
          <cell r="F54">
            <v>4570.5484999999999</v>
          </cell>
          <cell r="G54">
            <v>5393.8150000000005</v>
          </cell>
          <cell r="H54">
            <v>5507.3690000000006</v>
          </cell>
          <cell r="I54">
            <v>5564.1460000000006</v>
          </cell>
          <cell r="J54">
            <v>5393.8150000000005</v>
          </cell>
          <cell r="K54">
            <v>3690.5050000000001</v>
          </cell>
          <cell r="L54">
            <v>3974.3900000000003</v>
          </cell>
          <cell r="M54">
            <v>4712.491</v>
          </cell>
        </row>
        <row r="55">
          <cell r="B55">
            <v>5110.0360000000001</v>
          </cell>
          <cell r="C55">
            <v>5142.5839999999998</v>
          </cell>
          <cell r="D55">
            <v>5077.4880000000003</v>
          </cell>
          <cell r="E55">
            <v>5272.7759999999998</v>
          </cell>
          <cell r="F55">
            <v>5240.2280000000001</v>
          </cell>
          <cell r="G55">
            <v>6184.12</v>
          </cell>
          <cell r="H55">
            <v>6314.3119999999999</v>
          </cell>
          <cell r="I55">
            <v>6379.4080000000004</v>
          </cell>
          <cell r="J55">
            <v>6184.12</v>
          </cell>
          <cell r="K55">
            <v>4231.24</v>
          </cell>
          <cell r="L55">
            <v>4556.72</v>
          </cell>
          <cell r="M55">
            <v>5402.9679999999998</v>
          </cell>
        </row>
        <row r="56">
          <cell r="B56">
            <v>3820.1239999999998</v>
          </cell>
          <cell r="C56">
            <v>3844.4560000000001</v>
          </cell>
          <cell r="D56">
            <v>3795.7919999999999</v>
          </cell>
          <cell r="E56">
            <v>3941.7840000000001</v>
          </cell>
          <cell r="F56">
            <v>3917.4520000000002</v>
          </cell>
          <cell r="G56">
            <v>4623.08</v>
          </cell>
          <cell r="H56">
            <v>4720.4080000000004</v>
          </cell>
          <cell r="I56">
            <v>4769.0720000000001</v>
          </cell>
          <cell r="J56">
            <v>4623.08</v>
          </cell>
          <cell r="K56">
            <v>3163.1600000000003</v>
          </cell>
          <cell r="L56">
            <v>3406.4800000000005</v>
          </cell>
          <cell r="M56">
            <v>4039.1120000000001</v>
          </cell>
        </row>
        <row r="57">
          <cell r="B57">
            <v>1552.1020000000001</v>
          </cell>
          <cell r="C57">
            <v>1561.9880000000001</v>
          </cell>
          <cell r="D57">
            <v>1542.2159999999999</v>
          </cell>
          <cell r="E57">
            <v>1601.5320000000002</v>
          </cell>
          <cell r="F57">
            <v>1591.646</v>
          </cell>
          <cell r="G57">
            <v>1878.34</v>
          </cell>
          <cell r="H57">
            <v>1917.884</v>
          </cell>
          <cell r="I57">
            <v>1937.6560000000002</v>
          </cell>
          <cell r="J57">
            <v>1878.34</v>
          </cell>
          <cell r="K57">
            <v>1285.18</v>
          </cell>
          <cell r="L57">
            <v>1384.0400000000002</v>
          </cell>
          <cell r="M57">
            <v>1641.076</v>
          </cell>
        </row>
        <row r="63">
          <cell r="B63">
            <v>16776.627499999999</v>
          </cell>
          <cell r="C63">
            <v>16883.485000000001</v>
          </cell>
          <cell r="D63">
            <v>16669.77</v>
          </cell>
          <cell r="E63">
            <v>17310.915000000001</v>
          </cell>
          <cell r="F63">
            <v>17204.057499999999</v>
          </cell>
          <cell r="G63">
            <v>20302.924999999999</v>
          </cell>
          <cell r="H63">
            <v>20730.355</v>
          </cell>
          <cell r="I63">
            <v>20944.07</v>
          </cell>
          <cell r="J63">
            <v>20302.924999999999</v>
          </cell>
          <cell r="K63">
            <v>13891.475</v>
          </cell>
          <cell r="L63">
            <v>14960.050000000001</v>
          </cell>
          <cell r="M63">
            <v>17738.345000000001</v>
          </cell>
        </row>
        <row r="64">
          <cell r="B64">
            <v>50363.088000000003</v>
          </cell>
          <cell r="C64">
            <v>50683.872000000003</v>
          </cell>
          <cell r="D64">
            <v>50042.303999999996</v>
          </cell>
          <cell r="E64">
            <v>51967.008000000002</v>
          </cell>
          <cell r="F64">
            <v>51646.224000000002</v>
          </cell>
          <cell r="G64">
            <v>60948.959999999999</v>
          </cell>
          <cell r="H64">
            <v>62232.096000000005</v>
          </cell>
          <cell r="I64">
            <v>62873.664000000004</v>
          </cell>
          <cell r="J64">
            <v>60948.959999999999</v>
          </cell>
          <cell r="K64">
            <v>41701.919999999998</v>
          </cell>
          <cell r="L64">
            <v>44909.760000000002</v>
          </cell>
          <cell r="M64">
            <v>53250.144</v>
          </cell>
        </row>
        <row r="65">
          <cell r="B65">
            <v>47004.308499999999</v>
          </cell>
          <cell r="C65">
            <v>47303.699000000001</v>
          </cell>
          <cell r="D65">
            <v>46704.917999999998</v>
          </cell>
          <cell r="E65">
            <v>48501.260999999999</v>
          </cell>
          <cell r="F65">
            <v>48201.870500000005</v>
          </cell>
          <cell r="G65">
            <v>56884.195</v>
          </cell>
          <cell r="H65">
            <v>58081.757000000005</v>
          </cell>
          <cell r="I65">
            <v>58680.538</v>
          </cell>
          <cell r="J65">
            <v>56884.195</v>
          </cell>
          <cell r="K65">
            <v>38920.764999999999</v>
          </cell>
          <cell r="L65">
            <v>41914.670000000006</v>
          </cell>
          <cell r="M65">
            <v>49698.823000000004</v>
          </cell>
        </row>
        <row r="66">
          <cell r="B66">
            <v>24260.111000000001</v>
          </cell>
          <cell r="C66">
            <v>24414.634000000002</v>
          </cell>
          <cell r="D66">
            <v>24105.588</v>
          </cell>
          <cell r="E66">
            <v>25032.726000000002</v>
          </cell>
          <cell r="F66">
            <v>24878.203000000001</v>
          </cell>
          <cell r="G66">
            <v>29359.37</v>
          </cell>
          <cell r="H66">
            <v>29977.462</v>
          </cell>
          <cell r="I66">
            <v>30286.508000000002</v>
          </cell>
          <cell r="J66">
            <v>29359.37</v>
          </cell>
          <cell r="K66">
            <v>20087.990000000002</v>
          </cell>
          <cell r="L66">
            <v>21633.22</v>
          </cell>
          <cell r="M66">
            <v>25650.818000000003</v>
          </cell>
        </row>
        <row r="67">
          <cell r="B67">
            <v>45803.807999999997</v>
          </cell>
          <cell r="C67">
            <v>46095.552000000003</v>
          </cell>
          <cell r="D67">
            <v>45512.063999999998</v>
          </cell>
          <cell r="E67">
            <v>47262.527999999998</v>
          </cell>
          <cell r="F67">
            <v>46970.784</v>
          </cell>
          <cell r="G67">
            <v>55431.360000000001</v>
          </cell>
          <cell r="H67">
            <v>56598.336000000003</v>
          </cell>
          <cell r="I67">
            <v>57181.824000000001</v>
          </cell>
          <cell r="J67">
            <v>55431.360000000001</v>
          </cell>
          <cell r="K67">
            <v>37926.720000000001</v>
          </cell>
          <cell r="L67">
            <v>40844.160000000003</v>
          </cell>
          <cell r="M67">
            <v>48429.504000000001</v>
          </cell>
        </row>
        <row r="68">
          <cell r="B68">
            <v>6021.9705000000004</v>
          </cell>
          <cell r="C68">
            <v>6060.3270000000002</v>
          </cell>
          <cell r="D68">
            <v>5983.6139999999996</v>
          </cell>
          <cell r="E68">
            <v>6213.7530000000006</v>
          </cell>
          <cell r="F68">
            <v>6175.3964999999998</v>
          </cell>
          <cell r="G68">
            <v>7287.7349999999997</v>
          </cell>
          <cell r="H68">
            <v>7441.1610000000001</v>
          </cell>
          <cell r="I68">
            <v>7517.8740000000007</v>
          </cell>
          <cell r="J68">
            <v>7287.7349999999997</v>
          </cell>
          <cell r="K68">
            <v>4986.3450000000003</v>
          </cell>
          <cell r="L68">
            <v>5369.9100000000008</v>
          </cell>
          <cell r="M68">
            <v>6367.1790000000001</v>
          </cell>
        </row>
        <row r="71">
          <cell r="B71">
            <v>3090.9375</v>
          </cell>
          <cell r="C71">
            <v>3110.625</v>
          </cell>
          <cell r="D71">
            <v>3071.25</v>
          </cell>
          <cell r="E71">
            <v>3189.375</v>
          </cell>
          <cell r="F71">
            <v>3169.6875</v>
          </cell>
          <cell r="G71">
            <v>3740.625</v>
          </cell>
          <cell r="H71">
            <v>3819.375</v>
          </cell>
          <cell r="I71">
            <v>3858.75</v>
          </cell>
          <cell r="J71">
            <v>3740.625</v>
          </cell>
          <cell r="K71">
            <v>2559.375</v>
          </cell>
          <cell r="L71">
            <v>2756.2500000000005</v>
          </cell>
          <cell r="M71">
            <v>3268.125</v>
          </cell>
        </row>
        <row r="72">
          <cell r="B72">
            <v>2121.6979999999999</v>
          </cell>
          <cell r="C72">
            <v>2135.212</v>
          </cell>
          <cell r="D72">
            <v>2108.1840000000002</v>
          </cell>
          <cell r="E72">
            <v>2189.268</v>
          </cell>
          <cell r="F72">
            <v>2175.7539999999999</v>
          </cell>
          <cell r="G72">
            <v>2567.66</v>
          </cell>
          <cell r="H72">
            <v>2621.7159999999999</v>
          </cell>
          <cell r="I72">
            <v>2648.7440000000001</v>
          </cell>
          <cell r="J72">
            <v>2567.66</v>
          </cell>
          <cell r="K72">
            <v>1756.8200000000002</v>
          </cell>
          <cell r="L72">
            <v>1891.9600000000003</v>
          </cell>
          <cell r="M72">
            <v>2243.3240000000001</v>
          </cell>
        </row>
        <row r="73">
          <cell r="B73">
            <v>1294.1510000000001</v>
          </cell>
          <cell r="C73">
            <v>1302.394</v>
          </cell>
          <cell r="D73">
            <v>1285.9079999999999</v>
          </cell>
          <cell r="E73">
            <v>1335.366</v>
          </cell>
          <cell r="F73">
            <v>1327.123</v>
          </cell>
          <cell r="G73">
            <v>1566.17</v>
          </cell>
          <cell r="H73">
            <v>1599.1420000000001</v>
          </cell>
          <cell r="I73">
            <v>1615.6280000000002</v>
          </cell>
          <cell r="J73">
            <v>1566.17</v>
          </cell>
          <cell r="K73">
            <v>1071.5900000000001</v>
          </cell>
          <cell r="L73">
            <v>1154.0200000000002</v>
          </cell>
          <cell r="M73">
            <v>1368.338</v>
          </cell>
        </row>
        <row r="76">
          <cell r="B76">
            <v>30644.908500000001</v>
          </cell>
          <cell r="C76">
            <v>30840.099000000002</v>
          </cell>
          <cell r="D76">
            <v>30449.718000000001</v>
          </cell>
          <cell r="E76">
            <v>31620.861000000001</v>
          </cell>
          <cell r="F76">
            <v>31425.6705</v>
          </cell>
          <cell r="G76">
            <v>37086.195</v>
          </cell>
          <cell r="H76">
            <v>37866.957000000002</v>
          </cell>
          <cell r="I76">
            <v>38257.338000000003</v>
          </cell>
          <cell r="J76">
            <v>37086.195</v>
          </cell>
          <cell r="K76">
            <v>25374.764999999999</v>
          </cell>
          <cell r="L76">
            <v>27326.670000000002</v>
          </cell>
          <cell r="M76">
            <v>32401.623000000003</v>
          </cell>
        </row>
        <row r="77">
          <cell r="B77">
            <v>7590.2434999999996</v>
          </cell>
          <cell r="C77">
            <v>7638.5889999999999</v>
          </cell>
          <cell r="D77">
            <v>7541.8980000000001</v>
          </cell>
          <cell r="E77">
            <v>7831.9710000000005</v>
          </cell>
          <cell r="F77">
            <v>7783.6255000000001</v>
          </cell>
          <cell r="G77">
            <v>9185.6450000000004</v>
          </cell>
          <cell r="H77">
            <v>9379.027</v>
          </cell>
          <cell r="I77">
            <v>9475.7180000000008</v>
          </cell>
          <cell r="J77">
            <v>9185.6450000000004</v>
          </cell>
          <cell r="K77">
            <v>6284.915</v>
          </cell>
          <cell r="L77">
            <v>6768.3700000000008</v>
          </cell>
          <cell r="M77">
            <v>8025.3530000000001</v>
          </cell>
        </row>
        <row r="81">
          <cell r="B81">
            <v>2487.665</v>
          </cell>
          <cell r="C81">
            <v>2503.5100000000002</v>
          </cell>
          <cell r="D81">
            <v>2471.8200000000002</v>
          </cell>
          <cell r="E81">
            <v>2566.89</v>
          </cell>
          <cell r="F81">
            <v>2551.0450000000001</v>
          </cell>
          <cell r="G81">
            <v>3010.55</v>
          </cell>
          <cell r="H81">
            <v>3073.9300000000003</v>
          </cell>
          <cell r="I81">
            <v>3105.6200000000003</v>
          </cell>
          <cell r="J81">
            <v>3010.55</v>
          </cell>
          <cell r="K81">
            <v>2059.85</v>
          </cell>
          <cell r="L81">
            <v>2218.3000000000002</v>
          </cell>
          <cell r="M81">
            <v>2630.27</v>
          </cell>
        </row>
        <row r="82">
          <cell r="B82">
            <v>481.2835</v>
          </cell>
          <cell r="C82">
            <v>484.34899999999999</v>
          </cell>
          <cell r="D82">
            <v>478.21800000000002</v>
          </cell>
          <cell r="E82">
            <v>496.61099999999999</v>
          </cell>
          <cell r="F82">
            <v>493.5455</v>
          </cell>
          <cell r="G82">
            <v>582.44500000000005</v>
          </cell>
          <cell r="H82">
            <v>594.70699999999999</v>
          </cell>
          <cell r="I82">
            <v>600.83800000000008</v>
          </cell>
          <cell r="J82">
            <v>582.44500000000005</v>
          </cell>
          <cell r="K82">
            <v>398.51499999999999</v>
          </cell>
          <cell r="L82">
            <v>429.17</v>
          </cell>
          <cell r="M82">
            <v>508.87300000000005</v>
          </cell>
        </row>
        <row r="83">
          <cell r="B83">
            <v>4426.4579999999996</v>
          </cell>
          <cell r="C83">
            <v>4454.652</v>
          </cell>
          <cell r="D83">
            <v>4398.2640000000001</v>
          </cell>
          <cell r="E83">
            <v>4567.4279999999999</v>
          </cell>
          <cell r="F83">
            <v>4539.2340000000004</v>
          </cell>
          <cell r="G83">
            <v>5356.86</v>
          </cell>
          <cell r="H83">
            <v>5469.6360000000004</v>
          </cell>
          <cell r="I83">
            <v>5526.0240000000003</v>
          </cell>
          <cell r="J83">
            <v>5356.86</v>
          </cell>
          <cell r="K83">
            <v>3665.2200000000003</v>
          </cell>
          <cell r="L83">
            <v>3947.1600000000003</v>
          </cell>
          <cell r="M83">
            <v>4680.2040000000006</v>
          </cell>
        </row>
        <row r="84">
          <cell r="B84">
            <v>3831.7420000000002</v>
          </cell>
          <cell r="C84">
            <v>3856.1480000000001</v>
          </cell>
          <cell r="D84">
            <v>3807.3359999999998</v>
          </cell>
          <cell r="E84">
            <v>3953.7719999999999</v>
          </cell>
          <cell r="F84">
            <v>3929.366</v>
          </cell>
          <cell r="G84">
            <v>4637.1400000000003</v>
          </cell>
          <cell r="H84">
            <v>4734.7640000000001</v>
          </cell>
          <cell r="I84">
            <v>4783.576</v>
          </cell>
          <cell r="J84">
            <v>4637.1400000000003</v>
          </cell>
          <cell r="K84">
            <v>3172.78</v>
          </cell>
          <cell r="L84">
            <v>3416.84</v>
          </cell>
          <cell r="M84">
            <v>4051.3960000000002</v>
          </cell>
        </row>
        <row r="85">
          <cell r="B85">
            <v>786.02049999999997</v>
          </cell>
          <cell r="C85">
            <v>791.02700000000004</v>
          </cell>
          <cell r="D85">
            <v>781.01400000000001</v>
          </cell>
          <cell r="E85">
            <v>811.053</v>
          </cell>
          <cell r="F85">
            <v>806.04650000000004</v>
          </cell>
          <cell r="G85">
            <v>951.23500000000001</v>
          </cell>
          <cell r="H85">
            <v>971.26100000000008</v>
          </cell>
          <cell r="I85">
            <v>981.274</v>
          </cell>
          <cell r="J85">
            <v>951.23500000000001</v>
          </cell>
          <cell r="K85">
            <v>650.84500000000003</v>
          </cell>
          <cell r="L85">
            <v>700.91000000000008</v>
          </cell>
          <cell r="M85">
            <v>831.07900000000006</v>
          </cell>
        </row>
        <row r="86">
          <cell r="B86">
            <v>37326.828500000003</v>
          </cell>
          <cell r="C86">
            <v>37564.578999999998</v>
          </cell>
          <cell r="D86">
            <v>37089.078000000001</v>
          </cell>
          <cell r="E86">
            <v>38515.580999999998</v>
          </cell>
          <cell r="F86">
            <v>38277.830500000004</v>
          </cell>
          <cell r="G86">
            <v>45172.595000000001</v>
          </cell>
          <cell r="H86">
            <v>46123.597000000002</v>
          </cell>
          <cell r="I86">
            <v>46599.098000000005</v>
          </cell>
          <cell r="J86">
            <v>45172.595000000001</v>
          </cell>
          <cell r="K86">
            <v>30907.565000000002</v>
          </cell>
          <cell r="L86">
            <v>33285.07</v>
          </cell>
          <cell r="M86">
            <v>39466.582999999999</v>
          </cell>
        </row>
        <row r="87">
          <cell r="B87">
            <v>137856.91149999999</v>
          </cell>
          <cell r="C87">
            <v>138734.981</v>
          </cell>
          <cell r="D87">
            <v>136978.842</v>
          </cell>
          <cell r="E87">
            <v>142247.25899999999</v>
          </cell>
          <cell r="F87">
            <v>141369.18950000001</v>
          </cell>
          <cell r="G87">
            <v>166833.20500000002</v>
          </cell>
          <cell r="H87">
            <v>170345.48300000001</v>
          </cell>
          <cell r="I87">
            <v>172101.622</v>
          </cell>
          <cell r="J87">
            <v>166833.20500000002</v>
          </cell>
          <cell r="K87">
            <v>114149.035</v>
          </cell>
          <cell r="L87">
            <v>122929.73000000001</v>
          </cell>
          <cell r="M87">
            <v>145759.53700000001</v>
          </cell>
        </row>
        <row r="92">
          <cell r="B92">
            <v>5172.3649999999998</v>
          </cell>
          <cell r="C92">
            <v>5205.3100000000004</v>
          </cell>
          <cell r="D92">
            <v>5139.42</v>
          </cell>
          <cell r="E92">
            <v>5337.09</v>
          </cell>
          <cell r="F92">
            <v>5304.1450000000004</v>
          </cell>
          <cell r="G92">
            <v>6259.55</v>
          </cell>
          <cell r="H92">
            <v>6391.33</v>
          </cell>
          <cell r="I92">
            <v>6457.22</v>
          </cell>
          <cell r="J92">
            <v>6259.55</v>
          </cell>
          <cell r="K92">
            <v>4282.8500000000004</v>
          </cell>
          <cell r="L92">
            <v>4612.3</v>
          </cell>
          <cell r="M92">
            <v>5468.87</v>
          </cell>
        </row>
        <row r="93">
          <cell r="B93">
            <v>5590.3774999999996</v>
          </cell>
          <cell r="C93">
            <v>5625.9849999999997</v>
          </cell>
          <cell r="D93">
            <v>5554.77</v>
          </cell>
          <cell r="E93">
            <v>5768.415</v>
          </cell>
          <cell r="F93">
            <v>5732.8074999999999</v>
          </cell>
          <cell r="G93">
            <v>6765.4250000000002</v>
          </cell>
          <cell r="H93">
            <v>6907.8550000000005</v>
          </cell>
          <cell r="I93">
            <v>6979.0700000000006</v>
          </cell>
          <cell r="J93">
            <v>6765.4250000000002</v>
          </cell>
          <cell r="K93">
            <v>4628.9750000000004</v>
          </cell>
          <cell r="L93">
            <v>4985.05</v>
          </cell>
          <cell r="M93">
            <v>5910.8450000000003</v>
          </cell>
        </row>
        <row r="97">
          <cell r="B97">
            <v>18688.024000000001</v>
          </cell>
          <cell r="C97">
            <v>18807.056</v>
          </cell>
          <cell r="D97">
            <v>18568.991999999998</v>
          </cell>
          <cell r="E97">
            <v>19283.184000000001</v>
          </cell>
          <cell r="F97">
            <v>19164.152000000002</v>
          </cell>
          <cell r="G97">
            <v>22616.080000000002</v>
          </cell>
          <cell r="H97">
            <v>23092.208000000002</v>
          </cell>
          <cell r="I97">
            <v>23330.272000000001</v>
          </cell>
          <cell r="J97">
            <v>22616.080000000002</v>
          </cell>
          <cell r="K97">
            <v>15474.16</v>
          </cell>
          <cell r="L97">
            <v>16664.480000000003</v>
          </cell>
          <cell r="M97">
            <v>19759.312000000002</v>
          </cell>
        </row>
        <row r="98">
          <cell r="B98">
            <v>11977.844000000001</v>
          </cell>
          <cell r="C98">
            <v>12054.136</v>
          </cell>
          <cell r="D98">
            <v>11901.552</v>
          </cell>
          <cell r="E98">
            <v>12359.304</v>
          </cell>
          <cell r="F98">
            <v>12283.012000000001</v>
          </cell>
          <cell r="G98">
            <v>14495.48</v>
          </cell>
          <cell r="H98">
            <v>14800.648000000001</v>
          </cell>
          <cell r="I98">
            <v>14953.232</v>
          </cell>
          <cell r="J98">
            <v>14495.48</v>
          </cell>
          <cell r="K98">
            <v>9917.9600000000009</v>
          </cell>
          <cell r="L98">
            <v>10680.880000000001</v>
          </cell>
          <cell r="M98">
            <v>12664.472</v>
          </cell>
        </row>
        <row r="99">
          <cell r="B99">
            <v>6574.5320000000002</v>
          </cell>
          <cell r="C99">
            <v>6616.4080000000004</v>
          </cell>
          <cell r="D99">
            <v>6532.6559999999999</v>
          </cell>
          <cell r="E99">
            <v>6783.9120000000003</v>
          </cell>
          <cell r="F99">
            <v>6742.0360000000001</v>
          </cell>
          <cell r="G99">
            <v>7956.4400000000005</v>
          </cell>
          <cell r="H99">
            <v>8123.9440000000004</v>
          </cell>
          <cell r="I99">
            <v>8207.6959999999999</v>
          </cell>
          <cell r="J99">
            <v>7956.4400000000005</v>
          </cell>
          <cell r="K99">
            <v>5443.88</v>
          </cell>
          <cell r="L99">
            <v>5862.64</v>
          </cell>
          <cell r="M99">
            <v>6951.4160000000002</v>
          </cell>
        </row>
        <row r="100">
          <cell r="B100">
            <v>5230.9260000000004</v>
          </cell>
          <cell r="C100">
            <v>5264.2439999999997</v>
          </cell>
          <cell r="D100">
            <v>5197.6080000000002</v>
          </cell>
          <cell r="E100">
            <v>5397.5160000000005</v>
          </cell>
          <cell r="F100">
            <v>5364.1980000000003</v>
          </cell>
          <cell r="G100">
            <v>6330.42</v>
          </cell>
          <cell r="H100">
            <v>6463.692</v>
          </cell>
          <cell r="I100">
            <v>6530.3280000000004</v>
          </cell>
          <cell r="J100">
            <v>6330.42</v>
          </cell>
          <cell r="K100">
            <v>4331.34</v>
          </cell>
          <cell r="L100">
            <v>4664.5200000000004</v>
          </cell>
          <cell r="M100">
            <v>5530.7880000000005</v>
          </cell>
        </row>
        <row r="101">
          <cell r="B101">
            <v>2585.9470000000001</v>
          </cell>
          <cell r="C101">
            <v>2602.4180000000001</v>
          </cell>
          <cell r="D101">
            <v>2569.4760000000001</v>
          </cell>
          <cell r="E101">
            <v>2668.3020000000001</v>
          </cell>
          <cell r="F101">
            <v>2651.8310000000001</v>
          </cell>
          <cell r="G101">
            <v>3129.4900000000002</v>
          </cell>
          <cell r="H101">
            <v>3195.3740000000003</v>
          </cell>
          <cell r="I101">
            <v>3228.3160000000003</v>
          </cell>
          <cell r="J101">
            <v>3129.4900000000002</v>
          </cell>
          <cell r="K101">
            <v>2141.23</v>
          </cell>
          <cell r="L101">
            <v>2305.94</v>
          </cell>
          <cell r="M101">
            <v>2734.1860000000001</v>
          </cell>
        </row>
        <row r="102">
          <cell r="B102">
            <v>613.6345</v>
          </cell>
          <cell r="C102">
            <v>617.54300000000001</v>
          </cell>
          <cell r="D102">
            <v>609.726</v>
          </cell>
          <cell r="E102">
            <v>633.17700000000002</v>
          </cell>
          <cell r="F102">
            <v>629.26850000000002</v>
          </cell>
          <cell r="G102">
            <v>742.61500000000001</v>
          </cell>
          <cell r="H102">
            <v>758.24900000000002</v>
          </cell>
          <cell r="I102">
            <v>766.06600000000003</v>
          </cell>
          <cell r="J102">
            <v>742.61500000000001</v>
          </cell>
          <cell r="K102">
            <v>508.10500000000002</v>
          </cell>
          <cell r="L102">
            <v>547.19000000000005</v>
          </cell>
          <cell r="M102">
            <v>648.81100000000004</v>
          </cell>
        </row>
        <row r="103">
          <cell r="B103">
            <v>847.8</v>
          </cell>
          <cell r="C103">
            <v>853.2</v>
          </cell>
          <cell r="D103">
            <v>842.4</v>
          </cell>
          <cell r="E103">
            <v>874.80000000000007</v>
          </cell>
          <cell r="F103">
            <v>869.4</v>
          </cell>
          <cell r="G103">
            <v>1026</v>
          </cell>
          <cell r="H103">
            <v>1047.6000000000001</v>
          </cell>
          <cell r="I103">
            <v>1058.4000000000001</v>
          </cell>
          <cell r="J103">
            <v>1026</v>
          </cell>
          <cell r="K103">
            <v>702</v>
          </cell>
          <cell r="L103">
            <v>756.00000000000011</v>
          </cell>
          <cell r="M103">
            <v>896.40000000000009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8DF7C-D81E-472F-A824-BA24AF90B5DD}">
  <dimension ref="B1:I20"/>
  <sheetViews>
    <sheetView showGridLines="0" workbookViewId="0">
      <selection activeCell="C16" sqref="C16"/>
    </sheetView>
  </sheetViews>
  <sheetFormatPr defaultRowHeight="12.75"/>
  <cols>
    <col min="2" max="2" width="14.28515625" customWidth="1"/>
    <col min="3" max="3" width="9.5703125" bestFit="1" customWidth="1"/>
    <col min="6" max="6" width="11" customWidth="1"/>
    <col min="7" max="7" width="6.7109375" bestFit="1" customWidth="1"/>
  </cols>
  <sheetData>
    <row r="1" spans="2:9" ht="23.25">
      <c r="B1" s="908" t="s">
        <v>314</v>
      </c>
    </row>
    <row r="3" spans="2:9">
      <c r="B3" s="1" t="s">
        <v>315</v>
      </c>
    </row>
    <row r="5" spans="2:9">
      <c r="B5" s="907" t="s">
        <v>316</v>
      </c>
      <c r="D5" s="926">
        <v>0.95</v>
      </c>
      <c r="F5" s="907" t="s">
        <v>318</v>
      </c>
    </row>
    <row r="6" spans="2:9">
      <c r="F6" s="907" t="s">
        <v>319</v>
      </c>
    </row>
    <row r="7" spans="2:9">
      <c r="B7" s="915" t="s">
        <v>317</v>
      </c>
      <c r="C7" s="916"/>
      <c r="D7" s="183"/>
      <c r="F7" s="909" t="s">
        <v>98</v>
      </c>
      <c r="G7" s="910" t="s">
        <v>134</v>
      </c>
      <c r="H7" s="929">
        <v>205</v>
      </c>
      <c r="I7" s="466" t="s">
        <v>322</v>
      </c>
    </row>
    <row r="8" spans="2:9">
      <c r="B8" s="917" t="s">
        <v>98</v>
      </c>
      <c r="C8" s="927">
        <v>0.79</v>
      </c>
      <c r="D8" s="118" t="s">
        <v>321</v>
      </c>
      <c r="F8" s="911"/>
      <c r="G8" s="912" t="s">
        <v>135</v>
      </c>
      <c r="H8" s="930">
        <v>200</v>
      </c>
      <c r="I8" s="118" t="s">
        <v>322</v>
      </c>
    </row>
    <row r="9" spans="2:9">
      <c r="B9" s="918" t="s">
        <v>96</v>
      </c>
      <c r="C9" s="928">
        <v>0.25600000000000001</v>
      </c>
      <c r="D9" s="463" t="s">
        <v>321</v>
      </c>
      <c r="F9" s="913"/>
      <c r="G9" s="914" t="s">
        <v>136</v>
      </c>
      <c r="H9" s="931">
        <v>310</v>
      </c>
      <c r="I9" s="463" t="s">
        <v>322</v>
      </c>
    </row>
    <row r="10" spans="2:9">
      <c r="H10" s="932"/>
    </row>
    <row r="11" spans="2:9">
      <c r="B11" s="1" t="s">
        <v>323</v>
      </c>
      <c r="C11" s="1" t="s">
        <v>324</v>
      </c>
      <c r="F11" s="909" t="s">
        <v>96</v>
      </c>
      <c r="G11" s="910" t="s">
        <v>134</v>
      </c>
      <c r="H11" s="929">
        <v>250</v>
      </c>
      <c r="I11" s="466" t="s">
        <v>322</v>
      </c>
    </row>
    <row r="12" spans="2:9">
      <c r="B12" s="933" t="s">
        <v>98</v>
      </c>
      <c r="C12" s="934">
        <f>'Falhas UM-1 - Cost'!E58</f>
        <v>842.06137999999987</v>
      </c>
      <c r="F12" s="911"/>
      <c r="G12" s="912" t="s">
        <v>135</v>
      </c>
      <c r="H12" s="930">
        <v>300</v>
      </c>
      <c r="I12" s="118" t="s">
        <v>322</v>
      </c>
    </row>
    <row r="13" spans="2:9">
      <c r="B13" s="933" t="s">
        <v>96</v>
      </c>
      <c r="C13" s="934">
        <f>'Falhas UM-3-1 Cost'!D50</f>
        <v>210.98159999999999</v>
      </c>
      <c r="F13" s="911"/>
      <c r="G13" s="912" t="s">
        <v>136</v>
      </c>
      <c r="H13" s="930">
        <v>265</v>
      </c>
      <c r="I13" s="118" t="s">
        <v>322</v>
      </c>
    </row>
    <row r="14" spans="2:9">
      <c r="B14" s="933" t="s">
        <v>119</v>
      </c>
      <c r="C14" s="934">
        <f>'Falhas UM-4 Cost'!D57</f>
        <v>156.09710000000001</v>
      </c>
      <c r="F14" s="911"/>
      <c r="G14" s="912" t="s">
        <v>138</v>
      </c>
      <c r="H14" s="930">
        <v>310</v>
      </c>
      <c r="I14" s="118" t="s">
        <v>322</v>
      </c>
    </row>
    <row r="15" spans="2:9">
      <c r="B15" s="933" t="s">
        <v>106</v>
      </c>
      <c r="C15" s="926">
        <f>'[2]Prod 1 2 3'!$D$20</f>
        <v>467.88451780000003</v>
      </c>
      <c r="F15" s="913"/>
      <c r="G15" s="914" t="s">
        <v>139</v>
      </c>
      <c r="H15" s="931">
        <v>500</v>
      </c>
      <c r="I15" s="463" t="s">
        <v>322</v>
      </c>
    </row>
    <row r="16" spans="2:9">
      <c r="H16" s="932"/>
    </row>
    <row r="17" spans="6:9">
      <c r="F17" s="909" t="s">
        <v>320</v>
      </c>
      <c r="G17" s="910" t="s">
        <v>134</v>
      </c>
      <c r="H17" s="929">
        <v>360</v>
      </c>
      <c r="I17" s="466" t="s">
        <v>322</v>
      </c>
    </row>
    <row r="18" spans="6:9">
      <c r="F18" s="911"/>
      <c r="G18" s="912" t="s">
        <v>135</v>
      </c>
      <c r="H18" s="930">
        <v>360</v>
      </c>
      <c r="I18" s="118" t="s">
        <v>322</v>
      </c>
    </row>
    <row r="19" spans="6:9">
      <c r="F19" s="911"/>
      <c r="G19" s="912" t="s">
        <v>136</v>
      </c>
      <c r="H19" s="930">
        <v>360</v>
      </c>
      <c r="I19" s="118" t="s">
        <v>322</v>
      </c>
    </row>
    <row r="20" spans="6:9">
      <c r="F20" s="913"/>
      <c r="G20" s="914" t="s">
        <v>138</v>
      </c>
      <c r="H20" s="931">
        <v>360</v>
      </c>
      <c r="I20" s="463" t="s">
        <v>322</v>
      </c>
    </row>
  </sheetData>
  <phoneticPr fontId="20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8">
    <tabColor indexed="42"/>
    <pageSetUpPr fitToPage="1"/>
  </sheetPr>
  <dimension ref="A2:Z62"/>
  <sheetViews>
    <sheetView showGridLines="0" zoomScale="80" zoomScaleNormal="80" workbookViewId="0">
      <selection activeCell="S50" sqref="S50"/>
    </sheetView>
  </sheetViews>
  <sheetFormatPr defaultColWidth="11.42578125" defaultRowHeight="12.75"/>
  <cols>
    <col min="1" max="1" width="10.7109375" customWidth="1"/>
    <col min="2" max="2" width="6.7109375" customWidth="1"/>
    <col min="3" max="3" width="15.42578125" customWidth="1"/>
    <col min="4" max="4" width="4.85546875" style="203" bestFit="1" customWidth="1"/>
    <col min="5" max="5" width="13.85546875" style="203" customWidth="1"/>
    <col min="6" max="13" width="11.7109375" customWidth="1"/>
    <col min="14" max="17" width="13.42578125" bestFit="1" customWidth="1"/>
    <col min="18" max="18" width="14.140625" bestFit="1" customWidth="1"/>
  </cols>
  <sheetData>
    <row r="2" spans="1:21" ht="18">
      <c r="A2" s="242" t="s">
        <v>187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1"/>
      <c r="M2" s="241"/>
      <c r="N2" s="241"/>
      <c r="O2" s="241"/>
      <c r="P2" s="241"/>
      <c r="Q2" s="241"/>
      <c r="R2" s="241"/>
    </row>
    <row r="3" spans="1:21" ht="18">
      <c r="A3" s="204" t="s">
        <v>253</v>
      </c>
      <c r="B3" s="204"/>
      <c r="C3" s="204"/>
      <c r="D3" s="204"/>
      <c r="E3" s="204"/>
      <c r="F3" s="642" t="s">
        <v>270</v>
      </c>
      <c r="G3" s="642" t="s">
        <v>271</v>
      </c>
      <c r="H3" s="642" t="s">
        <v>272</v>
      </c>
      <c r="I3" s="642" t="s">
        <v>273</v>
      </c>
      <c r="J3" s="642" t="s">
        <v>274</v>
      </c>
      <c r="K3" s="642" t="s">
        <v>275</v>
      </c>
      <c r="L3" s="642" t="s">
        <v>276</v>
      </c>
      <c r="M3" s="642" t="s">
        <v>277</v>
      </c>
      <c r="N3" s="642" t="s">
        <v>278</v>
      </c>
      <c r="O3" s="642" t="s">
        <v>279</v>
      </c>
      <c r="P3" s="642" t="s">
        <v>280</v>
      </c>
      <c r="Q3" s="642" t="s">
        <v>281</v>
      </c>
    </row>
    <row r="4" spans="1:21">
      <c r="A4" s="235" t="s">
        <v>107</v>
      </c>
      <c r="B4" s="235"/>
      <c r="C4" s="235"/>
      <c r="D4" s="227" t="s">
        <v>179</v>
      </c>
      <c r="E4" s="227" t="s">
        <v>313</v>
      </c>
      <c r="F4" s="236">
        <v>44652</v>
      </c>
      <c r="G4" s="236">
        <v>44682</v>
      </c>
      <c r="H4" s="236">
        <v>44713</v>
      </c>
      <c r="I4" s="236">
        <v>44743</v>
      </c>
      <c r="J4" s="236">
        <v>44774</v>
      </c>
      <c r="K4" s="236">
        <v>44805</v>
      </c>
      <c r="L4" s="236">
        <v>44835</v>
      </c>
      <c r="M4" s="236">
        <v>44866</v>
      </c>
      <c r="N4" s="236">
        <v>44896</v>
      </c>
      <c r="O4" s="236">
        <v>44927</v>
      </c>
      <c r="P4" s="236">
        <v>44958</v>
      </c>
      <c r="Q4" s="236">
        <v>44986</v>
      </c>
      <c r="R4" s="228" t="s">
        <v>1</v>
      </c>
    </row>
    <row r="5" spans="1:21">
      <c r="A5" s="235" t="s">
        <v>98</v>
      </c>
      <c r="B5" s="235"/>
      <c r="C5" s="235"/>
      <c r="D5" s="227" t="s">
        <v>180</v>
      </c>
      <c r="E5" s="526">
        <f>'[3]Prod &amp; Defects - Qty'!R5</f>
        <v>20656836</v>
      </c>
      <c r="F5" s="554">
        <f>'[4]PRODUCTION (Rev.2) BP22 (2)'!B108</f>
        <v>1442218.0025000002</v>
      </c>
      <c r="G5" s="554">
        <f>'[4]PRODUCTION (Rev.2) BP22 (2)'!C108</f>
        <v>786999.10800000001</v>
      </c>
      <c r="H5" s="554">
        <f>'[4]PRODUCTION (Rev.2) BP22 (2)'!D108</f>
        <v>783387.73550000007</v>
      </c>
      <c r="I5" s="554">
        <f>'[4]PRODUCTION (Rev.2) BP22 (2)'!E108</f>
        <v>791670.83225000009</v>
      </c>
      <c r="J5" s="554">
        <f>'[4]PRODUCTION (Rev.2) BP22 (2)'!F108</f>
        <v>1430085.946</v>
      </c>
      <c r="K5" s="554">
        <f>'[4]PRODUCTION (Rev.2) BP22 (2)'!G108</f>
        <v>1657208.9862499998</v>
      </c>
      <c r="L5" s="554">
        <f>'[4]PRODUCTION (Rev.2) BP22 (2)'!H108</f>
        <v>1669007.0904999999</v>
      </c>
      <c r="M5" s="554">
        <f>'[4]PRODUCTION (Rev.2) BP22 (2)'!I108</f>
        <v>1670917.7825</v>
      </c>
      <c r="N5" s="554">
        <f>'[4]PRODUCTION (Rev.2) BP22 (2)'!J108</f>
        <v>1339679.0264999999</v>
      </c>
      <c r="O5" s="554">
        <f>'[4]PRODUCTION (Rev.2) BP22 (2)'!K108</f>
        <v>1241541.9345</v>
      </c>
      <c r="P5" s="554">
        <f>'[4]PRODUCTION (Rev.2) BP22 (2)'!L108</f>
        <v>1256197.436</v>
      </c>
      <c r="Q5" s="554">
        <f>'[4]PRODUCTION (Rev.2) BP22 (2)'!M108</f>
        <v>1546536.7594999999</v>
      </c>
      <c r="R5" s="423">
        <f>SUM(F5:Q5)</f>
        <v>15615450.640000002</v>
      </c>
      <c r="S5" s="275"/>
    </row>
    <row r="6" spans="1:21">
      <c r="A6" s="235" t="s">
        <v>170</v>
      </c>
      <c r="B6" s="235"/>
      <c r="C6" s="235"/>
      <c r="D6" s="227" t="s">
        <v>180</v>
      </c>
      <c r="E6" s="526">
        <f>'[3]Prod &amp; Defects - Qty'!R6</f>
        <v>38255265</v>
      </c>
      <c r="F6" s="554">
        <f>F11*$S$6</f>
        <v>3247394.2620130233</v>
      </c>
      <c r="G6" s="554">
        <f t="shared" ref="G6:Q6" si="0">G11*$S$6</f>
        <v>3398613.2967028166</v>
      </c>
      <c r="H6" s="554">
        <f t="shared" si="0"/>
        <v>3270772.8965561348</v>
      </c>
      <c r="I6" s="554">
        <f t="shared" si="0"/>
        <v>3291918.6112001613</v>
      </c>
      <c r="J6" s="554">
        <f t="shared" si="0"/>
        <v>3332133.840708056</v>
      </c>
      <c r="K6" s="554">
        <f t="shared" si="0"/>
        <v>3788574.6687827357</v>
      </c>
      <c r="L6" s="554">
        <f t="shared" si="0"/>
        <v>3741974.7050565546</v>
      </c>
      <c r="M6" s="554">
        <f t="shared" si="0"/>
        <v>3743937.4808739307</v>
      </c>
      <c r="N6" s="554">
        <f t="shared" si="0"/>
        <v>3562248.3987772875</v>
      </c>
      <c r="O6" s="554">
        <f t="shared" si="0"/>
        <v>2762627.6980563728</v>
      </c>
      <c r="P6" s="554">
        <f t="shared" si="0"/>
        <v>2651621.7985952785</v>
      </c>
      <c r="Q6" s="554">
        <f t="shared" si="0"/>
        <v>3361959.5073331399</v>
      </c>
      <c r="R6" s="423">
        <f t="shared" ref="R6:R11" si="1">SUM(F6:Q6)</f>
        <v>40153777.164655492</v>
      </c>
      <c r="S6" s="275">
        <f>E6/(+E6+E7)</f>
        <v>0.23141206573608145</v>
      </c>
    </row>
    <row r="7" spans="1:21">
      <c r="A7" s="235" t="s">
        <v>171</v>
      </c>
      <c r="B7" s="235"/>
      <c r="C7" s="235"/>
      <c r="D7" s="227" t="s">
        <v>180</v>
      </c>
      <c r="E7" s="526">
        <f>'[3]Prod &amp; Defects - Qty'!R7</f>
        <v>127057053</v>
      </c>
      <c r="F7" s="554">
        <f>F11*$S$7</f>
        <v>10785557.095486976</v>
      </c>
      <c r="G7" s="554">
        <f t="shared" ref="G7:Q7" si="2">G11*$S$7</f>
        <v>11287800.248297183</v>
      </c>
      <c r="H7" s="554">
        <f t="shared" si="2"/>
        <v>10863204.457443867</v>
      </c>
      <c r="I7" s="554">
        <f t="shared" si="2"/>
        <v>10933435.631799839</v>
      </c>
      <c r="J7" s="554">
        <f t="shared" si="2"/>
        <v>11067002.306791943</v>
      </c>
      <c r="K7" s="554">
        <f t="shared" si="2"/>
        <v>12582977.336217264</v>
      </c>
      <c r="L7" s="554">
        <f t="shared" si="2"/>
        <v>12428205.069943447</v>
      </c>
      <c r="M7" s="554">
        <f t="shared" si="2"/>
        <v>12434724.02912607</v>
      </c>
      <c r="N7" s="554">
        <f t="shared" si="2"/>
        <v>11831280.834222713</v>
      </c>
      <c r="O7" s="554">
        <f t="shared" si="2"/>
        <v>9175503.9169436302</v>
      </c>
      <c r="P7" s="554">
        <f t="shared" si="2"/>
        <v>8806820.4834047202</v>
      </c>
      <c r="Q7" s="554">
        <f t="shared" si="2"/>
        <v>11166062.16966686</v>
      </c>
      <c r="R7" s="423">
        <f t="shared" si="1"/>
        <v>133362573.57934451</v>
      </c>
      <c r="S7" s="275">
        <f>E7/(E6+E7)</f>
        <v>0.76858793426391858</v>
      </c>
    </row>
    <row r="8" spans="1:21">
      <c r="A8" s="235" t="s">
        <v>119</v>
      </c>
      <c r="B8" s="235"/>
      <c r="C8" s="235"/>
      <c r="D8" s="227" t="s">
        <v>180</v>
      </c>
      <c r="E8" s="526">
        <f>'[3]Prod &amp; Defects - Qty'!R8</f>
        <v>123886277</v>
      </c>
      <c r="F8" s="554">
        <f>'[4]PRODUCTION (Rev.2) BP22 (2)'!B110</f>
        <v>9857057.3350800052</v>
      </c>
      <c r="G8" s="554">
        <f>'[4]PRODUCTION (Rev.2) BP22 (2)'!C110</f>
        <v>11254534.534999996</v>
      </c>
      <c r="H8" s="554">
        <f>'[4]PRODUCTION (Rev.2) BP22 (2)'!D110</f>
        <v>10193804.064900002</v>
      </c>
      <c r="I8" s="554">
        <f>'[4]PRODUCTION (Rev.2) BP22 (2)'!E110</f>
        <v>10245058.379550003</v>
      </c>
      <c r="J8" s="554">
        <f>'[4]PRODUCTION (Rev.2) BP22 (2)'!F110</f>
        <v>11060264.3445</v>
      </c>
      <c r="K8" s="554">
        <f>'[4]PRODUCTION (Rev.2) BP22 (2)'!G110</f>
        <v>11655146.96675</v>
      </c>
      <c r="L8" s="554">
        <f>'[4]PRODUCTION (Rev.2) BP22 (2)'!H110</f>
        <v>11372132.843299998</v>
      </c>
      <c r="M8" s="554">
        <f>'[4]PRODUCTION (Rev.2) BP22 (2)'!I110</f>
        <v>11349385.0363</v>
      </c>
      <c r="N8" s="554">
        <f>'[4]PRODUCTION (Rev.2) BP22 (2)'!J110</f>
        <v>11335966.321739998</v>
      </c>
      <c r="O8" s="554">
        <f>'[4]PRODUCTION (Rev.2) BP22 (2)'!K110</f>
        <v>8389607.9674200006</v>
      </c>
      <c r="P8" s="554">
        <f>'[4]PRODUCTION (Rev.2) BP22 (2)'!L110</f>
        <v>8762677.6029599998</v>
      </c>
      <c r="Q8" s="554">
        <f>'[4]PRODUCTION (Rev.2) BP22 (2)'!M110</f>
        <v>10839438.13666</v>
      </c>
      <c r="R8" s="423">
        <f t="shared" si="1"/>
        <v>126315073.53416</v>
      </c>
      <c r="S8" s="275"/>
    </row>
    <row r="9" spans="1:21">
      <c r="A9" s="235" t="s">
        <v>106</v>
      </c>
      <c r="B9" s="235"/>
      <c r="C9" s="235"/>
      <c r="D9" s="227" t="s">
        <v>180</v>
      </c>
      <c r="E9" s="526">
        <f>'[3]Prod &amp; Defects - Qty'!R9</f>
        <v>34751656.57017827</v>
      </c>
      <c r="F9" s="554">
        <f>'[4]PRODUCTION (Rev.2) BP22 (2)'!B111</f>
        <v>2866874.4319000007</v>
      </c>
      <c r="G9" s="554">
        <f>'[4]PRODUCTION (Rev.2) BP22 (2)'!C111</f>
        <v>3185354.3056000001</v>
      </c>
      <c r="H9" s="554">
        <f>'[4]PRODUCTION (Rev.2) BP22 (2)'!D111</f>
        <v>3093608.6620000005</v>
      </c>
      <c r="I9" s="554">
        <f>'[4]PRODUCTION (Rev.2) BP22 (2)'!E111</f>
        <v>3151055.1489999997</v>
      </c>
      <c r="J9" s="554">
        <f>'[4]PRODUCTION (Rev.2) BP22 (2)'!F111</f>
        <v>3141480.7345000003</v>
      </c>
      <c r="K9" s="554">
        <f>'[4]PRODUCTION (Rev.2) BP22 (2)'!G111</f>
        <v>3469465.8730000006</v>
      </c>
      <c r="L9" s="554">
        <f>'[4]PRODUCTION (Rev.2) BP22 (2)'!H111</f>
        <v>3542507.2598000006</v>
      </c>
      <c r="M9" s="554">
        <f>'[4]PRODUCTION (Rev.2) BP22 (2)'!I111</f>
        <v>3579027.9532000008</v>
      </c>
      <c r="N9" s="554">
        <f>'[4]PRODUCTION (Rev.2) BP22 (2)'!J111</f>
        <v>3319138.7550000004</v>
      </c>
      <c r="O9" s="554">
        <f>'[4]PRODUCTION (Rev.2) BP22 (2)'!K111</f>
        <v>2144673.8849999998</v>
      </c>
      <c r="P9" s="554">
        <f>'[4]PRODUCTION (Rev.2) BP22 (2)'!L111</f>
        <v>2440418.0299999998</v>
      </c>
      <c r="Q9" s="554">
        <f>'[4]PRODUCTION (Rev.2) BP22 (2)'!M111</f>
        <v>3089352.807000001</v>
      </c>
      <c r="R9" s="423">
        <f t="shared" si="1"/>
        <v>37022957.846000008</v>
      </c>
      <c r="S9" s="275"/>
    </row>
    <row r="10" spans="1:21">
      <c r="A10" s="235" t="s">
        <v>1</v>
      </c>
      <c r="B10" s="235"/>
      <c r="C10" s="235"/>
      <c r="D10" s="227" t="s">
        <v>180</v>
      </c>
      <c r="E10" s="526">
        <f>'[3]Prod &amp; Defects - Qty'!R10</f>
        <v>344607087.57017827</v>
      </c>
      <c r="F10" s="554">
        <f>SUM(F5:F9)</f>
        <v>28199101.126980007</v>
      </c>
      <c r="G10" s="554">
        <f t="shared" ref="G10:Q10" si="3">SUM(G5:G9)</f>
        <v>29913301.493599992</v>
      </c>
      <c r="H10" s="554">
        <f t="shared" si="3"/>
        <v>28204777.816400006</v>
      </c>
      <c r="I10" s="554">
        <f t="shared" si="3"/>
        <v>28413138.603800002</v>
      </c>
      <c r="J10" s="554">
        <f t="shared" si="3"/>
        <v>30030967.172499999</v>
      </c>
      <c r="K10" s="554">
        <f t="shared" si="3"/>
        <v>33153373.831</v>
      </c>
      <c r="L10" s="554">
        <f t="shared" si="3"/>
        <v>32753826.968600005</v>
      </c>
      <c r="M10" s="554">
        <f t="shared" si="3"/>
        <v>32777992.282000002</v>
      </c>
      <c r="N10" s="554">
        <f t="shared" si="3"/>
        <v>31388313.336239997</v>
      </c>
      <c r="O10" s="554">
        <f t="shared" si="3"/>
        <v>23713955.401920006</v>
      </c>
      <c r="P10" s="554">
        <f t="shared" si="3"/>
        <v>23917735.350960001</v>
      </c>
      <c r="Q10" s="554">
        <f t="shared" si="3"/>
        <v>30003349.38016</v>
      </c>
      <c r="R10" s="423">
        <f t="shared" si="1"/>
        <v>352469832.76416004</v>
      </c>
      <c r="S10" s="275"/>
      <c r="T10" s="537"/>
      <c r="U10">
        <f>(L10-K10)/K10</f>
        <v>-1.205146916379291E-2</v>
      </c>
    </row>
    <row r="11" spans="1:21" ht="13.5" thickBot="1">
      <c r="E11" s="527">
        <f>'[3]Prod &amp; Defects - Qty'!R11</f>
        <v>0</v>
      </c>
      <c r="F11">
        <f>'[4]PRODUCTION (Rev.2) BP22 (2)'!B109</f>
        <v>14032951.3575</v>
      </c>
      <c r="G11" s="1">
        <f>'[4]PRODUCTION (Rev.2) BP22 (2)'!C109</f>
        <v>14686413.544999998</v>
      </c>
      <c r="H11" s="1">
        <f>'[4]PRODUCTION (Rev.2) BP22 (2)'!D109</f>
        <v>14133977.354000002</v>
      </c>
      <c r="I11" s="1">
        <f>'[4]PRODUCTION (Rev.2) BP22 (2)'!E109</f>
        <v>14225354.243000001</v>
      </c>
      <c r="J11" s="1">
        <f>'[4]PRODUCTION (Rev.2) BP22 (2)'!F109</f>
        <v>14399136.147499997</v>
      </c>
      <c r="K11" s="1">
        <f>'[4]PRODUCTION (Rev.2) BP22 (2)'!G109</f>
        <v>16371552.004999999</v>
      </c>
      <c r="L11" s="1">
        <f>'[4]PRODUCTION (Rev.2) BP22 (2)'!H109</f>
        <v>16170179.775</v>
      </c>
      <c r="M11" s="1">
        <f>'[4]PRODUCTION (Rev.2) BP22 (2)'!I109</f>
        <v>16178661.51</v>
      </c>
      <c r="N11" s="1">
        <f>'[4]PRODUCTION (Rev.2) BP22 (2)'!J109</f>
        <v>15393529.233000001</v>
      </c>
      <c r="O11" s="1">
        <f>'[4]PRODUCTION (Rev.2) BP22 (2)'!K109</f>
        <v>11938131.615000002</v>
      </c>
      <c r="P11" s="1">
        <f>'[4]PRODUCTION (Rev.2) BP22 (2)'!L109</f>
        <v>11458442.281999998</v>
      </c>
      <c r="Q11" s="1">
        <f>'[4]PRODUCTION (Rev.2) BP22 (2)'!M109</f>
        <v>14528021.676999999</v>
      </c>
      <c r="R11" s="423">
        <f t="shared" si="1"/>
        <v>173516350.74400002</v>
      </c>
    </row>
    <row r="12" spans="1:21">
      <c r="A12" s="243" t="s">
        <v>182</v>
      </c>
      <c r="B12" s="244"/>
      <c r="C12" s="245" t="s">
        <v>168</v>
      </c>
      <c r="D12" s="246" t="s">
        <v>180</v>
      </c>
      <c r="E12" s="528">
        <f>'[3]Prod &amp; Defects - Qty'!R12</f>
        <v>576662.07609696453</v>
      </c>
      <c r="F12" s="564">
        <f t="array" ref="F12">SUM(IF($C$15:$C$26=$C12,F$15:F$26))</f>
        <v>102658.89052138003</v>
      </c>
      <c r="G12" s="564">
        <f t="array" ref="G12">SUM(IF($C$15:$C$26=$C12,G$15:G$26))</f>
        <v>107981.08091838803</v>
      </c>
      <c r="H12" s="564">
        <f t="array" ref="H12">SUM(IF($C$15:$C$26=$C12,H$15:H$26))</f>
        <v>102963.85737737043</v>
      </c>
      <c r="I12" s="564">
        <f t="array" ref="I12">SUM(IF($C$15:$C$26=$C12,I$15:I$26))</f>
        <v>103610.87872175776</v>
      </c>
      <c r="J12" s="564">
        <f t="array" ref="J12">SUM(IF($C$15:$C$26=$C12,J$15:J$26))</f>
        <v>106741.66342618228</v>
      </c>
      <c r="K12" s="564">
        <f t="array" ref="K12">SUM(IF($C$15:$C$26=$C12,K$15:K$26))</f>
        <v>119975.97115196739</v>
      </c>
      <c r="L12" s="564">
        <f t="array" ref="L12">SUM(IF($C$15:$C$26=$C12,L$15:L$26))</f>
        <v>118324.39682936181</v>
      </c>
      <c r="M12" s="564">
        <f t="array" ref="M12">SUM(IF($C$15:$C$26=$C12,M$15:M$26))</f>
        <v>118343.24834445449</v>
      </c>
      <c r="N12" s="564">
        <f t="array" ref="N12">SUM(IF($C$15:$C$26=$C12,N$15:N$26))</f>
        <v>113117.09031648713</v>
      </c>
      <c r="O12" s="564">
        <f t="array" ref="O12">SUM(IF($C$15:$C$26=$C12,O$15:O$26))</f>
        <v>87358.794627367344</v>
      </c>
      <c r="P12" s="564">
        <f t="array" ref="P12">SUM(IF($C$15:$C$26=$C12,P$15:P$26))</f>
        <v>85031.419561609917</v>
      </c>
      <c r="Q12" s="564">
        <f t="array" ref="Q12">SUM(IF($C$15:$C$26=$C12,Q$15:Q$26))</f>
        <v>107332.24264804699</v>
      </c>
      <c r="R12" s="484">
        <f t="array" ref="R12">SUM(IF($C$15:$C$26=$C12,R$15:R$26))</f>
        <v>1273439.5344443738</v>
      </c>
    </row>
    <row r="13" spans="1:21">
      <c r="A13" s="248"/>
      <c r="B13" s="185"/>
      <c r="C13" s="186" t="s">
        <v>169</v>
      </c>
      <c r="D13" s="238" t="s">
        <v>180</v>
      </c>
      <c r="E13" s="529">
        <f>'[3]Prod &amp; Defects - Qty'!R13</f>
        <v>122642.45041711483</v>
      </c>
      <c r="F13" s="565">
        <f t="array" ref="F13">SUM(IF($C$15:$C$26=$C13,F$15:F$26))</f>
        <v>7900.2917969247828</v>
      </c>
      <c r="G13" s="565">
        <f t="array" ref="G13">SUM(IF($C$15:$C$26=$C13,G$15:G$26))</f>
        <v>7981.2382211904087</v>
      </c>
      <c r="H13" s="565">
        <f t="array" ref="H13">SUM(IF($C$15:$C$26=$C13,H$15:H$26))</f>
        <v>7687.7285371689604</v>
      </c>
      <c r="I13" s="565">
        <f t="array" ref="I13">SUM(IF($C$15:$C$26=$C13,I$15:I$26))</f>
        <v>7738.6458099985994</v>
      </c>
      <c r="J13" s="565">
        <f t="array" ref="J13">SUM(IF($C$15:$C$26=$C13,J$15:J$26))</f>
        <v>8091.9590294713253</v>
      </c>
      <c r="K13" s="565">
        <f t="array" ref="K13">SUM(IF($C$15:$C$26=$C13,K$15:K$26))</f>
        <v>9207.5426493520972</v>
      </c>
      <c r="L13" s="565">
        <f t="array" ref="L13">SUM(IF($C$15:$C$26=$C13,L$15:L$26))</f>
        <v>9106.4857290453128</v>
      </c>
      <c r="M13" s="565">
        <f t="array" ref="M13">SUM(IF($C$15:$C$26=$C13,M$15:M$26))</f>
        <v>9111.5096100786795</v>
      </c>
      <c r="N13" s="565">
        <f t="array" ref="N13">SUM(IF($C$15:$C$26=$C13,N$15:N$26))</f>
        <v>8571.2463382994083</v>
      </c>
      <c r="O13" s="565">
        <f t="array" ref="O13">SUM(IF($C$15:$C$26=$C13,O$15:O$26))</f>
        <v>6726.8906070102166</v>
      </c>
      <c r="P13" s="565">
        <f t="array" ref="P13">SUM(IF($C$15:$C$26=$C13,P$15:P$26))</f>
        <v>6486.9897346386961</v>
      </c>
      <c r="Q13" s="565">
        <f t="array" ref="Q13">SUM(IF($C$15:$C$26=$C13,Q$15:Q$26))</f>
        <v>8204.4518276641884</v>
      </c>
      <c r="R13" s="485">
        <f t="array" ref="R13">SUM(IF($C$15:$C$26=$C13,R$15:R$26))</f>
        <v>96814.979890842675</v>
      </c>
    </row>
    <row r="14" spans="1:21">
      <c r="A14" s="249"/>
      <c r="B14" s="188"/>
      <c r="C14" s="189" t="s">
        <v>104</v>
      </c>
      <c r="D14" s="239" t="s">
        <v>180</v>
      </c>
      <c r="E14" s="530">
        <f>'[3]Prod &amp; Defects - Qty'!R14</f>
        <v>307241.23168989731</v>
      </c>
      <c r="F14" s="566">
        <f t="array" ref="F14">SUM(IF($C$15:$C$26=$C14,F$15:F$26))</f>
        <v>18304.592839013538</v>
      </c>
      <c r="G14" s="566">
        <f t="array" ref="G14">SUM(IF($C$15:$C$26=$C14,G$15:G$26))</f>
        <v>19828.862278301152</v>
      </c>
      <c r="H14" s="566">
        <f t="array" ref="H14">SUM(IF($C$15:$C$26=$C14,H$15:H$26))</f>
        <v>18479.457777524323</v>
      </c>
      <c r="I14" s="566">
        <f t="array" ref="I14">SUM(IF($C$15:$C$26=$C14,I$15:I$26))</f>
        <v>18585.887711520514</v>
      </c>
      <c r="J14" s="566">
        <f t="array" ref="J14">SUM(IF($C$15:$C$26=$C14,J$15:J$26))</f>
        <v>19674.446163959372</v>
      </c>
      <c r="K14" s="566">
        <f t="array" ref="K14">SUM(IF($C$15:$C$26=$C14,K$15:K$26))</f>
        <v>21496.190682073622</v>
      </c>
      <c r="L14" s="566">
        <f t="array" ref="L14">SUM(IF($C$15:$C$26=$C14,L$15:L$26))</f>
        <v>21107.939241607048</v>
      </c>
      <c r="M14" s="566">
        <f t="array" ref="M14">SUM(IF($C$15:$C$26=$C14,M$15:M$26))</f>
        <v>21091.780195481118</v>
      </c>
      <c r="N14" s="566">
        <f t="array" ref="N14">SUM(IF($C$15:$C$26=$C14,N$15:N$26))</f>
        <v>20504.725150309721</v>
      </c>
      <c r="O14" s="566">
        <f t="array" ref="O14">SUM(IF($C$15:$C$26=$C14,O$15:O$26))</f>
        <v>15580.57683381407</v>
      </c>
      <c r="P14" s="566">
        <f t="array" ref="P14">SUM(IF($C$15:$C$26=$C14,P$15:P$26))</f>
        <v>15656.607601974792</v>
      </c>
      <c r="Q14" s="566">
        <f t="array" ref="Q14">SUM(IF($C$15:$C$26=$C14,Q$15:Q$26))</f>
        <v>19576.41729432853</v>
      </c>
      <c r="R14" s="486">
        <f t="array" ref="R14">SUM(IF($C$15:$C$26=$C14,R$15:R$26))</f>
        <v>229887.48376990779</v>
      </c>
    </row>
    <row r="15" spans="1:21">
      <c r="A15" s="250" t="s">
        <v>98</v>
      </c>
      <c r="B15" s="183"/>
      <c r="C15" s="184" t="s">
        <v>168</v>
      </c>
      <c r="D15" s="237" t="s">
        <v>180</v>
      </c>
      <c r="E15" s="531">
        <f>'[3]Prod &amp; Defects - Qty'!R15</f>
        <v>32525.701883701884</v>
      </c>
      <c r="F15" s="567">
        <f>'Falhas UM-1 - Qty'!F15+'Falhas UM-1 - Qty'!F17+'Falhas UM-1 - Qty'!F36</f>
        <v>1823.6846641612503</v>
      </c>
      <c r="G15" s="567">
        <f>'Falhas UM-1 - Qty'!G15+'Falhas UM-1 - Qty'!G17+'Falhas UM-1 - Qty'!G36</f>
        <v>995.16037206599981</v>
      </c>
      <c r="H15" s="567">
        <f>'Falhas UM-1 - Qty'!H15+'Falhas UM-1 - Qty'!H17+'Falhas UM-1 - Qty'!H36</f>
        <v>990.5937915397501</v>
      </c>
      <c r="I15" s="567">
        <f>'Falhas UM-1 - Qty'!I15+'Falhas UM-1 - Qty'!I17+'Falhas UM-1 - Qty'!I36</f>
        <v>1001.067767380125</v>
      </c>
      <c r="J15" s="567">
        <f>'Falhas UM-1 - Qty'!J15+'Falhas UM-1 - Qty'!J17+'Falhas UM-1 - Qty'!J36</f>
        <v>1808.3436787169999</v>
      </c>
      <c r="K15" s="567">
        <f>'Falhas UM-1 - Qty'!K15+'Falhas UM-1 - Qty'!K17+'Falhas UM-1 - Qty'!K36</f>
        <v>2095.5407631131247</v>
      </c>
      <c r="L15" s="567">
        <f>'Falhas UM-1 - Qty'!L15+'Falhas UM-1 - Qty'!L17+'Falhas UM-1 - Qty'!L36</f>
        <v>2110.4594659372497</v>
      </c>
      <c r="M15" s="567">
        <f>'Falhas UM-1 - Qty'!M15+'Falhas UM-1 - Qty'!M17+'Falhas UM-1 - Qty'!M36</f>
        <v>2112.87553597125</v>
      </c>
      <c r="N15" s="567">
        <f>'Falhas UM-1 - Qty'!N15+'Falhas UM-1 - Qty'!N17+'Falhas UM-1 - Qty'!N36</f>
        <v>1694.0241290092504</v>
      </c>
      <c r="O15" s="567">
        <f>'Falhas UM-1 - Qty'!O15+'Falhas UM-1 - Qty'!O17+'Falhas UM-1 - Qty'!O36</f>
        <v>1569.9297761752496</v>
      </c>
      <c r="P15" s="567">
        <f>'Falhas UM-1 - Qty'!P15+'Falhas UM-1 - Qty'!P17+'Falhas UM-1 - Qty'!P36</f>
        <v>1588.4616578220002</v>
      </c>
      <c r="Q15" s="567">
        <f>'Falhas UM-1 - Qty'!Q15+'Falhas UM-1 - Qty'!Q17+'Falhas UM-1 - Qty'!Q36</f>
        <v>1955.5957323877496</v>
      </c>
      <c r="R15" s="487">
        <f>SUM(F15:Q15)</f>
        <v>19745.737334279998</v>
      </c>
    </row>
    <row r="16" spans="1:21">
      <c r="A16" s="248"/>
      <c r="B16" s="185"/>
      <c r="C16" s="186" t="s">
        <v>169</v>
      </c>
      <c r="D16" s="238" t="s">
        <v>180</v>
      </c>
      <c r="E16" s="529">
        <f>'[3]Prod &amp; Defects - Qty'!R16</f>
        <v>10595.178364317426</v>
      </c>
      <c r="F16" s="565">
        <f>'Falhas UM-1 - Qty'!F57</f>
        <v>584.09829101250011</v>
      </c>
      <c r="G16" s="565">
        <f>'Falhas UM-1 - Qty'!G57</f>
        <v>318.73463873999998</v>
      </c>
      <c r="H16" s="565">
        <f>'Falhas UM-1 - Qty'!H57</f>
        <v>317.27203287750001</v>
      </c>
      <c r="I16" s="565">
        <f>'Falhas UM-1 - Qty'!I57</f>
        <v>320.62668706125004</v>
      </c>
      <c r="J16" s="565">
        <f>'Falhas UM-1 - Qty'!J57</f>
        <v>579.18480813000008</v>
      </c>
      <c r="K16" s="565">
        <f>'Falhas UM-1 - Qty'!K57</f>
        <v>671.16963943124995</v>
      </c>
      <c r="L16" s="565">
        <f>'Falhas UM-1 - Qty'!L57</f>
        <v>675.9478716525</v>
      </c>
      <c r="M16" s="565">
        <f>'Falhas UM-1 - Qty'!M57</f>
        <v>676.72170191250007</v>
      </c>
      <c r="N16" s="565">
        <f>'Falhas UM-1 - Qty'!N57</f>
        <v>542.57000573249991</v>
      </c>
      <c r="O16" s="565">
        <f>'Falhas UM-1 - Qty'!O57</f>
        <v>502.82448347249999</v>
      </c>
      <c r="P16" s="565">
        <f>'Falhas UM-1 - Qty'!P57</f>
        <v>508.75996157999998</v>
      </c>
      <c r="Q16" s="565">
        <f>'Falhas UM-1 - Qty'!Q57</f>
        <v>626.34738759749996</v>
      </c>
      <c r="R16" s="485">
        <f t="shared" ref="R16:R29" si="4">SUM(F16:Q16)</f>
        <v>6324.2575091999997</v>
      </c>
    </row>
    <row r="17" spans="1:18">
      <c r="A17" s="249"/>
      <c r="B17" s="188"/>
      <c r="C17" s="189" t="s">
        <v>104</v>
      </c>
      <c r="D17" s="239" t="s">
        <v>180</v>
      </c>
      <c r="E17" s="530">
        <f>'[3]Prod &amp; Defects - Qty'!R17</f>
        <v>16640</v>
      </c>
      <c r="F17" s="566">
        <f>'Falhas UM-1 - Qty'!F60</f>
        <v>456.91152096195879</v>
      </c>
      <c r="G17" s="566">
        <f>'Falhas UM-1 - Qty'!G60</f>
        <v>249.33051647438771</v>
      </c>
      <c r="H17" s="566">
        <f>'Falhas UM-1 - Qty'!H60</f>
        <v>248.1863914538466</v>
      </c>
      <c r="I17" s="566">
        <f>'Falhas UM-1 - Qty'!I60</f>
        <v>250.81057332354803</v>
      </c>
      <c r="J17" s="566">
        <f>'Falhas UM-1 - Qty'!J60</f>
        <v>453.0679436538108</v>
      </c>
      <c r="K17" s="566">
        <f>'Falhas UM-1 - Qty'!K60</f>
        <v>525.02317759642108</v>
      </c>
      <c r="L17" s="566">
        <f>'Falhas UM-1 - Qty'!L60</f>
        <v>528.76095492827437</v>
      </c>
      <c r="M17" s="566">
        <f>'Falhas UM-1 - Qty'!M60</f>
        <v>529.36628448753424</v>
      </c>
      <c r="N17" s="566">
        <f>'Falhas UM-1 - Qty'!N60</f>
        <v>424.42597480955465</v>
      </c>
      <c r="O17" s="566">
        <f>'Falhas UM-1 - Qty'!O60</f>
        <v>393.33499696100733</v>
      </c>
      <c r="P17" s="566">
        <f>'Falhas UM-1 - Qty'!P60</f>
        <v>397.97803114115044</v>
      </c>
      <c r="Q17" s="566">
        <f>'Falhas UM-1 - Qty'!Q60</f>
        <v>489.96092253863259</v>
      </c>
      <c r="R17" s="486">
        <f t="shared" si="4"/>
        <v>4947.1572883301269</v>
      </c>
    </row>
    <row r="18" spans="1:18">
      <c r="A18" s="250" t="s">
        <v>170</v>
      </c>
      <c r="B18" s="183"/>
      <c r="C18" s="184" t="s">
        <v>168</v>
      </c>
      <c r="D18" s="237" t="s">
        <v>180</v>
      </c>
      <c r="E18" s="531">
        <f>'[3]Prod &amp; Defects - Qty'!R18</f>
        <v>82497.609940922732</v>
      </c>
      <c r="F18" s="567">
        <f>'Falhas UM-3-1 Qty'!E19+'Falhas UM-3-1 Qty'!E37</f>
        <v>19751.628053373825</v>
      </c>
      <c r="G18" s="567">
        <f>'Falhas UM-3-1 Qty'!F19+'Falhas UM-3-1 Qty'!F37</f>
        <v>20671.387678104929</v>
      </c>
      <c r="H18" s="567">
        <f>'Falhas UM-3-1 Qty'!G19+'Falhas UM-3-1 Qty'!G37</f>
        <v>19893.823936175271</v>
      </c>
      <c r="I18" s="567">
        <f>'Falhas UM-3-1 Qty'!H19+'Falhas UM-3-1 Qty'!H37</f>
        <v>20022.438528945011</v>
      </c>
      <c r="J18" s="567">
        <f>'Falhas UM-3-1 Qty'!I19+'Falhas UM-3-1 Qty'!I37</f>
        <v>20267.039643325439</v>
      </c>
      <c r="K18" s="567">
        <f>'Falhas UM-3-1 Qty'!J19+'Falhas UM-3-1 Qty'!J37</f>
        <v>23043.249963693641</v>
      </c>
      <c r="L18" s="567">
        <f>'Falhas UM-3-1 Qty'!K19+'Falhas UM-3-1 Qty'!K37</f>
        <v>22759.814976575788</v>
      </c>
      <c r="M18" s="567">
        <f>'Falhas UM-3-1 Qty'!L19+'Falhas UM-3-1 Qty'!L37</f>
        <v>22771.753169098469</v>
      </c>
      <c r="N18" s="567">
        <f>'Falhas UM-3-1 Qty'!M19+'Falhas UM-3-1 Qty'!M37</f>
        <v>21666.665556882508</v>
      </c>
      <c r="O18" s="567">
        <f>'Falhas UM-3-1 Qty'!N19+'Falhas UM-3-1 Qty'!N37</f>
        <v>16803.132092785283</v>
      </c>
      <c r="P18" s="567">
        <f>'Falhas UM-3-1 Qty'!O19+'Falhas UM-3-1 Qty'!O37</f>
        <v>16127.960844399011</v>
      </c>
      <c r="Q18" s="567">
        <f>'Falhas UM-3-1 Qty'!P19+'Falhas UM-3-1 Qty'!P37</f>
        <v>20448.448313197699</v>
      </c>
      <c r="R18" s="487">
        <f>SUM(F18:Q18)</f>
        <v>244227.34275655687</v>
      </c>
    </row>
    <row r="19" spans="1:18">
      <c r="A19" s="248"/>
      <c r="B19" s="185"/>
      <c r="C19" s="186" t="s">
        <v>169</v>
      </c>
      <c r="D19" s="238" t="s">
        <v>180</v>
      </c>
      <c r="E19" s="529">
        <f>'[3]Prod &amp; Defects - Qty'!R19</f>
        <v>21528.777937908919</v>
      </c>
      <c r="F19" s="565">
        <f>'Falhas UM-3-1 Qty'!E50</f>
        <v>1406.2800203237646</v>
      </c>
      <c r="G19" s="565">
        <f>'Falhas UM-3-1 Qty'!F50</f>
        <v>1471.7652340117015</v>
      </c>
      <c r="H19" s="565">
        <f>'Falhas UM-3-1 Qty'!G50</f>
        <v>1416.4041087490637</v>
      </c>
      <c r="I19" s="565">
        <f>'Falhas UM-3-1 Qty'!H50</f>
        <v>1425.5612340070629</v>
      </c>
      <c r="J19" s="565">
        <f>'Falhas UM-3-1 Qty'!I50</f>
        <v>1442.9763888070934</v>
      </c>
      <c r="K19" s="565">
        <f>'Falhas UM-3-1 Qty'!J50</f>
        <v>1640.6375180669449</v>
      </c>
      <c r="L19" s="565">
        <f>'Falhas UM-3-1 Qty'!K50</f>
        <v>1620.4574621056099</v>
      </c>
      <c r="M19" s="565">
        <f>'Falhas UM-3-1 Qty'!L50</f>
        <v>1621.3074397164714</v>
      </c>
      <c r="N19" s="565">
        <f>'Falhas UM-3-1 Qty'!M50</f>
        <v>1542.6272101390846</v>
      </c>
      <c r="O19" s="565">
        <f>'Falhas UM-3-1 Qty'!N50</f>
        <v>1196.3524665962257</v>
      </c>
      <c r="P19" s="565">
        <f>'Falhas UM-3-1 Qty'!O50</f>
        <v>1148.2815007833351</v>
      </c>
      <c r="Q19" s="565">
        <f>'Falhas UM-3-1 Qty'!P50</f>
        <v>1455.8923564055865</v>
      </c>
      <c r="R19" s="485">
        <f t="shared" si="4"/>
        <v>17388.542939711944</v>
      </c>
    </row>
    <row r="20" spans="1:18">
      <c r="A20" s="249"/>
      <c r="B20" s="188"/>
      <c r="C20" s="189" t="s">
        <v>104</v>
      </c>
      <c r="D20" s="239" t="s">
        <v>180</v>
      </c>
      <c r="E20" s="530">
        <f>'[3]Prod &amp; Defects - Qty'!R20</f>
        <v>32657.058642857148</v>
      </c>
      <c r="F20" s="566">
        <f>'Falhas UM-3-1 Qty'!E55</f>
        <v>2133.189780880437</v>
      </c>
      <c r="G20" s="566">
        <f>'Falhas UM-3-1 Qty'!F55</f>
        <v>2232.5244700028188</v>
      </c>
      <c r="H20" s="566">
        <f>'Falhas UM-3-1 Qty'!G55</f>
        <v>2148.5470366598411</v>
      </c>
      <c r="I20" s="566">
        <f>'Falhas UM-3-1 Qty'!H55</f>
        <v>2162.4375035229837</v>
      </c>
      <c r="J20" s="566">
        <f>'Falhas UM-3-1 Qty'!I55</f>
        <v>2188.854596644539</v>
      </c>
      <c r="K20" s="566">
        <f>'Falhas UM-3-1 Qty'!J55</f>
        <v>2488.6872721577188</v>
      </c>
      <c r="L20" s="566">
        <f>'Falhas UM-3-1 Qty'!K55</f>
        <v>2458.0760933510933</v>
      </c>
      <c r="M20" s="566">
        <f>'Falhas UM-3-1 Qty'!L55</f>
        <v>2459.3654265758155</v>
      </c>
      <c r="N20" s="566">
        <f>'Falhas UM-3-1 Qty'!M55</f>
        <v>2340.0151839028326</v>
      </c>
      <c r="O20" s="566">
        <f>'Falhas UM-3-1 Qty'!N55</f>
        <v>1814.7501345333922</v>
      </c>
      <c r="P20" s="566">
        <f>'Falhas UM-3-1 Qty'!O55</f>
        <v>1741.8311628157232</v>
      </c>
      <c r="Q20" s="566">
        <f>'Falhas UM-3-1 Qty'!P55</f>
        <v>2208.4468611246566</v>
      </c>
      <c r="R20" s="486">
        <f t="shared" si="4"/>
        <v>26376.725522171851</v>
      </c>
    </row>
    <row r="21" spans="1:18">
      <c r="A21" s="250" t="s">
        <v>171</v>
      </c>
      <c r="B21" s="183"/>
      <c r="C21" s="184" t="s">
        <v>168</v>
      </c>
      <c r="D21" s="237" t="s">
        <v>180</v>
      </c>
      <c r="E21" s="531">
        <f>'[3]Prod &amp; Defects - Qty'!R21</f>
        <v>207178.07119886391</v>
      </c>
      <c r="F21" s="567">
        <f>'Falhas UM-3-2 Qty'!E18+'Falhas UM-3-2 Qty'!E36</f>
        <v>65799.198209637529</v>
      </c>
      <c r="G21" s="567">
        <f>'Falhas UM-3-2 Qty'!F18+'Falhas UM-3-2 Qty'!F36</f>
        <v>68863.221372151776</v>
      </c>
      <c r="H21" s="567">
        <f>'Falhas UM-3-2 Qty'!G18+'Falhas UM-3-2 Qty'!G36</f>
        <v>66272.899671196225</v>
      </c>
      <c r="I21" s="567">
        <f>'Falhas UM-3-2 Qty'!H18+'Falhas UM-3-2 Qty'!H36</f>
        <v>66701.357368933313</v>
      </c>
      <c r="J21" s="567">
        <f>'Falhas UM-3-2 Qty'!I18+'Falhas UM-3-2 Qty'!I36</f>
        <v>67516.204487556883</v>
      </c>
      <c r="K21" s="567">
        <f>'Falhas UM-3-2 Qty'!J18+'Falhas UM-3-2 Qty'!J36</f>
        <v>76764.678215794454</v>
      </c>
      <c r="L21" s="567">
        <f>'Falhas UM-3-2 Qty'!K18+'Falhas UM-3-2 Qty'!K36</f>
        <v>75820.462637892895</v>
      </c>
      <c r="M21" s="567">
        <f>'Falhas UM-3-2 Qty'!L18+'Falhas UM-3-2 Qty'!L36</f>
        <v>75860.232701096887</v>
      </c>
      <c r="N21" s="567">
        <f>'Falhas UM-3-2 Qty'!M18+'Falhas UM-3-2 Qty'!M36</f>
        <v>72178.820787166449</v>
      </c>
      <c r="O21" s="567">
        <f>'Falhas UM-3-2 Qty'!N18+'Falhas UM-3-2 Qty'!N36</f>
        <v>55976.784097402247</v>
      </c>
      <c r="P21" s="567">
        <f>'Falhas UM-3-2 Qty'!O18+'Falhas UM-3-2 Qty'!O36</f>
        <v>53727.565618906847</v>
      </c>
      <c r="Q21" s="567">
        <f>'Falhas UM-3-2 Qty'!P18+'Falhas UM-3-2 Qty'!P36</f>
        <v>68120.536697216565</v>
      </c>
      <c r="R21" s="487">
        <f>SUM(F21:Q21)</f>
        <v>813601.96186495211</v>
      </c>
    </row>
    <row r="22" spans="1:18">
      <c r="A22" s="248"/>
      <c r="B22" s="185"/>
      <c r="C22" s="186" t="s">
        <v>169</v>
      </c>
      <c r="D22" s="238" t="s">
        <v>180</v>
      </c>
      <c r="E22" s="529">
        <f>'[3]Prod &amp; Defects - Qty'!R22</f>
        <v>89570.989907268086</v>
      </c>
      <c r="F22" s="565">
        <f>'Falhas UM-3-2 Qty'!E49</f>
        <v>5850.861292289741</v>
      </c>
      <c r="G22" s="565">
        <f>'Falhas UM-3-2 Qty'!F49</f>
        <v>6123.3140729925926</v>
      </c>
      <c r="H22" s="565">
        <f>'Falhas UM-3-2 Qty'!G49</f>
        <v>5892.9828016841957</v>
      </c>
      <c r="I22" s="565">
        <f>'Falhas UM-3-2 Qty'!H49</f>
        <v>5931.0812379460876</v>
      </c>
      <c r="J22" s="565">
        <f>'Falhas UM-3-2 Qty'!I49</f>
        <v>6003.5374014740846</v>
      </c>
      <c r="K22" s="565">
        <f>'Falhas UM-3-2 Qty'!J49</f>
        <v>6825.9112057399579</v>
      </c>
      <c r="L22" s="565">
        <f>'Falhas UM-3-2 Qty'!K49</f>
        <v>6741.9516055223339</v>
      </c>
      <c r="M22" s="565">
        <f>'Falhas UM-3-2 Qty'!L49</f>
        <v>6745.4879574798606</v>
      </c>
      <c r="N22" s="565">
        <f>'Falhas UM-3-2 Qty'!M49</f>
        <v>6418.1370010204064</v>
      </c>
      <c r="O22" s="565">
        <f>'Falhas UM-3-2 Qty'!N49</f>
        <v>4977.4527388447787</v>
      </c>
      <c r="P22" s="565">
        <f>'Falhas UM-3-2 Qty'!O49</f>
        <v>4777.4523483870717</v>
      </c>
      <c r="Q22" s="565">
        <f>'Falhas UM-3-2 Qty'!P49</f>
        <v>6057.2745902148399</v>
      </c>
      <c r="R22" s="485">
        <f t="shared" si="4"/>
        <v>72345.444253595953</v>
      </c>
    </row>
    <row r="23" spans="1:18">
      <c r="A23" s="249"/>
      <c r="B23" s="188"/>
      <c r="C23" s="189" t="s">
        <v>104</v>
      </c>
      <c r="D23" s="239" t="s">
        <v>180</v>
      </c>
      <c r="E23" s="530">
        <f>'[3]Prod &amp; Defects - Qty'!R23</f>
        <v>95736.872231952424</v>
      </c>
      <c r="F23" s="566">
        <f>'Falhas UM-3-2 Qty'!E54</f>
        <v>6253.6225240642043</v>
      </c>
      <c r="G23" s="566">
        <f>'Falhas UM-3-2 Qty'!F54</f>
        <v>6544.830392620679</v>
      </c>
      <c r="H23" s="566">
        <f>'Falhas UM-3-2 Qty'!G54</f>
        <v>6298.6435913460191</v>
      </c>
      <c r="I23" s="566">
        <f>'Falhas UM-3-2 Qty'!H54</f>
        <v>6339.3646454330419</v>
      </c>
      <c r="J23" s="566">
        <f>'Falhas UM-3-2 Qty'!I54</f>
        <v>6416.8085419142417</v>
      </c>
      <c r="K23" s="566">
        <f>'Falhas UM-3-2 Qty'!J54</f>
        <v>7295.7928638182038</v>
      </c>
      <c r="L23" s="566">
        <f>'Falhas UM-3-2 Qty'!K54</f>
        <v>7206.053657776135</v>
      </c>
      <c r="M23" s="566">
        <f>'Falhas UM-3-2 Qty'!L54</f>
        <v>7209.8334449134145</v>
      </c>
      <c r="N23" s="566">
        <f>'Falhas UM-3-2 Qty'!M54</f>
        <v>6859.9483233354167</v>
      </c>
      <c r="O23" s="566">
        <f>'Falhas UM-3-2 Qty'!N54</f>
        <v>5320.0903260386713</v>
      </c>
      <c r="P23" s="566">
        <f>'Falhas UM-3-2 Qty'!O54</f>
        <v>5106.3223209355328</v>
      </c>
      <c r="Q23" s="566">
        <f>'Falhas UM-3-2 Qty'!P54</f>
        <v>6474.2448879667336</v>
      </c>
      <c r="R23" s="486">
        <f t="shared" si="4"/>
        <v>77325.555520162306</v>
      </c>
    </row>
    <row r="24" spans="1:18">
      <c r="A24" s="250" t="s">
        <v>119</v>
      </c>
      <c r="B24" s="183"/>
      <c r="C24" s="184" t="s">
        <v>168</v>
      </c>
      <c r="D24" s="237" t="s">
        <v>180</v>
      </c>
      <c r="E24" s="531">
        <f>'[3]Prod &amp; Defects - Qty'!R24</f>
        <v>254460.69307347608</v>
      </c>
      <c r="F24" s="567">
        <f>'Falhas UM-4 Qty'!E15+'Falhas UM-4 Qty'!E34</f>
        <v>15284.379594207427</v>
      </c>
      <c r="G24" s="567">
        <f>'Falhas UM-4 Qty'!F15+'Falhas UM-4 Qty'!F34</f>
        <v>17451.311496065326</v>
      </c>
      <c r="H24" s="567">
        <f>'Falhas UM-4 Qty'!G15+'Falhas UM-4 Qty'!G34</f>
        <v>15806.53997845917</v>
      </c>
      <c r="I24" s="567">
        <f>'Falhas UM-4 Qty'!H15+'Falhas UM-4 Qty'!H34</f>
        <v>15886.015056499309</v>
      </c>
      <c r="J24" s="567">
        <f>'Falhas UM-4 Qty'!I15+'Falhas UM-4 Qty'!I34</f>
        <v>17150.075616582955</v>
      </c>
      <c r="K24" s="567">
        <f>'Falhas UM-4 Qty'!J15+'Falhas UM-4 Qty'!J34</f>
        <v>18072.502209366161</v>
      </c>
      <c r="L24" s="567">
        <f>'Falhas UM-4 Qty'!K15+'Falhas UM-4 Qty'!K34</f>
        <v>17633.659748955877</v>
      </c>
      <c r="M24" s="567">
        <f>'Falhas UM-4 Qty'!L15+'Falhas UM-4 Qty'!L34</f>
        <v>17598.386938287891</v>
      </c>
      <c r="N24" s="567">
        <f>'Falhas UM-4 Qty'!M15+'Falhas UM-4 Qty'!M34</f>
        <v>17577.579843428914</v>
      </c>
      <c r="O24" s="567">
        <f>'Falhas UM-4 Qty'!N15+'Falhas UM-4 Qty'!N34</f>
        <v>13008.948661004571</v>
      </c>
      <c r="P24" s="567">
        <f>'Falhas UM-4 Qty'!O15+'Falhas UM-4 Qty'!O34</f>
        <v>13587.431440482054</v>
      </c>
      <c r="Q24" s="567">
        <f>'Falhas UM-4 Qty'!P15+'Falhas UM-4 Qty'!P34</f>
        <v>16807.66190524499</v>
      </c>
      <c r="R24" s="487">
        <f>SUM(F24:Q24)</f>
        <v>195864.49248858466</v>
      </c>
    </row>
    <row r="25" spans="1:18">
      <c r="A25" s="248"/>
      <c r="B25" s="185"/>
      <c r="C25" s="186" t="s">
        <v>169</v>
      </c>
      <c r="D25" s="238" t="s">
        <v>180</v>
      </c>
      <c r="E25" s="529">
        <f>'[3]Prod &amp; Defects - Qty'!R25</f>
        <v>947.50420762040176</v>
      </c>
      <c r="F25" s="565">
        <f>'Falhas UM-4 Qty'!E54</f>
        <v>59.052193298777212</v>
      </c>
      <c r="G25" s="565">
        <f>'Falhas UM-4 Qty'!F54</f>
        <v>67.424275446115089</v>
      </c>
      <c r="H25" s="565">
        <f>'Falhas UM-4 Qty'!G54</f>
        <v>61.069593858200868</v>
      </c>
      <c r="I25" s="565">
        <f>'Falhas UM-4 Qty'!H54</f>
        <v>61.376650984198974</v>
      </c>
      <c r="J25" s="565">
        <f>'Falhas UM-4 Qty'!I54</f>
        <v>66.260431060147241</v>
      </c>
      <c r="K25" s="565">
        <f>'Falhas UM-4 Qty'!J54</f>
        <v>69.824286113944126</v>
      </c>
      <c r="L25" s="565">
        <f>'Falhas UM-4 Qty'!K54</f>
        <v>68.128789764868884</v>
      </c>
      <c r="M25" s="565">
        <f>'Falhas UM-4 Qty'!L54</f>
        <v>67.992510969846904</v>
      </c>
      <c r="N25" s="565">
        <f>'Falhas UM-4 Qty'!M54</f>
        <v>67.912121407416507</v>
      </c>
      <c r="O25" s="565">
        <f>'Falhas UM-4 Qty'!N54</f>
        <v>50.260918096711677</v>
      </c>
      <c r="P25" s="565">
        <f>'Falhas UM-4 Qty'!O54</f>
        <v>52.495923888288893</v>
      </c>
      <c r="Q25" s="565">
        <f>'Falhas UM-4 Qty'!P54</f>
        <v>64.937493446261712</v>
      </c>
      <c r="R25" s="485">
        <f t="shared" ref="R25:R26" si="5">SUM(F25:Q25)</f>
        <v>756.73518833477806</v>
      </c>
    </row>
    <row r="26" spans="1:18" ht="13.5" thickBot="1">
      <c r="A26" s="251"/>
      <c r="B26" s="252"/>
      <c r="C26" s="253" t="s">
        <v>104</v>
      </c>
      <c r="D26" s="254" t="s">
        <v>180</v>
      </c>
      <c r="E26" s="532">
        <f>'[3]Prod &amp; Defects - Qty'!R26</f>
        <v>162207.30081508774</v>
      </c>
      <c r="F26" s="568">
        <f>'Falhas UM-4 Qty'!E61</f>
        <v>9460.8690131069361</v>
      </c>
      <c r="G26" s="568">
        <f>'Falhas UM-4 Qty'!F61</f>
        <v>10802.176899203267</v>
      </c>
      <c r="H26" s="568">
        <f>'Falhas UM-4 Qty'!G61</f>
        <v>9784.0807580646142</v>
      </c>
      <c r="I26" s="568">
        <f>'Falhas UM-4 Qty'!H61</f>
        <v>9833.2749892409411</v>
      </c>
      <c r="J26" s="568">
        <f>'Falhas UM-4 Qty'!I61</f>
        <v>10615.715081746779</v>
      </c>
      <c r="K26" s="568">
        <f>'Falhas UM-4 Qty'!J61</f>
        <v>11186.687368501278</v>
      </c>
      <c r="L26" s="568">
        <f>'Falhas UM-4 Qty'!K61</f>
        <v>10915.048535551545</v>
      </c>
      <c r="M26" s="568">
        <f>'Falhas UM-4 Qty'!L61</f>
        <v>10893.215039504354</v>
      </c>
      <c r="N26" s="568">
        <f>'Falhas UM-4 Qty'!M61</f>
        <v>10880.33566826192</v>
      </c>
      <c r="O26" s="568">
        <f>'Falhas UM-4 Qty'!N61</f>
        <v>8052.4013762809991</v>
      </c>
      <c r="P26" s="568">
        <f>'Falhas UM-4 Qty'!O61</f>
        <v>8410.4760870823866</v>
      </c>
      <c r="Q26" s="568">
        <f>'Falhas UM-4 Qty'!P61</f>
        <v>10403.764622698505</v>
      </c>
      <c r="R26" s="488">
        <f t="shared" si="5"/>
        <v>121238.04543924352</v>
      </c>
    </row>
    <row r="27" spans="1:18">
      <c r="A27" s="243" t="s">
        <v>93</v>
      </c>
      <c r="B27" s="244"/>
      <c r="C27" s="245" t="s">
        <v>168</v>
      </c>
      <c r="D27" s="246" t="s">
        <v>180</v>
      </c>
      <c r="E27" s="528">
        <f>'[3]Prod &amp; Defects - Qty'!R27</f>
        <v>3882.040480970003</v>
      </c>
      <c r="F27" s="564" cm="1">
        <f t="array" ref="F27">INDEX('[5]BP - ORIGINAL'!$E$15:$V$15,1,MATCH(F4,'[5]BP - ORIGINAL'!$E$4:$V$4,0)+1)</f>
        <v>218.95813977415466</v>
      </c>
      <c r="G27" s="564" cm="1">
        <f t="array" ref="G27">INDEX('[5]BP - ORIGINAL'!$E$15:$V$15,1,MATCH(G4,'[5]BP - ORIGINAL'!$E$4:$V$4,0)+1)</f>
        <v>325.20527160509084</v>
      </c>
      <c r="H27" s="564" cm="1">
        <f t="array" ref="H27">INDEX('[5]BP - ORIGINAL'!$E$15:$V$15,1,MATCH(H4,'[5]BP - ORIGINAL'!$E$4:$V$4,0)+1)</f>
        <v>315.83860024515189</v>
      </c>
      <c r="I27" s="564" cm="1">
        <f t="array" ref="I27">INDEX('[5]BP - ORIGINAL'!$E$15:$V$15,1,MATCH(I4,'[5]BP - ORIGINAL'!$E$4:$V$4,0)+1)</f>
        <v>321.70353664320015</v>
      </c>
      <c r="J27" s="564" cm="1">
        <f t="array" ref="J27">INDEX('[5]BP - ORIGINAL'!$E$15:$V$15,1,MATCH(J4,'[5]BP - ORIGINAL'!$E$4:$V$4,0)+1)</f>
        <v>320.72604724352544</v>
      </c>
      <c r="K27" s="564" cm="1">
        <f t="array" ref="K27">INDEX('[5]BP - ORIGINAL'!$E$15:$V$15,1,MATCH(K4,'[5]BP - ORIGINAL'!$E$4:$V$4,0)+1)</f>
        <v>354.21133202356026</v>
      </c>
      <c r="L27" s="564" cm="1">
        <f t="array" ref="L27">INDEX('[5]BP - ORIGINAL'!$E$46:$V$46,1,MATCH(L4,'[5]BP - ORIGINAL'!$E$35:$V$35,0)+1)</f>
        <v>365.73468171431767</v>
      </c>
      <c r="M27" s="564" cm="1">
        <f t="array" ref="M27">INDEX('[5]BP - ORIGINAL'!$E$46:$V$46,1,MATCH(M4,'[5]BP - ORIGINAL'!$E$35:$V$35,0)+1)</f>
        <v>339.17705365788345</v>
      </c>
      <c r="N27" s="564" cm="1">
        <f t="array" ref="N27">INDEX('[5]BP - ORIGINAL'!$E$46:$V$46,1,MATCH(N4,'[5]BP - ORIGINAL'!$E$35:$V$35,0)+1)</f>
        <v>219.16051815414579</v>
      </c>
      <c r="O27" s="564" cm="1">
        <f t="array" ref="O27">INDEX('[5]BP - ORIGINAL'!$E$46:$V$46,1,MATCH(O4,'[5]BP - ORIGINAL'!$E$35:$V$35,0)+1)</f>
        <v>249.38210126409018</v>
      </c>
      <c r="P27" s="564" cm="1">
        <f t="array" ref="P27">INDEX('[5]BP - ORIGINAL'!$E$46:$V$46,1,MATCH(P4,'[5]BP - ORIGINAL'!$E$35:$V$35,0)+1)</f>
        <v>315.69562471875997</v>
      </c>
      <c r="Q27" s="564" cm="1">
        <f t="array" ref="Q27">INDEX('[5]BP - ORIGINAL'!$E$46:$V$46,1,MATCH(Q4,'[5]BP - ORIGINAL'!$E$35:$V$35,0)+1)</f>
        <v>295.85589363482904</v>
      </c>
      <c r="R27" s="484">
        <f>SUM(F27:Q27)</f>
        <v>3641.6488006787094</v>
      </c>
    </row>
    <row r="28" spans="1:18">
      <c r="A28" s="248"/>
      <c r="B28" s="185"/>
      <c r="C28" s="186" t="s">
        <v>169</v>
      </c>
      <c r="D28" s="238" t="s">
        <v>180</v>
      </c>
      <c r="E28" s="529">
        <f>'[3]Prod &amp; Defects - Qty'!R28</f>
        <v>19836.222900316789</v>
      </c>
      <c r="F28" s="565" cm="1">
        <f t="array" ref="F28">INDEX('[5]BP - ORIGINAL'!$E$21:$V$21,1,MATCH(F4,'[5]BP - ORIGINAL'!$E$4:$V$4,0)+1)-F29</f>
        <v>1122.6709223424075</v>
      </c>
      <c r="G28" s="565" cm="1">
        <f t="array" ref="G28">INDEX('[5]BP - ORIGINAL'!$E$21:$V$21,1,MATCH(G4,'[5]BP - ORIGINAL'!$E$4:$V$4,0)+1)-G29</f>
        <v>1667.435166375102</v>
      </c>
      <c r="H28" s="565" cm="1">
        <f t="array" ref="H28">INDEX('[5]BP - ORIGINAL'!$E$21:$V$21,1,MATCH(H4,'[5]BP - ORIGINAL'!$E$4:$V$4,0)+1)-H29</f>
        <v>1619.409139182017</v>
      </c>
      <c r="I28" s="565" cm="1">
        <f t="array" ref="I28">INDEX('[5]BP - ORIGINAL'!$E$21:$V$21,1,MATCH(I4,'[5]BP - ORIGINAL'!$E$4:$V$4,0)+1)-I29</f>
        <v>1649.4806111184696</v>
      </c>
      <c r="J28" s="565" cm="1">
        <f t="array" ref="J28">INDEX('[5]BP - ORIGINAL'!$E$21:$V$21,1,MATCH(J4,'[5]BP - ORIGINAL'!$E$4:$V$4,0)+1)-J29</f>
        <v>1644.4686991290607</v>
      </c>
      <c r="K28" s="565" cm="1">
        <f t="array" ref="K28">INDEX('[5]BP - ORIGINAL'!$E$21:$V$21,1,MATCH(K4,'[5]BP - ORIGINAL'!$E$4:$V$4,0)+1)-K29</f>
        <v>1816.1588477011815</v>
      </c>
      <c r="L28" s="565" cm="1">
        <f t="array" ref="L28">INDEX('[5]BP - ORIGINAL'!$E$52:$V$52,1,MATCH(L4,'[5]BP - ORIGINAL'!$E$35:$V$35,0)+1)-L29</f>
        <v>1873.5112323654298</v>
      </c>
      <c r="M28" s="565" cm="1">
        <f t="array" ref="M28">INDEX('[5]BP - ORIGINAL'!$E$52:$V$52,1,MATCH(M4,'[5]BP - ORIGINAL'!$E$35:$V$35,0)+1)-M29</f>
        <v>1737.4672175197773</v>
      </c>
      <c r="N28" s="565" cm="1">
        <f t="array" ref="N28">INDEX('[5]BP - ORIGINAL'!$E$52:$V$52,1,MATCH(N4,'[5]BP - ORIGINAL'!$E$35:$V$35,0)+1)-N29</f>
        <v>1122.6709223424075</v>
      </c>
      <c r="O28" s="565" cm="1">
        <f t="array" ref="O28">INDEX('[5]BP - ORIGINAL'!$E$52:$V$52,1,MATCH(O4,'[5]BP - ORIGINAL'!$E$35:$V$35,0)+1)-O29</f>
        <v>1277.4839008407757</v>
      </c>
      <c r="P28" s="565" cm="1">
        <f t="array" ref="P28">INDEX('[5]BP - ORIGINAL'!$E$52:$V$52,1,MATCH(P4,'[5]BP - ORIGINAL'!$E$35:$V$35,0)+1)-P29</f>
        <v>1617.1813297739654</v>
      </c>
      <c r="Q28" s="565" cm="1">
        <f t="array" ref="Q28">INDEX('[5]BP - ORIGINAL'!$E$52:$V$52,1,MATCH(Q4,'[5]BP - ORIGINAL'!$E$35:$V$35,0)+1)-Q29</f>
        <v>1515.5503910327268</v>
      </c>
      <c r="R28" s="485">
        <f t="shared" si="4"/>
        <v>18663.488379723323</v>
      </c>
    </row>
    <row r="29" spans="1:18">
      <c r="A29" s="248"/>
      <c r="B29" s="185"/>
      <c r="C29" s="190" t="s">
        <v>104</v>
      </c>
      <c r="D29" s="240" t="s">
        <v>180</v>
      </c>
      <c r="E29" s="533">
        <f>'[3]Prod &amp; Defects - Qty'!R29</f>
        <v>11144.238014155619</v>
      </c>
      <c r="F29" s="569" cm="1">
        <f t="array" ref="F29">INDEX('[5]BP - ORIGINAL'!$E$16:$V$16,1,MATCH(F4,'[5]BP - ORIGINAL'!$E$4:$V$4,0)+1)+INDEX('[5]BP - ORIGINAL'!$E$17:$V$17,1,MATCH(F4,'[5]BP - ORIGINAL'!$E$4:$V$4,0)+1)</f>
        <v>859.80817057294553</v>
      </c>
      <c r="G29" s="569" cm="1">
        <f t="array" ref="G29">INDEX('[5]BP - ORIGINAL'!$E$16:$V$16,1,MATCH(G4,'[5]BP - ORIGINAL'!$E$4:$V$4,0)+1)+INDEX('[5]BP - ORIGINAL'!$E$17:$V$17,1,MATCH(G4,'[5]BP - ORIGINAL'!$E$4:$V$4,0)+1)</f>
        <v>1277.0210320925278</v>
      </c>
      <c r="H29" s="569" cm="1">
        <f t="array" ref="H29">INDEX('[5]BP - ORIGINAL'!$E$16:$V$16,1,MATCH(H4,'[5]BP - ORIGINAL'!$E$4:$V$4,0)+1)+INDEX('[5]BP - ORIGINAL'!$E$17:$V$17,1,MATCH(H4,'[5]BP - ORIGINAL'!$E$4:$V$4,0)+1)</f>
        <v>1240.2398438039627</v>
      </c>
      <c r="I29" s="569" cm="1">
        <f t="array" ref="I29">INDEX('[5]BP - ORIGINAL'!$E$16:$V$16,1,MATCH(I4,'[5]BP - ORIGINAL'!$E$4:$V$4,0)+1)+INDEX('[5]BP - ORIGINAL'!$E$17:$V$17,1,MATCH(I4,'[5]BP - ORIGINAL'!$E$4:$V$4,0)+1)</f>
        <v>1263.2703657116383</v>
      </c>
      <c r="J29" s="569" cm="1">
        <f t="array" ref="J29">INDEX('[5]BP - ORIGINAL'!$E$16:$V$16,1,MATCH(J4,'[5]BP - ORIGINAL'!$E$4:$V$4,0)+1)+INDEX('[5]BP - ORIGINAL'!$E$17:$V$17,1,MATCH(J4,'[5]BP - ORIGINAL'!$E$4:$V$4,0)+1)</f>
        <v>1259.4319453936926</v>
      </c>
      <c r="K29" s="569" cm="1">
        <f t="array" ref="K29">INDEX('[5]BP - ORIGINAL'!$E$16:$V$16,1,MATCH(K4,'[5]BP - ORIGINAL'!$E$4:$V$4,0)+1)+INDEX('[5]BP - ORIGINAL'!$E$17:$V$17,1,MATCH(K4,'[5]BP - ORIGINAL'!$E$4:$V$4,0)+1)</f>
        <v>1390.9224735719658</v>
      </c>
      <c r="L29" s="569" cm="1">
        <f t="array" ref="L29">INDEX('[5]BP - ORIGINAL'!$E$47:$V$47,1,MATCH(L4,'[5]BP - ORIGINAL'!$E$35:$V$35,0)+1)+INDEX('[5]BP - ORIGINAL'!$E$48:$V$48,1,MATCH(L4,'[5]BP - ORIGINAL'!$E$35:$V$35,0)+1)</f>
        <v>1434.8463411584494</v>
      </c>
      <c r="M29" s="569" cm="1">
        <f t="array" ref="M29">INDEX('[5]BP - ORIGINAL'!$E$47:$V$47,1,MATCH(M4,'[5]BP - ORIGINAL'!$E$35:$V$35,0)+1)+INDEX('[5]BP - ORIGINAL'!$E$48:$V$48,1,MATCH(M4,'[5]BP - ORIGINAL'!$E$35:$V$35,0)+1)</f>
        <v>1330.6557424763507</v>
      </c>
      <c r="N29" s="569" cm="1">
        <f t="array" ref="N29">INDEX('[5]BP - ORIGINAL'!$E$47:$V$47,1,MATCH(N4,'[5]BP - ORIGINAL'!$E$35:$V$35,0)+1)+INDEX('[5]BP - ORIGINAL'!$E$48:$V$48,1,MATCH(N4,'[5]BP - ORIGINAL'!$E$35:$V$35,0)+1)</f>
        <v>859.80817057294553</v>
      </c>
      <c r="O29" s="569" cm="1">
        <f t="array" ref="O29">INDEX('[5]BP - ORIGINAL'!$E$47:$V$47,1,MATCH(O4,'[5]BP - ORIGINAL'!$E$35:$V$35,0)+1)+INDEX('[5]BP - ORIGINAL'!$E$48:$V$48,1,MATCH(O4,'[5]BP - ORIGINAL'!$E$35:$V$35,0)+1)</f>
        <v>978.37315802795422</v>
      </c>
      <c r="P29" s="569" cm="1">
        <f t="array" ref="P29">INDEX('[5]BP - ORIGINAL'!$E$47:$V$47,1,MATCH(P4,'[5]BP - ORIGINAL'!$E$35:$V$35,0)+1)+INDEX('[5]BP - ORIGINAL'!$E$48:$V$48,1,MATCH(P4,'[5]BP - ORIGINAL'!$E$35:$V$35,0)+1)</f>
        <v>1238.533654845648</v>
      </c>
      <c r="Q29" s="569" cm="1">
        <f t="array" ref="Q29">INDEX('[5]BP - ORIGINAL'!$E$47:$V$47,1,MATCH(Q4,'[5]BP - ORIGINAL'!$E$35:$V$35,0)+1)+INDEX('[5]BP - ORIGINAL'!$E$48:$V$48,1,MATCH(Q4,'[5]BP - ORIGINAL'!$E$35:$V$35,0)+1)</f>
        <v>1160.6986367885363</v>
      </c>
      <c r="R29" s="489">
        <f t="shared" si="4"/>
        <v>14293.609535016618</v>
      </c>
    </row>
    <row r="30" spans="1:18">
      <c r="A30" s="937" t="s">
        <v>183</v>
      </c>
      <c r="B30" s="938"/>
      <c r="C30" s="184" t="s">
        <v>168</v>
      </c>
      <c r="D30" s="237" t="s">
        <v>180</v>
      </c>
      <c r="E30" s="531">
        <f>'[3]Prod &amp; Defects - Qty'!R30</f>
        <v>580544.11657793459</v>
      </c>
      <c r="F30" s="567">
        <f t="array" ref="F30">SUM(IF($C$15:$C$29=$C30,F$15:F$29))</f>
        <v>102877.84866115419</v>
      </c>
      <c r="G30" s="567">
        <f t="array" ref="G30">SUM(IF($C$15:$C$29=$C30,G$15:G$29))</f>
        <v>108306.28618999313</v>
      </c>
      <c r="H30" s="567">
        <f t="array" ref="H30">SUM(IF($C$15:$C$29=$C30,H$15:H$29))</f>
        <v>103279.69597761559</v>
      </c>
      <c r="I30" s="567">
        <f t="array" ref="I30">SUM(IF($C$15:$C$29=$C30,I$15:I$29))</f>
        <v>103932.58225840096</v>
      </c>
      <c r="J30" s="567">
        <f t="array" ref="J30">SUM(IF($C$15:$C$29=$C30,J$15:J$29))</f>
        <v>107062.38947342581</v>
      </c>
      <c r="K30" s="567">
        <f t="array" ref="K30">SUM(IF($C$15:$C$29=$C30,K$15:K$29))</f>
        <v>120330.18248399095</v>
      </c>
      <c r="L30" s="567">
        <f t="array" ref="L30">SUM(IF($C$15:$C$29=$C30,L$15:L$29))</f>
        <v>118690.13151107612</v>
      </c>
      <c r="M30" s="567">
        <f t="array" ref="M30">SUM(IF($C$15:$C$29=$C30,M$15:M$29))</f>
        <v>118682.42539811238</v>
      </c>
      <c r="N30" s="567">
        <f t="array" ref="N30">SUM(IF($C$15:$C$29=$C30,N$15:N$29))</f>
        <v>113336.25083464128</v>
      </c>
      <c r="O30" s="567">
        <f t="array" ref="O30">SUM(IF($C$15:$C$29=$C30,O$15:O$29))</f>
        <v>87608.176728631428</v>
      </c>
      <c r="P30" s="567">
        <f t="array" ref="P30">SUM(IF($C$15:$C$29=$C30,P$15:P$29))</f>
        <v>85347.11518632868</v>
      </c>
      <c r="Q30" s="567">
        <f t="array" ref="Q30">SUM(IF($C$15:$C$29=$C30,Q$15:Q$29))</f>
        <v>107628.09854168181</v>
      </c>
      <c r="R30" s="487">
        <f>SUM(F30:Q30)</f>
        <v>1277081.1832450526</v>
      </c>
    </row>
    <row r="31" spans="1:18">
      <c r="A31" s="939"/>
      <c r="B31" s="940"/>
      <c r="C31" s="186" t="s">
        <v>169</v>
      </c>
      <c r="D31" s="238" t="s">
        <v>180</v>
      </c>
      <c r="E31" s="529">
        <f>'[3]Prod &amp; Defects - Qty'!R31</f>
        <v>142478.67331743162</v>
      </c>
      <c r="F31" s="565">
        <f t="array" ref="F31">SUM(IF($C$15:$C$29=$C31,F$15:F$29))</f>
        <v>9022.9627192671906</v>
      </c>
      <c r="G31" s="565">
        <f t="array" ref="G31">SUM(IF($C$15:$C$29=$C31,G$15:G$29))</f>
        <v>9648.67338756551</v>
      </c>
      <c r="H31" s="565">
        <f t="array" ref="H31">SUM(IF($C$15:$C$29=$C31,H$15:H$29))</f>
        <v>9307.1376763509779</v>
      </c>
      <c r="I31" s="565">
        <f t="array" ref="I31">SUM(IF($C$15:$C$29=$C31,I$15:I$29))</f>
        <v>9388.1264211170692</v>
      </c>
      <c r="J31" s="565">
        <f t="array" ref="J31">SUM(IF($C$15:$C$29=$C31,J$15:J$29))</f>
        <v>9736.4277286003853</v>
      </c>
      <c r="K31" s="565">
        <f t="array" ref="K31">SUM(IF($C$15:$C$29=$C31,K$15:K$29))</f>
        <v>11023.701497053278</v>
      </c>
      <c r="L31" s="565">
        <f t="array" ref="L31">SUM(IF($C$15:$C$29=$C31,L$15:L$29))</f>
        <v>10979.996961410743</v>
      </c>
      <c r="M31" s="565">
        <f t="array" ref="M31">SUM(IF($C$15:$C$29=$C31,M$15:M$29))</f>
        <v>10848.976827598457</v>
      </c>
      <c r="N31" s="565">
        <f t="array" ref="N31">SUM(IF($C$15:$C$29=$C31,N$15:N$29))</f>
        <v>9693.917260641816</v>
      </c>
      <c r="O31" s="565">
        <f t="array" ref="O31">SUM(IF($C$15:$C$29=$C31,O$15:O$29))</f>
        <v>8004.3745078509928</v>
      </c>
      <c r="P31" s="565">
        <f t="array" ref="P31">SUM(IF($C$15:$C$29=$C31,P$15:P$29))</f>
        <v>8104.1710644126615</v>
      </c>
      <c r="Q31" s="565">
        <f t="array" ref="Q31">SUM(IF($C$15:$C$29=$C31,Q$15:Q$29))</f>
        <v>9720.0022186969145</v>
      </c>
      <c r="R31" s="485">
        <f t="shared" ref="R31:R32" si="6">SUM(F31:Q31)</f>
        <v>115478.46827056599</v>
      </c>
    </row>
    <row r="32" spans="1:18">
      <c r="A32" s="939"/>
      <c r="B32" s="940"/>
      <c r="C32" s="189" t="s">
        <v>104</v>
      </c>
      <c r="D32" s="239" t="s">
        <v>180</v>
      </c>
      <c r="E32" s="530">
        <f>'[3]Prod &amp; Defects - Qty'!R32</f>
        <v>318385.46970405296</v>
      </c>
      <c r="F32" s="566">
        <f t="array" ref="F32">SUM(IF($C$15:$C$29=$C32,F$15:F$29))</f>
        <v>19164.401009586483</v>
      </c>
      <c r="G32" s="566">
        <f t="array" ref="G32">SUM(IF($C$15:$C$29=$C32,G$15:G$29))</f>
        <v>21105.883310393681</v>
      </c>
      <c r="H32" s="566">
        <f t="array" ref="H32">SUM(IF($C$15:$C$29=$C32,H$15:H$29))</f>
        <v>19719.697621328287</v>
      </c>
      <c r="I32" s="566">
        <f t="array" ref="I32">SUM(IF($C$15:$C$29=$C32,I$15:I$29))</f>
        <v>19849.158077232154</v>
      </c>
      <c r="J32" s="566">
        <f t="array" ref="J32">SUM(IF($C$15:$C$29=$C32,J$15:J$29))</f>
        <v>20933.878109353063</v>
      </c>
      <c r="K32" s="566">
        <f t="array" ref="K32">SUM(IF($C$15:$C$29=$C32,K$15:K$29))</f>
        <v>22887.113155645588</v>
      </c>
      <c r="L32" s="566">
        <f t="array" ref="L32">SUM(IF($C$15:$C$29=$C32,L$15:L$29))</f>
        <v>22542.785582765497</v>
      </c>
      <c r="M32" s="566">
        <f t="array" ref="M32">SUM(IF($C$15:$C$29=$C32,M$15:M$29))</f>
        <v>22422.435937957471</v>
      </c>
      <c r="N32" s="566">
        <f t="array" ref="N32">SUM(IF($C$15:$C$29=$C32,N$15:N$29))</f>
        <v>21364.533320882667</v>
      </c>
      <c r="O32" s="566">
        <f t="array" ref="O32">SUM(IF($C$15:$C$29=$C32,O$15:O$29))</f>
        <v>16558.949991842022</v>
      </c>
      <c r="P32" s="566">
        <f t="array" ref="P32">SUM(IF($C$15:$C$29=$C32,P$15:P$29))</f>
        <v>16895.14125682044</v>
      </c>
      <c r="Q32" s="566">
        <f t="array" ref="Q32">SUM(IF($C$15:$C$29=$C32,Q$15:Q$29))</f>
        <v>20737.115931117067</v>
      </c>
      <c r="R32" s="486">
        <f t="shared" si="6"/>
        <v>244181.09330492443</v>
      </c>
    </row>
    <row r="33" spans="1:26">
      <c r="A33" s="939"/>
      <c r="B33" s="940"/>
      <c r="C33" s="212" t="s">
        <v>1</v>
      </c>
      <c r="D33" s="227" t="s">
        <v>180</v>
      </c>
      <c r="E33" s="526">
        <f>'[3]Prod &amp; Defects - Qty'!R33</f>
        <v>1041408.2595994191</v>
      </c>
      <c r="F33" s="570">
        <f t="shared" ref="F33:M33" si="7">SUM(F30:F32)</f>
        <v>131065.21239000786</v>
      </c>
      <c r="G33" s="570">
        <f t="shared" si="7"/>
        <v>139060.84288795231</v>
      </c>
      <c r="H33" s="570">
        <f t="shared" si="7"/>
        <v>132306.53127529484</v>
      </c>
      <c r="I33" s="570">
        <f t="shared" si="7"/>
        <v>133169.86675675018</v>
      </c>
      <c r="J33" s="570">
        <f t="shared" si="7"/>
        <v>137732.69531137927</v>
      </c>
      <c r="K33" s="570">
        <f t="shared" si="7"/>
        <v>154240.99713668981</v>
      </c>
      <c r="L33" s="570">
        <f t="shared" si="7"/>
        <v>152212.91405525236</v>
      </c>
      <c r="M33" s="570">
        <f t="shared" si="7"/>
        <v>151953.83816366829</v>
      </c>
      <c r="N33" s="570">
        <f t="shared" ref="N33:R33" si="8">SUM(N30:N32)</f>
        <v>144394.70141616577</v>
      </c>
      <c r="O33" s="570">
        <f t="shared" si="8"/>
        <v>112171.50122832444</v>
      </c>
      <c r="P33" s="570">
        <f t="shared" si="8"/>
        <v>110346.42750756178</v>
      </c>
      <c r="Q33" s="570">
        <f t="shared" si="8"/>
        <v>138085.21669149579</v>
      </c>
      <c r="R33" s="490">
        <f t="shared" si="8"/>
        <v>1636740.7448205431</v>
      </c>
    </row>
    <row r="34" spans="1:26">
      <c r="A34" s="939"/>
      <c r="B34" s="940"/>
      <c r="C34" s="212" t="s">
        <v>178</v>
      </c>
      <c r="D34" s="227" t="s">
        <v>105</v>
      </c>
      <c r="E34" s="507">
        <f>'[3]Prod &amp; Defects - Qty'!R34</f>
        <v>3.0220163692580445E-3</v>
      </c>
      <c r="F34" s="577">
        <f t="shared" ref="F34:M34" si="9">IF(F10&gt;0,F33/F10,0)</f>
        <v>4.6478507169368183E-3</v>
      </c>
      <c r="G34" s="577">
        <f t="shared" si="9"/>
        <v>4.6487962192239005E-3</v>
      </c>
      <c r="H34" s="577">
        <f t="shared" si="9"/>
        <v>4.6909262018140635E-3</v>
      </c>
      <c r="I34" s="577">
        <f t="shared" si="9"/>
        <v>4.6869115240559837E-3</v>
      </c>
      <c r="J34" s="577">
        <f t="shared" si="9"/>
        <v>4.5863556281831664E-3</v>
      </c>
      <c r="K34" s="577">
        <f t="shared" si="9"/>
        <v>4.6523469352753189E-3</v>
      </c>
      <c r="L34" s="577">
        <f t="shared" si="9"/>
        <v>4.6471795250421812E-3</v>
      </c>
      <c r="M34" s="577">
        <f t="shared" si="9"/>
        <v>4.6358494704727103E-3</v>
      </c>
      <c r="N34" s="577">
        <f t="shared" ref="N34:Q34" si="10">IF(N10&gt;0,N33/N10,0)</f>
        <v>4.6002695292789754E-3</v>
      </c>
      <c r="O34" s="577">
        <f t="shared" si="10"/>
        <v>4.7301894317994062E-3</v>
      </c>
      <c r="P34" s="577">
        <f t="shared" si="10"/>
        <v>4.6135817579874986E-3</v>
      </c>
      <c r="Q34" s="577">
        <f t="shared" si="10"/>
        <v>4.602326724989109E-3</v>
      </c>
      <c r="R34" s="580">
        <f>R33/R10</f>
        <v>4.6436335614449516E-3</v>
      </c>
    </row>
    <row r="35" spans="1:26">
      <c r="A35" s="939"/>
      <c r="B35" s="940"/>
      <c r="C35" s="184" t="s">
        <v>176</v>
      </c>
      <c r="D35" s="237" t="s">
        <v>105</v>
      </c>
      <c r="E35" s="508">
        <f>'[3]Prod &amp; Defects - Qty'!R35</f>
        <v>2.5999999999999999E-3</v>
      </c>
      <c r="F35" s="578">
        <v>2.5999999999999999E-3</v>
      </c>
      <c r="G35" s="578">
        <v>2.5999999999999999E-3</v>
      </c>
      <c r="H35" s="578">
        <v>2.5999999999999999E-3</v>
      </c>
      <c r="I35" s="578">
        <v>2.5999999999999999E-3</v>
      </c>
      <c r="J35" s="578">
        <v>2.5999999999999999E-3</v>
      </c>
      <c r="K35" s="578">
        <v>2.5999999999999999E-3</v>
      </c>
      <c r="L35" s="578">
        <v>2.5999999999999999E-3</v>
      </c>
      <c r="M35" s="578">
        <v>2.5999999999999999E-3</v>
      </c>
      <c r="N35" s="578">
        <v>2.5999999999999999E-3</v>
      </c>
      <c r="O35" s="578">
        <v>2.5999999999999999E-3</v>
      </c>
      <c r="P35" s="578">
        <v>2.5999999999999999E-3</v>
      </c>
      <c r="Q35" s="578">
        <v>2.5999999999999999E-3</v>
      </c>
      <c r="R35" s="581">
        <v>2.5999999999999999E-3</v>
      </c>
    </row>
    <row r="36" spans="1:26" ht="13.5" thickBot="1">
      <c r="A36" s="941"/>
      <c r="B36" s="942"/>
      <c r="C36" s="253" t="s">
        <v>181</v>
      </c>
      <c r="D36" s="256" t="s">
        <v>105</v>
      </c>
      <c r="E36" s="534">
        <f>'[3]Prod &amp; Defects - Qty'!R36</f>
        <v>4.220163692580446E-4</v>
      </c>
      <c r="F36" s="579">
        <f t="shared" ref="F36:M36" si="11">F34-F35</f>
        <v>2.0478507169368184E-3</v>
      </c>
      <c r="G36" s="579">
        <f t="shared" si="11"/>
        <v>2.0487962192239006E-3</v>
      </c>
      <c r="H36" s="579">
        <f t="shared" si="11"/>
        <v>2.0909262018140636E-3</v>
      </c>
      <c r="I36" s="579">
        <f t="shared" si="11"/>
        <v>2.0869115240559838E-3</v>
      </c>
      <c r="J36" s="579">
        <f t="shared" si="11"/>
        <v>1.9863556281831665E-3</v>
      </c>
      <c r="K36" s="579">
        <f t="shared" si="11"/>
        <v>2.052346935275319E-3</v>
      </c>
      <c r="L36" s="579">
        <f t="shared" si="11"/>
        <v>2.0471795250421813E-3</v>
      </c>
      <c r="M36" s="579">
        <f t="shared" si="11"/>
        <v>2.0358494704727104E-3</v>
      </c>
      <c r="N36" s="579">
        <f t="shared" ref="N36:R36" si="12">N34-N35</f>
        <v>2.0002695292789755E-3</v>
      </c>
      <c r="O36" s="579">
        <f t="shared" si="12"/>
        <v>2.1301894317994063E-3</v>
      </c>
      <c r="P36" s="579">
        <f t="shared" si="12"/>
        <v>2.0135817579874987E-3</v>
      </c>
      <c r="Q36" s="579">
        <f t="shared" si="12"/>
        <v>2.0023267249891091E-3</v>
      </c>
      <c r="R36" s="582">
        <f t="shared" si="12"/>
        <v>2.0436335614449517E-3</v>
      </c>
    </row>
    <row r="38" spans="1:26" ht="13.5" thickBot="1">
      <c r="C38" t="s">
        <v>1</v>
      </c>
      <c r="F38" s="203"/>
      <c r="G38" s="203"/>
      <c r="S38" s="1" t="s">
        <v>48</v>
      </c>
    </row>
    <row r="39" spans="1:26">
      <c r="A39" s="264"/>
      <c r="B39" s="265">
        <v>1</v>
      </c>
      <c r="C39" s="264" t="s">
        <v>98</v>
      </c>
      <c r="D39" s="246" t="s">
        <v>186</v>
      </c>
      <c r="E39" s="704">
        <f>'[3]Prod &amp; Defects - Qty'!R39</f>
        <v>59760.880248019312</v>
      </c>
      <c r="F39" s="247">
        <f t="shared" ref="F39" si="13">SUM(F15:F17)</f>
        <v>2864.694476135709</v>
      </c>
      <c r="G39" s="247">
        <f t="shared" ref="G39:Q39" si="14">SUM(G15:G17)</f>
        <v>1563.2255272803875</v>
      </c>
      <c r="H39" s="247">
        <f t="shared" si="14"/>
        <v>1556.0522158710969</v>
      </c>
      <c r="I39" s="247">
        <f t="shared" si="14"/>
        <v>1572.5050277649229</v>
      </c>
      <c r="J39" s="247">
        <f t="shared" si="14"/>
        <v>2840.5964305008106</v>
      </c>
      <c r="K39" s="247">
        <f t="shared" si="14"/>
        <v>3291.7335801407958</v>
      </c>
      <c r="L39" s="247">
        <f t="shared" si="14"/>
        <v>3315.1682925180239</v>
      </c>
      <c r="M39" s="247">
        <f t="shared" si="14"/>
        <v>3318.9635223712844</v>
      </c>
      <c r="N39" s="247">
        <f t="shared" si="14"/>
        <v>2661.0201095513048</v>
      </c>
      <c r="O39" s="247">
        <f t="shared" si="14"/>
        <v>2466.0892566087568</v>
      </c>
      <c r="P39" s="247">
        <f t="shared" si="14"/>
        <v>2495.1996505431507</v>
      </c>
      <c r="Q39" s="247">
        <f t="shared" si="14"/>
        <v>3071.9040425238823</v>
      </c>
      <c r="R39" s="272">
        <f>SUM(F39:Q39)</f>
        <v>31017.152131810126</v>
      </c>
      <c r="S39" s="276">
        <f>R39/R5*1000000</f>
        <v>1986.3116887807037</v>
      </c>
      <c r="U39" s="274"/>
      <c r="V39" s="274"/>
      <c r="Y39" s="274"/>
      <c r="Z39" s="275"/>
    </row>
    <row r="40" spans="1:26">
      <c r="A40" s="267"/>
      <c r="B40" s="268">
        <v>2</v>
      </c>
      <c r="C40" s="267" t="s">
        <v>184</v>
      </c>
      <c r="D40" s="269" t="s">
        <v>186</v>
      </c>
      <c r="E40" s="705">
        <f>'[3]Prod &amp; Defects - Qty'!R40</f>
        <v>136683.44652168881</v>
      </c>
      <c r="F40" s="187">
        <f t="shared" ref="F40" si="15">SUM(F18:F20)</f>
        <v>23291.097854578024</v>
      </c>
      <c r="G40" s="187">
        <f t="shared" ref="G40:Q40" si="16">SUM(G18:G20)</f>
        <v>24375.677382119451</v>
      </c>
      <c r="H40" s="187">
        <f t="shared" si="16"/>
        <v>23458.775081584175</v>
      </c>
      <c r="I40" s="187">
        <f t="shared" si="16"/>
        <v>23610.437266475055</v>
      </c>
      <c r="J40" s="187">
        <f t="shared" si="16"/>
        <v>23898.870628777069</v>
      </c>
      <c r="K40" s="187">
        <f t="shared" si="16"/>
        <v>27172.574753918307</v>
      </c>
      <c r="L40" s="187">
        <f t="shared" si="16"/>
        <v>26838.348532032491</v>
      </c>
      <c r="M40" s="187">
        <f t="shared" si="16"/>
        <v>26852.426035390756</v>
      </c>
      <c r="N40" s="187">
        <f t="shared" si="16"/>
        <v>25549.307950924427</v>
      </c>
      <c r="O40" s="187">
        <f t="shared" si="16"/>
        <v>19814.234693914899</v>
      </c>
      <c r="P40" s="187">
        <f t="shared" si="16"/>
        <v>19018.07350799807</v>
      </c>
      <c r="Q40" s="187">
        <f t="shared" si="16"/>
        <v>24112.787530727943</v>
      </c>
      <c r="R40" s="23">
        <f t="shared" ref="R40:R43" si="17">SUM(F40:Q40)</f>
        <v>287992.61121844064</v>
      </c>
      <c r="S40" s="277">
        <f>R40/R6*1000000</f>
        <v>7172.2421040862882</v>
      </c>
      <c r="U40" s="274"/>
      <c r="V40" s="274"/>
      <c r="Y40" s="274"/>
      <c r="Z40" s="275"/>
    </row>
    <row r="41" spans="1:26">
      <c r="A41" s="267"/>
      <c r="B41" s="268">
        <v>3</v>
      </c>
      <c r="C41" s="267" t="s">
        <v>185</v>
      </c>
      <c r="D41" s="269" t="s">
        <v>186</v>
      </c>
      <c r="E41" s="705">
        <f>'[3]Prod &amp; Defects - Qty'!R41</f>
        <v>392485.93333808432</v>
      </c>
      <c r="F41" s="187">
        <f t="shared" ref="F41" si="18">SUM(F21:F23)</f>
        <v>77903.682025991482</v>
      </c>
      <c r="G41" s="187">
        <f t="shared" ref="G41:Q41" si="19">SUM(G21:G23)</f>
        <v>81531.365837765043</v>
      </c>
      <c r="H41" s="187">
        <f t="shared" si="19"/>
        <v>78464.526064226433</v>
      </c>
      <c r="I41" s="187">
        <f t="shared" si="19"/>
        <v>78971.803252312442</v>
      </c>
      <c r="J41" s="187">
        <f t="shared" si="19"/>
        <v>79936.550430945208</v>
      </c>
      <c r="K41" s="187">
        <f t="shared" si="19"/>
        <v>90886.382285352622</v>
      </c>
      <c r="L41" s="187">
        <f t="shared" si="19"/>
        <v>89768.467901191369</v>
      </c>
      <c r="M41" s="187">
        <f t="shared" si="19"/>
        <v>89815.554103490154</v>
      </c>
      <c r="N41" s="187">
        <f t="shared" si="19"/>
        <v>85456.906111522272</v>
      </c>
      <c r="O41" s="187">
        <f t="shared" si="19"/>
        <v>66274.327162285699</v>
      </c>
      <c r="P41" s="187">
        <f t="shared" si="19"/>
        <v>63611.340288229454</v>
      </c>
      <c r="Q41" s="187">
        <f t="shared" si="19"/>
        <v>80652.056175398146</v>
      </c>
      <c r="R41" s="23">
        <f t="shared" si="17"/>
        <v>963272.96163871035</v>
      </c>
      <c r="S41" s="277">
        <f>R41/R7*1000000</f>
        <v>7222.9632031329074</v>
      </c>
      <c r="U41" s="274"/>
      <c r="V41" s="274"/>
      <c r="Y41" s="274"/>
      <c r="Z41" s="275"/>
    </row>
    <row r="42" spans="1:26">
      <c r="A42" s="267"/>
      <c r="B42" s="268">
        <v>4</v>
      </c>
      <c r="C42" s="267" t="s">
        <v>119</v>
      </c>
      <c r="D42" s="269" t="s">
        <v>186</v>
      </c>
      <c r="E42" s="705">
        <f>'[3]Prod &amp; Defects - Qty'!R42</f>
        <v>417615.49809618416</v>
      </c>
      <c r="F42" s="187">
        <f t="shared" ref="F42" si="20">SUM(F24:F26)</f>
        <v>24804.300800613142</v>
      </c>
      <c r="G42" s="187">
        <f t="shared" ref="G42:Q42" si="21">SUM(G24:G26)</f>
        <v>28320.912670714708</v>
      </c>
      <c r="H42" s="187">
        <f t="shared" si="21"/>
        <v>25651.690330381985</v>
      </c>
      <c r="I42" s="187">
        <f t="shared" si="21"/>
        <v>25780.666696724449</v>
      </c>
      <c r="J42" s="187">
        <f t="shared" si="21"/>
        <v>27832.051129389882</v>
      </c>
      <c r="K42" s="187">
        <f t="shared" si="21"/>
        <v>29329.013863981381</v>
      </c>
      <c r="L42" s="187">
        <f t="shared" si="21"/>
        <v>28616.837074272291</v>
      </c>
      <c r="M42" s="187">
        <f t="shared" si="21"/>
        <v>28559.59448876209</v>
      </c>
      <c r="N42" s="187">
        <f t="shared" si="21"/>
        <v>28525.827633098248</v>
      </c>
      <c r="O42" s="187">
        <f t="shared" si="21"/>
        <v>21111.610955382283</v>
      </c>
      <c r="P42" s="187">
        <f t="shared" si="21"/>
        <v>22050.40345145273</v>
      </c>
      <c r="Q42" s="187">
        <f t="shared" si="21"/>
        <v>27276.364021389756</v>
      </c>
      <c r="R42" s="23">
        <f t="shared" si="17"/>
        <v>317859.27311616292</v>
      </c>
      <c r="S42" s="277">
        <f>R42/R8*1000000</f>
        <v>2516.4001747598454</v>
      </c>
      <c r="U42" s="274"/>
      <c r="V42" s="274"/>
      <c r="Y42" s="274"/>
      <c r="Z42" s="275"/>
    </row>
    <row r="43" spans="1:26" ht="13.5" thickBot="1">
      <c r="A43" s="270"/>
      <c r="B43" s="271">
        <v>5</v>
      </c>
      <c r="C43" s="270" t="s">
        <v>106</v>
      </c>
      <c r="D43" s="256" t="s">
        <v>186</v>
      </c>
      <c r="E43" s="706">
        <f>'[3]Prod &amp; Defects - Qty'!R43</f>
        <v>34862.501395442414</v>
      </c>
      <c r="F43" s="255">
        <f t="shared" ref="F43" si="22">SUM(F27:F29)</f>
        <v>2201.4372326895077</v>
      </c>
      <c r="G43" s="255">
        <f t="shared" ref="G43:Q43" si="23">SUM(G27:G29)</f>
        <v>3269.6614700727205</v>
      </c>
      <c r="H43" s="255">
        <f t="shared" si="23"/>
        <v>3175.4875832311318</v>
      </c>
      <c r="I43" s="255">
        <f t="shared" si="23"/>
        <v>3234.454513473308</v>
      </c>
      <c r="J43" s="255">
        <f t="shared" si="23"/>
        <v>3224.6266917662788</v>
      </c>
      <c r="K43" s="255">
        <f t="shared" si="23"/>
        <v>3561.2926532967076</v>
      </c>
      <c r="L43" s="255">
        <f t="shared" si="23"/>
        <v>3674.0922552381967</v>
      </c>
      <c r="M43" s="255">
        <f t="shared" si="23"/>
        <v>3407.3000136540113</v>
      </c>
      <c r="N43" s="255">
        <f t="shared" si="23"/>
        <v>2201.6396110694986</v>
      </c>
      <c r="O43" s="255">
        <f t="shared" si="23"/>
        <v>2505.23916013282</v>
      </c>
      <c r="P43" s="255">
        <f t="shared" si="23"/>
        <v>3171.4106093383734</v>
      </c>
      <c r="Q43" s="255">
        <f t="shared" si="23"/>
        <v>2972.1049214560921</v>
      </c>
      <c r="R43" s="273">
        <f t="shared" si="17"/>
        <v>36598.746715418645</v>
      </c>
      <c r="S43" s="278">
        <f>R43/R9*1000000</f>
        <v>988.54194382993637</v>
      </c>
      <c r="U43" s="274"/>
      <c r="V43" s="274"/>
      <c r="Y43" s="274"/>
      <c r="Z43" s="275"/>
    </row>
    <row r="44" spans="1:26" ht="13.5" thickBot="1">
      <c r="C44" s="499" t="s">
        <v>176</v>
      </c>
    </row>
    <row r="45" spans="1:26">
      <c r="C45" s="264" t="s">
        <v>98</v>
      </c>
      <c r="D45" s="497" t="s">
        <v>105</v>
      </c>
      <c r="E45" s="497"/>
      <c r="F45" s="498">
        <f>F39/F5</f>
        <v>1.9863116887807041E-3</v>
      </c>
      <c r="G45" s="498">
        <f t="shared" ref="G45" si="24">G39/G5</f>
        <v>1.9863116887807036E-3</v>
      </c>
      <c r="H45" s="498">
        <f t="shared" ref="H45:I45" si="25">H39/H5</f>
        <v>1.9863116887807045E-3</v>
      </c>
      <c r="I45" s="498">
        <f t="shared" si="25"/>
        <v>1.9863116887807036E-3</v>
      </c>
      <c r="J45" s="498">
        <f t="shared" ref="J45:M45" si="26">J39/J5</f>
        <v>1.9863116887807041E-3</v>
      </c>
      <c r="K45" s="498">
        <f t="shared" si="26"/>
        <v>1.9863116887807041E-3</v>
      </c>
      <c r="L45" s="498">
        <f t="shared" si="26"/>
        <v>1.9863116887807041E-3</v>
      </c>
      <c r="M45" s="498">
        <f t="shared" si="26"/>
        <v>1.9863116887807041E-3</v>
      </c>
      <c r="N45" s="498">
        <f t="shared" ref="N45:P45" si="27">N39/N5</f>
        <v>1.9863116887807045E-3</v>
      </c>
      <c r="O45" s="498">
        <f t="shared" si="27"/>
        <v>1.9863116887807036E-3</v>
      </c>
      <c r="P45" s="498">
        <f t="shared" si="27"/>
        <v>1.9863116887807045E-3</v>
      </c>
      <c r="Q45" s="498">
        <f t="shared" ref="Q45" si="28">Q39/Q5</f>
        <v>1.9863116887807041E-3</v>
      </c>
      <c r="R45" s="498">
        <f t="shared" ref="R45" si="29">R39/R5</f>
        <v>1.9863116887807036E-3</v>
      </c>
    </row>
    <row r="46" spans="1:26">
      <c r="C46" s="267" t="s">
        <v>184</v>
      </c>
      <c r="D46" s="497" t="s">
        <v>105</v>
      </c>
      <c r="E46" s="497"/>
      <c r="F46" s="498">
        <f>F40/F6</f>
        <v>7.1722421040862879E-3</v>
      </c>
      <c r="G46" s="498">
        <f t="shared" ref="G46" si="30">G40/G6</f>
        <v>7.1722421040862896E-3</v>
      </c>
      <c r="H46" s="498">
        <f t="shared" ref="H46:I46" si="31">H40/H6</f>
        <v>7.1722421040862879E-3</v>
      </c>
      <c r="I46" s="498">
        <f t="shared" si="31"/>
        <v>7.1722421040862879E-3</v>
      </c>
      <c r="J46" s="498">
        <f t="shared" ref="J46:M46" si="32">J40/J6</f>
        <v>7.172242104086287E-3</v>
      </c>
      <c r="K46" s="498">
        <f t="shared" si="32"/>
        <v>7.1722421040862896E-3</v>
      </c>
      <c r="L46" s="498">
        <f t="shared" si="32"/>
        <v>7.1722421040862879E-3</v>
      </c>
      <c r="M46" s="498">
        <f t="shared" si="32"/>
        <v>7.1722421040862879E-3</v>
      </c>
      <c r="N46" s="498">
        <f t="shared" ref="N46:P46" si="33">N40/N6</f>
        <v>7.1722421040862896E-3</v>
      </c>
      <c r="O46" s="498">
        <f t="shared" si="33"/>
        <v>7.1722421040862887E-3</v>
      </c>
      <c r="P46" s="498">
        <f t="shared" si="33"/>
        <v>7.1722421040862887E-3</v>
      </c>
      <c r="Q46" s="498">
        <f t="shared" ref="Q46" si="34">Q40/Q6</f>
        <v>7.1722421040862887E-3</v>
      </c>
      <c r="R46" s="498">
        <f t="shared" ref="R46" si="35">R40/R6</f>
        <v>7.1722421040862879E-3</v>
      </c>
    </row>
    <row r="47" spans="1:26">
      <c r="C47" s="267" t="s">
        <v>185</v>
      </c>
      <c r="D47" s="497" t="s">
        <v>105</v>
      </c>
      <c r="E47" s="497"/>
      <c r="F47" s="498">
        <f>F41/F7</f>
        <v>7.2229632031329087E-3</v>
      </c>
      <c r="G47" s="498">
        <f t="shared" ref="G47" si="36">G41/G7</f>
        <v>7.222963203132907E-3</v>
      </c>
      <c r="H47" s="498">
        <f t="shared" ref="H47:I47" si="37">H41/H7</f>
        <v>7.2229632031329078E-3</v>
      </c>
      <c r="I47" s="498">
        <f t="shared" si="37"/>
        <v>7.2229632031329087E-3</v>
      </c>
      <c r="J47" s="498">
        <f t="shared" ref="J47:M47" si="38">J41/J7</f>
        <v>7.2229632031329078E-3</v>
      </c>
      <c r="K47" s="498">
        <f t="shared" si="38"/>
        <v>7.222963203132907E-3</v>
      </c>
      <c r="L47" s="498">
        <f t="shared" si="38"/>
        <v>7.2229632031329087E-3</v>
      </c>
      <c r="M47" s="498">
        <f t="shared" si="38"/>
        <v>7.2229632031329061E-3</v>
      </c>
      <c r="N47" s="498">
        <f t="shared" ref="N47:P47" si="39">N41/N7</f>
        <v>7.2229632031329078E-3</v>
      </c>
      <c r="O47" s="498">
        <f t="shared" si="39"/>
        <v>7.222963203132907E-3</v>
      </c>
      <c r="P47" s="498">
        <f t="shared" si="39"/>
        <v>7.222963203132907E-3</v>
      </c>
      <c r="Q47" s="498">
        <f t="shared" ref="Q47" si="40">Q41/Q7</f>
        <v>7.2229632031329087E-3</v>
      </c>
      <c r="R47" s="498">
        <f t="shared" ref="R47" si="41">R41/R7</f>
        <v>7.2229632031329078E-3</v>
      </c>
    </row>
    <row r="48" spans="1:26">
      <c r="C48" s="267" t="s">
        <v>119</v>
      </c>
      <c r="D48" s="497" t="s">
        <v>105</v>
      </c>
      <c r="E48" s="497"/>
      <c r="F48" s="498">
        <f>F42/F8</f>
        <v>2.5164001747598457E-3</v>
      </c>
      <c r="G48" s="498">
        <f t="shared" ref="G48" si="42">G42/G8</f>
        <v>2.5164001747598457E-3</v>
      </c>
      <c r="H48" s="498">
        <f t="shared" ref="H48:I48" si="43">H42/H8</f>
        <v>2.5164001747598453E-3</v>
      </c>
      <c r="I48" s="498">
        <f t="shared" si="43"/>
        <v>2.5164001747598457E-3</v>
      </c>
      <c r="J48" s="498">
        <f t="shared" ref="J48:M48" si="44">J42/J8</f>
        <v>2.5164001747598449E-3</v>
      </c>
      <c r="K48" s="498">
        <f t="shared" si="44"/>
        <v>2.5164001747598453E-3</v>
      </c>
      <c r="L48" s="498">
        <f t="shared" si="44"/>
        <v>2.5164001747598453E-3</v>
      </c>
      <c r="M48" s="498">
        <f t="shared" si="44"/>
        <v>2.5164001747598449E-3</v>
      </c>
      <c r="N48" s="498">
        <f t="shared" ref="N48:P48" si="45">N42/N8</f>
        <v>2.5164001747598449E-3</v>
      </c>
      <c r="O48" s="498">
        <f t="shared" si="45"/>
        <v>2.5164001747598457E-3</v>
      </c>
      <c r="P48" s="498">
        <f t="shared" si="45"/>
        <v>2.5164001747598457E-3</v>
      </c>
      <c r="Q48" s="498">
        <f t="shared" ref="Q48" si="46">Q42/Q8</f>
        <v>2.5164001747598453E-3</v>
      </c>
      <c r="R48" s="498">
        <f t="shared" ref="R48" si="47">R42/R8</f>
        <v>2.5164001747598453E-3</v>
      </c>
      <c r="S48" s="274"/>
    </row>
    <row r="49" spans="1:23">
      <c r="C49" s="516" t="s">
        <v>106</v>
      </c>
      <c r="D49" s="540" t="s">
        <v>105</v>
      </c>
      <c r="E49" s="540"/>
      <c r="F49" s="541">
        <f>F43/F9</f>
        <v>7.6788756709882154E-4</v>
      </c>
      <c r="G49" s="541">
        <f t="shared" ref="G49" si="48">G43/G9</f>
        <v>1.0264671230840803E-3</v>
      </c>
      <c r="H49" s="541">
        <f t="shared" ref="H49:I49" si="49">H43/H9</f>
        <v>1.0264671230840803E-3</v>
      </c>
      <c r="I49" s="541">
        <f t="shared" si="49"/>
        <v>1.0264671230840803E-3</v>
      </c>
      <c r="J49" s="541">
        <f t="shared" ref="J49:M49" si="50">J43/J9</f>
        <v>1.0264671230840803E-3</v>
      </c>
      <c r="K49" s="541">
        <f t="shared" si="50"/>
        <v>1.0264671230840803E-3</v>
      </c>
      <c r="L49" s="541">
        <f t="shared" si="50"/>
        <v>1.0371445944321437E-3</v>
      </c>
      <c r="M49" s="541">
        <f t="shared" si="50"/>
        <v>9.5201827373478658E-4</v>
      </c>
      <c r="N49" s="541">
        <f t="shared" ref="N49:P49" si="51">N43/N9</f>
        <v>6.6331653286652017E-4</v>
      </c>
      <c r="O49" s="541">
        <f t="shared" si="51"/>
        <v>1.1681212596724561E-3</v>
      </c>
      <c r="P49" s="541">
        <f t="shared" si="51"/>
        <v>1.2995358050761385E-3</v>
      </c>
      <c r="Q49" s="541">
        <f t="shared" ref="Q49" si="52">Q43/Q9</f>
        <v>9.6204775146488831E-4</v>
      </c>
      <c r="R49" s="541">
        <f t="shared" ref="R49" si="53">R43/R9</f>
        <v>9.8854194382993641E-4</v>
      </c>
    </row>
    <row r="50" spans="1:23">
      <c r="A50" s="1" t="s">
        <v>210</v>
      </c>
      <c r="C50" s="542" t="s">
        <v>211</v>
      </c>
      <c r="D50" s="227" t="s">
        <v>48</v>
      </c>
      <c r="E50" s="497"/>
      <c r="F50" s="543">
        <f>F43/F9*1000000</f>
        <v>767.88756709882159</v>
      </c>
      <c r="G50" s="543">
        <f t="shared" ref="G50" si="54">G43/G9*1000000</f>
        <v>1026.4671230840804</v>
      </c>
      <c r="H50" s="543">
        <f t="shared" ref="H50:I50" si="55">H43/H9*1000000</f>
        <v>1026.4671230840804</v>
      </c>
      <c r="I50" s="543">
        <f t="shared" si="55"/>
        <v>1026.4671230840804</v>
      </c>
      <c r="J50" s="543">
        <f t="shared" ref="J50:M50" si="56">J43/J9*1000000</f>
        <v>1026.4671230840804</v>
      </c>
      <c r="K50" s="543">
        <f t="shared" si="56"/>
        <v>1026.4671230840804</v>
      </c>
      <c r="L50" s="543">
        <f t="shared" si="56"/>
        <v>1037.1445944321438</v>
      </c>
      <c r="M50" s="543">
        <f t="shared" si="56"/>
        <v>952.01827373478659</v>
      </c>
      <c r="N50" s="543">
        <f t="shared" ref="N50:P50" si="57">N43/N9*1000000</f>
        <v>663.31653286652022</v>
      </c>
      <c r="O50" s="543">
        <f t="shared" si="57"/>
        <v>1168.1212596724561</v>
      </c>
      <c r="P50" s="543">
        <f t="shared" si="57"/>
        <v>1299.5358050761386</v>
      </c>
      <c r="Q50" s="543">
        <f t="shared" ref="Q50" si="58">Q43/Q9*1000000</f>
        <v>962.04775146488828</v>
      </c>
      <c r="R50" s="543">
        <f>SUM($R$27:$R$29)/$R$9*1000000</f>
        <v>988.54194382993637</v>
      </c>
    </row>
    <row r="51" spans="1:23">
      <c r="C51" s="542" t="s">
        <v>212</v>
      </c>
      <c r="D51" s="227" t="s">
        <v>48</v>
      </c>
      <c r="E51" s="497"/>
      <c r="F51" s="543">
        <f>SUM(F39:F42)/SUM(F5:F8)*1000000</f>
        <v>5086.9501804334523</v>
      </c>
      <c r="G51" s="543">
        <f t="shared" ref="G51" si="59">SUM(G39:G42)/SUM(G5:G8)*1000000</f>
        <v>5080.494228110626</v>
      </c>
      <c r="H51" s="543">
        <f t="shared" ref="H51:I51" si="60">SUM(H39:H42)/SUM(H5:H8)*1000000</f>
        <v>5142.3748093161639</v>
      </c>
      <c r="I51" s="543">
        <f t="shared" si="60"/>
        <v>5143.4954870512902</v>
      </c>
      <c r="J51" s="543">
        <f t="shared" ref="J51:M51" si="61">SUM(J39:J42)/SUM(J5:J8)*1000000</f>
        <v>5002.2550237154119</v>
      </c>
      <c r="K51" s="543">
        <f t="shared" si="61"/>
        <v>5076.14107605343</v>
      </c>
      <c r="L51" s="543">
        <f t="shared" si="61"/>
        <v>5084.9747043529296</v>
      </c>
      <c r="M51" s="543">
        <f t="shared" si="61"/>
        <v>5087.3906511642072</v>
      </c>
      <c r="N51" s="543">
        <f t="shared" ref="N51:P51" si="62">SUM(N39:N42)/SUM(N5:N8)*1000000</f>
        <v>5065.8084509592536</v>
      </c>
      <c r="O51" s="543">
        <f t="shared" si="62"/>
        <v>5084.3725129260347</v>
      </c>
      <c r="P51" s="543">
        <f t="shared" si="62"/>
        <v>4990.1491558086664</v>
      </c>
      <c r="Q51" s="543">
        <f t="shared" ref="Q51" si="63">SUM(Q39:Q42)/SUM(Q5:Q8)*1000000</f>
        <v>5020.1801654675601</v>
      </c>
      <c r="R51" s="543">
        <f>SUM($R$39:$R$42)/SUM($R$5:$R$8)*1000000</f>
        <v>5072.619592507509</v>
      </c>
    </row>
    <row r="52" spans="1:23">
      <c r="A52" s="1" t="s">
        <v>213</v>
      </c>
      <c r="C52" s="542" t="s">
        <v>214</v>
      </c>
      <c r="D52" s="227" t="s">
        <v>48</v>
      </c>
      <c r="E52" s="497"/>
      <c r="F52" s="542"/>
      <c r="G52" s="542"/>
      <c r="H52" s="542"/>
      <c r="I52" s="542"/>
      <c r="J52" s="542"/>
      <c r="K52" s="588">
        <f>SUM(F27:K29)/SUM(F9:K9)*1000000</f>
        <v>987.26036277953472</v>
      </c>
      <c r="L52" s="542"/>
      <c r="M52" s="542"/>
      <c r="N52" s="542"/>
      <c r="O52" s="542"/>
      <c r="P52" s="542"/>
      <c r="Q52" s="588">
        <f>SUM(L27:Q29)/SUM(L9:Q9)*1000000</f>
        <v>989.87960707029697</v>
      </c>
      <c r="R52" s="543">
        <f>SUM($R$27:$R$29)/$R$9*1000000</f>
        <v>988.54194382993637</v>
      </c>
      <c r="S52" s="535"/>
      <c r="T52" s="535"/>
      <c r="U52" s="535"/>
      <c r="V52" s="535"/>
      <c r="W52" s="535"/>
    </row>
    <row r="53" spans="1:23">
      <c r="C53" s="542" t="s">
        <v>212</v>
      </c>
      <c r="D53" s="227" t="s">
        <v>48</v>
      </c>
      <c r="E53" s="497"/>
      <c r="F53" s="542"/>
      <c r="G53" s="542"/>
      <c r="H53" s="542"/>
      <c r="I53" s="542"/>
      <c r="J53" s="542"/>
      <c r="K53" s="543">
        <f>SUM(F39:K42)/SUM(F5:K8)*1000000</f>
        <v>5087.2609180828367</v>
      </c>
      <c r="L53" s="542"/>
      <c r="M53" s="542"/>
      <c r="N53" s="542"/>
      <c r="O53" s="542"/>
      <c r="P53" s="542"/>
      <c r="Q53" s="543">
        <f>SUM(L39:Q42)/SUM(L5:Q8)*1000000</f>
        <v>5057.7380415660955</v>
      </c>
      <c r="R53" s="543">
        <f>SUM($R$39:$R$42)/SUM($R$5:$R$8)*1000000</f>
        <v>5072.619592507509</v>
      </c>
      <c r="S53" s="535"/>
      <c r="T53" s="535"/>
      <c r="U53" s="535"/>
      <c r="V53" s="535"/>
      <c r="W53" s="535"/>
    </row>
    <row r="54" spans="1:23">
      <c r="Q54" s="535"/>
      <c r="R54" s="535"/>
      <c r="S54" s="535"/>
      <c r="T54" s="535"/>
      <c r="U54" s="535"/>
      <c r="V54" s="535"/>
      <c r="W54" s="535"/>
    </row>
    <row r="55" spans="1:23">
      <c r="Q55" s="535"/>
      <c r="R55" s="535"/>
      <c r="S55" s="535"/>
      <c r="T55" s="535"/>
      <c r="U55" s="535"/>
      <c r="V55" s="535"/>
      <c r="W55" s="535"/>
    </row>
    <row r="56" spans="1:23">
      <c r="Q56" s="535"/>
      <c r="R56" s="535"/>
      <c r="S56" s="535"/>
      <c r="T56" s="535"/>
      <c r="U56" s="535"/>
      <c r="V56" s="535"/>
      <c r="W56" s="535"/>
    </row>
    <row r="57" spans="1:23">
      <c r="Q57" s="535"/>
      <c r="R57" s="535"/>
      <c r="S57" s="535"/>
      <c r="T57" s="535"/>
      <c r="U57" s="535"/>
      <c r="V57" s="535"/>
      <c r="W57" s="535"/>
    </row>
    <row r="58" spans="1:23">
      <c r="Q58" s="535"/>
      <c r="R58" s="535"/>
      <c r="S58" s="535"/>
      <c r="T58" s="535"/>
      <c r="U58" s="535"/>
      <c r="V58" s="535"/>
      <c r="W58" s="535"/>
    </row>
    <row r="59" spans="1:23">
      <c r="Q59" s="535"/>
      <c r="R59" s="535"/>
      <c r="S59" s="535"/>
      <c r="T59" s="535"/>
      <c r="U59" s="535"/>
      <c r="V59" s="535"/>
      <c r="W59" s="535"/>
    </row>
    <row r="60" spans="1:23">
      <c r="Q60" s="535"/>
      <c r="R60" s="535"/>
      <c r="S60" s="535"/>
      <c r="T60" s="535"/>
      <c r="U60" s="535"/>
      <c r="V60" s="535"/>
      <c r="W60" s="535"/>
    </row>
    <row r="61" spans="1:23">
      <c r="Q61" s="535"/>
      <c r="R61" s="535"/>
      <c r="S61" s="535"/>
      <c r="T61" s="535"/>
      <c r="U61" s="535"/>
      <c r="V61" s="535"/>
      <c r="W61" s="535"/>
    </row>
    <row r="62" spans="1:23">
      <c r="Q62" s="535"/>
      <c r="R62" s="535"/>
      <c r="S62" s="535"/>
      <c r="T62" s="535"/>
      <c r="U62" s="535"/>
      <c r="V62" s="535"/>
      <c r="W62" s="535"/>
    </row>
  </sheetData>
  <sheetProtection formatCells="0"/>
  <mergeCells count="1">
    <mergeCell ref="A30:B36"/>
  </mergeCells>
  <printOptions horizontalCentered="1" gridLinesSet="0"/>
  <pageMargins left="0.39370078740157483" right="0.39370078740157483" top="0.78740157480314965" bottom="0.39370078740157483" header="0.51181102362204722" footer="0.51181102362204722"/>
  <pageSetup paperSize="9" scale="37" orientation="landscape" r:id="rId1"/>
  <headerFooter alignWithMargins="0">
    <oddFooter>&amp;L&amp;A&amp;R&amp;F</oddFooter>
  </headerFooter>
  <ignoredErrors>
    <ignoredError sqref="G49:G50 Q52:Q53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>
    <tabColor indexed="42"/>
    <pageSetUpPr fitToPage="1"/>
  </sheetPr>
  <dimension ref="A2:W67"/>
  <sheetViews>
    <sheetView showGridLines="0" tabSelected="1" topLeftCell="A4" zoomScaleNormal="100" workbookViewId="0">
      <selection activeCell="G37" sqref="G37"/>
    </sheetView>
  </sheetViews>
  <sheetFormatPr defaultColWidth="11.42578125" defaultRowHeight="12.75"/>
  <cols>
    <col min="1" max="1" width="10.7109375" style="1" customWidth="1"/>
    <col min="2" max="2" width="6.7109375" style="1" customWidth="1"/>
    <col min="3" max="3" width="15.42578125" style="1" customWidth="1"/>
    <col min="4" max="4" width="4" style="455" bestFit="1" customWidth="1"/>
    <col min="5" max="6" width="12.7109375" style="455" bestFit="1" customWidth="1"/>
    <col min="7" max="7" width="16.5703125" style="1" bestFit="1" customWidth="1"/>
    <col min="8" max="14" width="12.85546875" style="1" bestFit="1" customWidth="1"/>
    <col min="15" max="18" width="11.7109375" style="1" bestFit="1" customWidth="1"/>
    <col min="19" max="19" width="16.42578125" style="1" bestFit="1" customWidth="1"/>
    <col min="20" max="20" width="13.42578125" style="1" bestFit="1" customWidth="1"/>
    <col min="21" max="16384" width="11.42578125" style="1"/>
  </cols>
  <sheetData>
    <row r="2" spans="1:19" ht="18">
      <c r="A2" s="242" t="s">
        <v>188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454"/>
      <c r="N2" s="454"/>
      <c r="O2" s="454"/>
      <c r="P2" s="454"/>
      <c r="Q2" s="454"/>
      <c r="R2" s="454"/>
      <c r="S2" s="454"/>
    </row>
    <row r="3" spans="1:19" ht="18">
      <c r="A3" s="204" t="s">
        <v>253</v>
      </c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O3" s="949" t="s">
        <v>191</v>
      </c>
      <c r="P3" s="949"/>
      <c r="Q3" s="949"/>
      <c r="R3" s="949"/>
    </row>
    <row r="4" spans="1:19">
      <c r="A4" s="235" t="s">
        <v>107</v>
      </c>
      <c r="B4" s="235"/>
      <c r="C4" s="235"/>
      <c r="D4" s="227" t="s">
        <v>179</v>
      </c>
      <c r="E4" s="227" t="s">
        <v>250</v>
      </c>
      <c r="F4" s="227" t="s">
        <v>313</v>
      </c>
      <c r="G4" s="236">
        <f>'Prod &amp; Defects - Qty'!F4</f>
        <v>44652</v>
      </c>
      <c r="H4" s="236">
        <f>'Prod &amp; Defects - Qty'!G4</f>
        <v>44682</v>
      </c>
      <c r="I4" s="236">
        <f>'Prod &amp; Defects - Qty'!H4</f>
        <v>44713</v>
      </c>
      <c r="J4" s="236">
        <f>'Prod &amp; Defects - Qty'!I4</f>
        <v>44743</v>
      </c>
      <c r="K4" s="236">
        <f>'Prod &amp; Defects - Qty'!J4</f>
        <v>44774</v>
      </c>
      <c r="L4" s="236">
        <f>'Prod &amp; Defects - Qty'!K4</f>
        <v>44805</v>
      </c>
      <c r="M4" s="236">
        <f>'Prod &amp; Defects - Qty'!L4</f>
        <v>44835</v>
      </c>
      <c r="N4" s="236">
        <f>'Prod &amp; Defects - Qty'!M4</f>
        <v>44866</v>
      </c>
      <c r="O4" s="236">
        <f>'Prod &amp; Defects - Qty'!N4</f>
        <v>44896</v>
      </c>
      <c r="P4" s="236">
        <f>'Prod &amp; Defects - Qty'!O4</f>
        <v>44927</v>
      </c>
      <c r="Q4" s="236">
        <f>'Prod &amp; Defects - Qty'!P4</f>
        <v>44958</v>
      </c>
      <c r="R4" s="236">
        <f>'Prod &amp; Defects - Qty'!Q4</f>
        <v>44986</v>
      </c>
      <c r="S4" s="228" t="s">
        <v>1</v>
      </c>
    </row>
    <row r="5" spans="1:19">
      <c r="A5" s="235" t="s">
        <v>98</v>
      </c>
      <c r="B5" s="235"/>
      <c r="C5" s="235"/>
      <c r="D5" s="227" t="s">
        <v>81</v>
      </c>
      <c r="E5" s="500">
        <v>15765317.869210012</v>
      </c>
      <c r="F5" s="500">
        <f>'[3]Prod &amp; Defects - Costs'!S5</f>
        <v>11879755.261673879</v>
      </c>
      <c r="G5" s="935">
        <f>'Prod &amp; Defects - Qty'!F5*Custo_UM_1</f>
        <v>1214436081.4459934</v>
      </c>
      <c r="H5" s="935">
        <f>'Prod &amp; Defects - Qty'!G5*Custo_UM_1</f>
        <v>662701554.94124889</v>
      </c>
      <c r="I5" s="935">
        <f>'Prod &amp; Defects - Qty'!H5*Custo_UM_1</f>
        <v>659660557.63020492</v>
      </c>
      <c r="J5" s="935">
        <f>'Prod &amp; Defects - Qty'!I5*Custo_UM_1</f>
        <v>666635433.51018345</v>
      </c>
      <c r="K5" s="935">
        <f>'Prod &amp; Defects - Qty'!J5*Custo_UM_1</f>
        <v>1204220145.2073653</v>
      </c>
      <c r="L5" s="935">
        <f>'Prod &amp; Defects - Qty'!K5*Custo_UM_1</f>
        <v>1395471685.9100757</v>
      </c>
      <c r="M5" s="935">
        <f>'Prod &amp; Defects - Qty'!L5*Custo_UM_1</f>
        <v>1405406413.8562145</v>
      </c>
      <c r="N5" s="935">
        <f>'Prod &amp; Defects - Qty'!M5*Custo_UM_1</f>
        <v>1407015333.7984896</v>
      </c>
      <c r="O5" s="935">
        <f>'Prod &amp; Defects - Qty'!N5*Custo_UM_1</f>
        <v>1128091969.8116462</v>
      </c>
      <c r="P5" s="935">
        <f>'Prod &amp; Defects - Qty'!O5*Custo_UM_1</f>
        <v>1045454514.6929394</v>
      </c>
      <c r="Q5" s="935">
        <f>'Prod &amp; Defects - Qty'!P5*Custo_UM_1</f>
        <v>1057795346.5106215</v>
      </c>
      <c r="R5" s="935">
        <f>'Prod &amp; Defects - Qty'!Q5*Custo_UM_1</f>
        <v>1302278877.9252977</v>
      </c>
      <c r="S5" s="936">
        <f>SUM(G5:R5)</f>
        <v>13149167915.24028</v>
      </c>
    </row>
    <row r="6" spans="1:19">
      <c r="A6" s="235" t="s">
        <v>170</v>
      </c>
      <c r="B6" s="235"/>
      <c r="C6" s="235"/>
      <c r="D6" s="227" t="s">
        <v>81</v>
      </c>
      <c r="E6" s="500">
        <v>6386001.4194882</v>
      </c>
      <c r="F6" s="500">
        <f>'[3]Prod &amp; Defects - Costs'!S6</f>
        <v>5844294.4263750995</v>
      </c>
      <c r="G6" s="935">
        <f>'Prod &amp; Defects - Qty'!F6*Custo_UM_3</f>
        <v>685140437.23032677</v>
      </c>
      <c r="H6" s="935">
        <f>'Prod &amp; Defects - Qty'!G6*Custo_UM_3</f>
        <v>717044871.11963499</v>
      </c>
      <c r="I6" s="935">
        <f>'Prod &amp; Defects - Qty'!H6*Custo_UM_3</f>
        <v>690072898.95204771</v>
      </c>
      <c r="J6" s="935">
        <f>'Prod &amp; Defects - Qty'!I6*Custo_UM_3</f>
        <v>694534255.66078794</v>
      </c>
      <c r="K6" s="935">
        <f>'Prod &amp; Defects - Qty'!J6*Custo_UM_3</f>
        <v>703018929.1267308</v>
      </c>
      <c r="L6" s="935">
        <f>'Prod &amp; Defects - Qty'!K6*Custo_UM_3</f>
        <v>799319545.33925164</v>
      </c>
      <c r="M6" s="935">
        <f>'Prod &amp; Defects - Qty'!L6*Custo_UM_3</f>
        <v>789487810.43235993</v>
      </c>
      <c r="N6" s="935">
        <f>'Prod &amp; Defects - Qty'!M6*Custo_UM_3</f>
        <v>789901920.0147512</v>
      </c>
      <c r="O6" s="935">
        <f>'Prod &amp; Defects - Qty'!N6*Custo_UM_3</f>
        <v>751568866.77147007</v>
      </c>
      <c r="P6" s="935">
        <f>'Prod &amp; Defects - Qty'!O6*Custo_UM_3</f>
        <v>582863611.9402504</v>
      </c>
      <c r="Q6" s="935">
        <f>'Prod &amp; Defects - Qty'!P6*Custo_UM_3</f>
        <v>559443409.66250956</v>
      </c>
      <c r="R6" s="935">
        <f>'Prod &amp; Defects - Qty'!Q6*Custo_UM_3</f>
        <v>709311595.99235749</v>
      </c>
      <c r="S6" s="936">
        <f t="shared" ref="S6:S10" si="0">SUM(G6:R6)</f>
        <v>8471708152.2424793</v>
      </c>
    </row>
    <row r="7" spans="1:19">
      <c r="A7" s="235" t="s">
        <v>171</v>
      </c>
      <c r="B7" s="235"/>
      <c r="C7" s="235"/>
      <c r="D7" s="227" t="s">
        <v>81</v>
      </c>
      <c r="E7" s="500">
        <v>20167287.7247613</v>
      </c>
      <c r="F7" s="500">
        <f>'[3]Prod &amp; Defects - Costs'!S7</f>
        <v>19672441.375560801</v>
      </c>
      <c r="G7" s="935">
        <f>'Prod &amp; Defects - Qty'!F7*Custo_UM_3</f>
        <v>2275554092.8971949</v>
      </c>
      <c r="H7" s="935">
        <f>'Prod &amp; Defects - Qty'!G7*Custo_UM_3</f>
        <v>2381518156.8661366</v>
      </c>
      <c r="I7" s="935">
        <f>'Prod &amp; Defects - Qty'!H7*Custo_UM_3</f>
        <v>2291936257.5586386</v>
      </c>
      <c r="J7" s="935">
        <f>'Prod &amp; Defects - Qty'!I7*Custo_UM_3</f>
        <v>2306753743.094141</v>
      </c>
      <c r="K7" s="935">
        <f>'Prod &amp; Defects - Qty'!J7*Custo_UM_3</f>
        <v>2334933853.8906546</v>
      </c>
      <c r="L7" s="935">
        <f>'Prod &amp; Defects - Qty'!K7*Custo_UM_3</f>
        <v>2654776691.1588559</v>
      </c>
      <c r="M7" s="935">
        <f>'Prod &amp; Defects - Qty'!L7*Custo_UM_3</f>
        <v>2622122590.78478</v>
      </c>
      <c r="N7" s="935">
        <f>'Prod &amp; Defects - Qty'!M7*Custo_UM_3</f>
        <v>2623497971.223465</v>
      </c>
      <c r="O7" s="935">
        <f>'Prod &amp; Defects - Qty'!N7*Custo_UM_3</f>
        <v>2496182560.4536428</v>
      </c>
      <c r="P7" s="935">
        <f>'Prod &amp; Defects - Qty'!O7*Custo_UM_3</f>
        <v>1935862497.2030342</v>
      </c>
      <c r="Q7" s="935">
        <f>'Prod &amp; Defects - Qty'!P7*Custo_UM_3</f>
        <v>1858077076.5015011</v>
      </c>
      <c r="R7" s="935">
        <f>'Prod &amp; Defects - Qty'!Q7*Custo_UM_3</f>
        <v>2355833662.2557855</v>
      </c>
      <c r="S7" s="936">
        <f t="shared" si="0"/>
        <v>28137049153.887836</v>
      </c>
    </row>
    <row r="8" spans="1:19">
      <c r="A8" s="235" t="s">
        <v>119</v>
      </c>
      <c r="B8" s="235"/>
      <c r="C8" s="235"/>
      <c r="D8" s="227" t="s">
        <v>81</v>
      </c>
      <c r="E8" s="500">
        <v>9132011.4090231992</v>
      </c>
      <c r="F8" s="500">
        <f>'[3]Prod &amp; Defects - Costs'!S8</f>
        <v>9476787.8878905997</v>
      </c>
      <c r="G8" s="935">
        <f>'Prod &amp; Defects - Qty'!F8*Custo_UM_4</f>
        <v>1538658064.5397172</v>
      </c>
      <c r="H8" s="935">
        <f>'Prod &amp; Defects - Qty'!G8*Custo_UM_4</f>
        <v>1756800202.7633481</v>
      </c>
      <c r="I8" s="935">
        <f>'Prod &amp; Defects - Qty'!H8*Custo_UM_4</f>
        <v>1591223252.4991021</v>
      </c>
      <c r="J8" s="935">
        <f>'Prod &amp; Defects - Qty'!I8*Custo_UM_4</f>
        <v>1599223902.3784549</v>
      </c>
      <c r="K8" s="935">
        <f>'Prod &amp; Defects - Qty'!J8*Custo_UM_4</f>
        <v>1726475189.4098511</v>
      </c>
      <c r="L8" s="935">
        <f>'Prod &amp; Defects - Qty'!K8*Custo_UM_4</f>
        <v>1819334641.5834715</v>
      </c>
      <c r="M8" s="935">
        <f>'Prod &amp; Defects - Qty'!L8*Custo_UM_4</f>
        <v>1775156957.6538842</v>
      </c>
      <c r="N8" s="935">
        <f>'Prod &amp; Defects - Qty'!M8*Custo_UM_4</f>
        <v>1771606090.9498248</v>
      </c>
      <c r="O8" s="935">
        <f>'Prod &amp; Defects - Qty'!N8*Custo_UM_4</f>
        <v>1769511468.5212808</v>
      </c>
      <c r="P8" s="935">
        <f>'Prod &amp; Defects - Qty'!O8*Custo_UM_4</f>
        <v>1309593473.8511567</v>
      </c>
      <c r="Q8" s="935">
        <f>'Prod &amp; Defects - Qty'!P8*Custo_UM_4</f>
        <v>1367828562.0570076</v>
      </c>
      <c r="R8" s="935">
        <f>'Prod &amp; Defects - Qty'!Q8*Custo_UM_4</f>
        <v>1692004858.7620299</v>
      </c>
      <c r="S8" s="936">
        <f t="shared" si="0"/>
        <v>19717416664.969131</v>
      </c>
    </row>
    <row r="9" spans="1:19">
      <c r="A9" s="235" t="s">
        <v>106</v>
      </c>
      <c r="B9" s="235"/>
      <c r="C9" s="235"/>
      <c r="D9" s="227" t="s">
        <v>81</v>
      </c>
      <c r="E9" s="500">
        <v>13910109.259911535</v>
      </c>
      <c r="F9" s="500">
        <f>'[3]Prod &amp; Defects - Costs'!S9</f>
        <v>11015443.082194392</v>
      </c>
      <c r="G9" s="935">
        <f>'Prod &amp; Defects - Qty'!F9*Custo_LR6</f>
        <v>1341366161.1626809</v>
      </c>
      <c r="H9" s="935">
        <f>'Prod &amp; Defects - Qty'!G9*Custo_LR6</f>
        <v>1490377963.2978101</v>
      </c>
      <c r="I9" s="935">
        <f>'Prod &amp; Defects - Qty'!H9*Custo_LR6</f>
        <v>1447451597.0817735</v>
      </c>
      <c r="J9" s="935">
        <f>'Prod &amp; Defects - Qty'!I9*Custo_LR6</f>
        <v>1474329918.9510722</v>
      </c>
      <c r="K9" s="935">
        <f>'Prod &amp; Defects - Qty'!J9*Custo_LR6</f>
        <v>1469850198.6395226</v>
      </c>
      <c r="L9" s="935">
        <f>'Prod &amp; Defects - Qty'!K9*Custo_LR6</f>
        <v>1623309367.0121615</v>
      </c>
      <c r="M9" s="935">
        <f>'Prod &amp; Defects - Qty'!L9*Custo_LR6</f>
        <v>1657484301.0545228</v>
      </c>
      <c r="N9" s="935">
        <f>'Prod &amp; Defects - Qty'!M9*Custo_LR6</f>
        <v>1674571768.0757034</v>
      </c>
      <c r="O9" s="935">
        <f>'Prod &amp; Defects - Qty'!N9*Custo_LR6</f>
        <v>1552973635.8944676</v>
      </c>
      <c r="P9" s="935">
        <f>'Prod &amp; Defects - Qty'!O9*Custo_LR6</f>
        <v>1003459706.5214776</v>
      </c>
      <c r="Q9" s="935">
        <f>'Prod &amp; Defects - Qty'!P9*Custo_LR6</f>
        <v>1141833813.1969759</v>
      </c>
      <c r="R9" s="935">
        <f>'Prod &amp; Defects - Qty'!Q9*Custo_LR6</f>
        <v>1445460348.4172721</v>
      </c>
      <c r="S9" s="936">
        <f t="shared" si="0"/>
        <v>17322468779.305439</v>
      </c>
    </row>
    <row r="10" spans="1:19">
      <c r="A10" s="235" t="s">
        <v>1</v>
      </c>
      <c r="B10" s="235"/>
      <c r="C10" s="235"/>
      <c r="D10" s="227" t="s">
        <v>81</v>
      </c>
      <c r="E10" s="500">
        <v>65360727.682394259</v>
      </c>
      <c r="F10" s="500">
        <f>'[3]Prod &amp; Defects - Costs'!S10</f>
        <v>57888722.033694774</v>
      </c>
      <c r="G10" s="935">
        <f>SUM(G5:G9)</f>
        <v>7055154837.2759123</v>
      </c>
      <c r="H10" s="935">
        <f t="shared" ref="H10:R10" si="1">SUM(H5:H9)</f>
        <v>7008442748.9881783</v>
      </c>
      <c r="I10" s="935">
        <f t="shared" si="1"/>
        <v>6680344563.7217674</v>
      </c>
      <c r="J10" s="935">
        <f t="shared" si="1"/>
        <v>6741477253.5946388</v>
      </c>
      <c r="K10" s="935">
        <f t="shared" si="1"/>
        <v>7438498316.2741241</v>
      </c>
      <c r="L10" s="935">
        <f t="shared" si="1"/>
        <v>8292211931.0038157</v>
      </c>
      <c r="M10" s="935">
        <f t="shared" si="1"/>
        <v>8249658073.7817612</v>
      </c>
      <c r="N10" s="935">
        <f t="shared" si="1"/>
        <v>8266593084.0622339</v>
      </c>
      <c r="O10" s="935">
        <f t="shared" si="1"/>
        <v>7698328501.452508</v>
      </c>
      <c r="P10" s="935">
        <f t="shared" si="1"/>
        <v>5877233804.2088575</v>
      </c>
      <c r="Q10" s="935">
        <f t="shared" si="1"/>
        <v>5984978207.9286156</v>
      </c>
      <c r="R10" s="935">
        <f t="shared" si="1"/>
        <v>7504889343.3527431</v>
      </c>
      <c r="S10" s="936">
        <f t="shared" si="0"/>
        <v>86797810665.645157</v>
      </c>
    </row>
    <row r="11" spans="1:19" ht="13.5" thickBot="1">
      <c r="F11" s="707"/>
    </row>
    <row r="12" spans="1:19">
      <c r="A12" s="243" t="s">
        <v>182</v>
      </c>
      <c r="B12" s="456"/>
      <c r="C12" s="245" t="s">
        <v>168</v>
      </c>
      <c r="D12" s="246" t="s">
        <v>81</v>
      </c>
      <c r="E12" s="501">
        <v>64412.594918056522</v>
      </c>
      <c r="F12" s="501">
        <f>'[3]Prod &amp; Defects - Costs'!S12</f>
        <v>98614.426854329649</v>
      </c>
      <c r="G12" s="457">
        <f t="array" ref="G12">SUM(IF($C$15:$C$26=$C12,G$15:G$26))</f>
        <v>6751.8586694200903</v>
      </c>
      <c r="H12" s="457">
        <f t="array" ref="H12">SUM(IF($C$15:$C$26=$C12,H$15:H$26))</f>
        <v>6385.7289554592589</v>
      </c>
      <c r="I12" s="457">
        <f t="array" ref="I12">SUM(IF($C$15:$C$26=$C12,I$15:I$26))</f>
        <v>6122.6579398919084</v>
      </c>
      <c r="J12" s="457">
        <f t="array" ref="J12">SUM(IF($C$15:$C$26=$C12,J$15:J$26))</f>
        <v>6164.4520491569938</v>
      </c>
      <c r="K12" s="457">
        <f t="array" ref="K12">SUM(IF($C$15:$C$26=$C12,K$15:K$26))</f>
        <v>6950.3053134525862</v>
      </c>
      <c r="L12" s="457">
        <f t="array" ref="L12">SUM(IF($C$15:$C$26=$C12,L$15:L$26))</f>
        <v>7862.7809605613593</v>
      </c>
      <c r="M12" s="457">
        <f t="array" ref="M12">SUM(IF($C$15:$C$26=$C12,M$15:M$26))</f>
        <v>7788.7095697209515</v>
      </c>
      <c r="N12" s="457">
        <f t="array" ref="N12">SUM(IF($C$15:$C$26=$C12,N$15:N$26))</f>
        <v>7791.6231847109129</v>
      </c>
      <c r="O12" s="458">
        <f t="array" ref="O12">SUM(IF($C$15:$C$26=$C12,O$15:O$26))</f>
        <v>7194.503013151766</v>
      </c>
      <c r="P12" s="458">
        <f t="array" ref="P12">SUM(IF($C$15:$C$26=$C12,P$15:P$26))</f>
        <v>5759.5235761818967</v>
      </c>
      <c r="Q12" s="458">
        <f t="array" ref="Q12">SUM(IF($C$15:$C$26=$C12,Q$15:Q$26))</f>
        <v>5651.1958651294735</v>
      </c>
      <c r="R12" s="458">
        <f t="array" ref="R12">SUM(IF($C$15:$C$26=$C12,R$15:R$26))</f>
        <v>7095.6368934807633</v>
      </c>
      <c r="S12" s="266">
        <f t="array" ref="S12">SUM(IF($C$15:$C$26=$C12,S$15:S$26))</f>
        <v>81518.975990317966</v>
      </c>
    </row>
    <row r="13" spans="1:19">
      <c r="A13" s="459"/>
      <c r="B13" s="118"/>
      <c r="C13" s="186" t="s">
        <v>169</v>
      </c>
      <c r="D13" s="238" t="s">
        <v>81</v>
      </c>
      <c r="E13" s="502">
        <v>27017.94016948052</v>
      </c>
      <c r="F13" s="502">
        <f>'[3]Prod &amp; Defects - Costs'!S13</f>
        <v>34363.861933335371</v>
      </c>
      <c r="G13" s="460">
        <f t="array" ref="G13">SUM(IF($C$15:$C$26=$C13,G$15:G$26))</f>
        <v>2276.6314765018133</v>
      </c>
      <c r="H13" s="460">
        <f t="array" ref="H13">SUM(IF($C$15:$C$26=$C13,H$15:H$26))</f>
        <v>2019.1290130248428</v>
      </c>
      <c r="I13" s="460">
        <f t="array" ref="I13">SUM(IF($C$15:$C$26=$C13,I$15:I$26))</f>
        <v>1955.2419448643161</v>
      </c>
      <c r="J13" s="460">
        <f t="array" ref="J13">SUM(IF($C$15:$C$26=$C13,J$15:J$26))</f>
        <v>1969.4846580480662</v>
      </c>
      <c r="K13" s="460">
        <f t="array" ref="K13">SUM(IF($C$15:$C$26=$C13,K$15:K$26))</f>
        <v>2312.4798229534267</v>
      </c>
      <c r="L13" s="460">
        <f t="array" ref="L13">SUM(IF($C$15:$C$26=$C13,L$15:L$26))</f>
        <v>2643.4803093996898</v>
      </c>
      <c r="M13" s="460">
        <f t="array" ref="M13">SUM(IF($C$15:$C$26=$C13,M$15:M$26))</f>
        <v>2626.9951125000593</v>
      </c>
      <c r="N13" s="460">
        <f t="array" ref="N13">SUM(IF($C$15:$C$26=$C13,N$15:N$26))</f>
        <v>2628.8479284939135</v>
      </c>
      <c r="O13" s="461">
        <f t="array" ref="O13">SUM(IF($C$15:$C$26=$C13,O$15:O$26))</f>
        <v>2375.748853963878</v>
      </c>
      <c r="P13" s="461">
        <f t="array" ref="P13">SUM(IF($C$15:$C$26=$C13,P$15:P$26))</f>
        <v>1944.1729859901002</v>
      </c>
      <c r="Q13" s="461">
        <f t="array" ref="Q13">SUM(IF($C$15:$C$26=$C13,Q$15:Q$26))</f>
        <v>1899.869687193876</v>
      </c>
      <c r="R13" s="461">
        <f t="array" ref="R13">SUM(IF($C$15:$C$26=$C13,R$15:R$26))</f>
        <v>2385.0259990410368</v>
      </c>
      <c r="S13" s="258">
        <f t="array" ref="S13">SUM(IF($C$15:$C$26=$C13,S$15:S$26))</f>
        <v>27037.107791975021</v>
      </c>
    </row>
    <row r="14" spans="1:19">
      <c r="A14" s="462"/>
      <c r="B14" s="463"/>
      <c r="C14" s="189" t="s">
        <v>104</v>
      </c>
      <c r="D14" s="239" t="s">
        <v>81</v>
      </c>
      <c r="E14" s="503">
        <v>40453.513161748109</v>
      </c>
      <c r="F14" s="503">
        <f>'[3]Prod &amp; Defects - Costs'!S14</f>
        <v>46036.410790784139</v>
      </c>
      <c r="G14" s="464">
        <f t="array" ref="G14">SUM(IF($C$15:$C$26=$C14,G$15:G$26))</f>
        <v>3994.8732997095326</v>
      </c>
      <c r="H14" s="464">
        <f t="array" ref="H14">SUM(IF($C$15:$C$26=$C14,H$15:H$26))</f>
        <v>4154.2333164211232</v>
      </c>
      <c r="I14" s="464">
        <f t="array" ref="I14">SUM(IF($C$15:$C$26=$C14,I$15:I$26))</f>
        <v>3908.4934159200261</v>
      </c>
      <c r="J14" s="464">
        <f t="array" ref="J14">SUM(IF($C$15:$C$26=$C14,J$15:J$26))</f>
        <v>3932.3124986484618</v>
      </c>
      <c r="K14" s="464">
        <f t="array" ref="K14">SUM(IF($C$15:$C$26=$C14,K$15:K$26))</f>
        <v>2633.0873408367684</v>
      </c>
      <c r="L14" s="464">
        <f t="array" ref="L14">SUM(IF($C$15:$C$26=$C14,L$15:L$26))</f>
        <v>2995.9406726898819</v>
      </c>
      <c r="M14" s="464">
        <f t="array" ref="M14">SUM(IF($C$15:$C$26=$C14,M$15:M$26))</f>
        <v>2965.7738859890405</v>
      </c>
      <c r="N14" s="464">
        <f t="array" ref="N14">SUM(IF($C$15:$C$26=$C14,N$15:N$26))</f>
        <v>2967.411286366601</v>
      </c>
      <c r="O14" s="465">
        <f t="array" ref="O14">SUM(IF($C$15:$C$26=$C14,O$15:O$26))</f>
        <v>2768.4382462884</v>
      </c>
      <c r="P14" s="465">
        <f t="array" ref="P14">SUM(IF($C$15:$C$26=$C14,P$15:P$26))</f>
        <v>2191.7035801702286</v>
      </c>
      <c r="Q14" s="465">
        <f t="array" ref="Q14">SUM(IF($C$15:$C$26=$C14,Q$15:Q$26))</f>
        <v>2122.4900535718134</v>
      </c>
      <c r="R14" s="465">
        <f t="array" ref="R14">SUM(IF($C$15:$C$26=$C14,R$15:R$26))</f>
        <v>2678.8973229837848</v>
      </c>
      <c r="S14" s="259">
        <f t="array" ref="S14">SUM(IF($C$15:$C$26=$C14,S$15:S$26))</f>
        <v>37313.654919595661</v>
      </c>
    </row>
    <row r="15" spans="1:19">
      <c r="A15" s="250" t="s">
        <v>98</v>
      </c>
      <c r="B15" s="466"/>
      <c r="C15" s="184" t="s">
        <v>168</v>
      </c>
      <c r="D15" s="237" t="s">
        <v>81</v>
      </c>
      <c r="E15" s="504">
        <v>21697.787747273909</v>
      </c>
      <c r="F15" s="504">
        <f>'[3]Prod &amp; Defects - Costs'!S15</f>
        <v>25590.419181519195</v>
      </c>
      <c r="G15" s="467">
        <f>'Falhas UM-1 - Cost'!F15+'Falhas UM-1 - Cost'!F22+'Falhas UM-1 - Cost'!F36</f>
        <v>1505.679176067081</v>
      </c>
      <c r="H15" s="467">
        <f>'Falhas UM-1 - Cost'!G15+'Falhas UM-1 - Cost'!G22+'Falhas UM-1 - Cost'!G36</f>
        <v>821.62902310531081</v>
      </c>
      <c r="I15" s="467">
        <f>'Falhas UM-1 - Cost'!H15+'Falhas UM-1 - Cost'!H22+'Falhas UM-1 - Cost'!H36</f>
        <v>817.8587412471968</v>
      </c>
      <c r="J15" s="467">
        <f>'Falhas UM-1 - Cost'!I15+'Falhas UM-1 - Cost'!I22+'Falhas UM-1 - Cost'!I36</f>
        <v>826.50631482359438</v>
      </c>
      <c r="K15" s="467">
        <f>'Falhas UM-1 - Cost'!J15+'Falhas UM-1 - Cost'!J22+'Falhas UM-1 - Cost'!J36</f>
        <v>1493.0132789535692</v>
      </c>
      <c r="L15" s="467">
        <f>'Falhas UM-1 - Cost'!K15+'Falhas UM-1 - Cost'!K22+'Falhas UM-1 - Cost'!K36</f>
        <v>1730.1302969887606</v>
      </c>
      <c r="M15" s="467">
        <f>'Falhas UM-1 - Cost'!L15+'Falhas UM-1 - Cost'!L22+'Falhas UM-1 - Cost'!L36</f>
        <v>1742.4475471239693</v>
      </c>
      <c r="N15" s="467">
        <f>'Falhas UM-1 - Cost'!M15+'Falhas UM-1 - Cost'!M22+'Falhas UM-1 - Cost'!M36</f>
        <v>1744.4423143167874</v>
      </c>
      <c r="O15" s="468">
        <f>'Falhas UM-1 - Cost'!N15+'Falhas UM-1 - Cost'!N22+'Falhas UM-1 - Cost'!N36</f>
        <v>1398.628230488247</v>
      </c>
      <c r="P15" s="468">
        <f>'Falhas UM-1 - Cost'!O15+'Falhas UM-1 - Cost'!O22+'Falhas UM-1 - Cost'!O36</f>
        <v>1296.1728627366026</v>
      </c>
      <c r="Q15" s="468">
        <f>'Falhas UM-1 - Cost'!P15+'Falhas UM-1 - Cost'!P22+'Falhas UM-1 - Cost'!P36</f>
        <v>1311.4732426965804</v>
      </c>
      <c r="R15" s="468">
        <f>'Falhas UM-1 - Cost'!Q15+'Falhas UM-1 - Cost'!Q22+'Falhas UM-1 - Cost'!Q36</f>
        <v>1614.5882174296416</v>
      </c>
      <c r="S15" s="257">
        <f>SUM(G15:R15)</f>
        <v>16302.569245977344</v>
      </c>
    </row>
    <row r="16" spans="1:19">
      <c r="A16" s="459"/>
      <c r="B16" s="118"/>
      <c r="C16" s="186" t="s">
        <v>169</v>
      </c>
      <c r="D16" s="238" t="s">
        <v>81</v>
      </c>
      <c r="E16" s="502">
        <v>12465.752286880519</v>
      </c>
      <c r="F16" s="502">
        <f>'[3]Prod &amp; Defects - Costs'!S16</f>
        <v>12474.556221251054</v>
      </c>
      <c r="G16" s="460">
        <f>'Falhas UM-1 - Cost'!F57</f>
        <v>728.91136499189599</v>
      </c>
      <c r="H16" s="460">
        <f>'Falhas UM-1 - Cost'!G57</f>
        <v>397.75719971966203</v>
      </c>
      <c r="I16" s="460">
        <f>'Falhas UM-1 - Cost'!H57</f>
        <v>395.93197603371021</v>
      </c>
      <c r="J16" s="460">
        <f>'Falhas UM-1 - Cost'!I57</f>
        <v>400.11833575736955</v>
      </c>
      <c r="K16" s="460">
        <f>'Falhas UM-1 - Cost'!J57</f>
        <v>722.77970261613541</v>
      </c>
      <c r="L16" s="460">
        <f>'Falhas UM-1 - Cost'!K57</f>
        <v>837.56995277440637</v>
      </c>
      <c r="M16" s="460">
        <f>'Falhas UM-1 - Cost'!L57</f>
        <v>843.53283235174968</v>
      </c>
      <c r="N16" s="460">
        <f>'Falhas UM-1 - Cost'!M57</f>
        <v>844.4985151482374</v>
      </c>
      <c r="O16" s="461">
        <f>'Falhas UM-1 - Cost'!N57</f>
        <v>677.08714366649929</v>
      </c>
      <c r="P16" s="461">
        <f>'Falhas UM-1 - Cost'!O57</f>
        <v>627.4876784247283</v>
      </c>
      <c r="Q16" s="461">
        <f>'Falhas UM-1 - Cost'!P57</f>
        <v>634.89471507555925</v>
      </c>
      <c r="R16" s="461">
        <f>'Falhas UM-1 - Cost'!Q57</f>
        <v>781.6351053885063</v>
      </c>
      <c r="S16" s="258">
        <f t="shared" ref="S16:S33" si="2">SUM(G16:R16)</f>
        <v>7892.2045219484598</v>
      </c>
    </row>
    <row r="17" spans="1:22">
      <c r="A17" s="462"/>
      <c r="B17" s="463"/>
      <c r="C17" s="189" t="s">
        <v>104</v>
      </c>
      <c r="D17" s="239" t="s">
        <v>81</v>
      </c>
      <c r="E17" s="503">
        <v>6192.9019079000009</v>
      </c>
      <c r="F17" s="503">
        <f>'[3]Prod &amp; Defects - Costs'!S17</f>
        <v>6243.9316452646672</v>
      </c>
      <c r="G17" s="464">
        <f>'Falhas UM-1 - Cost'!F59</f>
        <v>333.95423613162023</v>
      </c>
      <c r="H17" s="464">
        <f>'Falhas UM-1 - Cost'!G59</f>
        <v>182.23436782290926</v>
      </c>
      <c r="I17" s="464">
        <f>'Falhas UM-1 - Cost'!H59</f>
        <v>181.39813284141994</v>
      </c>
      <c r="J17" s="464">
        <f>'Falhas UM-1 - Cost'!I59</f>
        <v>183.31613361741603</v>
      </c>
      <c r="K17" s="464">
        <f>'Falhas UM-1 - Cost'!J59</f>
        <v>331.14498562015797</v>
      </c>
      <c r="L17" s="464">
        <f>'Falhas UM-1 - Cost'!K59</f>
        <v>383.73668901250278</v>
      </c>
      <c r="M17" s="464">
        <f>'Falhas UM-1 - Cost'!L59</f>
        <v>386.46861087575797</v>
      </c>
      <c r="N17" s="464">
        <f>'Falhas UM-1 - Cost'!M59</f>
        <v>386.911043078266</v>
      </c>
      <c r="O17" s="465">
        <f>'Falhas UM-1 - Cost'!N59</f>
        <v>310.21072069606214</v>
      </c>
      <c r="P17" s="465">
        <f>'Falhas UM-1 - Cost'!O59</f>
        <v>287.48648792526882</v>
      </c>
      <c r="Q17" s="465">
        <f>'Falhas UM-1 - Cost'!P59</f>
        <v>290.88005727475297</v>
      </c>
      <c r="R17" s="465">
        <f>'Falhas UM-1 - Cost'!Q59</f>
        <v>358.10987054177593</v>
      </c>
      <c r="S17" s="259">
        <f t="shared" si="2"/>
        <v>3615.8513354379097</v>
      </c>
      <c r="U17" s="282"/>
      <c r="V17" s="282"/>
    </row>
    <row r="18" spans="1:22">
      <c r="A18" s="250" t="s">
        <v>170</v>
      </c>
      <c r="B18" s="466"/>
      <c r="C18" s="184" t="s">
        <v>168</v>
      </c>
      <c r="D18" s="237" t="s">
        <v>81</v>
      </c>
      <c r="E18" s="504">
        <v>10368.136190933436</v>
      </c>
      <c r="F18" s="504">
        <f>'[3]Prod &amp; Defects - Costs'!S18</f>
        <v>16829.504301929261</v>
      </c>
      <c r="G18" s="467">
        <f>'Falhas UM-3-1 Cost'!E18+'Falhas UM-3-1 Cost'!E36</f>
        <v>1216.8764558029804</v>
      </c>
      <c r="H18" s="467">
        <f>'Falhas UM-3-1 Cost'!F18+'Falhas UM-3-1 Cost'!F36</f>
        <v>1273.5418521596257</v>
      </c>
      <c r="I18" s="467">
        <f>'Falhas UM-3-1 Cost'!G18+'Falhas UM-3-1 Cost'!G36</f>
        <v>1225.6369904498267</v>
      </c>
      <c r="J18" s="467">
        <f>'Falhas UM-3-1 Cost'!H18+'Falhas UM-3-1 Cost'!H36</f>
        <v>1233.5607964971691</v>
      </c>
      <c r="K18" s="467">
        <f>'Falhas UM-3-1 Cost'!I18+'Falhas UM-3-1 Cost'!I36</f>
        <v>1248.6304067768076</v>
      </c>
      <c r="L18" s="467">
        <f>'Falhas UM-3-1 Cost'!J18+'Falhas UM-3-1 Cost'!J36</f>
        <v>1419.6697239452092</v>
      </c>
      <c r="M18" s="467">
        <f>'Falhas UM-3-1 Cost'!K18+'Falhas UM-3-1 Cost'!K36</f>
        <v>1402.2076007398457</v>
      </c>
      <c r="N18" s="467">
        <f>'Falhas UM-3-1 Cost'!L18+'Falhas UM-3-1 Cost'!L36</f>
        <v>1402.9430998777618</v>
      </c>
      <c r="O18" s="468">
        <f>'Falhas UM-3-1 Cost'!M18+'Falhas UM-3-1 Cost'!M36</f>
        <v>1334.8598465241</v>
      </c>
      <c r="P18" s="468">
        <f>'Falhas UM-3-1 Cost'!N18+'Falhas UM-3-1 Cost'!N36</f>
        <v>1035.222806555696</v>
      </c>
      <c r="Q18" s="468">
        <f>'Falhas UM-3-1 Cost'!O18+'Falhas UM-3-1 Cost'!O36</f>
        <v>993.6262357020837</v>
      </c>
      <c r="R18" s="468">
        <f>'Falhas UM-3-1 Cost'!P18+'Falhas UM-3-1 Cost'!P36</f>
        <v>1259.8067988519094</v>
      </c>
      <c r="S18" s="257">
        <f>SUM(G18:R18)</f>
        <v>15046.582613883016</v>
      </c>
    </row>
    <row r="19" spans="1:22">
      <c r="A19" s="459"/>
      <c r="B19" s="118"/>
      <c r="C19" s="186" t="s">
        <v>169</v>
      </c>
      <c r="D19" s="238" t="s">
        <v>81</v>
      </c>
      <c r="E19" s="502">
        <v>2955.3670046000002</v>
      </c>
      <c r="F19" s="502">
        <f>'[3]Prod &amp; Defects - Costs'!S19</f>
        <v>4209.4466397847245</v>
      </c>
      <c r="G19" s="460">
        <f>'Falhas UM-3-1 Cost'!E49</f>
        <v>296.69920873594026</v>
      </c>
      <c r="H19" s="460">
        <f>'Falhas UM-3-1 Cost'!F49</f>
        <v>310.51538389616314</v>
      </c>
      <c r="I19" s="460">
        <f>'Falhas UM-3-1 Cost'!G49</f>
        <v>298.8352051104514</v>
      </c>
      <c r="J19" s="460">
        <f>'Falhas UM-3-1 Cost'!H49</f>
        <v>300.76719004878453</v>
      </c>
      <c r="K19" s="460">
        <f>'Falhas UM-3-1 Cost'!I49</f>
        <v>304.44146727274267</v>
      </c>
      <c r="L19" s="460">
        <f>'Falhas UM-3-1 Cost'!J49</f>
        <v>346.14432858179288</v>
      </c>
      <c r="M19" s="460">
        <f>'Falhas UM-3-1 Cost'!K49</f>
        <v>341.88670808698089</v>
      </c>
      <c r="N19" s="460">
        <f>'Falhas UM-3-1 Cost'!L49</f>
        <v>342.06603772328469</v>
      </c>
      <c r="O19" s="461">
        <f>'Falhas UM-3-1 Cost'!M49</f>
        <v>325.46595699868027</v>
      </c>
      <c r="P19" s="461">
        <f>'Falhas UM-3-1 Cost'!N49</f>
        <v>252.40835756641826</v>
      </c>
      <c r="Q19" s="461">
        <f>'Falhas UM-3-1 Cost'!O49</f>
        <v>242.2662682856693</v>
      </c>
      <c r="R19" s="461">
        <f>'Falhas UM-3-1 Cost'!P49</f>
        <v>307.16649878222086</v>
      </c>
      <c r="S19" s="258">
        <f t="shared" si="2"/>
        <v>3668.6626110891293</v>
      </c>
    </row>
    <row r="20" spans="1:22">
      <c r="A20" s="462"/>
      <c r="B20" s="463"/>
      <c r="C20" s="189" t="s">
        <v>104</v>
      </c>
      <c r="D20" s="239" t="s">
        <v>81</v>
      </c>
      <c r="E20" s="503">
        <v>7869.0414574000006</v>
      </c>
      <c r="F20" s="503">
        <f>'[3]Prod &amp; Defects - Costs'!S20</f>
        <v>7867.8158213471488</v>
      </c>
      <c r="G20" s="464">
        <f>'Falhas UM-3-1 Cost'!E54</f>
        <v>545.53996123968602</v>
      </c>
      <c r="H20" s="464">
        <f>'Falhas UM-3-1 Cost'!F54</f>
        <v>570.9437218142441</v>
      </c>
      <c r="I20" s="464">
        <f>'Falhas UM-3-1 Cost'!G54</f>
        <v>549.46741148238607</v>
      </c>
      <c r="J20" s="464">
        <f>'Falhas UM-3-1 Cost'!H54</f>
        <v>553.01974649825718</v>
      </c>
      <c r="K20" s="464">
        <f>'Falhas UM-3-1 Cost'!I54</f>
        <v>559.7756292081632</v>
      </c>
      <c r="L20" s="464">
        <f>'Falhas UM-3-1 Cost'!J54</f>
        <v>636.45455747039227</v>
      </c>
      <c r="M20" s="464">
        <f>'Falhas UM-3-1 Cost'!K54</f>
        <v>628.62608320647803</v>
      </c>
      <c r="N20" s="464">
        <f>'Falhas UM-3-1 Cost'!L54</f>
        <v>628.95581608057319</v>
      </c>
      <c r="O20" s="465">
        <f>'Falhas UM-3-1 Cost'!M54</f>
        <v>598.43329654417596</v>
      </c>
      <c r="P20" s="465">
        <f>'Falhas UM-3-1 Cost'!N54</f>
        <v>464.10250364336963</v>
      </c>
      <c r="Q20" s="465">
        <f>'Falhas UM-3-1 Cost'!O54</f>
        <v>445.45427395417789</v>
      </c>
      <c r="R20" s="465">
        <f>'Falhas UM-3-1 Cost'!P54</f>
        <v>564.78613661865234</v>
      </c>
      <c r="S20" s="259">
        <f t="shared" si="2"/>
        <v>6745.559137760556</v>
      </c>
      <c r="U20" s="282"/>
      <c r="V20" s="282"/>
    </row>
    <row r="21" spans="1:22">
      <c r="A21" s="250" t="s">
        <v>171</v>
      </c>
      <c r="B21" s="466"/>
      <c r="C21" s="184" t="s">
        <v>168</v>
      </c>
      <c r="D21" s="237" t="s">
        <v>81</v>
      </c>
      <c r="E21" s="504">
        <v>25976.70576147527</v>
      </c>
      <c r="F21" s="504">
        <f>'[3]Prod &amp; Defects - Costs'!S21</f>
        <v>44556.953357484716</v>
      </c>
      <c r="G21" s="467">
        <f>'Falhas UM-3-2 Cost'!E18+'Falhas UM-3-2 Cost'!E36</f>
        <v>3255.9917023978564</v>
      </c>
      <c r="H21" s="467">
        <f>'Falhas UM-3-2 Cost'!F18+'Falhas UM-3-2 Cost'!F36</f>
        <v>3407.6110878091513</v>
      </c>
      <c r="I21" s="467">
        <f>'Falhas UM-3-2 Cost'!G18+'Falhas UM-3-2 Cost'!G36</f>
        <v>3279.4322316172979</v>
      </c>
      <c r="J21" s="467">
        <f>'Falhas UM-3-2 Cost'!H18+'Falhas UM-3-2 Cost'!H36</f>
        <v>3300.6339293069223</v>
      </c>
      <c r="K21" s="467">
        <f>'Falhas UM-3-2 Cost'!I18+'Falhas UM-3-2 Cost'!I36</f>
        <v>3340.9556281900641</v>
      </c>
      <c r="L21" s="467">
        <f>'Falhas UM-3-2 Cost'!J18+'Falhas UM-3-2 Cost'!J36</f>
        <v>3798.6048783077586</v>
      </c>
      <c r="M21" s="467">
        <f>'Falhas UM-3-2 Cost'!K18+'Falhas UM-3-2 Cost'!K36</f>
        <v>3751.8815416931184</v>
      </c>
      <c r="N21" s="467">
        <f>'Falhas UM-3-2 Cost'!L18+'Falhas UM-3-2 Cost'!L36</f>
        <v>3753.8495139377578</v>
      </c>
      <c r="O21" s="468">
        <f>'Falhas UM-3-2 Cost'!M18+'Falhas UM-3-2 Cost'!M36</f>
        <v>3571.6794120061741</v>
      </c>
      <c r="P21" s="468">
        <f>'Falhas UM-3-2 Cost'!N18+'Falhas UM-3-2 Cost'!N36</f>
        <v>2769.9417243257931</v>
      </c>
      <c r="Q21" s="468">
        <f>'Falhas UM-3-2 Cost'!O18+'Falhas UM-3-2 Cost'!O36</f>
        <v>2658.6419379738632</v>
      </c>
      <c r="R21" s="468">
        <f>'Falhas UM-3-2 Cost'!P18+'Falhas UM-3-2 Cost'!P36</f>
        <v>3370.8602579375965</v>
      </c>
      <c r="S21" s="257">
        <f>SUM(G21:R21)</f>
        <v>40260.083845503359</v>
      </c>
    </row>
    <row r="22" spans="1:22">
      <c r="A22" s="459"/>
      <c r="B22" s="118"/>
      <c r="C22" s="186" t="s">
        <v>169</v>
      </c>
      <c r="D22" s="238" t="s">
        <v>81</v>
      </c>
      <c r="E22" s="502">
        <v>11256.064444000001</v>
      </c>
      <c r="F22" s="502">
        <f>'[3]Prod &amp; Defects - Costs'!S22</f>
        <v>17426.030680019267</v>
      </c>
      <c r="G22" s="460">
        <f>'Falhas UM-3-2 Cost'!E49</f>
        <v>1234.4240768253569</v>
      </c>
      <c r="H22" s="460">
        <f>'Falhas UM-3-2 Cost'!F49</f>
        <v>1291.906600422494</v>
      </c>
      <c r="I22" s="460">
        <f>'Falhas UM-3-2 Cost'!G49</f>
        <v>1243.3109402718144</v>
      </c>
      <c r="J22" s="460">
        <f>'Falhas UM-3-2 Cost'!H49</f>
        <v>1251.3490093118462</v>
      </c>
      <c r="K22" s="460">
        <f>'Falhas UM-3-2 Cost'!I49</f>
        <v>1266.6359266228444</v>
      </c>
      <c r="L22" s="460">
        <f>'Falhas UM-3-2 Cost'!J49</f>
        <v>1440.1416676449455</v>
      </c>
      <c r="M22" s="460">
        <f>'Falhas UM-3-2 Cost'!K49</f>
        <v>1422.4277368556707</v>
      </c>
      <c r="N22" s="460">
        <f>'Falhas UM-3-2 Cost'!L49</f>
        <v>1423.173842049833</v>
      </c>
      <c r="O22" s="461">
        <f>'Falhas UM-3-2 Cost'!M49</f>
        <v>1354.1088134944871</v>
      </c>
      <c r="P22" s="461">
        <f>'Falhas UM-3-2 Cost'!N49</f>
        <v>1050.1509427658534</v>
      </c>
      <c r="Q22" s="461">
        <f>'Falhas UM-3-2 Cost'!O49</f>
        <v>1007.9545403864616</v>
      </c>
      <c r="R22" s="461">
        <f>'Falhas UM-3-2 Cost'!P49</f>
        <v>1277.9734846828715</v>
      </c>
      <c r="S22" s="258">
        <f t="shared" si="2"/>
        <v>15263.55758133448</v>
      </c>
    </row>
    <row r="23" spans="1:22">
      <c r="A23" s="462"/>
      <c r="B23" s="463"/>
      <c r="C23" s="189" t="s">
        <v>104</v>
      </c>
      <c r="D23" s="239" t="s">
        <v>81</v>
      </c>
      <c r="E23" s="503">
        <v>19123.390533469999</v>
      </c>
      <c r="F23" s="503">
        <f>'[3]Prod &amp; Defects - Costs'!S23</f>
        <v>24292.251480313065</v>
      </c>
      <c r="G23" s="464">
        <f>'Falhas UM-3-2 Cost'!E54</f>
        <v>1638.5648859123719</v>
      </c>
      <c r="H23" s="464">
        <f>'Falhas UM-3-2 Cost'!F54</f>
        <v>1714.8667391313475</v>
      </c>
      <c r="I23" s="464">
        <f>'Falhas UM-3-2 Cost'!G54</f>
        <v>1650.361239096532</v>
      </c>
      <c r="J23" s="464">
        <f>'Falhas UM-3-2 Cost'!H54</f>
        <v>1661.0309092097464</v>
      </c>
      <c r="K23" s="464">
        <f>'Falhas UM-3-2 Cost'!I54</f>
        <v>1681.322643946537</v>
      </c>
      <c r="L23" s="464">
        <f>'Falhas UM-3-2 Cost'!J54</f>
        <v>1911.6328105095326</v>
      </c>
      <c r="M23" s="464">
        <f>'Falhas UM-3-2 Cost'!K54</f>
        <v>1888.1194770225243</v>
      </c>
      <c r="N23" s="464">
        <f>'Falhas UM-3-2 Cost'!L54</f>
        <v>1889.109851234517</v>
      </c>
      <c r="O23" s="465">
        <f>'Falhas UM-3-2 Cost'!M54</f>
        <v>1797.4334713259486</v>
      </c>
      <c r="P23" s="465">
        <f>'Falhas UM-3-2 Cost'!N54</f>
        <v>1393.9621658621829</v>
      </c>
      <c r="Q23" s="465">
        <f>'Falhas UM-3-2 Cost'!O54</f>
        <v>1337.9509906520268</v>
      </c>
      <c r="R23" s="465">
        <f>'Falhas UM-3-2 Cost'!P54</f>
        <v>1696.3720300350917</v>
      </c>
      <c r="S23" s="259">
        <f t="shared" si="2"/>
        <v>20260.727213938357</v>
      </c>
      <c r="U23" s="282"/>
      <c r="V23" s="282"/>
    </row>
    <row r="24" spans="1:22">
      <c r="A24" s="250" t="s">
        <v>119</v>
      </c>
      <c r="B24" s="466"/>
      <c r="C24" s="184" t="s">
        <v>168</v>
      </c>
      <c r="D24" s="237" t="s">
        <v>81</v>
      </c>
      <c r="E24" s="504">
        <v>6369.9652183739126</v>
      </c>
      <c r="F24" s="504">
        <f>'[3]Prod &amp; Defects - Costs'!S24</f>
        <v>11637.550013396485</v>
      </c>
      <c r="G24" s="467">
        <f>'Falhas UM-4 Cost'!E15</f>
        <v>773.31133515217232</v>
      </c>
      <c r="H24" s="467">
        <f>'Falhas UM-4 Cost'!F15</f>
        <v>882.94699238517126</v>
      </c>
      <c r="I24" s="467">
        <f>'Falhas UM-4 Cost'!G15</f>
        <v>799.72997657758685</v>
      </c>
      <c r="J24" s="467">
        <f>'Falhas UM-4 Cost'!H15</f>
        <v>803.7510085293078</v>
      </c>
      <c r="K24" s="467">
        <f>'Falhas UM-4 Cost'!I15</f>
        <v>867.70599953214548</v>
      </c>
      <c r="L24" s="467">
        <f>'Falhas UM-4 Cost'!J15</f>
        <v>914.37606131963128</v>
      </c>
      <c r="M24" s="467">
        <f>'Falhas UM-4 Cost'!K15</f>
        <v>892.17288016401835</v>
      </c>
      <c r="N24" s="467">
        <f>'Falhas UM-4 Cost'!L15</f>
        <v>890.38825657860536</v>
      </c>
      <c r="O24" s="468">
        <f>'Falhas UM-4 Cost'!M15</f>
        <v>889.33552413324458</v>
      </c>
      <c r="P24" s="468">
        <f>'Falhas UM-4 Cost'!N15</f>
        <v>658.18618256380535</v>
      </c>
      <c r="Q24" s="468">
        <f>'Falhas UM-4 Cost'!O15</f>
        <v>687.45444875694591</v>
      </c>
      <c r="R24" s="468">
        <f>'Falhas UM-4 Cost'!P15</f>
        <v>850.38161926161558</v>
      </c>
      <c r="S24" s="257">
        <f>SUM(G24:R24)</f>
        <v>9909.7402849542505</v>
      </c>
    </row>
    <row r="25" spans="1:22">
      <c r="A25" s="459"/>
      <c r="B25" s="118"/>
      <c r="C25" s="186" t="s">
        <v>169</v>
      </c>
      <c r="D25" s="238" t="s">
        <v>81</v>
      </c>
      <c r="E25" s="502">
        <v>340.75643400000013</v>
      </c>
      <c r="F25" s="502">
        <f>'[3]Prod &amp; Defects - Costs'!S25</f>
        <v>253.82839228032179</v>
      </c>
      <c r="G25" s="460">
        <f>'Falhas UM-4 Cost'!E33+'Falhas UM-4 Cost'!E50</f>
        <v>16.596825948619738</v>
      </c>
      <c r="H25" s="460">
        <f>'Falhas UM-4 Cost'!F33+'Falhas UM-4 Cost'!F50</f>
        <v>18.949828986523677</v>
      </c>
      <c r="I25" s="460">
        <f>'Falhas UM-4 Cost'!G33+'Falhas UM-4 Cost'!G50</f>
        <v>17.163823448339972</v>
      </c>
      <c r="J25" s="460">
        <f>'Falhas UM-4 Cost'!H33+'Falhas UM-4 Cost'!H50</f>
        <v>17.25012293006607</v>
      </c>
      <c r="K25" s="460">
        <f>'Falhas UM-4 Cost'!I33+'Falhas UM-4 Cost'!I50</f>
        <v>18.622726441704454</v>
      </c>
      <c r="L25" s="460">
        <f>'Falhas UM-4 Cost'!J33+'Falhas UM-4 Cost'!J50</f>
        <v>19.624360398545146</v>
      </c>
      <c r="M25" s="460">
        <f>'Falhas UM-4 Cost'!K33+'Falhas UM-4 Cost'!K50</f>
        <v>19.147835205657778</v>
      </c>
      <c r="N25" s="460">
        <f>'Falhas UM-4 Cost'!L33+'Falhas UM-4 Cost'!L50</f>
        <v>19.109533572557993</v>
      </c>
      <c r="O25" s="461">
        <f>'Falhas UM-4 Cost'!M33+'Falhas UM-4 Cost'!M50</f>
        <v>19.086939804211536</v>
      </c>
      <c r="P25" s="461">
        <f>'Falhas UM-4 Cost'!N33+'Falhas UM-4 Cost'!N50</f>
        <v>14.126007233100163</v>
      </c>
      <c r="Q25" s="461">
        <f>'Falhas UM-4 Cost'!O33+'Falhas UM-4 Cost'!O50</f>
        <v>14.754163446185849</v>
      </c>
      <c r="R25" s="461">
        <f>'Falhas UM-4 Cost'!P33+'Falhas UM-4 Cost'!P50</f>
        <v>18.250910187438503</v>
      </c>
      <c r="S25" s="258">
        <f t="shared" ref="S25:S26" si="3">SUM(G25:R25)</f>
        <v>212.68307760295087</v>
      </c>
    </row>
    <row r="26" spans="1:22" ht="13.5" thickBot="1">
      <c r="A26" s="469"/>
      <c r="B26" s="470"/>
      <c r="C26" s="253" t="s">
        <v>104</v>
      </c>
      <c r="D26" s="254" t="s">
        <v>81</v>
      </c>
      <c r="E26" s="505">
        <v>7268.1792629781085</v>
      </c>
      <c r="F26" s="505">
        <f>'[3]Prod &amp; Defects - Costs'!S26</f>
        <v>7632.4118438592523</v>
      </c>
      <c r="G26" s="471">
        <f>'Falhas UM-4 Cost'!E61</f>
        <v>1476.8142164258547</v>
      </c>
      <c r="H26" s="471">
        <f>'Falhas UM-4 Cost'!F61</f>
        <v>1686.1884876526224</v>
      </c>
      <c r="I26" s="471">
        <f>'Falhas UM-4 Cost'!G61</f>
        <v>1527.2666324996881</v>
      </c>
      <c r="J26" s="471">
        <f>'Falhas UM-4 Cost'!H61</f>
        <v>1534.9457093230421</v>
      </c>
      <c r="K26" s="471">
        <f>'Falhas UM-4 Cost'!I60</f>
        <v>60.844082061910285</v>
      </c>
      <c r="L26" s="471">
        <f>'Falhas UM-4 Cost'!J60</f>
        <v>64.116615697454208</v>
      </c>
      <c r="M26" s="471">
        <f>'Falhas UM-4 Cost'!K60</f>
        <v>62.559714884280204</v>
      </c>
      <c r="N26" s="471">
        <f>'Falhas UM-4 Cost'!L60</f>
        <v>62.43457597324462</v>
      </c>
      <c r="O26" s="472">
        <f>'Falhas UM-4 Cost'!M60</f>
        <v>62.360757722213378</v>
      </c>
      <c r="P26" s="472">
        <f>'Falhas UM-4 Cost'!N60</f>
        <v>46.15242273940742</v>
      </c>
      <c r="Q26" s="472">
        <f>'Falhas UM-4 Cost'!O60</f>
        <v>48.204731690855802</v>
      </c>
      <c r="R26" s="472">
        <f>'Falhas UM-4 Cost'!P60</f>
        <v>59.629285788264376</v>
      </c>
      <c r="S26" s="260">
        <f t="shared" si="3"/>
        <v>6691.5172324588375</v>
      </c>
      <c r="U26" s="282"/>
      <c r="V26" s="282"/>
    </row>
    <row r="27" spans="1:22">
      <c r="A27" s="243" t="s">
        <v>93</v>
      </c>
      <c r="B27" s="456"/>
      <c r="C27" s="614" t="s">
        <v>168</v>
      </c>
      <c r="D27" s="246" t="s">
        <v>81</v>
      </c>
      <c r="E27" s="501">
        <v>1417.1818478225432</v>
      </c>
      <c r="F27" s="501">
        <f>'[3]Prod &amp; Defects - Costs'!S27</f>
        <v>2924.8316002481388</v>
      </c>
      <c r="G27" s="458" cm="1">
        <f t="array" ref="G27">INDEX('[5]BP - ORIGINAL'!$E$26:$V$26,1,MATCH(G4,'[5]BP - ORIGINAL'!$E$4:$V$4,0)+2)+INDEX('[5]BP - ORIGINAL'!$E$15:$V$15,1,MATCH(G4,'[5]BP - ORIGINAL'!$E$4:$V$4,0)+2)</f>
        <v>13.119025196933206</v>
      </c>
      <c r="H27" s="458" cm="1">
        <f t="array" ref="H27">INDEX('[5]BP - ORIGINAL'!$E$26:$V$26,1,MATCH(H4,'[5]BP - ORIGINAL'!$E$4:$V$4,0)+2)+INDEX('[5]BP - ORIGINAL'!$E$15:$V$15,1,MATCH(H4,'[5]BP - ORIGINAL'!$E$4:$V$4,0)+2)</f>
        <v>19.484850184070705</v>
      </c>
      <c r="I27" s="458" cm="1">
        <f t="array" ref="I27">INDEX('[5]BP - ORIGINAL'!$E$26:$V$26,1,MATCH(I4,'[5]BP - ORIGINAL'!$E$4:$V$4,0)+2)+INDEX('[5]BP - ORIGINAL'!$E$15:$V$15,1,MATCH(I4,'[5]BP - ORIGINAL'!$E$4:$V$4,0)+2)</f>
        <v>18.923640990655596</v>
      </c>
      <c r="J27" s="458" cm="1">
        <f t="array" ref="J27">INDEX('[5]BP - ORIGINAL'!$E$26:$V$26,1,MATCH(J4,'[5]BP - ORIGINAL'!$E$4:$V$4,0)+2)+INDEX('[5]BP - ORIGINAL'!$E$15:$V$15,1,MATCH(J4,'[5]BP - ORIGINAL'!$E$4:$V$4,0)+2)</f>
        <v>24.840620112252431</v>
      </c>
      <c r="K27" s="458" cm="1">
        <f t="array" ref="K27">INDEX('[5]BP - ORIGINAL'!$E$26:$V$26,1,MATCH(K4,'[5]BP - ORIGINAL'!$E$4:$V$4,0)+2)+INDEX('[5]BP - ORIGINAL'!$E$15:$V$15,1,MATCH(K4,'[5]BP - ORIGINAL'!$E$4:$V$4,0)+2)</f>
        <v>24.765142412832539</v>
      </c>
      <c r="L27" s="458" cm="1">
        <f t="array" ref="L27">INDEX('[5]BP - ORIGINAL'!$E$26:$V$26,1,MATCH(L4,'[5]BP - ORIGINAL'!$E$4:$V$4,0)+2)+INDEX('[5]BP - ORIGINAL'!$E$15:$V$15,1,MATCH(L4,'[5]BP - ORIGINAL'!$E$4:$V$4,0)+2)</f>
        <v>27.350737980884912</v>
      </c>
      <c r="M27" s="458" cm="1">
        <f t="array" ref="M27">INDEX('[5]BP - ORIGINAL'!$E$52:$V$57,1,MATCH(M4,'[5]BP - ORIGINAL'!$E$35:$V$35,0)+2)+INDEX('[5]BP - ORIGINAL'!$E$46:$V$46,1,MATCH(M4,'[5]BP - ORIGINAL'!$E$35:$V$35,0)+2)</f>
        <v>137.91997629737972</v>
      </c>
      <c r="N27" s="458" cm="1">
        <f t="array" ref="N27">INDEX('[5]BP - ORIGINAL'!$E$52:$V$57,1,MATCH(N4,'[5]BP - ORIGINAL'!$E$35:$V$35,0)+2)+INDEX('[5]BP - ORIGINAL'!$E$46:$V$46,1,MATCH(N4,'[5]BP - ORIGINAL'!$E$35:$V$35,0)+2)</f>
        <v>127.90499107670237</v>
      </c>
      <c r="O27" s="458" cm="1">
        <f t="array" ref="O27">INDEX('[5]BP - ORIGINAL'!$E$52:$V$57,1,MATCH(O4,'[5]BP - ORIGINAL'!$E$35:$V$35,0)+2)+INDEX('[5]BP - ORIGINAL'!$E$46:$V$46,1,MATCH(O4,'[5]BP - ORIGINAL'!$E$35:$V$35,0)+2)</f>
        <v>78.854737074092355</v>
      </c>
      <c r="P27" s="458" cm="1">
        <f t="array" ref="P27">INDEX('[5]BP - ORIGINAL'!$E$52:$V$57,1,MATCH(P4,'[5]BP - ORIGINAL'!$E$35:$V$35,0)+2)+INDEX('[5]BP - ORIGINAL'!$E$46:$V$46,1,MATCH(P4,'[5]BP - ORIGINAL'!$E$35:$V$35,0)+2)</f>
        <v>89.728570601084371</v>
      </c>
      <c r="Q27" s="458" cm="1">
        <f t="array" ref="Q27">INDEX('[5]BP - ORIGINAL'!$E$52:$V$57,1,MATCH(Q4,'[5]BP - ORIGINAL'!$E$35:$V$35,0)+2)+INDEX('[5]BP - ORIGINAL'!$E$46:$V$46,1,MATCH(Q4,'[5]BP - ORIGINAL'!$E$35:$V$35,0)+2)</f>
        <v>113.58841315172458</v>
      </c>
      <c r="R27" s="458" cm="1">
        <f t="array" ref="R27">INDEX('[5]BP - ORIGINAL'!$E$52:$V$57,1,MATCH(R4,'[5]BP - ORIGINAL'!$E$35:$V$35,0)+2)+INDEX('[5]BP - ORIGINAL'!$E$46:$V$46,1,MATCH(R4,'[5]BP - ORIGINAL'!$E$35:$V$35,0)+2)</f>
        <v>107.72229021721191</v>
      </c>
      <c r="S27" s="266">
        <f>SUM(G27:R27)</f>
        <v>784.20299529582462</v>
      </c>
    </row>
    <row r="28" spans="1:22">
      <c r="A28" s="459"/>
      <c r="B28" s="118"/>
      <c r="C28" s="615" t="s">
        <v>169</v>
      </c>
      <c r="D28" s="238" t="s">
        <v>81</v>
      </c>
      <c r="E28" s="502">
        <v>2124.1915384427198</v>
      </c>
      <c r="F28" s="502">
        <f>'[3]Prod &amp; Defects - Costs'!S28</f>
        <v>901.63510925115895</v>
      </c>
      <c r="G28" s="461" cm="1">
        <f t="array" ref="G28">INDEX('[5]BP - ORIGINAL'!$E$21:$V$21,1,MATCH(G4,'[5]BP - ORIGINAL'!$E$4:$V$4,0)+2)-G29</f>
        <v>8.4946179013665102</v>
      </c>
      <c r="H28" s="461" cm="1">
        <f t="array" ref="H28">INDEX('[5]BP - ORIGINAL'!$E$21:$V$21,1,MATCH(H4,'[5]BP - ORIGINAL'!$E$4:$V$4,0)+2)-H29</f>
        <v>12.616541794905402</v>
      </c>
      <c r="I28" s="461" cm="1">
        <f t="array" ref="I28">INDEX('[5]BP - ORIGINAL'!$E$21:$V$21,1,MATCH(I4,'[5]BP - ORIGINAL'!$E$4:$V$4,0)+2)-I29</f>
        <v>12.253155924471812</v>
      </c>
      <c r="J28" s="461" cm="1">
        <f t="array" ref="J28">INDEX('[5]BP - ORIGINAL'!$E$21:$V$21,1,MATCH(J4,'[5]BP - ORIGINAL'!$E$4:$V$4,0)+2)-J29</f>
        <v>12.480689798154799</v>
      </c>
      <c r="K28" s="461" cm="1">
        <f t="array" ref="K28">INDEX('[5]BP - ORIGINAL'!$E$21:$V$21,1,MATCH(K4,'[5]BP - ORIGINAL'!$E$4:$V$4,0)+2)-K29</f>
        <v>12.442767485874299</v>
      </c>
      <c r="L28" s="461" cm="1">
        <f t="array" ref="L28">INDEX('[5]BP - ORIGINAL'!$E$21:$V$21,1,MATCH(L4,'[5]BP - ORIGINAL'!$E$4:$V$4,0)+2)-L29</f>
        <v>10.968879410289347</v>
      </c>
      <c r="M28" s="461" cm="1">
        <f t="array" ref="M28">INDEX('[5]BP - ORIGINAL'!$E$52:$V$52,1,MATCH(M4,'[5]BP - ORIGINAL'!$E$35:$V$35,0)+2)-M29</f>
        <v>14.175803199442541</v>
      </c>
      <c r="N28" s="461" cm="1">
        <f t="array" ref="N28">INDEX('[5]BP - ORIGINAL'!$E$52:$V$52,1,MATCH(N4,'[5]BP - ORIGINAL'!$E$35:$V$35,0)+2)-N29</f>
        <v>13.146434841464185</v>
      </c>
      <c r="O28" s="461" cm="1">
        <f t="array" ref="O28">INDEX('[5]BP - ORIGINAL'!$E$52:$V$52,1,MATCH(O4,'[5]BP - ORIGINAL'!$E$35:$V$35,0)+2)-O29</f>
        <v>8.4946179013665102</v>
      </c>
      <c r="P28" s="461" cm="1">
        <f t="array" ref="P28">INDEX('[5]BP - ORIGINAL'!$E$52:$V$52,1,MATCH(P4,'[5]BP - ORIGINAL'!$E$35:$V$35,0)+2)-P29</f>
        <v>9.6660004252607337</v>
      </c>
      <c r="Q28" s="461" cm="1">
        <f t="array" ref="Q28">INDEX('[5]BP - ORIGINAL'!$E$52:$V$52,1,MATCH(Q4,'[5]BP - ORIGINAL'!$E$35:$V$35,0)+2)-Q29</f>
        <v>12.236299346732181</v>
      </c>
      <c r="R28" s="461" cm="1">
        <f t="array" ref="R28">INDEX('[5]BP - ORIGINAL'!$E$52:$V$52,1,MATCH(R4,'[5]BP - ORIGINAL'!$E$35:$V$35,0)+2)-R29</f>
        <v>11.467315333355643</v>
      </c>
      <c r="S28" s="258">
        <f t="shared" si="2"/>
        <v>138.44312336268396</v>
      </c>
    </row>
    <row r="29" spans="1:22" ht="13.5" thickBot="1">
      <c r="A29" s="469"/>
      <c r="B29" s="470"/>
      <c r="C29" s="616" t="s">
        <v>104</v>
      </c>
      <c r="D29" s="254" t="s">
        <v>81</v>
      </c>
      <c r="E29" s="505">
        <v>857.56369269131756</v>
      </c>
      <c r="F29" s="505">
        <f>'[3]Prod &amp; Defects - Costs'!S29</f>
        <v>4589.5321609397997</v>
      </c>
      <c r="G29" s="472" cm="1">
        <f t="array" ref="G29">INDEX('[5]BP - ORIGINAL'!$E$16:$V$16,1,MATCH(G4,'[5]BP - ORIGINAL'!$E$4:$V$4,0)+2)+INDEX('[5]BP - ORIGINAL'!$E$17:$V$17,1,MATCH(G4,'[5]BP - ORIGINAL'!$E$4:$V$4,0)+2)</f>
        <v>58.8428374353349</v>
      </c>
      <c r="H29" s="472" cm="1">
        <f t="array" ref="H29">INDEX('[5]BP - ORIGINAL'!$E$16:$V$16,1,MATCH(H4,'[5]BP - ORIGINAL'!$E$4:$V$4,0)+2)+INDEX('[5]BP - ORIGINAL'!$E$17:$V$17,1,MATCH(H4,'[5]BP - ORIGINAL'!$E$4:$V$4,0)+2)</f>
        <v>87.395704721962844</v>
      </c>
      <c r="I29" s="472" cm="1">
        <f t="array" ref="I29">INDEX('[5]BP - ORIGINAL'!$E$16:$V$16,1,MATCH(I4,'[5]BP - ORIGINAL'!$E$4:$V$4,0)+2)+INDEX('[5]BP - ORIGINAL'!$E$17:$V$17,1,MATCH(I4,'[5]BP - ORIGINAL'!$E$4:$V$4,0)+2)</f>
        <v>84.878504307711992</v>
      </c>
      <c r="J29" s="472" cm="1">
        <f t="array" ref="J29">INDEX('[5]BP - ORIGINAL'!$E$16:$V$16,1,MATCH(J4,'[5]BP - ORIGINAL'!$E$4:$V$4,0)+2)+INDEX('[5]BP - ORIGINAL'!$E$17:$V$17,1,MATCH(J4,'[5]BP - ORIGINAL'!$E$4:$V$4,0)+2)</f>
        <v>86.454648037261848</v>
      </c>
      <c r="K29" s="472" cm="1">
        <f t="array" ref="K29">INDEX('[5]BP - ORIGINAL'!$E$16:$V$16,1,MATCH(K4,'[5]BP - ORIGINAL'!$E$4:$V$4,0)+2)+INDEX('[5]BP - ORIGINAL'!$E$17:$V$17,1,MATCH(K4,'[5]BP - ORIGINAL'!$E$4:$V$4,0)+2)</f>
        <v>86.191957415670217</v>
      </c>
      <c r="L29" s="472" cm="1">
        <f t="array" ref="L29">INDEX('[5]BP - ORIGINAL'!$E$16:$V$16,1,MATCH(L4,'[5]BP - ORIGINAL'!$E$4:$V$4,0)+2)+INDEX('[5]BP - ORIGINAL'!$E$17:$V$17,1,MATCH(L4,'[5]BP - ORIGINAL'!$E$4:$V$4,0)+2)</f>
        <v>95.190796969293672</v>
      </c>
      <c r="M29" s="472" cm="1">
        <f t="array" ref="M29">INDEX('[5]BP - ORIGINAL'!$E$47:$V$47,1,MATCH(M4,'[5]BP - ORIGINAL'!$E$35:$V$35,0)+2)+INDEX('[5]BP - ORIGINAL'!$E$48:$V$48,1,MATCH(M4,'[5]BP - ORIGINAL'!$E$35:$V$35,0)+2)</f>
        <v>98.196822136745084</v>
      </c>
      <c r="N29" s="472" cm="1">
        <f t="array" ref="N29">INDEX('[5]BP - ORIGINAL'!$E$47:$V$47,1,MATCH(N4,'[5]BP - ORIGINAL'!$E$35:$V$35,0)+2)+INDEX('[5]BP - ORIGINAL'!$E$48:$V$48,1,MATCH(N4,'[5]BP - ORIGINAL'!$E$35:$V$35,0)+2)</f>
        <v>91.066312483114388</v>
      </c>
      <c r="O29" s="472" cm="1">
        <f t="array" ref="O29">INDEX('[5]BP - ORIGINAL'!$E$47:$V$47,1,MATCH(O4,'[5]BP - ORIGINAL'!$E$35:$V$35,0)+2)+INDEX('[5]BP - ORIGINAL'!$E$48:$V$48,1,MATCH(O4,'[5]BP - ORIGINAL'!$E$35:$V$35,0)+2)</f>
        <v>58.8428374353349</v>
      </c>
      <c r="P29" s="472" cm="1">
        <f t="array" ref="P29">INDEX('[5]BP - ORIGINAL'!$E$47:$V$47,1,MATCH(P4,'[5]BP - ORIGINAL'!$E$35:$V$35,0)+2)+INDEX('[5]BP - ORIGINAL'!$E$48:$V$48,1,MATCH(P4,'[5]BP - ORIGINAL'!$E$35:$V$35,0)+2)</f>
        <v>66.957089568678285</v>
      </c>
      <c r="Q29" s="472" cm="1">
        <f t="array" ref="Q29">INDEX('[5]BP - ORIGINAL'!$E$47:$V$47,1,MATCH(Q4,'[5]BP - ORIGINAL'!$E$35:$V$35,0)+2)+INDEX('[5]BP - ORIGINAL'!$E$48:$V$48,1,MATCH(Q4,'[5]BP - ORIGINAL'!$E$35:$V$35,0)+2)</f>
        <v>84.761737564914966</v>
      </c>
      <c r="R29" s="472" cm="1">
        <f t="array" ref="R29">INDEX('[5]BP - ORIGINAL'!$E$47:$V$47,1,MATCH(R4,'[5]BP - ORIGINAL'!$E$35:$V$35,0)+2)+INDEX('[5]BP - ORIGINAL'!$E$48:$V$48,1,MATCH(R4,'[5]BP - ORIGINAL'!$E$35:$V$35,0)+2)</f>
        <v>79.434929247591114</v>
      </c>
      <c r="S29" s="260">
        <f t="shared" si="2"/>
        <v>978.21417732361419</v>
      </c>
      <c r="U29" s="282"/>
      <c r="V29" s="282"/>
    </row>
    <row r="30" spans="1:22">
      <c r="A30" s="459" t="s">
        <v>200</v>
      </c>
      <c r="B30" s="118"/>
      <c r="C30" s="491" t="s">
        <v>65</v>
      </c>
      <c r="D30" s="492" t="s">
        <v>81</v>
      </c>
      <c r="E30" s="506">
        <v>5232.2958726000006</v>
      </c>
      <c r="F30" s="506">
        <f>'[3]Prod &amp; Defects - Costs'!S30</f>
        <v>11452.063732902468</v>
      </c>
      <c r="G30" s="493">
        <f>'BLIND-PVC-PRE - Cost'!F22</f>
        <v>1066.9360702523732</v>
      </c>
      <c r="H30" s="493">
        <f>'BLIND-PVC-PRE - Cost'!G22</f>
        <v>1041.5216403594136</v>
      </c>
      <c r="I30" s="493">
        <f>'BLIND-PVC-PRE - Cost'!H22</f>
        <v>1005.0464239988894</v>
      </c>
      <c r="J30" s="493">
        <f>'BLIND-PVC-PRE - Cost'!I22</f>
        <v>1011.8786880960672</v>
      </c>
      <c r="K30" s="493">
        <f>'BLIND-PVC-PRE - Cost'!J22</f>
        <v>1089.6037347175034</v>
      </c>
      <c r="L30" s="493">
        <f>'BLIND-PVC-PRE - Cost'!K22</f>
        <v>1242.1057303529747</v>
      </c>
      <c r="M30" s="493">
        <f>'BLIND-PVC-PRE - Cost'!L22</f>
        <v>1230.1732755041778</v>
      </c>
      <c r="N30" s="493">
        <f>'BLIND-PVC-PRE - Cost'!M22</f>
        <v>1230.9261610070848</v>
      </c>
      <c r="O30" s="493">
        <f>'BLIND-PVC-PRE - Cost'!N22</f>
        <v>1145.1852466463699</v>
      </c>
      <c r="P30" s="493">
        <f>'BLIND-PVC-PRE - Cost'!O22</f>
        <v>909.18480800547115</v>
      </c>
      <c r="Q30" s="493">
        <f>'BLIND-PVC-PRE - Cost'!P22</f>
        <v>879.36235169621182</v>
      </c>
      <c r="R30" s="493">
        <f>'BLIND-PVC-PRE - Cost'!Q22</f>
        <v>1110.1320667980763</v>
      </c>
      <c r="S30" s="494">
        <f t="shared" si="2"/>
        <v>12962.056197434613</v>
      </c>
      <c r="U30" s="282"/>
      <c r="V30" s="282"/>
    </row>
    <row r="31" spans="1:22">
      <c r="A31" s="459"/>
      <c r="B31" s="118"/>
      <c r="C31" s="186" t="s">
        <v>89</v>
      </c>
      <c r="D31" s="238" t="s">
        <v>81</v>
      </c>
      <c r="E31" s="502">
        <v>16700.835999999999</v>
      </c>
      <c r="F31" s="502">
        <f>'[3]Prod &amp; Defects - Costs'!S31</f>
        <v>24046.092205872992</v>
      </c>
      <c r="G31" s="461">
        <f>'BLIND-PVC-PRE - Cost'!F27</f>
        <v>2198.7864660439409</v>
      </c>
      <c r="H31" s="461">
        <f>'BLIND-PVC-PRE - Cost'!G27</f>
        <v>1997.4743277741948</v>
      </c>
      <c r="I31" s="461">
        <f>'BLIND-PVC-PRE - Cost'!H27</f>
        <v>1933.2659328788745</v>
      </c>
      <c r="J31" s="461">
        <f>'BLIND-PVC-PRE - Cost'!I27</f>
        <v>1947.1176965862001</v>
      </c>
      <c r="K31" s="461">
        <f>'BLIND-PVC-PRE - Cost'!J27</f>
        <v>2235.2403315091933</v>
      </c>
      <c r="L31" s="461">
        <f>'BLIND-PVC-PRE - Cost'!K27</f>
        <v>2554.5557060757942</v>
      </c>
      <c r="M31" s="461">
        <f>'BLIND-PVC-PRE - Cost'!L27</f>
        <v>2536.6642642416955</v>
      </c>
      <c r="N31" s="461">
        <f>'BLIND-PVC-PRE - Cost'!M27</f>
        <v>2538.4300577034942</v>
      </c>
      <c r="O31" s="461">
        <f>'BLIND-PVC-PRE - Cost'!N27</f>
        <v>2310.0746154785975</v>
      </c>
      <c r="P31" s="461">
        <f>'BLIND-PVC-PRE - Cost'!O27</f>
        <v>1876.6995922394945</v>
      </c>
      <c r="Q31" s="461">
        <f>'BLIND-PVC-PRE - Cost'!P27</f>
        <v>1828.4262088007622</v>
      </c>
      <c r="R31" s="461">
        <f>'BLIND-PVC-PRE - Cost'!Q27</f>
        <v>2298.8243373808996</v>
      </c>
      <c r="S31" s="419">
        <f t="shared" si="2"/>
        <v>26255.559536713139</v>
      </c>
      <c r="U31" s="282"/>
      <c r="V31" s="282"/>
    </row>
    <row r="32" spans="1:22">
      <c r="A32" s="459"/>
      <c r="B32" s="118"/>
      <c r="C32" s="186" t="s">
        <v>199</v>
      </c>
      <c r="D32" s="238" t="s">
        <v>81</v>
      </c>
      <c r="E32" s="502">
        <v>8262.9934286094103</v>
      </c>
      <c r="F32" s="502">
        <f>'[3]Prod &amp; Defects - Costs'!S32</f>
        <v>11291.11594810884</v>
      </c>
      <c r="G32" s="461">
        <f>'BLIND-PVC-PRE - Cost'!F32</f>
        <v>883.94377830728126</v>
      </c>
      <c r="H32" s="461">
        <f>'BLIND-PVC-PRE - Cost'!G32</f>
        <v>862.84475477939827</v>
      </c>
      <c r="I32" s="461">
        <f>'BLIND-PVC-PRE - Cost'!H32</f>
        <v>811.21921207792639</v>
      </c>
      <c r="J32" s="461">
        <f>'BLIND-PVC-PRE - Cost'!I32</f>
        <v>816.3698995451274</v>
      </c>
      <c r="K32" s="461">
        <f>'BLIND-PVC-PRE - Cost'!J32</f>
        <v>933.9803990624132</v>
      </c>
      <c r="L32" s="461">
        <f>'BLIND-PVC-PRE - Cost'!K32</f>
        <v>1033.4118369889839</v>
      </c>
      <c r="M32" s="461">
        <f>'BLIND-PVC-PRE - Cost'!L32</f>
        <v>1020.0040406262815</v>
      </c>
      <c r="N32" s="461">
        <f>'BLIND-PVC-PRE - Cost'!M32</f>
        <v>1019.6575913014284</v>
      </c>
      <c r="O32" s="461">
        <f>'BLIND-PVC-PRE - Cost'!N32</f>
        <v>956.14703721775425</v>
      </c>
      <c r="P32" s="461">
        <f>'BLIND-PVC-PRE - Cost'!O32</f>
        <v>754.0649460643167</v>
      </c>
      <c r="Q32" s="461">
        <f>'BLIND-PVC-PRE - Cost'!P32</f>
        <v>757.49134871136926</v>
      </c>
      <c r="R32" s="461">
        <f>'BLIND-PVC-PRE - Cost'!Q32</f>
        <v>944.70620574608324</v>
      </c>
      <c r="S32" s="419">
        <f t="shared" si="2"/>
        <v>10793.841050428364</v>
      </c>
      <c r="U32" s="282"/>
      <c r="V32" s="282"/>
    </row>
    <row r="33" spans="1:23">
      <c r="A33" s="459"/>
      <c r="B33" s="118"/>
      <c r="C33" s="186" t="s">
        <v>165</v>
      </c>
      <c r="D33" s="238" t="s">
        <v>81</v>
      </c>
      <c r="E33" s="502">
        <v>2086.6965201490725</v>
      </c>
      <c r="F33" s="502">
        <f>'[3]Prod &amp; Defects - Costs'!S33</f>
        <v>2716.9932784206921</v>
      </c>
      <c r="G33" s="461">
        <f>'SM Cost'!F43</f>
        <v>494.97499985751568</v>
      </c>
      <c r="H33" s="461">
        <f>'SM Cost'!G43</f>
        <v>501.16416293842792</v>
      </c>
      <c r="I33" s="461">
        <f>'SM Cost'!H43</f>
        <v>496.07905627514407</v>
      </c>
      <c r="J33" s="461">
        <f>'SM Cost'!I43</f>
        <v>506.53931578122285</v>
      </c>
      <c r="K33" s="461">
        <f>'SM Cost'!J43</f>
        <v>507.45003606159094</v>
      </c>
      <c r="L33" s="461">
        <f>'SM Cost'!K43</f>
        <v>581.92232120627125</v>
      </c>
      <c r="M33" s="461">
        <f>'SM Cost'!L43</f>
        <v>589.26095043120426</v>
      </c>
      <c r="N33" s="461">
        <f>'SM Cost'!M43</f>
        <v>591.566037298786</v>
      </c>
      <c r="O33" s="461">
        <f>'SM Cost'!N43</f>
        <v>572.62320576140405</v>
      </c>
      <c r="P33" s="461">
        <f>'SM Cost'!O43</f>
        <v>405.23235442281191</v>
      </c>
      <c r="Q33" s="461">
        <f>'SM Cost'!P43</f>
        <v>436.39570178904057</v>
      </c>
      <c r="R33" s="461">
        <f>'SM Cost'!Q43</f>
        <v>530.5150583908777</v>
      </c>
      <c r="S33" s="419">
        <f t="shared" si="2"/>
        <v>6213.7232002142982</v>
      </c>
      <c r="U33" s="282"/>
      <c r="V33" s="282"/>
    </row>
    <row r="34" spans="1:23">
      <c r="A34" s="937" t="s">
        <v>183</v>
      </c>
      <c r="B34" s="938"/>
      <c r="C34" s="184" t="s">
        <v>168</v>
      </c>
      <c r="D34" s="237" t="s">
        <v>81</v>
      </c>
      <c r="E34" s="504">
        <v>65829.776765879069</v>
      </c>
      <c r="F34" s="504">
        <f>'[3]Prod &amp; Defects - Costs'!S34</f>
        <v>101539.25845457779</v>
      </c>
      <c r="G34" s="467">
        <f t="array" ref="G34">SUM(IF($C$15:$C$29=$C34,G$15:G$29))</f>
        <v>6764.9776946170232</v>
      </c>
      <c r="H34" s="467">
        <f t="array" ref="H34">SUM(IF($C$15:$C$29=$C34,H$15:H$29))</f>
        <v>6405.2138056433296</v>
      </c>
      <c r="I34" s="467">
        <f t="array" ref="I34">SUM(IF($C$15:$C$29=$C34,I$15:I$29))</f>
        <v>6141.5815808825637</v>
      </c>
      <c r="J34" s="467">
        <f t="array" ref="J34">SUM(IF($C$15:$C$29=$C34,J$15:J$29))</f>
        <v>6189.2926692692463</v>
      </c>
      <c r="K34" s="467">
        <f t="array" ref="K34">SUM(IF($C$15:$C$29=$C34,K$15:K$29))</f>
        <v>6975.0704558654188</v>
      </c>
      <c r="L34" s="467">
        <f t="array" ref="L34">SUM(IF($C$15:$C$29=$C34,L$15:L$29))</f>
        <v>7890.1316985422445</v>
      </c>
      <c r="M34" s="467">
        <f t="array" ref="M34">SUM(IF($C$15:$C$29=$C34,M$15:M$29))</f>
        <v>7926.629546018331</v>
      </c>
      <c r="N34" s="467">
        <f t="array" ref="N34">SUM(IF($C$15:$C$29=$C34,N$15:N$29))</f>
        <v>7919.5281757876155</v>
      </c>
      <c r="O34" s="468">
        <f t="array" ref="O34">SUM(IF($C$15:$C$29=$C34,O$15:O$29))</f>
        <v>7273.3577502258586</v>
      </c>
      <c r="P34" s="468">
        <f t="array" ref="P34">SUM(IF($C$15:$C$29=$C34,P$15:P$29))</f>
        <v>5849.2521467829811</v>
      </c>
      <c r="Q34" s="468">
        <f t="array" ref="Q34">SUM(IF($C$15:$C$29=$C34,Q$15:Q$29))</f>
        <v>5764.7842782811986</v>
      </c>
      <c r="R34" s="468">
        <f t="array" ref="R34">SUM(IF($C$15:$C$29=$C34,R$15:R$29))</f>
        <v>7203.3591836979749</v>
      </c>
      <c r="S34" s="257">
        <f>SUM(G34:R34)</f>
        <v>82303.178985613777</v>
      </c>
      <c r="U34" s="282"/>
      <c r="V34" s="282"/>
    </row>
    <row r="35" spans="1:23">
      <c r="A35" s="939"/>
      <c r="B35" s="940"/>
      <c r="C35" s="186" t="s">
        <v>169</v>
      </c>
      <c r="D35" s="238" t="s">
        <v>81</v>
      </c>
      <c r="E35" s="502">
        <v>29142.131707923243</v>
      </c>
      <c r="F35" s="502">
        <f>'[3]Prod &amp; Defects - Costs'!S35</f>
        <v>35265.497042586525</v>
      </c>
      <c r="G35" s="460">
        <f t="array" ref="G35">SUM(IF($C$15:$C$29=$C35,G$15:G$29))</f>
        <v>2285.1260944031796</v>
      </c>
      <c r="H35" s="460">
        <f t="array" ref="H35">SUM(IF($C$15:$C$29=$C35,H$15:H$29))</f>
        <v>2031.7455548197481</v>
      </c>
      <c r="I35" s="460">
        <f t="array" ref="I35">SUM(IF($C$15:$C$29=$C35,I$15:I$29))</f>
        <v>1967.495100788788</v>
      </c>
      <c r="J35" s="460">
        <f t="array" ref="J35">SUM(IF($C$15:$C$29=$C35,J$15:J$29))</f>
        <v>1981.965347846221</v>
      </c>
      <c r="K35" s="460">
        <f t="array" ref="K35">SUM(IF($C$15:$C$29=$C35,K$15:K$29))</f>
        <v>2324.9225904393011</v>
      </c>
      <c r="L35" s="460">
        <f t="array" ref="L35">SUM(IF($C$15:$C$29=$C35,L$15:L$29))</f>
        <v>2654.4491888099792</v>
      </c>
      <c r="M35" s="460">
        <f t="array" ref="M35">SUM(IF($C$15:$C$29=$C35,M$15:M$29))</f>
        <v>2641.1709156995021</v>
      </c>
      <c r="N35" s="460">
        <f t="array" ref="N35">SUM(IF($C$15:$C$29=$C35,N$15:N$29))</f>
        <v>2641.9943633353778</v>
      </c>
      <c r="O35" s="461">
        <f t="array" ref="O35">SUM(IF($C$15:$C$29=$C35,O$15:O$29))</f>
        <v>2384.2434718652444</v>
      </c>
      <c r="P35" s="461">
        <f t="array" ref="P35">SUM(IF($C$15:$C$29=$C35,P$15:P$29))</f>
        <v>1953.838986415361</v>
      </c>
      <c r="Q35" s="461">
        <f t="array" ref="Q35">SUM(IF($C$15:$C$29=$C35,Q$15:Q$29))</f>
        <v>1912.1059865406082</v>
      </c>
      <c r="R35" s="461">
        <f t="array" ref="R35">SUM(IF($C$15:$C$29=$C35,R$15:R$29))</f>
        <v>2396.4933143743924</v>
      </c>
      <c r="S35" s="258">
        <f t="shared" ref="S35:S36" si="4">SUM(G35:R35)</f>
        <v>27175.550915337699</v>
      </c>
    </row>
    <row r="36" spans="1:23">
      <c r="A36" s="939"/>
      <c r="B36" s="940"/>
      <c r="C36" s="189" t="s">
        <v>104</v>
      </c>
      <c r="D36" s="239" t="s">
        <v>81</v>
      </c>
      <c r="E36" s="503">
        <v>41311.07685443943</v>
      </c>
      <c r="F36" s="503">
        <f>'[3]Prod &amp; Defects - Costs'!S36</f>
        <v>50625.942951723933</v>
      </c>
      <c r="G36" s="464">
        <f t="array" ref="G36">SUM(IF($C$15:$C$29=$C36,G$15:G$29))</f>
        <v>4053.7161371448674</v>
      </c>
      <c r="H36" s="464">
        <f t="array" ref="H36">SUM(IF($C$15:$C$29=$C36,H$15:H$29))</f>
        <v>4241.629021143086</v>
      </c>
      <c r="I36" s="464">
        <f t="array" ref="I36">SUM(IF($C$15:$C$29=$C36,I$15:I$29))</f>
        <v>3993.371920227738</v>
      </c>
      <c r="J36" s="464">
        <f t="array" ref="J36">SUM(IF($C$15:$C$29=$C36,J$15:J$29))</f>
        <v>4018.7671466857237</v>
      </c>
      <c r="K36" s="464">
        <f t="array" ref="K36">SUM(IF($C$15:$C$29=$C36,K$15:K$29))</f>
        <v>2719.2792982524384</v>
      </c>
      <c r="L36" s="464">
        <f t="array" ref="L36">SUM(IF($C$15:$C$29=$C36,L$15:L$29))</f>
        <v>3091.1314696591758</v>
      </c>
      <c r="M36" s="464">
        <f t="array" ref="M36">SUM(IF($C$15:$C$29=$C36,M$15:M$29))</f>
        <v>3063.9707081257857</v>
      </c>
      <c r="N36" s="464">
        <f t="array" ref="N36">SUM(IF($C$15:$C$29=$C36,N$15:N$29))</f>
        <v>3058.4775988497154</v>
      </c>
      <c r="O36" s="465">
        <f t="array" ref="O36">SUM(IF($C$15:$C$29=$C36,O$15:O$29))</f>
        <v>2827.2810837237348</v>
      </c>
      <c r="P36" s="465">
        <f t="array" ref="P36">SUM(IF($C$15:$C$29=$C36,P$15:P$29))</f>
        <v>2258.660669738907</v>
      </c>
      <c r="Q36" s="465">
        <f t="array" ref="Q36">SUM(IF($C$15:$C$29=$C36,Q$15:Q$29))</f>
        <v>2207.2517911367286</v>
      </c>
      <c r="R36" s="465">
        <f t="array" ref="R36">SUM(IF($C$15:$C$29=$C36,R$15:R$29))</f>
        <v>2758.3322522313761</v>
      </c>
      <c r="S36" s="259">
        <f t="shared" si="4"/>
        <v>38291.869096919276</v>
      </c>
    </row>
    <row r="37" spans="1:23">
      <c r="A37" s="939"/>
      <c r="B37" s="940"/>
      <c r="C37" s="212" t="s">
        <v>1</v>
      </c>
      <c r="D37" s="227" t="s">
        <v>81</v>
      </c>
      <c r="E37" s="500">
        <v>168565.80714960021</v>
      </c>
      <c r="F37" s="500">
        <f>'[3]Prod &amp; Defects - Costs'!S37</f>
        <v>236936.96361419326</v>
      </c>
      <c r="G37" s="261">
        <f>SUM(G30:G36)</f>
        <v>17748.46124062618</v>
      </c>
      <c r="H37" s="261">
        <f t="shared" ref="H37:R37" si="5">SUM(H30:H36)</f>
        <v>17081.593267457596</v>
      </c>
      <c r="I37" s="261">
        <f t="shared" si="5"/>
        <v>16348.059227129925</v>
      </c>
      <c r="J37" s="261">
        <f t="shared" si="5"/>
        <v>16471.930763809807</v>
      </c>
      <c r="K37" s="261">
        <f t="shared" si="5"/>
        <v>16785.546845907858</v>
      </c>
      <c r="L37" s="261">
        <f t="shared" si="5"/>
        <v>19047.707951635424</v>
      </c>
      <c r="M37" s="261">
        <f t="shared" si="5"/>
        <v>19007.873700646975</v>
      </c>
      <c r="N37" s="261">
        <f t="shared" si="5"/>
        <v>19000.579985283501</v>
      </c>
      <c r="O37" s="261">
        <f t="shared" si="5"/>
        <v>17468.912410918962</v>
      </c>
      <c r="P37" s="261">
        <f t="shared" si="5"/>
        <v>14006.933503669345</v>
      </c>
      <c r="Q37" s="261">
        <f t="shared" si="5"/>
        <v>13785.81766695592</v>
      </c>
      <c r="R37" s="261">
        <f t="shared" si="5"/>
        <v>17242.362418619683</v>
      </c>
      <c r="S37" s="262">
        <f>SUM(S30:S36)</f>
        <v>203995.77898266117</v>
      </c>
      <c r="T37" s="282"/>
    </row>
    <row r="38" spans="1:23">
      <c r="A38" s="939"/>
      <c r="B38" s="940"/>
      <c r="C38" s="212" t="s">
        <v>178</v>
      </c>
      <c r="D38" s="227" t="s">
        <v>105</v>
      </c>
      <c r="E38" s="507">
        <v>2.5790075038440176E-3</v>
      </c>
      <c r="F38" s="507">
        <f>'[3]Prod &amp; Defects - Costs'!S38</f>
        <v>4.0929727810588299E-3</v>
      </c>
      <c r="G38" s="473">
        <f t="shared" ref="G38:H38" si="6">G37/G10</f>
        <v>2.5156728165414857E-6</v>
      </c>
      <c r="H38" s="473">
        <f t="shared" si="6"/>
        <v>2.4372879795477674E-6</v>
      </c>
      <c r="I38" s="473">
        <f>IF(ISERR(I37/I10),0,I37/I10)</f>
        <v>2.4471880261849937E-6</v>
      </c>
      <c r="J38" s="473">
        <f t="shared" ref="J38:R38" si="7">IF(ISERR(J37/J10),0,J37/J10)</f>
        <v>2.4433711105420954E-6</v>
      </c>
      <c r="K38" s="473">
        <f t="shared" si="7"/>
        <v>2.2565773536822664E-6</v>
      </c>
      <c r="L38" s="473">
        <f t="shared" si="7"/>
        <v>2.2970599533783983E-6</v>
      </c>
      <c r="M38" s="473">
        <f t="shared" si="7"/>
        <v>2.3040801849783203E-6</v>
      </c>
      <c r="N38" s="473">
        <f t="shared" si="7"/>
        <v>2.2984777153137125E-6</v>
      </c>
      <c r="O38" s="473">
        <f t="shared" si="7"/>
        <v>2.2691825124925436E-6</v>
      </c>
      <c r="P38" s="473">
        <f t="shared" si="7"/>
        <v>2.3832527291391015E-6</v>
      </c>
      <c r="Q38" s="473">
        <f t="shared" si="7"/>
        <v>2.3034031516928703E-6</v>
      </c>
      <c r="R38" s="473">
        <f t="shared" si="7"/>
        <v>2.2974838974663428E-6</v>
      </c>
      <c r="S38" s="474">
        <f>S37/S10</f>
        <v>2.3502410650480075E-6</v>
      </c>
    </row>
    <row r="39" spans="1:23">
      <c r="A39" s="939"/>
      <c r="B39" s="940"/>
      <c r="C39" s="184" t="s">
        <v>176</v>
      </c>
      <c r="D39" s="237" t="s">
        <v>105</v>
      </c>
      <c r="E39" s="508">
        <v>1.2099999999999999E-3</v>
      </c>
      <c r="F39" s="508">
        <f>'[3]Prod &amp; Defects - Costs'!S39</f>
        <v>9.2000000000000003E-4</v>
      </c>
      <c r="G39" s="475">
        <v>9.2000000000000003E-4</v>
      </c>
      <c r="H39" s="475">
        <f>G39</f>
        <v>9.2000000000000003E-4</v>
      </c>
      <c r="I39" s="475">
        <f t="shared" ref="I39:R39" si="8">H39</f>
        <v>9.2000000000000003E-4</v>
      </c>
      <c r="J39" s="475">
        <f t="shared" si="8"/>
        <v>9.2000000000000003E-4</v>
      </c>
      <c r="K39" s="475">
        <f t="shared" si="8"/>
        <v>9.2000000000000003E-4</v>
      </c>
      <c r="L39" s="475">
        <f t="shared" si="8"/>
        <v>9.2000000000000003E-4</v>
      </c>
      <c r="M39" s="475">
        <f t="shared" si="8"/>
        <v>9.2000000000000003E-4</v>
      </c>
      <c r="N39" s="475">
        <f t="shared" si="8"/>
        <v>9.2000000000000003E-4</v>
      </c>
      <c r="O39" s="475">
        <f t="shared" si="8"/>
        <v>9.2000000000000003E-4</v>
      </c>
      <c r="P39" s="475">
        <f t="shared" si="8"/>
        <v>9.2000000000000003E-4</v>
      </c>
      <c r="Q39" s="475">
        <f t="shared" si="8"/>
        <v>9.2000000000000003E-4</v>
      </c>
      <c r="R39" s="475">
        <f t="shared" si="8"/>
        <v>9.2000000000000003E-4</v>
      </c>
      <c r="S39" s="476">
        <f>R39</f>
        <v>9.2000000000000003E-4</v>
      </c>
    </row>
    <row r="40" spans="1:23" ht="13.5" thickBot="1">
      <c r="A40" s="941"/>
      <c r="B40" s="942"/>
      <c r="C40" s="253" t="s">
        <v>181</v>
      </c>
      <c r="D40" s="254"/>
      <c r="E40" s="509">
        <v>1.3690075038440177E-3</v>
      </c>
      <c r="F40" s="509">
        <f>'[3]Prod &amp; Defects - Costs'!S40</f>
        <v>3.1729727810588301E-3</v>
      </c>
      <c r="G40" s="477">
        <f>G38-G39</f>
        <v>-9.1748432718345859E-4</v>
      </c>
      <c r="H40" s="477">
        <f t="shared" ref="H40:S40" si="9">H38-H39</f>
        <v>-9.1756271202045228E-4</v>
      </c>
      <c r="I40" s="477">
        <f t="shared" si="9"/>
        <v>-9.1755281197381498E-4</v>
      </c>
      <c r="J40" s="477">
        <f t="shared" si="9"/>
        <v>-9.1755662888945791E-4</v>
      </c>
      <c r="K40" s="477">
        <f t="shared" si="9"/>
        <v>-9.1774342264631774E-4</v>
      </c>
      <c r="L40" s="477">
        <f t="shared" si="9"/>
        <v>-9.1770294004662166E-4</v>
      </c>
      <c r="M40" s="477">
        <f t="shared" si="9"/>
        <v>-9.1769591981502173E-4</v>
      </c>
      <c r="N40" s="477">
        <f t="shared" si="9"/>
        <v>-9.1770152228468635E-4</v>
      </c>
      <c r="O40" s="478">
        <f t="shared" si="9"/>
        <v>-9.1773081748750744E-4</v>
      </c>
      <c r="P40" s="478">
        <f t="shared" si="9"/>
        <v>-9.1761674727086097E-4</v>
      </c>
      <c r="Q40" s="478">
        <f t="shared" si="9"/>
        <v>-9.1769659684830718E-4</v>
      </c>
      <c r="R40" s="478">
        <f t="shared" si="9"/>
        <v>-9.1770251610253371E-4</v>
      </c>
      <c r="S40" s="479">
        <f t="shared" si="9"/>
        <v>-9.1764975893495197E-4</v>
      </c>
    </row>
    <row r="41" spans="1:23">
      <c r="F41" s="707"/>
    </row>
    <row r="42" spans="1:23">
      <c r="F42" s="707"/>
    </row>
    <row r="43" spans="1:23" ht="13.5" thickBot="1">
      <c r="A43" s="1" t="s">
        <v>1</v>
      </c>
      <c r="F43" s="707"/>
      <c r="T43" s="1" t="s">
        <v>55</v>
      </c>
      <c r="U43" s="1" t="s">
        <v>54</v>
      </c>
      <c r="V43" s="1" t="s">
        <v>203</v>
      </c>
    </row>
    <row r="44" spans="1:23">
      <c r="A44" s="950" t="s">
        <v>98</v>
      </c>
      <c r="B44" s="951"/>
      <c r="C44" s="264"/>
      <c r="D44" s="510"/>
      <c r="E44" s="511">
        <v>40356.441942054429</v>
      </c>
      <c r="F44" s="511">
        <f>'[3]Prod &amp; Defects - Costs'!S44</f>
        <v>44308.907048034904</v>
      </c>
      <c r="G44" s="512">
        <f t="shared" ref="G44:R44" si="10">SUM(G15:G17)</f>
        <v>2568.5447771905974</v>
      </c>
      <c r="H44" s="512">
        <f t="shared" si="10"/>
        <v>1401.620590647882</v>
      </c>
      <c r="I44" s="512">
        <f>SUM(I15:I17)</f>
        <v>1395.188850122327</v>
      </c>
      <c r="J44" s="512">
        <f>SUM(J15:J17)</f>
        <v>1409.94078419838</v>
      </c>
      <c r="K44" s="512">
        <f t="shared" si="10"/>
        <v>2546.9379671898623</v>
      </c>
      <c r="L44" s="512">
        <f t="shared" si="10"/>
        <v>2951.4369387756697</v>
      </c>
      <c r="M44" s="512">
        <f t="shared" si="10"/>
        <v>2972.4489903514768</v>
      </c>
      <c r="N44" s="512">
        <f t="shared" si="10"/>
        <v>2975.8518725432909</v>
      </c>
      <c r="O44" s="512">
        <f t="shared" si="10"/>
        <v>2385.9260948508086</v>
      </c>
      <c r="P44" s="512">
        <f>SUM(P15:P17)</f>
        <v>2211.1470290865996</v>
      </c>
      <c r="Q44" s="512">
        <f t="shared" si="10"/>
        <v>2237.2480150468928</v>
      </c>
      <c r="R44" s="512">
        <f t="shared" si="10"/>
        <v>2754.3331933599238</v>
      </c>
      <c r="S44" s="266">
        <f>SUM(G44:R44)</f>
        <v>27810.625103363716</v>
      </c>
      <c r="T44" s="495">
        <f>SUM(G44:L44)/SUM(G5:L5)*1000</f>
        <v>2.1150102639673775E-3</v>
      </c>
      <c r="U44" s="495">
        <f>SUM(M44:R44)/SUM(M5:R5)*1000</f>
        <v>2.1150102639673771E-3</v>
      </c>
      <c r="V44" s="495">
        <f>SUM(G44:R44)/SUM(G5:R5)*1000</f>
        <v>2.1150102639673775E-3</v>
      </c>
    </row>
    <row r="45" spans="1:23">
      <c r="A45" s="943" t="s">
        <v>184</v>
      </c>
      <c r="B45" s="944"/>
      <c r="C45" s="267"/>
      <c r="D45" s="269"/>
      <c r="E45" s="513">
        <v>21192.544652933433</v>
      </c>
      <c r="F45" s="513">
        <f>'[3]Prod &amp; Defects - Costs'!S45</f>
        <v>28906.766763061139</v>
      </c>
      <c r="G45" s="514">
        <f t="shared" ref="G45:R45" si="11">SUM(G18:G20)</f>
        <v>2059.1156257786065</v>
      </c>
      <c r="H45" s="514">
        <f t="shared" si="11"/>
        <v>2155.0009578700328</v>
      </c>
      <c r="I45" s="514">
        <f>SUM(I18:I20)</f>
        <v>2073.9396070426642</v>
      </c>
      <c r="J45" s="514">
        <f>SUM(J18:J20)</f>
        <v>2087.3477330442106</v>
      </c>
      <c r="K45" s="514">
        <f t="shared" si="11"/>
        <v>2112.8475032577135</v>
      </c>
      <c r="L45" s="514">
        <f t="shared" si="11"/>
        <v>2402.2686099973944</v>
      </c>
      <c r="M45" s="514">
        <f t="shared" si="11"/>
        <v>2372.7203920333045</v>
      </c>
      <c r="N45" s="514">
        <f t="shared" si="11"/>
        <v>2373.9649536816196</v>
      </c>
      <c r="O45" s="514">
        <f t="shared" si="11"/>
        <v>2258.7591000669563</v>
      </c>
      <c r="P45" s="514">
        <f t="shared" si="11"/>
        <v>1751.7336677654839</v>
      </c>
      <c r="Q45" s="514">
        <f t="shared" si="11"/>
        <v>1681.3467779419311</v>
      </c>
      <c r="R45" s="514">
        <f t="shared" si="11"/>
        <v>2131.7594342527827</v>
      </c>
      <c r="S45" s="258">
        <f>SUM(G45:R45)</f>
        <v>25460.804362732699</v>
      </c>
      <c r="T45" s="495">
        <f>SUM(G45:L45)/SUM(G6:L6)*1000</f>
        <v>3.0053920537847106E-3</v>
      </c>
      <c r="U45" s="495">
        <f>SUM(M45:R45)/SUM(M6:R6)*1000</f>
        <v>3.005392053784711E-3</v>
      </c>
      <c r="V45" s="495">
        <f>SUM(G45:R45)/SUM(G6:R6)*1000</f>
        <v>3.0053920537847102E-3</v>
      </c>
    </row>
    <row r="46" spans="1:23">
      <c r="A46" s="943" t="s">
        <v>185</v>
      </c>
      <c r="B46" s="944"/>
      <c r="C46" s="267"/>
      <c r="D46" s="269"/>
      <c r="E46" s="513">
        <v>56356.160738945277</v>
      </c>
      <c r="F46" s="513">
        <f>'[3]Prod &amp; Defects - Costs'!S46</f>
        <v>86275.235517817055</v>
      </c>
      <c r="G46" s="514">
        <f t="shared" ref="G46:R46" si="12">SUM(G21:G23)</f>
        <v>6128.9806651355857</v>
      </c>
      <c r="H46" s="514">
        <f t="shared" si="12"/>
        <v>6414.3844273629929</v>
      </c>
      <c r="I46" s="514">
        <f t="shared" si="12"/>
        <v>6173.1044109856439</v>
      </c>
      <c r="J46" s="514">
        <f t="shared" si="12"/>
        <v>6213.0138478285153</v>
      </c>
      <c r="K46" s="514">
        <f t="shared" si="12"/>
        <v>6288.9141987594458</v>
      </c>
      <c r="L46" s="514">
        <f t="shared" si="12"/>
        <v>7150.3793564622365</v>
      </c>
      <c r="M46" s="514">
        <f t="shared" si="12"/>
        <v>7062.4287555713126</v>
      </c>
      <c r="N46" s="514">
        <f t="shared" si="12"/>
        <v>7066.1332072221076</v>
      </c>
      <c r="O46" s="514">
        <f t="shared" si="12"/>
        <v>6723.2216968266093</v>
      </c>
      <c r="P46" s="514">
        <f t="shared" si="12"/>
        <v>5214.0548329538296</v>
      </c>
      <c r="Q46" s="514">
        <f t="shared" si="12"/>
        <v>5004.5474690123519</v>
      </c>
      <c r="R46" s="514">
        <f t="shared" si="12"/>
        <v>6345.2057726555595</v>
      </c>
      <c r="S46" s="258">
        <f>SUM(G46:R46)</f>
        <v>75784.368640776185</v>
      </c>
      <c r="T46" s="495">
        <f>SUM(G46:L46)/SUM(G7:L7)*1000</f>
        <v>2.6934014375954805E-3</v>
      </c>
      <c r="U46" s="495">
        <f>SUM(M46:R46)/SUM(M7:R7)*1000</f>
        <v>2.6934014375954805E-3</v>
      </c>
      <c r="V46" s="495">
        <f>SUM(G46:R46)/SUM(G7:R7)*1000</f>
        <v>2.69340143759548E-3</v>
      </c>
      <c r="W46" s="538">
        <f>(S45+S46)/(S6+S7)*1000</f>
        <v>2.7655998305781029E-3</v>
      </c>
    </row>
    <row r="47" spans="1:23">
      <c r="A47" s="943" t="s">
        <v>119</v>
      </c>
      <c r="B47" s="944"/>
      <c r="C47" s="267"/>
      <c r="D47" s="269"/>
      <c r="E47" s="513">
        <v>13978.90091535202</v>
      </c>
      <c r="F47" s="513">
        <f>'[3]Prod &amp; Defects - Costs'!S47</f>
        <v>19523.790249536061</v>
      </c>
      <c r="G47" s="514">
        <f t="shared" ref="G47:R47" si="13">SUM(G24:G26)</f>
        <v>2266.7223775266466</v>
      </c>
      <c r="H47" s="514">
        <f t="shared" si="13"/>
        <v>2588.0853090243172</v>
      </c>
      <c r="I47" s="514">
        <f t="shared" si="13"/>
        <v>2344.1604325256149</v>
      </c>
      <c r="J47" s="514">
        <f t="shared" si="13"/>
        <v>2355.9468407824161</v>
      </c>
      <c r="K47" s="514">
        <f t="shared" si="13"/>
        <v>947.17280803576023</v>
      </c>
      <c r="L47" s="514">
        <f t="shared" si="13"/>
        <v>998.11703741563065</v>
      </c>
      <c r="M47" s="514">
        <f t="shared" si="13"/>
        <v>973.88043025395632</v>
      </c>
      <c r="N47" s="514">
        <f t="shared" si="13"/>
        <v>971.93236612440796</v>
      </c>
      <c r="O47" s="514">
        <f t="shared" si="13"/>
        <v>970.78322165966949</v>
      </c>
      <c r="P47" s="514">
        <f t="shared" si="13"/>
        <v>718.46461253631287</v>
      </c>
      <c r="Q47" s="514">
        <f t="shared" si="13"/>
        <v>750.41334389398764</v>
      </c>
      <c r="R47" s="514">
        <f t="shared" si="13"/>
        <v>928.2618152373185</v>
      </c>
      <c r="S47" s="258">
        <f>SUM(G47:R47)</f>
        <v>16813.940595016036</v>
      </c>
      <c r="T47" s="495">
        <f>SUM(G47:L47)/SUM(G8:L8)*1000</f>
        <v>1.1463846924554422E-3</v>
      </c>
      <c r="U47" s="495">
        <f>SUM(M47:R47)/SUM(M8:R8)*1000</f>
        <v>5.4861651869988679E-4</v>
      </c>
      <c r="V47" s="495">
        <f>SUM(G47:R47)/SUM(G8:R8)*1000</f>
        <v>8.5274561473808359E-4</v>
      </c>
    </row>
    <row r="48" spans="1:23">
      <c r="A48" s="943" t="s">
        <v>106</v>
      </c>
      <c r="B48" s="944"/>
      <c r="C48" s="267"/>
      <c r="D48" s="269"/>
      <c r="E48" s="513">
        <v>4398.9370789565801</v>
      </c>
      <c r="F48" s="513">
        <f>'[3]Prod &amp; Defects - Costs'!S48</f>
        <v>8415.9988704390998</v>
      </c>
      <c r="G48" s="514">
        <f t="shared" ref="G48:R48" si="14">SUM(G27:G29)</f>
        <v>80.456480533634618</v>
      </c>
      <c r="H48" s="514">
        <f t="shared" si="14"/>
        <v>119.49709670093895</v>
      </c>
      <c r="I48" s="514">
        <f t="shared" si="14"/>
        <v>116.0553012228394</v>
      </c>
      <c r="J48" s="514">
        <f t="shared" si="14"/>
        <v>123.77595794766907</v>
      </c>
      <c r="K48" s="514">
        <f t="shared" si="14"/>
        <v>123.39986731437705</v>
      </c>
      <c r="L48" s="514">
        <f t="shared" si="14"/>
        <v>133.51041436046793</v>
      </c>
      <c r="M48" s="514">
        <f t="shared" si="14"/>
        <v>250.29260163356736</v>
      </c>
      <c r="N48" s="514">
        <f t="shared" si="14"/>
        <v>232.11773840128095</v>
      </c>
      <c r="O48" s="514">
        <f t="shared" si="14"/>
        <v>146.19219241079378</v>
      </c>
      <c r="P48" s="514">
        <f t="shared" si="14"/>
        <v>166.35166059502339</v>
      </c>
      <c r="Q48" s="514">
        <f t="shared" si="14"/>
        <v>210.58645006337173</v>
      </c>
      <c r="R48" s="514">
        <f t="shared" si="14"/>
        <v>198.62453479815866</v>
      </c>
      <c r="S48" s="258">
        <f>SUM(G48:R48)</f>
        <v>1900.860295982123</v>
      </c>
      <c r="T48" s="495">
        <f>SUM(G48:L48)/SUM(G9:L9)*1000</f>
        <v>7.8752109049386513E-5</v>
      </c>
      <c r="U48" s="495">
        <f>SUM(M48:R48)/SUM(M9:R9)*1000</f>
        <v>1.42071251290008E-4</v>
      </c>
      <c r="V48" s="495">
        <f>SUM(G48:R48)/SUM(G9:R9)*1000</f>
        <v>1.0973379835171162E-4</v>
      </c>
    </row>
    <row r="49" spans="1:22">
      <c r="A49" s="945" t="s">
        <v>207</v>
      </c>
      <c r="B49" s="515" t="s">
        <v>98</v>
      </c>
      <c r="C49" s="516"/>
      <c r="D49" s="517"/>
      <c r="E49" s="518">
        <v>10479.028397874523</v>
      </c>
      <c r="F49" s="518">
        <f>'[3]Prod &amp; Defects - Costs'!S49</f>
        <v>8120.162911693199</v>
      </c>
      <c r="G49" s="519">
        <f>'BLIND-PVC-PRE - Cost'!F10+'BLIND-PVC-PRE - Cost'!F24+'BLIND-PVC-PRE - Cost'!F29</f>
        <v>947.02642619566109</v>
      </c>
      <c r="H49" s="519">
        <f>'BLIND-PVC-PRE - Cost'!G10+'BLIND-PVC-PRE - Cost'!G24+'BLIND-PVC-PRE - Cost'!G29</f>
        <v>516.77967642649298</v>
      </c>
      <c r="I49" s="519">
        <f>'BLIND-PVC-PRE - Cost'!H10+'BLIND-PVC-PRE - Cost'!H24+'BLIND-PVC-PRE - Cost'!H29</f>
        <v>514.40828376157845</v>
      </c>
      <c r="J49" s="519">
        <f>'BLIND-PVC-PRE - Cost'!I10+'BLIND-PVC-PRE - Cost'!I24+'BLIND-PVC-PRE - Cost'!I29</f>
        <v>519.84734463821962</v>
      </c>
      <c r="K49" s="519">
        <f>'BLIND-PVC-PRE - Cost'!J10+'BLIND-PVC-PRE - Cost'!J24+'BLIND-PVC-PRE - Cost'!J29</f>
        <v>939.05996197895945</v>
      </c>
      <c r="L49" s="519">
        <f>'BLIND-PVC-PRE - Cost'!K10+'BLIND-PVC-PRE - Cost'!K24+'BLIND-PVC-PRE - Cost'!K29</f>
        <v>1088.1993575084855</v>
      </c>
      <c r="M49" s="519">
        <f>'BLIND-PVC-PRE - Cost'!L10+'BLIND-PVC-PRE - Cost'!L24+'BLIND-PVC-PRE - Cost'!L29</f>
        <v>1095.9465333753751</v>
      </c>
      <c r="N49" s="519">
        <f>'BLIND-PVC-PRE - Cost'!M10+'BLIND-PVC-PRE - Cost'!M24+'BLIND-PVC-PRE - Cost'!M29</f>
        <v>1097.2011812948879</v>
      </c>
      <c r="O49" s="519">
        <f>'[6]BLIND-PVC-PRE - Cost'!N10+'[6]BLIND-PVC-PRE - Cost'!N24+'[6]BLIND-PVC-PRE - Cost'!N29</f>
        <v>0</v>
      </c>
      <c r="P49" s="519">
        <f>'[6]BLIND-PVC-PRE - Cost'!O10+'[6]BLIND-PVC-PRE - Cost'!O24+'[6]BLIND-PVC-PRE - Cost'!O29</f>
        <v>0</v>
      </c>
      <c r="Q49" s="519">
        <f>'[6]BLIND-PVC-PRE - Cost'!P10+'[6]BLIND-PVC-PRE - Cost'!P24+'[6]BLIND-PVC-PRE - Cost'!P29</f>
        <v>0</v>
      </c>
      <c r="R49" s="519">
        <f>'[6]BLIND-PVC-PRE - Cost'!Q10+'[6]BLIND-PVC-PRE - Cost'!Q24+'[6]BLIND-PVC-PRE - Cost'!Q29</f>
        <v>0</v>
      </c>
      <c r="S49" s="419">
        <f t="shared" ref="S49:S56" si="15">SUM(G49:R49)</f>
        <v>6718.4687651796594</v>
      </c>
      <c r="T49" s="495" cm="1">
        <f t="array" ref="T49">SUM(G49:L49/SUM('BLIND-PVC-PRE - Cost'!F36:K39))</f>
        <v>2.462802520232627E-3</v>
      </c>
      <c r="U49" s="495"/>
      <c r="V49" s="495"/>
    </row>
    <row r="50" spans="1:22">
      <c r="A50" s="946"/>
      <c r="B50" s="515" t="s">
        <v>96</v>
      </c>
      <c r="C50" s="516"/>
      <c r="D50" s="517"/>
      <c r="E50" s="518">
        <v>16482.335665288734</v>
      </c>
      <c r="F50" s="518">
        <f>'[3]Prod &amp; Defects - Costs'!S50</f>
        <v>23388.137766394648</v>
      </c>
      <c r="G50" s="519">
        <f>'BLIND-PVC-PRE - Cost'!F22+'BLIND-PVC-PRE - Cost'!F25+'BLIND-PVC-PRE - Cost'!F30</f>
        <v>3002.9562463670964</v>
      </c>
      <c r="H50" s="519">
        <f>'BLIND-PVC-PRE - Cost'!G22+'BLIND-PVC-PRE - Cost'!G25+'BLIND-PVC-PRE - Cost'!G30</f>
        <v>3067.6950527462709</v>
      </c>
      <c r="I50" s="519">
        <f>'BLIND-PVC-PRE - Cost'!H22+'BLIND-PVC-PRE - Cost'!H25+'BLIND-PVC-PRE - Cost'!H30</f>
        <v>2955.004392852527</v>
      </c>
      <c r="J50" s="519">
        <f>'BLIND-PVC-PRE - Cost'!I22+'BLIND-PVC-PRE - Cost'!I25+'BLIND-PVC-PRE - Cost'!I30</f>
        <v>2974.4432352971771</v>
      </c>
      <c r="K50" s="519">
        <f>'BLIND-PVC-PRE - Cost'!J22+'BLIND-PVC-PRE - Cost'!J25+'BLIND-PVC-PRE - Cost'!J30</f>
        <v>3076.1436570755882</v>
      </c>
      <c r="L50" s="519">
        <f>'BLIND-PVC-PRE - Cost'!K22+'BLIND-PVC-PRE - Cost'!K25+'BLIND-PVC-PRE - Cost'!K30</f>
        <v>3500.764952388367</v>
      </c>
      <c r="M50" s="519">
        <f>'BLIND-PVC-PRE - Cost'!L22+'BLIND-PVC-PRE - Cost'!L25+'BLIND-PVC-PRE - Cost'!L30</f>
        <v>3461.0506938222184</v>
      </c>
      <c r="N50" s="519">
        <f>'BLIND-PVC-PRE - Cost'!M22+'BLIND-PVC-PRE - Cost'!M25+'BLIND-PVC-PRE - Cost'!M30</f>
        <v>3462.9737401608704</v>
      </c>
      <c r="O50" s="519">
        <f>'[6]BLIND-PVC-PRE - Cost'!N16+'[6]BLIND-PVC-PRE - Cost'!N21+'[6]BLIND-PVC-PRE - Cost'!N25+'[6]BLIND-PVC-PRE - Cost'!N30</f>
        <v>0</v>
      </c>
      <c r="P50" s="519">
        <f>'[6]BLIND-PVC-PRE - Cost'!O16+'[6]BLIND-PVC-PRE - Cost'!O21+'[6]BLIND-PVC-PRE - Cost'!O25+'[6]BLIND-PVC-PRE - Cost'!O30</f>
        <v>0</v>
      </c>
      <c r="Q50" s="519">
        <f>'[6]BLIND-PVC-PRE - Cost'!P16+'[6]BLIND-PVC-PRE - Cost'!P21+'[6]BLIND-PVC-PRE - Cost'!P25+'[6]BLIND-PVC-PRE - Cost'!P30</f>
        <v>0</v>
      </c>
      <c r="R50" s="519">
        <f>'[6]BLIND-PVC-PRE - Cost'!Q16+'[6]BLIND-PVC-PRE - Cost'!Q21+'[6]BLIND-PVC-PRE - Cost'!Q25+'[6]BLIND-PVC-PRE - Cost'!Q30</f>
        <v>0</v>
      </c>
      <c r="S50" s="419">
        <f>SUM(G50:R50)</f>
        <v>25501.031970710115</v>
      </c>
      <c r="T50" s="495">
        <f>SUM(G50:L50)/SUM('BLIND-PVC-PRE - Cost'!F51:K51)</f>
        <v>4.4503463654924236E-3</v>
      </c>
      <c r="U50" s="495"/>
      <c r="V50" s="495"/>
    </row>
    <row r="51" spans="1:22">
      <c r="A51" s="947"/>
      <c r="B51" s="520" t="s">
        <v>119</v>
      </c>
      <c r="C51" s="516"/>
      <c r="D51" s="517"/>
      <c r="E51" s="518">
        <v>3234.7612380461533</v>
      </c>
      <c r="F51" s="518">
        <f>'[3]Prod &amp; Defects - Costs'!S51</f>
        <v>2869.2472979353843</v>
      </c>
      <c r="G51" s="519">
        <f>'BLIND-PVC-PRE - Cost'!F31</f>
        <v>349.61520011308926</v>
      </c>
      <c r="H51" s="519">
        <f>'BLIND-PVC-PRE - Cost'!G31</f>
        <v>399.18164314925951</v>
      </c>
      <c r="I51" s="519">
        <f>'BLIND-PVC-PRE - Cost'!H31</f>
        <v>361.55910703493038</v>
      </c>
      <c r="J51" s="519">
        <f>'BLIND-PVC-PRE - Cost'!I31</f>
        <v>363.37702153657852</v>
      </c>
      <c r="K51" s="519">
        <f>'BLIND-PVC-PRE - Cost'!J31</f>
        <v>392.29116770422519</v>
      </c>
      <c r="L51" s="519">
        <f>'BLIND-PVC-PRE - Cost'!K31</f>
        <v>413.39077176978731</v>
      </c>
      <c r="M51" s="519">
        <f>'BLIND-PVC-PRE - Cost'!L31</f>
        <v>403.35268068020156</v>
      </c>
      <c r="N51" s="519">
        <f>'BLIND-PVC-PRE - Cost'!M31</f>
        <v>402.54584971370866</v>
      </c>
      <c r="O51" s="519">
        <f>'[6]BLIND-PVC-PRE - Cost'!N31</f>
        <v>0</v>
      </c>
      <c r="P51" s="519">
        <f>'[6]BLIND-PVC-PRE - Cost'!O31</f>
        <v>0</v>
      </c>
      <c r="Q51" s="519">
        <f>'[6]BLIND-PVC-PRE - Cost'!P31</f>
        <v>0</v>
      </c>
      <c r="R51" s="519">
        <f>'[6]BLIND-PVC-PRE - Cost'!Q31</f>
        <v>0</v>
      </c>
      <c r="S51" s="419">
        <f t="shared" si="15"/>
        <v>3085.3134417017804</v>
      </c>
      <c r="T51" s="601">
        <f>SUM(G51:L51)/SUM('BLIND-PVC-PRE - Cost'!F56:K56)</f>
        <v>7.087219496312508E-5</v>
      </c>
      <c r="U51" s="495"/>
      <c r="V51" s="495"/>
    </row>
    <row r="52" spans="1:22">
      <c r="A52" s="945" t="s">
        <v>208</v>
      </c>
      <c r="B52" s="520" t="s">
        <v>98</v>
      </c>
      <c r="C52" s="516"/>
      <c r="D52" s="517"/>
      <c r="E52" s="518">
        <v>218.87017816885</v>
      </c>
      <c r="F52" s="518">
        <f>'[3]Prod &amp; Defects - Costs'!S52</f>
        <v>188.13399204246184</v>
      </c>
      <c r="G52" s="519">
        <f>'SM Cost'!F9</f>
        <v>39.116848110942627</v>
      </c>
      <c r="H52" s="519">
        <f>'SM Cost'!G9</f>
        <v>38.660615708643562</v>
      </c>
      <c r="I52" s="519">
        <f>'SM Cost'!H9</f>
        <v>38.177130908974107</v>
      </c>
      <c r="J52" s="519">
        <f>'SM Cost'!I9</f>
        <v>38.9296105058487</v>
      </c>
      <c r="K52" s="519">
        <f>'SM Cost'!J9</f>
        <v>38.687868106013958</v>
      </c>
      <c r="L52" s="519">
        <f>'SM Cost'!K9</f>
        <v>44.767764631709468</v>
      </c>
      <c r="M52" s="519">
        <f>'SM Cost'!L9</f>
        <v>45.036759428914593</v>
      </c>
      <c r="N52" s="519">
        <f>'SM Cost'!M9</f>
        <v>45.054927693828198</v>
      </c>
      <c r="O52" s="519">
        <f>'SM Cost'!N9</f>
        <v>45.000422899087397</v>
      </c>
      <c r="P52" s="519">
        <f>'SM Cost'!O9</f>
        <v>33.287778117538657</v>
      </c>
      <c r="Q52" s="519">
        <f>'SM Cost'!P9</f>
        <v>34.774569046374239</v>
      </c>
      <c r="R52" s="519">
        <f>'SM Cost'!Q9</f>
        <v>41.990504511589016</v>
      </c>
      <c r="S52" s="419">
        <f t="shared" si="15"/>
        <v>483.48479966946451</v>
      </c>
      <c r="T52" s="495"/>
      <c r="U52" s="495"/>
      <c r="V52" s="495"/>
    </row>
    <row r="53" spans="1:22">
      <c r="A53" s="946"/>
      <c r="B53" s="520" t="s">
        <v>96</v>
      </c>
      <c r="C53" s="516"/>
      <c r="D53" s="517"/>
      <c r="E53" s="518">
        <v>469.67747323451425</v>
      </c>
      <c r="F53" s="518">
        <f>'[3]Prod &amp; Defects - Costs'!S53</f>
        <v>499.73332612508625</v>
      </c>
      <c r="G53" s="519">
        <f>'SM Cost'!F17</f>
        <v>132.61716717626672</v>
      </c>
      <c r="H53" s="519">
        <f>'SM Cost'!G17</f>
        <v>131.04100863488694</v>
      </c>
      <c r="I53" s="519">
        <f>'SM Cost'!H17</f>
        <v>129.40247624487893</v>
      </c>
      <c r="J53" s="519">
        <f>'SM Cost'!I17</f>
        <v>131.92264867851912</v>
      </c>
      <c r="K53" s="519">
        <f>'SM Cost'!J17</f>
        <v>131.10338248351516</v>
      </c>
      <c r="L53" s="519">
        <f>'SM Cost'!K17</f>
        <v>151.66820249011926</v>
      </c>
      <c r="M53" s="519">
        <f>'SM Cost'!L17</f>
        <v>152.54984253375147</v>
      </c>
      <c r="N53" s="519">
        <f>'SM Cost'!M17</f>
        <v>152.5914250995036</v>
      </c>
      <c r="O53" s="519">
        <f>'SM Cost'!N17</f>
        <v>152.46667740224723</v>
      </c>
      <c r="P53" s="519">
        <f>'SM Cost'!O17</f>
        <v>112.89240464754263</v>
      </c>
      <c r="Q53" s="519">
        <f>'SM Cost'!P17</f>
        <v>117.89116694907086</v>
      </c>
      <c r="R53" s="519">
        <f>'SM Cost'!Q17</f>
        <v>142.38598766768641</v>
      </c>
      <c r="S53" s="419">
        <f t="shared" si="15"/>
        <v>1638.5323900079882</v>
      </c>
      <c r="T53" s="495"/>
      <c r="U53" s="495"/>
      <c r="V53" s="495"/>
    </row>
    <row r="54" spans="1:22">
      <c r="A54" s="946"/>
      <c r="B54" s="520" t="s">
        <v>119</v>
      </c>
      <c r="C54" s="516"/>
      <c r="D54" s="517"/>
      <c r="E54" s="518">
        <v>274.17615313711474</v>
      </c>
      <c r="F54" s="518">
        <f>'[3]Prod &amp; Defects - Costs'!S54</f>
        <v>139.65992481805313</v>
      </c>
      <c r="G54" s="519">
        <f>'Falhas UM-4 Cost'!E54</f>
        <v>9.1284863238588958</v>
      </c>
      <c r="H54" s="519">
        <f>'Falhas UM-4 Cost'!F54</f>
        <v>10.42267089372786</v>
      </c>
      <c r="I54" s="519">
        <f>'Falhas UM-4 Cost'!G54</f>
        <v>9.4403428763034167</v>
      </c>
      <c r="J54" s="519">
        <f>'Falhas UM-4 Cost'!H54</f>
        <v>9.4878087978676753</v>
      </c>
      <c r="K54" s="519">
        <f>'Falhas UM-4 Cost'!I54</f>
        <v>10.242759920622186</v>
      </c>
      <c r="L54" s="519">
        <f>'Falhas UM-4 Cost'!J54</f>
        <v>10.793672601446758</v>
      </c>
      <c r="M54" s="519">
        <f>'Falhas UM-4 Cost'!K54</f>
        <v>10.531577082718471</v>
      </c>
      <c r="N54" s="519">
        <f>'Falhas UM-4 Cost'!L54</f>
        <v>10.510510648991009</v>
      </c>
      <c r="O54" s="519">
        <f>'Falhas UM-4 Cost'!M54</f>
        <v>10.498083760500789</v>
      </c>
      <c r="P54" s="519">
        <f>'Falhas UM-4 Cost'!N54</f>
        <v>7.7695014840359038</v>
      </c>
      <c r="Q54" s="519">
        <f>'Falhas UM-4 Cost'!O54</f>
        <v>8.1149961839352276</v>
      </c>
      <c r="R54" s="519">
        <f>'Falhas UM-4 Cost'!P54</f>
        <v>10.03825578214639</v>
      </c>
      <c r="S54" s="419">
        <f t="shared" si="15"/>
        <v>116.9786663561546</v>
      </c>
      <c r="T54" s="495"/>
      <c r="U54" s="495"/>
      <c r="V54" s="495"/>
    </row>
    <row r="55" spans="1:22">
      <c r="A55" s="946"/>
      <c r="B55" s="520" t="s">
        <v>106</v>
      </c>
      <c r="C55" s="516"/>
      <c r="D55" s="517"/>
      <c r="E55" s="518">
        <v>238.12868966996558</v>
      </c>
      <c r="F55" s="518">
        <f>'[3]Prod &amp; Defects - Costs'!S55</f>
        <v>220.44627839661393</v>
      </c>
      <c r="G55" s="519">
        <f>'SM Cost'!F29</f>
        <v>136.16877115870318</v>
      </c>
      <c r="H55" s="519">
        <f>'SM Cost'!G29</f>
        <v>151.29570262035315</v>
      </c>
      <c r="I55" s="519">
        <f>'SM Cost'!H29</f>
        <v>146.93803302409646</v>
      </c>
      <c r="J55" s="519">
        <f>'SM Cost'!I29</f>
        <v>149.66658557426518</v>
      </c>
      <c r="K55" s="519">
        <f>'SM Cost'!J29</f>
        <v>149.21182681590375</v>
      </c>
      <c r="L55" s="519">
        <f>'SM Cost'!K29</f>
        <v>164.79023261244336</v>
      </c>
      <c r="M55" s="519">
        <f>'SM Cost'!L29</f>
        <v>168.25950066744218</v>
      </c>
      <c r="N55" s="519">
        <f>'SM Cost'!M29</f>
        <v>169.99413469494158</v>
      </c>
      <c r="O55" s="519">
        <f>'SM Cost'!N29</f>
        <v>157.65010163840444</v>
      </c>
      <c r="P55" s="519">
        <f>'SM Cost'!O29</f>
        <v>101.86620111682606</v>
      </c>
      <c r="Q55" s="519">
        <f>'SM Cost'!P29</f>
        <v>115.9132470404042</v>
      </c>
      <c r="R55" s="519">
        <f>'SM Cost'!Q29</f>
        <v>146.73589143772935</v>
      </c>
      <c r="S55" s="419">
        <f t="shared" si="15"/>
        <v>1758.4902284015129</v>
      </c>
      <c r="T55" s="495"/>
      <c r="U55" s="495"/>
      <c r="V55" s="495"/>
    </row>
    <row r="56" spans="1:22" ht="13.5" thickBot="1">
      <c r="A56" s="948"/>
      <c r="B56" s="521" t="s">
        <v>209</v>
      </c>
      <c r="C56" s="270"/>
      <c r="D56" s="256"/>
      <c r="E56" s="522">
        <v>1074.0017378904929</v>
      </c>
      <c r="F56" s="522">
        <f>'[3]Prod &amp; Defects - Costs'!S56</f>
        <v>1756.57343943253</v>
      </c>
      <c r="G56" s="523">
        <f>'SM Cost'!F21+'SM Cost'!F25+'SM Cost'!F34</f>
        <v>91.100071004194049</v>
      </c>
      <c r="H56" s="523">
        <f>'SM Cost'!G21+'SM Cost'!G25+'SM Cost'!G34</f>
        <v>85.378547871795718</v>
      </c>
      <c r="I56" s="523">
        <f>'SM Cost'!H21+'SM Cost'!H25+'SM Cost'!H34</f>
        <v>87.957989993181073</v>
      </c>
      <c r="J56" s="523">
        <f>'SM Cost'!I21+'SM Cost'!I25+'SM Cost'!I34</f>
        <v>90.638744226399183</v>
      </c>
      <c r="K56" s="523">
        <f>'SM Cost'!J21+'SM Cost'!J25+'SM Cost'!J34</f>
        <v>93.657662859334891</v>
      </c>
      <c r="L56" s="523">
        <f>'SM Cost'!K21+'SM Cost'!K25+'SM Cost'!K34</f>
        <v>111.09470709888932</v>
      </c>
      <c r="M56" s="523">
        <f>'SM Cost'!L21+'SM Cost'!L25+'SM Cost'!L34</f>
        <v>113.21999473454416</v>
      </c>
      <c r="N56" s="523">
        <f>'SM Cost'!M21+'SM Cost'!M25+'SM Cost'!M34</f>
        <v>113.73002494791109</v>
      </c>
      <c r="O56" s="523">
        <f>'SM Cost'!N21+'SM Cost'!N25+'SM Cost'!N34</f>
        <v>107.31249434721265</v>
      </c>
      <c r="P56" s="523">
        <f>'SM Cost'!O21+'SM Cost'!O25+'SM Cost'!O34</f>
        <v>75.433179812389966</v>
      </c>
      <c r="Q56" s="523">
        <f>'SM Cost'!P21+'SM Cost'!P25+'SM Cost'!P34</f>
        <v>82.507998436372233</v>
      </c>
      <c r="R56" s="523">
        <f>'SM Cost'!Q21+'SM Cost'!Q25+'SM Cost'!Q34</f>
        <v>96.322368068128725</v>
      </c>
      <c r="S56" s="260">
        <f t="shared" si="15"/>
        <v>1148.353783400353</v>
      </c>
      <c r="T56" s="601">
        <f>SUM(S52:S56)</f>
        <v>5145.8398678354733</v>
      </c>
      <c r="U56" s="495"/>
      <c r="V56" s="495"/>
    </row>
    <row r="57" spans="1:22">
      <c r="A57"/>
      <c r="B57"/>
      <c r="C57"/>
      <c r="D57" s="203"/>
      <c r="E57" s="525">
        <v>4398.9370789565801</v>
      </c>
      <c r="F57" s="525">
        <f>'[3]Prod &amp; Defects - Costs'!S57</f>
        <v>8415.9988704390998</v>
      </c>
      <c r="G57" s="524">
        <f>SUM(G44:G56)</f>
        <v>17811.549142614884</v>
      </c>
      <c r="H57" s="524">
        <f>SUM(H44:H56)</f>
        <v>17079.043299657595</v>
      </c>
      <c r="I57" s="524">
        <f>SUM(I44:I56)</f>
        <v>16345.336358595559</v>
      </c>
      <c r="J57" s="524">
        <f>SUM(J44:J56)</f>
        <v>16468.338163056065</v>
      </c>
      <c r="K57" s="524">
        <f t="shared" ref="K57:N57" si="16">SUM(K44:K56)</f>
        <v>16849.670631501325</v>
      </c>
      <c r="L57" s="524">
        <f t="shared" si="16"/>
        <v>19121.182018112642</v>
      </c>
      <c r="M57" s="524">
        <f t="shared" si="16"/>
        <v>19081.718752168781</v>
      </c>
      <c r="N57" s="524">
        <f t="shared" si="16"/>
        <v>19074.60193222735</v>
      </c>
      <c r="O57" s="524">
        <f t="shared" ref="O57:S57" si="17">SUM(O48)</f>
        <v>146.19219241079378</v>
      </c>
      <c r="P57" s="524">
        <f t="shared" si="17"/>
        <v>166.35166059502339</v>
      </c>
      <c r="Q57" s="524">
        <f t="shared" si="17"/>
        <v>210.58645006337173</v>
      </c>
      <c r="R57" s="524">
        <f t="shared" si="17"/>
        <v>198.62453479815866</v>
      </c>
      <c r="S57" s="524">
        <f t="shared" si="17"/>
        <v>1900.860295982123</v>
      </c>
      <c r="T57" s="495">
        <f>SUM(G57:L57)/SUM(G10:L10)*1000</f>
        <v>2.3989913129918309E-3</v>
      </c>
      <c r="U57" s="495">
        <f>SUM(M57:R57)/SUM(M10:R10)*1000</f>
        <v>8.9207379378213123E-4</v>
      </c>
      <c r="V57" s="495">
        <f>S57/S10*1000</f>
        <v>2.1899864540413914E-5</v>
      </c>
    </row>
    <row r="59" spans="1:22">
      <c r="G59" s="539"/>
      <c r="H59" s="539"/>
      <c r="I59" s="539"/>
      <c r="J59" s="539"/>
      <c r="K59" s="539"/>
      <c r="L59" s="539"/>
      <c r="M59" s="539"/>
      <c r="N59" s="539"/>
      <c r="O59" s="539"/>
      <c r="P59" s="539"/>
      <c r="Q59" s="539"/>
      <c r="R59" s="539"/>
    </row>
    <row r="60" spans="1:22">
      <c r="G60" s="539"/>
      <c r="H60" s="539"/>
      <c r="I60" s="539"/>
      <c r="J60" s="539"/>
      <c r="K60" s="539"/>
      <c r="L60" s="539"/>
      <c r="M60" s="539"/>
      <c r="N60" s="539"/>
      <c r="O60" s="539"/>
      <c r="P60" s="539"/>
      <c r="Q60" s="539"/>
      <c r="R60" s="539"/>
    </row>
    <row r="61" spans="1:22">
      <c r="G61" s="539"/>
      <c r="H61" s="539"/>
      <c r="I61" s="539"/>
      <c r="J61" s="539"/>
      <c r="K61" s="539"/>
      <c r="L61" s="539"/>
      <c r="M61" s="539"/>
      <c r="N61" s="539"/>
      <c r="O61" s="539"/>
      <c r="P61" s="539"/>
      <c r="Q61" s="539"/>
      <c r="R61" s="539"/>
    </row>
    <row r="62" spans="1:22">
      <c r="G62" s="539"/>
      <c r="H62" s="539"/>
      <c r="I62" s="539"/>
      <c r="J62" s="539"/>
      <c r="K62" s="539"/>
      <c r="L62" s="539"/>
      <c r="M62" s="539"/>
      <c r="N62" s="539"/>
      <c r="O62" s="539"/>
      <c r="P62" s="539"/>
      <c r="Q62" s="539"/>
      <c r="R62" s="539"/>
    </row>
    <row r="63" spans="1:22">
      <c r="G63" s="539"/>
      <c r="H63" s="539"/>
      <c r="I63" s="539"/>
      <c r="J63" s="539"/>
      <c r="K63" s="539"/>
      <c r="L63" s="539"/>
      <c r="M63" s="539"/>
      <c r="N63" s="539"/>
      <c r="O63" s="539"/>
      <c r="P63" s="539"/>
      <c r="Q63" s="539"/>
      <c r="R63" s="539"/>
    </row>
    <row r="64" spans="1:22">
      <c r="G64" s="539"/>
      <c r="H64" s="539"/>
      <c r="I64" s="539"/>
      <c r="J64" s="539"/>
      <c r="K64" s="539"/>
      <c r="L64" s="539"/>
      <c r="M64" s="539"/>
      <c r="N64" s="539"/>
      <c r="O64" s="539"/>
      <c r="P64" s="539"/>
      <c r="Q64" s="539"/>
      <c r="R64" s="539"/>
    </row>
    <row r="66" spans="7:18">
      <c r="G66" s="613"/>
      <c r="H66" s="613"/>
      <c r="I66" s="613"/>
      <c r="J66" s="613"/>
      <c r="K66" s="613"/>
      <c r="L66" s="613"/>
      <c r="M66" s="613"/>
      <c r="N66" s="613"/>
      <c r="O66" s="613"/>
      <c r="P66" s="613"/>
      <c r="Q66" s="613"/>
      <c r="R66" s="613"/>
    </row>
    <row r="67" spans="7:18"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</row>
  </sheetData>
  <sheetProtection formatCells="0"/>
  <dataConsolidate/>
  <mergeCells count="9">
    <mergeCell ref="A48:B48"/>
    <mergeCell ref="A49:A51"/>
    <mergeCell ref="A52:A56"/>
    <mergeCell ref="A34:B40"/>
    <mergeCell ref="O3:R3"/>
    <mergeCell ref="A44:B44"/>
    <mergeCell ref="A45:B45"/>
    <mergeCell ref="A46:B46"/>
    <mergeCell ref="A47:B47"/>
  </mergeCells>
  <phoneticPr fontId="20" type="noConversion"/>
  <printOptions horizontalCentered="1" gridLinesSet="0"/>
  <pageMargins left="0.39370078740157483" right="0.39370078740157483" top="0.78740157480314965" bottom="0.39370078740157483" header="0.51181102362204722" footer="0.51181102362204722"/>
  <pageSetup paperSize="9" scale="49" orientation="landscape" r:id="rId1"/>
  <headerFooter alignWithMargins="0">
    <oddFooter>&amp;L&amp;A&amp;R&amp;F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indexed="56"/>
    <pageSetUpPr fitToPage="1"/>
  </sheetPr>
  <dimension ref="A1:AB80"/>
  <sheetViews>
    <sheetView showGridLines="0" topLeftCell="B1" zoomScaleNormal="100" zoomScaleSheetLayoutView="100" workbookViewId="0">
      <selection activeCell="AB6" sqref="AB6"/>
    </sheetView>
  </sheetViews>
  <sheetFormatPr defaultColWidth="11.42578125" defaultRowHeight="12.75"/>
  <cols>
    <col min="1" max="1" width="3.28515625" style="1" bestFit="1" customWidth="1"/>
    <col min="2" max="2" width="2.7109375" style="1" customWidth="1"/>
    <col min="3" max="3" width="5" style="1" customWidth="1"/>
    <col min="4" max="4" width="18" style="1" bestFit="1" customWidth="1"/>
    <col min="5" max="5" width="8.7109375" style="1" bestFit="1" customWidth="1"/>
    <col min="6" max="6" width="9.7109375" style="226" customWidth="1"/>
    <col min="7" max="11" width="7" style="226" bestFit="1" customWidth="1"/>
    <col min="12" max="12" width="6.140625" style="226" bestFit="1" customWidth="1"/>
    <col min="13" max="13" width="6.42578125" style="226" bestFit="1" customWidth="1"/>
    <col min="14" max="14" width="7" style="226" bestFit="1" customWidth="1"/>
    <col min="15" max="17" width="6.42578125" style="226" bestFit="1" customWidth="1"/>
    <col min="18" max="18" width="7" style="1" bestFit="1" customWidth="1"/>
    <col min="19" max="19" width="6" style="1" bestFit="1" customWidth="1"/>
    <col min="20" max="20" width="7" style="1" bestFit="1" customWidth="1"/>
    <col min="21" max="21" width="6" style="1" bestFit="1" customWidth="1"/>
    <col min="22" max="22" width="7" style="1" bestFit="1" customWidth="1"/>
    <col min="23" max="23" width="6" style="1" bestFit="1" customWidth="1"/>
    <col min="24" max="24" width="6.85546875" style="1" bestFit="1" customWidth="1"/>
    <col min="25" max="25" width="7.42578125" style="1" bestFit="1" customWidth="1"/>
    <col min="26" max="26" width="6.7109375" style="1" bestFit="1" customWidth="1"/>
    <col min="27" max="27" width="6" style="1" bestFit="1" customWidth="1"/>
    <col min="28" max="16384" width="11.42578125" style="1"/>
  </cols>
  <sheetData>
    <row r="1" spans="1:28" ht="18" customHeight="1">
      <c r="A1" s="967" t="s">
        <v>58</v>
      </c>
      <c r="B1" s="967"/>
      <c r="C1" s="967"/>
      <c r="D1" s="967"/>
      <c r="E1" s="967"/>
      <c r="F1" s="967"/>
    </row>
    <row r="2" spans="1:28" ht="18" customHeight="1">
      <c r="A2" s="17"/>
      <c r="B2" s="17"/>
      <c r="C2" s="17"/>
      <c r="D2" s="17"/>
      <c r="E2" s="17"/>
      <c r="F2" s="214"/>
    </row>
    <row r="3" spans="1:28" ht="9.9499999999999993" customHeight="1" thickBot="1">
      <c r="A3" s="17"/>
      <c r="B3" s="17"/>
      <c r="C3" s="17"/>
      <c r="D3" s="17"/>
      <c r="E3" s="17"/>
      <c r="F3" s="214"/>
    </row>
    <row r="4" spans="1:28" ht="25.5">
      <c r="A4" s="16"/>
      <c r="B4" s="15"/>
      <c r="C4" s="978" t="s">
        <v>57</v>
      </c>
      <c r="D4" s="979"/>
      <c r="E4" s="480" t="s">
        <v>201</v>
      </c>
      <c r="F4" s="618" t="s">
        <v>56</v>
      </c>
      <c r="G4" s="618"/>
      <c r="H4" s="618"/>
      <c r="I4" s="618"/>
      <c r="J4" s="618"/>
      <c r="K4" s="618"/>
      <c r="L4" s="618"/>
      <c r="M4" s="618"/>
      <c r="N4" s="618"/>
      <c r="O4" s="618"/>
      <c r="P4" s="618"/>
      <c r="Q4" s="618"/>
      <c r="R4" s="62" t="s">
        <v>55</v>
      </c>
      <c r="S4" s="13"/>
      <c r="T4" s="12" t="s">
        <v>54</v>
      </c>
      <c r="U4" s="13"/>
      <c r="V4" s="12" t="s">
        <v>1</v>
      </c>
      <c r="W4" s="11"/>
      <c r="X4" s="62" t="s">
        <v>55</v>
      </c>
      <c r="Y4" s="11" t="s">
        <v>54</v>
      </c>
      <c r="Z4" s="62" t="s">
        <v>53</v>
      </c>
      <c r="AA4" s="11" t="s">
        <v>52</v>
      </c>
    </row>
    <row r="5" spans="1:28" ht="18" customHeight="1" thickBot="1">
      <c r="A5" s="10"/>
      <c r="B5" s="9"/>
      <c r="C5" s="8" t="s">
        <v>51</v>
      </c>
      <c r="D5" s="25" t="s">
        <v>50</v>
      </c>
      <c r="E5" s="26">
        <v>2022</v>
      </c>
      <c r="F5" s="215">
        <v>44652</v>
      </c>
      <c r="G5" s="709">
        <v>44682</v>
      </c>
      <c r="H5" s="709">
        <v>44713</v>
      </c>
      <c r="I5" s="709">
        <v>44743</v>
      </c>
      <c r="J5" s="709">
        <v>44774</v>
      </c>
      <c r="K5" s="709">
        <v>44805</v>
      </c>
      <c r="L5" s="709">
        <v>44835</v>
      </c>
      <c r="M5" s="709">
        <v>44866</v>
      </c>
      <c r="N5" s="709">
        <v>44896</v>
      </c>
      <c r="O5" s="709">
        <v>44927</v>
      </c>
      <c r="P5" s="709">
        <v>44958</v>
      </c>
      <c r="Q5" s="785">
        <v>44986</v>
      </c>
      <c r="R5" s="63" t="s">
        <v>49</v>
      </c>
      <c r="S5" s="7" t="s">
        <v>48</v>
      </c>
      <c r="T5" s="6" t="s">
        <v>49</v>
      </c>
      <c r="U5" s="7" t="s">
        <v>48</v>
      </c>
      <c r="V5" s="6" t="s">
        <v>49</v>
      </c>
      <c r="W5" s="5" t="s">
        <v>48</v>
      </c>
      <c r="X5" s="63"/>
      <c r="Y5" s="5"/>
      <c r="Z5" s="63"/>
      <c r="AA5" s="424">
        <v>2023</v>
      </c>
    </row>
    <row r="6" spans="1:28" ht="18" customHeight="1" thickTop="1">
      <c r="A6" s="972" t="s">
        <v>47</v>
      </c>
      <c r="B6" s="968" t="s">
        <v>20</v>
      </c>
      <c r="C6" s="28">
        <v>1010</v>
      </c>
      <c r="D6" s="29" t="s">
        <v>46</v>
      </c>
      <c r="E6" s="49">
        <f>'[3]Falhas UM-1 - Qty'!AA6</f>
        <v>30.6</v>
      </c>
      <c r="F6" s="710">
        <f>'Prod &amp; Defects - Qty'!F$5*'Falhas UM-1 - Qty'!$E6/1000000</f>
        <v>44.13187087650001</v>
      </c>
      <c r="G6" s="711">
        <f>'Prod &amp; Defects - Qty'!G$5*'Falhas UM-1 - Qty'!$E6/1000000</f>
        <v>24.082172704800001</v>
      </c>
      <c r="H6" s="711">
        <f>'Prod &amp; Defects - Qty'!H$5*'Falhas UM-1 - Qty'!$E6/1000000</f>
        <v>23.9716647063</v>
      </c>
      <c r="I6" s="711">
        <f>'Prod &amp; Defects - Qty'!I$5*'Falhas UM-1 - Qty'!$E6/1000000</f>
        <v>24.225127466850005</v>
      </c>
      <c r="J6" s="711">
        <f>'Prod &amp; Defects - Qty'!J$5*'Falhas UM-1 - Qty'!$E6/1000000</f>
        <v>43.760629947600002</v>
      </c>
      <c r="K6" s="711">
        <f>'Prod &amp; Defects - Qty'!K$5*'Falhas UM-1 - Qty'!$E6/1000000</f>
        <v>50.710594979249997</v>
      </c>
      <c r="L6" s="711">
        <f>'Prod &amp; Defects - Qty'!L$5*'Falhas UM-1 - Qty'!$E6/1000000</f>
        <v>51.071616969300003</v>
      </c>
      <c r="M6" s="711">
        <f>'Prod &amp; Defects - Qty'!M$5*'Falhas UM-1 - Qty'!$E6/1000000</f>
        <v>51.130084144500003</v>
      </c>
      <c r="N6" s="711">
        <f>'Prod &amp; Defects - Qty'!N$5*'Falhas UM-1 - Qty'!$E6/1000000</f>
        <v>40.994178210900003</v>
      </c>
      <c r="O6" s="711">
        <f>'Prod &amp; Defects - Qty'!O$5*'Falhas UM-1 - Qty'!$E6/1000000</f>
        <v>37.991183195699996</v>
      </c>
      <c r="P6" s="711">
        <f>'Prod &amp; Defects - Qty'!P$5*'Falhas UM-1 - Qty'!$E6/1000000</f>
        <v>38.439641541600004</v>
      </c>
      <c r="Q6" s="556">
        <f>'Prod &amp; Defects - Qty'!Q$5*'Falhas UM-1 - Qty'!$E6/1000000</f>
        <v>47.324024840699998</v>
      </c>
      <c r="R6" s="283">
        <f t="shared" ref="R6" si="0">SUM(F6:K6)</f>
        <v>210.88206068130003</v>
      </c>
      <c r="S6" s="216">
        <f>R6/SUM('Prod &amp; Defects - Qty'!$F$5:$K$5)*1000000</f>
        <v>30.600000000000005</v>
      </c>
      <c r="T6" s="216">
        <f t="shared" ref="T6" si="1">SUM(L6:Q6)</f>
        <v>266.95072890270001</v>
      </c>
      <c r="U6" s="216">
        <f>T6/SUM('Prod &amp; Defects - Qty'!$L$5:$Q$5)*1000000</f>
        <v>30.600000000000005</v>
      </c>
      <c r="V6" s="216">
        <f t="shared" ref="V6" si="2">R6+T6</f>
        <v>477.83278958400001</v>
      </c>
      <c r="W6" s="284">
        <f>V6/'Prod &amp; Defects - Qty'!$R$5*1000000</f>
        <v>30.599999999999998</v>
      </c>
      <c r="X6" s="297">
        <f t="shared" ref="X6:X37" si="3">INT(W6*Redutor)</f>
        <v>29</v>
      </c>
      <c r="Y6" s="298">
        <f t="shared" ref="Y6:Y37" si="4">INT(W6*Redutor)</f>
        <v>29</v>
      </c>
      <c r="Z6" s="283">
        <f t="shared" ref="Z6:Z37" si="5">(X6+Y6)/2</f>
        <v>29</v>
      </c>
      <c r="AA6" s="284">
        <f>Z6*$AB$6</f>
        <v>27.549999999999997</v>
      </c>
      <c r="AB6" s="1">
        <v>0.95</v>
      </c>
    </row>
    <row r="7" spans="1:28" ht="18" customHeight="1">
      <c r="A7" s="973"/>
      <c r="B7" s="968"/>
      <c r="C7" s="28">
        <v>1020</v>
      </c>
      <c r="D7" s="29" t="s">
        <v>45</v>
      </c>
      <c r="E7" s="49">
        <f>'[3]Falhas UM-1 - Qty'!AA7</f>
        <v>64.8</v>
      </c>
      <c r="F7" s="710">
        <f>'Prod &amp; Defects - Qty'!F$5*'Falhas UM-1 - Qty'!$E7/1000000</f>
        <v>93.455726562000009</v>
      </c>
      <c r="G7" s="711">
        <f>'Prod &amp; Defects - Qty'!G$5*'Falhas UM-1 - Qty'!$E7/1000000</f>
        <v>50.997542198399998</v>
      </c>
      <c r="H7" s="711">
        <f>'Prod &amp; Defects - Qty'!H$5*'Falhas UM-1 - Qty'!$E7/1000000</f>
        <v>50.763525260400002</v>
      </c>
      <c r="I7" s="711">
        <f>'Prod &amp; Defects - Qty'!I$5*'Falhas UM-1 - Qty'!$E7/1000000</f>
        <v>51.300269929800002</v>
      </c>
      <c r="J7" s="711">
        <f>'Prod &amp; Defects - Qty'!J$5*'Falhas UM-1 - Qty'!$E7/1000000</f>
        <v>92.669569300799992</v>
      </c>
      <c r="K7" s="711">
        <f>'Prod &amp; Defects - Qty'!K$5*'Falhas UM-1 - Qty'!$E7/1000000</f>
        <v>107.38714230899998</v>
      </c>
      <c r="L7" s="711">
        <f>'Prod &amp; Defects - Qty'!L$5*'Falhas UM-1 - Qty'!$E7/1000000</f>
        <v>108.1516594644</v>
      </c>
      <c r="M7" s="711">
        <f>'Prod &amp; Defects - Qty'!M$5*'Falhas UM-1 - Qty'!$E7/1000000</f>
        <v>108.275472306</v>
      </c>
      <c r="N7" s="711">
        <f>'Prod &amp; Defects - Qty'!N$5*'Falhas UM-1 - Qty'!$E7/1000000</f>
        <v>86.811200917199983</v>
      </c>
      <c r="O7" s="711">
        <f>'Prod &amp; Defects - Qty'!O$5*'Falhas UM-1 - Qty'!$E7/1000000</f>
        <v>80.451917355600003</v>
      </c>
      <c r="P7" s="711">
        <f>'Prod &amp; Defects - Qty'!P$5*'Falhas UM-1 - Qty'!$E7/1000000</f>
        <v>81.401593852799991</v>
      </c>
      <c r="Q7" s="556">
        <f>'Prod &amp; Defects - Qty'!Q$5*'Falhas UM-1 - Qty'!$E7/1000000</f>
        <v>100.21558201559999</v>
      </c>
      <c r="R7" s="283">
        <f t="shared" ref="R7:R56" si="6">SUM(F7:K7)</f>
        <v>446.57377556040001</v>
      </c>
      <c r="S7" s="216">
        <f>R7/SUM('Prod &amp; Defects - Qty'!$F$5:$K$5)*1000000</f>
        <v>64.8</v>
      </c>
      <c r="T7" s="216">
        <f t="shared" ref="T7:T56" si="7">SUM(L7:Q7)</f>
        <v>565.30742591159992</v>
      </c>
      <c r="U7" s="216">
        <f>T7/SUM('Prod &amp; Defects - Qty'!$L$5:$Q$5)*1000000</f>
        <v>64.8</v>
      </c>
      <c r="V7" s="216">
        <f t="shared" ref="V7:V56" si="8">R7+T7</f>
        <v>1011.8812014719999</v>
      </c>
      <c r="W7" s="284">
        <f>V7/'Prod &amp; Defects - Qty'!$R$5*1000000</f>
        <v>64.799999999999983</v>
      </c>
      <c r="X7" s="297">
        <f t="shared" si="3"/>
        <v>61</v>
      </c>
      <c r="Y7" s="298">
        <f t="shared" si="4"/>
        <v>61</v>
      </c>
      <c r="Z7" s="283">
        <f t="shared" si="5"/>
        <v>61</v>
      </c>
      <c r="AA7" s="284">
        <f t="shared" ref="AA7:AA61" si="9">Z7*$AB$6</f>
        <v>57.949999999999996</v>
      </c>
    </row>
    <row r="8" spans="1:28" ht="18" customHeight="1">
      <c r="A8" s="973"/>
      <c r="B8" s="968"/>
      <c r="C8" s="28">
        <v>1030</v>
      </c>
      <c r="D8" s="29" t="s">
        <v>44</v>
      </c>
      <c r="E8" s="49">
        <f>'[3]Falhas UM-1 - Qty'!AA8</f>
        <v>702</v>
      </c>
      <c r="F8" s="710">
        <f>'Prod &amp; Defects - Qty'!F$5*'Falhas UM-1 - Qty'!$E8/1000000</f>
        <v>1012.4370377550001</v>
      </c>
      <c r="G8" s="711">
        <f>'Prod &amp; Defects - Qty'!G$5*'Falhas UM-1 - Qty'!$E8/1000000</f>
        <v>552.47337381599993</v>
      </c>
      <c r="H8" s="711">
        <f>'Prod &amp; Defects - Qty'!H$5*'Falhas UM-1 - Qty'!$E8/1000000</f>
        <v>549.93819032100009</v>
      </c>
      <c r="I8" s="711">
        <f>'Prod &amp; Defects - Qty'!I$5*'Falhas UM-1 - Qty'!$E8/1000000</f>
        <v>555.75292423950009</v>
      </c>
      <c r="J8" s="711">
        <f>'Prod &amp; Defects - Qty'!J$5*'Falhas UM-1 - Qty'!$E8/1000000</f>
        <v>1003.920334092</v>
      </c>
      <c r="K8" s="711">
        <f>'Prod &amp; Defects - Qty'!K$5*'Falhas UM-1 - Qty'!$E8/1000000</f>
        <v>1163.3607083474999</v>
      </c>
      <c r="L8" s="711">
        <f>'Prod &amp; Defects - Qty'!L$5*'Falhas UM-1 - Qty'!$E8/1000000</f>
        <v>1171.6429775309998</v>
      </c>
      <c r="M8" s="711">
        <f>'Prod &amp; Defects - Qty'!M$5*'Falhas UM-1 - Qty'!$E8/1000000</f>
        <v>1172.9842833150001</v>
      </c>
      <c r="N8" s="711">
        <f>'Prod &amp; Defects - Qty'!N$5*'Falhas UM-1 - Qty'!$E8/1000000</f>
        <v>940.45467660299994</v>
      </c>
      <c r="O8" s="711">
        <f>'Prod &amp; Defects - Qty'!O$5*'Falhas UM-1 - Qty'!$E8/1000000</f>
        <v>871.56243801899996</v>
      </c>
      <c r="P8" s="711">
        <f>'Prod &amp; Defects - Qty'!P$5*'Falhas UM-1 - Qty'!$E8/1000000</f>
        <v>881.85060007200002</v>
      </c>
      <c r="Q8" s="556">
        <f>'Prod &amp; Defects - Qty'!Q$5*'Falhas UM-1 - Qty'!$E8/1000000</f>
        <v>1085.6688051689998</v>
      </c>
      <c r="R8" s="283">
        <f t="shared" si="6"/>
        <v>4837.8825685709999</v>
      </c>
      <c r="S8" s="216">
        <f>R8/SUM('Prod &amp; Defects - Qty'!$F$5:$K$5)*1000000</f>
        <v>701.99999999999989</v>
      </c>
      <c r="T8" s="216">
        <f t="shared" si="7"/>
        <v>6124.1637807089992</v>
      </c>
      <c r="U8" s="216">
        <f>T8/SUM('Prod &amp; Defects - Qty'!$L$5:$Q$5)*1000000</f>
        <v>702</v>
      </c>
      <c r="V8" s="216">
        <f t="shared" si="8"/>
        <v>10962.046349279999</v>
      </c>
      <c r="W8" s="284">
        <f>V8/'Prod &amp; Defects - Qty'!$R$5*1000000</f>
        <v>701.99999999999977</v>
      </c>
      <c r="X8" s="297">
        <f t="shared" si="3"/>
        <v>666</v>
      </c>
      <c r="Y8" s="298">
        <f t="shared" si="4"/>
        <v>666</v>
      </c>
      <c r="Z8" s="283">
        <f t="shared" si="5"/>
        <v>666</v>
      </c>
      <c r="AA8" s="284">
        <f t="shared" si="9"/>
        <v>632.69999999999993</v>
      </c>
    </row>
    <row r="9" spans="1:28" ht="18" customHeight="1">
      <c r="A9" s="973"/>
      <c r="B9" s="968"/>
      <c r="C9" s="28">
        <v>1040</v>
      </c>
      <c r="D9" s="29" t="s">
        <v>43</v>
      </c>
      <c r="E9" s="49">
        <f>'[3]Falhas UM-1 - Qty'!AA9</f>
        <v>3.6</v>
      </c>
      <c r="F9" s="710">
        <f>'Prod &amp; Defects - Qty'!F$5*'Falhas UM-1 - Qty'!$E9/1000000</f>
        <v>5.191984809</v>
      </c>
      <c r="G9" s="711">
        <f>'Prod &amp; Defects - Qty'!G$5*'Falhas UM-1 - Qty'!$E9/1000000</f>
        <v>2.8331967888</v>
      </c>
      <c r="H9" s="711">
        <f>'Prod &amp; Defects - Qty'!H$5*'Falhas UM-1 - Qty'!$E9/1000000</f>
        <v>2.8201958478</v>
      </c>
      <c r="I9" s="711">
        <f>'Prod &amp; Defects - Qty'!I$5*'Falhas UM-1 - Qty'!$E9/1000000</f>
        <v>2.8500149961000005</v>
      </c>
      <c r="J9" s="711">
        <f>'Prod &amp; Defects - Qty'!J$5*'Falhas UM-1 - Qty'!$E9/1000000</f>
        <v>5.1483094056000001</v>
      </c>
      <c r="K9" s="711">
        <f>'Prod &amp; Defects - Qty'!K$5*'Falhas UM-1 - Qty'!$E9/1000000</f>
        <v>5.9659523504999994</v>
      </c>
      <c r="L9" s="711">
        <f>'Prod &amp; Defects - Qty'!L$5*'Falhas UM-1 - Qty'!$E9/1000000</f>
        <v>6.0084255257999999</v>
      </c>
      <c r="M9" s="711">
        <f>'Prod &amp; Defects - Qty'!M$5*'Falhas UM-1 - Qty'!$E9/1000000</f>
        <v>6.0153040170000001</v>
      </c>
      <c r="N9" s="711">
        <f>'Prod &amp; Defects - Qty'!N$5*'Falhas UM-1 - Qty'!$E9/1000000</f>
        <v>4.8228444953999992</v>
      </c>
      <c r="O9" s="711">
        <f>'Prod &amp; Defects - Qty'!O$5*'Falhas UM-1 - Qty'!$E9/1000000</f>
        <v>4.4695509642000006</v>
      </c>
      <c r="P9" s="711">
        <f>'Prod &amp; Defects - Qty'!P$5*'Falhas UM-1 - Qty'!$E9/1000000</f>
        <v>4.5223107696000007</v>
      </c>
      <c r="Q9" s="556">
        <f>'Prod &amp; Defects - Qty'!Q$5*'Falhas UM-1 - Qty'!$E9/1000000</f>
        <v>5.5675323341999992</v>
      </c>
      <c r="R9" s="283">
        <f t="shared" si="6"/>
        <v>24.8096541978</v>
      </c>
      <c r="S9" s="216">
        <f>R9/SUM('Prod &amp; Defects - Qty'!$F$5:$K$5)*1000000</f>
        <v>3.5999999999999996</v>
      </c>
      <c r="T9" s="216">
        <f t="shared" si="7"/>
        <v>31.4059681062</v>
      </c>
      <c r="U9" s="216">
        <f>T9/SUM('Prod &amp; Defects - Qty'!$L$5:$Q$5)*1000000</f>
        <v>3.6000000000000005</v>
      </c>
      <c r="V9" s="216">
        <f t="shared" si="8"/>
        <v>56.215622304</v>
      </c>
      <c r="W9" s="284">
        <f>V9/'Prod &amp; Defects - Qty'!$R$5*1000000</f>
        <v>3.5999999999999992</v>
      </c>
      <c r="X9" s="297">
        <f t="shared" si="3"/>
        <v>3</v>
      </c>
      <c r="Y9" s="298">
        <f t="shared" si="4"/>
        <v>3</v>
      </c>
      <c r="Z9" s="283">
        <f t="shared" si="5"/>
        <v>3</v>
      </c>
      <c r="AA9" s="284">
        <f t="shared" si="9"/>
        <v>2.8499999999999996</v>
      </c>
    </row>
    <row r="10" spans="1:28" ht="18" customHeight="1">
      <c r="A10" s="973"/>
      <c r="B10" s="968"/>
      <c r="C10" s="28">
        <v>1050</v>
      </c>
      <c r="D10" s="29" t="s">
        <v>42</v>
      </c>
      <c r="E10" s="49">
        <f>'[3]Falhas UM-1 - Qty'!AA10</f>
        <v>1.8</v>
      </c>
      <c r="F10" s="710">
        <f>'Prod &amp; Defects - Qty'!F$5*'Falhas UM-1 - Qty'!$E10/1000000</f>
        <v>2.5959924045</v>
      </c>
      <c r="G10" s="711">
        <f>'Prod &amp; Defects - Qty'!G$5*'Falhas UM-1 - Qty'!$E10/1000000</f>
        <v>1.4165983944</v>
      </c>
      <c r="H10" s="711">
        <f>'Prod &amp; Defects - Qty'!H$5*'Falhas UM-1 - Qty'!$E10/1000000</f>
        <v>1.4100979239</v>
      </c>
      <c r="I10" s="711">
        <f>'Prod &amp; Defects - Qty'!I$5*'Falhas UM-1 - Qty'!$E10/1000000</f>
        <v>1.4250074980500003</v>
      </c>
      <c r="J10" s="711">
        <f>'Prod &amp; Defects - Qty'!J$5*'Falhas UM-1 - Qty'!$E10/1000000</f>
        <v>2.5741547028</v>
      </c>
      <c r="K10" s="711">
        <f>'Prod &amp; Defects - Qty'!K$5*'Falhas UM-1 - Qty'!$E10/1000000</f>
        <v>2.9829761752499997</v>
      </c>
      <c r="L10" s="711">
        <f>'Prod &amp; Defects - Qty'!L$5*'Falhas UM-1 - Qty'!$E10/1000000</f>
        <v>3.0042127628999999</v>
      </c>
      <c r="M10" s="711">
        <f>'Prod &amp; Defects - Qty'!M$5*'Falhas UM-1 - Qty'!$E10/1000000</f>
        <v>3.0076520085</v>
      </c>
      <c r="N10" s="711">
        <f>'Prod &amp; Defects - Qty'!N$5*'Falhas UM-1 - Qty'!$E10/1000000</f>
        <v>2.4114222476999996</v>
      </c>
      <c r="O10" s="711">
        <f>'Prod &amp; Defects - Qty'!O$5*'Falhas UM-1 - Qty'!$E10/1000000</f>
        <v>2.2347754821000003</v>
      </c>
      <c r="P10" s="711">
        <f>'Prod &amp; Defects - Qty'!P$5*'Falhas UM-1 - Qty'!$E10/1000000</f>
        <v>2.2611553848000003</v>
      </c>
      <c r="Q10" s="556">
        <f>'Prod &amp; Defects - Qty'!Q$5*'Falhas UM-1 - Qty'!$E10/1000000</f>
        <v>2.7837661670999996</v>
      </c>
      <c r="R10" s="283">
        <f t="shared" si="6"/>
        <v>12.4048270989</v>
      </c>
      <c r="S10" s="216">
        <f>R10/SUM('Prod &amp; Defects - Qty'!$F$5:$K$5)*1000000</f>
        <v>1.7999999999999998</v>
      </c>
      <c r="T10" s="216">
        <f t="shared" si="7"/>
        <v>15.7029840531</v>
      </c>
      <c r="U10" s="216">
        <f>T10/SUM('Prod &amp; Defects - Qty'!$L$5:$Q$5)*1000000</f>
        <v>1.8000000000000003</v>
      </c>
      <c r="V10" s="216">
        <f t="shared" si="8"/>
        <v>28.107811152</v>
      </c>
      <c r="W10" s="284">
        <f>V10/'Prod &amp; Defects - Qty'!$R$5*1000000</f>
        <v>1.7999999999999996</v>
      </c>
      <c r="X10" s="297">
        <f t="shared" si="3"/>
        <v>1</v>
      </c>
      <c r="Y10" s="298">
        <f t="shared" si="4"/>
        <v>1</v>
      </c>
      <c r="Z10" s="283">
        <f t="shared" si="5"/>
        <v>1</v>
      </c>
      <c r="AA10" s="284">
        <f t="shared" si="9"/>
        <v>0.95</v>
      </c>
    </row>
    <row r="11" spans="1:28" ht="18" customHeight="1">
      <c r="A11" s="973"/>
      <c r="B11" s="968"/>
      <c r="C11" s="28">
        <v>1060</v>
      </c>
      <c r="D11" s="29" t="s">
        <v>41</v>
      </c>
      <c r="E11" s="49">
        <f>'[3]Falhas UM-1 - Qty'!AA11</f>
        <v>9.9</v>
      </c>
      <c r="F11" s="710">
        <f>'Prod &amp; Defects - Qty'!F$5*'Falhas UM-1 - Qty'!$E11/1000000</f>
        <v>14.277958224750003</v>
      </c>
      <c r="G11" s="711">
        <f>'Prod &amp; Defects - Qty'!G$5*'Falhas UM-1 - Qty'!$E11/1000000</f>
        <v>7.7912911692</v>
      </c>
      <c r="H11" s="711">
        <f>'Prod &amp; Defects - Qty'!H$5*'Falhas UM-1 - Qty'!$E11/1000000</f>
        <v>7.7555385814500015</v>
      </c>
      <c r="I11" s="711">
        <f>'Prod &amp; Defects - Qty'!I$5*'Falhas UM-1 - Qty'!$E11/1000000</f>
        <v>7.8375412392750006</v>
      </c>
      <c r="J11" s="711">
        <f>'Prod &amp; Defects - Qty'!J$5*'Falhas UM-1 - Qty'!$E11/1000000</f>
        <v>14.1578508654</v>
      </c>
      <c r="K11" s="711">
        <f>'Prod &amp; Defects - Qty'!K$5*'Falhas UM-1 - Qty'!$E11/1000000</f>
        <v>16.406368963875</v>
      </c>
      <c r="L11" s="711">
        <f>'Prod &amp; Defects - Qty'!L$5*'Falhas UM-1 - Qty'!$E11/1000000</f>
        <v>16.523170195949998</v>
      </c>
      <c r="M11" s="711">
        <f>'Prod &amp; Defects - Qty'!M$5*'Falhas UM-1 - Qty'!$E11/1000000</f>
        <v>16.542086046750001</v>
      </c>
      <c r="N11" s="711">
        <f>'Prod &amp; Defects - Qty'!N$5*'Falhas UM-1 - Qty'!$E11/1000000</f>
        <v>13.262822362350001</v>
      </c>
      <c r="O11" s="711">
        <f>'Prod &amp; Defects - Qty'!O$5*'Falhas UM-1 - Qty'!$E11/1000000</f>
        <v>12.29126515155</v>
      </c>
      <c r="P11" s="711">
        <f>'Prod &amp; Defects - Qty'!P$5*'Falhas UM-1 - Qty'!$E11/1000000</f>
        <v>12.436354616399999</v>
      </c>
      <c r="Q11" s="556">
        <f>'Prod &amp; Defects - Qty'!Q$5*'Falhas UM-1 - Qty'!$E11/1000000</f>
        <v>15.31071391905</v>
      </c>
      <c r="R11" s="283">
        <f t="shared" si="6"/>
        <v>68.226549043950001</v>
      </c>
      <c r="S11" s="216">
        <f>R11/SUM('Prod &amp; Defects - Qty'!$F$5:$K$5)*1000000</f>
        <v>9.9</v>
      </c>
      <c r="T11" s="216">
        <f t="shared" si="7"/>
        <v>86.366412292050001</v>
      </c>
      <c r="U11" s="216">
        <f>T11/SUM('Prod &amp; Defects - Qty'!$L$5:$Q$5)*1000000</f>
        <v>9.9000000000000021</v>
      </c>
      <c r="V11" s="216">
        <f t="shared" si="8"/>
        <v>154.592961336</v>
      </c>
      <c r="W11" s="284">
        <f>V11/'Prod &amp; Defects - Qty'!$R$5*1000000</f>
        <v>9.8999999999999986</v>
      </c>
      <c r="X11" s="297">
        <f t="shared" si="3"/>
        <v>9</v>
      </c>
      <c r="Y11" s="298">
        <f t="shared" si="4"/>
        <v>9</v>
      </c>
      <c r="Z11" s="283">
        <f t="shared" si="5"/>
        <v>9</v>
      </c>
      <c r="AA11" s="284">
        <f t="shared" si="9"/>
        <v>8.5499999999999989</v>
      </c>
    </row>
    <row r="12" spans="1:28" ht="18" customHeight="1">
      <c r="A12" s="973"/>
      <c r="B12" s="968"/>
      <c r="C12" s="28">
        <v>1070</v>
      </c>
      <c r="D12" s="29" t="s">
        <v>40</v>
      </c>
      <c r="E12" s="49">
        <f>'[3]Falhas UM-1 - Qty'!AA12</f>
        <v>20.7</v>
      </c>
      <c r="F12" s="710">
        <f>'Prod &amp; Defects - Qty'!F$5*'Falhas UM-1 - Qty'!$E12/1000000</f>
        <v>29.853912651750001</v>
      </c>
      <c r="G12" s="711">
        <f>'Prod &amp; Defects - Qty'!G$5*'Falhas UM-1 - Qty'!$E12/1000000</f>
        <v>16.290881535600001</v>
      </c>
      <c r="H12" s="711">
        <f>'Prod &amp; Defects - Qty'!H$5*'Falhas UM-1 - Qty'!$E12/1000000</f>
        <v>16.21612612485</v>
      </c>
      <c r="I12" s="711">
        <f>'Prod &amp; Defects - Qty'!I$5*'Falhas UM-1 - Qty'!$E12/1000000</f>
        <v>16.387586227575003</v>
      </c>
      <c r="J12" s="711">
        <f>'Prod &amp; Defects - Qty'!J$5*'Falhas UM-1 - Qty'!$E12/1000000</f>
        <v>29.602779082199998</v>
      </c>
      <c r="K12" s="711">
        <f>'Prod &amp; Defects - Qty'!K$5*'Falhas UM-1 - Qty'!$E12/1000000</f>
        <v>34.304226015374994</v>
      </c>
      <c r="L12" s="711">
        <f>'Prod &amp; Defects - Qty'!L$5*'Falhas UM-1 - Qty'!$E12/1000000</f>
        <v>34.548446773350001</v>
      </c>
      <c r="M12" s="711">
        <f>'Prod &amp; Defects - Qty'!M$5*'Falhas UM-1 - Qty'!$E12/1000000</f>
        <v>34.587998097750003</v>
      </c>
      <c r="N12" s="711">
        <f>'Prod &amp; Defects - Qty'!N$5*'Falhas UM-1 - Qty'!$E12/1000000</f>
        <v>27.731355848549995</v>
      </c>
      <c r="O12" s="711">
        <f>'Prod &amp; Defects - Qty'!O$5*'Falhas UM-1 - Qty'!$E12/1000000</f>
        <v>25.699918044149999</v>
      </c>
      <c r="P12" s="711">
        <f>'Prod &amp; Defects - Qty'!P$5*'Falhas UM-1 - Qty'!$E12/1000000</f>
        <v>26.003286925200001</v>
      </c>
      <c r="Q12" s="556">
        <f>'Prod &amp; Defects - Qty'!Q$5*'Falhas UM-1 - Qty'!$E12/1000000</f>
        <v>32.013310921649996</v>
      </c>
      <c r="R12" s="283">
        <f t="shared" si="6"/>
        <v>142.65551163735</v>
      </c>
      <c r="S12" s="216">
        <f>R12/SUM('Prod &amp; Defects - Qty'!$F$5:$K$5)*1000000</f>
        <v>20.7</v>
      </c>
      <c r="T12" s="216">
        <f t="shared" si="7"/>
        <v>180.58431661065001</v>
      </c>
      <c r="U12" s="216">
        <f>T12/SUM('Prod &amp; Defects - Qty'!$L$5:$Q$5)*1000000</f>
        <v>20.700000000000006</v>
      </c>
      <c r="V12" s="216">
        <f t="shared" si="8"/>
        <v>323.23982824799998</v>
      </c>
      <c r="W12" s="284">
        <f>V12/'Prod &amp; Defects - Qty'!$R$5*1000000</f>
        <v>20.699999999999996</v>
      </c>
      <c r="X12" s="297">
        <f t="shared" si="3"/>
        <v>19</v>
      </c>
      <c r="Y12" s="298">
        <f t="shared" si="4"/>
        <v>19</v>
      </c>
      <c r="Z12" s="283">
        <f t="shared" si="5"/>
        <v>19</v>
      </c>
      <c r="AA12" s="284">
        <f t="shared" si="9"/>
        <v>18.05</v>
      </c>
    </row>
    <row r="13" spans="1:28" ht="18" customHeight="1">
      <c r="A13" s="973"/>
      <c r="B13" s="968"/>
      <c r="C13" s="28">
        <v>1080</v>
      </c>
      <c r="D13" s="29" t="s">
        <v>39</v>
      </c>
      <c r="E13" s="49">
        <f>'[3]Falhas UM-1 - Qty'!AA13</f>
        <v>0.9</v>
      </c>
      <c r="F13" s="710">
        <f>'Prod &amp; Defects - Qty'!F$5*'Falhas UM-1 - Qty'!$E13/1000000</f>
        <v>1.29799620225</v>
      </c>
      <c r="G13" s="711">
        <f>'Prod &amp; Defects - Qty'!G$5*'Falhas UM-1 - Qty'!$E13/1000000</f>
        <v>0.70829919720000001</v>
      </c>
      <c r="H13" s="711">
        <f>'Prod &amp; Defects - Qty'!H$5*'Falhas UM-1 - Qty'!$E13/1000000</f>
        <v>0.70504896195</v>
      </c>
      <c r="I13" s="711">
        <f>'Prod &amp; Defects - Qty'!I$5*'Falhas UM-1 - Qty'!$E13/1000000</f>
        <v>0.71250374902500013</v>
      </c>
      <c r="J13" s="711">
        <f>'Prod &amp; Defects - Qty'!J$5*'Falhas UM-1 - Qty'!$E13/1000000</f>
        <v>1.2870773514</v>
      </c>
      <c r="K13" s="711">
        <f>'Prod &amp; Defects - Qty'!K$5*'Falhas UM-1 - Qty'!$E13/1000000</f>
        <v>1.4914880876249998</v>
      </c>
      <c r="L13" s="711">
        <f>'Prod &amp; Defects - Qty'!L$5*'Falhas UM-1 - Qty'!$E13/1000000</f>
        <v>1.50210638145</v>
      </c>
      <c r="M13" s="711">
        <f>'Prod &amp; Defects - Qty'!M$5*'Falhas UM-1 - Qty'!$E13/1000000</f>
        <v>1.50382600425</v>
      </c>
      <c r="N13" s="711">
        <f>'Prod &amp; Defects - Qty'!N$5*'Falhas UM-1 - Qty'!$E13/1000000</f>
        <v>1.2057111238499998</v>
      </c>
      <c r="O13" s="711">
        <f>'Prod &amp; Defects - Qty'!O$5*'Falhas UM-1 - Qty'!$E13/1000000</f>
        <v>1.1173877410500002</v>
      </c>
      <c r="P13" s="711">
        <f>'Prod &amp; Defects - Qty'!P$5*'Falhas UM-1 - Qty'!$E13/1000000</f>
        <v>1.1305776924000002</v>
      </c>
      <c r="Q13" s="556">
        <f>'Prod &amp; Defects - Qty'!Q$5*'Falhas UM-1 - Qty'!$E13/1000000</f>
        <v>1.3918830835499998</v>
      </c>
      <c r="R13" s="283">
        <f t="shared" si="6"/>
        <v>6.2024135494500001</v>
      </c>
      <c r="S13" s="216">
        <f>R13/SUM('Prod &amp; Defects - Qty'!$F$5:$K$5)*1000000</f>
        <v>0.89999999999999991</v>
      </c>
      <c r="T13" s="216">
        <f t="shared" si="7"/>
        <v>7.8514920265499999</v>
      </c>
      <c r="U13" s="216">
        <f>T13/SUM('Prod &amp; Defects - Qty'!$L$5:$Q$5)*1000000</f>
        <v>0.90000000000000013</v>
      </c>
      <c r="V13" s="216">
        <f t="shared" si="8"/>
        <v>14.053905576</v>
      </c>
      <c r="W13" s="284">
        <f>V13/'Prod &amp; Defects - Qty'!$R$5*1000000</f>
        <v>0.8999999999999998</v>
      </c>
      <c r="X13" s="297">
        <f t="shared" si="3"/>
        <v>0</v>
      </c>
      <c r="Y13" s="298">
        <f t="shared" si="4"/>
        <v>0</v>
      </c>
      <c r="Z13" s="283">
        <f t="shared" si="5"/>
        <v>0</v>
      </c>
      <c r="AA13" s="284">
        <f t="shared" si="9"/>
        <v>0</v>
      </c>
    </row>
    <row r="14" spans="1:28" ht="18" customHeight="1">
      <c r="A14" s="973"/>
      <c r="B14" s="968"/>
      <c r="C14" s="28">
        <v>1090</v>
      </c>
      <c r="D14" s="29" t="s">
        <v>38</v>
      </c>
      <c r="E14" s="49">
        <f>'[3]Falhas UM-1 - Qty'!AA14</f>
        <v>17.100000000000001</v>
      </c>
      <c r="F14" s="710">
        <f>'Prod &amp; Defects - Qty'!F$5*'Falhas UM-1 - Qty'!$E14/1000000</f>
        <v>24.661927842750007</v>
      </c>
      <c r="G14" s="711">
        <f>'Prod &amp; Defects - Qty'!G$5*'Falhas UM-1 - Qty'!$E14/1000000</f>
        <v>13.457684746800002</v>
      </c>
      <c r="H14" s="711">
        <f>'Prod &amp; Defects - Qty'!H$5*'Falhas UM-1 - Qty'!$E14/1000000</f>
        <v>13.395930277050002</v>
      </c>
      <c r="I14" s="711">
        <f>'Prod &amp; Defects - Qty'!I$5*'Falhas UM-1 - Qty'!$E14/1000000</f>
        <v>13.537571231475003</v>
      </c>
      <c r="J14" s="711">
        <f>'Prod &amp; Defects - Qty'!J$5*'Falhas UM-1 - Qty'!$E14/1000000</f>
        <v>24.454469676600002</v>
      </c>
      <c r="K14" s="711">
        <f>'Prod &amp; Defects - Qty'!K$5*'Falhas UM-1 - Qty'!$E14/1000000</f>
        <v>28.338273664875</v>
      </c>
      <c r="L14" s="711">
        <f>'Prod &amp; Defects - Qty'!L$5*'Falhas UM-1 - Qty'!$E14/1000000</f>
        <v>28.540021247550001</v>
      </c>
      <c r="M14" s="711">
        <f>'Prod &amp; Defects - Qty'!M$5*'Falhas UM-1 - Qty'!$E14/1000000</f>
        <v>28.572694080750004</v>
      </c>
      <c r="N14" s="711">
        <f>'Prod &amp; Defects - Qty'!N$5*'Falhas UM-1 - Qty'!$E14/1000000</f>
        <v>22.908511353150001</v>
      </c>
      <c r="O14" s="711">
        <f>'Prod &amp; Defects - Qty'!O$5*'Falhas UM-1 - Qty'!$E14/1000000</f>
        <v>21.23036707995</v>
      </c>
      <c r="P14" s="711">
        <f>'Prod &amp; Defects - Qty'!P$5*'Falhas UM-1 - Qty'!$E14/1000000</f>
        <v>21.480976155600001</v>
      </c>
      <c r="Q14" s="556">
        <f>'Prod &amp; Defects - Qty'!Q$5*'Falhas UM-1 - Qty'!$E14/1000000</f>
        <v>26.44577858745</v>
      </c>
      <c r="R14" s="283">
        <f t="shared" si="6"/>
        <v>117.84585743955002</v>
      </c>
      <c r="S14" s="216">
        <f>R14/SUM('Prod &amp; Defects - Qty'!$F$5:$K$5)*1000000</f>
        <v>17.100000000000001</v>
      </c>
      <c r="T14" s="216">
        <f t="shared" si="7"/>
        <v>149.17834850445001</v>
      </c>
      <c r="U14" s="216">
        <f>T14/SUM('Prod &amp; Defects - Qty'!$L$5:$Q$5)*1000000</f>
        <v>17.100000000000005</v>
      </c>
      <c r="V14" s="216">
        <f t="shared" si="8"/>
        <v>267.02420594400002</v>
      </c>
      <c r="W14" s="284">
        <f>V14/'Prod &amp; Defects - Qty'!$R$5*1000000</f>
        <v>17.099999999999998</v>
      </c>
      <c r="X14" s="297">
        <f t="shared" si="3"/>
        <v>16</v>
      </c>
      <c r="Y14" s="298">
        <f t="shared" si="4"/>
        <v>16</v>
      </c>
      <c r="Z14" s="283">
        <f t="shared" si="5"/>
        <v>16</v>
      </c>
      <c r="AA14" s="284">
        <f t="shared" si="9"/>
        <v>15.2</v>
      </c>
    </row>
    <row r="15" spans="1:28" ht="18" customHeight="1" thickBot="1">
      <c r="A15" s="973"/>
      <c r="B15" s="969"/>
      <c r="C15" s="30"/>
      <c r="D15" s="31" t="s">
        <v>1</v>
      </c>
      <c r="E15" s="50">
        <f>'[3]Falhas UM-1 - Qty'!AA15</f>
        <v>851.4</v>
      </c>
      <c r="F15" s="712">
        <f>SUBTOTAL(109,F6:F14)</f>
        <v>1227.9044073285002</v>
      </c>
      <c r="G15" s="713">
        <f t="shared" ref="G15:Q15" si="10">SUBTOTAL(109,G6:G14)</f>
        <v>670.05104055119989</v>
      </c>
      <c r="H15" s="713">
        <f t="shared" si="10"/>
        <v>666.97631800470003</v>
      </c>
      <c r="I15" s="713">
        <f t="shared" si="10"/>
        <v>674.02854657764999</v>
      </c>
      <c r="J15" s="713">
        <f t="shared" si="10"/>
        <v>1217.5751744243998</v>
      </c>
      <c r="K15" s="713">
        <f t="shared" si="10"/>
        <v>1410.9477308932499</v>
      </c>
      <c r="L15" s="713">
        <f t="shared" si="10"/>
        <v>1420.9926368516994</v>
      </c>
      <c r="M15" s="713">
        <f t="shared" si="10"/>
        <v>1422.6194000204998</v>
      </c>
      <c r="N15" s="713">
        <f t="shared" si="10"/>
        <v>1140.6027231621003</v>
      </c>
      <c r="O15" s="713">
        <f t="shared" si="10"/>
        <v>1057.0488030332997</v>
      </c>
      <c r="P15" s="713">
        <f t="shared" si="10"/>
        <v>1069.5264970104001</v>
      </c>
      <c r="Q15" s="786">
        <f t="shared" si="10"/>
        <v>1316.7213970382998</v>
      </c>
      <c r="R15" s="168">
        <f>SUBTOTAL(109,R6:R14)</f>
        <v>5867.4832177797007</v>
      </c>
      <c r="S15" s="217">
        <f>R15/SUM('Prod &amp; Defects - Qty'!$F$5:$K$5)*1000000</f>
        <v>851.40000000000009</v>
      </c>
      <c r="T15" s="217">
        <f>SUBTOTAL(109,T6:T14)</f>
        <v>7427.5114571162985</v>
      </c>
      <c r="U15" s="217">
        <f>T15/SUM('Prod &amp; Defects - Qty'!$L$5:$Q$5)*1000000</f>
        <v>851.4</v>
      </c>
      <c r="V15" s="217">
        <f t="shared" si="8"/>
        <v>13294.994674895999</v>
      </c>
      <c r="W15" s="285">
        <f>V15/'Prod &amp; Defects - Qty'!$R$5*1000000</f>
        <v>851.39999999999975</v>
      </c>
      <c r="X15" s="299">
        <f t="shared" si="3"/>
        <v>808</v>
      </c>
      <c r="Y15" s="300">
        <f t="shared" si="4"/>
        <v>808</v>
      </c>
      <c r="Z15" s="168">
        <f t="shared" si="5"/>
        <v>808</v>
      </c>
      <c r="AA15" s="285">
        <f>SUM(AA6:AA14)</f>
        <v>763.8</v>
      </c>
    </row>
    <row r="16" spans="1:28" ht="18" customHeight="1" thickTop="1">
      <c r="A16" s="973"/>
      <c r="B16" s="970" t="s">
        <v>37</v>
      </c>
      <c r="C16" s="32">
        <v>1100</v>
      </c>
      <c r="D16" s="33" t="s">
        <v>36</v>
      </c>
      <c r="E16" s="49">
        <f>'[3]Falhas UM-1 - Qty'!AA16</f>
        <v>8253</v>
      </c>
      <c r="F16" s="711">
        <f>'Prod &amp; Defects - Qty'!F$5*'Falhas UM-1 - Qty'!$E16/1000000</f>
        <v>11902.625174632502</v>
      </c>
      <c r="G16" s="711">
        <f>'Prod &amp; Defects - Qty'!G$5*'Falhas UM-1 - Qty'!$E16/1000000</f>
        <v>6495.1036383240007</v>
      </c>
      <c r="H16" s="711">
        <f>'Prod &amp; Defects - Qty'!H$5*'Falhas UM-1 - Qty'!$E16/1000000</f>
        <v>6465.2989810815006</v>
      </c>
      <c r="I16" s="711">
        <f>'Prod &amp; Defects - Qty'!I$5*'Falhas UM-1 - Qty'!$E16/1000000</f>
        <v>6533.6593785592504</v>
      </c>
      <c r="J16" s="711">
        <f>'Prod &amp; Defects - Qty'!J$5*'Falhas UM-1 - Qty'!$E16/1000000</f>
        <v>11802.499312337999</v>
      </c>
      <c r="K16" s="711">
        <f>'Prod &amp; Defects - Qty'!K$5*'Falhas UM-1 - Qty'!$E16/1000000</f>
        <v>13676.945763521247</v>
      </c>
      <c r="L16" s="711">
        <f>'Prod &amp; Defects - Qty'!L$5*'Falhas UM-1 - Qty'!$E16/1000000</f>
        <v>13774.315517896499</v>
      </c>
      <c r="M16" s="711">
        <f>'Prod &amp; Defects - Qty'!M$5*'Falhas UM-1 - Qty'!$E16/1000000</f>
        <v>13790.0844589725</v>
      </c>
      <c r="N16" s="711">
        <f>'Prod &amp; Defects - Qty'!N$5*'Falhas UM-1 - Qty'!$E16/1000000</f>
        <v>11056.371005704501</v>
      </c>
      <c r="O16" s="711">
        <f>'Prod &amp; Defects - Qty'!O$5*'Falhas UM-1 - Qty'!$E16/1000000</f>
        <v>10246.445585428499</v>
      </c>
      <c r="P16" s="711">
        <f>'Prod &amp; Defects - Qty'!P$5*'Falhas UM-1 - Qty'!$E16/1000000</f>
        <v>10367.397439308001</v>
      </c>
      <c r="Q16" s="556">
        <f>'Prod &amp; Defects - Qty'!Q$5*'Falhas UM-1 - Qty'!$E16/1000000</f>
        <v>12763.5678761535</v>
      </c>
      <c r="R16" s="283">
        <f t="shared" si="6"/>
        <v>56876.132248456495</v>
      </c>
      <c r="S16" s="218">
        <f>R16/SUM('Prod &amp; Defects - Qty'!$F$5:$K$5)*1000000</f>
        <v>8252.9999999999982</v>
      </c>
      <c r="T16" s="218">
        <f t="shared" si="7"/>
        <v>71998.181883463491</v>
      </c>
      <c r="U16" s="218">
        <f>T16/SUM('Prod &amp; Defects - Qty'!$L$5:$Q$5)*1000000</f>
        <v>8253</v>
      </c>
      <c r="V16" s="218">
        <f t="shared" si="8"/>
        <v>128874.31413191999</v>
      </c>
      <c r="W16" s="286">
        <f>V16/'Prod &amp; Defects - Qty'!$R$5*1000000</f>
        <v>8252.9999999999982</v>
      </c>
      <c r="X16" s="297">
        <f t="shared" si="3"/>
        <v>7840</v>
      </c>
      <c r="Y16" s="301">
        <f t="shared" si="4"/>
        <v>7840</v>
      </c>
      <c r="Z16" s="283">
        <f t="shared" si="5"/>
        <v>7840</v>
      </c>
      <c r="AA16" s="286">
        <f t="shared" si="9"/>
        <v>7448</v>
      </c>
    </row>
    <row r="17" spans="1:27" ht="18" customHeight="1">
      <c r="A17" s="973"/>
      <c r="B17" s="970"/>
      <c r="C17" s="32">
        <v>1110</v>
      </c>
      <c r="D17" s="33" t="s">
        <v>35</v>
      </c>
      <c r="E17" s="49">
        <f>'[3]Falhas UM-1 - Qty'!AA17</f>
        <v>32.4</v>
      </c>
      <c r="F17" s="711">
        <f>'Prod &amp; Defects - Qty'!F$5*'Falhas UM-1 - Qty'!$E17/1000000</f>
        <v>46.727863281000005</v>
      </c>
      <c r="G17" s="711">
        <f>'Prod &amp; Defects - Qty'!G$5*'Falhas UM-1 - Qty'!$E17/1000000</f>
        <v>25.498771099199999</v>
      </c>
      <c r="H17" s="711">
        <f>'Prod &amp; Defects - Qty'!H$5*'Falhas UM-1 - Qty'!$E17/1000000</f>
        <v>25.381762630200001</v>
      </c>
      <c r="I17" s="711">
        <f>'Prod &amp; Defects - Qty'!I$5*'Falhas UM-1 - Qty'!$E17/1000000</f>
        <v>25.650134964900001</v>
      </c>
      <c r="J17" s="711">
        <f>'Prod &amp; Defects - Qty'!J$5*'Falhas UM-1 - Qty'!$E17/1000000</f>
        <v>46.334784650399996</v>
      </c>
      <c r="K17" s="711">
        <f>'Prod &amp; Defects - Qty'!K$5*'Falhas UM-1 - Qty'!$E17/1000000</f>
        <v>53.693571154499992</v>
      </c>
      <c r="L17" s="711">
        <f>'Prod &amp; Defects - Qty'!L$5*'Falhas UM-1 - Qty'!$E17/1000000</f>
        <v>54.075829732199999</v>
      </c>
      <c r="M17" s="711">
        <f>'Prod &amp; Defects - Qty'!M$5*'Falhas UM-1 - Qty'!$E17/1000000</f>
        <v>54.137736152999999</v>
      </c>
      <c r="N17" s="711">
        <f>'Prod &amp; Defects - Qty'!N$5*'Falhas UM-1 - Qty'!$E17/1000000</f>
        <v>43.405600458599991</v>
      </c>
      <c r="O17" s="711">
        <f>'Prod &amp; Defects - Qty'!O$5*'Falhas UM-1 - Qty'!$E17/1000000</f>
        <v>40.225958677800001</v>
      </c>
      <c r="P17" s="711">
        <f>'Prod &amp; Defects - Qty'!P$5*'Falhas UM-1 - Qty'!$E17/1000000</f>
        <v>40.700796926399995</v>
      </c>
      <c r="Q17" s="556">
        <f>'Prod &amp; Defects - Qty'!Q$5*'Falhas UM-1 - Qty'!$E17/1000000</f>
        <v>50.107791007799996</v>
      </c>
      <c r="R17" s="283">
        <f t="shared" si="6"/>
        <v>223.2868877802</v>
      </c>
      <c r="S17" s="218">
        <f>R17/SUM('Prod &amp; Defects - Qty'!$F$5:$K$5)*1000000</f>
        <v>32.4</v>
      </c>
      <c r="T17" s="218">
        <f t="shared" si="7"/>
        <v>282.65371295579996</v>
      </c>
      <c r="U17" s="218">
        <f>T17/SUM('Prod &amp; Defects - Qty'!$L$5:$Q$5)*1000000</f>
        <v>32.4</v>
      </c>
      <c r="V17" s="218">
        <f t="shared" si="8"/>
        <v>505.94060073599996</v>
      </c>
      <c r="W17" s="286">
        <f>V17/'Prod &amp; Defects - Qty'!$R$5*1000000</f>
        <v>32.399999999999991</v>
      </c>
      <c r="X17" s="297">
        <f t="shared" si="3"/>
        <v>30</v>
      </c>
      <c r="Y17" s="301">
        <f t="shared" si="4"/>
        <v>30</v>
      </c>
      <c r="Z17" s="283">
        <f t="shared" si="5"/>
        <v>30</v>
      </c>
      <c r="AA17" s="286">
        <f t="shared" si="9"/>
        <v>28.5</v>
      </c>
    </row>
    <row r="18" spans="1:27" ht="18" customHeight="1">
      <c r="A18" s="973"/>
      <c r="B18" s="970"/>
      <c r="C18" s="32">
        <f>C17+10</f>
        <v>1120</v>
      </c>
      <c r="D18" s="33" t="s">
        <v>34</v>
      </c>
      <c r="E18" s="49">
        <f>'[3]Falhas UM-1 - Qty'!AA18</f>
        <v>7.2</v>
      </c>
      <c r="F18" s="711">
        <f>'Prod &amp; Defects - Qty'!F$5*'Falhas UM-1 - Qty'!$E18/1000000</f>
        <v>10.383969618</v>
      </c>
      <c r="G18" s="711">
        <f>'Prod &amp; Defects - Qty'!G$5*'Falhas UM-1 - Qty'!$E18/1000000</f>
        <v>5.6663935776000001</v>
      </c>
      <c r="H18" s="711">
        <f>'Prod &amp; Defects - Qty'!H$5*'Falhas UM-1 - Qty'!$E18/1000000</f>
        <v>5.6403916956</v>
      </c>
      <c r="I18" s="711">
        <f>'Prod &amp; Defects - Qty'!I$5*'Falhas UM-1 - Qty'!$E18/1000000</f>
        <v>5.7000299922000011</v>
      </c>
      <c r="J18" s="711">
        <f>'Prod &amp; Defects - Qty'!J$5*'Falhas UM-1 - Qty'!$E18/1000000</f>
        <v>10.2966188112</v>
      </c>
      <c r="K18" s="711">
        <f>'Prod &amp; Defects - Qty'!K$5*'Falhas UM-1 - Qty'!$E18/1000000</f>
        <v>11.931904700999999</v>
      </c>
      <c r="L18" s="711">
        <f>'Prod &amp; Defects - Qty'!L$5*'Falhas UM-1 - Qty'!$E18/1000000</f>
        <v>12.0168510516</v>
      </c>
      <c r="M18" s="711">
        <f>'Prod &amp; Defects - Qty'!M$5*'Falhas UM-1 - Qty'!$E18/1000000</f>
        <v>12.030608034</v>
      </c>
      <c r="N18" s="711">
        <f>'Prod &amp; Defects - Qty'!N$5*'Falhas UM-1 - Qty'!$E18/1000000</f>
        <v>9.6456889907999983</v>
      </c>
      <c r="O18" s="711">
        <f>'Prod &amp; Defects - Qty'!O$5*'Falhas UM-1 - Qty'!$E18/1000000</f>
        <v>8.9391019284000013</v>
      </c>
      <c r="P18" s="711">
        <f>'Prod &amp; Defects - Qty'!P$5*'Falhas UM-1 - Qty'!$E18/1000000</f>
        <v>9.0446215392000013</v>
      </c>
      <c r="Q18" s="556">
        <f>'Prod &amp; Defects - Qty'!Q$5*'Falhas UM-1 - Qty'!$E18/1000000</f>
        <v>11.135064668399998</v>
      </c>
      <c r="R18" s="283">
        <f t="shared" si="6"/>
        <v>49.619308395600001</v>
      </c>
      <c r="S18" s="218">
        <f>R18/SUM('Prod &amp; Defects - Qty'!$F$5:$K$5)*1000000</f>
        <v>7.1999999999999993</v>
      </c>
      <c r="T18" s="218">
        <f t="shared" si="7"/>
        <v>62.811936212399999</v>
      </c>
      <c r="U18" s="218">
        <f>T18/SUM('Prod &amp; Defects - Qty'!$L$5:$Q$5)*1000000</f>
        <v>7.2000000000000011</v>
      </c>
      <c r="V18" s="218">
        <f t="shared" si="8"/>
        <v>112.431244608</v>
      </c>
      <c r="W18" s="286">
        <f>V18/'Prod &amp; Defects - Qty'!$R$5*1000000</f>
        <v>7.1999999999999984</v>
      </c>
      <c r="X18" s="297">
        <f t="shared" si="3"/>
        <v>6</v>
      </c>
      <c r="Y18" s="301">
        <f t="shared" si="4"/>
        <v>6</v>
      </c>
      <c r="Z18" s="283">
        <f t="shared" si="5"/>
        <v>6</v>
      </c>
      <c r="AA18" s="286">
        <f t="shared" si="9"/>
        <v>5.6999999999999993</v>
      </c>
    </row>
    <row r="19" spans="1:27" ht="18" customHeight="1">
      <c r="A19" s="973"/>
      <c r="B19" s="970"/>
      <c r="C19" s="32">
        <f>C18+10</f>
        <v>1130</v>
      </c>
      <c r="D19" s="33" t="s">
        <v>33</v>
      </c>
      <c r="E19" s="49">
        <f>'[3]Falhas UM-1 - Qty'!AA19</f>
        <v>1306.8</v>
      </c>
      <c r="F19" s="711">
        <f>'Prod &amp; Defects - Qty'!F$5*'Falhas UM-1 - Qty'!$E19/1000000</f>
        <v>1884.6904856670001</v>
      </c>
      <c r="G19" s="711">
        <f>'Prod &amp; Defects - Qty'!G$5*'Falhas UM-1 - Qty'!$E19/1000000</f>
        <v>1028.4504343343999</v>
      </c>
      <c r="H19" s="711">
        <f>'Prod &amp; Defects - Qty'!H$5*'Falhas UM-1 - Qty'!$E19/1000000</f>
        <v>1023.7310927514</v>
      </c>
      <c r="I19" s="711">
        <f>'Prod &amp; Defects - Qty'!I$5*'Falhas UM-1 - Qty'!$E19/1000000</f>
        <v>1034.5554435843001</v>
      </c>
      <c r="J19" s="711">
        <f>'Prod &amp; Defects - Qty'!J$5*'Falhas UM-1 - Qty'!$E19/1000000</f>
        <v>1868.8363142328001</v>
      </c>
      <c r="K19" s="711">
        <f>'Prod &amp; Defects - Qty'!K$5*'Falhas UM-1 - Qty'!$E19/1000000</f>
        <v>2165.6407032314996</v>
      </c>
      <c r="L19" s="711">
        <f>'Prod &amp; Defects - Qty'!L$5*'Falhas UM-1 - Qty'!$E19/1000000</f>
        <v>2181.0584658653997</v>
      </c>
      <c r="M19" s="711">
        <f>'Prod &amp; Defects - Qty'!M$5*'Falhas UM-1 - Qty'!$E19/1000000</f>
        <v>2183.5553581710001</v>
      </c>
      <c r="N19" s="711">
        <f>'Prod &amp; Defects - Qty'!N$5*'Falhas UM-1 - Qty'!$E19/1000000</f>
        <v>1750.6925518301998</v>
      </c>
      <c r="O19" s="711">
        <f>'Prod &amp; Defects - Qty'!O$5*'Falhas UM-1 - Qty'!$E19/1000000</f>
        <v>1622.4470000045999</v>
      </c>
      <c r="P19" s="711">
        <f>'Prod &amp; Defects - Qty'!P$5*'Falhas UM-1 - Qty'!$E19/1000000</f>
        <v>1641.5988093648</v>
      </c>
      <c r="Q19" s="556">
        <f>'Prod &amp; Defects - Qty'!Q$5*'Falhas UM-1 - Qty'!$E19/1000000</f>
        <v>2021.0142373145998</v>
      </c>
      <c r="R19" s="283">
        <f t="shared" si="6"/>
        <v>9005.9044738013999</v>
      </c>
      <c r="S19" s="218">
        <f>R19/SUM('Prod &amp; Defects - Qty'!$F$5:$K$5)*1000000</f>
        <v>1306.8</v>
      </c>
      <c r="T19" s="218">
        <f t="shared" si="7"/>
        <v>11400.366422550598</v>
      </c>
      <c r="U19" s="218">
        <f>T19/SUM('Prod &amp; Defects - Qty'!$L$5:$Q$5)*1000000</f>
        <v>1306.8000000000002</v>
      </c>
      <c r="V19" s="218">
        <f t="shared" si="8"/>
        <v>20406.270896351998</v>
      </c>
      <c r="W19" s="286">
        <f>V19/'Prod &amp; Defects - Qty'!$R$5*1000000</f>
        <v>1306.7999999999997</v>
      </c>
      <c r="X19" s="297">
        <f t="shared" si="3"/>
        <v>1241</v>
      </c>
      <c r="Y19" s="301">
        <f t="shared" si="4"/>
        <v>1241</v>
      </c>
      <c r="Z19" s="283">
        <f t="shared" si="5"/>
        <v>1241</v>
      </c>
      <c r="AA19" s="286">
        <f t="shared" si="9"/>
        <v>1178.95</v>
      </c>
    </row>
    <row r="20" spans="1:27" ht="18" customHeight="1">
      <c r="A20" s="973"/>
      <c r="B20" s="970"/>
      <c r="C20" s="32">
        <f>C19+10</f>
        <v>1140</v>
      </c>
      <c r="D20" s="33" t="s">
        <v>32</v>
      </c>
      <c r="E20" s="49">
        <f>'[3]Falhas UM-1 - Qty'!AA20</f>
        <v>0</v>
      </c>
      <c r="F20" s="711">
        <f>'Prod &amp; Defects - Qty'!F$5*'Falhas UM-1 - Qty'!$E20/1000000</f>
        <v>0</v>
      </c>
      <c r="G20" s="711">
        <f>'Prod &amp; Defects - Qty'!G$5*'Falhas UM-1 - Qty'!$E20/1000000</f>
        <v>0</v>
      </c>
      <c r="H20" s="711">
        <f>'Prod &amp; Defects - Qty'!H$5*'Falhas UM-1 - Qty'!$E20/1000000</f>
        <v>0</v>
      </c>
      <c r="I20" s="711">
        <f>'Prod &amp; Defects - Qty'!I$5*'Falhas UM-1 - Qty'!$E20/1000000</f>
        <v>0</v>
      </c>
      <c r="J20" s="711">
        <f>'Prod &amp; Defects - Qty'!J$5*'Falhas UM-1 - Qty'!$E20/1000000</f>
        <v>0</v>
      </c>
      <c r="K20" s="711">
        <f>'Prod &amp; Defects - Qty'!K$5*'Falhas UM-1 - Qty'!$E20/1000000</f>
        <v>0</v>
      </c>
      <c r="L20" s="711">
        <f>'Prod &amp; Defects - Qty'!L$5*'Falhas UM-1 - Qty'!$E20/1000000</f>
        <v>0</v>
      </c>
      <c r="M20" s="711">
        <f>'Prod &amp; Defects - Qty'!M$5*'Falhas UM-1 - Qty'!$E20/1000000</f>
        <v>0</v>
      </c>
      <c r="N20" s="711">
        <f>'Prod &amp; Defects - Qty'!N$5*'Falhas UM-1 - Qty'!$E20/1000000</f>
        <v>0</v>
      </c>
      <c r="O20" s="711">
        <f>'Prod &amp; Defects - Qty'!O$5*'Falhas UM-1 - Qty'!$E20/1000000</f>
        <v>0</v>
      </c>
      <c r="P20" s="711">
        <f>'Prod &amp; Defects - Qty'!P$5*'Falhas UM-1 - Qty'!$E20/1000000</f>
        <v>0</v>
      </c>
      <c r="Q20" s="556">
        <f>'Prod &amp; Defects - Qty'!Q$5*'Falhas UM-1 - Qty'!$E20/1000000</f>
        <v>0</v>
      </c>
      <c r="R20" s="283">
        <f t="shared" si="6"/>
        <v>0</v>
      </c>
      <c r="S20" s="218">
        <f>R20/SUM('Prod &amp; Defects - Qty'!$F$5:$K$5)*1000000</f>
        <v>0</v>
      </c>
      <c r="T20" s="218">
        <f t="shared" si="7"/>
        <v>0</v>
      </c>
      <c r="U20" s="218">
        <f>T20/SUM('Prod &amp; Defects - Qty'!$L$5:$Q$5)*1000000</f>
        <v>0</v>
      </c>
      <c r="V20" s="218">
        <f t="shared" si="8"/>
        <v>0</v>
      </c>
      <c r="W20" s="286">
        <f>V20/'Prod &amp; Defects - Qty'!$R$5*1000000</f>
        <v>0</v>
      </c>
      <c r="X20" s="297">
        <f t="shared" si="3"/>
        <v>0</v>
      </c>
      <c r="Y20" s="301">
        <f t="shared" si="4"/>
        <v>0</v>
      </c>
      <c r="Z20" s="283">
        <f t="shared" si="5"/>
        <v>0</v>
      </c>
      <c r="AA20" s="286">
        <f t="shared" si="9"/>
        <v>0</v>
      </c>
    </row>
    <row r="21" spans="1:27" ht="18" customHeight="1">
      <c r="A21" s="973"/>
      <c r="B21" s="970"/>
      <c r="C21" s="32">
        <f>C20+10</f>
        <v>1150</v>
      </c>
      <c r="D21" s="33" t="s">
        <v>31</v>
      </c>
      <c r="E21" s="49">
        <f>'[3]Falhas UM-1 - Qty'!AA21</f>
        <v>2736.9</v>
      </c>
      <c r="F21" s="711">
        <f>'Prod &amp; Defects - Qty'!F$5*'Falhas UM-1 - Qty'!$E21/1000000</f>
        <v>3947.2064510422506</v>
      </c>
      <c r="G21" s="711">
        <f>'Prod &amp; Defects - Qty'!G$5*'Falhas UM-1 - Qty'!$E21/1000000</f>
        <v>2153.9378586852004</v>
      </c>
      <c r="H21" s="711">
        <f>'Prod &amp; Defects - Qty'!H$5*'Falhas UM-1 - Qty'!$E21/1000000</f>
        <v>2144.0538932899503</v>
      </c>
      <c r="I21" s="711">
        <f>'Prod &amp; Defects - Qty'!I$5*'Falhas UM-1 - Qty'!$E21/1000000</f>
        <v>2166.7239007850253</v>
      </c>
      <c r="J21" s="711">
        <f>'Prod &amp; Defects - Qty'!J$5*'Falhas UM-1 - Qty'!$E21/1000000</f>
        <v>3914.0022256073999</v>
      </c>
      <c r="K21" s="711">
        <f>'Prod &amp; Defects - Qty'!K$5*'Falhas UM-1 - Qty'!$E21/1000000</f>
        <v>4535.6152744676247</v>
      </c>
      <c r="L21" s="711">
        <f>'Prod &amp; Defects - Qty'!L$5*'Falhas UM-1 - Qty'!$E21/1000000</f>
        <v>4567.9055059894499</v>
      </c>
      <c r="M21" s="711">
        <f>'Prod &amp; Defects - Qty'!M$5*'Falhas UM-1 - Qty'!$E21/1000000</f>
        <v>4573.1348789242493</v>
      </c>
      <c r="N21" s="711">
        <f>'Prod &amp; Defects - Qty'!N$5*'Falhas UM-1 - Qty'!$E21/1000000</f>
        <v>3666.5675276278503</v>
      </c>
      <c r="O21" s="711">
        <f>'Prod &amp; Defects - Qty'!O$5*'Falhas UM-1 - Qty'!$E21/1000000</f>
        <v>3397.9761205330501</v>
      </c>
      <c r="P21" s="711">
        <f>'Prod &amp; Defects - Qty'!P$5*'Falhas UM-1 - Qty'!$E21/1000000</f>
        <v>3438.0867625883998</v>
      </c>
      <c r="Q21" s="556">
        <f>'Prod &amp; Defects - Qty'!Q$5*'Falhas UM-1 - Qty'!$E21/1000000</f>
        <v>4232.7164570755504</v>
      </c>
      <c r="R21" s="283">
        <f t="shared" si="6"/>
        <v>18861.539603877452</v>
      </c>
      <c r="S21" s="218">
        <f>R21/SUM('Prod &amp; Defects - Qty'!$F$5:$K$5)*1000000</f>
        <v>2736.9</v>
      </c>
      <c r="T21" s="218">
        <f t="shared" si="7"/>
        <v>23876.387252738554</v>
      </c>
      <c r="U21" s="218">
        <f>T21/SUM('Prod &amp; Defects - Qty'!$L$5:$Q$5)*1000000</f>
        <v>2736.900000000001</v>
      </c>
      <c r="V21" s="218">
        <f t="shared" si="8"/>
        <v>42737.926856616003</v>
      </c>
      <c r="W21" s="286">
        <f>V21/'Prod &amp; Defects - Qty'!$R$5*1000000</f>
        <v>2736.8999999999996</v>
      </c>
      <c r="X21" s="297">
        <f t="shared" si="3"/>
        <v>2600</v>
      </c>
      <c r="Y21" s="301">
        <f t="shared" si="4"/>
        <v>2600</v>
      </c>
      <c r="Z21" s="283">
        <f t="shared" si="5"/>
        <v>2600</v>
      </c>
      <c r="AA21" s="286">
        <f t="shared" si="9"/>
        <v>2470</v>
      </c>
    </row>
    <row r="22" spans="1:27" ht="18" customHeight="1" thickBot="1">
      <c r="A22" s="973"/>
      <c r="B22" s="971"/>
      <c r="C22" s="34"/>
      <c r="D22" s="35" t="s">
        <v>120</v>
      </c>
      <c r="E22" s="51">
        <f>'[3]Falhas UM-1 - Qty'!AA22</f>
        <v>8285.4</v>
      </c>
      <c r="F22" s="714">
        <f>SUBTOTAL(109,F16:F21)</f>
        <v>17791.633944240752</v>
      </c>
      <c r="G22" s="714">
        <f t="shared" ref="G22:Q22" si="11">SUBTOTAL(109,G16:G21)</f>
        <v>9708.6570960204008</v>
      </c>
      <c r="H22" s="714">
        <f t="shared" si="11"/>
        <v>9664.1061214486508</v>
      </c>
      <c r="I22" s="714">
        <f t="shared" si="11"/>
        <v>9766.2888878856756</v>
      </c>
      <c r="J22" s="714">
        <f t="shared" si="11"/>
        <v>17641.9692556398</v>
      </c>
      <c r="K22" s="714">
        <f t="shared" si="11"/>
        <v>20443.827217075872</v>
      </c>
      <c r="L22" s="714">
        <f t="shared" si="11"/>
        <v>20589.372170535149</v>
      </c>
      <c r="M22" s="714">
        <f t="shared" si="11"/>
        <v>20612.943040254751</v>
      </c>
      <c r="N22" s="714">
        <f t="shared" si="11"/>
        <v>16526.682374611952</v>
      </c>
      <c r="O22" s="714">
        <f t="shared" si="11"/>
        <v>15316.033766572349</v>
      </c>
      <c r="P22" s="714">
        <f t="shared" si="11"/>
        <v>15496.8284297268</v>
      </c>
      <c r="Q22" s="787">
        <f t="shared" si="11"/>
        <v>19078.54142621985</v>
      </c>
      <c r="R22" s="287">
        <f>SUBTOTAL(109,R16:R21)</f>
        <v>85016.482522311155</v>
      </c>
      <c r="S22" s="219">
        <f>R22/SUM('Prod &amp; Defects - Qty'!$F$5:$K$5)*1000000</f>
        <v>12336.3</v>
      </c>
      <c r="T22" s="219">
        <f>SUBTOTAL(109,T16:T21)</f>
        <v>107620.40120792083</v>
      </c>
      <c r="U22" s="219">
        <f>T22/SUM('Prod &amp; Defects - Qty'!$L$5:$Q$5)*1000000</f>
        <v>12336.3</v>
      </c>
      <c r="V22" s="219">
        <f>SUBTOTAL(109,V16:V21)</f>
        <v>192636.88373023196</v>
      </c>
      <c r="W22" s="229">
        <f>V22/'Prod &amp; Defects - Qty'!$R$5*1000000</f>
        <v>12336.299999999996</v>
      </c>
      <c r="X22" s="302">
        <f t="shared" si="3"/>
        <v>11719</v>
      </c>
      <c r="Y22" s="303">
        <f t="shared" si="4"/>
        <v>11719</v>
      </c>
      <c r="Z22" s="287">
        <f t="shared" si="5"/>
        <v>11719</v>
      </c>
      <c r="AA22" s="229">
        <f>SUM(AA16:AA17)</f>
        <v>7476.5</v>
      </c>
    </row>
    <row r="23" spans="1:27" ht="18" customHeight="1" thickTop="1">
      <c r="A23" s="973"/>
      <c r="B23" s="975" t="s">
        <v>30</v>
      </c>
      <c r="C23" s="32">
        <f>C21+10</f>
        <v>1160</v>
      </c>
      <c r="D23" s="33" t="s">
        <v>29</v>
      </c>
      <c r="E23" s="49">
        <f>'[3]Falhas UM-1 - Qty'!AA23</f>
        <v>0.9</v>
      </c>
      <c r="F23" s="711">
        <f>'Prod &amp; Defects - Qty'!F$5*'Falhas UM-1 - Qty'!$E23/1000000</f>
        <v>1.29799620225</v>
      </c>
      <c r="G23" s="711">
        <f>'Prod &amp; Defects - Qty'!G$5*'Falhas UM-1 - Qty'!$E23/1000000</f>
        <v>0.70829919720000001</v>
      </c>
      <c r="H23" s="711">
        <f>'Prod &amp; Defects - Qty'!H$5*'Falhas UM-1 - Qty'!$E23/1000000</f>
        <v>0.70504896195</v>
      </c>
      <c r="I23" s="711">
        <f>'Prod &amp; Defects - Qty'!I$5*'Falhas UM-1 - Qty'!$E23/1000000</f>
        <v>0.71250374902500013</v>
      </c>
      <c r="J23" s="711">
        <f>'Prod &amp; Defects - Qty'!J$5*'Falhas UM-1 - Qty'!$E23/1000000</f>
        <v>1.2870773514</v>
      </c>
      <c r="K23" s="711">
        <f>'Prod &amp; Defects - Qty'!K$5*'Falhas UM-1 - Qty'!$E23/1000000</f>
        <v>1.4914880876249998</v>
      </c>
      <c r="L23" s="711">
        <f>'Prod &amp; Defects - Qty'!L$5*'Falhas UM-1 - Qty'!$E23/1000000</f>
        <v>1.50210638145</v>
      </c>
      <c r="M23" s="711">
        <f>'Prod &amp; Defects - Qty'!M$5*'Falhas UM-1 - Qty'!$E23/1000000</f>
        <v>1.50382600425</v>
      </c>
      <c r="N23" s="711">
        <f>'Prod &amp; Defects - Qty'!N$5*'Falhas UM-1 - Qty'!$E23/1000000</f>
        <v>1.2057111238499998</v>
      </c>
      <c r="O23" s="711">
        <f>'Prod &amp; Defects - Qty'!O$5*'Falhas UM-1 - Qty'!$E23/1000000</f>
        <v>1.1173877410500002</v>
      </c>
      <c r="P23" s="711">
        <f>'Prod &amp; Defects - Qty'!P$5*'Falhas UM-1 - Qty'!$E23/1000000</f>
        <v>1.1305776924000002</v>
      </c>
      <c r="Q23" s="556">
        <f>'Prod &amp; Defects - Qty'!Q$5*'Falhas UM-1 - Qty'!$E23/1000000</f>
        <v>1.3918830835499998</v>
      </c>
      <c r="R23" s="283">
        <f t="shared" si="6"/>
        <v>6.2024135494500001</v>
      </c>
      <c r="S23" s="218">
        <f>R23/SUM('Prod &amp; Defects - Qty'!$F$5:$K$5)*1000000</f>
        <v>0.89999999999999991</v>
      </c>
      <c r="T23" s="218">
        <f t="shared" si="7"/>
        <v>7.8514920265499999</v>
      </c>
      <c r="U23" s="218">
        <f>T23/SUM('Prod &amp; Defects - Qty'!$L$5:$Q$5)*1000000</f>
        <v>0.90000000000000013</v>
      </c>
      <c r="V23" s="218">
        <f t="shared" si="8"/>
        <v>14.053905576</v>
      </c>
      <c r="W23" s="286">
        <f>V23/'Prod &amp; Defects - Qty'!$R$5*1000000</f>
        <v>0.8999999999999998</v>
      </c>
      <c r="X23" s="297">
        <f t="shared" si="3"/>
        <v>0</v>
      </c>
      <c r="Y23" s="301">
        <f t="shared" si="4"/>
        <v>0</v>
      </c>
      <c r="Z23" s="283">
        <f t="shared" si="5"/>
        <v>0</v>
      </c>
      <c r="AA23" s="286">
        <f t="shared" si="9"/>
        <v>0</v>
      </c>
    </row>
    <row r="24" spans="1:27" ht="18" customHeight="1">
      <c r="A24" s="973"/>
      <c r="B24" s="976"/>
      <c r="C24" s="32">
        <f>C23+10</f>
        <v>1170</v>
      </c>
      <c r="D24" s="33" t="s">
        <v>28</v>
      </c>
      <c r="E24" s="49">
        <f>'[3]Falhas UM-1 - Qty'!AA24</f>
        <v>27.900000000000002</v>
      </c>
      <c r="F24" s="711">
        <f>'Prod &amp; Defects - Qty'!F$5*'Falhas UM-1 - Qty'!$E24/1000000</f>
        <v>40.23788226975001</v>
      </c>
      <c r="G24" s="711">
        <f>'Prod &amp; Defects - Qty'!G$5*'Falhas UM-1 - Qty'!$E24/1000000</f>
        <v>21.957275113200001</v>
      </c>
      <c r="H24" s="711">
        <f>'Prod &amp; Defects - Qty'!H$5*'Falhas UM-1 - Qty'!$E24/1000000</f>
        <v>21.856517820450005</v>
      </c>
      <c r="I24" s="711">
        <f>'Prod &amp; Defects - Qty'!I$5*'Falhas UM-1 - Qty'!$E24/1000000</f>
        <v>22.087616219775008</v>
      </c>
      <c r="J24" s="711">
        <f>'Prod &amp; Defects - Qty'!J$5*'Falhas UM-1 - Qty'!$E24/1000000</f>
        <v>39.899397893400007</v>
      </c>
      <c r="K24" s="711">
        <f>'Prod &amp; Defects - Qty'!K$5*'Falhas UM-1 - Qty'!$E24/1000000</f>
        <v>46.236130716375001</v>
      </c>
      <c r="L24" s="711">
        <f>'Prod &amp; Defects - Qty'!L$5*'Falhas UM-1 - Qty'!$E24/1000000</f>
        <v>46.565297824950001</v>
      </c>
      <c r="M24" s="711">
        <f>'Prod &amp; Defects - Qty'!M$5*'Falhas UM-1 - Qty'!$E24/1000000</f>
        <v>46.618606131749999</v>
      </c>
      <c r="N24" s="711">
        <f>'Prod &amp; Defects - Qty'!N$5*'Falhas UM-1 - Qty'!$E24/1000000</f>
        <v>37.377044839349999</v>
      </c>
      <c r="O24" s="711">
        <f>'Prod &amp; Defects - Qty'!O$5*'Falhas UM-1 - Qty'!$E24/1000000</f>
        <v>34.639019972550003</v>
      </c>
      <c r="P24" s="711">
        <f>'Prod &amp; Defects - Qty'!P$5*'Falhas UM-1 - Qty'!$E24/1000000</f>
        <v>35.047908464400003</v>
      </c>
      <c r="Q24" s="556">
        <f>'Prod &amp; Defects - Qty'!Q$5*'Falhas UM-1 - Qty'!$E24/1000000</f>
        <v>43.148375590050001</v>
      </c>
      <c r="R24" s="283">
        <f t="shared" si="6"/>
        <v>192.27482003295</v>
      </c>
      <c r="S24" s="218">
        <f>R24/SUM('Prod &amp; Defects - Qty'!$F$5:$K$5)*1000000</f>
        <v>27.900000000000002</v>
      </c>
      <c r="T24" s="218">
        <f t="shared" si="7"/>
        <v>243.39625282304999</v>
      </c>
      <c r="U24" s="218">
        <f>T24/SUM('Prod &amp; Defects - Qty'!$L$5:$Q$5)*1000000</f>
        <v>27.900000000000006</v>
      </c>
      <c r="V24" s="218">
        <f t="shared" si="8"/>
        <v>435.67107285600002</v>
      </c>
      <c r="W24" s="286">
        <f>V24/'Prod &amp; Defects - Qty'!$R$5*1000000</f>
        <v>27.9</v>
      </c>
      <c r="X24" s="297">
        <f t="shared" si="3"/>
        <v>26</v>
      </c>
      <c r="Y24" s="301">
        <f t="shared" si="4"/>
        <v>26</v>
      </c>
      <c r="Z24" s="283">
        <f t="shared" si="5"/>
        <v>26</v>
      </c>
      <c r="AA24" s="286">
        <f t="shared" si="9"/>
        <v>24.7</v>
      </c>
    </row>
    <row r="25" spans="1:27" ht="18" customHeight="1">
      <c r="A25" s="973"/>
      <c r="B25" s="976"/>
      <c r="C25" s="32">
        <f t="shared" ref="C25:C33" si="12">C24+10</f>
        <v>1180</v>
      </c>
      <c r="D25" s="33" t="s">
        <v>27</v>
      </c>
      <c r="E25" s="49">
        <f>'[3]Falhas UM-1 - Qty'!AA25</f>
        <v>116.10000000000001</v>
      </c>
      <c r="F25" s="711">
        <f>'Prod &amp; Defects - Qty'!F$5*'Falhas UM-1 - Qty'!$E25/1000000</f>
        <v>167.44151009025003</v>
      </c>
      <c r="G25" s="711">
        <f>'Prod &amp; Defects - Qty'!G$5*'Falhas UM-1 - Qty'!$E25/1000000</f>
        <v>91.370596438800007</v>
      </c>
      <c r="H25" s="711">
        <f>'Prod &amp; Defects - Qty'!H$5*'Falhas UM-1 - Qty'!$E25/1000000</f>
        <v>90.951316091550012</v>
      </c>
      <c r="I25" s="711">
        <f>'Prod &amp; Defects - Qty'!I$5*'Falhas UM-1 - Qty'!$E25/1000000</f>
        <v>91.912983624225021</v>
      </c>
      <c r="J25" s="711">
        <f>'Prod &amp; Defects - Qty'!J$5*'Falhas UM-1 - Qty'!$E25/1000000</f>
        <v>166.03297833060003</v>
      </c>
      <c r="K25" s="711">
        <f>'Prod &amp; Defects - Qty'!K$5*'Falhas UM-1 - Qty'!$E25/1000000</f>
        <v>192.401963303625</v>
      </c>
      <c r="L25" s="711">
        <f>'Prod &amp; Defects - Qty'!L$5*'Falhas UM-1 - Qty'!$E25/1000000</f>
        <v>193.77172320705</v>
      </c>
      <c r="M25" s="711">
        <f>'Prod &amp; Defects - Qty'!M$5*'Falhas UM-1 - Qty'!$E25/1000000</f>
        <v>193.99355454825002</v>
      </c>
      <c r="N25" s="711">
        <f>'Prod &amp; Defects - Qty'!N$5*'Falhas UM-1 - Qty'!$E25/1000000</f>
        <v>155.53673497665</v>
      </c>
      <c r="O25" s="711">
        <f>'Prod &amp; Defects - Qty'!O$5*'Falhas UM-1 - Qty'!$E25/1000000</f>
        <v>144.14301859545</v>
      </c>
      <c r="P25" s="711">
        <f>'Prod &amp; Defects - Qty'!P$5*'Falhas UM-1 - Qty'!$E25/1000000</f>
        <v>145.8445223196</v>
      </c>
      <c r="Q25" s="556">
        <f>'Prod &amp; Defects - Qty'!Q$5*'Falhas UM-1 - Qty'!$E25/1000000</f>
        <v>179.55291777795003</v>
      </c>
      <c r="R25" s="283">
        <f t="shared" si="6"/>
        <v>800.11134787905007</v>
      </c>
      <c r="S25" s="218">
        <f>R25/SUM('Prod &amp; Defects - Qty'!$F$5:$K$5)*1000000</f>
        <v>116.10000000000001</v>
      </c>
      <c r="T25" s="218">
        <f t="shared" si="7"/>
        <v>1012.8424714249501</v>
      </c>
      <c r="U25" s="218">
        <f>T25/SUM('Prod &amp; Defects - Qty'!$L$5:$Q$5)*1000000</f>
        <v>116.10000000000004</v>
      </c>
      <c r="V25" s="218">
        <f t="shared" si="8"/>
        <v>1812.9538193040003</v>
      </c>
      <c r="W25" s="286">
        <f>V25/'Prod &amp; Defects - Qty'!$R$5*1000000</f>
        <v>116.10000000000001</v>
      </c>
      <c r="X25" s="297">
        <f t="shared" si="3"/>
        <v>110</v>
      </c>
      <c r="Y25" s="301">
        <f t="shared" si="4"/>
        <v>110</v>
      </c>
      <c r="Z25" s="283">
        <f t="shared" si="5"/>
        <v>110</v>
      </c>
      <c r="AA25" s="286">
        <f t="shared" si="9"/>
        <v>104.5</v>
      </c>
    </row>
    <row r="26" spans="1:27" ht="18" customHeight="1">
      <c r="A26" s="973"/>
      <c r="B26" s="976"/>
      <c r="C26" s="32">
        <f t="shared" si="12"/>
        <v>1190</v>
      </c>
      <c r="D26" s="33" t="s">
        <v>26</v>
      </c>
      <c r="E26" s="49">
        <f>'[3]Falhas UM-1 - Qty'!AA26</f>
        <v>21.6</v>
      </c>
      <c r="F26" s="711">
        <f>'Prod &amp; Defects - Qty'!F$5*'Falhas UM-1 - Qty'!$E26/1000000</f>
        <v>31.151908854000006</v>
      </c>
      <c r="G26" s="711">
        <f>'Prod &amp; Defects - Qty'!G$5*'Falhas UM-1 - Qty'!$E26/1000000</f>
        <v>16.999180732799999</v>
      </c>
      <c r="H26" s="711">
        <f>'Prod &amp; Defects - Qty'!H$5*'Falhas UM-1 - Qty'!$E26/1000000</f>
        <v>16.921175086800002</v>
      </c>
      <c r="I26" s="711">
        <f>'Prod &amp; Defects - Qty'!I$5*'Falhas UM-1 - Qty'!$E26/1000000</f>
        <v>17.100089976600003</v>
      </c>
      <c r="J26" s="711">
        <f>'Prod &amp; Defects - Qty'!J$5*'Falhas UM-1 - Qty'!$E26/1000000</f>
        <v>30.889856433600002</v>
      </c>
      <c r="K26" s="711">
        <f>'Prod &amp; Defects - Qty'!K$5*'Falhas UM-1 - Qty'!$E26/1000000</f>
        <v>35.795714103000002</v>
      </c>
      <c r="L26" s="711">
        <f>'Prod &amp; Defects - Qty'!L$5*'Falhas UM-1 - Qty'!$E26/1000000</f>
        <v>36.050553154799999</v>
      </c>
      <c r="M26" s="711">
        <f>'Prod &amp; Defects - Qty'!M$5*'Falhas UM-1 - Qty'!$E26/1000000</f>
        <v>36.091824101999997</v>
      </c>
      <c r="N26" s="711">
        <f>'Prod &amp; Defects - Qty'!N$5*'Falhas UM-1 - Qty'!$E26/1000000</f>
        <v>28.937066972399997</v>
      </c>
      <c r="O26" s="711">
        <f>'Prod &amp; Defects - Qty'!O$5*'Falhas UM-1 - Qty'!$E26/1000000</f>
        <v>26.817305785199999</v>
      </c>
      <c r="P26" s="711">
        <f>'Prod &amp; Defects - Qty'!P$5*'Falhas UM-1 - Qty'!$E26/1000000</f>
        <v>27.1338646176</v>
      </c>
      <c r="Q26" s="556">
        <f>'Prod &amp; Defects - Qty'!Q$5*'Falhas UM-1 - Qty'!$E26/1000000</f>
        <v>33.405194005200002</v>
      </c>
      <c r="R26" s="283">
        <f t="shared" si="6"/>
        <v>148.8579251868</v>
      </c>
      <c r="S26" s="218">
        <f>R26/SUM('Prod &amp; Defects - Qty'!$F$5:$K$5)*1000000</f>
        <v>21.6</v>
      </c>
      <c r="T26" s="218">
        <f t="shared" si="7"/>
        <v>188.43580863720001</v>
      </c>
      <c r="U26" s="218">
        <f>T26/SUM('Prod &amp; Defects - Qty'!$L$5:$Q$5)*1000000</f>
        <v>21.600000000000005</v>
      </c>
      <c r="V26" s="218">
        <f t="shared" si="8"/>
        <v>337.29373382400001</v>
      </c>
      <c r="W26" s="286">
        <f>V26/'Prod &amp; Defects - Qty'!$R$5*1000000</f>
        <v>21.599999999999998</v>
      </c>
      <c r="X26" s="297">
        <f t="shared" si="3"/>
        <v>20</v>
      </c>
      <c r="Y26" s="301">
        <f t="shared" si="4"/>
        <v>20</v>
      </c>
      <c r="Z26" s="283">
        <f t="shared" si="5"/>
        <v>20</v>
      </c>
      <c r="AA26" s="286">
        <f t="shared" si="9"/>
        <v>19</v>
      </c>
    </row>
    <row r="27" spans="1:27" ht="18" customHeight="1">
      <c r="A27" s="973"/>
      <c r="B27" s="976"/>
      <c r="C27" s="32">
        <f t="shared" si="12"/>
        <v>1200</v>
      </c>
      <c r="D27" s="33" t="s">
        <v>25</v>
      </c>
      <c r="E27" s="49">
        <f>'[3]Falhas UM-1 - Qty'!AA27</f>
        <v>23.400000000000002</v>
      </c>
      <c r="F27" s="711">
        <f>'Prod &amp; Defects - Qty'!F$5*'Falhas UM-1 - Qty'!$E27/1000000</f>
        <v>33.747901258500008</v>
      </c>
      <c r="G27" s="711">
        <f>'Prod &amp; Defects - Qty'!G$5*'Falhas UM-1 - Qty'!$E27/1000000</f>
        <v>18.415779127200004</v>
      </c>
      <c r="H27" s="711">
        <f>'Prod &amp; Defects - Qty'!H$5*'Falhas UM-1 - Qty'!$E27/1000000</f>
        <v>18.331273010700002</v>
      </c>
      <c r="I27" s="711">
        <f>'Prod &amp; Defects - Qty'!I$5*'Falhas UM-1 - Qty'!$E27/1000000</f>
        <v>18.525097474650003</v>
      </c>
      <c r="J27" s="711">
        <f>'Prod &amp; Defects - Qty'!J$5*'Falhas UM-1 - Qty'!$E27/1000000</f>
        <v>33.464011136400003</v>
      </c>
      <c r="K27" s="711">
        <f>'Prod &amp; Defects - Qty'!K$5*'Falhas UM-1 - Qty'!$E27/1000000</f>
        <v>38.778690278250004</v>
      </c>
      <c r="L27" s="711">
        <f>'Prod &amp; Defects - Qty'!L$5*'Falhas UM-1 - Qty'!$E27/1000000</f>
        <v>39.054765917700003</v>
      </c>
      <c r="M27" s="711">
        <f>'Prod &amp; Defects - Qty'!M$5*'Falhas UM-1 - Qty'!$E27/1000000</f>
        <v>39.099476110499999</v>
      </c>
      <c r="N27" s="711">
        <f>'Prod &amp; Defects - Qty'!N$5*'Falhas UM-1 - Qty'!$E27/1000000</f>
        <v>31.348489220099999</v>
      </c>
      <c r="O27" s="711">
        <f>'Prod &amp; Defects - Qty'!O$5*'Falhas UM-1 - Qty'!$E27/1000000</f>
        <v>29.052081267300004</v>
      </c>
      <c r="P27" s="711">
        <f>'Prod &amp; Defects - Qty'!P$5*'Falhas UM-1 - Qty'!$E27/1000000</f>
        <v>29.395020002400003</v>
      </c>
      <c r="Q27" s="556">
        <f>'Prod &amp; Defects - Qty'!Q$5*'Falhas UM-1 - Qty'!$E27/1000000</f>
        <v>36.188960172300007</v>
      </c>
      <c r="R27" s="283">
        <f t="shared" si="6"/>
        <v>161.26275228570003</v>
      </c>
      <c r="S27" s="218">
        <f>R27/SUM('Prod &amp; Defects - Qty'!$F$5:$K$5)*1000000</f>
        <v>23.400000000000002</v>
      </c>
      <c r="T27" s="218">
        <f t="shared" si="7"/>
        <v>204.13879269029999</v>
      </c>
      <c r="U27" s="218">
        <f>T27/SUM('Prod &amp; Defects - Qty'!$L$5:$Q$5)*1000000</f>
        <v>23.400000000000002</v>
      </c>
      <c r="V27" s="218">
        <f t="shared" si="8"/>
        <v>365.40154497600003</v>
      </c>
      <c r="W27" s="286">
        <f>V27/'Prod &amp; Defects - Qty'!$R$5*1000000</f>
        <v>23.4</v>
      </c>
      <c r="X27" s="297">
        <f t="shared" si="3"/>
        <v>22</v>
      </c>
      <c r="Y27" s="301">
        <f t="shared" si="4"/>
        <v>22</v>
      </c>
      <c r="Z27" s="283">
        <f t="shared" si="5"/>
        <v>22</v>
      </c>
      <c r="AA27" s="286">
        <f t="shared" si="9"/>
        <v>20.9</v>
      </c>
    </row>
    <row r="28" spans="1:27" ht="18" customHeight="1">
      <c r="A28" s="973"/>
      <c r="B28" s="976"/>
      <c r="C28" s="32">
        <f t="shared" si="12"/>
        <v>1210</v>
      </c>
      <c r="D28" s="33" t="s">
        <v>121</v>
      </c>
      <c r="E28" s="49">
        <f>'[3]Falhas UM-1 - Qty'!AA28</f>
        <v>45</v>
      </c>
      <c r="F28" s="711">
        <f>'Prod &amp; Defects - Qty'!F$5*'Falhas UM-1 - Qty'!$E28/1000000</f>
        <v>64.899810112500006</v>
      </c>
      <c r="G28" s="711">
        <f>'Prod &amp; Defects - Qty'!G$5*'Falhas UM-1 - Qty'!$E28/1000000</f>
        <v>35.414959859999996</v>
      </c>
      <c r="H28" s="711">
        <f>'Prod &amp; Defects - Qty'!H$5*'Falhas UM-1 - Qty'!$E28/1000000</f>
        <v>35.252448097500007</v>
      </c>
      <c r="I28" s="711">
        <f>'Prod &amp; Defects - Qty'!I$5*'Falhas UM-1 - Qty'!$E28/1000000</f>
        <v>35.62518745125</v>
      </c>
      <c r="J28" s="711">
        <f>'Prod &amp; Defects - Qty'!J$5*'Falhas UM-1 - Qty'!$E28/1000000</f>
        <v>64.353867570000006</v>
      </c>
      <c r="K28" s="711">
        <f>'Prod &amp; Defects - Qty'!K$5*'Falhas UM-1 - Qty'!$E28/1000000</f>
        <v>74.574404381249991</v>
      </c>
      <c r="L28" s="711">
        <f>'Prod &amp; Defects - Qty'!L$5*'Falhas UM-1 - Qty'!$E28/1000000</f>
        <v>75.105319072499995</v>
      </c>
      <c r="M28" s="711">
        <f>'Prod &amp; Defects - Qty'!M$5*'Falhas UM-1 - Qty'!$E28/1000000</f>
        <v>75.191300212500011</v>
      </c>
      <c r="N28" s="711">
        <f>'Prod &amp; Defects - Qty'!N$5*'Falhas UM-1 - Qty'!$E28/1000000</f>
        <v>60.285556192499996</v>
      </c>
      <c r="O28" s="711">
        <f>'Prod &amp; Defects - Qty'!O$5*'Falhas UM-1 - Qty'!$E28/1000000</f>
        <v>55.869387052500002</v>
      </c>
      <c r="P28" s="711">
        <f>'Prod &amp; Defects - Qty'!P$5*'Falhas UM-1 - Qty'!$E28/1000000</f>
        <v>56.528884619999999</v>
      </c>
      <c r="Q28" s="556">
        <f>'Prod &amp; Defects - Qty'!Q$5*'Falhas UM-1 - Qty'!$E28/1000000</f>
        <v>69.594154177499988</v>
      </c>
      <c r="R28" s="283">
        <f t="shared" si="6"/>
        <v>310.12067747250001</v>
      </c>
      <c r="S28" s="218">
        <f>R28/SUM('Prod &amp; Defects - Qty'!$F$5:$K$5)*1000000</f>
        <v>44.999999999999993</v>
      </c>
      <c r="T28" s="218">
        <f t="shared" si="7"/>
        <v>392.57460132750003</v>
      </c>
      <c r="U28" s="218">
        <f>T28/SUM('Prod &amp; Defects - Qty'!$L$5:$Q$5)*1000000</f>
        <v>45.000000000000007</v>
      </c>
      <c r="V28" s="218">
        <f t="shared" si="8"/>
        <v>702.6952788000001</v>
      </c>
      <c r="W28" s="286">
        <f>V28/'Prod &amp; Defects - Qty'!$R$5*1000000</f>
        <v>44.999999999999993</v>
      </c>
      <c r="X28" s="297">
        <f t="shared" si="3"/>
        <v>42</v>
      </c>
      <c r="Y28" s="301">
        <f t="shared" si="4"/>
        <v>42</v>
      </c>
      <c r="Z28" s="283">
        <f t="shared" si="5"/>
        <v>42</v>
      </c>
      <c r="AA28" s="286">
        <f t="shared" si="9"/>
        <v>39.9</v>
      </c>
    </row>
    <row r="29" spans="1:27" ht="18" customHeight="1">
      <c r="A29" s="973"/>
      <c r="B29" s="976"/>
      <c r="C29" s="32">
        <v>1212</v>
      </c>
      <c r="D29" s="36" t="s">
        <v>122</v>
      </c>
      <c r="E29" s="49">
        <f>'[3]Falhas UM-1 - Qty'!AA29</f>
        <v>8.1</v>
      </c>
      <c r="F29" s="715">
        <f>'Prod &amp; Defects - Qty'!F$5*'Falhas UM-1 - Qty'!$E29/1000000</f>
        <v>11.681965820250001</v>
      </c>
      <c r="G29" s="715">
        <f>'Prod &amp; Defects - Qty'!G$5*'Falhas UM-1 - Qty'!$E29/1000000</f>
        <v>6.3746927747999997</v>
      </c>
      <c r="H29" s="715">
        <f>'Prod &amp; Defects - Qty'!H$5*'Falhas UM-1 - Qty'!$E29/1000000</f>
        <v>6.3454406575500002</v>
      </c>
      <c r="I29" s="715">
        <f>'Prod &amp; Defects - Qty'!I$5*'Falhas UM-1 - Qty'!$E29/1000000</f>
        <v>6.4125337412250003</v>
      </c>
      <c r="J29" s="715">
        <f>'Prod &amp; Defects - Qty'!J$5*'Falhas UM-1 - Qty'!$E29/1000000</f>
        <v>11.583696162599999</v>
      </c>
      <c r="K29" s="715">
        <f>'Prod &amp; Defects - Qty'!K$5*'Falhas UM-1 - Qty'!$E29/1000000</f>
        <v>13.423392788624998</v>
      </c>
      <c r="L29" s="715">
        <f>'Prod &amp; Defects - Qty'!L$5*'Falhas UM-1 - Qty'!$E29/1000000</f>
        <v>13.51895743305</v>
      </c>
      <c r="M29" s="715">
        <f>'Prod &amp; Defects - Qty'!M$5*'Falhas UM-1 - Qty'!$E29/1000000</f>
        <v>13.53443403825</v>
      </c>
      <c r="N29" s="715">
        <f>'Prod &amp; Defects - Qty'!N$5*'Falhas UM-1 - Qty'!$E29/1000000</f>
        <v>10.851400114649998</v>
      </c>
      <c r="O29" s="715">
        <f>'Prod &amp; Defects - Qty'!O$5*'Falhas UM-1 - Qty'!$E29/1000000</f>
        <v>10.05648966945</v>
      </c>
      <c r="P29" s="715">
        <f>'Prod &amp; Defects - Qty'!P$5*'Falhas UM-1 - Qty'!$E29/1000000</f>
        <v>10.175199231599999</v>
      </c>
      <c r="Q29" s="557">
        <f>'Prod &amp; Defects - Qty'!Q$5*'Falhas UM-1 - Qty'!$E29/1000000</f>
        <v>12.526947751949999</v>
      </c>
      <c r="R29" s="288">
        <f t="shared" si="6"/>
        <v>55.821721945050001</v>
      </c>
      <c r="S29" s="220">
        <f>R29/SUM('Prod &amp; Defects - Qty'!$F$5:$K$5)*1000000</f>
        <v>8.1</v>
      </c>
      <c r="T29" s="220">
        <f t="shared" si="7"/>
        <v>70.66342823894999</v>
      </c>
      <c r="U29" s="220">
        <f>T29/SUM('Prod &amp; Defects - Qty'!$L$5:$Q$5)*1000000</f>
        <v>8.1</v>
      </c>
      <c r="V29" s="220">
        <f t="shared" si="8"/>
        <v>126.48515018399999</v>
      </c>
      <c r="W29" s="289">
        <f>V29/'Prod &amp; Defects - Qty'!$R$5*1000000</f>
        <v>8.0999999999999979</v>
      </c>
      <c r="X29" s="304">
        <f t="shared" si="3"/>
        <v>7</v>
      </c>
      <c r="Y29" s="305">
        <f t="shared" si="4"/>
        <v>7</v>
      </c>
      <c r="Z29" s="288">
        <f t="shared" si="5"/>
        <v>7</v>
      </c>
      <c r="AA29" s="289">
        <f t="shared" si="9"/>
        <v>6.6499999999999995</v>
      </c>
    </row>
    <row r="30" spans="1:27" ht="18" customHeight="1">
      <c r="A30" s="973"/>
      <c r="B30" s="976"/>
      <c r="C30" s="32">
        <v>1214</v>
      </c>
      <c r="D30" s="33" t="s">
        <v>123</v>
      </c>
      <c r="E30" s="49">
        <f>'[3]Falhas UM-1 - Qty'!AA30</f>
        <v>5.4</v>
      </c>
      <c r="F30" s="711">
        <f>'Prod &amp; Defects - Qty'!F$5*'Falhas UM-1 - Qty'!$E30/1000000</f>
        <v>7.7879772135000014</v>
      </c>
      <c r="G30" s="711">
        <f>'Prod &amp; Defects - Qty'!G$5*'Falhas UM-1 - Qty'!$E30/1000000</f>
        <v>4.2497951831999998</v>
      </c>
      <c r="H30" s="711">
        <f>'Prod &amp; Defects - Qty'!H$5*'Falhas UM-1 - Qty'!$E30/1000000</f>
        <v>4.2302937717000004</v>
      </c>
      <c r="I30" s="711">
        <f>'Prod &amp; Defects - Qty'!I$5*'Falhas UM-1 - Qty'!$E30/1000000</f>
        <v>4.2750224941500008</v>
      </c>
      <c r="J30" s="711">
        <f>'Prod &amp; Defects - Qty'!J$5*'Falhas UM-1 - Qty'!$E30/1000000</f>
        <v>7.7224641084000005</v>
      </c>
      <c r="K30" s="711">
        <f>'Prod &amp; Defects - Qty'!K$5*'Falhas UM-1 - Qty'!$E30/1000000</f>
        <v>8.9489285257500004</v>
      </c>
      <c r="L30" s="711">
        <f>'Prod &amp; Defects - Qty'!L$5*'Falhas UM-1 - Qty'!$E30/1000000</f>
        <v>9.0126382886999998</v>
      </c>
      <c r="M30" s="711">
        <f>'Prod &amp; Defects - Qty'!M$5*'Falhas UM-1 - Qty'!$E30/1000000</f>
        <v>9.0229560254999992</v>
      </c>
      <c r="N30" s="711">
        <f>'Prod &amp; Defects - Qty'!N$5*'Falhas UM-1 - Qty'!$E30/1000000</f>
        <v>7.2342667430999992</v>
      </c>
      <c r="O30" s="711">
        <f>'Prod &amp; Defects - Qty'!O$5*'Falhas UM-1 - Qty'!$E30/1000000</f>
        <v>6.7043264462999996</v>
      </c>
      <c r="P30" s="711">
        <f>'Prod &amp; Defects - Qty'!P$5*'Falhas UM-1 - Qty'!$E30/1000000</f>
        <v>6.7834661544000001</v>
      </c>
      <c r="Q30" s="556">
        <f>'Prod &amp; Defects - Qty'!Q$5*'Falhas UM-1 - Qty'!$E30/1000000</f>
        <v>8.3512985013000005</v>
      </c>
      <c r="R30" s="283">
        <f t="shared" si="6"/>
        <v>37.214481296700001</v>
      </c>
      <c r="S30" s="218">
        <f>R30/SUM('Prod &amp; Defects - Qty'!$F$5:$K$5)*1000000</f>
        <v>5.4</v>
      </c>
      <c r="T30" s="218">
        <f t="shared" si="7"/>
        <v>47.108952159300003</v>
      </c>
      <c r="U30" s="218">
        <f>T30/SUM('Prod &amp; Defects - Qty'!$L$5:$Q$5)*1000000</f>
        <v>5.4000000000000012</v>
      </c>
      <c r="V30" s="218">
        <f t="shared" si="8"/>
        <v>84.323433456000004</v>
      </c>
      <c r="W30" s="286">
        <f>V30/'Prod &amp; Defects - Qty'!$R$5*1000000</f>
        <v>5.3999999999999995</v>
      </c>
      <c r="X30" s="297">
        <f t="shared" si="3"/>
        <v>5</v>
      </c>
      <c r="Y30" s="301">
        <f t="shared" si="4"/>
        <v>5</v>
      </c>
      <c r="Z30" s="283">
        <f t="shared" si="5"/>
        <v>5</v>
      </c>
      <c r="AA30" s="286">
        <f t="shared" si="9"/>
        <v>4.75</v>
      </c>
    </row>
    <row r="31" spans="1:27" ht="18" customHeight="1">
      <c r="A31" s="973"/>
      <c r="B31" s="976"/>
      <c r="C31" s="32">
        <f>C28+10</f>
        <v>1220</v>
      </c>
      <c r="D31" s="33" t="s">
        <v>24</v>
      </c>
      <c r="E31" s="49">
        <f>'[3]Falhas UM-1 - Qty'!AA31</f>
        <v>54.9</v>
      </c>
      <c r="F31" s="711">
        <f>'Prod &amp; Defects - Qty'!F$5*'Falhas UM-1 - Qty'!$E31/1000000</f>
        <v>79.177768337250015</v>
      </c>
      <c r="G31" s="711">
        <f>'Prod &amp; Defects - Qty'!G$5*'Falhas UM-1 - Qty'!$E31/1000000</f>
        <v>43.206251029200004</v>
      </c>
      <c r="H31" s="711">
        <f>'Prod &amp; Defects - Qty'!H$5*'Falhas UM-1 - Qty'!$E31/1000000</f>
        <v>43.007986678950004</v>
      </c>
      <c r="I31" s="711">
        <f>'Prod &amp; Defects - Qty'!I$5*'Falhas UM-1 - Qty'!$E31/1000000</f>
        <v>43.462728690525005</v>
      </c>
      <c r="J31" s="711">
        <f>'Prod &amp; Defects - Qty'!J$5*'Falhas UM-1 - Qty'!$E31/1000000</f>
        <v>78.511718435399999</v>
      </c>
      <c r="K31" s="711">
        <f>'Prod &amp; Defects - Qty'!K$5*'Falhas UM-1 - Qty'!$E31/1000000</f>
        <v>90.980773345124987</v>
      </c>
      <c r="L31" s="711">
        <f>'Prod &amp; Defects - Qty'!L$5*'Falhas UM-1 - Qty'!$E31/1000000</f>
        <v>91.628489268449997</v>
      </c>
      <c r="M31" s="711">
        <f>'Prod &amp; Defects - Qty'!M$5*'Falhas UM-1 - Qty'!$E31/1000000</f>
        <v>91.733386259249997</v>
      </c>
      <c r="N31" s="711">
        <f>'Prod &amp; Defects - Qty'!N$5*'Falhas UM-1 - Qty'!$E31/1000000</f>
        <v>73.548378554850004</v>
      </c>
      <c r="O31" s="711">
        <f>'Prod &amp; Defects - Qty'!O$5*'Falhas UM-1 - Qty'!$E31/1000000</f>
        <v>68.160652204049995</v>
      </c>
      <c r="P31" s="711">
        <f>'Prod &amp; Defects - Qty'!P$5*'Falhas UM-1 - Qty'!$E31/1000000</f>
        <v>68.965239236399995</v>
      </c>
      <c r="Q31" s="556">
        <f>'Prod &amp; Defects - Qty'!Q$5*'Falhas UM-1 - Qty'!$E31/1000000</f>
        <v>84.90486809654999</v>
      </c>
      <c r="R31" s="283">
        <f t="shared" si="6"/>
        <v>378.34722651645001</v>
      </c>
      <c r="S31" s="218">
        <f>R31/SUM('Prod &amp; Defects - Qty'!$F$5:$K$5)*1000000</f>
        <v>54.9</v>
      </c>
      <c r="T31" s="218">
        <f t="shared" si="7"/>
        <v>478.94101361955001</v>
      </c>
      <c r="U31" s="218">
        <f>T31/SUM('Prod &amp; Defects - Qty'!$L$5:$Q$5)*1000000</f>
        <v>54.900000000000013</v>
      </c>
      <c r="V31" s="218">
        <f t="shared" si="8"/>
        <v>857.28824013600001</v>
      </c>
      <c r="W31" s="286">
        <f>V31/'Prod &amp; Defects - Qty'!$R$5*1000000</f>
        <v>54.899999999999991</v>
      </c>
      <c r="X31" s="297">
        <f t="shared" si="3"/>
        <v>52</v>
      </c>
      <c r="Y31" s="301">
        <f t="shared" si="4"/>
        <v>52</v>
      </c>
      <c r="Z31" s="283">
        <f t="shared" si="5"/>
        <v>52</v>
      </c>
      <c r="AA31" s="286">
        <f t="shared" si="9"/>
        <v>49.4</v>
      </c>
    </row>
    <row r="32" spans="1:27" ht="18" customHeight="1">
      <c r="A32" s="973"/>
      <c r="B32" s="976"/>
      <c r="C32" s="32">
        <f t="shared" si="12"/>
        <v>1230</v>
      </c>
      <c r="D32" s="33" t="s">
        <v>23</v>
      </c>
      <c r="E32" s="49">
        <f>'[3]Falhas UM-1 - Qty'!AA32</f>
        <v>16.2</v>
      </c>
      <c r="F32" s="711">
        <f>'Prod &amp; Defects - Qty'!F$5*'Falhas UM-1 - Qty'!$E32/1000000</f>
        <v>23.363931640500002</v>
      </c>
      <c r="G32" s="711">
        <f>'Prod &amp; Defects - Qty'!G$5*'Falhas UM-1 - Qty'!$E32/1000000</f>
        <v>12.749385549599999</v>
      </c>
      <c r="H32" s="711">
        <f>'Prod &amp; Defects - Qty'!H$5*'Falhas UM-1 - Qty'!$E32/1000000</f>
        <v>12.6908813151</v>
      </c>
      <c r="I32" s="711">
        <f>'Prod &amp; Defects - Qty'!I$5*'Falhas UM-1 - Qty'!$E32/1000000</f>
        <v>12.825067482450001</v>
      </c>
      <c r="J32" s="711">
        <f>'Prod &amp; Defects - Qty'!J$5*'Falhas UM-1 - Qty'!$E32/1000000</f>
        <v>23.167392325199998</v>
      </c>
      <c r="K32" s="711">
        <f>'Prod &amp; Defects - Qty'!K$5*'Falhas UM-1 - Qty'!$E32/1000000</f>
        <v>26.846785577249996</v>
      </c>
      <c r="L32" s="711">
        <f>'Prod &amp; Defects - Qty'!L$5*'Falhas UM-1 - Qty'!$E32/1000000</f>
        <v>27.0379148661</v>
      </c>
      <c r="M32" s="711">
        <f>'Prod &amp; Defects - Qty'!M$5*'Falhas UM-1 - Qty'!$E32/1000000</f>
        <v>27.068868076499999</v>
      </c>
      <c r="N32" s="711">
        <f>'Prod &amp; Defects - Qty'!N$5*'Falhas UM-1 - Qty'!$E32/1000000</f>
        <v>21.702800229299996</v>
      </c>
      <c r="O32" s="711">
        <f>'Prod &amp; Defects - Qty'!O$5*'Falhas UM-1 - Qty'!$E32/1000000</f>
        <v>20.112979338900001</v>
      </c>
      <c r="P32" s="711">
        <f>'Prod &amp; Defects - Qty'!P$5*'Falhas UM-1 - Qty'!$E32/1000000</f>
        <v>20.350398463199998</v>
      </c>
      <c r="Q32" s="556">
        <f>'Prod &amp; Defects - Qty'!Q$5*'Falhas UM-1 - Qty'!$E32/1000000</f>
        <v>25.053895503899998</v>
      </c>
      <c r="R32" s="283">
        <f t="shared" si="6"/>
        <v>111.6434438901</v>
      </c>
      <c r="S32" s="218">
        <f>R32/SUM('Prod &amp; Defects - Qty'!$F$5:$K$5)*1000000</f>
        <v>16.2</v>
      </c>
      <c r="T32" s="218">
        <f t="shared" si="7"/>
        <v>141.32685647789998</v>
      </c>
      <c r="U32" s="218">
        <f>T32/SUM('Prod &amp; Defects - Qty'!$L$5:$Q$5)*1000000</f>
        <v>16.2</v>
      </c>
      <c r="V32" s="218">
        <f t="shared" si="8"/>
        <v>252.97030036799998</v>
      </c>
      <c r="W32" s="286">
        <f>V32/'Prod &amp; Defects - Qty'!$R$5*1000000</f>
        <v>16.199999999999996</v>
      </c>
      <c r="X32" s="297">
        <f t="shared" si="3"/>
        <v>15</v>
      </c>
      <c r="Y32" s="301">
        <f t="shared" si="4"/>
        <v>15</v>
      </c>
      <c r="Z32" s="283">
        <f t="shared" si="5"/>
        <v>15</v>
      </c>
      <c r="AA32" s="286">
        <f t="shared" si="9"/>
        <v>14.25</v>
      </c>
    </row>
    <row r="33" spans="1:27" ht="18" customHeight="1">
      <c r="A33" s="973"/>
      <c r="B33" s="976"/>
      <c r="C33" s="32">
        <f t="shared" si="12"/>
        <v>1240</v>
      </c>
      <c r="D33" s="33" t="s">
        <v>22</v>
      </c>
      <c r="E33" s="49">
        <f>'[3]Falhas UM-1 - Qty'!AA33</f>
        <v>13.5</v>
      </c>
      <c r="F33" s="711">
        <f>'Prod &amp; Defects - Qty'!F$5*'Falhas UM-1 - Qty'!$E33/1000000</f>
        <v>19.469943033750003</v>
      </c>
      <c r="G33" s="711">
        <f>'Prod &amp; Defects - Qty'!G$5*'Falhas UM-1 - Qty'!$E33/1000000</f>
        <v>10.624487958000001</v>
      </c>
      <c r="H33" s="711">
        <f>'Prod &amp; Defects - Qty'!H$5*'Falhas UM-1 - Qty'!$E33/1000000</f>
        <v>10.57573442925</v>
      </c>
      <c r="I33" s="711">
        <f>'Prod &amp; Defects - Qty'!I$5*'Falhas UM-1 - Qty'!$E33/1000000</f>
        <v>10.687556235375002</v>
      </c>
      <c r="J33" s="711">
        <f>'Prod &amp; Defects - Qty'!J$5*'Falhas UM-1 - Qty'!$E33/1000000</f>
        <v>19.306160271000003</v>
      </c>
      <c r="K33" s="711">
        <f>'Prod &amp; Defects - Qty'!K$5*'Falhas UM-1 - Qty'!$E33/1000000</f>
        <v>22.372321314374997</v>
      </c>
      <c r="L33" s="711">
        <f>'Prod &amp; Defects - Qty'!L$5*'Falhas UM-1 - Qty'!$E33/1000000</f>
        <v>22.531595721749998</v>
      </c>
      <c r="M33" s="711">
        <f>'Prod &amp; Defects - Qty'!M$5*'Falhas UM-1 - Qty'!$E33/1000000</f>
        <v>22.557390063749999</v>
      </c>
      <c r="N33" s="711">
        <f>'Prod &amp; Defects - Qty'!N$5*'Falhas UM-1 - Qty'!$E33/1000000</f>
        <v>18.085666857749999</v>
      </c>
      <c r="O33" s="711">
        <f>'Prod &amp; Defects - Qty'!O$5*'Falhas UM-1 - Qty'!$E33/1000000</f>
        <v>16.76081611575</v>
      </c>
      <c r="P33" s="711">
        <f>'Prod &amp; Defects - Qty'!P$5*'Falhas UM-1 - Qty'!$E33/1000000</f>
        <v>16.958665386</v>
      </c>
      <c r="Q33" s="556">
        <f>'Prod &amp; Defects - Qty'!Q$5*'Falhas UM-1 - Qty'!$E33/1000000</f>
        <v>20.878246253249998</v>
      </c>
      <c r="R33" s="283">
        <f t="shared" si="6"/>
        <v>93.036203241750002</v>
      </c>
      <c r="S33" s="218">
        <f>R33/SUM('Prod &amp; Defects - Qty'!$F$5:$K$5)*1000000</f>
        <v>13.5</v>
      </c>
      <c r="T33" s="218">
        <f t="shared" si="7"/>
        <v>117.77238039825001</v>
      </c>
      <c r="U33" s="218">
        <f>T33/SUM('Prod &amp; Defects - Qty'!$L$5:$Q$5)*1000000</f>
        <v>13.500000000000004</v>
      </c>
      <c r="V33" s="218">
        <f t="shared" si="8"/>
        <v>210.80858363999999</v>
      </c>
      <c r="W33" s="286">
        <f>V33/'Prod &amp; Defects - Qty'!$R$5*1000000</f>
        <v>13.499999999999998</v>
      </c>
      <c r="X33" s="297">
        <f t="shared" si="3"/>
        <v>12</v>
      </c>
      <c r="Y33" s="301">
        <f t="shared" si="4"/>
        <v>12</v>
      </c>
      <c r="Z33" s="283">
        <f t="shared" si="5"/>
        <v>12</v>
      </c>
      <c r="AA33" s="286">
        <f t="shared" si="9"/>
        <v>11.399999999999999</v>
      </c>
    </row>
    <row r="34" spans="1:27" ht="18" customHeight="1">
      <c r="A34" s="973"/>
      <c r="B34" s="976"/>
      <c r="C34" s="37">
        <v>1250</v>
      </c>
      <c r="D34" s="38" t="s">
        <v>116</v>
      </c>
      <c r="E34" s="52">
        <f>'[3]Falhas UM-1 - Qty'!AA34</f>
        <v>47.7</v>
      </c>
      <c r="F34" s="716">
        <f>'Prod &amp; Defects - Qty'!F$5*'Falhas UM-1 - Qty'!$E34/1000000</f>
        <v>68.793798719250006</v>
      </c>
      <c r="G34" s="716">
        <f>'Prod &amp; Defects - Qty'!G$5*'Falhas UM-1 - Qty'!$E34/1000000</f>
        <v>37.5398574516</v>
      </c>
      <c r="H34" s="716">
        <f>'Prod &amp; Defects - Qty'!H$5*'Falhas UM-1 - Qty'!$E34/1000000</f>
        <v>37.36759498335001</v>
      </c>
      <c r="I34" s="716">
        <f>'Prod &amp; Defects - Qty'!I$5*'Falhas UM-1 - Qty'!$E34/1000000</f>
        <v>37.762698698325011</v>
      </c>
      <c r="J34" s="716">
        <f>'Prod &amp; Defects - Qty'!J$5*'Falhas UM-1 - Qty'!$E34/1000000</f>
        <v>68.215099624200008</v>
      </c>
      <c r="K34" s="716">
        <f>'Prod &amp; Defects - Qty'!K$5*'Falhas UM-1 - Qty'!$E34/1000000</f>
        <v>79.048868644124994</v>
      </c>
      <c r="L34" s="716">
        <f>'Prod &amp; Defects - Qty'!L$5*'Falhas UM-1 - Qty'!$E34/1000000</f>
        <v>79.611638216849997</v>
      </c>
      <c r="M34" s="716">
        <f>'Prod &amp; Defects - Qty'!M$5*'Falhas UM-1 - Qty'!$E34/1000000</f>
        <v>79.70277822525</v>
      </c>
      <c r="N34" s="716">
        <f>'Prod &amp; Defects - Qty'!N$5*'Falhas UM-1 - Qty'!$E34/1000000</f>
        <v>63.902689564049993</v>
      </c>
      <c r="O34" s="716">
        <f>'Prod &amp; Defects - Qty'!O$5*'Falhas UM-1 - Qty'!$E34/1000000</f>
        <v>59.221550275650003</v>
      </c>
      <c r="P34" s="716">
        <f>'Prod &amp; Defects - Qty'!P$5*'Falhas UM-1 - Qty'!$E34/1000000</f>
        <v>59.920617697200001</v>
      </c>
      <c r="Q34" s="788">
        <f>'Prod &amp; Defects - Qty'!Q$5*'Falhas UM-1 - Qty'!$E34/1000000</f>
        <v>73.769803428149999</v>
      </c>
      <c r="R34" s="290">
        <f t="shared" si="6"/>
        <v>328.72791812085001</v>
      </c>
      <c r="S34" s="221">
        <f>R34/SUM('Prod &amp; Defects - Qty'!$F$5:$K$5)*1000000</f>
        <v>47.7</v>
      </c>
      <c r="T34" s="221">
        <f t="shared" si="7"/>
        <v>416.12907740715002</v>
      </c>
      <c r="U34" s="221">
        <f>T34/SUM('Prod &amp; Defects - Qty'!$L$5:$Q$5)*1000000</f>
        <v>47.700000000000017</v>
      </c>
      <c r="V34" s="221">
        <f t="shared" si="8"/>
        <v>744.85699552799997</v>
      </c>
      <c r="W34" s="291">
        <f>V34/'Prod &amp; Defects - Qty'!$R$5*1000000</f>
        <v>47.699999999999996</v>
      </c>
      <c r="X34" s="306">
        <f t="shared" si="3"/>
        <v>45</v>
      </c>
      <c r="Y34" s="307">
        <f t="shared" si="4"/>
        <v>45</v>
      </c>
      <c r="Z34" s="290">
        <f t="shared" si="5"/>
        <v>45</v>
      </c>
      <c r="AA34" s="291">
        <f t="shared" si="9"/>
        <v>42.75</v>
      </c>
    </row>
    <row r="35" spans="1:27" ht="18" customHeight="1" thickBot="1">
      <c r="A35" s="974"/>
      <c r="B35" s="977"/>
      <c r="C35" s="39">
        <v>1260</v>
      </c>
      <c r="D35" s="40" t="s">
        <v>124</v>
      </c>
      <c r="E35" s="53">
        <f>'[3]Falhas UM-1 - Qty'!AA35</f>
        <v>0</v>
      </c>
      <c r="F35" s="717">
        <f>'Prod &amp; Defects - Qty'!F$5*'Falhas UM-1 - Qty'!$E35/1000000</f>
        <v>0</v>
      </c>
      <c r="G35" s="717">
        <f>'Prod &amp; Defects - Qty'!G$5*'Falhas UM-1 - Qty'!$E35/1000000</f>
        <v>0</v>
      </c>
      <c r="H35" s="717">
        <f>'Prod &amp; Defects - Qty'!H$5*'Falhas UM-1 - Qty'!$E35/1000000</f>
        <v>0</v>
      </c>
      <c r="I35" s="717">
        <f>'Prod &amp; Defects - Qty'!I$5*'Falhas UM-1 - Qty'!$E35/1000000</f>
        <v>0</v>
      </c>
      <c r="J35" s="717">
        <f>'Prod &amp; Defects - Qty'!J$5*'Falhas UM-1 - Qty'!$E35/1000000</f>
        <v>0</v>
      </c>
      <c r="K35" s="717">
        <f>'Prod &amp; Defects - Qty'!K$5*'Falhas UM-1 - Qty'!$E35/1000000</f>
        <v>0</v>
      </c>
      <c r="L35" s="717">
        <f>'Prod &amp; Defects - Qty'!L$5*'Falhas UM-1 - Qty'!$E35/1000000</f>
        <v>0</v>
      </c>
      <c r="M35" s="717">
        <f>'Prod &amp; Defects - Qty'!M$5*'Falhas UM-1 - Qty'!$E35/1000000</f>
        <v>0</v>
      </c>
      <c r="N35" s="717">
        <f>'Prod &amp; Defects - Qty'!N$5*'Falhas UM-1 - Qty'!$E35/1000000</f>
        <v>0</v>
      </c>
      <c r="O35" s="717">
        <f>'Prod &amp; Defects - Qty'!O$5*'Falhas UM-1 - Qty'!$E35/1000000</f>
        <v>0</v>
      </c>
      <c r="P35" s="717">
        <f>'Prod &amp; Defects - Qty'!P$5*'Falhas UM-1 - Qty'!$E35/1000000</f>
        <v>0</v>
      </c>
      <c r="Q35" s="558">
        <f>'Prod &amp; Defects - Qty'!Q$5*'Falhas UM-1 - Qty'!$E35/1000000</f>
        <v>0</v>
      </c>
      <c r="R35" s="292">
        <f t="shared" si="6"/>
        <v>0</v>
      </c>
      <c r="S35" s="222">
        <f>R35/SUM('Prod &amp; Defects - Qty'!$F$5:$K$5)*1000000</f>
        <v>0</v>
      </c>
      <c r="T35" s="222">
        <f t="shared" si="7"/>
        <v>0</v>
      </c>
      <c r="U35" s="222">
        <f>T35/SUM('Prod &amp; Defects - Qty'!$L$5:$Q$5)*1000000</f>
        <v>0</v>
      </c>
      <c r="V35" s="222">
        <f t="shared" si="8"/>
        <v>0</v>
      </c>
      <c r="W35" s="293">
        <f>V35/'Prod &amp; Defects - Qty'!$R$5*1000000</f>
        <v>0</v>
      </c>
      <c r="X35" s="308">
        <f t="shared" si="3"/>
        <v>0</v>
      </c>
      <c r="Y35" s="309">
        <f t="shared" si="4"/>
        <v>0</v>
      </c>
      <c r="Z35" s="292">
        <f t="shared" si="5"/>
        <v>0</v>
      </c>
      <c r="AA35" s="293">
        <f t="shared" si="9"/>
        <v>0</v>
      </c>
    </row>
    <row r="36" spans="1:27" ht="18" customHeight="1" thickTop="1" thickBot="1">
      <c r="A36" s="988" t="s">
        <v>21</v>
      </c>
      <c r="B36" s="990" t="s">
        <v>20</v>
      </c>
      <c r="C36" s="41"/>
      <c r="D36" s="42" t="s">
        <v>1</v>
      </c>
      <c r="E36" s="50">
        <f>'[3]Falhas UM-1 - Qty'!AA36</f>
        <v>380.7</v>
      </c>
      <c r="F36" s="713">
        <f>SUBTOTAL(109,F23:F35)</f>
        <v>549.05239355175013</v>
      </c>
      <c r="G36" s="713">
        <f t="shared" ref="G36:Q36" si="13">SUBTOTAL(109,G23:G35)</f>
        <v>299.61056041559993</v>
      </c>
      <c r="H36" s="713">
        <f t="shared" si="13"/>
        <v>298.23571090485001</v>
      </c>
      <c r="I36" s="713">
        <f t="shared" si="13"/>
        <v>301.38908583757507</v>
      </c>
      <c r="J36" s="713">
        <f t="shared" si="13"/>
        <v>544.43371964220012</v>
      </c>
      <c r="K36" s="713">
        <f t="shared" si="13"/>
        <v>630.89946106537502</v>
      </c>
      <c r="L36" s="713">
        <f t="shared" si="13"/>
        <v>635.39099935335003</v>
      </c>
      <c r="M36" s="713">
        <f t="shared" si="13"/>
        <v>636.11839979774993</v>
      </c>
      <c r="N36" s="713">
        <f t="shared" si="13"/>
        <v>510.01580538855001</v>
      </c>
      <c r="O36" s="713">
        <f t="shared" si="13"/>
        <v>472.65501446414999</v>
      </c>
      <c r="P36" s="713">
        <f t="shared" si="13"/>
        <v>478.23436388520003</v>
      </c>
      <c r="Q36" s="786">
        <f t="shared" si="13"/>
        <v>588.76654434165005</v>
      </c>
      <c r="R36" s="168">
        <f>SUBTOTAL(109,R23:R35)</f>
        <v>2623.6209314173507</v>
      </c>
      <c r="S36" s="169">
        <f>R36/SUM('Prod &amp; Defects - Qty'!$F$5:$K$5)*1000000</f>
        <v>380.7000000000001</v>
      </c>
      <c r="T36" s="169">
        <f>SUBTOTAL(109,T23:T35)</f>
        <v>3321.18112723065</v>
      </c>
      <c r="U36" s="169">
        <f>T36/SUM('Prod &amp; Defects - Qty'!$L$5:$Q$5)*1000000</f>
        <v>380.7000000000001</v>
      </c>
      <c r="V36" s="169">
        <f>SUBTOTAL(109,V23:V35)</f>
        <v>5944.8020586479997</v>
      </c>
      <c r="W36" s="170">
        <f>V36/'Prod &amp; Defects - Qty'!$R$5*1000000</f>
        <v>380.69999999999993</v>
      </c>
      <c r="X36" s="299">
        <f t="shared" si="3"/>
        <v>361</v>
      </c>
      <c r="Y36" s="310">
        <f t="shared" si="4"/>
        <v>361</v>
      </c>
      <c r="Z36" s="168">
        <f t="shared" si="5"/>
        <v>361</v>
      </c>
      <c r="AA36" s="170">
        <f>SUM(AA23:AA35)</f>
        <v>338.2</v>
      </c>
    </row>
    <row r="37" spans="1:27" ht="18" customHeight="1" thickTop="1">
      <c r="A37" s="988"/>
      <c r="B37" s="968"/>
      <c r="C37" s="43">
        <v>1280</v>
      </c>
      <c r="D37" s="44" t="s">
        <v>19</v>
      </c>
      <c r="E37" s="49">
        <f>'[3]Falhas UM-1 - Qty'!AA37</f>
        <v>6.3</v>
      </c>
      <c r="F37" s="711">
        <f>'Prod &amp; Defects - Qty'!F$5*'Falhas UM-1 - Qty'!$E37/1000000</f>
        <v>9.0859734157500007</v>
      </c>
      <c r="G37" s="711">
        <f>'Prod &amp; Defects - Qty'!G$5*'Falhas UM-1 - Qty'!$E37/1000000</f>
        <v>4.9580943804000004</v>
      </c>
      <c r="H37" s="711">
        <f>'Prod &amp; Defects - Qty'!H$5*'Falhas UM-1 - Qty'!$E37/1000000</f>
        <v>4.9353427336499998</v>
      </c>
      <c r="I37" s="711">
        <f>'Prod &amp; Defects - Qty'!I$5*'Falhas UM-1 - Qty'!$E37/1000000</f>
        <v>4.9875262431750009</v>
      </c>
      <c r="J37" s="711">
        <f>'Prod &amp; Defects - Qty'!J$5*'Falhas UM-1 - Qty'!$E37/1000000</f>
        <v>9.0095414597999994</v>
      </c>
      <c r="K37" s="711">
        <f>'Prod &amp; Defects - Qty'!K$5*'Falhas UM-1 - Qty'!$E37/1000000</f>
        <v>10.440416613375</v>
      </c>
      <c r="L37" s="711">
        <f>'Prod &amp; Defects - Qty'!L$5*'Falhas UM-1 - Qty'!$E37/1000000</f>
        <v>10.514744670149998</v>
      </c>
      <c r="M37" s="711">
        <f>'Prod &amp; Defects - Qty'!M$5*'Falhas UM-1 - Qty'!$E37/1000000</f>
        <v>10.526782029749999</v>
      </c>
      <c r="N37" s="711">
        <f>'Prod &amp; Defects - Qty'!N$5*'Falhas UM-1 - Qty'!$E37/1000000</f>
        <v>8.4399778669500005</v>
      </c>
      <c r="O37" s="711">
        <f>'Prod &amp; Defects - Qty'!O$5*'Falhas UM-1 - Qty'!$E37/1000000</f>
        <v>7.8217141873499996</v>
      </c>
      <c r="P37" s="711">
        <f>'Prod &amp; Defects - Qty'!P$5*'Falhas UM-1 - Qty'!$E37/1000000</f>
        <v>7.9140438467999994</v>
      </c>
      <c r="Q37" s="556">
        <f>'Prod &amp; Defects - Qty'!Q$5*'Falhas UM-1 - Qty'!$E37/1000000</f>
        <v>9.7431815848499976</v>
      </c>
      <c r="R37" s="294">
        <f t="shared" si="6"/>
        <v>43.416894846150001</v>
      </c>
      <c r="S37" s="223">
        <f>R37/SUM('Prod &amp; Defects - Qty'!$F$5:$K$5)*1000000</f>
        <v>6.3</v>
      </c>
      <c r="T37" s="223">
        <f t="shared" si="7"/>
        <v>54.960444185849994</v>
      </c>
      <c r="U37" s="223">
        <f>T37/SUM('Prod &amp; Defects - Qty'!$L$5:$Q$5)*1000000</f>
        <v>6.3000000000000007</v>
      </c>
      <c r="V37" s="223">
        <f t="shared" si="8"/>
        <v>98.377339031999995</v>
      </c>
      <c r="W37" s="286">
        <f>V37/'Prod &amp; Defects - Qty'!$R$5*1000000</f>
        <v>6.2999999999999989</v>
      </c>
      <c r="X37" s="311">
        <f t="shared" si="3"/>
        <v>5</v>
      </c>
      <c r="Y37" s="301">
        <f t="shared" si="4"/>
        <v>5</v>
      </c>
      <c r="Z37" s="294">
        <f t="shared" si="5"/>
        <v>5</v>
      </c>
      <c r="AA37" s="286">
        <f t="shared" si="9"/>
        <v>4.75</v>
      </c>
    </row>
    <row r="38" spans="1:27" ht="18" customHeight="1">
      <c r="A38" s="988"/>
      <c r="B38" s="968"/>
      <c r="C38" s="43">
        <f>C37+10</f>
        <v>1290</v>
      </c>
      <c r="D38" s="44" t="s">
        <v>18</v>
      </c>
      <c r="E38" s="49">
        <f>'[3]Falhas UM-1 - Qty'!AA38</f>
        <v>2.7</v>
      </c>
      <c r="F38" s="711">
        <f>'Prod &amp; Defects - Qty'!F$5*'Falhas UM-1 - Qty'!$E38/1000000</f>
        <v>3.8939886067500007</v>
      </c>
      <c r="G38" s="711">
        <f>'Prod &amp; Defects - Qty'!G$5*'Falhas UM-1 - Qty'!$E38/1000000</f>
        <v>2.1248975915999999</v>
      </c>
      <c r="H38" s="711">
        <f>'Prod &amp; Defects - Qty'!H$5*'Falhas UM-1 - Qty'!$E38/1000000</f>
        <v>2.1151468858500002</v>
      </c>
      <c r="I38" s="711">
        <f>'Prod &amp; Defects - Qty'!I$5*'Falhas UM-1 - Qty'!$E38/1000000</f>
        <v>2.1375112470750004</v>
      </c>
      <c r="J38" s="711">
        <f>'Prod &amp; Defects - Qty'!J$5*'Falhas UM-1 - Qty'!$E38/1000000</f>
        <v>3.8612320542000003</v>
      </c>
      <c r="K38" s="711">
        <f>'Prod &amp; Defects - Qty'!K$5*'Falhas UM-1 - Qty'!$E38/1000000</f>
        <v>4.4744642628750002</v>
      </c>
      <c r="L38" s="711">
        <f>'Prod &amp; Defects - Qty'!L$5*'Falhas UM-1 - Qty'!$E38/1000000</f>
        <v>4.5063191443499999</v>
      </c>
      <c r="M38" s="711">
        <f>'Prod &amp; Defects - Qty'!M$5*'Falhas UM-1 - Qty'!$E38/1000000</f>
        <v>4.5114780127499996</v>
      </c>
      <c r="N38" s="711">
        <f>'Prod &amp; Defects - Qty'!N$5*'Falhas UM-1 - Qty'!$E38/1000000</f>
        <v>3.6171333715499996</v>
      </c>
      <c r="O38" s="711">
        <f>'Prod &amp; Defects - Qty'!O$5*'Falhas UM-1 - Qty'!$E38/1000000</f>
        <v>3.3521632231499998</v>
      </c>
      <c r="P38" s="711">
        <f>'Prod &amp; Defects - Qty'!P$5*'Falhas UM-1 - Qty'!$E38/1000000</f>
        <v>3.3917330772000001</v>
      </c>
      <c r="Q38" s="556">
        <f>'Prod &amp; Defects - Qty'!Q$5*'Falhas UM-1 - Qty'!$E38/1000000</f>
        <v>4.1756492506500003</v>
      </c>
      <c r="R38" s="294">
        <f t="shared" si="6"/>
        <v>18.60724064835</v>
      </c>
      <c r="S38" s="223">
        <f>R38/SUM('Prod &amp; Defects - Qty'!$F$5:$K$5)*1000000</f>
        <v>2.7</v>
      </c>
      <c r="T38" s="223">
        <f t="shared" si="7"/>
        <v>23.554476079650001</v>
      </c>
      <c r="U38" s="223">
        <f>T38/SUM('Prod &amp; Defects - Qty'!$L$5:$Q$5)*1000000</f>
        <v>2.7000000000000006</v>
      </c>
      <c r="V38" s="223">
        <f t="shared" si="8"/>
        <v>42.161716728000002</v>
      </c>
      <c r="W38" s="286">
        <f>V38/'Prod &amp; Defects - Qty'!$R$5*1000000</f>
        <v>2.6999999999999997</v>
      </c>
      <c r="X38" s="311">
        <f t="shared" ref="X38:X61" si="14">INT(W38*Redutor)</f>
        <v>2</v>
      </c>
      <c r="Y38" s="301">
        <f t="shared" ref="Y38:Y61" si="15">INT(W38*Redutor)</f>
        <v>2</v>
      </c>
      <c r="Z38" s="294">
        <f t="shared" ref="Z38:Z61" si="16">(X38+Y38)/2</f>
        <v>2</v>
      </c>
      <c r="AA38" s="286">
        <f t="shared" si="9"/>
        <v>1.9</v>
      </c>
    </row>
    <row r="39" spans="1:27" ht="18" customHeight="1">
      <c r="A39" s="988"/>
      <c r="B39" s="968"/>
      <c r="C39" s="43">
        <f t="shared" ref="C39:C56" si="17">C38+10</f>
        <v>1300</v>
      </c>
      <c r="D39" s="44" t="s">
        <v>17</v>
      </c>
      <c r="E39" s="49">
        <f>'[3]Falhas UM-1 - Qty'!AA39</f>
        <v>1.8</v>
      </c>
      <c r="F39" s="711">
        <f>'Prod &amp; Defects - Qty'!F$5*'Falhas UM-1 - Qty'!$E39/1000000</f>
        <v>2.5959924045</v>
      </c>
      <c r="G39" s="711">
        <f>'Prod &amp; Defects - Qty'!G$5*'Falhas UM-1 - Qty'!$E39/1000000</f>
        <v>1.4165983944</v>
      </c>
      <c r="H39" s="711">
        <f>'Prod &amp; Defects - Qty'!H$5*'Falhas UM-1 - Qty'!$E39/1000000</f>
        <v>1.4100979239</v>
      </c>
      <c r="I39" s="711">
        <f>'Prod &amp; Defects - Qty'!I$5*'Falhas UM-1 - Qty'!$E39/1000000</f>
        <v>1.4250074980500003</v>
      </c>
      <c r="J39" s="711">
        <f>'Prod &amp; Defects - Qty'!J$5*'Falhas UM-1 - Qty'!$E39/1000000</f>
        <v>2.5741547028</v>
      </c>
      <c r="K39" s="711">
        <f>'Prod &amp; Defects - Qty'!K$5*'Falhas UM-1 - Qty'!$E39/1000000</f>
        <v>2.9829761752499997</v>
      </c>
      <c r="L39" s="711">
        <f>'Prod &amp; Defects - Qty'!L$5*'Falhas UM-1 - Qty'!$E39/1000000</f>
        <v>3.0042127628999999</v>
      </c>
      <c r="M39" s="711">
        <f>'Prod &amp; Defects - Qty'!M$5*'Falhas UM-1 - Qty'!$E39/1000000</f>
        <v>3.0076520085</v>
      </c>
      <c r="N39" s="711">
        <f>'Prod &amp; Defects - Qty'!N$5*'Falhas UM-1 - Qty'!$E39/1000000</f>
        <v>2.4114222476999996</v>
      </c>
      <c r="O39" s="711">
        <f>'Prod &amp; Defects - Qty'!O$5*'Falhas UM-1 - Qty'!$E39/1000000</f>
        <v>2.2347754821000003</v>
      </c>
      <c r="P39" s="711">
        <f>'Prod &amp; Defects - Qty'!P$5*'Falhas UM-1 - Qty'!$E39/1000000</f>
        <v>2.2611553848000003</v>
      </c>
      <c r="Q39" s="556">
        <f>'Prod &amp; Defects - Qty'!Q$5*'Falhas UM-1 - Qty'!$E39/1000000</f>
        <v>2.7837661670999996</v>
      </c>
      <c r="R39" s="294">
        <f t="shared" si="6"/>
        <v>12.4048270989</v>
      </c>
      <c r="S39" s="223">
        <f>R39/SUM('Prod &amp; Defects - Qty'!$F$5:$K$5)*1000000</f>
        <v>1.7999999999999998</v>
      </c>
      <c r="T39" s="223">
        <f t="shared" si="7"/>
        <v>15.7029840531</v>
      </c>
      <c r="U39" s="223">
        <f>T39/SUM('Prod &amp; Defects - Qty'!$L$5:$Q$5)*1000000</f>
        <v>1.8000000000000003</v>
      </c>
      <c r="V39" s="223">
        <f t="shared" si="8"/>
        <v>28.107811152</v>
      </c>
      <c r="W39" s="286">
        <f>V39/'Prod &amp; Defects - Qty'!$R$5*1000000</f>
        <v>1.7999999999999996</v>
      </c>
      <c r="X39" s="311">
        <f t="shared" si="14"/>
        <v>1</v>
      </c>
      <c r="Y39" s="301">
        <f t="shared" si="15"/>
        <v>1</v>
      </c>
      <c r="Z39" s="294">
        <f t="shared" si="16"/>
        <v>1</v>
      </c>
      <c r="AA39" s="286">
        <f t="shared" si="9"/>
        <v>0.95</v>
      </c>
    </row>
    <row r="40" spans="1:27" ht="18" customHeight="1">
      <c r="A40" s="988"/>
      <c r="B40" s="968"/>
      <c r="C40" s="43">
        <f t="shared" si="17"/>
        <v>1310</v>
      </c>
      <c r="D40" s="44" t="s">
        <v>16</v>
      </c>
      <c r="E40" s="49">
        <f>'[3]Falhas UM-1 - Qty'!AA40</f>
        <v>1.8</v>
      </c>
      <c r="F40" s="711">
        <f>'Prod &amp; Defects - Qty'!F$5*'Falhas UM-1 - Qty'!$E40/1000000</f>
        <v>2.5959924045</v>
      </c>
      <c r="G40" s="711">
        <f>'Prod &amp; Defects - Qty'!G$5*'Falhas UM-1 - Qty'!$E40/1000000</f>
        <v>1.4165983944</v>
      </c>
      <c r="H40" s="711">
        <f>'Prod &amp; Defects - Qty'!H$5*'Falhas UM-1 - Qty'!$E40/1000000</f>
        <v>1.4100979239</v>
      </c>
      <c r="I40" s="711">
        <f>'Prod &amp; Defects - Qty'!I$5*'Falhas UM-1 - Qty'!$E40/1000000</f>
        <v>1.4250074980500003</v>
      </c>
      <c r="J40" s="711">
        <f>'Prod &amp; Defects - Qty'!J$5*'Falhas UM-1 - Qty'!$E40/1000000</f>
        <v>2.5741547028</v>
      </c>
      <c r="K40" s="711">
        <f>'Prod &amp; Defects - Qty'!K$5*'Falhas UM-1 - Qty'!$E40/1000000</f>
        <v>2.9829761752499997</v>
      </c>
      <c r="L40" s="711">
        <f>'Prod &amp; Defects - Qty'!L$5*'Falhas UM-1 - Qty'!$E40/1000000</f>
        <v>3.0042127628999999</v>
      </c>
      <c r="M40" s="711">
        <f>'Prod &amp; Defects - Qty'!M$5*'Falhas UM-1 - Qty'!$E40/1000000</f>
        <v>3.0076520085</v>
      </c>
      <c r="N40" s="711">
        <f>'Prod &amp; Defects - Qty'!N$5*'Falhas UM-1 - Qty'!$E40/1000000</f>
        <v>2.4114222476999996</v>
      </c>
      <c r="O40" s="711">
        <f>'Prod &amp; Defects - Qty'!O$5*'Falhas UM-1 - Qty'!$E40/1000000</f>
        <v>2.2347754821000003</v>
      </c>
      <c r="P40" s="711">
        <f>'Prod &amp; Defects - Qty'!P$5*'Falhas UM-1 - Qty'!$E40/1000000</f>
        <v>2.2611553848000003</v>
      </c>
      <c r="Q40" s="556">
        <f>'Prod &amp; Defects - Qty'!Q$5*'Falhas UM-1 - Qty'!$E40/1000000</f>
        <v>2.7837661670999996</v>
      </c>
      <c r="R40" s="294">
        <f t="shared" si="6"/>
        <v>12.4048270989</v>
      </c>
      <c r="S40" s="223">
        <f>R40/SUM('Prod &amp; Defects - Qty'!$F$5:$K$5)*1000000</f>
        <v>1.7999999999999998</v>
      </c>
      <c r="T40" s="223">
        <f t="shared" si="7"/>
        <v>15.7029840531</v>
      </c>
      <c r="U40" s="223">
        <f>T40/SUM('Prod &amp; Defects - Qty'!$L$5:$Q$5)*1000000</f>
        <v>1.8000000000000003</v>
      </c>
      <c r="V40" s="223">
        <f t="shared" si="8"/>
        <v>28.107811152</v>
      </c>
      <c r="W40" s="286">
        <f>V40/'Prod &amp; Defects - Qty'!$R$5*1000000</f>
        <v>1.7999999999999996</v>
      </c>
      <c r="X40" s="311">
        <f t="shared" si="14"/>
        <v>1</v>
      </c>
      <c r="Y40" s="301">
        <f t="shared" si="15"/>
        <v>1</v>
      </c>
      <c r="Z40" s="294">
        <f t="shared" si="16"/>
        <v>1</v>
      </c>
      <c r="AA40" s="286">
        <f t="shared" si="9"/>
        <v>0.95</v>
      </c>
    </row>
    <row r="41" spans="1:27" ht="18" customHeight="1">
      <c r="A41" s="988"/>
      <c r="B41" s="968"/>
      <c r="C41" s="43">
        <f t="shared" si="17"/>
        <v>1320</v>
      </c>
      <c r="D41" s="44" t="s">
        <v>15</v>
      </c>
      <c r="E41" s="49">
        <f>'[3]Falhas UM-1 - Qty'!AA41</f>
        <v>17.100000000000001</v>
      </c>
      <c r="F41" s="711">
        <f>'Prod &amp; Defects - Qty'!F$5*'Falhas UM-1 - Qty'!$E41/1000000</f>
        <v>24.661927842750007</v>
      </c>
      <c r="G41" s="711">
        <f>'Prod &amp; Defects - Qty'!G$5*'Falhas UM-1 - Qty'!$E41/1000000</f>
        <v>13.457684746800002</v>
      </c>
      <c r="H41" s="711">
        <f>'Prod &amp; Defects - Qty'!H$5*'Falhas UM-1 - Qty'!$E41/1000000</f>
        <v>13.395930277050002</v>
      </c>
      <c r="I41" s="711">
        <f>'Prod &amp; Defects - Qty'!I$5*'Falhas UM-1 - Qty'!$E41/1000000</f>
        <v>13.537571231475003</v>
      </c>
      <c r="J41" s="711">
        <f>'Prod &amp; Defects - Qty'!J$5*'Falhas UM-1 - Qty'!$E41/1000000</f>
        <v>24.454469676600002</v>
      </c>
      <c r="K41" s="711">
        <f>'Prod &amp; Defects - Qty'!K$5*'Falhas UM-1 - Qty'!$E41/1000000</f>
        <v>28.338273664875</v>
      </c>
      <c r="L41" s="711">
        <f>'Prod &amp; Defects - Qty'!L$5*'Falhas UM-1 - Qty'!$E41/1000000</f>
        <v>28.540021247550001</v>
      </c>
      <c r="M41" s="711">
        <f>'Prod &amp; Defects - Qty'!M$5*'Falhas UM-1 - Qty'!$E41/1000000</f>
        <v>28.572694080750004</v>
      </c>
      <c r="N41" s="711">
        <f>'Prod &amp; Defects - Qty'!N$5*'Falhas UM-1 - Qty'!$E41/1000000</f>
        <v>22.908511353150001</v>
      </c>
      <c r="O41" s="711">
        <f>'Prod &amp; Defects - Qty'!O$5*'Falhas UM-1 - Qty'!$E41/1000000</f>
        <v>21.23036707995</v>
      </c>
      <c r="P41" s="711">
        <f>'Prod &amp; Defects - Qty'!P$5*'Falhas UM-1 - Qty'!$E41/1000000</f>
        <v>21.480976155600001</v>
      </c>
      <c r="Q41" s="556">
        <f>'Prod &amp; Defects - Qty'!Q$5*'Falhas UM-1 - Qty'!$E41/1000000</f>
        <v>26.44577858745</v>
      </c>
      <c r="R41" s="294">
        <f t="shared" si="6"/>
        <v>117.84585743955002</v>
      </c>
      <c r="S41" s="223">
        <f>R41/SUM('Prod &amp; Defects - Qty'!$F$5:$K$5)*1000000</f>
        <v>17.100000000000001</v>
      </c>
      <c r="T41" s="223">
        <f t="shared" si="7"/>
        <v>149.17834850445001</v>
      </c>
      <c r="U41" s="223">
        <f>T41/SUM('Prod &amp; Defects - Qty'!$L$5:$Q$5)*1000000</f>
        <v>17.100000000000005</v>
      </c>
      <c r="V41" s="223">
        <f t="shared" si="8"/>
        <v>267.02420594400002</v>
      </c>
      <c r="W41" s="286">
        <f>V41/'Prod &amp; Defects - Qty'!$R$5*1000000</f>
        <v>17.099999999999998</v>
      </c>
      <c r="X41" s="311">
        <f t="shared" si="14"/>
        <v>16</v>
      </c>
      <c r="Y41" s="301">
        <f t="shared" si="15"/>
        <v>16</v>
      </c>
      <c r="Z41" s="294">
        <f t="shared" si="16"/>
        <v>16</v>
      </c>
      <c r="AA41" s="286">
        <f t="shared" si="9"/>
        <v>15.2</v>
      </c>
    </row>
    <row r="42" spans="1:27" ht="18" customHeight="1">
      <c r="A42" s="988"/>
      <c r="B42" s="968"/>
      <c r="C42" s="43">
        <f t="shared" si="17"/>
        <v>1330</v>
      </c>
      <c r="D42" s="44" t="s">
        <v>14</v>
      </c>
      <c r="E42" s="49">
        <f>'[3]Falhas UM-1 - Qty'!AA42</f>
        <v>14.4</v>
      </c>
      <c r="F42" s="711">
        <f>'Prod &amp; Defects - Qty'!F$5*'Falhas UM-1 - Qty'!$E42/1000000</f>
        <v>20.767939236</v>
      </c>
      <c r="G42" s="711">
        <f>'Prod &amp; Defects - Qty'!G$5*'Falhas UM-1 - Qty'!$E42/1000000</f>
        <v>11.3327871552</v>
      </c>
      <c r="H42" s="711">
        <f>'Prod &amp; Defects - Qty'!H$5*'Falhas UM-1 - Qty'!$E42/1000000</f>
        <v>11.2807833912</v>
      </c>
      <c r="I42" s="711">
        <f>'Prod &amp; Defects - Qty'!I$5*'Falhas UM-1 - Qty'!$E42/1000000</f>
        <v>11.400059984400002</v>
      </c>
      <c r="J42" s="711">
        <f>'Prod &amp; Defects - Qty'!J$5*'Falhas UM-1 - Qty'!$E42/1000000</f>
        <v>20.5932376224</v>
      </c>
      <c r="K42" s="711">
        <f>'Prod &amp; Defects - Qty'!K$5*'Falhas UM-1 - Qty'!$E42/1000000</f>
        <v>23.863809401999998</v>
      </c>
      <c r="L42" s="711">
        <f>'Prod &amp; Defects - Qty'!L$5*'Falhas UM-1 - Qty'!$E42/1000000</f>
        <v>24.0337021032</v>
      </c>
      <c r="M42" s="711">
        <f>'Prod &amp; Defects - Qty'!M$5*'Falhas UM-1 - Qty'!$E42/1000000</f>
        <v>24.061216068</v>
      </c>
      <c r="N42" s="711">
        <f>'Prod &amp; Defects - Qty'!N$5*'Falhas UM-1 - Qty'!$E42/1000000</f>
        <v>19.291377981599997</v>
      </c>
      <c r="O42" s="711">
        <f>'Prod &amp; Defects - Qty'!O$5*'Falhas UM-1 - Qty'!$E42/1000000</f>
        <v>17.878203856800003</v>
      </c>
      <c r="P42" s="711">
        <f>'Prod &amp; Defects - Qty'!P$5*'Falhas UM-1 - Qty'!$E42/1000000</f>
        <v>18.089243078400003</v>
      </c>
      <c r="Q42" s="556">
        <f>'Prod &amp; Defects - Qty'!Q$5*'Falhas UM-1 - Qty'!$E42/1000000</f>
        <v>22.270129336799997</v>
      </c>
      <c r="R42" s="294">
        <f t="shared" si="6"/>
        <v>99.238616791200002</v>
      </c>
      <c r="S42" s="223">
        <f>R42/SUM('Prod &amp; Defects - Qty'!$F$5:$K$5)*1000000</f>
        <v>14.399999999999999</v>
      </c>
      <c r="T42" s="223">
        <f t="shared" si="7"/>
        <v>125.6238724248</v>
      </c>
      <c r="U42" s="223">
        <f>T42/SUM('Prod &amp; Defects - Qty'!$L$5:$Q$5)*1000000</f>
        <v>14.400000000000002</v>
      </c>
      <c r="V42" s="223">
        <f t="shared" si="8"/>
        <v>224.862489216</v>
      </c>
      <c r="W42" s="286">
        <f>V42/'Prod &amp; Defects - Qty'!$R$5*1000000</f>
        <v>14.399999999999997</v>
      </c>
      <c r="X42" s="311">
        <f t="shared" si="14"/>
        <v>13</v>
      </c>
      <c r="Y42" s="301">
        <f t="shared" si="15"/>
        <v>13</v>
      </c>
      <c r="Z42" s="294">
        <f t="shared" si="16"/>
        <v>13</v>
      </c>
      <c r="AA42" s="286">
        <f t="shared" si="9"/>
        <v>12.35</v>
      </c>
    </row>
    <row r="43" spans="1:27" ht="18" customHeight="1">
      <c r="A43" s="988"/>
      <c r="B43" s="968"/>
      <c r="C43" s="43">
        <f t="shared" si="17"/>
        <v>1340</v>
      </c>
      <c r="D43" s="44" t="s">
        <v>121</v>
      </c>
      <c r="E43" s="49">
        <f>'[3]Falhas UM-1 - Qty'!AA43</f>
        <v>10.8</v>
      </c>
      <c r="F43" s="711">
        <f>'Prod &amp; Defects - Qty'!F$5*'Falhas UM-1 - Qty'!$E43/1000000</f>
        <v>15.575954427000003</v>
      </c>
      <c r="G43" s="711">
        <f>'Prod &amp; Defects - Qty'!G$5*'Falhas UM-1 - Qty'!$E43/1000000</f>
        <v>8.4995903663999997</v>
      </c>
      <c r="H43" s="711">
        <f>'Prod &amp; Defects - Qty'!H$5*'Falhas UM-1 - Qty'!$E43/1000000</f>
        <v>8.4605875434000009</v>
      </c>
      <c r="I43" s="711">
        <f>'Prod &amp; Defects - Qty'!I$5*'Falhas UM-1 - Qty'!$E43/1000000</f>
        <v>8.5500449883000016</v>
      </c>
      <c r="J43" s="711">
        <f>'Prod &amp; Defects - Qty'!J$5*'Falhas UM-1 - Qty'!$E43/1000000</f>
        <v>15.444928216800001</v>
      </c>
      <c r="K43" s="711">
        <f>'Prod &amp; Defects - Qty'!K$5*'Falhas UM-1 - Qty'!$E43/1000000</f>
        <v>17.897857051500001</v>
      </c>
      <c r="L43" s="711">
        <f>'Prod &amp; Defects - Qty'!L$5*'Falhas UM-1 - Qty'!$E43/1000000</f>
        <v>18.0252765774</v>
      </c>
      <c r="M43" s="711">
        <f>'Prod &amp; Defects - Qty'!M$5*'Falhas UM-1 - Qty'!$E43/1000000</f>
        <v>18.045912050999998</v>
      </c>
      <c r="N43" s="711">
        <f>'Prod &amp; Defects - Qty'!N$5*'Falhas UM-1 - Qty'!$E43/1000000</f>
        <v>14.468533486199998</v>
      </c>
      <c r="O43" s="711">
        <f>'Prod &amp; Defects - Qty'!O$5*'Falhas UM-1 - Qty'!$E43/1000000</f>
        <v>13.408652892599999</v>
      </c>
      <c r="P43" s="711">
        <f>'Prod &amp; Defects - Qty'!P$5*'Falhas UM-1 - Qty'!$E43/1000000</f>
        <v>13.5669323088</v>
      </c>
      <c r="Q43" s="556">
        <f>'Prod &amp; Defects - Qty'!Q$5*'Falhas UM-1 - Qty'!$E43/1000000</f>
        <v>16.702597002600001</v>
      </c>
      <c r="R43" s="294">
        <f t="shared" si="6"/>
        <v>74.428962593400001</v>
      </c>
      <c r="S43" s="223">
        <f>R43/SUM('Prod &amp; Defects - Qty'!$F$5:$K$5)*1000000</f>
        <v>10.8</v>
      </c>
      <c r="T43" s="223">
        <f t="shared" si="7"/>
        <v>94.217904318600006</v>
      </c>
      <c r="U43" s="223">
        <f>T43/SUM('Prod &amp; Defects - Qty'!$L$5:$Q$5)*1000000</f>
        <v>10.800000000000002</v>
      </c>
      <c r="V43" s="223">
        <f t="shared" si="8"/>
        <v>168.64686691200001</v>
      </c>
      <c r="W43" s="286">
        <f>V43/'Prod &amp; Defects - Qty'!$R$5*1000000</f>
        <v>10.799999999999999</v>
      </c>
      <c r="X43" s="311">
        <f t="shared" si="14"/>
        <v>10</v>
      </c>
      <c r="Y43" s="301">
        <f t="shared" si="15"/>
        <v>10</v>
      </c>
      <c r="Z43" s="294">
        <f t="shared" si="16"/>
        <v>10</v>
      </c>
      <c r="AA43" s="286">
        <f t="shared" si="9"/>
        <v>9.5</v>
      </c>
    </row>
    <row r="44" spans="1:27" ht="18" customHeight="1">
      <c r="A44" s="988"/>
      <c r="B44" s="968"/>
      <c r="C44" s="43">
        <v>1342</v>
      </c>
      <c r="D44" s="45" t="s">
        <v>122</v>
      </c>
      <c r="E44" s="49">
        <f>'[3]Falhas UM-1 - Qty'!AA44</f>
        <v>5.4</v>
      </c>
      <c r="F44" s="715">
        <f>'Prod &amp; Defects - Qty'!F$5*'Falhas UM-1 - Qty'!$E44/1000000</f>
        <v>7.7879772135000014</v>
      </c>
      <c r="G44" s="715">
        <f>'Prod &amp; Defects - Qty'!G$5*'Falhas UM-1 - Qty'!$E44/1000000</f>
        <v>4.2497951831999998</v>
      </c>
      <c r="H44" s="715">
        <f>'Prod &amp; Defects - Qty'!H$5*'Falhas UM-1 - Qty'!$E44/1000000</f>
        <v>4.2302937717000004</v>
      </c>
      <c r="I44" s="715">
        <f>'Prod &amp; Defects - Qty'!I$5*'Falhas UM-1 - Qty'!$E44/1000000</f>
        <v>4.2750224941500008</v>
      </c>
      <c r="J44" s="715">
        <f>'Prod &amp; Defects - Qty'!J$5*'Falhas UM-1 - Qty'!$E44/1000000</f>
        <v>7.7224641084000005</v>
      </c>
      <c r="K44" s="715">
        <f>'Prod &amp; Defects - Qty'!K$5*'Falhas UM-1 - Qty'!$E44/1000000</f>
        <v>8.9489285257500004</v>
      </c>
      <c r="L44" s="715">
        <f>'Prod &amp; Defects - Qty'!L$5*'Falhas UM-1 - Qty'!$E44/1000000</f>
        <v>9.0126382886999998</v>
      </c>
      <c r="M44" s="715">
        <f>'Prod &amp; Defects - Qty'!M$5*'Falhas UM-1 - Qty'!$E44/1000000</f>
        <v>9.0229560254999992</v>
      </c>
      <c r="N44" s="715">
        <f>'Prod &amp; Defects - Qty'!N$5*'Falhas UM-1 - Qty'!$E44/1000000</f>
        <v>7.2342667430999992</v>
      </c>
      <c r="O44" s="715">
        <f>'Prod &amp; Defects - Qty'!O$5*'Falhas UM-1 - Qty'!$E44/1000000</f>
        <v>6.7043264462999996</v>
      </c>
      <c r="P44" s="715">
        <f>'Prod &amp; Defects - Qty'!P$5*'Falhas UM-1 - Qty'!$E44/1000000</f>
        <v>6.7834661544000001</v>
      </c>
      <c r="Q44" s="557">
        <f>'Prod &amp; Defects - Qty'!Q$5*'Falhas UM-1 - Qty'!$E44/1000000</f>
        <v>8.3512985013000005</v>
      </c>
      <c r="R44" s="295">
        <f t="shared" si="6"/>
        <v>37.214481296700001</v>
      </c>
      <c r="S44" s="224">
        <f>R44/SUM('Prod &amp; Defects - Qty'!$F$5:$K$5)*1000000</f>
        <v>5.4</v>
      </c>
      <c r="T44" s="224">
        <f t="shared" si="7"/>
        <v>47.108952159300003</v>
      </c>
      <c r="U44" s="224">
        <f>T44/SUM('Prod &amp; Defects - Qty'!$L$5:$Q$5)*1000000</f>
        <v>5.4000000000000012</v>
      </c>
      <c r="V44" s="224">
        <f t="shared" si="8"/>
        <v>84.323433456000004</v>
      </c>
      <c r="W44" s="289">
        <f>V44/'Prod &amp; Defects - Qty'!$R$5*1000000</f>
        <v>5.3999999999999995</v>
      </c>
      <c r="X44" s="312">
        <f t="shared" si="14"/>
        <v>5</v>
      </c>
      <c r="Y44" s="305">
        <f t="shared" si="15"/>
        <v>5</v>
      </c>
      <c r="Z44" s="295">
        <f t="shared" si="16"/>
        <v>5</v>
      </c>
      <c r="AA44" s="289">
        <f t="shared" si="9"/>
        <v>4.75</v>
      </c>
    </row>
    <row r="45" spans="1:27" ht="18" customHeight="1">
      <c r="A45" s="988"/>
      <c r="B45" s="968"/>
      <c r="C45" s="43">
        <v>1344</v>
      </c>
      <c r="D45" s="44" t="s">
        <v>125</v>
      </c>
      <c r="E45" s="49">
        <f>'[3]Falhas UM-1 - Qty'!AA45</f>
        <v>3.6</v>
      </c>
      <c r="F45" s="711">
        <f>'Prod &amp; Defects - Qty'!F$5*'Falhas UM-1 - Qty'!$E45/1000000</f>
        <v>5.191984809</v>
      </c>
      <c r="G45" s="711">
        <f>'Prod &amp; Defects - Qty'!G$5*'Falhas UM-1 - Qty'!$E45/1000000</f>
        <v>2.8331967888</v>
      </c>
      <c r="H45" s="711">
        <f>'Prod &amp; Defects - Qty'!H$5*'Falhas UM-1 - Qty'!$E45/1000000</f>
        <v>2.8201958478</v>
      </c>
      <c r="I45" s="711">
        <f>'Prod &amp; Defects - Qty'!I$5*'Falhas UM-1 - Qty'!$E45/1000000</f>
        <v>2.8500149961000005</v>
      </c>
      <c r="J45" s="711">
        <f>'Prod &amp; Defects - Qty'!J$5*'Falhas UM-1 - Qty'!$E45/1000000</f>
        <v>5.1483094056000001</v>
      </c>
      <c r="K45" s="711">
        <f>'Prod &amp; Defects - Qty'!K$5*'Falhas UM-1 - Qty'!$E45/1000000</f>
        <v>5.9659523504999994</v>
      </c>
      <c r="L45" s="711">
        <f>'Prod &amp; Defects - Qty'!L$5*'Falhas UM-1 - Qty'!$E45/1000000</f>
        <v>6.0084255257999999</v>
      </c>
      <c r="M45" s="711">
        <f>'Prod &amp; Defects - Qty'!M$5*'Falhas UM-1 - Qty'!$E45/1000000</f>
        <v>6.0153040170000001</v>
      </c>
      <c r="N45" s="711">
        <f>'Prod &amp; Defects - Qty'!N$5*'Falhas UM-1 - Qty'!$E45/1000000</f>
        <v>4.8228444953999992</v>
      </c>
      <c r="O45" s="711">
        <f>'Prod &amp; Defects - Qty'!O$5*'Falhas UM-1 - Qty'!$E45/1000000</f>
        <v>4.4695509642000006</v>
      </c>
      <c r="P45" s="711">
        <f>'Prod &amp; Defects - Qty'!P$5*'Falhas UM-1 - Qty'!$E45/1000000</f>
        <v>4.5223107696000007</v>
      </c>
      <c r="Q45" s="556">
        <f>'Prod &amp; Defects - Qty'!Q$5*'Falhas UM-1 - Qty'!$E45/1000000</f>
        <v>5.5675323341999992</v>
      </c>
      <c r="R45" s="294">
        <f t="shared" si="6"/>
        <v>24.8096541978</v>
      </c>
      <c r="S45" s="223">
        <f>R45/SUM('Prod &amp; Defects - Qty'!$F$5:$K$5)*1000000</f>
        <v>3.5999999999999996</v>
      </c>
      <c r="T45" s="223">
        <f t="shared" si="7"/>
        <v>31.4059681062</v>
      </c>
      <c r="U45" s="223">
        <f>T45/SUM('Prod &amp; Defects - Qty'!$L$5:$Q$5)*1000000</f>
        <v>3.6000000000000005</v>
      </c>
      <c r="V45" s="223">
        <f t="shared" si="8"/>
        <v>56.215622304</v>
      </c>
      <c r="W45" s="286">
        <f>V45/'Prod &amp; Defects - Qty'!$R$5*1000000</f>
        <v>3.5999999999999992</v>
      </c>
      <c r="X45" s="311">
        <f t="shared" si="14"/>
        <v>3</v>
      </c>
      <c r="Y45" s="301">
        <f t="shared" si="15"/>
        <v>3</v>
      </c>
      <c r="Z45" s="294">
        <f t="shared" si="16"/>
        <v>3</v>
      </c>
      <c r="AA45" s="286">
        <f t="shared" si="9"/>
        <v>2.8499999999999996</v>
      </c>
    </row>
    <row r="46" spans="1:27" ht="18" customHeight="1">
      <c r="A46" s="988"/>
      <c r="B46" s="968"/>
      <c r="C46" s="43">
        <f>C43+10</f>
        <v>1350</v>
      </c>
      <c r="D46" s="44" t="s">
        <v>13</v>
      </c>
      <c r="E46" s="49">
        <f>'[3]Falhas UM-1 - Qty'!AA46</f>
        <v>36</v>
      </c>
      <c r="F46" s="711">
        <f>'Prod &amp; Defects - Qty'!F$5*'Falhas UM-1 - Qty'!$E46/1000000</f>
        <v>51.919848090000002</v>
      </c>
      <c r="G46" s="711">
        <f>'Prod &amp; Defects - Qty'!G$5*'Falhas UM-1 - Qty'!$E46/1000000</f>
        <v>28.331967888000001</v>
      </c>
      <c r="H46" s="711">
        <f>'Prod &amp; Defects - Qty'!H$5*'Falhas UM-1 - Qty'!$E46/1000000</f>
        <v>28.201958478000005</v>
      </c>
      <c r="I46" s="711">
        <f>'Prod &amp; Defects - Qty'!I$5*'Falhas UM-1 - Qty'!$E46/1000000</f>
        <v>28.500149961000002</v>
      </c>
      <c r="J46" s="711">
        <f>'Prod &amp; Defects - Qty'!J$5*'Falhas UM-1 - Qty'!$E46/1000000</f>
        <v>51.483094055999999</v>
      </c>
      <c r="K46" s="711">
        <f>'Prod &amp; Defects - Qty'!K$5*'Falhas UM-1 - Qty'!$E46/1000000</f>
        <v>59.659523504999996</v>
      </c>
      <c r="L46" s="711">
        <f>'Prod &amp; Defects - Qty'!L$5*'Falhas UM-1 - Qty'!$E46/1000000</f>
        <v>60.084255257999999</v>
      </c>
      <c r="M46" s="711">
        <f>'Prod &amp; Defects - Qty'!M$5*'Falhas UM-1 - Qty'!$E46/1000000</f>
        <v>60.153040170000004</v>
      </c>
      <c r="N46" s="711">
        <f>'Prod &amp; Defects - Qty'!N$5*'Falhas UM-1 - Qty'!$E46/1000000</f>
        <v>48.228444953999997</v>
      </c>
      <c r="O46" s="711">
        <f>'Prod &amp; Defects - Qty'!O$5*'Falhas UM-1 - Qty'!$E46/1000000</f>
        <v>44.695509641999998</v>
      </c>
      <c r="P46" s="711">
        <f>'Prod &amp; Defects - Qty'!P$5*'Falhas UM-1 - Qty'!$E46/1000000</f>
        <v>45.223107696</v>
      </c>
      <c r="Q46" s="556">
        <f>'Prod &amp; Defects - Qty'!Q$5*'Falhas UM-1 - Qty'!$E46/1000000</f>
        <v>55.675323341999999</v>
      </c>
      <c r="R46" s="294">
        <f t="shared" si="6"/>
        <v>248.096541978</v>
      </c>
      <c r="S46" s="223">
        <f>R46/SUM('Prod &amp; Defects - Qty'!$F$5:$K$5)*1000000</f>
        <v>36</v>
      </c>
      <c r="T46" s="223">
        <f t="shared" si="7"/>
        <v>314.05968106200004</v>
      </c>
      <c r="U46" s="223">
        <f>T46/SUM('Prod &amp; Defects - Qty'!$L$5:$Q$5)*1000000</f>
        <v>36.000000000000014</v>
      </c>
      <c r="V46" s="223">
        <f t="shared" si="8"/>
        <v>562.15622303999999</v>
      </c>
      <c r="W46" s="286">
        <f>V46/'Prod &amp; Defects - Qty'!$R$5*1000000</f>
        <v>35.999999999999993</v>
      </c>
      <c r="X46" s="311">
        <f t="shared" si="14"/>
        <v>34</v>
      </c>
      <c r="Y46" s="301">
        <f t="shared" si="15"/>
        <v>34</v>
      </c>
      <c r="Z46" s="294">
        <f t="shared" si="16"/>
        <v>34</v>
      </c>
      <c r="AA46" s="286">
        <f t="shared" si="9"/>
        <v>32.299999999999997</v>
      </c>
    </row>
    <row r="47" spans="1:27" ht="18" customHeight="1">
      <c r="A47" s="988"/>
      <c r="B47" s="968"/>
      <c r="C47" s="43">
        <f t="shared" si="17"/>
        <v>1360</v>
      </c>
      <c r="D47" s="44" t="s">
        <v>12</v>
      </c>
      <c r="E47" s="49">
        <f>'[3]Falhas UM-1 - Qty'!AA47</f>
        <v>2.7</v>
      </c>
      <c r="F47" s="711">
        <f>'Prod &amp; Defects - Qty'!F$5*'Falhas UM-1 - Qty'!$E47/1000000</f>
        <v>3.8939886067500007</v>
      </c>
      <c r="G47" s="711">
        <f>'Prod &amp; Defects - Qty'!G$5*'Falhas UM-1 - Qty'!$E47/1000000</f>
        <v>2.1248975915999999</v>
      </c>
      <c r="H47" s="711">
        <f>'Prod &amp; Defects - Qty'!H$5*'Falhas UM-1 - Qty'!$E47/1000000</f>
        <v>2.1151468858500002</v>
      </c>
      <c r="I47" s="711">
        <f>'Prod &amp; Defects - Qty'!I$5*'Falhas UM-1 - Qty'!$E47/1000000</f>
        <v>2.1375112470750004</v>
      </c>
      <c r="J47" s="711">
        <f>'Prod &amp; Defects - Qty'!J$5*'Falhas UM-1 - Qty'!$E47/1000000</f>
        <v>3.8612320542000003</v>
      </c>
      <c r="K47" s="711">
        <f>'Prod &amp; Defects - Qty'!K$5*'Falhas UM-1 - Qty'!$E47/1000000</f>
        <v>4.4744642628750002</v>
      </c>
      <c r="L47" s="711">
        <f>'Prod &amp; Defects - Qty'!L$5*'Falhas UM-1 - Qty'!$E47/1000000</f>
        <v>4.5063191443499999</v>
      </c>
      <c r="M47" s="711">
        <f>'Prod &amp; Defects - Qty'!M$5*'Falhas UM-1 - Qty'!$E47/1000000</f>
        <v>4.5114780127499996</v>
      </c>
      <c r="N47" s="711">
        <f>'Prod &amp; Defects - Qty'!N$5*'Falhas UM-1 - Qty'!$E47/1000000</f>
        <v>3.6171333715499996</v>
      </c>
      <c r="O47" s="711">
        <f>'Prod &amp; Defects - Qty'!O$5*'Falhas UM-1 - Qty'!$E47/1000000</f>
        <v>3.3521632231499998</v>
      </c>
      <c r="P47" s="711">
        <f>'Prod &amp; Defects - Qty'!P$5*'Falhas UM-1 - Qty'!$E47/1000000</f>
        <v>3.3917330772000001</v>
      </c>
      <c r="Q47" s="556">
        <f>'Prod &amp; Defects - Qty'!Q$5*'Falhas UM-1 - Qty'!$E47/1000000</f>
        <v>4.1756492506500003</v>
      </c>
      <c r="R47" s="294">
        <f t="shared" si="6"/>
        <v>18.60724064835</v>
      </c>
      <c r="S47" s="223">
        <f>R47/SUM('Prod &amp; Defects - Qty'!$F$5:$K$5)*1000000</f>
        <v>2.7</v>
      </c>
      <c r="T47" s="223">
        <f t="shared" si="7"/>
        <v>23.554476079650001</v>
      </c>
      <c r="U47" s="223">
        <f>T47/SUM('Prod &amp; Defects - Qty'!$L$5:$Q$5)*1000000</f>
        <v>2.7000000000000006</v>
      </c>
      <c r="V47" s="223">
        <f t="shared" si="8"/>
        <v>42.161716728000002</v>
      </c>
      <c r="W47" s="286">
        <f>V47/'Prod &amp; Defects - Qty'!$R$5*1000000</f>
        <v>2.6999999999999997</v>
      </c>
      <c r="X47" s="311">
        <f t="shared" si="14"/>
        <v>2</v>
      </c>
      <c r="Y47" s="301">
        <f t="shared" si="15"/>
        <v>2</v>
      </c>
      <c r="Z47" s="294">
        <f t="shared" si="16"/>
        <v>2</v>
      </c>
      <c r="AA47" s="286">
        <f t="shared" si="9"/>
        <v>1.9</v>
      </c>
    </row>
    <row r="48" spans="1:27" ht="18" customHeight="1">
      <c r="A48" s="988"/>
      <c r="B48" s="968"/>
      <c r="C48" s="43">
        <f t="shared" si="17"/>
        <v>1370</v>
      </c>
      <c r="D48" s="44" t="s">
        <v>11</v>
      </c>
      <c r="E48" s="49">
        <f>'[3]Falhas UM-1 - Qty'!AA48</f>
        <v>67.5</v>
      </c>
      <c r="F48" s="711">
        <f>'Prod &amp; Defects - Qty'!F$5*'Falhas UM-1 - Qty'!$E48/1000000</f>
        <v>97.349715168750024</v>
      </c>
      <c r="G48" s="711">
        <f>'Prod &amp; Defects - Qty'!G$5*'Falhas UM-1 - Qty'!$E48/1000000</f>
        <v>53.122439790000001</v>
      </c>
      <c r="H48" s="711">
        <f>'Prod &amp; Defects - Qty'!H$5*'Falhas UM-1 - Qty'!$E48/1000000</f>
        <v>52.878672146250004</v>
      </c>
      <c r="I48" s="711">
        <f>'Prod &amp; Defects - Qty'!I$5*'Falhas UM-1 - Qty'!$E48/1000000</f>
        <v>53.437781176874999</v>
      </c>
      <c r="J48" s="711">
        <f>'Prod &amp; Defects - Qty'!J$5*'Falhas UM-1 - Qty'!$E48/1000000</f>
        <v>96.530801355000008</v>
      </c>
      <c r="K48" s="711">
        <f>'Prod &amp; Defects - Qty'!K$5*'Falhas UM-1 - Qty'!$E48/1000000</f>
        <v>111.86160657187499</v>
      </c>
      <c r="L48" s="711">
        <f>'Prod &amp; Defects - Qty'!L$5*'Falhas UM-1 - Qty'!$E48/1000000</f>
        <v>112.65797860875</v>
      </c>
      <c r="M48" s="711">
        <f>'Prod &amp; Defects - Qty'!M$5*'Falhas UM-1 - Qty'!$E48/1000000</f>
        <v>112.78695031874999</v>
      </c>
      <c r="N48" s="711">
        <f>'Prod &amp; Defects - Qty'!N$5*'Falhas UM-1 - Qty'!$E48/1000000</f>
        <v>90.428334288749994</v>
      </c>
      <c r="O48" s="711">
        <f>'Prod &amp; Defects - Qty'!O$5*'Falhas UM-1 - Qty'!$E48/1000000</f>
        <v>83.804080578750003</v>
      </c>
      <c r="P48" s="711">
        <f>'Prod &amp; Defects - Qty'!P$5*'Falhas UM-1 - Qty'!$E48/1000000</f>
        <v>84.793326929999992</v>
      </c>
      <c r="Q48" s="556">
        <f>'Prod &amp; Defects - Qty'!Q$5*'Falhas UM-1 - Qty'!$E48/1000000</f>
        <v>104.39123126625</v>
      </c>
      <c r="R48" s="294">
        <f t="shared" si="6"/>
        <v>465.18101620875001</v>
      </c>
      <c r="S48" s="223">
        <f>R48/SUM('Prod &amp; Defects - Qty'!$F$5:$K$5)*1000000</f>
        <v>67.5</v>
      </c>
      <c r="T48" s="223">
        <f t="shared" si="7"/>
        <v>588.86190199124997</v>
      </c>
      <c r="U48" s="223">
        <f>T48/SUM('Prod &amp; Defects - Qty'!$L$5:$Q$5)*1000000</f>
        <v>67.500000000000014</v>
      </c>
      <c r="V48" s="223">
        <f t="shared" si="8"/>
        <v>1054.0429182</v>
      </c>
      <c r="W48" s="286">
        <f>V48/'Prod &amp; Defects - Qty'!$R$5*1000000</f>
        <v>67.499999999999986</v>
      </c>
      <c r="X48" s="311">
        <f t="shared" si="14"/>
        <v>64</v>
      </c>
      <c r="Y48" s="301">
        <f t="shared" si="15"/>
        <v>64</v>
      </c>
      <c r="Z48" s="294">
        <f t="shared" si="16"/>
        <v>64</v>
      </c>
      <c r="AA48" s="286">
        <f t="shared" si="9"/>
        <v>60.8</v>
      </c>
    </row>
    <row r="49" spans="1:27" ht="18" customHeight="1">
      <c r="A49" s="988"/>
      <c r="B49" s="968"/>
      <c r="C49" s="43">
        <f t="shared" si="17"/>
        <v>1380</v>
      </c>
      <c r="D49" s="44" t="s">
        <v>10</v>
      </c>
      <c r="E49" s="49">
        <f>'[3]Falhas UM-1 - Qty'!AA49</f>
        <v>4.5</v>
      </c>
      <c r="F49" s="711">
        <f>'Prod &amp; Defects - Qty'!F$5*'Falhas UM-1 - Qty'!$E49/1000000</f>
        <v>6.4899810112500003</v>
      </c>
      <c r="G49" s="711">
        <f>'Prod &amp; Defects - Qty'!G$5*'Falhas UM-1 - Qty'!$E49/1000000</f>
        <v>3.5414959860000002</v>
      </c>
      <c r="H49" s="711">
        <f>'Prod &amp; Defects - Qty'!H$5*'Falhas UM-1 - Qty'!$E49/1000000</f>
        <v>3.5252448097500007</v>
      </c>
      <c r="I49" s="711">
        <f>'Prod &amp; Defects - Qty'!I$5*'Falhas UM-1 - Qty'!$E49/1000000</f>
        <v>3.5625187451250002</v>
      </c>
      <c r="J49" s="711">
        <f>'Prod &amp; Defects - Qty'!J$5*'Falhas UM-1 - Qty'!$E49/1000000</f>
        <v>6.4353867569999998</v>
      </c>
      <c r="K49" s="711">
        <f>'Prod &amp; Defects - Qty'!K$5*'Falhas UM-1 - Qty'!$E49/1000000</f>
        <v>7.4574404381249995</v>
      </c>
      <c r="L49" s="711">
        <f>'Prod &amp; Defects - Qty'!L$5*'Falhas UM-1 - Qty'!$E49/1000000</f>
        <v>7.5105319072499999</v>
      </c>
      <c r="M49" s="711">
        <f>'Prod &amp; Defects - Qty'!M$5*'Falhas UM-1 - Qty'!$E49/1000000</f>
        <v>7.5191300212500005</v>
      </c>
      <c r="N49" s="711">
        <f>'Prod &amp; Defects - Qty'!N$5*'Falhas UM-1 - Qty'!$E49/1000000</f>
        <v>6.0285556192499996</v>
      </c>
      <c r="O49" s="711">
        <f>'Prod &amp; Defects - Qty'!O$5*'Falhas UM-1 - Qty'!$E49/1000000</f>
        <v>5.5869387052499997</v>
      </c>
      <c r="P49" s="711">
        <f>'Prod &amp; Defects - Qty'!P$5*'Falhas UM-1 - Qty'!$E49/1000000</f>
        <v>5.6528884619999999</v>
      </c>
      <c r="Q49" s="556">
        <f>'Prod &amp; Defects - Qty'!Q$5*'Falhas UM-1 - Qty'!$E49/1000000</f>
        <v>6.9594154177499998</v>
      </c>
      <c r="R49" s="294">
        <f t="shared" si="6"/>
        <v>31.012067747250001</v>
      </c>
      <c r="S49" s="223">
        <f>R49/SUM('Prod &amp; Defects - Qty'!$F$5:$K$5)*1000000</f>
        <v>4.5</v>
      </c>
      <c r="T49" s="223">
        <f t="shared" si="7"/>
        <v>39.257460132750005</v>
      </c>
      <c r="U49" s="223">
        <f>T49/SUM('Prod &amp; Defects - Qty'!$L$5:$Q$5)*1000000</f>
        <v>4.5000000000000018</v>
      </c>
      <c r="V49" s="223">
        <f t="shared" si="8"/>
        <v>70.269527879999998</v>
      </c>
      <c r="W49" s="286">
        <f>V49/'Prod &amp; Defects - Qty'!$R$5*1000000</f>
        <v>4.4999999999999991</v>
      </c>
      <c r="X49" s="311">
        <f t="shared" si="14"/>
        <v>4</v>
      </c>
      <c r="Y49" s="301">
        <f t="shared" si="15"/>
        <v>4</v>
      </c>
      <c r="Z49" s="294">
        <f t="shared" si="16"/>
        <v>4</v>
      </c>
      <c r="AA49" s="286">
        <f t="shared" si="9"/>
        <v>3.8</v>
      </c>
    </row>
    <row r="50" spans="1:27" ht="18" customHeight="1">
      <c r="A50" s="988"/>
      <c r="B50" s="968"/>
      <c r="C50" s="43">
        <f t="shared" si="17"/>
        <v>1390</v>
      </c>
      <c r="D50" s="44" t="s">
        <v>9</v>
      </c>
      <c r="E50" s="49">
        <f>'[3]Falhas UM-1 - Qty'!AA50</f>
        <v>17.100000000000001</v>
      </c>
      <c r="F50" s="711">
        <f>'Prod &amp; Defects - Qty'!F$5*'Falhas UM-1 - Qty'!$E50/1000000</f>
        <v>24.661927842750007</v>
      </c>
      <c r="G50" s="711">
        <f>'Prod &amp; Defects - Qty'!G$5*'Falhas UM-1 - Qty'!$E50/1000000</f>
        <v>13.457684746800002</v>
      </c>
      <c r="H50" s="711">
        <f>'Prod &amp; Defects - Qty'!H$5*'Falhas UM-1 - Qty'!$E50/1000000</f>
        <v>13.395930277050002</v>
      </c>
      <c r="I50" s="711">
        <f>'Prod &amp; Defects - Qty'!I$5*'Falhas UM-1 - Qty'!$E50/1000000</f>
        <v>13.537571231475003</v>
      </c>
      <c r="J50" s="711">
        <f>'Prod &amp; Defects - Qty'!J$5*'Falhas UM-1 - Qty'!$E50/1000000</f>
        <v>24.454469676600002</v>
      </c>
      <c r="K50" s="711">
        <f>'Prod &amp; Defects - Qty'!K$5*'Falhas UM-1 - Qty'!$E50/1000000</f>
        <v>28.338273664875</v>
      </c>
      <c r="L50" s="711">
        <f>'Prod &amp; Defects - Qty'!L$5*'Falhas UM-1 - Qty'!$E50/1000000</f>
        <v>28.540021247550001</v>
      </c>
      <c r="M50" s="711">
        <f>'Prod &amp; Defects - Qty'!M$5*'Falhas UM-1 - Qty'!$E50/1000000</f>
        <v>28.572694080750004</v>
      </c>
      <c r="N50" s="711">
        <f>'Prod &amp; Defects - Qty'!N$5*'Falhas UM-1 - Qty'!$E50/1000000</f>
        <v>22.908511353150001</v>
      </c>
      <c r="O50" s="711">
        <f>'Prod &amp; Defects - Qty'!O$5*'Falhas UM-1 - Qty'!$E50/1000000</f>
        <v>21.23036707995</v>
      </c>
      <c r="P50" s="711">
        <f>'Prod &amp; Defects - Qty'!P$5*'Falhas UM-1 - Qty'!$E50/1000000</f>
        <v>21.480976155600001</v>
      </c>
      <c r="Q50" s="556">
        <f>'Prod &amp; Defects - Qty'!Q$5*'Falhas UM-1 - Qty'!$E50/1000000</f>
        <v>26.44577858745</v>
      </c>
      <c r="R50" s="294">
        <f t="shared" si="6"/>
        <v>117.84585743955002</v>
      </c>
      <c r="S50" s="223">
        <f>R50/SUM('Prod &amp; Defects - Qty'!$F$5:$K$5)*1000000</f>
        <v>17.100000000000001</v>
      </c>
      <c r="T50" s="223">
        <f t="shared" si="7"/>
        <v>149.17834850445001</v>
      </c>
      <c r="U50" s="223">
        <f>T50/SUM('Prod &amp; Defects - Qty'!$L$5:$Q$5)*1000000</f>
        <v>17.100000000000005</v>
      </c>
      <c r="V50" s="223">
        <f t="shared" si="8"/>
        <v>267.02420594400002</v>
      </c>
      <c r="W50" s="286">
        <f>V50/'Prod &amp; Defects - Qty'!$R$5*1000000</f>
        <v>17.099999999999998</v>
      </c>
      <c r="X50" s="311">
        <f t="shared" si="14"/>
        <v>16</v>
      </c>
      <c r="Y50" s="301">
        <f t="shared" si="15"/>
        <v>16</v>
      </c>
      <c r="Z50" s="294">
        <f t="shared" si="16"/>
        <v>16</v>
      </c>
      <c r="AA50" s="286">
        <f t="shared" si="9"/>
        <v>15.2</v>
      </c>
    </row>
    <row r="51" spans="1:27" ht="18" customHeight="1">
      <c r="A51" s="988"/>
      <c r="B51" s="968"/>
      <c r="C51" s="43">
        <f t="shared" si="17"/>
        <v>1400</v>
      </c>
      <c r="D51" s="44" t="s">
        <v>8</v>
      </c>
      <c r="E51" s="49">
        <f>'[3]Falhas UM-1 - Qty'!AA51</f>
        <v>38.700000000000003</v>
      </c>
      <c r="F51" s="711">
        <f>'Prod &amp; Defects - Qty'!F$5*'Falhas UM-1 - Qty'!$E51/1000000</f>
        <v>55.813836696750009</v>
      </c>
      <c r="G51" s="711">
        <f>'Prod &amp; Defects - Qty'!G$5*'Falhas UM-1 - Qty'!$E51/1000000</f>
        <v>30.456865479600001</v>
      </c>
      <c r="H51" s="711">
        <f>'Prod &amp; Defects - Qty'!H$5*'Falhas UM-1 - Qty'!$E51/1000000</f>
        <v>30.317105363850004</v>
      </c>
      <c r="I51" s="711">
        <f>'Prod &amp; Defects - Qty'!I$5*'Falhas UM-1 - Qty'!$E51/1000000</f>
        <v>30.637661208075006</v>
      </c>
      <c r="J51" s="711">
        <f>'Prod &amp; Defects - Qty'!J$5*'Falhas UM-1 - Qty'!$E51/1000000</f>
        <v>55.344326110200001</v>
      </c>
      <c r="K51" s="711">
        <f>'Prod &amp; Defects - Qty'!K$5*'Falhas UM-1 - Qty'!$E51/1000000</f>
        <v>64.133987767874999</v>
      </c>
      <c r="L51" s="711">
        <f>'Prod &amp; Defects - Qty'!L$5*'Falhas UM-1 - Qty'!$E51/1000000</f>
        <v>64.590574402350001</v>
      </c>
      <c r="M51" s="711">
        <f>'Prod &amp; Defects - Qty'!M$5*'Falhas UM-1 - Qty'!$E51/1000000</f>
        <v>64.664518182750001</v>
      </c>
      <c r="N51" s="711">
        <f>'Prod &amp; Defects - Qty'!N$5*'Falhas UM-1 - Qty'!$E51/1000000</f>
        <v>51.845578325550001</v>
      </c>
      <c r="O51" s="711">
        <f>'Prod &amp; Defects - Qty'!O$5*'Falhas UM-1 - Qty'!$E51/1000000</f>
        <v>48.047672865150005</v>
      </c>
      <c r="P51" s="711">
        <f>'Prod &amp; Defects - Qty'!P$5*'Falhas UM-1 - Qty'!$E51/1000000</f>
        <v>48.614840773200008</v>
      </c>
      <c r="Q51" s="556">
        <f>'Prod &amp; Defects - Qty'!Q$5*'Falhas UM-1 - Qty'!$E51/1000000</f>
        <v>59.850972592650002</v>
      </c>
      <c r="R51" s="294">
        <f t="shared" si="6"/>
        <v>266.70378262635006</v>
      </c>
      <c r="S51" s="223">
        <f>R51/SUM('Prod &amp; Defects - Qty'!$F$5:$K$5)*1000000</f>
        <v>38.700000000000003</v>
      </c>
      <c r="T51" s="223">
        <f t="shared" si="7"/>
        <v>337.61415714165003</v>
      </c>
      <c r="U51" s="223">
        <f>T51/SUM('Prod &amp; Defects - Qty'!$L$5:$Q$5)*1000000</f>
        <v>38.70000000000001</v>
      </c>
      <c r="V51" s="223">
        <f t="shared" si="8"/>
        <v>604.31793976800009</v>
      </c>
      <c r="W51" s="286">
        <f>V51/'Prod &amp; Defects - Qty'!$R$5*1000000</f>
        <v>38.699999999999996</v>
      </c>
      <c r="X51" s="311">
        <f t="shared" si="14"/>
        <v>36</v>
      </c>
      <c r="Y51" s="301">
        <f t="shared" si="15"/>
        <v>36</v>
      </c>
      <c r="Z51" s="294">
        <f t="shared" si="16"/>
        <v>36</v>
      </c>
      <c r="AA51" s="286">
        <f t="shared" si="9"/>
        <v>34.199999999999996</v>
      </c>
    </row>
    <row r="52" spans="1:27" ht="18" customHeight="1">
      <c r="A52" s="988"/>
      <c r="B52" s="968"/>
      <c r="C52" s="43">
        <f t="shared" si="17"/>
        <v>1410</v>
      </c>
      <c r="D52" s="44" t="s">
        <v>7</v>
      </c>
      <c r="E52" s="49">
        <f>'[3]Falhas UM-1 - Qty'!AA52</f>
        <v>45.9</v>
      </c>
      <c r="F52" s="711">
        <f>'Prod &amp; Defects - Qty'!F$5*'Falhas UM-1 - Qty'!$E52/1000000</f>
        <v>66.197806314750011</v>
      </c>
      <c r="G52" s="711">
        <f>'Prod &amp; Defects - Qty'!G$5*'Falhas UM-1 - Qty'!$E52/1000000</f>
        <v>36.123259057200002</v>
      </c>
      <c r="H52" s="711">
        <f>'Prod &amp; Defects - Qty'!H$5*'Falhas UM-1 - Qty'!$E52/1000000</f>
        <v>35.957497059449999</v>
      </c>
      <c r="I52" s="711">
        <f>'Prod &amp; Defects - Qty'!I$5*'Falhas UM-1 - Qty'!$E52/1000000</f>
        <v>36.337691200275003</v>
      </c>
      <c r="J52" s="711">
        <f>'Prod &amp; Defects - Qty'!J$5*'Falhas UM-1 - Qty'!$E52/1000000</f>
        <v>65.640944921399992</v>
      </c>
      <c r="K52" s="711">
        <f>'Prod &amp; Defects - Qty'!K$5*'Falhas UM-1 - Qty'!$E52/1000000</f>
        <v>76.065892468874992</v>
      </c>
      <c r="L52" s="711">
        <f>'Prod &amp; Defects - Qty'!L$5*'Falhas UM-1 - Qty'!$E52/1000000</f>
        <v>76.607425453949986</v>
      </c>
      <c r="M52" s="711">
        <f>'Prod &amp; Defects - Qty'!M$5*'Falhas UM-1 - Qty'!$E52/1000000</f>
        <v>76.695126216749998</v>
      </c>
      <c r="N52" s="711">
        <f>'Prod &amp; Defects - Qty'!N$5*'Falhas UM-1 - Qty'!$E52/1000000</f>
        <v>61.491267316349997</v>
      </c>
      <c r="O52" s="711">
        <f>'Prod &amp; Defects - Qty'!O$5*'Falhas UM-1 - Qty'!$E52/1000000</f>
        <v>56.986774793549998</v>
      </c>
      <c r="P52" s="711">
        <f>'Prod &amp; Defects - Qty'!P$5*'Falhas UM-1 - Qty'!$E52/1000000</f>
        <v>57.659462312399995</v>
      </c>
      <c r="Q52" s="556">
        <f>'Prod &amp; Defects - Qty'!Q$5*'Falhas UM-1 - Qty'!$E52/1000000</f>
        <v>70.986037261050001</v>
      </c>
      <c r="R52" s="294">
        <f t="shared" si="6"/>
        <v>316.32309102195001</v>
      </c>
      <c r="S52" s="223">
        <f>R52/SUM('Prod &amp; Defects - Qty'!$F$5:$K$5)*1000000</f>
        <v>45.9</v>
      </c>
      <c r="T52" s="223">
        <f t="shared" si="7"/>
        <v>400.42609335404995</v>
      </c>
      <c r="U52" s="223">
        <f>T52/SUM('Prod &amp; Defects - Qty'!$L$5:$Q$5)*1000000</f>
        <v>45.900000000000006</v>
      </c>
      <c r="V52" s="223">
        <f t="shared" si="8"/>
        <v>716.7491843759999</v>
      </c>
      <c r="W52" s="286">
        <f>V52/'Prod &amp; Defects - Qty'!$R$5*1000000</f>
        <v>45.899999999999984</v>
      </c>
      <c r="X52" s="311">
        <f t="shared" si="14"/>
        <v>43</v>
      </c>
      <c r="Y52" s="301">
        <f t="shared" si="15"/>
        <v>43</v>
      </c>
      <c r="Z52" s="294">
        <f t="shared" si="16"/>
        <v>43</v>
      </c>
      <c r="AA52" s="286">
        <f t="shared" si="9"/>
        <v>40.85</v>
      </c>
    </row>
    <row r="53" spans="1:27" ht="18" customHeight="1">
      <c r="A53" s="988"/>
      <c r="B53" s="968"/>
      <c r="C53" s="43">
        <f t="shared" si="17"/>
        <v>1420</v>
      </c>
      <c r="D53" s="44" t="s">
        <v>6</v>
      </c>
      <c r="E53" s="49">
        <f>'[3]Falhas UM-1 - Qty'!AA53</f>
        <v>128.70000000000002</v>
      </c>
      <c r="F53" s="711">
        <f>'Prod &amp; Defects - Qty'!F$5*'Falhas UM-1 - Qty'!$E53/1000000</f>
        <v>185.61345692175004</v>
      </c>
      <c r="G53" s="711">
        <f>'Prod &amp; Defects - Qty'!G$5*'Falhas UM-1 - Qty'!$E53/1000000</f>
        <v>101.2867851996</v>
      </c>
      <c r="H53" s="711">
        <f>'Prod &amp; Defects - Qty'!H$5*'Falhas UM-1 - Qty'!$E53/1000000</f>
        <v>100.82200155885002</v>
      </c>
      <c r="I53" s="711">
        <f>'Prod &amp; Defects - Qty'!I$5*'Falhas UM-1 - Qty'!$E53/1000000</f>
        <v>101.88803611057502</v>
      </c>
      <c r="J53" s="711">
        <f>'Prod &amp; Defects - Qty'!J$5*'Falhas UM-1 - Qty'!$E53/1000000</f>
        <v>184.05206125020004</v>
      </c>
      <c r="K53" s="711">
        <f>'Prod &amp; Defects - Qty'!K$5*'Falhas UM-1 - Qty'!$E53/1000000</f>
        <v>213.28279653037501</v>
      </c>
      <c r="L53" s="711">
        <f>'Prod &amp; Defects - Qty'!L$5*'Falhas UM-1 - Qty'!$E53/1000000</f>
        <v>214.80121254735002</v>
      </c>
      <c r="M53" s="711">
        <f>'Prod &amp; Defects - Qty'!M$5*'Falhas UM-1 - Qty'!$E53/1000000</f>
        <v>215.04711860775004</v>
      </c>
      <c r="N53" s="711">
        <f>'Prod &amp; Defects - Qty'!N$5*'Falhas UM-1 - Qty'!$E53/1000000</f>
        <v>172.41669071055</v>
      </c>
      <c r="O53" s="711">
        <f>'Prod &amp; Defects - Qty'!O$5*'Falhas UM-1 - Qty'!$E53/1000000</f>
        <v>159.78644697015002</v>
      </c>
      <c r="P53" s="711">
        <f>'Prod &amp; Defects - Qty'!P$5*'Falhas UM-1 - Qty'!$E53/1000000</f>
        <v>161.67261001320003</v>
      </c>
      <c r="Q53" s="556">
        <f>'Prod &amp; Defects - Qty'!Q$5*'Falhas UM-1 - Qty'!$E53/1000000</f>
        <v>199.03928094765001</v>
      </c>
      <c r="R53" s="294">
        <f t="shared" si="6"/>
        <v>886.94513757135019</v>
      </c>
      <c r="S53" s="223">
        <f>R53/SUM('Prod &amp; Defects - Qty'!$F$5:$K$5)*1000000</f>
        <v>128.70000000000002</v>
      </c>
      <c r="T53" s="223">
        <f t="shared" si="7"/>
        <v>1122.7633597966501</v>
      </c>
      <c r="U53" s="223">
        <f>T53/SUM('Prod &amp; Defects - Qty'!$L$5:$Q$5)*1000000</f>
        <v>128.70000000000005</v>
      </c>
      <c r="V53" s="223">
        <f t="shared" si="8"/>
        <v>2009.7084973680003</v>
      </c>
      <c r="W53" s="286">
        <f>V53/'Prod &amp; Defects - Qty'!$R$5*1000000</f>
        <v>128.70000000000002</v>
      </c>
      <c r="X53" s="311">
        <f t="shared" si="14"/>
        <v>122</v>
      </c>
      <c r="Y53" s="301">
        <f t="shared" si="15"/>
        <v>122</v>
      </c>
      <c r="Z53" s="294">
        <f t="shared" si="16"/>
        <v>122</v>
      </c>
      <c r="AA53" s="286">
        <f t="shared" si="9"/>
        <v>115.89999999999999</v>
      </c>
    </row>
    <row r="54" spans="1:27" ht="19.5" customHeight="1">
      <c r="A54" s="988"/>
      <c r="B54" s="968"/>
      <c r="C54" s="43">
        <f t="shared" si="17"/>
        <v>1430</v>
      </c>
      <c r="D54" s="44" t="s">
        <v>5</v>
      </c>
      <c r="E54" s="52">
        <f>'[3]Falhas UM-1 - Qty'!AA54</f>
        <v>79.2</v>
      </c>
      <c r="F54" s="711">
        <f>'Prod &amp; Defects - Qty'!F$5*'Falhas UM-1 - Qty'!$E54/1000000</f>
        <v>114.22366579800003</v>
      </c>
      <c r="G54" s="711">
        <f>'Prod &amp; Defects - Qty'!G$5*'Falhas UM-1 - Qty'!$E54/1000000</f>
        <v>62.3303293536</v>
      </c>
      <c r="H54" s="711">
        <f>'Prod &amp; Defects - Qty'!H$5*'Falhas UM-1 - Qty'!$E54/1000000</f>
        <v>62.044308651600012</v>
      </c>
      <c r="I54" s="711">
        <f>'Prod &amp; Defects - Qty'!I$5*'Falhas UM-1 - Qty'!$E54/1000000</f>
        <v>62.700329914200005</v>
      </c>
      <c r="J54" s="711">
        <f>'Prod &amp; Defects - Qty'!J$5*'Falhas UM-1 - Qty'!$E54/1000000</f>
        <v>113.2628069232</v>
      </c>
      <c r="K54" s="711">
        <f>'Prod &amp; Defects - Qty'!K$5*'Falhas UM-1 - Qty'!$E54/1000000</f>
        <v>131.250951711</v>
      </c>
      <c r="L54" s="711">
        <f>'Prod &amp; Defects - Qty'!L$5*'Falhas UM-1 - Qty'!$E54/1000000</f>
        <v>132.18536156759998</v>
      </c>
      <c r="M54" s="711">
        <f>'Prod &amp; Defects - Qty'!M$5*'Falhas UM-1 - Qty'!$E54/1000000</f>
        <v>132.336688374</v>
      </c>
      <c r="N54" s="711">
        <f>'Prod &amp; Defects - Qty'!N$5*'Falhas UM-1 - Qty'!$E54/1000000</f>
        <v>106.1025788988</v>
      </c>
      <c r="O54" s="711">
        <f>'Prod &amp; Defects - Qty'!O$5*'Falhas UM-1 - Qty'!$E54/1000000</f>
        <v>98.330121212400002</v>
      </c>
      <c r="P54" s="711">
        <f>'Prod &amp; Defects - Qty'!P$5*'Falhas UM-1 - Qty'!$E54/1000000</f>
        <v>99.490836931199993</v>
      </c>
      <c r="Q54" s="556">
        <f>'Prod &amp; Defects - Qty'!Q$5*'Falhas UM-1 - Qty'!$E54/1000000</f>
        <v>122.4857113524</v>
      </c>
      <c r="R54" s="294">
        <f t="shared" si="6"/>
        <v>545.81239235160001</v>
      </c>
      <c r="S54" s="223">
        <f>R54/SUM('Prod &amp; Defects - Qty'!$F$5:$K$5)*1000000</f>
        <v>79.2</v>
      </c>
      <c r="T54" s="223">
        <f t="shared" si="7"/>
        <v>690.9312983364</v>
      </c>
      <c r="U54" s="223">
        <f>T54/SUM('Prod &amp; Defects - Qty'!$L$5:$Q$5)*1000000</f>
        <v>79.200000000000017</v>
      </c>
      <c r="V54" s="223">
        <f t="shared" si="8"/>
        <v>1236.743690688</v>
      </c>
      <c r="W54" s="286">
        <f>V54/'Prod &amp; Defects - Qty'!$R$5*1000000</f>
        <v>79.199999999999989</v>
      </c>
      <c r="X54" s="311">
        <f t="shared" si="14"/>
        <v>75</v>
      </c>
      <c r="Y54" s="301">
        <f t="shared" si="15"/>
        <v>75</v>
      </c>
      <c r="Z54" s="294">
        <f t="shared" si="16"/>
        <v>75</v>
      </c>
      <c r="AA54" s="286">
        <f t="shared" si="9"/>
        <v>71.25</v>
      </c>
    </row>
    <row r="55" spans="1:27" ht="18" customHeight="1">
      <c r="A55" s="988"/>
      <c r="B55" s="968"/>
      <c r="C55" s="43">
        <f t="shared" si="17"/>
        <v>1440</v>
      </c>
      <c r="D55" s="44" t="s">
        <v>4</v>
      </c>
      <c r="E55" s="52">
        <f>'[3]Falhas UM-1 - Qty'!AA55</f>
        <v>12921.300000000001</v>
      </c>
      <c r="F55" s="711">
        <f>'Prod &amp; Defects - Qty'!F$5*'Falhas UM-1 - Qty'!$E55/1000000</f>
        <v>18635.331475703253</v>
      </c>
      <c r="G55" s="711">
        <f>'Prod &amp; Defects - Qty'!G$5*'Falhas UM-1 - Qty'!$E55/1000000</f>
        <v>10169.051574200401</v>
      </c>
      <c r="H55" s="711">
        <f>'Prod &amp; Defects - Qty'!H$5*'Falhas UM-1 - Qty'!$E55/1000000</f>
        <v>10122.387946716151</v>
      </c>
      <c r="I55" s="711">
        <f>'Prod &amp; Defects - Qty'!I$5*'Falhas UM-1 - Qty'!$E55/1000000</f>
        <v>10229.416324751926</v>
      </c>
      <c r="J55" s="711">
        <f>'Prod &amp; Defects - Qty'!J$5*'Falhas UM-1 - Qty'!$E55/1000000</f>
        <v>18478.569534049802</v>
      </c>
      <c r="K55" s="711">
        <f>'Prod &amp; Defects - Qty'!K$5*'Falhas UM-1 - Qty'!$E55/1000000</f>
        <v>21413.294474032122</v>
      </c>
      <c r="L55" s="711">
        <f>'Prod &amp; Defects - Qty'!L$5*'Falhas UM-1 - Qty'!$E55/1000000</f>
        <v>21565.741318477649</v>
      </c>
      <c r="M55" s="711">
        <f>'Prod &amp; Defects - Qty'!M$5*'Falhas UM-1 - Qty'!$E55/1000000</f>
        <v>21590.42994301725</v>
      </c>
      <c r="N55" s="711">
        <f>'Prod &amp; Defects - Qty'!N$5*'Falhas UM-1 - Qty'!$E55/1000000</f>
        <v>17310.394605114448</v>
      </c>
      <c r="O55" s="711">
        <f>'Prod &amp; Defects - Qty'!O$5*'Falhas UM-1 - Qty'!$E55/1000000</f>
        <v>16042.33579825485</v>
      </c>
      <c r="P55" s="711">
        <f>'Prod &amp; Defects - Qty'!P$5*'Falhas UM-1 - Qty'!$E55/1000000</f>
        <v>16231.7039297868</v>
      </c>
      <c r="Q55" s="556">
        <f>'Prod &amp; Defects - Qty'!Q$5*'Falhas UM-1 - Qty'!$E55/1000000</f>
        <v>19983.26543052735</v>
      </c>
      <c r="R55" s="294">
        <f t="shared" si="6"/>
        <v>89048.051329453665</v>
      </c>
      <c r="S55" s="223">
        <f>R55/SUM('Prod &amp; Defects - Qty'!$F$5:$K$5)*1000000</f>
        <v>12921.300000000001</v>
      </c>
      <c r="T55" s="223">
        <f t="shared" si="7"/>
        <v>112723.87102517835</v>
      </c>
      <c r="U55" s="223">
        <f>T55/SUM('Prod &amp; Defects - Qty'!$L$5:$Q$5)*1000000</f>
        <v>12921.300000000001</v>
      </c>
      <c r="V55" s="223">
        <f t="shared" si="8"/>
        <v>201771.922354632</v>
      </c>
      <c r="W55" s="286">
        <f>V55/'Prod &amp; Defects - Qty'!$R$5*1000000</f>
        <v>12921.3</v>
      </c>
      <c r="X55" s="311">
        <f t="shared" si="14"/>
        <v>12275</v>
      </c>
      <c r="Y55" s="301">
        <f t="shared" si="15"/>
        <v>12275</v>
      </c>
      <c r="Z55" s="294">
        <f t="shared" si="16"/>
        <v>12275</v>
      </c>
      <c r="AA55" s="286">
        <f t="shared" si="9"/>
        <v>11661.25</v>
      </c>
    </row>
    <row r="56" spans="1:27" ht="18" customHeight="1" thickBot="1">
      <c r="A56" s="989"/>
      <c r="B56" s="969"/>
      <c r="C56" s="43">
        <f t="shared" si="17"/>
        <v>1450</v>
      </c>
      <c r="D56" s="46" t="s">
        <v>3</v>
      </c>
      <c r="E56" s="52">
        <f>'[3]Falhas UM-1 - Qty'!AA56</f>
        <v>19415.7</v>
      </c>
      <c r="F56" s="717">
        <f>'Prod &amp; Defects - Qty'!F$5*'Falhas UM-1 - Qty'!$E56/1000000</f>
        <v>28001.672071139255</v>
      </c>
      <c r="G56" s="717">
        <f>'Prod &amp; Defects - Qty'!G$5*'Falhas UM-1 - Qty'!$E56/1000000</f>
        <v>15280.138581195601</v>
      </c>
      <c r="H56" s="717">
        <f>'Prod &amp; Defects - Qty'!H$5*'Falhas UM-1 - Qty'!$E56/1000000</f>
        <v>15210.021256147353</v>
      </c>
      <c r="I56" s="717">
        <f>'Prod &amp; Defects - Qty'!I$5*'Falhas UM-1 - Qty'!$E56/1000000</f>
        <v>15370.843377716328</v>
      </c>
      <c r="J56" s="717">
        <f>'Prod &amp; Defects - Qty'!J$5*'Falhas UM-1 - Qty'!$E56/1000000</f>
        <v>27766.119701752203</v>
      </c>
      <c r="K56" s="717">
        <f>'Prod &amp; Defects - Qty'!K$5*'Falhas UM-1 - Qty'!$E56/1000000</f>
        <v>32175.872514334122</v>
      </c>
      <c r="L56" s="717">
        <f>'Prod &amp; Defects - Qty'!L$5*'Falhas UM-1 - Qty'!$E56/1000000</f>
        <v>32404.940967020852</v>
      </c>
      <c r="M56" s="717">
        <f>'Prod &amp; Defects - Qty'!M$5*'Falhas UM-1 - Qty'!$E56/1000000</f>
        <v>32442.038389685251</v>
      </c>
      <c r="N56" s="717">
        <f>'Prod &amp; Defects - Qty'!N$5*'Falhas UM-1 - Qty'!$E56/1000000</f>
        <v>26010.806074816046</v>
      </c>
      <c r="O56" s="717">
        <f>'Prod &amp; Defects - Qty'!O$5*'Falhas UM-1 - Qty'!$E56/1000000</f>
        <v>24105.405737671648</v>
      </c>
      <c r="P56" s="717">
        <f>'Prod &amp; Defects - Qty'!P$5*'Falhas UM-1 - Qty'!$E56/1000000</f>
        <v>24389.9525581452</v>
      </c>
      <c r="Q56" s="558">
        <f>'Prod &amp; Defects - Qty'!Q$5*'Falhas UM-1 - Qty'!$E56/1000000</f>
        <v>30027.093761424148</v>
      </c>
      <c r="R56" s="296">
        <f t="shared" si="6"/>
        <v>133804.66750228486</v>
      </c>
      <c r="S56" s="225">
        <f>R56/SUM('Prod &amp; Defects - Qty'!$F$5:$K$5)*1000000</f>
        <v>19415.7</v>
      </c>
      <c r="T56" s="225">
        <f t="shared" si="7"/>
        <v>169380.23748876314</v>
      </c>
      <c r="U56" s="225">
        <f>T56/SUM('Prod &amp; Defects - Qty'!$L$5:$Q$5)*1000000</f>
        <v>19415.700000000004</v>
      </c>
      <c r="V56" s="225">
        <f t="shared" si="8"/>
        <v>303184.90499104804</v>
      </c>
      <c r="W56" s="293">
        <f>V56/'Prod &amp; Defects - Qty'!$R$5*1000000</f>
        <v>19415.7</v>
      </c>
      <c r="X56" s="311">
        <f t="shared" si="14"/>
        <v>18444</v>
      </c>
      <c r="Y56" s="301">
        <f t="shared" si="15"/>
        <v>18444</v>
      </c>
      <c r="Z56" s="294">
        <f t="shared" si="16"/>
        <v>18444</v>
      </c>
      <c r="AA56" s="286">
        <f t="shared" si="9"/>
        <v>17521.8</v>
      </c>
    </row>
    <row r="57" spans="1:27" ht="20.100000000000001" customHeight="1" thickTop="1" thickBot="1">
      <c r="A57" s="4"/>
      <c r="B57" s="3"/>
      <c r="C57" s="41"/>
      <c r="D57" s="42" t="s">
        <v>1</v>
      </c>
      <c r="E57" s="50">
        <f>'[3]Falhas UM-1 - Qty'!AA57</f>
        <v>405</v>
      </c>
      <c r="F57" s="713">
        <f>SUBTOTAL(109,F37:F53)</f>
        <v>584.09829101250011</v>
      </c>
      <c r="G57" s="713">
        <f t="shared" ref="G57:V57" si="18">SUBTOTAL(109,G37:G53)</f>
        <v>318.73463873999998</v>
      </c>
      <c r="H57" s="713">
        <f t="shared" si="18"/>
        <v>317.27203287750001</v>
      </c>
      <c r="I57" s="713">
        <f t="shared" si="18"/>
        <v>320.62668706125004</v>
      </c>
      <c r="J57" s="713">
        <f t="shared" si="18"/>
        <v>579.18480813000008</v>
      </c>
      <c r="K57" s="713">
        <f t="shared" si="18"/>
        <v>671.16963943124995</v>
      </c>
      <c r="L57" s="713">
        <f t="shared" si="18"/>
        <v>675.9478716525</v>
      </c>
      <c r="M57" s="713">
        <f t="shared" si="18"/>
        <v>676.72170191250007</v>
      </c>
      <c r="N57" s="713">
        <f t="shared" si="18"/>
        <v>542.57000573249991</v>
      </c>
      <c r="O57" s="713">
        <f t="shared" si="18"/>
        <v>502.82448347249999</v>
      </c>
      <c r="P57" s="713">
        <f t="shared" si="18"/>
        <v>508.75996157999998</v>
      </c>
      <c r="Q57" s="786">
        <f t="shared" si="18"/>
        <v>626.34738759749996</v>
      </c>
      <c r="R57" s="168">
        <f t="shared" si="18"/>
        <v>2791.0860972525002</v>
      </c>
      <c r="S57" s="169">
        <f>R57/SUM('Prod &amp; Defects - Qty'!$F$5:$K$5)*1000000</f>
        <v>405</v>
      </c>
      <c r="T57" s="169">
        <f t="shared" si="18"/>
        <v>3533.1714119475005</v>
      </c>
      <c r="U57" s="169">
        <f>T57/SUM('Prod &amp; Defects - Qty'!$L$5:$Q$5)*1000000</f>
        <v>405.00000000000011</v>
      </c>
      <c r="V57" s="169">
        <f t="shared" si="18"/>
        <v>6324.2575092000006</v>
      </c>
      <c r="W57" s="170">
        <f>V57/'Prod &amp; Defects - Qty'!$R$5*1000000</f>
        <v>405</v>
      </c>
      <c r="X57" s="168">
        <f t="shared" si="14"/>
        <v>384</v>
      </c>
      <c r="Y57" s="170">
        <f t="shared" si="15"/>
        <v>384</v>
      </c>
      <c r="Z57" s="168">
        <f t="shared" si="16"/>
        <v>384</v>
      </c>
      <c r="AA57" s="170">
        <f>SUM(AA37:AA53)</f>
        <v>358.15</v>
      </c>
    </row>
    <row r="58" spans="1:27" ht="12.75" customHeight="1" thickTop="1">
      <c r="A58" s="2"/>
      <c r="B58" s="2"/>
      <c r="C58" s="623">
        <v>1460</v>
      </c>
      <c r="D58" s="624" t="s">
        <v>2</v>
      </c>
      <c r="E58" s="625">
        <f>'[3]Falhas UM-1 - Qty'!AA58</f>
        <v>274.98708349803866</v>
      </c>
      <c r="F58" s="718">
        <f>'Prod &amp; Defects - Qty'!F$5*'Falhas UM-1 - Qty'!$E58/1000000</f>
        <v>396.59132227584206</v>
      </c>
      <c r="G58" s="718">
        <f>'Prod &amp; Defects - Qty'!G$5*'Falhas UM-1 - Qty'!$E58/1000000</f>
        <v>216.41458942447792</v>
      </c>
      <c r="H58" s="718">
        <f>'Prod &amp; Defects - Qty'!H$5*'Falhas UM-1 - Qty'!$E58/1000000</f>
        <v>215.42150863327797</v>
      </c>
      <c r="I58" s="718">
        <f>'Prod &amp; Defects - Qty'!I$5*'Falhas UM-1 - Qty'!$E58/1000000</f>
        <v>217.69925325089253</v>
      </c>
      <c r="J58" s="718">
        <f>'Prod &amp; Defects - Qty'!J$5*'Falhas UM-1 - Qty'!$E58/1000000</f>
        <v>393.25516344207358</v>
      </c>
      <c r="K58" s="718">
        <f>'Prod &amp; Defects - Qty'!K$5*'Falhas UM-1 - Qty'!$E58/1000000</f>
        <v>455.71106587562872</v>
      </c>
      <c r="L58" s="718">
        <f>'Prod &amp; Defects - Qty'!L$5*'Falhas UM-1 - Qty'!$E58/1000000</f>
        <v>458.95539215414203</v>
      </c>
      <c r="M58" s="718">
        <f>'Prod &amp; Defects - Qty'!M$5*'Falhas UM-1 - Qty'!$E58/1000000</f>
        <v>459.4808077746851</v>
      </c>
      <c r="N58" s="718">
        <f>'Prod &amp; Defects - Qty'!N$5*'Falhas UM-1 - Qty'!$E58/1000000</f>
        <v>368.39442832072666</v>
      </c>
      <c r="O58" s="718">
        <f>'Prod &amp; Defects - Qty'!O$5*'Falhas UM-1 - Qty'!$E58/1000000</f>
        <v>341.40799560866793</v>
      </c>
      <c r="P58" s="718">
        <f>'Prod &amp; Defects - Qty'!P$5*'Falhas UM-1 - Qty'!$E58/1000000</f>
        <v>345.43806922335403</v>
      </c>
      <c r="Q58" s="789">
        <f>'Prod &amp; Defects - Qty'!Q$5*'Falhas UM-1 - Qty'!$E58/1000000</f>
        <v>425.2776330174126</v>
      </c>
      <c r="R58" s="627">
        <f t="shared" ref="R58" si="19">SUM(F58:K58)</f>
        <v>1895.0929029021929</v>
      </c>
      <c r="S58" s="628">
        <f>R58/SUM('Prod &amp; Defects - Qty'!F5:K5)*1000000</f>
        <v>274.98708349803866</v>
      </c>
      <c r="T58" s="629">
        <f t="shared" ref="T58" si="20">SUM(L58:Q58)</f>
        <v>2398.9543260989881</v>
      </c>
      <c r="U58" s="629">
        <f>T58/SUM('Prod &amp; Defects - Qty'!$L$5:$Q$5)*1000000</f>
        <v>274.98708349803866</v>
      </c>
      <c r="V58" s="629">
        <f t="shared" ref="V58" si="21">R58+T58</f>
        <v>4294.0472290011812</v>
      </c>
      <c r="W58" s="630">
        <f>V58/'Prod &amp; Defects - Qty'!$R$5*1000000</f>
        <v>274.9870834980386</v>
      </c>
      <c r="X58" s="627">
        <f t="shared" si="14"/>
        <v>261</v>
      </c>
      <c r="Y58" s="631">
        <f t="shared" si="15"/>
        <v>261</v>
      </c>
      <c r="Z58" s="627">
        <f t="shared" si="16"/>
        <v>261</v>
      </c>
      <c r="AA58" s="631">
        <f t="shared" si="9"/>
        <v>247.95</v>
      </c>
    </row>
    <row r="59" spans="1:27" ht="12.75" customHeight="1">
      <c r="A59" s="2"/>
      <c r="B59" s="2"/>
      <c r="C59" s="39">
        <v>1465</v>
      </c>
      <c r="D59" s="40" t="s">
        <v>263</v>
      </c>
      <c r="E59" s="53">
        <f>'[3]Falhas UM-1 - Qty'!AA59</f>
        <v>41.824605282665452</v>
      </c>
      <c r="F59" s="717">
        <f>'Prod &amp; Defects - Qty'!F$5*'Falhas UM-1 - Qty'!$E59/1000000</f>
        <v>60.320198686116726</v>
      </c>
      <c r="G59" s="717">
        <f>'Prod &amp; Defects - Qty'!G$5*'Falhas UM-1 - Qty'!$E59/1000000</f>
        <v>32.915927049909797</v>
      </c>
      <c r="H59" s="717">
        <f>'Prod &amp; Defects - Qty'!H$5*'Falhas UM-1 - Qty'!$E59/1000000</f>
        <v>32.76488282056863</v>
      </c>
      <c r="I59" s="717">
        <f>'Prod &amp; Defects - Qty'!I$5*'Falhas UM-1 - Qty'!$E59/1000000</f>
        <v>33.111320072655509</v>
      </c>
      <c r="J59" s="717">
        <f>'Prod &amp; Defects - Qty'!J$5*'Falhas UM-1 - Qty'!$E59/1000000</f>
        <v>59.81278021173722</v>
      </c>
      <c r="K59" s="717">
        <f>'Prod &amp; Defects - Qty'!K$5*'Falhas UM-1 - Qty'!$E59/1000000</f>
        <v>69.312111720792402</v>
      </c>
      <c r="L59" s="717">
        <f>'Prod &amp; Defects - Qty'!L$5*'Falhas UM-1 - Qty'!$E59/1000000</f>
        <v>69.805562774132383</v>
      </c>
      <c r="M59" s="717">
        <f>'Prod &amp; Defects - Qty'!M$5*'Falhas UM-1 - Qty'!$E59/1000000</f>
        <v>69.88547671284914</v>
      </c>
      <c r="N59" s="717">
        <f>'Prod &amp; Defects - Qty'!N$5*'Falhas UM-1 - Qty'!$E59/1000000</f>
        <v>56.031546488828006</v>
      </c>
      <c r="O59" s="717">
        <f>'Prod &amp; Defects - Qty'!O$5*'Falhas UM-1 - Qty'!$E59/1000000</f>
        <v>51.927001352339389</v>
      </c>
      <c r="P59" s="717">
        <f>'Prod &amp; Defects - Qty'!P$5*'Falhas UM-1 - Qty'!$E59/1000000</f>
        <v>52.539961917796397</v>
      </c>
      <c r="Q59" s="558">
        <f>'Prod &amp; Defects - Qty'!Q$5*'Falhas UM-1 - Qty'!$E59/1000000</f>
        <v>64.683289521220004</v>
      </c>
      <c r="R59" s="634">
        <f t="shared" ref="R59" si="22">SUM(F59:K59)</f>
        <v>288.2372205617803</v>
      </c>
      <c r="S59" s="635">
        <f>R59/SUM('Prod &amp; Defects - Qty'!F5:K5)*1000000</f>
        <v>41.824605282665452</v>
      </c>
      <c r="T59" s="222">
        <f t="shared" ref="T59" si="23">SUM(L59:Q59)</f>
        <v>364.87283876716532</v>
      </c>
      <c r="U59" s="222">
        <f>T59/SUM('Prod &amp; Defects - Qty'!$L$5:$Q$5)*1000000</f>
        <v>41.824605282665459</v>
      </c>
      <c r="V59" s="222">
        <f t="shared" ref="V59" si="24">R59+T59</f>
        <v>653.11005932894568</v>
      </c>
      <c r="W59" s="632">
        <f>V59/'Prod &amp; Defects - Qty'!$R$5*1000000</f>
        <v>41.824605282665452</v>
      </c>
      <c r="X59" s="292">
        <f t="shared" si="14"/>
        <v>39</v>
      </c>
      <c r="Y59" s="293">
        <f t="shared" si="15"/>
        <v>39</v>
      </c>
      <c r="Z59" s="292">
        <f t="shared" ref="Z59" si="25">(X59+Y59)/2</f>
        <v>39</v>
      </c>
      <c r="AA59" s="293">
        <f t="shared" ref="AA59" si="26">Z59*$AB$6</f>
        <v>37.049999999999997</v>
      </c>
    </row>
    <row r="60" spans="1:27" ht="13.5" thickBot="1">
      <c r="C60" s="41"/>
      <c r="D60" s="784" t="s">
        <v>1</v>
      </c>
      <c r="E60" s="50">
        <f>'[3]Falhas UM-1 - Qty'!AA60</f>
        <v>804.03805212485702</v>
      </c>
      <c r="F60" s="713">
        <f>SUBTOTAL(109,F58:F59)</f>
        <v>456.91152096195879</v>
      </c>
      <c r="G60" s="713">
        <f t="shared" ref="G60:Q60" si="27">SUBTOTAL(109,G58:G59)</f>
        <v>249.33051647438771</v>
      </c>
      <c r="H60" s="713">
        <f t="shared" si="27"/>
        <v>248.1863914538466</v>
      </c>
      <c r="I60" s="713">
        <f t="shared" si="27"/>
        <v>250.81057332354803</v>
      </c>
      <c r="J60" s="713">
        <f t="shared" si="27"/>
        <v>453.0679436538108</v>
      </c>
      <c r="K60" s="713">
        <f t="shared" si="27"/>
        <v>525.02317759642108</v>
      </c>
      <c r="L60" s="713">
        <f t="shared" si="27"/>
        <v>528.76095492827437</v>
      </c>
      <c r="M60" s="713">
        <f t="shared" si="27"/>
        <v>529.36628448753424</v>
      </c>
      <c r="N60" s="713">
        <f t="shared" si="27"/>
        <v>424.42597480955465</v>
      </c>
      <c r="O60" s="713">
        <f t="shared" si="27"/>
        <v>393.33499696100733</v>
      </c>
      <c r="P60" s="713">
        <f t="shared" si="27"/>
        <v>397.97803114115044</v>
      </c>
      <c r="Q60" s="786">
        <f t="shared" si="27"/>
        <v>489.96092253863259</v>
      </c>
      <c r="R60" s="633">
        <f>SUBTOTAL(109,R58:R59)</f>
        <v>2183.330123463973</v>
      </c>
      <c r="S60" s="576">
        <f>R60/SUM('Prod &amp; Defects - Qty'!$F$5:$K$5)*1000000</f>
        <v>316.81168878070412</v>
      </c>
      <c r="T60" s="169">
        <f>SUBTOTAL(109,T58:T59)</f>
        <v>2763.8271648661535</v>
      </c>
      <c r="U60" s="169">
        <f>T60/SUM('Prod &amp; Defects - Qty'!$L$5:$Q$5)*1000000</f>
        <v>316.81168878070412</v>
      </c>
      <c r="V60" s="169">
        <f>SUBTOTAL(109,V58:V59)</f>
        <v>4947.1572883301269</v>
      </c>
      <c r="W60" s="170">
        <f>V60/'Prod &amp; Defects - Qty'!$R$5*1000000</f>
        <v>316.81168878070412</v>
      </c>
      <c r="X60" s="168">
        <f t="shared" si="14"/>
        <v>300</v>
      </c>
      <c r="Y60" s="170">
        <f t="shared" si="15"/>
        <v>300</v>
      </c>
      <c r="Z60" s="168">
        <f t="shared" si="16"/>
        <v>300</v>
      </c>
      <c r="AA60" s="170">
        <f t="shared" si="9"/>
        <v>285</v>
      </c>
    </row>
    <row r="61" spans="1:27" ht="14.25" thickTop="1" thickBot="1">
      <c r="C61" s="48"/>
      <c r="D61" s="780" t="s">
        <v>0</v>
      </c>
      <c r="E61" s="781">
        <f>'[3]Falhas UM-1 - Qty'!AA61</f>
        <v>1565.0559137596399</v>
      </c>
      <c r="F61" s="782">
        <f>SUMIF($D$6:$D$60,$D$60,F6:F60)</f>
        <v>2817.9666128547087</v>
      </c>
      <c r="G61" s="783">
        <f t="shared" ref="G61:Q61" si="28">SUMIF($D$6:$D$60,$D$60,G6:G60)</f>
        <v>1537.7267561811875</v>
      </c>
      <c r="H61" s="783">
        <f t="shared" si="28"/>
        <v>1530.6704532408967</v>
      </c>
      <c r="I61" s="783">
        <f t="shared" si="28"/>
        <v>1546.854892800023</v>
      </c>
      <c r="J61" s="783">
        <f t="shared" si="28"/>
        <v>2794.2616458504108</v>
      </c>
      <c r="K61" s="783">
        <f t="shared" si="28"/>
        <v>3238.040008986296</v>
      </c>
      <c r="L61" s="783">
        <f t="shared" si="28"/>
        <v>3261.092462785824</v>
      </c>
      <c r="M61" s="783">
        <f t="shared" si="28"/>
        <v>3264.8257862182841</v>
      </c>
      <c r="N61" s="783">
        <f t="shared" si="28"/>
        <v>2617.6145090927048</v>
      </c>
      <c r="O61" s="783">
        <f t="shared" si="28"/>
        <v>2425.8632979309568</v>
      </c>
      <c r="P61" s="783">
        <f t="shared" si="28"/>
        <v>2454.4988536167507</v>
      </c>
      <c r="Q61" s="790">
        <f t="shared" si="28"/>
        <v>3021.7962515160825</v>
      </c>
      <c r="R61" s="171">
        <f>SUMIF($D$6:$D$60,$D$60,R6:R60)</f>
        <v>13465.520369913525</v>
      </c>
      <c r="S61" s="172">
        <f>R61/SUM('Prod &amp; Defects - Qty'!$F$5:$K$5)*1000000</f>
        <v>1953.9116887807043</v>
      </c>
      <c r="T61" s="172">
        <f>SUMIF($D$6:$D$60,$D$60,T6:T60)</f>
        <v>17045.691161160601</v>
      </c>
      <c r="U61" s="172">
        <f>T61/SUM('Prod &amp; Defects - Qty'!$L$5:$Q$5)*1000000</f>
        <v>1953.9116887807043</v>
      </c>
      <c r="V61" s="172">
        <f>SUMIF($D$6:$D$60,$D$60,V6:V60)</f>
        <v>30511.211531074125</v>
      </c>
      <c r="W61" s="173">
        <f>V61/'Prod &amp; Defects - Qty'!$R$5*1000000</f>
        <v>1953.9116887807036</v>
      </c>
      <c r="X61" s="171">
        <f t="shared" si="14"/>
        <v>1856</v>
      </c>
      <c r="Y61" s="173">
        <f t="shared" si="15"/>
        <v>1856</v>
      </c>
      <c r="Z61" s="171">
        <f t="shared" si="16"/>
        <v>1856</v>
      </c>
      <c r="AA61" s="173">
        <f t="shared" si="9"/>
        <v>1763.1999999999998</v>
      </c>
    </row>
    <row r="62" spans="1:27" ht="13.5" thickTop="1">
      <c r="C62" s="48"/>
      <c r="D62" s="624" t="s">
        <v>283</v>
      </c>
      <c r="E62" s="625">
        <v>360</v>
      </c>
      <c r="F62" s="718">
        <f>'Prod &amp; Defects - Qty'!F$5*'Falhas UM-1 - Qty'!$E62/1000000</f>
        <v>519.19848090000005</v>
      </c>
      <c r="G62" s="718">
        <f>'Prod &amp; Defects - Qty'!G$5*'Falhas UM-1 - Qty'!$E62/1000000</f>
        <v>283.31967887999997</v>
      </c>
      <c r="H62" s="718">
        <f>'Prod &amp; Defects - Qty'!H$5*'Falhas UM-1 - Qty'!$E62/1000000</f>
        <v>282.01958478000006</v>
      </c>
      <c r="I62" s="718">
        <f>'Prod &amp; Defects - Qty'!I$5*'Falhas UM-1 - Qty'!$E62/1000000</f>
        <v>285.00149961</v>
      </c>
      <c r="J62" s="718">
        <f>'Prod &amp; Defects - Qty'!J$5*'Falhas UM-1 - Qty'!$E62/1000000</f>
        <v>514.83094056000004</v>
      </c>
      <c r="K62" s="718">
        <f>'Prod &amp; Defects - Qty'!K$5*'Falhas UM-1 - Qty'!$E62/1000000</f>
        <v>596.59523504999993</v>
      </c>
      <c r="L62" s="718">
        <f>'Prod &amp; Defects - Qty'!L$5*'Falhas UM-1 - Qty'!$E62/1000000</f>
        <v>600.84255257999996</v>
      </c>
      <c r="M62" s="718">
        <f>'Prod &amp; Defects - Qty'!M$5*'Falhas UM-1 - Qty'!$E62/1000000</f>
        <v>601.53040170000008</v>
      </c>
      <c r="N62" s="718">
        <f>'Prod &amp; Defects - Qty'!N$5*'Falhas UM-1 - Qty'!$E62/1000000</f>
        <v>482.28444953999997</v>
      </c>
      <c r="O62" s="718">
        <f>'Prod &amp; Defects - Qty'!O$5*'Falhas UM-1 - Qty'!$E62/1000000</f>
        <v>446.95509642000002</v>
      </c>
      <c r="P62" s="718">
        <f>'Prod &amp; Defects - Qty'!P$5*'Falhas UM-1 - Qty'!$E62/1000000</f>
        <v>452.23107696</v>
      </c>
      <c r="Q62" s="626">
        <f>'Prod &amp; Defects - Qty'!Q$5*'Falhas UM-1 - Qty'!$E62/1000000</f>
        <v>556.7532334199999</v>
      </c>
      <c r="R62" s="646"/>
      <c r="S62" s="646"/>
      <c r="T62" s="646"/>
      <c r="U62" s="646"/>
      <c r="V62" s="646"/>
      <c r="W62" s="646"/>
      <c r="X62" s="646"/>
      <c r="Y62" s="646"/>
      <c r="Z62" s="646"/>
      <c r="AA62" s="646"/>
    </row>
    <row r="63" spans="1:27">
      <c r="C63" s="48"/>
      <c r="D63" s="40" t="s">
        <v>284</v>
      </c>
      <c r="E63" s="53">
        <v>40</v>
      </c>
      <c r="F63" s="717">
        <f>'Prod &amp; Defects - Qty'!F$5*'Falhas UM-1 - Qty'!$E63/1000000</f>
        <v>57.688720100000012</v>
      </c>
      <c r="G63" s="717">
        <f>'Prod &amp; Defects - Qty'!G$5*'Falhas UM-1 - Qty'!$E63/1000000</f>
        <v>31.479964320000001</v>
      </c>
      <c r="H63" s="717">
        <f>'Prod &amp; Defects - Qty'!H$5*'Falhas UM-1 - Qty'!$E63/1000000</f>
        <v>31.335509420000001</v>
      </c>
      <c r="I63" s="717">
        <f>'Prod &amp; Defects - Qty'!I$5*'Falhas UM-1 - Qty'!$E63/1000000</f>
        <v>31.666833290000003</v>
      </c>
      <c r="J63" s="717">
        <f>'Prod &amp; Defects - Qty'!J$5*'Falhas UM-1 - Qty'!$E63/1000000</f>
        <v>57.203437840000007</v>
      </c>
      <c r="K63" s="717">
        <f>'Prod &amp; Defects - Qty'!K$5*'Falhas UM-1 - Qty'!$E63/1000000</f>
        <v>66.288359450000002</v>
      </c>
      <c r="L63" s="717">
        <f>'Prod &amp; Defects - Qty'!L$5*'Falhas UM-1 - Qty'!$E63/1000000</f>
        <v>66.760283619999996</v>
      </c>
      <c r="M63" s="717">
        <f>'Prod &amp; Defects - Qty'!M$5*'Falhas UM-1 - Qty'!$E63/1000000</f>
        <v>66.83671129999999</v>
      </c>
      <c r="N63" s="717">
        <f>'Prod &amp; Defects - Qty'!N$5*'Falhas UM-1 - Qty'!$E63/1000000</f>
        <v>53.587161059999993</v>
      </c>
      <c r="O63" s="717">
        <f>'Prod &amp; Defects - Qty'!O$5*'Falhas UM-1 - Qty'!$E63/1000000</f>
        <v>49.661677379999993</v>
      </c>
      <c r="P63" s="717">
        <f>'Prod &amp; Defects - Qty'!P$5*'Falhas UM-1 - Qty'!$E63/1000000</f>
        <v>50.247897439999996</v>
      </c>
      <c r="Q63" s="555">
        <f>'Prod &amp; Defects - Qty'!Q$5*'Falhas UM-1 - Qty'!$E63/1000000</f>
        <v>61.861470379999993</v>
      </c>
      <c r="R63" s="646"/>
      <c r="S63" s="646"/>
      <c r="T63" s="646"/>
      <c r="U63" s="646"/>
      <c r="V63" s="646"/>
      <c r="W63" s="646"/>
      <c r="X63" s="646"/>
      <c r="Y63" s="646"/>
      <c r="Z63" s="646"/>
      <c r="AA63" s="646"/>
    </row>
    <row r="64" spans="1:27">
      <c r="D64" s="652" t="s">
        <v>288</v>
      </c>
      <c r="F64" s="653"/>
      <c r="G64" s="653"/>
      <c r="H64" s="653"/>
      <c r="I64" s="653"/>
      <c r="J64" s="653"/>
      <c r="K64" s="653"/>
      <c r="L64" s="653"/>
      <c r="M64" s="653"/>
      <c r="N64" s="653"/>
    </row>
    <row r="65" spans="1:17" ht="13.5" thickBot="1">
      <c r="A65" s="211" t="s">
        <v>262</v>
      </c>
      <c r="F65" s="643" t="s">
        <v>270</v>
      </c>
      <c r="G65" s="643" t="s">
        <v>271</v>
      </c>
      <c r="H65" s="643" t="s">
        <v>272</v>
      </c>
      <c r="I65" s="643" t="s">
        <v>273</v>
      </c>
      <c r="J65" s="643" t="s">
        <v>290</v>
      </c>
      <c r="K65" s="643" t="s">
        <v>291</v>
      </c>
      <c r="L65" s="643" t="s">
        <v>276</v>
      </c>
      <c r="M65" s="643" t="s">
        <v>276</v>
      </c>
      <c r="N65" s="643" t="s">
        <v>276</v>
      </c>
      <c r="O65" s="643" t="s">
        <v>279</v>
      </c>
      <c r="P65" s="643" t="s">
        <v>280</v>
      </c>
      <c r="Q65" s="643" t="s">
        <v>281</v>
      </c>
    </row>
    <row r="66" spans="1:17">
      <c r="A66" s="980" t="s">
        <v>254</v>
      </c>
      <c r="B66" s="981"/>
      <c r="C66" s="981"/>
      <c r="D66" s="965" t="s">
        <v>255</v>
      </c>
      <c r="E66" s="966"/>
      <c r="F66" s="644"/>
      <c r="G66" s="644"/>
      <c r="H66" s="644"/>
      <c r="I66" s="644"/>
      <c r="J66" s="644"/>
      <c r="K66" s="644"/>
      <c r="L66" s="644"/>
      <c r="M66" s="644"/>
      <c r="N66" s="644"/>
      <c r="O66" s="644"/>
      <c r="P66" s="644"/>
      <c r="Q66" s="644"/>
    </row>
    <row r="67" spans="1:17">
      <c r="A67" s="982"/>
      <c r="B67" s="983"/>
      <c r="C67" s="983"/>
      <c r="D67" s="952" t="s">
        <v>168</v>
      </c>
      <c r="E67" s="952"/>
      <c r="F67" s="636">
        <f t="shared" ref="F67:K67" si="29">F15+F17+F36</f>
        <v>1823.6846641612503</v>
      </c>
      <c r="G67" s="636">
        <f t="shared" si="29"/>
        <v>995.16037206599981</v>
      </c>
      <c r="H67" s="636">
        <f t="shared" si="29"/>
        <v>990.5937915397501</v>
      </c>
      <c r="I67" s="636">
        <f t="shared" si="29"/>
        <v>1001.067767380125</v>
      </c>
      <c r="J67" s="636">
        <f t="shared" si="29"/>
        <v>1808.3436787169999</v>
      </c>
      <c r="K67" s="636">
        <f t="shared" si="29"/>
        <v>2095.5407631131247</v>
      </c>
      <c r="L67" s="636">
        <f t="shared" ref="L67:M67" si="30">L15+L17+L36</f>
        <v>2110.4594659372497</v>
      </c>
      <c r="M67" s="636">
        <f t="shared" si="30"/>
        <v>2112.87553597125</v>
      </c>
      <c r="N67" s="636">
        <f t="shared" ref="N67" si="31">N15+N17+N36</f>
        <v>1694.0241290092504</v>
      </c>
      <c r="O67" s="636"/>
      <c r="P67" s="636"/>
      <c r="Q67" s="636"/>
    </row>
    <row r="68" spans="1:17">
      <c r="A68" s="982"/>
      <c r="B68" s="983"/>
      <c r="C68" s="983"/>
      <c r="D68" s="952" t="s">
        <v>169</v>
      </c>
      <c r="E68" s="952"/>
      <c r="F68" s="636">
        <f t="shared" ref="F68:K68" si="32">F57</f>
        <v>584.09829101250011</v>
      </c>
      <c r="G68" s="636">
        <f t="shared" si="32"/>
        <v>318.73463873999998</v>
      </c>
      <c r="H68" s="636">
        <f t="shared" si="32"/>
        <v>317.27203287750001</v>
      </c>
      <c r="I68" s="636">
        <f t="shared" si="32"/>
        <v>320.62668706125004</v>
      </c>
      <c r="J68" s="636">
        <f t="shared" si="32"/>
        <v>579.18480813000008</v>
      </c>
      <c r="K68" s="636">
        <f t="shared" si="32"/>
        <v>671.16963943124995</v>
      </c>
      <c r="L68" s="636">
        <f t="shared" ref="L68:M68" si="33">L57</f>
        <v>675.9478716525</v>
      </c>
      <c r="M68" s="636">
        <f t="shared" si="33"/>
        <v>676.72170191250007</v>
      </c>
      <c r="N68" s="636">
        <f t="shared" ref="N68" si="34">N57</f>
        <v>542.57000573249991</v>
      </c>
      <c r="O68" s="636"/>
      <c r="P68" s="636"/>
      <c r="Q68" s="636"/>
    </row>
    <row r="69" spans="1:17">
      <c r="A69" s="982"/>
      <c r="B69" s="983"/>
      <c r="C69" s="983"/>
      <c r="D69" s="952" t="s">
        <v>256</v>
      </c>
      <c r="E69" s="952"/>
      <c r="F69" s="636">
        <f t="shared" ref="F69:K69" si="35">SUM(F67:F68)</f>
        <v>2407.7829551737505</v>
      </c>
      <c r="G69" s="636">
        <f t="shared" si="35"/>
        <v>1313.8950108059998</v>
      </c>
      <c r="H69" s="636">
        <f t="shared" si="35"/>
        <v>1307.8658244172502</v>
      </c>
      <c r="I69" s="636">
        <f t="shared" si="35"/>
        <v>1321.694454441375</v>
      </c>
      <c r="J69" s="636">
        <f t="shared" si="35"/>
        <v>2387.5284868469998</v>
      </c>
      <c r="K69" s="636">
        <f t="shared" si="35"/>
        <v>2766.7104025443746</v>
      </c>
      <c r="L69" s="636">
        <f t="shared" ref="L69:M69" si="36">SUM(L67:L68)</f>
        <v>2786.4073375897497</v>
      </c>
      <c r="M69" s="636">
        <f t="shared" si="36"/>
        <v>2789.59723788375</v>
      </c>
      <c r="N69" s="636">
        <f t="shared" ref="N69" si="37">SUM(N67:N68)</f>
        <v>2236.5941347417502</v>
      </c>
      <c r="O69" s="636"/>
      <c r="P69" s="636"/>
      <c r="Q69" s="636"/>
    </row>
    <row r="70" spans="1:17" ht="13.5" thickBot="1">
      <c r="A70" s="984"/>
      <c r="B70" s="985"/>
      <c r="C70" s="985"/>
      <c r="D70" s="964" t="s">
        <v>257</v>
      </c>
      <c r="E70" s="964"/>
      <c r="F70" s="645">
        <f>F69/'Prod &amp; Defects - Qty'!F5*1000000</f>
        <v>1669.5000000000002</v>
      </c>
      <c r="G70" s="645">
        <f>G69/'Prod &amp; Defects - Qty'!G5*1000000</f>
        <v>1669.4999999999998</v>
      </c>
      <c r="H70" s="645">
        <f>H69/'Prod &amp; Defects - Qty'!H5*1000000</f>
        <v>1669.5000000000002</v>
      </c>
      <c r="I70" s="645">
        <f>I69/'Prod &amp; Defects - Qty'!I5*1000000</f>
        <v>1669.4999999999998</v>
      </c>
      <c r="J70" s="645">
        <f>J69/'Prod &amp; Defects - Qty'!J5*1000000</f>
        <v>1669.5</v>
      </c>
      <c r="K70" s="645">
        <f>K69/'Prod &amp; Defects - Qty'!K5*1000000</f>
        <v>1669.5</v>
      </c>
      <c r="L70" s="645">
        <f>L69/'Prod &amp; Defects - Qty'!L5*1000000</f>
        <v>1669.4999999999998</v>
      </c>
      <c r="M70" s="645">
        <f>M69/'Prod &amp; Defects - Qty'!M5*1000000</f>
        <v>1669.5</v>
      </c>
      <c r="N70" s="645">
        <f>N69/'Prod &amp; Defects - Qty'!N5*1000000</f>
        <v>1669.5000000000002</v>
      </c>
      <c r="O70" s="645"/>
      <c r="P70" s="645"/>
      <c r="Q70" s="645"/>
    </row>
    <row r="71" spans="1:17">
      <c r="A71" s="980" t="s">
        <v>258</v>
      </c>
      <c r="B71" s="981"/>
      <c r="C71" s="981"/>
      <c r="D71" s="963" t="s">
        <v>168</v>
      </c>
      <c r="E71" s="963"/>
      <c r="F71" s="644">
        <f t="shared" ref="F71:K71" si="38">SUM(F24:F32)</f>
        <v>459.49065559650012</v>
      </c>
      <c r="G71" s="644">
        <f t="shared" si="38"/>
        <v>250.73791580879998</v>
      </c>
      <c r="H71" s="644">
        <f t="shared" si="38"/>
        <v>249.58733253030005</v>
      </c>
      <c r="I71" s="644">
        <f t="shared" si="38"/>
        <v>252.22632715485005</v>
      </c>
      <c r="J71" s="644">
        <f t="shared" si="38"/>
        <v>455.62538239560007</v>
      </c>
      <c r="K71" s="644">
        <f t="shared" si="38"/>
        <v>527.98678301924997</v>
      </c>
      <c r="L71" s="644">
        <f t="shared" ref="L71:M71" si="39">SUM(L24:L32)</f>
        <v>531.74565903329994</v>
      </c>
      <c r="M71" s="644">
        <f t="shared" si="39"/>
        <v>532.35440550450005</v>
      </c>
      <c r="N71" s="644">
        <f t="shared" ref="N71" si="40">SUM(N24:N32)</f>
        <v>426.82173784290001</v>
      </c>
      <c r="O71" s="644"/>
      <c r="P71" s="644"/>
      <c r="Q71" s="644"/>
    </row>
    <row r="72" spans="1:17">
      <c r="A72" s="982"/>
      <c r="B72" s="983"/>
      <c r="C72" s="983"/>
      <c r="D72" s="952" t="s">
        <v>169</v>
      </c>
      <c r="E72" s="952"/>
      <c r="F72" s="636">
        <f t="shared" ref="F72:K72" si="41">SUM(F39:F47)</f>
        <v>134.99160503400003</v>
      </c>
      <c r="G72" s="636">
        <f t="shared" si="41"/>
        <v>73.663116508800002</v>
      </c>
      <c r="H72" s="636">
        <f t="shared" si="41"/>
        <v>73.325092042800009</v>
      </c>
      <c r="I72" s="636">
        <f t="shared" si="41"/>
        <v>74.1003898986</v>
      </c>
      <c r="J72" s="636">
        <f t="shared" si="41"/>
        <v>133.85604454560001</v>
      </c>
      <c r="K72" s="636">
        <f t="shared" si="41"/>
        <v>155.11476111299999</v>
      </c>
      <c r="L72" s="636">
        <f t="shared" ref="L72:M72" si="42">SUM(L39:L47)</f>
        <v>156.21906367080001</v>
      </c>
      <c r="M72" s="636">
        <f t="shared" si="42"/>
        <v>156.397904442</v>
      </c>
      <c r="N72" s="636">
        <f t="shared" ref="N72" si="43">SUM(N39:N47)</f>
        <v>125.39395688039998</v>
      </c>
      <c r="O72" s="636"/>
      <c r="P72" s="636"/>
      <c r="Q72" s="636"/>
    </row>
    <row r="73" spans="1:17">
      <c r="A73" s="982"/>
      <c r="B73" s="983"/>
      <c r="C73" s="983"/>
      <c r="D73" s="952" t="s">
        <v>256</v>
      </c>
      <c r="E73" s="952"/>
      <c r="F73" s="636">
        <f t="shared" ref="F73:K73" si="44">SUM(F71:F72)</f>
        <v>594.48226063050015</v>
      </c>
      <c r="G73" s="636">
        <f t="shared" si="44"/>
        <v>324.40103231759997</v>
      </c>
      <c r="H73" s="636">
        <f t="shared" si="44"/>
        <v>322.91242457310005</v>
      </c>
      <c r="I73" s="636">
        <f t="shared" si="44"/>
        <v>326.32671705345007</v>
      </c>
      <c r="J73" s="636">
        <f t="shared" si="44"/>
        <v>589.48142694120008</v>
      </c>
      <c r="K73" s="636">
        <f t="shared" si="44"/>
        <v>683.10154413224996</v>
      </c>
      <c r="L73" s="636">
        <f t="shared" ref="L73:M73" si="45">SUM(L71:L72)</f>
        <v>687.96472270409993</v>
      </c>
      <c r="M73" s="636">
        <f t="shared" si="45"/>
        <v>688.75230994650008</v>
      </c>
      <c r="N73" s="636">
        <f t="shared" ref="N73" si="46">SUM(N71:N72)</f>
        <v>552.21569472329998</v>
      </c>
      <c r="O73" s="636"/>
      <c r="P73" s="636"/>
      <c r="Q73" s="636"/>
    </row>
    <row r="74" spans="1:17" ht="13.5" thickBot="1">
      <c r="A74" s="984"/>
      <c r="B74" s="985"/>
      <c r="C74" s="985"/>
      <c r="D74" s="964" t="s">
        <v>257</v>
      </c>
      <c r="E74" s="964"/>
      <c r="F74" s="645">
        <f>F73/'Prod &amp; Defects - Qty'!F5*1000000</f>
        <v>412.20000000000005</v>
      </c>
      <c r="G74" s="645">
        <f>G73/'Prod &amp; Defects - Qty'!G5*1000000</f>
        <v>412.19999999999993</v>
      </c>
      <c r="H74" s="645">
        <f>H73/'Prod &amp; Defects - Qty'!H5*1000000</f>
        <v>412.20000000000005</v>
      </c>
      <c r="I74" s="645">
        <f>I73/'Prod &amp; Defects - Qty'!I5*1000000</f>
        <v>412.20000000000005</v>
      </c>
      <c r="J74" s="645">
        <f>J73/'Prod &amp; Defects - Qty'!J5*1000000</f>
        <v>412.20000000000005</v>
      </c>
      <c r="K74" s="645">
        <f>K73/'Prod &amp; Defects - Qty'!K5*1000000</f>
        <v>412.2</v>
      </c>
      <c r="L74" s="645">
        <f>L73/'Prod &amp; Defects - Qty'!L5*1000000</f>
        <v>412.2</v>
      </c>
      <c r="M74" s="645">
        <f>M73/'Prod &amp; Defects - Qty'!M5*1000000</f>
        <v>412.20000000000005</v>
      </c>
      <c r="N74" s="645">
        <f>N73/'Prod &amp; Defects - Qty'!N5*1000000</f>
        <v>412.2</v>
      </c>
      <c r="O74" s="645"/>
      <c r="P74" s="645"/>
      <c r="Q74" s="645"/>
    </row>
    <row r="75" spans="1:17">
      <c r="A75" s="980" t="s">
        <v>259</v>
      </c>
      <c r="B75" s="981"/>
      <c r="C75" s="981"/>
      <c r="D75" s="963" t="s">
        <v>260</v>
      </c>
      <c r="E75" s="963"/>
      <c r="F75" s="644" t="e">
        <f>F58/F$64*1000000</f>
        <v>#DIV/0!</v>
      </c>
      <c r="G75" s="644" t="e">
        <f t="shared" ref="G75:H75" si="47">G58/G$64*1000000</f>
        <v>#DIV/0!</v>
      </c>
      <c r="H75" s="644" t="e">
        <f t="shared" si="47"/>
        <v>#DIV/0!</v>
      </c>
      <c r="I75" s="644" t="e">
        <f t="shared" ref="I75:J75" si="48">I58/I$64*1000000</f>
        <v>#DIV/0!</v>
      </c>
      <c r="J75" s="644" t="e">
        <f t="shared" si="48"/>
        <v>#DIV/0!</v>
      </c>
      <c r="K75" s="644" t="e">
        <f t="shared" ref="K75:L75" si="49">K58/K$64*1000000</f>
        <v>#DIV/0!</v>
      </c>
      <c r="L75" s="644" t="e">
        <f t="shared" si="49"/>
        <v>#DIV/0!</v>
      </c>
      <c r="M75" s="644" t="e">
        <f t="shared" ref="M75:N75" si="50">M58/M$64*1000000</f>
        <v>#DIV/0!</v>
      </c>
      <c r="N75" s="644" t="e">
        <f t="shared" si="50"/>
        <v>#DIV/0!</v>
      </c>
      <c r="O75" s="644"/>
      <c r="P75" s="644"/>
      <c r="Q75" s="644"/>
    </row>
    <row r="76" spans="1:17">
      <c r="A76" s="982"/>
      <c r="B76" s="983"/>
      <c r="C76" s="983"/>
      <c r="D76" s="952" t="s">
        <v>261</v>
      </c>
      <c r="E76" s="952"/>
      <c r="F76" s="636" t="e">
        <f>F59/F$64*1000000</f>
        <v>#DIV/0!</v>
      </c>
      <c r="G76" s="636" t="e">
        <f t="shared" ref="G76:H76" si="51">G59/G$64*1000000</f>
        <v>#DIV/0!</v>
      </c>
      <c r="H76" s="636" t="e">
        <f t="shared" si="51"/>
        <v>#DIV/0!</v>
      </c>
      <c r="I76" s="636" t="e">
        <f t="shared" ref="I76:J76" si="52">I59/I$64*1000000</f>
        <v>#DIV/0!</v>
      </c>
      <c r="J76" s="636" t="e">
        <f t="shared" si="52"/>
        <v>#DIV/0!</v>
      </c>
      <c r="K76" s="636" t="e">
        <f t="shared" ref="K76:L76" si="53">K59/K$64*1000000</f>
        <v>#DIV/0!</v>
      </c>
      <c r="L76" s="636" t="e">
        <f t="shared" si="53"/>
        <v>#DIV/0!</v>
      </c>
      <c r="M76" s="636" t="e">
        <f t="shared" ref="M76:N76" si="54">M59/M$64*1000000</f>
        <v>#DIV/0!</v>
      </c>
      <c r="N76" s="636" t="e">
        <f t="shared" si="54"/>
        <v>#DIV/0!</v>
      </c>
      <c r="O76" s="636"/>
      <c r="P76" s="636"/>
      <c r="Q76" s="636"/>
    </row>
    <row r="77" spans="1:17" ht="13.5" thickBot="1">
      <c r="A77" s="986"/>
      <c r="B77" s="987"/>
      <c r="C77" s="987"/>
      <c r="D77" s="953" t="s">
        <v>257</v>
      </c>
      <c r="E77" s="953"/>
      <c r="F77" s="647">
        <f>SUM(F58:F59)/'Prod &amp; Defects - Qty'!F5*1000000</f>
        <v>316.81168878070412</v>
      </c>
      <c r="G77" s="647">
        <f>SUM(G58:G59)/'Prod &amp; Defects - Qty'!G5*1000000</f>
        <v>316.81168878070412</v>
      </c>
      <c r="H77" s="647">
        <f>SUM(H58:H59)/'Prod &amp; Defects - Qty'!H5*1000000</f>
        <v>316.81168878070412</v>
      </c>
      <c r="I77" s="647">
        <f>SUM(I58:I59)/'Prod &amp; Defects - Qty'!I5*1000000</f>
        <v>316.81168878070412</v>
      </c>
      <c r="J77" s="647">
        <f>SUM(J58:J59)/'Prod &amp; Defects - Qty'!J5*1000000</f>
        <v>316.81168878070412</v>
      </c>
      <c r="K77" s="647">
        <f>SUM(K58:K59)/'Prod &amp; Defects - Qty'!K5*1000000</f>
        <v>316.81168878070412</v>
      </c>
      <c r="L77" s="647">
        <f>SUM(L58:L59)/'Prod &amp; Defects - Qty'!L5*1000000</f>
        <v>316.81168878070412</v>
      </c>
      <c r="M77" s="647">
        <f>SUM(M58:M59)/'Prod &amp; Defects - Qty'!M5*1000000</f>
        <v>316.81168878070412</v>
      </c>
      <c r="N77" s="647">
        <f>SUM(N58:N59)/'Prod &amp; Defects - Qty'!N5*1000000</f>
        <v>316.81168878070412</v>
      </c>
      <c r="O77" s="647"/>
      <c r="P77" s="647"/>
      <c r="Q77" s="647"/>
    </row>
    <row r="78" spans="1:17">
      <c r="A78" s="954" t="s">
        <v>282</v>
      </c>
      <c r="B78" s="955"/>
      <c r="C78" s="955"/>
      <c r="D78" s="960" t="s">
        <v>260</v>
      </c>
      <c r="E78" s="960"/>
      <c r="F78" s="649" t="e">
        <f>F62/F64*1000000</f>
        <v>#DIV/0!</v>
      </c>
      <c r="G78" s="649" t="e">
        <f t="shared" ref="G78:H78" si="55">G62/G64*1000000</f>
        <v>#DIV/0!</v>
      </c>
      <c r="H78" s="649" t="e">
        <f t="shared" si="55"/>
        <v>#DIV/0!</v>
      </c>
      <c r="I78" s="649" t="e">
        <f t="shared" ref="I78:N78" si="56">I62/I64*1000000</f>
        <v>#DIV/0!</v>
      </c>
      <c r="J78" s="649" t="e">
        <f t="shared" si="56"/>
        <v>#DIV/0!</v>
      </c>
      <c r="K78" s="649" t="e">
        <f t="shared" si="56"/>
        <v>#DIV/0!</v>
      </c>
      <c r="L78" s="649" t="e">
        <f t="shared" si="56"/>
        <v>#DIV/0!</v>
      </c>
      <c r="M78" s="649" t="e">
        <f t="shared" si="56"/>
        <v>#DIV/0!</v>
      </c>
      <c r="N78" s="649" t="e">
        <f t="shared" si="56"/>
        <v>#DIV/0!</v>
      </c>
      <c r="O78" s="649"/>
      <c r="P78" s="649"/>
      <c r="Q78" s="649"/>
    </row>
    <row r="79" spans="1:17">
      <c r="A79" s="956"/>
      <c r="B79" s="957"/>
      <c r="C79" s="957"/>
      <c r="D79" s="961" t="s">
        <v>261</v>
      </c>
      <c r="E79" s="961"/>
      <c r="F79" s="648" t="e">
        <f>F63/F64*1000000</f>
        <v>#DIV/0!</v>
      </c>
      <c r="G79" s="648" t="e">
        <f t="shared" ref="G79:H79" si="57">G63/G64*1000000</f>
        <v>#DIV/0!</v>
      </c>
      <c r="H79" s="648" t="e">
        <f t="shared" si="57"/>
        <v>#DIV/0!</v>
      </c>
      <c r="I79" s="648" t="e">
        <f t="shared" ref="I79:J79" si="58">I63/I64*1000000</f>
        <v>#DIV/0!</v>
      </c>
      <c r="J79" s="648" t="e">
        <f t="shared" si="58"/>
        <v>#DIV/0!</v>
      </c>
      <c r="K79" s="648" t="e">
        <f t="shared" ref="K79:L79" si="59">K63/K64*1000000</f>
        <v>#DIV/0!</v>
      </c>
      <c r="L79" s="648" t="e">
        <f t="shared" si="59"/>
        <v>#DIV/0!</v>
      </c>
      <c r="M79" s="648" t="e">
        <f t="shared" ref="M79:N79" si="60">M63/M64*1000000</f>
        <v>#DIV/0!</v>
      </c>
      <c r="N79" s="648" t="e">
        <f t="shared" si="60"/>
        <v>#DIV/0!</v>
      </c>
      <c r="O79" s="648"/>
      <c r="P79" s="648"/>
      <c r="Q79" s="648"/>
    </row>
    <row r="80" spans="1:17" ht="13.5" thickBot="1">
      <c r="A80" s="958"/>
      <c r="B80" s="959"/>
      <c r="C80" s="959"/>
      <c r="D80" s="962" t="s">
        <v>257</v>
      </c>
      <c r="E80" s="962"/>
      <c r="F80" s="650" t="e">
        <f>F78+F79</f>
        <v>#DIV/0!</v>
      </c>
      <c r="G80" s="650" t="e">
        <f t="shared" ref="G80:H80" si="61">G78+G79</f>
        <v>#DIV/0!</v>
      </c>
      <c r="H80" s="650" t="e">
        <f t="shared" si="61"/>
        <v>#DIV/0!</v>
      </c>
      <c r="I80" s="650" t="e">
        <f t="shared" ref="I80:J80" si="62">I78+I79</f>
        <v>#DIV/0!</v>
      </c>
      <c r="J80" s="650" t="e">
        <f t="shared" si="62"/>
        <v>#DIV/0!</v>
      </c>
      <c r="K80" s="650" t="e">
        <f t="shared" ref="K80:L80" si="63">K78+K79</f>
        <v>#DIV/0!</v>
      </c>
      <c r="L80" s="650" t="e">
        <f t="shared" si="63"/>
        <v>#DIV/0!</v>
      </c>
      <c r="M80" s="650" t="e">
        <f t="shared" ref="M80:N80" si="64">M78+M79</f>
        <v>#DIV/0!</v>
      </c>
      <c r="N80" s="650" t="e">
        <f t="shared" si="64"/>
        <v>#DIV/0!</v>
      </c>
      <c r="O80" s="650"/>
      <c r="P80" s="650"/>
      <c r="Q80" s="650"/>
    </row>
  </sheetData>
  <mergeCells count="27">
    <mergeCell ref="A66:C70"/>
    <mergeCell ref="A71:C74"/>
    <mergeCell ref="A75:C77"/>
    <mergeCell ref="A36:A56"/>
    <mergeCell ref="B36:B56"/>
    <mergeCell ref="A1:F1"/>
    <mergeCell ref="B6:B15"/>
    <mergeCell ref="B16:B22"/>
    <mergeCell ref="A6:A35"/>
    <mergeCell ref="B23:B35"/>
    <mergeCell ref="C4:D4"/>
    <mergeCell ref="D66:E66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A78:C80"/>
    <mergeCell ref="D78:E78"/>
    <mergeCell ref="D79:E79"/>
    <mergeCell ref="D80:E80"/>
  </mergeCells>
  <phoneticPr fontId="24" type="noConversion"/>
  <printOptions horizontalCentered="1" gridLinesSet="0"/>
  <pageMargins left="0.98425196850393704" right="0.39370078740157483" top="0.39370078740157483" bottom="0.39370078740157483" header="0.51181102362204722" footer="0.31496062992125984"/>
  <pageSetup paperSize="9" scale="44" orientation="landscape" horizontalDpi="4294967292" r:id="rId1"/>
  <headerFooter alignWithMargins="0">
    <oddFooter>&amp;L&amp;A&amp;R&amp;F</oddFooter>
  </headerFooter>
  <ignoredErrors>
    <ignoredError sqref="U59:U61 U6:U58" evalError="1"/>
    <ignoredError sqref="AA15 AA22 AA36 AA57 R5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>
    <tabColor indexed="56"/>
    <pageSetUpPr fitToPage="1"/>
  </sheetPr>
  <dimension ref="A1:V101"/>
  <sheetViews>
    <sheetView showGridLines="0" topLeftCell="A66" zoomScaleNormal="100" zoomScaleSheetLayoutView="100" workbookViewId="0">
      <selection activeCell="V86" sqref="V86"/>
    </sheetView>
  </sheetViews>
  <sheetFormatPr defaultColWidth="11.42578125" defaultRowHeight="12.75"/>
  <cols>
    <col min="1" max="1" width="3.28515625" style="1" bestFit="1" customWidth="1"/>
    <col min="2" max="2" width="2.7109375" style="1" customWidth="1"/>
    <col min="3" max="3" width="5" style="1" customWidth="1"/>
    <col min="4" max="4" width="18" style="1" bestFit="1" customWidth="1"/>
    <col min="5" max="5" width="9.5703125" style="1" customWidth="1"/>
    <col min="6" max="6" width="7.5703125" style="1" bestFit="1" customWidth="1"/>
    <col min="7" max="8" width="7.42578125" style="1" bestFit="1" customWidth="1"/>
    <col min="9" max="10" width="7.5703125" style="1" bestFit="1" customWidth="1"/>
    <col min="11" max="12" width="7.85546875" style="1" bestFit="1" customWidth="1"/>
    <col min="13" max="16" width="7.42578125" style="1" bestFit="1" customWidth="1"/>
    <col min="17" max="17" width="7.85546875" style="1" bestFit="1" customWidth="1"/>
    <col min="18" max="20" width="8.42578125" style="1" bestFit="1" customWidth="1"/>
    <col min="21" max="16384" width="11.42578125" style="1"/>
  </cols>
  <sheetData>
    <row r="1" spans="1:20" ht="18" customHeight="1">
      <c r="A1" s="967" t="s">
        <v>58</v>
      </c>
      <c r="B1" s="967"/>
      <c r="C1" s="967"/>
      <c r="D1" s="967"/>
      <c r="E1" s="967"/>
      <c r="F1" s="967"/>
    </row>
    <row r="2" spans="1:20" ht="18" customHeight="1">
      <c r="A2" s="17"/>
      <c r="B2" s="17"/>
      <c r="C2" s="17"/>
      <c r="D2" s="17"/>
      <c r="E2" s="17"/>
      <c r="F2" s="17"/>
    </row>
    <row r="3" spans="1:20" ht="9.9499999999999993" customHeight="1" thickBot="1">
      <c r="A3" s="17"/>
      <c r="B3" s="17"/>
      <c r="C3" s="17"/>
      <c r="D3" s="17"/>
      <c r="E3" s="17"/>
      <c r="F3" s="17"/>
    </row>
    <row r="4" spans="1:20" ht="38.25">
      <c r="A4" s="16"/>
      <c r="B4" s="15"/>
      <c r="C4" s="978" t="s">
        <v>57</v>
      </c>
      <c r="D4" s="979"/>
      <c r="E4" s="480" t="s">
        <v>202</v>
      </c>
      <c r="F4" s="14" t="s">
        <v>56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62" t="s">
        <v>251</v>
      </c>
      <c r="S4" s="12" t="s">
        <v>251</v>
      </c>
      <c r="T4" s="19" t="s">
        <v>251</v>
      </c>
    </row>
    <row r="5" spans="1:20" ht="18" customHeight="1" thickBot="1">
      <c r="A5" s="10"/>
      <c r="B5" s="9"/>
      <c r="C5" s="8" t="s">
        <v>51</v>
      </c>
      <c r="D5" s="25" t="s">
        <v>50</v>
      </c>
      <c r="E5" s="26">
        <f>'Falhas UM-1 - Qty'!E5</f>
        <v>2022</v>
      </c>
      <c r="F5" s="18">
        <f>'Falhas UM-1 - Qty'!F5</f>
        <v>44652</v>
      </c>
      <c r="G5" s="18">
        <f>'Falhas UM-1 - Qty'!G5</f>
        <v>44682</v>
      </c>
      <c r="H5" s="18">
        <f>'Falhas UM-1 - Qty'!H5</f>
        <v>44713</v>
      </c>
      <c r="I5" s="18">
        <f>'Falhas UM-1 - Qty'!I5</f>
        <v>44743</v>
      </c>
      <c r="J5" s="18">
        <f>'Falhas UM-1 - Qty'!J5</f>
        <v>44774</v>
      </c>
      <c r="K5" s="18">
        <f>'Falhas UM-1 - Qty'!K5</f>
        <v>44805</v>
      </c>
      <c r="L5" s="18">
        <f>'Falhas UM-1 - Qty'!L5</f>
        <v>44835</v>
      </c>
      <c r="M5" s="18">
        <f>'Falhas UM-1 - Qty'!M5</f>
        <v>44866</v>
      </c>
      <c r="N5" s="18">
        <f>'Falhas UM-1 - Qty'!N5</f>
        <v>44896</v>
      </c>
      <c r="O5" s="18">
        <f>'Falhas UM-1 - Qty'!O5</f>
        <v>44927</v>
      </c>
      <c r="P5" s="18">
        <f>'Falhas UM-1 - Qty'!P5</f>
        <v>44958</v>
      </c>
      <c r="Q5" s="763">
        <f>'Falhas UM-1 - Qty'!Q5</f>
        <v>44986</v>
      </c>
      <c r="R5" s="765" t="s">
        <v>55</v>
      </c>
      <c r="S5" s="719" t="s">
        <v>54</v>
      </c>
      <c r="T5" s="720" t="s">
        <v>1</v>
      </c>
    </row>
    <row r="6" spans="1:20" ht="18" customHeight="1" thickTop="1">
      <c r="A6" s="972" t="s">
        <v>47</v>
      </c>
      <c r="B6" s="968" t="s">
        <v>20</v>
      </c>
      <c r="C6" s="28">
        <v>1010</v>
      </c>
      <c r="D6" s="738" t="s">
        <v>46</v>
      </c>
      <c r="E6" s="753">
        <f>'[2]Falhas UM-1'!I6</f>
        <v>515.30999999999995</v>
      </c>
      <c r="F6" s="125">
        <f>$E6/1000*'Falhas UM-1 - Qty'!F6</f>
        <v>22.741594381369218</v>
      </c>
      <c r="G6" s="125">
        <f>$E6/1000*'Falhas UM-1 - Qty'!G6</f>
        <v>12.409784416510487</v>
      </c>
      <c r="H6" s="125">
        <f>$E6/1000*'Falhas UM-1 - Qty'!H6</f>
        <v>12.352838539803452</v>
      </c>
      <c r="I6" s="125">
        <f>$E6/1000*'Falhas UM-1 - Qty'!I6</f>
        <v>12.483450434942474</v>
      </c>
      <c r="J6" s="125">
        <f>$E6/1000*'Falhas UM-1 - Qty'!J6</f>
        <v>22.550290218297754</v>
      </c>
      <c r="K6" s="125">
        <f>$E6/1000*'Falhas UM-1 - Qty'!K6</f>
        <v>26.131676698757314</v>
      </c>
      <c r="L6" s="125">
        <f>$E6/1000*'Falhas UM-1 - Qty'!L6</f>
        <v>26.317714940449981</v>
      </c>
      <c r="M6" s="125">
        <f>$E6/1000*'Falhas UM-1 - Qty'!M6</f>
        <v>26.347843660502292</v>
      </c>
      <c r="N6" s="125">
        <f>$E6/1000*'Falhas UM-1 - Qty'!N6</f>
        <v>21.124709973858877</v>
      </c>
      <c r="O6" s="125">
        <f>$E6/1000*'Falhas UM-1 - Qty'!O6</f>
        <v>19.577236612576161</v>
      </c>
      <c r="P6" s="125">
        <f>$E6/1000*'Falhas UM-1 - Qty'!P6</f>
        <v>19.808331682801896</v>
      </c>
      <c r="Q6" s="748">
        <f>$E6/1000*'Falhas UM-1 - Qty'!Q6</f>
        <v>24.386543240661112</v>
      </c>
      <c r="R6" s="766">
        <f t="shared" ref="R6:R37" si="0">SUM(F6:K6)</f>
        <v>108.66963468968071</v>
      </c>
      <c r="S6" s="54">
        <f t="shared" ref="S6:S37" si="1">SUM(L6:Q6)</f>
        <v>137.56238011085031</v>
      </c>
      <c r="T6" s="730">
        <f t="shared" ref="T6:T37" si="2">R6+S6</f>
        <v>246.23201480053103</v>
      </c>
    </row>
    <row r="7" spans="1:20" ht="18" customHeight="1">
      <c r="A7" s="973"/>
      <c r="B7" s="968"/>
      <c r="C7" s="28">
        <v>1020</v>
      </c>
      <c r="D7" s="738" t="s">
        <v>45</v>
      </c>
      <c r="E7" s="753">
        <f>'[2]Falhas UM-1'!I7</f>
        <v>618.44879999999989</v>
      </c>
      <c r="F7" s="125">
        <f>$E7/1000*'Falhas UM-1 - Qty'!F7</f>
        <v>57.79758194539702</v>
      </c>
      <c r="G7" s="125">
        <f>$E7/1000*'Falhas UM-1 - Qty'!G7</f>
        <v>31.539368775549836</v>
      </c>
      <c r="H7" s="125">
        <f>$E7/1000*'Falhas UM-1 - Qty'!H7</f>
        <v>31.394641281064064</v>
      </c>
      <c r="I7" s="125">
        <f>$E7/1000*'Falhas UM-1 - Qty'!I7</f>
        <v>31.726590377760893</v>
      </c>
      <c r="J7" s="125">
        <f>$E7/1000*'Falhas UM-1 - Qty'!J7</f>
        <v>57.311383930596584</v>
      </c>
      <c r="K7" s="125">
        <f>$E7/1000*'Falhas UM-1 - Qty'!K7</f>
        <v>66.413449296430258</v>
      </c>
      <c r="L7" s="125">
        <f>$E7/1000*'Falhas UM-1 - Qty'!L7</f>
        <v>66.886264013766805</v>
      </c>
      <c r="M7" s="125">
        <f>$E7/1000*'Falhas UM-1 - Qty'!M7</f>
        <v>66.96283591707892</v>
      </c>
      <c r="N7" s="125">
        <f>$E7/1000*'Falhas UM-1 - Qty'!N7</f>
        <v>53.68828303380122</v>
      </c>
      <c r="O7" s="125">
        <f>$E7/1000*'Falhas UM-1 - Qty'!O7</f>
        <v>49.755391746269986</v>
      </c>
      <c r="P7" s="125">
        <f>$E7/1000*'Falhas UM-1 - Qty'!P7</f>
        <v>50.342718036351521</v>
      </c>
      <c r="Q7" s="748">
        <f>$E7/1000*'Falhas UM-1 - Qty'!Q7</f>
        <v>61.978206438849391</v>
      </c>
      <c r="R7" s="766">
        <f t="shared" si="0"/>
        <v>276.18301560679868</v>
      </c>
      <c r="S7" s="54">
        <f t="shared" si="1"/>
        <v>349.61369918611786</v>
      </c>
      <c r="T7" s="731">
        <f t="shared" si="2"/>
        <v>625.79671479291653</v>
      </c>
    </row>
    <row r="8" spans="1:20" ht="18" customHeight="1">
      <c r="A8" s="973"/>
      <c r="B8" s="968"/>
      <c r="C8" s="28">
        <v>1030</v>
      </c>
      <c r="D8" s="738" t="s">
        <v>44</v>
      </c>
      <c r="E8" s="753">
        <f>'[2]Falhas UM-1'!I8</f>
        <v>618.44879999999989</v>
      </c>
      <c r="F8" s="125">
        <f>$E8/1000*'Falhas UM-1 - Qty'!F8</f>
        <v>626.14047107513443</v>
      </c>
      <c r="G8" s="125">
        <f>$E8/1000*'Falhas UM-1 - Qty'!G8</f>
        <v>341.67649506845652</v>
      </c>
      <c r="H8" s="125">
        <f>$E8/1000*'Falhas UM-1 - Qty'!H8</f>
        <v>340.10861387819409</v>
      </c>
      <c r="I8" s="125">
        <f>$E8/1000*'Falhas UM-1 - Qty'!I8</f>
        <v>343.70472909240971</v>
      </c>
      <c r="J8" s="125">
        <f>$E8/1000*'Falhas UM-1 - Qty'!J8</f>
        <v>620.8733259147964</v>
      </c>
      <c r="K8" s="125">
        <f>$E8/1000*'Falhas UM-1 - Qty'!K8</f>
        <v>719.47903404466115</v>
      </c>
      <c r="L8" s="125">
        <f>$E8/1000*'Falhas UM-1 - Qty'!L8</f>
        <v>724.60119348247372</v>
      </c>
      <c r="M8" s="125">
        <f>$E8/1000*'Falhas UM-1 - Qty'!M8</f>
        <v>725.43072243502172</v>
      </c>
      <c r="N8" s="125">
        <f>$E8/1000*'Falhas UM-1 - Qty'!N8</f>
        <v>581.62306619951335</v>
      </c>
      <c r="O8" s="125">
        <f>$E8/1000*'Falhas UM-1 - Qty'!O8</f>
        <v>539.01674391792483</v>
      </c>
      <c r="P8" s="125">
        <f>$E8/1000*'Falhas UM-1 - Qty'!P8</f>
        <v>545.37944539380828</v>
      </c>
      <c r="Q8" s="748">
        <f>$E8/1000*'Falhas UM-1 - Qty'!Q8</f>
        <v>671.43056975420166</v>
      </c>
      <c r="R8" s="766">
        <f t="shared" si="0"/>
        <v>2991.9826690736522</v>
      </c>
      <c r="S8" s="54">
        <f t="shared" si="1"/>
        <v>3787.481741182944</v>
      </c>
      <c r="T8" s="731">
        <f t="shared" si="2"/>
        <v>6779.4644102565962</v>
      </c>
    </row>
    <row r="9" spans="1:20" ht="18" customHeight="1">
      <c r="A9" s="973"/>
      <c r="B9" s="968"/>
      <c r="C9" s="28">
        <v>1040</v>
      </c>
      <c r="D9" s="738" t="s">
        <v>43</v>
      </c>
      <c r="E9" s="753">
        <f>'[2]Falhas UM-1'!I9</f>
        <v>621.94139999999993</v>
      </c>
      <c r="F9" s="125">
        <f>$E9/1000*'Falhas UM-1 - Qty'!F9</f>
        <v>3.2291103008881925</v>
      </c>
      <c r="G9" s="125">
        <f>$E9/1000*'Falhas UM-1 - Qty'!G9</f>
        <v>1.7620823773017762</v>
      </c>
      <c r="H9" s="125">
        <f>$E9/1000*'Falhas UM-1 - Qty'!H9</f>
        <v>1.7539965538549189</v>
      </c>
      <c r="I9" s="125">
        <f>$E9/1000*'Falhas UM-1 - Qty'!I9</f>
        <v>1.7725423166954288</v>
      </c>
      <c r="J9" s="125">
        <f>$E9/1000*'Falhas UM-1 - Qty'!J9</f>
        <v>3.2019467593520319</v>
      </c>
      <c r="K9" s="125">
        <f>$E9/1000*'Falhas UM-1 - Qty'!K9</f>
        <v>3.7104727572032603</v>
      </c>
      <c r="L9" s="125">
        <f>$E9/1000*'Falhas UM-1 - Qty'!L9</f>
        <v>3.7368885833117877</v>
      </c>
      <c r="M9" s="125">
        <f>$E9/1000*'Falhas UM-1 - Qty'!M9</f>
        <v>3.7411666017586036</v>
      </c>
      <c r="N9" s="125">
        <f>$E9/1000*'Falhas UM-1 - Qty'!N9</f>
        <v>2.9995266574513688</v>
      </c>
      <c r="O9" s="125">
        <f>$E9/1000*'Falhas UM-1 - Qty'!O9</f>
        <v>2.779798784045898</v>
      </c>
      <c r="P9" s="125">
        <f>$E9/1000*'Falhas UM-1 - Qty'!P9</f>
        <v>2.8126122912801019</v>
      </c>
      <c r="Q9" s="748">
        <f>$E9/1000*'Falhas UM-1 - Qty'!Q9</f>
        <v>3.4626788544776153</v>
      </c>
      <c r="R9" s="766">
        <f t="shared" si="0"/>
        <v>15.430151065295608</v>
      </c>
      <c r="S9" s="54">
        <f t="shared" si="1"/>
        <v>19.532671772325376</v>
      </c>
      <c r="T9" s="731">
        <f t="shared" si="2"/>
        <v>34.962822837620983</v>
      </c>
    </row>
    <row r="10" spans="1:20" ht="18" customHeight="1">
      <c r="A10" s="973"/>
      <c r="B10" s="968"/>
      <c r="C10" s="28">
        <v>1050</v>
      </c>
      <c r="D10" s="738" t="s">
        <v>42</v>
      </c>
      <c r="E10" s="753">
        <f>'[2]Falhas UM-1'!I10</f>
        <v>642.23119999999994</v>
      </c>
      <c r="F10" s="125">
        <f>$E10/1000*'Falhas UM-1 - Qty'!F10</f>
        <v>1.6672273171329202</v>
      </c>
      <c r="G10" s="125">
        <f>$E10/1000*'Falhas UM-1 - Qty'!G10</f>
        <v>0.90978368675358512</v>
      </c>
      <c r="H10" s="125">
        <f>$E10/1000*'Falhas UM-1 - Qty'!H10</f>
        <v>0.9056088817838055</v>
      </c>
      <c r="I10" s="125">
        <f>$E10/1000*'Falhas UM-1 - Qty'!I10</f>
        <v>0.91518427548164916</v>
      </c>
      <c r="J10" s="125">
        <f>$E10/1000*'Falhas UM-1 - Qty'!J10</f>
        <v>1.653202463764887</v>
      </c>
      <c r="K10" s="125">
        <f>$E10/1000*'Falhas UM-1 - Qty'!K10</f>
        <v>1.9157603686022173</v>
      </c>
      <c r="L10" s="125">
        <f>$E10/1000*'Falhas UM-1 - Qty'!L10</f>
        <v>1.9293991677725821</v>
      </c>
      <c r="M10" s="125">
        <f>$E10/1000*'Falhas UM-1 - Qty'!M10</f>
        <v>1.9316079586013648</v>
      </c>
      <c r="N10" s="125">
        <f>$E10/1000*'Falhas UM-1 - Qty'!N10</f>
        <v>1.5486906038470678</v>
      </c>
      <c r="O10" s="125">
        <f>$E10/1000*'Falhas UM-1 - Qty'!O10</f>
        <v>1.4352425395996615</v>
      </c>
      <c r="P10" s="125">
        <f>$E10/1000*'Falhas UM-1 - Qty'!P10</f>
        <v>1.4521845361665657</v>
      </c>
      <c r="Q10" s="748">
        <f>$E10/1000*'Falhas UM-1 - Qty'!Q10</f>
        <v>1.7878214860160329</v>
      </c>
      <c r="R10" s="766">
        <f t="shared" si="0"/>
        <v>7.9667669935190641</v>
      </c>
      <c r="S10" s="54">
        <f t="shared" si="1"/>
        <v>10.084946292003274</v>
      </c>
      <c r="T10" s="731">
        <f t="shared" si="2"/>
        <v>18.051713285522339</v>
      </c>
    </row>
    <row r="11" spans="1:20" ht="18" customHeight="1">
      <c r="A11" s="973"/>
      <c r="B11" s="968"/>
      <c r="C11" s="28">
        <v>1060</v>
      </c>
      <c r="D11" s="738" t="s">
        <v>41</v>
      </c>
      <c r="E11" s="753">
        <f>'[2]Falhas UM-1'!I11</f>
        <v>653.37899999999991</v>
      </c>
      <c r="F11" s="125">
        <f>$E11/1000*'Falhas UM-1 - Qty'!F11</f>
        <v>9.3289180669289316</v>
      </c>
      <c r="G11" s="125">
        <f>$E11/1000*'Falhas UM-1 - Qty'!G11</f>
        <v>5.0906660328407263</v>
      </c>
      <c r="H11" s="125">
        <f>$E11/1000*'Falhas UM-1 - Qty'!H11</f>
        <v>5.0673060428092196</v>
      </c>
      <c r="I11" s="125">
        <f>$E11/1000*'Falhas UM-1 - Qty'!I11</f>
        <v>5.12088485737626</v>
      </c>
      <c r="J11" s="125">
        <f>$E11/1000*'Falhas UM-1 - Qty'!J11</f>
        <v>9.2504424405841856</v>
      </c>
      <c r="K11" s="125">
        <f>$E11/1000*'Falhas UM-1 - Qty'!K11</f>
        <v>10.719576947247683</v>
      </c>
      <c r="L11" s="125">
        <f>$E11/1000*'Falhas UM-1 - Qty'!L11</f>
        <v>10.795892419459612</v>
      </c>
      <c r="M11" s="125">
        <f>$E11/1000*'Falhas UM-1 - Qty'!M11</f>
        <v>10.808251639139467</v>
      </c>
      <c r="N11" s="125">
        <f>$E11/1000*'Falhas UM-1 - Qty'!N11</f>
        <v>8.6656496122898794</v>
      </c>
      <c r="O11" s="125">
        <f>$E11/1000*'Falhas UM-1 - Qty'!O11</f>
        <v>8.0308545334545869</v>
      </c>
      <c r="P11" s="125">
        <f>$E11/1000*'Falhas UM-1 - Qty'!P11</f>
        <v>8.1256529429088147</v>
      </c>
      <c r="Q11" s="748">
        <f>$E11/1000*'Falhas UM-1 - Qty'!Q11</f>
        <v>10.00369894971497</v>
      </c>
      <c r="R11" s="766">
        <f t="shared" si="0"/>
        <v>44.577794387787009</v>
      </c>
      <c r="S11" s="54">
        <f t="shared" si="1"/>
        <v>56.430000096967333</v>
      </c>
      <c r="T11" s="731">
        <f t="shared" si="2"/>
        <v>101.00779448475434</v>
      </c>
    </row>
    <row r="12" spans="1:20" ht="18" customHeight="1">
      <c r="A12" s="973"/>
      <c r="B12" s="968"/>
      <c r="C12" s="28">
        <v>1070</v>
      </c>
      <c r="D12" s="738" t="s">
        <v>40</v>
      </c>
      <c r="E12" s="753">
        <f>'[2]Falhas UM-1'!I12</f>
        <v>682.67179999999996</v>
      </c>
      <c r="F12" s="125">
        <f>$E12/1000*'Falhas UM-1 - Qty'!F12</f>
        <v>20.380424287012943</v>
      </c>
      <c r="G12" s="125">
        <f>$E12/1000*'Falhas UM-1 - Qty'!G12</f>
        <v>11.121325421494815</v>
      </c>
      <c r="H12" s="125">
        <f>$E12/1000*'Falhas UM-1 - Qty'!H12</f>
        <v>11.070292010678372</v>
      </c>
      <c r="I12" s="125">
        <f>$E12/1000*'Falhas UM-1 - Qty'!I12</f>
        <v>11.187342987633835</v>
      </c>
      <c r="J12" s="125">
        <f>$E12/1000*'Falhas UM-1 - Qty'!J12</f>
        <v>20.208982481047819</v>
      </c>
      <c r="K12" s="125">
        <f>$E12/1000*'Falhas UM-1 - Qty'!K12</f>
        <v>23.418527721522871</v>
      </c>
      <c r="L12" s="125">
        <f>$E12/1000*'Falhas UM-1 - Qty'!L12</f>
        <v>23.585250345967037</v>
      </c>
      <c r="M12" s="125">
        <f>$E12/1000*'Falhas UM-1 - Qty'!M12</f>
        <v>23.612250919787567</v>
      </c>
      <c r="N12" s="125">
        <f>$E12/1000*'Falhas UM-1 - Qty'!N12</f>
        <v>18.931414613570151</v>
      </c>
      <c r="O12" s="125">
        <f>$E12/1000*'Falhas UM-1 - Qty'!O12</f>
        <v>17.544609311052358</v>
      </c>
      <c r="P12" s="125">
        <f>$E12/1000*'Falhas UM-1 - Qty'!P12</f>
        <v>17.751710691142748</v>
      </c>
      <c r="Q12" s="748">
        <f>$E12/1000*'Falhas UM-1 - Qty'!Q12</f>
        <v>21.85458459084246</v>
      </c>
      <c r="R12" s="766">
        <f t="shared" si="0"/>
        <v>97.386894909390662</v>
      </c>
      <c r="S12" s="54">
        <f t="shared" si="1"/>
        <v>123.27982047236232</v>
      </c>
      <c r="T12" s="731">
        <f t="shared" si="2"/>
        <v>220.66671538175297</v>
      </c>
    </row>
    <row r="13" spans="1:20" ht="18" customHeight="1">
      <c r="A13" s="973"/>
      <c r="B13" s="968"/>
      <c r="C13" s="28">
        <v>1080</v>
      </c>
      <c r="D13" s="738" t="s">
        <v>39</v>
      </c>
      <c r="E13" s="753">
        <f>'[2]Falhas UM-1'!I13</f>
        <v>842.06137999999987</v>
      </c>
      <c r="F13" s="125">
        <f>$E13/1000*'Falhas UM-1 - Qty'!F13</f>
        <v>1.0929924733013938</v>
      </c>
      <c r="G13" s="125">
        <f>$E13/1000*'Falhas UM-1 - Qty'!G13</f>
        <v>0.59643139944712409</v>
      </c>
      <c r="H13" s="125">
        <f>$E13/1000*'Falhas UM-1 - Qty'!H13</f>
        <v>0.59369450186718442</v>
      </c>
      <c r="I13" s="125">
        <f>$E13/1000*'Falhas UM-1 - Qty'!I13</f>
        <v>0.59997189015916519</v>
      </c>
      <c r="J13" s="125">
        <f>$E13/1000*'Falhas UM-1 - Qty'!J13</f>
        <v>1.0837981306866287</v>
      </c>
      <c r="K13" s="125">
        <f>$E13/1000*'Falhas UM-1 - Qty'!K13</f>
        <v>1.2559245173190681</v>
      </c>
      <c r="L13" s="125">
        <f>$E13/1000*'Falhas UM-1 - Qty'!L13</f>
        <v>1.2648657724705932</v>
      </c>
      <c r="M13" s="125">
        <f>$E13/1000*'Falhas UM-1 - Qty'!M13</f>
        <v>1.2663138004186407</v>
      </c>
      <c r="N13" s="125">
        <f>$E13/1000*'Falhas UM-1 - Qty'!N13</f>
        <v>1.0152827728304816</v>
      </c>
      <c r="O13" s="125">
        <f>$E13/1000*'Falhas UM-1 - Qty'!O13</f>
        <v>0.94090906322364565</v>
      </c>
      <c r="P13" s="125">
        <f>$E13/1000*'Falhas UM-1 - Qty'!P13</f>
        <v>0.95201581185955952</v>
      </c>
      <c r="Q13" s="748">
        <f>$E13/1000*'Falhas UM-1 - Qty'!Q13</f>
        <v>1.172050990132768</v>
      </c>
      <c r="R13" s="766">
        <f t="shared" si="0"/>
        <v>5.2228129127805643</v>
      </c>
      <c r="S13" s="54">
        <f t="shared" si="1"/>
        <v>6.6114382109356882</v>
      </c>
      <c r="T13" s="731">
        <f t="shared" si="2"/>
        <v>11.834251123716253</v>
      </c>
    </row>
    <row r="14" spans="1:20" ht="18" customHeight="1">
      <c r="A14" s="973"/>
      <c r="B14" s="968"/>
      <c r="C14" s="28">
        <v>1090</v>
      </c>
      <c r="D14" s="738" t="s">
        <v>38</v>
      </c>
      <c r="E14" s="753">
        <f>'[2]Falhas UM-1'!I14</f>
        <v>842.06137999999987</v>
      </c>
      <c r="F14" s="125">
        <f>$E14/1000*'Falhas UM-1 - Qty'!F14</f>
        <v>20.766856992726492</v>
      </c>
      <c r="G14" s="125">
        <f>$E14/1000*'Falhas UM-1 - Qty'!G14</f>
        <v>11.332196589495359</v>
      </c>
      <c r="H14" s="125">
        <f>$E14/1000*'Falhas UM-1 - Qty'!H14</f>
        <v>11.280195535476505</v>
      </c>
      <c r="I14" s="125">
        <f>$E14/1000*'Falhas UM-1 - Qty'!I14</f>
        <v>11.399465913024137</v>
      </c>
      <c r="J14" s="125">
        <f>$E14/1000*'Falhas UM-1 - Qty'!J14</f>
        <v>20.592164483045948</v>
      </c>
      <c r="K14" s="125">
        <f>$E14/1000*'Falhas UM-1 - Qty'!K14</f>
        <v>23.862565829062298</v>
      </c>
      <c r="L14" s="125">
        <f>$E14/1000*'Falhas UM-1 - Qty'!L14</f>
        <v>24.032449676941273</v>
      </c>
      <c r="M14" s="125">
        <f>$E14/1000*'Falhas UM-1 - Qty'!M14</f>
        <v>24.059962207954175</v>
      </c>
      <c r="N14" s="125">
        <f>$E14/1000*'Falhas UM-1 - Qty'!N14</f>
        <v>19.290372683779154</v>
      </c>
      <c r="O14" s="125">
        <f>$E14/1000*'Falhas UM-1 - Qty'!O14</f>
        <v>17.877272201249266</v>
      </c>
      <c r="P14" s="125">
        <f>$E14/1000*'Falhas UM-1 - Qty'!P14</f>
        <v>18.088300425331628</v>
      </c>
      <c r="Q14" s="748">
        <f>$E14/1000*'Falhas UM-1 - Qty'!Q14</f>
        <v>22.268968812522594</v>
      </c>
      <c r="R14" s="766">
        <f t="shared" si="0"/>
        <v>99.233445342830748</v>
      </c>
      <c r="S14" s="54">
        <f t="shared" si="1"/>
        <v>125.61732600777808</v>
      </c>
      <c r="T14" s="731">
        <f t="shared" si="2"/>
        <v>224.85077135060882</v>
      </c>
    </row>
    <row r="15" spans="1:20" ht="18" customHeight="1" thickBot="1">
      <c r="A15" s="973"/>
      <c r="B15" s="969"/>
      <c r="C15" s="30"/>
      <c r="D15" s="739" t="s">
        <v>1</v>
      </c>
      <c r="E15" s="754">
        <f>'[2]Falhas UM-1'!I15</f>
        <v>1672.2408026755852</v>
      </c>
      <c r="F15" s="175">
        <f>SUBTOTAL(109,F6:F14)</f>
        <v>763.14517683989152</v>
      </c>
      <c r="G15" s="175">
        <f t="shared" ref="G15:Q15" si="3">SUBTOTAL(109,G6:G14)</f>
        <v>416.43813376785027</v>
      </c>
      <c r="H15" s="175">
        <f t="shared" si="3"/>
        <v>414.52718722553152</v>
      </c>
      <c r="I15" s="175">
        <f t="shared" si="3"/>
        <v>418.91016214548353</v>
      </c>
      <c r="J15" s="175">
        <f t="shared" si="3"/>
        <v>756.7255368221721</v>
      </c>
      <c r="K15" s="175">
        <f t="shared" si="3"/>
        <v>876.90698818080614</v>
      </c>
      <c r="L15" s="175">
        <f t="shared" si="3"/>
        <v>883.14991840261337</v>
      </c>
      <c r="M15" s="175">
        <f t="shared" si="3"/>
        <v>884.16095514026279</v>
      </c>
      <c r="N15" s="175">
        <f t="shared" si="3"/>
        <v>708.88699615094151</v>
      </c>
      <c r="O15" s="175">
        <f t="shared" si="3"/>
        <v>656.95805870939637</v>
      </c>
      <c r="P15" s="175">
        <f t="shared" si="3"/>
        <v>664.71297181165119</v>
      </c>
      <c r="Q15" s="721">
        <f t="shared" si="3"/>
        <v>818.34512311741867</v>
      </c>
      <c r="R15" s="767">
        <f t="shared" si="0"/>
        <v>3646.6531849817347</v>
      </c>
      <c r="S15" s="55">
        <f t="shared" si="1"/>
        <v>4616.2140233322843</v>
      </c>
      <c r="T15" s="732">
        <f t="shared" si="2"/>
        <v>8262.8672083140191</v>
      </c>
    </row>
    <row r="16" spans="1:20" ht="18" customHeight="1" thickTop="1">
      <c r="A16" s="973"/>
      <c r="B16" s="970" t="s">
        <v>37</v>
      </c>
      <c r="C16" s="32">
        <v>1100</v>
      </c>
      <c r="D16" s="44" t="s">
        <v>36</v>
      </c>
      <c r="E16" s="753">
        <f>'[2]Falhas UM-1'!I16</f>
        <v>11.1478</v>
      </c>
      <c r="F16" s="125">
        <f>$E16/1000*'Falhas UM-1 - Qty'!F16</f>
        <v>132.68808492176819</v>
      </c>
      <c r="G16" s="166">
        <f>$E16/1000*'Falhas UM-1 - Qty'!G16</f>
        <v>72.406116339308298</v>
      </c>
      <c r="H16" s="166">
        <f>$E16/1000*'Falhas UM-1 - Qty'!H16</f>
        <v>72.073859981300345</v>
      </c>
      <c r="I16" s="166">
        <f>$E16/1000*'Falhas UM-1 - Qty'!I16</f>
        <v>72.835928020302802</v>
      </c>
      <c r="J16" s="166">
        <f>$E16/1000*'Falhas UM-1 - Qty'!J16</f>
        <v>131.57190183408153</v>
      </c>
      <c r="K16" s="166">
        <f>$E16/1000*'Falhas UM-1 - Qty'!K16</f>
        <v>152.46785598258217</v>
      </c>
      <c r="L16" s="166">
        <f>$E16/1000*'Falhas UM-1 - Qty'!L16</f>
        <v>153.5533145304066</v>
      </c>
      <c r="M16" s="166">
        <f>$E16/1000*'Falhas UM-1 - Qty'!M16</f>
        <v>153.72910353173364</v>
      </c>
      <c r="N16" s="166">
        <f>$E16/1000*'Falhas UM-1 - Qty'!N16</f>
        <v>123.25421269739263</v>
      </c>
      <c r="O16" s="166">
        <f>$E16/1000*'Falhas UM-1 - Qty'!O16</f>
        <v>114.22532609723982</v>
      </c>
      <c r="P16" s="166">
        <f>$E16/1000*'Falhas UM-1 - Qty'!P16</f>
        <v>115.57367317391773</v>
      </c>
      <c r="Q16" s="177">
        <f>$E16/1000*'Falhas UM-1 - Qty'!Q16</f>
        <v>142.28570196978399</v>
      </c>
      <c r="R16" s="766">
        <f t="shared" si="0"/>
        <v>634.04374707934335</v>
      </c>
      <c r="S16" s="56">
        <f t="shared" si="1"/>
        <v>802.62133200047447</v>
      </c>
      <c r="T16" s="731">
        <f t="shared" si="2"/>
        <v>1436.6650790798178</v>
      </c>
    </row>
    <row r="17" spans="1:20" ht="18" customHeight="1">
      <c r="A17" s="973"/>
      <c r="B17" s="970"/>
      <c r="C17" s="32">
        <v>1110</v>
      </c>
      <c r="D17" s="44" t="s">
        <v>35</v>
      </c>
      <c r="E17" s="753">
        <f>'[2]Falhas UM-1'!I17</f>
        <v>8.8379999999999992</v>
      </c>
      <c r="F17" s="125">
        <f>$E17/1000*'Falhas UM-1 - Qty'!F17</f>
        <v>0.412980855677478</v>
      </c>
      <c r="G17" s="166">
        <f>$E17/1000*'Falhas UM-1 - Qty'!G17</f>
        <v>0.22535813897472956</v>
      </c>
      <c r="H17" s="166">
        <f>$E17/1000*'Falhas UM-1 - Qty'!H17</f>
        <v>0.22432401812570757</v>
      </c>
      <c r="I17" s="166">
        <f>$E17/1000*'Falhas UM-1 - Qty'!I17</f>
        <v>0.22669589281978617</v>
      </c>
      <c r="J17" s="166">
        <f>$E17/1000*'Falhas UM-1 - Qty'!J17</f>
        <v>0.40950682674023509</v>
      </c>
      <c r="K17" s="166">
        <f>$E17/1000*'Falhas UM-1 - Qty'!K17</f>
        <v>0.47454378186347085</v>
      </c>
      <c r="L17" s="166">
        <f>$E17/1000*'Falhas UM-1 - Qty'!L17</f>
        <v>0.47792218317318352</v>
      </c>
      <c r="M17" s="166">
        <f>$E17/1000*'Falhas UM-1 - Qty'!M17</f>
        <v>0.47846931212021393</v>
      </c>
      <c r="N17" s="166">
        <f>$E17/1000*'Falhas UM-1 - Qty'!N17</f>
        <v>0.38361869685310668</v>
      </c>
      <c r="O17" s="166">
        <f>$E17/1000*'Falhas UM-1 - Qty'!O17</f>
        <v>0.35551702279439634</v>
      </c>
      <c r="P17" s="166">
        <f>$E17/1000*'Falhas UM-1 - Qty'!P17</f>
        <v>0.35971364323552313</v>
      </c>
      <c r="Q17" s="177">
        <f>$E17/1000*'Falhas UM-1 - Qty'!Q17</f>
        <v>0.44285265692693632</v>
      </c>
      <c r="R17" s="766">
        <f t="shared" si="0"/>
        <v>1.9734095142014072</v>
      </c>
      <c r="S17" s="56">
        <f t="shared" si="1"/>
        <v>2.4980935151033599</v>
      </c>
      <c r="T17" s="731">
        <f t="shared" si="2"/>
        <v>4.4715030293047668</v>
      </c>
    </row>
    <row r="18" spans="1:20" ht="18" customHeight="1">
      <c r="A18" s="973"/>
      <c r="B18" s="970"/>
      <c r="C18" s="32">
        <f>C17+10</f>
        <v>1120</v>
      </c>
      <c r="D18" s="44" t="s">
        <v>34</v>
      </c>
      <c r="E18" s="753">
        <f>'[2]Falhas UM-1'!I18</f>
        <v>3.3452999999999999</v>
      </c>
      <c r="F18" s="125">
        <f>$E18/1000*'Falhas UM-1 - Qty'!F18</f>
        <v>3.4737493563095398E-2</v>
      </c>
      <c r="G18" s="166">
        <f>$E18/1000*'Falhas UM-1 - Qty'!G18</f>
        <v>1.895578643514528E-2</v>
      </c>
      <c r="H18" s="166">
        <f>$E18/1000*'Falhas UM-1 - Qty'!H18</f>
        <v>1.8868802339290679E-2</v>
      </c>
      <c r="I18" s="166">
        <f>$E18/1000*'Falhas UM-1 - Qty'!I18</f>
        <v>1.9068310332906662E-2</v>
      </c>
      <c r="J18" s="166">
        <f>$E18/1000*'Falhas UM-1 - Qty'!J18</f>
        <v>3.4445278909107362E-2</v>
      </c>
      <c r="K18" s="166">
        <f>$E18/1000*'Falhas UM-1 - Qty'!K18</f>
        <v>3.9915800796255292E-2</v>
      </c>
      <c r="L18" s="166">
        <f>$E18/1000*'Falhas UM-1 - Qty'!L18</f>
        <v>4.0199971822917478E-2</v>
      </c>
      <c r="M18" s="166">
        <f>$E18/1000*'Falhas UM-1 - Qty'!M18</f>
        <v>4.0245993056140197E-2</v>
      </c>
      <c r="N18" s="166">
        <f>$E18/1000*'Falhas UM-1 - Qty'!N18</f>
        <v>3.2267723380923236E-2</v>
      </c>
      <c r="O18" s="166">
        <f>$E18/1000*'Falhas UM-1 - Qty'!O18</f>
        <v>2.9903977681076523E-2</v>
      </c>
      <c r="P18" s="166">
        <f>$E18/1000*'Falhas UM-1 - Qty'!P18</f>
        <v>3.0256972435085763E-2</v>
      </c>
      <c r="Q18" s="177">
        <f>$E18/1000*'Falhas UM-1 - Qty'!Q18</f>
        <v>3.7250131835198513E-2</v>
      </c>
      <c r="R18" s="766">
        <f t="shared" si="0"/>
        <v>0.16599147237580067</v>
      </c>
      <c r="S18" s="56">
        <f t="shared" si="1"/>
        <v>0.21012477021134171</v>
      </c>
      <c r="T18" s="731">
        <f t="shared" si="2"/>
        <v>0.37611624258714238</v>
      </c>
    </row>
    <row r="19" spans="1:20" ht="18" customHeight="1">
      <c r="A19" s="973"/>
      <c r="B19" s="970"/>
      <c r="C19" s="32">
        <f>C18+10</f>
        <v>1130</v>
      </c>
      <c r="D19" s="44" t="s">
        <v>33</v>
      </c>
      <c r="E19" s="753">
        <f>'[2]Falhas UM-1'!I19</f>
        <v>24.538799999999998</v>
      </c>
      <c r="F19" s="125">
        <f>$E19/1000*'Falhas UM-1 - Qty'!F19</f>
        <v>46.248042889685379</v>
      </c>
      <c r="G19" s="166">
        <f>$E19/1000*'Falhas UM-1 - Qty'!G19</f>
        <v>25.236939518044974</v>
      </c>
      <c r="H19" s="166">
        <f>$E19/1000*'Falhas UM-1 - Qty'!H19</f>
        <v>25.121132538808052</v>
      </c>
      <c r="I19" s="166">
        <f>$E19/1000*'Falhas UM-1 - Qty'!I19</f>
        <v>25.386749119026423</v>
      </c>
      <c r="J19" s="166">
        <f>$E19/1000*'Falhas UM-1 - Qty'!J19</f>
        <v>45.859000547695835</v>
      </c>
      <c r="K19" s="166">
        <f>$E19/1000*'Falhas UM-1 - Qty'!K19</f>
        <v>53.14222408845712</v>
      </c>
      <c r="L19" s="166">
        <f>$E19/1000*'Falhas UM-1 - Qty'!L19</f>
        <v>53.520557482177871</v>
      </c>
      <c r="M19" s="166">
        <f>$E19/1000*'Falhas UM-1 - Qty'!M19</f>
        <v>53.581828223086532</v>
      </c>
      <c r="N19" s="166">
        <f>$E19/1000*'Falhas UM-1 - Qty'!N19</f>
        <v>42.959894390850906</v>
      </c>
      <c r="O19" s="166">
        <f>$E19/1000*'Falhas UM-1 - Qty'!O19</f>
        <v>39.812902443712872</v>
      </c>
      <c r="P19" s="166">
        <f>$E19/1000*'Falhas UM-1 - Qty'!P19</f>
        <v>40.282864863240953</v>
      </c>
      <c r="Q19" s="177">
        <f>$E19/1000*'Falhas UM-1 - Qty'!Q19</f>
        <v>49.593264166615498</v>
      </c>
      <c r="R19" s="766">
        <f t="shared" si="0"/>
        <v>220.99408870171777</v>
      </c>
      <c r="S19" s="56">
        <f t="shared" si="1"/>
        <v>279.75131156968462</v>
      </c>
      <c r="T19" s="731">
        <f t="shared" si="2"/>
        <v>500.74540027140239</v>
      </c>
    </row>
    <row r="20" spans="1:20" ht="18" customHeight="1">
      <c r="A20" s="973"/>
      <c r="B20" s="970"/>
      <c r="C20" s="32">
        <f>C19+10</f>
        <v>1140</v>
      </c>
      <c r="D20" s="44" t="s">
        <v>32</v>
      </c>
      <c r="E20" s="753">
        <f>'[2]Falhas UM-1'!I20</f>
        <v>8.8379999999999992</v>
      </c>
      <c r="F20" s="125">
        <f>$E20/1000*'Falhas UM-1 - Qty'!F20</f>
        <v>0</v>
      </c>
      <c r="G20" s="166">
        <f>$E20/1000*'Falhas UM-1 - Qty'!G20</f>
        <v>0</v>
      </c>
      <c r="H20" s="166">
        <f>$E20/1000*'Falhas UM-1 - Qty'!H20</f>
        <v>0</v>
      </c>
      <c r="I20" s="166">
        <f>$E20/1000*'Falhas UM-1 - Qty'!I20</f>
        <v>0</v>
      </c>
      <c r="J20" s="166">
        <f>$E20/1000*'Falhas UM-1 - Qty'!J20</f>
        <v>0</v>
      </c>
      <c r="K20" s="166">
        <f>$E20/1000*'Falhas UM-1 - Qty'!K20</f>
        <v>0</v>
      </c>
      <c r="L20" s="166">
        <f>$E20/1000*'Falhas UM-1 - Qty'!L20</f>
        <v>0</v>
      </c>
      <c r="M20" s="166">
        <f>$E20/1000*'Falhas UM-1 - Qty'!M20</f>
        <v>0</v>
      </c>
      <c r="N20" s="166">
        <f>$E20/1000*'Falhas UM-1 - Qty'!N20</f>
        <v>0</v>
      </c>
      <c r="O20" s="166">
        <f>$E20/1000*'Falhas UM-1 - Qty'!O20</f>
        <v>0</v>
      </c>
      <c r="P20" s="166">
        <f>$E20/1000*'Falhas UM-1 - Qty'!P20</f>
        <v>0</v>
      </c>
      <c r="Q20" s="177">
        <f>$E20/1000*'Falhas UM-1 - Qty'!Q20</f>
        <v>0</v>
      </c>
      <c r="R20" s="766">
        <f t="shared" si="0"/>
        <v>0</v>
      </c>
      <c r="S20" s="56">
        <f t="shared" si="1"/>
        <v>0</v>
      </c>
      <c r="T20" s="731">
        <f t="shared" si="2"/>
        <v>0</v>
      </c>
    </row>
    <row r="21" spans="1:20" ht="18" customHeight="1">
      <c r="A21" s="973"/>
      <c r="B21" s="970"/>
      <c r="C21" s="32">
        <f>C20+10</f>
        <v>1150</v>
      </c>
      <c r="D21" s="44" t="s">
        <v>31</v>
      </c>
      <c r="E21" s="753">
        <f>'[2]Falhas UM-1'!I21</f>
        <v>25.540679999999998</v>
      </c>
      <c r="F21" s="125">
        <f>$E21/1000*'Falhas UM-1 - Qty'!F21</f>
        <v>100.81433686000578</v>
      </c>
      <c r="G21" s="166">
        <f>$E21/1000*'Falhas UM-1 - Qty'!G21</f>
        <v>55.013037588563925</v>
      </c>
      <c r="H21" s="166">
        <f>$E21/1000*'Falhas UM-1 - Qty'!H21</f>
        <v>54.760594391272768</v>
      </c>
      <c r="I21" s="166">
        <f>$E21/1000*'Falhas UM-1 - Qty'!I21</f>
        <v>55.339601798302077</v>
      </c>
      <c r="J21" s="166">
        <f>$E21/1000*'Falhas UM-1 - Qty'!J21</f>
        <v>99.966278363526399</v>
      </c>
      <c r="K21" s="166">
        <f>$E21/1000*'Falhas UM-1 - Qty'!K21</f>
        <v>115.84269832828977</v>
      </c>
      <c r="L21" s="166">
        <f>$E21/1000*'Falhas UM-1 - Qty'!L21</f>
        <v>116.66741279871462</v>
      </c>
      <c r="M21" s="166">
        <f>$E21/1000*'Falhas UM-1 - Qty'!M21</f>
        <v>116.80097453944299</v>
      </c>
      <c r="N21" s="166">
        <f>$E21/1000*'Falhas UM-1 - Qty'!N21</f>
        <v>93.646627921534076</v>
      </c>
      <c r="O21" s="166">
        <f>$E21/1000*'Falhas UM-1 - Qty'!O21</f>
        <v>86.786620742176055</v>
      </c>
      <c r="P21" s="166">
        <f>$E21/1000*'Falhas UM-1 - Qty'!P21</f>
        <v>87.81107381550629</v>
      </c>
      <c r="Q21" s="177">
        <f>$E21/1000*'Falhas UM-1 - Qty'!Q21</f>
        <v>108.10645656090037</v>
      </c>
      <c r="R21" s="766">
        <f t="shared" si="0"/>
        <v>481.73654732996073</v>
      </c>
      <c r="S21" s="56">
        <f t="shared" si="1"/>
        <v>609.81916637827442</v>
      </c>
      <c r="T21" s="731">
        <f t="shared" si="2"/>
        <v>1091.5557137082351</v>
      </c>
    </row>
    <row r="22" spans="1:20" ht="18" customHeight="1" thickBot="1">
      <c r="A22" s="973"/>
      <c r="B22" s="971"/>
      <c r="C22" s="34"/>
      <c r="D22" s="740" t="s">
        <v>1</v>
      </c>
      <c r="E22" s="755">
        <f>'[2]Falhas UM-1'!I22</f>
        <v>1592.9165594717435</v>
      </c>
      <c r="F22" s="175">
        <f>SUBTOTAL(109,F16:F21)</f>
        <v>280.1981830206999</v>
      </c>
      <c r="G22" s="175">
        <f t="shared" ref="G22:Q22" si="4">SUBTOTAL(109,G16:G21)</f>
        <v>152.90040737132708</v>
      </c>
      <c r="H22" s="175">
        <f t="shared" si="4"/>
        <v>152.19877973184617</v>
      </c>
      <c r="I22" s="175">
        <f t="shared" si="4"/>
        <v>153.80804314078401</v>
      </c>
      <c r="J22" s="175">
        <f t="shared" si="4"/>
        <v>277.8411328509531</v>
      </c>
      <c r="K22" s="175">
        <f t="shared" si="4"/>
        <v>321.96723798198877</v>
      </c>
      <c r="L22" s="175">
        <f t="shared" si="4"/>
        <v>324.25940696629516</v>
      </c>
      <c r="M22" s="175">
        <f t="shared" si="4"/>
        <v>324.63062159943956</v>
      </c>
      <c r="N22" s="175">
        <f t="shared" si="4"/>
        <v>260.27662143001169</v>
      </c>
      <c r="O22" s="175">
        <f t="shared" si="4"/>
        <v>241.21027028360425</v>
      </c>
      <c r="P22" s="175">
        <f t="shared" si="4"/>
        <v>244.05758246833557</v>
      </c>
      <c r="Q22" s="721">
        <f t="shared" si="4"/>
        <v>300.46552548606201</v>
      </c>
      <c r="R22" s="768">
        <f t="shared" si="0"/>
        <v>1338.9137840975991</v>
      </c>
      <c r="S22" s="600">
        <f t="shared" si="1"/>
        <v>1694.9000282337481</v>
      </c>
      <c r="T22" s="733">
        <f t="shared" si="2"/>
        <v>3033.8138123313474</v>
      </c>
    </row>
    <row r="23" spans="1:20" ht="18" customHeight="1" thickTop="1">
      <c r="A23" s="973"/>
      <c r="B23" s="975" t="s">
        <v>30</v>
      </c>
      <c r="C23" s="32">
        <f>C21+10</f>
        <v>1160</v>
      </c>
      <c r="D23" s="44" t="s">
        <v>29</v>
      </c>
      <c r="E23" s="756">
        <f>'[2]Falhas UM-1'!I23</f>
        <v>842.06137999999987</v>
      </c>
      <c r="F23" s="125">
        <f>$E23/1000*'Falhas UM-1 - Qty'!F23</f>
        <v>1.0929924733013938</v>
      </c>
      <c r="G23" s="166">
        <f>$E23/1000*'Falhas UM-1 - Qty'!G23</f>
        <v>0.59643139944712409</v>
      </c>
      <c r="H23" s="166">
        <f>$E23/1000*'Falhas UM-1 - Qty'!H23</f>
        <v>0.59369450186718442</v>
      </c>
      <c r="I23" s="166">
        <f>$E23/1000*'Falhas UM-1 - Qty'!I23</f>
        <v>0.59997189015916519</v>
      </c>
      <c r="J23" s="166">
        <f>$E23/1000*'Falhas UM-1 - Qty'!J23</f>
        <v>1.0837981306866287</v>
      </c>
      <c r="K23" s="166">
        <f>$E23/1000*'Falhas UM-1 - Qty'!K23</f>
        <v>1.2559245173190681</v>
      </c>
      <c r="L23" s="166">
        <f>$E23/1000*'Falhas UM-1 - Qty'!L23</f>
        <v>1.2648657724705932</v>
      </c>
      <c r="M23" s="166">
        <f>$E23/1000*'Falhas UM-1 - Qty'!M23</f>
        <v>1.2663138004186407</v>
      </c>
      <c r="N23" s="166">
        <f>$E23/1000*'Falhas UM-1 - Qty'!N23</f>
        <v>1.0152827728304816</v>
      </c>
      <c r="O23" s="166">
        <f>$E23/1000*'Falhas UM-1 - Qty'!O23</f>
        <v>0.94090906322364565</v>
      </c>
      <c r="P23" s="166">
        <f>$E23/1000*'Falhas UM-1 - Qty'!P23</f>
        <v>0.95201581185955952</v>
      </c>
      <c r="Q23" s="177">
        <f>$E23/1000*'Falhas UM-1 - Qty'!Q23</f>
        <v>1.172050990132768</v>
      </c>
      <c r="R23" s="766">
        <f t="shared" si="0"/>
        <v>5.2228129127805643</v>
      </c>
      <c r="S23" s="56">
        <f t="shared" si="1"/>
        <v>6.6114382109356882</v>
      </c>
      <c r="T23" s="731">
        <f t="shared" si="2"/>
        <v>11.834251123716253</v>
      </c>
    </row>
    <row r="24" spans="1:20" ht="18" customHeight="1">
      <c r="A24" s="973"/>
      <c r="B24" s="976"/>
      <c r="C24" s="32">
        <f>C23+10</f>
        <v>1170</v>
      </c>
      <c r="D24" s="44" t="s">
        <v>28</v>
      </c>
      <c r="E24" s="756">
        <f>'[2]Falhas UM-1'!I24</f>
        <v>842.06137999999987</v>
      </c>
      <c r="F24" s="125">
        <f>$E24/1000*'Falhas UM-1 - Qty'!F24</f>
        <v>33.882766672343223</v>
      </c>
      <c r="G24" s="166">
        <f>$E24/1000*'Falhas UM-1 - Qty'!G24</f>
        <v>18.489373382860848</v>
      </c>
      <c r="H24" s="166">
        <f>$E24/1000*'Falhas UM-1 - Qty'!H24</f>
        <v>18.404529557882721</v>
      </c>
      <c r="I24" s="166">
        <f>$E24/1000*'Falhas UM-1 - Qty'!I24</f>
        <v>18.599128594934122</v>
      </c>
      <c r="J24" s="166">
        <f>$E24/1000*'Falhas UM-1 - Qty'!J24</f>
        <v>33.597742051285501</v>
      </c>
      <c r="K24" s="166">
        <f>$E24/1000*'Falhas UM-1 - Qty'!K24</f>
        <v>38.933660036891119</v>
      </c>
      <c r="L24" s="166">
        <f>$E24/1000*'Falhas UM-1 - Qty'!L24</f>
        <v>39.210838946588389</v>
      </c>
      <c r="M24" s="166">
        <f>$E24/1000*'Falhas UM-1 - Qty'!M24</f>
        <v>39.25572781297786</v>
      </c>
      <c r="N24" s="166">
        <f>$E24/1000*'Falhas UM-1 - Qty'!N24</f>
        <v>31.473765957744934</v>
      </c>
      <c r="O24" s="166">
        <f>$E24/1000*'Falhas UM-1 - Qty'!O24</f>
        <v>29.168180959933011</v>
      </c>
      <c r="P24" s="166">
        <f>$E24/1000*'Falhas UM-1 - Qty'!P24</f>
        <v>29.512490167646341</v>
      </c>
      <c r="Q24" s="177">
        <f>$E24/1000*'Falhas UM-1 - Qty'!Q24</f>
        <v>36.33358069411581</v>
      </c>
      <c r="R24" s="766">
        <f t="shared" si="0"/>
        <v>161.90720029619754</v>
      </c>
      <c r="S24" s="56">
        <f t="shared" si="1"/>
        <v>204.95458453900636</v>
      </c>
      <c r="T24" s="731">
        <f t="shared" si="2"/>
        <v>366.86178483520393</v>
      </c>
    </row>
    <row r="25" spans="1:20" ht="18" customHeight="1">
      <c r="A25" s="973"/>
      <c r="B25" s="976"/>
      <c r="C25" s="32">
        <f t="shared" ref="C25:C33" si="5">C24+10</f>
        <v>1180</v>
      </c>
      <c r="D25" s="44" t="s">
        <v>27</v>
      </c>
      <c r="E25" s="756">
        <f>'[2]Falhas UM-1'!I25</f>
        <v>842.06137999999987</v>
      </c>
      <c r="F25" s="125">
        <f>$E25/1000*'Falhas UM-1 - Qty'!F25</f>
        <v>140.99602905587983</v>
      </c>
      <c r="G25" s="166">
        <f>$E25/1000*'Falhas UM-1 - Qty'!G25</f>
        <v>76.93965052867901</v>
      </c>
      <c r="H25" s="166">
        <f>$E25/1000*'Falhas UM-1 - Qty'!H25</f>
        <v>76.586590740866797</v>
      </c>
      <c r="I25" s="166">
        <f>$E25/1000*'Falhas UM-1 - Qty'!I25</f>
        <v>77.396373830532312</v>
      </c>
      <c r="J25" s="166">
        <f>$E25/1000*'Falhas UM-1 - Qty'!J25</f>
        <v>139.80995885857513</v>
      </c>
      <c r="K25" s="166">
        <f>$E25/1000*'Falhas UM-1 - Qty'!K25</f>
        <v>162.01426273415979</v>
      </c>
      <c r="L25" s="166">
        <f>$E25/1000*'Falhas UM-1 - Qty'!L25</f>
        <v>163.16768464870651</v>
      </c>
      <c r="M25" s="166">
        <f>$E25/1000*'Falhas UM-1 - Qty'!M25</f>
        <v>163.35448025400467</v>
      </c>
      <c r="N25" s="166">
        <f>$E25/1000*'Falhas UM-1 - Qty'!N25</f>
        <v>130.97147769513214</v>
      </c>
      <c r="O25" s="166">
        <f>$E25/1000*'Falhas UM-1 - Qty'!O25</f>
        <v>121.37726915585027</v>
      </c>
      <c r="P25" s="166">
        <f>$E25/1000*'Falhas UM-1 - Qty'!P25</f>
        <v>122.81003972988316</v>
      </c>
      <c r="Q25" s="177">
        <f>$E25/1000*'Falhas UM-1 - Qty'!Q25</f>
        <v>151.1945777271271</v>
      </c>
      <c r="R25" s="766">
        <f t="shared" si="0"/>
        <v>673.74286574869279</v>
      </c>
      <c r="S25" s="56">
        <f t="shared" si="1"/>
        <v>852.87552921070392</v>
      </c>
      <c r="T25" s="731">
        <f t="shared" si="2"/>
        <v>1526.6183949593967</v>
      </c>
    </row>
    <row r="26" spans="1:20" ht="18" customHeight="1">
      <c r="A26" s="973"/>
      <c r="B26" s="976"/>
      <c r="C26" s="32">
        <f t="shared" si="5"/>
        <v>1190</v>
      </c>
      <c r="D26" s="44" t="s">
        <v>26</v>
      </c>
      <c r="E26" s="756">
        <f>'[2]Falhas UM-1'!I26</f>
        <v>842.06137999999987</v>
      </c>
      <c r="F26" s="125">
        <f>$E26/1000*'Falhas UM-1 - Qty'!F26</f>
        <v>26.231819359233459</v>
      </c>
      <c r="G26" s="166">
        <f>$E26/1000*'Falhas UM-1 - Qty'!G26</f>
        <v>14.314353586730975</v>
      </c>
      <c r="H26" s="166">
        <f>$E26/1000*'Falhas UM-1 - Qty'!H26</f>
        <v>14.248668044812426</v>
      </c>
      <c r="I26" s="166">
        <f>$E26/1000*'Falhas UM-1 - Qty'!I26</f>
        <v>14.399325363819964</v>
      </c>
      <c r="J26" s="166">
        <f>$E26/1000*'Falhas UM-1 - Qty'!J26</f>
        <v>26.011155136479093</v>
      </c>
      <c r="K26" s="166">
        <f>$E26/1000*'Falhas UM-1 - Qty'!K26</f>
        <v>30.142188415657639</v>
      </c>
      <c r="L26" s="166">
        <f>$E26/1000*'Falhas UM-1 - Qty'!L26</f>
        <v>30.356778539294236</v>
      </c>
      <c r="M26" s="166">
        <f>$E26/1000*'Falhas UM-1 - Qty'!M26</f>
        <v>30.391531210047372</v>
      </c>
      <c r="N26" s="166">
        <f>$E26/1000*'Falhas UM-1 - Qty'!N26</f>
        <v>24.366786547931557</v>
      </c>
      <c r="O26" s="166">
        <f>$E26/1000*'Falhas UM-1 - Qty'!O26</f>
        <v>22.58181751736749</v>
      </c>
      <c r="P26" s="166">
        <f>$E26/1000*'Falhas UM-1 - Qty'!P26</f>
        <v>22.848379484629426</v>
      </c>
      <c r="Q26" s="177">
        <f>$E26/1000*'Falhas UM-1 - Qty'!Q26</f>
        <v>28.129223763186435</v>
      </c>
      <c r="R26" s="766">
        <f t="shared" si="0"/>
        <v>125.34750990673356</v>
      </c>
      <c r="S26" s="56">
        <f t="shared" si="1"/>
        <v>158.67451706245652</v>
      </c>
      <c r="T26" s="731">
        <f t="shared" si="2"/>
        <v>284.02202696919005</v>
      </c>
    </row>
    <row r="27" spans="1:20" ht="18" customHeight="1">
      <c r="A27" s="973"/>
      <c r="B27" s="976"/>
      <c r="C27" s="32">
        <f t="shared" si="5"/>
        <v>1200</v>
      </c>
      <c r="D27" s="44" t="s">
        <v>25</v>
      </c>
      <c r="E27" s="756">
        <f>'[2]Falhas UM-1'!I27</f>
        <v>842.06137999999987</v>
      </c>
      <c r="F27" s="125">
        <f>$E27/1000*'Falhas UM-1 - Qty'!F27</f>
        <v>28.417804305836249</v>
      </c>
      <c r="G27" s="166">
        <f>$E27/1000*'Falhas UM-1 - Qty'!G27</f>
        <v>15.507216385625227</v>
      </c>
      <c r="H27" s="166">
        <f>$E27/1000*'Falhas UM-1 - Qty'!H27</f>
        <v>15.436057048546797</v>
      </c>
      <c r="I27" s="166">
        <f>$E27/1000*'Falhas UM-1 - Qty'!I27</f>
        <v>15.599269144138294</v>
      </c>
      <c r="J27" s="166">
        <f>$E27/1000*'Falhas UM-1 - Qty'!J27</f>
        <v>28.178751397852352</v>
      </c>
      <c r="K27" s="166">
        <f>$E27/1000*'Falhas UM-1 - Qty'!K27</f>
        <v>32.654037450295775</v>
      </c>
      <c r="L27" s="166">
        <f>$E27/1000*'Falhas UM-1 - Qty'!L27</f>
        <v>32.886510084235425</v>
      </c>
      <c r="M27" s="166">
        <f>$E27/1000*'Falhas UM-1 - Qty'!M27</f>
        <v>32.924158810884656</v>
      </c>
      <c r="N27" s="166">
        <f>$E27/1000*'Falhas UM-1 - Qty'!N27</f>
        <v>26.397352093592524</v>
      </c>
      <c r="O27" s="166">
        <f>$E27/1000*'Falhas UM-1 - Qty'!O27</f>
        <v>24.463635643814786</v>
      </c>
      <c r="P27" s="166">
        <f>$E27/1000*'Falhas UM-1 - Qty'!P27</f>
        <v>24.752411108348547</v>
      </c>
      <c r="Q27" s="177">
        <f>$E27/1000*'Falhas UM-1 - Qty'!Q27</f>
        <v>30.473325743451976</v>
      </c>
      <c r="R27" s="766">
        <f t="shared" si="0"/>
        <v>135.79313573229467</v>
      </c>
      <c r="S27" s="56">
        <f t="shared" si="1"/>
        <v>171.89739348432789</v>
      </c>
      <c r="T27" s="731">
        <f t="shared" si="2"/>
        <v>307.69052921662256</v>
      </c>
    </row>
    <row r="28" spans="1:20" ht="18" customHeight="1">
      <c r="A28" s="973"/>
      <c r="B28" s="976"/>
      <c r="C28" s="32">
        <f t="shared" si="5"/>
        <v>1210</v>
      </c>
      <c r="D28" s="44" t="s">
        <v>121</v>
      </c>
      <c r="E28" s="756">
        <f>'[2]Falhas UM-1'!I28</f>
        <v>842.06137999999987</v>
      </c>
      <c r="F28" s="125">
        <f>$E28/1000*'Falhas UM-1 - Qty'!F28</f>
        <v>54.649623665069704</v>
      </c>
      <c r="G28" s="166">
        <f>$E28/1000*'Falhas UM-1 - Qty'!G28</f>
        <v>29.821569972356198</v>
      </c>
      <c r="H28" s="166">
        <f>$E28/1000*'Falhas UM-1 - Qty'!H28</f>
        <v>29.684725093359226</v>
      </c>
      <c r="I28" s="166">
        <f>$E28/1000*'Falhas UM-1 - Qty'!I28</f>
        <v>29.998594507958252</v>
      </c>
      <c r="J28" s="166">
        <f>$E28/1000*'Falhas UM-1 - Qty'!J28</f>
        <v>54.189906534331442</v>
      </c>
      <c r="K28" s="166">
        <f>$E28/1000*'Falhas UM-1 - Qty'!K28</f>
        <v>62.796225865953403</v>
      </c>
      <c r="L28" s="166">
        <f>$E28/1000*'Falhas UM-1 - Qty'!L28</f>
        <v>63.243288623529658</v>
      </c>
      <c r="M28" s="166">
        <f>$E28/1000*'Falhas UM-1 - Qty'!M28</f>
        <v>63.315690020932038</v>
      </c>
      <c r="N28" s="166">
        <f>$E28/1000*'Falhas UM-1 - Qty'!N28</f>
        <v>50.764138641524085</v>
      </c>
      <c r="O28" s="166">
        <f>$E28/1000*'Falhas UM-1 - Qty'!O28</f>
        <v>47.045453161182273</v>
      </c>
      <c r="P28" s="166">
        <f>$E28/1000*'Falhas UM-1 - Qty'!P28</f>
        <v>47.600790592977965</v>
      </c>
      <c r="Q28" s="177">
        <f>$E28/1000*'Falhas UM-1 - Qty'!Q28</f>
        <v>58.602549506638397</v>
      </c>
      <c r="R28" s="766">
        <f t="shared" si="0"/>
        <v>261.14064563902821</v>
      </c>
      <c r="S28" s="56">
        <f t="shared" si="1"/>
        <v>330.57191054678441</v>
      </c>
      <c r="T28" s="731">
        <f t="shared" si="2"/>
        <v>591.71255618581267</v>
      </c>
    </row>
    <row r="29" spans="1:20" ht="18" customHeight="1">
      <c r="A29" s="973"/>
      <c r="B29" s="976"/>
      <c r="C29" s="32">
        <v>1212</v>
      </c>
      <c r="D29" s="45" t="s">
        <v>122</v>
      </c>
      <c r="E29" s="757">
        <f>'[2]Falhas UM-1'!I29</f>
        <v>842.06137999999987</v>
      </c>
      <c r="F29" s="745">
        <f>$E29/1000*'Falhas UM-1 - Qty'!F29</f>
        <v>9.8369322597125457</v>
      </c>
      <c r="G29" s="176">
        <f>$E29/1000*'Falhas UM-1 - Qty'!G29</f>
        <v>5.367882595024116</v>
      </c>
      <c r="H29" s="176">
        <f>$E29/1000*'Falhas UM-1 - Qty'!H29</f>
        <v>5.3432505168046598</v>
      </c>
      <c r="I29" s="176">
        <f>$E29/1000*'Falhas UM-1 - Qty'!I29</f>
        <v>5.3997470114324857</v>
      </c>
      <c r="J29" s="176">
        <f>$E29/1000*'Falhas UM-1 - Qty'!J29</f>
        <v>9.7541831761796587</v>
      </c>
      <c r="K29" s="176">
        <f>$E29/1000*'Falhas UM-1 - Qty'!K29</f>
        <v>11.303320655871612</v>
      </c>
      <c r="L29" s="176">
        <f>$E29/1000*'Falhas UM-1 - Qty'!L29</f>
        <v>11.383791952235338</v>
      </c>
      <c r="M29" s="176">
        <f>$E29/1000*'Falhas UM-1 - Qty'!M29</f>
        <v>11.396824203767766</v>
      </c>
      <c r="N29" s="176">
        <f>$E29/1000*'Falhas UM-1 - Qty'!N29</f>
        <v>9.1375449554743344</v>
      </c>
      <c r="O29" s="176">
        <f>$E29/1000*'Falhas UM-1 - Qty'!O29</f>
        <v>8.4681815690128097</v>
      </c>
      <c r="P29" s="176">
        <f>$E29/1000*'Falhas UM-1 - Qty'!P29</f>
        <v>8.5681423067360338</v>
      </c>
      <c r="Q29" s="178">
        <f>$E29/1000*'Falhas UM-1 - Qty'!Q29</f>
        <v>10.548458911194912</v>
      </c>
      <c r="R29" s="769">
        <f t="shared" si="0"/>
        <v>47.005316215025076</v>
      </c>
      <c r="S29" s="176">
        <f t="shared" si="1"/>
        <v>59.502943898421194</v>
      </c>
      <c r="T29" s="734">
        <f t="shared" si="2"/>
        <v>106.50826011344627</v>
      </c>
    </row>
    <row r="30" spans="1:20" ht="18" customHeight="1">
      <c r="A30" s="973"/>
      <c r="B30" s="976"/>
      <c r="C30" s="32">
        <v>1214</v>
      </c>
      <c r="D30" s="44" t="s">
        <v>123</v>
      </c>
      <c r="E30" s="756">
        <f>'[2]Falhas UM-1'!I30</f>
        <v>842.06137999999987</v>
      </c>
      <c r="F30" s="125">
        <f>$E30/1000*'Falhas UM-1 - Qty'!F30</f>
        <v>6.5579548398083647</v>
      </c>
      <c r="G30" s="166">
        <f>$E30/1000*'Falhas UM-1 - Qty'!G30</f>
        <v>3.5785883966827439</v>
      </c>
      <c r="H30" s="166">
        <f>$E30/1000*'Falhas UM-1 - Qty'!H30</f>
        <v>3.5621670112031065</v>
      </c>
      <c r="I30" s="166">
        <f>$E30/1000*'Falhas UM-1 - Qty'!I30</f>
        <v>3.5998313409549909</v>
      </c>
      <c r="J30" s="166">
        <f>$E30/1000*'Falhas UM-1 - Qty'!J30</f>
        <v>6.5027887841197733</v>
      </c>
      <c r="K30" s="166">
        <f>$E30/1000*'Falhas UM-1 - Qty'!K30</f>
        <v>7.5355471039144097</v>
      </c>
      <c r="L30" s="166">
        <f>$E30/1000*'Falhas UM-1 - Qty'!L30</f>
        <v>7.589194634823559</v>
      </c>
      <c r="M30" s="166">
        <f>$E30/1000*'Falhas UM-1 - Qty'!M30</f>
        <v>7.597882802511843</v>
      </c>
      <c r="N30" s="166">
        <f>$E30/1000*'Falhas UM-1 - Qty'!N30</f>
        <v>6.0916966369828893</v>
      </c>
      <c r="O30" s="166">
        <f>$E30/1000*'Falhas UM-1 - Qty'!O30</f>
        <v>5.6454543793418726</v>
      </c>
      <c r="P30" s="166">
        <f>$E30/1000*'Falhas UM-1 - Qty'!P30</f>
        <v>5.7120948711573565</v>
      </c>
      <c r="Q30" s="177">
        <f>$E30/1000*'Falhas UM-1 - Qty'!Q30</f>
        <v>7.0323059407966086</v>
      </c>
      <c r="R30" s="766">
        <f t="shared" si="0"/>
        <v>31.336877476683391</v>
      </c>
      <c r="S30" s="56">
        <f t="shared" si="1"/>
        <v>39.668629265614129</v>
      </c>
      <c r="T30" s="731">
        <f t="shared" si="2"/>
        <v>71.005506742297513</v>
      </c>
    </row>
    <row r="31" spans="1:20" ht="18" customHeight="1">
      <c r="A31" s="973"/>
      <c r="B31" s="976"/>
      <c r="C31" s="32">
        <f>C28+10</f>
        <v>1220</v>
      </c>
      <c r="D31" s="44" t="s">
        <v>24</v>
      </c>
      <c r="E31" s="756">
        <f>'[2]Falhas UM-1'!I31</f>
        <v>842.06137999999987</v>
      </c>
      <c r="F31" s="125">
        <f>$E31/1000*'Falhas UM-1 - Qty'!F31</f>
        <v>66.672540871385038</v>
      </c>
      <c r="G31" s="166">
        <f>$E31/1000*'Falhas UM-1 - Qty'!G31</f>
        <v>36.382315366274568</v>
      </c>
      <c r="H31" s="166">
        <f>$E31/1000*'Falhas UM-1 - Qty'!H31</f>
        <v>36.215364613898252</v>
      </c>
      <c r="I31" s="166">
        <f>$E31/1000*'Falhas UM-1 - Qty'!I31</f>
        <v>36.598285299709069</v>
      </c>
      <c r="J31" s="166">
        <f>$E31/1000*'Falhas UM-1 - Qty'!J31</f>
        <v>66.111685971884356</v>
      </c>
      <c r="K31" s="166">
        <f>$E31/1000*'Falhas UM-1 - Qty'!K31</f>
        <v>76.611395556463151</v>
      </c>
      <c r="L31" s="166">
        <f>$E31/1000*'Falhas UM-1 - Qty'!L31</f>
        <v>77.156812120706178</v>
      </c>
      <c r="M31" s="166">
        <f>$E31/1000*'Falhas UM-1 - Qty'!M31</f>
        <v>77.245141825537075</v>
      </c>
      <c r="N31" s="166">
        <f>$E31/1000*'Falhas UM-1 - Qty'!N31</f>
        <v>61.932249142659387</v>
      </c>
      <c r="O31" s="166">
        <f>$E31/1000*'Falhas UM-1 - Qty'!O31</f>
        <v>57.395452856642372</v>
      </c>
      <c r="P31" s="166">
        <f>$E31/1000*'Falhas UM-1 - Qty'!P31</f>
        <v>58.072964523433114</v>
      </c>
      <c r="Q31" s="177">
        <f>$E31/1000*'Falhas UM-1 - Qty'!Q31</f>
        <v>71.495110398098845</v>
      </c>
      <c r="R31" s="766">
        <f t="shared" si="0"/>
        <v>318.59158767961446</v>
      </c>
      <c r="S31" s="56">
        <f t="shared" si="1"/>
        <v>403.29773086707701</v>
      </c>
      <c r="T31" s="731">
        <f t="shared" si="2"/>
        <v>721.88931854669147</v>
      </c>
    </row>
    <row r="32" spans="1:20" ht="18" customHeight="1">
      <c r="A32" s="973"/>
      <c r="B32" s="976"/>
      <c r="C32" s="32">
        <f t="shared" si="5"/>
        <v>1230</v>
      </c>
      <c r="D32" s="44" t="s">
        <v>23</v>
      </c>
      <c r="E32" s="756">
        <f>'[2]Falhas UM-1'!I32</f>
        <v>842.06137999999987</v>
      </c>
      <c r="F32" s="125">
        <f>$E32/1000*'Falhas UM-1 - Qty'!F32</f>
        <v>19.673864519425091</v>
      </c>
      <c r="G32" s="166">
        <f>$E32/1000*'Falhas UM-1 - Qty'!G32</f>
        <v>10.735765190048232</v>
      </c>
      <c r="H32" s="166">
        <f>$E32/1000*'Falhas UM-1 - Qty'!H32</f>
        <v>10.68650103360932</v>
      </c>
      <c r="I32" s="166">
        <f>$E32/1000*'Falhas UM-1 - Qty'!I32</f>
        <v>10.799494022864971</v>
      </c>
      <c r="J32" s="166">
        <f>$E32/1000*'Falhas UM-1 - Qty'!J32</f>
        <v>19.508366352359317</v>
      </c>
      <c r="K32" s="166">
        <f>$E32/1000*'Falhas UM-1 - Qty'!K32</f>
        <v>22.606641311743225</v>
      </c>
      <c r="L32" s="166">
        <f>$E32/1000*'Falhas UM-1 - Qty'!L32</f>
        <v>22.767583904470676</v>
      </c>
      <c r="M32" s="166">
        <f>$E32/1000*'Falhas UM-1 - Qty'!M32</f>
        <v>22.793648407535532</v>
      </c>
      <c r="N32" s="166">
        <f>$E32/1000*'Falhas UM-1 - Qty'!N32</f>
        <v>18.275089910948669</v>
      </c>
      <c r="O32" s="166">
        <f>$E32/1000*'Falhas UM-1 - Qty'!O32</f>
        <v>16.936363138025619</v>
      </c>
      <c r="P32" s="166">
        <f>$E32/1000*'Falhas UM-1 - Qty'!P32</f>
        <v>17.136284613472068</v>
      </c>
      <c r="Q32" s="177">
        <f>$E32/1000*'Falhas UM-1 - Qty'!Q32</f>
        <v>21.096917822389823</v>
      </c>
      <c r="R32" s="766">
        <f t="shared" si="0"/>
        <v>94.010632430050151</v>
      </c>
      <c r="S32" s="56">
        <f t="shared" si="1"/>
        <v>119.00588779684239</v>
      </c>
      <c r="T32" s="731">
        <f t="shared" si="2"/>
        <v>213.01652022689254</v>
      </c>
    </row>
    <row r="33" spans="1:20" ht="18" customHeight="1">
      <c r="A33" s="973"/>
      <c r="B33" s="976"/>
      <c r="C33" s="32">
        <f t="shared" si="5"/>
        <v>1240</v>
      </c>
      <c r="D33" s="44" t="s">
        <v>22</v>
      </c>
      <c r="E33" s="756">
        <f>'[2]Falhas UM-1'!I33</f>
        <v>842.06137999999987</v>
      </c>
      <c r="F33" s="125">
        <f>$E33/1000*'Falhas UM-1 - Qty'!F33</f>
        <v>16.394887099520911</v>
      </c>
      <c r="G33" s="166">
        <f>$E33/1000*'Falhas UM-1 - Qty'!G33</f>
        <v>8.9464709917068621</v>
      </c>
      <c r="H33" s="166">
        <f>$E33/1000*'Falhas UM-1 - Qty'!H33</f>
        <v>8.9054175280077654</v>
      </c>
      <c r="I33" s="166">
        <f>$E33/1000*'Falhas UM-1 - Qty'!I33</f>
        <v>8.9995783523874771</v>
      </c>
      <c r="J33" s="166">
        <f>$E33/1000*'Falhas UM-1 - Qty'!J33</f>
        <v>16.256971960299435</v>
      </c>
      <c r="K33" s="166">
        <f>$E33/1000*'Falhas UM-1 - Qty'!K33</f>
        <v>18.838867759786019</v>
      </c>
      <c r="L33" s="166">
        <f>$E33/1000*'Falhas UM-1 - Qty'!L33</f>
        <v>18.972986587058895</v>
      </c>
      <c r="M33" s="166">
        <f>$E33/1000*'Falhas UM-1 - Qty'!M33</f>
        <v>18.994707006279608</v>
      </c>
      <c r="N33" s="166">
        <f>$E33/1000*'Falhas UM-1 - Qty'!N33</f>
        <v>15.229241592457225</v>
      </c>
      <c r="O33" s="166">
        <f>$E33/1000*'Falhas UM-1 - Qty'!O33</f>
        <v>14.113635948354682</v>
      </c>
      <c r="P33" s="166">
        <f>$E33/1000*'Falhas UM-1 - Qty'!P33</f>
        <v>14.28023717789339</v>
      </c>
      <c r="Q33" s="177">
        <f>$E33/1000*'Falhas UM-1 - Qty'!Q33</f>
        <v>17.580764851991521</v>
      </c>
      <c r="R33" s="766">
        <f t="shared" si="0"/>
        <v>78.342193691708474</v>
      </c>
      <c r="S33" s="56">
        <f t="shared" si="1"/>
        <v>99.171573164035323</v>
      </c>
      <c r="T33" s="731">
        <f t="shared" si="2"/>
        <v>177.5137668557438</v>
      </c>
    </row>
    <row r="34" spans="1:20" ht="18" customHeight="1">
      <c r="A34" s="973"/>
      <c r="B34" s="976"/>
      <c r="C34" s="37">
        <v>1250</v>
      </c>
      <c r="D34" s="741" t="s">
        <v>116</v>
      </c>
      <c r="E34" s="758">
        <f>'[2]Falhas UM-1'!I34</f>
        <v>842.06137999999987</v>
      </c>
      <c r="F34" s="746">
        <f>$E34/1000*'Falhas UM-1 - Qty'!F34</f>
        <v>57.928601084973884</v>
      </c>
      <c r="G34" s="126">
        <f>$E34/1000*'Falhas UM-1 - Qty'!G34</f>
        <v>31.610864170697575</v>
      </c>
      <c r="H34" s="126">
        <f>$E34/1000*'Falhas UM-1 - Qty'!H34</f>
        <v>31.465808598960781</v>
      </c>
      <c r="I34" s="126">
        <f>$E34/1000*'Falhas UM-1 - Qty'!I34</f>
        <v>31.798510178435755</v>
      </c>
      <c r="J34" s="126">
        <f>$E34/1000*'Falhas UM-1 - Qty'!J34</f>
        <v>57.441300926391328</v>
      </c>
      <c r="K34" s="126">
        <f>$E34/1000*'Falhas UM-1 - Qty'!K34</f>
        <v>66.563999417910608</v>
      </c>
      <c r="L34" s="126">
        <f>$E34/1000*'Falhas UM-1 - Qty'!L34</f>
        <v>67.037885940941436</v>
      </c>
      <c r="M34" s="126">
        <f>$E34/1000*'Falhas UM-1 - Qty'!M34</f>
        <v>67.114631422187955</v>
      </c>
      <c r="N34" s="126">
        <f>$E34/1000*'Falhas UM-1 - Qty'!N34</f>
        <v>53.809986960015529</v>
      </c>
      <c r="O34" s="126">
        <f>$E34/1000*'Falhas UM-1 - Qty'!O34</f>
        <v>49.868180350853216</v>
      </c>
      <c r="P34" s="126">
        <f>$E34/1000*'Falhas UM-1 - Qty'!P34</f>
        <v>50.456838028556646</v>
      </c>
      <c r="Q34" s="764">
        <f>$E34/1000*'Falhas UM-1 - Qty'!Q34</f>
        <v>62.118702477036706</v>
      </c>
      <c r="R34" s="770">
        <f t="shared" si="0"/>
        <v>276.80908437736991</v>
      </c>
      <c r="S34" s="57">
        <f t="shared" si="1"/>
        <v>350.4062251795915</v>
      </c>
      <c r="T34" s="735">
        <f t="shared" si="2"/>
        <v>627.21530955696142</v>
      </c>
    </row>
    <row r="35" spans="1:20" ht="18" customHeight="1" thickBot="1">
      <c r="A35" s="974"/>
      <c r="B35" s="977"/>
      <c r="C35" s="39">
        <v>1260</v>
      </c>
      <c r="D35" s="46" t="s">
        <v>124</v>
      </c>
      <c r="E35" s="759">
        <f>'[2]Falhas UM-1'!I35</f>
        <v>0</v>
      </c>
      <c r="F35" s="747">
        <f>$E35/1000*'Falhas UM-1 - Qty'!F35</f>
        <v>0</v>
      </c>
      <c r="G35" s="167">
        <f>$E35/1000*'Falhas UM-1 - Qty'!G35</f>
        <v>0</v>
      </c>
      <c r="H35" s="167">
        <f>$E35/1000*'Falhas UM-1 - Qty'!H35</f>
        <v>0</v>
      </c>
      <c r="I35" s="167">
        <f>$E35/1000*'Falhas UM-1 - Qty'!I35</f>
        <v>0</v>
      </c>
      <c r="J35" s="167">
        <f>$E35/1000*'Falhas UM-1 - Qty'!J35</f>
        <v>0</v>
      </c>
      <c r="K35" s="167">
        <f>$E35/1000*'Falhas UM-1 - Qty'!K35</f>
        <v>0</v>
      </c>
      <c r="L35" s="167">
        <f>$E35/1000*'Falhas UM-1 - Qty'!L35</f>
        <v>0</v>
      </c>
      <c r="M35" s="167">
        <f>$E35/1000*'Falhas UM-1 - Qty'!M35</f>
        <v>0</v>
      </c>
      <c r="N35" s="167">
        <f>$E35/1000*'Falhas UM-1 - Qty'!N35</f>
        <v>0</v>
      </c>
      <c r="O35" s="167">
        <f>$E35/1000*'Falhas UM-1 - Qty'!O35</f>
        <v>0</v>
      </c>
      <c r="P35" s="167">
        <f>$E35/1000*'Falhas UM-1 - Qty'!P35</f>
        <v>0</v>
      </c>
      <c r="Q35" s="179">
        <f>$E35/1000*'Falhas UM-1 - Qty'!Q35</f>
        <v>0</v>
      </c>
      <c r="R35" s="771">
        <f t="shared" si="0"/>
        <v>0</v>
      </c>
      <c r="S35" s="58">
        <f t="shared" si="1"/>
        <v>0</v>
      </c>
      <c r="T35" s="736">
        <f t="shared" si="2"/>
        <v>0</v>
      </c>
    </row>
    <row r="36" spans="1:20" ht="18" customHeight="1" thickTop="1" thickBot="1">
      <c r="A36" s="988" t="s">
        <v>21</v>
      </c>
      <c r="B36" s="990" t="s">
        <v>20</v>
      </c>
      <c r="C36" s="41"/>
      <c r="D36" s="742" t="s">
        <v>1</v>
      </c>
      <c r="E36" s="754">
        <f>'[2]Falhas UM-1'!I36</f>
        <v>505.96003773261299</v>
      </c>
      <c r="F36" s="175">
        <f>SUBTOTAL(109,F23:F35)</f>
        <v>462.33581620648971</v>
      </c>
      <c r="G36" s="175">
        <f t="shared" ref="G36:Q36" si="6">SUBTOTAL(109,G23:G35)</f>
        <v>252.29048196613348</v>
      </c>
      <c r="H36" s="175">
        <f t="shared" si="6"/>
        <v>251.13277428981908</v>
      </c>
      <c r="I36" s="175">
        <f t="shared" si="6"/>
        <v>253.78810953732682</v>
      </c>
      <c r="J36" s="175">
        <f t="shared" si="6"/>
        <v>458.44660928044402</v>
      </c>
      <c r="K36" s="175">
        <f t="shared" si="6"/>
        <v>531.25607082596582</v>
      </c>
      <c r="L36" s="175">
        <f t="shared" si="6"/>
        <v>535.03822175506093</v>
      </c>
      <c r="M36" s="175">
        <f t="shared" si="6"/>
        <v>535.65073757708501</v>
      </c>
      <c r="N36" s="175">
        <f t="shared" si="6"/>
        <v>429.46461290729371</v>
      </c>
      <c r="O36" s="175">
        <f t="shared" si="6"/>
        <v>398.00453374360205</v>
      </c>
      <c r="P36" s="175">
        <f t="shared" si="6"/>
        <v>402.70268841659367</v>
      </c>
      <c r="Q36" s="721">
        <f t="shared" si="6"/>
        <v>495.77756882616097</v>
      </c>
      <c r="R36" s="767">
        <f t="shared" si="0"/>
        <v>2209.2498621061786</v>
      </c>
      <c r="S36" s="59">
        <f t="shared" si="1"/>
        <v>2796.6383632257962</v>
      </c>
      <c r="T36" s="732">
        <f t="shared" si="2"/>
        <v>5005.8882253319753</v>
      </c>
    </row>
    <row r="37" spans="1:20" ht="18" customHeight="1" thickTop="1">
      <c r="A37" s="988"/>
      <c r="B37" s="968"/>
      <c r="C37" s="43">
        <v>1280</v>
      </c>
      <c r="D37" s="44" t="s">
        <v>19</v>
      </c>
      <c r="E37" s="756">
        <f>'[2]Falhas UM-1'!I37</f>
        <v>842.06137999999987</v>
      </c>
      <c r="F37" s="748">
        <f>$E37/1000*'Falhas UM-1 - Qty'!F37</f>
        <v>7.6509473131097581</v>
      </c>
      <c r="G37" s="177">
        <f>$E37/1000*'Falhas UM-1 - Qty'!G37</f>
        <v>4.1750197961298685</v>
      </c>
      <c r="H37" s="177">
        <f>$E37/1000*'Falhas UM-1 - Qty'!H37</f>
        <v>4.1558615130702909</v>
      </c>
      <c r="I37" s="177">
        <f>$E37/1000*'Falhas UM-1 - Qty'!I37</f>
        <v>4.1998032311141564</v>
      </c>
      <c r="J37" s="177">
        <f>$E37/1000*'Falhas UM-1 - Qty'!J37</f>
        <v>7.5865869148064009</v>
      </c>
      <c r="K37" s="177">
        <f>$E37/1000*'Falhas UM-1 - Qty'!K37</f>
        <v>8.7914716212334767</v>
      </c>
      <c r="L37" s="177">
        <f>$E37/1000*'Falhas UM-1 - Qty'!L37</f>
        <v>8.8540604072941509</v>
      </c>
      <c r="M37" s="177">
        <f>$E37/1000*'Falhas UM-1 - Qty'!M37</f>
        <v>8.8641966029304839</v>
      </c>
      <c r="N37" s="177">
        <f>$E37/1000*'Falhas UM-1 - Qty'!N37</f>
        <v>7.1069794098133725</v>
      </c>
      <c r="O37" s="177">
        <f>$E37/1000*'Falhas UM-1 - Qty'!O37</f>
        <v>6.586363442565518</v>
      </c>
      <c r="P37" s="177">
        <f>$E37/1000*'Falhas UM-1 - Qty'!P37</f>
        <v>6.664110683016915</v>
      </c>
      <c r="Q37" s="177">
        <f>$E37/1000*'Falhas UM-1 - Qty'!Q37</f>
        <v>8.2043569309293751</v>
      </c>
      <c r="R37" s="772">
        <f t="shared" si="0"/>
        <v>36.559690389463952</v>
      </c>
      <c r="S37" s="724">
        <f t="shared" si="1"/>
        <v>46.280067476549817</v>
      </c>
      <c r="T37" s="730">
        <f t="shared" si="2"/>
        <v>82.83975786601377</v>
      </c>
    </row>
    <row r="38" spans="1:20" ht="18" customHeight="1">
      <c r="A38" s="988"/>
      <c r="B38" s="968"/>
      <c r="C38" s="43">
        <f>C37+10</f>
        <v>1290</v>
      </c>
      <c r="D38" s="44" t="s">
        <v>18</v>
      </c>
      <c r="E38" s="756">
        <f>'[2]Falhas UM-1'!I38</f>
        <v>842.06137999999987</v>
      </c>
      <c r="F38" s="748">
        <f>$E38/1000*'Falhas UM-1 - Qty'!F38</f>
        <v>3.2789774199041823</v>
      </c>
      <c r="G38" s="177">
        <f>$E38/1000*'Falhas UM-1 - Qty'!G38</f>
        <v>1.7892941983413719</v>
      </c>
      <c r="H38" s="177">
        <f>$E38/1000*'Falhas UM-1 - Qty'!H38</f>
        <v>1.7810835056015533</v>
      </c>
      <c r="I38" s="177">
        <f>$E38/1000*'Falhas UM-1 - Qty'!I38</f>
        <v>1.7999156704774955</v>
      </c>
      <c r="J38" s="177">
        <f>$E38/1000*'Falhas UM-1 - Qty'!J38</f>
        <v>3.2513943920598867</v>
      </c>
      <c r="K38" s="177">
        <f>$E38/1000*'Falhas UM-1 - Qty'!K38</f>
        <v>3.7677735519572049</v>
      </c>
      <c r="L38" s="177">
        <f>$E38/1000*'Falhas UM-1 - Qty'!L38</f>
        <v>3.7945973174117795</v>
      </c>
      <c r="M38" s="177">
        <f>$E38/1000*'Falhas UM-1 - Qty'!M38</f>
        <v>3.7989414012559215</v>
      </c>
      <c r="N38" s="177">
        <f>$E38/1000*'Falhas UM-1 - Qty'!N38</f>
        <v>3.0458483184914447</v>
      </c>
      <c r="O38" s="177">
        <f>$E38/1000*'Falhas UM-1 - Qty'!O38</f>
        <v>2.8227271896709363</v>
      </c>
      <c r="P38" s="177">
        <f>$E38/1000*'Falhas UM-1 - Qty'!P38</f>
        <v>2.8560474355786782</v>
      </c>
      <c r="Q38" s="177">
        <f>$E38/1000*'Falhas UM-1 - Qty'!Q38</f>
        <v>3.5161529703983043</v>
      </c>
      <c r="R38" s="766">
        <f t="shared" ref="R38:R57" si="7">SUM(F38:K38)</f>
        <v>15.668438738341695</v>
      </c>
      <c r="S38" s="725">
        <f t="shared" ref="S38:S58" si="8">SUM(L38:Q38)</f>
        <v>19.834314632807065</v>
      </c>
      <c r="T38" s="731">
        <f t="shared" ref="T38:T58" si="9">R38+S38</f>
        <v>35.502753371148756</v>
      </c>
    </row>
    <row r="39" spans="1:20" ht="18" customHeight="1">
      <c r="A39" s="988"/>
      <c r="B39" s="968"/>
      <c r="C39" s="43">
        <f t="shared" ref="C39:C56" si="10">C38+10</f>
        <v>1300</v>
      </c>
      <c r="D39" s="44" t="s">
        <v>17</v>
      </c>
      <c r="E39" s="756">
        <f>'[2]Falhas UM-1'!I39</f>
        <v>842.06137999999987</v>
      </c>
      <c r="F39" s="748">
        <f>$E39/1000*'Falhas UM-1 - Qty'!F39</f>
        <v>2.1859849466027876</v>
      </c>
      <c r="G39" s="177">
        <f>$E39/1000*'Falhas UM-1 - Qty'!G39</f>
        <v>1.1928627988942482</v>
      </c>
      <c r="H39" s="177">
        <f>$E39/1000*'Falhas UM-1 - Qty'!H39</f>
        <v>1.1873890037343688</v>
      </c>
      <c r="I39" s="177">
        <f>$E39/1000*'Falhas UM-1 - Qty'!I39</f>
        <v>1.1999437803183304</v>
      </c>
      <c r="J39" s="177">
        <f>$E39/1000*'Falhas UM-1 - Qty'!J39</f>
        <v>2.1675962613732573</v>
      </c>
      <c r="K39" s="177">
        <f>$E39/1000*'Falhas UM-1 - Qty'!K39</f>
        <v>2.5118490346381361</v>
      </c>
      <c r="L39" s="177">
        <f>$E39/1000*'Falhas UM-1 - Qty'!L39</f>
        <v>2.5297315449411863</v>
      </c>
      <c r="M39" s="177">
        <f>$E39/1000*'Falhas UM-1 - Qty'!M39</f>
        <v>2.5326276008372814</v>
      </c>
      <c r="N39" s="177">
        <f>$E39/1000*'Falhas UM-1 - Qty'!N39</f>
        <v>2.0305655456609633</v>
      </c>
      <c r="O39" s="177">
        <f>$E39/1000*'Falhas UM-1 - Qty'!O39</f>
        <v>1.8818181264472913</v>
      </c>
      <c r="P39" s="177">
        <f>$E39/1000*'Falhas UM-1 - Qty'!P39</f>
        <v>1.904031623719119</v>
      </c>
      <c r="Q39" s="177">
        <f>$E39/1000*'Falhas UM-1 - Qty'!Q39</f>
        <v>2.3441019802655361</v>
      </c>
      <c r="R39" s="766">
        <f t="shared" si="7"/>
        <v>10.445625825561129</v>
      </c>
      <c r="S39" s="725">
        <f t="shared" si="8"/>
        <v>13.222876421871376</v>
      </c>
      <c r="T39" s="731">
        <f t="shared" si="9"/>
        <v>23.668502247432507</v>
      </c>
    </row>
    <row r="40" spans="1:20" ht="18" customHeight="1">
      <c r="A40" s="988"/>
      <c r="B40" s="968"/>
      <c r="C40" s="43">
        <f t="shared" si="10"/>
        <v>1310</v>
      </c>
      <c r="D40" s="44" t="s">
        <v>16</v>
      </c>
      <c r="E40" s="756">
        <f>'[2]Falhas UM-1'!I40</f>
        <v>842.06137999999987</v>
      </c>
      <c r="F40" s="748">
        <f>$E40/1000*'Falhas UM-1 - Qty'!F40</f>
        <v>2.1859849466027876</v>
      </c>
      <c r="G40" s="177">
        <f>$E40/1000*'Falhas UM-1 - Qty'!G40</f>
        <v>1.1928627988942482</v>
      </c>
      <c r="H40" s="177">
        <f>$E40/1000*'Falhas UM-1 - Qty'!H40</f>
        <v>1.1873890037343688</v>
      </c>
      <c r="I40" s="177">
        <f>$E40/1000*'Falhas UM-1 - Qty'!I40</f>
        <v>1.1999437803183304</v>
      </c>
      <c r="J40" s="177">
        <f>$E40/1000*'Falhas UM-1 - Qty'!J40</f>
        <v>2.1675962613732573</v>
      </c>
      <c r="K40" s="177">
        <f>$E40/1000*'Falhas UM-1 - Qty'!K40</f>
        <v>2.5118490346381361</v>
      </c>
      <c r="L40" s="177">
        <f>$E40/1000*'Falhas UM-1 - Qty'!L40</f>
        <v>2.5297315449411863</v>
      </c>
      <c r="M40" s="177">
        <f>$E40/1000*'Falhas UM-1 - Qty'!M40</f>
        <v>2.5326276008372814</v>
      </c>
      <c r="N40" s="177">
        <f>$E40/1000*'Falhas UM-1 - Qty'!N40</f>
        <v>2.0305655456609633</v>
      </c>
      <c r="O40" s="177">
        <f>$E40/1000*'Falhas UM-1 - Qty'!O40</f>
        <v>1.8818181264472913</v>
      </c>
      <c r="P40" s="177">
        <f>$E40/1000*'Falhas UM-1 - Qty'!P40</f>
        <v>1.904031623719119</v>
      </c>
      <c r="Q40" s="177">
        <f>$E40/1000*'Falhas UM-1 - Qty'!Q40</f>
        <v>2.3441019802655361</v>
      </c>
      <c r="R40" s="766">
        <f t="shared" si="7"/>
        <v>10.445625825561129</v>
      </c>
      <c r="S40" s="725">
        <f t="shared" si="8"/>
        <v>13.222876421871376</v>
      </c>
      <c r="T40" s="731">
        <f t="shared" si="9"/>
        <v>23.668502247432507</v>
      </c>
    </row>
    <row r="41" spans="1:20" ht="18" customHeight="1">
      <c r="A41" s="988"/>
      <c r="B41" s="968"/>
      <c r="C41" s="43">
        <f t="shared" si="10"/>
        <v>1320</v>
      </c>
      <c r="D41" s="44" t="s">
        <v>15</v>
      </c>
      <c r="E41" s="756">
        <f>'[2]Falhas UM-1'!I41</f>
        <v>842.06137999999987</v>
      </c>
      <c r="F41" s="748">
        <f>$E41/1000*'Falhas UM-1 - Qty'!F41</f>
        <v>20.766856992726492</v>
      </c>
      <c r="G41" s="177">
        <f>$E41/1000*'Falhas UM-1 - Qty'!G41</f>
        <v>11.332196589495359</v>
      </c>
      <c r="H41" s="177">
        <f>$E41/1000*'Falhas UM-1 - Qty'!H41</f>
        <v>11.280195535476505</v>
      </c>
      <c r="I41" s="177">
        <f>$E41/1000*'Falhas UM-1 - Qty'!I41</f>
        <v>11.399465913024137</v>
      </c>
      <c r="J41" s="177">
        <f>$E41/1000*'Falhas UM-1 - Qty'!J41</f>
        <v>20.592164483045948</v>
      </c>
      <c r="K41" s="177">
        <f>$E41/1000*'Falhas UM-1 - Qty'!K41</f>
        <v>23.862565829062298</v>
      </c>
      <c r="L41" s="177">
        <f>$E41/1000*'Falhas UM-1 - Qty'!L41</f>
        <v>24.032449676941273</v>
      </c>
      <c r="M41" s="177">
        <f>$E41/1000*'Falhas UM-1 - Qty'!M41</f>
        <v>24.059962207954175</v>
      </c>
      <c r="N41" s="177">
        <f>$E41/1000*'Falhas UM-1 - Qty'!N41</f>
        <v>19.290372683779154</v>
      </c>
      <c r="O41" s="177">
        <f>$E41/1000*'Falhas UM-1 - Qty'!O41</f>
        <v>17.877272201249266</v>
      </c>
      <c r="P41" s="177">
        <f>$E41/1000*'Falhas UM-1 - Qty'!P41</f>
        <v>18.088300425331628</v>
      </c>
      <c r="Q41" s="177">
        <f>$E41/1000*'Falhas UM-1 - Qty'!Q41</f>
        <v>22.268968812522594</v>
      </c>
      <c r="R41" s="766">
        <f t="shared" si="7"/>
        <v>99.233445342830748</v>
      </c>
      <c r="S41" s="725">
        <f t="shared" si="8"/>
        <v>125.61732600777808</v>
      </c>
      <c r="T41" s="731">
        <f t="shared" si="9"/>
        <v>224.85077135060882</v>
      </c>
    </row>
    <row r="42" spans="1:20" ht="18" customHeight="1">
      <c r="A42" s="988"/>
      <c r="B42" s="968"/>
      <c r="C42" s="43">
        <f t="shared" si="10"/>
        <v>1330</v>
      </c>
      <c r="D42" s="44" t="s">
        <v>14</v>
      </c>
      <c r="E42" s="756">
        <f>'[2]Falhas UM-1'!I42</f>
        <v>842.06137999999987</v>
      </c>
      <c r="F42" s="748">
        <f>$E42/1000*'Falhas UM-1 - Qty'!F42</f>
        <v>17.487879572822301</v>
      </c>
      <c r="G42" s="177">
        <f>$E42/1000*'Falhas UM-1 - Qty'!G42</f>
        <v>9.5429023911539854</v>
      </c>
      <c r="H42" s="177">
        <f>$E42/1000*'Falhas UM-1 - Qty'!H42</f>
        <v>9.4991120298749507</v>
      </c>
      <c r="I42" s="177">
        <f>$E42/1000*'Falhas UM-1 - Qty'!I42</f>
        <v>9.599550242546643</v>
      </c>
      <c r="J42" s="177">
        <f>$E42/1000*'Falhas UM-1 - Qty'!J42</f>
        <v>17.340770090986059</v>
      </c>
      <c r="K42" s="177">
        <f>$E42/1000*'Falhas UM-1 - Qty'!K42</f>
        <v>20.094792277105089</v>
      </c>
      <c r="L42" s="177">
        <f>$E42/1000*'Falhas UM-1 - Qty'!L42</f>
        <v>20.237852359529491</v>
      </c>
      <c r="M42" s="177">
        <f>$E42/1000*'Falhas UM-1 - Qty'!M42</f>
        <v>20.261020806698252</v>
      </c>
      <c r="N42" s="177">
        <f>$E42/1000*'Falhas UM-1 - Qty'!N42</f>
        <v>16.244524365287706</v>
      </c>
      <c r="O42" s="177">
        <f>$E42/1000*'Falhas UM-1 - Qty'!O42</f>
        <v>15.05454501157833</v>
      </c>
      <c r="P42" s="177">
        <f>$E42/1000*'Falhas UM-1 - Qty'!P42</f>
        <v>15.232252989752952</v>
      </c>
      <c r="Q42" s="177">
        <f>$E42/1000*'Falhas UM-1 - Qty'!Q42</f>
        <v>18.752815842124289</v>
      </c>
      <c r="R42" s="766">
        <f t="shared" si="7"/>
        <v>83.565006604489028</v>
      </c>
      <c r="S42" s="725">
        <f t="shared" si="8"/>
        <v>105.78301137497101</v>
      </c>
      <c r="T42" s="731">
        <f t="shared" si="9"/>
        <v>189.34801797946005</v>
      </c>
    </row>
    <row r="43" spans="1:20" ht="18" customHeight="1">
      <c r="A43" s="988"/>
      <c r="B43" s="968"/>
      <c r="C43" s="43">
        <f t="shared" si="10"/>
        <v>1340</v>
      </c>
      <c r="D43" s="44" t="s">
        <v>121</v>
      </c>
      <c r="E43" s="756">
        <f>'[2]Falhas UM-1'!I43</f>
        <v>842.06137999999987</v>
      </c>
      <c r="F43" s="748">
        <f>$E43/1000*'Falhas UM-1 - Qty'!F43</f>
        <v>13.115909679616729</v>
      </c>
      <c r="G43" s="177">
        <f>$E43/1000*'Falhas UM-1 - Qty'!G43</f>
        <v>7.1571767933654877</v>
      </c>
      <c r="H43" s="177">
        <f>$E43/1000*'Falhas UM-1 - Qty'!H43</f>
        <v>7.1243340224062131</v>
      </c>
      <c r="I43" s="177">
        <f>$E43/1000*'Falhas UM-1 - Qty'!I43</f>
        <v>7.1996626819099818</v>
      </c>
      <c r="J43" s="177">
        <f>$E43/1000*'Falhas UM-1 - Qty'!J43</f>
        <v>13.005577568239547</v>
      </c>
      <c r="K43" s="177">
        <f>$E43/1000*'Falhas UM-1 - Qty'!K43</f>
        <v>15.071094207828819</v>
      </c>
      <c r="L43" s="177">
        <f>$E43/1000*'Falhas UM-1 - Qty'!L43</f>
        <v>15.178389269647118</v>
      </c>
      <c r="M43" s="177">
        <f>$E43/1000*'Falhas UM-1 - Qty'!M43</f>
        <v>15.195765605023686</v>
      </c>
      <c r="N43" s="177">
        <f>$E43/1000*'Falhas UM-1 - Qty'!N43</f>
        <v>12.183393273965779</v>
      </c>
      <c r="O43" s="177">
        <f>$E43/1000*'Falhas UM-1 - Qty'!O43</f>
        <v>11.290908758683745</v>
      </c>
      <c r="P43" s="177">
        <f>$E43/1000*'Falhas UM-1 - Qty'!P43</f>
        <v>11.424189742314713</v>
      </c>
      <c r="Q43" s="177">
        <f>$E43/1000*'Falhas UM-1 - Qty'!Q43</f>
        <v>14.064611881593217</v>
      </c>
      <c r="R43" s="766">
        <f t="shared" si="7"/>
        <v>62.673754953366782</v>
      </c>
      <c r="S43" s="725">
        <f t="shared" si="8"/>
        <v>79.337258531228258</v>
      </c>
      <c r="T43" s="731">
        <f t="shared" si="9"/>
        <v>142.01101348459503</v>
      </c>
    </row>
    <row r="44" spans="1:20" ht="18" customHeight="1">
      <c r="A44" s="988"/>
      <c r="B44" s="968"/>
      <c r="C44" s="43">
        <v>1342</v>
      </c>
      <c r="D44" s="45" t="s">
        <v>122</v>
      </c>
      <c r="E44" s="757">
        <f>'[2]Falhas UM-1'!I44</f>
        <v>842.06137999999987</v>
      </c>
      <c r="F44" s="749">
        <f>$E44/1000*'Falhas UM-1 - Qty'!F44</f>
        <v>6.5579548398083647</v>
      </c>
      <c r="G44" s="178">
        <f>$E44/1000*'Falhas UM-1 - Qty'!G44</f>
        <v>3.5785883966827439</v>
      </c>
      <c r="H44" s="178">
        <f>$E44/1000*'Falhas UM-1 - Qty'!H44</f>
        <v>3.5621670112031065</v>
      </c>
      <c r="I44" s="178">
        <f>$E44/1000*'Falhas UM-1 - Qty'!I44</f>
        <v>3.5998313409549909</v>
      </c>
      <c r="J44" s="178">
        <f>$E44/1000*'Falhas UM-1 - Qty'!J44</f>
        <v>6.5027887841197733</v>
      </c>
      <c r="K44" s="178">
        <f>$E44/1000*'Falhas UM-1 - Qty'!K44</f>
        <v>7.5355471039144097</v>
      </c>
      <c r="L44" s="178">
        <f>$E44/1000*'Falhas UM-1 - Qty'!L44</f>
        <v>7.589194634823559</v>
      </c>
      <c r="M44" s="178">
        <f>$E44/1000*'Falhas UM-1 - Qty'!M44</f>
        <v>7.597882802511843</v>
      </c>
      <c r="N44" s="178">
        <f>$E44/1000*'Falhas UM-1 - Qty'!N44</f>
        <v>6.0916966369828893</v>
      </c>
      <c r="O44" s="178">
        <f>$E44/1000*'Falhas UM-1 - Qty'!O44</f>
        <v>5.6454543793418726</v>
      </c>
      <c r="P44" s="178">
        <f>$E44/1000*'Falhas UM-1 - Qty'!P44</f>
        <v>5.7120948711573565</v>
      </c>
      <c r="Q44" s="178">
        <f>$E44/1000*'Falhas UM-1 - Qty'!Q44</f>
        <v>7.0323059407966086</v>
      </c>
      <c r="R44" s="769">
        <f t="shared" si="7"/>
        <v>31.336877476683391</v>
      </c>
      <c r="S44" s="726">
        <f t="shared" si="8"/>
        <v>39.668629265614129</v>
      </c>
      <c r="T44" s="734">
        <f t="shared" si="9"/>
        <v>71.005506742297513</v>
      </c>
    </row>
    <row r="45" spans="1:20" ht="18" customHeight="1">
      <c r="A45" s="988"/>
      <c r="B45" s="968"/>
      <c r="C45" s="43">
        <v>1344</v>
      </c>
      <c r="D45" s="44" t="s">
        <v>125</v>
      </c>
      <c r="E45" s="756">
        <f>'[2]Falhas UM-1'!I45</f>
        <v>842.06137999999987</v>
      </c>
      <c r="F45" s="748">
        <f>$E45/1000*'Falhas UM-1 - Qty'!F45</f>
        <v>4.3719698932055753</v>
      </c>
      <c r="G45" s="177">
        <f>$E45/1000*'Falhas UM-1 - Qty'!G45</f>
        <v>2.3857255977884964</v>
      </c>
      <c r="H45" s="177">
        <f>$E45/1000*'Falhas UM-1 - Qty'!H45</f>
        <v>2.3747780074687377</v>
      </c>
      <c r="I45" s="177">
        <f>$E45/1000*'Falhas UM-1 - Qty'!I45</f>
        <v>2.3998875606366608</v>
      </c>
      <c r="J45" s="177">
        <f>$E45/1000*'Falhas UM-1 - Qty'!J45</f>
        <v>4.3351925227465147</v>
      </c>
      <c r="K45" s="177">
        <f>$E45/1000*'Falhas UM-1 - Qty'!K45</f>
        <v>5.0236980692762723</v>
      </c>
      <c r="L45" s="177">
        <f>$E45/1000*'Falhas UM-1 - Qty'!L45</f>
        <v>5.0594630898823727</v>
      </c>
      <c r="M45" s="177">
        <f>$E45/1000*'Falhas UM-1 - Qty'!M45</f>
        <v>5.0652552016745629</v>
      </c>
      <c r="N45" s="177">
        <f>$E45/1000*'Falhas UM-1 - Qty'!N45</f>
        <v>4.0611310913219265</v>
      </c>
      <c r="O45" s="177">
        <f>$E45/1000*'Falhas UM-1 - Qty'!O45</f>
        <v>3.7636362528945826</v>
      </c>
      <c r="P45" s="177">
        <f>$E45/1000*'Falhas UM-1 - Qty'!P45</f>
        <v>3.8080632474382381</v>
      </c>
      <c r="Q45" s="177">
        <f>$E45/1000*'Falhas UM-1 - Qty'!Q45</f>
        <v>4.6882039605310721</v>
      </c>
      <c r="R45" s="766">
        <f t="shared" si="7"/>
        <v>20.891251651122257</v>
      </c>
      <c r="S45" s="725">
        <f t="shared" si="8"/>
        <v>26.445752843742753</v>
      </c>
      <c r="T45" s="731">
        <f t="shared" si="9"/>
        <v>47.337004494865013</v>
      </c>
    </row>
    <row r="46" spans="1:20" ht="18" customHeight="1">
      <c r="A46" s="988"/>
      <c r="B46" s="968"/>
      <c r="C46" s="43">
        <f>C43+10</f>
        <v>1350</v>
      </c>
      <c r="D46" s="44" t="s">
        <v>13</v>
      </c>
      <c r="E46" s="756">
        <f>'[2]Falhas UM-1'!I46</f>
        <v>842.06137999999987</v>
      </c>
      <c r="F46" s="748">
        <f>$E46/1000*'Falhas UM-1 - Qty'!F46</f>
        <v>43.719698932055756</v>
      </c>
      <c r="G46" s="177">
        <f>$E46/1000*'Falhas UM-1 - Qty'!G46</f>
        <v>23.857255977884961</v>
      </c>
      <c r="H46" s="177">
        <f>$E46/1000*'Falhas UM-1 - Qty'!H46</f>
        <v>23.74778007468738</v>
      </c>
      <c r="I46" s="177">
        <f>$E46/1000*'Falhas UM-1 - Qty'!I46</f>
        <v>23.998875606366603</v>
      </c>
      <c r="J46" s="177">
        <f>$E46/1000*'Falhas UM-1 - Qty'!J46</f>
        <v>43.351925227465152</v>
      </c>
      <c r="K46" s="177">
        <f>$E46/1000*'Falhas UM-1 - Qty'!K46</f>
        <v>50.236980692762728</v>
      </c>
      <c r="L46" s="177">
        <f>$E46/1000*'Falhas UM-1 - Qty'!L46</f>
        <v>50.594630898823723</v>
      </c>
      <c r="M46" s="177">
        <f>$E46/1000*'Falhas UM-1 - Qty'!M46</f>
        <v>50.652552016745631</v>
      </c>
      <c r="N46" s="177">
        <f>$E46/1000*'Falhas UM-1 - Qty'!N46</f>
        <v>40.61131091321927</v>
      </c>
      <c r="O46" s="177">
        <f>$E46/1000*'Falhas UM-1 - Qty'!O46</f>
        <v>37.636362528945817</v>
      </c>
      <c r="P46" s="177">
        <f>$E46/1000*'Falhas UM-1 - Qty'!P46</f>
        <v>38.080632474382377</v>
      </c>
      <c r="Q46" s="177">
        <f>$E46/1000*'Falhas UM-1 - Qty'!Q46</f>
        <v>46.882039605310723</v>
      </c>
      <c r="R46" s="766">
        <f t="shared" si="7"/>
        <v>208.91251651122261</v>
      </c>
      <c r="S46" s="725">
        <f t="shared" si="8"/>
        <v>264.45752843742753</v>
      </c>
      <c r="T46" s="731">
        <f t="shared" si="9"/>
        <v>473.37004494865016</v>
      </c>
    </row>
    <row r="47" spans="1:20" ht="18" customHeight="1">
      <c r="A47" s="988"/>
      <c r="B47" s="968"/>
      <c r="C47" s="43">
        <f t="shared" si="10"/>
        <v>1360</v>
      </c>
      <c r="D47" s="44" t="s">
        <v>12</v>
      </c>
      <c r="E47" s="756">
        <f>'[2]Falhas UM-1'!I47</f>
        <v>842.06137999999987</v>
      </c>
      <c r="F47" s="748">
        <f>$E47/1000*'Falhas UM-1 - Qty'!F47</f>
        <v>3.2789774199041823</v>
      </c>
      <c r="G47" s="177">
        <f>$E47/1000*'Falhas UM-1 - Qty'!G47</f>
        <v>1.7892941983413719</v>
      </c>
      <c r="H47" s="177">
        <f>$E47/1000*'Falhas UM-1 - Qty'!H47</f>
        <v>1.7810835056015533</v>
      </c>
      <c r="I47" s="177">
        <f>$E47/1000*'Falhas UM-1 - Qty'!I47</f>
        <v>1.7999156704774955</v>
      </c>
      <c r="J47" s="177">
        <f>$E47/1000*'Falhas UM-1 - Qty'!J47</f>
        <v>3.2513943920598867</v>
      </c>
      <c r="K47" s="177">
        <f>$E47/1000*'Falhas UM-1 - Qty'!K47</f>
        <v>3.7677735519572049</v>
      </c>
      <c r="L47" s="177">
        <f>$E47/1000*'Falhas UM-1 - Qty'!L47</f>
        <v>3.7945973174117795</v>
      </c>
      <c r="M47" s="177">
        <f>$E47/1000*'Falhas UM-1 - Qty'!M47</f>
        <v>3.7989414012559215</v>
      </c>
      <c r="N47" s="177">
        <f>$E47/1000*'Falhas UM-1 - Qty'!N47</f>
        <v>3.0458483184914447</v>
      </c>
      <c r="O47" s="177">
        <f>$E47/1000*'Falhas UM-1 - Qty'!O47</f>
        <v>2.8227271896709363</v>
      </c>
      <c r="P47" s="177">
        <f>$E47/1000*'Falhas UM-1 - Qty'!P47</f>
        <v>2.8560474355786782</v>
      </c>
      <c r="Q47" s="177">
        <f>$E47/1000*'Falhas UM-1 - Qty'!Q47</f>
        <v>3.5161529703983043</v>
      </c>
      <c r="R47" s="766">
        <f t="shared" si="7"/>
        <v>15.668438738341695</v>
      </c>
      <c r="S47" s="725">
        <f t="shared" si="8"/>
        <v>19.834314632807065</v>
      </c>
      <c r="T47" s="731">
        <f t="shared" si="9"/>
        <v>35.502753371148756</v>
      </c>
    </row>
    <row r="48" spans="1:20" ht="18" customHeight="1">
      <c r="A48" s="988"/>
      <c r="B48" s="968"/>
      <c r="C48" s="43">
        <f t="shared" si="10"/>
        <v>1370</v>
      </c>
      <c r="D48" s="44" t="s">
        <v>11</v>
      </c>
      <c r="E48" s="756">
        <f>'[2]Falhas UM-1'!I48</f>
        <v>842.06137999999987</v>
      </c>
      <c r="F48" s="748">
        <f>$E48/1000*'Falhas UM-1 - Qty'!F48</f>
        <v>81.97443549760456</v>
      </c>
      <c r="G48" s="177">
        <f>$E48/1000*'Falhas UM-1 - Qty'!G48</f>
        <v>44.732354958534302</v>
      </c>
      <c r="H48" s="177">
        <f>$E48/1000*'Falhas UM-1 - Qty'!H48</f>
        <v>44.527087640038836</v>
      </c>
      <c r="I48" s="177">
        <f>$E48/1000*'Falhas UM-1 - Qty'!I48</f>
        <v>44.997891761937382</v>
      </c>
      <c r="J48" s="177">
        <f>$E48/1000*'Falhas UM-1 - Qty'!J48</f>
        <v>81.284859801497163</v>
      </c>
      <c r="K48" s="177">
        <f>$E48/1000*'Falhas UM-1 - Qty'!K48</f>
        <v>94.194338798930104</v>
      </c>
      <c r="L48" s="177">
        <f>$E48/1000*'Falhas UM-1 - Qty'!L48</f>
        <v>94.86493293529449</v>
      </c>
      <c r="M48" s="177">
        <f>$E48/1000*'Falhas UM-1 - Qty'!M48</f>
        <v>94.973535031398043</v>
      </c>
      <c r="N48" s="177">
        <f>$E48/1000*'Falhas UM-1 - Qty'!N48</f>
        <v>76.146207962286127</v>
      </c>
      <c r="O48" s="177">
        <f>$E48/1000*'Falhas UM-1 - Qty'!O48</f>
        <v>70.56817974177342</v>
      </c>
      <c r="P48" s="177">
        <f>$E48/1000*'Falhas UM-1 - Qty'!P48</f>
        <v>71.401185889466944</v>
      </c>
      <c r="Q48" s="177">
        <f>$E48/1000*'Falhas UM-1 - Qty'!Q48</f>
        <v>87.903824259957617</v>
      </c>
      <c r="R48" s="766">
        <f t="shared" si="7"/>
        <v>391.71096845854237</v>
      </c>
      <c r="S48" s="725">
        <f t="shared" si="8"/>
        <v>495.85786582017658</v>
      </c>
      <c r="T48" s="731">
        <f t="shared" si="9"/>
        <v>887.5688342787189</v>
      </c>
    </row>
    <row r="49" spans="1:20" ht="18" customHeight="1">
      <c r="A49" s="988"/>
      <c r="B49" s="968"/>
      <c r="C49" s="43">
        <f t="shared" si="10"/>
        <v>1380</v>
      </c>
      <c r="D49" s="44" t="s">
        <v>10</v>
      </c>
      <c r="E49" s="756">
        <f>'[2]Falhas UM-1'!I49</f>
        <v>842.06137999999987</v>
      </c>
      <c r="F49" s="748">
        <f>$E49/1000*'Falhas UM-1 - Qty'!F49</f>
        <v>5.4649623665069695</v>
      </c>
      <c r="G49" s="177">
        <f>$E49/1000*'Falhas UM-1 - Qty'!G49</f>
        <v>2.9821569972356201</v>
      </c>
      <c r="H49" s="177">
        <f>$E49/1000*'Falhas UM-1 - Qty'!H49</f>
        <v>2.9684725093359225</v>
      </c>
      <c r="I49" s="177">
        <f>$E49/1000*'Falhas UM-1 - Qty'!I49</f>
        <v>2.9998594507958254</v>
      </c>
      <c r="J49" s="177">
        <f>$E49/1000*'Falhas UM-1 - Qty'!J49</f>
        <v>5.418990653433144</v>
      </c>
      <c r="K49" s="177">
        <f>$E49/1000*'Falhas UM-1 - Qty'!K49</f>
        <v>6.279622586595341</v>
      </c>
      <c r="L49" s="177">
        <f>$E49/1000*'Falhas UM-1 - Qty'!L49</f>
        <v>6.3243288623529654</v>
      </c>
      <c r="M49" s="177">
        <f>$E49/1000*'Falhas UM-1 - Qty'!M49</f>
        <v>6.3315690020932038</v>
      </c>
      <c r="N49" s="177">
        <f>$E49/1000*'Falhas UM-1 - Qty'!N49</f>
        <v>5.0764138641524088</v>
      </c>
      <c r="O49" s="177">
        <f>$E49/1000*'Falhas UM-1 - Qty'!O49</f>
        <v>4.7045453161182271</v>
      </c>
      <c r="P49" s="177">
        <f>$E49/1000*'Falhas UM-1 - Qty'!P49</f>
        <v>4.7600790592977971</v>
      </c>
      <c r="Q49" s="177">
        <f>$E49/1000*'Falhas UM-1 - Qty'!Q49</f>
        <v>5.8602549506638404</v>
      </c>
      <c r="R49" s="766">
        <f t="shared" si="7"/>
        <v>26.114064563902826</v>
      </c>
      <c r="S49" s="725">
        <f t="shared" si="8"/>
        <v>33.057191054678441</v>
      </c>
      <c r="T49" s="731">
        <f t="shared" si="9"/>
        <v>59.17125561858127</v>
      </c>
    </row>
    <row r="50" spans="1:20" ht="18" customHeight="1">
      <c r="A50" s="988"/>
      <c r="B50" s="968"/>
      <c r="C50" s="43">
        <f t="shared" si="10"/>
        <v>1390</v>
      </c>
      <c r="D50" s="44" t="s">
        <v>9</v>
      </c>
      <c r="E50" s="756">
        <f>'[2]Falhas UM-1'!I50</f>
        <v>842.06137999999987</v>
      </c>
      <c r="F50" s="748">
        <f>$E50/1000*'Falhas UM-1 - Qty'!F50</f>
        <v>20.766856992726492</v>
      </c>
      <c r="G50" s="177">
        <f>$E50/1000*'Falhas UM-1 - Qty'!G50</f>
        <v>11.332196589495359</v>
      </c>
      <c r="H50" s="177">
        <f>$E50/1000*'Falhas UM-1 - Qty'!H50</f>
        <v>11.280195535476505</v>
      </c>
      <c r="I50" s="177">
        <f>$E50/1000*'Falhas UM-1 - Qty'!I50</f>
        <v>11.399465913024137</v>
      </c>
      <c r="J50" s="177">
        <f>$E50/1000*'Falhas UM-1 - Qty'!J50</f>
        <v>20.592164483045948</v>
      </c>
      <c r="K50" s="177">
        <f>$E50/1000*'Falhas UM-1 - Qty'!K50</f>
        <v>23.862565829062298</v>
      </c>
      <c r="L50" s="177">
        <f>$E50/1000*'Falhas UM-1 - Qty'!L50</f>
        <v>24.032449676941273</v>
      </c>
      <c r="M50" s="177">
        <f>$E50/1000*'Falhas UM-1 - Qty'!M50</f>
        <v>24.059962207954175</v>
      </c>
      <c r="N50" s="177">
        <f>$E50/1000*'Falhas UM-1 - Qty'!N50</f>
        <v>19.290372683779154</v>
      </c>
      <c r="O50" s="177">
        <f>$E50/1000*'Falhas UM-1 - Qty'!O50</f>
        <v>17.877272201249266</v>
      </c>
      <c r="P50" s="177">
        <f>$E50/1000*'Falhas UM-1 - Qty'!P50</f>
        <v>18.088300425331628</v>
      </c>
      <c r="Q50" s="177">
        <f>$E50/1000*'Falhas UM-1 - Qty'!Q50</f>
        <v>22.268968812522594</v>
      </c>
      <c r="R50" s="766">
        <f t="shared" si="7"/>
        <v>99.233445342830748</v>
      </c>
      <c r="S50" s="725">
        <f t="shared" si="8"/>
        <v>125.61732600777808</v>
      </c>
      <c r="T50" s="731">
        <f t="shared" si="9"/>
        <v>224.85077135060882</v>
      </c>
    </row>
    <row r="51" spans="1:20" ht="18" customHeight="1">
      <c r="A51" s="988"/>
      <c r="B51" s="968"/>
      <c r="C51" s="43">
        <f t="shared" si="10"/>
        <v>1400</v>
      </c>
      <c r="D51" s="44" t="s">
        <v>8</v>
      </c>
      <c r="E51" s="756">
        <f>'[2]Falhas UM-1'!I51</f>
        <v>842.06137999999987</v>
      </c>
      <c r="F51" s="748">
        <f>$E51/1000*'Falhas UM-1 - Qty'!F51</f>
        <v>46.998676351959944</v>
      </c>
      <c r="G51" s="177">
        <f>$E51/1000*'Falhas UM-1 - Qty'!G51</f>
        <v>25.646550176226334</v>
      </c>
      <c r="H51" s="177">
        <f>$E51/1000*'Falhas UM-1 - Qty'!H51</f>
        <v>25.528863580288931</v>
      </c>
      <c r="I51" s="177">
        <f>$E51/1000*'Falhas UM-1 - Qty'!I51</f>
        <v>25.798791276844103</v>
      </c>
      <c r="J51" s="177">
        <f>$E51/1000*'Falhas UM-1 - Qty'!J51</f>
        <v>46.603319619525038</v>
      </c>
      <c r="K51" s="177">
        <f>$E51/1000*'Falhas UM-1 - Qty'!K51</f>
        <v>54.004754244719933</v>
      </c>
      <c r="L51" s="177">
        <f>$E51/1000*'Falhas UM-1 - Qty'!L51</f>
        <v>54.389228216235509</v>
      </c>
      <c r="M51" s="177">
        <f>$E51/1000*'Falhas UM-1 - Qty'!M51</f>
        <v>54.451493418001547</v>
      </c>
      <c r="N51" s="177">
        <f>$E51/1000*'Falhas UM-1 - Qty'!N51</f>
        <v>43.657159231710715</v>
      </c>
      <c r="O51" s="177">
        <f>$E51/1000*'Falhas UM-1 - Qty'!O51</f>
        <v>40.45908971861676</v>
      </c>
      <c r="P51" s="177">
        <f>$E51/1000*'Falhas UM-1 - Qty'!P51</f>
        <v>40.936679909961057</v>
      </c>
      <c r="Q51" s="177">
        <f>$E51/1000*'Falhas UM-1 - Qty'!Q51</f>
        <v>50.398192575709032</v>
      </c>
      <c r="R51" s="766">
        <f t="shared" si="7"/>
        <v>224.58095524956428</v>
      </c>
      <c r="S51" s="725">
        <f t="shared" si="8"/>
        <v>284.29184307023456</v>
      </c>
      <c r="T51" s="731">
        <f t="shared" si="9"/>
        <v>508.87279831979885</v>
      </c>
    </row>
    <row r="52" spans="1:20" ht="18" customHeight="1">
      <c r="A52" s="988"/>
      <c r="B52" s="968"/>
      <c r="C52" s="43">
        <f t="shared" si="10"/>
        <v>1410</v>
      </c>
      <c r="D52" s="44" t="s">
        <v>7</v>
      </c>
      <c r="E52" s="756">
        <f>'[2]Falhas UM-1'!I52</f>
        <v>842.06137999999987</v>
      </c>
      <c r="F52" s="748">
        <f>$E52/1000*'Falhas UM-1 - Qty'!F52</f>
        <v>55.742616138371098</v>
      </c>
      <c r="G52" s="177">
        <f>$E52/1000*'Falhas UM-1 - Qty'!G52</f>
        <v>30.418001371803328</v>
      </c>
      <c r="H52" s="177">
        <f>$E52/1000*'Falhas UM-1 - Qty'!H52</f>
        <v>30.278419595226403</v>
      </c>
      <c r="I52" s="177">
        <f>$E52/1000*'Falhas UM-1 - Qty'!I52</f>
        <v>30.59856639811742</v>
      </c>
      <c r="J52" s="177">
        <f>$E52/1000*'Falhas UM-1 - Qty'!J52</f>
        <v>55.273704665018059</v>
      </c>
      <c r="K52" s="177">
        <f>$E52/1000*'Falhas UM-1 - Qty'!K52</f>
        <v>64.052150383272476</v>
      </c>
      <c r="L52" s="177">
        <f>$E52/1000*'Falhas UM-1 - Qty'!L52</f>
        <v>64.508154396000236</v>
      </c>
      <c r="M52" s="177">
        <f>$E52/1000*'Falhas UM-1 - Qty'!M52</f>
        <v>64.582003821350668</v>
      </c>
      <c r="N52" s="177">
        <f>$E52/1000*'Falhas UM-1 - Qty'!N52</f>
        <v>51.779421414354566</v>
      </c>
      <c r="O52" s="177">
        <f>$E52/1000*'Falhas UM-1 - Qty'!O52</f>
        <v>47.986362224405916</v>
      </c>
      <c r="P52" s="177">
        <f>$E52/1000*'Falhas UM-1 - Qty'!P52</f>
        <v>48.552806404837526</v>
      </c>
      <c r="Q52" s="177">
        <f>$E52/1000*'Falhas UM-1 - Qty'!Q52</f>
        <v>59.774600496771171</v>
      </c>
      <c r="R52" s="766">
        <f t="shared" si="7"/>
        <v>266.36345855180878</v>
      </c>
      <c r="S52" s="725">
        <f t="shared" si="8"/>
        <v>337.18334875772007</v>
      </c>
      <c r="T52" s="731">
        <f t="shared" si="9"/>
        <v>603.54680730952884</v>
      </c>
    </row>
    <row r="53" spans="1:20" ht="18" customHeight="1">
      <c r="A53" s="988"/>
      <c r="B53" s="968"/>
      <c r="C53" s="43">
        <f t="shared" si="10"/>
        <v>1420</v>
      </c>
      <c r="D53" s="44" t="s">
        <v>6</v>
      </c>
      <c r="E53" s="756">
        <f>'[2]Falhas UM-1'!I53</f>
        <v>842.06137999999987</v>
      </c>
      <c r="F53" s="748">
        <f>$E53/1000*'Falhas UM-1 - Qty'!F53</f>
        <v>156.29792368209937</v>
      </c>
      <c r="G53" s="177">
        <f>$E53/1000*'Falhas UM-1 - Qty'!G53</f>
        <v>85.289690120938744</v>
      </c>
      <c r="H53" s="177">
        <f>$E53/1000*'Falhas UM-1 - Qty'!H53</f>
        <v>84.89831376700738</v>
      </c>
      <c r="I53" s="177">
        <f>$E53/1000*'Falhas UM-1 - Qty'!I53</f>
        <v>85.795980292760618</v>
      </c>
      <c r="J53" s="177">
        <f>$E53/1000*'Falhas UM-1 - Qty'!J53</f>
        <v>154.98313268818794</v>
      </c>
      <c r="K53" s="177">
        <f>$E53/1000*'Falhas UM-1 - Qty'!K53</f>
        <v>179.59720597662675</v>
      </c>
      <c r="L53" s="177">
        <f>$E53/1000*'Falhas UM-1 - Qty'!L53</f>
        <v>180.87580546329485</v>
      </c>
      <c r="M53" s="177">
        <f>$E53/1000*'Falhas UM-1 - Qty'!M53</f>
        <v>181.08287345986565</v>
      </c>
      <c r="N53" s="177">
        <f>$E53/1000*'Falhas UM-1 - Qty'!N53</f>
        <v>145.18543651475889</v>
      </c>
      <c r="O53" s="177">
        <f>$E53/1000*'Falhas UM-1 - Qty'!O53</f>
        <v>134.54999604098131</v>
      </c>
      <c r="P53" s="177">
        <f>$E53/1000*'Falhas UM-1 - Qty'!P53</f>
        <v>136.13826109591702</v>
      </c>
      <c r="Q53" s="177">
        <f>$E53/1000*'Falhas UM-1 - Qty'!Q53</f>
        <v>167.60329158898585</v>
      </c>
      <c r="R53" s="766">
        <f t="shared" si="7"/>
        <v>746.86224652762075</v>
      </c>
      <c r="S53" s="725">
        <f t="shared" si="8"/>
        <v>945.43566416380361</v>
      </c>
      <c r="T53" s="731">
        <f t="shared" si="9"/>
        <v>1692.2979106914245</v>
      </c>
    </row>
    <row r="54" spans="1:20" ht="19.5" customHeight="1">
      <c r="A54" s="988"/>
      <c r="B54" s="968"/>
      <c r="C54" s="43">
        <f t="shared" si="10"/>
        <v>1430</v>
      </c>
      <c r="D54" s="44" t="s">
        <v>5</v>
      </c>
      <c r="E54" s="756">
        <f>'[2]Falhas UM-1'!I54</f>
        <v>123.28</v>
      </c>
      <c r="F54" s="748">
        <f>$E54/1000*'Falhas UM-1 - Qty'!F54</f>
        <v>14.081493519577444</v>
      </c>
      <c r="G54" s="177">
        <f>$E54/1000*'Falhas UM-1 - Qty'!G54</f>
        <v>7.6840830027118079</v>
      </c>
      <c r="H54" s="177">
        <f>$E54/1000*'Falhas UM-1 - Qty'!H54</f>
        <v>7.64882237056925</v>
      </c>
      <c r="I54" s="177">
        <f>$E54/1000*'Falhas UM-1 - Qty'!I54</f>
        <v>7.7296966718225768</v>
      </c>
      <c r="J54" s="177">
        <f>$E54/1000*'Falhas UM-1 - Qty'!J54</f>
        <v>13.963038837492096</v>
      </c>
      <c r="K54" s="177">
        <f>$E54/1000*'Falhas UM-1 - Qty'!K54</f>
        <v>16.180617326932079</v>
      </c>
      <c r="L54" s="177">
        <f>$E54/1000*'Falhas UM-1 - Qty'!L54</f>
        <v>16.295811374053727</v>
      </c>
      <c r="M54" s="177">
        <f>$E54/1000*'Falhas UM-1 - Qty'!M54</f>
        <v>16.314466942746719</v>
      </c>
      <c r="N54" s="177">
        <f>$E54/1000*'Falhas UM-1 - Qty'!N54</f>
        <v>13.080325926644065</v>
      </c>
      <c r="O54" s="177">
        <f>$E54/1000*'Falhas UM-1 - Qty'!O54</f>
        <v>12.122137343064672</v>
      </c>
      <c r="P54" s="177">
        <f>$E54/1000*'Falhas UM-1 - Qty'!P54</f>
        <v>12.265230376878336</v>
      </c>
      <c r="Q54" s="177">
        <f>$E54/1000*'Falhas UM-1 - Qty'!Q54</f>
        <v>15.100038495523872</v>
      </c>
      <c r="R54" s="766">
        <f t="shared" si="7"/>
        <v>67.287751729105253</v>
      </c>
      <c r="S54" s="725">
        <f t="shared" si="8"/>
        <v>85.178010458911388</v>
      </c>
      <c r="T54" s="731">
        <f t="shared" si="9"/>
        <v>152.46576218801664</v>
      </c>
    </row>
    <row r="55" spans="1:20" ht="18" customHeight="1">
      <c r="A55" s="988"/>
      <c r="B55" s="968"/>
      <c r="C55" s="43">
        <f t="shared" si="10"/>
        <v>1440</v>
      </c>
      <c r="D55" s="44" t="s">
        <v>4</v>
      </c>
      <c r="E55" s="756">
        <f>'[2]Falhas UM-1'!I55</f>
        <v>8.7911999999999999</v>
      </c>
      <c r="F55" s="748">
        <f>$E55/1000*'Falhas UM-1 - Qty'!F55</f>
        <v>163.82692606920244</v>
      </c>
      <c r="G55" s="177">
        <f>$E55/1000*'Falhas UM-1 - Qty'!G55</f>
        <v>89.398166199110577</v>
      </c>
      <c r="H55" s="177">
        <f>$E55/1000*'Falhas UM-1 - Qty'!H55</f>
        <v>88.987936917171041</v>
      </c>
      <c r="I55" s="177">
        <f>$E55/1000*'Falhas UM-1 - Qty'!I55</f>
        <v>89.928844794159147</v>
      </c>
      <c r="J55" s="177">
        <f>$E55/1000*'Falhas UM-1 - Qty'!J55</f>
        <v>162.44880048773862</v>
      </c>
      <c r="K55" s="177">
        <f>$E55/1000*'Falhas UM-1 - Qty'!K55</f>
        <v>188.24855438011122</v>
      </c>
      <c r="L55" s="177">
        <f>$E55/1000*'Falhas UM-1 - Qty'!L55</f>
        <v>189.58874507900072</v>
      </c>
      <c r="M55" s="177">
        <f>$E55/1000*'Falhas UM-1 - Qty'!M55</f>
        <v>189.80578771505327</v>
      </c>
      <c r="N55" s="177">
        <f>$E55/1000*'Falhas UM-1 - Qty'!N55</f>
        <v>152.17914105248215</v>
      </c>
      <c r="O55" s="177">
        <f>$E55/1000*'Falhas UM-1 - Qty'!O55</f>
        <v>141.03138246961805</v>
      </c>
      <c r="P55" s="177">
        <f>$E55/1000*'Falhas UM-1 - Qty'!P55</f>
        <v>142.69615558754171</v>
      </c>
      <c r="Q55" s="177">
        <f>$E55/1000*'Falhas UM-1 - Qty'!Q55</f>
        <v>175.67688305285205</v>
      </c>
      <c r="R55" s="766">
        <f t="shared" si="7"/>
        <v>782.83922884749313</v>
      </c>
      <c r="S55" s="725">
        <f t="shared" si="8"/>
        <v>990.97809495654803</v>
      </c>
      <c r="T55" s="731">
        <f t="shared" si="9"/>
        <v>1773.8173238040413</v>
      </c>
    </row>
    <row r="56" spans="1:20" ht="18" customHeight="1" thickBot="1">
      <c r="A56" s="989"/>
      <c r="B56" s="969"/>
      <c r="C56" s="43">
        <f t="shared" si="10"/>
        <v>1450</v>
      </c>
      <c r="D56" s="46" t="s">
        <v>3</v>
      </c>
      <c r="E56" s="759">
        <f>'[2]Falhas UM-1'!I56</f>
        <v>2.1126</v>
      </c>
      <c r="F56" s="750">
        <f>$E56/1000*'Falhas UM-1 - Qty'!F56</f>
        <v>59.156332417488791</v>
      </c>
      <c r="G56" s="179">
        <f>$E56/1000*'Falhas UM-1 - Qty'!G56</f>
        <v>32.28082076663383</v>
      </c>
      <c r="H56" s="179">
        <f>$E56/1000*'Falhas UM-1 - Qty'!H56</f>
        <v>32.132690905736901</v>
      </c>
      <c r="I56" s="179">
        <f>$E56/1000*'Falhas UM-1 - Qty'!I56</f>
        <v>32.472443719763518</v>
      </c>
      <c r="J56" s="179">
        <f>$E56/1000*'Falhas UM-1 - Qty'!J56</f>
        <v>58.658704481921703</v>
      </c>
      <c r="K56" s="179">
        <f>$E56/1000*'Falhas UM-1 - Qty'!K56</f>
        <v>67.974748273782268</v>
      </c>
      <c r="L56" s="179">
        <f>$E56/1000*'Falhas UM-1 - Qty'!L56</f>
        <v>68.458678286928247</v>
      </c>
      <c r="M56" s="179">
        <f>$E56/1000*'Falhas UM-1 - Qty'!M56</f>
        <v>68.537050302049067</v>
      </c>
      <c r="N56" s="179">
        <f>$E56/1000*'Falhas UM-1 - Qty'!N56</f>
        <v>54.950428913656381</v>
      </c>
      <c r="O56" s="179">
        <f>$E56/1000*'Falhas UM-1 - Qty'!O56</f>
        <v>50.925080161405127</v>
      </c>
      <c r="P56" s="179">
        <f>$E56/1000*'Falhas UM-1 - Qty'!P56</f>
        <v>51.526213774337549</v>
      </c>
      <c r="Q56" s="179">
        <f>$E56/1000*'Falhas UM-1 - Qty'!Q56</f>
        <v>63.43523828038466</v>
      </c>
      <c r="R56" s="771">
        <f t="shared" si="7"/>
        <v>282.67574056532698</v>
      </c>
      <c r="S56" s="727">
        <f t="shared" si="8"/>
        <v>357.83268971876106</v>
      </c>
      <c r="T56" s="736">
        <f t="shared" si="9"/>
        <v>640.50843028408804</v>
      </c>
    </row>
    <row r="57" spans="1:20" ht="20.100000000000001" customHeight="1" thickTop="1" thickBot="1">
      <c r="A57" s="992"/>
      <c r="B57" s="993"/>
      <c r="C57" s="41"/>
      <c r="D57" s="742" t="s">
        <v>1</v>
      </c>
      <c r="E57" s="754">
        <f>'[2]Falhas UM-1'!I57</f>
        <v>405.84068830580736</v>
      </c>
      <c r="F57" s="175">
        <f>SUBTOTAL(109,F37:F56)</f>
        <v>728.91136499189599</v>
      </c>
      <c r="G57" s="175">
        <f t="shared" ref="G57:Q57" si="11">SUBTOTAL(109,G37:G56)</f>
        <v>397.75719971966203</v>
      </c>
      <c r="H57" s="175">
        <f t="shared" si="11"/>
        <v>395.93197603371021</v>
      </c>
      <c r="I57" s="175">
        <f t="shared" si="11"/>
        <v>400.11833575736955</v>
      </c>
      <c r="J57" s="175">
        <f t="shared" si="11"/>
        <v>722.77970261613541</v>
      </c>
      <c r="K57" s="175">
        <f t="shared" si="11"/>
        <v>837.56995277440637</v>
      </c>
      <c r="L57" s="175">
        <f t="shared" si="11"/>
        <v>843.53283235174968</v>
      </c>
      <c r="M57" s="175">
        <f t="shared" si="11"/>
        <v>844.4985151482374</v>
      </c>
      <c r="N57" s="175">
        <f t="shared" si="11"/>
        <v>677.08714366649929</v>
      </c>
      <c r="O57" s="175">
        <f t="shared" si="11"/>
        <v>627.4876784247283</v>
      </c>
      <c r="P57" s="175">
        <f t="shared" si="11"/>
        <v>634.89471507555925</v>
      </c>
      <c r="Q57" s="721">
        <f t="shared" si="11"/>
        <v>781.6351053885063</v>
      </c>
      <c r="R57" s="767">
        <f t="shared" si="7"/>
        <v>3483.0685318931796</v>
      </c>
      <c r="S57" s="728">
        <f t="shared" si="8"/>
        <v>4409.1359900552807</v>
      </c>
      <c r="T57" s="732">
        <f t="shared" si="9"/>
        <v>7892.2045219484608</v>
      </c>
    </row>
    <row r="58" spans="1:20" ht="12.75" customHeight="1" thickTop="1">
      <c r="A58" s="994"/>
      <c r="B58" s="995"/>
      <c r="C58" s="47">
        <v>1460</v>
      </c>
      <c r="D58" s="64" t="s">
        <v>2</v>
      </c>
      <c r="E58" s="760">
        <f>'[2]Falhas UM-1'!I58</f>
        <v>842.06137999999987</v>
      </c>
      <c r="F58" s="751">
        <f>$E58/1000*'Falhas UM-1 - Qty'!F58</f>
        <v>333.95423613162023</v>
      </c>
      <c r="G58" s="180">
        <f>$E58/1000*'Falhas UM-1 - Qty'!G58</f>
        <v>182.23436782290926</v>
      </c>
      <c r="H58" s="180">
        <f>$E58/1000*'Falhas UM-1 - Qty'!H58</f>
        <v>181.39813284141994</v>
      </c>
      <c r="I58" s="180">
        <f>$E58/1000*'Falhas UM-1 - Qty'!I58</f>
        <v>183.31613361741603</v>
      </c>
      <c r="J58" s="180">
        <f>$E58/1000*'Falhas UM-1 - Qty'!J58</f>
        <v>331.14498562015797</v>
      </c>
      <c r="K58" s="180">
        <f>$E58/1000*'Falhas UM-1 - Qty'!K58</f>
        <v>383.73668901250278</v>
      </c>
      <c r="L58" s="180">
        <f>$E58/1000*'Falhas UM-1 - Qty'!L58</f>
        <v>386.46861087575797</v>
      </c>
      <c r="M58" s="180">
        <f>$E58/1000*'Falhas UM-1 - Qty'!M58</f>
        <v>386.911043078266</v>
      </c>
      <c r="N58" s="180">
        <f>$E58/1000*'Falhas UM-1 - Qty'!N58</f>
        <v>310.21072069606214</v>
      </c>
      <c r="O58" s="180">
        <f>$E58/1000*'Falhas UM-1 - Qty'!O58</f>
        <v>287.48648792526882</v>
      </c>
      <c r="P58" s="180">
        <f>$E58/1000*'Falhas UM-1 - Qty'!P58</f>
        <v>290.88005727475297</v>
      </c>
      <c r="Q58" s="722">
        <f>$E58/1000*'Falhas UM-1 - Qty'!Q58</f>
        <v>358.10987054177593</v>
      </c>
      <c r="R58" s="773">
        <f>SUM(F58:K58)</f>
        <v>1595.7845450460263</v>
      </c>
      <c r="S58" s="727">
        <f t="shared" si="8"/>
        <v>2020.0667903918841</v>
      </c>
      <c r="T58" s="736">
        <f t="shared" si="9"/>
        <v>3615.8513354379102</v>
      </c>
    </row>
    <row r="59" spans="1:20">
      <c r="C59" s="210"/>
      <c r="D59" s="743" t="s">
        <v>1</v>
      </c>
      <c r="E59" s="761">
        <f>'[2]Falhas UM-1'!I59</f>
        <v>842.06137999999987</v>
      </c>
      <c r="F59" s="752">
        <f>F58</f>
        <v>333.95423613162023</v>
      </c>
      <c r="G59" s="207">
        <f t="shared" ref="G59:Q59" si="12">G58</f>
        <v>182.23436782290926</v>
      </c>
      <c r="H59" s="207">
        <f t="shared" si="12"/>
        <v>181.39813284141994</v>
      </c>
      <c r="I59" s="207">
        <f t="shared" si="12"/>
        <v>183.31613361741603</v>
      </c>
      <c r="J59" s="207">
        <f t="shared" si="12"/>
        <v>331.14498562015797</v>
      </c>
      <c r="K59" s="207">
        <f t="shared" si="12"/>
        <v>383.73668901250278</v>
      </c>
      <c r="L59" s="207">
        <f t="shared" si="12"/>
        <v>386.46861087575797</v>
      </c>
      <c r="M59" s="207">
        <f t="shared" si="12"/>
        <v>386.911043078266</v>
      </c>
      <c r="N59" s="207">
        <f t="shared" si="12"/>
        <v>310.21072069606214</v>
      </c>
      <c r="O59" s="207">
        <f t="shared" si="12"/>
        <v>287.48648792526882</v>
      </c>
      <c r="P59" s="207">
        <f t="shared" si="12"/>
        <v>290.88005727475297</v>
      </c>
      <c r="Q59" s="723">
        <f t="shared" si="12"/>
        <v>358.10987054177593</v>
      </c>
      <c r="R59" s="774">
        <f t="shared" ref="R59:T59" si="13">R58</f>
        <v>1595.7845450460263</v>
      </c>
      <c r="S59" s="729">
        <f t="shared" si="13"/>
        <v>2020.0667903918841</v>
      </c>
      <c r="T59" s="737">
        <f t="shared" si="13"/>
        <v>3615.8513354379102</v>
      </c>
    </row>
    <row r="60" spans="1:20" ht="13.5" thickBot="1">
      <c r="C60" s="233"/>
      <c r="D60" s="744" t="s">
        <v>0</v>
      </c>
      <c r="E60" s="762">
        <f>'[2]Falhas UM-1'!I60</f>
        <v>574.56478861161145</v>
      </c>
      <c r="F60" s="778">
        <f>SUMIF($D$6:$D$59,$D$59,F6:F59)</f>
        <v>2568.5447771905974</v>
      </c>
      <c r="G60" s="776">
        <f t="shared" ref="G60:Q60" si="14">SUMIF($D$6:$D$59,$D$59,G6:G59)</f>
        <v>1401.620590647882</v>
      </c>
      <c r="H60" s="776">
        <f t="shared" si="14"/>
        <v>1395.188850122327</v>
      </c>
      <c r="I60" s="776">
        <f t="shared" si="14"/>
        <v>1409.94078419838</v>
      </c>
      <c r="J60" s="776">
        <f t="shared" si="14"/>
        <v>2546.9379671898623</v>
      </c>
      <c r="K60" s="776">
        <f t="shared" si="14"/>
        <v>2951.4369387756697</v>
      </c>
      <c r="L60" s="776">
        <f t="shared" si="14"/>
        <v>2972.4489903514768</v>
      </c>
      <c r="M60" s="776">
        <f t="shared" si="14"/>
        <v>2975.8518725432909</v>
      </c>
      <c r="N60" s="776">
        <f t="shared" si="14"/>
        <v>2385.9260948508086</v>
      </c>
      <c r="O60" s="776">
        <f t="shared" si="14"/>
        <v>2211.1470290865996</v>
      </c>
      <c r="P60" s="776">
        <f t="shared" si="14"/>
        <v>2237.2480150468928</v>
      </c>
      <c r="Q60" s="779">
        <f t="shared" si="14"/>
        <v>2754.3331933599238</v>
      </c>
      <c r="R60" s="775">
        <f t="array" ref="R60">SUM(IF($D$6:$D$59="Total",R6:R59))</f>
        <v>12273.669908124719</v>
      </c>
      <c r="S60" s="776">
        <f t="array" ref="S60">SUM(IF($D$6:$D$59="Total",S6:S59))</f>
        <v>15536.955195238992</v>
      </c>
      <c r="T60" s="777">
        <f t="array" ref="T60">SUM(IF($D$6:$D$59="Total",T6:T59))</f>
        <v>27810.625103363713</v>
      </c>
    </row>
    <row r="61" spans="1:20">
      <c r="C61" s="211"/>
      <c r="E61" s="1">
        <f>'[2]Falhas UM-1'!I61</f>
        <v>0</v>
      </c>
      <c r="G61" s="181"/>
      <c r="H61" s="181"/>
      <c r="I61" s="181"/>
      <c r="J61" s="181"/>
      <c r="K61" s="181"/>
      <c r="L61" s="181"/>
      <c r="M61" s="181"/>
      <c r="N61" s="181"/>
      <c r="O61" s="181"/>
      <c r="P61" s="181"/>
      <c r="Q61" s="181"/>
      <c r="R61" s="206"/>
      <c r="S61" s="206"/>
      <c r="T61" s="206"/>
    </row>
    <row r="62" spans="1:20">
      <c r="C62" s="211"/>
      <c r="G62" s="181"/>
      <c r="H62" s="181"/>
      <c r="I62" s="206"/>
      <c r="J62" s="206"/>
      <c r="K62" s="206"/>
      <c r="L62" s="206"/>
      <c r="M62" s="206"/>
      <c r="N62" s="206"/>
      <c r="O62" s="206"/>
      <c r="P62" s="206"/>
      <c r="Q62" s="206"/>
      <c r="R62" s="206"/>
      <c r="S62" s="206"/>
      <c r="T62" s="206"/>
    </row>
    <row r="63" spans="1:20">
      <c r="C63" s="211"/>
      <c r="D63" s="174" t="s">
        <v>173</v>
      </c>
      <c r="E63" s="209" t="s">
        <v>175</v>
      </c>
      <c r="F63" s="208">
        <f>F15+F22+F36</f>
        <v>1505.679176067081</v>
      </c>
      <c r="G63" s="208">
        <f t="shared" ref="G63:Q63" si="15">G15+G22+G36</f>
        <v>821.62902310531081</v>
      </c>
      <c r="H63" s="208">
        <f t="shared" ref="H63:I63" si="16">H15+H22+H36</f>
        <v>817.8587412471968</v>
      </c>
      <c r="I63" s="208">
        <f t="shared" si="16"/>
        <v>826.50631482359438</v>
      </c>
      <c r="J63" s="208">
        <f t="shared" ref="J63:K63" si="17">J15+J22+J36</f>
        <v>1493.0132789535692</v>
      </c>
      <c r="K63" s="208">
        <f t="shared" si="17"/>
        <v>1730.1302969887606</v>
      </c>
      <c r="L63" s="208">
        <f t="shared" ref="L63:M63" si="18">L15+L22+L36</f>
        <v>1742.4475471239693</v>
      </c>
      <c r="M63" s="208">
        <f t="shared" si="18"/>
        <v>1744.4423143167874</v>
      </c>
      <c r="N63" s="208">
        <f t="shared" ref="N63" si="19">N15+N22+N36</f>
        <v>1398.628230488247</v>
      </c>
      <c r="O63" s="208">
        <f t="shared" si="15"/>
        <v>1296.1728627366026</v>
      </c>
      <c r="P63" s="208">
        <f t="shared" si="15"/>
        <v>1311.4732426965804</v>
      </c>
      <c r="Q63" s="208">
        <f t="shared" si="15"/>
        <v>1614.5882174296416</v>
      </c>
      <c r="R63" s="574">
        <f>R15+R22+R36</f>
        <v>7194.8168311855125</v>
      </c>
      <c r="S63" s="572">
        <f>S15+S22</f>
        <v>6311.1140515660327</v>
      </c>
      <c r="T63" s="208">
        <f t="shared" ref="T63:T68" si="20">SUM(F63:Q63)</f>
        <v>16302.569245977344</v>
      </c>
    </row>
    <row r="64" spans="1:20">
      <c r="C64" s="211"/>
      <c r="D64" s="174"/>
      <c r="E64" s="174" t="s">
        <v>176</v>
      </c>
      <c r="F64" s="208">
        <v>2190.1758917410693</v>
      </c>
      <c r="G64" s="208">
        <v>2313.1091246785854</v>
      </c>
      <c r="H64" s="208">
        <f>'[7]Falhas UM-1'!$N$15+'[7]Falhas UM-1'!$N$22+'[7]Falhas UM-1'!$N$36</f>
        <v>1451.7636556822704</v>
      </c>
      <c r="I64" s="208">
        <f>'[8]Falhas UM-1'!$N$15+'[8]Falhas UM-1'!$N$22+'[8]Falhas UM-1'!$N$36</f>
        <v>1926.0569045786037</v>
      </c>
      <c r="J64" s="208">
        <f>'[9]Falhas UM-1'!$N$15+'[9]Falhas UM-1'!$N$22+'[9]Falhas UM-1'!$N$36</f>
        <v>1860.1879995223485</v>
      </c>
      <c r="K64" s="208">
        <f>'[10]Falhas UM-1'!$N$15+'[10]Falhas UM-1'!$N$22+'[10]Falhas UM-1'!$N$36</f>
        <v>1990.1108704695307</v>
      </c>
      <c r="L64" s="208">
        <f>'[11]Falhas UM-1'!$N$15+'[11]Falhas UM-1'!$N$22+'[11]Falhas UM-1'!$N$36</f>
        <v>678.75396373820774</v>
      </c>
      <c r="M64" s="208">
        <f>'[12]Falhas UM-1'!$N$15+'[12]Falhas UM-1'!$N$22+'[12]Falhas UM-1'!$N$36</f>
        <v>242.41283507259897</v>
      </c>
      <c r="N64" s="208">
        <f>'[2]Falhas UM-1'!$N$15+'[2]Falhas UM-1'!$N$22+'[2]Falhas UM-1'!$N$36</f>
        <v>427.15978455167669</v>
      </c>
      <c r="O64" s="573">
        <f>'[13]Falhas UM-1 - Cost'!O$63</f>
        <v>827.06542840999987</v>
      </c>
      <c r="P64" s="573">
        <f>'[13]Falhas UM-1 - Cost'!P$63</f>
        <v>841.38677233999988</v>
      </c>
      <c r="Q64" s="573">
        <f>'[13]Falhas UM-1 - Cost'!Q$63</f>
        <v>1024.8207649199996</v>
      </c>
      <c r="R64" s="573">
        <f>'[13]Falhas UM-1 - Cost'!R$63</f>
        <v>6011.6765362999986</v>
      </c>
      <c r="S64" s="573">
        <f>'[13]Falhas UM-1 - Cost'!S$63</f>
        <v>6239.9623417599996</v>
      </c>
      <c r="T64" s="208">
        <f t="shared" si="20"/>
        <v>15773.00399570489</v>
      </c>
    </row>
    <row r="65" spans="3:22">
      <c r="C65" s="211"/>
      <c r="D65" s="174" t="s">
        <v>174</v>
      </c>
      <c r="E65" s="174" t="s">
        <v>175</v>
      </c>
      <c r="F65" s="208">
        <f>F57</f>
        <v>728.91136499189599</v>
      </c>
      <c r="G65" s="208">
        <f t="shared" ref="G65:Q65" si="21">G57</f>
        <v>397.75719971966203</v>
      </c>
      <c r="H65" s="208">
        <f t="shared" ref="H65:I65" si="22">H57</f>
        <v>395.93197603371021</v>
      </c>
      <c r="I65" s="208">
        <f t="shared" si="22"/>
        <v>400.11833575736955</v>
      </c>
      <c r="J65" s="208">
        <f t="shared" ref="J65:K65" si="23">J57</f>
        <v>722.77970261613541</v>
      </c>
      <c r="K65" s="208">
        <f t="shared" si="23"/>
        <v>837.56995277440637</v>
      </c>
      <c r="L65" s="208">
        <f t="shared" ref="L65:M65" si="24">L57</f>
        <v>843.53283235174968</v>
      </c>
      <c r="M65" s="208">
        <f t="shared" si="24"/>
        <v>844.4985151482374</v>
      </c>
      <c r="N65" s="208">
        <f t="shared" ref="N65" si="25">N57</f>
        <v>677.08714366649929</v>
      </c>
      <c r="O65" s="208">
        <f t="shared" si="21"/>
        <v>627.4876784247283</v>
      </c>
      <c r="P65" s="208">
        <f t="shared" si="21"/>
        <v>634.89471507555925</v>
      </c>
      <c r="Q65" s="208">
        <f t="shared" si="21"/>
        <v>781.6351053885063</v>
      </c>
      <c r="R65" s="574">
        <f t="shared" ref="R65:S65" si="26">R57</f>
        <v>3483.0685318931796</v>
      </c>
      <c r="S65" s="572">
        <f t="shared" si="26"/>
        <v>4409.1359900552807</v>
      </c>
      <c r="T65" s="208">
        <f t="shared" si="20"/>
        <v>7892.2045219484598</v>
      </c>
    </row>
    <row r="66" spans="3:22">
      <c r="C66" s="211"/>
      <c r="D66" s="174"/>
      <c r="E66" s="174" t="s">
        <v>176</v>
      </c>
      <c r="F66" s="208">
        <v>1317.1058860706055</v>
      </c>
      <c r="G66" s="208">
        <v>1376.4761370361985</v>
      </c>
      <c r="H66" s="208">
        <f>'[7]Falhas UM-1'!$N$57</f>
        <v>882.1179329165509</v>
      </c>
      <c r="I66" s="208">
        <f>'[8]Falhas UM-1'!$N$57</f>
        <v>1232.4914047144839</v>
      </c>
      <c r="J66" s="208">
        <f>'[9]Falhas UM-1'!$N$57</f>
        <v>1094.8806540654805</v>
      </c>
      <c r="K66" s="208">
        <f>'[10]Falhas UM-1'!$N$57</f>
        <v>1185.818358969517</v>
      </c>
      <c r="L66" s="208">
        <f>'[11]Falhas UM-1'!$N$57</f>
        <v>333.37560798801934</v>
      </c>
      <c r="M66" s="208">
        <f>'[12]Falhas UM-1'!$N$57</f>
        <v>294.86578622476304</v>
      </c>
      <c r="N66" s="208">
        <f>'[2]Falhas UM-1'!$N$57</f>
        <v>260.17569178413726</v>
      </c>
      <c r="O66" s="573">
        <f>'[13]Falhas UM-1 - Cost'!O$65</f>
        <v>698.67234391999989</v>
      </c>
      <c r="P66" s="573">
        <f>'[13]Falhas UM-1 - Cost'!P$65</f>
        <v>711.47504939999999</v>
      </c>
      <c r="Q66" s="573">
        <f>'[13]Falhas UM-1 - Cost'!Q$65</f>
        <v>868.73004661999994</v>
      </c>
      <c r="R66" s="573">
        <f>'[13]Falhas UM-1 - Cost'!R$65</f>
        <v>5092.0425502199996</v>
      </c>
      <c r="S66" s="573">
        <f>'[13]Falhas UM-1 - Cost'!S$65</f>
        <v>5284.9677494600001</v>
      </c>
      <c r="T66" s="208">
        <f t="shared" si="20"/>
        <v>10256.184899709755</v>
      </c>
    </row>
    <row r="67" spans="3:22">
      <c r="C67" s="211"/>
      <c r="D67" s="174" t="s">
        <v>104</v>
      </c>
      <c r="E67" s="174" t="s">
        <v>175</v>
      </c>
      <c r="F67" s="208">
        <f>F59</f>
        <v>333.95423613162023</v>
      </c>
      <c r="G67" s="208">
        <f t="shared" ref="G67:Q67" si="27">G59</f>
        <v>182.23436782290926</v>
      </c>
      <c r="H67" s="208">
        <f t="shared" ref="H67:I67" si="28">H59</f>
        <v>181.39813284141994</v>
      </c>
      <c r="I67" s="208">
        <f t="shared" si="28"/>
        <v>183.31613361741603</v>
      </c>
      <c r="J67" s="208">
        <f t="shared" ref="J67:K67" si="29">J59</f>
        <v>331.14498562015797</v>
      </c>
      <c r="K67" s="208">
        <f t="shared" si="29"/>
        <v>383.73668901250278</v>
      </c>
      <c r="L67" s="208">
        <f t="shared" ref="L67:M67" si="30">L59</f>
        <v>386.46861087575797</v>
      </c>
      <c r="M67" s="208">
        <f t="shared" si="30"/>
        <v>386.911043078266</v>
      </c>
      <c r="N67" s="208">
        <f t="shared" ref="N67" si="31">N59</f>
        <v>310.21072069606214</v>
      </c>
      <c r="O67" s="208">
        <f t="shared" si="27"/>
        <v>287.48648792526882</v>
      </c>
      <c r="P67" s="208">
        <f t="shared" si="27"/>
        <v>290.88005727475297</v>
      </c>
      <c r="Q67" s="208">
        <f t="shared" si="27"/>
        <v>358.10987054177593</v>
      </c>
      <c r="R67" s="574">
        <f t="shared" ref="R67:S67" si="32">R59</f>
        <v>1595.7845450460263</v>
      </c>
      <c r="S67" s="572">
        <f t="shared" si="32"/>
        <v>2020.0667903918841</v>
      </c>
      <c r="T67" s="208">
        <f t="shared" si="20"/>
        <v>3615.8513354379097</v>
      </c>
    </row>
    <row r="68" spans="3:22">
      <c r="D68" s="212"/>
      <c r="E68" s="174" t="s">
        <v>176</v>
      </c>
      <c r="F68" s="213">
        <v>1098.1804915983664</v>
      </c>
      <c r="G68" s="213">
        <v>989.97544847893232</v>
      </c>
      <c r="H68" s="213">
        <f>'[7]Falhas UM-1'!$N$60</f>
        <v>609.42218283089301</v>
      </c>
      <c r="I68" s="213">
        <f>'[8]Falhas UM-1'!$N$60</f>
        <v>1394.4465090632384</v>
      </c>
      <c r="J68" s="213">
        <f>'[9]Falhas UM-1'!$N$60</f>
        <v>1346.4731202572775</v>
      </c>
      <c r="K68" s="213">
        <f>'[10]Falhas UM-1'!$N$60</f>
        <v>1468.718370284585</v>
      </c>
      <c r="L68" s="213">
        <f>'[11]Falhas UM-1'!$N$60</f>
        <v>498.91295476412409</v>
      </c>
      <c r="M68" s="213">
        <f>'[12]Falhas UM-1'!$N$60</f>
        <v>182.14822496400842</v>
      </c>
      <c r="N68" s="213">
        <f>'[2]Falhas UM-1'!$N$60</f>
        <v>320.85717605567254</v>
      </c>
      <c r="O68" s="261">
        <f>'[13]Falhas UM-1 - Cost'!O$67</f>
        <v>320.16103224000005</v>
      </c>
      <c r="P68" s="261">
        <f>'[13]Falhas UM-1 - Cost'!P$67</f>
        <v>325.46390647999999</v>
      </c>
      <c r="Q68" s="261">
        <f>'[13]Falhas UM-1 - Cost'!Q$67</f>
        <v>396.38984944000003</v>
      </c>
      <c r="R68" s="261">
        <f>'[13]Falhas UM-1 - Cost'!R$67</f>
        <v>2327.2989320800002</v>
      </c>
      <c r="S68" s="261">
        <f>'[13]Falhas UM-1 - Cost'!S$67</f>
        <v>0</v>
      </c>
      <c r="T68" s="208">
        <f t="shared" si="20"/>
        <v>8951.149266457096</v>
      </c>
    </row>
    <row r="69" spans="3:22">
      <c r="D69" s="991" t="s">
        <v>1</v>
      </c>
      <c r="E69" s="571" t="s">
        <v>175</v>
      </c>
      <c r="F69" s="655">
        <f>SUMIF($E$63:$E$68,$E$69,F63:F68)</f>
        <v>2568.5447771905974</v>
      </c>
      <c r="G69" s="655">
        <f t="shared" ref="G69:T69" si="33">SUMIF($E$63:$E$68,$E$69,G63:G68)</f>
        <v>1401.620590647882</v>
      </c>
      <c r="H69" s="655">
        <f t="shared" ref="H69" si="34">SUMIF($E$63:$E$68,$E$69,H63:H68)</f>
        <v>1395.188850122327</v>
      </c>
      <c r="I69" s="655">
        <f t="shared" si="33"/>
        <v>1409.94078419838</v>
      </c>
      <c r="J69" s="655">
        <f t="shared" ref="J69:K69" si="35">SUMIF($E$63:$E$68,$E$69,J63:J68)</f>
        <v>2546.9379671898623</v>
      </c>
      <c r="K69" s="655">
        <f t="shared" si="35"/>
        <v>2951.4369387756697</v>
      </c>
      <c r="L69" s="655">
        <f t="shared" ref="L69:M69" si="36">SUMIF($E$63:$E$68,$E$69,L63:L68)</f>
        <v>2972.4489903514768</v>
      </c>
      <c r="M69" s="655">
        <f t="shared" si="36"/>
        <v>2975.8518725432909</v>
      </c>
      <c r="N69" s="655">
        <f t="shared" ref="N69" si="37">SUMIF($E$63:$E$68,$E$69,N63:N68)</f>
        <v>2385.9260948508086</v>
      </c>
      <c r="O69" s="655">
        <f t="shared" si="33"/>
        <v>2211.1470290865996</v>
      </c>
      <c r="P69" s="655">
        <f t="shared" si="33"/>
        <v>2237.2480150468928</v>
      </c>
      <c r="Q69" s="655">
        <f t="shared" si="33"/>
        <v>2754.3331933599238</v>
      </c>
      <c r="R69" s="655">
        <f t="shared" si="33"/>
        <v>12273.669908124719</v>
      </c>
      <c r="S69" s="655">
        <f t="shared" si="33"/>
        <v>12740.316832013197</v>
      </c>
      <c r="T69" s="655">
        <f t="shared" si="33"/>
        <v>27810.625103363713</v>
      </c>
    </row>
    <row r="70" spans="3:22">
      <c r="D70" s="991"/>
      <c r="E70" s="571" t="s">
        <v>176</v>
      </c>
      <c r="F70" s="655">
        <f>SUMIF($E$63:$E$68,$E$70,F63:F68)</f>
        <v>4605.4622694100417</v>
      </c>
      <c r="G70" s="655">
        <f>SUMIF($E$63:$E$68,$E$70,G63:G68)</f>
        <v>4679.5607101937167</v>
      </c>
      <c r="H70" s="655">
        <f>SUMIF($E$63:$E$68,$E$70,H63:H68)</f>
        <v>2943.3037714297143</v>
      </c>
      <c r="I70" s="655">
        <f t="shared" ref="I70:T70" si="38">SUMIF($E$63:$E$68,$E$70,I63:I68)</f>
        <v>4552.9948183563265</v>
      </c>
      <c r="J70" s="655">
        <f t="shared" ref="J70:K70" si="39">SUMIF($E$63:$E$68,$E$70,J63:J68)</f>
        <v>4301.5417738451069</v>
      </c>
      <c r="K70" s="655">
        <f t="shared" si="39"/>
        <v>4644.647599723633</v>
      </c>
      <c r="L70" s="655">
        <f t="shared" ref="L70:M70" si="40">SUMIF($E$63:$E$68,$E$70,L63:L68)</f>
        <v>1511.0425264903513</v>
      </c>
      <c r="M70" s="655">
        <f t="shared" si="40"/>
        <v>719.42684626137043</v>
      </c>
      <c r="N70" s="655">
        <f t="shared" ref="N70" si="41">SUMIF($E$63:$E$68,$E$70,N63:N68)</f>
        <v>1008.1926523914865</v>
      </c>
      <c r="O70" s="655">
        <f t="shared" si="38"/>
        <v>1845.8988045699998</v>
      </c>
      <c r="P70" s="655">
        <f t="shared" si="38"/>
        <v>1878.3257282199997</v>
      </c>
      <c r="Q70" s="655">
        <f t="shared" si="38"/>
        <v>2289.9406609799998</v>
      </c>
      <c r="R70" s="655">
        <f t="shared" si="38"/>
        <v>13431.0180186</v>
      </c>
      <c r="S70" s="655">
        <f t="shared" si="38"/>
        <v>11524.93009122</v>
      </c>
      <c r="T70" s="655">
        <f t="shared" si="38"/>
        <v>34980.338161871739</v>
      </c>
      <c r="V70" s="619"/>
    </row>
    <row r="94" spans="8:8">
      <c r="H94" s="587"/>
    </row>
    <row r="101" spans="6:18">
      <c r="F101" s="587"/>
      <c r="G101" s="587"/>
      <c r="H101" s="587"/>
      <c r="I101" s="587"/>
      <c r="J101" s="587"/>
      <c r="K101" s="587"/>
      <c r="L101" s="587"/>
      <c r="M101" s="587"/>
      <c r="N101" s="587"/>
      <c r="O101" s="587"/>
      <c r="P101" s="587"/>
      <c r="Q101" s="587"/>
      <c r="R101" s="587"/>
    </row>
  </sheetData>
  <mergeCells count="10">
    <mergeCell ref="D69:D70"/>
    <mergeCell ref="A57:B58"/>
    <mergeCell ref="A36:A56"/>
    <mergeCell ref="B36:B56"/>
    <mergeCell ref="A1:F1"/>
    <mergeCell ref="B6:B15"/>
    <mergeCell ref="B16:B22"/>
    <mergeCell ref="A6:A35"/>
    <mergeCell ref="B23:B35"/>
    <mergeCell ref="C4:D4"/>
  </mergeCells>
  <phoneticPr fontId="20" type="noConversion"/>
  <printOptions horizontalCentered="1" gridLinesSet="0"/>
  <pageMargins left="0.98425196850393704" right="0.39370078740157483" top="0.39370078740157483" bottom="0.39370078740157483" header="0.51181102362204722" footer="0.31496062992125984"/>
  <pageSetup paperSize="9" scale="35" orientation="landscape" horizontalDpi="4294967292" r:id="rId1"/>
  <headerFooter alignWithMargins="0">
    <oddFooter>&amp;L&amp;A&amp;R&amp;F</oddFooter>
  </headerFooter>
  <ignoredErrors>
    <ignoredError sqref="O66:S66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>
    <tabColor indexed="56"/>
    <pageSetUpPr fitToPage="1"/>
  </sheetPr>
  <dimension ref="A1:AA76"/>
  <sheetViews>
    <sheetView showGridLines="0" zoomScale="106" zoomScaleNormal="106" zoomScaleSheetLayoutView="53" workbookViewId="0">
      <pane xSplit="3" ySplit="6" topLeftCell="D7" activePane="bottomRight" state="frozen"/>
      <selection activeCell="E6" sqref="E6"/>
      <selection pane="topRight" activeCell="E6" sqref="E6"/>
      <selection pane="bottomLeft" activeCell="E6" sqref="E6"/>
      <selection pane="bottomRight" activeCell="E7" sqref="E7"/>
    </sheetView>
  </sheetViews>
  <sheetFormatPr defaultColWidth="11.42578125" defaultRowHeight="12.75"/>
  <cols>
    <col min="1" max="1" width="3.140625" style="76" bestFit="1" customWidth="1"/>
    <col min="2" max="2" width="6.42578125" style="76" bestFit="1" customWidth="1"/>
    <col min="3" max="3" width="25.140625" style="76" bestFit="1" customWidth="1"/>
    <col min="4" max="4" width="10" style="76" bestFit="1" customWidth="1"/>
    <col min="5" max="10" width="8" style="76" bestFit="1" customWidth="1"/>
    <col min="11" max="11" width="7" style="76" bestFit="1" customWidth="1"/>
    <col min="12" max="13" width="8" style="76" bestFit="1" customWidth="1"/>
    <col min="14" max="16" width="7" style="76" bestFit="1" customWidth="1"/>
    <col min="17" max="17" width="7.42578125" style="76" bestFit="1" customWidth="1"/>
    <col min="18" max="18" width="6.42578125" style="76" bestFit="1" customWidth="1"/>
    <col min="19" max="19" width="7.42578125" style="76" bestFit="1" customWidth="1"/>
    <col min="20" max="20" width="6.42578125" style="76" bestFit="1" customWidth="1"/>
    <col min="21" max="21" width="7.42578125" style="76" bestFit="1" customWidth="1"/>
    <col min="22" max="22" width="6.42578125" style="76" bestFit="1" customWidth="1"/>
    <col min="23" max="23" width="6.85546875" style="76" bestFit="1" customWidth="1"/>
    <col min="24" max="24" width="7.42578125" style="76" bestFit="1" customWidth="1"/>
    <col min="25" max="25" width="6.7109375" style="76" bestFit="1" customWidth="1"/>
    <col min="26" max="26" width="6" style="76" bestFit="1" customWidth="1"/>
    <col min="27" max="16384" width="11.42578125" style="76"/>
  </cols>
  <sheetData>
    <row r="1" spans="1:27" ht="18" customHeight="1">
      <c r="A1" s="996" t="s">
        <v>80</v>
      </c>
      <c r="B1" s="996"/>
      <c r="C1" s="996"/>
      <c r="D1" s="996"/>
      <c r="E1" s="996"/>
    </row>
    <row r="2" spans="1:27" ht="18" customHeight="1"/>
    <row r="3" spans="1:27" ht="9.9499999999999993" customHeight="1" thickBot="1"/>
    <row r="4" spans="1:27" ht="18" customHeight="1">
      <c r="A4" s="77"/>
      <c r="B4" s="997"/>
      <c r="C4" s="998"/>
      <c r="D4" s="313" t="s">
        <v>192</v>
      </c>
      <c r="E4" s="202">
        <f>'Falhas UM-1 - Qty'!F5</f>
        <v>44652</v>
      </c>
      <c r="F4" s="202">
        <f>'Falhas UM-1 - Qty'!G5</f>
        <v>44682</v>
      </c>
      <c r="G4" s="202">
        <f>'Falhas UM-1 - Qty'!H5</f>
        <v>44713</v>
      </c>
      <c r="H4" s="202">
        <f>'Falhas UM-1 - Qty'!I5</f>
        <v>44743</v>
      </c>
      <c r="I4" s="202">
        <f>'Falhas UM-1 - Qty'!J5</f>
        <v>44774</v>
      </c>
      <c r="J4" s="202">
        <f>'Falhas UM-1 - Qty'!K5</f>
        <v>44805</v>
      </c>
      <c r="K4" s="202">
        <f>'Falhas UM-1 - Qty'!L5</f>
        <v>44835</v>
      </c>
      <c r="L4" s="202">
        <f>'Falhas UM-1 - Qty'!M5</f>
        <v>44866</v>
      </c>
      <c r="M4" s="202">
        <f>'Falhas UM-1 - Qty'!N5</f>
        <v>44896</v>
      </c>
      <c r="N4" s="202">
        <f>'Falhas UM-1 - Qty'!O5</f>
        <v>44927</v>
      </c>
      <c r="O4" s="202">
        <f>'Falhas UM-1 - Qty'!P5</f>
        <v>44958</v>
      </c>
      <c r="P4" s="202">
        <f>'Falhas UM-1 - Qty'!Q5</f>
        <v>44986</v>
      </c>
      <c r="Q4" s="62" t="s">
        <v>55</v>
      </c>
      <c r="R4" s="13"/>
      <c r="S4" s="12" t="s">
        <v>54</v>
      </c>
      <c r="T4" s="13"/>
      <c r="U4" s="12" t="s">
        <v>1</v>
      </c>
      <c r="V4" s="11"/>
      <c r="W4" s="62" t="s">
        <v>55</v>
      </c>
      <c r="X4" s="11" t="s">
        <v>54</v>
      </c>
      <c r="Y4" s="62" t="s">
        <v>53</v>
      </c>
      <c r="Z4" s="11" t="s">
        <v>52</v>
      </c>
    </row>
    <row r="5" spans="1:27" ht="18" customHeight="1" thickBot="1">
      <c r="A5" s="191"/>
      <c r="B5" s="999" t="s">
        <v>57</v>
      </c>
      <c r="C5" s="1000"/>
      <c r="D5" s="314" t="s">
        <v>48</v>
      </c>
      <c r="E5" s="201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63" t="s">
        <v>49</v>
      </c>
      <c r="R5" s="7" t="s">
        <v>48</v>
      </c>
      <c r="S5" s="6" t="s">
        <v>49</v>
      </c>
      <c r="T5" s="7" t="s">
        <v>48</v>
      </c>
      <c r="U5" s="6" t="s">
        <v>49</v>
      </c>
      <c r="V5" s="5" t="s">
        <v>48</v>
      </c>
      <c r="W5" s="63"/>
      <c r="X5" s="5"/>
      <c r="Y5" s="63"/>
      <c r="Z5" s="620">
        <v>2022</v>
      </c>
    </row>
    <row r="6" spans="1:27" ht="13.5" thickTop="1">
      <c r="A6" s="191"/>
      <c r="B6" s="192" t="s">
        <v>51</v>
      </c>
      <c r="C6" s="193" t="s">
        <v>50</v>
      </c>
      <c r="D6" s="201">
        <f>'Falhas UM-1 - Qty'!E5</f>
        <v>2022</v>
      </c>
      <c r="E6" s="194"/>
      <c r="F6" s="194"/>
      <c r="G6" s="194"/>
      <c r="H6" s="194"/>
      <c r="I6" s="194"/>
      <c r="J6" s="194"/>
      <c r="K6" s="194"/>
      <c r="L6" s="194"/>
      <c r="M6" s="194"/>
      <c r="N6" s="194"/>
      <c r="O6" s="194"/>
      <c r="P6" s="194"/>
      <c r="Q6" s="194"/>
      <c r="R6" s="194"/>
      <c r="S6" s="194"/>
      <c r="T6" s="194"/>
      <c r="U6" s="194"/>
      <c r="V6" s="194"/>
      <c r="W6" s="194"/>
      <c r="X6" s="194"/>
      <c r="Y6" s="194"/>
      <c r="Z6" s="194"/>
    </row>
    <row r="7" spans="1:27" ht="18" customHeight="1">
      <c r="A7" s="1001" t="s">
        <v>142</v>
      </c>
      <c r="B7" s="79">
        <v>3010</v>
      </c>
      <c r="C7" s="80" t="s">
        <v>46</v>
      </c>
      <c r="D7" s="329">
        <f>'[3]Falhas UM-3-1 Qty'!Z7</f>
        <v>121.3962633968371</v>
      </c>
      <c r="E7" s="339">
        <f>'Prod &amp; Defects - Qty'!F$6*'Falhas UM-3-1 Qty'!$D7/1000000</f>
        <v>394.22152918471039</v>
      </c>
      <c r="F7" s="339">
        <f>'Prod &amp; Defects - Qty'!G$6*'Falhas UM-3-1 Qty'!$D7/1000000</f>
        <v>412.57895495052804</v>
      </c>
      <c r="G7" s="339">
        <f>'Prod &amp; Defects - Qty'!H$6*'Falhas UM-3-1 Qty'!$D7/1000000</f>
        <v>397.0596080615644</v>
      </c>
      <c r="H7" s="339">
        <f>'Prod &amp; Defects - Qty'!I$6*'Falhas UM-3-1 Qty'!$D7/1000000</f>
        <v>399.62661880620499</v>
      </c>
      <c r="I7" s="339">
        <f>'Prod &amp; Defects - Qty'!J$6*'Falhas UM-3-1 Qty'!$D7/1000000</f>
        <v>404.50859740010958</v>
      </c>
      <c r="J7" s="339">
        <f>'Prod &amp; Defects - Qty'!K$6*'Falhas UM-3-1 Qty'!$D7/1000000</f>
        <v>459.91880839013385</v>
      </c>
      <c r="K7" s="339">
        <f>'Prod &amp; Defects - Qty'!L$6*'Falhas UM-3-1 Qty'!$D7/1000000</f>
        <v>454.26174691934733</v>
      </c>
      <c r="L7" s="339">
        <f>'Prod &amp; Defects - Qty'!M$6*'Falhas UM-3-1 Qty'!$D7/1000000</f>
        <v>454.50002056946249</v>
      </c>
      <c r="M7" s="339">
        <f>'Prod &amp; Defects - Qty'!N$6*'Falhas UM-3-1 Qty'!$D7/1000000</f>
        <v>432.44364490292878</v>
      </c>
      <c r="N7" s="339">
        <f>'Prod &amp; Defects - Qty'!O$6*'Falhas UM-3-1 Qty'!$D7/1000000</f>
        <v>335.3726797006492</v>
      </c>
      <c r="O7" s="339">
        <f>'Prod &amp; Defects - Qty'!P$6*'Falhas UM-3-1 Qty'!$D7/1000000</f>
        <v>321.89697829106734</v>
      </c>
      <c r="P7" s="339">
        <f>'Prod &amp; Defects - Qty'!Q$6*'Falhas UM-3-1 Qty'!$D7/1000000</f>
        <v>408.12932188171453</v>
      </c>
      <c r="Q7" s="797">
        <f>SUM(E7:J7)</f>
        <v>2467.9141167932512</v>
      </c>
      <c r="R7" s="797">
        <f>Q7/SUM('Prod &amp; Defects - Qty'!$F$6:$K$6)*1000000</f>
        <v>121.3962633968371</v>
      </c>
      <c r="S7" s="797">
        <f>SUM(K7:P7)</f>
        <v>2406.6043922651697</v>
      </c>
      <c r="T7" s="797">
        <f>S7/SUM('Prod &amp; Defects - Qty'!$L$6:$Q$6)*1000000</f>
        <v>121.3962633968371</v>
      </c>
      <c r="U7" s="797">
        <f>Q7+S7</f>
        <v>4874.5185090584209</v>
      </c>
      <c r="V7" s="797">
        <f>U7/'Prod &amp; Defects - Qty'!$R$6*1000000</f>
        <v>121.3962633968371</v>
      </c>
      <c r="W7" s="797">
        <f t="shared" ref="W7:X26" si="0">V7*Redutor</f>
        <v>115.32645022699523</v>
      </c>
      <c r="X7" s="797">
        <f t="shared" si="0"/>
        <v>109.56012771564546</v>
      </c>
      <c r="Y7" s="797">
        <f>(W7+X7)/2</f>
        <v>112.44328897132036</v>
      </c>
      <c r="Z7" s="797">
        <f>Y7*$AA$7</f>
        <v>112.44328897132036</v>
      </c>
      <c r="AA7" s="76">
        <v>1</v>
      </c>
    </row>
    <row r="8" spans="1:27" ht="18" customHeight="1">
      <c r="A8" s="1002"/>
      <c r="B8" s="82">
        <f>B7+10</f>
        <v>3020</v>
      </c>
      <c r="C8" s="83" t="s">
        <v>79</v>
      </c>
      <c r="D8" s="330">
        <f>'[3]Falhas UM-3-1 Qty'!Z8</f>
        <v>41.971788784926609</v>
      </c>
      <c r="E8" s="340">
        <f>'Prod &amp; Defects - Qty'!F$6*'Falhas UM-3-1 Qty'!$D8/1000000</f>
        <v>136.29894606659323</v>
      </c>
      <c r="F8" s="340">
        <f>'Prod &amp; Defects - Qty'!G$6*'Falhas UM-3-1 Qty'!$D8/1000000</f>
        <v>142.64587945085373</v>
      </c>
      <c r="G8" s="340">
        <f>'Prod &amp; Defects - Qty'!H$6*'Falhas UM-3-1 Qty'!$D8/1000000</f>
        <v>137.28018917771669</v>
      </c>
      <c r="H8" s="340">
        <f>'Prod &amp; Defects - Qty'!I$6*'Falhas UM-3-1 Qty'!$D8/1000000</f>
        <v>138.16771264646212</v>
      </c>
      <c r="I8" s="340">
        <f>'Prod &amp; Defects - Qty'!J$6*'Falhas UM-3-1 Qty'!$D8/1000000</f>
        <v>139.8556177653048</v>
      </c>
      <c r="J8" s="340">
        <f>'Prod &amp; Defects - Qty'!K$6*'Falhas UM-3-1 Qty'!$D8/1000000</f>
        <v>159.01325579407228</v>
      </c>
      <c r="K8" s="340">
        <f>'Prod &amp; Defects - Qty'!L$6*'Falhas UM-3-1 Qty'!$D8/1000000</f>
        <v>157.05737195917175</v>
      </c>
      <c r="L8" s="340">
        <f>'Prod &amp; Defects - Qty'!M$6*'Falhas UM-3-1 Qty'!$D8/1000000</f>
        <v>157.13975317121083</v>
      </c>
      <c r="M8" s="340">
        <f>'Prod &amp; Defects - Qty'!N$6*'Falhas UM-3-1 Qty'!$D8/1000000</f>
        <v>149.51393739292334</v>
      </c>
      <c r="N8" s="340">
        <f>'Prod &amp; Defects - Qty'!O$6*'Falhas UM-3-1 Qty'!$D8/1000000</f>
        <v>115.95242623421009</v>
      </c>
      <c r="O8" s="340">
        <f>'Prod &amp; Defects - Qty'!P$6*'Falhas UM-3-1 Qty'!$D8/1000000</f>
        <v>111.29331006814824</v>
      </c>
      <c r="P8" s="340">
        <f>'Prod &amp; Defects - Qty'!Q$6*'Falhas UM-3-1 Qty'!$D8/1000000</f>
        <v>141.10745434526245</v>
      </c>
      <c r="Q8" s="145">
        <f t="shared" ref="Q8:Q57" si="1">SUM(E8:J8)</f>
        <v>853.26160090100279</v>
      </c>
      <c r="R8" s="145">
        <f>Q8/SUM('Prod &amp; Defects - Qty'!$F$6:$K$6)*1000000</f>
        <v>41.971788784926602</v>
      </c>
      <c r="S8" s="145">
        <f t="shared" ref="S8:S57" si="2">SUM(K8:P8)</f>
        <v>832.06425317092669</v>
      </c>
      <c r="T8" s="145">
        <f>S8/SUM('Prod &amp; Defects - Qty'!$L$6:$Q$6)*1000000</f>
        <v>41.971788784926602</v>
      </c>
      <c r="U8" s="145">
        <f t="shared" ref="U8:U57" si="3">Q8+S8</f>
        <v>1685.3258540719294</v>
      </c>
      <c r="V8" s="145">
        <f>U8/'Prod &amp; Defects - Qty'!$R$6*1000000</f>
        <v>41.971788784926602</v>
      </c>
      <c r="W8" s="145">
        <f t="shared" si="0"/>
        <v>39.87319934568027</v>
      </c>
      <c r="X8" s="145">
        <f t="shared" si="0"/>
        <v>37.879539378396252</v>
      </c>
      <c r="Y8" s="145">
        <f t="shared" ref="Y8:Y57" si="4">(W8+X8)/2</f>
        <v>38.876369362038261</v>
      </c>
      <c r="Z8" s="145">
        <f t="shared" ref="Z8:Z18" si="5">Y8*$AA$7</f>
        <v>38.876369362038261</v>
      </c>
    </row>
    <row r="9" spans="1:27" ht="18" customHeight="1">
      <c r="A9" s="1002"/>
      <c r="B9" s="82">
        <f t="shared" ref="B9:B18" si="6">B8+10</f>
        <v>3030</v>
      </c>
      <c r="C9" s="83" t="s">
        <v>78</v>
      </c>
      <c r="D9" s="330">
        <f>'[3]Falhas UM-3-1 Qty'!Z9</f>
        <v>54.28632462875138</v>
      </c>
      <c r="E9" s="340">
        <f>'Prod &amp; Defects - Qty'!F$6*'Falhas UM-3-1 Qty'!$D9/1000000</f>
        <v>176.28909910518351</v>
      </c>
      <c r="F9" s="340">
        <f>'Prod &amp; Defects - Qty'!G$6*'Falhas UM-3-1 Qty'!$D9/1000000</f>
        <v>184.49822471240006</v>
      </c>
      <c r="G9" s="340">
        <f>'Prod &amp; Defects - Qty'!H$6*'Falhas UM-3-1 Qty'!$D9/1000000</f>
        <v>177.5582392493678</v>
      </c>
      <c r="H9" s="340">
        <f>'Prod &amp; Defects - Qty'!I$6*'Falhas UM-3-1 Qty'!$D9/1000000</f>
        <v>178.70616237904036</v>
      </c>
      <c r="I9" s="340">
        <f>'Prod &amp; Defects - Qty'!J$6*'Falhas UM-3-1 Qty'!$D9/1000000</f>
        <v>180.88929938312566</v>
      </c>
      <c r="J9" s="340">
        <f>'Prod &amp; Defects - Qty'!K$6*'Falhas UM-3-1 Qty'!$D9/1000000</f>
        <v>205.66779434980384</v>
      </c>
      <c r="K9" s="340">
        <f>'Prod &amp; Defects - Qty'!L$6*'Falhas UM-3-1 Qty'!$D9/1000000</f>
        <v>203.1380535912763</v>
      </c>
      <c r="L9" s="340">
        <f>'Prod &amp; Defects - Qty'!M$6*'Falhas UM-3-1 Qty'!$D9/1000000</f>
        <v>203.24460547647186</v>
      </c>
      <c r="M9" s="340">
        <f>'Prod &amp; Defects - Qty'!N$6*'Falhas UM-3-1 Qty'!$D9/1000000</f>
        <v>193.38137298427364</v>
      </c>
      <c r="N9" s="340">
        <f>'Prod &amp; Defects - Qty'!O$6*'Falhas UM-3-1 Qty'!$D9/1000000</f>
        <v>149.97290404506842</v>
      </c>
      <c r="O9" s="340">
        <f>'Prod &amp; Defects - Qty'!P$6*'Falhas UM-3-1 Qty'!$D9/1000000</f>
        <v>143.9468017512169</v>
      </c>
      <c r="P9" s="340">
        <f>'Prod &amp; Defects - Qty'!Q$6*'Falhas UM-3-1 Qty'!$D9/1000000</f>
        <v>182.50842520380391</v>
      </c>
      <c r="Q9" s="145">
        <f t="shared" si="1"/>
        <v>1103.6088191789213</v>
      </c>
      <c r="R9" s="145">
        <f>Q9/SUM('Prod &amp; Defects - Qty'!$F$6:$K$6)*1000000</f>
        <v>54.286324628751387</v>
      </c>
      <c r="S9" s="145">
        <f t="shared" si="2"/>
        <v>1076.192163052111</v>
      </c>
      <c r="T9" s="145">
        <f>S9/SUM('Prod &amp; Defects - Qty'!$L$6:$Q$6)*1000000</f>
        <v>54.28632462875138</v>
      </c>
      <c r="U9" s="145">
        <f t="shared" si="3"/>
        <v>2179.8009822310323</v>
      </c>
      <c r="V9" s="145">
        <f>U9/'Prod &amp; Defects - Qty'!$R$6*1000000</f>
        <v>54.286324628751387</v>
      </c>
      <c r="W9" s="145">
        <f t="shared" si="0"/>
        <v>51.572008397313816</v>
      </c>
      <c r="X9" s="145">
        <f t="shared" si="0"/>
        <v>48.993407977448122</v>
      </c>
      <c r="Y9" s="145">
        <f t="shared" si="4"/>
        <v>50.282708187380969</v>
      </c>
      <c r="Z9" s="145">
        <f t="shared" si="5"/>
        <v>50.282708187380969</v>
      </c>
    </row>
    <row r="10" spans="1:27" ht="18" customHeight="1">
      <c r="A10" s="1002"/>
      <c r="B10" s="82">
        <f t="shared" si="6"/>
        <v>3040</v>
      </c>
      <c r="C10" s="83" t="s">
        <v>77</v>
      </c>
      <c r="D10" s="330">
        <f>'[3]Falhas UM-3-1 Qty'!Z10</f>
        <v>225.87483178891424</v>
      </c>
      <c r="E10" s="340">
        <f>'Prod &amp; Defects - Qty'!F$6*'Falhas UM-3-1 Qty'!$D10/1000000</f>
        <v>733.50463268447686</v>
      </c>
      <c r="F10" s="340">
        <f>'Prod &amp; Defects - Qty'!G$6*'Falhas UM-3-1 Qty'!$D10/1000000</f>
        <v>767.66120670831594</v>
      </c>
      <c r="G10" s="340">
        <f>'Prod &amp; Defects - Qty'!H$6*'Falhas UM-3-1 Qty'!$D10/1000000</f>
        <v>738.78527782935669</v>
      </c>
      <c r="H10" s="340">
        <f>'Prod &amp; Defects - Qty'!I$6*'Falhas UM-3-1 Qty'!$D10/1000000</f>
        <v>743.56156256763256</v>
      </c>
      <c r="I10" s="340">
        <f>'Prod &amp; Defects - Qty'!J$6*'Falhas UM-3-1 Qty'!$D10/1000000</f>
        <v>752.6451707680809</v>
      </c>
      <c r="J10" s="340">
        <f>'Prod &amp; Defects - Qty'!K$6*'Falhas UM-3-1 Qty'!$D10/1000000</f>
        <v>855.74366603104181</v>
      </c>
      <c r="K10" s="340">
        <f>'Prod &amp; Defects - Qty'!L$6*'Falhas UM-3-1 Qty'!$D10/1000000</f>
        <v>845.21790706302113</v>
      </c>
      <c r="L10" s="340">
        <f>'Prod &amp; Defects - Qty'!M$6*'Falhas UM-3-1 Qty'!$D10/1000000</f>
        <v>845.66124872061039</v>
      </c>
      <c r="M10" s="340">
        <f>'Prod &amp; Defects - Qty'!N$6*'Falhas UM-3-1 Qty'!$D10/1000000</f>
        <v>804.62225786414888</v>
      </c>
      <c r="N10" s="340">
        <f>'Prod &amp; Defects - Qty'!O$6*'Falhas UM-3-1 Qty'!$D10/1000000</f>
        <v>624.00806659387854</v>
      </c>
      <c r="O10" s="340">
        <f>'Prod &amp; Defects - Qty'!P$6*'Falhas UM-3-1 Qty'!$D10/1000000</f>
        <v>598.93462772552687</v>
      </c>
      <c r="P10" s="340">
        <f>'Prod &amp; Defects - Qty'!Q$6*'Falhas UM-3-1 Qty'!$D10/1000000</f>
        <v>759.38203820001399</v>
      </c>
      <c r="Q10" s="145">
        <f t="shared" si="1"/>
        <v>4591.901516588905</v>
      </c>
      <c r="R10" s="145">
        <f>Q10/SUM('Prod &amp; Defects - Qty'!$F$6:$K$6)*1000000</f>
        <v>225.87483178891424</v>
      </c>
      <c r="S10" s="145">
        <f t="shared" si="2"/>
        <v>4477.8261461671991</v>
      </c>
      <c r="T10" s="145">
        <f>S10/SUM('Prod &amp; Defects - Qty'!$L$6:$Q$6)*1000000</f>
        <v>225.87483178891421</v>
      </c>
      <c r="U10" s="145">
        <f t="shared" si="3"/>
        <v>9069.7276627561041</v>
      </c>
      <c r="V10" s="145">
        <f>U10/'Prod &amp; Defects - Qty'!$R$6*1000000</f>
        <v>225.87483178891421</v>
      </c>
      <c r="W10" s="145">
        <f t="shared" si="0"/>
        <v>214.58109019946849</v>
      </c>
      <c r="X10" s="145">
        <f t="shared" si="0"/>
        <v>203.85203568949507</v>
      </c>
      <c r="Y10" s="145">
        <f t="shared" si="4"/>
        <v>209.21656294448178</v>
      </c>
      <c r="Z10" s="145">
        <f t="shared" si="5"/>
        <v>209.21656294448178</v>
      </c>
    </row>
    <row r="11" spans="1:27" ht="18" customHeight="1">
      <c r="A11" s="1002"/>
      <c r="B11" s="82">
        <f t="shared" si="6"/>
        <v>3050</v>
      </c>
      <c r="C11" s="83" t="s">
        <v>76</v>
      </c>
      <c r="D11" s="330">
        <f>'[3]Falhas UM-3-1 Qty'!Z11</f>
        <v>38.935252102984336</v>
      </c>
      <c r="E11" s="340">
        <f>'Prod &amp; Defects - Qty'!F$6*'Falhas UM-3-1 Qty'!$D11/1000000</f>
        <v>126.43811426926182</v>
      </c>
      <c r="F11" s="340">
        <f>'Prod &amp; Defects - Qty'!G$6*'Falhas UM-3-1 Qty'!$D11/1000000</f>
        <v>132.32586550767886</v>
      </c>
      <c r="G11" s="340">
        <f>'Prod &amp; Defects - Qty'!H$6*'Falhas UM-3-1 Qty'!$D11/1000000</f>
        <v>127.3483672990214</v>
      </c>
      <c r="H11" s="340">
        <f>'Prod &amp; Defects - Qty'!I$6*'Falhas UM-3-1 Qty'!$D11/1000000</f>
        <v>128.17168102958433</v>
      </c>
      <c r="I11" s="340">
        <f>'Prod &amp; Defects - Qty'!J$6*'Falhas UM-3-1 Qty'!$D11/1000000</f>
        <v>129.7374711288536</v>
      </c>
      <c r="J11" s="340">
        <f>'Prod &amp; Defects - Qty'!K$6*'Falhas UM-3-1 Qty'!$D11/1000000</f>
        <v>147.50910984003619</v>
      </c>
      <c r="K11" s="340">
        <f>'Prod &amp; Defects - Qty'!L$6*'Falhas UM-3-1 Qty'!$D11/1000000</f>
        <v>145.69472850436742</v>
      </c>
      <c r="L11" s="340">
        <f>'Prod &amp; Defects - Qty'!M$6*'Falhas UM-3-1 Qty'!$D11/1000000</f>
        <v>145.77114967563858</v>
      </c>
      <c r="M11" s="340">
        <f>'Prod &amp; Defects - Qty'!N$6*'Falhas UM-3-1 Qty'!$D11/1000000</f>
        <v>138.69703945984597</v>
      </c>
      <c r="N11" s="340">
        <f>'Prod &amp; Defects - Qty'!O$6*'Falhas UM-3-1 Qty'!$D11/1000000</f>
        <v>107.56360589051216</v>
      </c>
      <c r="O11" s="340">
        <f>'Prod &amp; Defects - Qty'!P$6*'Falhas UM-3-1 Qty'!$D11/1000000</f>
        <v>103.24156321007592</v>
      </c>
      <c r="P11" s="340">
        <f>'Prod &amp; Defects - Qty'!Q$6*'Falhas UM-3-1 Qty'!$D11/1000000</f>
        <v>130.89874097804082</v>
      </c>
      <c r="Q11" s="145">
        <f t="shared" si="1"/>
        <v>791.53060907443626</v>
      </c>
      <c r="R11" s="145">
        <f>Q11/SUM('Prod &amp; Defects - Qty'!$F$6:$K$6)*1000000</f>
        <v>38.935252102984336</v>
      </c>
      <c r="S11" s="145">
        <f t="shared" si="2"/>
        <v>771.86682771848086</v>
      </c>
      <c r="T11" s="145">
        <f>S11/SUM('Prod &amp; Defects - Qty'!$L$6:$Q$6)*1000000</f>
        <v>38.935252102984336</v>
      </c>
      <c r="U11" s="145">
        <f t="shared" si="3"/>
        <v>1563.3974367929172</v>
      </c>
      <c r="V11" s="145">
        <f>U11/'Prod &amp; Defects - Qty'!$R$6*1000000</f>
        <v>38.935252102984343</v>
      </c>
      <c r="W11" s="145">
        <f t="shared" si="0"/>
        <v>36.988489497835126</v>
      </c>
      <c r="X11" s="145">
        <f t="shared" si="0"/>
        <v>35.13906502294337</v>
      </c>
      <c r="Y11" s="145">
        <f t="shared" si="4"/>
        <v>36.063777260389244</v>
      </c>
      <c r="Z11" s="145">
        <f t="shared" si="5"/>
        <v>36.063777260389244</v>
      </c>
    </row>
    <row r="12" spans="1:27" ht="18" customHeight="1">
      <c r="A12" s="1002"/>
      <c r="B12" s="82">
        <f t="shared" si="6"/>
        <v>3060</v>
      </c>
      <c r="C12" s="83" t="s">
        <v>75</v>
      </c>
      <c r="D12" s="330">
        <f>'[3]Falhas UM-3-1 Qty'!Z12</f>
        <v>34.053480924228865</v>
      </c>
      <c r="E12" s="340">
        <f>'Prod &amp; Defects - Qty'!F$6*'Falhas UM-3-1 Qty'!$D12/1000000</f>
        <v>110.58507855491077</v>
      </c>
      <c r="F12" s="340">
        <f>'Prod &amp; Defects - Qty'!G$6*'Falhas UM-3-1 Qty'!$D12/1000000</f>
        <v>115.73461306809995</v>
      </c>
      <c r="G12" s="340">
        <f>'Prod &amp; Defects - Qty'!H$6*'Falhas UM-3-1 Qty'!$D12/1000000</f>
        <v>111.38120244035913</v>
      </c>
      <c r="H12" s="340">
        <f>'Prod &amp; Defects - Qty'!I$6*'Falhas UM-3-1 Qty'!$D12/1000000</f>
        <v>112.10128763061866</v>
      </c>
      <c r="I12" s="340">
        <f>'Prod &amp; Defects - Qty'!J$6*'Falhas UM-3-1 Qty'!$D12/1000000</f>
        <v>113.47075618152925</v>
      </c>
      <c r="J12" s="340">
        <f>'Prod &amp; Defects - Qty'!K$6*'Falhas UM-3-1 Qty'!$D12/1000000</f>
        <v>129.01415521340957</v>
      </c>
      <c r="K12" s="340">
        <f>'Prod &amp; Defects - Qty'!L$6*'Falhas UM-3-1 Qty'!$D12/1000000</f>
        <v>127.42726423759031</v>
      </c>
      <c r="L12" s="340">
        <f>'Prod &amp; Defects - Qty'!M$6*'Falhas UM-3-1 Qty'!$D12/1000000</f>
        <v>127.49410358644587</v>
      </c>
      <c r="M12" s="340">
        <f>'Prod &amp; Defects - Qty'!N$6*'Falhas UM-3-1 Qty'!$D12/1000000</f>
        <v>121.30695789512718</v>
      </c>
      <c r="N12" s="340">
        <f>'Prod &amp; Defects - Qty'!O$6*'Falhas UM-3-1 Qty'!$D12/1000000</f>
        <v>94.077089616508985</v>
      </c>
      <c r="O12" s="340">
        <f>'Prod &amp; Defects - Qty'!P$6*'Falhas UM-3-1 Qty'!$D12/1000000</f>
        <v>90.296952336733739</v>
      </c>
      <c r="P12" s="340">
        <f>'Prod &amp; Defects - Qty'!Q$6*'Falhas UM-3-1 Qty'!$D12/1000000</f>
        <v>114.48642395099894</v>
      </c>
      <c r="Q12" s="145">
        <f t="shared" si="1"/>
        <v>692.28709308892735</v>
      </c>
      <c r="R12" s="145">
        <f>Q12/SUM('Prod &amp; Defects - Qty'!$F$6:$K$6)*1000000</f>
        <v>34.053480924228865</v>
      </c>
      <c r="S12" s="145">
        <f t="shared" si="2"/>
        <v>675.08879162340509</v>
      </c>
      <c r="T12" s="145">
        <f>S12/SUM('Prod &amp; Defects - Qty'!$L$6:$Q$6)*1000000</f>
        <v>34.053480924228865</v>
      </c>
      <c r="U12" s="145">
        <f t="shared" si="3"/>
        <v>1367.3758847123324</v>
      </c>
      <c r="V12" s="145">
        <f>U12/'Prod &amp; Defects - Qty'!$R$6*1000000</f>
        <v>34.053480924228865</v>
      </c>
      <c r="W12" s="145">
        <f t="shared" si="0"/>
        <v>32.350806878017423</v>
      </c>
      <c r="X12" s="145">
        <f t="shared" si="0"/>
        <v>30.733266534116549</v>
      </c>
      <c r="Y12" s="145">
        <f t="shared" si="4"/>
        <v>31.542036706066988</v>
      </c>
      <c r="Z12" s="145">
        <f t="shared" si="5"/>
        <v>31.542036706066988</v>
      </c>
    </row>
    <row r="13" spans="1:27" ht="18" customHeight="1">
      <c r="A13" s="1002"/>
      <c r="B13" s="82">
        <f t="shared" si="6"/>
        <v>3070</v>
      </c>
      <c r="C13" s="83" t="s">
        <v>41</v>
      </c>
      <c r="D13" s="330">
        <f>'[3]Falhas UM-3-1 Qty'!Z13</f>
        <v>219.47066863828059</v>
      </c>
      <c r="E13" s="340">
        <f>'Prod &amp; Defects - Qty'!F$6*'Falhas UM-3-1 Qty'!$D13/1000000</f>
        <v>712.70779001611402</v>
      </c>
      <c r="F13" s="340">
        <f>'Prod &amp; Defects - Qty'!G$6*'Falhas UM-3-1 Qty'!$D13/1000000</f>
        <v>745.8959326703183</v>
      </c>
      <c r="G13" s="340">
        <f>'Prod &amp; Defects - Qty'!H$6*'Falhas UM-3-1 Qty'!$D13/1000000</f>
        <v>717.8387145711406</v>
      </c>
      <c r="H13" s="340">
        <f>'Prod &amp; Defects - Qty'!I$6*'Falhas UM-3-1 Qty'!$D13/1000000</f>
        <v>722.4795787028994</v>
      </c>
      <c r="I13" s="340">
        <f>'Prod &amp; Defects - Qty'!J$6*'Falhas UM-3-1 Qty'!$D13/1000000</f>
        <v>731.30564201243897</v>
      </c>
      <c r="J13" s="340">
        <f>'Prod &amp; Defects - Qty'!K$6*'Falhas UM-3-1 Qty'!$D13/1000000</f>
        <v>831.4810157437995</v>
      </c>
      <c r="K13" s="340">
        <f>'Prod &amp; Defects - Qty'!L$6*'Falhas UM-3-1 Qty'!$D13/1000000</f>
        <v>821.25369054629482</v>
      </c>
      <c r="L13" s="340">
        <f>'Prod &amp; Defects - Qty'!M$6*'Falhas UM-3-1 Qty'!$D13/1000000</f>
        <v>821.68446226732146</v>
      </c>
      <c r="M13" s="340">
        <f>'Prod &amp; Defects - Qty'!N$6*'Falhas UM-3-1 Qty'!$D13/1000000</f>
        <v>781.80903793529569</v>
      </c>
      <c r="N13" s="340">
        <f>'Prod &amp; Defects - Qty'!O$6*'Falhas UM-3-1 Qty'!$D13/1000000</f>
        <v>606.3157480910661</v>
      </c>
      <c r="O13" s="340">
        <f>'Prod &amp; Defects - Qty'!P$6*'Falhas UM-3-1 Qty'!$D13/1000000</f>
        <v>581.95320911354588</v>
      </c>
      <c r="P13" s="340">
        <f>'Prod &amp; Defects - Qty'!Q$6*'Falhas UM-3-1 Qty'!$D13/1000000</f>
        <v>737.85150100922863</v>
      </c>
      <c r="Q13" s="145">
        <f t="shared" si="1"/>
        <v>4461.708673716711</v>
      </c>
      <c r="R13" s="145">
        <f>Q13/SUM('Prod &amp; Defects - Qty'!$F$6:$K$6)*1000000</f>
        <v>219.47066863828061</v>
      </c>
      <c r="S13" s="145">
        <f t="shared" si="2"/>
        <v>4350.8676489627533</v>
      </c>
      <c r="T13" s="145">
        <f>S13/SUM('Prod &amp; Defects - Qty'!$L$6:$Q$6)*1000000</f>
        <v>219.47066863828061</v>
      </c>
      <c r="U13" s="145">
        <f t="shared" si="3"/>
        <v>8812.5763226794643</v>
      </c>
      <c r="V13" s="145">
        <f>U13/'Prod &amp; Defects - Qty'!$R$6*1000000</f>
        <v>219.47066863828061</v>
      </c>
      <c r="W13" s="145">
        <f t="shared" si="0"/>
        <v>208.49713520636658</v>
      </c>
      <c r="X13" s="145">
        <f t="shared" si="0"/>
        <v>198.07227844604824</v>
      </c>
      <c r="Y13" s="145">
        <f t="shared" si="4"/>
        <v>203.28470682620741</v>
      </c>
      <c r="Z13" s="145">
        <f t="shared" si="5"/>
        <v>203.28470682620741</v>
      </c>
    </row>
    <row r="14" spans="1:27" ht="18" customHeight="1">
      <c r="A14" s="1002"/>
      <c r="B14" s="82">
        <f t="shared" si="6"/>
        <v>3080</v>
      </c>
      <c r="C14" s="83" t="s">
        <v>62</v>
      </c>
      <c r="D14" s="330">
        <f>'[3]Falhas UM-3-1 Qty'!Z14</f>
        <v>73.74397384195774</v>
      </c>
      <c r="E14" s="340">
        <f>'Prod &amp; Defects - Qty'!F$6*'Falhas UM-3-1 Qty'!$D14/1000000</f>
        <v>239.47575751241203</v>
      </c>
      <c r="F14" s="340">
        <f>'Prod &amp; Defects - Qty'!G$6*'Falhas UM-3-1 Qty'!$D14/1000000</f>
        <v>250.62725005098227</v>
      </c>
      <c r="G14" s="340">
        <f>'Prod &amp; Defects - Qty'!H$6*'Falhas UM-3-1 Qty'!$D14/1000000</f>
        <v>241.19979092661995</v>
      </c>
      <c r="H14" s="340">
        <f>'Prod &amp; Defects - Qty'!I$6*'Falhas UM-3-1 Qty'!$D14/1000000</f>
        <v>242.75915995419854</v>
      </c>
      <c r="I14" s="340">
        <f>'Prod &amp; Defects - Qty'!J$6*'Falhas UM-3-1 Qty'!$D14/1000000</f>
        <v>245.72479078707707</v>
      </c>
      <c r="J14" s="340">
        <f>'Prod &amp; Defects - Qty'!K$6*'Falhas UM-3-1 Qty'!$D14/1000000</f>
        <v>279.38455127301779</v>
      </c>
      <c r="K14" s="340">
        <f>'Prod &amp; Defects - Qty'!L$6*'Falhas UM-3-1 Qty'!$D14/1000000</f>
        <v>275.94808476695812</v>
      </c>
      <c r="L14" s="340">
        <f>'Prod &amp; Defects - Qty'!M$6*'Falhas UM-3-1 Qty'!$D14/1000000</f>
        <v>276.09282765549233</v>
      </c>
      <c r="M14" s="340">
        <f>'Prod &amp; Defects - Qty'!N$6*'Falhas UM-3-1 Qty'!$D14/1000000</f>
        <v>262.69435273798814</v>
      </c>
      <c r="N14" s="340">
        <f>'Prod &amp; Defects - Qty'!O$6*'Falhas UM-3-1 Qty'!$D14/1000000</f>
        <v>203.72714470053708</v>
      </c>
      <c r="O14" s="340">
        <f>'Prod &amp; Defects - Qty'!P$6*'Falhas UM-3-1 Qty'!$D14/1000000</f>
        <v>195.54112855437515</v>
      </c>
      <c r="P14" s="340">
        <f>'Prod &amp; Defects - Qty'!Q$6*'Falhas UM-3-1 Qty'!$D14/1000000</f>
        <v>247.9242539664962</v>
      </c>
      <c r="Q14" s="145">
        <f t="shared" si="1"/>
        <v>1499.1713005043075</v>
      </c>
      <c r="R14" s="145">
        <f>Q14/SUM('Prod &amp; Defects - Qty'!$F$6:$K$6)*1000000</f>
        <v>73.74397384195774</v>
      </c>
      <c r="S14" s="145">
        <f t="shared" si="2"/>
        <v>1461.927792381847</v>
      </c>
      <c r="T14" s="145">
        <f>S14/SUM('Prod &amp; Defects - Qty'!$L$6:$Q$6)*1000000</f>
        <v>73.74397384195774</v>
      </c>
      <c r="U14" s="145">
        <f t="shared" si="3"/>
        <v>2961.0990928861547</v>
      </c>
      <c r="V14" s="145">
        <f>U14/'Prod &amp; Defects - Qty'!$R$6*1000000</f>
        <v>73.74397384195774</v>
      </c>
      <c r="W14" s="145">
        <f t="shared" si="0"/>
        <v>70.056775149859845</v>
      </c>
      <c r="X14" s="145">
        <f t="shared" si="0"/>
        <v>66.55393639236685</v>
      </c>
      <c r="Y14" s="145">
        <f t="shared" si="4"/>
        <v>68.305355771113341</v>
      </c>
      <c r="Z14" s="145">
        <f t="shared" si="5"/>
        <v>68.305355771113341</v>
      </c>
    </row>
    <row r="15" spans="1:27" ht="18" customHeight="1">
      <c r="A15" s="1002"/>
      <c r="B15" s="82">
        <f t="shared" si="6"/>
        <v>3090</v>
      </c>
      <c r="C15" s="83" t="s">
        <v>74</v>
      </c>
      <c r="D15" s="330">
        <f>'[3]Falhas UM-3-1 Qty'!Z15</f>
        <v>354.70889829125093</v>
      </c>
      <c r="E15" s="340">
        <f>'Prod &amp; Defects - Qty'!F$6*'Falhas UM-3-1 Qty'!$D15/1000000</f>
        <v>1151.8796409959693</v>
      </c>
      <c r="F15" s="340">
        <f>'Prod &amp; Defects - Qty'!G$6*'Falhas UM-3-1 Qty'!$D15/1000000</f>
        <v>1205.5183781914525</v>
      </c>
      <c r="G15" s="340">
        <f>'Prod &amp; Defects - Qty'!H$6*'Falhas UM-3-1 Qty'!$D15/1000000</f>
        <v>1160.1722506983101</v>
      </c>
      <c r="H15" s="340">
        <f>'Prod &amp; Defects - Qty'!I$6*'Falhas UM-3-1 Qty'!$D15/1000000</f>
        <v>1167.672823843274</v>
      </c>
      <c r="I15" s="340">
        <f>'Prod &amp; Defects - Qty'!J$6*'Falhas UM-3-1 Qty'!$D15/1000000</f>
        <v>1181.9375235965492</v>
      </c>
      <c r="J15" s="340">
        <f>'Prod &amp; Defects - Qty'!K$6*'Falhas UM-3-1 Qty'!$D15/1000000</f>
        <v>1343.841146858065</v>
      </c>
      <c r="K15" s="340">
        <f>'Prod &amp; Defects - Qty'!L$6*'Falhas UM-3-1 Qty'!$D15/1000000</f>
        <v>1327.3117250643393</v>
      </c>
      <c r="L15" s="340">
        <f>'Prod &amp; Defects - Qty'!M$6*'Falhas UM-3-1 Qty'!$D15/1000000</f>
        <v>1328.0079391121133</v>
      </c>
      <c r="M15" s="340">
        <f>'Prod &amp; Defects - Qty'!N$6*'Falhas UM-3-1 Qty'!$D15/1000000</f>
        <v>1263.5612049700644</v>
      </c>
      <c r="N15" s="340">
        <f>'Prod &amp; Defects - Qty'!O$6*'Falhas UM-3-1 Qty'!$D15/1000000</f>
        <v>979.92862716647062</v>
      </c>
      <c r="O15" s="340">
        <f>'Prod &amp; Defects - Qty'!P$6*'Falhas UM-3-1 Qty'!$D15/1000000</f>
        <v>940.55384686479647</v>
      </c>
      <c r="P15" s="340">
        <f>'Prod &amp; Defects - Qty'!Q$6*'Falhas UM-3-1 Qty'!$D15/1000000</f>
        <v>1192.5169529459347</v>
      </c>
      <c r="Q15" s="145">
        <f t="shared" si="1"/>
        <v>7211.0217641836198</v>
      </c>
      <c r="R15" s="145">
        <f>Q15/SUM('Prod &amp; Defects - Qty'!$F$6:$K$6)*1000000</f>
        <v>354.70889829125093</v>
      </c>
      <c r="S15" s="145">
        <f t="shared" si="2"/>
        <v>7031.8802961237188</v>
      </c>
      <c r="T15" s="145">
        <f>S15/SUM('Prod &amp; Defects - Qty'!$L$6:$Q$6)*1000000</f>
        <v>354.70889829125093</v>
      </c>
      <c r="U15" s="145">
        <f t="shared" si="3"/>
        <v>14242.902060307339</v>
      </c>
      <c r="V15" s="145">
        <f>U15/'Prod &amp; Defects - Qty'!$R$6*1000000</f>
        <v>354.70889829125093</v>
      </c>
      <c r="W15" s="145">
        <f t="shared" si="0"/>
        <v>336.97345337668838</v>
      </c>
      <c r="X15" s="145">
        <f t="shared" si="0"/>
        <v>320.12478070785397</v>
      </c>
      <c r="Y15" s="145">
        <f t="shared" si="4"/>
        <v>328.54911704227118</v>
      </c>
      <c r="Z15" s="145">
        <f t="shared" si="5"/>
        <v>328.54911704227118</v>
      </c>
    </row>
    <row r="16" spans="1:27" ht="18" customHeight="1">
      <c r="A16" s="1002"/>
      <c r="B16" s="82">
        <f t="shared" si="6"/>
        <v>3100</v>
      </c>
      <c r="C16" s="90" t="s">
        <v>73</v>
      </c>
      <c r="D16" s="330">
        <f>'[3]Falhas UM-3-1 Qty'!Z16</f>
        <v>4041.3762041835894</v>
      </c>
      <c r="E16" s="340">
        <f>'Prod &amp; Defects - Qty'!F$6*'Falhas UM-3-1 Qty'!$D16/1000000</f>
        <v>13123.94189610176</v>
      </c>
      <c r="F16" s="340">
        <f>'Prod &amp; Defects - Qty'!G$6*'Falhas UM-3-1 Qty'!$D16/1000000</f>
        <v>13735.074904516705</v>
      </c>
      <c r="G16" s="340">
        <f>'Prod &amp; Defects - Qty'!H$6*'Falhas UM-3-1 Qty'!$D16/1000000</f>
        <v>13218.423753430596</v>
      </c>
      <c r="H16" s="340">
        <f>'Prod &amp; Defects - Qty'!I$6*'Falhas UM-3-1 Qty'!$D16/1000000</f>
        <v>13303.881541413422</v>
      </c>
      <c r="I16" s="340">
        <f>'Prod &amp; Defects - Qty'!J$6*'Falhas UM-3-1 Qty'!$D16/1000000</f>
        <v>13466.406412992408</v>
      </c>
      <c r="J16" s="340">
        <f>'Prod &amp; Defects - Qty'!K$6*'Falhas UM-3-1 Qty'!$D16/1000000</f>
        <v>15311.055514191272</v>
      </c>
      <c r="K16" s="340">
        <f>'Prod &amp; Defects - Qty'!L$6*'Falhas UM-3-1 Qty'!$D16/1000000</f>
        <v>15122.727529672464</v>
      </c>
      <c r="L16" s="340">
        <f>'Prod &amp; Defects - Qty'!M$6*'Falhas UM-3-1 Qty'!$D16/1000000</f>
        <v>15130.659845154956</v>
      </c>
      <c r="M16" s="340">
        <f>'Prod &amp; Defects - Qty'!N$6*'Falhas UM-3-1 Qty'!$D16/1000000</f>
        <v>14396.385912209624</v>
      </c>
      <c r="N16" s="340">
        <f>'Prod &amp; Defects - Qty'!O$6*'Falhas UM-3-1 Qty'!$D16/1000000</f>
        <v>11164.817839943513</v>
      </c>
      <c r="O16" s="340">
        <f>'Prod &amp; Defects - Qty'!P$6*'Falhas UM-3-1 Qty'!$D16/1000000</f>
        <v>10716.201239337448</v>
      </c>
      <c r="P16" s="340">
        <f>'Prod &amp; Defects - Qty'!Q$6*'Falhas UM-3-1 Qty'!$D16/1000000</f>
        <v>13586.943152364935</v>
      </c>
      <c r="Q16" s="145">
        <f t="shared" si="1"/>
        <v>82158.78402264617</v>
      </c>
      <c r="R16" s="145">
        <f>Q16/SUM('Prod &amp; Defects - Qty'!$F$6:$K$6)*1000000</f>
        <v>4041.3762041835894</v>
      </c>
      <c r="S16" s="145">
        <f t="shared" si="2"/>
        <v>80117.735518682952</v>
      </c>
      <c r="T16" s="145">
        <f>S16/SUM('Prod &amp; Defects - Qty'!$L$6:$Q$6)*1000000</f>
        <v>4041.3762041835894</v>
      </c>
      <c r="U16" s="145">
        <f t="shared" si="3"/>
        <v>162276.51954132912</v>
      </c>
      <c r="V16" s="145">
        <f>U16/'Prod &amp; Defects - Qty'!$R$6*1000000</f>
        <v>4041.3762041835894</v>
      </c>
      <c r="W16" s="145">
        <f t="shared" si="0"/>
        <v>3839.3073939744099</v>
      </c>
      <c r="X16" s="145">
        <f t="shared" si="0"/>
        <v>3647.3420242756893</v>
      </c>
      <c r="Y16" s="145">
        <f t="shared" si="4"/>
        <v>3743.3247091250496</v>
      </c>
      <c r="Z16" s="145">
        <f t="shared" si="5"/>
        <v>3743.3247091250496</v>
      </c>
    </row>
    <row r="17" spans="1:26" ht="18" customHeight="1">
      <c r="A17" s="1002"/>
      <c r="B17" s="82">
        <f t="shared" si="6"/>
        <v>3110</v>
      </c>
      <c r="C17" s="90" t="s">
        <v>72</v>
      </c>
      <c r="D17" s="331">
        <f>'[3]Falhas UM-3-1 Qty'!Z17</f>
        <v>382.91648546289002</v>
      </c>
      <c r="E17" s="341">
        <f>'Prod &amp; Defects - Qty'!F$6*'Falhas UM-3-1 Qty'!$D17/1000000</f>
        <v>1243.4807977223822</v>
      </c>
      <c r="F17" s="341">
        <f>'Prod &amp; Defects - Qty'!G$6*'Falhas UM-3-1 Qty'!$D17/1000000</f>
        <v>1301.3850590208888</v>
      </c>
      <c r="G17" s="341">
        <f>'Prod &amp; Defects - Qty'!H$6*'Falhas UM-3-1 Qty'!$D17/1000000</f>
        <v>1252.432862296552</v>
      </c>
      <c r="H17" s="341">
        <f>'Prod &amp; Defects - Qty'!I$6*'Falhas UM-3-1 Qty'!$D17/1000000</f>
        <v>1260.5299050306437</v>
      </c>
      <c r="I17" s="341">
        <f>'Prod &amp; Defects - Qty'!J$6*'Falhas UM-3-1 Qty'!$D17/1000000</f>
        <v>1275.9289793758903</v>
      </c>
      <c r="J17" s="341">
        <f>'Prod &amp; Defects - Qty'!K$6*'Falhas UM-3-1 Qty'!$D17/1000000</f>
        <v>1450.7076970840178</v>
      </c>
      <c r="K17" s="341">
        <f>'Prod &amp; Defects - Qty'!L$6*'Falhas UM-3-1 Qty'!$D17/1000000</f>
        <v>1432.8638027512902</v>
      </c>
      <c r="L17" s="341">
        <f>'Prod &amp; Defects - Qty'!M$6*'Falhas UM-3-1 Qty'!$D17/1000000</f>
        <v>1433.6153819690317</v>
      </c>
      <c r="M17" s="341">
        <f>'Prod &amp; Defects - Qty'!N$6*'Falhas UM-3-1 Qty'!$D17/1000000</f>
        <v>1364.0436372056065</v>
      </c>
      <c r="N17" s="341">
        <f>'Prod &amp; Defects - Qty'!O$6*'Falhas UM-3-1 Qty'!$D17/1000000</f>
        <v>1057.8556887821803</v>
      </c>
      <c r="O17" s="341">
        <f>'Prod &amp; Defects - Qty'!P$6*'Falhas UM-3-1 Qty'!$D17/1000000</f>
        <v>1015.3496998948913</v>
      </c>
      <c r="P17" s="341">
        <f>'Prod &amp; Defects - Qty'!Q$6*'Falhas UM-3-1 Qty'!$D17/1000000</f>
        <v>1287.3497188165552</v>
      </c>
      <c r="Q17" s="798">
        <f t="shared" si="1"/>
        <v>7784.4653005303762</v>
      </c>
      <c r="R17" s="798">
        <f>Q17/SUM('Prod &amp; Defects - Qty'!$F$6:$K$6)*1000000</f>
        <v>382.91648546289014</v>
      </c>
      <c r="S17" s="798">
        <f t="shared" si="2"/>
        <v>7591.0779294195545</v>
      </c>
      <c r="T17" s="798">
        <f>S17/SUM('Prod &amp; Defects - Qty'!$L$6:$Q$6)*1000000</f>
        <v>382.91648546288997</v>
      </c>
      <c r="U17" s="798">
        <f t="shared" si="3"/>
        <v>15375.54322994993</v>
      </c>
      <c r="V17" s="798">
        <f>U17/'Prod &amp; Defects - Qty'!$R$6*1000000</f>
        <v>382.91648546289002</v>
      </c>
      <c r="W17" s="798">
        <f t="shared" si="0"/>
        <v>363.77066118974551</v>
      </c>
      <c r="X17" s="798">
        <f t="shared" si="0"/>
        <v>345.58212813025824</v>
      </c>
      <c r="Y17" s="798">
        <f t="shared" si="4"/>
        <v>354.67639466000185</v>
      </c>
      <c r="Z17" s="798">
        <f t="shared" si="5"/>
        <v>354.67639466000185</v>
      </c>
    </row>
    <row r="18" spans="1:26" ht="18" customHeight="1">
      <c r="A18" s="1002"/>
      <c r="B18" s="82">
        <f t="shared" si="6"/>
        <v>3120</v>
      </c>
      <c r="C18" s="90" t="s">
        <v>71</v>
      </c>
      <c r="D18" s="332">
        <f>'[3]Falhas UM-3-1 Qty'!Z18</f>
        <v>0.7627605596333501</v>
      </c>
      <c r="E18" s="342">
        <f>'Prod &amp; Defects - Qty'!F$6*'Falhas UM-3-1 Qty'!$D18/1000000</f>
        <v>2.4769842646431837</v>
      </c>
      <c r="F18" s="342">
        <f>'Prod &amp; Defects - Qty'!G$6*'Falhas UM-3-1 Qty'!$D18/1000000</f>
        <v>2.592328180170385</v>
      </c>
      <c r="G18" s="342">
        <f>'Prod &amp; Defects - Qty'!H$6*'Falhas UM-3-1 Qty'!$D18/1000000</f>
        <v>2.4948165650107508</v>
      </c>
      <c r="H18" s="342">
        <f>'Prod &amp; Defects - Qty'!I$6*'Falhas UM-3-1 Qty'!$D18/1000000</f>
        <v>2.5109456821464757</v>
      </c>
      <c r="I18" s="342">
        <f>'Prod &amp; Defects - Qty'!J$6*'Falhas UM-3-1 Qty'!$D18/1000000</f>
        <v>2.5416202731117008</v>
      </c>
      <c r="J18" s="342">
        <f>'Prod &amp; Defects - Qty'!K$6*'Falhas UM-3-1 Qty'!$D18/1000000</f>
        <v>2.8897753345734531</v>
      </c>
      <c r="K18" s="342">
        <f>'Prod &amp; Defects - Qty'!L$6*'Falhas UM-3-1 Qty'!$D18/1000000</f>
        <v>2.8542307201627777</v>
      </c>
      <c r="L18" s="342">
        <f>'Prod &amp; Defects - Qty'!M$6*'Falhas UM-3-1 Qty'!$D18/1000000</f>
        <v>2.8557278481436743</v>
      </c>
      <c r="M18" s="342">
        <f>'Prod &amp; Defects - Qty'!N$6*'Falhas UM-3-1 Qty'!$D18/1000000</f>
        <v>2.7171425822043691</v>
      </c>
      <c r="N18" s="342">
        <f>'Prod &amp; Defects - Qty'!O$6*'Falhas UM-3-1 Qty'!$D18/1000000</f>
        <v>2.1072234490280728</v>
      </c>
      <c r="O18" s="342">
        <f>'Prod &amp; Defects - Qty'!P$6*'Falhas UM-3-1 Qty'!$D18/1000000</f>
        <v>2.0225525270325249</v>
      </c>
      <c r="P18" s="342">
        <f>'Prod &amp; Defects - Qty'!Q$6*'Falhas UM-3-1 Qty'!$D18/1000000</f>
        <v>2.5643701152780873</v>
      </c>
      <c r="Q18" s="799">
        <f t="shared" si="1"/>
        <v>15.50647029965595</v>
      </c>
      <c r="R18" s="799">
        <f>Q18/SUM('Prod &amp; Defects - Qty'!$F$6:$K$6)*1000000</f>
        <v>0.7627605596333501</v>
      </c>
      <c r="S18" s="799">
        <f t="shared" si="2"/>
        <v>15.121247241849508</v>
      </c>
      <c r="T18" s="799">
        <f>S18/SUM('Prod &amp; Defects - Qty'!$L$6:$Q$6)*1000000</f>
        <v>0.7627605596333501</v>
      </c>
      <c r="U18" s="799">
        <f t="shared" si="3"/>
        <v>30.627717541505458</v>
      </c>
      <c r="V18" s="799">
        <f>U18/'Prod &amp; Defects - Qty'!$R$6*1000000</f>
        <v>0.7627605596333501</v>
      </c>
      <c r="W18" s="799">
        <f t="shared" si="0"/>
        <v>0.72462253165168256</v>
      </c>
      <c r="X18" s="799">
        <f t="shared" si="0"/>
        <v>0.68839140506909835</v>
      </c>
      <c r="Y18" s="799">
        <f t="shared" si="4"/>
        <v>0.7065069683603904</v>
      </c>
      <c r="Z18" s="799">
        <f t="shared" si="5"/>
        <v>0.7065069683603904</v>
      </c>
    </row>
    <row r="19" spans="1:26" ht="18" customHeight="1" thickBot="1">
      <c r="A19" s="1002"/>
      <c r="B19" s="85"/>
      <c r="C19" s="86" t="s">
        <v>1</v>
      </c>
      <c r="D19" s="333">
        <f>'[3]Falhas UM-3-1 Qty'!Z19</f>
        <v>1164.4414823981319</v>
      </c>
      <c r="E19" s="343">
        <f>SUBTOTAL(109,E7:E18)</f>
        <v>18151.300266478418</v>
      </c>
      <c r="F19" s="343">
        <f t="shared" ref="F19:P19" si="7">SUBTOTAL(109,F7:F18)</f>
        <v>18996.538597028393</v>
      </c>
      <c r="G19" s="343">
        <f t="shared" si="7"/>
        <v>18281.975072545614</v>
      </c>
      <c r="H19" s="343">
        <f t="shared" si="7"/>
        <v>18400.168979686125</v>
      </c>
      <c r="I19" s="343">
        <f t="shared" si="7"/>
        <v>18624.951881664478</v>
      </c>
      <c r="J19" s="343">
        <f t="shared" si="7"/>
        <v>21176.226490103243</v>
      </c>
      <c r="K19" s="343">
        <f t="shared" si="7"/>
        <v>20915.756135796284</v>
      </c>
      <c r="L19" s="343">
        <f t="shared" si="7"/>
        <v>20926.727065206895</v>
      </c>
      <c r="M19" s="343">
        <f t="shared" si="7"/>
        <v>19911.17649814003</v>
      </c>
      <c r="N19" s="343">
        <f t="shared" si="7"/>
        <v>15441.699044213621</v>
      </c>
      <c r="O19" s="343">
        <f t="shared" si="7"/>
        <v>14821.231909674858</v>
      </c>
      <c r="P19" s="343">
        <f t="shared" si="7"/>
        <v>18791.662353778262</v>
      </c>
      <c r="Q19" s="591">
        <f t="shared" si="1"/>
        <v>113631.16128750627</v>
      </c>
      <c r="R19" s="591">
        <f>Q19/SUM('Prod &amp; Defects - Qty'!$F$6:$K$6)*1000000</f>
        <v>5589.4969326042446</v>
      </c>
      <c r="S19" s="591">
        <f t="shared" si="2"/>
        <v>110808.25300680994</v>
      </c>
      <c r="T19" s="591">
        <f>S19/SUM('Prod &amp; Defects - Qty'!$L$6:$Q$6)*1000000</f>
        <v>5589.4969326042437</v>
      </c>
      <c r="U19" s="591">
        <f t="shared" si="3"/>
        <v>224439.4142943162</v>
      </c>
      <c r="V19" s="591">
        <f>U19/'Prod &amp; Defects - Qty'!$R$6*1000000</f>
        <v>5589.4969326042437</v>
      </c>
      <c r="W19" s="591">
        <f t="shared" si="0"/>
        <v>5310.0220859740311</v>
      </c>
      <c r="X19" s="591">
        <f t="shared" si="0"/>
        <v>5044.5209816753295</v>
      </c>
      <c r="Y19" s="591">
        <f t="shared" si="4"/>
        <v>5177.2715338246799</v>
      </c>
      <c r="Z19" s="591">
        <f>SUM(Z7:Z15)</f>
        <v>1078.5639230712695</v>
      </c>
    </row>
    <row r="20" spans="1:26" ht="18" customHeight="1" thickTop="1">
      <c r="A20" s="1002"/>
      <c r="B20" s="82">
        <v>3130</v>
      </c>
      <c r="C20" s="83" t="s">
        <v>108</v>
      </c>
      <c r="D20" s="330">
        <f>'[3]Falhas UM-3-1 Qty'!Z20</f>
        <v>15.41539461789352</v>
      </c>
      <c r="E20" s="340">
        <f>'Prod &amp; Defects - Qty'!F$6*'Falhas UM-3-1 Qty'!$D20/1000000</f>
        <v>50.059864028813863</v>
      </c>
      <c r="F20" s="340">
        <f>'Prod &amp; Defects - Qty'!G$6*'Falhas UM-3-1 Qty'!$D20/1000000</f>
        <v>52.390965122293956</v>
      </c>
      <c r="G20" s="340">
        <f>'Prod &amp; Defects - Qty'!H$6*'Falhas UM-3-1 Qty'!$D20/1000000</f>
        <v>50.420254905923443</v>
      </c>
      <c r="H20" s="340">
        <f>'Prod &amp; Defects - Qty'!I$6*'Falhas UM-3-1 Qty'!$D20/1000000</f>
        <v>50.746224441638475</v>
      </c>
      <c r="I20" s="340">
        <f>'Prod &amp; Defects - Qty'!J$6*'Falhas UM-3-1 Qty'!$D20/1000000</f>
        <v>51.366158074151826</v>
      </c>
      <c r="J20" s="340">
        <f>'Prod &amp; Defects - Qty'!K$6*'Falhas UM-3-1 Qty'!$D20/1000000</f>
        <v>58.402373558641116</v>
      </c>
      <c r="K20" s="340">
        <f>'Prod &amp; Defects - Qty'!L$6*'Falhas UM-3-1 Qty'!$D20/1000000</f>
        <v>57.684016728622503</v>
      </c>
      <c r="L20" s="340">
        <f>'Prod &amp; Defects - Qty'!M$6*'Falhas UM-3-1 Qty'!$D20/1000000</f>
        <v>57.714273692393817</v>
      </c>
      <c r="M20" s="340">
        <f>'Prod &amp; Defects - Qty'!N$6*'Falhas UM-3-1 Qty'!$D20/1000000</f>
        <v>54.913464794111206</v>
      </c>
      <c r="N20" s="340">
        <f>'Prod &amp; Defects - Qty'!O$6*'Falhas UM-3-1 Qty'!$D20/1000000</f>
        <v>42.586996147861775</v>
      </c>
      <c r="O20" s="340">
        <f>'Prod &amp; Defects - Qty'!P$6*'Falhas UM-3-1 Qty'!$D20/1000000</f>
        <v>40.875796402754794</v>
      </c>
      <c r="P20" s="340">
        <f>'Prod &amp; Defects - Qty'!Q$6*'Falhas UM-3-1 Qty'!$D20/1000000</f>
        <v>51.825932494919236</v>
      </c>
      <c r="Q20" s="145">
        <f t="shared" si="1"/>
        <v>313.38584013146271</v>
      </c>
      <c r="R20" s="145">
        <f>Q20/SUM('Prod &amp; Defects - Qty'!$F$6:$K$6)*1000000</f>
        <v>15.415394617893522</v>
      </c>
      <c r="S20" s="145">
        <f t="shared" si="2"/>
        <v>305.60048026066335</v>
      </c>
      <c r="T20" s="145">
        <f>S20/SUM('Prod &amp; Defects - Qty'!$L$6:$Q$6)*1000000</f>
        <v>15.415394617893522</v>
      </c>
      <c r="U20" s="145">
        <f t="shared" si="3"/>
        <v>618.98632039212612</v>
      </c>
      <c r="V20" s="145">
        <f>U20/'Prod &amp; Defects - Qty'!$R$6*1000000</f>
        <v>15.415394617893522</v>
      </c>
      <c r="W20" s="145">
        <f t="shared" si="0"/>
        <v>14.644624886998846</v>
      </c>
      <c r="X20" s="145">
        <f t="shared" si="0"/>
        <v>13.912393642648903</v>
      </c>
      <c r="Y20" s="145">
        <f t="shared" si="4"/>
        <v>14.278509264823875</v>
      </c>
      <c r="Z20" s="145">
        <f t="shared" ref="Z20:Z36" si="8">Y20*$AA$7</f>
        <v>14.278509264823875</v>
      </c>
    </row>
    <row r="21" spans="1:26" ht="18" customHeight="1">
      <c r="A21" s="1002"/>
      <c r="B21" s="82">
        <v>3135</v>
      </c>
      <c r="C21" s="90" t="s">
        <v>109</v>
      </c>
      <c r="D21" s="330">
        <f>'[3]Falhas UM-3-1 Qty'!Z21</f>
        <v>11.878919919708069</v>
      </c>
      <c r="E21" s="340">
        <f>'Prod &amp; Defects - Qty'!F$6*'Falhas UM-3-1 Qty'!$D21/1000000</f>
        <v>38.575536386172189</v>
      </c>
      <c r="F21" s="340">
        <f>'Prod &amp; Defects - Qty'!G$6*'Falhas UM-3-1 Qty'!$D21/1000000</f>
        <v>40.371855189587805</v>
      </c>
      <c r="G21" s="340">
        <f>'Prod &amp; Defects - Qty'!H$6*'Falhas UM-3-1 Qty'!$D21/1000000</f>
        <v>38.853249313741927</v>
      </c>
      <c r="H21" s="340">
        <f>'Prod &amp; Defects - Qty'!I$6*'Falhas UM-3-1 Qty'!$D21/1000000</f>
        <v>39.104437564643312</v>
      </c>
      <c r="I21" s="340">
        <f>'Prod &amp; Defects - Qty'!J$6*'Falhas UM-3-1 Qty'!$D21/1000000</f>
        <v>39.582151055520278</v>
      </c>
      <c r="J21" s="340">
        <f>'Prod &amp; Defects - Qty'!K$6*'Falhas UM-3-1 Qty'!$D21/1000000</f>
        <v>45.004175100304643</v>
      </c>
      <c r="K21" s="340">
        <f>'Prod &amp; Defects - Qty'!L$6*'Falhas UM-3-1 Qty'!$D21/1000000</f>
        <v>44.450617862940035</v>
      </c>
      <c r="L21" s="340">
        <f>'Prod &amp; Defects - Qty'!M$6*'Falhas UM-3-1 Qty'!$D21/1000000</f>
        <v>44.473933519694981</v>
      </c>
      <c r="M21" s="340">
        <f>'Prod &amp; Defects - Qty'!N$6*'Falhas UM-3-1 Qty'!$D21/1000000</f>
        <v>42.315663463183697</v>
      </c>
      <c r="N21" s="340">
        <f>'Prod &amp; Defects - Qty'!O$6*'Falhas UM-3-1 Qty'!$D21/1000000</f>
        <v>32.8170331931791</v>
      </c>
      <c r="O21" s="340">
        <f>'Prod &amp; Defects - Qty'!P$6*'Falhas UM-3-1 Qty'!$D21/1000000</f>
        <v>31.498403002865594</v>
      </c>
      <c r="P21" s="340">
        <f>'Prod &amp; Defects - Qty'!Q$6*'Falhas UM-3-1 Qty'!$D21/1000000</f>
        <v>39.936447760911562</v>
      </c>
      <c r="Q21" s="145">
        <f t="shared" si="1"/>
        <v>241.49140460997017</v>
      </c>
      <c r="R21" s="145">
        <f>Q21/SUM('Prod &amp; Defects - Qty'!$F$6:$K$6)*1000000</f>
        <v>11.878919919708069</v>
      </c>
      <c r="S21" s="145">
        <f t="shared" si="2"/>
        <v>235.49209880277496</v>
      </c>
      <c r="T21" s="145">
        <f>S21/SUM('Prod &amp; Defects - Qty'!$L$6:$Q$6)*1000000</f>
        <v>11.878919919708068</v>
      </c>
      <c r="U21" s="145">
        <f t="shared" si="3"/>
        <v>476.98350341274511</v>
      </c>
      <c r="V21" s="145">
        <f>U21/'Prod &amp; Defects - Qty'!$R$6*1000000</f>
        <v>11.878919919708068</v>
      </c>
      <c r="W21" s="145">
        <f t="shared" si="0"/>
        <v>11.284973923722664</v>
      </c>
      <c r="X21" s="145">
        <f t="shared" si="0"/>
        <v>10.72072522753653</v>
      </c>
      <c r="Y21" s="145">
        <f t="shared" si="4"/>
        <v>11.002849575629597</v>
      </c>
      <c r="Z21" s="145">
        <f t="shared" si="8"/>
        <v>11.002849575629597</v>
      </c>
    </row>
    <row r="22" spans="1:26" ht="18" customHeight="1">
      <c r="A22" s="1002"/>
      <c r="B22" s="82">
        <v>3140</v>
      </c>
      <c r="C22" s="90" t="s">
        <v>110</v>
      </c>
      <c r="D22" s="330">
        <f>'[3]Falhas UM-3-1 Qty'!Z22</f>
        <v>3.4622590777180284</v>
      </c>
      <c r="E22" s="340">
        <f>'Prod &amp; Defects - Qty'!F$6*'Falhas UM-3-1 Qty'!$D22/1000000</f>
        <v>11.243320262584026</v>
      </c>
      <c r="F22" s="340">
        <f>'Prod &amp; Defects - Qty'!G$6*'Falhas UM-3-1 Qty'!$D22/1000000</f>
        <v>11.766879738162521</v>
      </c>
      <c r="G22" s="340">
        <f>'Prod &amp; Defects - Qty'!H$6*'Falhas UM-3-1 Qty'!$D22/1000000</f>
        <v>11.324263152255567</v>
      </c>
      <c r="H22" s="340">
        <f>'Prod &amp; Defects - Qty'!I$6*'Falhas UM-3-1 Qty'!$D22/1000000</f>
        <v>11.397475094736684</v>
      </c>
      <c r="I22" s="340">
        <f>'Prod &amp; Defects - Qty'!J$6*'Falhas UM-3-1 Qty'!$D22/1000000</f>
        <v>11.536710638162905</v>
      </c>
      <c r="J22" s="340">
        <f>'Prod &amp; Defects - Qty'!K$6*'Falhas UM-3-1 Qty'!$D22/1000000</f>
        <v>13.117027038605599</v>
      </c>
      <c r="K22" s="340">
        <f>'Prod &amp; Defects - Qty'!L$6*'Falhas UM-3-1 Qty'!$D22/1000000</f>
        <v>12.955685891173298</v>
      </c>
      <c r="L22" s="340">
        <f>'Prod &amp; Defects - Qty'!M$6*'Falhas UM-3-1 Qty'!$D22/1000000</f>
        <v>12.962481529564533</v>
      </c>
      <c r="M22" s="340">
        <f>'Prod &amp; Defects - Qty'!N$6*'Falhas UM-3-1 Qty'!$D22/1000000</f>
        <v>12.333426855753174</v>
      </c>
      <c r="N22" s="340">
        <f>'Prod &amp; Defects - Qty'!O$6*'Falhas UM-3-1 Qty'!$D22/1000000</f>
        <v>9.5649328259509367</v>
      </c>
      <c r="O22" s="340">
        <f>'Prod &amp; Defects - Qty'!P$6*'Falhas UM-3-1 Qty'!$D22/1000000</f>
        <v>9.1806016428615074</v>
      </c>
      <c r="P22" s="340">
        <f>'Prod &amp; Defects - Qty'!Q$6*'Falhas UM-3-1 Qty'!$D22/1000000</f>
        <v>11.639974823184595</v>
      </c>
      <c r="Q22" s="145">
        <f t="shared" si="1"/>
        <v>70.385675924507296</v>
      </c>
      <c r="R22" s="145">
        <f>Q22/SUM('Prod &amp; Defects - Qty'!$F$6:$K$6)*1000000</f>
        <v>3.462259077718028</v>
      </c>
      <c r="S22" s="145">
        <f t="shared" si="2"/>
        <v>68.637103568488044</v>
      </c>
      <c r="T22" s="145">
        <f>S22/SUM('Prod &amp; Defects - Qty'!$L$6:$Q$6)*1000000</f>
        <v>3.462259077718028</v>
      </c>
      <c r="U22" s="145">
        <f t="shared" si="3"/>
        <v>139.02277949299534</v>
      </c>
      <c r="V22" s="145">
        <f>U22/'Prod &amp; Defects - Qty'!$R$6*1000000</f>
        <v>3.462259077718028</v>
      </c>
      <c r="W22" s="145">
        <f t="shared" si="0"/>
        <v>3.2891461238321265</v>
      </c>
      <c r="X22" s="145">
        <f t="shared" si="0"/>
        <v>3.1246888176405201</v>
      </c>
      <c r="Y22" s="145">
        <f t="shared" si="4"/>
        <v>3.2069174707363235</v>
      </c>
      <c r="Z22" s="145">
        <f t="shared" si="8"/>
        <v>3.2069174707363235</v>
      </c>
    </row>
    <row r="23" spans="1:26" ht="18" customHeight="1">
      <c r="A23" s="1002"/>
      <c r="B23" s="82">
        <f>B22+5</f>
        <v>3145</v>
      </c>
      <c r="C23" s="90" t="s">
        <v>111</v>
      </c>
      <c r="D23" s="330">
        <f>'[3]Falhas UM-3-1 Qty'!Z23</f>
        <v>45.562338486824174</v>
      </c>
      <c r="E23" s="340">
        <f>'Prod &amp; Defects - Qty'!F$6*'Falhas UM-3-1 Qty'!$D23/1000000</f>
        <v>147.95887656600794</v>
      </c>
      <c r="F23" s="340">
        <f>'Prod &amp; Defects - Qty'!G$6*'Falhas UM-3-1 Qty'!$D23/1000000</f>
        <v>154.84876941019513</v>
      </c>
      <c r="G23" s="340">
        <f>'Prod &amp; Defects - Qty'!H$6*'Falhas UM-3-1 Qty'!$D23/1000000</f>
        <v>149.02406182642096</v>
      </c>
      <c r="H23" s="340">
        <f>'Prod &amp; Defects - Qty'!I$6*'Falhas UM-3-1 Qty'!$D23/1000000</f>
        <v>149.98751003457789</v>
      </c>
      <c r="I23" s="340">
        <f>'Prod &amp; Defects - Qty'!J$6*'Falhas UM-3-1 Qty'!$D23/1000000</f>
        <v>151.81980993374194</v>
      </c>
      <c r="J23" s="340">
        <f>'Prod &amp; Defects - Qty'!K$6*'Falhas UM-3-1 Qty'!$D23/1000000</f>
        <v>172.61632144168678</v>
      </c>
      <c r="K23" s="340">
        <f>'Prod &amp; Defects - Qty'!L$6*'Falhas UM-3-1 Qty'!$D23/1000000</f>
        <v>170.4931181209208</v>
      </c>
      <c r="L23" s="340">
        <f>'Prod &amp; Defects - Qty'!M$6*'Falhas UM-3-1 Qty'!$D23/1000000</f>
        <v>170.58254677708584</v>
      </c>
      <c r="M23" s="340">
        <f>'Prod &amp; Defects - Qty'!N$6*'Falhas UM-3-1 Qty'!$D23/1000000</f>
        <v>162.3043673192382</v>
      </c>
      <c r="N23" s="340">
        <f>'Prod &amp; Defects - Qty'!O$6*'Falhas UM-3-1 Qty'!$D23/1000000</f>
        <v>125.87177829192035</v>
      </c>
      <c r="O23" s="340">
        <f>'Prod &amp; Defects - Qty'!P$6*'Falhas UM-3-1 Qty'!$D23/1000000</f>
        <v>120.8140899266396</v>
      </c>
      <c r="P23" s="340">
        <f>'Prod &amp; Defects - Qty'!Q$6*'Falhas UM-3-1 Qty'!$D23/1000000</f>
        <v>153.17873705210914</v>
      </c>
      <c r="Q23" s="145">
        <f t="shared" si="1"/>
        <v>926.25534921263056</v>
      </c>
      <c r="R23" s="145">
        <f>Q23/SUM('Prod &amp; Defects - Qty'!$F$6:$K$6)*1000000</f>
        <v>45.562338486824167</v>
      </c>
      <c r="S23" s="145">
        <f t="shared" si="2"/>
        <v>903.24463748791379</v>
      </c>
      <c r="T23" s="145">
        <f>S23/SUM('Prod &amp; Defects - Qty'!$L$6:$Q$6)*1000000</f>
        <v>45.56233848682416</v>
      </c>
      <c r="U23" s="145">
        <f t="shared" si="3"/>
        <v>1829.4999867005445</v>
      </c>
      <c r="V23" s="145">
        <f>U23/'Prod &amp; Defects - Qty'!$R$6*1000000</f>
        <v>45.562338486824167</v>
      </c>
      <c r="W23" s="145">
        <f t="shared" si="0"/>
        <v>43.284221562482955</v>
      </c>
      <c r="X23" s="145">
        <f t="shared" si="0"/>
        <v>41.120010484358808</v>
      </c>
      <c r="Y23" s="145">
        <f t="shared" si="4"/>
        <v>42.202116023420885</v>
      </c>
      <c r="Z23" s="145">
        <f t="shared" si="8"/>
        <v>42.202116023420885</v>
      </c>
    </row>
    <row r="24" spans="1:26" ht="18" customHeight="1">
      <c r="A24" s="1002"/>
      <c r="B24" s="195">
        <f t="shared" ref="B24:B36" si="9">B23+5</f>
        <v>3150</v>
      </c>
      <c r="C24" s="91" t="s">
        <v>112</v>
      </c>
      <c r="D24" s="334">
        <f>'[3]Falhas UM-3-1 Qty'!Z24</f>
        <v>1.859037810499655</v>
      </c>
      <c r="E24" s="344">
        <f>'Prod &amp; Defects - Qty'!F$6*'Falhas UM-3-1 Qty'!$D24/1000000</f>
        <v>6.0370287186818334</v>
      </c>
      <c r="F24" s="344">
        <f>'Prod &amp; Defects - Qty'!G$6*'Falhas UM-3-1 Qty'!$D24/1000000</f>
        <v>6.3181506218374182</v>
      </c>
      <c r="G24" s="344">
        <f>'Prod &amp; Defects - Qty'!H$6*'Falhas UM-3-1 Qty'!$D24/1000000</f>
        <v>6.080490484255332</v>
      </c>
      <c r="H24" s="344">
        <f>'Prod &amp; Defects - Qty'!I$6*'Falhas UM-3-1 Qty'!$D24/1000000</f>
        <v>6.119801167308613</v>
      </c>
      <c r="I24" s="344">
        <f>'Prod &amp; Defects - Qty'!J$6*'Falhas UM-3-1 Qty'!$D24/1000000</f>
        <v>6.1945627995217105</v>
      </c>
      <c r="J24" s="344">
        <f>'Prod &amp; Defects - Qty'!K$6*'Falhas UM-3-1 Qty'!$D24/1000000</f>
        <v>7.0431035571683127</v>
      </c>
      <c r="K24" s="344">
        <f>'Prod &amp; Defects - Qty'!L$6*'Falhas UM-3-1 Qty'!$D24/1000000</f>
        <v>6.95647246263343</v>
      </c>
      <c r="L24" s="344">
        <f>'Prod &amp; Defects - Qty'!M$6*'Falhas UM-3-1 Qty'!$D24/1000000</f>
        <v>6.9601213370914667</v>
      </c>
      <c r="M24" s="344">
        <f>'Prod &amp; Defects - Qty'!N$6*'Falhas UM-3-1 Qty'!$D24/1000000</f>
        <v>6.622354463718831</v>
      </c>
      <c r="N24" s="344">
        <f>'Prod &amp; Defects - Qty'!O$6*'Falhas UM-3-1 Qty'!$D24/1000000</f>
        <v>5.1358293470204215</v>
      </c>
      <c r="O24" s="344">
        <f>'Prod &amp; Defects - Qty'!P$6*'Falhas UM-3-1 Qty'!$D24/1000000</f>
        <v>4.9294651827337237</v>
      </c>
      <c r="P24" s="344">
        <f>'Prod &amp; Defects - Qty'!Q$6*'Falhas UM-3-1 Qty'!$D24/1000000</f>
        <v>6.2500098415010994</v>
      </c>
      <c r="Q24" s="800">
        <f t="shared" si="1"/>
        <v>37.793137348773222</v>
      </c>
      <c r="R24" s="800">
        <f>Q24/SUM('Prod &amp; Defects - Qty'!$F$6:$K$6)*1000000</f>
        <v>1.859037810499655</v>
      </c>
      <c r="S24" s="800">
        <f t="shared" si="2"/>
        <v>36.854252634698973</v>
      </c>
      <c r="T24" s="800">
        <f>S24/SUM('Prod &amp; Defects - Qty'!$L$6:$Q$6)*1000000</f>
        <v>1.859037810499655</v>
      </c>
      <c r="U24" s="800">
        <f t="shared" si="3"/>
        <v>74.647389983472195</v>
      </c>
      <c r="V24" s="800">
        <f>U24/'Prod &amp; Defects - Qty'!$R$6*1000000</f>
        <v>1.859037810499655</v>
      </c>
      <c r="W24" s="800">
        <f t="shared" si="0"/>
        <v>1.7660859199746721</v>
      </c>
      <c r="X24" s="800">
        <f t="shared" si="0"/>
        <v>1.6777816239759384</v>
      </c>
      <c r="Y24" s="800">
        <f t="shared" si="4"/>
        <v>1.7219337719753054</v>
      </c>
      <c r="Z24" s="800">
        <f t="shared" si="8"/>
        <v>1.7219337719753054</v>
      </c>
    </row>
    <row r="25" spans="1:26" ht="18" customHeight="1">
      <c r="A25" s="1002"/>
      <c r="B25" s="82">
        <f t="shared" si="9"/>
        <v>3155</v>
      </c>
      <c r="C25" s="83" t="s">
        <v>115</v>
      </c>
      <c r="D25" s="330">
        <f>'[3]Falhas UM-3-1 Qty'!Z25</f>
        <v>39.965426095795472</v>
      </c>
      <c r="E25" s="340">
        <f>'Prod &amp; Defects - Qty'!F$6*'Falhas UM-3-1 Qty'!$D25/1000000</f>
        <v>129.78349538239175</v>
      </c>
      <c r="F25" s="340">
        <f>'Prod &amp; Defects - Qty'!G$6*'Falhas UM-3-1 Qty'!$D25/1000000</f>
        <v>135.82702853756422</v>
      </c>
      <c r="G25" s="340">
        <f>'Prod &amp; Defects - Qty'!H$6*'Falhas UM-3-1 Qty'!$D25/1000000</f>
        <v>130.7178324734451</v>
      </c>
      <c r="H25" s="340">
        <f>'Prod &amp; Defects - Qty'!I$6*'Falhas UM-3-1 Qty'!$D25/1000000</f>
        <v>131.56292996929372</v>
      </c>
      <c r="I25" s="340">
        <f>'Prod &amp; Defects - Qty'!J$6*'Falhas UM-3-1 Qty'!$D25/1000000</f>
        <v>133.17014875211694</v>
      </c>
      <c r="J25" s="340">
        <f>'Prod &amp; Defects - Qty'!K$6*'Falhas UM-3-1 Qty'!$D25/1000000</f>
        <v>151.41200093363923</v>
      </c>
      <c r="K25" s="340">
        <f>'Prod &amp; Defects - Qty'!L$6*'Falhas UM-3-1 Qty'!$D25/1000000</f>
        <v>149.54961352727381</v>
      </c>
      <c r="L25" s="340">
        <f>'Prod &amp; Defects - Qty'!M$6*'Falhas UM-3-1 Qty'!$D25/1000000</f>
        <v>149.62805669914576</v>
      </c>
      <c r="M25" s="340">
        <f>'Prod &amp; Defects - Qty'!N$6*'Falhas UM-3-1 Qty'!$D25/1000000</f>
        <v>142.36677511619942</v>
      </c>
      <c r="N25" s="340">
        <f>'Prod &amp; Defects - Qty'!O$6*'Falhas UM-3-1 Qty'!$D25/1000000</f>
        <v>110.40959309686953</v>
      </c>
      <c r="O25" s="340">
        <f>'Prod &amp; Defects - Qty'!P$6*'Falhas UM-3-1 Qty'!$D25/1000000</f>
        <v>105.97319502575988</v>
      </c>
      <c r="P25" s="340">
        <f>'Prod &amp; Defects - Qty'!Q$6*'Falhas UM-3-1 Qty'!$D25/1000000</f>
        <v>134.36214422737956</v>
      </c>
      <c r="Q25" s="145">
        <f t="shared" si="1"/>
        <v>812.47343604845094</v>
      </c>
      <c r="R25" s="145">
        <f>Q25/SUM('Prod &amp; Defects - Qty'!$F$6:$K$6)*1000000</f>
        <v>39.965426095795472</v>
      </c>
      <c r="S25" s="145">
        <f t="shared" si="2"/>
        <v>792.28937769262791</v>
      </c>
      <c r="T25" s="145">
        <f>S25/SUM('Prod &amp; Defects - Qty'!$L$6:$Q$6)*1000000</f>
        <v>39.965426095795472</v>
      </c>
      <c r="U25" s="145">
        <f t="shared" si="3"/>
        <v>1604.7628137410788</v>
      </c>
      <c r="V25" s="145">
        <f>U25/'Prod &amp; Defects - Qty'!$R$6*1000000</f>
        <v>39.965426095795472</v>
      </c>
      <c r="W25" s="145">
        <f t="shared" si="0"/>
        <v>37.967154791005697</v>
      </c>
      <c r="X25" s="145">
        <f t="shared" si="0"/>
        <v>36.068797051455412</v>
      </c>
      <c r="Y25" s="145">
        <f t="shared" si="4"/>
        <v>37.017975921230558</v>
      </c>
      <c r="Z25" s="145">
        <f t="shared" si="8"/>
        <v>37.017975921230558</v>
      </c>
    </row>
    <row r="26" spans="1:26" ht="18" customHeight="1">
      <c r="A26" s="1002"/>
      <c r="B26" s="82">
        <f t="shared" si="9"/>
        <v>3160</v>
      </c>
      <c r="C26" s="90" t="s">
        <v>126</v>
      </c>
      <c r="D26" s="330">
        <f>'[3]Falhas UM-3-1 Qty'!Z26</f>
        <v>21.766573067483453</v>
      </c>
      <c r="E26" s="340">
        <f>'Prod &amp; Defects - Qty'!F$6*'Falhas UM-3-1 Qty'!$D26/1000000</f>
        <v>70.684644483032969</v>
      </c>
      <c r="F26" s="340">
        <f>'Prod &amp; Defects - Qty'!G$6*'Falhas UM-3-1 Qty'!$D26/1000000</f>
        <v>73.976164650802673</v>
      </c>
      <c r="G26" s="340">
        <f>'Prod &amp; Defects - Qty'!H$6*'Falhas UM-3-1 Qty'!$D26/1000000</f>
        <v>71.193517240033614</v>
      </c>
      <c r="H26" s="340">
        <f>'Prod &amp; Defects - Qty'!I$6*'Falhas UM-3-1 Qty'!$D26/1000000</f>
        <v>71.653786982896975</v>
      </c>
      <c r="I26" s="340">
        <f>'Prod &amp; Defects - Qty'!J$6*'Falhas UM-3-1 Qty'!$D26/1000000</f>
        <v>72.529134714406169</v>
      </c>
      <c r="J26" s="340">
        <f>'Prod &amp; Defects - Qty'!K$6*'Falhas UM-3-1 Qty'!$D26/1000000</f>
        <v>82.46428734967634</v>
      </c>
      <c r="K26" s="340">
        <f>'Prod &amp; Defects - Qty'!L$6*'Falhas UM-3-1 Qty'!$D26/1000000</f>
        <v>81.449965834288349</v>
      </c>
      <c r="L26" s="340">
        <f>'Prod &amp; Defects - Qty'!M$6*'Falhas UM-3-1 Qty'!$D26/1000000</f>
        <v>81.492688737532347</v>
      </c>
      <c r="M26" s="340">
        <f>'Prod &amp; Defects - Qty'!N$6*'Falhas UM-3-1 Qty'!$D26/1000000</f>
        <v>77.537940056511758</v>
      </c>
      <c r="N26" s="340">
        <f>'Prod &amp; Defects - Qty'!O$6*'Falhas UM-3-1 Qty'!$D26/1000000</f>
        <v>60.132937647997657</v>
      </c>
      <c r="O26" s="340">
        <f>'Prod &amp; Defects - Qty'!P$6*'Falhas UM-3-1 Qty'!$D26/1000000</f>
        <v>57.716719626456019</v>
      </c>
      <c r="P26" s="340">
        <f>'Prod &amp; Defects - Qty'!Q$6*'Falhas UM-3-1 Qty'!$D26/1000000</f>
        <v>73.178337266287457</v>
      </c>
      <c r="Q26" s="145">
        <f t="shared" si="1"/>
        <v>442.50153542084871</v>
      </c>
      <c r="R26" s="145">
        <f>Q26/SUM('Prod &amp; Defects - Qty'!$F$6:$K$6)*1000000</f>
        <v>21.766573067483453</v>
      </c>
      <c r="S26" s="145">
        <f t="shared" si="2"/>
        <v>431.50858916907362</v>
      </c>
      <c r="T26" s="145">
        <f>S26/SUM('Prod &amp; Defects - Qty'!$L$6:$Q$6)*1000000</f>
        <v>21.766573067483456</v>
      </c>
      <c r="U26" s="145">
        <f t="shared" si="3"/>
        <v>874.01012458992227</v>
      </c>
      <c r="V26" s="145">
        <f>U26/'Prod &amp; Defects - Qty'!$R$6*1000000</f>
        <v>21.766573067483453</v>
      </c>
      <c r="W26" s="145">
        <f t="shared" si="0"/>
        <v>20.67824441410928</v>
      </c>
      <c r="X26" s="145">
        <f t="shared" si="0"/>
        <v>19.644332193403816</v>
      </c>
      <c r="Y26" s="145">
        <f t="shared" si="4"/>
        <v>20.16128830375655</v>
      </c>
      <c r="Z26" s="145">
        <f t="shared" si="8"/>
        <v>20.16128830375655</v>
      </c>
    </row>
    <row r="27" spans="1:26" ht="18" customHeight="1">
      <c r="A27" s="1002"/>
      <c r="B27" s="82">
        <f t="shared" si="9"/>
        <v>3165</v>
      </c>
      <c r="C27" s="90" t="s">
        <v>127</v>
      </c>
      <c r="D27" s="330">
        <f>'[3]Falhas UM-3-1 Qty'!Z27</f>
        <v>1.9212837278207657</v>
      </c>
      <c r="E27" s="340">
        <f>'Prod &amp; Defects - Qty'!F$6*'Falhas UM-3-1 Qty'!$D27/1000000</f>
        <v>6.239165753424146</v>
      </c>
      <c r="F27" s="340">
        <f>'Prod &amp; Defects - Qty'!G$6*'Falhas UM-3-1 Qty'!$D27/1000000</f>
        <v>6.52970042411041</v>
      </c>
      <c r="G27" s="340">
        <f>'Prod &amp; Defects - Qty'!H$6*'Falhas UM-3-1 Qty'!$D27/1000000</f>
        <v>6.2840827435504947</v>
      </c>
      <c r="H27" s="340">
        <f>'Prod &amp; Defects - Qty'!I$6*'Falhas UM-3-1 Qty'!$D27/1000000</f>
        <v>6.3247096610092033</v>
      </c>
      <c r="I27" s="340">
        <f>'Prod &amp; Defects - Qty'!J$6*'Falhas UM-3-1 Qty'!$D27/1000000</f>
        <v>6.4019745270732997</v>
      </c>
      <c r="J27" s="340">
        <f>'Prod &amp; Defects - Qty'!K$6*'Falhas UM-3-1 Qty'!$D27/1000000</f>
        <v>7.2789268627662178</v>
      </c>
      <c r="K27" s="340">
        <f>'Prod &amp; Defects - Qty'!L$6*'Falhas UM-3-1 Qty'!$D27/1000000</f>
        <v>7.1893951107420682</v>
      </c>
      <c r="L27" s="340">
        <f>'Prod &amp; Defects - Qty'!M$6*'Falhas UM-3-1 Qty'!$D27/1000000</f>
        <v>7.1931661599813523</v>
      </c>
      <c r="M27" s="340">
        <f>'Prod &amp; Defects - Qty'!N$6*'Falhas UM-3-1 Qty'!$D27/1000000</f>
        <v>6.8440898830263803</v>
      </c>
      <c r="N27" s="340">
        <f>'Prod &amp; Defects - Qty'!O$6*'Falhas UM-3-1 Qty'!$D27/1000000</f>
        <v>5.3077916423026492</v>
      </c>
      <c r="O27" s="340">
        <f>'Prod &amp; Defects - Qty'!P$6*'Falhas UM-3-1 Qty'!$D27/1000000</f>
        <v>5.0945178139759406</v>
      </c>
      <c r="P27" s="340">
        <f>'Prod &amp; Defects - Qty'!Q$6*'Falhas UM-3-1 Qty'!$D27/1000000</f>
        <v>6.4592780950314799</v>
      </c>
      <c r="Q27" s="145">
        <f t="shared" si="1"/>
        <v>39.058559971933775</v>
      </c>
      <c r="R27" s="145">
        <f>Q27/SUM('Prod &amp; Defects - Qty'!$F$6:$K$6)*1000000</f>
        <v>1.9212837278207662</v>
      </c>
      <c r="S27" s="145">
        <f t="shared" si="2"/>
        <v>38.088238705059872</v>
      </c>
      <c r="T27" s="145">
        <f>S27/SUM('Prod &amp; Defects - Qty'!$L$6:$Q$6)*1000000</f>
        <v>1.9212837278207657</v>
      </c>
      <c r="U27" s="145">
        <f t="shared" si="3"/>
        <v>77.146798676993654</v>
      </c>
      <c r="V27" s="145">
        <f>U27/'Prod &amp; Defects - Qty'!$R$6*1000000</f>
        <v>1.9212837278207662</v>
      </c>
      <c r="W27" s="145">
        <f t="shared" ref="W27:X46" si="10">V27*Redutor</f>
        <v>1.8252195414297279</v>
      </c>
      <c r="X27" s="145">
        <f t="shared" si="10"/>
        <v>1.7339585643582414</v>
      </c>
      <c r="Y27" s="145">
        <f t="shared" si="4"/>
        <v>1.7795890528939846</v>
      </c>
      <c r="Z27" s="145">
        <f t="shared" si="8"/>
        <v>1.7795890528939846</v>
      </c>
    </row>
    <row r="28" spans="1:26" ht="18" customHeight="1">
      <c r="A28" s="1002"/>
      <c r="B28" s="82">
        <f t="shared" si="9"/>
        <v>3170</v>
      </c>
      <c r="C28" s="90" t="s">
        <v>128</v>
      </c>
      <c r="D28" s="330">
        <f>'[3]Falhas UM-3-1 Qty'!Z28</f>
        <v>75.547479355194639</v>
      </c>
      <c r="E28" s="340">
        <f>'Prod &amp; Defects - Qty'!F$6*'Falhas UM-3-1 Qty'!$D28/1000000</f>
        <v>245.33245096760641</v>
      </c>
      <c r="F28" s="340">
        <f>'Prod &amp; Defects - Qty'!G$6*'Falhas UM-3-1 Qty'!$D28/1000000</f>
        <v>256.75666786894607</v>
      </c>
      <c r="G28" s="340">
        <f>'Prod &amp; Defects - Qty'!H$6*'Falhas UM-3-1 Qty'!$D28/1000000</f>
        <v>247.09864787810477</v>
      </c>
      <c r="H28" s="340">
        <f>'Prod &amp; Defects - Qty'!I$6*'Falhas UM-3-1 Qty'!$D28/1000000</f>
        <v>248.69615331862519</v>
      </c>
      <c r="I28" s="340">
        <f>'Prod &amp; Defects - Qty'!J$6*'Falhas UM-3-1 Qty'!$D28/1000000</f>
        <v>251.7343125396373</v>
      </c>
      <c r="J28" s="340">
        <f>'Prod &amp; Defects - Qty'!K$6*'Falhas UM-3-1 Qty'!$D28/1000000</f>
        <v>286.21726657547714</v>
      </c>
      <c r="K28" s="340">
        <f>'Prod &amp; Defects - Qty'!L$6*'Falhas UM-3-1 Qty'!$D28/1000000</f>
        <v>282.6967567779206</v>
      </c>
      <c r="L28" s="340">
        <f>'Prod &amp; Defects - Qty'!M$6*'Falhas UM-3-1 Qty'!$D28/1000000</f>
        <v>282.84503954346269</v>
      </c>
      <c r="M28" s="340">
        <f>'Prod &amp; Defects - Qty'!N$6*'Falhas UM-3-1 Qty'!$D28/1000000</f>
        <v>269.11888736470229</v>
      </c>
      <c r="N28" s="340">
        <f>'Prod &amp; Defects - Qty'!O$6*'Falhas UM-3-1 Qty'!$D28/1000000</f>
        <v>208.70955898500273</v>
      </c>
      <c r="O28" s="340">
        <f>'Prod &amp; Defects - Qty'!P$6*'Falhas UM-3-1 Qty'!$D28/1000000</f>
        <v>200.32334308716088</v>
      </c>
      <c r="P28" s="340">
        <f>'Prod &amp; Defects - Qty'!Q$6*'Falhas UM-3-1 Qty'!$D28/1000000</f>
        <v>253.98756647325072</v>
      </c>
      <c r="Q28" s="145">
        <f t="shared" si="1"/>
        <v>1535.835499148397</v>
      </c>
      <c r="R28" s="145">
        <f>Q28/SUM('Prod &amp; Defects - Qty'!$F$6:$K$6)*1000000</f>
        <v>75.547479355194653</v>
      </c>
      <c r="S28" s="145">
        <f t="shared" si="2"/>
        <v>1497.6811522315002</v>
      </c>
      <c r="T28" s="145">
        <f>S28/SUM('Prod &amp; Defects - Qty'!$L$6:$Q$6)*1000000</f>
        <v>75.547479355194639</v>
      </c>
      <c r="U28" s="145">
        <f t="shared" si="3"/>
        <v>3033.5166513798972</v>
      </c>
      <c r="V28" s="145">
        <f>U28/'Prod &amp; Defects - Qty'!$R$6*1000000</f>
        <v>75.547479355194653</v>
      </c>
      <c r="W28" s="145">
        <f t="shared" si="10"/>
        <v>71.770105387434924</v>
      </c>
      <c r="X28" s="145">
        <f t="shared" si="10"/>
        <v>68.181600118063173</v>
      </c>
      <c r="Y28" s="145">
        <f t="shared" si="4"/>
        <v>69.975852752749049</v>
      </c>
      <c r="Z28" s="145">
        <f t="shared" si="8"/>
        <v>69.975852752749049</v>
      </c>
    </row>
    <row r="29" spans="1:26" ht="18" customHeight="1">
      <c r="A29" s="1002"/>
      <c r="B29" s="82">
        <f t="shared" si="9"/>
        <v>3175</v>
      </c>
      <c r="C29" s="90" t="s">
        <v>129</v>
      </c>
      <c r="D29" s="330">
        <f>'[3]Falhas UM-3-1 Qty'!Z29</f>
        <v>3.4528089383025282</v>
      </c>
      <c r="E29" s="340">
        <f>'Prod &amp; Defects - Qty'!F$6*'Falhas UM-3-1 Qty'!$D29/1000000</f>
        <v>11.21263193407091</v>
      </c>
      <c r="F29" s="340">
        <f>'Prod &amp; Defects - Qty'!G$6*'Falhas UM-3-1 Qty'!$D29/1000000</f>
        <v>11.734762368689308</v>
      </c>
      <c r="G29" s="340">
        <f>'Prod &amp; Defects - Qty'!H$6*'Falhas UM-3-1 Qty'!$D29/1000000</f>
        <v>11.293353892386673</v>
      </c>
      <c r="H29" s="340">
        <f>'Prod &amp; Defects - Qty'!I$6*'Falhas UM-3-1 Qty'!$D29/1000000</f>
        <v>11.366366004916362</v>
      </c>
      <c r="I29" s="340">
        <f>'Prod &amp; Defects - Qty'!J$6*'Falhas UM-3-1 Qty'!$D29/1000000</f>
        <v>11.505221508817108</v>
      </c>
      <c r="J29" s="340">
        <f>'Prod &amp; Defects - Qty'!K$6*'Falhas UM-3-1 Qty'!$D29/1000000</f>
        <v>13.081224479799571</v>
      </c>
      <c r="K29" s="340">
        <f>'Prod &amp; Defects - Qty'!L$6*'Falhas UM-3-1 Qty'!$D29/1000000</f>
        <v>12.92032370852124</v>
      </c>
      <c r="L29" s="340">
        <f>'Prod &amp; Defects - Qty'!M$6*'Falhas UM-3-1 Qty'!$D29/1000000</f>
        <v>12.927100798407359</v>
      </c>
      <c r="M29" s="340">
        <f>'Prod &amp; Defects - Qty'!N$6*'Falhas UM-3-1 Qty'!$D29/1000000</f>
        <v>12.299763111752087</v>
      </c>
      <c r="N29" s="340">
        <f>'Prod &amp; Defects - Qty'!O$6*'Falhas UM-3-1 Qty'!$D29/1000000</f>
        <v>9.538825609051182</v>
      </c>
      <c r="O29" s="340">
        <f>'Prod &amp; Defects - Qty'!P$6*'Falhas UM-3-1 Qty'!$D29/1000000</f>
        <v>9.155543447187604</v>
      </c>
      <c r="P29" s="340">
        <f>'Prod &amp; Defects - Qty'!Q$6*'Falhas UM-3-1 Qty'!$D29/1000000</f>
        <v>11.608203837131029</v>
      </c>
      <c r="Q29" s="145">
        <f t="shared" si="1"/>
        <v>70.193560188679925</v>
      </c>
      <c r="R29" s="145">
        <f>Q29/SUM('Prod &amp; Defects - Qty'!$F$6:$K$6)*1000000</f>
        <v>3.4528089383025282</v>
      </c>
      <c r="S29" s="145">
        <f t="shared" si="2"/>
        <v>68.449760512050489</v>
      </c>
      <c r="T29" s="145">
        <f>S29/SUM('Prod &amp; Defects - Qty'!$L$6:$Q$6)*1000000</f>
        <v>3.4528089383025273</v>
      </c>
      <c r="U29" s="145">
        <f t="shared" si="3"/>
        <v>138.64332070073041</v>
      </c>
      <c r="V29" s="145">
        <f>U29/'Prod &amp; Defects - Qty'!$R$6*1000000</f>
        <v>3.4528089383025278</v>
      </c>
      <c r="W29" s="145">
        <f t="shared" si="10"/>
        <v>3.2801684913874012</v>
      </c>
      <c r="X29" s="145">
        <f t="shared" si="10"/>
        <v>3.1161600668180309</v>
      </c>
      <c r="Y29" s="145">
        <f t="shared" si="4"/>
        <v>3.1981642791027163</v>
      </c>
      <c r="Z29" s="145">
        <f t="shared" si="8"/>
        <v>3.1981642791027163</v>
      </c>
    </row>
    <row r="30" spans="1:26" ht="18" customHeight="1">
      <c r="A30" s="1002"/>
      <c r="B30" s="196">
        <f t="shared" si="9"/>
        <v>3180</v>
      </c>
      <c r="C30" s="93" t="s">
        <v>130</v>
      </c>
      <c r="D30" s="332">
        <f>'[3]Falhas UM-3-1 Qty'!Z30</f>
        <v>3.6595983448721832</v>
      </c>
      <c r="E30" s="342">
        <f>'Prod &amp; Defects - Qty'!F$6*'Falhas UM-3-1 Qty'!$D30/1000000</f>
        <v>11.884158666410285</v>
      </c>
      <c r="F30" s="342">
        <f>'Prod &amp; Defects - Qty'!G$6*'Falhas UM-3-1 Qty'!$D30/1000000</f>
        <v>12.437559595474221</v>
      </c>
      <c r="G30" s="342">
        <f>'Prod &amp; Defects - Qty'!H$6*'Falhas UM-3-1 Qty'!$D30/1000000</f>
        <v>11.969715078689628</v>
      </c>
      <c r="H30" s="342">
        <f>'Prod &amp; Defects - Qty'!I$6*'Falhas UM-3-1 Qty'!$D30/1000000</f>
        <v>12.047099901002046</v>
      </c>
      <c r="I30" s="342">
        <f>'Prod &amp; Defects - Qty'!J$6*'Falhas UM-3-1 Qty'!$D30/1000000</f>
        <v>12.194271488347793</v>
      </c>
      <c r="J30" s="342">
        <f>'Prod &amp; Defects - Qty'!K$6*'Falhas UM-3-1 Qty'!$D30/1000000</f>
        <v>13.864661587301979</v>
      </c>
      <c r="K30" s="342">
        <f>'Prod &amp; Defects - Qty'!L$6*'Falhas UM-3-1 Qty'!$D30/1000000</f>
        <v>13.694124437178543</v>
      </c>
      <c r="L30" s="342">
        <f>'Prod &amp; Defects - Qty'!M$6*'Falhas UM-3-1 Qty'!$D30/1000000</f>
        <v>13.701307408311168</v>
      </c>
      <c r="M30" s="342">
        <f>'Prod &amp; Defects - Qty'!N$6*'Falhas UM-3-1 Qty'!$D30/1000000</f>
        <v>13.036398344188946</v>
      </c>
      <c r="N30" s="342">
        <f>'Prod &amp; Defects - Qty'!O$6*'Falhas UM-3-1 Qty'!$D30/1000000</f>
        <v>10.110107751305152</v>
      </c>
      <c r="O30" s="342">
        <f>'Prod &amp; Defects - Qty'!P$6*'Falhas UM-3-1 Qty'!$D30/1000000</f>
        <v>9.7038707453662827</v>
      </c>
      <c r="P30" s="342">
        <f>'Prod &amp; Defects - Qty'!Q$6*'Falhas UM-3-1 Qty'!$D30/1000000</f>
        <v>12.303421448563659</v>
      </c>
      <c r="Q30" s="799">
        <f t="shared" si="1"/>
        <v>74.397466317225948</v>
      </c>
      <c r="R30" s="799">
        <f>Q30/SUM('Prod &amp; Defects - Qty'!$F$6:$K$6)*1000000</f>
        <v>3.6595983448721832</v>
      </c>
      <c r="S30" s="799">
        <f t="shared" si="2"/>
        <v>72.549230134913742</v>
      </c>
      <c r="T30" s="799">
        <f>S30/SUM('Prod &amp; Defects - Qty'!$L$6:$Q$6)*1000000</f>
        <v>3.6595983448721827</v>
      </c>
      <c r="U30" s="799">
        <f t="shared" si="3"/>
        <v>146.94669645213969</v>
      </c>
      <c r="V30" s="799">
        <f>U30/'Prod &amp; Defects - Qty'!$R$6*1000000</f>
        <v>3.6595983448721832</v>
      </c>
      <c r="W30" s="799">
        <f t="shared" si="10"/>
        <v>3.4766184276285736</v>
      </c>
      <c r="X30" s="799">
        <f t="shared" si="10"/>
        <v>3.302787506247145</v>
      </c>
      <c r="Y30" s="799">
        <f t="shared" si="4"/>
        <v>3.3897029669378593</v>
      </c>
      <c r="Z30" s="799">
        <f t="shared" si="8"/>
        <v>3.3897029669378593</v>
      </c>
    </row>
    <row r="31" spans="1:26" ht="18" customHeight="1">
      <c r="A31" s="1002"/>
      <c r="B31" s="197">
        <f t="shared" si="9"/>
        <v>3185</v>
      </c>
      <c r="C31" s="90" t="s">
        <v>131</v>
      </c>
      <c r="D31" s="331">
        <f>'[3]Falhas UM-3-1 Qty'!Z31</f>
        <v>55.008362059831747</v>
      </c>
      <c r="E31" s="341">
        <f>'Prod &amp; Defects - Qty'!F$6*'Falhas UM-3-1 Qty'!$D31/1000000</f>
        <v>178.63383931583249</v>
      </c>
      <c r="F31" s="341">
        <f>'Prod &amp; Defects - Qty'!G$6*'Falhas UM-3-1 Qty'!$D31/1000000</f>
        <v>186.95215072638692</v>
      </c>
      <c r="G31" s="341">
        <f>'Prod &amp; Defects - Qty'!H$6*'Falhas UM-3-1 Qty'!$D31/1000000</f>
        <v>179.91985970924446</v>
      </c>
      <c r="H31" s="341">
        <f>'Prod &amp; Defects - Qty'!I$6*'Falhas UM-3-1 Qty'!$D31/1000000</f>
        <v>181.08305083639695</v>
      </c>
      <c r="I31" s="341">
        <f>'Prod &amp; Defects - Qty'!J$6*'Falhas UM-3-1 Qty'!$D31/1000000</f>
        <v>183.29522474148646</v>
      </c>
      <c r="J31" s="341">
        <f>'Prod &amp; Defects - Qty'!K$6*'Falhas UM-3-1 Qty'!$D31/1000000</f>
        <v>208.40328707110785</v>
      </c>
      <c r="K31" s="341">
        <f>'Prod &amp; Defects - Qty'!L$6*'Falhas UM-3-1 Qty'!$D31/1000000</f>
        <v>205.83989939448307</v>
      </c>
      <c r="L31" s="341">
        <f>'Prod &amp; Defects - Qty'!M$6*'Falhas UM-3-1 Qty'!$D31/1000000</f>
        <v>205.94786847728759</v>
      </c>
      <c r="M31" s="341">
        <f>'Prod &amp; Defects - Qty'!N$6*'Falhas UM-3-1 Qty'!$D31/1000000</f>
        <v>195.95344966699693</v>
      </c>
      <c r="N31" s="341">
        <f>'Prod &amp; Defects - Qty'!O$6*'Falhas UM-3-1 Qty'!$D31/1000000</f>
        <v>151.96762465120449</v>
      </c>
      <c r="O31" s="341">
        <f>'Prod &amp; Defects - Qty'!P$6*'Falhas UM-3-1 Qty'!$D31/1000000</f>
        <v>145.86137194287133</v>
      </c>
      <c r="P31" s="341">
        <f>'Prod &amp; Defects - Qty'!Q$6*'Falhas UM-3-1 Qty'!$D31/1000000</f>
        <v>184.93588580987492</v>
      </c>
      <c r="Q31" s="798">
        <f t="shared" si="1"/>
        <v>1118.2874124004552</v>
      </c>
      <c r="R31" s="798">
        <f>Q31/SUM('Prod &amp; Defects - Qty'!$F$6:$K$6)*1000000</f>
        <v>55.008362059831747</v>
      </c>
      <c r="S31" s="798">
        <f t="shared" si="2"/>
        <v>1090.5060999427183</v>
      </c>
      <c r="T31" s="798">
        <f>S31/SUM('Prod &amp; Defects - Qty'!$L$6:$Q$6)*1000000</f>
        <v>55.00836205983174</v>
      </c>
      <c r="U31" s="798">
        <f t="shared" si="3"/>
        <v>2208.7935123431735</v>
      </c>
      <c r="V31" s="798">
        <f>U31/'Prod &amp; Defects - Qty'!$R$6*1000000</f>
        <v>55.008362059831747</v>
      </c>
      <c r="W31" s="798">
        <f t="shared" si="10"/>
        <v>52.257943956840158</v>
      </c>
      <c r="X31" s="798">
        <f t="shared" si="10"/>
        <v>49.645046758998149</v>
      </c>
      <c r="Y31" s="798">
        <f t="shared" si="4"/>
        <v>50.951495357919157</v>
      </c>
      <c r="Z31" s="798">
        <f t="shared" si="8"/>
        <v>50.951495357919157</v>
      </c>
    </row>
    <row r="32" spans="1:26" ht="18" customHeight="1">
      <c r="A32" s="1002"/>
      <c r="B32" s="82">
        <f t="shared" si="9"/>
        <v>3190</v>
      </c>
      <c r="C32" s="90" t="s">
        <v>113</v>
      </c>
      <c r="D32" s="330">
        <f>'[3]Falhas UM-3-1 Qty'!Z32</f>
        <v>90.385106622901247</v>
      </c>
      <c r="E32" s="340">
        <f>'Prod &amp; Defects - Qty'!F$6*'Falhas UM-3-1 Qty'!$D32/1000000</f>
        <v>293.51607661864483</v>
      </c>
      <c r="F32" s="340">
        <f>'Prod &amp; Defects - Qty'!G$6*'Falhas UM-3-1 Qty'!$D32/1000000</f>
        <v>307.18402519249395</v>
      </c>
      <c r="G32" s="340">
        <f>'Prod &amp; Defects - Qty'!H$6*'Falhas UM-3-1 Qty'!$D32/1000000</f>
        <v>295.62915699452179</v>
      </c>
      <c r="H32" s="340">
        <f>'Prod &amp; Defects - Qty'!I$6*'Falhas UM-3-1 Qty'!$D32/1000000</f>
        <v>297.54041466723953</v>
      </c>
      <c r="I32" s="340">
        <f>'Prod &amp; Defects - Qty'!J$6*'Falhas UM-3-1 Qty'!$D32/1000000</f>
        <v>301.17527247417507</v>
      </c>
      <c r="J32" s="340">
        <f>'Prod &amp; Defects - Qty'!K$6*'Falhas UM-3-1 Qty'!$D32/1000000</f>
        <v>342.43072538675034</v>
      </c>
      <c r="K32" s="340">
        <f>'Prod &amp; Defects - Qty'!L$6*'Falhas UM-3-1 Qty'!$D32/1000000</f>
        <v>338.21878269673618</v>
      </c>
      <c r="L32" s="340">
        <f>'Prod &amp; Defects - Qty'!M$6*'Falhas UM-3-1 Qty'!$D32/1000000</f>
        <v>338.39618839826653</v>
      </c>
      <c r="M32" s="340">
        <f>'Prod &amp; Defects - Qty'!N$6*'Falhas UM-3-1 Qty'!$D32/1000000</f>
        <v>321.9742013407444</v>
      </c>
      <c r="N32" s="340">
        <f>'Prod &amp; Defects - Qty'!O$6*'Falhas UM-3-1 Qty'!$D32/1000000</f>
        <v>249.7003990482055</v>
      </c>
      <c r="O32" s="340">
        <f>'Prod &amp; Defects - Qty'!P$6*'Falhas UM-3-1 Qty'!$D32/1000000</f>
        <v>239.66711898964343</v>
      </c>
      <c r="P32" s="340">
        <f>'Prod &amp; Defects - Qty'!Q$6*'Falhas UM-3-1 Qty'!$D32/1000000</f>
        <v>303.87106853218239</v>
      </c>
      <c r="Q32" s="145">
        <f t="shared" si="1"/>
        <v>1837.4756713338254</v>
      </c>
      <c r="R32" s="145">
        <f>Q32/SUM('Prod &amp; Defects - Qty'!$F$6:$K$6)*1000000</f>
        <v>90.385106622901247</v>
      </c>
      <c r="S32" s="145">
        <f t="shared" si="2"/>
        <v>1791.8277590057785</v>
      </c>
      <c r="T32" s="145">
        <f>S32/SUM('Prod &amp; Defects - Qty'!$L$6:$Q$6)*1000000</f>
        <v>90.385106622901247</v>
      </c>
      <c r="U32" s="145">
        <f t="shared" si="3"/>
        <v>3629.3034303396039</v>
      </c>
      <c r="V32" s="145">
        <f>U32/'Prod &amp; Defects - Qty'!$R$6*1000000</f>
        <v>90.385106622901247</v>
      </c>
      <c r="W32" s="145">
        <f t="shared" si="10"/>
        <v>85.865851291756186</v>
      </c>
      <c r="X32" s="145">
        <f t="shared" si="10"/>
        <v>81.572558727168371</v>
      </c>
      <c r="Y32" s="145">
        <f t="shared" si="4"/>
        <v>83.719205009462286</v>
      </c>
      <c r="Z32" s="145">
        <f t="shared" si="8"/>
        <v>83.719205009462286</v>
      </c>
    </row>
    <row r="33" spans="1:26" ht="18" customHeight="1">
      <c r="A33" s="1002"/>
      <c r="B33" s="82">
        <f t="shared" si="9"/>
        <v>3195</v>
      </c>
      <c r="C33" s="90" t="s">
        <v>132</v>
      </c>
      <c r="D33" s="330">
        <f>'[3]Falhas UM-3-1 Qty'!Z33</f>
        <v>5.5805261594901925</v>
      </c>
      <c r="E33" s="340">
        <f>'Prod &amp; Defects - Qty'!F$6*'Falhas UM-3-1 Qty'!$D33/1000000</f>
        <v>18.122168629342024</v>
      </c>
      <c r="F33" s="340">
        <f>'Prod &amp; Defects - Qty'!G$6*'Falhas UM-3-1 Qty'!$D33/1000000</f>
        <v>18.966050408241273</v>
      </c>
      <c r="G33" s="340">
        <f>'Prod &amp; Defects - Qty'!H$6*'Falhas UM-3-1 Qty'!$D33/1000000</f>
        <v>18.252633710983019</v>
      </c>
      <c r="H33" s="340">
        <f>'Prod &amp; Defects - Qty'!I$6*'Falhas UM-3-1 Qty'!$D33/1000000</f>
        <v>18.370637924715123</v>
      </c>
      <c r="I33" s="340">
        <f>'Prod &amp; Defects - Qty'!J$6*'Falhas UM-3-1 Qty'!$D33/1000000</f>
        <v>18.595060064993831</v>
      </c>
      <c r="J33" s="340">
        <f>'Prod &amp; Defects - Qty'!K$6*'Falhas UM-3-1 Qty'!$D33/1000000</f>
        <v>21.142240046323948</v>
      </c>
      <c r="K33" s="340">
        <f>'Prod &amp; Defects - Qty'!L$6*'Falhas UM-3-1 Qty'!$D33/1000000</f>
        <v>20.882187729718702</v>
      </c>
      <c r="L33" s="340">
        <f>'Prod &amp; Defects - Qty'!M$6*'Falhas UM-3-1 Qty'!$D33/1000000</f>
        <v>20.893141051512782</v>
      </c>
      <c r="M33" s="340">
        <f>'Prod &amp; Defects - Qty'!N$6*'Falhas UM-3-1 Qty'!$D33/1000000</f>
        <v>19.879220375978704</v>
      </c>
      <c r="N33" s="340">
        <f>'Prod &amp; Defects - Qty'!O$6*'Falhas UM-3-1 Qty'!$D33/1000000</f>
        <v>15.416916137935761</v>
      </c>
      <c r="O33" s="340">
        <f>'Prod &amp; Defects - Qty'!P$6*'Falhas UM-3-1 Qty'!$D33/1000000</f>
        <v>14.797444812135387</v>
      </c>
      <c r="P33" s="340">
        <f>'Prod &amp; Defects - Qty'!Q$6*'Falhas UM-3-1 Qty'!$D33/1000000</f>
        <v>18.761502977819347</v>
      </c>
      <c r="Q33" s="145">
        <f t="shared" si="1"/>
        <v>113.44879078459923</v>
      </c>
      <c r="R33" s="145">
        <f>Q33/SUM('Prod &amp; Defects - Qty'!$F$6:$K$6)*1000000</f>
        <v>5.5805261594901934</v>
      </c>
      <c r="S33" s="145">
        <f t="shared" si="2"/>
        <v>110.63041308510067</v>
      </c>
      <c r="T33" s="145">
        <f>S33/SUM('Prod &amp; Defects - Qty'!$L$6:$Q$6)*1000000</f>
        <v>5.5805261594901916</v>
      </c>
      <c r="U33" s="145">
        <f t="shared" si="3"/>
        <v>224.07920386969988</v>
      </c>
      <c r="V33" s="145">
        <f>U33/'Prod &amp; Defects - Qty'!$R$6*1000000</f>
        <v>5.5805261594901925</v>
      </c>
      <c r="W33" s="145">
        <f t="shared" si="10"/>
        <v>5.3014998515156826</v>
      </c>
      <c r="X33" s="145">
        <f t="shared" si="10"/>
        <v>5.0364248589398981</v>
      </c>
      <c r="Y33" s="145">
        <f t="shared" si="4"/>
        <v>5.1689623552277908</v>
      </c>
      <c r="Z33" s="145">
        <f t="shared" si="8"/>
        <v>5.1689623552277908</v>
      </c>
    </row>
    <row r="34" spans="1:26" ht="18" customHeight="1">
      <c r="A34" s="1002"/>
      <c r="B34" s="82">
        <f t="shared" si="9"/>
        <v>3200</v>
      </c>
      <c r="C34" s="90" t="s">
        <v>114</v>
      </c>
      <c r="D34" s="330">
        <f>'[3]Falhas UM-3-1 Qty'!Z34</f>
        <v>9.0081393473553302</v>
      </c>
      <c r="E34" s="340">
        <f>'Prod &amp; Defects - Qty'!F$6*'Falhas UM-3-1 Qty'!$D34/1000000</f>
        <v>29.25298002801544</v>
      </c>
      <c r="F34" s="340">
        <f>'Prod &amp; Defects - Qty'!G$6*'Falhas UM-3-1 Qty'!$D34/1000000</f>
        <v>30.615182164473655</v>
      </c>
      <c r="G34" s="340">
        <f>'Prod &amp; Defects - Qty'!H$6*'Falhas UM-3-1 Qty'!$D34/1000000</f>
        <v>29.463578025730683</v>
      </c>
      <c r="H34" s="340">
        <f>'Prod &amp; Defects - Qty'!I$6*'Falhas UM-3-1 Qty'!$D34/1000000</f>
        <v>29.654061569843485</v>
      </c>
      <c r="I34" s="340">
        <f>'Prod &amp; Defects - Qty'!J$6*'Falhas UM-3-1 Qty'!$D34/1000000</f>
        <v>30.016325961136477</v>
      </c>
      <c r="J34" s="340">
        <f>'Prod &amp; Defects - Qty'!K$6*'Falhas UM-3-1 Qty'!$D34/1000000</f>
        <v>34.128008544255451</v>
      </c>
      <c r="K34" s="340">
        <f>'Prod &amp; Defects - Qty'!L$6*'Falhas UM-3-1 Qty'!$D34/1000000</f>
        <v>33.708229577428305</v>
      </c>
      <c r="L34" s="340">
        <f>'Prod &amp; Defects - Qty'!M$6*'Falhas UM-3-1 Qty'!$D34/1000000</f>
        <v>33.725910535498848</v>
      </c>
      <c r="M34" s="340">
        <f>'Prod &amp; Defects - Qty'!N$6*'Falhas UM-3-1 Qty'!$D34/1000000</f>
        <v>32.089229966079202</v>
      </c>
      <c r="N34" s="340">
        <f>'Prod &amp; Defects - Qty'!O$6*'Falhas UM-3-1 Qty'!$D34/1000000</f>
        <v>24.886135268955293</v>
      </c>
      <c r="O34" s="340">
        <f>'Prod &amp; Defects - Qty'!P$6*'Falhas UM-3-1 Qty'!$D34/1000000</f>
        <v>23.886178658231241</v>
      </c>
      <c r="P34" s="340">
        <f>'Prod &amp; Defects - Qty'!Q$6*'Falhas UM-3-1 Qty'!$D34/1000000</f>
        <v>30.284999722222999</v>
      </c>
      <c r="Q34" s="145">
        <f t="shared" si="1"/>
        <v>183.13013629345522</v>
      </c>
      <c r="R34" s="145">
        <f>Q34/SUM('Prod &amp; Defects - Qty'!$F$6:$K$6)*1000000</f>
        <v>9.0081393473553319</v>
      </c>
      <c r="S34" s="145">
        <f t="shared" si="2"/>
        <v>178.58068372841589</v>
      </c>
      <c r="T34" s="145">
        <f>S34/SUM('Prod &amp; Defects - Qty'!$L$6:$Q$6)*1000000</f>
        <v>9.0081393473553302</v>
      </c>
      <c r="U34" s="145">
        <f t="shared" si="3"/>
        <v>361.71082002187109</v>
      </c>
      <c r="V34" s="145">
        <f>U34/'Prod &amp; Defects - Qty'!$R$6*1000000</f>
        <v>9.0081393473553302</v>
      </c>
      <c r="W34" s="145">
        <f t="shared" si="10"/>
        <v>8.5577323799875629</v>
      </c>
      <c r="X34" s="145">
        <f t="shared" si="10"/>
        <v>8.129845760988184</v>
      </c>
      <c r="Y34" s="145">
        <f t="shared" si="4"/>
        <v>8.3437890704878726</v>
      </c>
      <c r="Z34" s="145">
        <f t="shared" si="8"/>
        <v>8.3437890704878726</v>
      </c>
    </row>
    <row r="35" spans="1:26" ht="18" customHeight="1">
      <c r="A35" s="1002"/>
      <c r="B35" s="82">
        <f t="shared" si="9"/>
        <v>3205</v>
      </c>
      <c r="C35" s="90" t="s">
        <v>133</v>
      </c>
      <c r="D35" s="330">
        <f>'[3]Falhas UM-3-1 Qty'!Z35</f>
        <v>57.560455962342658</v>
      </c>
      <c r="E35" s="340">
        <f>'Prod &amp; Defects - Qty'!F$6*'Falhas UM-3-1 Qty'!$D35/1000000</f>
        <v>186.92149441096484</v>
      </c>
      <c r="F35" s="340">
        <f>'Prod &amp; Defects - Qty'!G$6*'Falhas UM-3-1 Qty'!$D35/1000000</f>
        <v>195.62573099789466</v>
      </c>
      <c r="G35" s="340">
        <f>'Prod &amp; Defects - Qty'!H$6*'Falhas UM-3-1 Qty'!$D35/1000000</f>
        <v>188.26717927504333</v>
      </c>
      <c r="H35" s="340">
        <f>'Prod &amp; Defects - Qty'!I$6*'Falhas UM-3-1 Qty'!$D35/1000000</f>
        <v>189.48433625160311</v>
      </c>
      <c r="I35" s="340">
        <f>'Prod &amp; Defects - Qty'!J$6*'Falhas UM-3-1 Qty'!$D35/1000000</f>
        <v>191.79914319870775</v>
      </c>
      <c r="J35" s="340">
        <f>'Prod &amp; Defects - Qty'!K$6*'Falhas UM-3-1 Qty'!$D35/1000000</f>
        <v>218.07208538251558</v>
      </c>
      <c r="K35" s="340">
        <f>'Prod &amp; Defects - Qty'!L$6*'Falhas UM-3-1 Qty'!$D35/1000000</f>
        <v>215.38977022260798</v>
      </c>
      <c r="L35" s="340">
        <f>'Prod &amp; Defects - Qty'!M$6*'Falhas UM-3-1 Qty'!$D35/1000000</f>
        <v>215.50274849360801</v>
      </c>
      <c r="M35" s="340">
        <f>'Prod &amp; Defects - Qty'!N$6*'Falhas UM-3-1 Qty'!$D35/1000000</f>
        <v>205.0446420847457</v>
      </c>
      <c r="N35" s="340">
        <f>'Prod &amp; Defects - Qty'!O$6*'Falhas UM-3-1 Qty'!$D35/1000000</f>
        <v>159.01810995432191</v>
      </c>
      <c r="O35" s="340">
        <f>'Prod &amp; Defects - Qty'!P$6*'Falhas UM-3-1 Qty'!$D35/1000000</f>
        <v>152.62855976683136</v>
      </c>
      <c r="P35" s="340">
        <f>'Prod &amp; Defects - Qty'!Q$6*'Falhas UM-3-1 Qty'!$D35/1000000</f>
        <v>193.51592216902844</v>
      </c>
      <c r="Q35" s="145">
        <f t="shared" si="1"/>
        <v>1170.1699695167292</v>
      </c>
      <c r="R35" s="145">
        <f>Q35/SUM('Prod &amp; Defects - Qty'!$F$6:$K$6)*1000000</f>
        <v>57.560455962342658</v>
      </c>
      <c r="S35" s="145">
        <f t="shared" si="2"/>
        <v>1141.0997526911435</v>
      </c>
      <c r="T35" s="145">
        <f>S35/SUM('Prod &amp; Defects - Qty'!$L$6:$Q$6)*1000000</f>
        <v>57.560455962342665</v>
      </c>
      <c r="U35" s="145">
        <f t="shared" si="3"/>
        <v>2311.2697222078727</v>
      </c>
      <c r="V35" s="145">
        <f>U35/'Prod &amp; Defects - Qty'!$R$6*1000000</f>
        <v>57.560455962342665</v>
      </c>
      <c r="W35" s="145">
        <f t="shared" si="10"/>
        <v>54.682433164225529</v>
      </c>
      <c r="X35" s="145">
        <f t="shared" si="10"/>
        <v>51.94831150601425</v>
      </c>
      <c r="Y35" s="145">
        <f t="shared" si="4"/>
        <v>53.315372335119889</v>
      </c>
      <c r="Z35" s="145">
        <f t="shared" si="8"/>
        <v>53.315372335119889</v>
      </c>
    </row>
    <row r="36" spans="1:26" ht="18" customHeight="1">
      <c r="A36" s="1002"/>
      <c r="B36" s="82">
        <f t="shared" si="9"/>
        <v>3210</v>
      </c>
      <c r="C36" s="90" t="s">
        <v>116</v>
      </c>
      <c r="D36" s="330">
        <f>'[3]Falhas UM-3-1 Qty'!Z36</f>
        <v>50.769953212028682</v>
      </c>
      <c r="E36" s="340">
        <f>'Prod &amp; Defects - Qty'!F$6*'Falhas UM-3-1 Qty'!$D36/1000000</f>
        <v>164.8700547434116</v>
      </c>
      <c r="F36" s="340">
        <f>'Prod &amp; Defects - Qty'!G$6*'Falhas UM-3-1 Qty'!$D36/1000000</f>
        <v>172.54743805938057</v>
      </c>
      <c r="G36" s="340">
        <f>'Prod &amp; Defects - Qty'!H$6*'Falhas UM-3-1 Qty'!$D36/1000000</f>
        <v>166.0569869253265</v>
      </c>
      <c r="H36" s="340">
        <f>'Prod &amp; Defects - Qty'!I$6*'Falhas UM-3-1 Qty'!$D36/1000000</f>
        <v>167.13055386843862</v>
      </c>
      <c r="I36" s="340">
        <f>'Prod &amp; Defects - Qty'!J$6*'Falhas UM-3-1 Qty'!$D36/1000000</f>
        <v>169.17227918896543</v>
      </c>
      <c r="J36" s="340">
        <f>'Prod &amp; Defects - Qty'!K$6*'Falhas UM-3-1 Qty'!$D36/1000000</f>
        <v>192.34575867437655</v>
      </c>
      <c r="K36" s="340">
        <f>'Prod &amp; Defects - Qty'!L$6*'Falhas UM-3-1 Qty'!$D36/1000000</f>
        <v>189.97988069631609</v>
      </c>
      <c r="L36" s="340">
        <f>'Prod &amp; Defects - Qty'!M$6*'Falhas UM-3-1 Qty'!$D36/1000000</f>
        <v>190.07953073273001</v>
      </c>
      <c r="M36" s="340">
        <f>'Prod &amp; Defects - Qty'!N$6*'Falhas UM-3-1 Qty'!$D36/1000000</f>
        <v>180.85518453554698</v>
      </c>
      <c r="N36" s="340">
        <f>'Prod &amp; Defects - Qty'!O$6*'Falhas UM-3-1 Qty'!$D36/1000000</f>
        <v>140.25847897257657</v>
      </c>
      <c r="O36" s="340">
        <f>'Prod &amp; Defects - Qty'!P$6*'Falhas UM-3-1 Qty'!$D36/1000000</f>
        <v>134.62271465067761</v>
      </c>
      <c r="P36" s="340">
        <f>'Prod &amp; Defects - Qty'!Q$6*'Falhas UM-3-1 Qty'!$D36/1000000</f>
        <v>170.68652688803851</v>
      </c>
      <c r="Q36" s="145">
        <f t="shared" si="1"/>
        <v>1032.1230714598994</v>
      </c>
      <c r="R36" s="145">
        <f>Q36/SUM('Prod &amp; Defects - Qty'!$F$6:$K$6)*1000000</f>
        <v>50.769953212028696</v>
      </c>
      <c r="S36" s="145">
        <f t="shared" si="2"/>
        <v>1006.4823164758858</v>
      </c>
      <c r="T36" s="145">
        <f>S36/SUM('Prod &amp; Defects - Qty'!$L$6:$Q$6)*1000000</f>
        <v>50.769953212028682</v>
      </c>
      <c r="U36" s="145">
        <f t="shared" si="3"/>
        <v>2038.6053879357851</v>
      </c>
      <c r="V36" s="145">
        <f>U36/'Prod &amp; Defects - Qty'!$R$6*1000000</f>
        <v>50.769953212028689</v>
      </c>
      <c r="W36" s="145">
        <f t="shared" si="10"/>
        <v>48.231455551427253</v>
      </c>
      <c r="X36" s="145">
        <f t="shared" si="10"/>
        <v>45.819882773855888</v>
      </c>
      <c r="Y36" s="145">
        <f t="shared" si="4"/>
        <v>47.02566916264157</v>
      </c>
      <c r="Z36" s="145">
        <f t="shared" si="8"/>
        <v>47.02566916264157</v>
      </c>
    </row>
    <row r="37" spans="1:26" ht="18" customHeight="1" thickBot="1">
      <c r="A37" s="1003"/>
      <c r="B37" s="88"/>
      <c r="C37" s="89" t="s">
        <v>1</v>
      </c>
      <c r="D37" s="335">
        <f>'[3]Falhas UM-3-1 Qty'!Z37</f>
        <v>492.80366280606239</v>
      </c>
      <c r="E37" s="343">
        <f>SUBTOTAL(109,E20:E36)</f>
        <v>1600.3277868954076</v>
      </c>
      <c r="F37" s="343">
        <f t="shared" ref="F37:P37" si="11">SUBTOTAL(109,F20:F36)</f>
        <v>1674.8490810765345</v>
      </c>
      <c r="G37" s="343">
        <f t="shared" si="11"/>
        <v>1611.8488636296574</v>
      </c>
      <c r="H37" s="343">
        <f t="shared" si="11"/>
        <v>1622.2695492588853</v>
      </c>
      <c r="I37" s="343">
        <f t="shared" si="11"/>
        <v>1642.0877616609621</v>
      </c>
      <c r="J37" s="343">
        <f t="shared" si="11"/>
        <v>1867.0234735903964</v>
      </c>
      <c r="K37" s="343">
        <f t="shared" si="11"/>
        <v>1844.0588407795051</v>
      </c>
      <c r="L37" s="343">
        <f t="shared" si="11"/>
        <v>1845.0261038915753</v>
      </c>
      <c r="M37" s="343">
        <f t="shared" si="11"/>
        <v>1755.4890587424779</v>
      </c>
      <c r="N37" s="343">
        <f t="shared" si="11"/>
        <v>1361.4330485716609</v>
      </c>
      <c r="O37" s="343">
        <f t="shared" si="11"/>
        <v>1306.7289347241522</v>
      </c>
      <c r="P37" s="343">
        <f t="shared" si="11"/>
        <v>1656.7859594194363</v>
      </c>
      <c r="Q37" s="591">
        <f t="shared" si="1"/>
        <v>10018.406516111843</v>
      </c>
      <c r="R37" s="591">
        <f>Q37/SUM('Prod &amp; Defects - Qty'!$F$6:$K$6)*1000000</f>
        <v>492.80366280606228</v>
      </c>
      <c r="S37" s="591">
        <f t="shared" si="2"/>
        <v>9769.521946128807</v>
      </c>
      <c r="T37" s="591">
        <f>S37/SUM('Prod &amp; Defects - Qty'!$L$6:$Q$6)*1000000</f>
        <v>492.80366280606228</v>
      </c>
      <c r="U37" s="591">
        <f t="shared" si="3"/>
        <v>19787.928462240649</v>
      </c>
      <c r="V37" s="591">
        <f>U37/'Prod &amp; Defects - Qty'!$R$6*1000000</f>
        <v>492.80366280606228</v>
      </c>
      <c r="W37" s="591">
        <f t="shared" si="10"/>
        <v>468.16347966575916</v>
      </c>
      <c r="X37" s="591">
        <f t="shared" si="10"/>
        <v>444.7553056824712</v>
      </c>
      <c r="Y37" s="591">
        <f t="shared" si="4"/>
        <v>456.45939267411518</v>
      </c>
      <c r="Z37" s="591">
        <f>SUM(Z20:Z36)</f>
        <v>456.45939267411529</v>
      </c>
    </row>
    <row r="38" spans="1:26" ht="18" customHeight="1" thickTop="1">
      <c r="A38" s="1004" t="s">
        <v>172</v>
      </c>
      <c r="B38" s="82">
        <f>B36+10</f>
        <v>3220</v>
      </c>
      <c r="C38" s="83" t="s">
        <v>19</v>
      </c>
      <c r="D38" s="330">
        <f>'[3]Falhas UM-3-1 Qty'!Z38</f>
        <v>2.8964922640948902</v>
      </c>
      <c r="E38" s="341">
        <f>'Prod &amp; Defects - Qty'!F$6*'Falhas UM-3-1 Qty'!$D38/1000000</f>
        <v>9.4060523583868569</v>
      </c>
      <c r="F38" s="341">
        <f>'Prod &amp; Defects - Qty'!G$6*'Falhas UM-3-1 Qty'!$D38/1000000</f>
        <v>9.8440571225497404</v>
      </c>
      <c r="G38" s="341">
        <f>'Prod &amp; Defects - Qty'!H$6*'Falhas UM-3-1 Qty'!$D38/1000000</f>
        <v>9.4737683924860807</v>
      </c>
      <c r="H38" s="341">
        <f>'Prod &amp; Defects - Qty'!I$6*'Falhas UM-3-1 Qty'!$D38/1000000</f>
        <v>9.5350167913712625</v>
      </c>
      <c r="I38" s="341">
        <f>'Prod &amp; Defects - Qty'!J$6*'Falhas UM-3-1 Qty'!$D38/1000000</f>
        <v>9.6514998925396807</v>
      </c>
      <c r="J38" s="341">
        <f>'Prod &amp; Defects - Qty'!K$6*'Falhas UM-3-1 Qty'!$D38/1000000</f>
        <v>10.973577220075056</v>
      </c>
      <c r="K38" s="341">
        <f>'Prod &amp; Defects - Qty'!L$6*'Falhas UM-3-1 Qty'!$D38/1000000</f>
        <v>10.838600785635069</v>
      </c>
      <c r="L38" s="341">
        <f>'Prod &amp; Defects - Qty'!M$6*'Falhas UM-3-1 Qty'!$D38/1000000</f>
        <v>10.844285950606251</v>
      </c>
      <c r="M38" s="341">
        <f>'Prod &amp; Defects - Qty'!N$6*'Falhas UM-3-1 Qty'!$D38/1000000</f>
        <v>10.318024929842823</v>
      </c>
      <c r="N38" s="341">
        <f>'Prod &amp; Defects - Qty'!O$6*'Falhas UM-3-1 Qty'!$D38/1000000</f>
        <v>8.0019297559945581</v>
      </c>
      <c r="O38" s="341">
        <f>'Prod &amp; Defects - Qty'!P$6*'Falhas UM-3-1 Qty'!$D38/1000000</f>
        <v>7.680402026936604</v>
      </c>
      <c r="P38" s="341">
        <f>'Prod &amp; Defects - Qty'!Q$6*'Falhas UM-3-1 Qty'!$D38/1000000</f>
        <v>9.7378897051907085</v>
      </c>
      <c r="Q38" s="798">
        <f t="shared" si="1"/>
        <v>58.883971777408682</v>
      </c>
      <c r="R38" s="798">
        <f>Q38/SUM('Prod &amp; Defects - Qty'!$F$6:$K$6)*1000000</f>
        <v>2.8964922640948907</v>
      </c>
      <c r="S38" s="798">
        <f t="shared" si="2"/>
        <v>57.421133154206018</v>
      </c>
      <c r="T38" s="798">
        <f>S38/SUM('Prod &amp; Defects - Qty'!$L$6:$Q$6)*1000000</f>
        <v>2.8964922640948907</v>
      </c>
      <c r="U38" s="798">
        <f t="shared" si="3"/>
        <v>116.30510493161469</v>
      </c>
      <c r="V38" s="798">
        <f>U38/'Prod &amp; Defects - Qty'!$R$6*1000000</f>
        <v>2.8964922640948907</v>
      </c>
      <c r="W38" s="798">
        <f t="shared" si="10"/>
        <v>2.7516676508901461</v>
      </c>
      <c r="X38" s="798">
        <f t="shared" si="10"/>
        <v>2.6140842683456387</v>
      </c>
      <c r="Y38" s="798">
        <f t="shared" si="4"/>
        <v>2.6828759596178924</v>
      </c>
      <c r="Z38" s="798">
        <f t="shared" ref="Z38:Z49" si="12">Y38*$AA$7</f>
        <v>2.6828759596178924</v>
      </c>
    </row>
    <row r="39" spans="1:26" ht="18" customHeight="1">
      <c r="A39" s="1002"/>
      <c r="B39" s="82">
        <f>B38+10</f>
        <v>3230</v>
      </c>
      <c r="C39" s="83" t="s">
        <v>61</v>
      </c>
      <c r="D39" s="330">
        <f>'[3]Falhas UM-3-1 Qty'!Z39</f>
        <v>0.98175724583383017</v>
      </c>
      <c r="E39" s="341">
        <f>'Prod &amp; Defects - Qty'!F$6*'Falhas UM-3-1 Qty'!$D39/1000000</f>
        <v>3.1881528468104889</v>
      </c>
      <c r="F39" s="341">
        <f>'Prod &amp; Defects - Qty'!G$6*'Falhas UM-3-1 Qty'!$D39/1000000</f>
        <v>3.3366132298251912</v>
      </c>
      <c r="G39" s="341">
        <f>'Prod &amp; Defects - Qty'!H$6*'Falhas UM-3-1 Qty'!$D39/1000000</f>
        <v>3.2111049906708899</v>
      </c>
      <c r="H39" s="341">
        <f>'Prod &amp; Defects - Qty'!I$6*'Falhas UM-3-1 Qty'!$D39/1000000</f>
        <v>3.2318649492409977</v>
      </c>
      <c r="I39" s="341">
        <f>'Prod &amp; Defects - Qty'!J$6*'Falhas UM-3-1 Qty'!$D39/1000000</f>
        <v>3.2713465422032439</v>
      </c>
      <c r="J39" s="341">
        <f>'Prod &amp; Defects - Qty'!K$6*'Falhas UM-3-1 Qty'!$D39/1000000</f>
        <v>3.719460632459954</v>
      </c>
      <c r="K39" s="341">
        <f>'Prod &amp; Defects - Qty'!L$6*'Falhas UM-3-1 Qty'!$D39/1000000</f>
        <v>3.6737107804161822</v>
      </c>
      <c r="L39" s="341">
        <f>'Prod &amp; Defects - Qty'!M$6*'Falhas UM-3-1 Qty'!$D39/1000000</f>
        <v>3.6756377497968384</v>
      </c>
      <c r="M39" s="341">
        <f>'Prod &amp; Defects - Qty'!N$6*'Falhas UM-3-1 Qty'!$D39/1000000</f>
        <v>3.497263176959561</v>
      </c>
      <c r="N39" s="341">
        <f>'Prod &amp; Defects - Qty'!O$6*'Falhas UM-3-1 Qty'!$D39/1000000</f>
        <v>2.7122297601080789</v>
      </c>
      <c r="O39" s="341">
        <f>'Prod &amp; Defects - Qty'!P$6*'Falhas UM-3-1 Qty'!$D39/1000000</f>
        <v>2.6032489139818478</v>
      </c>
      <c r="P39" s="341">
        <f>'Prod &amp; Defects - Qty'!Q$6*'Falhas UM-3-1 Qty'!$D39/1000000</f>
        <v>3.3006281065242438</v>
      </c>
      <c r="Q39" s="798">
        <f t="shared" si="1"/>
        <v>19.958543191210765</v>
      </c>
      <c r="R39" s="798">
        <f>Q39/SUM('Prod &amp; Defects - Qty'!$F$6:$K$6)*1000000</f>
        <v>0.98175724583383017</v>
      </c>
      <c r="S39" s="798">
        <f t="shared" si="2"/>
        <v>19.462718487786752</v>
      </c>
      <c r="T39" s="798">
        <f>S39/SUM('Prod &amp; Defects - Qty'!$L$6:$Q$6)*1000000</f>
        <v>0.98175724583383017</v>
      </c>
      <c r="U39" s="798">
        <f t="shared" si="3"/>
        <v>39.421261678997517</v>
      </c>
      <c r="V39" s="798">
        <f>U39/'Prod &amp; Defects - Qty'!$R$6*1000000</f>
        <v>0.98175724583383017</v>
      </c>
      <c r="W39" s="798">
        <f t="shared" si="10"/>
        <v>0.93266938354213857</v>
      </c>
      <c r="X39" s="798">
        <f t="shared" si="10"/>
        <v>0.8860359143650316</v>
      </c>
      <c r="Y39" s="798">
        <f t="shared" si="4"/>
        <v>0.90935264895358503</v>
      </c>
      <c r="Z39" s="798">
        <f t="shared" si="12"/>
        <v>0.90935264895358503</v>
      </c>
    </row>
    <row r="40" spans="1:26" ht="18" customHeight="1">
      <c r="A40" s="1002"/>
      <c r="B40" s="82">
        <f t="shared" ref="B40:B49" si="13">B39+10</f>
        <v>3240</v>
      </c>
      <c r="C40" s="83" t="s">
        <v>70</v>
      </c>
      <c r="D40" s="330">
        <f>'[3]Falhas UM-3-1 Qty'!Z40</f>
        <v>28.8235802825271</v>
      </c>
      <c r="E40" s="341">
        <f>'Prod &amp; Defects - Qty'!F$6*'Falhas UM-3-1 Qty'!$D40/1000000</f>
        <v>93.601529220150212</v>
      </c>
      <c r="F40" s="341">
        <f>'Prod &amp; Defects - Qty'!G$6*'Falhas UM-3-1 Qty'!$D40/1000000</f>
        <v>97.960203206777734</v>
      </c>
      <c r="G40" s="341">
        <f>'Prod &amp; Defects - Qty'!H$6*'Falhas UM-3-1 Qty'!$D40/1000000</f>
        <v>94.275385169799463</v>
      </c>
      <c r="H40" s="341">
        <f>'Prod &amp; Defects - Qty'!I$6*'Falhas UM-3-1 Qty'!$D40/1000000</f>
        <v>94.884880373472953</v>
      </c>
      <c r="I40" s="341">
        <f>'Prod &amp; Defects - Qty'!J$6*'Falhas UM-3-1 Qty'!$D40/1000000</f>
        <v>96.04402726977402</v>
      </c>
      <c r="J40" s="341">
        <f>'Prod &amp; Defects - Qty'!K$6*'Falhas UM-3-1 Qty'!$D40/1000000</f>
        <v>109.2002861220077</v>
      </c>
      <c r="K40" s="341">
        <f>'Prod &amp; Defects - Qty'!L$6*'Falhas UM-3-1 Qty'!$D40/1000000</f>
        <v>107.85710832638327</v>
      </c>
      <c r="L40" s="341">
        <f>'Prod &amp; Defects - Qty'!M$6*'Falhas UM-3-1 Qty'!$D40/1000000</f>
        <v>107.91368255273201</v>
      </c>
      <c r="M40" s="341">
        <f>'Prod &amp; Defects - Qty'!N$6*'Falhas UM-3-1 Qty'!$D40/1000000</f>
        <v>102.67675270846077</v>
      </c>
      <c r="N40" s="341">
        <f>'Prod &amp; Defects - Qty'!O$6*'Falhas UM-3-1 Qty'!$D40/1000000</f>
        <v>79.628821245660902</v>
      </c>
      <c r="O40" s="341">
        <f>'Prod &amp; Defects - Qty'!P$6*'Falhas UM-3-1 Qty'!$D40/1000000</f>
        <v>76.429233790709915</v>
      </c>
      <c r="P40" s="341">
        <f>'Prod &amp; Defects - Qty'!Q$6*'Falhas UM-3-1 Qty'!$D40/1000000</f>
        <v>96.903709766222022</v>
      </c>
      <c r="Q40" s="798">
        <f t="shared" si="1"/>
        <v>585.96631136198209</v>
      </c>
      <c r="R40" s="798">
        <f>Q40/SUM('Prod &amp; Defects - Qty'!$F$6:$K$6)*1000000</f>
        <v>28.8235802825271</v>
      </c>
      <c r="S40" s="798">
        <f t="shared" si="2"/>
        <v>571.40930839016892</v>
      </c>
      <c r="T40" s="798">
        <f>S40/SUM('Prod &amp; Defects - Qty'!$L$6:$Q$6)*1000000</f>
        <v>28.823580282527104</v>
      </c>
      <c r="U40" s="798">
        <f t="shared" si="3"/>
        <v>1157.3756197521511</v>
      </c>
      <c r="V40" s="798">
        <f>U40/'Prod &amp; Defects - Qty'!$R$6*1000000</f>
        <v>28.823580282527104</v>
      </c>
      <c r="W40" s="798">
        <f t="shared" si="10"/>
        <v>27.382401268400749</v>
      </c>
      <c r="X40" s="798">
        <f t="shared" si="10"/>
        <v>26.013281204980711</v>
      </c>
      <c r="Y40" s="798">
        <f t="shared" si="4"/>
        <v>26.697841236690728</v>
      </c>
      <c r="Z40" s="798">
        <f t="shared" si="12"/>
        <v>26.697841236690728</v>
      </c>
    </row>
    <row r="41" spans="1:26" ht="18" customHeight="1">
      <c r="A41" s="1002"/>
      <c r="B41" s="82">
        <f t="shared" si="13"/>
        <v>3250</v>
      </c>
      <c r="C41" s="83" t="s">
        <v>69</v>
      </c>
      <c r="D41" s="330">
        <f>'[3]Falhas UM-3-1 Qty'!Z41</f>
        <v>15.265994842353845</v>
      </c>
      <c r="E41" s="341">
        <f>'Prod &amp; Defects - Qty'!F$6*'Falhas UM-3-1 Qty'!$D41/1000000</f>
        <v>49.574704054980288</v>
      </c>
      <c r="F41" s="341">
        <f>'Prod &amp; Defects - Qty'!G$6*'Falhas UM-3-1 Qty'!$D41/1000000</f>
        <v>51.883213058620392</v>
      </c>
      <c r="G41" s="341">
        <f>'Prod &amp; Defects - Qty'!H$6*'Falhas UM-3-1 Qty'!$D41/1000000</f>
        <v>49.931602169336699</v>
      </c>
      <c r="H41" s="341">
        <f>'Prod &amp; Defects - Qty'!I$6*'Falhas UM-3-1 Qty'!$D41/1000000</f>
        <v>50.254412540030295</v>
      </c>
      <c r="I41" s="341">
        <f>'Prod &amp; Defects - Qty'!J$6*'Falhas UM-3-1 Qty'!$D41/1000000</f>
        <v>50.86833802628189</v>
      </c>
      <c r="J41" s="341">
        <f>'Prod &amp; Defects - Qty'!K$6*'Falhas UM-3-1 Qty'!$D41/1000000</f>
        <v>57.836361353509666</v>
      </c>
      <c r="K41" s="341">
        <f>'Prod &amp; Defects - Qty'!L$6*'Falhas UM-3-1 Qty'!$D41/1000000</f>
        <v>57.124966547611912</v>
      </c>
      <c r="L41" s="341">
        <f>'Prod &amp; Defects - Qty'!M$6*'Falhas UM-3-1 Qty'!$D41/1000000</f>
        <v>57.154930273116669</v>
      </c>
      <c r="M41" s="341">
        <f>'Prod &amp; Defects - Qty'!N$6*'Falhas UM-3-1 Qty'!$D41/1000000</f>
        <v>54.381265682917309</v>
      </c>
      <c r="N41" s="341">
        <f>'Prod &amp; Defects - Qty'!O$6*'Falhas UM-3-1 Qty'!$D41/1000000</f>
        <v>42.174260189872456</v>
      </c>
      <c r="O41" s="341">
        <f>'Prod &amp; Defects - Qty'!P$6*'Falhas UM-3-1 Qty'!$D41/1000000</f>
        <v>40.479644701228544</v>
      </c>
      <c r="P41" s="341">
        <f>'Prod &amp; Defects - Qty'!Q$6*'Falhas UM-3-1 Qty'!$D41/1000000</f>
        <v>51.323656499150189</v>
      </c>
      <c r="Q41" s="798">
        <f t="shared" si="1"/>
        <v>310.34863120275924</v>
      </c>
      <c r="R41" s="798">
        <f>Q41/SUM('Prod &amp; Defects - Qty'!$F$6:$K$6)*1000000</f>
        <v>15.265994842353845</v>
      </c>
      <c r="S41" s="798">
        <f t="shared" si="2"/>
        <v>302.63872389389712</v>
      </c>
      <c r="T41" s="798">
        <f>S41/SUM('Prod &amp; Defects - Qty'!$L$6:$Q$6)*1000000</f>
        <v>15.265994842353845</v>
      </c>
      <c r="U41" s="798">
        <f t="shared" si="3"/>
        <v>612.9873550966563</v>
      </c>
      <c r="V41" s="798">
        <f>U41/'Prod &amp; Defects - Qty'!$R$6*1000000</f>
        <v>15.265994842353845</v>
      </c>
      <c r="W41" s="798">
        <f t="shared" si="10"/>
        <v>14.502695100236151</v>
      </c>
      <c r="X41" s="798">
        <f t="shared" si="10"/>
        <v>13.777560345224343</v>
      </c>
      <c r="Y41" s="798">
        <f t="shared" si="4"/>
        <v>14.140127722730247</v>
      </c>
      <c r="Z41" s="798">
        <f t="shared" si="12"/>
        <v>14.140127722730247</v>
      </c>
    </row>
    <row r="42" spans="1:26" ht="18" customHeight="1">
      <c r="A42" s="1002"/>
      <c r="B42" s="82">
        <f t="shared" si="13"/>
        <v>3260</v>
      </c>
      <c r="C42" s="83" t="s">
        <v>15</v>
      </c>
      <c r="D42" s="330">
        <f>'[3]Falhas UM-3-1 Qty'!Z42</f>
        <v>15.750618628106325</v>
      </c>
      <c r="E42" s="341">
        <f>'Prod &amp; Defects - Qty'!F$6*'Falhas UM-3-1 Qty'!$D42/1000000</f>
        <v>51.148468556067911</v>
      </c>
      <c r="F42" s="341">
        <f>'Prod &amp; Defects - Qty'!G$6*'Falhas UM-3-1 Qty'!$D42/1000000</f>
        <v>53.530261900777234</v>
      </c>
      <c r="G42" s="341">
        <f>'Prod &amp; Defects - Qty'!H$6*'Falhas UM-3-1 Qty'!$D42/1000000</f>
        <v>51.516696512802341</v>
      </c>
      <c r="H42" s="341">
        <f>'Prod &amp; Defects - Qty'!I$6*'Falhas UM-3-1 Qty'!$D42/1000000</f>
        <v>51.849754599779168</v>
      </c>
      <c r="I42" s="341">
        <f>'Prod &amp; Defects - Qty'!J$6*'Falhas UM-3-1 Qty'!$D42/1000000</f>
        <v>52.483169342799783</v>
      </c>
      <c r="J42" s="341">
        <f>'Prod &amp; Defects - Qty'!K$6*'Falhas UM-3-1 Qty'!$D42/1000000</f>
        <v>59.672394752101106</v>
      </c>
      <c r="K42" s="341">
        <f>'Prod &amp; Defects - Qty'!L$6*'Falhas UM-3-1 Qty'!$D42/1000000</f>
        <v>58.93841649536644</v>
      </c>
      <c r="L42" s="341">
        <f>'Prod &amp; Defects - Qty'!M$6*'Falhas UM-3-1 Qty'!$D42/1000000</f>
        <v>58.969331428718405</v>
      </c>
      <c r="M42" s="341">
        <f>'Prod &amp; Defects - Qty'!N$6*'Falhas UM-3-1 Qty'!$D42/1000000</f>
        <v>56.107615987723477</v>
      </c>
      <c r="N42" s="341">
        <f>'Prod &amp; Defects - Qty'!O$6*'Falhas UM-3-1 Qty'!$D42/1000000</f>
        <v>43.513095283529196</v>
      </c>
      <c r="O42" s="341">
        <f>'Prod &amp; Defects - Qty'!P$6*'Falhas UM-3-1 Qty'!$D42/1000000</f>
        <v>41.764683695647591</v>
      </c>
      <c r="P42" s="341">
        <f>'Prod &amp; Defects - Qty'!Q$6*'Falhas UM-3-1 Qty'!$D42/1000000</f>
        <v>52.952942043140517</v>
      </c>
      <c r="Q42" s="798">
        <f t="shared" si="1"/>
        <v>320.20074566432754</v>
      </c>
      <c r="R42" s="798">
        <f>Q42/SUM('Prod &amp; Defects - Qty'!$F$6:$K$6)*1000000</f>
        <v>15.750618628106325</v>
      </c>
      <c r="S42" s="798">
        <f t="shared" si="2"/>
        <v>312.24608493412563</v>
      </c>
      <c r="T42" s="798">
        <f>S42/SUM('Prod &amp; Defects - Qty'!$L$6:$Q$6)*1000000</f>
        <v>15.750618628106325</v>
      </c>
      <c r="U42" s="798">
        <f t="shared" si="3"/>
        <v>632.44683059845318</v>
      </c>
      <c r="V42" s="798">
        <f>U42/'Prod &amp; Defects - Qty'!$R$6*1000000</f>
        <v>15.750618628106325</v>
      </c>
      <c r="W42" s="798">
        <f t="shared" si="10"/>
        <v>14.963087696701008</v>
      </c>
      <c r="X42" s="798">
        <f t="shared" si="10"/>
        <v>14.214933311865957</v>
      </c>
      <c r="Y42" s="798">
        <f t="shared" si="4"/>
        <v>14.589010504283483</v>
      </c>
      <c r="Z42" s="798">
        <f t="shared" si="12"/>
        <v>14.589010504283483</v>
      </c>
    </row>
    <row r="43" spans="1:26" ht="18" customHeight="1">
      <c r="A43" s="1002"/>
      <c r="B43" s="82">
        <f t="shared" si="13"/>
        <v>3270</v>
      </c>
      <c r="C43" s="83" t="s">
        <v>14</v>
      </c>
      <c r="D43" s="330">
        <f>'[3]Falhas UM-3-1 Qty'!Z43</f>
        <v>16.601700392433028</v>
      </c>
      <c r="E43" s="341">
        <f>'Prod &amp; Defects - Qty'!F$6*'Falhas UM-3-1 Qty'!$D43/1000000</f>
        <v>53.912266594046372</v>
      </c>
      <c r="F43" s="341">
        <f>'Prod &amp; Defects - Qty'!G$6*'Falhas UM-3-1 Qty'!$D43/1000000</f>
        <v>56.422759701599254</v>
      </c>
      <c r="G43" s="341">
        <f>'Prod &amp; Defects - Qty'!H$6*'Falhas UM-3-1 Qty'!$D43/1000000</f>
        <v>54.300391680315293</v>
      </c>
      <c r="H43" s="341">
        <f>'Prod &amp; Defects - Qty'!I$6*'Falhas UM-3-1 Qty'!$D43/1000000</f>
        <v>54.651446499419301</v>
      </c>
      <c r="I43" s="341">
        <f>'Prod &amp; Defects - Qty'!J$6*'Falhas UM-3-1 Qty'!$D43/1000000</f>
        <v>55.319087690922302</v>
      </c>
      <c r="J43" s="341">
        <f>'Prod &amp; Defects - Qty'!K$6*'Falhas UM-3-1 Qty'!$D43/1000000</f>
        <v>62.896781565492169</v>
      </c>
      <c r="K43" s="341">
        <f>'Prod &amp; Defects - Qty'!L$6*'Falhas UM-3-1 Qty'!$D43/1000000</f>
        <v>62.123142929411863</v>
      </c>
      <c r="L43" s="341">
        <f>'Prod &amp; Defects - Qty'!M$6*'Falhas UM-3-1 Qty'!$D43/1000000</f>
        <v>62.155728345469463</v>
      </c>
      <c r="M43" s="341">
        <f>'Prod &amp; Defects - Qty'!N$6*'Falhas UM-3-1 Qty'!$D43/1000000</f>
        <v>59.139380639924816</v>
      </c>
      <c r="N43" s="341">
        <f>'Prod &amp; Defects - Qty'!O$6*'Falhas UM-3-1 Qty'!$D43/1000000</f>
        <v>45.864317338968839</v>
      </c>
      <c r="O43" s="341">
        <f>'Prod &amp; Defects - Qty'!P$6*'Falhas UM-3-1 Qty'!$D43/1000000</f>
        <v>44.021430654323204</v>
      </c>
      <c r="P43" s="341">
        <f>'Prod &amp; Defects - Qty'!Q$6*'Falhas UM-3-1 Qty'!$D43/1000000</f>
        <v>55.814244472236538</v>
      </c>
      <c r="Q43" s="798">
        <f t="shared" si="1"/>
        <v>337.50273373179471</v>
      </c>
      <c r="R43" s="798">
        <f>Q43/SUM('Prod &amp; Defects - Qty'!$F$6:$K$6)*1000000</f>
        <v>16.601700392433028</v>
      </c>
      <c r="S43" s="798">
        <f t="shared" si="2"/>
        <v>329.11824438033477</v>
      </c>
      <c r="T43" s="798">
        <f>S43/SUM('Prod &amp; Defects - Qty'!$L$6:$Q$6)*1000000</f>
        <v>16.601700392433031</v>
      </c>
      <c r="U43" s="798">
        <f t="shared" si="3"/>
        <v>666.62097811212948</v>
      </c>
      <c r="V43" s="798">
        <f>U43/'Prod &amp; Defects - Qty'!$R$6*1000000</f>
        <v>16.601700392433028</v>
      </c>
      <c r="W43" s="798">
        <f t="shared" si="10"/>
        <v>15.771615372811375</v>
      </c>
      <c r="X43" s="798">
        <f t="shared" si="10"/>
        <v>14.983034604170806</v>
      </c>
      <c r="Y43" s="798">
        <f t="shared" si="4"/>
        <v>15.37732498849109</v>
      </c>
      <c r="Z43" s="798">
        <f t="shared" si="12"/>
        <v>15.37732498849109</v>
      </c>
    </row>
    <row r="44" spans="1:26" ht="18" customHeight="1">
      <c r="A44" s="1002"/>
      <c r="B44" s="82">
        <f t="shared" si="13"/>
        <v>3280</v>
      </c>
      <c r="C44" s="83" t="s">
        <v>68</v>
      </c>
      <c r="D44" s="330">
        <f>'[3]Falhas UM-3-1 Qty'!Z44</f>
        <v>49.156143002756849</v>
      </c>
      <c r="E44" s="341">
        <f>'Prod &amp; Defects - Qty'!F$6*'Falhas UM-3-1 Qty'!$D44/1000000</f>
        <v>159.62937672984421</v>
      </c>
      <c r="F44" s="341">
        <f>'Prod &amp; Defects - Qty'!G$6*'Falhas UM-3-1 Qty'!$D44/1000000</f>
        <v>167.06272122379454</v>
      </c>
      <c r="G44" s="341">
        <f>'Prod &amp; Defects - Qty'!H$6*'Falhas UM-3-1 Qty'!$D44/1000000</f>
        <v>160.7785802326546</v>
      </c>
      <c r="H44" s="341">
        <f>'Prod &amp; Defects - Qty'!I$6*'Falhas UM-3-1 Qty'!$D44/1000000</f>
        <v>161.81802200559184</v>
      </c>
      <c r="I44" s="341">
        <f>'Prod &amp; Defects - Qty'!J$6*'Falhas UM-3-1 Qty'!$D44/1000000</f>
        <v>163.79484757817059</v>
      </c>
      <c r="J44" s="341">
        <f>'Prod &amp; Defects - Qty'!K$6*'Falhas UM-3-1 Qty'!$D44/1000000</f>
        <v>186.23171819530634</v>
      </c>
      <c r="K44" s="341">
        <f>'Prod &amp; Defects - Qty'!L$6*'Falhas UM-3-1 Qty'!$D44/1000000</f>
        <v>183.94104371445889</v>
      </c>
      <c r="L44" s="341">
        <f>'Prod &amp; Defects - Qty'!M$6*'Falhas UM-3-1 Qty'!$D44/1000000</f>
        <v>184.03752620322018</v>
      </c>
      <c r="M44" s="341">
        <f>'Prod &amp; Defects - Qty'!N$6*'Falhas UM-3-1 Qty'!$D44/1000000</f>
        <v>175.10639170163796</v>
      </c>
      <c r="N44" s="341">
        <f>'Prod &amp; Defects - Qty'!O$6*'Falhas UM-3-1 Qty'!$D44/1000000</f>
        <v>135.80012218903605</v>
      </c>
      <c r="O44" s="341">
        <f>'Prod &amp; Defects - Qty'!P$6*'Falhas UM-3-1 Qty'!$D44/1000000</f>
        <v>130.34350032097683</v>
      </c>
      <c r="P44" s="341">
        <f>'Prod &amp; Defects - Qty'!Q$6*'Falhas UM-3-1 Qty'!$D44/1000000</f>
        <v>165.2609623119458</v>
      </c>
      <c r="Q44" s="798">
        <f t="shared" si="1"/>
        <v>999.31526596536207</v>
      </c>
      <c r="R44" s="798">
        <f>Q44/SUM('Prod &amp; Defects - Qty'!$F$6:$K$6)*1000000</f>
        <v>49.156143002756849</v>
      </c>
      <c r="S44" s="798">
        <f t="shared" si="2"/>
        <v>974.48954644127571</v>
      </c>
      <c r="T44" s="798">
        <f>S44/SUM('Prod &amp; Defects - Qty'!$L$6:$Q$6)*1000000</f>
        <v>49.156143002756849</v>
      </c>
      <c r="U44" s="798">
        <f t="shared" si="3"/>
        <v>1973.8048124066377</v>
      </c>
      <c r="V44" s="798">
        <f>U44/'Prod &amp; Defects - Qty'!$R$6*1000000</f>
        <v>49.156143002756849</v>
      </c>
      <c r="W44" s="798">
        <f t="shared" si="10"/>
        <v>46.698335852619003</v>
      </c>
      <c r="X44" s="798">
        <f t="shared" si="10"/>
        <v>44.363419059988054</v>
      </c>
      <c r="Y44" s="798">
        <f t="shared" si="4"/>
        <v>45.530877456303529</v>
      </c>
      <c r="Z44" s="798">
        <f t="shared" si="12"/>
        <v>45.530877456303529</v>
      </c>
    </row>
    <row r="45" spans="1:26" ht="18" customHeight="1">
      <c r="A45" s="1002"/>
      <c r="B45" s="82">
        <f t="shared" si="13"/>
        <v>3290</v>
      </c>
      <c r="C45" s="83" t="s">
        <v>13</v>
      </c>
      <c r="D45" s="330">
        <f>'[3]Falhas UM-3-1 Qty'!Z45</f>
        <v>52.38686012049628</v>
      </c>
      <c r="E45" s="341">
        <f>'Prod &amp; Defects - Qty'!F$6*'Falhas UM-3-1 Qty'!$D45/1000000</f>
        <v>170.12078896017849</v>
      </c>
      <c r="F45" s="341">
        <f>'Prod &amp; Defects - Qty'!G$6*'Falhas UM-3-1 Qty'!$D45/1000000</f>
        <v>178.04267937802916</v>
      </c>
      <c r="G45" s="341">
        <f>'Prod &amp; Defects - Qty'!H$6*'Falhas UM-3-1 Qty'!$D45/1000000</f>
        <v>171.34552221779668</v>
      </c>
      <c r="H45" s="341">
        <f>'Prod &amp; Defects - Qty'!I$6*'Falhas UM-3-1 Qty'!$D45/1000000</f>
        <v>172.45327981300122</v>
      </c>
      <c r="I45" s="341">
        <f>'Prod &amp; Defects - Qty'!J$6*'Falhas UM-3-1 Qty'!$D45/1000000</f>
        <v>174.56002941594497</v>
      </c>
      <c r="J45" s="341">
        <f>'Prod &amp; Defects - Qty'!K$6*'Falhas UM-3-1 Qty'!$D45/1000000</f>
        <v>198.4715312295767</v>
      </c>
      <c r="K45" s="341">
        <f>'Prod &amp; Defects - Qty'!L$6*'Falhas UM-3-1 Qty'!$D45/1000000</f>
        <v>196.03030544823304</v>
      </c>
      <c r="L45" s="341">
        <f>'Prod &amp; Defects - Qty'!M$6*'Falhas UM-3-1 Qty'!$D45/1000000</f>
        <v>196.13312911042584</v>
      </c>
      <c r="M45" s="341">
        <f>'Prod &amp; Defects - Qty'!N$6*'Falhas UM-3-1 Qty'!$D45/1000000</f>
        <v>186.6150085812076</v>
      </c>
      <c r="N45" s="341">
        <f>'Prod &amp; Defects - Qty'!O$6*'Falhas UM-3-1 Qty'!$D45/1000000</f>
        <v>144.72539078308785</v>
      </c>
      <c r="O45" s="341">
        <f>'Prod &amp; Defects - Qty'!P$6*'Falhas UM-3-1 Qty'!$D45/1000000</f>
        <v>138.91014025546963</v>
      </c>
      <c r="P45" s="341">
        <f>'Prod &amp; Defects - Qty'!Q$6*'Falhas UM-3-1 Qty'!$D45/1000000</f>
        <v>176.1225024414338</v>
      </c>
      <c r="Q45" s="798">
        <f t="shared" si="1"/>
        <v>1064.9938310145271</v>
      </c>
      <c r="R45" s="798">
        <f>Q45/SUM('Prod &amp; Defects - Qty'!$F$6:$K$6)*1000000</f>
        <v>52.386860120496273</v>
      </c>
      <c r="S45" s="798">
        <f t="shared" si="2"/>
        <v>1038.5364766198577</v>
      </c>
      <c r="T45" s="798">
        <f>S45/SUM('Prod &amp; Defects - Qty'!$L$6:$Q$6)*1000000</f>
        <v>52.38686012049628</v>
      </c>
      <c r="U45" s="798">
        <f t="shared" si="3"/>
        <v>2103.5303076343848</v>
      </c>
      <c r="V45" s="798">
        <f>U45/'Prod &amp; Defects - Qty'!$R$6*1000000</f>
        <v>52.386860120496273</v>
      </c>
      <c r="W45" s="798">
        <f t="shared" si="10"/>
        <v>49.76751711447146</v>
      </c>
      <c r="X45" s="798">
        <f t="shared" si="10"/>
        <v>47.279141258747885</v>
      </c>
      <c r="Y45" s="798">
        <f t="shared" si="4"/>
        <v>48.523329186609672</v>
      </c>
      <c r="Z45" s="798">
        <f t="shared" si="12"/>
        <v>48.523329186609672</v>
      </c>
    </row>
    <row r="46" spans="1:26" ht="18" customHeight="1">
      <c r="A46" s="1002"/>
      <c r="B46" s="82">
        <f t="shared" si="13"/>
        <v>3300</v>
      </c>
      <c r="C46" s="83" t="s">
        <v>12</v>
      </c>
      <c r="D46" s="330">
        <f>'[3]Falhas UM-3-1 Qty'!Z46</f>
        <v>5.06533414872544</v>
      </c>
      <c r="E46" s="341">
        <f>'Prod &amp; Defects - Qty'!F$6*'Falhas UM-3-1 Qty'!$D46/1000000</f>
        <v>16.449137049749616</v>
      </c>
      <c r="F46" s="341">
        <f>'Prod &amp; Defects - Qty'!G$6*'Falhas UM-3-1 Qty'!$D46/1000000</f>
        <v>17.215111990101121</v>
      </c>
      <c r="G46" s="341">
        <f>'Prod &amp; Defects - Qty'!H$6*'Falhas UM-3-1 Qty'!$D46/1000000</f>
        <v>16.567557645651412</v>
      </c>
      <c r="H46" s="341">
        <f>'Prod &amp; Defects - Qty'!I$6*'Falhas UM-3-1 Qty'!$D46/1000000</f>
        <v>16.674667756137001</v>
      </c>
      <c r="I46" s="341">
        <f>'Prod &amp; Defects - Qty'!J$6*'Falhas UM-3-1 Qty'!$D46/1000000</f>
        <v>16.878371331462169</v>
      </c>
      <c r="J46" s="341">
        <f>'Prod &amp; Defects - Qty'!K$6*'Falhas UM-3-1 Qty'!$D46/1000000</f>
        <v>19.190396644781366</v>
      </c>
      <c r="K46" s="341">
        <f>'Prod &amp; Defects - Qty'!L$6*'Falhas UM-3-1 Qty'!$D46/1000000</f>
        <v>18.954352257189772</v>
      </c>
      <c r="L46" s="341">
        <f>'Prod &amp; Defects - Qty'!M$6*'Falhas UM-3-1 Qty'!$D46/1000000</f>
        <v>18.96429437256382</v>
      </c>
      <c r="M46" s="341">
        <f>'Prod &amp; Defects - Qty'!N$6*'Falhas UM-3-1 Qty'!$D46/1000000</f>
        <v>18.043978460569114</v>
      </c>
      <c r="N46" s="341">
        <f>'Prod &amp; Defects - Qty'!O$6*'Falhas UM-3-1 Qty'!$D46/1000000</f>
        <v>13.993632419179699</v>
      </c>
      <c r="O46" s="341">
        <f>'Prod &amp; Defects - Qty'!P$6*'Falhas UM-3-1 Qty'!$D46/1000000</f>
        <v>13.431350445929436</v>
      </c>
      <c r="P46" s="341">
        <f>'Prod &amp; Defects - Qty'!Q$6*'Falhas UM-3-1 Qty'!$D46/1000000</f>
        <v>17.02944829912671</v>
      </c>
      <c r="Q46" s="798">
        <f t="shared" si="1"/>
        <v>102.9752424178827</v>
      </c>
      <c r="R46" s="798">
        <f>Q46/SUM('Prod &amp; Defects - Qty'!$F$6:$K$6)*1000000</f>
        <v>5.0653341487254409</v>
      </c>
      <c r="S46" s="798">
        <f t="shared" si="2"/>
        <v>100.41705625455856</v>
      </c>
      <c r="T46" s="798">
        <f>S46/SUM('Prod &amp; Defects - Qty'!$L$6:$Q$6)*1000000</f>
        <v>5.0653341487254409</v>
      </c>
      <c r="U46" s="798">
        <f t="shared" si="3"/>
        <v>203.39229867244126</v>
      </c>
      <c r="V46" s="798">
        <f>U46/'Prod &amp; Defects - Qty'!$R$6*1000000</f>
        <v>5.0653341487254409</v>
      </c>
      <c r="W46" s="798">
        <f t="shared" si="10"/>
        <v>4.8120674412891686</v>
      </c>
      <c r="X46" s="798">
        <f t="shared" si="10"/>
        <v>4.5714640692247102</v>
      </c>
      <c r="Y46" s="798">
        <f t="shared" si="4"/>
        <v>4.6917657552569398</v>
      </c>
      <c r="Z46" s="798">
        <f t="shared" si="12"/>
        <v>4.6917657552569398</v>
      </c>
    </row>
    <row r="47" spans="1:26" ht="18" customHeight="1">
      <c r="A47" s="1002"/>
      <c r="B47" s="82">
        <f t="shared" si="13"/>
        <v>3310</v>
      </c>
      <c r="C47" s="83" t="s">
        <v>133</v>
      </c>
      <c r="D47" s="330">
        <f>'[3]Falhas UM-3-1 Qty'!Z47</f>
        <v>66.099022574009552</v>
      </c>
      <c r="E47" s="341">
        <f>'Prod &amp; Defects - Qty'!F$6*'Falhas UM-3-1 Qty'!$D47/1000000</f>
        <v>214.6495866315079</v>
      </c>
      <c r="F47" s="341">
        <f>'Prod &amp; Defects - Qty'!G$6*'Falhas UM-3-1 Qty'!$D47/1000000</f>
        <v>224.6450170190885</v>
      </c>
      <c r="G47" s="341">
        <f>'Prod &amp; Defects - Qty'!H$6*'Falhas UM-3-1 Qty'!$D47/1000000</f>
        <v>216.19489152392256</v>
      </c>
      <c r="H47" s="341">
        <f>'Prod &amp; Defects - Qty'!I$6*'Falhas UM-3-1 Qty'!$D47/1000000</f>
        <v>217.59260259352163</v>
      </c>
      <c r="I47" s="341">
        <f>'Prod &amp; Defects - Qty'!J$6*'Falhas UM-3-1 Qty'!$D47/1000000</f>
        <v>220.25078995658293</v>
      </c>
      <c r="J47" s="341">
        <f>'Prod &amp; Defects - Qty'!K$6*'Falhas UM-3-1 Qty'!$D47/1000000</f>
        <v>250.42108255519079</v>
      </c>
      <c r="K47" s="341">
        <f>'Prod &amp; Defects - Qty'!L$6*'Falhas UM-3-1 Qty'!$D47/1000000</f>
        <v>247.34087050090594</v>
      </c>
      <c r="L47" s="341">
        <f>'Prod &amp; Defects - Qty'!M$6*'Falhas UM-3-1 Qty'!$D47/1000000</f>
        <v>247.47060806396638</v>
      </c>
      <c r="M47" s="341">
        <f>'Prod &amp; Defects - Qty'!N$6*'Falhas UM-3-1 Qty'!$D47/1000000</f>
        <v>235.4611373250093</v>
      </c>
      <c r="N47" s="341">
        <f>'Prod &amp; Defects - Qty'!O$6*'Falhas UM-3-1 Qty'!$D47/1000000</f>
        <v>182.6069905774122</v>
      </c>
      <c r="O47" s="341">
        <f>'Prod &amp; Defects - Qty'!P$6*'Falhas UM-3-1 Qty'!$D47/1000000</f>
        <v>175.2696091230851</v>
      </c>
      <c r="P47" s="341">
        <f>'Prod &amp; Defects - Qty'!Q$6*'Falhas UM-3-1 Qty'!$D47/1000000</f>
        <v>222.22223736811924</v>
      </c>
      <c r="Q47" s="798">
        <f t="shared" si="1"/>
        <v>1343.7539702798144</v>
      </c>
      <c r="R47" s="798">
        <f>Q47/SUM('Prod &amp; Defects - Qty'!$F$6:$K$6)*1000000</f>
        <v>66.099022574009567</v>
      </c>
      <c r="S47" s="798">
        <f t="shared" si="2"/>
        <v>1310.3714529584981</v>
      </c>
      <c r="T47" s="798">
        <f>S47/SUM('Prod &amp; Defects - Qty'!$L$6:$Q$6)*1000000</f>
        <v>66.099022574009552</v>
      </c>
      <c r="U47" s="798">
        <f t="shared" si="3"/>
        <v>2654.1254232383126</v>
      </c>
      <c r="V47" s="798">
        <f>U47/'Prod &amp; Defects - Qty'!$R$6*1000000</f>
        <v>66.099022574009552</v>
      </c>
      <c r="W47" s="798">
        <f t="shared" ref="W47:X57" si="14">V47*Redutor</f>
        <v>62.794071445309072</v>
      </c>
      <c r="X47" s="798">
        <f t="shared" si="14"/>
        <v>59.654367873043618</v>
      </c>
      <c r="Y47" s="798">
        <f t="shared" si="4"/>
        <v>61.224219659176342</v>
      </c>
      <c r="Z47" s="798">
        <f t="shared" si="12"/>
        <v>61.224219659176342</v>
      </c>
    </row>
    <row r="48" spans="1:26" ht="18" customHeight="1">
      <c r="A48" s="1002"/>
      <c r="B48" s="82">
        <f t="shared" si="13"/>
        <v>3320</v>
      </c>
      <c r="C48" s="83" t="s">
        <v>11</v>
      </c>
      <c r="D48" s="330">
        <f>'[3]Falhas UM-3-1 Qty'!Z48</f>
        <v>97.075779064921022</v>
      </c>
      <c r="E48" s="341">
        <f>'Prod &amp; Defects - Qty'!F$6*'Falhas UM-3-1 Qty'!$D48/1000000</f>
        <v>315.24332791586852</v>
      </c>
      <c r="F48" s="341">
        <f>'Prod &amp; Defects - Qty'!G$6*'Falhas UM-3-1 Qty'!$D48/1000000</f>
        <v>329.9230335178255</v>
      </c>
      <c r="G48" s="341">
        <f>'Prod &amp; Defects - Qty'!H$6*'Falhas UM-3-1 Qty'!$D48/1000000</f>
        <v>317.51282707761516</v>
      </c>
      <c r="H48" s="341">
        <f>'Prod &amp; Defects - Qty'!I$6*'Falhas UM-3-1 Qty'!$D48/1000000</f>
        <v>319.5655638005685</v>
      </c>
      <c r="I48" s="341">
        <f>'Prod &amp; Defects - Qty'!J$6*'Falhas UM-3-1 Qty'!$D48/1000000</f>
        <v>323.469488535322</v>
      </c>
      <c r="J48" s="341">
        <f>'Prod &amp; Defects - Qty'!K$6*'Falhas UM-3-1 Qty'!$D48/1000000</f>
        <v>367.77883751770918</v>
      </c>
      <c r="K48" s="341">
        <f>'Prod &amp; Defects - Qty'!L$6*'Falhas UM-3-1 Qty'!$D48/1000000</f>
        <v>363.25510973459308</v>
      </c>
      <c r="L48" s="341">
        <f>'Prod &amp; Defects - Qty'!M$6*'Falhas UM-3-1 Qty'!$D48/1000000</f>
        <v>363.44564772619469</v>
      </c>
      <c r="M48" s="341">
        <f>'Prod &amp; Defects - Qty'!N$6*'Falhas UM-3-1 Qty'!$D48/1000000</f>
        <v>345.80803853407264</v>
      </c>
      <c r="N48" s="341">
        <f>'Prod &amp; Defects - Qty'!O$6*'Falhas UM-3-1 Qty'!$D48/1000000</f>
        <v>268.18423605515181</v>
      </c>
      <c r="O48" s="341">
        <f>'Prod &amp; Defects - Qty'!P$6*'Falhas UM-3-1 Qty'!$D48/1000000</f>
        <v>257.40825188416375</v>
      </c>
      <c r="P48" s="341">
        <f>'Prod &amp; Defects - Qty'!Q$6*'Falhas UM-3-1 Qty'!$D48/1000000</f>
        <v>326.36483835908263</v>
      </c>
      <c r="Q48" s="798">
        <f t="shared" si="1"/>
        <v>1973.4930783649088</v>
      </c>
      <c r="R48" s="798">
        <f>Q48/SUM('Prod &amp; Defects - Qty'!$F$6:$K$6)*1000000</f>
        <v>97.075779064921022</v>
      </c>
      <c r="S48" s="798">
        <f t="shared" si="2"/>
        <v>1924.4661222932586</v>
      </c>
      <c r="T48" s="798">
        <f>S48/SUM('Prod &amp; Defects - Qty'!$L$6:$Q$6)*1000000</f>
        <v>97.075779064921022</v>
      </c>
      <c r="U48" s="798">
        <f t="shared" si="3"/>
        <v>3897.9592006581674</v>
      </c>
      <c r="V48" s="798">
        <f>U48/'Prod &amp; Defects - Qty'!$R$6*1000000</f>
        <v>97.075779064921022</v>
      </c>
      <c r="W48" s="798">
        <f t="shared" si="14"/>
        <v>92.22199011167497</v>
      </c>
      <c r="X48" s="798">
        <f t="shared" si="14"/>
        <v>87.610890606091218</v>
      </c>
      <c r="Y48" s="798">
        <f t="shared" si="4"/>
        <v>89.916440358883094</v>
      </c>
      <c r="Z48" s="798">
        <f t="shared" si="12"/>
        <v>89.916440358883094</v>
      </c>
    </row>
    <row r="49" spans="1:26" ht="18" customHeight="1">
      <c r="A49" s="1002"/>
      <c r="B49" s="82">
        <f t="shared" si="13"/>
        <v>3330</v>
      </c>
      <c r="C49" s="83" t="s">
        <v>6</v>
      </c>
      <c r="D49" s="330">
        <f>'[3]Falhas UM-3-1 Qty'!Z49</f>
        <v>82.945465709852684</v>
      </c>
      <c r="E49" s="341">
        <f>'Prod &amp; Defects - Qty'!F$6*'Falhas UM-3-1 Qty'!$D49/1000000</f>
        <v>269.35662940617357</v>
      </c>
      <c r="F49" s="341">
        <f>'Prod &amp; Defects - Qty'!G$6*'Falhas UM-3-1 Qty'!$D49/1000000</f>
        <v>281.89956266271287</v>
      </c>
      <c r="G49" s="341">
        <f>'Prod &amp; Defects - Qty'!H$6*'Falhas UM-3-1 Qty'!$D49/1000000</f>
        <v>271.29578113601241</v>
      </c>
      <c r="H49" s="341">
        <f>'Prod &amp; Defects - Qty'!I$6*'Falhas UM-3-1 Qty'!$D49/1000000</f>
        <v>273.04972228492886</v>
      </c>
      <c r="I49" s="341">
        <f>'Prod &amp; Defects - Qty'!J$6*'Falhas UM-3-1 Qty'!$D49/1000000</f>
        <v>276.38539322508979</v>
      </c>
      <c r="J49" s="341">
        <f>'Prod &amp; Defects - Qty'!K$6*'Falhas UM-3-1 Qty'!$D49/1000000</f>
        <v>314.24509027873495</v>
      </c>
      <c r="K49" s="341">
        <f>'Prod &amp; Defects - Qty'!L$6*'Falhas UM-3-1 Qty'!$D49/1000000</f>
        <v>310.37983458540458</v>
      </c>
      <c r="L49" s="341">
        <f>'Prod &amp; Defects - Qty'!M$6*'Falhas UM-3-1 Qty'!$D49/1000000</f>
        <v>310.54263793966084</v>
      </c>
      <c r="M49" s="341">
        <f>'Prod &amp; Defects - Qty'!N$6*'Falhas UM-3-1 Qty'!$D49/1000000</f>
        <v>295.47235241075913</v>
      </c>
      <c r="N49" s="341">
        <f>'Prod &amp; Defects - Qty'!O$6*'Falhas UM-3-1 Qty'!$D49/1000000</f>
        <v>229.14744099822414</v>
      </c>
      <c r="O49" s="341">
        <f>'Prod &amp; Defects - Qty'!P$6*'Falhas UM-3-1 Qty'!$D49/1000000</f>
        <v>219.94000497088257</v>
      </c>
      <c r="P49" s="341">
        <f>'Prod &amp; Defects - Qty'!Q$6*'Falhas UM-3-1 Qty'!$D49/1000000</f>
        <v>278.85929703341418</v>
      </c>
      <c r="Q49" s="798">
        <f t="shared" si="1"/>
        <v>1686.2321789936525</v>
      </c>
      <c r="R49" s="798">
        <f>Q49/SUM('Prod &amp; Defects - Qty'!$F$6:$K$6)*1000000</f>
        <v>82.945465709852698</v>
      </c>
      <c r="S49" s="798">
        <f t="shared" si="2"/>
        <v>1644.3415679383454</v>
      </c>
      <c r="T49" s="798">
        <f>S49/SUM('Prod &amp; Defects - Qty'!$L$6:$Q$6)*1000000</f>
        <v>82.945465709852684</v>
      </c>
      <c r="U49" s="798">
        <f t="shared" si="3"/>
        <v>3330.5737469319979</v>
      </c>
      <c r="V49" s="798">
        <f>U49/'Prod &amp; Defects - Qty'!$R$6*1000000</f>
        <v>82.945465709852684</v>
      </c>
      <c r="W49" s="798">
        <f t="shared" si="14"/>
        <v>78.798192424360039</v>
      </c>
      <c r="X49" s="798">
        <f t="shared" si="14"/>
        <v>74.858282803142032</v>
      </c>
      <c r="Y49" s="798">
        <f t="shared" si="4"/>
        <v>76.828237613751043</v>
      </c>
      <c r="Z49" s="798">
        <f t="shared" si="12"/>
        <v>76.828237613751043</v>
      </c>
    </row>
    <row r="50" spans="1:26" ht="18" customHeight="1">
      <c r="A50" s="1002"/>
      <c r="B50" s="97"/>
      <c r="C50" s="98" t="s">
        <v>1</v>
      </c>
      <c r="D50" s="336">
        <f>'[3]Falhas UM-3-1 Qty'!Z50</f>
        <v>433.04874827611081</v>
      </c>
      <c r="E50" s="345">
        <f>SUBTOTAL(109,E38:E49)</f>
        <v>1406.2800203237646</v>
      </c>
      <c r="F50" s="345">
        <f t="shared" ref="F50:P50" si="15">SUBTOTAL(109,F38:F49)</f>
        <v>1471.7652340117015</v>
      </c>
      <c r="G50" s="345">
        <f t="shared" si="15"/>
        <v>1416.4041087490637</v>
      </c>
      <c r="H50" s="345">
        <f t="shared" si="15"/>
        <v>1425.5612340070629</v>
      </c>
      <c r="I50" s="345">
        <f t="shared" si="15"/>
        <v>1442.9763888070934</v>
      </c>
      <c r="J50" s="345">
        <f t="shared" si="15"/>
        <v>1640.6375180669449</v>
      </c>
      <c r="K50" s="345">
        <f t="shared" si="15"/>
        <v>1620.4574621056099</v>
      </c>
      <c r="L50" s="345">
        <f t="shared" si="15"/>
        <v>1621.3074397164714</v>
      </c>
      <c r="M50" s="345">
        <f t="shared" si="15"/>
        <v>1542.6272101390846</v>
      </c>
      <c r="N50" s="345">
        <f t="shared" si="15"/>
        <v>1196.3524665962257</v>
      </c>
      <c r="O50" s="345">
        <f t="shared" si="15"/>
        <v>1148.2815007833351</v>
      </c>
      <c r="P50" s="345">
        <f t="shared" si="15"/>
        <v>1455.8923564055865</v>
      </c>
      <c r="Q50" s="801">
        <f t="shared" si="1"/>
        <v>8803.6245039656314</v>
      </c>
      <c r="R50" s="801">
        <f>Q50/SUM('Prod &amp; Defects - Qty'!$F$6:$K$6)*1000000</f>
        <v>433.04874827611087</v>
      </c>
      <c r="S50" s="801">
        <f t="shared" si="2"/>
        <v>8584.9184357463128</v>
      </c>
      <c r="T50" s="801">
        <f>S50/SUM('Prod &amp; Defects - Qty'!$L$6:$Q$6)*1000000</f>
        <v>433.04874827611076</v>
      </c>
      <c r="U50" s="801">
        <f t="shared" si="3"/>
        <v>17388.542939711944</v>
      </c>
      <c r="V50" s="801">
        <f>U50/'Prod &amp; Defects - Qty'!$R$6*1000000</f>
        <v>433.04874827611081</v>
      </c>
      <c r="W50" s="801">
        <f t="shared" si="14"/>
        <v>411.39631086230526</v>
      </c>
      <c r="X50" s="801">
        <f t="shared" si="14"/>
        <v>390.82649531918997</v>
      </c>
      <c r="Y50" s="801">
        <f t="shared" si="4"/>
        <v>401.11140309074761</v>
      </c>
      <c r="Z50" s="801">
        <f>SUM(Z38:Z49)</f>
        <v>401.11140309074767</v>
      </c>
    </row>
    <row r="51" spans="1:26" ht="18" customHeight="1">
      <c r="A51" s="1002"/>
      <c r="B51" s="82">
        <f>B49+10</f>
        <v>3340</v>
      </c>
      <c r="C51" s="83" t="s">
        <v>2</v>
      </c>
      <c r="D51" s="330">
        <f>'[3]Falhas UM-3-1 Qty'!Z51</f>
        <v>589.86825897508936</v>
      </c>
      <c r="E51" s="340">
        <f>'Prod &amp; Defects - Qty'!F$6*'Falhas UM-3-1 Qty'!$D51/1000000</f>
        <v>1915.5347995393172</v>
      </c>
      <c r="F51" s="340">
        <f>'Prod &amp; Defects - Qty'!G$6*'Falhas UM-3-1 Qty'!$D51/1000000</f>
        <v>2004.7341082556793</v>
      </c>
      <c r="G51" s="340">
        <f>'Prod &amp; Defects - Qty'!H$6*'Falhas UM-3-1 Qty'!$D51/1000000</f>
        <v>1929.3251139944773</v>
      </c>
      <c r="H51" s="340">
        <f>'Prod &amp; Defects - Qty'!I$6*'Falhas UM-3-1 Qty'!$D51/1000000</f>
        <v>1941.7982998763332</v>
      </c>
      <c r="I51" s="340">
        <f>'Prod &amp; Defects - Qty'!J$6*'Falhas UM-3-1 Qty'!$D51/1000000</f>
        <v>1965.5199872904386</v>
      </c>
      <c r="J51" s="340">
        <f>'Prod &amp; Defects - Qty'!K$6*'Falhas UM-3-1 Qty'!$D51/1000000</f>
        <v>2234.7599438719985</v>
      </c>
      <c r="K51" s="340">
        <f>'Prod &amp; Defects - Qty'!L$6*'Falhas UM-3-1 Qty'!$D51/1000000</f>
        <v>2207.2721044005334</v>
      </c>
      <c r="L51" s="340">
        <f>'Prod &amp; Defects - Qty'!M$6*'Falhas UM-3-1 Qty'!$D51/1000000</f>
        <v>2208.4298835546874</v>
      </c>
      <c r="M51" s="340">
        <f>'Prod &amp; Defects - Qty'!N$6*'Falhas UM-3-1 Qty'!$D51/1000000</f>
        <v>2101.2572610235584</v>
      </c>
      <c r="N51" s="340">
        <f>'Prod &amp; Defects - Qty'!O$6*'Falhas UM-3-1 Qty'!$D51/1000000</f>
        <v>1629.5863904488717</v>
      </c>
      <c r="O51" s="340">
        <f>'Prod &amp; Defects - Qty'!P$6*'Falhas UM-3-1 Qty'!$D51/1000000</f>
        <v>1564.107533797792</v>
      </c>
      <c r="P51" s="340">
        <f>'Prod &amp; Defects - Qty'!Q$6*'Falhas UM-3-1 Qty'!$D51/1000000</f>
        <v>1983.1132013353483</v>
      </c>
      <c r="Q51" s="145">
        <f t="shared" si="1"/>
        <v>11991.672252828244</v>
      </c>
      <c r="R51" s="145">
        <f>Q51/SUM('Prod &amp; Defects - Qty'!$F$6:$K$6)*1000000</f>
        <v>589.86825897508947</v>
      </c>
      <c r="S51" s="145">
        <f t="shared" si="2"/>
        <v>11693.766374560792</v>
      </c>
      <c r="T51" s="145">
        <f>S51/SUM('Prod &amp; Defects - Qty'!$L$6:$Q$6)*1000000</f>
        <v>589.86825897508936</v>
      </c>
      <c r="U51" s="145">
        <f t="shared" si="3"/>
        <v>23685.438627389034</v>
      </c>
      <c r="V51" s="145">
        <f>U51/'Prod &amp; Defects - Qty'!$R$6*1000000</f>
        <v>589.86825897508936</v>
      </c>
      <c r="W51" s="145">
        <f t="shared" si="14"/>
        <v>560.37484602633492</v>
      </c>
      <c r="X51" s="145">
        <f t="shared" si="14"/>
        <v>532.3561037250181</v>
      </c>
      <c r="Y51" s="145">
        <f t="shared" si="4"/>
        <v>546.36547487567645</v>
      </c>
      <c r="Z51" s="145">
        <f t="shared" ref="Z51:Z54" si="16">Y51*$AA$7</f>
        <v>546.36547487567645</v>
      </c>
    </row>
    <row r="52" spans="1:26" ht="18" customHeight="1">
      <c r="A52" s="1002"/>
      <c r="B52" s="97">
        <f>B51+10</f>
        <v>3350</v>
      </c>
      <c r="C52" s="100" t="s">
        <v>60</v>
      </c>
      <c r="D52" s="337">
        <f>'[3]Falhas UM-3-1 Qty'!Z52</f>
        <v>67.024501424781633</v>
      </c>
      <c r="E52" s="346">
        <f>'Prod &amp; Defects - Qty'!F$6*'Falhas UM-3-1 Qty'!$D52/1000000</f>
        <v>217.65498134111959</v>
      </c>
      <c r="F52" s="346">
        <f>'Prod &amp; Defects - Qty'!G$6*'Falhas UM-3-1 Qty'!$D52/1000000</f>
        <v>227.79036174713971</v>
      </c>
      <c r="G52" s="346">
        <f>'Prod &amp; Defects - Qty'!H$6*'Falhas UM-3-1 Qty'!$D52/1000000</f>
        <v>219.22192266536382</v>
      </c>
      <c r="H52" s="346">
        <f>'Prod &amp; Defects - Qty'!I$6*'Falhas UM-3-1 Qty'!$D52/1000000</f>
        <v>220.63920364665037</v>
      </c>
      <c r="I52" s="346">
        <f>'Prod &amp; Defects - Qty'!J$6*'Falhas UM-3-1 Qty'!$D52/1000000</f>
        <v>223.33460935410019</v>
      </c>
      <c r="J52" s="346">
        <f>'Prod &amp; Defects - Qty'!K$6*'Falhas UM-3-1 Qty'!$D52/1000000</f>
        <v>253.92732828572008</v>
      </c>
      <c r="K52" s="346">
        <f>'Prod &amp; Defects - Qty'!L$6*'Falhas UM-3-1 Qty'!$D52/1000000</f>
        <v>250.8039889505599</v>
      </c>
      <c r="L52" s="346">
        <f>'Prod &amp; Defects - Qty'!M$6*'Falhas UM-3-1 Qty'!$D52/1000000</f>
        <v>250.93554302112813</v>
      </c>
      <c r="M52" s="346">
        <f>'Prod &amp; Defects - Qty'!N$6*'Falhas UM-3-1 Qty'!$D52/1000000</f>
        <v>238.75792287927439</v>
      </c>
      <c r="N52" s="346">
        <f>'Prod &amp; Defects - Qty'!O$6*'Falhas UM-3-1 Qty'!$D52/1000000</f>
        <v>185.16374408452054</v>
      </c>
      <c r="O52" s="346">
        <f>'Prod &amp; Defects - Qty'!P$6*'Falhas UM-3-1 Qty'!$D52/1000000</f>
        <v>177.72362901793127</v>
      </c>
      <c r="P52" s="346">
        <f>'Prod &amp; Defects - Qty'!Q$6*'Falhas UM-3-1 Qty'!$D52/1000000</f>
        <v>225.3336597893082</v>
      </c>
      <c r="Q52" s="802">
        <f t="shared" si="1"/>
        <v>1362.5684070400937</v>
      </c>
      <c r="R52" s="802">
        <f>Q52/SUM('Prod &amp; Defects - Qty'!$F$6:$K$6)*1000000</f>
        <v>67.024501424781633</v>
      </c>
      <c r="S52" s="802">
        <f t="shared" si="2"/>
        <v>1328.7184877427226</v>
      </c>
      <c r="T52" s="802">
        <f>S52/SUM('Prod &amp; Defects - Qty'!$L$6:$Q$6)*1000000</f>
        <v>67.024501424781633</v>
      </c>
      <c r="U52" s="802">
        <f t="shared" si="3"/>
        <v>2691.2868947828165</v>
      </c>
      <c r="V52" s="802">
        <f>U52/'Prod &amp; Defects - Qty'!$R$6*1000000</f>
        <v>67.024501424781633</v>
      </c>
      <c r="W52" s="802">
        <f t="shared" si="14"/>
        <v>63.673276353542548</v>
      </c>
      <c r="X52" s="802">
        <f t="shared" si="14"/>
        <v>60.489612535865419</v>
      </c>
      <c r="Y52" s="802">
        <f t="shared" si="4"/>
        <v>62.081444444703983</v>
      </c>
      <c r="Z52" s="802">
        <f t="shared" si="16"/>
        <v>62.081444444703983</v>
      </c>
    </row>
    <row r="53" spans="1:26" ht="18" customHeight="1">
      <c r="A53" s="1002"/>
      <c r="B53" s="101">
        <f>B52+10</f>
        <v>3360</v>
      </c>
      <c r="C53" s="80" t="s">
        <v>67</v>
      </c>
      <c r="D53" s="329">
        <f>'[3]Falhas UM-3-1 Qty'!Z53</f>
        <v>0</v>
      </c>
      <c r="E53" s="339">
        <f>'Prod &amp; Defects - Qty'!F$6*'Falhas UM-3-1 Qty'!$D53/1000000</f>
        <v>0</v>
      </c>
      <c r="F53" s="339">
        <f>'Prod &amp; Defects - Qty'!G$6*'Falhas UM-3-1 Qty'!$D53/1000000</f>
        <v>0</v>
      </c>
      <c r="G53" s="339">
        <f>'Prod &amp; Defects - Qty'!H$6*'Falhas UM-3-1 Qty'!$D53/1000000</f>
        <v>0</v>
      </c>
      <c r="H53" s="339">
        <f>'Prod &amp; Defects - Qty'!I$6*'Falhas UM-3-1 Qty'!$D53/1000000</f>
        <v>0</v>
      </c>
      <c r="I53" s="339">
        <f>'Prod &amp; Defects - Qty'!J$6*'Falhas UM-3-1 Qty'!$D53/1000000</f>
        <v>0</v>
      </c>
      <c r="J53" s="339">
        <f>'Prod &amp; Defects - Qty'!K$6*'Falhas UM-3-1 Qty'!$D53/1000000</f>
        <v>0</v>
      </c>
      <c r="K53" s="339">
        <f>'Prod &amp; Defects - Qty'!L$6*'Falhas UM-3-1 Qty'!$D53/1000000</f>
        <v>0</v>
      </c>
      <c r="L53" s="339">
        <f>'Prod &amp; Defects - Qty'!M$6*'Falhas UM-3-1 Qty'!$D53/1000000</f>
        <v>0</v>
      </c>
      <c r="M53" s="339">
        <f>'Prod &amp; Defects - Qty'!N$6*'Falhas UM-3-1 Qty'!$D53/1000000</f>
        <v>0</v>
      </c>
      <c r="N53" s="339">
        <f>'Prod &amp; Defects - Qty'!O$6*'Falhas UM-3-1 Qty'!$D53/1000000</f>
        <v>0</v>
      </c>
      <c r="O53" s="339">
        <f>'Prod &amp; Defects - Qty'!P$6*'Falhas UM-3-1 Qty'!$D53/1000000</f>
        <v>0</v>
      </c>
      <c r="P53" s="339">
        <f>'Prod &amp; Defects - Qty'!Q$6*'Falhas UM-3-1 Qty'!$D53/1000000</f>
        <v>0</v>
      </c>
      <c r="Q53" s="797">
        <f t="shared" si="1"/>
        <v>0</v>
      </c>
      <c r="R53" s="797">
        <f>Q53/SUM('Prod &amp; Defects - Qty'!$F$6:$K$6)*1000000</f>
        <v>0</v>
      </c>
      <c r="S53" s="797">
        <f t="shared" si="2"/>
        <v>0</v>
      </c>
      <c r="T53" s="797">
        <f>S53/SUM('Prod &amp; Defects - Qty'!$L$6:$Q$6)*1000000</f>
        <v>0</v>
      </c>
      <c r="U53" s="797">
        <f t="shared" si="3"/>
        <v>0</v>
      </c>
      <c r="V53" s="797">
        <f>U53/'Prod &amp; Defects - Qty'!$R$6*1000000</f>
        <v>0</v>
      </c>
      <c r="W53" s="797">
        <f t="shared" si="14"/>
        <v>0</v>
      </c>
      <c r="X53" s="797">
        <f t="shared" si="14"/>
        <v>0</v>
      </c>
      <c r="Y53" s="797">
        <f t="shared" si="4"/>
        <v>0</v>
      </c>
      <c r="Z53" s="797">
        <f t="shared" si="16"/>
        <v>0</v>
      </c>
    </row>
    <row r="54" spans="1:26" ht="18" customHeight="1">
      <c r="A54" s="1002"/>
      <c r="B54" s="102">
        <f>B53+10</f>
        <v>3370</v>
      </c>
      <c r="C54" s="91" t="s">
        <v>66</v>
      </c>
      <c r="D54" s="334">
        <f>'[3]Falhas UM-3-1 Qty'!Z54</f>
        <v>13903.48007456857</v>
      </c>
      <c r="E54" s="344">
        <f>'Prod &amp; Defects - Qty'!F$6*'Falhas UM-3-1 Qty'!$D54/1000000</f>
        <v>45150.081416166373</v>
      </c>
      <c r="F54" s="344">
        <f>'Prod &amp; Defects - Qty'!G$6*'Falhas UM-3-1 Qty'!$D54/1000000</f>
        <v>47252.552251871406</v>
      </c>
      <c r="G54" s="344">
        <f>'Prod &amp; Defects - Qty'!H$6*'Falhas UM-3-1 Qty'!$D54/1000000</f>
        <v>45475.125795707143</v>
      </c>
      <c r="H54" s="344">
        <f>'Prod &amp; Defects - Qty'!I$6*'Falhas UM-3-1 Qty'!$D54/1000000</f>
        <v>45769.124817922879</v>
      </c>
      <c r="I54" s="344">
        <f>'Prod &amp; Defects - Qty'!J$6*'Falhas UM-3-1 Qty'!$D54/1000000</f>
        <v>46328.256460080091</v>
      </c>
      <c r="J54" s="344">
        <f>'Prod &amp; Defects - Qty'!K$6*'Falhas UM-3-1 Qty'!$D54/1000000</f>
        <v>52674.372418435982</v>
      </c>
      <c r="K54" s="344">
        <f>'Prod &amp; Defects - Qty'!L$6*'Falhas UM-3-1 Qty'!$D54/1000000</f>
        <v>52026.470751293411</v>
      </c>
      <c r="L54" s="344">
        <f>'Prod &amp; Defects - Qty'!M$6*'Falhas UM-3-1 Qty'!$D54/1000000</f>
        <v>52053.760165761138</v>
      </c>
      <c r="M54" s="344">
        <f>'Prod &amp; Defects - Qty'!N$6*'Falhas UM-3-1 Qty'!$D54/1000000</f>
        <v>49527.649633063811</v>
      </c>
      <c r="N54" s="344">
        <f>'Prod &amp; Defects - Qty'!O$6*'Falhas UM-3-1 Qty'!$D54/1000000</f>
        <v>38410.139153378012</v>
      </c>
      <c r="O54" s="344">
        <f>'Prod &amp; Defects - Qty'!P$6*'Falhas UM-3-1 Qty'!$D54/1000000</f>
        <v>36866.770842061123</v>
      </c>
      <c r="P54" s="344">
        <f>'Prod &amp; Defects - Qty'!Q$6*'Falhas UM-3-1 Qty'!$D54/1000000</f>
        <v>46742.937021712678</v>
      </c>
      <c r="Q54" s="800">
        <f t="shared" si="1"/>
        <v>282649.51316018385</v>
      </c>
      <c r="R54" s="800">
        <f>Q54/SUM('Prod &amp; Defects - Qty'!$F$6:$K$6)*1000000</f>
        <v>13903.480074568568</v>
      </c>
      <c r="S54" s="800">
        <f t="shared" si="2"/>
        <v>275627.72756727017</v>
      </c>
      <c r="T54" s="800">
        <f>S54/SUM('Prod &amp; Defects - Qty'!$L$6:$Q$6)*1000000</f>
        <v>13903.48007456857</v>
      </c>
      <c r="U54" s="800">
        <f t="shared" si="3"/>
        <v>558277.24072745396</v>
      </c>
      <c r="V54" s="800">
        <f>U54/'Prod &amp; Defects - Qty'!$R$6*1000000</f>
        <v>13903.480074568568</v>
      </c>
      <c r="W54" s="800">
        <f t="shared" si="14"/>
        <v>13208.306070840139</v>
      </c>
      <c r="X54" s="800">
        <f t="shared" si="14"/>
        <v>12547.890767298131</v>
      </c>
      <c r="Y54" s="800">
        <f t="shared" si="4"/>
        <v>12878.098419069134</v>
      </c>
      <c r="Z54" s="800">
        <f t="shared" si="16"/>
        <v>12878.098419069134</v>
      </c>
    </row>
    <row r="55" spans="1:26" ht="18" customHeight="1" thickBot="1">
      <c r="A55" s="1003"/>
      <c r="B55" s="103"/>
      <c r="C55" s="104" t="s">
        <v>1</v>
      </c>
      <c r="D55" s="335">
        <f>'[3]Falhas UM-3-1 Qty'!Z55</f>
        <v>656.89276039987101</v>
      </c>
      <c r="E55" s="347">
        <f>SUBTOTAL(109,E51:E52)</f>
        <v>2133.189780880437</v>
      </c>
      <c r="F55" s="347">
        <f t="shared" ref="F55:P55" si="17">SUBTOTAL(109,F51:F52)</f>
        <v>2232.5244700028188</v>
      </c>
      <c r="G55" s="347">
        <f t="shared" si="17"/>
        <v>2148.5470366598411</v>
      </c>
      <c r="H55" s="347">
        <f t="shared" si="17"/>
        <v>2162.4375035229837</v>
      </c>
      <c r="I55" s="347">
        <f t="shared" si="17"/>
        <v>2188.854596644539</v>
      </c>
      <c r="J55" s="347">
        <f t="shared" si="17"/>
        <v>2488.6872721577188</v>
      </c>
      <c r="K55" s="347">
        <f t="shared" si="17"/>
        <v>2458.0760933510933</v>
      </c>
      <c r="L55" s="347">
        <f t="shared" si="17"/>
        <v>2459.3654265758155</v>
      </c>
      <c r="M55" s="347">
        <f t="shared" si="17"/>
        <v>2340.0151839028326</v>
      </c>
      <c r="N55" s="347">
        <f t="shared" si="17"/>
        <v>1814.7501345333922</v>
      </c>
      <c r="O55" s="347">
        <f t="shared" si="17"/>
        <v>1741.8311628157232</v>
      </c>
      <c r="P55" s="347">
        <f t="shared" si="17"/>
        <v>2208.4468611246566</v>
      </c>
      <c r="Q55" s="803">
        <f t="shared" si="1"/>
        <v>13354.240659868339</v>
      </c>
      <c r="R55" s="803">
        <f>Q55/SUM('Prod &amp; Defects - Qty'!$F$6:$K$6)*1000000</f>
        <v>656.89276039987101</v>
      </c>
      <c r="S55" s="803">
        <f t="shared" si="2"/>
        <v>13022.484862303514</v>
      </c>
      <c r="T55" s="803">
        <f>S55/SUM('Prod &amp; Defects - Qty'!$L$6:$Q$6)*1000000</f>
        <v>656.89276039987101</v>
      </c>
      <c r="U55" s="803">
        <f t="shared" si="3"/>
        <v>26376.725522171851</v>
      </c>
      <c r="V55" s="803">
        <f>U55/'Prod &amp; Defects - Qty'!$R$6*1000000</f>
        <v>656.89276039987101</v>
      </c>
      <c r="W55" s="803">
        <f t="shared" si="14"/>
        <v>624.04812237987744</v>
      </c>
      <c r="X55" s="803">
        <f t="shared" si="14"/>
        <v>592.84571626088359</v>
      </c>
      <c r="Y55" s="803">
        <f t="shared" si="4"/>
        <v>608.44691932038052</v>
      </c>
      <c r="Z55" s="803">
        <f>SUM(Z51:Z52)</f>
        <v>608.4469193203804</v>
      </c>
    </row>
    <row r="56" spans="1:26" ht="20.100000000000001" customHeight="1" thickTop="1">
      <c r="A56" s="105"/>
      <c r="B56" s="82"/>
      <c r="C56" s="83"/>
      <c r="D56" s="330">
        <f>'[3]Falhas UM-3-1 Qty'!Z56</f>
        <v>0</v>
      </c>
      <c r="E56" s="340">
        <f>'Prod &amp; Defects - Qty'!F$6*'Falhas UM-3-1 Qty'!$D56/1000000</f>
        <v>0</v>
      </c>
      <c r="F56" s="340"/>
      <c r="G56" s="340"/>
      <c r="H56" s="340"/>
      <c r="I56" s="340"/>
      <c r="J56" s="340"/>
      <c r="K56" s="340"/>
      <c r="L56" s="340"/>
      <c r="M56" s="340"/>
      <c r="N56" s="340"/>
      <c r="O56" s="340"/>
      <c r="P56" s="340"/>
      <c r="Q56" s="145">
        <f t="shared" si="1"/>
        <v>0</v>
      </c>
      <c r="R56" s="145">
        <f>Q56/SUM('Prod &amp; Defects - Qty'!$F$6:$K$6)*1000000</f>
        <v>0</v>
      </c>
      <c r="S56" s="145">
        <f t="shared" si="2"/>
        <v>0</v>
      </c>
      <c r="T56" s="145">
        <f>S56/SUM('Prod &amp; Defects - Qty'!$L$6:$Q$6)*1000000</f>
        <v>0</v>
      </c>
      <c r="U56" s="145">
        <f t="shared" si="3"/>
        <v>0</v>
      </c>
      <c r="V56" s="145">
        <f>U56/'Prod &amp; Defects - Qty'!$R$6*1000000</f>
        <v>0</v>
      </c>
      <c r="W56" s="145">
        <f t="shared" si="14"/>
        <v>0</v>
      </c>
      <c r="X56" s="145">
        <f t="shared" si="14"/>
        <v>0</v>
      </c>
      <c r="Y56" s="145">
        <f t="shared" si="4"/>
        <v>0</v>
      </c>
      <c r="Z56" s="145">
        <f t="shared" ref="Z56:Z57" si="18">Y56*0.9</f>
        <v>0</v>
      </c>
    </row>
    <row r="57" spans="1:26" ht="20.100000000000001" customHeight="1" thickBot="1">
      <c r="A57" s="106"/>
      <c r="B57" s="107"/>
      <c r="C57" s="108" t="s">
        <v>59</v>
      </c>
      <c r="D57" s="338">
        <f>'[3]Falhas UM-3-1 Qty'!Z57</f>
        <v>3130.8658999026993</v>
      </c>
      <c r="E57" s="348"/>
      <c r="F57" s="348"/>
      <c r="G57" s="348"/>
      <c r="H57" s="348"/>
      <c r="I57" s="348"/>
      <c r="J57" s="348"/>
      <c r="K57" s="348"/>
      <c r="L57" s="348"/>
      <c r="M57" s="348"/>
      <c r="N57" s="348"/>
      <c r="O57" s="348"/>
      <c r="P57" s="348"/>
      <c r="Q57" s="804">
        <f t="shared" si="1"/>
        <v>0</v>
      </c>
      <c r="R57" s="804">
        <f>Q57/SUM('Prod &amp; Defects - Qty'!$F$6:$K$6)*1000000</f>
        <v>0</v>
      </c>
      <c r="S57" s="804">
        <f t="shared" si="2"/>
        <v>0</v>
      </c>
      <c r="T57" s="804">
        <f>S57/SUM('Prod &amp; Defects - Qty'!$L$6:$Q$6)*1000000</f>
        <v>0</v>
      </c>
      <c r="U57" s="804">
        <f t="shared" si="3"/>
        <v>0</v>
      </c>
      <c r="V57" s="804">
        <f>U57/'Prod &amp; Defects - Qty'!$R$6*1000000</f>
        <v>0</v>
      </c>
      <c r="W57" s="804">
        <f t="shared" si="14"/>
        <v>0</v>
      </c>
      <c r="X57" s="804">
        <f t="shared" si="14"/>
        <v>0</v>
      </c>
      <c r="Y57" s="804">
        <f t="shared" si="4"/>
        <v>0</v>
      </c>
      <c r="Z57" s="804">
        <f t="shared" si="18"/>
        <v>0</v>
      </c>
    </row>
    <row r="58" spans="1:26">
      <c r="C58" s="110"/>
      <c r="D58" s="110"/>
      <c r="E58" s="110"/>
    </row>
    <row r="59" spans="1:26">
      <c r="C59" s="110" t="s">
        <v>286</v>
      </c>
      <c r="D59" s="110"/>
      <c r="E59" s="263">
        <f>'[14]UM-3 - L1 - Noite'!$AT$109</f>
        <v>4303.0608695652172</v>
      </c>
      <c r="F59" s="263">
        <f>'[15]UM-3 - L1 - Noite'!$AT$109</f>
        <v>1196.09375</v>
      </c>
      <c r="G59" s="263">
        <f>'[16]UM-3 - L1 - Noite'!$AT$109</f>
        <v>1021.5749999999999</v>
      </c>
      <c r="H59" s="263">
        <f>'[17]UM-3 - L1 - Noite'!$AT$109</f>
        <v>2121.6</v>
      </c>
      <c r="I59" s="263">
        <f>'[18]UM-3 - L1 - Noite'!$AT$109</f>
        <v>4196.4285714285716</v>
      </c>
      <c r="J59" s="263">
        <f>'[19]UM-3 - L1 - Noite'!$AT$109</f>
        <v>1929.8500000000001</v>
      </c>
      <c r="K59" s="263">
        <f>'[20]UM-3 - L1 - Noite'!$AT$109</f>
        <v>224</v>
      </c>
      <c r="L59" s="263">
        <f>'[21]UM-3 - L1 - Noite'!$AT$109</f>
        <v>1759.5454545454545</v>
      </c>
      <c r="M59" s="263">
        <f>'[22]UM-3 - L1 - Noite'!$AT$109</f>
        <v>2663.73</v>
      </c>
    </row>
    <row r="60" spans="1:26">
      <c r="C60" s="110" t="s">
        <v>287</v>
      </c>
      <c r="D60" s="110"/>
      <c r="E60" s="263">
        <f>'[14]UM-3 - L1 - Noite'!$AT$110</f>
        <v>312.1391304347826</v>
      </c>
      <c r="F60" s="263">
        <f>'[15]UM-3 - L1 - Noite'!$AT$110</f>
        <v>76.55</v>
      </c>
      <c r="G60" s="263">
        <f>'[16]UM-3 - L1 - Noite'!$AT$110</f>
        <v>212.02500000000001</v>
      </c>
      <c r="H60" s="263">
        <f>'[17]UM-3 - L1 - Noite'!$AT$110</f>
        <v>209.36842105263156</v>
      </c>
      <c r="I60" s="263">
        <f>'[18]UM-3 - L1 - Noite'!$AT$110</f>
        <v>643.45238095238096</v>
      </c>
      <c r="J60" s="263">
        <f>'[19]UM-3 - L1 - Noite'!$AT$110</f>
        <v>197.93333333333334</v>
      </c>
      <c r="K60" s="263">
        <f>'[20]UM-3 - L1 - Noite'!$AT$110</f>
        <v>10.666666666666666</v>
      </c>
      <c r="L60" s="263">
        <f>'[21]UM-3 - L1 - Noite'!$AT$110</f>
        <v>465.02272727272725</v>
      </c>
      <c r="M60" s="263">
        <f>'[22]UM-3 - L1 - Noite'!$AT$110</f>
        <v>313.38</v>
      </c>
    </row>
    <row r="61" spans="1:26" ht="13.5" thickBot="1">
      <c r="C61" s="76" t="s">
        <v>289</v>
      </c>
      <c r="E61" s="76">
        <f>'[14]UM-3 - L1 - Noite'!$AT$7</f>
        <v>4549750</v>
      </c>
      <c r="F61" s="76">
        <f>'[15]UM-3 - L1 - Noite'!$AT$7</f>
        <v>3422300</v>
      </c>
      <c r="G61" s="76">
        <f>'[16]UM-3 - L1 - Noite'!$AT$7</f>
        <v>1665500</v>
      </c>
      <c r="H61" s="76">
        <f>'[17]UM-3 - L1 - Noite'!$AT$7</f>
        <v>3504050</v>
      </c>
      <c r="I61" s="76">
        <f>'[18]UM-3 - L1 - Noite'!$AT$7</f>
        <v>3948600</v>
      </c>
      <c r="J61" s="76">
        <f>'[19]UM-3 - L1 - Noite'!$AT$7</f>
        <v>4555850</v>
      </c>
      <c r="K61" s="76">
        <f>'[20]UM-3 - L1 - Noite'!$AT$7</f>
        <v>517200</v>
      </c>
      <c r="L61" s="76">
        <f>'[21]UM-3 - L1 - Noite'!$AT$7</f>
        <v>4163650</v>
      </c>
      <c r="M61" s="76">
        <f>'[22]UM-3 - L1 - Noite'!$AT$7</f>
        <v>3774300</v>
      </c>
    </row>
    <row r="62" spans="1:26">
      <c r="A62" s="980" t="s">
        <v>254</v>
      </c>
      <c r="B62" s="981"/>
      <c r="C62" s="981"/>
      <c r="D62" s="621" t="s">
        <v>65</v>
      </c>
      <c r="E62" s="637"/>
      <c r="F62" s="637"/>
      <c r="G62" s="637"/>
      <c r="H62" s="637"/>
      <c r="I62" s="637"/>
      <c r="J62" s="637"/>
      <c r="K62" s="637"/>
      <c r="L62" s="637"/>
      <c r="M62" s="637"/>
      <c r="N62" s="637"/>
      <c r="O62" s="637"/>
      <c r="P62" s="637"/>
      <c r="Q62" s="637"/>
      <c r="R62" s="637"/>
      <c r="S62" s="637"/>
      <c r="T62" s="637"/>
      <c r="U62" s="637"/>
      <c r="V62" s="637"/>
      <c r="W62" s="637"/>
      <c r="X62" s="637"/>
      <c r="Y62" s="637"/>
      <c r="Z62" s="637"/>
    </row>
    <row r="63" spans="1:26">
      <c r="A63" s="982"/>
      <c r="B63" s="983"/>
      <c r="C63" s="983"/>
      <c r="D63" s="233" t="s">
        <v>64</v>
      </c>
      <c r="E63" s="638">
        <f t="shared" ref="E63:J63" si="19">E19+E37</f>
        <v>19751.628053373825</v>
      </c>
      <c r="F63" s="638">
        <f t="shared" si="19"/>
        <v>20671.387678104929</v>
      </c>
      <c r="G63" s="638">
        <f t="shared" si="19"/>
        <v>19893.823936175271</v>
      </c>
      <c r="H63" s="638">
        <f t="shared" si="19"/>
        <v>20022.438528945011</v>
      </c>
      <c r="I63" s="638">
        <f t="shared" si="19"/>
        <v>20267.039643325439</v>
      </c>
      <c r="J63" s="638">
        <f t="shared" si="19"/>
        <v>23043.249963693641</v>
      </c>
      <c r="K63" s="638">
        <f t="shared" ref="K63" si="20">K19+K37</f>
        <v>22759.814976575788</v>
      </c>
      <c r="L63" s="638">
        <f t="shared" ref="L63:M63" si="21">L19+L37</f>
        <v>22771.753169098469</v>
      </c>
      <c r="M63" s="638">
        <f t="shared" si="21"/>
        <v>21666.665556882508</v>
      </c>
      <c r="N63" s="638"/>
      <c r="O63" s="638"/>
      <c r="P63" s="638"/>
      <c r="Q63" s="638"/>
      <c r="R63" s="638"/>
      <c r="S63" s="638"/>
      <c r="T63" s="638"/>
      <c r="U63" s="638"/>
      <c r="V63" s="638"/>
      <c r="W63" s="638"/>
      <c r="X63" s="638"/>
      <c r="Y63" s="638"/>
      <c r="Z63" s="638"/>
    </row>
    <row r="64" spans="1:26">
      <c r="A64" s="982"/>
      <c r="B64" s="983"/>
      <c r="C64" s="983"/>
      <c r="D64" s="233" t="s">
        <v>63</v>
      </c>
      <c r="E64" s="638">
        <f t="shared" ref="E64:J64" si="22">E50+E51</f>
        <v>3321.8148198630815</v>
      </c>
      <c r="F64" s="638">
        <f t="shared" si="22"/>
        <v>3476.4993422673806</v>
      </c>
      <c r="G64" s="638">
        <f t="shared" si="22"/>
        <v>3345.729222743541</v>
      </c>
      <c r="H64" s="638">
        <f t="shared" si="22"/>
        <v>3367.3595338833961</v>
      </c>
      <c r="I64" s="638">
        <f t="shared" si="22"/>
        <v>3408.496376097532</v>
      </c>
      <c r="J64" s="638">
        <f t="shared" si="22"/>
        <v>3875.3974619389437</v>
      </c>
      <c r="K64" s="638">
        <f t="shared" ref="K64:L64" si="23">K50+K51</f>
        <v>3827.7295665061433</v>
      </c>
      <c r="L64" s="638">
        <f t="shared" si="23"/>
        <v>3829.7373232711589</v>
      </c>
      <c r="M64" s="638">
        <f t="shared" ref="M64" si="24">M50+M51</f>
        <v>3643.884471162643</v>
      </c>
      <c r="N64" s="638"/>
      <c r="O64" s="638"/>
      <c r="P64" s="638"/>
      <c r="Q64" s="638"/>
      <c r="R64" s="638"/>
      <c r="S64" s="638"/>
      <c r="T64" s="638"/>
      <c r="U64" s="638"/>
      <c r="V64" s="638"/>
      <c r="W64" s="638"/>
      <c r="X64" s="638"/>
      <c r="Y64" s="638"/>
      <c r="Z64" s="638"/>
    </row>
    <row r="65" spans="1:26">
      <c r="A65" s="982"/>
      <c r="B65" s="983"/>
      <c r="C65" s="983"/>
      <c r="D65" s="233" t="s">
        <v>256</v>
      </c>
      <c r="E65" s="638">
        <f t="shared" ref="E65:J65" si="25">SUM(E62:E64)</f>
        <v>23073.442873236905</v>
      </c>
      <c r="F65" s="638">
        <f t="shared" si="25"/>
        <v>24147.887020372309</v>
      </c>
      <c r="G65" s="638">
        <f t="shared" si="25"/>
        <v>23239.55315891881</v>
      </c>
      <c r="H65" s="638">
        <f t="shared" si="25"/>
        <v>23389.798062828406</v>
      </c>
      <c r="I65" s="638">
        <f t="shared" si="25"/>
        <v>23675.536019422972</v>
      </c>
      <c r="J65" s="638">
        <f t="shared" si="25"/>
        <v>26918.647425632586</v>
      </c>
      <c r="K65" s="638">
        <f t="shared" ref="K65" si="26">SUM(K62:K64)</f>
        <v>26587.544543081931</v>
      </c>
      <c r="L65" s="638">
        <f t="shared" ref="L65:M65" si="27">SUM(L62:L64)</f>
        <v>26601.490492369627</v>
      </c>
      <c r="M65" s="638">
        <f t="shared" si="27"/>
        <v>25310.550028045152</v>
      </c>
      <c r="N65" s="638"/>
      <c r="O65" s="638"/>
      <c r="P65" s="638"/>
      <c r="Q65" s="638"/>
      <c r="R65" s="638"/>
      <c r="S65" s="638"/>
      <c r="T65" s="638"/>
      <c r="U65" s="638"/>
      <c r="V65" s="638"/>
      <c r="W65" s="638"/>
      <c r="X65" s="638"/>
      <c r="Y65" s="638"/>
      <c r="Z65" s="638"/>
    </row>
    <row r="66" spans="1:26" ht="13.5" thickBot="1">
      <c r="A66" s="984"/>
      <c r="B66" s="985"/>
      <c r="C66" s="985"/>
      <c r="D66" s="622" t="s">
        <v>257</v>
      </c>
      <c r="E66" s="639">
        <f>E65/'Prod &amp; Defects - Qty'!F6*1000000</f>
        <v>7105.2176026615061</v>
      </c>
      <c r="F66" s="639">
        <f>F65/'Prod &amp; Defects - Qty'!G6*1000000</f>
        <v>7105.217602661507</v>
      </c>
      <c r="G66" s="639">
        <f>G65/'Prod &amp; Defects - Qty'!H6*1000000</f>
        <v>7105.2176026615061</v>
      </c>
      <c r="H66" s="639">
        <f>H65/'Prod &amp; Defects - Qty'!I6*1000000</f>
        <v>7105.2176026615061</v>
      </c>
      <c r="I66" s="639">
        <f>I65/'Prod &amp; Defects - Qty'!J6*1000000</f>
        <v>7105.217602661507</v>
      </c>
      <c r="J66" s="639">
        <f>J65/'Prod &amp; Defects - Qty'!K6*1000000</f>
        <v>7105.217602661508</v>
      </c>
      <c r="K66" s="639">
        <f>K65/'Prod &amp; Defects - Qty'!L6*1000000</f>
        <v>7105.2176026615061</v>
      </c>
      <c r="L66" s="639">
        <f>L65/'Prod &amp; Defects - Qty'!M6*1000000</f>
        <v>7105.2176026615052</v>
      </c>
      <c r="M66" s="639">
        <f>M65/'Prod &amp; Defects - Qty'!N6*1000000</f>
        <v>7105.217602661508</v>
      </c>
      <c r="N66" s="639"/>
      <c r="O66" s="639"/>
      <c r="P66" s="639"/>
      <c r="Q66" s="639"/>
      <c r="R66" s="639"/>
      <c r="S66" s="639"/>
      <c r="T66" s="639"/>
      <c r="U66" s="639"/>
      <c r="V66" s="639"/>
      <c r="W66" s="639"/>
      <c r="X66" s="639"/>
      <c r="Y66" s="639"/>
      <c r="Z66" s="639"/>
    </row>
    <row r="67" spans="1:26">
      <c r="A67" s="980" t="s">
        <v>258</v>
      </c>
      <c r="B67" s="981"/>
      <c r="C67" s="981"/>
      <c r="D67" s="621" t="s">
        <v>64</v>
      </c>
      <c r="E67" s="637">
        <f t="shared" ref="E67:J67" si="28">SUM(E20:E34)</f>
        <v>1248.5362377410311</v>
      </c>
      <c r="F67" s="637">
        <f t="shared" si="28"/>
        <v>1306.6759120192594</v>
      </c>
      <c r="G67" s="637">
        <f t="shared" si="28"/>
        <v>1257.5246974292875</v>
      </c>
      <c r="H67" s="637">
        <f t="shared" si="28"/>
        <v>1265.6546591388435</v>
      </c>
      <c r="I67" s="637">
        <f t="shared" si="28"/>
        <v>1281.116339273289</v>
      </c>
      <c r="J67" s="637">
        <f t="shared" si="28"/>
        <v>1456.6056295335043</v>
      </c>
      <c r="K67" s="637">
        <f t="shared" ref="K67" si="29">SUM(K20:K34)</f>
        <v>1438.6891898605811</v>
      </c>
      <c r="L67" s="637">
        <f t="shared" ref="L67:M67" si="30">SUM(L20:L34)</f>
        <v>1439.4438246652371</v>
      </c>
      <c r="M67" s="637">
        <f t="shared" si="30"/>
        <v>1369.5892321221852</v>
      </c>
      <c r="N67" s="637"/>
      <c r="O67" s="637"/>
      <c r="P67" s="637"/>
      <c r="Q67" s="637"/>
      <c r="R67" s="637"/>
      <c r="S67" s="637"/>
      <c r="T67" s="637"/>
      <c r="U67" s="637"/>
      <c r="V67" s="637"/>
      <c r="W67" s="637"/>
      <c r="X67" s="637"/>
      <c r="Y67" s="637"/>
      <c r="Z67" s="637"/>
    </row>
    <row r="68" spans="1:26">
      <c r="A68" s="982"/>
      <c r="B68" s="983"/>
      <c r="C68" s="983"/>
      <c r="D68" s="233" t="s">
        <v>63</v>
      </c>
      <c r="E68" s="638">
        <f t="shared" ref="E68:J68" si="31">SUM(E40:E48)</f>
        <v>1124.3291857123936</v>
      </c>
      <c r="F68" s="638">
        <f t="shared" si="31"/>
        <v>1176.6850009966133</v>
      </c>
      <c r="G68" s="638">
        <f t="shared" si="31"/>
        <v>1132.4234542298941</v>
      </c>
      <c r="H68" s="638">
        <f t="shared" si="31"/>
        <v>1139.7446299815219</v>
      </c>
      <c r="I68" s="638">
        <f t="shared" si="31"/>
        <v>1153.6681491472607</v>
      </c>
      <c r="J68" s="638">
        <f t="shared" si="31"/>
        <v>1311.6993899356751</v>
      </c>
      <c r="K68" s="638">
        <f t="shared" ref="K68" si="32">SUM(K40:K48)</f>
        <v>1295.5653159541541</v>
      </c>
      <c r="L68" s="638">
        <f t="shared" ref="L68:M68" si="33">SUM(L40:L48)</f>
        <v>1296.2448780764075</v>
      </c>
      <c r="M68" s="638">
        <f t="shared" si="33"/>
        <v>1233.339569621523</v>
      </c>
      <c r="N68" s="638"/>
      <c r="O68" s="638"/>
      <c r="P68" s="638"/>
      <c r="Q68" s="638"/>
      <c r="R68" s="638"/>
      <c r="S68" s="638"/>
      <c r="T68" s="638"/>
      <c r="U68" s="638"/>
      <c r="V68" s="638"/>
      <c r="W68" s="638"/>
      <c r="X68" s="638"/>
      <c r="Y68" s="638"/>
      <c r="Z68" s="638"/>
    </row>
    <row r="69" spans="1:26">
      <c r="A69" s="982"/>
      <c r="B69" s="983"/>
      <c r="C69" s="983"/>
      <c r="D69" s="233" t="s">
        <v>256</v>
      </c>
      <c r="E69" s="638">
        <f t="shared" ref="E69:J69" si="34">SUM(E67:E68)</f>
        <v>2372.8654234534247</v>
      </c>
      <c r="F69" s="638">
        <f t="shared" si="34"/>
        <v>2483.3609130158729</v>
      </c>
      <c r="G69" s="638">
        <f t="shared" si="34"/>
        <v>2389.9481516591813</v>
      </c>
      <c r="H69" s="638">
        <f t="shared" si="34"/>
        <v>2405.3992891203652</v>
      </c>
      <c r="I69" s="638">
        <f t="shared" si="34"/>
        <v>2434.7844884205497</v>
      </c>
      <c r="J69" s="638">
        <f t="shared" si="34"/>
        <v>2768.3050194691796</v>
      </c>
      <c r="K69" s="638">
        <f t="shared" ref="K69" si="35">SUM(K67:K68)</f>
        <v>2734.2545058147352</v>
      </c>
      <c r="L69" s="638">
        <f t="shared" ref="L69:M69" si="36">SUM(L67:L68)</f>
        <v>2735.6887027416446</v>
      </c>
      <c r="M69" s="638">
        <f t="shared" si="36"/>
        <v>2602.9288017437084</v>
      </c>
      <c r="N69" s="638"/>
      <c r="O69" s="638"/>
      <c r="P69" s="638"/>
      <c r="Q69" s="638"/>
      <c r="R69" s="638"/>
      <c r="S69" s="638"/>
      <c r="T69" s="638"/>
      <c r="U69" s="638"/>
      <c r="V69" s="638"/>
      <c r="W69" s="638"/>
      <c r="X69" s="638"/>
      <c r="Y69" s="638"/>
      <c r="Z69" s="638"/>
    </row>
    <row r="70" spans="1:26" ht="13.5" thickBot="1">
      <c r="A70" s="984"/>
      <c r="B70" s="985"/>
      <c r="C70" s="985"/>
      <c r="D70" s="622" t="s">
        <v>257</v>
      </c>
      <c r="E70" s="639">
        <f>E69/'Prod &amp; Defects - Qty'!F6*1000000</f>
        <v>730.6982866880204</v>
      </c>
      <c r="F70" s="639">
        <f>F69/'Prod &amp; Defects - Qty'!G6*1000000</f>
        <v>730.6982866880204</v>
      </c>
      <c r="G70" s="639">
        <f>G69/'Prod &amp; Defects - Qty'!H6*1000000</f>
        <v>730.69828668802029</v>
      </c>
      <c r="H70" s="639">
        <f>H69/'Prod &amp; Defects - Qty'!I6*1000000</f>
        <v>730.69828668802029</v>
      </c>
      <c r="I70" s="639">
        <f>I69/'Prod &amp; Defects - Qty'!J6*1000000</f>
        <v>730.6982866880204</v>
      </c>
      <c r="J70" s="639">
        <f>J69/'Prod &amp; Defects - Qty'!K6*1000000</f>
        <v>730.6982866880204</v>
      </c>
      <c r="K70" s="639">
        <f>K69/'Prod &amp; Defects - Qty'!L6*1000000</f>
        <v>730.6982866880204</v>
      </c>
      <c r="L70" s="639">
        <f>L69/'Prod &amp; Defects - Qty'!M6*1000000</f>
        <v>730.6982866880204</v>
      </c>
      <c r="M70" s="639">
        <f>M69/'Prod &amp; Defects - Qty'!N6*1000000</f>
        <v>730.69828668802052</v>
      </c>
      <c r="N70" s="639"/>
      <c r="O70" s="639"/>
      <c r="P70" s="639"/>
      <c r="Q70" s="639"/>
      <c r="R70" s="639"/>
      <c r="S70" s="639"/>
      <c r="T70" s="639"/>
      <c r="U70" s="639"/>
      <c r="V70" s="639"/>
      <c r="W70" s="639"/>
      <c r="X70" s="639"/>
      <c r="Y70" s="639"/>
      <c r="Z70" s="639"/>
    </row>
    <row r="71" spans="1:26">
      <c r="A71" s="980" t="s">
        <v>259</v>
      </c>
      <c r="B71" s="981"/>
      <c r="C71" s="981"/>
      <c r="D71" s="621" t="s">
        <v>264</v>
      </c>
      <c r="E71" s="637">
        <f>E51/E$61*1000000</f>
        <v>421.01979219502545</v>
      </c>
      <c r="F71" s="637">
        <f t="shared" ref="F71:G71" si="37">F51/F$61*1000000</f>
        <v>585.78561442763032</v>
      </c>
      <c r="G71" s="637">
        <f t="shared" si="37"/>
        <v>1158.4059525634807</v>
      </c>
      <c r="H71" s="637">
        <f t="shared" ref="H71:I71" si="38">H51/H$61*1000000</f>
        <v>554.15827396193924</v>
      </c>
      <c r="I71" s="637">
        <f t="shared" si="38"/>
        <v>497.77642386933059</v>
      </c>
      <c r="J71" s="637">
        <f t="shared" ref="J71:K71" si="39">J51/J$61*1000000</f>
        <v>490.52535616229648</v>
      </c>
      <c r="K71" s="637">
        <f t="shared" si="39"/>
        <v>4267.7341539066765</v>
      </c>
      <c r="L71" s="637">
        <f t="shared" ref="L71:M71" si="40">L51/L$61*1000000</f>
        <v>530.407186856409</v>
      </c>
      <c r="M71" s="637">
        <f t="shared" si="40"/>
        <v>556.72767427696749</v>
      </c>
      <c r="N71" s="637"/>
      <c r="O71" s="637"/>
      <c r="P71" s="637"/>
      <c r="Q71" s="637"/>
      <c r="R71" s="637"/>
      <c r="S71" s="637"/>
      <c r="T71" s="637"/>
      <c r="U71" s="637"/>
      <c r="V71" s="637"/>
      <c r="W71" s="637"/>
      <c r="X71" s="637"/>
      <c r="Y71" s="637"/>
      <c r="Z71" s="637"/>
    </row>
    <row r="72" spans="1:26">
      <c r="A72" s="982"/>
      <c r="B72" s="983"/>
      <c r="C72" s="983"/>
      <c r="D72" s="233" t="s">
        <v>265</v>
      </c>
      <c r="E72" s="638">
        <f>E52/E$61*1000000</f>
        <v>47.838888145748584</v>
      </c>
      <c r="F72" s="638">
        <f t="shared" ref="F72:G72" si="41">F52/F$61*1000000</f>
        <v>66.560605951301667</v>
      </c>
      <c r="G72" s="638">
        <f t="shared" si="41"/>
        <v>131.62529130313047</v>
      </c>
      <c r="H72" s="638">
        <f t="shared" ref="H72:I72" si="42">H52/H$61*1000000</f>
        <v>62.966910759449895</v>
      </c>
      <c r="I72" s="638">
        <f t="shared" si="42"/>
        <v>56.560454174669552</v>
      </c>
      <c r="J72" s="638">
        <f t="shared" ref="J72:K72" si="43">J52/J$61*1000000</f>
        <v>55.736542749590107</v>
      </c>
      <c r="K72" s="638">
        <f t="shared" si="43"/>
        <v>484.92650609156982</v>
      </c>
      <c r="L72" s="638">
        <f t="shared" ref="L72:M72" si="44">L52/L$61*1000000</f>
        <v>60.268164476151483</v>
      </c>
      <c r="M72" s="638">
        <f t="shared" si="44"/>
        <v>63.258862008657076</v>
      </c>
      <c r="N72" s="638"/>
      <c r="O72" s="638"/>
      <c r="P72" s="638"/>
      <c r="Q72" s="638"/>
      <c r="R72" s="638"/>
      <c r="S72" s="638"/>
      <c r="T72" s="638"/>
      <c r="U72" s="638"/>
      <c r="V72" s="638"/>
      <c r="W72" s="638"/>
      <c r="X72" s="638"/>
      <c r="Y72" s="638"/>
      <c r="Z72" s="638"/>
    </row>
    <row r="73" spans="1:26" ht="13.5" thickBot="1">
      <c r="A73" s="984"/>
      <c r="B73" s="985"/>
      <c r="C73" s="985"/>
      <c r="D73" s="622" t="s">
        <v>257</v>
      </c>
      <c r="E73" s="639">
        <f t="shared" ref="E73:J73" si="45">SUM(E71:E72)</f>
        <v>468.85868034077401</v>
      </c>
      <c r="F73" s="639">
        <f t="shared" si="45"/>
        <v>652.346220378932</v>
      </c>
      <c r="G73" s="639">
        <f t="shared" si="45"/>
        <v>1290.0312438666112</v>
      </c>
      <c r="H73" s="639">
        <f t="shared" si="45"/>
        <v>617.12518472138913</v>
      </c>
      <c r="I73" s="639">
        <f t="shared" si="45"/>
        <v>554.33687804400017</v>
      </c>
      <c r="J73" s="639">
        <f t="shared" si="45"/>
        <v>546.26189891188653</v>
      </c>
      <c r="K73" s="639">
        <f t="shared" ref="K73:L73" si="46">SUM(K71:K72)</f>
        <v>4752.660659998246</v>
      </c>
      <c r="L73" s="639">
        <f t="shared" si="46"/>
        <v>590.67535133256047</v>
      </c>
      <c r="M73" s="639">
        <f t="shared" ref="M73" si="47">SUM(M71:M72)</f>
        <v>619.98653628562454</v>
      </c>
      <c r="N73" s="639"/>
      <c r="O73" s="639"/>
      <c r="P73" s="639"/>
      <c r="Q73" s="639"/>
      <c r="R73" s="639"/>
      <c r="S73" s="639"/>
      <c r="T73" s="639"/>
      <c r="U73" s="639"/>
      <c r="V73" s="639"/>
      <c r="W73" s="639"/>
      <c r="X73" s="639"/>
      <c r="Y73" s="639"/>
      <c r="Z73" s="639"/>
    </row>
    <row r="74" spans="1:26">
      <c r="A74" s="980" t="s">
        <v>285</v>
      </c>
      <c r="B74" s="981"/>
      <c r="C74" s="981"/>
      <c r="D74" s="621" t="s">
        <v>264</v>
      </c>
      <c r="E74" s="637">
        <f>E59/E$61*1000000</f>
        <v>945.77962955441888</v>
      </c>
      <c r="F74" s="637">
        <f t="shared" ref="F74:G74" si="48">F59/F$61*1000000</f>
        <v>349.4999707798849</v>
      </c>
      <c r="G74" s="637">
        <f t="shared" si="48"/>
        <v>613.37436205343738</v>
      </c>
      <c r="H74" s="637">
        <f t="shared" ref="H74:I74" si="49">H59/H$61*1000000</f>
        <v>605.47081234571419</v>
      </c>
      <c r="I74" s="637">
        <f t="shared" si="49"/>
        <v>1062.7636558346178</v>
      </c>
      <c r="J74" s="637">
        <f t="shared" ref="J74:K74" si="50">J59/J$61*1000000</f>
        <v>423.59823084605512</v>
      </c>
      <c r="K74" s="637">
        <f t="shared" si="50"/>
        <v>433.10131477184842</v>
      </c>
      <c r="L74" s="637">
        <f t="shared" ref="L74:M74" si="51">L59/L$61*1000000</f>
        <v>422.59686922422742</v>
      </c>
      <c r="M74" s="637">
        <f t="shared" si="51"/>
        <v>705.75470948255304</v>
      </c>
      <c r="N74" s="637"/>
      <c r="O74" s="637"/>
      <c r="P74" s="637"/>
      <c r="Q74" s="637"/>
      <c r="R74" s="637"/>
      <c r="S74" s="637"/>
      <c r="T74" s="637"/>
      <c r="U74" s="637"/>
      <c r="V74" s="637"/>
      <c r="W74" s="637"/>
      <c r="X74" s="637"/>
      <c r="Y74" s="637"/>
      <c r="Z74" s="637"/>
    </row>
    <row r="75" spans="1:26">
      <c r="A75" s="982"/>
      <c r="B75" s="983"/>
      <c r="C75" s="983"/>
      <c r="D75" s="233" t="s">
        <v>265</v>
      </c>
      <c r="E75" s="638">
        <f>E60/E$61*1000000</f>
        <v>68.605776237108103</v>
      </c>
      <c r="F75" s="638">
        <f t="shared" ref="F75:G75" si="52">F60/F$61*1000000</f>
        <v>22.367998129912632</v>
      </c>
      <c r="G75" s="638">
        <f t="shared" si="52"/>
        <v>127.30411287901531</v>
      </c>
      <c r="H75" s="638">
        <f t="shared" ref="H75:I75" si="53">H60/H$61*1000000</f>
        <v>59.750409113063903</v>
      </c>
      <c r="I75" s="638">
        <f t="shared" si="53"/>
        <v>162.95709389464139</v>
      </c>
      <c r="J75" s="638">
        <f t="shared" ref="J75:K75" si="54">J60/J$61*1000000</f>
        <v>43.445972394467191</v>
      </c>
      <c r="K75" s="638">
        <f t="shared" si="54"/>
        <v>20.62387213199278</v>
      </c>
      <c r="L75" s="638">
        <f t="shared" ref="L75:M75" si="55">L60/L$61*1000000</f>
        <v>111.68631543783154</v>
      </c>
      <c r="M75" s="638">
        <f t="shared" si="55"/>
        <v>83.029965821476821</v>
      </c>
      <c r="N75" s="638"/>
      <c r="O75" s="638"/>
      <c r="P75" s="638"/>
      <c r="Q75" s="638"/>
      <c r="R75" s="638"/>
      <c r="S75" s="638"/>
      <c r="T75" s="638"/>
      <c r="U75" s="638"/>
      <c r="V75" s="638"/>
      <c r="W75" s="638"/>
      <c r="X75" s="638"/>
      <c r="Y75" s="638"/>
      <c r="Z75" s="638"/>
    </row>
    <row r="76" spans="1:26" ht="13.5" thickBot="1">
      <c r="A76" s="984"/>
      <c r="B76" s="985"/>
      <c r="C76" s="985"/>
      <c r="D76" s="622" t="s">
        <v>257</v>
      </c>
      <c r="E76" s="639">
        <f>SUM(E74:E75)</f>
        <v>1014.385405791527</v>
      </c>
      <c r="F76" s="639">
        <f t="shared" ref="F76:G76" si="56">SUM(F74:F75)</f>
        <v>371.86796890979753</v>
      </c>
      <c r="G76" s="639">
        <f t="shared" si="56"/>
        <v>740.67847493245267</v>
      </c>
      <c r="H76" s="639">
        <f t="shared" ref="H76:I76" si="57">SUM(H74:H75)</f>
        <v>665.22122145877813</v>
      </c>
      <c r="I76" s="639">
        <f t="shared" si="57"/>
        <v>1225.7207497292593</v>
      </c>
      <c r="J76" s="639">
        <f t="shared" ref="J76:K76" si="58">SUM(J74:J75)</f>
        <v>467.04420324052228</v>
      </c>
      <c r="K76" s="639">
        <f t="shared" si="58"/>
        <v>453.72518690384118</v>
      </c>
      <c r="L76" s="639">
        <f t="shared" ref="L76:M76" si="59">SUM(L74:L75)</f>
        <v>534.28318466205894</v>
      </c>
      <c r="M76" s="639">
        <f t="shared" si="59"/>
        <v>788.78467530402986</v>
      </c>
      <c r="N76" s="639"/>
      <c r="O76" s="639"/>
      <c r="P76" s="639"/>
      <c r="Q76" s="639"/>
      <c r="R76" s="639"/>
      <c r="S76" s="639"/>
      <c r="T76" s="639"/>
      <c r="U76" s="639"/>
      <c r="V76" s="639"/>
      <c r="W76" s="639"/>
      <c r="X76" s="639"/>
      <c r="Y76" s="639"/>
      <c r="Z76" s="639"/>
    </row>
  </sheetData>
  <mergeCells count="9">
    <mergeCell ref="A74:C76"/>
    <mergeCell ref="A62:C66"/>
    <mergeCell ref="A67:C70"/>
    <mergeCell ref="A71:C73"/>
    <mergeCell ref="A1:E1"/>
    <mergeCell ref="B4:C4"/>
    <mergeCell ref="B5:C5"/>
    <mergeCell ref="A7:A37"/>
    <mergeCell ref="A38:A55"/>
  </mergeCells>
  <printOptions gridLinesSet="0"/>
  <pageMargins left="0.78740157480314965" right="0.19685039370078741" top="0.59055118110236227" bottom="0.59055118110236227" header="0.51181102362204722" footer="0.31496062992125984"/>
  <pageSetup paperSize="9" scale="42" orientation="landscape" r:id="rId1"/>
  <headerFooter alignWithMargins="0">
    <oddFooter>&amp;L&amp;A&amp;R&amp;F</oddFooter>
  </headerFooter>
  <ignoredErrors>
    <ignoredError sqref="T7:T57" evalError="1"/>
    <ignoredError sqref="Z19 Z37 Z50 Y56:Y57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1">
    <tabColor indexed="56"/>
    <pageSetUpPr fitToPage="1"/>
  </sheetPr>
  <dimension ref="A1:S94"/>
  <sheetViews>
    <sheetView showGridLines="0" topLeftCell="A64" zoomScale="106" zoomScaleNormal="106" zoomScaleSheetLayoutView="53" workbookViewId="0">
      <selection activeCell="E6" sqref="E6"/>
    </sheetView>
  </sheetViews>
  <sheetFormatPr defaultColWidth="11.42578125" defaultRowHeight="12.75"/>
  <cols>
    <col min="1" max="1" width="3.140625" style="76" bestFit="1" customWidth="1"/>
    <col min="2" max="2" width="10.85546875" style="76" customWidth="1"/>
    <col min="3" max="3" width="25.140625" style="76" bestFit="1" customWidth="1"/>
    <col min="4" max="4" width="8.5703125" style="76" customWidth="1"/>
    <col min="5" max="5" width="11.85546875" style="76" bestFit="1" customWidth="1"/>
    <col min="6" max="16" width="7.85546875" style="76" bestFit="1" customWidth="1"/>
    <col min="17" max="19" width="8.85546875" style="76" bestFit="1" customWidth="1"/>
    <col min="20" max="16384" width="11.42578125" style="76"/>
  </cols>
  <sheetData>
    <row r="1" spans="1:19" ht="18" customHeight="1">
      <c r="A1" s="996" t="s">
        <v>80</v>
      </c>
      <c r="B1" s="996"/>
      <c r="C1" s="996"/>
      <c r="D1" s="996"/>
      <c r="E1" s="996"/>
    </row>
    <row r="2" spans="1:19" ht="18" customHeight="1"/>
    <row r="3" spans="1:19" ht="9.9499999999999993" customHeight="1" thickBot="1"/>
    <row r="4" spans="1:19" ht="38.25">
      <c r="A4" s="77"/>
      <c r="B4" s="1007" t="s">
        <v>57</v>
      </c>
      <c r="C4" s="1008"/>
      <c r="D4" s="791" t="s">
        <v>202</v>
      </c>
      <c r="E4" s="202">
        <f>'Falhas UM-1 - Qty'!F5</f>
        <v>44652</v>
      </c>
      <c r="F4" s="202">
        <f>'Falhas UM-1 - Qty'!G5</f>
        <v>44682</v>
      </c>
      <c r="G4" s="202">
        <f>'Falhas UM-1 - Qty'!H5</f>
        <v>44713</v>
      </c>
      <c r="H4" s="202">
        <f>'Falhas UM-1 - Qty'!I5</f>
        <v>44743</v>
      </c>
      <c r="I4" s="202">
        <f>'Falhas UM-1 - Qty'!J5</f>
        <v>44774</v>
      </c>
      <c r="J4" s="202">
        <f>'Falhas UM-1 - Qty'!K5</f>
        <v>44805</v>
      </c>
      <c r="K4" s="202">
        <f>'Falhas UM-1 - Qty'!L5</f>
        <v>44835</v>
      </c>
      <c r="L4" s="202">
        <f>'Falhas UM-1 - Qty'!M5</f>
        <v>44866</v>
      </c>
      <c r="M4" s="202">
        <f>'Falhas UM-1 - Qty'!N5</f>
        <v>44896</v>
      </c>
      <c r="N4" s="202">
        <f>'Falhas UM-1 - Qty'!O5</f>
        <v>44927</v>
      </c>
      <c r="O4" s="202">
        <f>'Falhas UM-1 - Qty'!P5</f>
        <v>44958</v>
      </c>
      <c r="P4" s="202">
        <f>'Falhas UM-1 - Qty'!Q5</f>
        <v>44986</v>
      </c>
      <c r="Q4" s="832" t="str">
        <f>'Falhas UM-1 - Cost'!R5</f>
        <v>1st Half</v>
      </c>
      <c r="R4" s="202" t="str">
        <f>'Falhas UM-1 - Cost'!S5</f>
        <v>2nd Half</v>
      </c>
      <c r="S4" s="792" t="str">
        <f>'Falhas UM-1 - Cost'!T5</f>
        <v>Total</v>
      </c>
    </row>
    <row r="5" spans="1:19" ht="13.5" thickBot="1">
      <c r="A5" s="106"/>
      <c r="B5" s="806" t="s">
        <v>51</v>
      </c>
      <c r="C5" s="793" t="s">
        <v>50</v>
      </c>
      <c r="D5" s="794">
        <f>'Falhas UM-1 - Qty'!E5</f>
        <v>2022</v>
      </c>
      <c r="E5" s="795"/>
      <c r="F5" s="795"/>
      <c r="G5" s="795"/>
      <c r="H5" s="795"/>
      <c r="I5" s="795"/>
      <c r="J5" s="795"/>
      <c r="K5" s="795"/>
      <c r="L5" s="795"/>
      <c r="M5" s="795"/>
      <c r="N5" s="795"/>
      <c r="O5" s="795"/>
      <c r="P5" s="828"/>
      <c r="Q5" s="833"/>
      <c r="R5" s="795"/>
      <c r="S5" s="796"/>
    </row>
    <row r="6" spans="1:19" ht="18" customHeight="1">
      <c r="A6" s="1009" t="s">
        <v>142</v>
      </c>
      <c r="B6" s="105">
        <v>3010</v>
      </c>
      <c r="C6" s="83" t="s">
        <v>46</v>
      </c>
      <c r="D6" s="321">
        <f>'[2]Falhas UM-3'!P7</f>
        <v>116.9538</v>
      </c>
      <c r="E6" s="350">
        <f>'Falhas UM-3-1 Qty'!E7*'Falhas UM-3-1 Cost'!$D6/1000</f>
        <v>46.105705879962784</v>
      </c>
      <c r="F6" s="350">
        <f>'Falhas UM-3-1 Qty'!F7*'Falhas UM-3-1 Cost'!$D6/1000</f>
        <v>48.25267658149307</v>
      </c>
      <c r="G6" s="350">
        <f>'Falhas UM-3-1 Qty'!G7*'Falhas UM-3-1 Cost'!$D6/1000</f>
        <v>46.437629989310587</v>
      </c>
      <c r="H6" s="350">
        <f>'Falhas UM-3-1 Qty'!H7*'Falhas UM-3-1 Cost'!$D6/1000</f>
        <v>46.737851650537138</v>
      </c>
      <c r="I6" s="350">
        <f>'Falhas UM-3-1 Qty'!I7*'Falhas UM-3-1 Cost'!$D6/1000</f>
        <v>47.308817598612933</v>
      </c>
      <c r="J6" s="350">
        <f>'Falhas UM-3-1 Qty'!J7*'Falhas UM-3-1 Cost'!$D6/1000</f>
        <v>53.789252332698034</v>
      </c>
      <c r="K6" s="350">
        <f>'Falhas UM-3-1 Qty'!K7*'Falhas UM-3-1 Cost'!$D6/1000</f>
        <v>53.127637496855961</v>
      </c>
      <c r="L6" s="350">
        <f>'Falhas UM-3-1 Qty'!L7*'Falhas UM-3-1 Cost'!$D6/1000</f>
        <v>53.155504505676802</v>
      </c>
      <c r="M6" s="350">
        <f>'Falhas UM-3-1 Qty'!M7*'Falhas UM-3-1 Cost'!$D6/1000</f>
        <v>50.57592755724815</v>
      </c>
      <c r="N6" s="350">
        <f>'Falhas UM-3-1 Qty'!N7*'Falhas UM-3-1 Cost'!$D6/1000</f>
        <v>39.223109307173786</v>
      </c>
      <c r="O6" s="350">
        <f>'Falhas UM-3-1 Qty'!O7*'Falhas UM-3-1 Cost'!$D6/1000</f>
        <v>37.647074819657838</v>
      </c>
      <c r="P6" s="829">
        <f>'Falhas UM-3-1 Qty'!P7*'Falhas UM-3-1 Cost'!$D6/1000</f>
        <v>47.732275085489668</v>
      </c>
      <c r="Q6" s="834">
        <f>SUM(E6:J6)</f>
        <v>288.63193403261454</v>
      </c>
      <c r="R6" s="350">
        <f>SUM(K6:P6)</f>
        <v>281.46152877210221</v>
      </c>
      <c r="S6" s="807">
        <f>SUM(Q6:R6)</f>
        <v>570.09346280471675</v>
      </c>
    </row>
    <row r="7" spans="1:19" ht="18" customHeight="1">
      <c r="A7" s="1009"/>
      <c r="B7" s="105">
        <f>B6+10</f>
        <v>3020</v>
      </c>
      <c r="C7" s="83" t="s">
        <v>79</v>
      </c>
      <c r="D7" s="321">
        <f>'[2]Falhas UM-3'!P8</f>
        <v>117.59650000000001</v>
      </c>
      <c r="E7" s="350">
        <f>'Falhas UM-3-1 Qty'!E8*'Falhas UM-3-1 Cost'!$D7/1000</f>
        <v>16.028279011120134</v>
      </c>
      <c r="F7" s="350">
        <f>'Falhas UM-3-1 Qty'!F8*'Falhas UM-3-1 Cost'!$D7/1000</f>
        <v>16.774656162842323</v>
      </c>
      <c r="G7" s="350">
        <f>'Falhas UM-3-1 Qty'!G8*'Falhas UM-3-1 Cost'!$D7/1000</f>
        <v>16.143669766637363</v>
      </c>
      <c r="H7" s="350">
        <f>'Falhas UM-3-1 Qty'!H8*'Falhas UM-3-1 Cost'!$D7/1000</f>
        <v>16.248039420229684</v>
      </c>
      <c r="I7" s="350">
        <f>'Falhas UM-3-1 Qty'!I8*'Falhas UM-3-1 Cost'!$D7/1000</f>
        <v>16.446531154537666</v>
      </c>
      <c r="J7" s="350">
        <f>'Falhas UM-3-1 Qty'!J8*'Falhas UM-3-1 Cost'!$D7/1000</f>
        <v>18.699402334987621</v>
      </c>
      <c r="K7" s="350">
        <f>'Falhas UM-3-1 Qty'!K8*'Falhas UM-3-1 Cost'!$D7/1000</f>
        <v>18.469397241596742</v>
      </c>
      <c r="L7" s="350">
        <f>'Falhas UM-3-1 Qty'!L8*'Falhas UM-3-1 Cost'!$D7/1000</f>
        <v>18.479084983798295</v>
      </c>
      <c r="M7" s="350">
        <f>'Falhas UM-3-1 Qty'!M8*'Falhas UM-3-1 Cost'!$D7/1000</f>
        <v>17.58231573862691</v>
      </c>
      <c r="N7" s="350">
        <f>'Falhas UM-3-1 Qty'!N8*'Falhas UM-3-1 Cost'!$D7/1000</f>
        <v>13.635599491651288</v>
      </c>
      <c r="O7" s="350">
        <f>'Falhas UM-3-1 Qty'!O8*'Falhas UM-3-1 Cost'!$D7/1000</f>
        <v>13.087703737428996</v>
      </c>
      <c r="P7" s="829">
        <f>'Falhas UM-3-1 Qty'!P8*'Falhas UM-3-1 Cost'!$D7/1000</f>
        <v>16.593742754912657</v>
      </c>
      <c r="Q7" s="834">
        <f t="shared" ref="Q7:Q56" si="0">SUM(E7:J7)</f>
        <v>100.34057785035479</v>
      </c>
      <c r="R7" s="350">
        <f t="shared" ref="R7:R56" si="1">SUM(K7:P7)</f>
        <v>97.847843948014884</v>
      </c>
      <c r="S7" s="807">
        <f t="shared" ref="S7:S56" si="2">SUM(Q7:R7)</f>
        <v>198.18842179836969</v>
      </c>
    </row>
    <row r="8" spans="1:19" ht="18" customHeight="1">
      <c r="A8" s="1009"/>
      <c r="B8" s="105">
        <f t="shared" ref="B8:B17" si="3">B7+10</f>
        <v>3030</v>
      </c>
      <c r="C8" s="83" t="s">
        <v>78</v>
      </c>
      <c r="D8" s="321">
        <f>'[2]Falhas UM-3'!P9</f>
        <v>127.59650000000001</v>
      </c>
      <c r="E8" s="350">
        <f>'Falhas UM-3-1 Qty'!E9*'Falhas UM-3-1 Cost'!$D8/1000</f>
        <v>22.493872033974547</v>
      </c>
      <c r="F8" s="350">
        <f>'Falhas UM-3-1 Qty'!F9*'Falhas UM-3-1 Cost'!$D8/1000</f>
        <v>23.541327729515757</v>
      </c>
      <c r="G8" s="350">
        <f>'Falhas UM-3-1 Qty'!G9*'Falhas UM-3-1 Cost'!$D8/1000</f>
        <v>22.655809874381962</v>
      </c>
      <c r="H8" s="350">
        <f>'Falhas UM-3-1 Qty'!H9*'Falhas UM-3-1 Cost'!$D8/1000</f>
        <v>22.802280847997228</v>
      </c>
      <c r="I8" s="350">
        <f>'Falhas UM-3-1 Qty'!I9*'Falhas UM-3-1 Cost'!$D8/1000</f>
        <v>23.080841488738994</v>
      </c>
      <c r="J8" s="350">
        <f>'Falhas UM-3-1 Qty'!J9*'Falhas UM-3-1 Cost'!$D8/1000</f>
        <v>26.242490721754749</v>
      </c>
      <c r="K8" s="350">
        <f>'Falhas UM-3-1 Qty'!K9*'Falhas UM-3-1 Cost'!$D8/1000</f>
        <v>25.919704655059288</v>
      </c>
      <c r="L8" s="350">
        <f>'Falhas UM-3-1 Qty'!L9*'Falhas UM-3-1 Cost'!$D8/1000</f>
        <v>25.933300302678642</v>
      </c>
      <c r="M8" s="350">
        <f>'Falhas UM-3-1 Qty'!M9*'Falhas UM-3-1 Cost'!$D8/1000</f>
        <v>24.674786357987873</v>
      </c>
      <c r="N8" s="350">
        <f>'Falhas UM-3-1 Qty'!N9*'Falhas UM-3-1 Cost'!$D8/1000</f>
        <v>19.136017650986574</v>
      </c>
      <c r="O8" s="350">
        <f>'Falhas UM-3-1 Qty'!O9*'Falhas UM-3-1 Cost'!$D8/1000</f>
        <v>18.367108089649147</v>
      </c>
      <c r="P8" s="829">
        <f>'Falhas UM-3-1 Qty'!P9*'Falhas UM-3-1 Cost'!$D8/1000</f>
        <v>23.28743627651717</v>
      </c>
      <c r="Q8" s="834">
        <f t="shared" si="0"/>
        <v>140.81662269636325</v>
      </c>
      <c r="R8" s="350">
        <f t="shared" si="1"/>
        <v>137.3183533328787</v>
      </c>
      <c r="S8" s="807">
        <f t="shared" si="2"/>
        <v>278.13497602924195</v>
      </c>
    </row>
    <row r="9" spans="1:19" ht="18" customHeight="1">
      <c r="A9" s="1009"/>
      <c r="B9" s="105">
        <f t="shared" si="3"/>
        <v>3040</v>
      </c>
      <c r="C9" s="83" t="s">
        <v>77</v>
      </c>
      <c r="D9" s="321">
        <f>'[2]Falhas UM-3'!P10</f>
        <v>127.59650000000001</v>
      </c>
      <c r="E9" s="350">
        <f>'Falhas UM-3-1 Qty'!E10*'Falhas UM-3-1 Cost'!$D9/1000</f>
        <v>93.59262386432485</v>
      </c>
      <c r="F9" s="350">
        <f>'Falhas UM-3-1 Qty'!F10*'Falhas UM-3-1 Cost'!$D9/1000</f>
        <v>97.950883161757631</v>
      </c>
      <c r="G9" s="350">
        <f>'Falhas UM-3-1 Qty'!G10*'Falhas UM-3-1 Cost'!$D9/1000</f>
        <v>94.266415702553516</v>
      </c>
      <c r="H9" s="350">
        <f>'Falhas UM-3-1 Qty'!H10*'Falhas UM-3-1 Cost'!$D9/1000</f>
        <v>94.87585291816093</v>
      </c>
      <c r="I9" s="350">
        <f>'Falhas UM-3-1 Qty'!I10*'Falhas UM-3-1 Cost'!$D9/1000</f>
        <v>96.034889531909442</v>
      </c>
      <c r="J9" s="350">
        <f>'Falhas UM-3-1 Qty'!J10*'Falhas UM-3-1 Cost'!$D9/1000</f>
        <v>109.18989668272982</v>
      </c>
      <c r="K9" s="350">
        <f>'Falhas UM-3-1 Qty'!K10*'Falhas UM-3-1 Cost'!$D9/1000</f>
        <v>107.84684667856678</v>
      </c>
      <c r="L9" s="350">
        <f>'Falhas UM-3-1 Qty'!L10*'Falhas UM-3-1 Cost'!$D9/1000</f>
        <v>107.90341552237936</v>
      </c>
      <c r="M9" s="350">
        <f>'Falhas UM-3-1 Qty'!M10*'Falhas UM-3-1 Cost'!$D9/1000</f>
        <v>102.66698392556287</v>
      </c>
      <c r="N9" s="350">
        <f>'Falhas UM-3-1 Qty'!N10*'Falhas UM-3-1 Cost'!$D9/1000</f>
        <v>79.621245269145831</v>
      </c>
      <c r="O9" s="350">
        <f>'Falhas UM-3-1 Qty'!O10*'Falhas UM-3-1 Cost'!$D9/1000</f>
        <v>76.421962226580192</v>
      </c>
      <c r="P9" s="829">
        <f>'Falhas UM-3-1 Qty'!P10*'Falhas UM-3-1 Cost'!$D9/1000</f>
        <v>96.894490237188094</v>
      </c>
      <c r="Q9" s="834">
        <f t="shared" si="0"/>
        <v>585.91056186143612</v>
      </c>
      <c r="R9" s="350">
        <f t="shared" si="1"/>
        <v>571.35494385942309</v>
      </c>
      <c r="S9" s="807">
        <f t="shared" si="2"/>
        <v>1157.2655057208592</v>
      </c>
    </row>
    <row r="10" spans="1:19" ht="18" customHeight="1">
      <c r="A10" s="1009"/>
      <c r="B10" s="105">
        <f t="shared" si="3"/>
        <v>3050</v>
      </c>
      <c r="C10" s="83" t="s">
        <v>76</v>
      </c>
      <c r="D10" s="321">
        <f>'[2]Falhas UM-3'!P11</f>
        <v>128.46100000000001</v>
      </c>
      <c r="E10" s="350">
        <f>'Falhas UM-3-1 Qty'!E11*'Falhas UM-3-1 Cost'!$D10/1000</f>
        <v>16.242366597143644</v>
      </c>
      <c r="F10" s="350">
        <f>'Falhas UM-3-1 Qty'!F11*'Falhas UM-3-1 Cost'!$D10/1000</f>
        <v>16.998713008981937</v>
      </c>
      <c r="G10" s="350">
        <f>'Falhas UM-3-1 Qty'!G11*'Falhas UM-3-1 Cost'!$D10/1000</f>
        <v>16.359298611599591</v>
      </c>
      <c r="H10" s="350">
        <f>'Falhas UM-3-1 Qty'!H11*'Falhas UM-3-1 Cost'!$D10/1000</f>
        <v>16.465062316741435</v>
      </c>
      <c r="I10" s="350">
        <f>'Falhas UM-3-1 Qty'!I11*'Falhas UM-3-1 Cost'!$D10/1000</f>
        <v>16.666205278683666</v>
      </c>
      <c r="J10" s="350">
        <f>'Falhas UM-3-1 Qty'!J11*'Falhas UM-3-1 Cost'!$D10/1000</f>
        <v>18.94916775916089</v>
      </c>
      <c r="K10" s="350">
        <f>'Falhas UM-3-1 Qty'!K11*'Falhas UM-3-1 Cost'!$D10/1000</f>
        <v>18.716090518399547</v>
      </c>
      <c r="L10" s="350">
        <f>'Falhas UM-3-1 Qty'!L11*'Falhas UM-3-1 Cost'!$D10/1000</f>
        <v>18.72590765848221</v>
      </c>
      <c r="M10" s="350">
        <f>'Falhas UM-3-1 Qty'!M11*'Falhas UM-3-1 Cost'!$D10/1000</f>
        <v>17.817160386051274</v>
      </c>
      <c r="N10" s="350">
        <f>'Falhas UM-3-1 Qty'!N11*'Falhas UM-3-1 Cost'!$D10/1000</f>
        <v>13.817728376301083</v>
      </c>
      <c r="O10" s="350">
        <f>'Falhas UM-3-1 Qty'!O11*'Falhas UM-3-1 Cost'!$D10/1000</f>
        <v>13.262514451529565</v>
      </c>
      <c r="P10" s="829">
        <f>'Falhas UM-3-1 Qty'!P11*'Falhas UM-3-1 Cost'!$D10/1000</f>
        <v>16.815383164780101</v>
      </c>
      <c r="Q10" s="834">
        <f t="shared" si="0"/>
        <v>101.68081357231115</v>
      </c>
      <c r="R10" s="350">
        <f t="shared" si="1"/>
        <v>99.15478455554377</v>
      </c>
      <c r="S10" s="807">
        <f t="shared" si="2"/>
        <v>200.83559812785492</v>
      </c>
    </row>
    <row r="11" spans="1:19" ht="18" customHeight="1">
      <c r="A11" s="1009"/>
      <c r="B11" s="105">
        <f t="shared" si="3"/>
        <v>3060</v>
      </c>
      <c r="C11" s="83" t="s">
        <v>75</v>
      </c>
      <c r="D11" s="321">
        <f>'[2]Falhas UM-3'!P12</f>
        <v>132.2688</v>
      </c>
      <c r="E11" s="350">
        <f>'Falhas UM-3-1 Qty'!E12*'Falhas UM-3-1 Cost'!$D11/1000</f>
        <v>14.62695563836378</v>
      </c>
      <c r="F11" s="350">
        <f>'Falhas UM-3-1 Qty'!F12*'Falhas UM-3-1 Cost'!$D11/1000</f>
        <v>15.308078388981897</v>
      </c>
      <c r="G11" s="350">
        <f>'Falhas UM-3-1 Qty'!G12*'Falhas UM-3-1 Cost'!$D11/1000</f>
        <v>14.732257989343374</v>
      </c>
      <c r="H11" s="350">
        <f>'Falhas UM-3-1 Qty'!H12*'Falhas UM-3-1 Cost'!$D11/1000</f>
        <v>14.827502793356773</v>
      </c>
      <c r="I11" s="350">
        <f>'Falhas UM-3-1 Qty'!I12*'Falhas UM-3-1 Cost'!$D11/1000</f>
        <v>15.008640755223455</v>
      </c>
      <c r="J11" s="350">
        <f>'Falhas UM-3-1 Qty'!J12*'Falhas UM-3-1 Cost'!$D11/1000</f>
        <v>17.064547493091428</v>
      </c>
      <c r="K11" s="350">
        <f>'Falhas UM-3-1 Qty'!K12*'Falhas UM-3-1 Cost'!$D11/1000</f>
        <v>16.854651327988986</v>
      </c>
      <c r="L11" s="350">
        <f>'Falhas UM-3-1 Qty'!L12*'Falhas UM-3-1 Cost'!$D11/1000</f>
        <v>16.86349208845489</v>
      </c>
      <c r="M11" s="350">
        <f>'Falhas UM-3-1 Qty'!M12*'Falhas UM-3-1 Cost'!$D11/1000</f>
        <v>16.045125752438999</v>
      </c>
      <c r="N11" s="350">
        <f>'Falhas UM-3-1 Qty'!N12*'Falhas UM-3-1 Cost'!$D11/1000</f>
        <v>12.443463751068105</v>
      </c>
      <c r="O11" s="350">
        <f>'Falhas UM-3-1 Qty'!O12*'Falhas UM-3-1 Cost'!$D11/1000</f>
        <v>11.943469529236967</v>
      </c>
      <c r="P11" s="829">
        <f>'Falhas UM-3-1 Qty'!P12*'Falhas UM-3-1 Cost'!$D11/1000</f>
        <v>15.142981912289889</v>
      </c>
      <c r="Q11" s="834">
        <f t="shared" si="0"/>
        <v>91.56798305836071</v>
      </c>
      <c r="R11" s="350">
        <f t="shared" si="1"/>
        <v>89.293184361477827</v>
      </c>
      <c r="S11" s="807">
        <f t="shared" si="2"/>
        <v>180.86116741983852</v>
      </c>
    </row>
    <row r="12" spans="1:19" ht="18" customHeight="1">
      <c r="A12" s="1009"/>
      <c r="B12" s="105">
        <f t="shared" si="3"/>
        <v>3070</v>
      </c>
      <c r="C12" s="83" t="s">
        <v>41</v>
      </c>
      <c r="D12" s="321">
        <f>'[2]Falhas UM-3'!P13</f>
        <v>142.75</v>
      </c>
      <c r="E12" s="350">
        <f>'Falhas UM-3-1 Qty'!E13*'Falhas UM-3-1 Cost'!$D12/1000</f>
        <v>101.73903702480027</v>
      </c>
      <c r="F12" s="350">
        <f>'Falhas UM-3-1 Qty'!F13*'Falhas UM-3-1 Cost'!$D12/1000</f>
        <v>106.47664438868794</v>
      </c>
      <c r="G12" s="350">
        <f>'Falhas UM-3-1 Qty'!G13*'Falhas UM-3-1 Cost'!$D12/1000</f>
        <v>102.47147650503032</v>
      </c>
      <c r="H12" s="350">
        <f>'Falhas UM-3-1 Qty'!H13*'Falhas UM-3-1 Cost'!$D12/1000</f>
        <v>103.13395985983888</v>
      </c>
      <c r="I12" s="350">
        <f>'Falhas UM-3-1 Qty'!I13*'Falhas UM-3-1 Cost'!$D12/1000</f>
        <v>104.39388039727565</v>
      </c>
      <c r="J12" s="350">
        <f>'Falhas UM-3-1 Qty'!J13*'Falhas UM-3-1 Cost'!$D12/1000</f>
        <v>118.69391499742737</v>
      </c>
      <c r="K12" s="350">
        <f>'Falhas UM-3-1 Qty'!K13*'Falhas UM-3-1 Cost'!$D12/1000</f>
        <v>117.23396432548358</v>
      </c>
      <c r="L12" s="350">
        <f>'Falhas UM-3-1 Qty'!L13*'Falhas UM-3-1 Cost'!$D12/1000</f>
        <v>117.29545698866013</v>
      </c>
      <c r="M12" s="350">
        <f>'Falhas UM-3-1 Qty'!M13*'Falhas UM-3-1 Cost'!$D12/1000</f>
        <v>111.60324016526346</v>
      </c>
      <c r="N12" s="350">
        <f>'Falhas UM-3-1 Qty'!N13*'Falhas UM-3-1 Cost'!$D12/1000</f>
        <v>86.551573039999681</v>
      </c>
      <c r="O12" s="350">
        <f>'Falhas UM-3-1 Qty'!O13*'Falhas UM-3-1 Cost'!$D12/1000</f>
        <v>83.073820600958669</v>
      </c>
      <c r="P12" s="829">
        <f>'Falhas UM-3-1 Qty'!P13*'Falhas UM-3-1 Cost'!$D12/1000</f>
        <v>105.32830176906739</v>
      </c>
      <c r="Q12" s="834">
        <f t="shared" si="0"/>
        <v>636.90891317306045</v>
      </c>
      <c r="R12" s="350">
        <f t="shared" si="1"/>
        <v>621.08635688943286</v>
      </c>
      <c r="S12" s="807">
        <f t="shared" si="2"/>
        <v>1257.9952700624933</v>
      </c>
    </row>
    <row r="13" spans="1:19" ht="18" customHeight="1">
      <c r="A13" s="1009"/>
      <c r="B13" s="105">
        <f t="shared" si="3"/>
        <v>3080</v>
      </c>
      <c r="C13" s="83" t="s">
        <v>62</v>
      </c>
      <c r="D13" s="321">
        <f>'[2]Falhas UM-3'!P14</f>
        <v>142.75</v>
      </c>
      <c r="E13" s="350">
        <f>'Falhas UM-3-1 Qty'!E14*'Falhas UM-3-1 Cost'!$D13/1000</f>
        <v>34.185164384896815</v>
      </c>
      <c r="F13" s="350">
        <f>'Falhas UM-3-1 Qty'!F14*'Falhas UM-3-1 Cost'!$D13/1000</f>
        <v>35.777039944777719</v>
      </c>
      <c r="G13" s="350">
        <f>'Falhas UM-3-1 Qty'!G14*'Falhas UM-3-1 Cost'!$D13/1000</f>
        <v>34.431270154775</v>
      </c>
      <c r="H13" s="350">
        <f>'Falhas UM-3-1 Qty'!H14*'Falhas UM-3-1 Cost'!$D13/1000</f>
        <v>34.65387008346184</v>
      </c>
      <c r="I13" s="350">
        <f>'Falhas UM-3-1 Qty'!I14*'Falhas UM-3-1 Cost'!$D13/1000</f>
        <v>35.077213884855247</v>
      </c>
      <c r="J13" s="350">
        <f>'Falhas UM-3-1 Qty'!J14*'Falhas UM-3-1 Cost'!$D13/1000</f>
        <v>39.882144694223285</v>
      </c>
      <c r="K13" s="350">
        <f>'Falhas UM-3-1 Qty'!K14*'Falhas UM-3-1 Cost'!$D13/1000</f>
        <v>39.391589100483273</v>
      </c>
      <c r="L13" s="350">
        <f>'Falhas UM-3-1 Qty'!L14*'Falhas UM-3-1 Cost'!$D13/1000</f>
        <v>39.412251147821529</v>
      </c>
      <c r="M13" s="350">
        <f>'Falhas UM-3-1 Qty'!M14*'Falhas UM-3-1 Cost'!$D13/1000</f>
        <v>37.499618853347805</v>
      </c>
      <c r="N13" s="350">
        <f>'Falhas UM-3-1 Qty'!N14*'Falhas UM-3-1 Cost'!$D13/1000</f>
        <v>29.082049906001672</v>
      </c>
      <c r="O13" s="350">
        <f>'Falhas UM-3-1 Qty'!O14*'Falhas UM-3-1 Cost'!$D13/1000</f>
        <v>27.913496101137053</v>
      </c>
      <c r="P13" s="829">
        <f>'Falhas UM-3-1 Qty'!P14*'Falhas UM-3-1 Cost'!$D13/1000</f>
        <v>35.391187253717334</v>
      </c>
      <c r="Q13" s="834">
        <f t="shared" si="0"/>
        <v>214.00670314698991</v>
      </c>
      <c r="R13" s="350">
        <f t="shared" si="1"/>
        <v>208.69019236250864</v>
      </c>
      <c r="S13" s="807">
        <f t="shared" si="2"/>
        <v>422.69689550949852</v>
      </c>
    </row>
    <row r="14" spans="1:19" ht="18" customHeight="1">
      <c r="A14" s="1009"/>
      <c r="B14" s="105">
        <f t="shared" si="3"/>
        <v>3090</v>
      </c>
      <c r="C14" s="83" t="s">
        <v>74</v>
      </c>
      <c r="D14" s="321">
        <f>'[2]Falhas UM-3'!P15</f>
        <v>210.98159999999999</v>
      </c>
      <c r="E14" s="350">
        <f>'Falhas UM-3-1 Qty'!E15*'Falhas UM-3-1 Cost'!$D14/1000</f>
        <v>243.02540966475519</v>
      </c>
      <c r="F14" s="350">
        <f>'Falhas UM-3-1 Qty'!F15*'Falhas UM-3-1 Cost'!$D14/1000</f>
        <v>254.34219626023776</v>
      </c>
      <c r="G14" s="350">
        <f>'Falhas UM-3-1 Qty'!G15*'Falhas UM-3-1 Cost'!$D14/1000</f>
        <v>244.77499772793058</v>
      </c>
      <c r="H14" s="350">
        <f>'Falhas UM-3-1 Qty'!H15*'Falhas UM-3-1 Cost'!$D14/1000</f>
        <v>246.35748065097209</v>
      </c>
      <c r="I14" s="350">
        <f>'Falhas UM-3-1 Qty'!I15*'Falhas UM-3-1 Cost'!$D14/1000</f>
        <v>249.36706982843771</v>
      </c>
      <c r="J14" s="350">
        <f>'Falhas UM-3-1 Qty'!J15*'Falhas UM-3-1 Cost'!$D14/1000</f>
        <v>283.52575530994949</v>
      </c>
      <c r="K14" s="350">
        <f>'Falhas UM-3-1 Qty'!K15*'Falhas UM-3-1 Cost'!$D14/1000</f>
        <v>280.03835145283438</v>
      </c>
      <c r="L14" s="350">
        <f>'Falhas UM-3-1 Qty'!L15*'Falhas UM-3-1 Cost'!$D14/1000</f>
        <v>280.18523980657625</v>
      </c>
      <c r="M14" s="350">
        <f>'Falhas UM-3-1 Qty'!M15*'Falhas UM-3-1 Cost'!$D14/1000</f>
        <v>266.58816472251215</v>
      </c>
      <c r="N14" s="350">
        <f>'Falhas UM-3-1 Qty'!N15*'Falhas UM-3-1 Cost'!$D14/1000</f>
        <v>206.74690964538541</v>
      </c>
      <c r="O14" s="350">
        <f>'Falhas UM-3-1 Qty'!O15*'Falhas UM-3-1 Cost'!$D14/1000</f>
        <v>198.43955549768972</v>
      </c>
      <c r="P14" s="829">
        <f>'Falhas UM-3-1 Qty'!P15*'Falhas UM-3-1 Cost'!$D14/1000</f>
        <v>251.599134759658</v>
      </c>
      <c r="Q14" s="834">
        <f t="shared" si="0"/>
        <v>1521.3929094422829</v>
      </c>
      <c r="R14" s="350">
        <f t="shared" si="1"/>
        <v>1483.5973558846558</v>
      </c>
      <c r="S14" s="807">
        <f t="shared" si="2"/>
        <v>3004.9902653269387</v>
      </c>
    </row>
    <row r="15" spans="1:19" ht="18" customHeight="1">
      <c r="A15" s="1009"/>
      <c r="B15" s="105">
        <f t="shared" si="3"/>
        <v>3100</v>
      </c>
      <c r="C15" s="90" t="s">
        <v>73</v>
      </c>
      <c r="D15" s="321">
        <f>'[2]Falhas UM-3'!P16</f>
        <v>16.421200000000002</v>
      </c>
      <c r="E15" s="350">
        <f>'Falhas UM-3-1 Qty'!E16*'Falhas UM-3-1 Cost'!$D15/1000</f>
        <v>215.51087466426625</v>
      </c>
      <c r="F15" s="350">
        <f>'Falhas UM-3-1 Qty'!F16*'Falhas UM-3-1 Cost'!$D15/1000</f>
        <v>225.54641202204974</v>
      </c>
      <c r="G15" s="350">
        <f>'Falhas UM-3-1 Qty'!G16*'Falhas UM-3-1 Cost'!$D15/1000</f>
        <v>217.06238013983454</v>
      </c>
      <c r="H15" s="350">
        <f>'Falhas UM-3-1 Qty'!H16*'Falhas UM-3-1 Cost'!$D15/1000</f>
        <v>218.46569956785814</v>
      </c>
      <c r="I15" s="350">
        <f>'Falhas UM-3-1 Qty'!I16*'Falhas UM-3-1 Cost'!$D15/1000</f>
        <v>221.13455298903096</v>
      </c>
      <c r="J15" s="350">
        <f>'Falhas UM-3-1 Qty'!J16*'Falhas UM-3-1 Cost'!$D15/1000</f>
        <v>251.42590480963776</v>
      </c>
      <c r="K15" s="350">
        <f>'Falhas UM-3-1 Qty'!K16*'Falhas UM-3-1 Cost'!$D15/1000</f>
        <v>248.3333333102575</v>
      </c>
      <c r="L15" s="350">
        <f>'Falhas UM-3-1 Qty'!L16*'Falhas UM-3-1 Cost'!$D15/1000</f>
        <v>248.46359144925862</v>
      </c>
      <c r="M15" s="350">
        <f>'Falhas UM-3-1 Qty'!M16*'Falhas UM-3-1 Cost'!$D15/1000</f>
        <v>236.40593234157669</v>
      </c>
      <c r="N15" s="350">
        <f>'Falhas UM-3-1 Qty'!N16*'Falhas UM-3-1 Cost'!$D15/1000</f>
        <v>183.33970671328044</v>
      </c>
      <c r="O15" s="350">
        <f>'Falhas UM-3-1 Qty'!O16*'Falhas UM-3-1 Cost'!$D15/1000</f>
        <v>175.97288379140812</v>
      </c>
      <c r="P15" s="829">
        <f>'Falhas UM-3-1 Qty'!P16*'Falhas UM-3-1 Cost'!$D15/1000</f>
        <v>223.1139108936151</v>
      </c>
      <c r="Q15" s="834">
        <f t="shared" si="0"/>
        <v>1349.1458241926773</v>
      </c>
      <c r="R15" s="350">
        <f t="shared" si="1"/>
        <v>1315.6293584993966</v>
      </c>
      <c r="S15" s="807">
        <f t="shared" si="2"/>
        <v>2664.7751826920739</v>
      </c>
    </row>
    <row r="16" spans="1:19" ht="18" customHeight="1">
      <c r="A16" s="1009"/>
      <c r="B16" s="105">
        <f t="shared" si="3"/>
        <v>3110</v>
      </c>
      <c r="C16" s="90" t="s">
        <v>72</v>
      </c>
      <c r="D16" s="322">
        <f>'[2]Falhas UM-3'!P17</f>
        <v>60.866</v>
      </c>
      <c r="E16" s="351">
        <f>'Falhas UM-3-1 Qty'!E17*'Falhas UM-3-1 Cost'!$D16/1000</f>
        <v>75.68570223417052</v>
      </c>
      <c r="F16" s="351">
        <f>'Falhas UM-3-1 Qty'!F17*'Falhas UM-3-1 Cost'!$D16/1000</f>
        <v>79.210103002365415</v>
      </c>
      <c r="G16" s="351">
        <f>'Falhas UM-3-1 Qty'!G17*'Falhas UM-3-1 Cost'!$D16/1000</f>
        <v>76.230578596541932</v>
      </c>
      <c r="H16" s="351">
        <f>'Falhas UM-3-1 Qty'!H17*'Falhas UM-3-1 Cost'!$D16/1000</f>
        <v>76.723413199595157</v>
      </c>
      <c r="I16" s="351">
        <f>'Falhas UM-3-1 Qty'!I17*'Falhas UM-3-1 Cost'!$D16/1000</f>
        <v>77.660693258692945</v>
      </c>
      <c r="J16" s="351">
        <f>'Falhas UM-3-1 Qty'!J17*'Falhas UM-3-1 Cost'!$D16/1000</f>
        <v>88.298774690715831</v>
      </c>
      <c r="K16" s="351">
        <f>'Falhas UM-3-1 Qty'!K17*'Falhas UM-3-1 Cost'!$D16/1000</f>
        <v>87.212688218260027</v>
      </c>
      <c r="L16" s="351">
        <f>'Falhas UM-3-1 Qty'!L17*'Falhas UM-3-1 Cost'!$D16/1000</f>
        <v>87.25843383892709</v>
      </c>
      <c r="M16" s="351">
        <f>'Falhas UM-3-1 Qty'!M17*'Falhas UM-3-1 Cost'!$D16/1000</f>
        <v>83.023880022156447</v>
      </c>
      <c r="N16" s="351">
        <f>'Falhas UM-3-1 Qty'!N17*'Falhas UM-3-1 Cost'!$D16/1000</f>
        <v>64.387444353416186</v>
      </c>
      <c r="O16" s="351">
        <f>'Falhas UM-3-1 Qty'!O17*'Falhas UM-3-1 Cost'!$D16/1000</f>
        <v>61.800274833802455</v>
      </c>
      <c r="P16" s="609">
        <f>'Falhas UM-3-1 Qty'!P17*'Falhas UM-3-1 Cost'!$D16/1000</f>
        <v>78.355827985488446</v>
      </c>
      <c r="Q16" s="835">
        <f t="shared" si="0"/>
        <v>473.8092649820818</v>
      </c>
      <c r="R16" s="351">
        <f t="shared" si="1"/>
        <v>462.03854925205064</v>
      </c>
      <c r="S16" s="808">
        <f t="shared" si="2"/>
        <v>935.84781423413244</v>
      </c>
    </row>
    <row r="17" spans="1:19" ht="18" customHeight="1">
      <c r="A17" s="1009"/>
      <c r="B17" s="105">
        <f t="shared" si="3"/>
        <v>3120</v>
      </c>
      <c r="C17" s="90" t="s">
        <v>71</v>
      </c>
      <c r="D17" s="323">
        <f>'[2]Falhas UM-3'!P18</f>
        <v>0.3019</v>
      </c>
      <c r="E17" s="352">
        <f>'Falhas UM-3-1 Qty'!E18*'Falhas UM-3-1 Cost'!$D17/1000</f>
        <v>7.478015494957772E-4</v>
      </c>
      <c r="F17" s="352">
        <f>'Falhas UM-3-1 Qty'!F18*'Falhas UM-3-1 Cost'!$D17/1000</f>
        <v>7.8262387759343919E-4</v>
      </c>
      <c r="G17" s="352">
        <f>'Falhas UM-3-1 Qty'!G18*'Falhas UM-3-1 Cost'!$D17/1000</f>
        <v>7.5318512097674562E-4</v>
      </c>
      <c r="H17" s="352">
        <f>'Falhas UM-3-1 Qty'!H18*'Falhas UM-3-1 Cost'!$D17/1000</f>
        <v>7.580545014400211E-4</v>
      </c>
      <c r="I17" s="352">
        <f>'Falhas UM-3-1 Qty'!I18*'Falhas UM-3-1 Cost'!$D17/1000</f>
        <v>7.6731516045242247E-4</v>
      </c>
      <c r="J17" s="352">
        <f>'Falhas UM-3-1 Qty'!J18*'Falhas UM-3-1 Cost'!$D17/1000</f>
        <v>8.7242317350772543E-4</v>
      </c>
      <c r="K17" s="352">
        <f>'Falhas UM-3-1 Qty'!K18*'Falhas UM-3-1 Cost'!$D17/1000</f>
        <v>8.6169225441714258E-4</v>
      </c>
      <c r="L17" s="352">
        <f>'Falhas UM-3-1 Qty'!L18*'Falhas UM-3-1 Cost'!$D17/1000</f>
        <v>8.6214423735457525E-4</v>
      </c>
      <c r="M17" s="352">
        <f>'Falhas UM-3-1 Qty'!M18*'Falhas UM-3-1 Cost'!$D17/1000</f>
        <v>8.20305345567499E-4</v>
      </c>
      <c r="N17" s="352">
        <f>'Falhas UM-3-1 Qty'!N18*'Falhas UM-3-1 Cost'!$D17/1000</f>
        <v>6.3617075926157519E-4</v>
      </c>
      <c r="O17" s="352">
        <f>'Falhas UM-3-1 Qty'!O18*'Falhas UM-3-1 Cost'!$D17/1000</f>
        <v>6.1060860791111924E-4</v>
      </c>
      <c r="P17" s="830">
        <f>'Falhas UM-3-1 Qty'!P18*'Falhas UM-3-1 Cost'!$D17/1000</f>
        <v>7.7418333780245453E-4</v>
      </c>
      <c r="Q17" s="836">
        <f t="shared" si="0"/>
        <v>4.681403383466131E-3</v>
      </c>
      <c r="R17" s="352">
        <f t="shared" si="1"/>
        <v>4.5651045423143657E-3</v>
      </c>
      <c r="S17" s="809">
        <f t="shared" si="2"/>
        <v>9.2465079257804967E-3</v>
      </c>
    </row>
    <row r="18" spans="1:19" ht="18" customHeight="1" thickBot="1">
      <c r="A18" s="1009"/>
      <c r="B18" s="810"/>
      <c r="C18" s="86" t="s">
        <v>1</v>
      </c>
      <c r="D18" s="324">
        <f>'[2]Falhas UM-3'!P19</f>
        <v>1046.8903269685857</v>
      </c>
      <c r="E18" s="353">
        <f>SUBTOTAL(109,E6:E17)</f>
        <v>879.23673879932835</v>
      </c>
      <c r="F18" s="353">
        <f t="shared" ref="F18:P18" si="4">SUBTOTAL(109,F6:F17)</f>
        <v>920.17951327556875</v>
      </c>
      <c r="G18" s="353">
        <f t="shared" si="4"/>
        <v>885.56653824305977</v>
      </c>
      <c r="H18" s="353">
        <f t="shared" si="4"/>
        <v>891.29177136325075</v>
      </c>
      <c r="I18" s="353">
        <f t="shared" si="4"/>
        <v>902.18010348115922</v>
      </c>
      <c r="J18" s="353">
        <f t="shared" si="4"/>
        <v>1025.7621242495497</v>
      </c>
      <c r="K18" s="353">
        <f t="shared" si="4"/>
        <v>1013.1451160180405</v>
      </c>
      <c r="L18" s="353">
        <f t="shared" si="4"/>
        <v>1013.6765404369512</v>
      </c>
      <c r="M18" s="353">
        <f t="shared" si="4"/>
        <v>964.48395612811805</v>
      </c>
      <c r="N18" s="353">
        <f t="shared" si="4"/>
        <v>747.98548367516923</v>
      </c>
      <c r="O18" s="353">
        <f t="shared" si="4"/>
        <v>717.93047428768659</v>
      </c>
      <c r="P18" s="353">
        <f t="shared" si="4"/>
        <v>910.25544627606166</v>
      </c>
      <c r="Q18" s="837">
        <f t="shared" si="0"/>
        <v>5504.2167894119157</v>
      </c>
      <c r="R18" s="353">
        <f t="shared" si="1"/>
        <v>5367.4770168220275</v>
      </c>
      <c r="S18" s="811">
        <f t="shared" si="2"/>
        <v>10871.693806233943</v>
      </c>
    </row>
    <row r="19" spans="1:19" ht="18" customHeight="1" thickTop="1">
      <c r="A19" s="1009"/>
      <c r="B19" s="105">
        <v>3130</v>
      </c>
      <c r="C19" s="83" t="s">
        <v>108</v>
      </c>
      <c r="D19" s="321">
        <f>'[2]Falhas UM-3'!P20</f>
        <v>210.98159999999999</v>
      </c>
      <c r="E19" s="350">
        <f>'Falhas UM-3-1 Qty'!E20*'Falhas UM-3-1 Cost'!$D19/1000</f>
        <v>10.561710208581594</v>
      </c>
      <c r="F19" s="350">
        <f>'Falhas UM-3-1 Qty'!F20*'Falhas UM-3-1 Cost'!$D19/1000</f>
        <v>11.053529647045774</v>
      </c>
      <c r="G19" s="350">
        <f>'Falhas UM-3-1 Qty'!G20*'Falhas UM-3-1 Cost'!$D19/1000</f>
        <v>10.637746052459578</v>
      </c>
      <c r="H19" s="350">
        <f>'Falhas UM-3-1 Qty'!H20*'Falhas UM-3-1 Cost'!$D19/1000</f>
        <v>10.706519626655991</v>
      </c>
      <c r="I19" s="350">
        <f>'Falhas UM-3-1 Qty'!I20*'Falhas UM-3-1 Cost'!$D19/1000</f>
        <v>10.83731421633747</v>
      </c>
      <c r="J19" s="350">
        <f>'Falhas UM-3-1 Qty'!J20*'Falhas UM-3-1 Cost'!$D19/1000</f>
        <v>12.321826217199796</v>
      </c>
      <c r="K19" s="350">
        <f>'Falhas UM-3-1 Qty'!K20*'Falhas UM-3-1 Cost'!$D19/1000</f>
        <v>12.17026614383154</v>
      </c>
      <c r="L19" s="350">
        <f>'Falhas UM-3-1 Qty'!L20*'Falhas UM-3-1 Cost'!$D19/1000</f>
        <v>12.176649806459155</v>
      </c>
      <c r="M19" s="350">
        <f>'Falhas UM-3-1 Qty'!M20*'Falhas UM-3-1 Cost'!$D19/1000</f>
        <v>11.585730663805252</v>
      </c>
      <c r="N19" s="350">
        <f>'Falhas UM-3-1 Qty'!N20*'Falhas UM-3-1 Cost'!$D19/1000</f>
        <v>8.9850725864697143</v>
      </c>
      <c r="O19" s="350">
        <f>'Falhas UM-3-1 Qty'!O20*'Falhas UM-3-1 Cost'!$D19/1000</f>
        <v>8.6240409263274511</v>
      </c>
      <c r="P19" s="829">
        <f>'Falhas UM-3-1 Qty'!P20*'Falhas UM-3-1 Cost'!$D19/1000</f>
        <v>10.934318159270051</v>
      </c>
      <c r="Q19" s="834">
        <f t="shared" si="0"/>
        <v>66.118645968280205</v>
      </c>
      <c r="R19" s="350">
        <f t="shared" si="1"/>
        <v>64.476078286163158</v>
      </c>
      <c r="S19" s="807">
        <f t="shared" si="2"/>
        <v>130.59472425444335</v>
      </c>
    </row>
    <row r="20" spans="1:19" ht="18" customHeight="1">
      <c r="A20" s="1009"/>
      <c r="B20" s="105">
        <v>3135</v>
      </c>
      <c r="C20" s="90" t="s">
        <v>109</v>
      </c>
      <c r="D20" s="321">
        <f>'[2]Falhas UM-3'!P21</f>
        <v>210.98159999999999</v>
      </c>
      <c r="E20" s="350">
        <f>'Falhas UM-3-1 Qty'!E21*'Falhas UM-3-1 Cost'!$D20/1000</f>
        <v>8.1387283876128258</v>
      </c>
      <c r="F20" s="350">
        <f>'Falhas UM-3-1 Qty'!F21*'Falhas UM-3-1 Cost'!$D20/1000</f>
        <v>8.5177186028675393</v>
      </c>
      <c r="G20" s="350">
        <f>'Falhas UM-3-1 Qty'!G21*'Falhas UM-3-1 Cost'!$D20/1000</f>
        <v>8.1973207054121744</v>
      </c>
      <c r="H20" s="350">
        <f>'Falhas UM-3-1 Qty'!H21*'Falhas UM-3-1 Cost'!$D20/1000</f>
        <v>8.2503168044885502</v>
      </c>
      <c r="I20" s="350">
        <f>'Falhas UM-3-1 Qty'!I21*'Falhas UM-3-1 Cost'!$D20/1000</f>
        <v>8.3511055611353573</v>
      </c>
      <c r="J20" s="350">
        <f>'Falhas UM-3-1 Qty'!J21*'Falhas UM-3-1 Cost'!$D20/1000</f>
        <v>9.4950528693424339</v>
      </c>
      <c r="K20" s="350">
        <f>'Falhas UM-3-1 Qty'!K21*'Falhas UM-3-1 Cost'!$D20/1000</f>
        <v>9.3782624777116688</v>
      </c>
      <c r="L20" s="350">
        <f>'Falhas UM-3-1 Qty'!L21*'Falhas UM-3-1 Cost'!$D20/1000</f>
        <v>9.3831816522788785</v>
      </c>
      <c r="M20" s="350">
        <f>'Falhas UM-3-1 Qty'!M21*'Falhas UM-3-1 Cost'!$D20/1000</f>
        <v>8.9278263825240369</v>
      </c>
      <c r="N20" s="350">
        <f>'Falhas UM-3-1 Qty'!N21*'Falhas UM-3-1 Cost'!$D20/1000</f>
        <v>6.9237901703500349</v>
      </c>
      <c r="O20" s="350">
        <f>'Falhas UM-3-1 Qty'!O21*'Falhas UM-3-1 Cost'!$D20/1000</f>
        <v>6.6455834629893866</v>
      </c>
      <c r="P20" s="829">
        <f>'Falhas UM-3-1 Qty'!P21*'Falhas UM-3-1 Cost'!$D20/1000</f>
        <v>8.4258556469135382</v>
      </c>
      <c r="Q20" s="834">
        <f t="shared" si="0"/>
        <v>50.950242930858877</v>
      </c>
      <c r="R20" s="350">
        <f t="shared" si="1"/>
        <v>49.684499792767539</v>
      </c>
      <c r="S20" s="807">
        <f t="shared" si="2"/>
        <v>100.63474272362642</v>
      </c>
    </row>
    <row r="21" spans="1:19" ht="18" customHeight="1">
      <c r="A21" s="1009"/>
      <c r="B21" s="105">
        <v>3140</v>
      </c>
      <c r="C21" s="90" t="s">
        <v>110</v>
      </c>
      <c r="D21" s="321">
        <f>'[2]Falhas UM-3'!P22</f>
        <v>210.98159999999999</v>
      </c>
      <c r="E21" s="350">
        <f>'Falhas UM-3-1 Qty'!E22*'Falhas UM-3-1 Cost'!$D21/1000</f>
        <v>2.372133698312398</v>
      </c>
      <c r="F21" s="350">
        <f>'Falhas UM-3-1 Qty'!F22*'Falhas UM-3-1 Cost'!$D21/1000</f>
        <v>2.4825951141651093</v>
      </c>
      <c r="G21" s="350">
        <f>'Falhas UM-3-1 Qty'!G22*'Falhas UM-3-1 Cost'!$D21/1000</f>
        <v>2.3892111586839229</v>
      </c>
      <c r="H21" s="350">
        <f>'Falhas UM-3-1 Qty'!H22*'Falhas UM-3-1 Cost'!$D21/1000</f>
        <v>2.4046575314476972</v>
      </c>
      <c r="I21" s="350">
        <f>'Falhas UM-3-1 Qty'!I22*'Falhas UM-3-1 Cost'!$D21/1000</f>
        <v>2.4340336691766304</v>
      </c>
      <c r="J21" s="350">
        <f>'Falhas UM-3-1 Qty'!J22*'Falhas UM-3-1 Cost'!$D21/1000</f>
        <v>2.7674513518482708</v>
      </c>
      <c r="K21" s="350">
        <f>'Falhas UM-3-1 Qty'!K22*'Falhas UM-3-1 Cost'!$D21/1000</f>
        <v>2.7334113384171679</v>
      </c>
      <c r="L21" s="350">
        <f>'Falhas UM-3-1 Qty'!L22*'Falhas UM-3-1 Cost'!$D21/1000</f>
        <v>2.7348450930779724</v>
      </c>
      <c r="M21" s="350">
        <f>'Falhas UM-3-1 Qty'!M22*'Falhas UM-3-1 Cost'!$D21/1000</f>
        <v>2.6021261315097735</v>
      </c>
      <c r="N21" s="350">
        <f>'Falhas UM-3-1 Qty'!N22*'Falhas UM-3-1 Cost'!$D21/1000</f>
        <v>2.0180248315116502</v>
      </c>
      <c r="O21" s="350">
        <f>'Falhas UM-3-1 Qty'!O22*'Falhas UM-3-1 Cost'!$D21/1000</f>
        <v>1.9369380235735494</v>
      </c>
      <c r="P21" s="829">
        <f>'Falhas UM-3-1 Qty'!P22*'Falhas UM-3-1 Cost'!$D21/1000</f>
        <v>2.4558205121552028</v>
      </c>
      <c r="Q21" s="834">
        <f t="shared" si="0"/>
        <v>14.850082523634027</v>
      </c>
      <c r="R21" s="350">
        <f t="shared" si="1"/>
        <v>14.481165930245318</v>
      </c>
      <c r="S21" s="807">
        <f t="shared" si="2"/>
        <v>29.331248453879347</v>
      </c>
    </row>
    <row r="22" spans="1:19" ht="18" customHeight="1">
      <c r="A22" s="1009"/>
      <c r="B22" s="105">
        <f>B21+5</f>
        <v>3145</v>
      </c>
      <c r="C22" s="90" t="s">
        <v>111</v>
      </c>
      <c r="D22" s="321">
        <f>'[2]Falhas UM-3'!P23</f>
        <v>210.98159999999999</v>
      </c>
      <c r="E22" s="350">
        <f>'Falhas UM-3-1 Qty'!E23*'Falhas UM-3-1 Cost'!$D22/1000</f>
        <v>31.216600512098861</v>
      </c>
      <c r="F22" s="350">
        <f>'Falhas UM-3-1 Qty'!F23*'Falhas UM-3-1 Cost'!$D22/1000</f>
        <v>32.670241128194021</v>
      </c>
      <c r="G22" s="350">
        <f>'Falhas UM-3-1 Qty'!G23*'Falhas UM-3-1 Cost'!$D22/1000</f>
        <v>31.441335002637214</v>
      </c>
      <c r="H22" s="350">
        <f>'Falhas UM-3-1 Qty'!H23*'Falhas UM-3-1 Cost'!$D22/1000</f>
        <v>31.6446048471113</v>
      </c>
      <c r="I22" s="350">
        <f>'Falhas UM-3-1 Qty'!I23*'Falhas UM-3-1 Cost'!$D22/1000</f>
        <v>32.031186411516764</v>
      </c>
      <c r="J22" s="350">
        <f>'Falhas UM-3-1 Qty'!J23*'Falhas UM-3-1 Cost'!$D22/1000</f>
        <v>36.418867683881388</v>
      </c>
      <c r="K22" s="350">
        <f>'Falhas UM-3-1 Qty'!K23*'Falhas UM-3-1 Cost'!$D22/1000</f>
        <v>35.970910850140861</v>
      </c>
      <c r="L22" s="350">
        <f>'Falhas UM-3-1 Qty'!L23*'Falhas UM-3-1 Cost'!$D22/1000</f>
        <v>35.989778651104409</v>
      </c>
      <c r="M22" s="350">
        <f>'Falhas UM-3-1 Qty'!M23*'Falhas UM-3-1 Cost'!$D22/1000</f>
        <v>34.243235104000583</v>
      </c>
      <c r="N22" s="350">
        <f>'Falhas UM-3-1 Qty'!N23*'Falhas UM-3-1 Cost'!$D22/1000</f>
        <v>26.556629178874619</v>
      </c>
      <c r="O22" s="350">
        <f>'Falhas UM-3-1 Qty'!O23*'Falhas UM-3-1 Cost'!$D22/1000</f>
        <v>25.489549995266302</v>
      </c>
      <c r="P22" s="829">
        <f>'Falhas UM-3-1 Qty'!P23*'Falhas UM-3-1 Cost'!$D22/1000</f>
        <v>32.31789502923327</v>
      </c>
      <c r="Q22" s="834">
        <f t="shared" si="0"/>
        <v>195.42283558543954</v>
      </c>
      <c r="R22" s="350">
        <f t="shared" si="1"/>
        <v>190.56799880862008</v>
      </c>
      <c r="S22" s="807">
        <f t="shared" si="2"/>
        <v>385.99083439405962</v>
      </c>
    </row>
    <row r="23" spans="1:19" ht="18" customHeight="1">
      <c r="A23" s="1009"/>
      <c r="B23" s="617">
        <f t="shared" ref="B23:B35" si="5">B22+5</f>
        <v>3150</v>
      </c>
      <c r="C23" s="91" t="s">
        <v>112</v>
      </c>
      <c r="D23" s="325">
        <f>'[2]Falhas UM-3'!P24</f>
        <v>210.98159999999999</v>
      </c>
      <c r="E23" s="354">
        <f>'Falhas UM-3-1 Qty'!E24*'Falhas UM-3-1 Cost'!$D23/1000</f>
        <v>1.2737019783134431</v>
      </c>
      <c r="F23" s="354">
        <f>'Falhas UM-3-1 Qty'!F24*'Falhas UM-3-1 Cost'!$D23/1000</f>
        <v>1.3330135272362533</v>
      </c>
      <c r="G23" s="354">
        <f>'Falhas UM-3-1 Qty'!G24*'Falhas UM-3-1 Cost'!$D23/1000</f>
        <v>1.2828716111529648</v>
      </c>
      <c r="H23" s="354">
        <f>'Falhas UM-3-1 Qty'!H24*'Falhas UM-3-1 Cost'!$D23/1000</f>
        <v>1.2911654419606389</v>
      </c>
      <c r="I23" s="354">
        <f>'Falhas UM-3-1 Qty'!I24*'Falhas UM-3-1 Cost'!$D23/1000</f>
        <v>1.3069387707435696</v>
      </c>
      <c r="J23" s="354">
        <f>'Falhas UM-3-1 Qty'!J24*'Falhas UM-3-1 Cost'!$D23/1000</f>
        <v>1.4859652574570621</v>
      </c>
      <c r="K23" s="354">
        <f>'Falhas UM-3-1 Qty'!K24*'Falhas UM-3-1 Cost'!$D23/1000</f>
        <v>1.4676876905223413</v>
      </c>
      <c r="L23" s="354">
        <f>'Falhas UM-3-1 Qty'!L24*'Falhas UM-3-1 Cost'!$D23/1000</f>
        <v>1.4684575358936971</v>
      </c>
      <c r="M23" s="354">
        <f>'Falhas UM-3-1 Qty'!M24*'Falhas UM-3-1 Cost'!$D23/1000</f>
        <v>1.3971949405225408</v>
      </c>
      <c r="N23" s="354">
        <f>'Falhas UM-3-1 Qty'!N24*'Falhas UM-3-1 Cost'!$D23/1000</f>
        <v>1.0835654929613239</v>
      </c>
      <c r="O23" s="354">
        <f>'Falhas UM-3-1 Qty'!O24*'Falhas UM-3-1 Cost'!$D23/1000</f>
        <v>1.0400264513974533</v>
      </c>
      <c r="P23" s="384">
        <f>'Falhas UM-3-1 Qty'!P24*'Falhas UM-3-1 Cost'!$D23/1000</f>
        <v>1.3186370763756483</v>
      </c>
      <c r="Q23" s="838">
        <f t="shared" si="0"/>
        <v>7.9736565868639318</v>
      </c>
      <c r="R23" s="354">
        <f t="shared" si="1"/>
        <v>7.7755691876730051</v>
      </c>
      <c r="S23" s="812">
        <f t="shared" si="2"/>
        <v>15.749225774536937</v>
      </c>
    </row>
    <row r="24" spans="1:19" ht="18" customHeight="1">
      <c r="A24" s="1009"/>
      <c r="B24" s="105">
        <f t="shared" si="5"/>
        <v>3155</v>
      </c>
      <c r="C24" s="83" t="s">
        <v>115</v>
      </c>
      <c r="D24" s="321">
        <f>'[2]Falhas UM-3'!P25</f>
        <v>210.98159999999999</v>
      </c>
      <c r="E24" s="350">
        <f>'Falhas UM-3-1 Qty'!E25*'Falhas UM-3-1 Cost'!$D24/1000</f>
        <v>27.38192950936962</v>
      </c>
      <c r="F24" s="350">
        <f>'Falhas UM-3-1 Qty'!F25*'Falhas UM-3-1 Cost'!$D24/1000</f>
        <v>28.657003804100956</v>
      </c>
      <c r="G24" s="350">
        <f>'Falhas UM-3-1 Qty'!G25*'Falhas UM-3-1 Cost'!$D24/1000</f>
        <v>27.579057443779401</v>
      </c>
      <c r="H24" s="350">
        <f>'Falhas UM-3-1 Qty'!H25*'Falhas UM-3-1 Cost'!$D24/1000</f>
        <v>27.757357465609537</v>
      </c>
      <c r="I24" s="350">
        <f>'Falhas UM-3-1 Qty'!I25*'Falhas UM-3-1 Cost'!$D24/1000</f>
        <v>28.096451055959633</v>
      </c>
      <c r="J24" s="350">
        <f>'Falhas UM-3-1 Qty'!J25*'Falhas UM-3-1 Cost'!$D24/1000</f>
        <v>31.945146216180696</v>
      </c>
      <c r="K24" s="350">
        <f>'Falhas UM-3-1 Qty'!K25*'Falhas UM-3-1 Cost'!$D24/1000</f>
        <v>31.552216741365868</v>
      </c>
      <c r="L24" s="350">
        <f>'Falhas UM-3-1 Qty'!L25*'Falhas UM-3-1 Cost'!$D24/1000</f>
        <v>31.568766807276489</v>
      </c>
      <c r="M24" s="350">
        <f>'Falhas UM-3-1 Qty'!M25*'Falhas UM-3-1 Cost'!$D24/1000</f>
        <v>30.036770000855938</v>
      </c>
      <c r="N24" s="350">
        <f>'Falhas UM-3-1 Qty'!N25*'Falhas UM-3-1 Cost'!$D24/1000</f>
        <v>23.294392606926486</v>
      </c>
      <c r="O24" s="350">
        <f>'Falhas UM-3-1 Qty'!O25*'Falhas UM-3-1 Cost'!$D24/1000</f>
        <v>22.35839424364686</v>
      </c>
      <c r="P24" s="829">
        <f>'Falhas UM-3-1 Qty'!P25*'Falhas UM-3-1 Cost'!$D24/1000</f>
        <v>28.347940168523301</v>
      </c>
      <c r="Q24" s="834">
        <f t="shared" si="0"/>
        <v>171.41694549499985</v>
      </c>
      <c r="R24" s="350">
        <f t="shared" si="1"/>
        <v>167.15848056859497</v>
      </c>
      <c r="S24" s="807">
        <f t="shared" si="2"/>
        <v>338.57542606359482</v>
      </c>
    </row>
    <row r="25" spans="1:19" ht="18" customHeight="1">
      <c r="A25" s="1009"/>
      <c r="B25" s="105">
        <f t="shared" si="5"/>
        <v>3160</v>
      </c>
      <c r="C25" s="90" t="s">
        <v>126</v>
      </c>
      <c r="D25" s="321">
        <f>'[2]Falhas UM-3'!P26</f>
        <v>210.98159999999999</v>
      </c>
      <c r="E25" s="350">
        <f>'Falhas UM-3-1 Qty'!E26*'Falhas UM-3-1 Cost'!$D25/1000</f>
        <v>14.913159388461466</v>
      </c>
      <c r="F25" s="350">
        <f>'Falhas UM-3-1 Qty'!F26*'Falhas UM-3-1 Cost'!$D25/1000</f>
        <v>15.607609579889788</v>
      </c>
      <c r="G25" s="350">
        <f>'Falhas UM-3-1 Qty'!G26*'Falhas UM-3-1 Cost'!$D25/1000</f>
        <v>15.020522176929875</v>
      </c>
      <c r="H25" s="350">
        <f>'Falhas UM-3-1 Qty'!H26*'Falhas UM-3-1 Cost'!$D25/1000</f>
        <v>15.117630623710774</v>
      </c>
      <c r="I25" s="350">
        <f>'Falhas UM-3-1 Qty'!I26*'Falhas UM-3-1 Cost'!$D25/1000</f>
        <v>15.302312888660955</v>
      </c>
      <c r="J25" s="350">
        <f>'Falhas UM-3-1 Qty'!J26*'Falhas UM-3-1 Cost'!$D25/1000</f>
        <v>17.398447287894474</v>
      </c>
      <c r="K25" s="350">
        <f>'Falhas UM-3-1 Qty'!K26*'Falhas UM-3-1 Cost'!$D25/1000</f>
        <v>17.184444111663488</v>
      </c>
      <c r="L25" s="350">
        <f>'Falhas UM-3-1 Qty'!L26*'Falhas UM-3-1 Cost'!$D25/1000</f>
        <v>17.193457858146555</v>
      </c>
      <c r="M25" s="350">
        <f>'Falhas UM-3-1 Qty'!M26*'Falhas UM-3-1 Cost'!$D25/1000</f>
        <v>16.359078653826941</v>
      </c>
      <c r="N25" s="350">
        <f>'Falhas UM-3-1 Qty'!N26*'Falhas UM-3-1 Cost'!$D25/1000</f>
        <v>12.686943397674783</v>
      </c>
      <c r="O25" s="350">
        <f>'Falhas UM-3-1 Qty'!O26*'Falhas UM-3-1 Cost'!$D25/1000</f>
        <v>12.177165853541091</v>
      </c>
      <c r="P25" s="829">
        <f>'Falhas UM-3-1 Qty'!P26*'Falhas UM-3-1 Cost'!$D25/1000</f>
        <v>15.439282681780952</v>
      </c>
      <c r="Q25" s="834">
        <f t="shared" si="0"/>
        <v>93.359681945547322</v>
      </c>
      <c r="R25" s="350">
        <f t="shared" si="1"/>
        <v>91.040372556633798</v>
      </c>
      <c r="S25" s="807">
        <f t="shared" si="2"/>
        <v>184.40005450218112</v>
      </c>
    </row>
    <row r="26" spans="1:19" ht="18" customHeight="1">
      <c r="A26" s="1009"/>
      <c r="B26" s="105">
        <f t="shared" si="5"/>
        <v>3165</v>
      </c>
      <c r="C26" s="90" t="s">
        <v>127</v>
      </c>
      <c r="D26" s="321">
        <f>'[2]Falhas UM-3'!P27</f>
        <v>210.98159999999999</v>
      </c>
      <c r="E26" s="350">
        <f>'Falhas UM-3-1 Qty'!E27*'Falhas UM-3-1 Cost'!$D26/1000</f>
        <v>1.3163491733226318</v>
      </c>
      <c r="F26" s="350">
        <f>'Falhas UM-3-1 Qty'!F27*'Falhas UM-3-1 Cost'!$D26/1000</f>
        <v>1.3776466429994927</v>
      </c>
      <c r="G26" s="350">
        <f>'Falhas UM-3-1 Qty'!G27*'Falhas UM-3-1 Cost'!$D26/1000</f>
        <v>1.3258258317666729</v>
      </c>
      <c r="H26" s="350">
        <f>'Falhas UM-3-1 Qty'!H27*'Falhas UM-3-1 Cost'!$D26/1000</f>
        <v>1.3343973638151791</v>
      </c>
      <c r="I26" s="350">
        <f>'Falhas UM-3-1 Qty'!I27*'Falhas UM-3-1 Cost'!$D26/1000</f>
        <v>1.3506988288811681</v>
      </c>
      <c r="J26" s="350">
        <f>'Falhas UM-3-1 Qty'!J27*'Falhas UM-3-1 Cost'!$D26/1000</f>
        <v>1.535719635789397</v>
      </c>
      <c r="K26" s="350">
        <f>'Falhas UM-3-1 Qty'!K27*'Falhas UM-3-1 Cost'!$D26/1000</f>
        <v>1.5168300834965387</v>
      </c>
      <c r="L26" s="350">
        <f>'Falhas UM-3-1 Qty'!L27*'Falhas UM-3-1 Cost'!$D26/1000</f>
        <v>1.5176257054987217</v>
      </c>
      <c r="M26" s="350">
        <f>'Falhas UM-3-1 Qty'!M27*'Falhas UM-3-1 Cost'!$D26/1000</f>
        <v>1.4439770340647184</v>
      </c>
      <c r="N26" s="350">
        <f>'Falhas UM-3-1 Qty'!N27*'Falhas UM-3-1 Cost'!$D26/1000</f>
        <v>1.1198463731596404</v>
      </c>
      <c r="O26" s="350">
        <f>'Falhas UM-3-1 Qty'!O27*'Falhas UM-3-1 Cost'!$D26/1000</f>
        <v>1.0748495196211463</v>
      </c>
      <c r="P26" s="829">
        <f>'Falhas UM-3-1 Qty'!P27*'Falhas UM-3-1 Cost'!$D26/1000</f>
        <v>1.3627888273346938</v>
      </c>
      <c r="Q26" s="834">
        <f t="shared" si="0"/>
        <v>8.2406374765745412</v>
      </c>
      <c r="R26" s="350">
        <f t="shared" si="1"/>
        <v>8.0359175431754597</v>
      </c>
      <c r="S26" s="807">
        <f t="shared" si="2"/>
        <v>16.276555019749999</v>
      </c>
    </row>
    <row r="27" spans="1:19" ht="18" customHeight="1">
      <c r="A27" s="1009"/>
      <c r="B27" s="105">
        <f t="shared" si="5"/>
        <v>3170</v>
      </c>
      <c r="C27" s="90" t="s">
        <v>128</v>
      </c>
      <c r="D27" s="321">
        <f>'[2]Falhas UM-3'!P28</f>
        <v>210.98159999999999</v>
      </c>
      <c r="E27" s="350">
        <f>'Falhas UM-3-1 Qty'!E28*'Falhas UM-3-1 Cost'!$D27/1000</f>
        <v>51.760633037067144</v>
      </c>
      <c r="F27" s="350">
        <f>'Falhas UM-3-1 Qty'!F28*'Falhas UM-3-1 Cost'!$D27/1000</f>
        <v>54.170932597658833</v>
      </c>
      <c r="G27" s="350">
        <f>'Falhas UM-3-1 Qty'!G28*'Falhas UM-3-1 Cost'!$D27/1000</f>
        <v>52.133268087159145</v>
      </c>
      <c r="H27" s="350">
        <f>'Falhas UM-3-1 Qty'!H28*'Falhas UM-3-1 Cost'!$D27/1000</f>
        <v>52.470312341008849</v>
      </c>
      <c r="I27" s="350">
        <f>'Falhas UM-3-1 Qty'!I28*'Falhas UM-3-1 Cost'!$D27/1000</f>
        <v>53.111308034512739</v>
      </c>
      <c r="J27" s="350">
        <f>'Falhas UM-3-1 Qty'!J28*'Falhas UM-3-1 Cost'!$D27/1000</f>
        <v>60.386576849720683</v>
      </c>
      <c r="K27" s="350">
        <f>'Falhas UM-3-1 Qty'!K28*'Falhas UM-3-1 Cost'!$D27/1000</f>
        <v>59.643814059816528</v>
      </c>
      <c r="L27" s="350">
        <f>'Falhas UM-3-1 Qty'!L28*'Falhas UM-3-1 Cost'!$D27/1000</f>
        <v>59.675098994943021</v>
      </c>
      <c r="M27" s="350">
        <f>'Falhas UM-3-1 Qty'!M28*'Falhas UM-3-1 Cost'!$D27/1000</f>
        <v>56.779133446424666</v>
      </c>
      <c r="N27" s="350">
        <f>'Falhas UM-3-1 Qty'!N28*'Falhas UM-3-1 Cost'!$D27/1000</f>
        <v>44.033876689950255</v>
      </c>
      <c r="O27" s="350">
        <f>'Falhas UM-3-1 Qty'!O28*'Falhas UM-3-1 Cost'!$D27/1000</f>
        <v>42.264539441878135</v>
      </c>
      <c r="P27" s="829">
        <f>'Falhas UM-3-1 Qty'!P28*'Falhas UM-3-1 Cost'!$D27/1000</f>
        <v>53.586703154632794</v>
      </c>
      <c r="Q27" s="834">
        <f t="shared" si="0"/>
        <v>324.03303094712737</v>
      </c>
      <c r="R27" s="350">
        <f t="shared" si="1"/>
        <v>315.98316578764542</v>
      </c>
      <c r="S27" s="807">
        <f t="shared" si="2"/>
        <v>640.01619673477285</v>
      </c>
    </row>
    <row r="28" spans="1:19" ht="18" customHeight="1">
      <c r="A28" s="1009"/>
      <c r="B28" s="105">
        <f t="shared" si="5"/>
        <v>3175</v>
      </c>
      <c r="C28" s="90" t="s">
        <v>129</v>
      </c>
      <c r="D28" s="321">
        <f>'[2]Falhas UM-3'!P29</f>
        <v>210.98159999999999</v>
      </c>
      <c r="E28" s="350">
        <f>'Falhas UM-3-1 Qty'!E29*'Falhas UM-3-1 Cost'!$D28/1000</f>
        <v>2.3656590256613748</v>
      </c>
      <c r="F28" s="350">
        <f>'Falhas UM-3-1 Qty'!F29*'Falhas UM-3-1 Cost'!$D28/1000</f>
        <v>2.4758189401658601</v>
      </c>
      <c r="G28" s="350">
        <f>'Falhas UM-3-1 Qty'!G29*'Falhas UM-3-1 Cost'!$D28/1000</f>
        <v>2.3826898735819677</v>
      </c>
      <c r="H28" s="350">
        <f>'Falhas UM-3-1 Qty'!H29*'Falhas UM-3-1 Cost'!$D28/1000</f>
        <v>2.3980940859028617</v>
      </c>
      <c r="I28" s="350">
        <f>'Falhas UM-3-1 Qty'!I29*'Falhas UM-3-1 Cost'!$D28/1000</f>
        <v>2.4273900422846473</v>
      </c>
      <c r="J28" s="350">
        <f>'Falhas UM-3-1 Qty'!J29*'Falhas UM-3-1 Cost'!$D28/1000</f>
        <v>2.7598976707072813</v>
      </c>
      <c r="K28" s="350">
        <f>'Falhas UM-3-1 Qty'!K29*'Falhas UM-3-1 Cost'!$D28/1000</f>
        <v>2.7259505685417449</v>
      </c>
      <c r="L28" s="350">
        <f>'Falhas UM-3-1 Qty'!L29*'Falhas UM-3-1 Cost'!$D28/1000</f>
        <v>2.7273804098092618</v>
      </c>
      <c r="M28" s="350">
        <f>'Falhas UM-3-1 Qty'!M29*'Falhas UM-3-1 Cost'!$D28/1000</f>
        <v>2.5950237009384343</v>
      </c>
      <c r="N28" s="350">
        <f>'Falhas UM-3-1 Qty'!N29*'Falhas UM-3-1 Cost'!$D28/1000</f>
        <v>2.0125166891185926</v>
      </c>
      <c r="O28" s="350">
        <f>'Falhas UM-3-1 Qty'!O29*'Falhas UM-3-1 Cost'!$D28/1000</f>
        <v>1.9316512053571562</v>
      </c>
      <c r="P28" s="829">
        <f>'Falhas UM-3-1 Qty'!P29*'Falhas UM-3-1 Cost'!$D28/1000</f>
        <v>2.4491174186840441</v>
      </c>
      <c r="Q28" s="834">
        <f t="shared" si="0"/>
        <v>14.809549638303992</v>
      </c>
      <c r="R28" s="350">
        <f t="shared" si="1"/>
        <v>14.441639992449232</v>
      </c>
      <c r="S28" s="807">
        <f t="shared" si="2"/>
        <v>29.251189630753224</v>
      </c>
    </row>
    <row r="29" spans="1:19" ht="18" customHeight="1">
      <c r="A29" s="1009"/>
      <c r="B29" s="813">
        <f t="shared" si="5"/>
        <v>3180</v>
      </c>
      <c r="C29" s="93" t="s">
        <v>130</v>
      </c>
      <c r="D29" s="323">
        <f>'[2]Falhas UM-3'!P30</f>
        <v>210.98159999999999</v>
      </c>
      <c r="E29" s="352">
        <f>'Falhas UM-3-1 Qty'!E30*'Falhas UM-3-1 Cost'!$D29/1000</f>
        <v>2.507338810093108</v>
      </c>
      <c r="F29" s="352">
        <f>'Falhas UM-3-1 Qty'!F30*'Falhas UM-3-1 Cost'!$D29/1000</f>
        <v>2.6240962235485039</v>
      </c>
      <c r="G29" s="352">
        <f>'Falhas UM-3-1 Qty'!G30*'Falhas UM-3-1 Cost'!$D29/1000</f>
        <v>2.5253896388460633</v>
      </c>
      <c r="H29" s="352">
        <f>'Falhas UM-3-1 Qty'!H30*'Falhas UM-3-1 Cost'!$D29/1000</f>
        <v>2.541716412473253</v>
      </c>
      <c r="I29" s="352">
        <f>'Falhas UM-3-1 Qty'!I30*'Falhas UM-3-1 Cost'!$D29/1000</f>
        <v>2.5727669094459986</v>
      </c>
      <c r="J29" s="352">
        <f>'Falhas UM-3-1 Qty'!J30*'Falhas UM-3-1 Cost'!$D29/1000</f>
        <v>2.925188485147511</v>
      </c>
      <c r="K29" s="352">
        <f>'Falhas UM-3-1 Qty'!K30*'Falhas UM-3-1 Cost'!$D29/1000</f>
        <v>2.8892082843550284</v>
      </c>
      <c r="L29" s="352">
        <f>'Falhas UM-3-1 Qty'!L30*'Falhas UM-3-1 Cost'!$D29/1000</f>
        <v>2.8907237590973431</v>
      </c>
      <c r="M29" s="352">
        <f>'Falhas UM-3-1 Qty'!M30*'Falhas UM-3-1 Cost'!$D29/1000</f>
        <v>2.7504401808943344</v>
      </c>
      <c r="N29" s="352">
        <f>'Falhas UM-3-1 Qty'!N30*'Falhas UM-3-1 Cost'!$D29/1000</f>
        <v>2.133046709542763</v>
      </c>
      <c r="O29" s="352">
        <f>'Falhas UM-3-1 Qty'!O30*'Falhas UM-3-1 Cost'!$D29/1000</f>
        <v>2.0473381760505709</v>
      </c>
      <c r="P29" s="830">
        <f>'Falhas UM-3-1 Qty'!P30*'Falhas UM-3-1 Cost'!$D29/1000</f>
        <v>2.5957955426922785</v>
      </c>
      <c r="Q29" s="836">
        <f t="shared" si="0"/>
        <v>15.696496479554437</v>
      </c>
      <c r="R29" s="352">
        <f t="shared" si="1"/>
        <v>15.30655265263232</v>
      </c>
      <c r="S29" s="809">
        <f t="shared" si="2"/>
        <v>31.003049132186757</v>
      </c>
    </row>
    <row r="30" spans="1:19" ht="18" customHeight="1">
      <c r="A30" s="1009"/>
      <c r="B30" s="814">
        <f t="shared" si="5"/>
        <v>3185</v>
      </c>
      <c r="C30" s="90" t="s">
        <v>131</v>
      </c>
      <c r="D30" s="322">
        <f>'[2]Falhas UM-3'!P31</f>
        <v>210.98159999999999</v>
      </c>
      <c r="E30" s="351">
        <f>'Falhas UM-3-1 Qty'!E31*'Falhas UM-3-1 Cost'!$D30/1000</f>
        <v>37.68845323299724</v>
      </c>
      <c r="F30" s="351">
        <f>'Falhas UM-3-1 Qty'!F31*'Falhas UM-3-1 Cost'!$D30/1000</f>
        <v>39.443463883694271</v>
      </c>
      <c r="G30" s="351">
        <f>'Falhas UM-3-1 Qty'!G31*'Falhas UM-3-1 Cost'!$D30/1000</f>
        <v>37.95977987323193</v>
      </c>
      <c r="H30" s="351">
        <f>'Falhas UM-3-1 Qty'!H31*'Falhas UM-3-1 Cost'!$D30/1000</f>
        <v>38.205191798344366</v>
      </c>
      <c r="I30" s="351">
        <f>'Falhas UM-3-1 Qty'!I31*'Falhas UM-3-1 Cost'!$D30/1000</f>
        <v>38.671919788318398</v>
      </c>
      <c r="J30" s="351">
        <f>'Falhas UM-3-1 Qty'!J31*'Falhas UM-3-1 Cost'!$D30/1000</f>
        <v>43.969258951521645</v>
      </c>
      <c r="K30" s="351">
        <f>'Falhas UM-3-1 Qty'!K31*'Falhas UM-3-1 Cost'!$D30/1000</f>
        <v>43.428431318087064</v>
      </c>
      <c r="L30" s="351">
        <f>'Falhas UM-3-1 Qty'!L31*'Falhas UM-3-1 Cost'!$D30/1000</f>
        <v>43.451210807927694</v>
      </c>
      <c r="M30" s="351">
        <f>'Falhas UM-3-1 Qty'!M31*'Falhas UM-3-1 Cost'!$D30/1000</f>
        <v>41.342572336262478</v>
      </c>
      <c r="N30" s="351">
        <f>'Falhas UM-3-1 Qty'!N31*'Falhas UM-3-1 Cost'!$D30/1000</f>
        <v>32.06237259711056</v>
      </c>
      <c r="O30" s="351">
        <f>'Falhas UM-3-1 Qty'!O31*'Falhas UM-3-1 Cost'!$D30/1000</f>
        <v>30.774065630702097</v>
      </c>
      <c r="P30" s="609">
        <f>'Falhas UM-3-1 Qty'!P31*'Falhas UM-3-1 Cost'!$D30/1000</f>
        <v>39.018069085584706</v>
      </c>
      <c r="Q30" s="835">
        <f t="shared" si="0"/>
        <v>235.93806752810787</v>
      </c>
      <c r="R30" s="351">
        <f t="shared" si="1"/>
        <v>230.0767217756746</v>
      </c>
      <c r="S30" s="808">
        <f t="shared" si="2"/>
        <v>466.01478930378244</v>
      </c>
    </row>
    <row r="31" spans="1:19" ht="18" customHeight="1">
      <c r="A31" s="1009"/>
      <c r="B31" s="105">
        <f t="shared" si="5"/>
        <v>3190</v>
      </c>
      <c r="C31" s="90" t="s">
        <v>113</v>
      </c>
      <c r="D31" s="321">
        <f>'[2]Falhas UM-3'!P32</f>
        <v>210.98159999999999</v>
      </c>
      <c r="E31" s="350">
        <f>'Falhas UM-3-1 Qty'!E32*'Falhas UM-3-1 Cost'!$D31/1000</f>
        <v>61.926491470724272</v>
      </c>
      <c r="F31" s="350">
        <f>'Falhas UM-3-1 Qty'!F32*'Falhas UM-3-1 Cost'!$D31/1000</f>
        <v>64.810177129552685</v>
      </c>
      <c r="G31" s="350">
        <f>'Falhas UM-3-1 Qty'!G32*'Falhas UM-3-1 Cost'!$D31/1000</f>
        <v>62.372312549355399</v>
      </c>
      <c r="H31" s="350">
        <f>'Falhas UM-3-1 Qty'!H32*'Falhas UM-3-1 Cost'!$D31/1000</f>
        <v>62.775552751157662</v>
      </c>
      <c r="I31" s="350">
        <f>'Falhas UM-3-1 Qty'!I32*'Falhas UM-3-1 Cost'!$D31/1000</f>
        <v>63.542440867037413</v>
      </c>
      <c r="J31" s="350">
        <f>'Falhas UM-3-1 Qty'!J32*'Falhas UM-3-1 Cost'!$D31/1000</f>
        <v>72.246582331257201</v>
      </c>
      <c r="K31" s="350">
        <f>'Falhas UM-3-1 Qty'!K32*'Falhas UM-3-1 Cost'!$D31/1000</f>
        <v>71.357939923409702</v>
      </c>
      <c r="L31" s="350">
        <f>'Falhas UM-3-1 Qty'!L32*'Falhas UM-3-1 Cost'!$D31/1000</f>
        <v>71.395369262167705</v>
      </c>
      <c r="M31" s="350">
        <f>'Falhas UM-3-1 Qty'!M32*'Falhas UM-3-1 Cost'!$D31/1000</f>
        <v>67.930632157592399</v>
      </c>
      <c r="N31" s="350">
        <f>'Falhas UM-3-1 Qty'!N32*'Falhas UM-3-1 Cost'!$D31/1000</f>
        <v>52.682189711828869</v>
      </c>
      <c r="O31" s="350">
        <f>'Falhas UM-3-1 Qty'!O32*'Falhas UM-3-1 Cost'!$D31/1000</f>
        <v>50.565352231825351</v>
      </c>
      <c r="P31" s="829">
        <f>'Falhas UM-3-1 Qty'!P32*'Falhas UM-3-1 Cost'!$D31/1000</f>
        <v>64.11120423262949</v>
      </c>
      <c r="Q31" s="834">
        <f t="shared" si="0"/>
        <v>387.67355709908463</v>
      </c>
      <c r="R31" s="350">
        <f t="shared" si="1"/>
        <v>378.04268751945347</v>
      </c>
      <c r="S31" s="807">
        <f t="shared" si="2"/>
        <v>765.7162446185381</v>
      </c>
    </row>
    <row r="32" spans="1:19" ht="18" customHeight="1">
      <c r="A32" s="1009"/>
      <c r="B32" s="105">
        <f t="shared" si="5"/>
        <v>3195</v>
      </c>
      <c r="C32" s="90" t="s">
        <v>132</v>
      </c>
      <c r="D32" s="321">
        <f>'[2]Falhas UM-3'!P33</f>
        <v>210.98159999999999</v>
      </c>
      <c r="E32" s="350">
        <f>'Falhas UM-3-1 Qty'!E33*'Falhas UM-3-1 Cost'!$D32/1000</f>
        <v>3.8234441328883868</v>
      </c>
      <c r="F32" s="350">
        <f>'Falhas UM-3-1 Qty'!F33*'Falhas UM-3-1 Cost'!$D32/1000</f>
        <v>4.0014876608113967</v>
      </c>
      <c r="G32" s="350">
        <f>'Falhas UM-3-1 Qty'!G33*'Falhas UM-3-1 Cost'!$D32/1000</f>
        <v>3.8509698645571349</v>
      </c>
      <c r="H32" s="350">
        <f>'Falhas UM-3-1 Qty'!H33*'Falhas UM-3-1 Cost'!$D32/1000</f>
        <v>3.8758665823770757</v>
      </c>
      <c r="I32" s="350">
        <f>'Falhas UM-3-1 Qty'!I33*'Falhas UM-3-1 Cost'!$D32/1000</f>
        <v>3.9232155246085023</v>
      </c>
      <c r="J32" s="350">
        <f>'Falhas UM-3-1 Qty'!J33*'Falhas UM-3-1 Cost'!$D32/1000</f>
        <v>4.4606236325574997</v>
      </c>
      <c r="K32" s="350">
        <f>'Falhas UM-3-1 Qty'!K33*'Falhas UM-3-1 Cost'!$D32/1000</f>
        <v>4.4057573787164195</v>
      </c>
      <c r="L32" s="350">
        <f>'Falhas UM-3-1 Qty'!L33*'Falhas UM-3-1 Cost'!$D32/1000</f>
        <v>4.4080683280738482</v>
      </c>
      <c r="M32" s="350">
        <f>'Falhas UM-3-1 Qty'!M33*'Falhas UM-3-1 Cost'!$D32/1000</f>
        <v>4.1941497216765882</v>
      </c>
      <c r="N32" s="350">
        <f>'Falhas UM-3-1 Qty'!N33*'Falhas UM-3-1 Cost'!$D32/1000</f>
        <v>3.2526856338475074</v>
      </c>
      <c r="O32" s="350">
        <f>'Falhas UM-3-1 Qty'!O33*'Falhas UM-3-1 Cost'!$D32/1000</f>
        <v>3.1219885823760234</v>
      </c>
      <c r="P32" s="829">
        <f>'Falhas UM-3-1 Qty'!P33*'Falhas UM-3-1 Cost'!$D32/1000</f>
        <v>3.9583319166650903</v>
      </c>
      <c r="Q32" s="834">
        <f t="shared" si="0"/>
        <v>23.935607397799995</v>
      </c>
      <c r="R32" s="350">
        <f t="shared" si="1"/>
        <v>23.340981561355477</v>
      </c>
      <c r="S32" s="807">
        <f t="shared" si="2"/>
        <v>47.276588959155475</v>
      </c>
    </row>
    <row r="33" spans="1:19" ht="18" customHeight="1">
      <c r="A33" s="1009"/>
      <c r="B33" s="105">
        <f t="shared" si="5"/>
        <v>3200</v>
      </c>
      <c r="C33" s="90" t="s">
        <v>114</v>
      </c>
      <c r="D33" s="321">
        <f>'[2]Falhas UM-3'!P34</f>
        <v>210.98159999999999</v>
      </c>
      <c r="E33" s="350">
        <f>'Falhas UM-3-1 Qty'!E34*'Falhas UM-3-1 Cost'!$D33/1000</f>
        <v>6.1718405310787423</v>
      </c>
      <c r="F33" s="350">
        <f>'Falhas UM-3-1 Qty'!F34*'Falhas UM-3-1 Cost'!$D33/1000</f>
        <v>6.459240117352115</v>
      </c>
      <c r="G33" s="350">
        <f>'Falhas UM-3-1 Qty'!G34*'Falhas UM-3-1 Cost'!$D33/1000</f>
        <v>6.2162728335935009</v>
      </c>
      <c r="H33" s="350">
        <f>'Falhas UM-3-1 Qty'!H34*'Falhas UM-3-1 Cost'!$D33/1000</f>
        <v>6.2564613565040901</v>
      </c>
      <c r="I33" s="350">
        <f>'Falhas UM-3-1 Qty'!I34*'Falhas UM-3-1 Cost'!$D33/1000</f>
        <v>6.3328924774021118</v>
      </c>
      <c r="J33" s="350">
        <f>'Falhas UM-3-1 Qty'!J34*'Falhas UM-3-1 Cost'!$D33/1000</f>
        <v>7.2003818474806858</v>
      </c>
      <c r="K33" s="350">
        <f>'Falhas UM-3-1 Qty'!K34*'Falhas UM-3-1 Cost'!$D33/1000</f>
        <v>7.1118162094131474</v>
      </c>
      <c r="L33" s="350">
        <f>'Falhas UM-3-1 Qty'!L34*'Falhas UM-3-1 Cost'!$D33/1000</f>
        <v>7.1155465662364028</v>
      </c>
      <c r="M33" s="350">
        <f>'Falhas UM-3-1 Qty'!M34*'Falhas UM-3-1 Cost'!$D33/1000</f>
        <v>6.7702370810113353</v>
      </c>
      <c r="N33" s="350">
        <f>'Falhas UM-3-1 Qty'!N34*'Falhas UM-3-1 Cost'!$D33/1000</f>
        <v>5.2505166368606178</v>
      </c>
      <c r="O33" s="350">
        <f>'Falhas UM-3-1 Qty'!O34*'Falhas UM-3-1 Cost'!$D33/1000</f>
        <v>5.0395441911994805</v>
      </c>
      <c r="P33" s="829">
        <f>'Falhas UM-3-1 Qty'!P34*'Falhas UM-3-1 Cost'!$D33/1000</f>
        <v>6.3895776973941638</v>
      </c>
      <c r="Q33" s="834">
        <f t="shared" si="0"/>
        <v>38.637089163411247</v>
      </c>
      <c r="R33" s="350">
        <f t="shared" si="1"/>
        <v>37.677238382115149</v>
      </c>
      <c r="S33" s="807">
        <f t="shared" si="2"/>
        <v>76.314327545526396</v>
      </c>
    </row>
    <row r="34" spans="1:19" ht="18" customHeight="1">
      <c r="A34" s="1009"/>
      <c r="B34" s="105">
        <f t="shared" si="5"/>
        <v>3205</v>
      </c>
      <c r="C34" s="90" t="s">
        <v>133</v>
      </c>
      <c r="D34" s="321">
        <f>'[2]Falhas UM-3'!P35</f>
        <v>210.98159999999999</v>
      </c>
      <c r="E34" s="350">
        <f>'Falhas UM-3-1 Qty'!E35*'Falhas UM-3-1 Cost'!$D34/1000</f>
        <v>39.436995965216418</v>
      </c>
      <c r="F34" s="350">
        <f>'Falhas UM-3-1 Qty'!F35*'Falhas UM-3-1 Cost'!$D34/1000</f>
        <v>41.273429727105409</v>
      </c>
      <c r="G34" s="350">
        <f>'Falhas UM-3-1 Qty'!G35*'Falhas UM-3-1 Cost'!$D34/1000</f>
        <v>39.720910710935478</v>
      </c>
      <c r="H34" s="350">
        <f>'Falhas UM-3-1 Qty'!H35*'Falhas UM-3-1 Cost'!$D34/1000</f>
        <v>39.977708437301224</v>
      </c>
      <c r="I34" s="350">
        <f>'Falhas UM-3-1 Qty'!I35*'Falhas UM-3-1 Cost'!$D34/1000</f>
        <v>40.466090110692477</v>
      </c>
      <c r="J34" s="350">
        <f>'Falhas UM-3-1 Qty'!J35*'Falhas UM-3-1 Cost'!$D34/1000</f>
        <v>46.009197489339748</v>
      </c>
      <c r="K34" s="350">
        <f>'Falhas UM-3-1 Qty'!K35*'Falhas UM-3-1 Cost'!$D34/1000</f>
        <v>45.443278345198181</v>
      </c>
      <c r="L34" s="350">
        <f>'Falhas UM-3-1 Qty'!L35*'Falhas UM-3-1 Cost'!$D34/1000</f>
        <v>45.467114681579005</v>
      </c>
      <c r="M34" s="350">
        <f>'Falhas UM-3-1 Qty'!M35*'Falhas UM-3-1 Cost'!$D34/1000</f>
        <v>43.260646658466982</v>
      </c>
      <c r="N34" s="350">
        <f>'Falhas UM-3-1 Qty'!N35*'Falhas UM-3-1 Cost'!$D34/1000</f>
        <v>33.549895267138758</v>
      </c>
      <c r="O34" s="350">
        <f>'Falhas UM-3-1 Qty'!O35*'Falhas UM-3-1 Cost'!$D34/1000</f>
        <v>32.201817745301703</v>
      </c>
      <c r="P34" s="829">
        <f>'Falhas UM-3-1 Qty'!P35*'Falhas UM-3-1 Cost'!$D34/1000</f>
        <v>40.828298884697091</v>
      </c>
      <c r="Q34" s="834">
        <f t="shared" si="0"/>
        <v>246.88433244059075</v>
      </c>
      <c r="R34" s="350">
        <f t="shared" si="1"/>
        <v>240.75105158238173</v>
      </c>
      <c r="S34" s="807">
        <f t="shared" si="2"/>
        <v>487.63538402297252</v>
      </c>
    </row>
    <row r="35" spans="1:19" ht="18" customHeight="1">
      <c r="A35" s="1009"/>
      <c r="B35" s="105">
        <f t="shared" si="5"/>
        <v>3210</v>
      </c>
      <c r="C35" s="90" t="s">
        <v>116</v>
      </c>
      <c r="D35" s="321">
        <f>'[2]Falhas UM-3'!P36</f>
        <v>210.98159999999999</v>
      </c>
      <c r="E35" s="350">
        <f>'Falhas UM-3-1 Qty'!E36*'Falhas UM-3-1 Cost'!$D35/1000</f>
        <v>34.784547941852566</v>
      </c>
      <c r="F35" s="350">
        <f>'Falhas UM-3-1 Qty'!F36*'Falhas UM-3-1 Cost'!$D35/1000</f>
        <v>36.404334557669003</v>
      </c>
      <c r="G35" s="350">
        <f>'Falhas UM-3-1 Qty'!G36*'Falhas UM-3-1 Cost'!$D35/1000</f>
        <v>35.034968792684467</v>
      </c>
      <c r="H35" s="350">
        <f>'Falhas UM-3-1 Qty'!H36*'Falhas UM-3-1 Cost'!$D35/1000</f>
        <v>35.261471664049374</v>
      </c>
      <c r="I35" s="350">
        <f>'Falhas UM-3-1 Qty'!I36*'Falhas UM-3-1 Cost'!$D35/1000</f>
        <v>35.692238138934627</v>
      </c>
      <c r="J35" s="350">
        <f>'Falhas UM-3-1 Qty'!J36*'Falhas UM-3-1 Cost'!$D35/1000</f>
        <v>40.581415918333839</v>
      </c>
      <c r="K35" s="350">
        <f>'Falhas UM-3-1 Qty'!K36*'Falhas UM-3-1 Cost'!$D35/1000</f>
        <v>40.082259197117878</v>
      </c>
      <c r="L35" s="350">
        <f>'Falhas UM-3-1 Qty'!L36*'Falhas UM-3-1 Cost'!$D35/1000</f>
        <v>40.103283521240549</v>
      </c>
      <c r="M35" s="350">
        <f>'Falhas UM-3-1 Qty'!M36*'Falhas UM-3-1 Cost'!$D35/1000</f>
        <v>38.157116201604957</v>
      </c>
      <c r="N35" s="350">
        <f>'Falhas UM-3-1 Qty'!N36*'Falhas UM-3-1 Cost'!$D35/1000</f>
        <v>29.59195830720056</v>
      </c>
      <c r="O35" s="350">
        <f>'Falhas UM-3-1 Qty'!O36*'Falhas UM-3-1 Cost'!$D35/1000</f>
        <v>28.402915733343402</v>
      </c>
      <c r="P35" s="829">
        <f>'Falhas UM-3-1 Qty'!P36*'Falhas UM-3-1 Cost'!$D35/1000</f>
        <v>36.011716541281388</v>
      </c>
      <c r="Q35" s="834">
        <f t="shared" si="0"/>
        <v>217.75897701352386</v>
      </c>
      <c r="R35" s="350">
        <f t="shared" si="1"/>
        <v>212.34924950178873</v>
      </c>
      <c r="S35" s="807">
        <f t="shared" si="2"/>
        <v>430.10822651531259</v>
      </c>
    </row>
    <row r="36" spans="1:19" ht="18" customHeight="1" thickBot="1">
      <c r="A36" s="1010"/>
      <c r="B36" s="815"/>
      <c r="C36" s="89" t="s">
        <v>1</v>
      </c>
      <c r="D36" s="326">
        <f>'[2]Falhas UM-3'!P37</f>
        <v>352.61910011204191</v>
      </c>
      <c r="E36" s="353">
        <f>SUBTOTAL(109,E19:E35)</f>
        <v>337.63971700365204</v>
      </c>
      <c r="F36" s="353">
        <f t="shared" ref="F36:P36" si="6">SUBTOTAL(109,F19:F35)</f>
        <v>353.36233888405701</v>
      </c>
      <c r="G36" s="353">
        <f t="shared" si="6"/>
        <v>340.0704522067669</v>
      </c>
      <c r="H36" s="353">
        <f t="shared" si="6"/>
        <v>342.26902513391838</v>
      </c>
      <c r="I36" s="353">
        <f t="shared" si="6"/>
        <v>346.45030329564838</v>
      </c>
      <c r="J36" s="353">
        <f t="shared" si="6"/>
        <v>393.90759969565954</v>
      </c>
      <c r="K36" s="353">
        <f t="shared" si="6"/>
        <v>389.06248472180516</v>
      </c>
      <c r="L36" s="353">
        <f t="shared" si="6"/>
        <v>389.26655944081068</v>
      </c>
      <c r="M36" s="353">
        <f t="shared" si="6"/>
        <v>370.37589039598197</v>
      </c>
      <c r="N36" s="353">
        <f t="shared" si="6"/>
        <v>287.23732288052673</v>
      </c>
      <c r="O36" s="353">
        <f t="shared" si="6"/>
        <v>275.69576141439711</v>
      </c>
      <c r="P36" s="353">
        <f t="shared" si="6"/>
        <v>349.55135257584772</v>
      </c>
      <c r="Q36" s="837">
        <f t="shared" si="0"/>
        <v>2113.6994362197024</v>
      </c>
      <c r="R36" s="353">
        <f t="shared" si="1"/>
        <v>2061.1893714293697</v>
      </c>
      <c r="S36" s="811">
        <f t="shared" si="2"/>
        <v>4174.8888076490721</v>
      </c>
    </row>
    <row r="37" spans="1:19" ht="18" customHeight="1" thickTop="1">
      <c r="A37" s="1011" t="s">
        <v>172</v>
      </c>
      <c r="B37" s="105">
        <f>B35+10</f>
        <v>3220</v>
      </c>
      <c r="C37" s="83" t="s">
        <v>19</v>
      </c>
      <c r="D37" s="321">
        <f>'[2]Falhas UM-3'!P38</f>
        <v>210.98159999999999</v>
      </c>
      <c r="E37" s="351">
        <f>'Falhas UM-3-1 Qty'!E38*'Falhas UM-3-1 Cost'!$D37/1000</f>
        <v>1.9845039762562324</v>
      </c>
      <c r="F37" s="351">
        <f>'Falhas UM-3-1 Qty'!F38*'Falhas UM-3-1 Cost'!$D37/1000</f>
        <v>2.0769149222069401</v>
      </c>
      <c r="G37" s="351">
        <f>'Falhas UM-3-1 Qty'!G38*'Falhas UM-3-1 Cost'!$D37/1000</f>
        <v>1.9987908134761412</v>
      </c>
      <c r="H37" s="351">
        <f>'Falhas UM-3-1 Qty'!H38*'Falhas UM-3-1 Cost'!$D37/1000</f>
        <v>2.0117130986703753</v>
      </c>
      <c r="I37" s="351">
        <f>'Falhas UM-3-1 Qty'!I38*'Falhas UM-3-1 Cost'!$D37/1000</f>
        <v>2.0362888897278495</v>
      </c>
      <c r="J37" s="351">
        <f>'Falhas UM-3-1 Qty'!J38*'Falhas UM-3-1 Cost'!$D37/1000</f>
        <v>2.315222879614987</v>
      </c>
      <c r="K37" s="351">
        <f>'Falhas UM-3-1 Qty'!K38*'Falhas UM-3-1 Cost'!$D37/1000</f>
        <v>2.286745335514544</v>
      </c>
      <c r="L37" s="351">
        <f>'Falhas UM-3-1 Qty'!L38*'Falhas UM-3-1 Cost'!$D37/1000</f>
        <v>2.2879448007164278</v>
      </c>
      <c r="M37" s="351">
        <f>'Falhas UM-3-1 Qty'!M38*'Falhas UM-3-1 Cost'!$D37/1000</f>
        <v>2.1769134085381263</v>
      </c>
      <c r="N37" s="351">
        <f>'Falhas UM-3-1 Qty'!N38*'Falhas UM-3-1 Cost'!$D37/1000</f>
        <v>1.6882599430073415</v>
      </c>
      <c r="O37" s="351">
        <f>'Falhas UM-3-1 Qty'!O38*'Falhas UM-3-1 Cost'!$D37/1000</f>
        <v>1.6204235082863276</v>
      </c>
      <c r="P37" s="609">
        <f>'Falhas UM-3-1 Qty'!P38*'Falhas UM-3-1 Cost'!$D37/1000</f>
        <v>2.054515550624664</v>
      </c>
      <c r="Q37" s="835">
        <f t="shared" si="0"/>
        <v>12.423434579952525</v>
      </c>
      <c r="R37" s="351">
        <f t="shared" si="1"/>
        <v>12.114802546687432</v>
      </c>
      <c r="S37" s="808">
        <f t="shared" si="2"/>
        <v>24.538237126639956</v>
      </c>
    </row>
    <row r="38" spans="1:19" ht="18" customHeight="1">
      <c r="A38" s="1009"/>
      <c r="B38" s="105">
        <f>B37+10</f>
        <v>3230</v>
      </c>
      <c r="C38" s="83" t="s">
        <v>61</v>
      </c>
      <c r="D38" s="321">
        <f>'[2]Falhas UM-3'!P39</f>
        <v>210.98159999999999</v>
      </c>
      <c r="E38" s="351">
        <f>'Falhas UM-3-1 Qty'!E39*'Falhas UM-3-1 Cost'!$D38/1000</f>
        <v>0.67264158866463186</v>
      </c>
      <c r="F38" s="351">
        <f>'Falhas UM-3-1 Qty'!F39*'Falhas UM-3-1 Cost'!$D38/1000</f>
        <v>0.70396399780968644</v>
      </c>
      <c r="G38" s="351">
        <f>'Falhas UM-3-1 Qty'!G39*'Falhas UM-3-1 Cost'!$D38/1000</f>
        <v>0.67748406869972944</v>
      </c>
      <c r="H38" s="351">
        <f>'Falhas UM-3-1 Qty'!H39*'Falhas UM-3-1 Cost'!$D38/1000</f>
        <v>0.68186403797478445</v>
      </c>
      <c r="I38" s="351">
        <f>'Falhas UM-3-1 Qty'!I39*'Falhas UM-3-1 Cost'!$D38/1000</f>
        <v>0.69019392762850795</v>
      </c>
      <c r="J38" s="351">
        <f>'Falhas UM-3-1 Qty'!J39*'Falhas UM-3-1 Cost'!$D38/1000</f>
        <v>0.78473775537341295</v>
      </c>
      <c r="K38" s="351">
        <f>'Falhas UM-3-1 Qty'!K39*'Falhas UM-3-1 Cost'!$D38/1000</f>
        <v>0.77508537838945468</v>
      </c>
      <c r="L38" s="351">
        <f>'Falhas UM-3-1 Qty'!L39*'Falhas UM-3-1 Cost'!$D38/1000</f>
        <v>0.77549193347253664</v>
      </c>
      <c r="M38" s="351">
        <f>'Falhas UM-3-1 Qty'!M39*'Falhas UM-3-1 Cost'!$D38/1000</f>
        <v>0.73785818069601128</v>
      </c>
      <c r="N38" s="351">
        <f>'Falhas UM-3-1 Qty'!N39*'Falhas UM-3-1 Cost'!$D38/1000</f>
        <v>0.57223057435521862</v>
      </c>
      <c r="O38" s="351">
        <f>'Falhas UM-3-1 Qty'!O39*'Falhas UM-3-1 Cost'!$D38/1000</f>
        <v>0.54923762107015262</v>
      </c>
      <c r="P38" s="609">
        <f>'Falhas UM-3-1 Qty'!P39*'Falhas UM-3-1 Cost'!$D38/1000</f>
        <v>0.69637179891945533</v>
      </c>
      <c r="Q38" s="835">
        <f t="shared" si="0"/>
        <v>4.2108853761507525</v>
      </c>
      <c r="R38" s="351">
        <f t="shared" si="1"/>
        <v>4.1062754869028293</v>
      </c>
      <c r="S38" s="808">
        <f t="shared" si="2"/>
        <v>8.3171608630535818</v>
      </c>
    </row>
    <row r="39" spans="1:19" ht="18" customHeight="1">
      <c r="A39" s="1009"/>
      <c r="B39" s="105">
        <f t="shared" ref="B39:B48" si="7">B38+10</f>
        <v>3240</v>
      </c>
      <c r="C39" s="83" t="s">
        <v>70</v>
      </c>
      <c r="D39" s="321">
        <f>'[2]Falhas UM-3'!P40</f>
        <v>210.98159999999999</v>
      </c>
      <c r="E39" s="351">
        <f>'Falhas UM-3-1 Qty'!E40*'Falhas UM-3-1 Cost'!$D39/1000</f>
        <v>19.74820039731404</v>
      </c>
      <c r="F39" s="351">
        <f>'Falhas UM-3-1 Qty'!F40*'Falhas UM-3-1 Cost'!$D39/1000</f>
        <v>20.667800408891097</v>
      </c>
      <c r="G39" s="351">
        <f>'Falhas UM-3-1 Qty'!G40*'Falhas UM-3-1 Cost'!$D39/1000</f>
        <v>19.890371603740562</v>
      </c>
      <c r="H39" s="351">
        <f>'Falhas UM-3-1 Qty'!H40*'Falhas UM-3-1 Cost'!$D39/1000</f>
        <v>20.01896387700392</v>
      </c>
      <c r="I39" s="351">
        <f>'Falhas UM-3-1 Qty'!I40*'Falhas UM-3-1 Cost'!$D39/1000</f>
        <v>20.263522543820553</v>
      </c>
      <c r="J39" s="351">
        <f>'Falhas UM-3-1 Qty'!J40*'Falhas UM-3-1 Cost'!$D39/1000</f>
        <v>23.039251086478977</v>
      </c>
      <c r="K39" s="351">
        <f>'Falhas UM-3-1 Qty'!K40*'Falhas UM-3-1 Cost'!$D39/1000</f>
        <v>22.755865286073661</v>
      </c>
      <c r="L39" s="351">
        <f>'Falhas UM-3-1 Qty'!L40*'Falhas UM-3-1 Cost'!$D39/1000</f>
        <v>22.767801406867481</v>
      </c>
      <c r="M39" s="351">
        <f>'Falhas UM-3-1 Qty'!M40*'Falhas UM-3-1 Cost'!$D39/1000</f>
        <v>21.662905569235384</v>
      </c>
      <c r="N39" s="351">
        <f>'Falhas UM-3-1 Qty'!N40*'Falhas UM-3-1 Cost'!$D39/1000</f>
        <v>16.800216112523529</v>
      </c>
      <c r="O39" s="351">
        <f>'Falhas UM-3-1 Qty'!O40*'Falhas UM-3-1 Cost'!$D39/1000</f>
        <v>16.125162031938043</v>
      </c>
      <c r="P39" s="609">
        <f>'Falhas UM-3-1 Qty'!P40*'Falhas UM-3-1 Cost'!$D39/1000</f>
        <v>20.444899732413145</v>
      </c>
      <c r="Q39" s="835">
        <f t="shared" si="0"/>
        <v>123.62810991724913</v>
      </c>
      <c r="R39" s="351">
        <f t="shared" si="1"/>
        <v>120.55685013905125</v>
      </c>
      <c r="S39" s="808">
        <f t="shared" si="2"/>
        <v>244.18496005630038</v>
      </c>
    </row>
    <row r="40" spans="1:19" ht="18" customHeight="1">
      <c r="A40" s="1009"/>
      <c r="B40" s="105">
        <f t="shared" si="7"/>
        <v>3250</v>
      </c>
      <c r="C40" s="83" t="s">
        <v>69</v>
      </c>
      <c r="D40" s="321">
        <f>'[2]Falhas UM-3'!P41</f>
        <v>210.98159999999999</v>
      </c>
      <c r="E40" s="351">
        <f>'Falhas UM-3-1 Qty'!E41*'Falhas UM-3-1 Cost'!$D40/1000</f>
        <v>10.459350381046228</v>
      </c>
      <c r="F40" s="351">
        <f>'Falhas UM-3-1 Qty'!F41*'Falhas UM-3-1 Cost'!$D40/1000</f>
        <v>10.946403304248623</v>
      </c>
      <c r="G40" s="351">
        <f>'Falhas UM-3-1 Qty'!G41*'Falhas UM-3-1 Cost'!$D40/1000</f>
        <v>10.534649316250126</v>
      </c>
      <c r="H40" s="351">
        <f>'Falhas UM-3-1 Qty'!H41*'Falhas UM-3-1 Cost'!$D40/1000</f>
        <v>10.602756364755654</v>
      </c>
      <c r="I40" s="351">
        <f>'Falhas UM-3-1 Qty'!I41*'Falhas UM-3-1 Cost'!$D40/1000</f>
        <v>10.732283346125794</v>
      </c>
      <c r="J40" s="351">
        <f>'Falhas UM-3-1 Qty'!J41*'Falhas UM-3-1 Cost'!$D40/1000</f>
        <v>12.202408056541634</v>
      </c>
      <c r="K40" s="351">
        <f>'Falhas UM-3-1 Qty'!K41*'Falhas UM-3-1 Cost'!$D40/1000</f>
        <v>12.052316842161638</v>
      </c>
      <c r="L40" s="351">
        <f>'Falhas UM-3-1 Qty'!L41*'Falhas UM-3-1 Cost'!$D40/1000</f>
        <v>12.058638636910592</v>
      </c>
      <c r="M40" s="351">
        <f>'Falhas UM-3-1 Qty'!M41*'Falhas UM-3-1 Cost'!$D40/1000</f>
        <v>11.473446443806987</v>
      </c>
      <c r="N40" s="351">
        <f>'Falhas UM-3-1 Qty'!N41*'Falhas UM-3-1 Cost'!$D40/1000</f>
        <v>8.8979928936755925</v>
      </c>
      <c r="O40" s="351">
        <f>'Falhas UM-3-1 Qty'!O41*'Falhas UM-3-1 Cost'!$D40/1000</f>
        <v>8.5404602064967197</v>
      </c>
      <c r="P40" s="609">
        <f>'Falhas UM-3-1 Qty'!P41*'Falhas UM-3-1 Cost'!$D40/1000</f>
        <v>10.828347166041105</v>
      </c>
      <c r="Q40" s="835">
        <f t="shared" si="0"/>
        <v>65.477850768968054</v>
      </c>
      <c r="R40" s="351">
        <f t="shared" si="1"/>
        <v>63.851202189092632</v>
      </c>
      <c r="S40" s="808">
        <f t="shared" si="2"/>
        <v>129.32905295806069</v>
      </c>
    </row>
    <row r="41" spans="1:19" ht="18" customHeight="1">
      <c r="A41" s="1009"/>
      <c r="B41" s="105">
        <f t="shared" si="7"/>
        <v>3260</v>
      </c>
      <c r="C41" s="83" t="s">
        <v>15</v>
      </c>
      <c r="D41" s="321">
        <f>'[2]Falhas UM-3'!P42</f>
        <v>210.98159999999999</v>
      </c>
      <c r="E41" s="351">
        <f>'Falhas UM-3-1 Qty'!E42*'Falhas UM-3-1 Cost'!$D41/1000</f>
        <v>10.791385733508896</v>
      </c>
      <c r="F41" s="351">
        <f>'Falhas UM-3-1 Qty'!F42*'Falhas UM-3-1 Cost'!$D41/1000</f>
        <v>11.293900304245021</v>
      </c>
      <c r="G41" s="351">
        <f>'Falhas UM-3-1 Qty'!G42*'Falhas UM-3-1 Cost'!$D41/1000</f>
        <v>10.869075056985457</v>
      </c>
      <c r="H41" s="351">
        <f>'Falhas UM-3-1 Qty'!H42*'Falhas UM-3-1 Cost'!$D41/1000</f>
        <v>10.939344185068768</v>
      </c>
      <c r="I41" s="351">
        <f>'Falhas UM-3-1 Qty'!I42*'Falhas UM-3-1 Cost'!$D41/1000</f>
        <v>11.072983041014846</v>
      </c>
      <c r="J41" s="351">
        <f>'Falhas UM-3-1 Qty'!J42*'Falhas UM-3-1 Cost'!$D41/1000</f>
        <v>12.589777320629894</v>
      </c>
      <c r="K41" s="351">
        <f>'Falhas UM-3-1 Qty'!K42*'Falhas UM-3-1 Cost'!$D41/1000</f>
        <v>12.434921413658804</v>
      </c>
      <c r="L41" s="351">
        <f>'Falhas UM-3-1 Qty'!L42*'Falhas UM-3-1 Cost'!$D41/1000</f>
        <v>12.441443895761294</v>
      </c>
      <c r="M41" s="351">
        <f>'Falhas UM-3-1 Qty'!M42*'Falhas UM-3-1 Cost'!$D41/1000</f>
        <v>11.837674593275478</v>
      </c>
      <c r="N41" s="351">
        <f>'Falhas UM-3-1 Qty'!N42*'Falhas UM-3-1 Cost'!$D41/1000</f>
        <v>9.1804624638714429</v>
      </c>
      <c r="O41" s="351">
        <f>'Falhas UM-3-1 Qty'!O42*'Falhas UM-3-1 Cost'!$D41/1000</f>
        <v>8.811579789601641</v>
      </c>
      <c r="P41" s="609">
        <f>'Falhas UM-3-1 Qty'!P42*'Falhas UM-3-1 Cost'!$D41/1000</f>
        <v>11.172096436969055</v>
      </c>
      <c r="Q41" s="835">
        <f t="shared" si="0"/>
        <v>67.556465641452888</v>
      </c>
      <c r="R41" s="351">
        <f t="shared" si="1"/>
        <v>65.878178593137719</v>
      </c>
      <c r="S41" s="808">
        <f t="shared" si="2"/>
        <v>133.43464423459062</v>
      </c>
    </row>
    <row r="42" spans="1:19" ht="18" customHeight="1">
      <c r="A42" s="1009"/>
      <c r="B42" s="105">
        <f t="shared" si="7"/>
        <v>3270</v>
      </c>
      <c r="C42" s="83" t="s">
        <v>14</v>
      </c>
      <c r="D42" s="321">
        <f>'[2]Falhas UM-3'!P43</f>
        <v>210.98159999999999</v>
      </c>
      <c r="E42" s="351">
        <f>'Falhas UM-3-1 Qty'!E43*'Falhas UM-3-1 Cost'!$D42/1000</f>
        <v>11.374496265638454</v>
      </c>
      <c r="F42" s="351">
        <f>'Falhas UM-3-1 Qty'!F43*'Falhas UM-3-1 Cost'!$D42/1000</f>
        <v>11.904164118258931</v>
      </c>
      <c r="G42" s="351">
        <f>'Falhas UM-3-1 Qty'!G43*'Falhas UM-3-1 Cost'!$D42/1000</f>
        <v>11.45638351733961</v>
      </c>
      <c r="H42" s="351">
        <f>'Falhas UM-3-1 Qty'!H43*'Falhas UM-3-1 Cost'!$D42/1000</f>
        <v>11.530449624761882</v>
      </c>
      <c r="I42" s="351">
        <f>'Falhas UM-3-1 Qty'!I43*'Falhas UM-3-1 Cost'!$D42/1000</f>
        <v>11.671309631571091</v>
      </c>
      <c r="J42" s="351">
        <f>'Falhas UM-3-1 Qty'!J43*'Falhas UM-3-1 Cost'!$D42/1000</f>
        <v>13.270063609538042</v>
      </c>
      <c r="K42" s="351">
        <f>'Falhas UM-3-1 Qty'!K43*'Falhas UM-3-1 Cost'!$D42/1000</f>
        <v>13.106840092276</v>
      </c>
      <c r="L42" s="351">
        <f>'Falhas UM-3-1 Qty'!L43*'Falhas UM-3-1 Cost'!$D42/1000</f>
        <v>13.113715015492499</v>
      </c>
      <c r="M42" s="351">
        <f>'Falhas UM-3-1 Qty'!M43*'Falhas UM-3-1 Cost'!$D42/1000</f>
        <v>12.47732115042036</v>
      </c>
      <c r="N42" s="351">
        <f>'Falhas UM-3-1 Qty'!N43*'Falhas UM-3-1 Cost'!$D42/1000</f>
        <v>9.6765270550833868</v>
      </c>
      <c r="O42" s="351">
        <f>'Falhas UM-3-1 Qty'!O43*'Falhas UM-3-1 Cost'!$D42/1000</f>
        <v>9.2877118737381554</v>
      </c>
      <c r="P42" s="609">
        <f>'Falhas UM-3-1 Qty'!P43*'Falhas UM-3-1 Cost'!$D42/1000</f>
        <v>11.775778601543619</v>
      </c>
      <c r="Q42" s="835">
        <f t="shared" si="0"/>
        <v>71.206866767108011</v>
      </c>
      <c r="R42" s="351">
        <f t="shared" si="1"/>
        <v>69.437893788554007</v>
      </c>
      <c r="S42" s="808">
        <f t="shared" si="2"/>
        <v>140.644760555662</v>
      </c>
    </row>
    <row r="43" spans="1:19" ht="18" customHeight="1">
      <c r="A43" s="1009"/>
      <c r="B43" s="105">
        <f t="shared" si="7"/>
        <v>3280</v>
      </c>
      <c r="C43" s="83" t="s">
        <v>68</v>
      </c>
      <c r="D43" s="321">
        <f>'[2]Falhas UM-3'!P44</f>
        <v>210.98159999999999</v>
      </c>
      <c r="E43" s="351">
        <f>'Falhas UM-3-1 Qty'!E44*'Falhas UM-3-1 Cost'!$D43/1000</f>
        <v>33.678861309465297</v>
      </c>
      <c r="F43" s="351">
        <f>'Falhas UM-3-1 Qty'!F44*'Falhas UM-3-1 Cost'!$D43/1000</f>
        <v>35.247160224150129</v>
      </c>
      <c r="G43" s="351">
        <f>'Falhas UM-3-1 Qty'!G44*'Falhas UM-3-1 Cost'!$D43/1000</f>
        <v>33.921322103213839</v>
      </c>
      <c r="H43" s="351">
        <f>'Falhas UM-3-1 Qty'!H44*'Falhas UM-3-1 Cost'!$D43/1000</f>
        <v>34.140625191574976</v>
      </c>
      <c r="I43" s="351">
        <f>'Falhas UM-3-1 Qty'!I44*'Falhas UM-3-1 Cost'!$D43/1000</f>
        <v>34.557699013798555</v>
      </c>
      <c r="J43" s="351">
        <f>'Falhas UM-3-1 Qty'!J44*'Falhas UM-3-1 Cost'!$D43/1000</f>
        <v>39.291465875594838</v>
      </c>
      <c r="K43" s="351">
        <f>'Falhas UM-3-1 Qty'!K44*'Falhas UM-3-1 Cost'!$D43/1000</f>
        <v>38.808175708546479</v>
      </c>
      <c r="L43" s="351">
        <f>'Falhas UM-3-1 Qty'!L44*'Falhas UM-3-1 Cost'!$D43/1000</f>
        <v>38.828531738397317</v>
      </c>
      <c r="M43" s="351">
        <f>'Falhas UM-3-1 Qty'!M44*'Falhas UM-3-1 Cost'!$D43/1000</f>
        <v>36.944226691438303</v>
      </c>
      <c r="N43" s="351">
        <f>'Falhas UM-3-1 Qty'!N44*'Falhas UM-3-1 Cost'!$D43/1000</f>
        <v>28.651327059638326</v>
      </c>
      <c r="O43" s="351">
        <f>'Falhas UM-3-1 Qty'!O44*'Falhas UM-3-1 Cost'!$D43/1000</f>
        <v>27.500080247320202</v>
      </c>
      <c r="P43" s="609">
        <f>'Falhas UM-3-1 Qty'!P44*'Falhas UM-3-1 Cost'!$D43/1000</f>
        <v>34.867022246114018</v>
      </c>
      <c r="Q43" s="835">
        <f t="shared" si="0"/>
        <v>210.83713371779763</v>
      </c>
      <c r="R43" s="351">
        <f t="shared" si="1"/>
        <v>205.59936369145464</v>
      </c>
      <c r="S43" s="808">
        <f t="shared" si="2"/>
        <v>416.4364974092523</v>
      </c>
    </row>
    <row r="44" spans="1:19" ht="18" customHeight="1">
      <c r="A44" s="1009"/>
      <c r="B44" s="105">
        <f t="shared" si="7"/>
        <v>3290</v>
      </c>
      <c r="C44" s="83" t="s">
        <v>13</v>
      </c>
      <c r="D44" s="321">
        <f>'[2]Falhas UM-3'!P45</f>
        <v>210.98159999999999</v>
      </c>
      <c r="E44" s="351">
        <f>'Falhas UM-3-1 Qty'!E45*'Falhas UM-3-1 Cost'!$D44/1000</f>
        <v>35.892356248080787</v>
      </c>
      <c r="F44" s="351">
        <f>'Falhas UM-3-1 Qty'!F45*'Falhas UM-3-1 Cost'!$D44/1000</f>
        <v>37.563729363463594</v>
      </c>
      <c r="G44" s="351">
        <f>'Falhas UM-3-1 Qty'!G45*'Falhas UM-3-1 Cost'!$D44/1000</f>
        <v>36.150752430346294</v>
      </c>
      <c r="H44" s="351">
        <f>'Falhas UM-3-1 Qty'!H45*'Falhas UM-3-1 Cost'!$D44/1000</f>
        <v>36.384468900194697</v>
      </c>
      <c r="I44" s="351">
        <f>'Falhas UM-3-1 Qty'!I45*'Falhas UM-3-1 Cost'!$D44/1000</f>
        <v>36.828954302223131</v>
      </c>
      <c r="J44" s="351">
        <f>'Falhas UM-3-1 Qty'!J45*'Falhas UM-3-1 Cost'!$D44/1000</f>
        <v>41.873841213266061</v>
      </c>
      <c r="K44" s="351">
        <f>'Falhas UM-3-1 Qty'!K45*'Falhas UM-3-1 Cost'!$D44/1000</f>
        <v>41.358787491956924</v>
      </c>
      <c r="L44" s="351">
        <f>'Falhas UM-3-1 Qty'!L45*'Falhas UM-3-1 Cost'!$D44/1000</f>
        <v>41.380481392724221</v>
      </c>
      <c r="M44" s="351">
        <f>'Falhas UM-3-1 Qty'!M45*'Falhas UM-3-1 Cost'!$D44/1000</f>
        <v>39.372333094476907</v>
      </c>
      <c r="N44" s="351">
        <f>'Falhas UM-3-1 Qty'!N45*'Falhas UM-3-1 Cost'!$D44/1000</f>
        <v>30.534394508041125</v>
      </c>
      <c r="O44" s="351">
        <f>'Falhas UM-3-1 Qty'!O45*'Falhas UM-3-1 Cost'!$D44/1000</f>
        <v>29.307483647323387</v>
      </c>
      <c r="P44" s="609">
        <f>'Falhas UM-3-1 Qty'!P45*'Falhas UM-3-1 Cost'!$D44/1000</f>
        <v>37.158607361097609</v>
      </c>
      <c r="Q44" s="835">
        <f t="shared" si="0"/>
        <v>224.69410245757456</v>
      </c>
      <c r="R44" s="351">
        <f t="shared" si="1"/>
        <v>219.11208749562016</v>
      </c>
      <c r="S44" s="808">
        <f t="shared" si="2"/>
        <v>443.80618995319469</v>
      </c>
    </row>
    <row r="45" spans="1:19" ht="18" customHeight="1">
      <c r="A45" s="1009"/>
      <c r="B45" s="105">
        <f t="shared" si="7"/>
        <v>3300</v>
      </c>
      <c r="C45" s="83" t="s">
        <v>12</v>
      </c>
      <c r="D45" s="321">
        <f>'[2]Falhas UM-3'!P46</f>
        <v>210.98159999999999</v>
      </c>
      <c r="E45" s="351">
        <f>'Falhas UM-3-1 Qty'!E46*'Falhas UM-3-1 Cost'!$D45/1000</f>
        <v>3.4704652533754534</v>
      </c>
      <c r="F45" s="351">
        <f>'Falhas UM-3-1 Qty'!F46*'Falhas UM-3-1 Cost'!$D45/1000</f>
        <v>3.6320718718507186</v>
      </c>
      <c r="G45" s="351">
        <f>'Falhas UM-3-1 Qty'!G46*'Falhas UM-3-1 Cost'!$D45/1000</f>
        <v>3.4954498201717681</v>
      </c>
      <c r="H45" s="351">
        <f>'Falhas UM-3-1 Qty'!H46*'Falhas UM-3-1 Cost'!$D45/1000</f>
        <v>3.5180480826581944</v>
      </c>
      <c r="I45" s="351">
        <f>'Falhas UM-3-1 Qty'!I46*'Falhas UM-3-1 Cost'!$D45/1000</f>
        <v>3.5610257889060186</v>
      </c>
      <c r="J45" s="351">
        <f>'Falhas UM-3-1 Qty'!J46*'Falhas UM-3-1 Cost'!$D45/1000</f>
        <v>4.0488205887506039</v>
      </c>
      <c r="K45" s="351">
        <f>'Falhas UM-3-1 Qty'!K46*'Falhas UM-3-1 Cost'!$D45/1000</f>
        <v>3.9990195661855092</v>
      </c>
      <c r="L45" s="351">
        <f>'Falhas UM-3-1 Qty'!L46*'Falhas UM-3-1 Cost'!$D45/1000</f>
        <v>4.0011171695945107</v>
      </c>
      <c r="M45" s="351">
        <f>'Falhas UM-3-1 Qty'!M46*'Falhas UM-3-1 Cost'!$D45/1000</f>
        <v>3.8069474459764083</v>
      </c>
      <c r="N45" s="351">
        <f>'Falhas UM-3-1 Qty'!N46*'Falhas UM-3-1 Cost'!$D45/1000</f>
        <v>2.9523989576104031</v>
      </c>
      <c r="O45" s="351">
        <f>'Falhas UM-3-1 Qty'!O46*'Falhas UM-3-1 Cost'!$D45/1000</f>
        <v>2.8337678072429058</v>
      </c>
      <c r="P45" s="609">
        <f>'Falhas UM-3-1 Qty'!P46*'Falhas UM-3-1 Cost'!$D45/1000</f>
        <v>3.5929002492670317</v>
      </c>
      <c r="Q45" s="835">
        <f t="shared" si="0"/>
        <v>21.725881405712759</v>
      </c>
      <c r="R45" s="351">
        <f t="shared" si="1"/>
        <v>21.186151195876771</v>
      </c>
      <c r="S45" s="808">
        <f t="shared" si="2"/>
        <v>42.91203260158953</v>
      </c>
    </row>
    <row r="46" spans="1:19" ht="18" customHeight="1">
      <c r="A46" s="1009"/>
      <c r="B46" s="105">
        <f t="shared" si="7"/>
        <v>3310</v>
      </c>
      <c r="C46" s="83" t="s">
        <v>133</v>
      </c>
      <c r="D46" s="321">
        <f>'[2]Falhas UM-3'!P47</f>
        <v>210.98159999999999</v>
      </c>
      <c r="E46" s="351">
        <f>'Falhas UM-3-1 Qty'!E47*'Falhas UM-3-1 Cost'!$D46/1000</f>
        <v>45.287113226854146</v>
      </c>
      <c r="F46" s="351">
        <f>'Falhas UM-3-1 Qty'!F47*'Falhas UM-3-1 Cost'!$D46/1000</f>
        <v>47.395965122714522</v>
      </c>
      <c r="G46" s="351">
        <f>'Falhas UM-3-1 Qty'!G47*'Falhas UM-3-1 Cost'!$D46/1000</f>
        <v>45.613144125543613</v>
      </c>
      <c r="H46" s="351">
        <f>'Falhas UM-3-1 Qty'!H47*'Falhas UM-3-1 Cost'!$D46/1000</f>
        <v>45.908035443345341</v>
      </c>
      <c r="I46" s="351">
        <f>'Falhas UM-3-1 Qty'!I47*'Falhas UM-3-1 Cost'!$D46/1000</f>
        <v>46.468864066303794</v>
      </c>
      <c r="J46" s="351">
        <f>'Falhas UM-3-1 Qty'!J47*'Falhas UM-3-1 Cost'!$D46/1000</f>
        <v>52.83424067122624</v>
      </c>
      <c r="K46" s="351">
        <f>'Falhas UM-3-1 Qty'!K47*'Falhas UM-3-1 Cost'!$D46/1000</f>
        <v>52.184372603673928</v>
      </c>
      <c r="L46" s="351">
        <f>'Falhas UM-3-1 Qty'!L47*'Falhas UM-3-1 Cost'!$D46/1000</f>
        <v>52.211744842308519</v>
      </c>
      <c r="M46" s="351">
        <f>'Falhas UM-3-1 Qty'!M47*'Falhas UM-3-1 Cost'!$D46/1000</f>
        <v>49.677967490650182</v>
      </c>
      <c r="N46" s="351">
        <f>'Falhas UM-3-1 Qty'!N47*'Falhas UM-3-1 Cost'!$D46/1000</f>
        <v>38.526715043207346</v>
      </c>
      <c r="O46" s="351">
        <f>'Falhas UM-3-1 Qty'!O47*'Falhas UM-3-1 Cost'!$D46/1000</f>
        <v>36.978662564163088</v>
      </c>
      <c r="P46" s="609">
        <f>'Falhas UM-3-1 Qty'!P47*'Falhas UM-3-1 Cost'!$D46/1000</f>
        <v>46.884803195505583</v>
      </c>
      <c r="Q46" s="835">
        <f t="shared" si="0"/>
        <v>283.50736265598766</v>
      </c>
      <c r="R46" s="351">
        <f t="shared" si="1"/>
        <v>276.46426573950862</v>
      </c>
      <c r="S46" s="808">
        <f t="shared" si="2"/>
        <v>559.97162839549628</v>
      </c>
    </row>
    <row r="47" spans="1:19" ht="18" customHeight="1">
      <c r="A47" s="1009"/>
      <c r="B47" s="105">
        <f t="shared" si="7"/>
        <v>3320</v>
      </c>
      <c r="C47" s="83" t="s">
        <v>11</v>
      </c>
      <c r="D47" s="321">
        <f>'[2]Falhas UM-3'!P48</f>
        <v>210.98159999999999</v>
      </c>
      <c r="E47" s="351">
        <f>'Falhas UM-3-1 Qty'!E48*'Falhas UM-3-1 Cost'!$D47/1000</f>
        <v>66.51054171301459</v>
      </c>
      <c r="F47" s="351">
        <f>'Falhas UM-3-1 Qty'!F48*'Falhas UM-3-1 Cost'!$D47/1000</f>
        <v>69.60768948844445</v>
      </c>
      <c r="G47" s="351">
        <f>'Falhas UM-3-1 Qty'!G48*'Falhas UM-3-1 Cost'!$D47/1000</f>
        <v>66.989364277358561</v>
      </c>
      <c r="H47" s="351">
        <f>'Falhas UM-3-1 Qty'!H48*'Falhas UM-3-1 Cost'!$D47/1000</f>
        <v>67.422453955546018</v>
      </c>
      <c r="I47" s="351">
        <f>'Falhas UM-3-1 Qty'!I48*'Falhas UM-3-1 Cost'!$D47/1000</f>
        <v>68.246110242363883</v>
      </c>
      <c r="J47" s="351">
        <f>'Falhas UM-3-1 Qty'!J48*'Falhas UM-3-1 Cost'!$D47/1000</f>
        <v>77.594567585626308</v>
      </c>
      <c r="K47" s="351">
        <f>'Falhas UM-3-1 Qty'!K48*'Falhas UM-3-1 Cost'!$D47/1000</f>
        <v>76.640144259980019</v>
      </c>
      <c r="L47" s="351">
        <f>'Falhas UM-3-1 Qty'!L48*'Falhas UM-3-1 Cost'!$D47/1000</f>
        <v>76.680344270308908</v>
      </c>
      <c r="M47" s="351">
        <f>'Falhas UM-3-1 Qty'!M48*'Falhas UM-3-1 Cost'!$D47/1000</f>
        <v>72.959133262780284</v>
      </c>
      <c r="N47" s="351">
        <f>'Falhas UM-3-1 Qty'!N48*'Falhas UM-3-1 Cost'!$D47/1000</f>
        <v>56.581939217693616</v>
      </c>
      <c r="O47" s="351">
        <f>'Falhas UM-3-1 Qty'!O48*'Falhas UM-3-1 Cost'!$D47/1000</f>
        <v>54.308404835723877</v>
      </c>
      <c r="P47" s="609">
        <f>'Falhas UM-3-1 Qty'!P48*'Falhas UM-3-1 Cost'!$D47/1000</f>
        <v>68.856975780740626</v>
      </c>
      <c r="Q47" s="835">
        <f t="shared" si="0"/>
        <v>416.3707272623538</v>
      </c>
      <c r="R47" s="351">
        <f t="shared" si="1"/>
        <v>406.0269416272273</v>
      </c>
      <c r="S47" s="808">
        <f t="shared" si="2"/>
        <v>822.39766888958115</v>
      </c>
    </row>
    <row r="48" spans="1:19" ht="18" customHeight="1">
      <c r="A48" s="1009"/>
      <c r="B48" s="105">
        <f t="shared" si="7"/>
        <v>3330</v>
      </c>
      <c r="C48" s="83" t="s">
        <v>6</v>
      </c>
      <c r="D48" s="321">
        <f>'[2]Falhas UM-3'!P49</f>
        <v>210.98159999999999</v>
      </c>
      <c r="E48" s="351">
        <f>'Falhas UM-3-1 Qty'!E49*'Falhas UM-3-1 Cost'!$D48/1000</f>
        <v>56.829292642721541</v>
      </c>
      <c r="F48" s="351">
        <f>'Falhas UM-3-1 Qty'!F49*'Falhas UM-3-1 Cost'!$D48/1000</f>
        <v>59.47562076987942</v>
      </c>
      <c r="G48" s="351">
        <f>'Falhas UM-3-1 Qty'!G49*'Falhas UM-3-1 Cost'!$D48/1000</f>
        <v>57.23841797732571</v>
      </c>
      <c r="H48" s="351">
        <f>'Falhas UM-3-1 Qty'!H49*'Falhas UM-3-1 Cost'!$D48/1000</f>
        <v>57.608467287229942</v>
      </c>
      <c r="I48" s="351">
        <f>'Falhas UM-3-1 Qty'!I49*'Falhas UM-3-1 Cost'!$D48/1000</f>
        <v>58.312232479258597</v>
      </c>
      <c r="J48" s="351">
        <f>'Falhas UM-3-1 Qty'!J49*'Falhas UM-3-1 Cost'!$D48/1000</f>
        <v>66.299931939151932</v>
      </c>
      <c r="K48" s="351">
        <f>'Falhas UM-3-1 Qty'!K49*'Falhas UM-3-1 Cost'!$D48/1000</f>
        <v>65.484434108563988</v>
      </c>
      <c r="L48" s="351">
        <f>'Falhas UM-3-1 Qty'!L49*'Falhas UM-3-1 Cost'!$D48/1000</f>
        <v>65.518782620730349</v>
      </c>
      <c r="M48" s="351">
        <f>'Falhas UM-3-1 Qty'!M49*'Falhas UM-3-1 Cost'!$D48/1000</f>
        <v>62.339229667385816</v>
      </c>
      <c r="N48" s="351">
        <f>'Falhas UM-3-1 Qty'!N49*'Falhas UM-3-1 Cost'!$D48/1000</f>
        <v>48.345893737710924</v>
      </c>
      <c r="O48" s="351">
        <f>'Falhas UM-3-1 Qty'!O49*'Falhas UM-3-1 Cost'!$D48/1000</f>
        <v>46.403294152764758</v>
      </c>
      <c r="P48" s="609">
        <f>'Falhas UM-3-1 Qty'!P49*'Falhas UM-3-1 Cost'!$D48/1000</f>
        <v>58.834180662984977</v>
      </c>
      <c r="Q48" s="835">
        <f t="shared" si="0"/>
        <v>355.76396309556714</v>
      </c>
      <c r="R48" s="351">
        <f t="shared" si="1"/>
        <v>346.92581495014082</v>
      </c>
      <c r="S48" s="808">
        <f t="shared" si="2"/>
        <v>702.68977804570795</v>
      </c>
    </row>
    <row r="49" spans="1:19" ht="18" customHeight="1">
      <c r="A49" s="1009"/>
      <c r="B49" s="816"/>
      <c r="C49" s="98" t="s">
        <v>1</v>
      </c>
      <c r="D49" s="327">
        <f>'[2]Falhas UM-3'!P50</f>
        <v>657.86546343483792</v>
      </c>
      <c r="E49" s="355">
        <f>SUBTOTAL(109,E37:E48)</f>
        <v>296.69920873594026</v>
      </c>
      <c r="F49" s="355">
        <f t="shared" ref="F49:P49" si="8">SUBTOTAL(109,F37:F48)</f>
        <v>310.51538389616314</v>
      </c>
      <c r="G49" s="355">
        <f t="shared" si="8"/>
        <v>298.8352051104514</v>
      </c>
      <c r="H49" s="355">
        <f t="shared" si="8"/>
        <v>300.76719004878453</v>
      </c>
      <c r="I49" s="355">
        <f t="shared" si="8"/>
        <v>304.44146727274267</v>
      </c>
      <c r="J49" s="355">
        <f t="shared" si="8"/>
        <v>346.14432858179288</v>
      </c>
      <c r="K49" s="355">
        <f t="shared" si="8"/>
        <v>341.88670808698089</v>
      </c>
      <c r="L49" s="355">
        <f t="shared" si="8"/>
        <v>342.06603772328469</v>
      </c>
      <c r="M49" s="355">
        <f t="shared" si="8"/>
        <v>325.46595699868027</v>
      </c>
      <c r="N49" s="355">
        <f t="shared" si="8"/>
        <v>252.40835756641826</v>
      </c>
      <c r="O49" s="355">
        <f t="shared" si="8"/>
        <v>242.2662682856693</v>
      </c>
      <c r="P49" s="355">
        <f t="shared" si="8"/>
        <v>307.16649878222086</v>
      </c>
      <c r="Q49" s="839">
        <f t="shared" si="0"/>
        <v>1857.4027836458747</v>
      </c>
      <c r="R49" s="355">
        <f t="shared" si="1"/>
        <v>1811.2598274432544</v>
      </c>
      <c r="S49" s="817">
        <f t="shared" si="2"/>
        <v>3668.6626110891293</v>
      </c>
    </row>
    <row r="50" spans="1:19" ht="18" customHeight="1">
      <c r="A50" s="1009"/>
      <c r="B50" s="105">
        <f>B48+10</f>
        <v>3340</v>
      </c>
      <c r="C50" s="83" t="s">
        <v>2</v>
      </c>
      <c r="D50" s="321">
        <f>'[2]Falhas UM-3'!P51</f>
        <v>210.98159999999999</v>
      </c>
      <c r="E50" s="350">
        <f>'Falhas UM-3-1 Qty'!E51*'Falhas UM-3-1 Cost'!$D50/1000</f>
        <v>404.14259686248437</v>
      </c>
      <c r="F50" s="350">
        <f>'Falhas UM-3-1 Qty'!F51*'Falhas UM-3-1 Cost'!$D50/1000</f>
        <v>422.9620097343564</v>
      </c>
      <c r="G50" s="350">
        <f>'Falhas UM-3-1 Qty'!G51*'Falhas UM-3-1 Cost'!$D50/1000</f>
        <v>407.05209947073718</v>
      </c>
      <c r="H50" s="350">
        <f>'Falhas UM-3-1 Qty'!H51*'Falhas UM-3-1 Cost'!$D50/1000</f>
        <v>409.68371218518854</v>
      </c>
      <c r="I50" s="350">
        <f>'Falhas UM-3-1 Qty'!I51*'Falhas UM-3-1 Cost'!$D50/1000</f>
        <v>414.68855175051641</v>
      </c>
      <c r="J50" s="350">
        <f>'Falhas UM-3-1 Qty'!J51*'Falhas UM-3-1 Cost'!$D50/1000</f>
        <v>471.49322857402439</v>
      </c>
      <c r="K50" s="350">
        <f>'Falhas UM-3-1 Qty'!K51*'Falhas UM-3-1 Cost'!$D50/1000</f>
        <v>465.69380022179155</v>
      </c>
      <c r="L50" s="350">
        <f>'Falhas UM-3-1 Qty'!L51*'Falhas UM-3-1 Cost'!$D50/1000</f>
        <v>465.93807032018162</v>
      </c>
      <c r="M50" s="350">
        <f>'Falhas UM-3-1 Qty'!M51*'Falhas UM-3-1 Cost'!$D50/1000</f>
        <v>443.32661894236799</v>
      </c>
      <c r="N50" s="350">
        <f>'Falhas UM-3-1 Qty'!N51*'Falhas UM-3-1 Cost'!$D50/1000</f>
        <v>343.81274399512768</v>
      </c>
      <c r="O50" s="350">
        <f>'Falhas UM-3-1 Qty'!O51*'Falhas UM-3-1 Cost'!$D50/1000</f>
        <v>329.9979100527122</v>
      </c>
      <c r="P50" s="829">
        <f>'Falhas UM-3-1 Qty'!P51*'Falhas UM-3-1 Cost'!$D50/1000</f>
        <v>418.40039619885391</v>
      </c>
      <c r="Q50" s="834">
        <f t="shared" si="0"/>
        <v>2530.0221985773073</v>
      </c>
      <c r="R50" s="350">
        <f t="shared" si="1"/>
        <v>2467.1695397310345</v>
      </c>
      <c r="S50" s="807">
        <f t="shared" si="2"/>
        <v>4997.1917383083419</v>
      </c>
    </row>
    <row r="51" spans="1:19" ht="18" customHeight="1">
      <c r="A51" s="1009"/>
      <c r="B51" s="816">
        <f>B50+10</f>
        <v>3350</v>
      </c>
      <c r="C51" s="100" t="s">
        <v>60</v>
      </c>
      <c r="D51" s="328">
        <f>'[2]Falhas UM-3'!P52</f>
        <v>210.98159999999999</v>
      </c>
      <c r="E51" s="356">
        <f>'Falhas UM-3-1 Qty'!E52*'Falhas UM-3-1 Cost'!$D51/1000</f>
        <v>45.921196211319554</v>
      </c>
      <c r="F51" s="356">
        <f>'Falhas UM-3-1 Qty'!F52*'Falhas UM-3-1 Cost'!$D51/1000</f>
        <v>48.059574985990331</v>
      </c>
      <c r="G51" s="356">
        <f>'Falhas UM-3-1 Qty'!G52*'Falhas UM-3-1 Cost'!$D51/1000</f>
        <v>46.251791999014721</v>
      </c>
      <c r="H51" s="356">
        <f>'Falhas UM-3-1 Qty'!H52*'Falhas UM-3-1 Cost'!$D51/1000</f>
        <v>46.550812208096126</v>
      </c>
      <c r="I51" s="356">
        <f>'Falhas UM-3-1 Qty'!I52*'Falhas UM-3-1 Cost'!$D51/1000</f>
        <v>47.119493216903024</v>
      </c>
      <c r="J51" s="356">
        <f>'Falhas UM-3-1 Qty'!J52*'Falhas UM-3-1 Cost'!$D51/1000</f>
        <v>53.573994005446472</v>
      </c>
      <c r="K51" s="356">
        <f>'Falhas UM-3-1 Qty'!K52*'Falhas UM-3-1 Cost'!$D51/1000</f>
        <v>52.915026875171449</v>
      </c>
      <c r="L51" s="356">
        <f>'Falhas UM-3-1 Qty'!L52*'Falhas UM-3-1 Cost'!$D51/1000</f>
        <v>52.942782363466442</v>
      </c>
      <c r="M51" s="356">
        <f>'Falhas UM-3-1 Qty'!M52*'Falhas UM-3-1 Cost'!$D51/1000</f>
        <v>50.373528581745916</v>
      </c>
      <c r="N51" s="356">
        <f>'Falhas UM-3-1 Qty'!N52*'Falhas UM-3-1 Cost'!$D51/1000</f>
        <v>39.06614298894268</v>
      </c>
      <c r="O51" s="356">
        <f>'Falhas UM-3-1 Qty'!O52*'Falhas UM-3-1 Cost'!$D51/1000</f>
        <v>37.496415608009563</v>
      </c>
      <c r="P51" s="382">
        <f>'Falhas UM-3-1 Qty'!P52*'Falhas UM-3-1 Cost'!$D51/1000</f>
        <v>47.541256076203908</v>
      </c>
      <c r="Q51" s="840">
        <f t="shared" si="0"/>
        <v>287.47686262677024</v>
      </c>
      <c r="R51" s="356">
        <f t="shared" si="1"/>
        <v>280.33515249353997</v>
      </c>
      <c r="S51" s="818">
        <f t="shared" si="2"/>
        <v>567.81201512031021</v>
      </c>
    </row>
    <row r="52" spans="1:19" ht="18" customHeight="1">
      <c r="A52" s="1009"/>
      <c r="B52" s="819">
        <f>B51+10</f>
        <v>3360</v>
      </c>
      <c r="C52" s="80" t="s">
        <v>67</v>
      </c>
      <c r="D52" s="320">
        <f>'[2]Falhas UM-3'!P53</f>
        <v>120</v>
      </c>
      <c r="E52" s="349">
        <f>'Falhas UM-3-1 Qty'!E53*'Falhas UM-3-1 Cost'!$D52/1000</f>
        <v>0</v>
      </c>
      <c r="F52" s="349">
        <f>'Falhas UM-3-1 Qty'!F53*'Falhas UM-3-1 Cost'!$D52/1000</f>
        <v>0</v>
      </c>
      <c r="G52" s="349">
        <f>'Falhas UM-3-1 Qty'!G53*'Falhas UM-3-1 Cost'!$D52/1000</f>
        <v>0</v>
      </c>
      <c r="H52" s="349">
        <f>'Falhas UM-3-1 Qty'!H53*'Falhas UM-3-1 Cost'!$D52/1000</f>
        <v>0</v>
      </c>
      <c r="I52" s="349">
        <f>'Falhas UM-3-1 Qty'!I53*'Falhas UM-3-1 Cost'!$D52/1000</f>
        <v>0</v>
      </c>
      <c r="J52" s="349">
        <f>'Falhas UM-3-1 Qty'!J53*'Falhas UM-3-1 Cost'!$D52/1000</f>
        <v>0</v>
      </c>
      <c r="K52" s="349">
        <f>'Falhas UM-3-1 Qty'!K53*'Falhas UM-3-1 Cost'!$D52/1000</f>
        <v>0</v>
      </c>
      <c r="L52" s="349">
        <f>'Falhas UM-3-1 Qty'!L53*'Falhas UM-3-1 Cost'!$D52/1000</f>
        <v>0</v>
      </c>
      <c r="M52" s="349">
        <f>'Falhas UM-3-1 Qty'!M53*'Falhas UM-3-1 Cost'!$D52/1000</f>
        <v>0</v>
      </c>
      <c r="N52" s="349">
        <f>'Falhas UM-3-1 Qty'!N53*'Falhas UM-3-1 Cost'!$D52/1000</f>
        <v>0</v>
      </c>
      <c r="O52" s="349">
        <f>'Falhas UM-3-1 Qty'!O53*'Falhas UM-3-1 Cost'!$D52/1000</f>
        <v>0</v>
      </c>
      <c r="P52" s="383">
        <f>'Falhas UM-3-1 Qty'!P53*'Falhas UM-3-1 Cost'!$D52/1000</f>
        <v>0</v>
      </c>
      <c r="Q52" s="841">
        <f t="shared" si="0"/>
        <v>0</v>
      </c>
      <c r="R52" s="349">
        <f t="shared" si="1"/>
        <v>0</v>
      </c>
      <c r="S52" s="820">
        <f t="shared" si="2"/>
        <v>0</v>
      </c>
    </row>
    <row r="53" spans="1:19" ht="18" customHeight="1">
      <c r="A53" s="1009"/>
      <c r="B53" s="821">
        <f>B52+10</f>
        <v>3370</v>
      </c>
      <c r="C53" s="91" t="s">
        <v>66</v>
      </c>
      <c r="D53" s="325">
        <f>'[2]Falhas UM-3'!P54</f>
        <v>2.1146400000000001</v>
      </c>
      <c r="E53" s="354">
        <f>'Falhas UM-3-1 Qty'!E54*'Falhas UM-3-1 Cost'!$D53/1000</f>
        <v>95.476168165882058</v>
      </c>
      <c r="F53" s="354">
        <f>'Falhas UM-3-1 Qty'!F54*'Falhas UM-3-1 Cost'!$D53/1000</f>
        <v>99.922137093897362</v>
      </c>
      <c r="G53" s="354">
        <f>'Falhas UM-3-1 Qty'!G54*'Falhas UM-3-1 Cost'!$D53/1000</f>
        <v>96.163520012634152</v>
      </c>
      <c r="H53" s="354">
        <f>'Falhas UM-3-1 Qty'!H54*'Falhas UM-3-1 Cost'!$D53/1000</f>
        <v>96.785222104972448</v>
      </c>
      <c r="I53" s="354">
        <f>'Falhas UM-3-1 Qty'!I54*'Falhas UM-3-1 Cost'!$D53/1000</f>
        <v>97.967584240743761</v>
      </c>
      <c r="J53" s="354">
        <f>'Falhas UM-3-1 Qty'!J54*'Falhas UM-3-1 Cost'!$D53/1000</f>
        <v>111.38733489092147</v>
      </c>
      <c r="K53" s="354">
        <f>'Falhas UM-3-1 Qty'!K54*'Falhas UM-3-1 Cost'!$D53/1000</f>
        <v>110.0172561095151</v>
      </c>
      <c r="L53" s="354">
        <f>'Falhas UM-3-1 Qty'!L54*'Falhas UM-3-1 Cost'!$D53/1000</f>
        <v>110.07496339692513</v>
      </c>
      <c r="M53" s="354">
        <f>'Falhas UM-3-1 Qty'!M54*'Falhas UM-3-1 Cost'!$D53/1000</f>
        <v>104.73314902006206</v>
      </c>
      <c r="N53" s="354">
        <f>'Falhas UM-3-1 Qty'!N54*'Falhas UM-3-1 Cost'!$D53/1000</f>
        <v>81.223616659299282</v>
      </c>
      <c r="O53" s="354">
        <f>'Falhas UM-3-1 Qty'!O54*'Falhas UM-3-1 Cost'!$D53/1000</f>
        <v>77.959948293456137</v>
      </c>
      <c r="P53" s="384">
        <f>'Falhas UM-3-1 Qty'!P54*'Falhas UM-3-1 Cost'!$D53/1000</f>
        <v>98.844484343594502</v>
      </c>
      <c r="Q53" s="838">
        <f t="shared" si="0"/>
        <v>597.7019665090512</v>
      </c>
      <c r="R53" s="354">
        <f t="shared" si="1"/>
        <v>582.85341782285218</v>
      </c>
      <c r="S53" s="812">
        <f t="shared" si="2"/>
        <v>1180.5553843319035</v>
      </c>
    </row>
    <row r="54" spans="1:19" ht="18" customHeight="1" thickBot="1">
      <c r="A54" s="1010"/>
      <c r="B54" s="127"/>
      <c r="C54" s="104" t="s">
        <v>1</v>
      </c>
      <c r="D54" s="326">
        <f>'[2]Falhas UM-3'!P55</f>
        <v>52260.816986935024</v>
      </c>
      <c r="E54" s="805">
        <f>SUBTOTAL(109,E50:E53)</f>
        <v>545.53996123968602</v>
      </c>
      <c r="F54" s="805">
        <f t="shared" ref="F54:P54" si="9">SUBTOTAL(109,F50:F53)</f>
        <v>570.9437218142441</v>
      </c>
      <c r="G54" s="805">
        <f t="shared" si="9"/>
        <v>549.46741148238607</v>
      </c>
      <c r="H54" s="805">
        <f t="shared" si="9"/>
        <v>553.01974649825718</v>
      </c>
      <c r="I54" s="805">
        <f t="shared" si="9"/>
        <v>559.7756292081632</v>
      </c>
      <c r="J54" s="805">
        <f t="shared" si="9"/>
        <v>636.45455747039227</v>
      </c>
      <c r="K54" s="805">
        <f t="shared" si="9"/>
        <v>628.62608320647803</v>
      </c>
      <c r="L54" s="805">
        <f t="shared" si="9"/>
        <v>628.95581608057319</v>
      </c>
      <c r="M54" s="805">
        <f t="shared" si="9"/>
        <v>598.43329654417596</v>
      </c>
      <c r="N54" s="805">
        <f t="shared" si="9"/>
        <v>464.10250364336963</v>
      </c>
      <c r="O54" s="805">
        <f t="shared" si="9"/>
        <v>445.45427395417789</v>
      </c>
      <c r="P54" s="562">
        <f t="shared" si="9"/>
        <v>564.78613661865234</v>
      </c>
      <c r="Q54" s="842">
        <f t="shared" si="0"/>
        <v>3415.2010277131285</v>
      </c>
      <c r="R54" s="357">
        <f t="shared" si="1"/>
        <v>3330.3581100474275</v>
      </c>
      <c r="S54" s="822">
        <f t="shared" si="2"/>
        <v>6745.559137760556</v>
      </c>
    </row>
    <row r="55" spans="1:19" ht="20.100000000000001" customHeight="1" thickTop="1">
      <c r="A55" s="105"/>
      <c r="B55" s="105"/>
      <c r="C55" s="83"/>
      <c r="D55" s="321">
        <f>'[2]Falhas UM-3'!P56</f>
        <v>0</v>
      </c>
      <c r="E55" s="350"/>
      <c r="F55" s="350"/>
      <c r="G55" s="350"/>
      <c r="H55" s="350"/>
      <c r="I55" s="350"/>
      <c r="J55" s="350"/>
      <c r="K55" s="350"/>
      <c r="L55" s="350"/>
      <c r="M55" s="350"/>
      <c r="N55" s="350"/>
      <c r="O55" s="350"/>
      <c r="P55" s="829"/>
      <c r="Q55" s="834">
        <f t="shared" si="0"/>
        <v>0</v>
      </c>
      <c r="R55" s="350">
        <f t="shared" si="1"/>
        <v>0</v>
      </c>
      <c r="S55" s="807">
        <f t="shared" si="2"/>
        <v>0</v>
      </c>
    </row>
    <row r="56" spans="1:19" ht="20.100000000000001" customHeight="1" thickBot="1">
      <c r="A56" s="617"/>
      <c r="B56" s="823"/>
      <c r="C56" s="824" t="s">
        <v>59</v>
      </c>
      <c r="D56" s="825">
        <f>'[2]Falhas UM-3'!P57</f>
        <v>55513.159759441412</v>
      </c>
      <c r="E56" s="826">
        <f>SUMIF($C$6:$C$54,$C$54,E6:E54)</f>
        <v>2059.1156257786065</v>
      </c>
      <c r="F56" s="826">
        <f t="shared" ref="F56:P56" si="10">SUMIF($C$6:$C$54,$C$54,F6:F54)</f>
        <v>2155.0009578700328</v>
      </c>
      <c r="G56" s="826">
        <f t="shared" si="10"/>
        <v>2073.9396070426642</v>
      </c>
      <c r="H56" s="826">
        <f t="shared" si="10"/>
        <v>2087.3477330442106</v>
      </c>
      <c r="I56" s="826">
        <f t="shared" si="10"/>
        <v>2112.8475032577135</v>
      </c>
      <c r="J56" s="826">
        <f t="shared" si="10"/>
        <v>2402.2686099973944</v>
      </c>
      <c r="K56" s="826">
        <f t="shared" si="10"/>
        <v>2372.7203920333045</v>
      </c>
      <c r="L56" s="826">
        <f t="shared" si="10"/>
        <v>2373.9649536816196</v>
      </c>
      <c r="M56" s="826">
        <f t="shared" si="10"/>
        <v>2258.7591000669563</v>
      </c>
      <c r="N56" s="826">
        <f t="shared" si="10"/>
        <v>1751.7336677654839</v>
      </c>
      <c r="O56" s="826">
        <f t="shared" si="10"/>
        <v>1681.3467779419311</v>
      </c>
      <c r="P56" s="831">
        <f t="shared" si="10"/>
        <v>2131.7594342527827</v>
      </c>
      <c r="Q56" s="843">
        <f t="shared" si="0"/>
        <v>12890.520036990623</v>
      </c>
      <c r="R56" s="826">
        <f t="shared" si="1"/>
        <v>12570.284325742079</v>
      </c>
      <c r="S56" s="827">
        <f t="shared" si="2"/>
        <v>25460.804362732702</v>
      </c>
    </row>
    <row r="57" spans="1:19" ht="20.100000000000001" customHeight="1">
      <c r="C57" s="231"/>
      <c r="D57" s="231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</row>
    <row r="58" spans="1:19" ht="20.100000000000001" customHeight="1">
      <c r="B58" s="174" t="s">
        <v>173</v>
      </c>
      <c r="C58" s="209" t="s">
        <v>175</v>
      </c>
      <c r="D58" s="209"/>
      <c r="E58" s="208">
        <f t="shared" ref="E58:P58" si="11">E18+E36</f>
        <v>1216.8764558029804</v>
      </c>
      <c r="F58" s="208">
        <f t="shared" si="11"/>
        <v>1273.5418521596257</v>
      </c>
      <c r="G58" s="208">
        <f t="shared" ref="G58:H58" si="12">G18+G36</f>
        <v>1225.6369904498267</v>
      </c>
      <c r="H58" s="208">
        <f t="shared" si="12"/>
        <v>1233.5607964971691</v>
      </c>
      <c r="I58" s="208">
        <f t="shared" ref="I58:J58" si="13">I18+I36</f>
        <v>1248.6304067768076</v>
      </c>
      <c r="J58" s="208">
        <f t="shared" si="13"/>
        <v>1419.6697239452092</v>
      </c>
      <c r="K58" s="208">
        <f t="shared" ref="K58:L58" si="14">K18+K36</f>
        <v>1402.2076007398457</v>
      </c>
      <c r="L58" s="208">
        <f t="shared" si="14"/>
        <v>1402.9430998777618</v>
      </c>
      <c r="M58" s="208">
        <f t="shared" ref="M58" si="15">M18+M36</f>
        <v>1334.8598465241</v>
      </c>
      <c r="N58" s="208">
        <f t="shared" si="11"/>
        <v>1035.222806555696</v>
      </c>
      <c r="O58" s="208">
        <f t="shared" si="11"/>
        <v>993.6262357020837</v>
      </c>
      <c r="P58" s="208">
        <f t="shared" si="11"/>
        <v>1259.8067988519094</v>
      </c>
      <c r="Q58" s="208">
        <f>SUM(E58)</f>
        <v>1216.8764558029804</v>
      </c>
      <c r="R58" s="208">
        <f>SUM(K58:P58)</f>
        <v>7428.6663882513976</v>
      </c>
      <c r="S58" s="208">
        <f>Q58+R58</f>
        <v>8645.5428440543783</v>
      </c>
    </row>
    <row r="59" spans="1:19" ht="20.100000000000001" customHeight="1">
      <c r="B59" s="174"/>
      <c r="C59" s="174" t="s">
        <v>176</v>
      </c>
      <c r="D59" s="174"/>
      <c r="E59" s="208">
        <v>1190.8029009647009</v>
      </c>
      <c r="F59" s="208">
        <v>926.52675128865383</v>
      </c>
      <c r="G59" s="208">
        <f>'[7]Falhas UM-3'!$Y$19+'[7]Falhas UM-3'!$Y$37</f>
        <v>584.0993046204859</v>
      </c>
      <c r="H59" s="208">
        <f>'[8]Falhas UM-3'!$Y$19+'[8]Falhas UM-3'!$Y$37</f>
        <v>861.51738487245518</v>
      </c>
      <c r="I59" s="208">
        <f>'[9]Falhas UM-3'!$Y$19+'[9]Falhas UM-3'!$Y$37</f>
        <v>1107.0162482890798</v>
      </c>
      <c r="J59" s="208">
        <f>'[10]Falhas UM-3'!$Y$19+'[10]Falhas UM-3'!$Y$37</f>
        <v>1283.2354819092016</v>
      </c>
      <c r="K59" s="208">
        <f>'[11]Falhas UM-3'!$Y$19+'[11]Falhas UM-3'!$Y$37</f>
        <v>31.417183892457579</v>
      </c>
      <c r="L59" s="208">
        <f>'[12]Falhas UM-3'!$Y$19+'[12]Falhas UM-3'!$Y$37</f>
        <v>1039.2224000967167</v>
      </c>
      <c r="M59" s="208">
        <f>'[2]Falhas UM-3'!$Y$19+'[2]Falhas UM-3'!$Y$37</f>
        <v>1212.7891820992293</v>
      </c>
      <c r="N59" s="208">
        <f>'[13]Falhas UM-3-1 Cost'!N$60</f>
        <v>630.50599336081393</v>
      </c>
      <c r="O59" s="208">
        <f>'[13]Falhas UM-3-1 Cost'!O$60</f>
        <v>702.46654607120627</v>
      </c>
      <c r="P59" s="208">
        <f>'[13]Falhas UM-3-1 Cost'!P$60</f>
        <v>719.79999365194942</v>
      </c>
      <c r="Q59" s="208">
        <f t="shared" ref="Q59:Q63" si="16">SUM(E59)</f>
        <v>1190.8029009647009</v>
      </c>
      <c r="R59" s="208">
        <f t="shared" ref="R59:R63" si="17">SUM(K59:P59)</f>
        <v>4336.2012991723732</v>
      </c>
      <c r="S59" s="208">
        <f t="shared" ref="S59:S65" si="18">Q59+R59</f>
        <v>5527.0042001370739</v>
      </c>
    </row>
    <row r="60" spans="1:19" ht="20.100000000000001" customHeight="1">
      <c r="B60" s="174" t="s">
        <v>174</v>
      </c>
      <c r="C60" s="174" t="s">
        <v>175</v>
      </c>
      <c r="D60" s="174"/>
      <c r="E60" s="208">
        <f t="shared" ref="E60:P60" si="19">E49</f>
        <v>296.69920873594026</v>
      </c>
      <c r="F60" s="208">
        <f t="shared" si="19"/>
        <v>310.51538389616314</v>
      </c>
      <c r="G60" s="208">
        <f t="shared" ref="G60:H60" si="20">G49</f>
        <v>298.8352051104514</v>
      </c>
      <c r="H60" s="208">
        <f t="shared" si="20"/>
        <v>300.76719004878453</v>
      </c>
      <c r="I60" s="208">
        <f t="shared" ref="I60:J60" si="21">I49</f>
        <v>304.44146727274267</v>
      </c>
      <c r="J60" s="208">
        <f t="shared" si="21"/>
        <v>346.14432858179288</v>
      </c>
      <c r="K60" s="208">
        <f t="shared" ref="K60:L60" si="22">K49</f>
        <v>341.88670808698089</v>
      </c>
      <c r="L60" s="208">
        <f t="shared" si="22"/>
        <v>342.06603772328469</v>
      </c>
      <c r="M60" s="208">
        <f t="shared" ref="M60" si="23">M49</f>
        <v>325.46595699868027</v>
      </c>
      <c r="N60" s="208">
        <f t="shared" si="19"/>
        <v>252.40835756641826</v>
      </c>
      <c r="O60" s="208">
        <f t="shared" si="19"/>
        <v>242.2662682856693</v>
      </c>
      <c r="P60" s="208">
        <f t="shared" si="19"/>
        <v>307.16649878222086</v>
      </c>
      <c r="Q60" s="208">
        <f t="shared" si="16"/>
        <v>296.69920873594026</v>
      </c>
      <c r="R60" s="208">
        <f t="shared" si="17"/>
        <v>1811.2598274432544</v>
      </c>
      <c r="S60" s="208">
        <f t="shared" si="18"/>
        <v>2107.9590361791948</v>
      </c>
    </row>
    <row r="61" spans="1:19" ht="20.100000000000001" customHeight="1">
      <c r="B61" s="174"/>
      <c r="C61" s="174" t="s">
        <v>176</v>
      </c>
      <c r="D61" s="174"/>
      <c r="E61" s="208">
        <v>315.6649599265636</v>
      </c>
      <c r="F61" s="208">
        <v>311.16657766515908</v>
      </c>
      <c r="G61" s="208">
        <f>'[7]Falhas UM-3'!$Y$50</f>
        <v>147.79891108979984</v>
      </c>
      <c r="H61" s="208">
        <f>'[8]Falhas UM-3'!$Y$50</f>
        <v>272.89789702033005</v>
      </c>
      <c r="I61" s="208">
        <f>'[9]Falhas UM-3'!$Y$50</f>
        <v>333.11905185955891</v>
      </c>
      <c r="J61" s="208">
        <f>'[10]Falhas UM-3'!$Y$50</f>
        <v>372.0545826009282</v>
      </c>
      <c r="K61" s="208">
        <f>'[11]Falhas UM-3'!$Y$50</f>
        <v>36.779923915723444</v>
      </c>
      <c r="L61" s="208">
        <f>'[12]Falhas UM-3'!$Y$50</f>
        <v>307.44403039765626</v>
      </c>
      <c r="M61" s="208">
        <f>'[2]Falhas UM-3'!$Y$50</f>
        <v>423.17849626951363</v>
      </c>
      <c r="N61" s="208">
        <f>'[13]Falhas UM-3-1 Cost'!N$62</f>
        <v>183.32949260428899</v>
      </c>
      <c r="O61" s="208">
        <f>'[13]Falhas UM-3-1 Cost'!O$62</f>
        <v>204.2531503566918</v>
      </c>
      <c r="P61" s="208">
        <f>'[13]Falhas UM-3-1 Cost'!P$62</f>
        <v>209.29312171861702</v>
      </c>
      <c r="Q61" s="208">
        <f t="shared" si="16"/>
        <v>315.6649599265636</v>
      </c>
      <c r="R61" s="208">
        <f t="shared" si="17"/>
        <v>1364.2782152624911</v>
      </c>
      <c r="S61" s="208">
        <f t="shared" si="18"/>
        <v>1679.9431751890547</v>
      </c>
    </row>
    <row r="62" spans="1:19" ht="20.100000000000001" customHeight="1">
      <c r="B62" s="174" t="s">
        <v>104</v>
      </c>
      <c r="C62" s="174" t="s">
        <v>175</v>
      </c>
      <c r="D62" s="174"/>
      <c r="E62" s="208">
        <f t="shared" ref="E62:P62" si="24">E54</f>
        <v>545.53996123968602</v>
      </c>
      <c r="F62" s="208">
        <f t="shared" si="24"/>
        <v>570.9437218142441</v>
      </c>
      <c r="G62" s="208">
        <f t="shared" ref="G62:H62" si="25">G54</f>
        <v>549.46741148238607</v>
      </c>
      <c r="H62" s="208">
        <f t="shared" si="25"/>
        <v>553.01974649825718</v>
      </c>
      <c r="I62" s="208">
        <f t="shared" ref="I62:J62" si="26">I54</f>
        <v>559.7756292081632</v>
      </c>
      <c r="J62" s="208">
        <f t="shared" si="26"/>
        <v>636.45455747039227</v>
      </c>
      <c r="K62" s="208">
        <f t="shared" ref="K62:L62" si="27">K54</f>
        <v>628.62608320647803</v>
      </c>
      <c r="L62" s="208">
        <f t="shared" si="27"/>
        <v>628.95581608057319</v>
      </c>
      <c r="M62" s="208">
        <f t="shared" ref="M62" si="28">M54</f>
        <v>598.43329654417596</v>
      </c>
      <c r="N62" s="208">
        <f t="shared" si="24"/>
        <v>464.10250364336963</v>
      </c>
      <c r="O62" s="208">
        <f t="shared" si="24"/>
        <v>445.45427395417789</v>
      </c>
      <c r="P62" s="208">
        <f t="shared" si="24"/>
        <v>564.78613661865234</v>
      </c>
      <c r="Q62" s="208">
        <f t="shared" si="16"/>
        <v>545.53996123968602</v>
      </c>
      <c r="R62" s="208">
        <f t="shared" si="17"/>
        <v>3330.3581100474275</v>
      </c>
      <c r="S62" s="208">
        <f t="shared" si="18"/>
        <v>3875.8980712871135</v>
      </c>
    </row>
    <row r="63" spans="1:19" ht="20.100000000000001" customHeight="1">
      <c r="B63" s="233"/>
      <c r="C63" s="174" t="s">
        <v>176</v>
      </c>
      <c r="D63" s="174"/>
      <c r="E63" s="572">
        <v>571.29758528589423</v>
      </c>
      <c r="F63" s="572">
        <v>778.13336257278365</v>
      </c>
      <c r="G63" s="572">
        <f>'[7]Falhas UM-3'!$Y$55</f>
        <v>478.44612276004136</v>
      </c>
      <c r="H63" s="572">
        <f>'[8]Falhas UM-3'!$Y$55</f>
        <v>730.38913438793463</v>
      </c>
      <c r="I63" s="572">
        <f>'[9]Falhas UM-3'!$Y$55</f>
        <v>921.17541290654276</v>
      </c>
      <c r="J63" s="572">
        <f>'[10]Falhas UM-3'!$Y$55</f>
        <v>1065.1368996321614</v>
      </c>
      <c r="K63" s="572">
        <f>'[11]Falhas UM-3'!$Y$55</f>
        <v>33.96795775255481</v>
      </c>
      <c r="L63" s="572">
        <f>'[12]Falhas UM-3'!$Y$55</f>
        <v>978.83208763188259</v>
      </c>
      <c r="M63" s="572">
        <f>'[2]Falhas UM-3'!$Y$55</f>
        <v>1029.1483895574513</v>
      </c>
      <c r="N63" s="572">
        <f>'[13]Falhas UM-3-1 Cost'!N$64</f>
        <v>288.40235432438345</v>
      </c>
      <c r="O63" s="572">
        <f>'[13]Falhas UM-3-1 Cost'!O$64</f>
        <v>321.31812838314738</v>
      </c>
      <c r="P63" s="572">
        <f>'[13]Falhas UM-3-1 Cost'!P$64</f>
        <v>329.24669233572496</v>
      </c>
      <c r="Q63" s="208">
        <f t="shared" si="16"/>
        <v>571.29758528589423</v>
      </c>
      <c r="R63" s="208">
        <f t="shared" si="17"/>
        <v>2980.9156099851448</v>
      </c>
      <c r="S63" s="208">
        <f t="shared" si="18"/>
        <v>3552.2131952710388</v>
      </c>
    </row>
    <row r="64" spans="1:19" ht="20.100000000000001" customHeight="1">
      <c r="B64" s="1005" t="s">
        <v>220</v>
      </c>
      <c r="C64" s="174" t="s">
        <v>175</v>
      </c>
      <c r="D64" s="174"/>
      <c r="E64" s="656">
        <f>SUMIF($C$58:$C$63,$C64,E$58:E$63)</f>
        <v>2059.1156257786065</v>
      </c>
      <c r="F64" s="656">
        <f t="shared" ref="F64:R64" si="29">SUMIF($C$58:$C$63,$C64,F$58:F$63)</f>
        <v>2155.0009578700328</v>
      </c>
      <c r="G64" s="656">
        <f t="shared" si="29"/>
        <v>2073.9396070426642</v>
      </c>
      <c r="H64" s="656">
        <f t="shared" si="29"/>
        <v>2087.3477330442106</v>
      </c>
      <c r="I64" s="656">
        <f t="shared" si="29"/>
        <v>2112.8475032577135</v>
      </c>
      <c r="J64" s="656">
        <f t="shared" si="29"/>
        <v>2402.2686099973944</v>
      </c>
      <c r="K64" s="656">
        <f t="shared" si="29"/>
        <v>2372.7203920333045</v>
      </c>
      <c r="L64" s="656">
        <f t="shared" si="29"/>
        <v>2373.9649536816196</v>
      </c>
      <c r="M64" s="656">
        <f t="shared" si="29"/>
        <v>2258.7591000669563</v>
      </c>
      <c r="N64" s="656">
        <f t="shared" si="29"/>
        <v>1751.7336677654839</v>
      </c>
      <c r="O64" s="656">
        <f t="shared" si="29"/>
        <v>1681.3467779419311</v>
      </c>
      <c r="P64" s="656">
        <f t="shared" si="29"/>
        <v>2131.7594342527827</v>
      </c>
      <c r="Q64" s="656">
        <f t="shared" si="29"/>
        <v>2059.1156257786065</v>
      </c>
      <c r="R64" s="656">
        <f t="shared" si="29"/>
        <v>12570.284325742079</v>
      </c>
      <c r="S64" s="657">
        <f t="shared" si="18"/>
        <v>14629.399951520685</v>
      </c>
    </row>
    <row r="65" spans="2:19" ht="20.100000000000001" customHeight="1">
      <c r="B65" s="1006"/>
      <c r="C65" s="174" t="s">
        <v>176</v>
      </c>
      <c r="D65" s="174"/>
      <c r="E65" s="656">
        <f>SUMIF($C$58:$C$63,$C65,E$58:E$63)</f>
        <v>2077.765446177159</v>
      </c>
      <c r="F65" s="656">
        <f t="shared" ref="F65:R65" si="30">SUMIF($C$58:$C$63,$C65,F$58:F$63)</f>
        <v>2015.8266915265965</v>
      </c>
      <c r="G65" s="656">
        <f t="shared" si="30"/>
        <v>1210.3443384703271</v>
      </c>
      <c r="H65" s="656">
        <f t="shared" si="30"/>
        <v>1864.80441628072</v>
      </c>
      <c r="I65" s="656">
        <f t="shared" si="30"/>
        <v>2361.3107130551816</v>
      </c>
      <c r="J65" s="656">
        <f t="shared" si="30"/>
        <v>2720.4269641422911</v>
      </c>
      <c r="K65" s="656">
        <f t="shared" si="30"/>
        <v>102.16506556073583</v>
      </c>
      <c r="L65" s="656">
        <f t="shared" si="30"/>
        <v>2325.4985181262555</v>
      </c>
      <c r="M65" s="656">
        <f t="shared" si="30"/>
        <v>2665.1160679261939</v>
      </c>
      <c r="N65" s="656">
        <f t="shared" si="30"/>
        <v>1102.2378402894863</v>
      </c>
      <c r="O65" s="656">
        <f t="shared" si="30"/>
        <v>1228.0378248110455</v>
      </c>
      <c r="P65" s="656">
        <f t="shared" si="30"/>
        <v>1258.3398077062914</v>
      </c>
      <c r="Q65" s="656">
        <f t="shared" si="30"/>
        <v>2077.765446177159</v>
      </c>
      <c r="R65" s="656">
        <f t="shared" si="30"/>
        <v>8681.3951244200089</v>
      </c>
      <c r="S65" s="657">
        <f t="shared" si="18"/>
        <v>10759.160570597167</v>
      </c>
    </row>
    <row r="91" spans="5:6">
      <c r="E91" s="1" t="s">
        <v>221</v>
      </c>
      <c r="F91" s="844">
        <f>12-COUNTIF($F$64:$Q$64,"=0")</f>
        <v>12</v>
      </c>
    </row>
    <row r="92" spans="5:6">
      <c r="E92" s="1" t="s">
        <v>222</v>
      </c>
      <c r="F92" s="844">
        <f ca="1">OFFSET($E$4,0,0,,COUNTIF($E$64:$Q$64,"&gt;0"))</f>
        <v>44682</v>
      </c>
    </row>
    <row r="93" spans="5:6">
      <c r="E93" s="1" t="s">
        <v>223</v>
      </c>
      <c r="F93" s="844">
        <f ca="1">OFFSET($F$64,0,0,,COUNTIF($E$64:$Q$64,"&gt;0"))</f>
        <v>2155.0009578700328</v>
      </c>
    </row>
    <row r="94" spans="5:6">
      <c r="E94" s="1" t="s">
        <v>224</v>
      </c>
      <c r="F94" s="844">
        <f ca="1">OFFSET($F$65,0,0,,COUNTIF($E$64:$Q$64,"&gt;0"))</f>
        <v>2015.8266915265965</v>
      </c>
    </row>
  </sheetData>
  <mergeCells count="5">
    <mergeCell ref="B64:B65"/>
    <mergeCell ref="A1:E1"/>
    <mergeCell ref="B4:C4"/>
    <mergeCell ref="A6:A36"/>
    <mergeCell ref="A37:A54"/>
  </mergeCells>
  <printOptions gridLinesSet="0"/>
  <pageMargins left="0.78740157480314965" right="0.19685039370078741" top="0.59055118110236227" bottom="0.59055118110236227" header="0.51181102362204722" footer="0.31496062992125984"/>
  <pageSetup paperSize="9" scale="32" orientation="landscape" r:id="rId1"/>
  <headerFooter alignWithMargins="0">
    <oddFooter>&amp;L&amp;A&amp;R&amp;F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5">
    <tabColor indexed="56"/>
    <pageSetUpPr fitToPage="1"/>
  </sheetPr>
  <dimension ref="A1:AA75"/>
  <sheetViews>
    <sheetView showGridLines="0" zoomScale="90" zoomScaleNormal="90" zoomScaleSheetLayoutView="53" workbookViewId="0">
      <pane xSplit="3" ySplit="5" topLeftCell="D24" activePane="bottomRight" state="frozen"/>
      <selection activeCell="E6" sqref="E6"/>
      <selection pane="topRight" activeCell="E6" sqref="E6"/>
      <selection pane="bottomLeft" activeCell="E6" sqref="E6"/>
      <selection pane="bottomRight" activeCell="E21" sqref="E21"/>
    </sheetView>
  </sheetViews>
  <sheetFormatPr defaultColWidth="11.42578125" defaultRowHeight="12.75"/>
  <cols>
    <col min="1" max="1" width="3.140625" style="76" bestFit="1" customWidth="1"/>
    <col min="2" max="2" width="6.42578125" style="76" bestFit="1" customWidth="1"/>
    <col min="3" max="3" width="25.140625" style="76" bestFit="1" customWidth="1"/>
    <col min="4" max="4" width="11.140625" style="76" bestFit="1" customWidth="1"/>
    <col min="5" max="6" width="9" style="76" bestFit="1" customWidth="1"/>
    <col min="7" max="7" width="8" style="76" bestFit="1" customWidth="1"/>
    <col min="8" max="10" width="9" style="76" bestFit="1" customWidth="1"/>
    <col min="11" max="11" width="8" style="76" bestFit="1" customWidth="1"/>
    <col min="12" max="12" width="9" style="76" bestFit="1" customWidth="1"/>
    <col min="13" max="13" width="8" style="76" bestFit="1" customWidth="1"/>
    <col min="14" max="15" width="7" style="76" bestFit="1" customWidth="1"/>
    <col min="16" max="16" width="7.140625" style="76" bestFit="1" customWidth="1"/>
    <col min="17" max="16384" width="11.42578125" style="76"/>
  </cols>
  <sheetData>
    <row r="1" spans="1:27" ht="18" customHeight="1">
      <c r="A1" s="996" t="s">
        <v>80</v>
      </c>
      <c r="B1" s="996"/>
      <c r="C1" s="996"/>
      <c r="D1" s="996"/>
      <c r="E1" s="996"/>
    </row>
    <row r="2" spans="1:27" ht="18" customHeight="1"/>
    <row r="3" spans="1:27" ht="9.9499999999999993" customHeight="1" thickBot="1"/>
    <row r="4" spans="1:27" ht="27" customHeight="1">
      <c r="A4" s="191"/>
      <c r="B4" s="999" t="s">
        <v>57</v>
      </c>
      <c r="C4" s="1000"/>
      <c r="D4" s="313" t="str">
        <f>'Falhas UM-3-1 Qty'!D4</f>
        <v>Objetivo</v>
      </c>
      <c r="E4" s="202">
        <f>'Falhas UM-1 - Qty'!F5</f>
        <v>44652</v>
      </c>
      <c r="F4" s="202">
        <f>'Falhas UM-1 - Qty'!G5</f>
        <v>44682</v>
      </c>
      <c r="G4" s="202">
        <f>'Falhas UM-1 - Qty'!H5</f>
        <v>44713</v>
      </c>
      <c r="H4" s="202">
        <f>'Falhas UM-1 - Qty'!I5</f>
        <v>44743</v>
      </c>
      <c r="I4" s="202">
        <f>'Falhas UM-1 - Qty'!J5</f>
        <v>44774</v>
      </c>
      <c r="J4" s="202">
        <f>'Falhas UM-1 - Qty'!K5</f>
        <v>44805</v>
      </c>
      <c r="K4" s="202">
        <f>'Falhas UM-1 - Qty'!L5</f>
        <v>44835</v>
      </c>
      <c r="L4" s="202">
        <f>'Falhas UM-1 - Qty'!M5</f>
        <v>44866</v>
      </c>
      <c r="M4" s="202">
        <f>'Falhas UM-1 - Qty'!N5</f>
        <v>44896</v>
      </c>
      <c r="N4" s="202">
        <f>'Falhas UM-1 - Qty'!O5</f>
        <v>44927</v>
      </c>
      <c r="O4" s="202">
        <f>'Falhas UM-1 - Qty'!P5</f>
        <v>44958</v>
      </c>
      <c r="P4" s="202">
        <f>'Falhas UM-1 - Qty'!Q5</f>
        <v>44986</v>
      </c>
      <c r="Q4" s="62" t="s">
        <v>55</v>
      </c>
      <c r="R4" s="13"/>
      <c r="S4" s="12" t="s">
        <v>54</v>
      </c>
      <c r="T4" s="13"/>
      <c r="U4" s="12" t="s">
        <v>1</v>
      </c>
      <c r="V4" s="11"/>
      <c r="W4" s="62" t="s">
        <v>55</v>
      </c>
      <c r="X4" s="11" t="s">
        <v>54</v>
      </c>
      <c r="Y4" s="62" t="s">
        <v>53</v>
      </c>
      <c r="Z4" s="11" t="s">
        <v>52</v>
      </c>
    </row>
    <row r="5" spans="1:27" ht="13.5" thickBot="1">
      <c r="A5" s="191"/>
      <c r="B5" s="192" t="s">
        <v>51</v>
      </c>
      <c r="C5" s="193" t="s">
        <v>50</v>
      </c>
      <c r="D5" s="845">
        <f>'Falhas UM-1 - Qty'!E5</f>
        <v>2022</v>
      </c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422"/>
      <c r="Q5" s="63" t="s">
        <v>49</v>
      </c>
      <c r="R5" s="7" t="s">
        <v>48</v>
      </c>
      <c r="S5" s="6" t="s">
        <v>49</v>
      </c>
      <c r="T5" s="7" t="s">
        <v>48</v>
      </c>
      <c r="U5" s="6" t="s">
        <v>49</v>
      </c>
      <c r="V5" s="5" t="s">
        <v>48</v>
      </c>
      <c r="W5" s="63"/>
      <c r="X5" s="5"/>
      <c r="Y5" s="63"/>
      <c r="Z5" s="5"/>
    </row>
    <row r="6" spans="1:27" ht="18" customHeight="1" thickTop="1">
      <c r="A6" s="1001" t="s">
        <v>142</v>
      </c>
      <c r="B6" s="79">
        <v>3010</v>
      </c>
      <c r="C6" s="80" t="s">
        <v>46</v>
      </c>
      <c r="D6" s="358">
        <f>'[3]Falhas UM-3-2 Qty'!Z7</f>
        <v>118.06979635896622</v>
      </c>
      <c r="E6" s="339">
        <f>'Prod &amp; Defects - Qty'!F$7*'Falhas UM-3-2 Qty'!$D6/1000000</f>
        <v>1273.4485298821505</v>
      </c>
      <c r="F6" s="339">
        <f>'Prod &amp; Defects - Qty'!G$7*'Falhas UM-3-2 Qty'!$D6/1000000</f>
        <v>1332.7482766571368</v>
      </c>
      <c r="G6" s="339">
        <f>'Prod &amp; Defects - Qty'!H$7*'Falhas UM-3-2 Qty'!$D6/1000000</f>
        <v>1282.6163380962114</v>
      </c>
      <c r="H6" s="339">
        <f>'Prod &amp; Defects - Qty'!I$7*'Falhas UM-3-2 Qty'!$D6/1000000</f>
        <v>1290.9085185504723</v>
      </c>
      <c r="I6" s="339">
        <f>'Prod &amp; Defects - Qty'!J$7*'Falhas UM-3-2 Qty'!$D6/1000000</f>
        <v>1306.6787086671341</v>
      </c>
      <c r="J6" s="339">
        <f>'Prod &amp; Defects - Qty'!K$7*'Falhas UM-3-2 Qty'!$D6/1000000</f>
        <v>1485.6695716766596</v>
      </c>
      <c r="K6" s="339">
        <f>'Prod &amp; Defects - Qty'!L$7*'Falhas UM-3-2 Qty'!$D6/1000000</f>
        <v>1467.3956417156942</v>
      </c>
      <c r="L6" s="339">
        <f>'Prod &amp; Defects - Qty'!M$7*'Falhas UM-3-2 Qty'!$D6/1000000</f>
        <v>1468.165333898859</v>
      </c>
      <c r="M6" s="339">
        <f>'Prod &amp; Defects - Qty'!N$7*'Falhas UM-3-2 Qty'!$D6/1000000</f>
        <v>1396.9169187624157</v>
      </c>
      <c r="N6" s="339">
        <f>'Prod &amp; Defects - Qty'!O$7*'Falhas UM-3-2 Qty'!$D6/1000000</f>
        <v>1083.3498789644314</v>
      </c>
      <c r="O6" s="339">
        <f>'Prod &amp; Defects - Qty'!P$7*'Falhas UM-3-2 Qty'!$D6/1000000</f>
        <v>1039.8195010455677</v>
      </c>
      <c r="P6" s="339">
        <f>'Prod &amp; Defects - Qty'!Q$7*'Falhas UM-3-2 Qty'!$D6/1000000</f>
        <v>1318.3746865041228</v>
      </c>
      <c r="Q6" s="434">
        <f>SUM(E6:J6)</f>
        <v>7972.0699435297656</v>
      </c>
      <c r="R6" s="81">
        <f>Q6/SUM('Prod &amp; Defects - Qty'!$F$7:$K$7)*1000000</f>
        <v>118.06979635896622</v>
      </c>
      <c r="S6" s="81">
        <f>SUM(K6:P6)</f>
        <v>7774.0219608910902</v>
      </c>
      <c r="T6" s="81">
        <f>S6/SUM('Prod &amp; Defects - Qty'!$L$7:$Q$7)*1000000</f>
        <v>118.0697963589662</v>
      </c>
      <c r="U6" s="81">
        <f>Q6+S6</f>
        <v>15746.091904420857</v>
      </c>
      <c r="V6" s="81">
        <f>U6/'Prod &amp; Defects - Qty'!$R$7*1000000</f>
        <v>118.06979635896623</v>
      </c>
      <c r="W6" s="81">
        <f>V6*0.9</f>
        <v>106.26281672306961</v>
      </c>
      <c r="X6" s="81">
        <f>W6*0.9</f>
        <v>95.636535050762646</v>
      </c>
      <c r="Y6" s="81">
        <f>(W6+X6)/2</f>
        <v>100.94967588691613</v>
      </c>
      <c r="Z6" s="435">
        <f>Y6*$AA$6</f>
        <v>100.94967588691613</v>
      </c>
      <c r="AA6" s="76">
        <f>'Falhas UM-3-1 Qty'!AA7</f>
        <v>1</v>
      </c>
    </row>
    <row r="7" spans="1:27" ht="18" customHeight="1">
      <c r="A7" s="1002"/>
      <c r="B7" s="82">
        <f>B6+10</f>
        <v>3020</v>
      </c>
      <c r="C7" s="83" t="s">
        <v>79</v>
      </c>
      <c r="D7" s="359">
        <f>'[3]Falhas UM-3-2 Qty'!Z8</f>
        <v>38.458308049571997</v>
      </c>
      <c r="E7" s="340">
        <f>'Prod &amp; Defects - Qty'!F$7*'Falhas UM-3-2 Qty'!$D7/1000000</f>
        <v>414.79427726448512</v>
      </c>
      <c r="F7" s="340">
        <f>'Prod &amp; Defects - Qty'!G$7*'Falhas UM-3-2 Qty'!$D7/1000000</f>
        <v>434.10969915104829</v>
      </c>
      <c r="G7" s="340">
        <f>'Prod &amp; Defects - Qty'!H$7*'Falhas UM-3-2 Qty'!$D7/1000000</f>
        <v>417.78046342985988</v>
      </c>
      <c r="H7" s="340">
        <f>'Prod &amp; Defects - Qty'!I$7*'Falhas UM-3-2 Qty'!$D7/1000000</f>
        <v>420.48143556792502</v>
      </c>
      <c r="I7" s="340">
        <f>'Prod &amp; Defects - Qty'!J$7*'Falhas UM-3-2 Qty'!$D7/1000000</f>
        <v>425.61818389992845</v>
      </c>
      <c r="J7" s="340">
        <f>'Prod &amp; Defects - Qty'!K$7*'Falhas UM-3-2 Qty'!$D7/1000000</f>
        <v>483.92001857702638</v>
      </c>
      <c r="K7" s="340">
        <f>'Prod &amp; Defects - Qty'!L$7*'Falhas UM-3-2 Qty'!$D7/1000000</f>
        <v>477.96773908313759</v>
      </c>
      <c r="L7" s="340">
        <f>'Prod &amp; Defects - Qty'!M$7*'Falhas UM-3-2 Qty'!$D7/1000000</f>
        <v>478.21844722354547</v>
      </c>
      <c r="M7" s="340">
        <f>'Prod &amp; Defects - Qty'!N$7*'Falhas UM-3-2 Qty'!$D7/1000000</f>
        <v>455.01104294353428</v>
      </c>
      <c r="N7" s="340">
        <f>'Prod &amp; Defects - Qty'!O$7*'Falhas UM-3-2 Qty'!$D7/1000000</f>
        <v>352.87435614787262</v>
      </c>
      <c r="O7" s="340">
        <f>'Prod &amp; Defects - Qty'!P$7*'Falhas UM-3-2 Qty'!$D7/1000000</f>
        <v>338.69541508805929</v>
      </c>
      <c r="P7" s="340">
        <f>'Prod &amp; Defects - Qty'!Q$7*'Falhas UM-3-2 Qty'!$D7/1000000</f>
        <v>429.42785862172036</v>
      </c>
      <c r="Q7" s="436">
        <f t="shared" ref="Q7:Q56" si="0">SUM(E7:J7)</f>
        <v>2596.7040778902733</v>
      </c>
      <c r="R7" s="84">
        <f>Q7/SUM('Prod &amp; Defects - Qty'!$F$7:$K$7)*1000000</f>
        <v>38.45830804957199</v>
      </c>
      <c r="S7" s="84">
        <f t="shared" ref="S7:S56" si="1">SUM(K7:P7)</f>
        <v>2532.1948591078699</v>
      </c>
      <c r="T7" s="84">
        <f>S7/SUM('Prod &amp; Defects - Qty'!$L$7:$Q$7)*1000000</f>
        <v>38.458308049571997</v>
      </c>
      <c r="U7" s="84">
        <f t="shared" ref="U7:U56" si="2">Q7+S7</f>
        <v>5128.8989369981427</v>
      </c>
      <c r="V7" s="84">
        <f>U7/'Prod &amp; Defects - Qty'!$R$7*1000000</f>
        <v>38.458308049571997</v>
      </c>
      <c r="W7" s="84">
        <f t="shared" ref="W7:X22" si="3">V7*0.9</f>
        <v>34.612477244614801</v>
      </c>
      <c r="X7" s="84">
        <f t="shared" si="3"/>
        <v>31.151229520153322</v>
      </c>
      <c r="Y7" s="84">
        <f t="shared" ref="Y7:Y56" si="4">(W7+X7)/2</f>
        <v>32.881853382384065</v>
      </c>
      <c r="Z7" s="437">
        <f t="shared" ref="Z7:Z17" si="5">Y7*$AA$6</f>
        <v>32.881853382384065</v>
      </c>
    </row>
    <row r="8" spans="1:27" ht="18" customHeight="1">
      <c r="A8" s="1002"/>
      <c r="B8" s="82">
        <f t="shared" ref="B8:B17" si="6">B7+10</f>
        <v>3030</v>
      </c>
      <c r="C8" s="83" t="s">
        <v>78</v>
      </c>
      <c r="D8" s="359">
        <f>'[3]Falhas UM-3-2 Qty'!Z9</f>
        <v>36.495113832934081</v>
      </c>
      <c r="E8" s="340">
        <f>'Prod &amp; Defects - Qty'!F$7*'Falhas UM-3-2 Qty'!$D8/1000000</f>
        <v>393.62013395140707</v>
      </c>
      <c r="F8" s="340">
        <f>'Prod &amp; Defects - Qty'!G$7*'Falhas UM-3-2 Qty'!$D8/1000000</f>
        <v>411.94955498502725</v>
      </c>
      <c r="G8" s="340">
        <f>'Prod &amp; Defects - Qty'!H$7*'Falhas UM-3-2 Qty'!$D8/1000000</f>
        <v>396.45388326485084</v>
      </c>
      <c r="H8" s="340">
        <f>'Prod &amp; Defects - Qty'!I$7*'Falhas UM-3-2 Qty'!$D8/1000000</f>
        <v>399.01697796759271</v>
      </c>
      <c r="I8" s="340">
        <f>'Prod &amp; Defects - Qty'!J$7*'Falhas UM-3-2 Qty'!$D8/1000000</f>
        <v>403.89150897571602</v>
      </c>
      <c r="J8" s="340">
        <f>'Prod &amp; Defects - Qty'!K$7*'Falhas UM-3-2 Qty'!$D8/1000000</f>
        <v>459.21719024247869</v>
      </c>
      <c r="K8" s="340">
        <f>'Prod &amp; Defects - Qty'!L$7*'Falhas UM-3-2 Qty'!$D8/1000000</f>
        <v>453.56875876663457</v>
      </c>
      <c r="L8" s="340">
        <f>'Prod &amp; Defects - Qty'!M$7*'Falhas UM-3-2 Qty'!$D8/1000000</f>
        <v>453.80666892407669</v>
      </c>
      <c r="M8" s="340">
        <f>'Prod &amp; Defects - Qty'!N$7*'Falhas UM-3-2 Qty'!$D8/1000000</f>
        <v>431.78394083436922</v>
      </c>
      <c r="N8" s="340">
        <f>'Prod &amp; Defects - Qty'!O$7*'Falhas UM-3-2 Qty'!$D8/1000000</f>
        <v>334.86105992339031</v>
      </c>
      <c r="O8" s="340">
        <f>'Prod &amp; Defects - Qty'!P$7*'Falhas UM-3-2 Qty'!$D8/1000000</f>
        <v>321.40591604807076</v>
      </c>
      <c r="P8" s="340">
        <f>'Prod &amp; Defects - Qty'!Q$7*'Falhas UM-3-2 Qty'!$D8/1000000</f>
        <v>407.506709947611</v>
      </c>
      <c r="Q8" s="436">
        <f t="shared" si="0"/>
        <v>2464.1492493870728</v>
      </c>
      <c r="R8" s="84">
        <f>Q8/SUM('Prod &amp; Defects - Qty'!$F$7:$K$7)*1000000</f>
        <v>36.495113832934081</v>
      </c>
      <c r="S8" s="84">
        <f t="shared" si="1"/>
        <v>2402.9330544441527</v>
      </c>
      <c r="T8" s="84">
        <f>S8/SUM('Prod &amp; Defects - Qty'!$L$7:$Q$7)*1000000</f>
        <v>36.495113832934081</v>
      </c>
      <c r="U8" s="84">
        <f t="shared" si="2"/>
        <v>4867.0823038312255</v>
      </c>
      <c r="V8" s="84">
        <f>U8/'Prod &amp; Defects - Qty'!$R$7*1000000</f>
        <v>36.495113832934081</v>
      </c>
      <c r="W8" s="84">
        <f t="shared" si="3"/>
        <v>32.845602449640673</v>
      </c>
      <c r="X8" s="84">
        <f t="shared" si="3"/>
        <v>29.561042204676607</v>
      </c>
      <c r="Y8" s="84">
        <f t="shared" si="4"/>
        <v>31.203322327158638</v>
      </c>
      <c r="Z8" s="437">
        <f t="shared" si="5"/>
        <v>31.203322327158638</v>
      </c>
    </row>
    <row r="9" spans="1:27" ht="18" customHeight="1">
      <c r="A9" s="1002"/>
      <c r="B9" s="82">
        <f t="shared" si="6"/>
        <v>3040</v>
      </c>
      <c r="C9" s="83" t="s">
        <v>77</v>
      </c>
      <c r="D9" s="359">
        <f>'[3]Falhas UM-3-2 Qty'!Z10</f>
        <v>204.97485718250766</v>
      </c>
      <c r="E9" s="340">
        <f>'Prod &amp; Defects - Qty'!F$7*'Falhas UM-3-2 Qty'!$D9/1000000</f>
        <v>2210.7680252812252</v>
      </c>
      <c r="F9" s="340">
        <f>'Prod &amp; Defects - Qty'!G$7*'Falhas UM-3-2 Qty'!$D9/1000000</f>
        <v>2313.7152437993896</v>
      </c>
      <c r="G9" s="340">
        <f>'Prod &amp; Defects - Qty'!H$7*'Falhas UM-3-2 Qty'!$D9/1000000</f>
        <v>2226.6837822089374</v>
      </c>
      <c r="H9" s="340">
        <f>'Prod &amp; Defects - Qty'!I$7*'Falhas UM-3-2 Qty'!$D9/1000000</f>
        <v>2241.0794071423124</v>
      </c>
      <c r="I9" s="340">
        <f>'Prod &amp; Defects - Qty'!J$7*'Falhas UM-3-2 Qty'!$D9/1000000</f>
        <v>2268.4572172731614</v>
      </c>
      <c r="J9" s="340">
        <f>'Prod &amp; Defects - Qty'!K$7*'Falhas UM-3-2 Qty'!$D9/1000000</f>
        <v>2579.1939824218643</v>
      </c>
      <c r="K9" s="340">
        <f>'Prod &amp; Defects - Qty'!L$7*'Falhas UM-3-2 Qty'!$D9/1000000</f>
        <v>2547.469559246576</v>
      </c>
      <c r="L9" s="340">
        <f>'Prod &amp; Defects - Qty'!M$7*'Falhas UM-3-2 Qty'!$D9/1000000</f>
        <v>2548.8057819740125</v>
      </c>
      <c r="M9" s="340">
        <f>'Prod &amp; Defects - Qty'!N$7*'Falhas UM-3-2 Qty'!$D9/1000000</f>
        <v>2425.1150992809412</v>
      </c>
      <c r="N9" s="340">
        <f>'Prod &amp; Defects - Qty'!O$7*'Falhas UM-3-2 Qty'!$D9/1000000</f>
        <v>1880.7476049530601</v>
      </c>
      <c r="O9" s="340">
        <f>'Prod &amp; Defects - Qty'!P$7*'Falhas UM-3-2 Qty'!$D9/1000000</f>
        <v>1805.1767708178656</v>
      </c>
      <c r="P9" s="340">
        <f>'Prod &amp; Defects - Qty'!Q$7*'Falhas UM-3-2 Qty'!$D9/1000000</f>
        <v>2288.7619985184665</v>
      </c>
      <c r="Q9" s="436">
        <f t="shared" si="0"/>
        <v>13839.897658126891</v>
      </c>
      <c r="R9" s="84">
        <f>Q9/SUM('Prod &amp; Defects - Qty'!$F$7:$K$7)*1000000</f>
        <v>204.97485718250763</v>
      </c>
      <c r="S9" s="84">
        <f t="shared" si="1"/>
        <v>13496.07681479092</v>
      </c>
      <c r="T9" s="84">
        <f>S9/SUM('Prod &amp; Defects - Qty'!$L$7:$Q$7)*1000000</f>
        <v>204.97485718250763</v>
      </c>
      <c r="U9" s="84">
        <f t="shared" si="2"/>
        <v>27335.974472917813</v>
      </c>
      <c r="V9" s="84">
        <f>U9/'Prod &amp; Defects - Qty'!$R$7*1000000</f>
        <v>204.97485718250766</v>
      </c>
      <c r="W9" s="84">
        <f t="shared" si="3"/>
        <v>184.47737146425689</v>
      </c>
      <c r="X9" s="84">
        <f t="shared" si="3"/>
        <v>166.02963431783121</v>
      </c>
      <c r="Y9" s="84">
        <f t="shared" si="4"/>
        <v>175.25350289104404</v>
      </c>
      <c r="Z9" s="437">
        <f t="shared" si="5"/>
        <v>175.25350289104404</v>
      </c>
    </row>
    <row r="10" spans="1:27" ht="18" customHeight="1">
      <c r="A10" s="1002"/>
      <c r="B10" s="82">
        <f t="shared" si="6"/>
        <v>3050</v>
      </c>
      <c r="C10" s="83" t="s">
        <v>76</v>
      </c>
      <c r="D10" s="359">
        <f>'[3]Falhas UM-3-2 Qty'!Z11</f>
        <v>31.983111345788689</v>
      </c>
      <c r="E10" s="340">
        <f>'Prod &amp; Defects - Qty'!F$7*'Falhas UM-3-2 Qty'!$D10/1000000</f>
        <v>344.95567351132121</v>
      </c>
      <c r="F10" s="340">
        <f>'Prod &amp; Defects - Qty'!G$7*'Falhas UM-3-2 Qty'!$D10/1000000</f>
        <v>361.01897219031002</v>
      </c>
      <c r="G10" s="340">
        <f>'Prod &amp; Defects - Qty'!H$7*'Falhas UM-3-2 Qty'!$D10/1000000</f>
        <v>347.43907773449524</v>
      </c>
      <c r="H10" s="340">
        <f>'Prod &amp; Defects - Qty'!I$7*'Falhas UM-3-2 Qty'!$D10/1000000</f>
        <v>349.6852892038678</v>
      </c>
      <c r="I10" s="340">
        <f>'Prod &amp; Defects - Qty'!J$7*'Falhas UM-3-2 Qty'!$D10/1000000</f>
        <v>353.95716704222696</v>
      </c>
      <c r="J10" s="340">
        <f>'Prod &amp; Defects - Qty'!K$7*'Falhas UM-3-2 Qty'!$D10/1000000</f>
        <v>402.44276520577228</v>
      </c>
      <c r="K10" s="340">
        <f>'Prod &amp; Defects - Qty'!L$7*'Falhas UM-3-2 Qty'!$D10/1000000</f>
        <v>397.49266658029677</v>
      </c>
      <c r="L10" s="340">
        <f>'Prod &amp; Defects - Qty'!M$7*'Falhas UM-3-2 Qty'!$D10/1000000</f>
        <v>397.70116317769327</v>
      </c>
      <c r="M10" s="340">
        <f>'Prod &amp; Defects - Qty'!N$7*'Falhas UM-3-2 Qty'!$D10/1000000</f>
        <v>378.40117228424072</v>
      </c>
      <c r="N10" s="340">
        <f>'Prod &amp; Defects - Qty'!O$7*'Falhas UM-3-2 Qty'!$D10/1000000</f>
        <v>293.46116342932839</v>
      </c>
      <c r="O10" s="340">
        <f>'Prod &amp; Defects - Qty'!P$7*'Falhas UM-3-2 Qty'!$D10/1000000</f>
        <v>281.66952012310577</v>
      </c>
      <c r="P10" s="340">
        <f>'Prod &amp; Defects - Qty'!Q$7*'Falhas UM-3-2 Qty'!$D10/1000000</f>
        <v>357.125409666454</v>
      </c>
      <c r="Q10" s="436">
        <f t="shared" si="0"/>
        <v>2159.4989448879933</v>
      </c>
      <c r="R10" s="84">
        <f>Q10/SUM('Prod &amp; Defects - Qty'!$F$7:$K$7)*1000000</f>
        <v>31.983111345788682</v>
      </c>
      <c r="S10" s="84">
        <f t="shared" si="1"/>
        <v>2105.8510952611186</v>
      </c>
      <c r="T10" s="84">
        <f>S10/SUM('Prod &amp; Defects - Qty'!$L$7:$Q$7)*1000000</f>
        <v>31.983111345788682</v>
      </c>
      <c r="U10" s="84">
        <f t="shared" si="2"/>
        <v>4265.3500401491119</v>
      </c>
      <c r="V10" s="84">
        <f>U10/'Prod &amp; Defects - Qty'!$R$7*1000000</f>
        <v>31.983111345788682</v>
      </c>
      <c r="W10" s="84">
        <f t="shared" si="3"/>
        <v>28.784800211209813</v>
      </c>
      <c r="X10" s="84">
        <f t="shared" si="3"/>
        <v>25.906320190088831</v>
      </c>
      <c r="Y10" s="84">
        <f t="shared" si="4"/>
        <v>27.345560200649324</v>
      </c>
      <c r="Z10" s="437">
        <f t="shared" si="5"/>
        <v>27.345560200649324</v>
      </c>
    </row>
    <row r="11" spans="1:27" ht="18" customHeight="1">
      <c r="A11" s="1002"/>
      <c r="B11" s="82">
        <f t="shared" si="6"/>
        <v>3060</v>
      </c>
      <c r="C11" s="83" t="s">
        <v>75</v>
      </c>
      <c r="D11" s="359">
        <f>'[3]Falhas UM-3-2 Qty'!Z12</f>
        <v>24.588471739216409</v>
      </c>
      <c r="E11" s="340">
        <f>'Prod &amp; Defects - Qty'!F$7*'Falhas UM-3-2 Qty'!$D11/1000000</f>
        <v>265.20036583408654</v>
      </c>
      <c r="F11" s="340">
        <f>'Prod &amp; Defects - Qty'!G$7*'Falhas UM-3-2 Qty'!$D11/1000000</f>
        <v>277.54975740317525</v>
      </c>
      <c r="G11" s="340">
        <f>'Prod &amp; Defects - Qty'!H$7*'Falhas UM-3-2 Qty'!$D11/1000000</f>
        <v>267.10959579918824</v>
      </c>
      <c r="H11" s="340">
        <f>'Prod &amp; Defects - Qty'!I$7*'Falhas UM-3-2 Qty'!$D11/1000000</f>
        <v>268.83647304505206</v>
      </c>
      <c r="I11" s="340">
        <f>'Prod &amp; Defects - Qty'!J$7*'Falhas UM-3-2 Qty'!$D11/1000000</f>
        <v>272.12067345839648</v>
      </c>
      <c r="J11" s="340">
        <f>'Prod &amp; Defects - Qty'!K$7*'Falhas UM-3-2 Qty'!$D11/1000000</f>
        <v>309.3961826267788</v>
      </c>
      <c r="K11" s="340">
        <f>'Prod &amp; Defects - Qty'!L$7*'Falhas UM-3-2 Qty'!$D11/1000000</f>
        <v>305.59056913149055</v>
      </c>
      <c r="L11" s="340">
        <f>'Prod &amp; Defects - Qty'!M$7*'Falhas UM-3-2 Qty'!$D11/1000000</f>
        <v>305.75086037512159</v>
      </c>
      <c r="M11" s="340">
        <f>'Prod &amp; Defects - Qty'!N$7*'Falhas UM-3-2 Qty'!$D11/1000000</f>
        <v>290.91311443101796</v>
      </c>
      <c r="N11" s="340">
        <f>'Prod &amp; Defects - Qty'!O$7*'Falhas UM-3-2 Qty'!$D11/1000000</f>
        <v>225.61161875483793</v>
      </c>
      <c r="O11" s="340">
        <f>'Prod &amp; Defects - Qty'!P$7*'Falhas UM-3-2 Qty'!$D11/1000000</f>
        <v>216.54625656854915</v>
      </c>
      <c r="P11" s="340">
        <f>'Prod &amp; Defects - Qty'!Q$7*'Falhas UM-3-2 Qty'!$D11/1000000</f>
        <v>274.55640409718706</v>
      </c>
      <c r="Q11" s="436">
        <f t="shared" si="0"/>
        <v>1660.2130481666773</v>
      </c>
      <c r="R11" s="84">
        <f>Q11/SUM('Prod &amp; Defects - Qty'!$F$7:$K$7)*1000000</f>
        <v>24.588471739216406</v>
      </c>
      <c r="S11" s="84">
        <f t="shared" si="1"/>
        <v>1618.9688233582042</v>
      </c>
      <c r="T11" s="84">
        <f>S11/SUM('Prod &amp; Defects - Qty'!$L$7:$Q$7)*1000000</f>
        <v>24.588471739216409</v>
      </c>
      <c r="U11" s="84">
        <f t="shared" si="2"/>
        <v>3279.1818715248814</v>
      </c>
      <c r="V11" s="84">
        <f>U11/'Prod &amp; Defects - Qty'!$R$7*1000000</f>
        <v>24.588471739216409</v>
      </c>
      <c r="W11" s="84">
        <f t="shared" si="3"/>
        <v>22.129624565294769</v>
      </c>
      <c r="X11" s="84">
        <f t="shared" si="3"/>
        <v>19.916662108765294</v>
      </c>
      <c r="Y11" s="84">
        <f t="shared" si="4"/>
        <v>21.023143337030032</v>
      </c>
      <c r="Z11" s="437">
        <f t="shared" si="5"/>
        <v>21.023143337030032</v>
      </c>
    </row>
    <row r="12" spans="1:27" ht="18" customHeight="1">
      <c r="A12" s="1002"/>
      <c r="B12" s="82">
        <f t="shared" si="6"/>
        <v>3070</v>
      </c>
      <c r="C12" s="83" t="s">
        <v>41</v>
      </c>
      <c r="D12" s="359">
        <f>'[3]Falhas UM-3-2 Qty'!Z13</f>
        <v>246.23308343301653</v>
      </c>
      <c r="E12" s="340">
        <f>'Prod &amp; Defects - Qty'!F$7*'Falhas UM-3-2 Qty'!$D12/1000000</f>
        <v>2655.7609801646081</v>
      </c>
      <c r="F12" s="340">
        <f>'Prod &amp; Defects - Qty'!G$7*'Falhas UM-3-2 Qty'!$D12/1000000</f>
        <v>2779.4298603141851</v>
      </c>
      <c r="G12" s="340">
        <f>'Prod &amp; Defects - Qty'!H$7*'Falhas UM-3-2 Qty'!$D12/1000000</f>
        <v>2674.8803295196931</v>
      </c>
      <c r="H12" s="340">
        <f>'Prod &amp; Defects - Qty'!I$7*'Falhas UM-3-2 Qty'!$D12/1000000</f>
        <v>2692.1735681344858</v>
      </c>
      <c r="I12" s="340">
        <f>'Prod &amp; Defects - Qty'!J$7*'Falhas UM-3-2 Qty'!$D12/1000000</f>
        <v>2725.0621023616868</v>
      </c>
      <c r="J12" s="340">
        <f>'Prod &amp; Defects - Qty'!K$7*'Falhas UM-3-2 Qty'!$D12/1000000</f>
        <v>3098.3453082645415</v>
      </c>
      <c r="K12" s="340">
        <f>'Prod &amp; Defects - Qty'!L$7*'Falhas UM-3-2 Qty'!$D12/1000000</f>
        <v>3060.2352559100236</v>
      </c>
      <c r="L12" s="340">
        <f>'Prod &amp; Defects - Qty'!M$7*'Falhas UM-3-2 Qty'!$D12/1000000</f>
        <v>3061.8404393303354</v>
      </c>
      <c r="M12" s="340">
        <f>'Prod &amp; Defects - Qty'!N$7*'Falhas UM-3-2 Qty'!$D12/1000000</f>
        <v>2913.2527607726106</v>
      </c>
      <c r="N12" s="340">
        <f>'Prod &amp; Defects - Qty'!O$7*'Falhas UM-3-2 Qty'!$D12/1000000</f>
        <v>2259.3126215207508</v>
      </c>
      <c r="O12" s="340">
        <f>'Prod &amp; Defects - Qty'!P$7*'Falhas UM-3-2 Qty'!$D12/1000000</f>
        <v>2168.5305628697934</v>
      </c>
      <c r="P12" s="340">
        <f>'Prod &amp; Defects - Qty'!Q$7*'Falhas UM-3-2 Qty'!$D12/1000000</f>
        <v>2749.4539178418299</v>
      </c>
      <c r="Q12" s="436">
        <f t="shared" si="0"/>
        <v>16625.652148759204</v>
      </c>
      <c r="R12" s="84">
        <f>Q12/SUM('Prod &amp; Defects - Qty'!$F$7:$K$7)*1000000</f>
        <v>246.23308343301656</v>
      </c>
      <c r="S12" s="84">
        <f t="shared" si="1"/>
        <v>16212.625558245341</v>
      </c>
      <c r="T12" s="84">
        <f>S12/SUM('Prod &amp; Defects - Qty'!$L$7:$Q$7)*1000000</f>
        <v>246.23308343301647</v>
      </c>
      <c r="U12" s="84">
        <f t="shared" si="2"/>
        <v>32838.277707004541</v>
      </c>
      <c r="V12" s="84">
        <f>U12/'Prod &amp; Defects - Qty'!$R$7*1000000</f>
        <v>246.2330834330165</v>
      </c>
      <c r="W12" s="84">
        <f t="shared" si="3"/>
        <v>221.60977508971484</v>
      </c>
      <c r="X12" s="84">
        <f t="shared" si="3"/>
        <v>199.44879758074336</v>
      </c>
      <c r="Y12" s="84">
        <f t="shared" si="4"/>
        <v>210.5292863352291</v>
      </c>
      <c r="Z12" s="437">
        <f t="shared" si="5"/>
        <v>210.5292863352291</v>
      </c>
    </row>
    <row r="13" spans="1:27" ht="18" customHeight="1">
      <c r="A13" s="1002"/>
      <c r="B13" s="82">
        <f t="shared" si="6"/>
        <v>3080</v>
      </c>
      <c r="C13" s="83" t="s">
        <v>62</v>
      </c>
      <c r="D13" s="359">
        <f>'[3]Falhas UM-3-2 Qty'!Z14</f>
        <v>77.803421801904264</v>
      </c>
      <c r="E13" s="340">
        <f>'Prod &amp; Defects - Qty'!F$7*'Falhas UM-3-2 Qty'!$D13/1000000</f>
        <v>839.15324806869455</v>
      </c>
      <c r="F13" s="340">
        <f>'Prod &amp; Defects - Qty'!G$7*'Falhas UM-3-2 Qty'!$D13/1000000</f>
        <v>878.22948393390539</v>
      </c>
      <c r="G13" s="340">
        <f>'Prod &amp; Defects - Qty'!H$7*'Falhas UM-3-2 Qty'!$D13/1000000</f>
        <v>845.19447852283167</v>
      </c>
      <c r="H13" s="340">
        <f>'Prod &amp; Defects - Qty'!I$7*'Falhas UM-3-2 Qty'!$D13/1000000</f>
        <v>850.6587042048925</v>
      </c>
      <c r="I13" s="340">
        <f>'Prod &amp; Defects - Qty'!J$7*'Falhas UM-3-2 Qty'!$D13/1000000</f>
        <v>861.05064855798105</v>
      </c>
      <c r="J13" s="340">
        <f>'Prod &amp; Defects - Qty'!K$7*'Falhas UM-3-2 Qty'!$D13/1000000</f>
        <v>978.99869321351355</v>
      </c>
      <c r="K13" s="340">
        <f>'Prod &amp; Defects - Qty'!L$7*'Falhas UM-3-2 Qty'!$D13/1000000</f>
        <v>966.95688129737505</v>
      </c>
      <c r="L13" s="340">
        <f>'Prod &amp; Defects - Qty'!M$7*'Falhas UM-3-2 Qty'!$D13/1000000</f>
        <v>967.4640786283702</v>
      </c>
      <c r="M13" s="340">
        <f>'Prod &amp; Defects - Qty'!N$7*'Falhas UM-3-2 Qty'!$D13/1000000</f>
        <v>920.51413320181553</v>
      </c>
      <c r="N13" s="340">
        <f>'Prod &amp; Defects - Qty'!O$7*'Falhas UM-3-2 Qty'!$D13/1000000</f>
        <v>713.88560149498994</v>
      </c>
      <c r="O13" s="340">
        <f>'Prod &amp; Defects - Qty'!P$7*'Falhas UM-3-2 Qty'!$D13/1000000</f>
        <v>685.2007688039879</v>
      </c>
      <c r="P13" s="340">
        <f>'Prod &amp; Defects - Qty'!Q$7*'Falhas UM-3-2 Qty'!$D13/1000000</f>
        <v>868.75784485287704</v>
      </c>
      <c r="Q13" s="436">
        <f t="shared" si="0"/>
        <v>5253.2852565018184</v>
      </c>
      <c r="R13" s="84">
        <f>Q13/SUM('Prod &amp; Defects - Qty'!$F$7:$K$7)*1000000</f>
        <v>77.80342180190425</v>
      </c>
      <c r="S13" s="84">
        <f t="shared" si="1"/>
        <v>5122.779308279416</v>
      </c>
      <c r="T13" s="84">
        <f>S13/SUM('Prod &amp; Defects - Qty'!$L$7:$Q$7)*1000000</f>
        <v>77.803421801904264</v>
      </c>
      <c r="U13" s="84">
        <f t="shared" si="2"/>
        <v>10376.064564781234</v>
      </c>
      <c r="V13" s="84">
        <f>U13/'Prod &amp; Defects - Qty'!$R$7*1000000</f>
        <v>77.803421801904264</v>
      </c>
      <c r="W13" s="84">
        <f t="shared" si="3"/>
        <v>70.023079621713833</v>
      </c>
      <c r="X13" s="84">
        <f t="shared" si="3"/>
        <v>63.020771659542454</v>
      </c>
      <c r="Y13" s="84">
        <f t="shared" si="4"/>
        <v>66.52192564062814</v>
      </c>
      <c r="Z13" s="437">
        <f t="shared" si="5"/>
        <v>66.52192564062814</v>
      </c>
    </row>
    <row r="14" spans="1:27" ht="18" customHeight="1">
      <c r="A14" s="1002"/>
      <c r="B14" s="82">
        <f t="shared" si="6"/>
        <v>3090</v>
      </c>
      <c r="C14" s="83" t="s">
        <v>74</v>
      </c>
      <c r="D14" s="359">
        <f>'[3]Falhas UM-3-2 Qty'!Z15</f>
        <v>130.10550232337039</v>
      </c>
      <c r="E14" s="340">
        <f>'Prod &amp; Defects - Qty'!F$7*'Falhas UM-3-2 Qty'!$D14/1000000</f>
        <v>1403.2603237457247</v>
      </c>
      <c r="F14" s="340">
        <f>'Prod &amp; Defects - Qty'!G$7*'Falhas UM-3-2 Qty'!$D14/1000000</f>
        <v>1468.6049214305699</v>
      </c>
      <c r="G14" s="340">
        <f>'Prod &amp; Defects - Qty'!H$7*'Falhas UM-3-2 Qty'!$D14/1000000</f>
        <v>1413.3626727772105</v>
      </c>
      <c r="H14" s="340">
        <f>'Prod &amp; Defects - Qty'!I$7*'Falhas UM-3-2 Qty'!$D14/1000000</f>
        <v>1422.5001349955546</v>
      </c>
      <c r="I14" s="340">
        <f>'Prod &amp; Defects - Qty'!J$7*'Falhas UM-3-2 Qty'!$D14/1000000</f>
        <v>1439.8778943390646</v>
      </c>
      <c r="J14" s="340">
        <f>'Prod &amp; Defects - Qty'!K$7*'Falhas UM-3-2 Qty'!$D14/1000000</f>
        <v>1637.114587052132</v>
      </c>
      <c r="K14" s="340">
        <f>'Prod &amp; Defects - Qty'!L$7*'Falhas UM-3-2 Qty'!$D14/1000000</f>
        <v>1616.9778636028507</v>
      </c>
      <c r="L14" s="340">
        <f>'Prod &amp; Defects - Qty'!M$7*'Falhas UM-3-2 Qty'!$D14/1000000</f>
        <v>1617.8260160619316</v>
      </c>
      <c r="M14" s="340">
        <f>'Prod &amp; Defects - Qty'!N$7*'Falhas UM-3-2 Qty'!$D14/1000000</f>
        <v>1539.3147360654109</v>
      </c>
      <c r="N14" s="340">
        <f>'Prod &amp; Defects - Qty'!O$7*'Falhas UM-3-2 Qty'!$D14/1000000</f>
        <v>1193.7835461840036</v>
      </c>
      <c r="O14" s="340">
        <f>'Prod &amp; Defects - Qty'!P$7*'Falhas UM-3-2 Qty'!$D14/1000000</f>
        <v>1145.8158028651187</v>
      </c>
      <c r="P14" s="340">
        <f>'Prod &amp; Defects - Qty'!Q$7*'Falhas UM-3-2 Qty'!$D14/1000000</f>
        <v>1452.7661275584899</v>
      </c>
      <c r="Q14" s="436">
        <f t="shared" si="0"/>
        <v>8784.7205343402566</v>
      </c>
      <c r="R14" s="84">
        <f>Q14/SUM('Prod &amp; Defects - Qty'!$F$7:$K$7)*1000000</f>
        <v>130.10550232337036</v>
      </c>
      <c r="S14" s="84">
        <f t="shared" si="1"/>
        <v>8566.4840923378051</v>
      </c>
      <c r="T14" s="84">
        <f>S14/SUM('Prod &amp; Defects - Qty'!$L$7:$Q$7)*1000000</f>
        <v>130.10550232337039</v>
      </c>
      <c r="U14" s="84">
        <f t="shared" si="2"/>
        <v>17351.20462667806</v>
      </c>
      <c r="V14" s="84">
        <f>U14/'Prod &amp; Defects - Qty'!$R$7*1000000</f>
        <v>130.10550232337039</v>
      </c>
      <c r="W14" s="84">
        <f t="shared" si="3"/>
        <v>117.09495209103335</v>
      </c>
      <c r="X14" s="84">
        <f t="shared" si="3"/>
        <v>105.38545688193001</v>
      </c>
      <c r="Y14" s="84">
        <f t="shared" si="4"/>
        <v>111.24020448648167</v>
      </c>
      <c r="Z14" s="437">
        <f t="shared" si="5"/>
        <v>111.24020448648167</v>
      </c>
    </row>
    <row r="15" spans="1:27" ht="18" customHeight="1">
      <c r="A15" s="1002"/>
      <c r="B15" s="82">
        <f t="shared" si="6"/>
        <v>3100</v>
      </c>
      <c r="C15" s="90" t="s">
        <v>73</v>
      </c>
      <c r="D15" s="359">
        <f>'[3]Falhas UM-3-2 Qty'!Z16</f>
        <v>4406.8431118528397</v>
      </c>
      <c r="E15" s="340">
        <f>'Prod &amp; Defects - Qty'!F$7*'Falhas UM-3-2 Qty'!$D15/1000000</f>
        <v>47530.2579937423</v>
      </c>
      <c r="F15" s="340">
        <f>'Prod &amp; Defects - Qty'!G$7*'Falhas UM-3-2 Qty'!$D15/1000000</f>
        <v>49743.564772179212</v>
      </c>
      <c r="G15" s="340">
        <f>'Prod &amp; Defects - Qty'!H$7*'Falhas UM-3-2 Qty'!$D15/1000000</f>
        <v>47872.437735935571</v>
      </c>
      <c r="H15" s="340">
        <f>'Prod &amp; Defects - Qty'!I$7*'Falhas UM-3-2 Qty'!$D15/1000000</f>
        <v>48181.93550288352</v>
      </c>
      <c r="I15" s="340">
        <f>'Prod &amp; Defects - Qty'!J$7*'Falhas UM-3-2 Qty'!$D15/1000000</f>
        <v>48770.542884545561</v>
      </c>
      <c r="J15" s="340">
        <f>'Prod &amp; Defects - Qty'!K$7*'Falhas UM-3-2 Qty'!$D15/1000000</f>
        <v>55451.207000709444</v>
      </c>
      <c r="K15" s="340">
        <f>'Prod &amp; Defects - Qty'!L$7*'Falhas UM-3-2 Qty'!$D15/1000000</f>
        <v>54769.149905174818</v>
      </c>
      <c r="L15" s="340">
        <f>'Prod &amp; Defects - Qty'!M$7*'Falhas UM-3-2 Qty'!$D15/1000000</f>
        <v>54797.877935545213</v>
      </c>
      <c r="M15" s="340">
        <f>'Prod &amp; Defects - Qty'!N$7*'Falhas UM-3-2 Qty'!$D15/1000000</f>
        <v>52138.598448690886</v>
      </c>
      <c r="N15" s="340">
        <f>'Prod &amp; Defects - Qty'!O$7*'Falhas UM-3-2 Qty'!$D15/1000000</f>
        <v>40435.006234161789</v>
      </c>
      <c r="O15" s="340">
        <f>'Prod &amp; Defects - Qty'!P$7*'Falhas UM-3-2 Qty'!$D15/1000000</f>
        <v>38810.276184616581</v>
      </c>
      <c r="P15" s="340">
        <f>'Prod &amp; Defects - Qty'!Q$7*'Falhas UM-3-2 Qty'!$D15/1000000</f>
        <v>49207.08415891698</v>
      </c>
      <c r="Q15" s="436">
        <f t="shared" si="0"/>
        <v>297549.94588999561</v>
      </c>
      <c r="R15" s="84">
        <f>Q15/SUM('Prod &amp; Defects - Qty'!$F$7:$K$7)*1000000</f>
        <v>4406.8431118528388</v>
      </c>
      <c r="S15" s="84">
        <f t="shared" si="1"/>
        <v>290157.99286710628</v>
      </c>
      <c r="T15" s="84">
        <f>S15/SUM('Prod &amp; Defects - Qty'!$L$7:$Q$7)*1000000</f>
        <v>4406.8431118528388</v>
      </c>
      <c r="U15" s="84">
        <f t="shared" si="2"/>
        <v>587707.93875710189</v>
      </c>
      <c r="V15" s="84">
        <f>U15/'Prod &amp; Defects - Qty'!$R$7*1000000</f>
        <v>4406.8431118528397</v>
      </c>
      <c r="W15" s="84">
        <f t="shared" si="3"/>
        <v>3966.1588006675556</v>
      </c>
      <c r="X15" s="84">
        <f t="shared" si="3"/>
        <v>3569.5429206008002</v>
      </c>
      <c r="Y15" s="84">
        <f t="shared" si="4"/>
        <v>3767.8508606341779</v>
      </c>
      <c r="Z15" s="437">
        <f t="shared" si="5"/>
        <v>3767.8508606341779</v>
      </c>
    </row>
    <row r="16" spans="1:27" ht="18" customHeight="1">
      <c r="A16" s="1002"/>
      <c r="B16" s="82">
        <f t="shared" si="6"/>
        <v>3110</v>
      </c>
      <c r="C16" s="90" t="s">
        <v>72</v>
      </c>
      <c r="D16" s="360">
        <f>'[3]Falhas UM-3-2 Qty'!Z17</f>
        <v>441.9026259560618</v>
      </c>
      <c r="E16" s="341">
        <f>'Prod &amp; Defects - Qty'!F$7*'Falhas UM-3-2 Qty'!$D16/1000000</f>
        <v>4766.1660028947299</v>
      </c>
      <c r="F16" s="341">
        <f>'Prod &amp; Defects - Qty'!G$7*'Falhas UM-3-2 Qty'!$D16/1000000</f>
        <v>4988.1085709900108</v>
      </c>
      <c r="G16" s="341">
        <f>'Prod &amp; Defects - Qty'!H$7*'Falhas UM-3-2 Qty'!$D16/1000000</f>
        <v>4800.47857604204</v>
      </c>
      <c r="H16" s="341">
        <f>'Prod &amp; Defects - Qty'!I$7*'Falhas UM-3-2 Qty'!$D16/1000000</f>
        <v>4831.5139164139227</v>
      </c>
      <c r="I16" s="341">
        <f>'Prod &amp; Defects - Qty'!J$7*'Falhas UM-3-2 Qty'!$D16/1000000</f>
        <v>4890.5373808331524</v>
      </c>
      <c r="J16" s="341">
        <f>'Prod &amp; Defects - Qty'!K$7*'Falhas UM-3-2 Qty'!$D16/1000000</f>
        <v>5560.4507272200199</v>
      </c>
      <c r="K16" s="341">
        <f>'Prod &amp; Defects - Qty'!L$7*'Falhas UM-3-2 Qty'!$D16/1000000</f>
        <v>5492.0564563284506</v>
      </c>
      <c r="L16" s="341">
        <f>'Prod &amp; Defects - Qty'!M$7*'Falhas UM-3-2 Qty'!$D16/1000000</f>
        <v>5494.9372015097515</v>
      </c>
      <c r="M16" s="341">
        <f>'Prod &amp; Defects - Qty'!N$7*'Falhas UM-3-2 Qty'!$D16/1000000</f>
        <v>5228.2740690666424</v>
      </c>
      <c r="N16" s="341">
        <f>'Prod &amp; Defects - Qty'!O$7*'Falhas UM-3-2 Qty'!$D16/1000000</f>
        <v>4054.6792753675209</v>
      </c>
      <c r="O16" s="341">
        <f>'Prod &amp; Defects - Qty'!P$7*'Falhas UM-3-2 Qty'!$D16/1000000</f>
        <v>3891.7570979401794</v>
      </c>
      <c r="P16" s="341">
        <f>'Prod &amp; Defects - Qty'!Q$7*'Falhas UM-3-2 Qty'!$D16/1000000</f>
        <v>4934.3121943644264</v>
      </c>
      <c r="Q16" s="438">
        <f t="shared" si="0"/>
        <v>29837.255174393878</v>
      </c>
      <c r="R16" s="95">
        <f>Q16/SUM('Prod &amp; Defects - Qty'!$F$7:$K$7)*1000000</f>
        <v>441.90262595606174</v>
      </c>
      <c r="S16" s="95">
        <f t="shared" si="1"/>
        <v>29096.01629457697</v>
      </c>
      <c r="T16" s="95">
        <f>S16/SUM('Prod &amp; Defects - Qty'!$L$7:$Q$7)*1000000</f>
        <v>441.90262595606174</v>
      </c>
      <c r="U16" s="95">
        <f t="shared" si="2"/>
        <v>58933.271468970852</v>
      </c>
      <c r="V16" s="95">
        <f>U16/'Prod &amp; Defects - Qty'!$R$7*1000000</f>
        <v>441.9026259560618</v>
      </c>
      <c r="W16" s="95">
        <f t="shared" si="3"/>
        <v>397.71236336045564</v>
      </c>
      <c r="X16" s="95">
        <f t="shared" si="3"/>
        <v>357.94112702441009</v>
      </c>
      <c r="Y16" s="95">
        <f t="shared" si="4"/>
        <v>377.8267451924329</v>
      </c>
      <c r="Z16" s="439">
        <f t="shared" si="5"/>
        <v>377.8267451924329</v>
      </c>
    </row>
    <row r="17" spans="1:26" ht="18" customHeight="1">
      <c r="A17" s="1002"/>
      <c r="B17" s="82">
        <f t="shared" si="6"/>
        <v>3120</v>
      </c>
      <c r="C17" s="90" t="s">
        <v>71</v>
      </c>
      <c r="D17" s="361">
        <f>'[3]Falhas UM-3-2 Qty'!Z18</f>
        <v>0</v>
      </c>
      <c r="E17" s="342">
        <f>'Prod &amp; Defects - Qty'!F$7*'Falhas UM-3-2 Qty'!$D17/1000000</f>
        <v>0</v>
      </c>
      <c r="F17" s="342">
        <f>'Prod &amp; Defects - Qty'!G$7*'Falhas UM-3-2 Qty'!$D17/1000000</f>
        <v>0</v>
      </c>
      <c r="G17" s="342">
        <f>'Prod &amp; Defects - Qty'!H$7*'Falhas UM-3-2 Qty'!$D17/1000000</f>
        <v>0</v>
      </c>
      <c r="H17" s="342">
        <f>'Prod &amp; Defects - Qty'!I$7*'Falhas UM-3-2 Qty'!$D17/1000000</f>
        <v>0</v>
      </c>
      <c r="I17" s="342">
        <f>'Prod &amp; Defects - Qty'!J$7*'Falhas UM-3-2 Qty'!$D17/1000000</f>
        <v>0</v>
      </c>
      <c r="J17" s="342">
        <f>'Prod &amp; Defects - Qty'!K$7*'Falhas UM-3-2 Qty'!$D17/1000000</f>
        <v>0</v>
      </c>
      <c r="K17" s="342">
        <f>'Prod &amp; Defects - Qty'!L$7*'Falhas UM-3-2 Qty'!$D17/1000000</f>
        <v>0</v>
      </c>
      <c r="L17" s="342">
        <f>'Prod &amp; Defects - Qty'!M$7*'Falhas UM-3-2 Qty'!$D17/1000000</f>
        <v>0</v>
      </c>
      <c r="M17" s="342">
        <f>'Prod &amp; Defects - Qty'!N$7*'Falhas UM-3-2 Qty'!$D17/1000000</f>
        <v>0</v>
      </c>
      <c r="N17" s="342">
        <f>'Prod &amp; Defects - Qty'!O$7*'Falhas UM-3-2 Qty'!$D17/1000000</f>
        <v>0</v>
      </c>
      <c r="O17" s="342">
        <f>'Prod &amp; Defects - Qty'!P$7*'Falhas UM-3-2 Qty'!$D17/1000000</f>
        <v>0</v>
      </c>
      <c r="P17" s="342">
        <f>'Prod &amp; Defects - Qty'!Q$7*'Falhas UM-3-2 Qty'!$D17/1000000</f>
        <v>0</v>
      </c>
      <c r="Q17" s="440">
        <f t="shared" si="0"/>
        <v>0</v>
      </c>
      <c r="R17" s="94">
        <f>Q17/SUM('Prod &amp; Defects - Qty'!$F$7:$K$7)*1000000</f>
        <v>0</v>
      </c>
      <c r="S17" s="94">
        <f t="shared" si="1"/>
        <v>0</v>
      </c>
      <c r="T17" s="94">
        <f>S17/SUM('Prod &amp; Defects - Qty'!$L$7:$Q$7)*1000000</f>
        <v>0</v>
      </c>
      <c r="U17" s="94">
        <f t="shared" si="2"/>
        <v>0</v>
      </c>
      <c r="V17" s="94">
        <f>U17/'Prod &amp; Defects - Qty'!$R$7*1000000</f>
        <v>0</v>
      </c>
      <c r="W17" s="94">
        <f t="shared" si="3"/>
        <v>0</v>
      </c>
      <c r="X17" s="94">
        <f t="shared" si="3"/>
        <v>0</v>
      </c>
      <c r="Y17" s="94">
        <f t="shared" si="4"/>
        <v>0</v>
      </c>
      <c r="Z17" s="441">
        <f t="shared" si="5"/>
        <v>0</v>
      </c>
    </row>
    <row r="18" spans="1:26" ht="18" customHeight="1" thickBot="1">
      <c r="A18" s="1002"/>
      <c r="B18" s="85"/>
      <c r="C18" s="86" t="s">
        <v>1</v>
      </c>
      <c r="D18" s="362">
        <f>'[3]Falhas UM-3-2 Qty'!Z19</f>
        <v>911.52025771986257</v>
      </c>
      <c r="E18" s="343">
        <f>SUBTOTAL(109,E6:E17)</f>
        <v>62097.385554340734</v>
      </c>
      <c r="F18" s="343">
        <f t="shared" ref="F18:P18" si="7">SUBTOTAL(109,F6:F17)</f>
        <v>64989.029113033976</v>
      </c>
      <c r="G18" s="343">
        <f t="shared" si="7"/>
        <v>62544.436933330893</v>
      </c>
      <c r="H18" s="343">
        <f t="shared" si="7"/>
        <v>62948.789928109603</v>
      </c>
      <c r="I18" s="343">
        <f t="shared" si="7"/>
        <v>63717.794369954005</v>
      </c>
      <c r="J18" s="343">
        <f t="shared" si="7"/>
        <v>72445.956027210224</v>
      </c>
      <c r="K18" s="343">
        <f t="shared" si="7"/>
        <v>71554.861296837349</v>
      </c>
      <c r="L18" s="343">
        <f t="shared" si="7"/>
        <v>71592.393926648903</v>
      </c>
      <c r="M18" s="343">
        <f t="shared" si="7"/>
        <v>68118.095436333882</v>
      </c>
      <c r="N18" s="343">
        <f t="shared" si="7"/>
        <v>52827.572960901969</v>
      </c>
      <c r="O18" s="343">
        <f t="shared" si="7"/>
        <v>50704.893796786877</v>
      </c>
      <c r="P18" s="343">
        <f t="shared" si="7"/>
        <v>64288.127310890166</v>
      </c>
      <c r="Q18" s="442">
        <f t="shared" si="0"/>
        <v>388743.39192597941</v>
      </c>
      <c r="R18" s="87">
        <f>Q18/SUM('Prod &amp; Defects - Qty'!$F$7:$K$7)*1000000</f>
        <v>5757.4574038761766</v>
      </c>
      <c r="S18" s="87">
        <f t="shared" si="1"/>
        <v>379085.94472839916</v>
      </c>
      <c r="T18" s="87">
        <f>S18/SUM('Prod &amp; Defects - Qty'!$L$7:$Q$7)*1000000</f>
        <v>5757.4574038761766</v>
      </c>
      <c r="U18" s="87">
        <f t="shared" si="2"/>
        <v>767829.33665437857</v>
      </c>
      <c r="V18" s="87">
        <f>U18/'Prod &amp; Defects - Qty'!$R$7*1000000</f>
        <v>5757.4574038761775</v>
      </c>
      <c r="W18" s="87">
        <f t="shared" si="3"/>
        <v>5181.7116634885597</v>
      </c>
      <c r="X18" s="87">
        <f t="shared" si="3"/>
        <v>4663.5404971397038</v>
      </c>
      <c r="Y18" s="87">
        <f t="shared" si="4"/>
        <v>4922.6260803141322</v>
      </c>
      <c r="Z18" s="443">
        <f t="shared" ref="Z18:Z56" si="8">Y18*0.9</f>
        <v>4430.3634722827192</v>
      </c>
    </row>
    <row r="19" spans="1:26" ht="18" customHeight="1" thickTop="1">
      <c r="A19" s="1002"/>
      <c r="B19" s="82">
        <v>3130</v>
      </c>
      <c r="C19" s="83" t="s">
        <v>108</v>
      </c>
      <c r="D19" s="359">
        <f>'[3]Falhas UM-3-2 Qty'!Z20</f>
        <v>16.2158482962828</v>
      </c>
      <c r="E19" s="340">
        <f>'Prod &amp; Defects - Qty'!F$7*'Falhas UM-3-2 Qty'!$D19/1000000</f>
        <v>174.89695765131336</v>
      </c>
      <c r="F19" s="340">
        <f>'Prod &amp; Defects - Qty'!G$7*'Falhas UM-3-2 Qty'!$D19/1000000</f>
        <v>183.04125642513046</v>
      </c>
      <c r="G19" s="340">
        <f>'Prod &amp; Defects - Qty'!H$7*'Falhas UM-3-2 Qty'!$D19/1000000</f>
        <v>176.15607549341286</v>
      </c>
      <c r="H19" s="340">
        <f>'Prod &amp; Defects - Qty'!I$7*'Falhas UM-3-2 Qty'!$D19/1000000</f>
        <v>177.29493356243907</v>
      </c>
      <c r="I19" s="340">
        <f>'Prod &amp; Defects - Qty'!J$7*'Falhas UM-3-2 Qty'!$D19/1000000</f>
        <v>179.46083050154994</v>
      </c>
      <c r="J19" s="340">
        <f>'Prod &amp; Defects - Qty'!K$7*'Falhas UM-3-2 Qty'!$D19/1000000</f>
        <v>204.0436515996638</v>
      </c>
      <c r="K19" s="340">
        <f>'Prod &amp; Defects - Qty'!L$7*'Falhas UM-3-2 Qty'!$D19/1000000</f>
        <v>201.53388800929571</v>
      </c>
      <c r="L19" s="340">
        <f>'Prod &amp; Defects - Qty'!M$7*'Falhas UM-3-2 Qty'!$D19/1000000</f>
        <v>201.63959846245081</v>
      </c>
      <c r="M19" s="340">
        <f>'Prod &amp; Defects - Qty'!N$7*'Falhas UM-3-2 Qty'!$D19/1000000</f>
        <v>191.85425515847373</v>
      </c>
      <c r="N19" s="340">
        <f>'Prod &amp; Defects - Qty'!O$7*'Falhas UM-3-2 Qty'!$D19/1000000</f>
        <v>148.78857955910652</v>
      </c>
      <c r="O19" s="340">
        <f>'Prod &amp; Defects - Qty'!P$7*'Falhas UM-3-2 Qty'!$D19/1000000</f>
        <v>142.81006493148689</v>
      </c>
      <c r="P19" s="340">
        <f>'Prod &amp; Defects - Qty'!Q$7*'Falhas UM-3-2 Qty'!$D19/1000000</f>
        <v>181.06717021018019</v>
      </c>
      <c r="Q19" s="436">
        <f t="shared" si="0"/>
        <v>1094.8937052335095</v>
      </c>
      <c r="R19" s="84">
        <f>Q19/SUM('Prod &amp; Defects - Qty'!$F$7:$K$7)*1000000</f>
        <v>16.2158482962828</v>
      </c>
      <c r="S19" s="84">
        <f t="shared" si="1"/>
        <v>1067.6935563309939</v>
      </c>
      <c r="T19" s="84">
        <f>S19/SUM('Prod &amp; Defects - Qty'!$L$7:$Q$7)*1000000</f>
        <v>16.2158482962828</v>
      </c>
      <c r="U19" s="84">
        <f t="shared" si="2"/>
        <v>2162.5872615645035</v>
      </c>
      <c r="V19" s="84">
        <f>U19/'Prod &amp; Defects - Qty'!$R$7*1000000</f>
        <v>16.2158482962828</v>
      </c>
      <c r="W19" s="84">
        <f t="shared" si="3"/>
        <v>14.594263466654521</v>
      </c>
      <c r="X19" s="84">
        <f t="shared" si="3"/>
        <v>13.134837119989069</v>
      </c>
      <c r="Y19" s="84">
        <f t="shared" si="4"/>
        <v>13.864550293321795</v>
      </c>
      <c r="Z19" s="437">
        <f t="shared" ref="Z19:Z35" si="9">Y19*$AA$6</f>
        <v>13.864550293321795</v>
      </c>
    </row>
    <row r="20" spans="1:26" ht="18" customHeight="1">
      <c r="A20" s="1002"/>
      <c r="B20" s="82">
        <v>3135</v>
      </c>
      <c r="C20" s="90" t="s">
        <v>109</v>
      </c>
      <c r="D20" s="359">
        <f>'[3]Falhas UM-3-2 Qty'!Z21</f>
        <v>8.5518952738860463</v>
      </c>
      <c r="E20" s="340">
        <f>'Prod &amp; Defects - Qty'!F$7*'Falhas UM-3-2 Qty'!$D20/1000000</f>
        <v>92.236954751123193</v>
      </c>
      <c r="F20" s="340">
        <f>'Prod &amp; Defects - Qty'!G$7*'Falhas UM-3-2 Qty'!$D20/1000000</f>
        <v>96.532085595982423</v>
      </c>
      <c r="G20" s="340">
        <f>'Prod &amp; Defects - Qty'!H$7*'Falhas UM-3-2 Qty'!$D20/1000000</f>
        <v>92.900986858872045</v>
      </c>
      <c r="H20" s="340">
        <f>'Prod &amp; Defects - Qty'!I$7*'Falhas UM-3-2 Qty'!$D20/1000000</f>
        <v>93.501596506926347</v>
      </c>
      <c r="I20" s="340">
        <f>'Prod &amp; Defects - Qty'!J$7*'Falhas UM-3-2 Qty'!$D20/1000000</f>
        <v>94.643844723539999</v>
      </c>
      <c r="J20" s="340">
        <f>'Prod &amp; Defects - Qty'!K$7*'Falhas UM-3-2 Qty'!$D20/1000000</f>
        <v>107.60830441301165</v>
      </c>
      <c r="K20" s="340">
        <f>'Prod &amp; Defects - Qty'!L$7*'Falhas UM-3-2 Qty'!$D20/1000000</f>
        <v>106.28470820053597</v>
      </c>
      <c r="L20" s="340">
        <f>'Prod &amp; Defects - Qty'!M$7*'Falhas UM-3-2 Qty'!$D20/1000000</f>
        <v>106.34045765676049</v>
      </c>
      <c r="M20" s="340">
        <f>'Prod &amp; Defects - Qty'!N$7*'Falhas UM-3-2 Qty'!$D20/1000000</f>
        <v>101.17987465020779</v>
      </c>
      <c r="N20" s="340">
        <f>'Prod &amp; Defects - Qty'!O$7*'Falhas UM-3-2 Qty'!$D20/1000000</f>
        <v>78.467948582833145</v>
      </c>
      <c r="O20" s="340">
        <f>'Prod &amp; Defects - Qty'!P$7*'Falhas UM-3-2 Qty'!$D20/1000000</f>
        <v>75.315006469991658</v>
      </c>
      <c r="P20" s="340">
        <f>'Prod &amp; Defects - Qty'!Q$7*'Falhas UM-3-2 Qty'!$D20/1000000</f>
        <v>95.490994296691795</v>
      </c>
      <c r="Q20" s="436">
        <f t="shared" si="0"/>
        <v>577.42377284945564</v>
      </c>
      <c r="R20" s="84">
        <f>Q20/SUM('Prod &amp; Defects - Qty'!$F$7:$K$7)*1000000</f>
        <v>8.5518952738860445</v>
      </c>
      <c r="S20" s="84">
        <f t="shared" si="1"/>
        <v>563.07898985702093</v>
      </c>
      <c r="T20" s="84">
        <f>S20/SUM('Prod &amp; Defects - Qty'!$L$7:$Q$7)*1000000</f>
        <v>8.5518952738860463</v>
      </c>
      <c r="U20" s="84">
        <f t="shared" si="2"/>
        <v>1140.5027627064765</v>
      </c>
      <c r="V20" s="84">
        <f>U20/'Prod &amp; Defects - Qty'!$R$7*1000000</f>
        <v>8.5518952738860463</v>
      </c>
      <c r="W20" s="84">
        <f t="shared" si="3"/>
        <v>7.6967057464974422</v>
      </c>
      <c r="X20" s="84">
        <f t="shared" si="3"/>
        <v>6.9270351718476979</v>
      </c>
      <c r="Y20" s="84">
        <f t="shared" si="4"/>
        <v>7.3118704591725701</v>
      </c>
      <c r="Z20" s="437">
        <f t="shared" si="9"/>
        <v>7.3118704591725701</v>
      </c>
    </row>
    <row r="21" spans="1:26" ht="18" customHeight="1">
      <c r="A21" s="1002"/>
      <c r="B21" s="82">
        <v>3140</v>
      </c>
      <c r="C21" s="90" t="s">
        <v>110</v>
      </c>
      <c r="D21" s="359">
        <f>'[3]Falhas UM-3-2 Qty'!Z22</f>
        <v>9.127301446679045</v>
      </c>
      <c r="E21" s="340">
        <f>'Prod &amp; Defects - Qty'!F$7*'Falhas UM-3-2 Qty'!$D21/1000000</f>
        <v>98.443030880877714</v>
      </c>
      <c r="F21" s="340">
        <f>'Prod &amp; Defects - Qty'!G$7*'Falhas UM-3-2 Qty'!$D21/1000000</f>
        <v>103.02715553610696</v>
      </c>
      <c r="G21" s="340">
        <f>'Prod &amp; Defects - Qty'!H$7*'Falhas UM-3-2 Qty'!$D21/1000000</f>
        <v>99.151741759997648</v>
      </c>
      <c r="H21" s="340">
        <f>'Prod &amp; Defects - Qty'!I$7*'Falhas UM-3-2 Qty'!$D21/1000000</f>
        <v>99.792762859298904</v>
      </c>
      <c r="I21" s="340">
        <f>'Prod &amp; Defects - Qty'!J$7*'Falhas UM-3-2 Qty'!$D21/1000000</f>
        <v>101.01186616518243</v>
      </c>
      <c r="J21" s="340">
        <f>'Prod &amp; Defects - Qty'!K$7*'Falhas UM-3-2 Qty'!$D21/1000000</f>
        <v>114.84862724438547</v>
      </c>
      <c r="K21" s="340">
        <f>'Prod &amp; Defects - Qty'!L$7*'Falhas UM-3-2 Qty'!$D21/1000000</f>
        <v>113.43597411451866</v>
      </c>
      <c r="L21" s="340">
        <f>'Prod &amp; Defects - Qty'!M$7*'Falhas UM-3-2 Qty'!$D21/1000000</f>
        <v>113.49547462009707</v>
      </c>
      <c r="M21" s="340">
        <f>'Prod &amp; Defects - Qty'!N$7*'Falhas UM-3-2 Qty'!$D21/1000000</f>
        <v>107.98766667426702</v>
      </c>
      <c r="N21" s="340">
        <f>'Prod &amp; Defects - Qty'!O$7*'Falhas UM-3-2 Qty'!$D21/1000000</f>
        <v>83.747590175128835</v>
      </c>
      <c r="O21" s="340">
        <f>'Prod &amp; Defects - Qty'!P$7*'Falhas UM-3-2 Qty'!$D21/1000000</f>
        <v>80.38250533882254</v>
      </c>
      <c r="P21" s="340">
        <f>'Prod &amp; Defects - Qty'!Q$7*'Falhas UM-3-2 Qty'!$D21/1000000</f>
        <v>101.91601539490848</v>
      </c>
      <c r="Q21" s="436">
        <f t="shared" si="0"/>
        <v>616.27518444584916</v>
      </c>
      <c r="R21" s="84">
        <f>Q21/SUM('Prod &amp; Defects - Qty'!$F$7:$K$7)*1000000</f>
        <v>9.127301446679045</v>
      </c>
      <c r="S21" s="84">
        <f t="shared" si="1"/>
        <v>600.96522631774269</v>
      </c>
      <c r="T21" s="84">
        <f>S21/SUM('Prod &amp; Defects - Qty'!$L$7:$Q$7)*1000000</f>
        <v>9.127301446679045</v>
      </c>
      <c r="U21" s="84">
        <f t="shared" si="2"/>
        <v>1217.2404107635919</v>
      </c>
      <c r="V21" s="84">
        <f>U21/'Prod &amp; Defects - Qty'!$R$7*1000000</f>
        <v>9.1273014466790467</v>
      </c>
      <c r="W21" s="84">
        <f t="shared" si="3"/>
        <v>8.2145713020111426</v>
      </c>
      <c r="X21" s="84">
        <f t="shared" si="3"/>
        <v>7.3931141718100282</v>
      </c>
      <c r="Y21" s="84">
        <f t="shared" si="4"/>
        <v>7.8038427369105854</v>
      </c>
      <c r="Z21" s="437">
        <f t="shared" si="9"/>
        <v>7.8038427369105854</v>
      </c>
    </row>
    <row r="22" spans="1:26" ht="18" customHeight="1">
      <c r="A22" s="1002"/>
      <c r="B22" s="82">
        <f>B21+5</f>
        <v>3145</v>
      </c>
      <c r="C22" s="90" t="s">
        <v>111</v>
      </c>
      <c r="D22" s="359">
        <f>'[3]Falhas UM-3-2 Qty'!Z23</f>
        <v>42.417513141972357</v>
      </c>
      <c r="E22" s="340">
        <f>'Prod &amp; Defects - Qty'!F$7*'Falhas UM-3-2 Qty'!$D22/1000000</f>
        <v>457.49650984131199</v>
      </c>
      <c r="F22" s="340">
        <f>'Prod &amp; Defects - Qty'!G$7*'Falhas UM-3-2 Qty'!$D22/1000000</f>
        <v>478.80041537610458</v>
      </c>
      <c r="G22" s="340">
        <f>'Prod &amp; Defects - Qty'!H$7*'Falhas UM-3-2 Qty'!$D22/1000000</f>
        <v>460.79011783755789</v>
      </c>
      <c r="H22" s="340">
        <f>'Prod &amp; Defects - Qty'!I$7*'Falhas UM-3-2 Qty'!$D22/1000000</f>
        <v>463.76914959877854</v>
      </c>
      <c r="I22" s="340">
        <f>'Prod &amp; Defects - Qty'!J$7*'Falhas UM-3-2 Qty'!$D22/1000000</f>
        <v>469.43471579058564</v>
      </c>
      <c r="J22" s="340">
        <f>'Prod &amp; Defects - Qty'!K$7*'Falhas UM-3-2 Qty'!$D22/1000000</f>
        <v>533.73860652413612</v>
      </c>
      <c r="K22" s="340">
        <f>'Prod &amp; Defects - Qty'!L$7*'Falhas UM-3-2 Qty'!$D22/1000000</f>
        <v>527.17355188545366</v>
      </c>
      <c r="L22" s="340">
        <f>'Prod &amp; Defects - Qty'!M$7*'Falhas UM-3-2 Qty'!$D22/1000000</f>
        <v>527.45006992225456</v>
      </c>
      <c r="M22" s="340">
        <f>'Prod &amp; Defects - Qty'!N$7*'Falhas UM-3-2 Qty'!$D22/1000000</f>
        <v>501.85351027200767</v>
      </c>
      <c r="N22" s="340">
        <f>'Prod &amp; Defects - Qty'!O$7*'Falhas UM-3-2 Qty'!$D22/1000000</f>
        <v>389.20205798117524</v>
      </c>
      <c r="O22" s="340">
        <f>'Prod &amp; Defects - Qty'!P$7*'Falhas UM-3-2 Qty'!$D22/1000000</f>
        <v>373.56342359381108</v>
      </c>
      <c r="P22" s="340">
        <f>'Prod &amp; Defects - Qty'!Q$7*'Falhas UM-3-2 Qty'!$D22/1000000</f>
        <v>473.63658882592438</v>
      </c>
      <c r="Q22" s="436">
        <f t="shared" si="0"/>
        <v>2864.0295149684748</v>
      </c>
      <c r="R22" s="84">
        <f>Q22/SUM('Prod &amp; Defects - Qty'!$F$7:$K$7)*1000000</f>
        <v>42.41751314197235</v>
      </c>
      <c r="S22" s="84">
        <f t="shared" si="1"/>
        <v>2792.8792024806266</v>
      </c>
      <c r="T22" s="84">
        <f>S22/SUM('Prod &amp; Defects - Qty'!$L$7:$Q$7)*1000000</f>
        <v>42.41751314197235</v>
      </c>
      <c r="U22" s="84">
        <f t="shared" si="2"/>
        <v>5656.9087174491015</v>
      </c>
      <c r="V22" s="84">
        <f>U22/'Prod &amp; Defects - Qty'!$R$7*1000000</f>
        <v>42.417513141972357</v>
      </c>
      <c r="W22" s="84">
        <f t="shared" si="3"/>
        <v>38.175761827775119</v>
      </c>
      <c r="X22" s="84">
        <f t="shared" si="3"/>
        <v>34.358185644997612</v>
      </c>
      <c r="Y22" s="84">
        <f t="shared" si="4"/>
        <v>36.266973736386362</v>
      </c>
      <c r="Z22" s="437">
        <f t="shared" si="9"/>
        <v>36.266973736386362</v>
      </c>
    </row>
    <row r="23" spans="1:26" ht="18" customHeight="1">
      <c r="A23" s="1002"/>
      <c r="B23" s="195">
        <f t="shared" ref="B23:B35" si="10">B22+5</f>
        <v>3150</v>
      </c>
      <c r="C23" s="91" t="s">
        <v>112</v>
      </c>
      <c r="D23" s="363">
        <f>'[3]Falhas UM-3-2 Qty'!Z24</f>
        <v>4.6334990709184734</v>
      </c>
      <c r="E23" s="344">
        <f>'Prod &amp; Defects - Qty'!F$7*'Falhas UM-3-2 Qty'!$D23/1000000</f>
        <v>49.974868781277053</v>
      </c>
      <c r="F23" s="344">
        <f>'Prod &amp; Defects - Qty'!G$7*'Falhas UM-3-2 Qty'!$D23/1000000</f>
        <v>52.302011963198311</v>
      </c>
      <c r="G23" s="344">
        <f>'Prod &amp; Defects - Qty'!H$7*'Falhas UM-3-2 Qty'!$D23/1000000</f>
        <v>50.33464776076358</v>
      </c>
      <c r="H23" s="344">
        <f>'Prod &amp; Defects - Qty'!I$7*'Falhas UM-3-2 Qty'!$D23/1000000</f>
        <v>50.660063841891493</v>
      </c>
      <c r="I23" s="344">
        <f>'Prod &amp; Defects - Qty'!J$7*'Falhas UM-3-2 Qty'!$D23/1000000</f>
        <v>51.27894490637307</v>
      </c>
      <c r="J23" s="344">
        <f>'Prod &amp; Defects - Qty'!K$7*'Falhas UM-3-2 Qty'!$D23/1000000</f>
        <v>58.303213796750896</v>
      </c>
      <c r="K23" s="344">
        <f>'Prod &amp; Defects - Qty'!L$7*'Falhas UM-3-2 Qty'!$D23/1000000</f>
        <v>57.586076644767218</v>
      </c>
      <c r="L23" s="344">
        <f>'Prod &amp; Defects - Qty'!M$7*'Falhas UM-3-2 Qty'!$D23/1000000</f>
        <v>57.616282236083265</v>
      </c>
      <c r="M23" s="344">
        <f>'Prod &amp; Defects - Qty'!N$7*'Falhas UM-3-2 Qty'!$D23/1000000</f>
        <v>54.820228753146488</v>
      </c>
      <c r="N23" s="344">
        <f>'Prod &amp; Defects - Qty'!O$7*'Falhas UM-3-2 Qty'!$D23/1000000</f>
        <v>42.514688874367124</v>
      </c>
      <c r="O23" s="344">
        <f>'Prod &amp; Defects - Qty'!P$7*'Falhas UM-3-2 Qty'!$D23/1000000</f>
        <v>40.806394527601555</v>
      </c>
      <c r="P23" s="344">
        <f>'Prod &amp; Defects - Qty'!Q$7*'Falhas UM-3-2 Qty'!$D23/1000000</f>
        <v>51.737938688969308</v>
      </c>
      <c r="Q23" s="444">
        <f t="shared" si="0"/>
        <v>312.85375105025435</v>
      </c>
      <c r="R23" s="92">
        <f>Q23/SUM('Prod &amp; Defects - Qty'!$F$7:$K$7)*1000000</f>
        <v>4.6334990709184725</v>
      </c>
      <c r="S23" s="92">
        <f t="shared" si="1"/>
        <v>305.08160972493499</v>
      </c>
      <c r="T23" s="92">
        <f>S23/SUM('Prod &amp; Defects - Qty'!$L$7:$Q$7)*1000000</f>
        <v>4.6334990709184734</v>
      </c>
      <c r="U23" s="92">
        <f t="shared" si="2"/>
        <v>617.93536077518934</v>
      </c>
      <c r="V23" s="92">
        <f>U23/'Prod &amp; Defects - Qty'!$R$7*1000000</f>
        <v>4.6334990709184734</v>
      </c>
      <c r="W23" s="92">
        <f t="shared" ref="W23:X38" si="11">V23*0.9</f>
        <v>4.1701491638266264</v>
      </c>
      <c r="X23" s="92">
        <f t="shared" si="11"/>
        <v>3.7531342474439637</v>
      </c>
      <c r="Y23" s="92">
        <f t="shared" si="4"/>
        <v>3.9616417056352953</v>
      </c>
      <c r="Z23" s="445">
        <f t="shared" si="9"/>
        <v>3.9616417056352953</v>
      </c>
    </row>
    <row r="24" spans="1:26" ht="18" customHeight="1">
      <c r="A24" s="1002"/>
      <c r="B24" s="82">
        <f t="shared" si="10"/>
        <v>3155</v>
      </c>
      <c r="C24" s="83" t="s">
        <v>115</v>
      </c>
      <c r="D24" s="359">
        <f>'[3]Falhas UM-3-2 Qty'!Z25</f>
        <v>8.6469121687136976</v>
      </c>
      <c r="E24" s="340">
        <f>'Prod &amp; Defects - Qty'!F$7*'Falhas UM-3-2 Qty'!$D24/1000000</f>
        <v>93.261764895322699</v>
      </c>
      <c r="F24" s="340">
        <f>'Prod &amp; Defects - Qty'!G$7*'Falhas UM-3-2 Qty'!$D24/1000000</f>
        <v>97.604617325010409</v>
      </c>
      <c r="G24" s="340">
        <f>'Prod &amp; Defects - Qty'!H$7*'Falhas UM-3-2 Qty'!$D24/1000000</f>
        <v>93.933174814296265</v>
      </c>
      <c r="H24" s="340">
        <f>'Prod &amp; Defects - Qty'!I$7*'Falhas UM-3-2 Qty'!$D24/1000000</f>
        <v>94.540457610457977</v>
      </c>
      <c r="I24" s="340">
        <f>'Prod &amp; Defects - Qty'!J$7*'Falhas UM-3-2 Qty'!$D24/1000000</f>
        <v>95.695396917781821</v>
      </c>
      <c r="J24" s="340">
        <f>'Prod &amp; Defects - Qty'!K$7*'Falhas UM-3-2 Qty'!$D24/1000000</f>
        <v>108.80389984718573</v>
      </c>
      <c r="K24" s="340">
        <f>'Prod &amp; Defects - Qty'!L$7*'Falhas UM-3-2 Qty'!$D24/1000000</f>
        <v>107.46559765456327</v>
      </c>
      <c r="L24" s="340">
        <f>'Prod &amp; Defects - Qty'!M$7*'Falhas UM-3-2 Qty'!$D24/1000000</f>
        <v>107.52196652204684</v>
      </c>
      <c r="M24" s="340">
        <f>'Prod &amp; Defects - Qty'!N$7*'Falhas UM-3-2 Qty'!$D24/1000000</f>
        <v>102.30404621690953</v>
      </c>
      <c r="N24" s="340">
        <f>'Prod &amp; Defects - Qty'!O$7*'Falhas UM-3-2 Qty'!$D24/1000000</f>
        <v>79.339776473500066</v>
      </c>
      <c r="O24" s="340">
        <f>'Prod &amp; Defects - Qty'!P$7*'Falhas UM-3-2 Qty'!$D24/1000000</f>
        <v>76.151803205629321</v>
      </c>
      <c r="P24" s="340">
        <f>'Prod &amp; Defects - Qty'!Q$7*'Falhas UM-3-2 Qty'!$D24/1000000</f>
        <v>96.551958851506043</v>
      </c>
      <c r="Q24" s="436">
        <f t="shared" si="0"/>
        <v>583.83931141005485</v>
      </c>
      <c r="R24" s="84">
        <f>Q24/SUM('Prod &amp; Defects - Qty'!$F$7:$K$7)*1000000</f>
        <v>8.6469121687136958</v>
      </c>
      <c r="S24" s="84">
        <f t="shared" si="1"/>
        <v>569.33514892415508</v>
      </c>
      <c r="T24" s="84">
        <f>S24/SUM('Prod &amp; Defects - Qty'!$L$7:$Q$7)*1000000</f>
        <v>8.6469121687136976</v>
      </c>
      <c r="U24" s="84">
        <f t="shared" si="2"/>
        <v>1153.1744603342099</v>
      </c>
      <c r="V24" s="84">
        <f>U24/'Prod &amp; Defects - Qty'!$R$7*1000000</f>
        <v>8.6469121687136976</v>
      </c>
      <c r="W24" s="84">
        <f t="shared" si="11"/>
        <v>7.7822209518423282</v>
      </c>
      <c r="X24" s="84">
        <f t="shared" si="11"/>
        <v>7.0039988566580957</v>
      </c>
      <c r="Y24" s="84">
        <f t="shared" si="4"/>
        <v>7.3931099042502115</v>
      </c>
      <c r="Z24" s="437">
        <f t="shared" si="9"/>
        <v>7.3931099042502115</v>
      </c>
    </row>
    <row r="25" spans="1:26" ht="18" customHeight="1">
      <c r="A25" s="1002"/>
      <c r="B25" s="82">
        <f t="shared" si="10"/>
        <v>3160</v>
      </c>
      <c r="C25" s="90" t="s">
        <v>126</v>
      </c>
      <c r="D25" s="359">
        <f>'[3]Falhas UM-3-2 Qty'!Z26</f>
        <v>2.2568606235377313</v>
      </c>
      <c r="E25" s="340">
        <f>'Prod &amp; Defects - Qty'!F$7*'Falhas UM-3-2 Qty'!$D25/1000000</f>
        <v>24.341499111722541</v>
      </c>
      <c r="F25" s="340">
        <f>'Prod &amp; Defects - Qty'!G$7*'Falhas UM-3-2 Qty'!$D25/1000000</f>
        <v>25.474991906741341</v>
      </c>
      <c r="G25" s="340">
        <f>'Prod &amp; Defects - Qty'!H$7*'Falhas UM-3-2 Qty'!$D25/1000000</f>
        <v>24.516738385444626</v>
      </c>
      <c r="H25" s="340">
        <f>'Prod &amp; Defects - Qty'!I$7*'Falhas UM-3-2 Qty'!$D25/1000000</f>
        <v>24.675240357393434</v>
      </c>
      <c r="I25" s="340">
        <f>'Prod &amp; Defects - Qty'!J$7*'Falhas UM-3-2 Qty'!$D25/1000000</f>
        <v>24.976681726799978</v>
      </c>
      <c r="J25" s="340">
        <f>'Prod &amp; Defects - Qty'!K$7*'Falhas UM-3-2 Qty'!$D25/1000000</f>
        <v>28.398026076976432</v>
      </c>
      <c r="K25" s="340">
        <f>'Prod &amp; Defects - Qty'!L$7*'Falhas UM-3-2 Qty'!$D25/1000000</f>
        <v>28.04872664360736</v>
      </c>
      <c r="L25" s="340">
        <f>'Prod &amp; Defects - Qty'!M$7*'Falhas UM-3-2 Qty'!$D25/1000000</f>
        <v>28.063439025893075</v>
      </c>
      <c r="M25" s="340">
        <f>'Prod &amp; Defects - Qty'!N$7*'Falhas UM-3-2 Qty'!$D25/1000000</f>
        <v>26.701551840773885</v>
      </c>
      <c r="N25" s="340">
        <f>'Prod &amp; Defects - Qty'!O$7*'Falhas UM-3-2 Qty'!$D25/1000000</f>
        <v>20.7078334912663</v>
      </c>
      <c r="O25" s="340">
        <f>'Prod &amp; Defects - Qty'!P$7*'Falhas UM-3-2 Qty'!$D25/1000000</f>
        <v>19.875766367561642</v>
      </c>
      <c r="P25" s="340">
        <f>'Prod &amp; Defects - Qty'!Q$7*'Falhas UM-3-2 Qty'!$D25/1000000</f>
        <v>25.200246030695425</v>
      </c>
      <c r="Q25" s="436">
        <f t="shared" si="0"/>
        <v>152.38317756507834</v>
      </c>
      <c r="R25" s="84">
        <f>Q25/SUM('Prod &amp; Defects - Qty'!$F$7:$K$7)*1000000</f>
        <v>2.2568606235377309</v>
      </c>
      <c r="S25" s="84">
        <f t="shared" si="1"/>
        <v>148.59756339979768</v>
      </c>
      <c r="T25" s="84">
        <f>S25/SUM('Prod &amp; Defects - Qty'!$L$7:$Q$7)*1000000</f>
        <v>2.2568606235377313</v>
      </c>
      <c r="U25" s="84">
        <f t="shared" si="2"/>
        <v>300.98074096487602</v>
      </c>
      <c r="V25" s="84">
        <f>U25/'Prod &amp; Defects - Qty'!$R$7*1000000</f>
        <v>2.2568606235377313</v>
      </c>
      <c r="W25" s="84">
        <f t="shared" si="11"/>
        <v>2.0311745611839584</v>
      </c>
      <c r="X25" s="84">
        <f t="shared" si="11"/>
        <v>1.8280571050655627</v>
      </c>
      <c r="Y25" s="84">
        <f t="shared" si="4"/>
        <v>1.9296158331247606</v>
      </c>
      <c r="Z25" s="437">
        <f t="shared" si="9"/>
        <v>1.9296158331247606</v>
      </c>
    </row>
    <row r="26" spans="1:26" ht="18" customHeight="1">
      <c r="A26" s="1002"/>
      <c r="B26" s="82">
        <f t="shared" si="10"/>
        <v>3165</v>
      </c>
      <c r="C26" s="90" t="s">
        <v>127</v>
      </c>
      <c r="D26" s="359">
        <f>'[3]Falhas UM-3-2 Qty'!Z27</f>
        <v>0.12435809805700651</v>
      </c>
      <c r="E26" s="340">
        <f>'Prod &amp; Defects - Qty'!F$7*'Falhas UM-3-2 Qty'!$D26/1000000</f>
        <v>1.3412713668800118</v>
      </c>
      <c r="F26" s="340">
        <f>'Prod &amp; Defects - Qty'!G$7*'Falhas UM-3-2 Qty'!$D26/1000000</f>
        <v>1.4037293701256435</v>
      </c>
      <c r="G26" s="340">
        <f>'Prod &amp; Defects - Qty'!H$7*'Falhas UM-3-2 Qty'!$D26/1000000</f>
        <v>1.3509274451321147</v>
      </c>
      <c r="H26" s="340">
        <f>'Prod &amp; Defects - Qty'!I$7*'Falhas UM-3-2 Qty'!$D26/1000000</f>
        <v>1.3596612603993334</v>
      </c>
      <c r="I26" s="340">
        <f>'Prod &amp; Defects - Qty'!J$7*'Falhas UM-3-2 Qty'!$D26/1000000</f>
        <v>1.3762713580651498</v>
      </c>
      <c r="J26" s="340">
        <f>'Prod &amp; Defects - Qty'!K$7*'Falhas UM-3-2 Qty'!$D26/1000000</f>
        <v>1.5647951294263971</v>
      </c>
      <c r="K26" s="340">
        <f>'Prod &amp; Defects - Qty'!L$7*'Falhas UM-3-2 Qty'!$D26/1000000</f>
        <v>1.5455479447606126</v>
      </c>
      <c r="L26" s="340">
        <f>'Prod &amp; Defects - Qty'!M$7*'Falhas UM-3-2 Qty'!$D26/1000000</f>
        <v>1.5463586301258749</v>
      </c>
      <c r="M26" s="340">
        <f>'Prod &amp; Defects - Qty'!N$7*'Falhas UM-3-2 Qty'!$D26/1000000</f>
        <v>1.4713155821222499</v>
      </c>
      <c r="N26" s="340">
        <f>'Prod &amp; Defects - Qty'!O$7*'Falhas UM-3-2 Qty'!$D26/1000000</f>
        <v>1.1410482158257234</v>
      </c>
      <c r="O26" s="340">
        <f>'Prod &amp; Defects - Qty'!P$7*'Falhas UM-3-2 Qty'!$D26/1000000</f>
        <v>1.0951994452456977</v>
      </c>
      <c r="P26" s="340">
        <f>'Prod &amp; Defects - Qty'!Q$7*'Falhas UM-3-2 Qty'!$D26/1000000</f>
        <v>1.3885902542060622</v>
      </c>
      <c r="Q26" s="436">
        <f t="shared" si="0"/>
        <v>8.3966559300286505</v>
      </c>
      <c r="R26" s="84">
        <f>Q26/SUM('Prod &amp; Defects - Qty'!$F$7:$K$7)*1000000</f>
        <v>0.1243580980570065</v>
      </c>
      <c r="S26" s="84">
        <f t="shared" si="1"/>
        <v>8.1880600722862198</v>
      </c>
      <c r="T26" s="84">
        <f>S26/SUM('Prod &amp; Defects - Qty'!$L$7:$Q$7)*1000000</f>
        <v>0.12435809805700647</v>
      </c>
      <c r="U26" s="84">
        <f t="shared" si="2"/>
        <v>16.58471600231487</v>
      </c>
      <c r="V26" s="84">
        <f>U26/'Prod &amp; Defects - Qty'!$R$7*1000000</f>
        <v>0.1243580980570065</v>
      </c>
      <c r="W26" s="84">
        <f t="shared" si="11"/>
        <v>0.11192228825130585</v>
      </c>
      <c r="X26" s="84">
        <f t="shared" si="11"/>
        <v>0.10073005942617526</v>
      </c>
      <c r="Y26" s="84">
        <f t="shared" si="4"/>
        <v>0.10632617383874055</v>
      </c>
      <c r="Z26" s="437">
        <f t="shared" si="9"/>
        <v>0.10632617383874055</v>
      </c>
    </row>
    <row r="27" spans="1:26" ht="18" customHeight="1">
      <c r="A27" s="1002"/>
      <c r="B27" s="82">
        <f t="shared" si="10"/>
        <v>3170</v>
      </c>
      <c r="C27" s="90" t="s">
        <v>128</v>
      </c>
      <c r="D27" s="359">
        <f>'[3]Falhas UM-3-2 Qty'!Z28</f>
        <v>73.780059567657062</v>
      </c>
      <c r="E27" s="340">
        <f>'Prod &amp; Defects - Qty'!F$7*'Falhas UM-3-2 Qty'!$D27/1000000</f>
        <v>795.75904497539545</v>
      </c>
      <c r="F27" s="340">
        <f>'Prod &amp; Defects - Qty'!G$7*'Falhas UM-3-2 Qty'!$D27/1000000</f>
        <v>832.81457470718033</v>
      </c>
      <c r="G27" s="340">
        <f>'Prod &amp; Defects - Qty'!H$7*'Falhas UM-3-2 Qty'!$D27/1000000</f>
        <v>801.48787196584613</v>
      </c>
      <c r="H27" s="340">
        <f>'Prod &amp; Defects - Qty'!I$7*'Falhas UM-3-2 Qty'!$D27/1000000</f>
        <v>806.66953219333641</v>
      </c>
      <c r="I27" s="340">
        <f>'Prod &amp; Defects - Qty'!J$7*'Falhas UM-3-2 Qty'!$D27/1000000</f>
        <v>816.52408943050762</v>
      </c>
      <c r="J27" s="340">
        <f>'Prod &amp; Defects - Qty'!K$7*'Falhas UM-3-2 Qty'!$D27/1000000</f>
        <v>928.37281740458843</v>
      </c>
      <c r="K27" s="340">
        <f>'Prod &amp; Defects - Qty'!L$7*'Falhas UM-3-2 Qty'!$D27/1000000</f>
        <v>916.95371037948496</v>
      </c>
      <c r="L27" s="340">
        <f>'Prod &amp; Defects - Qty'!M$7*'Falhas UM-3-2 Qty'!$D27/1000000</f>
        <v>917.43467957629809</v>
      </c>
      <c r="M27" s="340">
        <f>'Prod &amp; Defects - Qty'!N$7*'Falhas UM-3-2 Qty'!$D27/1000000</f>
        <v>872.91260471063117</v>
      </c>
      <c r="N27" s="340">
        <f>'Prod &amp; Defects - Qty'!O$7*'Falhas UM-3-2 Qty'!$D27/1000000</f>
        <v>676.96922555537174</v>
      </c>
      <c r="O27" s="340">
        <f>'Prod &amp; Defects - Qty'!P$7*'Falhas UM-3-2 Qty'!$D27/1000000</f>
        <v>649.76773986726255</v>
      </c>
      <c r="P27" s="340">
        <f>'Prod &amp; Defects - Qty'!Q$7*'Falhas UM-3-2 Qty'!$D27/1000000</f>
        <v>823.83273201418308</v>
      </c>
      <c r="Q27" s="436">
        <f t="shared" si="0"/>
        <v>4981.6279306768547</v>
      </c>
      <c r="R27" s="84">
        <f>Q27/SUM('Prod &amp; Defects - Qty'!$F$7:$K$7)*1000000</f>
        <v>73.780059567657062</v>
      </c>
      <c r="S27" s="84">
        <f t="shared" si="1"/>
        <v>4857.8706921032317</v>
      </c>
      <c r="T27" s="84">
        <f>S27/SUM('Prod &amp; Defects - Qty'!$L$7:$Q$7)*1000000</f>
        <v>73.780059567657062</v>
      </c>
      <c r="U27" s="84">
        <f t="shared" si="2"/>
        <v>9839.4986227800873</v>
      </c>
      <c r="V27" s="84">
        <f>U27/'Prod &amp; Defects - Qty'!$R$7*1000000</f>
        <v>73.780059567657077</v>
      </c>
      <c r="W27" s="84">
        <f t="shared" si="11"/>
        <v>66.402053610891372</v>
      </c>
      <c r="X27" s="84">
        <f t="shared" si="11"/>
        <v>59.761848249802235</v>
      </c>
      <c r="Y27" s="84">
        <f t="shared" si="4"/>
        <v>63.081950930346807</v>
      </c>
      <c r="Z27" s="437">
        <f t="shared" si="9"/>
        <v>63.081950930346807</v>
      </c>
    </row>
    <row r="28" spans="1:26" ht="18" customHeight="1">
      <c r="A28" s="1002"/>
      <c r="B28" s="82">
        <f t="shared" si="10"/>
        <v>3175</v>
      </c>
      <c r="C28" s="90" t="s">
        <v>129</v>
      </c>
      <c r="D28" s="359">
        <f>'[3]Falhas UM-3-2 Qty'!Z29</f>
        <v>7.6776752665357814E-2</v>
      </c>
      <c r="E28" s="340">
        <f>'Prod &amp; Defects - Qty'!F$7*'Falhas UM-3-2 Qty'!$D28/1000000</f>
        <v>0.82808004947829861</v>
      </c>
      <c r="F28" s="340">
        <f>'Prod &amp; Defects - Qty'!G$7*'Falhas UM-3-2 Qty'!$D28/1000000</f>
        <v>0.86664064779947736</v>
      </c>
      <c r="G28" s="340">
        <f>'Prod &amp; Defects - Qty'!H$7*'Falhas UM-3-2 Qty'!$D28/1000000</f>
        <v>0.83404156178238031</v>
      </c>
      <c r="H28" s="340">
        <f>'Prod &amp; Defects - Qty'!I$7*'Falhas UM-3-2 Qty'!$D28/1000000</f>
        <v>0.83943368328530643</v>
      </c>
      <c r="I28" s="340">
        <f>'Prod &amp; Defects - Qty'!J$7*'Falhas UM-3-2 Qty'!$D28/1000000</f>
        <v>0.84968849885550934</v>
      </c>
      <c r="J28" s="340">
        <f>'Prod &amp; Defects - Qty'!K$7*'Falhas UM-3-2 Qty'!$D28/1000000</f>
        <v>0.96608013873655585</v>
      </c>
      <c r="K28" s="340">
        <f>'Prod &amp; Defects - Qty'!L$7*'Falhas UM-3-2 Qty'!$D28/1000000</f>
        <v>0.954197226729394</v>
      </c>
      <c r="L28" s="340">
        <f>'Prod &amp; Defects - Qty'!M$7*'Falhas UM-3-2 Qty'!$D28/1000000</f>
        <v>0.95469773124619384</v>
      </c>
      <c r="M28" s="340">
        <f>'Prod &amp; Defects - Qty'!N$7*'Falhas UM-3-2 Qty'!$D28/1000000</f>
        <v>0.90836732232350559</v>
      </c>
      <c r="N28" s="340">
        <f>'Prod &amp; Defects - Qty'!O$7*'Falhas UM-3-2 Qty'!$D28/1000000</f>
        <v>0.70446539481120285</v>
      </c>
      <c r="O28" s="340">
        <f>'Prod &amp; Defects - Qty'!P$7*'Falhas UM-3-2 Qty'!$D28/1000000</f>
        <v>0.67615907802257114</v>
      </c>
      <c r="P28" s="340">
        <f>'Prod &amp; Defects - Qty'!Q$7*'Falhas UM-3-2 Qty'!$D28/1000000</f>
        <v>0.85729399344652124</v>
      </c>
      <c r="Q28" s="436">
        <f t="shared" si="0"/>
        <v>5.1839645799375287</v>
      </c>
      <c r="R28" s="84">
        <f>Q28/SUM('Prod &amp; Defects - Qty'!$F$7:$K$7)*1000000</f>
        <v>7.6776752665357814E-2</v>
      </c>
      <c r="S28" s="84">
        <f t="shared" si="1"/>
        <v>5.0551807465793885</v>
      </c>
      <c r="T28" s="84">
        <f>S28/SUM('Prod &amp; Defects - Qty'!$L$7:$Q$7)*1000000</f>
        <v>7.67767526653578E-2</v>
      </c>
      <c r="U28" s="84">
        <f t="shared" si="2"/>
        <v>10.239145326516917</v>
      </c>
      <c r="V28" s="84">
        <f>U28/'Prod &amp; Defects - Qty'!$R$7*1000000</f>
        <v>7.6776752665357828E-2</v>
      </c>
      <c r="W28" s="84">
        <f t="shared" si="11"/>
        <v>6.9099077398822054E-2</v>
      </c>
      <c r="X28" s="84">
        <f t="shared" si="11"/>
        <v>6.218916965893985E-2</v>
      </c>
      <c r="Y28" s="84">
        <f t="shared" si="4"/>
        <v>6.5644123528880952E-2</v>
      </c>
      <c r="Z28" s="437">
        <f t="shared" si="9"/>
        <v>6.5644123528880952E-2</v>
      </c>
    </row>
    <row r="29" spans="1:26" ht="18" customHeight="1">
      <c r="A29" s="1002"/>
      <c r="B29" s="196">
        <f t="shared" si="10"/>
        <v>3180</v>
      </c>
      <c r="C29" s="93" t="s">
        <v>130</v>
      </c>
      <c r="D29" s="361">
        <f>'[3]Falhas UM-3-2 Qty'!Z30</f>
        <v>19.257715791914773</v>
      </c>
      <c r="E29" s="342">
        <f>'Prod &amp; Defects - Qty'!F$7*'Falhas UM-3-2 Qty'!$D29/1000000</f>
        <v>207.70519320235798</v>
      </c>
      <c r="F29" s="342">
        <f>'Prod &amp; Defects - Qty'!G$7*'Falhas UM-3-2 Qty'!$D29/1000000</f>
        <v>217.37724909761215</v>
      </c>
      <c r="G29" s="342">
        <f>'Prod &amp; Defects - Qty'!H$7*'Falhas UM-3-2 Qty'!$D29/1000000</f>
        <v>209.20050403091571</v>
      </c>
      <c r="H29" s="342">
        <f>'Prod &amp; Defects - Qty'!I$7*'Falhas UM-3-2 Qty'!$D29/1000000</f>
        <v>210.55299602639545</v>
      </c>
      <c r="I29" s="342">
        <f>'Prod &amp; Defects - Qty'!J$7*'Falhas UM-3-2 Qty'!$D29/1000000</f>
        <v>213.12518509266442</v>
      </c>
      <c r="J29" s="342">
        <f>'Prod &amp; Defects - Qty'!K$7*'Falhas UM-3-2 Qty'!$D29/1000000</f>
        <v>242.3194013569769</v>
      </c>
      <c r="K29" s="342">
        <f>'Prod &amp; Defects - Qty'!L$7*'Falhas UM-3-2 Qty'!$D29/1000000</f>
        <v>239.33884104060516</v>
      </c>
      <c r="L29" s="342">
        <f>'Prod &amp; Defects - Qty'!M$7*'Falhas UM-3-2 Qty'!$D29/1000000</f>
        <v>239.46438130380324</v>
      </c>
      <c r="M29" s="342">
        <f>'Prod &amp; Defects - Qty'!N$7*'Falhas UM-3-2 Qty'!$D29/1000000</f>
        <v>227.84344375978935</v>
      </c>
      <c r="N29" s="342">
        <f>'Prod &amp; Defects - Qty'!O$7*'Falhas UM-3-2 Qty'!$D29/1000000</f>
        <v>176.69924668010123</v>
      </c>
      <c r="O29" s="342">
        <f>'Prod &amp; Defects - Qty'!P$7*'Falhas UM-3-2 Qty'!$D29/1000000</f>
        <v>169.59924589982157</v>
      </c>
      <c r="P29" s="342">
        <f>'Prod &amp; Defects - Qty'!Q$7*'Falhas UM-3-2 Qty'!$D29/1000000</f>
        <v>215.03285177829562</v>
      </c>
      <c r="Q29" s="440">
        <f t="shared" si="0"/>
        <v>1300.2805288069226</v>
      </c>
      <c r="R29" s="94">
        <f>Q29/SUM('Prod &amp; Defects - Qty'!$F$7:$K$7)*1000000</f>
        <v>19.257715791914769</v>
      </c>
      <c r="S29" s="94">
        <f t="shared" si="1"/>
        <v>1267.9780104624163</v>
      </c>
      <c r="T29" s="94">
        <f>S29/SUM('Prod &amp; Defects - Qty'!$L$7:$Q$7)*1000000</f>
        <v>19.257715791914773</v>
      </c>
      <c r="U29" s="94">
        <f t="shared" si="2"/>
        <v>2568.2585392693391</v>
      </c>
      <c r="V29" s="94">
        <f>U29/'Prod &amp; Defects - Qty'!$R$7*1000000</f>
        <v>19.257715791914777</v>
      </c>
      <c r="W29" s="94">
        <f t="shared" si="11"/>
        <v>17.3319442127233</v>
      </c>
      <c r="X29" s="94">
        <f t="shared" si="11"/>
        <v>15.59874979145097</v>
      </c>
      <c r="Y29" s="94">
        <f t="shared" si="4"/>
        <v>16.465347002087135</v>
      </c>
      <c r="Z29" s="441">
        <f t="shared" si="9"/>
        <v>16.465347002087135</v>
      </c>
    </row>
    <row r="30" spans="1:26" ht="18" customHeight="1">
      <c r="A30" s="1002"/>
      <c r="B30" s="197">
        <f t="shared" si="10"/>
        <v>3185</v>
      </c>
      <c r="C30" s="90" t="s">
        <v>131</v>
      </c>
      <c r="D30" s="360">
        <f>'[3]Falhas UM-3-2 Qty'!Z31</f>
        <v>27.180031684087268</v>
      </c>
      <c r="E30" s="341">
        <f>'Prod &amp; Defects - Qty'!F$7*'Falhas UM-3-2 Qty'!$D30/1000000</f>
        <v>293.15178358586826</v>
      </c>
      <c r="F30" s="341">
        <f>'Prod &amp; Defects - Qty'!G$7*'Falhas UM-3-2 Qty'!$D30/1000000</f>
        <v>306.80276839236558</v>
      </c>
      <c r="G30" s="341">
        <f>'Prod &amp; Defects - Qty'!H$7*'Falhas UM-3-2 Qty'!$D30/1000000</f>
        <v>295.26224134404237</v>
      </c>
      <c r="H30" s="341">
        <f>'Prod &amp; Defects - Qty'!I$7*'Falhas UM-3-2 Qty'!$D30/1000000</f>
        <v>297.17112688824835</v>
      </c>
      <c r="I30" s="341">
        <f>'Prod &amp; Defects - Qty'!J$7*'Falhas UM-3-2 Qty'!$D30/1000000</f>
        <v>300.80147334647188</v>
      </c>
      <c r="J30" s="341">
        <f>'Prod &amp; Defects - Qty'!K$7*'Falhas UM-3-2 Qty'!$D30/1000000</f>
        <v>342.00572267853727</v>
      </c>
      <c r="K30" s="341">
        <f>'Prod &amp; Defects - Qty'!L$7*'Falhas UM-3-2 Qty'!$D30/1000000</f>
        <v>337.79900757739694</v>
      </c>
      <c r="L30" s="341">
        <f>'Prod &amp; Defects - Qty'!M$7*'Falhas UM-3-2 Qty'!$D30/1000000</f>
        <v>337.9761930945279</v>
      </c>
      <c r="M30" s="341">
        <f>'Prod &amp; Defects - Qty'!N$7*'Falhas UM-3-2 Qty'!$D30/1000000</f>
        <v>321.57458793750783</v>
      </c>
      <c r="N30" s="341">
        <f>'Prod &amp; Defects - Qty'!O$7*'Falhas UM-3-2 Qty'!$D30/1000000</f>
        <v>249.39048717999469</v>
      </c>
      <c r="O30" s="341">
        <f>'Prod &amp; Defects - Qty'!P$7*'Falhas UM-3-2 Qty'!$D30/1000000</f>
        <v>239.36965977500904</v>
      </c>
      <c r="P30" s="341">
        <f>'Prod &amp; Defects - Qty'!Q$7*'Falhas UM-3-2 Qty'!$D30/1000000</f>
        <v>303.49392355803349</v>
      </c>
      <c r="Q30" s="438">
        <f t="shared" si="0"/>
        <v>1835.1951162355338</v>
      </c>
      <c r="R30" s="95">
        <f>Q30/SUM('Prod &amp; Defects - Qty'!$F$7:$K$7)*1000000</f>
        <v>27.180031684087265</v>
      </c>
      <c r="S30" s="95">
        <f t="shared" si="1"/>
        <v>1789.6038591224699</v>
      </c>
      <c r="T30" s="95">
        <f>S30/SUM('Prod &amp; Defects - Qty'!$L$7:$Q$7)*1000000</f>
        <v>27.180031684087265</v>
      </c>
      <c r="U30" s="95">
        <f t="shared" si="2"/>
        <v>3624.7989753580036</v>
      </c>
      <c r="V30" s="95">
        <f>U30/'Prod &amp; Defects - Qty'!$R$7*1000000</f>
        <v>27.180031684087268</v>
      </c>
      <c r="W30" s="95">
        <f t="shared" si="11"/>
        <v>24.462028515678544</v>
      </c>
      <c r="X30" s="95">
        <f t="shared" si="11"/>
        <v>22.01582566411069</v>
      </c>
      <c r="Y30" s="95">
        <f t="shared" si="4"/>
        <v>23.238927089894617</v>
      </c>
      <c r="Z30" s="439">
        <f t="shared" si="9"/>
        <v>23.238927089894617</v>
      </c>
    </row>
    <row r="31" spans="1:26" ht="18" customHeight="1">
      <c r="A31" s="1002"/>
      <c r="B31" s="82">
        <f t="shared" si="10"/>
        <v>3190</v>
      </c>
      <c r="C31" s="90" t="s">
        <v>113</v>
      </c>
      <c r="D31" s="359">
        <f>'[3]Falhas UM-3-2 Qty'!Z32</f>
        <v>22.173251862235844</v>
      </c>
      <c r="E31" s="340">
        <f>'Prod &amp; Defects - Qty'!F$7*'Falhas UM-3-2 Qty'!$D31/1000000</f>
        <v>239.15087395275762</v>
      </c>
      <c r="F31" s="340">
        <f>'Prod &amp; Defects - Qty'!G$7*'Falhas UM-3-2 Qty'!$D31/1000000</f>
        <v>250.28723787610173</v>
      </c>
      <c r="G31" s="340">
        <f>'Prod &amp; Defects - Qty'!H$7*'Falhas UM-3-2 Qty'!$D31/1000000</f>
        <v>240.87256846586595</v>
      </c>
      <c r="H31" s="340">
        <f>'Prod &amp; Defects - Qty'!I$7*'Falhas UM-3-2 Qty'!$D31/1000000</f>
        <v>242.42982198344154</v>
      </c>
      <c r="I31" s="340">
        <f>'Prod &amp; Defects - Qty'!J$7*'Falhas UM-3-2 Qty'!$D31/1000000</f>
        <v>245.39142950844283</v>
      </c>
      <c r="J31" s="340">
        <f>'Prod &amp; Defects - Qty'!K$7*'Falhas UM-3-2 Qty'!$D31/1000000</f>
        <v>279.00552565275086</v>
      </c>
      <c r="K31" s="340">
        <f>'Prod &amp; Defects - Qty'!L$7*'Falhas UM-3-2 Qty'!$D31/1000000</f>
        <v>275.57372121137251</v>
      </c>
      <c r="L31" s="340">
        <f>'Prod &amp; Defects - Qty'!M$7*'Falhas UM-3-2 Qty'!$D31/1000000</f>
        <v>275.71826773520843</v>
      </c>
      <c r="M31" s="340">
        <f>'Prod &amp; Defects - Qty'!N$7*'Falhas UM-3-2 Qty'!$D31/1000000</f>
        <v>262.33796979006405</v>
      </c>
      <c r="N31" s="340">
        <f>'Prod &amp; Defects - Qty'!O$7*'Falhas UM-3-2 Qty'!$D31/1000000</f>
        <v>203.45075931332264</v>
      </c>
      <c r="O31" s="340">
        <f>'Prod &amp; Defects - Qty'!P$7*'Falhas UM-3-2 Qty'!$D31/1000000</f>
        <v>195.27584868403051</v>
      </c>
      <c r="P31" s="340">
        <f>'Prod &amp; Defects - Qty'!Q$7*'Falhas UM-3-2 Qty'!$D31/1000000</f>
        <v>247.58790879740693</v>
      </c>
      <c r="Q31" s="436">
        <f t="shared" si="0"/>
        <v>1497.1374574393608</v>
      </c>
      <c r="R31" s="84">
        <f>Q31/SUM('Prod &amp; Defects - Qty'!$F$7:$K$7)*1000000</f>
        <v>22.173251862235848</v>
      </c>
      <c r="S31" s="84">
        <f t="shared" si="1"/>
        <v>1459.944475531405</v>
      </c>
      <c r="T31" s="84">
        <f>S31/SUM('Prod &amp; Defects - Qty'!$L$7:$Q$7)*1000000</f>
        <v>22.173251862235844</v>
      </c>
      <c r="U31" s="84">
        <f t="shared" si="2"/>
        <v>2957.0819329707656</v>
      </c>
      <c r="V31" s="84">
        <f>U31/'Prod &amp; Defects - Qty'!$R$7*1000000</f>
        <v>22.173251862235848</v>
      </c>
      <c r="W31" s="84">
        <f t="shared" si="11"/>
        <v>19.955926676012265</v>
      </c>
      <c r="X31" s="84">
        <f t="shared" si="11"/>
        <v>17.960334008411039</v>
      </c>
      <c r="Y31" s="84">
        <f t="shared" si="4"/>
        <v>18.958130342211653</v>
      </c>
      <c r="Z31" s="437">
        <f t="shared" si="9"/>
        <v>18.958130342211653</v>
      </c>
    </row>
    <row r="32" spans="1:26" ht="18" customHeight="1">
      <c r="A32" s="1002"/>
      <c r="B32" s="82">
        <f t="shared" si="10"/>
        <v>3195</v>
      </c>
      <c r="C32" s="90" t="s">
        <v>132</v>
      </c>
      <c r="D32" s="359">
        <f>'[3]Falhas UM-3-2 Qty'!Z33</f>
        <v>0.56314722811915607</v>
      </c>
      <c r="E32" s="340">
        <f>'Prod &amp; Defects - Qty'!F$7*'Falhas UM-3-2 Qty'!$D32/1000000</f>
        <v>6.0738565820443862</v>
      </c>
      <c r="F32" s="340">
        <f>'Prod &amp; Defects - Qty'!G$7*'Falhas UM-3-2 Qty'!$D32/1000000</f>
        <v>6.35669342139128</v>
      </c>
      <c r="G32" s="340">
        <f>'Prod &amp; Defects - Qty'!H$7*'Falhas UM-3-2 Qty'!$D32/1000000</f>
        <v>6.1175834787011745</v>
      </c>
      <c r="H32" s="340">
        <f>'Prod &amp; Defects - Qty'!I$7*'Falhas UM-3-2 Qty'!$D32/1000000</f>
        <v>6.157133969867294</v>
      </c>
      <c r="I32" s="340">
        <f>'Prod &amp; Defects - Qty'!J$7*'Falhas UM-3-2 Qty'!$D32/1000000</f>
        <v>6.2323516726581882</v>
      </c>
      <c r="J32" s="340">
        <f>'Prod &amp; Defects - Qty'!K$7*'Falhas UM-3-2 Qty'!$D32/1000000</f>
        <v>7.0860688083769139</v>
      </c>
      <c r="K32" s="340">
        <f>'Prod &amp; Defects - Qty'!L$7*'Falhas UM-3-2 Qty'!$D32/1000000</f>
        <v>6.9989092356350939</v>
      </c>
      <c r="L32" s="340">
        <f>'Prod &amp; Defects - Qty'!M$7*'Falhas UM-3-2 Qty'!$D32/1000000</f>
        <v>7.002580369429011</v>
      </c>
      <c r="M32" s="340">
        <f>'Prod &amp; Defects - Qty'!N$7*'Falhas UM-3-2 Qty'!$D32/1000000</f>
        <v>6.6627530068918182</v>
      </c>
      <c r="N32" s="340">
        <f>'Prod &amp; Defects - Qty'!O$7*'Falhas UM-3-2 Qty'!$D32/1000000</f>
        <v>5.1671595974232645</v>
      </c>
      <c r="O32" s="340">
        <f>'Prod &amp; Defects - Qty'!P$7*'Falhas UM-3-2 Qty'!$D32/1000000</f>
        <v>4.9595365437723746</v>
      </c>
      <c r="P32" s="340">
        <f>'Prod &amp; Defects - Qty'!Q$7*'Falhas UM-3-2 Qty'!$D32/1000000</f>
        <v>6.2881369598540617</v>
      </c>
      <c r="Q32" s="436">
        <f t="shared" si="0"/>
        <v>38.023687933039241</v>
      </c>
      <c r="R32" s="84">
        <f>Q32/SUM('Prod &amp; Defects - Qty'!$F$7:$K$7)*1000000</f>
        <v>0.56314722811915607</v>
      </c>
      <c r="S32" s="84">
        <f t="shared" si="1"/>
        <v>37.079075713005629</v>
      </c>
      <c r="T32" s="84">
        <f>S32/SUM('Prod &amp; Defects - Qty'!$L$7:$Q$7)*1000000</f>
        <v>0.56314722811915607</v>
      </c>
      <c r="U32" s="84">
        <f t="shared" si="2"/>
        <v>75.102763646044878</v>
      </c>
      <c r="V32" s="84">
        <f>U32/'Prod &amp; Defects - Qty'!$R$7*1000000</f>
        <v>0.56314722811915618</v>
      </c>
      <c r="W32" s="84">
        <f t="shared" si="11"/>
        <v>0.50683250530724056</v>
      </c>
      <c r="X32" s="84">
        <f t="shared" si="11"/>
        <v>0.45614925477651652</v>
      </c>
      <c r="Y32" s="84">
        <f t="shared" si="4"/>
        <v>0.48149088004187857</v>
      </c>
      <c r="Z32" s="437">
        <f t="shared" si="9"/>
        <v>0.48149088004187857</v>
      </c>
    </row>
    <row r="33" spans="1:26" ht="18" customHeight="1">
      <c r="A33" s="1002"/>
      <c r="B33" s="82">
        <f t="shared" si="10"/>
        <v>3200</v>
      </c>
      <c r="C33" s="90" t="s">
        <v>114</v>
      </c>
      <c r="D33" s="359">
        <f>'[3]Falhas UM-3-2 Qty'!Z34</f>
        <v>29.970002653182036</v>
      </c>
      <c r="E33" s="340">
        <f>'Prod &amp; Defects - Qty'!F$7*'Falhas UM-3-2 Qty'!$D33/1000000</f>
        <v>323.24317476779106</v>
      </c>
      <c r="F33" s="340">
        <f>'Prod &amp; Defects - Qty'!G$7*'Falhas UM-3-2 Qty'!$D33/1000000</f>
        <v>338.29540339005541</v>
      </c>
      <c r="G33" s="340">
        <f>'Prod &amp; Defects - Qty'!H$7*'Falhas UM-3-2 Qty'!$D33/1000000</f>
        <v>325.57026641165163</v>
      </c>
      <c r="H33" s="340">
        <f>'Prod &amp; Defects - Qty'!I$7*'Falhas UM-3-2 Qty'!$D33/1000000</f>
        <v>327.67509489343621</v>
      </c>
      <c r="I33" s="340">
        <f>'Prod &amp; Defects - Qty'!J$7*'Falhas UM-3-2 Qty'!$D33/1000000</f>
        <v>331.67808849732626</v>
      </c>
      <c r="J33" s="340">
        <f>'Prod &amp; Defects - Qty'!K$7*'Falhas UM-3-2 Qty'!$D33/1000000</f>
        <v>377.11186415136081</v>
      </c>
      <c r="K33" s="340">
        <f>'Prod &amp; Defects - Qty'!L$7*'Falhas UM-3-2 Qty'!$D33/1000000</f>
        <v>372.47333892049551</v>
      </c>
      <c r="L33" s="340">
        <f>'Prod &amp; Defects - Qty'!M$7*'Falhas UM-3-2 Qty'!$D33/1000000</f>
        <v>372.66871214449475</v>
      </c>
      <c r="M33" s="340">
        <f>'Prod &amp; Defects - Qty'!N$7*'Falhas UM-3-2 Qty'!$D33/1000000</f>
        <v>354.58351799219651</v>
      </c>
      <c r="N33" s="340">
        <f>'Prod &amp; Defects - Qty'!O$7*'Falhas UM-3-2 Qty'!$D33/1000000</f>
        <v>274.98987673508276</v>
      </c>
      <c r="O33" s="340">
        <f>'Prod &amp; Defects - Qty'!P$7*'Falhas UM-3-2 Qty'!$D33/1000000</f>
        <v>263.94043325373735</v>
      </c>
      <c r="P33" s="340">
        <f>'Prod &amp; Defects - Qty'!Q$7*'Falhas UM-3-2 Qty'!$D33/1000000</f>
        <v>334.6469128505114</v>
      </c>
      <c r="Q33" s="436">
        <f t="shared" si="0"/>
        <v>2023.5738921116213</v>
      </c>
      <c r="R33" s="84">
        <f>Q33/SUM('Prod &amp; Defects - Qty'!$F$7:$K$7)*1000000</f>
        <v>29.970002653182032</v>
      </c>
      <c r="S33" s="84">
        <f t="shared" si="1"/>
        <v>1973.3027918965183</v>
      </c>
      <c r="T33" s="84">
        <f>S33/SUM('Prod &amp; Defects - Qty'!$L$7:$Q$7)*1000000</f>
        <v>29.970002653182036</v>
      </c>
      <c r="U33" s="84">
        <f t="shared" si="2"/>
        <v>3996.8766840081398</v>
      </c>
      <c r="V33" s="84">
        <f>U33/'Prod &amp; Defects - Qty'!$R$7*1000000</f>
        <v>29.970002653182039</v>
      </c>
      <c r="W33" s="84">
        <f t="shared" si="11"/>
        <v>26.973002387863836</v>
      </c>
      <c r="X33" s="84">
        <f t="shared" si="11"/>
        <v>24.275702149077453</v>
      </c>
      <c r="Y33" s="84">
        <f t="shared" si="4"/>
        <v>25.624352268470645</v>
      </c>
      <c r="Z33" s="437">
        <f t="shared" si="9"/>
        <v>25.624352268470645</v>
      </c>
    </row>
    <row r="34" spans="1:26" ht="18" customHeight="1">
      <c r="A34" s="1002"/>
      <c r="B34" s="82">
        <f t="shared" si="10"/>
        <v>3205</v>
      </c>
      <c r="C34" s="90" t="s">
        <v>133</v>
      </c>
      <c r="D34" s="359">
        <f>'[3]Falhas UM-3-2 Qty'!Z35</f>
        <v>22.181087676043315</v>
      </c>
      <c r="E34" s="340">
        <f>'Prod &amp; Defects - Qty'!F$7*'Falhas UM-3-2 Qty'!$D34/1000000</f>
        <v>239.23538756996771</v>
      </c>
      <c r="F34" s="340">
        <f>'Prod &amp; Defects - Qty'!G$7*'Falhas UM-3-2 Qty'!$D34/1000000</f>
        <v>250.37568697714332</v>
      </c>
      <c r="G34" s="340">
        <f>'Prod &amp; Defects - Qty'!H$7*'Falhas UM-3-2 Qty'!$D34/1000000</f>
        <v>240.95769051334696</v>
      </c>
      <c r="H34" s="340">
        <f>'Prod &amp; Defects - Qty'!I$7*'Falhas UM-3-2 Qty'!$D34/1000000</f>
        <v>242.51549434932829</v>
      </c>
      <c r="I34" s="340">
        <f>'Prod &amp; Defects - Qty'!J$7*'Falhas UM-3-2 Qty'!$D34/1000000</f>
        <v>245.47814847792569</v>
      </c>
      <c r="J34" s="340">
        <f>'Prod &amp; Defects - Qty'!K$7*'Falhas UM-3-2 Qty'!$D34/1000000</f>
        <v>279.10412352030113</v>
      </c>
      <c r="K34" s="340">
        <f>'Prod &amp; Defects - Qty'!L$7*'Falhas UM-3-2 Qty'!$D34/1000000</f>
        <v>275.67110631226166</v>
      </c>
      <c r="L34" s="340">
        <f>'Prod &amp; Defects - Qty'!M$7*'Falhas UM-3-2 Qty'!$D34/1000000</f>
        <v>275.81570391744799</v>
      </c>
      <c r="M34" s="340">
        <f>'Prod &amp; Defects - Qty'!N$7*'Falhas UM-3-2 Qty'!$D34/1000000</f>
        <v>262.43067750378492</v>
      </c>
      <c r="N34" s="340">
        <f>'Prod &amp; Defects - Qty'!O$7*'Falhas UM-3-2 Qty'!$D34/1000000</f>
        <v>203.5226568536055</v>
      </c>
      <c r="O34" s="340">
        <f>'Prod &amp; Defects - Qty'!P$7*'Falhas UM-3-2 Qty'!$D34/1000000</f>
        <v>195.34485728957426</v>
      </c>
      <c r="P34" s="340">
        <f>'Prod &amp; Defects - Qty'!Q$7*'Falhas UM-3-2 Qty'!$D34/1000000</f>
        <v>247.67540398153108</v>
      </c>
      <c r="Q34" s="436">
        <f t="shared" si="0"/>
        <v>1497.666531408013</v>
      </c>
      <c r="R34" s="84">
        <f>Q34/SUM('Prod &amp; Defects - Qty'!$F$7:$K$7)*1000000</f>
        <v>22.181087676043312</v>
      </c>
      <c r="S34" s="84">
        <f t="shared" si="1"/>
        <v>1460.4604058582054</v>
      </c>
      <c r="T34" s="84">
        <f>S34/SUM('Prod &amp; Defects - Qty'!$L$7:$Q$7)*1000000</f>
        <v>22.181087676043312</v>
      </c>
      <c r="U34" s="84">
        <f t="shared" si="2"/>
        <v>2958.1269372662182</v>
      </c>
      <c r="V34" s="84">
        <f>U34/'Prod &amp; Defects - Qty'!$R$7*1000000</f>
        <v>22.181087676043315</v>
      </c>
      <c r="W34" s="84">
        <f t="shared" si="11"/>
        <v>19.962978908438984</v>
      </c>
      <c r="X34" s="84">
        <f t="shared" si="11"/>
        <v>17.966681017595086</v>
      </c>
      <c r="Y34" s="84">
        <f t="shared" si="4"/>
        <v>18.964829963017035</v>
      </c>
      <c r="Z34" s="437">
        <f t="shared" si="9"/>
        <v>18.964829963017035</v>
      </c>
    </row>
    <row r="35" spans="1:26" ht="18" customHeight="1">
      <c r="A35" s="1002"/>
      <c r="B35" s="82">
        <f t="shared" si="10"/>
        <v>3210</v>
      </c>
      <c r="C35" s="90" t="s">
        <v>116</v>
      </c>
      <c r="D35" s="359">
        <f>'[3]Falhas UM-3-2 Qty'!Z36</f>
        <v>56.063159091180836</v>
      </c>
      <c r="E35" s="340">
        <f>'Prod &amp; Defects - Qty'!F$7*'Falhas UM-3-2 Qty'!$D35/1000000</f>
        <v>604.67240333130064</v>
      </c>
      <c r="F35" s="340">
        <f>'Prod &amp; Defects - Qty'!G$7*'Falhas UM-3-2 Qty'!$D35/1000000</f>
        <v>632.82974110975556</v>
      </c>
      <c r="G35" s="340">
        <f>'Prod &amp; Defects - Qty'!H$7*'Falhas UM-3-2 Qty'!$D35/1000000</f>
        <v>609.02555973770029</v>
      </c>
      <c r="H35" s="340">
        <f>'Prod &amp; Defects - Qty'!I$7*'Falhas UM-3-2 Qty'!$D35/1000000</f>
        <v>612.96294123877965</v>
      </c>
      <c r="I35" s="340">
        <f>'Prod &amp; Defects - Qty'!J$7*'Falhas UM-3-2 Qty'!$D35/1000000</f>
        <v>620.45111098814198</v>
      </c>
      <c r="J35" s="340">
        <f>'Prod &amp; Defects - Qty'!K$7*'Falhas UM-3-2 Qty'!$D35/1000000</f>
        <v>705.44146024107135</v>
      </c>
      <c r="K35" s="340">
        <f>'Prod &amp; Defects - Qty'!L$7*'Falhas UM-3-2 Qty'!$D35/1000000</f>
        <v>696.76443805405972</v>
      </c>
      <c r="L35" s="340">
        <f>'Prod &amp; Defects - Qty'!M$7*'Falhas UM-3-2 Qty'!$D35/1000000</f>
        <v>697.12991149982406</v>
      </c>
      <c r="M35" s="340">
        <f>'Prod &amp; Defects - Qty'!N$7*'Falhas UM-3-2 Qty'!$D35/1000000</f>
        <v>663.29897966146677</v>
      </c>
      <c r="N35" s="340">
        <f>'Prod &amp; Defects - Qty'!O$7*'Falhas UM-3-2 Qty'!$D35/1000000</f>
        <v>514.4077358373637</v>
      </c>
      <c r="O35" s="340">
        <f>'Prod &amp; Defects - Qty'!P$7*'Falhas UM-3-2 Qty'!$D35/1000000</f>
        <v>493.73817784858892</v>
      </c>
      <c r="P35" s="340">
        <f>'Prod &amp; Defects - Qty'!Q$7*'Falhas UM-3-2 Qty'!$D35/1000000</f>
        <v>626.00471984004901</v>
      </c>
      <c r="Q35" s="436">
        <f t="shared" si="0"/>
        <v>3785.3832166467491</v>
      </c>
      <c r="R35" s="84">
        <f>Q35/SUM('Prod &amp; Defects - Qty'!$F$7:$K$7)*1000000</f>
        <v>56.063159091180822</v>
      </c>
      <c r="S35" s="84">
        <f t="shared" si="1"/>
        <v>3691.3439627413522</v>
      </c>
      <c r="T35" s="84">
        <f>S35/SUM('Prod &amp; Defects - Qty'!$L$7:$Q$7)*1000000</f>
        <v>56.063159091180829</v>
      </c>
      <c r="U35" s="84">
        <f t="shared" si="2"/>
        <v>7476.7271793881009</v>
      </c>
      <c r="V35" s="84">
        <f>U35/'Prod &amp; Defects - Qty'!$R$7*1000000</f>
        <v>56.063159091180829</v>
      </c>
      <c r="W35" s="84">
        <f t="shared" si="11"/>
        <v>50.456843182062748</v>
      </c>
      <c r="X35" s="84">
        <f t="shared" si="11"/>
        <v>45.411158863856471</v>
      </c>
      <c r="Y35" s="84">
        <f t="shared" si="4"/>
        <v>47.934001022959606</v>
      </c>
      <c r="Z35" s="437">
        <f t="shared" si="9"/>
        <v>47.934001022959606</v>
      </c>
    </row>
    <row r="36" spans="1:26" ht="18" customHeight="1" thickBot="1">
      <c r="A36" s="1003"/>
      <c r="B36" s="88"/>
      <c r="C36" s="89" t="s">
        <v>1</v>
      </c>
      <c r="D36" s="89">
        <f>'[3]Falhas UM-3-2 Qty'!Z37</f>
        <v>343.21942042713272</v>
      </c>
      <c r="E36" s="343">
        <f>SUBTOTAL(109,E19:E35)</f>
        <v>3701.8126552967901</v>
      </c>
      <c r="F36" s="343">
        <f t="shared" ref="F36:P36" si="12">SUBTOTAL(109,F19:F35)</f>
        <v>3874.192259117805</v>
      </c>
      <c r="G36" s="343">
        <f t="shared" si="12"/>
        <v>3728.4627378653299</v>
      </c>
      <c r="H36" s="343">
        <f t="shared" si="12"/>
        <v>3752.5674408237037</v>
      </c>
      <c r="I36" s="343">
        <f t="shared" si="12"/>
        <v>3798.4101176028726</v>
      </c>
      <c r="J36" s="343">
        <f t="shared" si="12"/>
        <v>4318.7221885842364</v>
      </c>
      <c r="K36" s="343">
        <f t="shared" si="12"/>
        <v>4265.6013410555433</v>
      </c>
      <c r="L36" s="343">
        <f t="shared" si="12"/>
        <v>4267.8387744479915</v>
      </c>
      <c r="M36" s="343">
        <f t="shared" si="12"/>
        <v>4060.7253508325639</v>
      </c>
      <c r="N36" s="343">
        <f t="shared" si="12"/>
        <v>3149.2111365002797</v>
      </c>
      <c r="O36" s="343">
        <f t="shared" si="12"/>
        <v>3022.671822119969</v>
      </c>
      <c r="P36" s="343">
        <f t="shared" si="12"/>
        <v>3832.4093863263925</v>
      </c>
      <c r="Q36" s="442">
        <f t="shared" si="0"/>
        <v>23174.167399290738</v>
      </c>
      <c r="R36" s="87">
        <f>Q36/SUM('Prod &amp; Defects - Qty'!$F$7:$K$7)*1000000</f>
        <v>343.21942042713277</v>
      </c>
      <c r="S36" s="87">
        <f t="shared" si="1"/>
        <v>22598.457811282737</v>
      </c>
      <c r="T36" s="87">
        <f>S36/SUM('Prod &amp; Defects - Qty'!$L$7:$Q$7)*1000000</f>
        <v>343.21942042713272</v>
      </c>
      <c r="U36" s="87">
        <f t="shared" si="2"/>
        <v>45772.625210573475</v>
      </c>
      <c r="V36" s="87">
        <f>U36/'Prod &amp; Defects - Qty'!$R$7*1000000</f>
        <v>343.21942042713277</v>
      </c>
      <c r="W36" s="87">
        <f t="shared" si="11"/>
        <v>308.89747838441951</v>
      </c>
      <c r="X36" s="87">
        <f t="shared" si="11"/>
        <v>278.00773054597755</v>
      </c>
      <c r="Y36" s="87">
        <f t="shared" si="4"/>
        <v>293.45260446519853</v>
      </c>
      <c r="Z36" s="443">
        <f t="shared" si="8"/>
        <v>264.1073440186787</v>
      </c>
    </row>
    <row r="37" spans="1:26" ht="18" customHeight="1" thickTop="1">
      <c r="A37" s="1004" t="s">
        <v>172</v>
      </c>
      <c r="B37" s="82">
        <f>B35+10</f>
        <v>3220</v>
      </c>
      <c r="C37" s="83" t="s">
        <v>19</v>
      </c>
      <c r="D37" s="359">
        <f>'[3]Falhas UM-3-2 Qty'!Z38</f>
        <v>2.8192779111743689</v>
      </c>
      <c r="E37" s="341">
        <f>'Prod &amp; Defects - Qty'!F$7*'Falhas UM-3-2 Qty'!$D37/1000000</f>
        <v>30.407482879016413</v>
      </c>
      <c r="F37" s="341">
        <f>'Prod &amp; Defects - Qty'!G$7*'Falhas UM-3-2 Qty'!$D37/1000000</f>
        <v>31.823445905772804</v>
      </c>
      <c r="G37" s="341">
        <f>'Prod &amp; Defects - Qty'!H$7*'Falhas UM-3-2 Qty'!$D37/1000000</f>
        <v>30.626392371442439</v>
      </c>
      <c r="H37" s="341">
        <f>'Prod &amp; Defects - Qty'!I$7*'Falhas UM-3-2 Qty'!$D37/1000000</f>
        <v>30.824393569980067</v>
      </c>
      <c r="I37" s="341">
        <f>'Prod &amp; Defects - Qty'!J$7*'Falhas UM-3-2 Qty'!$D37/1000000</f>
        <v>31.200955146454309</v>
      </c>
      <c r="J37" s="341">
        <f>'Prod &amp; Defects - Qty'!K$7*'Falhas UM-3-2 Qty'!$D37/1000000</f>
        <v>35.47491006080503</v>
      </c>
      <c r="K37" s="341">
        <f>'Prod &amp; Defects - Qty'!L$7*'Falhas UM-3-2 Qty'!$D37/1000000</f>
        <v>35.038564029236859</v>
      </c>
      <c r="L37" s="341">
        <f>'Prod &amp; Defects - Qty'!M$7*'Falhas UM-3-2 Qty'!$D37/1000000</f>
        <v>35.056942786864283</v>
      </c>
      <c r="M37" s="341">
        <f>'Prod &amp; Defects - Qty'!N$7*'Falhas UM-3-2 Qty'!$D37/1000000</f>
        <v>33.355668716824752</v>
      </c>
      <c r="N37" s="341">
        <f>'Prod &amp; Defects - Qty'!O$7*'Falhas UM-3-2 Qty'!$D37/1000000</f>
        <v>25.868295516933077</v>
      </c>
      <c r="O37" s="341">
        <f>'Prod &amp; Defects - Qty'!P$7*'Falhas UM-3-2 Qty'!$D37/1000000</f>
        <v>24.828874456540905</v>
      </c>
      <c r="P37" s="341">
        <f>'Prod &amp; Defects - Qty'!Q$7*'Falhas UM-3-2 Qty'!$D37/1000000</f>
        <v>31.480232429741527</v>
      </c>
      <c r="Q37" s="438">
        <f t="shared" si="0"/>
        <v>190.35757993347104</v>
      </c>
      <c r="R37" s="95">
        <f>Q37/SUM('Prod &amp; Defects - Qty'!$F$7:$K$7)*1000000</f>
        <v>2.8192779111743684</v>
      </c>
      <c r="S37" s="95">
        <f t="shared" si="1"/>
        <v>185.62857793614143</v>
      </c>
      <c r="T37" s="95">
        <f>S37/SUM('Prod &amp; Defects - Qty'!$L$7:$Q$7)*1000000</f>
        <v>2.8192779111743689</v>
      </c>
      <c r="U37" s="95">
        <f t="shared" si="2"/>
        <v>375.9861578696125</v>
      </c>
      <c r="V37" s="95">
        <f>U37/'Prod &amp; Defects - Qty'!$R$7*1000000</f>
        <v>2.8192779111743693</v>
      </c>
      <c r="W37" s="95">
        <f t="shared" si="11"/>
        <v>2.5373501200569324</v>
      </c>
      <c r="X37" s="95">
        <f t="shared" si="11"/>
        <v>2.2836151080512392</v>
      </c>
      <c r="Y37" s="95">
        <f t="shared" si="4"/>
        <v>2.4104826140540858</v>
      </c>
      <c r="Z37" s="439">
        <f t="shared" ref="Z37:Z48" si="13">Y37*$AA$6</f>
        <v>2.4104826140540858</v>
      </c>
    </row>
    <row r="38" spans="1:26" ht="18" customHeight="1">
      <c r="A38" s="1002"/>
      <c r="B38" s="82">
        <f>B37+10</f>
        <v>3230</v>
      </c>
      <c r="C38" s="83" t="s">
        <v>61</v>
      </c>
      <c r="D38" s="359">
        <f>'[3]Falhas UM-3-2 Qty'!Z39</f>
        <v>2.8312030611744516</v>
      </c>
      <c r="E38" s="341">
        <f>'Prod &amp; Defects - Qty'!F$7*'Falhas UM-3-2 Qty'!$D38/1000000</f>
        <v>30.536102265214556</v>
      </c>
      <c r="F38" s="341">
        <f>'Prod &amp; Defects - Qty'!G$7*'Falhas UM-3-2 Qty'!$D38/1000000</f>
        <v>31.958054616904722</v>
      </c>
      <c r="G38" s="341">
        <f>'Prod &amp; Defects - Qty'!H$7*'Falhas UM-3-2 Qty'!$D38/1000000</f>
        <v>30.755937714079021</v>
      </c>
      <c r="H38" s="341">
        <f>'Prod &amp; Defects - Qty'!I$7*'Falhas UM-3-2 Qty'!$D38/1000000</f>
        <v>30.954776429905529</v>
      </c>
      <c r="I38" s="341">
        <f>'Prod &amp; Defects - Qty'!J$7*'Falhas UM-3-2 Qty'!$D38/1000000</f>
        <v>31.332930809014066</v>
      </c>
      <c r="J38" s="341">
        <f>'Prod &amp; Defects - Qty'!K$7*'Falhas UM-3-2 Qty'!$D38/1000000</f>
        <v>35.624963952987066</v>
      </c>
      <c r="K38" s="341">
        <f>'Prod &amp; Defects - Qty'!L$7*'Falhas UM-3-2 Qty'!$D38/1000000</f>
        <v>35.18677223892773</v>
      </c>
      <c r="L38" s="341">
        <f>'Prod &amp; Defects - Qty'!M$7*'Falhas UM-3-2 Qty'!$D38/1000000</f>
        <v>35.205228736121242</v>
      </c>
      <c r="M38" s="341">
        <f>'Prod &amp; Defects - Qty'!N$7*'Falhas UM-3-2 Qty'!$D38/1000000</f>
        <v>33.49675851546597</v>
      </c>
      <c r="N38" s="341">
        <f>'Prod &amp; Defects - Qty'!O$7*'Falhas UM-3-2 Qty'!$D38/1000000</f>
        <v>25.977714777468975</v>
      </c>
      <c r="O38" s="341">
        <f>'Prod &amp; Defects - Qty'!P$7*'Falhas UM-3-2 Qty'!$D38/1000000</f>
        <v>24.933897111829307</v>
      </c>
      <c r="P38" s="341">
        <f>'Prod &amp; Defects - Qty'!Q$7*'Falhas UM-3-2 Qty'!$D38/1000000</f>
        <v>31.613389396025052</v>
      </c>
      <c r="Q38" s="438">
        <f t="shared" si="0"/>
        <v>191.16276578810496</v>
      </c>
      <c r="R38" s="95">
        <f>Q38/SUM('Prod &amp; Defects - Qty'!$F$7:$K$7)*1000000</f>
        <v>2.8312030611744516</v>
      </c>
      <c r="S38" s="95">
        <f t="shared" si="1"/>
        <v>186.41376077583826</v>
      </c>
      <c r="T38" s="95">
        <f>S38/SUM('Prod &amp; Defects - Qty'!$L$7:$Q$7)*1000000</f>
        <v>2.8312030611744512</v>
      </c>
      <c r="U38" s="95">
        <f t="shared" si="2"/>
        <v>377.57652656394322</v>
      </c>
      <c r="V38" s="95">
        <f>U38/'Prod &amp; Defects - Qty'!$R$7*1000000</f>
        <v>2.8312030611744516</v>
      </c>
      <c r="W38" s="95">
        <f t="shared" si="11"/>
        <v>2.5480827550570067</v>
      </c>
      <c r="X38" s="95">
        <f t="shared" si="11"/>
        <v>2.293274479551306</v>
      </c>
      <c r="Y38" s="95">
        <f t="shared" si="4"/>
        <v>2.4206786173041563</v>
      </c>
      <c r="Z38" s="439">
        <f t="shared" si="13"/>
        <v>2.4206786173041563</v>
      </c>
    </row>
    <row r="39" spans="1:26" ht="18" customHeight="1">
      <c r="A39" s="1002"/>
      <c r="B39" s="82">
        <f t="shared" ref="B39:B48" si="14">B38+10</f>
        <v>3240</v>
      </c>
      <c r="C39" s="83" t="s">
        <v>70</v>
      </c>
      <c r="D39" s="359">
        <f>'[3]Falhas UM-3-2 Qty'!Z40</f>
        <v>59.901160856665875</v>
      </c>
      <c r="E39" s="341">
        <f>'Prod &amp; Defects - Qty'!F$7*'Falhas UM-3-2 Qty'!$D39/1000000</f>
        <v>646.06739050551937</v>
      </c>
      <c r="F39" s="341">
        <f>'Prod &amp; Defects - Qty'!G$7*'Falhas UM-3-2 Qty'!$D39/1000000</f>
        <v>676.15233839116252</v>
      </c>
      <c r="G39" s="341">
        <f>'Prod &amp; Defects - Qty'!H$7*'Falhas UM-3-2 Qty'!$D39/1000000</f>
        <v>650.71855762419489</v>
      </c>
      <c r="H39" s="341">
        <f>'Prod &amp; Defects - Qty'!I$7*'Falhas UM-3-2 Qty'!$D39/1000000</f>
        <v>654.92548649644448</v>
      </c>
      <c r="I39" s="341">
        <f>'Prod &amp; Defects - Qty'!J$7*'Falhas UM-3-2 Qty'!$D39/1000000</f>
        <v>662.92628538023655</v>
      </c>
      <c r="J39" s="341">
        <f>'Prod &amp; Defects - Qty'!K$7*'Falhas UM-3-2 Qty'!$D39/1000000</f>
        <v>753.73494947253141</v>
      </c>
      <c r="K39" s="341">
        <f>'Prod &amp; Defects - Qty'!L$7*'Falhas UM-3-2 Qty'!$D39/1000000</f>
        <v>744.46391105431269</v>
      </c>
      <c r="L39" s="341">
        <f>'Prod &amp; Defects - Qty'!M$7*'Falhas UM-3-2 Qty'!$D39/1000000</f>
        <v>744.85440427692913</v>
      </c>
      <c r="M39" s="341">
        <f>'Prod &amp; Defects - Qty'!N$7*'Falhas UM-3-2 Qty'!$D39/1000000</f>
        <v>708.70745639116274</v>
      </c>
      <c r="N39" s="341">
        <f>'Prod &amp; Defects - Qty'!O$7*'Falhas UM-3-2 Qty'!$D39/1000000</f>
        <v>549.62333606980826</v>
      </c>
      <c r="O39" s="341">
        <f>'Prod &amp; Defects - Qty'!P$7*'Falhas UM-3-2 Qty'!$D39/1000000</f>
        <v>527.53877041220608</v>
      </c>
      <c r="P39" s="341">
        <f>'Prod &amp; Defects - Qty'!Q$7*'Falhas UM-3-2 Qty'!$D39/1000000</f>
        <v>668.86008616074616</v>
      </c>
      <c r="Q39" s="438">
        <f t="shared" si="0"/>
        <v>4044.5250078700892</v>
      </c>
      <c r="R39" s="95">
        <f>Q39/SUM('Prod &amp; Defects - Qty'!$F$7:$K$7)*1000000</f>
        <v>59.901160856665875</v>
      </c>
      <c r="S39" s="95">
        <f t="shared" si="1"/>
        <v>3944.0479643651647</v>
      </c>
      <c r="T39" s="95">
        <f>S39/SUM('Prod &amp; Defects - Qty'!$L$7:$Q$7)*1000000</f>
        <v>59.901160856665868</v>
      </c>
      <c r="U39" s="95">
        <f t="shared" si="2"/>
        <v>7988.5729722352535</v>
      </c>
      <c r="V39" s="95">
        <f>U39/'Prod &amp; Defects - Qty'!$R$7*1000000</f>
        <v>59.901160856665875</v>
      </c>
      <c r="W39" s="95">
        <f t="shared" ref="W39:X54" si="15">V39*0.9</f>
        <v>53.91104477099929</v>
      </c>
      <c r="X39" s="95">
        <f t="shared" si="15"/>
        <v>48.51994029389936</v>
      </c>
      <c r="Y39" s="95">
        <f t="shared" si="4"/>
        <v>51.215492532449325</v>
      </c>
      <c r="Z39" s="439">
        <f t="shared" si="13"/>
        <v>51.215492532449325</v>
      </c>
    </row>
    <row r="40" spans="1:26" ht="18" customHeight="1">
      <c r="A40" s="1002"/>
      <c r="B40" s="82">
        <f t="shared" si="14"/>
        <v>3250</v>
      </c>
      <c r="C40" s="83" t="s">
        <v>69</v>
      </c>
      <c r="D40" s="359">
        <f>'[3]Falhas UM-3-2 Qty'!Z41</f>
        <v>5.5379132336987755</v>
      </c>
      <c r="E40" s="341">
        <f>'Prod &amp; Defects - Qty'!F$7*'Falhas UM-3-2 Qty'!$D40/1000000</f>
        <v>59.729479371911054</v>
      </c>
      <c r="F40" s="341">
        <f>'Prod &amp; Defects - Qty'!G$7*'Falhas UM-3-2 Qty'!$D40/1000000</f>
        <v>62.510858374393294</v>
      </c>
      <c r="G40" s="341">
        <f>'Prod &amp; Defects - Qty'!H$7*'Falhas UM-3-2 Qty'!$D40/1000000</f>
        <v>60.159483725253921</v>
      </c>
      <c r="H40" s="341">
        <f>'Prod &amp; Defects - Qty'!I$7*'Falhas UM-3-2 Qty'!$D40/1000000</f>
        <v>60.548417875138064</v>
      </c>
      <c r="I40" s="341">
        <f>'Prod &amp; Defects - Qty'!J$7*'Falhas UM-3-2 Qty'!$D40/1000000</f>
        <v>61.288098532157974</v>
      </c>
      <c r="J40" s="341">
        <f>'Prod &amp; Defects - Qty'!K$7*'Falhas UM-3-2 Qty'!$D40/1000000</f>
        <v>69.683436709569349</v>
      </c>
      <c r="K40" s="341">
        <f>'Prod &amp; Defects - Qty'!L$7*'Falhas UM-3-2 Qty'!$D40/1000000</f>
        <v>68.82632132796202</v>
      </c>
      <c r="L40" s="341">
        <f>'Prod &amp; Defects - Qty'!M$7*'Falhas UM-3-2 Qty'!$D40/1000000</f>
        <v>68.862422758289426</v>
      </c>
      <c r="M40" s="341">
        <f>'Prod &amp; Defects - Qty'!N$7*'Falhas UM-3-2 Qty'!$D40/1000000</f>
        <v>65.520606703448649</v>
      </c>
      <c r="N40" s="341">
        <f>'Prod &amp; Defects - Qty'!O$7*'Falhas UM-3-2 Qty'!$D40/1000000</f>
        <v>50.813144567497083</v>
      </c>
      <c r="O40" s="341">
        <f>'Prod &amp; Defects - Qty'!P$7*'Falhas UM-3-2 Qty'!$D40/1000000</f>
        <v>48.771407701856447</v>
      </c>
      <c r="P40" s="341">
        <f>'Prod &amp; Defects - Qty'!Q$7*'Falhas UM-3-2 Qty'!$D40/1000000</f>
        <v>61.836683457701369</v>
      </c>
      <c r="Q40" s="438">
        <f t="shared" si="0"/>
        <v>373.91977458842359</v>
      </c>
      <c r="R40" s="95">
        <f>Q40/SUM('Prod &amp; Defects - Qty'!$F$7:$K$7)*1000000</f>
        <v>5.5379132336987746</v>
      </c>
      <c r="S40" s="95">
        <f t="shared" si="1"/>
        <v>364.63058651675505</v>
      </c>
      <c r="T40" s="95">
        <f>S40/SUM('Prod &amp; Defects - Qty'!$L$7:$Q$7)*1000000</f>
        <v>5.5379132336987755</v>
      </c>
      <c r="U40" s="95">
        <f t="shared" si="2"/>
        <v>738.55036110517858</v>
      </c>
      <c r="V40" s="95">
        <f>U40/'Prod &amp; Defects - Qty'!$R$7*1000000</f>
        <v>5.5379132336987746</v>
      </c>
      <c r="W40" s="95">
        <f t="shared" si="15"/>
        <v>4.9841219103288976</v>
      </c>
      <c r="X40" s="95">
        <f t="shared" si="15"/>
        <v>4.4857097192960076</v>
      </c>
      <c r="Y40" s="95">
        <f t="shared" si="4"/>
        <v>4.734915814812453</v>
      </c>
      <c r="Z40" s="439">
        <f t="shared" si="13"/>
        <v>4.734915814812453</v>
      </c>
    </row>
    <row r="41" spans="1:26" ht="18" customHeight="1">
      <c r="A41" s="1002"/>
      <c r="B41" s="82">
        <f t="shared" si="14"/>
        <v>3260</v>
      </c>
      <c r="C41" s="83" t="s">
        <v>15</v>
      </c>
      <c r="D41" s="359">
        <f>'[3]Falhas UM-3-2 Qty'!Z42</f>
        <v>17.432547640928032</v>
      </c>
      <c r="E41" s="341">
        <f>'Prod &amp; Defects - Qty'!F$7*'Falhas UM-3-2 Qty'!$D41/1000000</f>
        <v>188.01973790102608</v>
      </c>
      <c r="F41" s="341">
        <f>'Prod &amp; Defects - Qty'!G$7*'Falhas UM-3-2 Qty'!$D41/1000000</f>
        <v>196.77511558971992</v>
      </c>
      <c r="G41" s="341">
        <f>'Prod &amp; Defects - Qty'!H$7*'Falhas UM-3-2 Qty'!$D41/1000000</f>
        <v>189.37332923753195</v>
      </c>
      <c r="H41" s="341">
        <f>'Prod &amp; Defects - Qty'!I$7*'Falhas UM-3-2 Qty'!$D41/1000000</f>
        <v>190.59763753037078</v>
      </c>
      <c r="I41" s="341">
        <f>'Prod &amp; Defects - Qty'!J$7*'Falhas UM-3-2 Qty'!$D41/1000000</f>
        <v>192.92604495541096</v>
      </c>
      <c r="J41" s="341">
        <f>'Prod &amp; Defects - Qty'!K$7*'Falhas UM-3-2 Qty'!$D41/1000000</f>
        <v>219.35335187832516</v>
      </c>
      <c r="K41" s="341">
        <f>'Prod &amp; Defects - Qty'!L$7*'Falhas UM-3-2 Qty'!$D41/1000000</f>
        <v>216.65527697301243</v>
      </c>
      <c r="L41" s="341">
        <f>'Prod &amp; Defects - Qty'!M$7*'Falhas UM-3-2 Qty'!$D41/1000000</f>
        <v>216.76891903953279</v>
      </c>
      <c r="M41" s="341">
        <f>'Prod &amp; Defects - Qty'!N$7*'Falhas UM-3-2 Qty'!$D41/1000000</f>
        <v>206.24936679578622</v>
      </c>
      <c r="N41" s="341">
        <f>'Prod &amp; Defects - Qty'!O$7*'Falhas UM-3-2 Qty'!$D41/1000000</f>
        <v>159.95240916164161</v>
      </c>
      <c r="O41" s="341">
        <f>'Prod &amp; Defects - Qty'!P$7*'Falhas UM-3-2 Qty'!$D41/1000000</f>
        <v>153.52531764205364</v>
      </c>
      <c r="P41" s="341">
        <f>'Prod &amp; Defects - Qty'!Q$7*'Falhas UM-3-2 Qty'!$D41/1000000</f>
        <v>194.65291073428179</v>
      </c>
      <c r="Q41" s="438">
        <f t="shared" si="0"/>
        <v>1177.045217092385</v>
      </c>
      <c r="R41" s="95">
        <f>Q41/SUM('Prod &amp; Defects - Qty'!$F$7:$K$7)*1000000</f>
        <v>17.432547640928032</v>
      </c>
      <c r="S41" s="95">
        <f t="shared" si="1"/>
        <v>1147.8042003463086</v>
      </c>
      <c r="T41" s="95">
        <f>S41/SUM('Prod &amp; Defects - Qty'!$L$7:$Q$7)*1000000</f>
        <v>17.432547640928032</v>
      </c>
      <c r="U41" s="95">
        <f t="shared" si="2"/>
        <v>2324.8494174386933</v>
      </c>
      <c r="V41" s="95">
        <f>U41/'Prod &amp; Defects - Qty'!$R$7*1000000</f>
        <v>17.432547640928032</v>
      </c>
      <c r="W41" s="95">
        <f t="shared" si="15"/>
        <v>15.689292876835228</v>
      </c>
      <c r="X41" s="95">
        <f t="shared" si="15"/>
        <v>14.120363589151706</v>
      </c>
      <c r="Y41" s="95">
        <f t="shared" si="4"/>
        <v>14.904828232993466</v>
      </c>
      <c r="Z41" s="439">
        <f t="shared" si="13"/>
        <v>14.904828232993466</v>
      </c>
    </row>
    <row r="42" spans="1:26" ht="18" customHeight="1">
      <c r="A42" s="1002"/>
      <c r="B42" s="82">
        <f t="shared" si="14"/>
        <v>3270</v>
      </c>
      <c r="C42" s="83" t="s">
        <v>14</v>
      </c>
      <c r="D42" s="359">
        <f>'[3]Falhas UM-3-2 Qty'!Z43</f>
        <v>13.321188455318989</v>
      </c>
      <c r="E42" s="341">
        <f>'Prod &amp; Defects - Qty'!F$7*'Falhas UM-3-2 Qty'!$D42/1000000</f>
        <v>143.67643866458491</v>
      </c>
      <c r="F42" s="341">
        <f>'Prod &amp; Defects - Qty'!G$7*'Falhas UM-3-2 Qty'!$D42/1000000</f>
        <v>150.36691435356326</v>
      </c>
      <c r="G42" s="341">
        <f>'Prod &amp; Defects - Qty'!H$7*'Falhas UM-3-2 Qty'!$D42/1000000</f>
        <v>144.71079380627103</v>
      </c>
      <c r="H42" s="341">
        <f>'Prod &amp; Defects - Qty'!I$7*'Falhas UM-3-2 Qty'!$D42/1000000</f>
        <v>145.64635651530531</v>
      </c>
      <c r="I42" s="341">
        <f>'Prod &amp; Defects - Qty'!J$7*'Falhas UM-3-2 Qty'!$D42/1000000</f>
        <v>147.42562336422546</v>
      </c>
      <c r="J42" s="341">
        <f>'Prod &amp; Defects - Qty'!K$7*'Falhas UM-3-2 Qty'!$D42/1000000</f>
        <v>167.62021242475791</v>
      </c>
      <c r="K42" s="341">
        <f>'Prod &amp; Defects - Qty'!L$7*'Falhas UM-3-2 Qty'!$D42/1000000</f>
        <v>165.55846189806758</v>
      </c>
      <c r="L42" s="341">
        <f>'Prod &amp; Defects - Qty'!M$7*'Falhas UM-3-2 Qty'!$D42/1000000</f>
        <v>165.64530218187184</v>
      </c>
      <c r="M42" s="341">
        <f>'Prod &amp; Defects - Qty'!N$7*'Falhas UM-3-2 Qty'!$D42/1000000</f>
        <v>157.60672166048442</v>
      </c>
      <c r="N42" s="341">
        <f>'Prod &amp; Defects - Qty'!O$7*'Falhas UM-3-2 Qty'!$D42/1000000</f>
        <v>122.22861685012364</v>
      </c>
      <c r="O42" s="341">
        <f>'Prod &amp; Defects - Qty'!P$7*'Falhas UM-3-2 Qty'!$D42/1000000</f>
        <v>117.31731535159776</v>
      </c>
      <c r="P42" s="341">
        <f>'Prod &amp; Defects - Qty'!Q$7*'Falhas UM-3-2 Qty'!$D42/1000000</f>
        <v>148.74521846594027</v>
      </c>
      <c r="Q42" s="438">
        <f t="shared" si="0"/>
        <v>899.4463391287079</v>
      </c>
      <c r="R42" s="95">
        <f>Q42/SUM('Prod &amp; Defects - Qty'!$F$7:$K$7)*1000000</f>
        <v>13.321188455318989</v>
      </c>
      <c r="S42" s="95">
        <f t="shared" si="1"/>
        <v>877.1016364080856</v>
      </c>
      <c r="T42" s="95">
        <f>S42/SUM('Prod &amp; Defects - Qty'!$L$7:$Q$7)*1000000</f>
        <v>13.321188455318989</v>
      </c>
      <c r="U42" s="95">
        <f t="shared" si="2"/>
        <v>1776.5479755367935</v>
      </c>
      <c r="V42" s="95">
        <f>U42/'Prod &amp; Defects - Qty'!$R$7*1000000</f>
        <v>13.321188455318991</v>
      </c>
      <c r="W42" s="95">
        <f t="shared" si="15"/>
        <v>11.989069609787093</v>
      </c>
      <c r="X42" s="95">
        <f t="shared" si="15"/>
        <v>10.790162648808383</v>
      </c>
      <c r="Y42" s="95">
        <f t="shared" si="4"/>
        <v>11.389616129297739</v>
      </c>
      <c r="Z42" s="439">
        <f t="shared" si="13"/>
        <v>11.389616129297739</v>
      </c>
    </row>
    <row r="43" spans="1:26" ht="18" customHeight="1">
      <c r="A43" s="1002"/>
      <c r="B43" s="82">
        <f t="shared" si="14"/>
        <v>3280</v>
      </c>
      <c r="C43" s="83" t="s">
        <v>68</v>
      </c>
      <c r="D43" s="359">
        <f>'[3]Falhas UM-3-2 Qty'!Z44</f>
        <v>47.714336672169743</v>
      </c>
      <c r="E43" s="341">
        <f>'Prod &amp; Defects - Qty'!F$7*'Falhas UM-3-2 Qty'!$D43/1000000</f>
        <v>514.62570245097481</v>
      </c>
      <c r="F43" s="341">
        <f>'Prod &amp; Defects - Qty'!G$7*'Falhas UM-3-2 Qty'!$D43/1000000</f>
        <v>538.58990133545308</v>
      </c>
      <c r="G43" s="341">
        <f>'Prod &amp; Defects - Qty'!H$7*'Falhas UM-3-2 Qty'!$D43/1000000</f>
        <v>518.33059482109172</v>
      </c>
      <c r="H43" s="341">
        <f>'Prod &amp; Defects - Qty'!I$7*'Falhas UM-3-2 Qty'!$D43/1000000</f>
        <v>521.68162871919446</v>
      </c>
      <c r="I43" s="341">
        <f>'Prod &amp; Defects - Qty'!J$7*'Falhas UM-3-2 Qty'!$D43/1000000</f>
        <v>528.05467401794999</v>
      </c>
      <c r="J43" s="341">
        <f>'Prod &amp; Defects - Qty'!K$7*'Falhas UM-3-2 Qty'!$D43/1000000</f>
        <v>600.38841695855217</v>
      </c>
      <c r="K43" s="341">
        <f>'Prod &amp; Defects - Qty'!L$7*'Falhas UM-3-2 Qty'!$D43/1000000</f>
        <v>593.00356093804851</v>
      </c>
      <c r="L43" s="341">
        <f>'Prod &amp; Defects - Qty'!M$7*'Falhas UM-3-2 Qty'!$D43/1000000</f>
        <v>593.31460875124037</v>
      </c>
      <c r="M43" s="341">
        <f>'Prod &amp; Defects - Qty'!N$7*'Falhas UM-3-2 Qty'!$D43/1000000</f>
        <v>564.52171698709185</v>
      </c>
      <c r="N43" s="341">
        <f>'Prod &amp; Defects - Qty'!O$7*'Falhas UM-3-2 Qty'!$D43/1000000</f>
        <v>437.80308302986055</v>
      </c>
      <c r="O43" s="341">
        <f>'Prod &amp; Defects - Qty'!P$7*'Falhas UM-3-2 Qty'!$D43/1000000</f>
        <v>420.21159755653349</v>
      </c>
      <c r="P43" s="341">
        <f>'Prod &amp; Defects - Qty'!Q$7*'Falhas UM-3-2 Qty'!$D43/1000000</f>
        <v>532.78124966586279</v>
      </c>
      <c r="Q43" s="438">
        <f t="shared" si="0"/>
        <v>3221.6709183032167</v>
      </c>
      <c r="R43" s="95">
        <f>Q43/SUM('Prod &amp; Defects - Qty'!$F$7:$K$7)*1000000</f>
        <v>47.71433667216975</v>
      </c>
      <c r="S43" s="95">
        <f t="shared" si="1"/>
        <v>3141.6358169286377</v>
      </c>
      <c r="T43" s="95">
        <f>S43/SUM('Prod &amp; Defects - Qty'!$L$7:$Q$7)*1000000</f>
        <v>47.714336672169743</v>
      </c>
      <c r="U43" s="95">
        <f t="shared" si="2"/>
        <v>6363.306735231854</v>
      </c>
      <c r="V43" s="95">
        <f>U43/'Prod &amp; Defects - Qty'!$R$7*1000000</f>
        <v>47.71433667216975</v>
      </c>
      <c r="W43" s="95">
        <f t="shared" si="15"/>
        <v>42.942903004952775</v>
      </c>
      <c r="X43" s="95">
        <f t="shared" si="15"/>
        <v>38.648612704457499</v>
      </c>
      <c r="Y43" s="95">
        <f t="shared" si="4"/>
        <v>40.795757854705137</v>
      </c>
      <c r="Z43" s="439">
        <f t="shared" si="13"/>
        <v>40.795757854705137</v>
      </c>
    </row>
    <row r="44" spans="1:26" ht="18" customHeight="1">
      <c r="A44" s="1002"/>
      <c r="B44" s="82">
        <f t="shared" si="14"/>
        <v>3290</v>
      </c>
      <c r="C44" s="83" t="s">
        <v>13</v>
      </c>
      <c r="D44" s="359">
        <f>'[3]Falhas UM-3-2 Qty'!Z45</f>
        <v>19.35737510478716</v>
      </c>
      <c r="E44" s="341">
        <f>'Prod &amp; Defects - Qty'!F$7*'Falhas UM-3-2 Qty'!$D44/1000000</f>
        <v>208.7800744114401</v>
      </c>
      <c r="F44" s="341">
        <f>'Prod &amp; Defects - Qty'!G$7*'Falhas UM-3-2 Qty'!$D44/1000000</f>
        <v>218.50218351419821</v>
      </c>
      <c r="G44" s="341">
        <f>'Prod &amp; Defects - Qty'!H$7*'Falhas UM-3-2 Qty'!$D44/1000000</f>
        <v>210.28312352273682</v>
      </c>
      <c r="H44" s="341">
        <f>'Prod &amp; Defects - Qty'!I$7*'Falhas UM-3-2 Qty'!$D44/1000000</f>
        <v>211.64261470879507</v>
      </c>
      <c r="I44" s="341">
        <f>'Prod &amp; Defects - Qty'!J$7*'Falhas UM-3-2 Qty'!$D44/1000000</f>
        <v>214.22811493811642</v>
      </c>
      <c r="J44" s="341">
        <f>'Prod &amp; Defects - Qty'!K$7*'Falhas UM-3-2 Qty'!$D44/1000000</f>
        <v>243.57341223219311</v>
      </c>
      <c r="K44" s="341">
        <f>'Prod &amp; Defects - Qty'!L$7*'Falhas UM-3-2 Qty'!$D44/1000000</f>
        <v>240.57742741811285</v>
      </c>
      <c r="L44" s="341">
        <f>'Prod &amp; Defects - Qty'!M$7*'Falhas UM-3-2 Qty'!$D44/1000000</f>
        <v>240.70361735630368</v>
      </c>
      <c r="M44" s="341">
        <f>'Prod &amp; Defects - Qty'!N$7*'Falhas UM-3-2 Qty'!$D44/1000000</f>
        <v>229.02254107812823</v>
      </c>
      <c r="N44" s="341">
        <f>'Prod &amp; Defects - Qty'!O$7*'Falhas UM-3-2 Qty'!$D44/1000000</f>
        <v>177.61367109572168</v>
      </c>
      <c r="O44" s="341">
        <f>'Prod &amp; Defects - Qty'!P$7*'Falhas UM-3-2 Qty'!$D44/1000000</f>
        <v>170.47692757778813</v>
      </c>
      <c r="P44" s="341">
        <f>'Prod &amp; Defects - Qty'!Q$7*'Falhas UM-3-2 Qty'!$D44/1000000</f>
        <v>216.14565386161496</v>
      </c>
      <c r="Q44" s="438">
        <f t="shared" si="0"/>
        <v>1307.0095233274797</v>
      </c>
      <c r="R44" s="95">
        <f>Q44/SUM('Prod &amp; Defects - Qty'!$F$7:$K$7)*1000000</f>
        <v>19.357375104787156</v>
      </c>
      <c r="S44" s="95">
        <f t="shared" si="1"/>
        <v>1274.5398383876695</v>
      </c>
      <c r="T44" s="95">
        <f>S44/SUM('Prod &amp; Defects - Qty'!$L$7:$Q$7)*1000000</f>
        <v>19.357375104787156</v>
      </c>
      <c r="U44" s="95">
        <f t="shared" si="2"/>
        <v>2581.5493617151492</v>
      </c>
      <c r="V44" s="95">
        <f>U44/'Prod &amp; Defects - Qty'!$R$7*1000000</f>
        <v>19.357375104787156</v>
      </c>
      <c r="W44" s="95">
        <f t="shared" si="15"/>
        <v>17.421637594308439</v>
      </c>
      <c r="X44" s="95">
        <f t="shared" si="15"/>
        <v>15.679473834877596</v>
      </c>
      <c r="Y44" s="95">
        <f t="shared" si="4"/>
        <v>16.550555714593017</v>
      </c>
      <c r="Z44" s="439">
        <f t="shared" si="13"/>
        <v>16.550555714593017</v>
      </c>
    </row>
    <row r="45" spans="1:26" ht="18" customHeight="1">
      <c r="A45" s="1002"/>
      <c r="B45" s="82">
        <f t="shared" si="14"/>
        <v>3300</v>
      </c>
      <c r="C45" s="83" t="s">
        <v>12</v>
      </c>
      <c r="D45" s="359">
        <f>'[3]Falhas UM-3-2 Qty'!Z46</f>
        <v>11.469143761368569</v>
      </c>
      <c r="E45" s="341">
        <f>'Prod &amp; Defects - Qty'!F$7*'Falhas UM-3-2 Qty'!$D45/1000000</f>
        <v>123.70110487458895</v>
      </c>
      <c r="F45" s="341">
        <f>'Prod &amp; Defects - Qty'!G$7*'Falhas UM-3-2 Qty'!$D45/1000000</f>
        <v>129.46140379733222</v>
      </c>
      <c r="G45" s="341">
        <f>'Prod &amp; Defects - Qty'!H$7*'Falhas UM-3-2 Qty'!$D45/1000000</f>
        <v>124.59165363156356</v>
      </c>
      <c r="H45" s="341">
        <f>'Prod &amp; Defects - Qty'!I$7*'Falhas UM-3-2 Qty'!$D45/1000000</f>
        <v>125.39714506678196</v>
      </c>
      <c r="I45" s="341">
        <f>'Prod &amp; Defects - Qty'!J$7*'Falhas UM-3-2 Qty'!$D45/1000000</f>
        <v>126.92904046399437</v>
      </c>
      <c r="J45" s="341">
        <f>'Prod &amp; Defects - Qty'!K$7*'Falhas UM-3-2 Qty'!$D45/1000000</f>
        <v>144.31597601511834</v>
      </c>
      <c r="K45" s="341">
        <f>'Prod &amp; Defects - Qty'!L$7*'Falhas UM-3-2 Qty'!$D45/1000000</f>
        <v>142.54087064295109</v>
      </c>
      <c r="L45" s="341">
        <f>'Prod &amp; Defects - Qty'!M$7*'Falhas UM-3-2 Qty'!$D45/1000000</f>
        <v>142.61563752299111</v>
      </c>
      <c r="M45" s="341">
        <f>'Prod &amp; Defects - Qty'!N$7*'Falhas UM-3-2 Qty'!$D45/1000000</f>
        <v>135.69466076882497</v>
      </c>
      <c r="N45" s="341">
        <f>'Prod &amp; Defects - Qty'!O$7*'Falhas UM-3-2 Qty'!$D45/1000000</f>
        <v>105.2351735064269</v>
      </c>
      <c r="O45" s="341">
        <f>'Prod &amp; Defects - Qty'!P$7*'Falhas UM-3-2 Qty'!$D45/1000000</f>
        <v>101.00669020473417</v>
      </c>
      <c r="P45" s="341">
        <f>'Prod &amp; Defects - Qty'!Q$7*'Falhas UM-3-2 Qty'!$D45/1000000</f>
        <v>128.06517227228827</v>
      </c>
      <c r="Q45" s="438">
        <f t="shared" si="0"/>
        <v>774.39632384937931</v>
      </c>
      <c r="R45" s="95">
        <f>Q45/SUM('Prod &amp; Defects - Qty'!$F$7:$K$7)*1000000</f>
        <v>11.469143761368567</v>
      </c>
      <c r="S45" s="95">
        <f t="shared" si="1"/>
        <v>755.15820491821648</v>
      </c>
      <c r="T45" s="95">
        <f>S45/SUM('Prod &amp; Defects - Qty'!$L$7:$Q$7)*1000000</f>
        <v>11.469143761368567</v>
      </c>
      <c r="U45" s="95">
        <f t="shared" si="2"/>
        <v>1529.5545287675959</v>
      </c>
      <c r="V45" s="95">
        <f>U45/'Prod &amp; Defects - Qty'!$R$7*1000000</f>
        <v>11.469143761368569</v>
      </c>
      <c r="W45" s="95">
        <f t="shared" si="15"/>
        <v>10.322229385231712</v>
      </c>
      <c r="X45" s="95">
        <f t="shared" si="15"/>
        <v>9.2900064467085404</v>
      </c>
      <c r="Y45" s="95">
        <f t="shared" si="4"/>
        <v>9.8061179159701268</v>
      </c>
      <c r="Z45" s="439">
        <f t="shared" si="13"/>
        <v>9.8061179159701268</v>
      </c>
    </row>
    <row r="46" spans="1:26" ht="18" customHeight="1">
      <c r="A46" s="1002"/>
      <c r="B46" s="82">
        <f t="shared" si="14"/>
        <v>3310</v>
      </c>
      <c r="C46" s="83" t="s">
        <v>133</v>
      </c>
      <c r="D46" s="359">
        <f>'[3]Falhas UM-3-2 Qty'!Z47</f>
        <v>108.91208832017664</v>
      </c>
      <c r="E46" s="341">
        <f>'Prod &amp; Defects - Qty'!F$7*'Falhas UM-3-2 Qty'!$D46/1000000</f>
        <v>1174.6775469659854</v>
      </c>
      <c r="F46" s="341">
        <f>'Prod &amp; Defects - Qty'!G$7*'Falhas UM-3-2 Qty'!$D46/1000000</f>
        <v>1229.3778975830546</v>
      </c>
      <c r="G46" s="341">
        <f>'Prod &amp; Defects - Qty'!H$7*'Falhas UM-3-2 Qty'!$D46/1000000</f>
        <v>1183.1342833092631</v>
      </c>
      <c r="H46" s="341">
        <f>'Prod &amp; Defects - Qty'!I$7*'Falhas UM-3-2 Qty'!$D46/1000000</f>
        <v>1190.7833071735504</v>
      </c>
      <c r="I46" s="341">
        <f>'Prod &amp; Defects - Qty'!J$7*'Falhas UM-3-2 Qty'!$D46/1000000</f>
        <v>1205.3303326769226</v>
      </c>
      <c r="J46" s="341">
        <f>'Prod &amp; Defects - Qty'!K$7*'Falhas UM-3-2 Qty'!$D46/1000000</f>
        <v>1370.4383389728755</v>
      </c>
      <c r="K46" s="341">
        <f>'Prod &amp; Defects - Qty'!L$7*'Falhas UM-3-2 Qty'!$D46/1000000</f>
        <v>1353.5817682389477</v>
      </c>
      <c r="L46" s="341">
        <f>'Prod &amp; Defects - Qty'!M$7*'Falhas UM-3-2 Qty'!$D46/1000000</f>
        <v>1354.2917616972013</v>
      </c>
      <c r="M46" s="341">
        <f>'Prod &amp; Defects - Qty'!N$7*'Falhas UM-3-2 Qty'!$D46/1000000</f>
        <v>1288.5695031576772</v>
      </c>
      <c r="N46" s="341">
        <f>'Prod &amp; Defects - Qty'!O$7*'Falhas UM-3-2 Qty'!$D46/1000000</f>
        <v>999.32329298429136</v>
      </c>
      <c r="O46" s="341">
        <f>'Prod &amp; Defects - Qty'!P$7*'Falhas UM-3-2 Qty'!$D46/1000000</f>
        <v>959.16921030851552</v>
      </c>
      <c r="P46" s="341">
        <f>'Prod &amp; Defects - Qty'!Q$7*'Falhas UM-3-2 Qty'!$D46/1000000</f>
        <v>1216.1191492113403</v>
      </c>
      <c r="Q46" s="438">
        <f t="shared" si="0"/>
        <v>7353.7417066816515</v>
      </c>
      <c r="R46" s="95">
        <f>Q46/SUM('Prod &amp; Defects - Qty'!$F$7:$K$7)*1000000</f>
        <v>108.91208832017662</v>
      </c>
      <c r="S46" s="95">
        <f t="shared" si="1"/>
        <v>7171.0546855979728</v>
      </c>
      <c r="T46" s="95">
        <f>S46/SUM('Prod &amp; Defects - Qty'!$L$7:$Q$7)*1000000</f>
        <v>108.91208832017662</v>
      </c>
      <c r="U46" s="95">
        <f t="shared" si="2"/>
        <v>14524.796392279624</v>
      </c>
      <c r="V46" s="95">
        <f>U46/'Prod &amp; Defects - Qty'!$R$7*1000000</f>
        <v>108.91208832017662</v>
      </c>
      <c r="W46" s="95">
        <f t="shared" si="15"/>
        <v>98.020879488158968</v>
      </c>
      <c r="X46" s="95">
        <f t="shared" si="15"/>
        <v>88.218791539343073</v>
      </c>
      <c r="Y46" s="95">
        <f t="shared" si="4"/>
        <v>93.119835513751013</v>
      </c>
      <c r="Z46" s="439">
        <f t="shared" si="13"/>
        <v>93.119835513751013</v>
      </c>
    </row>
    <row r="47" spans="1:26" ht="18" customHeight="1">
      <c r="A47" s="1002"/>
      <c r="B47" s="82">
        <f t="shared" si="14"/>
        <v>3320</v>
      </c>
      <c r="C47" s="83" t="s">
        <v>11</v>
      </c>
      <c r="D47" s="359">
        <f>'[3]Falhas UM-3-2 Qty'!Z48</f>
        <v>177.497919675231</v>
      </c>
      <c r="E47" s="341">
        <f>'Prod &amp; Defects - Qty'!F$7*'Falhas UM-3-2 Qty'!$D47/1000000</f>
        <v>1914.4139469873651</v>
      </c>
      <c r="F47" s="341">
        <f>'Prod &amp; Defects - Qty'!G$7*'Falhas UM-3-2 Qty'!$D47/1000000</f>
        <v>2003.5610617823061</v>
      </c>
      <c r="G47" s="341">
        <f>'Prod &amp; Defects - Qty'!H$7*'Falhas UM-3-2 Qty'!$D47/1000000</f>
        <v>1928.196192202983</v>
      </c>
      <c r="H47" s="341">
        <f>'Prod &amp; Defects - Qty'!I$7*'Falhas UM-3-2 Qty'!$D47/1000000</f>
        <v>1940.6620795475164</v>
      </c>
      <c r="I47" s="341">
        <f>'Prod &amp; Defects - Qty'!J$7*'Falhas UM-3-2 Qty'!$D47/1000000</f>
        <v>1964.3698864965525</v>
      </c>
      <c r="J47" s="341">
        <f>'Prod &amp; Defects - Qty'!K$7*'Falhas UM-3-2 Qty'!$D47/1000000</f>
        <v>2233.4523004991443</v>
      </c>
      <c r="K47" s="341">
        <f>'Prod &amp; Defects - Qty'!L$7*'Falhas UM-3-2 Qty'!$D47/1000000</f>
        <v>2205.9805452121204</v>
      </c>
      <c r="L47" s="341">
        <f>'Prod &amp; Defects - Qty'!M$7*'Falhas UM-3-2 Qty'!$D47/1000000</f>
        <v>2207.1376469054844</v>
      </c>
      <c r="M47" s="341">
        <f>'Prod &amp; Defects - Qty'!N$7*'Falhas UM-3-2 Qty'!$D47/1000000</f>
        <v>2100.0277351679633</v>
      </c>
      <c r="N47" s="341">
        <f>'Prod &amp; Defects - Qty'!O$7*'Falhas UM-3-2 Qty'!$D47/1000000</f>
        <v>1628.6328572294278</v>
      </c>
      <c r="O47" s="341">
        <f>'Prod &amp; Defects - Qty'!P$7*'Falhas UM-3-2 Qty'!$D47/1000000</f>
        <v>1563.1923147575501</v>
      </c>
      <c r="P47" s="341">
        <f>'Prod &amp; Defects - Qty'!Q$7*'Falhas UM-3-2 Qty'!$D47/1000000</f>
        <v>1981.952806080164</v>
      </c>
      <c r="Q47" s="438">
        <f t="shared" si="0"/>
        <v>11984.655467515868</v>
      </c>
      <c r="R47" s="95">
        <f>Q47/SUM('Prod &amp; Defects - Qty'!$F$7:$K$7)*1000000</f>
        <v>177.497919675231</v>
      </c>
      <c r="S47" s="95">
        <f t="shared" si="1"/>
        <v>11686.923905352711</v>
      </c>
      <c r="T47" s="95">
        <f>S47/SUM('Prod &amp; Defects - Qty'!$L$7:$Q$7)*1000000</f>
        <v>177.497919675231</v>
      </c>
      <c r="U47" s="95">
        <f t="shared" si="2"/>
        <v>23671.579372868579</v>
      </c>
      <c r="V47" s="95">
        <f>U47/'Prod &amp; Defects - Qty'!$R$7*1000000</f>
        <v>177.49791967523103</v>
      </c>
      <c r="W47" s="95">
        <f t="shared" si="15"/>
        <v>159.74812770770794</v>
      </c>
      <c r="X47" s="95">
        <f t="shared" si="15"/>
        <v>143.77331493693714</v>
      </c>
      <c r="Y47" s="95">
        <f t="shared" si="4"/>
        <v>151.76072132232252</v>
      </c>
      <c r="Z47" s="439">
        <f t="shared" si="13"/>
        <v>151.76072132232252</v>
      </c>
    </row>
    <row r="48" spans="1:26" ht="18" customHeight="1">
      <c r="A48" s="1002"/>
      <c r="B48" s="82">
        <f t="shared" si="14"/>
        <v>3330</v>
      </c>
      <c r="C48" s="83" t="s">
        <v>6</v>
      </c>
      <c r="D48" s="359">
        <f>'[3]Falhas UM-3-2 Qty'!Z49</f>
        <v>75.677712127976179</v>
      </c>
      <c r="E48" s="341">
        <f>'Prod &amp; Defects - Qty'!F$7*'Falhas UM-3-2 Qty'!$D48/1000000</f>
        <v>816.22628501211432</v>
      </c>
      <c r="F48" s="341">
        <f>'Prod &amp; Defects - Qty'!G$7*'Falhas UM-3-2 Qty'!$D48/1000000</f>
        <v>854.23489774873224</v>
      </c>
      <c r="G48" s="341">
        <f>'Prod &amp; Defects - Qty'!H$7*'Falhas UM-3-2 Qty'!$D48/1000000</f>
        <v>822.10245971778465</v>
      </c>
      <c r="H48" s="341">
        <f>'Prod &amp; Defects - Qty'!I$7*'Falhas UM-3-2 Qty'!$D48/1000000</f>
        <v>827.41739431310555</v>
      </c>
      <c r="I48" s="341">
        <f>'Prod &amp; Defects - Qty'!J$7*'Falhas UM-3-2 Qty'!$D48/1000000</f>
        <v>837.5254146930489</v>
      </c>
      <c r="J48" s="341">
        <f>'Prod &amp; Defects - Qty'!K$7*'Falhas UM-3-2 Qty'!$D48/1000000</f>
        <v>952.25093656309855</v>
      </c>
      <c r="K48" s="341">
        <f>'Prod &amp; Defects - Qty'!L$7*'Falhas UM-3-2 Qty'!$D48/1000000</f>
        <v>940.53812555063416</v>
      </c>
      <c r="L48" s="341">
        <f>'Prod &amp; Defects - Qty'!M$7*'Falhas UM-3-2 Qty'!$D48/1000000</f>
        <v>941.0314654670309</v>
      </c>
      <c r="M48" s="341">
        <f>'Prod &amp; Defects - Qty'!N$7*'Falhas UM-3-2 Qty'!$D48/1000000</f>
        <v>895.36426507754834</v>
      </c>
      <c r="N48" s="341">
        <f>'Prod &amp; Defects - Qty'!O$7*'Falhas UM-3-2 Qty'!$D48/1000000</f>
        <v>694.38114405557792</v>
      </c>
      <c r="O48" s="341">
        <f>'Prod &amp; Defects - Qty'!P$7*'Falhas UM-3-2 Qty'!$D48/1000000</f>
        <v>666.48002530586643</v>
      </c>
      <c r="P48" s="341">
        <f>'Prod &amp; Defects - Qty'!Q$7*'Falhas UM-3-2 Qty'!$D48/1000000</f>
        <v>845.0220384791337</v>
      </c>
      <c r="Q48" s="438">
        <f t="shared" si="0"/>
        <v>5109.757388047884</v>
      </c>
      <c r="R48" s="95">
        <f>Q48/SUM('Prod &amp; Defects - Qty'!$F$7:$K$7)*1000000</f>
        <v>75.677712127976164</v>
      </c>
      <c r="S48" s="95">
        <f t="shared" si="1"/>
        <v>4982.8170639357913</v>
      </c>
      <c r="T48" s="95">
        <f>S48/SUM('Prod &amp; Defects - Qty'!$L$7:$Q$7)*1000000</f>
        <v>75.677712127976179</v>
      </c>
      <c r="U48" s="95">
        <f t="shared" si="2"/>
        <v>10092.574451983675</v>
      </c>
      <c r="V48" s="95">
        <f>U48/'Prod &amp; Defects - Qty'!$R$7*1000000</f>
        <v>75.677712127976179</v>
      </c>
      <c r="W48" s="95">
        <f t="shared" si="15"/>
        <v>68.109940915178569</v>
      </c>
      <c r="X48" s="95">
        <f t="shared" si="15"/>
        <v>61.298946823660714</v>
      </c>
      <c r="Y48" s="95">
        <f t="shared" si="4"/>
        <v>64.704443869419634</v>
      </c>
      <c r="Z48" s="439">
        <f t="shared" si="13"/>
        <v>64.704443869419634</v>
      </c>
    </row>
    <row r="49" spans="1:26" ht="18" customHeight="1">
      <c r="A49" s="1002"/>
      <c r="B49" s="97"/>
      <c r="C49" s="98" t="s">
        <v>1</v>
      </c>
      <c r="D49" s="364">
        <f>'[3]Falhas UM-3-2 Qty'!Z50</f>
        <v>542.4718668206699</v>
      </c>
      <c r="E49" s="345">
        <f>SUBTOTAL(109,E37:E48)</f>
        <v>5850.861292289741</v>
      </c>
      <c r="F49" s="345">
        <f t="shared" ref="F49:P49" si="16">SUBTOTAL(109,F37:F48)</f>
        <v>6123.3140729925926</v>
      </c>
      <c r="G49" s="345">
        <f t="shared" si="16"/>
        <v>5892.9828016841957</v>
      </c>
      <c r="H49" s="345">
        <f t="shared" si="16"/>
        <v>5931.0812379460876</v>
      </c>
      <c r="I49" s="345">
        <f t="shared" si="16"/>
        <v>6003.5374014740846</v>
      </c>
      <c r="J49" s="345">
        <f t="shared" si="16"/>
        <v>6825.9112057399579</v>
      </c>
      <c r="K49" s="345">
        <f t="shared" si="16"/>
        <v>6741.9516055223339</v>
      </c>
      <c r="L49" s="345">
        <f t="shared" si="16"/>
        <v>6745.4879574798606</v>
      </c>
      <c r="M49" s="345">
        <f t="shared" si="16"/>
        <v>6418.1370010204064</v>
      </c>
      <c r="N49" s="345">
        <f t="shared" si="16"/>
        <v>4977.4527388447787</v>
      </c>
      <c r="O49" s="345">
        <f t="shared" si="16"/>
        <v>4777.4523483870717</v>
      </c>
      <c r="P49" s="345">
        <f t="shared" si="16"/>
        <v>6057.2745902148399</v>
      </c>
      <c r="Q49" s="446">
        <f t="shared" si="0"/>
        <v>36627.688012126659</v>
      </c>
      <c r="R49" s="99">
        <f>Q49/SUM('Prod &amp; Defects - Qty'!$F$7:$K$7)*1000000</f>
        <v>542.47186682066967</v>
      </c>
      <c r="S49" s="99">
        <f t="shared" si="1"/>
        <v>35717.756241469295</v>
      </c>
      <c r="T49" s="99">
        <f>S49/SUM('Prod &amp; Defects - Qty'!$L$7:$Q$7)*1000000</f>
        <v>542.47186682066979</v>
      </c>
      <c r="U49" s="99">
        <f t="shared" si="2"/>
        <v>72345.444253595953</v>
      </c>
      <c r="V49" s="99">
        <f>U49/'Prod &amp; Defects - Qty'!$R$7*1000000</f>
        <v>542.47186682066979</v>
      </c>
      <c r="W49" s="99">
        <f t="shared" si="15"/>
        <v>488.22468013860282</v>
      </c>
      <c r="X49" s="99">
        <f t="shared" si="15"/>
        <v>439.40221212474256</v>
      </c>
      <c r="Y49" s="99">
        <f t="shared" si="4"/>
        <v>463.81344613167266</v>
      </c>
      <c r="Z49" s="447">
        <f t="shared" si="8"/>
        <v>417.43210151850542</v>
      </c>
    </row>
    <row r="50" spans="1:26" ht="18" customHeight="1">
      <c r="A50" s="1002"/>
      <c r="B50" s="82">
        <f>B48+10</f>
        <v>3340</v>
      </c>
      <c r="C50" s="83" t="s">
        <v>2</v>
      </c>
      <c r="D50" s="359">
        <f>'[3]Falhas UM-3-2 Qty'!Z51</f>
        <v>533.87563326357508</v>
      </c>
      <c r="E50" s="340">
        <f>'Prod &amp; Defects - Qty'!F$7*'Falhas UM-3-2 Qty'!$D50/1000000</f>
        <v>5758.1461244535549</v>
      </c>
      <c r="F50" s="340">
        <f>'Prod &amp; Defects - Qty'!G$7*'Falhas UM-3-2 Qty'!$D50/1000000</f>
        <v>6026.2815057123989</v>
      </c>
      <c r="G50" s="340">
        <f>'Prod &amp; Defects - Qty'!H$7*'Falhas UM-3-2 Qty'!$D50/1000000</f>
        <v>5799.6001589895359</v>
      </c>
      <c r="H50" s="340">
        <f>'Prod &amp; Defects - Qty'!I$7*'Falhas UM-3-2 Qty'!$D50/1000000</f>
        <v>5837.0948716736757</v>
      </c>
      <c r="I50" s="340">
        <f>'Prod &amp; Defects - Qty'!J$7*'Falhas UM-3-2 Qty'!$D50/1000000</f>
        <v>5908.4028648679941</v>
      </c>
      <c r="J50" s="340">
        <f>'Prod &amp; Defects - Qty'!K$7*'Falhas UM-3-2 Qty'!$D50/1000000</f>
        <v>6717.7449937142046</v>
      </c>
      <c r="K50" s="340">
        <f>'Prod &amp; Defects - Qty'!L$7*'Falhas UM-3-2 Qty'!$D50/1000000</f>
        <v>6635.115852045632</v>
      </c>
      <c r="L50" s="340">
        <f>'Prod &amp; Defects - Qty'!M$7*'Falhas UM-3-2 Qty'!$D50/1000000</f>
        <v>6638.5961655074752</v>
      </c>
      <c r="M50" s="340">
        <f>'Prod &amp; Defects - Qty'!N$7*'Falhas UM-3-2 Qty'!$D50/1000000</f>
        <v>6316.4325476898503</v>
      </c>
      <c r="N50" s="340">
        <f>'Prod &amp; Defects - Qty'!O$7*'Falhas UM-3-2 Qty'!$D50/1000000</f>
        <v>4898.577964170694</v>
      </c>
      <c r="O50" s="340">
        <f>'Prod &amp; Defects - Qty'!P$7*'Falhas UM-3-2 Qty'!$D50/1000000</f>
        <v>4701.74686261632</v>
      </c>
      <c r="P50" s="340">
        <f>'Prod &amp; Defects - Qty'!Q$7*'Falhas UM-3-2 Qty'!$D50/1000000</f>
        <v>5961.2885118913437</v>
      </c>
      <c r="Q50" s="436">
        <f t="shared" si="0"/>
        <v>36047.270519411366</v>
      </c>
      <c r="R50" s="84">
        <f>Q50/SUM('Prod &amp; Defects - Qty'!$F$7:$K$7)*1000000</f>
        <v>533.87563326357497</v>
      </c>
      <c r="S50" s="84">
        <f t="shared" si="1"/>
        <v>35151.757903921316</v>
      </c>
      <c r="T50" s="84">
        <f>S50/SUM('Prod &amp; Defects - Qty'!$L$7:$Q$7)*1000000</f>
        <v>533.87563326357508</v>
      </c>
      <c r="U50" s="84">
        <f t="shared" si="2"/>
        <v>71199.028423332682</v>
      </c>
      <c r="V50" s="84">
        <f>U50/'Prod &amp; Defects - Qty'!$R$7*1000000</f>
        <v>533.87563326357508</v>
      </c>
      <c r="W50" s="84">
        <f t="shared" si="15"/>
        <v>480.48806993721757</v>
      </c>
      <c r="X50" s="84">
        <f t="shared" si="15"/>
        <v>432.43926294349581</v>
      </c>
      <c r="Y50" s="84">
        <f t="shared" si="4"/>
        <v>456.46366644035669</v>
      </c>
      <c r="Z50" s="437">
        <f t="shared" ref="Z50:Z53" si="17">Y50*$AA$6</f>
        <v>456.46366644035669</v>
      </c>
    </row>
    <row r="51" spans="1:26" ht="18" customHeight="1">
      <c r="A51" s="1002"/>
      <c r="B51" s="97">
        <f>B50+10</f>
        <v>3350</v>
      </c>
      <c r="C51" s="100" t="s">
        <v>60</v>
      </c>
      <c r="D51" s="365">
        <f>'[3]Falhas UM-3-2 Qty'!Z52</f>
        <v>45.938878745352184</v>
      </c>
      <c r="E51" s="346">
        <f>'Prod &amp; Defects - Qty'!F$7*'Falhas UM-3-2 Qty'!$D51/1000000</f>
        <v>495.47639961064908</v>
      </c>
      <c r="F51" s="346">
        <f>'Prod &amp; Defects - Qty'!G$7*'Falhas UM-3-2 Qty'!$D51/1000000</f>
        <v>518.54888690828056</v>
      </c>
      <c r="G51" s="346">
        <f>'Prod &amp; Defects - Qty'!H$7*'Falhas UM-3-2 Qty'!$D51/1000000</f>
        <v>499.04343235648315</v>
      </c>
      <c r="H51" s="346">
        <f>'Prod &amp; Defects - Qty'!I$7*'Falhas UM-3-2 Qty'!$D51/1000000</f>
        <v>502.26977375936588</v>
      </c>
      <c r="I51" s="346">
        <f>'Prod &amp; Defects - Qty'!J$7*'Falhas UM-3-2 Qty'!$D51/1000000</f>
        <v>508.40567704624794</v>
      </c>
      <c r="J51" s="346">
        <f>'Prod &amp; Defects - Qty'!K$7*'Falhas UM-3-2 Qty'!$D51/1000000</f>
        <v>578.04787010399946</v>
      </c>
      <c r="K51" s="346">
        <f>'Prod &amp; Defects - Qty'!L$7*'Falhas UM-3-2 Qty'!$D51/1000000</f>
        <v>570.93780573050321</v>
      </c>
      <c r="L51" s="346">
        <f>'Prod &amp; Defects - Qty'!M$7*'Falhas UM-3-2 Qty'!$D51/1000000</f>
        <v>571.23727940593972</v>
      </c>
      <c r="M51" s="346">
        <f>'Prod &amp; Defects - Qty'!N$7*'Falhas UM-3-2 Qty'!$D51/1000000</f>
        <v>543.51577564556646</v>
      </c>
      <c r="N51" s="346">
        <f>'Prod &amp; Defects - Qty'!O$7*'Falhas UM-3-2 Qty'!$D51/1000000</f>
        <v>421.51236186797746</v>
      </c>
      <c r="O51" s="346">
        <f>'Prod &amp; Defects - Qty'!P$7*'Falhas UM-3-2 Qty'!$D51/1000000</f>
        <v>404.57545831921334</v>
      </c>
      <c r="P51" s="346">
        <f>'Prod &amp; Defects - Qty'!Q$7*'Falhas UM-3-2 Qty'!$D51/1000000</f>
        <v>512.95637607539004</v>
      </c>
      <c r="Q51" s="448">
        <f t="shared" si="0"/>
        <v>3101.7920397850257</v>
      </c>
      <c r="R51" s="198">
        <f>Q51/SUM('Prod &amp; Defects - Qty'!$F$7:$K$7)*1000000</f>
        <v>45.93887874535217</v>
      </c>
      <c r="S51" s="198">
        <f t="shared" si="1"/>
        <v>3024.7350570445901</v>
      </c>
      <c r="T51" s="198">
        <f>S51/SUM('Prod &amp; Defects - Qty'!$L$7:$Q$7)*1000000</f>
        <v>45.938878745352177</v>
      </c>
      <c r="U51" s="198">
        <f t="shared" si="2"/>
        <v>6126.5270968296154</v>
      </c>
      <c r="V51" s="198">
        <f>U51/'Prod &amp; Defects - Qty'!$R$7*1000000</f>
        <v>45.938878745352177</v>
      </c>
      <c r="W51" s="198">
        <f t="shared" si="15"/>
        <v>41.344990870816957</v>
      </c>
      <c r="X51" s="198">
        <f t="shared" si="15"/>
        <v>37.210491783735264</v>
      </c>
      <c r="Y51" s="198">
        <f t="shared" si="4"/>
        <v>39.277741327276111</v>
      </c>
      <c r="Z51" s="449">
        <f t="shared" si="17"/>
        <v>39.277741327276111</v>
      </c>
    </row>
    <row r="52" spans="1:26" ht="18" customHeight="1">
      <c r="A52" s="1002"/>
      <c r="B52" s="101">
        <f>B51+10</f>
        <v>3360</v>
      </c>
      <c r="C52" s="80" t="s">
        <v>67</v>
      </c>
      <c r="D52" s="358">
        <f>'[3]Falhas UM-3-2 Qty'!Z53</f>
        <v>0</v>
      </c>
      <c r="E52" s="339">
        <f>'Prod &amp; Defects - Qty'!F$7*'Falhas UM-3-2 Qty'!$D52/1000000</f>
        <v>0</v>
      </c>
      <c r="F52" s="339">
        <f>'Prod &amp; Defects - Qty'!G$7*'Falhas UM-3-2 Qty'!$D52/1000000</f>
        <v>0</v>
      </c>
      <c r="G52" s="339">
        <f>'Prod &amp; Defects - Qty'!H$7*'Falhas UM-3-2 Qty'!$D52/1000000</f>
        <v>0</v>
      </c>
      <c r="H52" s="339">
        <f>'Prod &amp; Defects - Qty'!I$7*'Falhas UM-3-2 Qty'!$D52/1000000</f>
        <v>0</v>
      </c>
      <c r="I52" s="339">
        <f>'Prod &amp; Defects - Qty'!J$7*'Falhas UM-3-2 Qty'!$D52/1000000</f>
        <v>0</v>
      </c>
      <c r="J52" s="339">
        <f>'Prod &amp; Defects - Qty'!K$7*'Falhas UM-3-2 Qty'!$D52/1000000</f>
        <v>0</v>
      </c>
      <c r="K52" s="339">
        <f>'Prod &amp; Defects - Qty'!L$7*'Falhas UM-3-2 Qty'!$D52/1000000</f>
        <v>0</v>
      </c>
      <c r="L52" s="339">
        <f>'Prod &amp; Defects - Qty'!M$7*'Falhas UM-3-2 Qty'!$D52/1000000</f>
        <v>0</v>
      </c>
      <c r="M52" s="339">
        <f>'Prod &amp; Defects - Qty'!N$7*'Falhas UM-3-2 Qty'!$D52/1000000</f>
        <v>0</v>
      </c>
      <c r="N52" s="339">
        <f>'Prod &amp; Defects - Qty'!O$7*'Falhas UM-3-2 Qty'!$D52/1000000</f>
        <v>0</v>
      </c>
      <c r="O52" s="339">
        <f>'Prod &amp; Defects - Qty'!P$7*'Falhas UM-3-2 Qty'!$D52/1000000</f>
        <v>0</v>
      </c>
      <c r="P52" s="339">
        <f>'Prod &amp; Defects - Qty'!Q$7*'Falhas UM-3-2 Qty'!$D52/1000000</f>
        <v>0</v>
      </c>
      <c r="Q52" s="434">
        <f t="shared" si="0"/>
        <v>0</v>
      </c>
      <c r="R52" s="81">
        <f>Q52/SUM('Prod &amp; Defects - Qty'!$F$7:$K$7)*1000000</f>
        <v>0</v>
      </c>
      <c r="S52" s="81">
        <f t="shared" si="1"/>
        <v>0</v>
      </c>
      <c r="T52" s="81">
        <f>S52/SUM('Prod &amp; Defects - Qty'!$L$7:$Q$7)*1000000</f>
        <v>0</v>
      </c>
      <c r="U52" s="81">
        <f t="shared" si="2"/>
        <v>0</v>
      </c>
      <c r="V52" s="81">
        <f>U52/'Prod &amp; Defects - Qty'!$R$7*1000000</f>
        <v>0</v>
      </c>
      <c r="W52" s="81">
        <f t="shared" si="15"/>
        <v>0</v>
      </c>
      <c r="X52" s="81">
        <f t="shared" si="15"/>
        <v>0</v>
      </c>
      <c r="Y52" s="81">
        <f t="shared" si="4"/>
        <v>0</v>
      </c>
      <c r="Z52" s="435">
        <f t="shared" si="17"/>
        <v>0</v>
      </c>
    </row>
    <row r="53" spans="1:26" ht="18" customHeight="1">
      <c r="A53" s="1002"/>
      <c r="B53" s="102">
        <f>B52+10</f>
        <v>3370</v>
      </c>
      <c r="C53" s="91" t="s">
        <v>66</v>
      </c>
      <c r="D53" s="363">
        <f>'[3]Falhas UM-3-2 Qty'!Z54</f>
        <v>13993.844745515144</v>
      </c>
      <c r="E53" s="344">
        <f>'Prod &amp; Defects - Qty'!F$7*'Falhas UM-3-2 Qty'!$D53/1000000</f>
        <v>150931.41148813401</v>
      </c>
      <c r="F53" s="344">
        <f>'Prod &amp; Defects - Qty'!G$7*'Falhas UM-3-2 Qty'!$D53/1000000</f>
        <v>157959.72419305806</v>
      </c>
      <c r="G53" s="344">
        <f>'Prod &amp; Defects - Qty'!H$7*'Falhas UM-3-2 Qty'!$D53/1000000</f>
        <v>152017.99661625753</v>
      </c>
      <c r="H53" s="344">
        <f>'Prod &amp; Defects - Qty'!I$7*'Falhas UM-3-2 Qty'!$D53/1000000</f>
        <v>153000.80076649023</v>
      </c>
      <c r="I53" s="344">
        <f>'Prod &amp; Defects - Qty'!J$7*'Falhas UM-3-2 Qty'!$D53/1000000</f>
        <v>154869.9120795044</v>
      </c>
      <c r="J53" s="344">
        <f>'Prod &amp; Defects - Qty'!K$7*'Falhas UM-3-2 Qty'!$D53/1000000</f>
        <v>176084.2312793601</v>
      </c>
      <c r="K53" s="344">
        <f>'Prod &amp; Defects - Qty'!L$7*'Falhas UM-3-2 Qty'!$D53/1000000</f>
        <v>173918.37221421278</v>
      </c>
      <c r="L53" s="344">
        <f>'Prod &amp; Defects - Qty'!M$7*'Falhas UM-3-2 Qty'!$D53/1000000</f>
        <v>174009.59751691675</v>
      </c>
      <c r="M53" s="344">
        <f>'Prod &amp; Defects - Qty'!N$7*'Falhas UM-3-2 Qty'!$D53/1000000</f>
        <v>165565.10713470154</v>
      </c>
      <c r="N53" s="344">
        <f>'Prod &amp; Defects - Qty'!O$7*'Falhas UM-3-2 Qty'!$D53/1000000</f>
        <v>128400.57727557524</v>
      </c>
      <c r="O53" s="344">
        <f>'Prod &amp; Defects - Qty'!P$7*'Falhas UM-3-2 Qty'!$D53/1000000</f>
        <v>123241.27854638828</v>
      </c>
      <c r="P53" s="344">
        <f>'Prod &amp; Defects - Qty'!Q$7*'Falhas UM-3-2 Qty'!$D53/1000000</f>
        <v>156256.140421088</v>
      </c>
      <c r="Q53" s="444">
        <f t="shared" si="0"/>
        <v>944864.07642280427</v>
      </c>
      <c r="R53" s="92">
        <f>Q53/SUM('Prod &amp; Defects - Qty'!$F$7:$K$7)*1000000</f>
        <v>13993.844745515142</v>
      </c>
      <c r="S53" s="92">
        <f t="shared" si="1"/>
        <v>921391.07310888253</v>
      </c>
      <c r="T53" s="92">
        <f>S53/SUM('Prod &amp; Defects - Qty'!$L$7:$Q$7)*1000000</f>
        <v>13993.844745515142</v>
      </c>
      <c r="U53" s="92">
        <f t="shared" si="2"/>
        <v>1866255.1495316867</v>
      </c>
      <c r="V53" s="92">
        <f>U53/'Prod &amp; Defects - Qty'!$R$7*1000000</f>
        <v>13993.844745515144</v>
      </c>
      <c r="W53" s="92">
        <f t="shared" si="15"/>
        <v>12594.460270963629</v>
      </c>
      <c r="X53" s="92">
        <f t="shared" si="15"/>
        <v>11335.014243867266</v>
      </c>
      <c r="Y53" s="92">
        <f t="shared" si="4"/>
        <v>11964.737257415447</v>
      </c>
      <c r="Z53" s="445">
        <f t="shared" si="17"/>
        <v>11964.737257415447</v>
      </c>
    </row>
    <row r="54" spans="1:26" ht="18" customHeight="1" thickBot="1">
      <c r="A54" s="1003"/>
      <c r="B54" s="103"/>
      <c r="C54" s="104" t="s">
        <v>1</v>
      </c>
      <c r="D54" s="89">
        <f>'[3]Falhas UM-3-2 Qty'!Z55</f>
        <v>579.81451200892718</v>
      </c>
      <c r="E54" s="347">
        <f>SUBTOTAL(109,E50:E51)</f>
        <v>6253.6225240642043</v>
      </c>
      <c r="F54" s="347">
        <f t="shared" ref="F54:P54" si="18">SUBTOTAL(109,F50:F51)</f>
        <v>6544.830392620679</v>
      </c>
      <c r="G54" s="347">
        <f t="shared" si="18"/>
        <v>6298.6435913460191</v>
      </c>
      <c r="H54" s="347">
        <f t="shared" si="18"/>
        <v>6339.3646454330419</v>
      </c>
      <c r="I54" s="347">
        <f t="shared" si="18"/>
        <v>6416.8085419142417</v>
      </c>
      <c r="J54" s="347">
        <f t="shared" si="18"/>
        <v>7295.7928638182038</v>
      </c>
      <c r="K54" s="347">
        <f t="shared" si="18"/>
        <v>7206.053657776135</v>
      </c>
      <c r="L54" s="347">
        <f t="shared" si="18"/>
        <v>7209.8334449134145</v>
      </c>
      <c r="M54" s="347">
        <f t="shared" si="18"/>
        <v>6859.9483233354167</v>
      </c>
      <c r="N54" s="347">
        <f t="shared" si="18"/>
        <v>5320.0903260386713</v>
      </c>
      <c r="O54" s="347">
        <f t="shared" si="18"/>
        <v>5106.3223209355328</v>
      </c>
      <c r="P54" s="347">
        <f t="shared" si="18"/>
        <v>6474.2448879667336</v>
      </c>
      <c r="Q54" s="450">
        <f t="shared" si="0"/>
        <v>39149.062559196391</v>
      </c>
      <c r="R54" s="199">
        <f>Q54/SUM('Prod &amp; Defects - Qty'!$F$7:$K$7)*1000000</f>
        <v>579.81451200892718</v>
      </c>
      <c r="S54" s="199">
        <f t="shared" si="1"/>
        <v>38176.492960965908</v>
      </c>
      <c r="T54" s="199">
        <f>S54/SUM('Prod &amp; Defects - Qty'!$L$7:$Q$7)*1000000</f>
        <v>579.81451200892718</v>
      </c>
      <c r="U54" s="199">
        <f t="shared" si="2"/>
        <v>77325.555520162306</v>
      </c>
      <c r="V54" s="199">
        <f>U54/'Prod &amp; Defects - Qty'!$R$7*1000000</f>
        <v>579.8145120089273</v>
      </c>
      <c r="W54" s="199">
        <f t="shared" si="15"/>
        <v>521.83306080803459</v>
      </c>
      <c r="X54" s="199">
        <f t="shared" si="15"/>
        <v>469.64975472723114</v>
      </c>
      <c r="Y54" s="199">
        <f t="shared" si="4"/>
        <v>495.74140776763284</v>
      </c>
      <c r="Z54" s="451">
        <f t="shared" si="8"/>
        <v>446.16726699086956</v>
      </c>
    </row>
    <row r="55" spans="1:26" ht="20.100000000000001" customHeight="1" thickTop="1">
      <c r="A55" s="105"/>
      <c r="B55" s="82"/>
      <c r="C55" s="83"/>
      <c r="D55" s="359">
        <f>'[3]Falhas UM-3-2 Qty'!Z56</f>
        <v>0</v>
      </c>
      <c r="E55" s="340">
        <f>'Prod &amp; Defects - Qty'!F$7*'Falhas UM-3-2 Qty'!$D55/1000000</f>
        <v>0</v>
      </c>
      <c r="F55" s="340">
        <f>'Prod &amp; Defects - Qty'!G$7*'Falhas UM-3-2 Qty'!$D55/1000000</f>
        <v>0</v>
      </c>
      <c r="G55" s="340">
        <f>'Prod &amp; Defects - Qty'!H$7*'Falhas UM-3-2 Qty'!$D55/1000000</f>
        <v>0</v>
      </c>
      <c r="H55" s="340">
        <f>'Prod &amp; Defects - Qty'!I$7*'Falhas UM-3-2 Qty'!$D55/1000000</f>
        <v>0</v>
      </c>
      <c r="I55" s="340">
        <f>'Prod &amp; Defects - Qty'!J$7*'Falhas UM-3-2 Qty'!$D55/1000000</f>
        <v>0</v>
      </c>
      <c r="J55" s="340">
        <f>'Prod &amp; Defects - Qty'!K$7*'Falhas UM-3-2 Qty'!$D55/1000000</f>
        <v>0</v>
      </c>
      <c r="K55" s="340">
        <f>'Prod &amp; Defects - Qty'!L$7*'Falhas UM-3-2 Qty'!$D55/1000000</f>
        <v>0</v>
      </c>
      <c r="L55" s="340">
        <f>'Prod &amp; Defects - Qty'!M$7*'Falhas UM-3-2 Qty'!$D55/1000000</f>
        <v>0</v>
      </c>
      <c r="M55" s="340">
        <f>'Prod &amp; Defects - Qty'!N$7*'Falhas UM-3-2 Qty'!$D55/1000000</f>
        <v>0</v>
      </c>
      <c r="N55" s="340">
        <f>'Prod &amp; Defects - Qty'!O$7*'Falhas UM-3-2 Qty'!$D55/1000000</f>
        <v>0</v>
      </c>
      <c r="O55" s="340">
        <f>'Prod &amp; Defects - Qty'!P$7*'Falhas UM-3-2 Qty'!$D55/1000000</f>
        <v>0</v>
      </c>
      <c r="P55" s="340">
        <f>'Prod &amp; Defects - Qty'!Q$7*'Falhas UM-3-2 Qty'!$D55/1000000</f>
        <v>0</v>
      </c>
      <c r="Q55" s="436">
        <f t="shared" si="0"/>
        <v>0</v>
      </c>
      <c r="R55" s="84">
        <f>Q55/SUM('Prod &amp; Defects - Qty'!$F$7:$K$7)*1000000</f>
        <v>0</v>
      </c>
      <c r="S55" s="84">
        <f t="shared" si="1"/>
        <v>0</v>
      </c>
      <c r="T55" s="84">
        <f>S55/SUM('Prod &amp; Defects - Qty'!$L$7:$Q$7)*1000000</f>
        <v>0</v>
      </c>
      <c r="U55" s="84">
        <f t="shared" si="2"/>
        <v>0</v>
      </c>
      <c r="V55" s="84">
        <f>U55/'Prod &amp; Defects - Qty'!$R$7*1000000</f>
        <v>0</v>
      </c>
      <c r="W55" s="84">
        <f t="shared" ref="W55:X56" si="19">V55*0.9</f>
        <v>0</v>
      </c>
      <c r="X55" s="84">
        <f t="shared" si="19"/>
        <v>0</v>
      </c>
      <c r="Y55" s="84">
        <f t="shared" si="4"/>
        <v>0</v>
      </c>
      <c r="Z55" s="437">
        <f t="shared" si="8"/>
        <v>0</v>
      </c>
    </row>
    <row r="56" spans="1:26" ht="20.100000000000001" customHeight="1" thickBot="1">
      <c r="A56" s="106"/>
      <c r="B56" s="107"/>
      <c r="C56" s="108" t="s">
        <v>59</v>
      </c>
      <c r="D56" s="366">
        <f>'[3]Falhas UM-3-2 Qty'!Z57</f>
        <v>2816.1200912800682</v>
      </c>
      <c r="E56" s="348"/>
      <c r="F56" s="348"/>
      <c r="G56" s="348"/>
      <c r="H56" s="348"/>
      <c r="I56" s="348"/>
      <c r="J56" s="348"/>
      <c r="K56" s="348"/>
      <c r="L56" s="348"/>
      <c r="M56" s="348"/>
      <c r="N56" s="348"/>
      <c r="O56" s="348"/>
      <c r="P56" s="348"/>
      <c r="Q56" s="452">
        <f t="shared" si="0"/>
        <v>0</v>
      </c>
      <c r="R56" s="153">
        <f>Q56/SUM('Prod &amp; Defects - Qty'!$F$7:$K$7)*1000000</f>
        <v>0</v>
      </c>
      <c r="S56" s="153">
        <f t="shared" si="1"/>
        <v>0</v>
      </c>
      <c r="T56" s="153">
        <f>S56/SUM('Prod &amp; Defects - Qty'!$L$7:$Q$7)*1000000</f>
        <v>0</v>
      </c>
      <c r="U56" s="153">
        <f t="shared" si="2"/>
        <v>0</v>
      </c>
      <c r="V56" s="153">
        <f>U56/'Prod &amp; Defects - Qty'!$R$7*1000000</f>
        <v>0</v>
      </c>
      <c r="W56" s="153">
        <f t="shared" si="19"/>
        <v>0</v>
      </c>
      <c r="X56" s="153">
        <f t="shared" si="19"/>
        <v>0</v>
      </c>
      <c r="Y56" s="153">
        <f t="shared" si="4"/>
        <v>0</v>
      </c>
      <c r="Z56" s="453">
        <f t="shared" si="8"/>
        <v>0</v>
      </c>
    </row>
    <row r="57" spans="1:26">
      <c r="C57" s="110"/>
      <c r="D57" s="110"/>
      <c r="E57" s="110"/>
    </row>
    <row r="58" spans="1:26">
      <c r="C58" s="110" t="s">
        <v>286</v>
      </c>
      <c r="D58" s="110"/>
      <c r="E58" s="263">
        <f>'[14]UM-3 - L2 - Noite'!$AT$109</f>
        <v>9960.7083333333321</v>
      </c>
      <c r="F58" s="263">
        <f>'[15]UM-3 - L2 - Noite'!$AT$109</f>
        <v>6113.0437499999998</v>
      </c>
      <c r="G58" s="263">
        <f>'[16]UM-3 - L2 - Noite'!$AT$109</f>
        <v>2692.7727272727275</v>
      </c>
      <c r="H58" s="263">
        <f>'[17]UM-3 - L2 - Noite'!$AT$109</f>
        <v>8076.9756097560985</v>
      </c>
      <c r="I58" s="263">
        <f>'[18]UM-3 - L2 - Noite'!$AT$109</f>
        <v>8232.1902439024398</v>
      </c>
      <c r="J58" s="263">
        <f>'[19]UM-3 - L2 - Noite'!$AT$109</f>
        <v>7294.7384615384608</v>
      </c>
      <c r="K58" s="263">
        <f>'[20]UM-3 - L2 - Noite'!$AT$109</f>
        <v>3308.1923076923076</v>
      </c>
      <c r="L58" s="263">
        <f>'[21]UM-3 - L2 - Noite'!$AT$109</f>
        <v>5032.363157894737</v>
      </c>
      <c r="M58" s="263">
        <f>'[22]UM-3 - L2 - Noite'!$AT$109</f>
        <v>4502.7272727272721</v>
      </c>
    </row>
    <row r="59" spans="1:26">
      <c r="C59" s="110" t="s">
        <v>287</v>
      </c>
      <c r="D59" s="110"/>
      <c r="E59" s="263">
        <f>'[14]UM-3 - L2 - Noite'!$AT$110</f>
        <v>401.34722222222223</v>
      </c>
      <c r="F59" s="263">
        <f>'[15]UM-3 - L2 - Noite'!$AT$110</f>
        <v>1028.3625</v>
      </c>
      <c r="G59" s="263">
        <f>'[16]UM-3 - L2 - Noite'!$AT$110</f>
        <v>393.55909090909091</v>
      </c>
      <c r="H59" s="263">
        <f>'[17]UM-3 - L2 - Noite'!$AT$110</f>
        <v>836.54390243902435</v>
      </c>
      <c r="I59" s="263">
        <f>'[18]UM-3 - L2 - Noite'!$AT$110</f>
        <v>917.97804878048782</v>
      </c>
      <c r="J59" s="263">
        <f>'[19]UM-3 - L2 - Noite'!$AT$110</f>
        <v>769.48717948717945</v>
      </c>
      <c r="K59" s="263">
        <f>'[20]UM-3 - L2 - Noite'!$AT$110</f>
        <v>104.46923076923078</v>
      </c>
      <c r="L59" s="263">
        <f>'[21]UM-3 - L2 - Noite'!$AT$110</f>
        <v>439.72105263157897</v>
      </c>
      <c r="M59" s="263">
        <f>'[22]UM-3 - L2 - Noite'!$AT$110</f>
        <v>775.46969696969688</v>
      </c>
    </row>
    <row r="60" spans="1:26" ht="13.5" thickBot="1">
      <c r="C60" s="76" t="s">
        <v>289</v>
      </c>
      <c r="E60" s="76">
        <f>'[14]UM-3 - L2 - Noite'!$AT$7</f>
        <v>12550000</v>
      </c>
      <c r="F60" s="76">
        <f>'[15]UM-3 - L2 - Noite'!$AT$7</f>
        <v>11099911</v>
      </c>
      <c r="G60" s="76">
        <f>'[16]UM-3 - L2 - Noite'!$AT$7</f>
        <v>8168700</v>
      </c>
      <c r="H60" s="76">
        <f>'[17]UM-3 - L2 - Noite'!$AT$7</f>
        <v>13917911</v>
      </c>
      <c r="I60" s="76">
        <f>'[18]UM-3 - L2 - Noite'!$AT$7</f>
        <v>14779898</v>
      </c>
      <c r="J60" s="76">
        <f>'[19]UM-3 - L2 - Noite'!$AT$7</f>
        <v>13811200</v>
      </c>
      <c r="K60" s="76">
        <f>'[20]UM-3 - L2 - Noite'!$AT$7</f>
        <v>3952300</v>
      </c>
      <c r="L60" s="76">
        <f>'[21]UM-3 - L2 - Noite'!$AT$7</f>
        <v>12889550</v>
      </c>
      <c r="M60" s="76">
        <f>'[22]UM-3 - L2 - Noite'!$AT$7</f>
        <v>10965800</v>
      </c>
    </row>
    <row r="61" spans="1:26">
      <c r="A61" s="980" t="s">
        <v>254</v>
      </c>
      <c r="B61" s="981"/>
      <c r="C61" s="981"/>
      <c r="D61" s="621" t="s">
        <v>65</v>
      </c>
      <c r="E61" s="637"/>
      <c r="F61" s="621"/>
      <c r="G61" s="621"/>
      <c r="H61" s="621"/>
      <c r="I61" s="621"/>
      <c r="J61" s="621"/>
      <c r="K61" s="621"/>
      <c r="L61" s="621"/>
      <c r="M61" s="621"/>
      <c r="N61" s="621"/>
      <c r="O61" s="621"/>
      <c r="P61" s="621"/>
      <c r="Q61" s="621"/>
      <c r="R61" s="621"/>
      <c r="S61" s="621"/>
      <c r="T61" s="621"/>
      <c r="U61" s="621"/>
      <c r="V61" s="621"/>
      <c r="W61" s="621"/>
      <c r="X61" s="621"/>
      <c r="Y61" s="621"/>
      <c r="Z61" s="621"/>
    </row>
    <row r="62" spans="1:26">
      <c r="A62" s="982"/>
      <c r="B62" s="983"/>
      <c r="C62" s="983"/>
      <c r="D62" s="233" t="s">
        <v>64</v>
      </c>
      <c r="E62" s="638">
        <f t="shared" ref="E62:J62" si="20">E18+E36</f>
        <v>65799.198209637529</v>
      </c>
      <c r="F62" s="638">
        <f t="shared" si="20"/>
        <v>68863.221372151776</v>
      </c>
      <c r="G62" s="638">
        <f t="shared" si="20"/>
        <v>66272.899671196225</v>
      </c>
      <c r="H62" s="638">
        <f t="shared" si="20"/>
        <v>66701.357368933313</v>
      </c>
      <c r="I62" s="638">
        <f t="shared" si="20"/>
        <v>67516.204487556883</v>
      </c>
      <c r="J62" s="638">
        <f t="shared" si="20"/>
        <v>76764.678215794454</v>
      </c>
      <c r="K62" s="638">
        <f t="shared" ref="K62" si="21">K18+K36</f>
        <v>75820.462637892895</v>
      </c>
      <c r="L62" s="638">
        <f t="shared" ref="L62:M62" si="22">L18+L36</f>
        <v>75860.232701096887</v>
      </c>
      <c r="M62" s="638">
        <f t="shared" si="22"/>
        <v>72178.820787166449</v>
      </c>
      <c r="N62" s="233"/>
      <c r="O62" s="233"/>
      <c r="P62" s="233"/>
      <c r="Q62" s="233"/>
      <c r="R62" s="233"/>
      <c r="S62" s="233"/>
      <c r="T62" s="233"/>
      <c r="U62" s="233"/>
      <c r="V62" s="233"/>
      <c r="W62" s="233"/>
      <c r="X62" s="233"/>
      <c r="Y62" s="233"/>
      <c r="Z62" s="233"/>
    </row>
    <row r="63" spans="1:26">
      <c r="A63" s="982"/>
      <c r="B63" s="983"/>
      <c r="C63" s="983"/>
      <c r="D63" s="233" t="s">
        <v>63</v>
      </c>
      <c r="E63" s="638">
        <f t="shared" ref="E63:J63" si="23">E49+E54</f>
        <v>12104.483816353946</v>
      </c>
      <c r="F63" s="638">
        <f t="shared" si="23"/>
        <v>12668.144465613272</v>
      </c>
      <c r="G63" s="638">
        <f t="shared" si="23"/>
        <v>12191.626393030216</v>
      </c>
      <c r="H63" s="638">
        <f t="shared" si="23"/>
        <v>12270.445883379129</v>
      </c>
      <c r="I63" s="638">
        <f t="shared" si="23"/>
        <v>12420.345943388325</v>
      </c>
      <c r="J63" s="638">
        <f t="shared" si="23"/>
        <v>14121.704069558162</v>
      </c>
      <c r="K63" s="638">
        <f t="shared" ref="K63" si="24">K49+K54</f>
        <v>13948.00526329847</v>
      </c>
      <c r="L63" s="638">
        <f t="shared" ref="L63:M63" si="25">L49+L54</f>
        <v>13955.321402393274</v>
      </c>
      <c r="M63" s="638">
        <f t="shared" si="25"/>
        <v>13278.085324355823</v>
      </c>
      <c r="N63" s="233"/>
      <c r="O63" s="233"/>
      <c r="P63" s="233"/>
      <c r="Q63" s="233"/>
      <c r="R63" s="233"/>
      <c r="S63" s="233"/>
      <c r="T63" s="233"/>
      <c r="U63" s="233"/>
      <c r="V63" s="233"/>
      <c r="W63" s="233"/>
      <c r="X63" s="233"/>
      <c r="Y63" s="233"/>
      <c r="Z63" s="233"/>
    </row>
    <row r="64" spans="1:26">
      <c r="A64" s="982"/>
      <c r="B64" s="983"/>
      <c r="C64" s="983"/>
      <c r="D64" s="233" t="s">
        <v>256</v>
      </c>
      <c r="E64" s="638">
        <f t="shared" ref="E64:J64" si="26">SUM(E61:E63)</f>
        <v>77903.682025991468</v>
      </c>
      <c r="F64" s="638">
        <f t="shared" si="26"/>
        <v>81531.365837765043</v>
      </c>
      <c r="G64" s="638">
        <f t="shared" si="26"/>
        <v>78464.526064226433</v>
      </c>
      <c r="H64" s="638">
        <f t="shared" si="26"/>
        <v>78971.803252312442</v>
      </c>
      <c r="I64" s="638">
        <f t="shared" si="26"/>
        <v>79936.550430945208</v>
      </c>
      <c r="J64" s="638">
        <f t="shared" si="26"/>
        <v>90886.382285352622</v>
      </c>
      <c r="K64" s="638">
        <f t="shared" ref="K64" si="27">SUM(K61:K63)</f>
        <v>89768.467901191369</v>
      </c>
      <c r="L64" s="638">
        <f t="shared" ref="L64:M64" si="28">SUM(L61:L63)</f>
        <v>89815.554103490169</v>
      </c>
      <c r="M64" s="638">
        <f t="shared" si="28"/>
        <v>85456.906111522272</v>
      </c>
      <c r="N64" s="233"/>
      <c r="O64" s="233"/>
      <c r="P64" s="233"/>
      <c r="Q64" s="233"/>
      <c r="R64" s="233"/>
      <c r="S64" s="233"/>
      <c r="T64" s="233"/>
      <c r="U64" s="233"/>
      <c r="V64" s="233"/>
      <c r="W64" s="233"/>
      <c r="X64" s="233"/>
      <c r="Y64" s="233"/>
      <c r="Z64" s="233"/>
    </row>
    <row r="65" spans="1:26" ht="13.5" thickBot="1">
      <c r="A65" s="984"/>
      <c r="B65" s="985"/>
      <c r="C65" s="985"/>
      <c r="D65" s="622" t="s">
        <v>257</v>
      </c>
      <c r="E65" s="639">
        <f>E64/'Prod &amp; Defects - Qty'!F7*1000000</f>
        <v>7222.9632031329074</v>
      </c>
      <c r="F65" s="639">
        <f>F64/'Prod &amp; Defects - Qty'!G7*1000000</f>
        <v>7222.9632031329065</v>
      </c>
      <c r="G65" s="639">
        <f>G64/'Prod &amp; Defects - Qty'!H7*1000000</f>
        <v>7222.9632031329074</v>
      </c>
      <c r="H65" s="639">
        <f>H64/'Prod &amp; Defects - Qty'!I7*1000000</f>
        <v>7222.9632031329083</v>
      </c>
      <c r="I65" s="639">
        <f>I64/'Prod &amp; Defects - Qty'!J7*1000000</f>
        <v>7222.9632031329074</v>
      </c>
      <c r="J65" s="639">
        <f>J64/'Prod &amp; Defects - Qty'!K7*1000000</f>
        <v>7222.9632031329065</v>
      </c>
      <c r="K65" s="639">
        <f>K64/'Prod &amp; Defects - Qty'!L7*1000000</f>
        <v>7222.9632031329083</v>
      </c>
      <c r="L65" s="639">
        <f>L64/'Prod &amp; Defects - Qty'!M7*1000000</f>
        <v>7222.9632031329065</v>
      </c>
      <c r="M65" s="639">
        <f>M64/'Prod &amp; Defects - Qty'!N7*1000000</f>
        <v>7222.9632031329074</v>
      </c>
      <c r="N65" s="622"/>
      <c r="O65" s="622"/>
      <c r="P65" s="622"/>
      <c r="Q65" s="622"/>
      <c r="R65" s="622"/>
      <c r="S65" s="622"/>
      <c r="T65" s="622"/>
      <c r="U65" s="622"/>
      <c r="V65" s="622"/>
      <c r="W65" s="622"/>
      <c r="X65" s="622"/>
      <c r="Y65" s="622"/>
      <c r="Z65" s="622"/>
    </row>
    <row r="66" spans="1:26">
      <c r="A66" s="980" t="s">
        <v>258</v>
      </c>
      <c r="B66" s="981"/>
      <c r="C66" s="981"/>
      <c r="D66" s="621" t="s">
        <v>64</v>
      </c>
      <c r="E66" s="637">
        <f t="shared" ref="E66:J66" si="29">SUM(E19:E33)</f>
        <v>2857.9048643955216</v>
      </c>
      <c r="F66" s="637">
        <f t="shared" si="29"/>
        <v>2990.9868310309062</v>
      </c>
      <c r="G66" s="637">
        <f t="shared" si="29"/>
        <v>2878.4794876142828</v>
      </c>
      <c r="H66" s="637">
        <f t="shared" si="29"/>
        <v>2897.0890052355958</v>
      </c>
      <c r="I66" s="637">
        <f t="shared" si="29"/>
        <v>2932.4808581368052</v>
      </c>
      <c r="J66" s="637">
        <f t="shared" si="29"/>
        <v>3334.1766048228637</v>
      </c>
      <c r="K66" s="637">
        <f t="shared" ref="K66" si="30">SUM(K19:K33)</f>
        <v>3293.1657966892217</v>
      </c>
      <c r="L66" s="637">
        <f t="shared" ref="L66:M66" si="31">SUM(L19:L33)</f>
        <v>3294.8931590307193</v>
      </c>
      <c r="M66" s="637">
        <f t="shared" si="31"/>
        <v>3134.9956936673125</v>
      </c>
      <c r="N66" s="621"/>
      <c r="O66" s="621"/>
      <c r="P66" s="621"/>
      <c r="Q66" s="621"/>
      <c r="R66" s="621"/>
      <c r="S66" s="621"/>
      <c r="T66" s="621"/>
      <c r="U66" s="621"/>
      <c r="V66" s="621"/>
      <c r="W66" s="621"/>
      <c r="X66" s="621"/>
      <c r="Y66" s="621"/>
      <c r="Z66" s="621"/>
    </row>
    <row r="67" spans="1:26">
      <c r="A67" s="982"/>
      <c r="B67" s="983"/>
      <c r="C67" s="983"/>
      <c r="D67" s="233" t="s">
        <v>63</v>
      </c>
      <c r="E67" s="638">
        <f t="shared" ref="E67:J67" si="32">SUM(E39:E45)</f>
        <v>1884.5999281800453</v>
      </c>
      <c r="F67" s="638">
        <f t="shared" si="32"/>
        <v>1972.3587153558224</v>
      </c>
      <c r="G67" s="638">
        <f t="shared" si="32"/>
        <v>1898.1675363686441</v>
      </c>
      <c r="H67" s="638">
        <f t="shared" si="32"/>
        <v>1910.43928691203</v>
      </c>
      <c r="I67" s="638">
        <f t="shared" si="32"/>
        <v>1933.7778816520918</v>
      </c>
      <c r="J67" s="638">
        <f t="shared" si="32"/>
        <v>2198.6697556910476</v>
      </c>
      <c r="K67" s="638">
        <f t="shared" ref="K67" si="33">SUM(K39:K45)</f>
        <v>2171.625830252467</v>
      </c>
      <c r="L67" s="638">
        <f t="shared" ref="L67:M67" si="34">SUM(L39:L45)</f>
        <v>2172.7649118871586</v>
      </c>
      <c r="M67" s="638">
        <f t="shared" si="34"/>
        <v>2067.3230703849272</v>
      </c>
      <c r="N67" s="233"/>
      <c r="O67" s="233"/>
      <c r="P67" s="233"/>
      <c r="Q67" s="233"/>
      <c r="R67" s="233"/>
      <c r="S67" s="233"/>
      <c r="T67" s="233"/>
      <c r="U67" s="233"/>
      <c r="V67" s="233"/>
      <c r="W67" s="233"/>
      <c r="X67" s="233"/>
      <c r="Y67" s="233"/>
      <c r="Z67" s="233"/>
    </row>
    <row r="68" spans="1:26">
      <c r="A68" s="982"/>
      <c r="B68" s="983"/>
      <c r="C68" s="983"/>
      <c r="D68" s="233" t="s">
        <v>256</v>
      </c>
      <c r="E68" s="638">
        <f t="shared" ref="E68:J68" si="35">SUM(E66:E67)</f>
        <v>4742.5047925755671</v>
      </c>
      <c r="F68" s="638">
        <f t="shared" si="35"/>
        <v>4963.3455463867285</v>
      </c>
      <c r="G68" s="638">
        <f t="shared" si="35"/>
        <v>4776.6470239829268</v>
      </c>
      <c r="H68" s="638">
        <f t="shared" si="35"/>
        <v>4807.5282921476255</v>
      </c>
      <c r="I68" s="638">
        <f t="shared" si="35"/>
        <v>4866.2587397888965</v>
      </c>
      <c r="J68" s="638">
        <f t="shared" si="35"/>
        <v>5532.8463605139113</v>
      </c>
      <c r="K68" s="638">
        <f t="shared" ref="K68" si="36">SUM(K66:K67)</f>
        <v>5464.7916269416892</v>
      </c>
      <c r="L68" s="638">
        <f t="shared" ref="L68:M68" si="37">SUM(L66:L67)</f>
        <v>5467.6580709178779</v>
      </c>
      <c r="M68" s="638">
        <f t="shared" si="37"/>
        <v>5202.3187640522392</v>
      </c>
      <c r="N68" s="233"/>
      <c r="O68" s="233"/>
      <c r="P68" s="233"/>
      <c r="Q68" s="233"/>
      <c r="R68" s="233"/>
      <c r="S68" s="233"/>
      <c r="T68" s="233"/>
      <c r="U68" s="233"/>
      <c r="V68" s="233"/>
      <c r="W68" s="233"/>
      <c r="X68" s="233"/>
      <c r="Y68" s="233"/>
      <c r="Z68" s="233"/>
    </row>
    <row r="69" spans="1:26" ht="13.5" thickBot="1">
      <c r="A69" s="984"/>
      <c r="B69" s="985"/>
      <c r="C69" s="985"/>
      <c r="D69" s="622" t="s">
        <v>257</v>
      </c>
      <c r="E69" s="639">
        <f>E68/'Prod &amp; Defects - Qty'!F7*1000000</f>
        <v>439.70883938484582</v>
      </c>
      <c r="F69" s="639">
        <f>F68/'Prod &amp; Defects - Qty'!G7*1000000</f>
        <v>439.70883938484576</v>
      </c>
      <c r="G69" s="639">
        <f>G68/'Prod &amp; Defects - Qty'!H7*1000000</f>
        <v>439.70883938484582</v>
      </c>
      <c r="H69" s="639">
        <f>H68/'Prod &amp; Defects - Qty'!I7*1000000</f>
        <v>439.70883938484576</v>
      </c>
      <c r="I69" s="639">
        <f>I68/'Prod &amp; Defects - Qty'!J7*1000000</f>
        <v>439.70883938484582</v>
      </c>
      <c r="J69" s="639">
        <f>J68/'Prod &amp; Defects - Qty'!K7*1000000</f>
        <v>439.70883938484576</v>
      </c>
      <c r="K69" s="639">
        <f>K68/'Prod &amp; Defects - Qty'!L7*1000000</f>
        <v>439.70883938484576</v>
      </c>
      <c r="L69" s="639">
        <f>L68/'Prod &amp; Defects - Qty'!M7*1000000</f>
        <v>439.70883938484576</v>
      </c>
      <c r="M69" s="639">
        <f>M68/'Prod &amp; Defects - Qty'!N7*1000000</f>
        <v>439.70883938484576</v>
      </c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</row>
    <row r="70" spans="1:26">
      <c r="A70" s="980" t="s">
        <v>259</v>
      </c>
      <c r="B70" s="981"/>
      <c r="C70" s="981"/>
      <c r="D70" s="621" t="s">
        <v>264</v>
      </c>
      <c r="E70" s="637">
        <f>E50/E$60*1000000</f>
        <v>458.81642425924736</v>
      </c>
      <c r="F70" s="637">
        <f t="shared" ref="F70:G71" si="38">F50/F$60*1000000</f>
        <v>542.91259684085742</v>
      </c>
      <c r="G70" s="637">
        <f t="shared" si="38"/>
        <v>709.97835138878099</v>
      </c>
      <c r="H70" s="637">
        <f t="shared" ref="H70:I70" si="39">H50/H$60*1000000</f>
        <v>419.39446743650507</v>
      </c>
      <c r="I70" s="637">
        <f t="shared" si="39"/>
        <v>399.75938026554678</v>
      </c>
      <c r="J70" s="637">
        <f t="shared" ref="J70:K70" si="40">J50/J$60*1000000</f>
        <v>486.39835739937183</v>
      </c>
      <c r="K70" s="637">
        <f t="shared" si="40"/>
        <v>1678.7986367547078</v>
      </c>
      <c r="L70" s="637">
        <f t="shared" ref="L70:M70" si="41">L50/L$60*1000000</f>
        <v>515.03707774960924</v>
      </c>
      <c r="M70" s="637">
        <f t="shared" si="41"/>
        <v>576.01201441662715</v>
      </c>
      <c r="N70" s="621"/>
      <c r="O70" s="621"/>
      <c r="P70" s="621"/>
      <c r="Q70" s="621"/>
      <c r="R70" s="621"/>
      <c r="S70" s="621"/>
      <c r="T70" s="621"/>
      <c r="U70" s="621"/>
      <c r="V70" s="621"/>
      <c r="W70" s="621"/>
      <c r="X70" s="621"/>
      <c r="Y70" s="621"/>
      <c r="Z70" s="621"/>
    </row>
    <row r="71" spans="1:26">
      <c r="A71" s="982"/>
      <c r="B71" s="983"/>
      <c r="C71" s="983"/>
      <c r="D71" s="233" t="s">
        <v>265</v>
      </c>
      <c r="E71" s="638">
        <f>E51/E$60*1000000</f>
        <v>39.480191204035783</v>
      </c>
      <c r="F71" s="638">
        <f t="shared" si="38"/>
        <v>46.71649051134559</v>
      </c>
      <c r="G71" s="638">
        <f t="shared" si="38"/>
        <v>61.092148365894595</v>
      </c>
      <c r="H71" s="638">
        <f t="shared" ref="H71:I71" si="42">H51/H$60*1000000</f>
        <v>36.088014484312041</v>
      </c>
      <c r="I71" s="638">
        <f t="shared" si="42"/>
        <v>34.398456406549485</v>
      </c>
      <c r="J71" s="638">
        <f t="shared" ref="J71:K71" si="43">J51/J$60*1000000</f>
        <v>41.853558713507837</v>
      </c>
      <c r="K71" s="638">
        <f t="shared" si="43"/>
        <v>144.45710237848931</v>
      </c>
      <c r="L71" s="638">
        <f t="shared" ref="L71:M71" si="44">L51/L$60*1000000</f>
        <v>44.317860546406948</v>
      </c>
      <c r="M71" s="638">
        <f t="shared" si="44"/>
        <v>49.564625986755772</v>
      </c>
      <c r="N71" s="233"/>
      <c r="O71" s="233"/>
      <c r="P71" s="233"/>
      <c r="Q71" s="233"/>
      <c r="R71" s="233"/>
      <c r="S71" s="233"/>
      <c r="T71" s="233"/>
      <c r="U71" s="233"/>
      <c r="V71" s="233"/>
      <c r="W71" s="233"/>
      <c r="X71" s="233"/>
      <c r="Y71" s="233"/>
      <c r="Z71" s="233"/>
    </row>
    <row r="72" spans="1:26" ht="13.5" thickBot="1">
      <c r="A72" s="984"/>
      <c r="B72" s="985"/>
      <c r="C72" s="985"/>
      <c r="D72" s="622" t="s">
        <v>257</v>
      </c>
      <c r="E72" s="639">
        <f t="shared" ref="E72:J72" si="45">SUM(E70:E71)</f>
        <v>498.29661546328316</v>
      </c>
      <c r="F72" s="639">
        <f t="shared" si="45"/>
        <v>589.62908735220299</v>
      </c>
      <c r="G72" s="639">
        <f t="shared" si="45"/>
        <v>771.07049975467555</v>
      </c>
      <c r="H72" s="639">
        <f t="shared" si="45"/>
        <v>455.48248192081712</v>
      </c>
      <c r="I72" s="639">
        <f t="shared" si="45"/>
        <v>434.15783667209627</v>
      </c>
      <c r="J72" s="639">
        <f t="shared" si="45"/>
        <v>528.25191611287971</v>
      </c>
      <c r="K72" s="639">
        <f t="shared" ref="K72:L72" si="46">SUM(K70:K71)</f>
        <v>1823.255739133197</v>
      </c>
      <c r="L72" s="639">
        <f t="shared" si="46"/>
        <v>559.35493829601614</v>
      </c>
      <c r="M72" s="639">
        <f t="shared" ref="M72" si="47">SUM(M70:M71)</f>
        <v>625.57664040338295</v>
      </c>
      <c r="N72" s="622"/>
      <c r="O72" s="622"/>
      <c r="P72" s="622"/>
      <c r="Q72" s="622"/>
      <c r="R72" s="622"/>
      <c r="S72" s="622"/>
      <c r="T72" s="622"/>
      <c r="U72" s="622"/>
      <c r="V72" s="622"/>
      <c r="W72" s="622"/>
      <c r="X72" s="622"/>
      <c r="Y72" s="622"/>
      <c r="Z72" s="622"/>
    </row>
    <row r="73" spans="1:26">
      <c r="A73" s="980" t="s">
        <v>285</v>
      </c>
      <c r="B73" s="981"/>
      <c r="C73" s="981"/>
      <c r="D73" s="621" t="s">
        <v>264</v>
      </c>
      <c r="E73" s="637">
        <f>E58/E$60*1000000</f>
        <v>793.68193891102248</v>
      </c>
      <c r="F73" s="637">
        <f t="shared" ref="F73:G73" si="48">F58/F$60*1000000</f>
        <v>550.72907791783189</v>
      </c>
      <c r="G73" s="637">
        <f t="shared" si="48"/>
        <v>329.64519780047345</v>
      </c>
      <c r="H73" s="637">
        <f t="shared" ref="H73:I73" si="49">H58/H$60*1000000</f>
        <v>580.32959182998786</v>
      </c>
      <c r="I73" s="637">
        <f t="shared" si="49"/>
        <v>556.98559245147965</v>
      </c>
      <c r="J73" s="637">
        <f t="shared" ref="J73:K73" si="50">J58/J$60*1000000</f>
        <v>528.1755721109289</v>
      </c>
      <c r="K73" s="637">
        <f t="shared" si="50"/>
        <v>837.02965556569779</v>
      </c>
      <c r="L73" s="637">
        <f t="shared" ref="L73:M73" si="51">L58/L$60*1000000</f>
        <v>390.42194319388472</v>
      </c>
      <c r="M73" s="637">
        <f t="shared" si="51"/>
        <v>410.61548384315529</v>
      </c>
      <c r="N73" s="621"/>
      <c r="O73" s="621"/>
      <c r="P73" s="621"/>
      <c r="Q73" s="621"/>
      <c r="R73" s="621"/>
      <c r="S73" s="621"/>
      <c r="T73" s="621"/>
      <c r="U73" s="621"/>
      <c r="V73" s="621"/>
      <c r="W73" s="621"/>
      <c r="X73" s="621"/>
      <c r="Y73" s="621"/>
      <c r="Z73" s="621"/>
    </row>
    <row r="74" spans="1:26">
      <c r="A74" s="982"/>
      <c r="B74" s="983"/>
      <c r="C74" s="983"/>
      <c r="D74" s="233" t="s">
        <v>265</v>
      </c>
      <c r="E74" s="638">
        <f>E59/E$60*1000000</f>
        <v>31.979858344400174</v>
      </c>
      <c r="F74" s="638">
        <f t="shared" ref="F74:G74" si="52">F59/F$60*1000000</f>
        <v>92.646013107672658</v>
      </c>
      <c r="G74" s="638">
        <f t="shared" si="52"/>
        <v>48.178913524684582</v>
      </c>
      <c r="H74" s="638">
        <f t="shared" ref="H74:I74" si="53">H59/H$60*1000000</f>
        <v>60.10556486810588</v>
      </c>
      <c r="I74" s="638">
        <f t="shared" si="53"/>
        <v>62.109904194229742</v>
      </c>
      <c r="J74" s="638">
        <f t="shared" ref="J74:K74" si="54">J59/J$60*1000000</f>
        <v>55.714722796511488</v>
      </c>
      <c r="K74" s="638">
        <f t="shared" si="54"/>
        <v>26.432515438916774</v>
      </c>
      <c r="L74" s="638">
        <f t="shared" ref="L74:M74" si="55">L59/L$60*1000000</f>
        <v>34.114538725679253</v>
      </c>
      <c r="M74" s="638">
        <f t="shared" si="55"/>
        <v>70.717111106321184</v>
      </c>
      <c r="N74" s="233"/>
      <c r="O74" s="233"/>
      <c r="P74" s="233"/>
      <c r="Q74" s="233"/>
      <c r="R74" s="233"/>
      <c r="S74" s="233"/>
      <c r="T74" s="233"/>
      <c r="U74" s="233"/>
      <c r="V74" s="233"/>
      <c r="W74" s="233"/>
      <c r="X74" s="233"/>
      <c r="Y74" s="233"/>
      <c r="Z74" s="233"/>
    </row>
    <row r="75" spans="1:26" ht="13.5" thickBot="1">
      <c r="A75" s="984"/>
      <c r="B75" s="985"/>
      <c r="C75" s="985"/>
      <c r="D75" s="622" t="s">
        <v>257</v>
      </c>
      <c r="E75" s="639">
        <f>SUM(E73:E74)</f>
        <v>825.6617972554227</v>
      </c>
      <c r="F75" s="639">
        <f t="shared" ref="F75:G75" si="56">SUM(F73:F74)</f>
        <v>643.3750910255045</v>
      </c>
      <c r="G75" s="639">
        <f t="shared" si="56"/>
        <v>377.82411132515801</v>
      </c>
      <c r="H75" s="639">
        <f t="shared" ref="H75:I75" si="57">SUM(H73:H74)</f>
        <v>640.43515669809369</v>
      </c>
      <c r="I75" s="639">
        <f t="shared" si="57"/>
        <v>619.09549664570943</v>
      </c>
      <c r="J75" s="639">
        <f t="shared" ref="J75:K75" si="58">SUM(J73:J74)</f>
        <v>583.89029490744042</v>
      </c>
      <c r="K75" s="639">
        <f t="shared" si="58"/>
        <v>863.46217100461456</v>
      </c>
      <c r="L75" s="639">
        <f t="shared" ref="L75:M75" si="59">SUM(L73:L74)</f>
        <v>424.53648191956398</v>
      </c>
      <c r="M75" s="639">
        <f t="shared" si="59"/>
        <v>481.33259494947646</v>
      </c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</row>
  </sheetData>
  <mergeCells count="8">
    <mergeCell ref="A73:C75"/>
    <mergeCell ref="A61:C65"/>
    <mergeCell ref="A66:C69"/>
    <mergeCell ref="A70:C72"/>
    <mergeCell ref="A1:E1"/>
    <mergeCell ref="B4:C4"/>
    <mergeCell ref="A6:A36"/>
    <mergeCell ref="A37:A54"/>
  </mergeCells>
  <printOptions gridLinesSet="0"/>
  <pageMargins left="0.78740157480314965" right="0.19685039370078741" top="0.59055118110236227" bottom="0.59055118110236227" header="0.51181102362204722" footer="0.31496062992125984"/>
  <pageSetup paperSize="9" scale="43" orientation="landscape" r:id="rId1"/>
  <headerFooter alignWithMargins="0">
    <oddFooter>&amp;L&amp;A&amp;R&amp;F</oddFooter>
  </headerFooter>
  <ignoredErrors>
    <ignoredError sqref="T6:T56" evalError="1"/>
    <ignoredError sqref="Y18:Z18 Y36:Z36 Y49:Z49 Y54:Y5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>
    <tabColor indexed="56"/>
    <pageSetUpPr fitToPage="1"/>
  </sheetPr>
  <dimension ref="A1:S94"/>
  <sheetViews>
    <sheetView showGridLines="0" topLeftCell="A64" zoomScale="106" zoomScaleNormal="106" zoomScaleSheetLayoutView="53" workbookViewId="0">
      <selection activeCell="R77" sqref="R77"/>
    </sheetView>
  </sheetViews>
  <sheetFormatPr defaultColWidth="11.42578125" defaultRowHeight="12.75"/>
  <cols>
    <col min="1" max="1" width="3.140625" style="76" bestFit="1" customWidth="1"/>
    <col min="2" max="2" width="13.5703125" style="76" customWidth="1"/>
    <col min="3" max="3" width="25.140625" style="76" bestFit="1" customWidth="1"/>
    <col min="4" max="4" width="9" style="76" customWidth="1"/>
    <col min="5" max="5" width="11.85546875" style="76" bestFit="1" customWidth="1"/>
    <col min="6" max="6" width="10.140625" style="76" bestFit="1" customWidth="1"/>
    <col min="7" max="16" width="8.42578125" style="76" bestFit="1" customWidth="1"/>
    <col min="17" max="16384" width="11.42578125" style="76"/>
  </cols>
  <sheetData>
    <row r="1" spans="1:19" ht="18" customHeight="1">
      <c r="A1" s="996" t="s">
        <v>80</v>
      </c>
      <c r="B1" s="996"/>
      <c r="C1" s="996"/>
      <c r="D1" s="996"/>
      <c r="E1" s="996"/>
    </row>
    <row r="2" spans="1:19" ht="18" customHeight="1"/>
    <row r="3" spans="1:19" ht="9.9499999999999993" customHeight="1" thickBot="1"/>
    <row r="4" spans="1:19" ht="38.25">
      <c r="A4" s="855"/>
      <c r="B4" s="1014" t="s">
        <v>57</v>
      </c>
      <c r="C4" s="1014"/>
      <c r="D4" s="856" t="str">
        <f>'Falhas UM-3-1 Cost'!D4</f>
        <v>Custo por milheiro (R$)</v>
      </c>
      <c r="E4" s="857"/>
      <c r="F4" s="857"/>
      <c r="G4" s="857"/>
      <c r="H4" s="857"/>
      <c r="I4" s="857"/>
      <c r="J4" s="857"/>
      <c r="K4" s="857"/>
      <c r="L4" s="857"/>
      <c r="M4" s="857"/>
      <c r="N4" s="857"/>
      <c r="O4" s="857"/>
      <c r="P4" s="857"/>
      <c r="Q4" s="857" t="s">
        <v>92</v>
      </c>
      <c r="R4" s="857" t="s">
        <v>92</v>
      </c>
      <c r="S4" s="858"/>
    </row>
    <row r="5" spans="1:19">
      <c r="A5" s="859"/>
      <c r="B5" s="860" t="s">
        <v>51</v>
      </c>
      <c r="C5" s="860" t="s">
        <v>50</v>
      </c>
      <c r="D5" s="861">
        <f>'Falhas UM-1 - Qty'!E5</f>
        <v>2022</v>
      </c>
      <c r="E5" s="862">
        <f>'Falhas UM-1 - Cost'!F5</f>
        <v>44652</v>
      </c>
      <c r="F5" s="862">
        <f>'Falhas UM-1 - Cost'!G5</f>
        <v>44682</v>
      </c>
      <c r="G5" s="862">
        <f>'Falhas UM-1 - Cost'!H5</f>
        <v>44713</v>
      </c>
      <c r="H5" s="862">
        <f>'Falhas UM-1 - Cost'!I5</f>
        <v>44743</v>
      </c>
      <c r="I5" s="862">
        <f>'Falhas UM-1 - Cost'!J5</f>
        <v>44774</v>
      </c>
      <c r="J5" s="862">
        <f>'Falhas UM-1 - Cost'!K5</f>
        <v>44805</v>
      </c>
      <c r="K5" s="862">
        <f>'Falhas UM-1 - Cost'!L5</f>
        <v>44835</v>
      </c>
      <c r="L5" s="862">
        <f>'Falhas UM-1 - Cost'!M5</f>
        <v>44866</v>
      </c>
      <c r="M5" s="862">
        <f>'Falhas UM-1 - Cost'!N5</f>
        <v>44896</v>
      </c>
      <c r="N5" s="862">
        <f>'Falhas UM-1 - Cost'!O5</f>
        <v>44927</v>
      </c>
      <c r="O5" s="862">
        <f>'Falhas UM-1 - Cost'!P5</f>
        <v>44958</v>
      </c>
      <c r="P5" s="862">
        <f>'Falhas UM-1 - Cost'!Q5</f>
        <v>44986</v>
      </c>
      <c r="Q5" s="862" t="str">
        <f>'Falhas UM-1 - Cost'!R5</f>
        <v>1st Half</v>
      </c>
      <c r="R5" s="862" t="str">
        <f>'Falhas UM-1 - Cost'!S5</f>
        <v>2nd Half</v>
      </c>
      <c r="S5" s="863" t="str">
        <f>'Falhas UM-1 - Cost'!T5</f>
        <v>Total</v>
      </c>
    </row>
    <row r="6" spans="1:19" ht="18" customHeight="1">
      <c r="A6" s="1002" t="s">
        <v>142</v>
      </c>
      <c r="B6" s="590">
        <v>3015</v>
      </c>
      <c r="C6" s="83" t="s">
        <v>46</v>
      </c>
      <c r="D6" s="131">
        <f>'Falhas UM-3-1 Cost'!D6</f>
        <v>116.9538</v>
      </c>
      <c r="E6" s="350">
        <f>'Falhas UM-3-2 Qty'!E6*'Falhas UM-3-2 Cost'!$D6/1000</f>
        <v>148.93464467413108</v>
      </c>
      <c r="F6" s="350">
        <f>'Falhas UM-3-2 Qty'!F6*'Falhas UM-3-2 Cost'!$D6/1000</f>
        <v>155.86997539850344</v>
      </c>
      <c r="G6" s="350">
        <f>'Falhas UM-3-2 Qty'!G6*'Falhas UM-3-2 Cost'!$D6/1000</f>
        <v>150.00685468243668</v>
      </c>
      <c r="H6" s="350">
        <f>'Falhas UM-3-2 Qty'!H6*'Falhas UM-3-2 Cost'!$D6/1000</f>
        <v>150.97665669684821</v>
      </c>
      <c r="I6" s="350">
        <f>'Falhas UM-3-2 Qty'!I6*'Falhas UM-3-2 Cost'!$D6/1000</f>
        <v>152.82104035771425</v>
      </c>
      <c r="J6" s="350">
        <f>'Falhas UM-3-2 Qty'!J6*'Falhas UM-3-2 Cost'!$D6/1000</f>
        <v>173.75470195195771</v>
      </c>
      <c r="K6" s="350">
        <f>'Falhas UM-3-2 Qty'!K6*'Falhas UM-3-2 Cost'!$D6/1000</f>
        <v>171.61749640208896</v>
      </c>
      <c r="L6" s="350">
        <f>'Falhas UM-3-2 Qty'!L6*'Falhas UM-3-2 Cost'!$D6/1000</f>
        <v>171.70751482774037</v>
      </c>
      <c r="M6" s="350">
        <f>'Falhas UM-3-2 Qty'!M6*'Falhas UM-3-2 Cost'!$D6/1000</f>
        <v>163.37474193355581</v>
      </c>
      <c r="N6" s="350">
        <f>'Falhas UM-3-2 Qty'!N6*'Falhas UM-3-2 Cost'!$D6/1000</f>
        <v>126.70188507443032</v>
      </c>
      <c r="O6" s="350">
        <f>'Falhas UM-3-2 Qty'!O6*'Falhas UM-3-2 Cost'!$D6/1000</f>
        <v>121.61084196138312</v>
      </c>
      <c r="P6" s="829">
        <f>'Falhas UM-3-2 Qty'!P6*'Falhas UM-3-2 Cost'!$D6/1000</f>
        <v>154.18892941046587</v>
      </c>
      <c r="Q6" s="847">
        <f>SUM(E6:J6)</f>
        <v>932.36387376159132</v>
      </c>
      <c r="R6" s="369">
        <f>SUM(K6:P6)</f>
        <v>909.20140960966444</v>
      </c>
      <c r="S6" s="807">
        <f>SUM(Q6:R6)</f>
        <v>1841.5652833712556</v>
      </c>
    </row>
    <row r="7" spans="1:19" ht="18" customHeight="1">
      <c r="A7" s="1002"/>
      <c r="B7" s="590">
        <v>3025</v>
      </c>
      <c r="C7" s="83" t="s">
        <v>79</v>
      </c>
      <c r="D7" s="131">
        <f>'Falhas UM-3-1 Cost'!D7</f>
        <v>117.59650000000001</v>
      </c>
      <c r="E7" s="350">
        <f>'Falhas UM-3-2 Qty'!E7*'Falhas UM-3-2 Cost'!$D7/1000</f>
        <v>48.778355226333026</v>
      </c>
      <c r="F7" s="350">
        <f>'Falhas UM-3-2 Qty'!F7*'Falhas UM-3-2 Cost'!$D7/1000</f>
        <v>51.049781236216248</v>
      </c>
      <c r="G7" s="350">
        <f>'Falhas UM-3-2 Qty'!G7*'Falhas UM-3-2 Cost'!$D7/1000</f>
        <v>49.129520267729518</v>
      </c>
      <c r="H7" s="350">
        <f>'Falhas UM-3-2 Qty'!H7*'Falhas UM-3-2 Cost'!$D7/1000</f>
        <v>49.447145137763492</v>
      </c>
      <c r="I7" s="350">
        <f>'Falhas UM-3-2 Qty'!I7*'Falhas UM-3-2 Cost'!$D7/1000</f>
        <v>50.05120876298794</v>
      </c>
      <c r="J7" s="350">
        <f>'Falhas UM-3-2 Qty'!J7*'Falhas UM-3-2 Cost'!$D7/1000</f>
        <v>56.907300464593291</v>
      </c>
      <c r="K7" s="350">
        <f>'Falhas UM-3-2 Qty'!K7*'Falhas UM-3-2 Cost'!$D7/1000</f>
        <v>56.207333229090189</v>
      </c>
      <c r="L7" s="350">
        <f>'Falhas UM-3-2 Qty'!L7*'Falhas UM-3-2 Cost'!$D7/1000</f>
        <v>56.236815628923665</v>
      </c>
      <c r="M7" s="350">
        <f>'Falhas UM-3-2 Qty'!M7*'Falhas UM-3-2 Cost'!$D7/1000</f>
        <v>53.507706111509329</v>
      </c>
      <c r="N7" s="350">
        <f>'Falhas UM-3-2 Qty'!N7*'Falhas UM-3-2 Cost'!$D7/1000</f>
        <v>41.496789222743303</v>
      </c>
      <c r="O7" s="350">
        <f>'Falhas UM-3-2 Qty'!O7*'Falhas UM-3-2 Cost'!$D7/1000</f>
        <v>39.829395380402964</v>
      </c>
      <c r="P7" s="829">
        <f>'Falhas UM-3-2 Qty'!P7*'Falhas UM-3-2 Cost'!$D7/1000</f>
        <v>50.499213176409143</v>
      </c>
      <c r="Q7" s="847">
        <f t="shared" ref="Q7:Q56" si="0">SUM(E7:J7)</f>
        <v>305.36331109562354</v>
      </c>
      <c r="R7" s="369">
        <f t="shared" ref="R7:R56" si="1">SUM(K7:P7)</f>
        <v>297.77725274907857</v>
      </c>
      <c r="S7" s="807">
        <f t="shared" ref="S7:S56" si="2">SUM(Q7:R7)</f>
        <v>603.14056384470211</v>
      </c>
    </row>
    <row r="8" spans="1:19" ht="18" customHeight="1">
      <c r="A8" s="1002"/>
      <c r="B8" s="590">
        <v>3035</v>
      </c>
      <c r="C8" s="83" t="s">
        <v>78</v>
      </c>
      <c r="D8" s="131">
        <f>'Falhas UM-3-1 Cost'!D8</f>
        <v>127.59650000000001</v>
      </c>
      <c r="E8" s="350">
        <f>'Falhas UM-3-2 Qty'!E8*'Falhas UM-3-2 Cost'!$D8/1000</f>
        <v>50.224551421730716</v>
      </c>
      <c r="F8" s="350">
        <f>'Falhas UM-3-2 Qty'!F8*'Falhas UM-3-2 Cost'!$D8/1000</f>
        <v>52.563321392647033</v>
      </c>
      <c r="G8" s="350">
        <f>'Falhas UM-3-2 Qty'!G8*'Falhas UM-3-2 Cost'!$D8/1000</f>
        <v>50.586127916003541</v>
      </c>
      <c r="H8" s="350">
        <f>'Falhas UM-3-2 Qty'!H8*'Falhas UM-3-2 Cost'!$D8/1000</f>
        <v>50.913169829241944</v>
      </c>
      <c r="I8" s="350">
        <f>'Falhas UM-3-2 Qty'!I8*'Falhas UM-3-2 Cost'!$D8/1000</f>
        <v>51.535142925019947</v>
      </c>
      <c r="J8" s="350">
        <f>'Falhas UM-3-2 Qty'!J8*'Falhas UM-3-2 Cost'!$D8/1000</f>
        <v>58.594506214774434</v>
      </c>
      <c r="K8" s="350">
        <f>'Falhas UM-3-2 Qty'!K8*'Falhas UM-3-2 Cost'!$D8/1000</f>
        <v>57.873786127966895</v>
      </c>
      <c r="L8" s="350">
        <f>'Falhas UM-3-2 Qty'!L8*'Falhas UM-3-2 Cost'!$D8/1000</f>
        <v>57.904142631370952</v>
      </c>
      <c r="M8" s="350">
        <f>'Falhas UM-3-2 Qty'!M8*'Falhas UM-3-2 Cost'!$D8/1000</f>
        <v>55.094119606672599</v>
      </c>
      <c r="N8" s="350">
        <f>'Falhas UM-3-2 Qty'!N8*'Falhas UM-3-2 Cost'!$D8/1000</f>
        <v>42.727099232514874</v>
      </c>
      <c r="O8" s="350">
        <f>'Falhas UM-3-2 Qty'!O8*'Falhas UM-3-2 Cost'!$D8/1000</f>
        <v>41.010269967027661</v>
      </c>
      <c r="P8" s="829">
        <f>'Falhas UM-3-2 Qty'!P8*'Falhas UM-3-2 Cost'!$D8/1000</f>
        <v>51.996429915830348</v>
      </c>
      <c r="Q8" s="847">
        <f t="shared" si="0"/>
        <v>314.4168196994176</v>
      </c>
      <c r="R8" s="369">
        <f t="shared" si="1"/>
        <v>306.60584748138331</v>
      </c>
      <c r="S8" s="807">
        <f t="shared" si="2"/>
        <v>621.02266718080091</v>
      </c>
    </row>
    <row r="9" spans="1:19" ht="18" customHeight="1">
      <c r="A9" s="1002"/>
      <c r="B9" s="590">
        <v>3045</v>
      </c>
      <c r="C9" s="83" t="s">
        <v>77</v>
      </c>
      <c r="D9" s="131">
        <f>'Falhas UM-3-1 Cost'!D9</f>
        <v>127.59650000000001</v>
      </c>
      <c r="E9" s="350">
        <f>'Falhas UM-3-2 Qty'!E9*'Falhas UM-3-2 Cost'!$D9/1000</f>
        <v>282.08626233779586</v>
      </c>
      <c r="F9" s="350">
        <f>'Falhas UM-3-2 Qty'!F9*'Falhas UM-3-2 Cost'!$D9/1000</f>
        <v>295.22196710544881</v>
      </c>
      <c r="G9" s="350">
        <f>'Falhas UM-3-2 Qty'!G9*'Falhas UM-3-2 Cost'!$D9/1000</f>
        <v>284.1170572166227</v>
      </c>
      <c r="H9" s="350">
        <f>'Falhas UM-3-2 Qty'!H9*'Falhas UM-3-2 Cost'!$D9/1000</f>
        <v>285.95388857343409</v>
      </c>
      <c r="I9" s="350">
        <f>'Falhas UM-3-2 Qty'!I9*'Falhas UM-3-2 Cost'!$D9/1000</f>
        <v>289.44720132379496</v>
      </c>
      <c r="J9" s="350">
        <f>'Falhas UM-3-2 Qty'!J9*'Falhas UM-3-2 Cost'!$D9/1000</f>
        <v>329.09612497809144</v>
      </c>
      <c r="K9" s="350">
        <f>'Falhas UM-3-2 Qty'!K9*'Falhas UM-3-2 Cost'!$D9/1000</f>
        <v>325.04819961640578</v>
      </c>
      <c r="L9" s="350">
        <f>'Falhas UM-3-2 Qty'!L9*'Falhas UM-3-2 Cost'!$D9/1000</f>
        <v>325.2186969596471</v>
      </c>
      <c r="M9" s="350">
        <f>'Falhas UM-3-2 Qty'!M9*'Falhas UM-3-2 Cost'!$D9/1000</f>
        <v>309.4361987654006</v>
      </c>
      <c r="N9" s="350">
        <f>'Falhas UM-3-2 Qty'!N9*'Falhas UM-3-2 Cost'!$D9/1000</f>
        <v>239.97681177539314</v>
      </c>
      <c r="O9" s="350">
        <f>'Falhas UM-3-2 Qty'!O9*'Falhas UM-3-2 Cost'!$D9/1000</f>
        <v>230.33423783766182</v>
      </c>
      <c r="P9" s="829">
        <f>'Falhas UM-3-2 Qty'!P9*'Falhas UM-3-2 Cost'!$D9/1000</f>
        <v>292.03802034396153</v>
      </c>
      <c r="Q9" s="847">
        <f t="shared" si="0"/>
        <v>1765.9225015351878</v>
      </c>
      <c r="R9" s="369">
        <f t="shared" si="1"/>
        <v>1722.0521652984701</v>
      </c>
      <c r="S9" s="807">
        <f t="shared" si="2"/>
        <v>3487.9746668336579</v>
      </c>
    </row>
    <row r="10" spans="1:19" ht="18" customHeight="1">
      <c r="A10" s="1002"/>
      <c r="B10" s="590">
        <v>3055</v>
      </c>
      <c r="C10" s="83" t="s">
        <v>76</v>
      </c>
      <c r="D10" s="131">
        <f>'Falhas UM-3-1 Cost'!D10</f>
        <v>128.46100000000001</v>
      </c>
      <c r="E10" s="350">
        <f>'Falhas UM-3-2 Qty'!E10*'Falhas UM-3-2 Cost'!$D10/1000</f>
        <v>44.313350774937838</v>
      </c>
      <c r="F10" s="350">
        <f>'Falhas UM-3-2 Qty'!F10*'Falhas UM-3-2 Cost'!$D10/1000</f>
        <v>46.376858186539422</v>
      </c>
      <c r="G10" s="350">
        <f>'Falhas UM-3-2 Qty'!G10*'Falhas UM-3-2 Cost'!$D10/1000</f>
        <v>44.632371364850997</v>
      </c>
      <c r="H10" s="350">
        <f>'Falhas UM-3-2 Qty'!H10*'Falhas UM-3-2 Cost'!$D10/1000</f>
        <v>44.920921936418068</v>
      </c>
      <c r="I10" s="350">
        <f>'Falhas UM-3-2 Qty'!I10*'Falhas UM-3-2 Cost'!$D10/1000</f>
        <v>45.469691635411522</v>
      </c>
      <c r="J10" s="350">
        <f>'Falhas UM-3-2 Qty'!J10*'Falhas UM-3-2 Cost'!$D10/1000</f>
        <v>51.698200061098717</v>
      </c>
      <c r="K10" s="350">
        <f>'Falhas UM-3-2 Qty'!K10*'Falhas UM-3-2 Cost'!$D10/1000</f>
        <v>51.06230544157151</v>
      </c>
      <c r="L10" s="350">
        <f>'Falhas UM-3-2 Qty'!L10*'Falhas UM-3-2 Cost'!$D10/1000</f>
        <v>51.089089122969661</v>
      </c>
      <c r="M10" s="350">
        <f>'Falhas UM-3-2 Qty'!M10*'Falhas UM-3-2 Cost'!$D10/1000</f>
        <v>48.609792992805851</v>
      </c>
      <c r="N10" s="350">
        <f>'Falhas UM-3-2 Qty'!N10*'Falhas UM-3-2 Cost'!$D10/1000</f>
        <v>37.69831451529496</v>
      </c>
      <c r="O10" s="350">
        <f>'Falhas UM-3-2 Qty'!O10*'Falhas UM-3-2 Cost'!$D10/1000</f>
        <v>36.183548224534292</v>
      </c>
      <c r="P10" s="829">
        <f>'Falhas UM-3-2 Qty'!P10*'Falhas UM-3-2 Cost'!$D10/1000</f>
        <v>45.876687251162352</v>
      </c>
      <c r="Q10" s="847">
        <f t="shared" si="0"/>
        <v>277.41139395925654</v>
      </c>
      <c r="R10" s="369">
        <f t="shared" si="1"/>
        <v>270.51973754833858</v>
      </c>
      <c r="S10" s="807">
        <f t="shared" si="2"/>
        <v>547.93113150759518</v>
      </c>
    </row>
    <row r="11" spans="1:19" ht="18" customHeight="1">
      <c r="A11" s="1002"/>
      <c r="B11" s="590">
        <v>3065</v>
      </c>
      <c r="C11" s="83" t="s">
        <v>75</v>
      </c>
      <c r="D11" s="131">
        <f>'Falhas UM-3-1 Cost'!D11</f>
        <v>132.2688</v>
      </c>
      <c r="E11" s="350">
        <f>'Falhas UM-3-2 Qty'!E11*'Falhas UM-3-2 Cost'!$D11/1000</f>
        <v>35.077734148435624</v>
      </c>
      <c r="F11" s="350">
        <f>'Falhas UM-3-2 Qty'!F11*'Falhas UM-3-2 Cost'!$D11/1000</f>
        <v>36.711173352009105</v>
      </c>
      <c r="G11" s="350">
        <f>'Falhas UM-3-2 Qty'!G11*'Falhas UM-3-2 Cost'!$D11/1000</f>
        <v>35.330265704843669</v>
      </c>
      <c r="H11" s="350">
        <f>'Falhas UM-3-2 Qty'!H11*'Falhas UM-3-2 Cost'!$D11/1000</f>
        <v>35.558677685901387</v>
      </c>
      <c r="I11" s="350">
        <f>'Falhas UM-3-2 Qty'!I11*'Falhas UM-3-2 Cost'!$D11/1000</f>
        <v>35.993074933533947</v>
      </c>
      <c r="J11" s="350">
        <f>'Falhas UM-3-2 Qty'!J11*'Falhas UM-3-2 Cost'!$D11/1000</f>
        <v>40.923461800624878</v>
      </c>
      <c r="K11" s="350">
        <f>'Falhas UM-3-2 Qty'!K11*'Falhas UM-3-2 Cost'!$D11/1000</f>
        <v>40.420097870339298</v>
      </c>
      <c r="L11" s="350">
        <f>'Falhas UM-3-2 Qty'!L11*'Falhas UM-3-2 Cost'!$D11/1000</f>
        <v>40.441299400784885</v>
      </c>
      <c r="M11" s="350">
        <f>'Falhas UM-3-2 Qty'!M11*'Falhas UM-3-2 Cost'!$D11/1000</f>
        <v>38.478728550053425</v>
      </c>
      <c r="N11" s="350">
        <f>'Falhas UM-3-2 Qty'!N11*'Falhas UM-3-2 Cost'!$D11/1000</f>
        <v>29.841378078759906</v>
      </c>
      <c r="O11" s="350">
        <f>'Falhas UM-3-2 Qty'!O11*'Falhas UM-3-2 Cost'!$D11/1000</f>
        <v>28.642313500814115</v>
      </c>
      <c r="P11" s="829">
        <f>'Falhas UM-3-2 Qty'!P11*'Falhas UM-3-2 Cost'!$D11/1000</f>
        <v>36.315246102250015</v>
      </c>
      <c r="Q11" s="847">
        <f t="shared" si="0"/>
        <v>219.59438762534859</v>
      </c>
      <c r="R11" s="369">
        <f t="shared" si="1"/>
        <v>214.13906350300164</v>
      </c>
      <c r="S11" s="807">
        <f t="shared" si="2"/>
        <v>433.73345112835023</v>
      </c>
    </row>
    <row r="12" spans="1:19" ht="18" customHeight="1">
      <c r="A12" s="1002"/>
      <c r="B12" s="590">
        <v>3075</v>
      </c>
      <c r="C12" s="83" t="s">
        <v>41</v>
      </c>
      <c r="D12" s="131">
        <f>'Falhas UM-3-1 Cost'!D12</f>
        <v>142.75</v>
      </c>
      <c r="E12" s="350">
        <f>'Falhas UM-3-2 Qty'!E12*'Falhas UM-3-2 Cost'!$D12/1000</f>
        <v>379.10987991849782</v>
      </c>
      <c r="F12" s="350">
        <f>'Falhas UM-3-2 Qty'!F12*'Falhas UM-3-2 Cost'!$D12/1000</f>
        <v>396.76361255984995</v>
      </c>
      <c r="G12" s="350">
        <f>'Falhas UM-3-2 Qty'!G12*'Falhas UM-3-2 Cost'!$D12/1000</f>
        <v>381.83916703893618</v>
      </c>
      <c r="H12" s="350">
        <f>'Falhas UM-3-2 Qty'!H12*'Falhas UM-3-2 Cost'!$D12/1000</f>
        <v>384.30777685119784</v>
      </c>
      <c r="I12" s="350">
        <f>'Falhas UM-3-2 Qty'!I12*'Falhas UM-3-2 Cost'!$D12/1000</f>
        <v>389.0026151121308</v>
      </c>
      <c r="J12" s="350">
        <f>'Falhas UM-3-2 Qty'!J12*'Falhas UM-3-2 Cost'!$D12/1000</f>
        <v>442.28879275476328</v>
      </c>
      <c r="K12" s="350">
        <f>'Falhas UM-3-2 Qty'!K12*'Falhas UM-3-2 Cost'!$D12/1000</f>
        <v>436.84858278115587</v>
      </c>
      <c r="L12" s="350">
        <f>'Falhas UM-3-2 Qty'!L12*'Falhas UM-3-2 Cost'!$D12/1000</f>
        <v>437.07772271440541</v>
      </c>
      <c r="M12" s="350">
        <f>'Falhas UM-3-2 Qty'!M12*'Falhas UM-3-2 Cost'!$D12/1000</f>
        <v>415.86683160029014</v>
      </c>
      <c r="N12" s="350">
        <f>'Falhas UM-3-2 Qty'!N12*'Falhas UM-3-2 Cost'!$D12/1000</f>
        <v>322.51687672208715</v>
      </c>
      <c r="O12" s="350">
        <f>'Falhas UM-3-2 Qty'!O12*'Falhas UM-3-2 Cost'!$D12/1000</f>
        <v>309.557737849663</v>
      </c>
      <c r="P12" s="829">
        <f>'Falhas UM-3-2 Qty'!P12*'Falhas UM-3-2 Cost'!$D12/1000</f>
        <v>392.4845467719212</v>
      </c>
      <c r="Q12" s="847">
        <f t="shared" si="0"/>
        <v>2373.3118442353757</v>
      </c>
      <c r="R12" s="369">
        <f t="shared" si="1"/>
        <v>2314.3522984395227</v>
      </c>
      <c r="S12" s="807">
        <f t="shared" si="2"/>
        <v>4687.6641426748984</v>
      </c>
    </row>
    <row r="13" spans="1:19" ht="18" customHeight="1">
      <c r="A13" s="1002"/>
      <c r="B13" s="590">
        <v>3085</v>
      </c>
      <c r="C13" s="83" t="s">
        <v>62</v>
      </c>
      <c r="D13" s="131">
        <f>'Falhas UM-3-1 Cost'!D13</f>
        <v>142.75</v>
      </c>
      <c r="E13" s="350">
        <f>'Falhas UM-3-2 Qty'!E13*'Falhas UM-3-2 Cost'!$D13/1000</f>
        <v>119.78912616180615</v>
      </c>
      <c r="F13" s="350">
        <f>'Falhas UM-3-2 Qty'!F13*'Falhas UM-3-2 Cost'!$D13/1000</f>
        <v>125.367258831565</v>
      </c>
      <c r="G13" s="350">
        <f>'Falhas UM-3-2 Qty'!G13*'Falhas UM-3-2 Cost'!$D13/1000</f>
        <v>120.65151180913422</v>
      </c>
      <c r="H13" s="350">
        <f>'Falhas UM-3-2 Qty'!H13*'Falhas UM-3-2 Cost'!$D13/1000</f>
        <v>121.43153002524841</v>
      </c>
      <c r="I13" s="350">
        <f>'Falhas UM-3-2 Qty'!I13*'Falhas UM-3-2 Cost'!$D13/1000</f>
        <v>122.91498008165179</v>
      </c>
      <c r="J13" s="350">
        <f>'Falhas UM-3-2 Qty'!J13*'Falhas UM-3-2 Cost'!$D13/1000</f>
        <v>139.75206345622905</v>
      </c>
      <c r="K13" s="350">
        <f>'Falhas UM-3-2 Qty'!K13*'Falhas UM-3-2 Cost'!$D13/1000</f>
        <v>138.03309480520031</v>
      </c>
      <c r="L13" s="350">
        <f>'Falhas UM-3-2 Qty'!L13*'Falhas UM-3-2 Cost'!$D13/1000</f>
        <v>138.10549722419984</v>
      </c>
      <c r="M13" s="350">
        <f>'Falhas UM-3-2 Qty'!M13*'Falhas UM-3-2 Cost'!$D13/1000</f>
        <v>131.40339251455919</v>
      </c>
      <c r="N13" s="350">
        <f>'Falhas UM-3-2 Qty'!N13*'Falhas UM-3-2 Cost'!$D13/1000</f>
        <v>101.90716961340982</v>
      </c>
      <c r="O13" s="350">
        <f>'Falhas UM-3-2 Qty'!O13*'Falhas UM-3-2 Cost'!$D13/1000</f>
        <v>97.812409746769276</v>
      </c>
      <c r="P13" s="829">
        <f>'Falhas UM-3-2 Qty'!P13*'Falhas UM-3-2 Cost'!$D13/1000</f>
        <v>124.0151823527482</v>
      </c>
      <c r="Q13" s="847">
        <f t="shared" si="0"/>
        <v>749.90647036563462</v>
      </c>
      <c r="R13" s="369">
        <f t="shared" si="1"/>
        <v>731.27674625688655</v>
      </c>
      <c r="S13" s="807">
        <f t="shared" si="2"/>
        <v>1481.1832166225213</v>
      </c>
    </row>
    <row r="14" spans="1:19" ht="18" customHeight="1">
      <c r="A14" s="1002"/>
      <c r="B14" s="590">
        <v>3095</v>
      </c>
      <c r="C14" s="83" t="s">
        <v>74</v>
      </c>
      <c r="D14" s="131">
        <f>'Falhas UM-3-1 Cost'!D14</f>
        <v>210.98159999999999</v>
      </c>
      <c r="E14" s="350">
        <f>'Falhas UM-3-2 Qty'!E14*'Falhas UM-3-2 Cost'!$D14/1000</f>
        <v>296.06210832039096</v>
      </c>
      <c r="F14" s="350">
        <f>'Falhas UM-3-2 Qty'!F14*'Falhas UM-3-2 Cost'!$D14/1000</f>
        <v>309.84861609129592</v>
      </c>
      <c r="G14" s="350">
        <f>'Falhas UM-3-2 Qty'!G14*'Falhas UM-3-2 Cost'!$D14/1000</f>
        <v>298.19351808281232</v>
      </c>
      <c r="H14" s="350">
        <f>'Falhas UM-3-2 Qty'!H14*'Falhas UM-3-2 Cost'!$D14/1000</f>
        <v>300.12135448157812</v>
      </c>
      <c r="I14" s="350">
        <f>'Falhas UM-3-2 Qty'!I14*'Falhas UM-3-2 Cost'!$D14/1000</f>
        <v>303.78774195228675</v>
      </c>
      <c r="J14" s="350">
        <f>'Falhas UM-3-2 Qty'!J14*'Falhas UM-3-2 Cost'!$D14/1000</f>
        <v>345.40105495959807</v>
      </c>
      <c r="K14" s="350">
        <f>'Falhas UM-3-2 Qty'!K14*'Falhas UM-3-2 Cost'!$D14/1000</f>
        <v>341.15257682751121</v>
      </c>
      <c r="L14" s="350">
        <f>'Falhas UM-3-2 Qty'!L14*'Falhas UM-3-2 Cost'!$D14/1000</f>
        <v>341.33152139037202</v>
      </c>
      <c r="M14" s="350">
        <f>'Falhas UM-3-2 Qty'!M14*'Falhas UM-3-2 Cost'!$D14/1000</f>
        <v>324.76708591865804</v>
      </c>
      <c r="N14" s="350">
        <f>'Falhas UM-3-2 Qty'!N14*'Falhas UM-3-2 Cost'!$D14/1000</f>
        <v>251.86636262757497</v>
      </c>
      <c r="O14" s="350">
        <f>'Falhas UM-3-2 Qty'!O14*'Falhas UM-3-2 Cost'!$D14/1000</f>
        <v>241.74605139376732</v>
      </c>
      <c r="P14" s="829">
        <f>'Falhas UM-3-2 Qty'!P14*'Falhas UM-3-2 Cost'!$D14/1000</f>
        <v>306.50692201809426</v>
      </c>
      <c r="Q14" s="847">
        <f t="shared" si="0"/>
        <v>1853.414393887962</v>
      </c>
      <c r="R14" s="369">
        <f t="shared" si="1"/>
        <v>1807.3705201759778</v>
      </c>
      <c r="S14" s="807">
        <f t="shared" si="2"/>
        <v>3660.7849140639401</v>
      </c>
    </row>
    <row r="15" spans="1:19" ht="18" customHeight="1">
      <c r="A15" s="1002"/>
      <c r="B15" s="590">
        <v>3105</v>
      </c>
      <c r="C15" s="90" t="s">
        <v>73</v>
      </c>
      <c r="D15" s="131">
        <f>'Falhas UM-3-1 Cost'!D15</f>
        <v>16.421200000000002</v>
      </c>
      <c r="E15" s="350">
        <f>'Falhas UM-3-2 Qty'!E15*'Falhas UM-3-2 Cost'!$D15/1000</f>
        <v>780.50387256684121</v>
      </c>
      <c r="F15" s="350">
        <f>'Falhas UM-3-2 Qty'!F15*'Falhas UM-3-2 Cost'!$D15/1000</f>
        <v>816.84902583690939</v>
      </c>
      <c r="G15" s="350">
        <f>'Falhas UM-3-2 Qty'!G15*'Falhas UM-3-2 Cost'!$D15/1000</f>
        <v>786.1228745493454</v>
      </c>
      <c r="H15" s="350">
        <f>'Falhas UM-3-2 Qty'!H15*'Falhas UM-3-2 Cost'!$D15/1000</f>
        <v>791.20519927995088</v>
      </c>
      <c r="I15" s="350">
        <f>'Falhas UM-3-2 Qty'!I15*'Falhas UM-3-2 Cost'!$D15/1000</f>
        <v>800.8708388156997</v>
      </c>
      <c r="J15" s="350">
        <f>'Falhas UM-3-2 Qty'!J15*'Falhas UM-3-2 Cost'!$D15/1000</f>
        <v>910.57536040005004</v>
      </c>
      <c r="K15" s="350">
        <f>'Falhas UM-3-2 Qty'!K15*'Falhas UM-3-2 Cost'!$D15/1000</f>
        <v>899.37516442285687</v>
      </c>
      <c r="L15" s="350">
        <f>'Falhas UM-3-2 Qty'!L15*'Falhas UM-3-2 Cost'!$D15/1000</f>
        <v>899.84691315517512</v>
      </c>
      <c r="M15" s="350">
        <f>'Falhas UM-3-2 Qty'!M15*'Falhas UM-3-2 Cost'!$D15/1000</f>
        <v>856.17835284564296</v>
      </c>
      <c r="N15" s="350">
        <f>'Falhas UM-3-2 Qty'!N15*'Falhas UM-3-2 Cost'!$D15/1000</f>
        <v>663.99132437241769</v>
      </c>
      <c r="O15" s="350">
        <f>'Falhas UM-3-2 Qty'!O15*'Falhas UM-3-2 Cost'!$D15/1000</f>
        <v>637.31130728282596</v>
      </c>
      <c r="P15" s="829">
        <f>'Falhas UM-3-2 Qty'!P15*'Falhas UM-3-2 Cost'!$D15/1000</f>
        <v>808.03937039040761</v>
      </c>
      <c r="Q15" s="847">
        <f t="shared" si="0"/>
        <v>4886.1271714487966</v>
      </c>
      <c r="R15" s="369">
        <f t="shared" si="1"/>
        <v>4764.7424324693266</v>
      </c>
      <c r="S15" s="807">
        <f t="shared" si="2"/>
        <v>9650.8696039181232</v>
      </c>
    </row>
    <row r="16" spans="1:19" ht="18" customHeight="1">
      <c r="A16" s="1002"/>
      <c r="B16" s="590">
        <v>3115</v>
      </c>
      <c r="C16" s="90" t="s">
        <v>72</v>
      </c>
      <c r="D16" s="139">
        <f>'Falhas UM-3-1 Cost'!D16</f>
        <v>60.866</v>
      </c>
      <c r="E16" s="351">
        <f>'Falhas UM-3-2 Qty'!E16*'Falhas UM-3-2 Cost'!$D16/1000</f>
        <v>290.09745993219065</v>
      </c>
      <c r="F16" s="351">
        <f>'Falhas UM-3-2 Qty'!F16*'Falhas UM-3-2 Cost'!$D16/1000</f>
        <v>303.60621628187801</v>
      </c>
      <c r="G16" s="351">
        <f>'Falhas UM-3-2 Qty'!G16*'Falhas UM-3-2 Cost'!$D16/1000</f>
        <v>292.18592900937483</v>
      </c>
      <c r="H16" s="351">
        <f>'Falhas UM-3-2 Qty'!H16*'Falhas UM-3-2 Cost'!$D16/1000</f>
        <v>294.07492603644982</v>
      </c>
      <c r="I16" s="351">
        <f>'Falhas UM-3-2 Qty'!I16*'Falhas UM-3-2 Cost'!$D16/1000</f>
        <v>297.66744822179066</v>
      </c>
      <c r="J16" s="351">
        <f>'Falhas UM-3-2 Qty'!J16*'Falhas UM-3-2 Cost'!$D16/1000</f>
        <v>338.44239396297371</v>
      </c>
      <c r="K16" s="351">
        <f>'Falhas UM-3-2 Qty'!K16*'Falhas UM-3-2 Cost'!$D16/1000</f>
        <v>334.2795082708875</v>
      </c>
      <c r="L16" s="351">
        <f>'Falhas UM-3-2 Qty'!L16*'Falhas UM-3-2 Cost'!$D16/1000</f>
        <v>334.45484770709254</v>
      </c>
      <c r="M16" s="351">
        <f>'Falhas UM-3-2 Qty'!M16*'Falhas UM-3-2 Cost'!$D16/1000</f>
        <v>318.22412948781027</v>
      </c>
      <c r="N16" s="351">
        <f>'Falhas UM-3-2 Qty'!N16*'Falhas UM-3-2 Cost'!$D16/1000</f>
        <v>246.79210877451953</v>
      </c>
      <c r="O16" s="351">
        <f>'Falhas UM-3-2 Qty'!O16*'Falhas UM-3-2 Cost'!$D16/1000</f>
        <v>236.87568752322696</v>
      </c>
      <c r="P16" s="609">
        <f>'Falhas UM-3-2 Qty'!P16*'Falhas UM-3-2 Cost'!$D16/1000</f>
        <v>300.33184602218518</v>
      </c>
      <c r="Q16" s="848">
        <f t="shared" si="0"/>
        <v>1816.0743734446576</v>
      </c>
      <c r="R16" s="370">
        <f t="shared" si="1"/>
        <v>1770.9581277857221</v>
      </c>
      <c r="S16" s="808">
        <f t="shared" si="2"/>
        <v>3587.0325012303797</v>
      </c>
    </row>
    <row r="17" spans="1:19" ht="18" customHeight="1">
      <c r="A17" s="1002"/>
      <c r="B17" s="590">
        <v>3125</v>
      </c>
      <c r="C17" s="90" t="s">
        <v>71</v>
      </c>
      <c r="D17" s="316">
        <f>'Falhas UM-3-1 Cost'!D17</f>
        <v>0.3019</v>
      </c>
      <c r="E17" s="352">
        <f>'Falhas UM-3-2 Qty'!E17*'Falhas UM-3-2 Cost'!$D17/1000</f>
        <v>0</v>
      </c>
      <c r="F17" s="352">
        <f>'Falhas UM-3-2 Qty'!F17*'Falhas UM-3-2 Cost'!$D17/1000</f>
        <v>0</v>
      </c>
      <c r="G17" s="352">
        <f>'Falhas UM-3-2 Qty'!G17*'Falhas UM-3-2 Cost'!$D17/1000</f>
        <v>0</v>
      </c>
      <c r="H17" s="352">
        <f>'Falhas UM-3-2 Qty'!H17*'Falhas UM-3-2 Cost'!$D17/1000</f>
        <v>0</v>
      </c>
      <c r="I17" s="352">
        <f>'Falhas UM-3-2 Qty'!I17*'Falhas UM-3-2 Cost'!$D17/1000</f>
        <v>0</v>
      </c>
      <c r="J17" s="352">
        <f>'Falhas UM-3-2 Qty'!J17*'Falhas UM-3-2 Cost'!$D17/1000</f>
        <v>0</v>
      </c>
      <c r="K17" s="352">
        <f>'Falhas UM-3-2 Qty'!K17*'Falhas UM-3-2 Cost'!$D17/1000</f>
        <v>0</v>
      </c>
      <c r="L17" s="352">
        <f>'Falhas UM-3-2 Qty'!L17*'Falhas UM-3-2 Cost'!$D17/1000</f>
        <v>0</v>
      </c>
      <c r="M17" s="352">
        <f>'Falhas UM-3-2 Qty'!M17*'Falhas UM-3-2 Cost'!$D17/1000</f>
        <v>0</v>
      </c>
      <c r="N17" s="352">
        <f>'Falhas UM-3-2 Qty'!N17*'Falhas UM-3-2 Cost'!$D17/1000</f>
        <v>0</v>
      </c>
      <c r="O17" s="352">
        <f>'Falhas UM-3-2 Qty'!O17*'Falhas UM-3-2 Cost'!$D17/1000</f>
        <v>0</v>
      </c>
      <c r="P17" s="830">
        <f>'Falhas UM-3-2 Qty'!P17*'Falhas UM-3-2 Cost'!$D17/1000</f>
        <v>0</v>
      </c>
      <c r="Q17" s="849">
        <f t="shared" si="0"/>
        <v>0</v>
      </c>
      <c r="R17" s="371">
        <f t="shared" si="1"/>
        <v>0</v>
      </c>
      <c r="S17" s="809">
        <f t="shared" si="2"/>
        <v>0</v>
      </c>
    </row>
    <row r="18" spans="1:19" ht="18" customHeight="1" thickBot="1">
      <c r="A18" s="1002"/>
      <c r="B18" s="591">
        <v>0</v>
      </c>
      <c r="C18" s="86" t="s">
        <v>1</v>
      </c>
      <c r="D18" s="147">
        <f>'Falhas UM-3-1 Cost'!D18</f>
        <v>1046.8903269685857</v>
      </c>
      <c r="E18" s="353">
        <f>SUBTOTAL(109,E6:E17)</f>
        <v>2474.9773454830911</v>
      </c>
      <c r="F18" s="353">
        <f t="shared" ref="F18:P18" si="3">SUBTOTAL(109,F6:F17)</f>
        <v>2590.2278062728624</v>
      </c>
      <c r="G18" s="353">
        <f t="shared" si="3"/>
        <v>2492.79519764209</v>
      </c>
      <c r="H18" s="353">
        <f t="shared" si="3"/>
        <v>2508.9112465340322</v>
      </c>
      <c r="I18" s="353">
        <f t="shared" si="3"/>
        <v>2539.5609841220221</v>
      </c>
      <c r="J18" s="353">
        <f t="shared" si="3"/>
        <v>2887.4339610047546</v>
      </c>
      <c r="K18" s="353">
        <f t="shared" si="3"/>
        <v>2851.9181457950745</v>
      </c>
      <c r="L18" s="353">
        <f t="shared" si="3"/>
        <v>2853.4140607626814</v>
      </c>
      <c r="M18" s="353">
        <f t="shared" si="3"/>
        <v>2714.9410803269584</v>
      </c>
      <c r="N18" s="353">
        <f t="shared" si="3"/>
        <v>2105.5161200091457</v>
      </c>
      <c r="O18" s="353">
        <f t="shared" si="3"/>
        <v>2020.9138006680766</v>
      </c>
      <c r="P18" s="353">
        <f t="shared" si="3"/>
        <v>2562.292393755436</v>
      </c>
      <c r="Q18" s="850">
        <f t="shared" si="0"/>
        <v>15493.906541058852</v>
      </c>
      <c r="R18" s="372">
        <f t="shared" si="1"/>
        <v>15108.995601317372</v>
      </c>
      <c r="S18" s="811">
        <f t="shared" si="2"/>
        <v>30602.902142376224</v>
      </c>
    </row>
    <row r="19" spans="1:19" ht="18" customHeight="1" thickTop="1">
      <c r="A19" s="1002"/>
      <c r="B19" s="590">
        <v>3131</v>
      </c>
      <c r="C19" s="83" t="s">
        <v>108</v>
      </c>
      <c r="D19" s="131">
        <f>'Falhas UM-3-1 Cost'!D19</f>
        <v>210.98159999999999</v>
      </c>
      <c r="E19" s="350">
        <f>'Falhas UM-3-2 Qty'!E19*'Falhas UM-3-2 Cost'!$D19/1000</f>
        <v>36.900039960406332</v>
      </c>
      <c r="F19" s="350">
        <f>'Falhas UM-3-2 Qty'!F19*'Falhas UM-3-2 Cost'!$D19/1000</f>
        <v>38.618337146584302</v>
      </c>
      <c r="G19" s="350">
        <f>'Falhas UM-3-2 Qty'!G19*'Falhas UM-3-2 Cost'!$D19/1000</f>
        <v>37.165690657321029</v>
      </c>
      <c r="H19" s="350">
        <f>'Falhas UM-3-2 Qty'!H19*'Falhas UM-3-2 Cost'!$D19/1000</f>
        <v>37.405968754897089</v>
      </c>
      <c r="I19" s="350">
        <f>'Falhas UM-3-2 Qty'!I19*'Falhas UM-3-2 Cost'!$D19/1000</f>
        <v>37.862933156545807</v>
      </c>
      <c r="J19" s="350">
        <f>'Falhas UM-3-2 Qty'!J19*'Falhas UM-3-2 Cost'!$D19/1000</f>
        <v>43.049456084339624</v>
      </c>
      <c r="K19" s="350">
        <f>'Falhas UM-3-2 Qty'!K19*'Falhas UM-3-2 Cost'!$D19/1000</f>
        <v>42.519942146422018</v>
      </c>
      <c r="L19" s="350">
        <f>'Falhas UM-3-2 Qty'!L19*'Falhas UM-3-2 Cost'!$D19/1000</f>
        <v>42.542245106965403</v>
      </c>
      <c r="M19" s="350">
        <f>'Falhas UM-3-2 Qty'!M19*'Falhas UM-3-2 Cost'!$D19/1000</f>
        <v>40.47771772014304</v>
      </c>
      <c r="N19" s="350">
        <f>'Falhas UM-3-2 Qty'!N19*'Falhas UM-3-2 Cost'!$D19/1000</f>
        <v>31.391652577107585</v>
      </c>
      <c r="O19" s="350">
        <f>'Falhas UM-3-2 Qty'!O19*'Falhas UM-3-2 Cost'!$D19/1000</f>
        <v>30.130295995348991</v>
      </c>
      <c r="P19" s="829">
        <f>'Falhas UM-3-2 Qty'!P19*'Falhas UM-3-2 Cost'!$D19/1000</f>
        <v>38.201841278416147</v>
      </c>
      <c r="Q19" s="847">
        <f t="shared" si="0"/>
        <v>231.00242576009418</v>
      </c>
      <c r="R19" s="369">
        <f t="shared" si="1"/>
        <v>225.26369482440319</v>
      </c>
      <c r="S19" s="807">
        <f t="shared" si="2"/>
        <v>456.26612058449734</v>
      </c>
    </row>
    <row r="20" spans="1:19" ht="18" customHeight="1">
      <c r="A20" s="1002"/>
      <c r="B20" s="590">
        <v>3136</v>
      </c>
      <c r="C20" s="90" t="s">
        <v>109</v>
      </c>
      <c r="D20" s="131">
        <f>'Falhas UM-3-1 Cost'!D20</f>
        <v>210.98159999999999</v>
      </c>
      <c r="E20" s="350">
        <f>'Falhas UM-3-2 Qty'!E20*'Falhas UM-3-2 Cost'!$D20/1000</f>
        <v>19.460300292519573</v>
      </c>
      <c r="F20" s="350">
        <f>'Falhas UM-3-2 Qty'!F20*'Falhas UM-3-2 Cost'!$D20/1000</f>
        <v>20.366493870377322</v>
      </c>
      <c r="G20" s="350">
        <f>'Falhas UM-3-2 Qty'!G20*'Falhas UM-3-2 Cost'!$D20/1000</f>
        <v>19.600398849063797</v>
      </c>
      <c r="H20" s="350">
        <f>'Falhas UM-3-2 Qty'!H20*'Falhas UM-3-2 Cost'!$D20/1000</f>
        <v>19.727116433585731</v>
      </c>
      <c r="I20" s="350">
        <f>'Falhas UM-3-2 Qty'!I20*'Falhas UM-3-2 Cost'!$D20/1000</f>
        <v>19.968109789924025</v>
      </c>
      <c r="J20" s="350">
        <f>'Falhas UM-3-2 Qty'!J20*'Falhas UM-3-2 Cost'!$D20/1000</f>
        <v>22.703372238344258</v>
      </c>
      <c r="K20" s="350">
        <f>'Falhas UM-3-2 Qty'!K20*'Falhas UM-3-2 Cost'!$D20/1000</f>
        <v>22.4241177916822</v>
      </c>
      <c r="L20" s="350">
        <f>'Falhas UM-3-2 Qty'!L20*'Falhas UM-3-2 Cost'!$D20/1000</f>
        <v>22.435879901155577</v>
      </c>
      <c r="M20" s="350">
        <f>'Falhas UM-3-2 Qty'!M20*'Falhas UM-3-2 Cost'!$D20/1000</f>
        <v>21.347091841500276</v>
      </c>
      <c r="N20" s="350">
        <f>'Falhas UM-3-2 Qty'!N20*'Falhas UM-3-2 Cost'!$D20/1000</f>
        <v>16.555293340723868</v>
      </c>
      <c r="O20" s="350">
        <f>'Falhas UM-3-2 Qty'!O20*'Falhas UM-3-2 Cost'!$D20/1000</f>
        <v>15.890080569049191</v>
      </c>
      <c r="P20" s="829">
        <f>'Falhas UM-3-2 Qty'!P20*'Falhas UM-3-2 Cost'!$D20/1000</f>
        <v>20.146842762306907</v>
      </c>
      <c r="Q20" s="847">
        <f t="shared" si="0"/>
        <v>121.82579147381472</v>
      </c>
      <c r="R20" s="369">
        <f t="shared" si="1"/>
        <v>118.79930620641801</v>
      </c>
      <c r="S20" s="807">
        <f t="shared" si="2"/>
        <v>240.62509768023273</v>
      </c>
    </row>
    <row r="21" spans="1:19" ht="18" customHeight="1">
      <c r="A21" s="1002"/>
      <c r="B21" s="590">
        <v>3141</v>
      </c>
      <c r="C21" s="90" t="s">
        <v>110</v>
      </c>
      <c r="D21" s="131">
        <f>'Falhas UM-3-1 Cost'!D21</f>
        <v>210.98159999999999</v>
      </c>
      <c r="E21" s="350">
        <f>'Falhas UM-3-2 Qty'!E21*'Falhas UM-3-2 Cost'!$D21/1000</f>
        <v>20.769668164096988</v>
      </c>
      <c r="F21" s="350">
        <f>'Falhas UM-3-2 Qty'!F21*'Falhas UM-3-2 Cost'!$D21/1000</f>
        <v>21.736834118456702</v>
      </c>
      <c r="G21" s="350">
        <f>'Falhas UM-3-2 Qty'!G21*'Falhas UM-3-2 Cost'!$D21/1000</f>
        <v>20.919193119311121</v>
      </c>
      <c r="H21" s="350">
        <f>'Falhas UM-3-2 Qty'!H21*'Falhas UM-3-2 Cost'!$D21/1000</f>
        <v>21.054436776475455</v>
      </c>
      <c r="I21" s="350">
        <f>'Falhas UM-3-2 Qty'!I21*'Falhas UM-3-2 Cost'!$D21/1000</f>
        <v>21.311645142516053</v>
      </c>
      <c r="J21" s="350">
        <f>'Falhas UM-3-2 Qty'!J21*'Falhas UM-3-2 Cost'!$D21/1000</f>
        <v>24.230947133824035</v>
      </c>
      <c r="K21" s="350">
        <f>'Falhas UM-3-2 Qty'!K21*'Falhas UM-3-2 Cost'!$D21/1000</f>
        <v>23.932903316239727</v>
      </c>
      <c r="L21" s="350">
        <f>'Falhas UM-3-2 Qty'!L21*'Falhas UM-3-2 Cost'!$D21/1000</f>
        <v>23.945456828107471</v>
      </c>
      <c r="M21" s="350">
        <f>'Falhas UM-3-2 Qty'!M21*'Falhas UM-3-2 Cost'!$D21/1000</f>
        <v>22.783410695203532</v>
      </c>
      <c r="N21" s="350">
        <f>'Falhas UM-3-2 Qty'!N21*'Falhas UM-3-2 Cost'!$D21/1000</f>
        <v>17.669200571292961</v>
      </c>
      <c r="O21" s="350">
        <f>'Falhas UM-3-2 Qty'!O21*'Falhas UM-3-2 Cost'!$D21/1000</f>
        <v>16.95922958839332</v>
      </c>
      <c r="P21" s="829">
        <f>'Falhas UM-3-2 Qty'!P21*'Falhas UM-3-2 Cost'!$D21/1000</f>
        <v>21.502403993642424</v>
      </c>
      <c r="Q21" s="847">
        <f t="shared" si="0"/>
        <v>130.02272445468037</v>
      </c>
      <c r="R21" s="369">
        <f t="shared" si="1"/>
        <v>126.79260499287943</v>
      </c>
      <c r="S21" s="807">
        <f t="shared" si="2"/>
        <v>256.8153294475598</v>
      </c>
    </row>
    <row r="22" spans="1:19" ht="18" customHeight="1">
      <c r="A22" s="1002"/>
      <c r="B22" s="590">
        <v>3146</v>
      </c>
      <c r="C22" s="90" t="s">
        <v>111</v>
      </c>
      <c r="D22" s="131">
        <f>'Falhas UM-3-1 Cost'!D22</f>
        <v>210.98159999999999</v>
      </c>
      <c r="E22" s="350">
        <f>'Falhas UM-3-2 Qty'!E22*'Falhas UM-3-2 Cost'!$D22/1000</f>
        <v>96.523345640735741</v>
      </c>
      <c r="F22" s="350">
        <f>'Falhas UM-3-2 Qty'!F22*'Falhas UM-3-2 Cost'!$D22/1000</f>
        <v>101.01807771671514</v>
      </c>
      <c r="G22" s="350">
        <f>'Falhas UM-3-2 Qty'!G22*'Falhas UM-3-2 Cost'!$D22/1000</f>
        <v>97.218236325556504</v>
      </c>
      <c r="H22" s="350">
        <f>'Falhas UM-3-2 Qty'!H22*'Falhas UM-3-2 Cost'!$D22/1000</f>
        <v>97.846757212989644</v>
      </c>
      <c r="I22" s="350">
        <f>'Falhas UM-3-2 Qty'!I22*'Falhas UM-3-2 Cost'!$D22/1000</f>
        <v>99.042087433043022</v>
      </c>
      <c r="J22" s="350">
        <f>'Falhas UM-3-2 Qty'!J22*'Falhas UM-3-2 Cost'!$D22/1000</f>
        <v>112.60902518623267</v>
      </c>
      <c r="K22" s="350">
        <f>'Falhas UM-3-2 Qty'!K22*'Falhas UM-3-2 Cost'!$D22/1000</f>
        <v>111.22391945447602</v>
      </c>
      <c r="L22" s="350">
        <f>'Falhas UM-3-2 Qty'!L22*'Falhas UM-3-2 Cost'!$D22/1000</f>
        <v>111.28225967230914</v>
      </c>
      <c r="M22" s="350">
        <f>'Falhas UM-3-2 Qty'!M22*'Falhas UM-3-2 Cost'!$D22/1000</f>
        <v>105.8818565628046</v>
      </c>
      <c r="N22" s="350">
        <f>'Falhas UM-3-2 Qty'!N22*'Falhas UM-3-2 Cost'!$D22/1000</f>
        <v>82.11447291616112</v>
      </c>
      <c r="O22" s="350">
        <f>'Falhas UM-3-2 Qty'!O22*'Falhas UM-3-2 Cost'!$D22/1000</f>
        <v>78.815008811300004</v>
      </c>
      <c r="P22" s="829">
        <f>'Falhas UM-3-2 Qty'!P22*'Falhas UM-3-2 Cost'!$D22/1000</f>
        <v>99.928605329035634</v>
      </c>
      <c r="Q22" s="847">
        <f t="shared" si="0"/>
        <v>604.25752951527272</v>
      </c>
      <c r="R22" s="369">
        <f t="shared" si="1"/>
        <v>589.24612274608648</v>
      </c>
      <c r="S22" s="807">
        <f t="shared" si="2"/>
        <v>1193.5036522613591</v>
      </c>
    </row>
    <row r="23" spans="1:19" ht="18" customHeight="1">
      <c r="A23" s="1002"/>
      <c r="B23" s="592">
        <v>3151</v>
      </c>
      <c r="C23" s="91" t="s">
        <v>112</v>
      </c>
      <c r="D23" s="317">
        <f>'Falhas UM-3-1 Cost'!D23</f>
        <v>210.98159999999999</v>
      </c>
      <c r="E23" s="354">
        <f>'Falhas UM-3-2 Qty'!E23*'Falhas UM-3-2 Cost'!$D23/1000</f>
        <v>10.543777775263882</v>
      </c>
      <c r="F23" s="354">
        <f>'Falhas UM-3-2 Qty'!F23*'Falhas UM-3-2 Cost'!$D23/1000</f>
        <v>11.034762167214719</v>
      </c>
      <c r="G23" s="354">
        <f>'Falhas UM-3-2 Qty'!G23*'Falhas UM-3-2 Cost'!$D23/1000</f>
        <v>10.619684520002316</v>
      </c>
      <c r="H23" s="354">
        <f>'Falhas UM-3-2 Qty'!H23*'Falhas UM-3-2 Cost'!$D23/1000</f>
        <v>10.688341325464412</v>
      </c>
      <c r="I23" s="354">
        <f>'Falhas UM-3-2 Qty'!I23*'Falhas UM-3-2 Cost'!$D23/1000</f>
        <v>10.818913842658439</v>
      </c>
      <c r="J23" s="354">
        <f>'Falhas UM-3-2 Qty'!J23*'Falhas UM-3-2 Cost'!$D23/1000</f>
        <v>12.300905331980577</v>
      </c>
      <c r="K23" s="354">
        <f>'Falhas UM-3-2 Qty'!K23*'Falhas UM-3-2 Cost'!$D23/1000</f>
        <v>12.149602588235618</v>
      </c>
      <c r="L23" s="354">
        <f>'Falhas UM-3-2 Qty'!L23*'Falhas UM-3-2 Cost'!$D23/1000</f>
        <v>12.155975412220425</v>
      </c>
      <c r="M23" s="354">
        <f>'Falhas UM-3-2 Qty'!M23*'Falhas UM-3-2 Cost'!$D23/1000</f>
        <v>11.56605957470485</v>
      </c>
      <c r="N23" s="354">
        <f>'Falhas UM-3-2 Qty'!N23*'Falhas UM-3-2 Cost'!$D23/1000</f>
        <v>8.9698170822161742</v>
      </c>
      <c r="O23" s="354">
        <f>'Falhas UM-3-2 Qty'!O23*'Falhas UM-3-2 Cost'!$D23/1000</f>
        <v>8.6093984076646191</v>
      </c>
      <c r="P23" s="384">
        <f>'Falhas UM-3-2 Qty'!P23*'Falhas UM-3-2 Cost'!$D23/1000</f>
        <v>10.915753085300647</v>
      </c>
      <c r="Q23" s="851">
        <f t="shared" si="0"/>
        <v>66.006384962584349</v>
      </c>
      <c r="R23" s="373">
        <f t="shared" si="1"/>
        <v>64.366606150342335</v>
      </c>
      <c r="S23" s="812">
        <f t="shared" si="2"/>
        <v>130.37299111292668</v>
      </c>
    </row>
    <row r="24" spans="1:19" ht="18" customHeight="1">
      <c r="A24" s="1002"/>
      <c r="B24" s="590">
        <v>3156</v>
      </c>
      <c r="C24" s="83" t="s">
        <v>115</v>
      </c>
      <c r="D24" s="131">
        <f>'Falhas UM-3-1 Cost'!D24</f>
        <v>210.98159999999999</v>
      </c>
      <c r="E24" s="350">
        <f>'Falhas UM-3-2 Qty'!E24*'Falhas UM-3-2 Cost'!$D24/1000</f>
        <v>19.676516376439011</v>
      </c>
      <c r="F24" s="350">
        <f>'Falhas UM-3-2 Qty'!F24*'Falhas UM-3-2 Cost'!$D24/1000</f>
        <v>20.592778330618415</v>
      </c>
      <c r="G24" s="350">
        <f>'Falhas UM-3-2 Qty'!G24*'Falhas UM-3-2 Cost'!$D24/1000</f>
        <v>19.818171515399928</v>
      </c>
      <c r="H24" s="350">
        <f>'Falhas UM-3-2 Qty'!H24*'Falhas UM-3-2 Cost'!$D24/1000</f>
        <v>19.946297011386598</v>
      </c>
      <c r="I24" s="350">
        <f>'Falhas UM-3-2 Qty'!I24*'Falhas UM-3-2 Cost'!$D24/1000</f>
        <v>20.189967954348674</v>
      </c>
      <c r="J24" s="350">
        <f>'Falhas UM-3-2 Qty'!J24*'Falhas UM-3-2 Cost'!$D24/1000</f>
        <v>22.955620875998999</v>
      </c>
      <c r="K24" s="350">
        <f>'Falhas UM-3-2 Qty'!K24*'Falhas UM-3-2 Cost'!$D24/1000</f>
        <v>22.673263738116006</v>
      </c>
      <c r="L24" s="350">
        <f>'Falhas UM-3-2 Qty'!L24*'Falhas UM-3-2 Cost'!$D24/1000</f>
        <v>22.685156531967877</v>
      </c>
      <c r="M24" s="350">
        <f>'Falhas UM-3-2 Qty'!M24*'Falhas UM-3-2 Cost'!$D24/1000</f>
        <v>21.584271357317515</v>
      </c>
      <c r="N24" s="350">
        <f>'Falhas UM-3-2 Qty'!N24*'Falhas UM-3-2 Cost'!$D24/1000</f>
        <v>16.739232984021399</v>
      </c>
      <c r="O24" s="350">
        <f>'Falhas UM-3-2 Qty'!O24*'Falhas UM-3-2 Cost'!$D24/1000</f>
        <v>16.066629283208801</v>
      </c>
      <c r="P24" s="829">
        <f>'Falhas UM-3-2 Qty'!P24*'Falhas UM-3-2 Cost'!$D24/1000</f>
        <v>20.370686761624906</v>
      </c>
      <c r="Q24" s="847">
        <f t="shared" si="0"/>
        <v>123.17935206419163</v>
      </c>
      <c r="R24" s="369">
        <f t="shared" si="1"/>
        <v>120.11924065625651</v>
      </c>
      <c r="S24" s="807">
        <f t="shared" si="2"/>
        <v>243.29859272044814</v>
      </c>
    </row>
    <row r="25" spans="1:19" ht="18" customHeight="1">
      <c r="A25" s="1002"/>
      <c r="B25" s="590">
        <v>3161</v>
      </c>
      <c r="C25" s="90" t="s">
        <v>126</v>
      </c>
      <c r="D25" s="131">
        <f>'Falhas UM-3-1 Cost'!D25</f>
        <v>210.98159999999999</v>
      </c>
      <c r="E25" s="350">
        <f>'Falhas UM-3-2 Qty'!E25*'Falhas UM-3-2 Cost'!$D25/1000</f>
        <v>5.1356084289897996</v>
      </c>
      <c r="F25" s="350">
        <f>'Falhas UM-3-2 Qty'!F25*'Falhas UM-3-2 Cost'!$D25/1000</f>
        <v>5.3747545524713383</v>
      </c>
      <c r="G25" s="350">
        <f>'Falhas UM-3-2 Qty'!G25*'Falhas UM-3-2 Cost'!$D25/1000</f>
        <v>5.1725806913425227</v>
      </c>
      <c r="H25" s="350">
        <f>'Falhas UM-3-2 Qty'!H25*'Falhas UM-3-2 Cost'!$D25/1000</f>
        <v>5.2060216909874377</v>
      </c>
      <c r="I25" s="350">
        <f>'Falhas UM-3-2 Qty'!I25*'Falhas UM-3-2 Cost'!$D25/1000</f>
        <v>5.2696202734110225</v>
      </c>
      <c r="J25" s="350">
        <f>'Falhas UM-3-2 Qty'!J25*'Falhas UM-3-2 Cost'!$D25/1000</f>
        <v>5.9914609785622108</v>
      </c>
      <c r="K25" s="350">
        <f>'Falhas UM-3-2 Qty'!K25*'Falhas UM-3-2 Cost'!$D25/1000</f>
        <v>5.9177652252309096</v>
      </c>
      <c r="L25" s="350">
        <f>'Falhas UM-3-2 Qty'!L25*'Falhas UM-3-2 Cost'!$D25/1000</f>
        <v>5.9208692671853624</v>
      </c>
      <c r="M25" s="350">
        <f>'Falhas UM-3-2 Qty'!M25*'Falhas UM-3-2 Cost'!$D25/1000</f>
        <v>5.6335361298494186</v>
      </c>
      <c r="N25" s="350">
        <f>'Falhas UM-3-2 Qty'!N25*'Falhas UM-3-2 Cost'!$D25/1000</f>
        <v>4.3689718425209492</v>
      </c>
      <c r="O25" s="350">
        <f>'Falhas UM-3-2 Qty'!O25*'Falhas UM-3-2 Cost'!$D25/1000</f>
        <v>4.1934209894543431</v>
      </c>
      <c r="P25" s="829">
        <f>'Falhas UM-3-2 Qty'!P25*'Falhas UM-3-2 Cost'!$D25/1000</f>
        <v>5.31678822794977</v>
      </c>
      <c r="Q25" s="847">
        <f t="shared" si="0"/>
        <v>32.150046615764332</v>
      </c>
      <c r="R25" s="369">
        <f t="shared" si="1"/>
        <v>31.351351682190753</v>
      </c>
      <c r="S25" s="807">
        <f t="shared" si="2"/>
        <v>63.501398297955085</v>
      </c>
    </row>
    <row r="26" spans="1:19" ht="18" customHeight="1">
      <c r="A26" s="1002"/>
      <c r="B26" s="590">
        <v>3166</v>
      </c>
      <c r="C26" s="90" t="s">
        <v>127</v>
      </c>
      <c r="D26" s="131">
        <f>'Falhas UM-3-1 Cost'!D26</f>
        <v>210.98159999999999</v>
      </c>
      <c r="E26" s="350">
        <f>'Falhas UM-3-2 Qty'!E26*'Falhas UM-3-2 Cost'!$D26/1000</f>
        <v>0.28298357901853188</v>
      </c>
      <c r="F26" s="350">
        <f>'Falhas UM-3-2 Qty'!F26*'Falhas UM-3-2 Cost'!$D26/1000</f>
        <v>0.29616106847610046</v>
      </c>
      <c r="G26" s="350">
        <f>'Falhas UM-3-2 Qty'!G26*'Falhas UM-3-2 Cost'!$D26/1000</f>
        <v>0.28502083385788574</v>
      </c>
      <c r="H26" s="350">
        <f>'Falhas UM-3-2 Qty'!H26*'Falhas UM-3-2 Cost'!$D26/1000</f>
        <v>0.28686350817706802</v>
      </c>
      <c r="I26" s="350">
        <f>'Falhas UM-3-2 Qty'!I26*'Falhas UM-3-2 Cost'!$D26/1000</f>
        <v>0.2903679331587582</v>
      </c>
      <c r="J26" s="350">
        <f>'Falhas UM-3-2 Qty'!J26*'Falhas UM-3-2 Cost'!$D26/1000</f>
        <v>0.33014298007858833</v>
      </c>
      <c r="K26" s="350">
        <f>'Falhas UM-3-2 Qty'!K26*'Falhas UM-3-2 Cost'!$D26/1000</f>
        <v>0.32608217826230568</v>
      </c>
      <c r="L26" s="350">
        <f>'Falhas UM-3-2 Qty'!L26*'Falhas UM-3-2 Cost'!$D26/1000</f>
        <v>0.3262532179577653</v>
      </c>
      <c r="M26" s="350">
        <f>'Falhas UM-3-2 Qty'!M26*'Falhas UM-3-2 Cost'!$D26/1000</f>
        <v>0.31042051562108369</v>
      </c>
      <c r="N26" s="350">
        <f>'Falhas UM-3-2 Qty'!N26*'Falhas UM-3-2 Cost'!$D26/1000</f>
        <v>0.2407401782520564</v>
      </c>
      <c r="O26" s="350">
        <f>'Falhas UM-3-2 Qty'!O26*'Falhas UM-3-2 Cost'!$D26/1000</f>
        <v>0.23106693127704966</v>
      </c>
      <c r="P26" s="829">
        <f>'Falhas UM-3-2 Qty'!P26*'Falhas UM-3-2 Cost'!$D26/1000</f>
        <v>0.29296699357680173</v>
      </c>
      <c r="Q26" s="847">
        <f t="shared" si="0"/>
        <v>1.771539902766933</v>
      </c>
      <c r="R26" s="369">
        <f t="shared" si="1"/>
        <v>1.7275300149470625</v>
      </c>
      <c r="S26" s="807">
        <f t="shared" si="2"/>
        <v>3.4990699177139954</v>
      </c>
    </row>
    <row r="27" spans="1:19" ht="18" customHeight="1">
      <c r="A27" s="1002"/>
      <c r="B27" s="590">
        <v>3171</v>
      </c>
      <c r="C27" s="90" t="s">
        <v>128</v>
      </c>
      <c r="D27" s="131">
        <f>'Falhas UM-3-1 Cost'!D27</f>
        <v>210.98159999999999</v>
      </c>
      <c r="E27" s="350">
        <f>'Falhas UM-3-2 Qty'!E27*'Falhas UM-3-2 Cost'!$D27/1000</f>
        <v>167.89051652338088</v>
      </c>
      <c r="F27" s="350">
        <f>'Falhas UM-3-2 Qty'!F27*'Falhas UM-3-2 Cost'!$D27/1000</f>
        <v>175.70855147504042</v>
      </c>
      <c r="G27" s="350">
        <f>'Falhas UM-3-2 Qty'!G27*'Falhas UM-3-2 Cost'!$D27/1000</f>
        <v>169.09919360794936</v>
      </c>
      <c r="H27" s="350">
        <f>'Falhas UM-3-2 Qty'!H27*'Falhas UM-3-2 Cost'!$D27/1000</f>
        <v>170.19242857340163</v>
      </c>
      <c r="I27" s="350">
        <f>'Falhas UM-3-2 Qty'!I27*'Falhas UM-3-2 Cost'!$D27/1000</f>
        <v>172.27155882659159</v>
      </c>
      <c r="J27" s="350">
        <f>'Falhas UM-3-2 Qty'!J27*'Falhas UM-3-2 Cost'!$D27/1000</f>
        <v>195.8695824125279</v>
      </c>
      <c r="K27" s="350">
        <f>'Falhas UM-3-2 Qty'!K27*'Falhas UM-3-2 Cost'!$D27/1000</f>
        <v>193.46036094180033</v>
      </c>
      <c r="L27" s="350">
        <f>'Falhas UM-3-2 Qty'!L27*'Falhas UM-3-2 Cost'!$D27/1000</f>
        <v>193.56183659249467</v>
      </c>
      <c r="M27" s="350">
        <f>'Falhas UM-3-2 Qty'!M27*'Falhas UM-3-2 Cost'!$D27/1000</f>
        <v>184.16849800201649</v>
      </c>
      <c r="N27" s="350">
        <f>'Falhas UM-3-2 Qty'!N27*'Falhas UM-3-2 Cost'!$D27/1000</f>
        <v>142.82805035843322</v>
      </c>
      <c r="O27" s="350">
        <f>'Falhas UM-3-2 Qty'!O27*'Falhas UM-3-2 Cost'!$D27/1000</f>
        <v>137.08903738557882</v>
      </c>
      <c r="P27" s="829">
        <f>'Falhas UM-3-2 Qty'!P27*'Falhas UM-3-2 Cost'!$D27/1000</f>
        <v>173.81354793272357</v>
      </c>
      <c r="Q27" s="847">
        <f t="shared" si="0"/>
        <v>1051.0318314188917</v>
      </c>
      <c r="R27" s="369">
        <f t="shared" si="1"/>
        <v>1024.9213312130471</v>
      </c>
      <c r="S27" s="807">
        <f t="shared" si="2"/>
        <v>2075.9531626319385</v>
      </c>
    </row>
    <row r="28" spans="1:19" ht="18" customHeight="1">
      <c r="A28" s="1002"/>
      <c r="B28" s="590">
        <v>3176</v>
      </c>
      <c r="C28" s="90" t="s">
        <v>129</v>
      </c>
      <c r="D28" s="131">
        <f>'Falhas UM-3-1 Cost'!D28</f>
        <v>210.98159999999999</v>
      </c>
      <c r="E28" s="350">
        <f>'Falhas UM-3-2 Qty'!E28*'Falhas UM-3-2 Cost'!$D28/1000</f>
        <v>0.17470965376701059</v>
      </c>
      <c r="F28" s="350">
        <f>'Falhas UM-3-2 Qty'!F28*'Falhas UM-3-2 Cost'!$D28/1000</f>
        <v>0.18284523049777018</v>
      </c>
      <c r="G28" s="350">
        <f>'Falhas UM-3-2 Qty'!G28*'Falhas UM-3-2 Cost'!$D28/1000</f>
        <v>0.17596742317134545</v>
      </c>
      <c r="H28" s="350">
        <f>'Falhas UM-3-2 Qty'!H28*'Falhas UM-3-2 Cost'!$D28/1000</f>
        <v>0.1771050615934272</v>
      </c>
      <c r="I28" s="350">
        <f>'Falhas UM-3-2 Qty'!I28*'Falhas UM-3-2 Cost'!$D28/1000</f>
        <v>0.17926863899013351</v>
      </c>
      <c r="J28" s="350">
        <f>'Falhas UM-3-2 Qty'!J28*'Falhas UM-3-2 Cost'!$D28/1000</f>
        <v>0.20382513339886052</v>
      </c>
      <c r="K28" s="350">
        <f>'Falhas UM-3-2 Qty'!K28*'Falhas UM-3-2 Cost'!$D28/1000</f>
        <v>0.2013180576109303</v>
      </c>
      <c r="L28" s="350">
        <f>'Falhas UM-3-2 Qty'!L28*'Falhas UM-3-2 Cost'!$D28/1000</f>
        <v>0.20142365485469196</v>
      </c>
      <c r="M28" s="350">
        <f>'Falhas UM-3-2 Qty'!M28*'Falhas UM-3-2 Cost'!$D28/1000</f>
        <v>0.19164879105152891</v>
      </c>
      <c r="N28" s="350">
        <f>'Falhas UM-3-2 Qty'!N28*'Falhas UM-3-2 Cost'!$D28/1000</f>
        <v>0.14862923614189927</v>
      </c>
      <c r="O28" s="350">
        <f>'Falhas UM-3-2 Qty'!O28*'Falhas UM-3-2 Cost'!$D28/1000</f>
        <v>0.1426571241357269</v>
      </c>
      <c r="P28" s="829">
        <f>'Falhas UM-3-2 Qty'!P28*'Falhas UM-3-2 Cost'!$D28/1000</f>
        <v>0.18087325840773655</v>
      </c>
      <c r="Q28" s="847">
        <f t="shared" si="0"/>
        <v>1.0937211414185475</v>
      </c>
      <c r="R28" s="369">
        <f t="shared" si="1"/>
        <v>1.066550122202514</v>
      </c>
      <c r="S28" s="807">
        <f t="shared" si="2"/>
        <v>2.1602712636210617</v>
      </c>
    </row>
    <row r="29" spans="1:19" ht="18" customHeight="1">
      <c r="A29" s="1002"/>
      <c r="B29" s="593">
        <v>3181</v>
      </c>
      <c r="C29" s="93" t="s">
        <v>130</v>
      </c>
      <c r="D29" s="316">
        <f>'Falhas UM-3-1 Cost'!D29</f>
        <v>210.98159999999999</v>
      </c>
      <c r="E29" s="352">
        <f>'Falhas UM-3-2 Qty'!E29*'Falhas UM-3-2 Cost'!$D29/1000</f>
        <v>43.82197399014261</v>
      </c>
      <c r="F29" s="352">
        <f>'Falhas UM-3-2 Qty'!F29*'Falhas UM-3-2 Cost'!$D29/1000</f>
        <v>45.862599818212765</v>
      </c>
      <c r="G29" s="352">
        <f>'Falhas UM-3-2 Qty'!G29*'Falhas UM-3-2 Cost'!$D29/1000</f>
        <v>44.137457061249044</v>
      </c>
      <c r="H29" s="352">
        <f>'Falhas UM-3-2 Qty'!H29*'Falhas UM-3-2 Cost'!$D29/1000</f>
        <v>44.42280798644255</v>
      </c>
      <c r="I29" s="352">
        <f>'Falhas UM-3-2 Qty'!I29*'Falhas UM-3-2 Cost'!$D29/1000</f>
        <v>44.965492551146482</v>
      </c>
      <c r="J29" s="352">
        <f>'Falhas UM-3-2 Qty'!J29*'Falhas UM-3-2 Cost'!$D29/1000</f>
        <v>51.124935009337158</v>
      </c>
      <c r="K29" s="352">
        <f>'Falhas UM-3-2 Qty'!K29*'Falhas UM-3-2 Cost'!$D29/1000</f>
        <v>50.496091624892536</v>
      </c>
      <c r="L29" s="352">
        <f>'Falhas UM-3-2 Qty'!L29*'Falhas UM-3-2 Cost'!$D29/1000</f>
        <v>50.522578310486487</v>
      </c>
      <c r="M29" s="352">
        <f>'Falhas UM-3-2 Qty'!M29*'Falhas UM-3-2 Cost'!$D29/1000</f>
        <v>48.070774313950373</v>
      </c>
      <c r="N29" s="352">
        <f>'Falhas UM-3-2 Qty'!N29*'Falhas UM-3-2 Cost'!$D29/1000</f>
        <v>37.280289783362441</v>
      </c>
      <c r="O29" s="352">
        <f>'Falhas UM-3-2 Qty'!O29*'Falhas UM-3-2 Cost'!$D29/1000</f>
        <v>35.782320258737791</v>
      </c>
      <c r="P29" s="830">
        <f>'Falhas UM-3-2 Qty'!P29*'Falhas UM-3-2 Cost'!$D29/1000</f>
        <v>45.367975120747651</v>
      </c>
      <c r="Q29" s="849">
        <f t="shared" si="0"/>
        <v>274.3352664165306</v>
      </c>
      <c r="R29" s="371">
        <f t="shared" si="1"/>
        <v>267.52002941217728</v>
      </c>
      <c r="S29" s="809">
        <f t="shared" si="2"/>
        <v>541.85529582870788</v>
      </c>
    </row>
    <row r="30" spans="1:19" ht="18" customHeight="1">
      <c r="A30" s="1002"/>
      <c r="B30" s="594">
        <v>3186</v>
      </c>
      <c r="C30" s="90" t="s">
        <v>131</v>
      </c>
      <c r="D30" s="139">
        <f>'Falhas UM-3-1 Cost'!D30</f>
        <v>210.98159999999999</v>
      </c>
      <c r="E30" s="351">
        <f>'Falhas UM-3-2 Qty'!E30*'Falhas UM-3-2 Cost'!$D30/1000</f>
        <v>61.849632343800224</v>
      </c>
      <c r="F30" s="351">
        <f>'Falhas UM-3-2 Qty'!F30*'Falhas UM-3-2 Cost'!$D30/1000</f>
        <v>64.729738959850721</v>
      </c>
      <c r="G30" s="351">
        <f>'Falhas UM-3-2 Qty'!G30*'Falhas UM-3-2 Cost'!$D30/1000</f>
        <v>62.294900098352208</v>
      </c>
      <c r="H30" s="351">
        <f>'Falhas UM-3-2 Qty'!H30*'Falhas UM-3-2 Cost'!$D30/1000</f>
        <v>62.697639824685652</v>
      </c>
      <c r="I30" s="351">
        <f>'Falhas UM-3-2 Qty'!I30*'Falhas UM-3-2 Cost'!$D30/1000</f>
        <v>63.463576128995982</v>
      </c>
      <c r="J30" s="351">
        <f>'Falhas UM-3-2 Qty'!J30*'Falhas UM-3-2 Cost'!$D30/1000</f>
        <v>72.156914579874083</v>
      </c>
      <c r="K30" s="351">
        <f>'Falhas UM-3-2 Qty'!K30*'Falhas UM-3-2 Cost'!$D30/1000</f>
        <v>71.269375097091327</v>
      </c>
      <c r="L30" s="351">
        <f>'Falhas UM-3-2 Qty'!L30*'Falhas UM-3-2 Cost'!$D30/1000</f>
        <v>71.306757980992444</v>
      </c>
      <c r="M30" s="351">
        <f>'Falhas UM-3-2 Qty'!M30*'Falhas UM-3-2 Cost'!$D30/1000</f>
        <v>67.846321082396102</v>
      </c>
      <c r="N30" s="351">
        <f>'Falhas UM-3-2 Qty'!N30*'Falhas UM-3-2 Cost'!$D30/1000</f>
        <v>52.616804010014761</v>
      </c>
      <c r="O30" s="351">
        <f>'Falhas UM-3-2 Qty'!O30*'Falhas UM-3-2 Cost'!$D30/1000</f>
        <v>50.502593810787047</v>
      </c>
      <c r="P30" s="609">
        <f>'Falhas UM-3-2 Qty'!P30*'Falhas UM-3-2 Cost'!$D30/1000</f>
        <v>64.031633582551592</v>
      </c>
      <c r="Q30" s="848">
        <f t="shared" si="0"/>
        <v>387.19240193555891</v>
      </c>
      <c r="R30" s="370">
        <f t="shared" si="1"/>
        <v>377.57348556383334</v>
      </c>
      <c r="S30" s="808">
        <f t="shared" si="2"/>
        <v>764.76588749939219</v>
      </c>
    </row>
    <row r="31" spans="1:19" ht="18" customHeight="1">
      <c r="A31" s="1002"/>
      <c r="B31" s="590">
        <v>3191</v>
      </c>
      <c r="C31" s="90" t="s">
        <v>113</v>
      </c>
      <c r="D31" s="131">
        <f>'Falhas UM-3-1 Cost'!D31</f>
        <v>210.98159999999999</v>
      </c>
      <c r="E31" s="350">
        <f>'Falhas UM-3-2 Qty'!E31*'Falhas UM-3-2 Cost'!$D31/1000</f>
        <v>50.456434027951126</v>
      </c>
      <c r="F31" s="350">
        <f>'Falhas UM-3-2 Qty'!F31*'Falhas UM-3-2 Cost'!$D31/1000</f>
        <v>52.806001906680542</v>
      </c>
      <c r="G31" s="350">
        <f>'Falhas UM-3-2 Qty'!G31*'Falhas UM-3-2 Cost'!$D31/1000</f>
        <v>50.819679891037943</v>
      </c>
      <c r="H31" s="350">
        <f>'Falhas UM-3-2 Qty'!H31*'Falhas UM-3-2 Cost'!$D31/1000</f>
        <v>51.148231729781671</v>
      </c>
      <c r="I31" s="350">
        <f>'Falhas UM-3-2 Qty'!I31*'Falhas UM-3-2 Cost'!$D31/1000</f>
        <v>51.773076423978473</v>
      </c>
      <c r="J31" s="350">
        <f>'Falhas UM-3-2 Qty'!J31*'Falhas UM-3-2 Cost'!$D31/1000</f>
        <v>58.86503221105842</v>
      </c>
      <c r="K31" s="350">
        <f>'Falhas UM-3-2 Qty'!K31*'Falhas UM-3-2 Cost'!$D31/1000</f>
        <v>58.140984619129313</v>
      </c>
      <c r="L31" s="350">
        <f>'Falhas UM-3-2 Qty'!L31*'Falhas UM-3-2 Cost'!$D31/1000</f>
        <v>58.171481276002645</v>
      </c>
      <c r="M31" s="350">
        <f>'Falhas UM-3-2 Qty'!M31*'Falhas UM-3-2 Cost'!$D31/1000</f>
        <v>55.348484607059369</v>
      </c>
      <c r="N31" s="350">
        <f>'Falhas UM-3-2 Qty'!N31*'Falhas UM-3-2 Cost'!$D31/1000</f>
        <v>42.924366721139712</v>
      </c>
      <c r="O31" s="350">
        <f>'Falhas UM-3-2 Qty'!O31*'Falhas UM-3-2 Cost'!$D31/1000</f>
        <v>41.199610996714647</v>
      </c>
      <c r="P31" s="829">
        <f>'Falhas UM-3-2 Qty'!P31*'Falhas UM-3-2 Cost'!$D31/1000</f>
        <v>52.236493138730985</v>
      </c>
      <c r="Q31" s="847">
        <f t="shared" si="0"/>
        <v>315.86845619048813</v>
      </c>
      <c r="R31" s="369">
        <f t="shared" si="1"/>
        <v>308.02142135877665</v>
      </c>
      <c r="S31" s="807">
        <f t="shared" si="2"/>
        <v>623.88987754926484</v>
      </c>
    </row>
    <row r="32" spans="1:19" ht="18" customHeight="1">
      <c r="A32" s="1002"/>
      <c r="B32" s="590">
        <v>3196</v>
      </c>
      <c r="C32" s="90" t="s">
        <v>132</v>
      </c>
      <c r="D32" s="131">
        <f>'Falhas UM-3-1 Cost'!D32</f>
        <v>210.98159999999999</v>
      </c>
      <c r="E32" s="350">
        <f>'Falhas UM-3-2 Qty'!E32*'Falhas UM-3-2 Cost'!$D32/1000</f>
        <v>1.2814719798502558</v>
      </c>
      <c r="F32" s="350">
        <f>'Falhas UM-3-2 Qty'!F32*'Falhas UM-3-2 Cost'!$D32/1000</f>
        <v>1.3411453487546063</v>
      </c>
      <c r="G32" s="350">
        <f>'Falhas UM-3-2 Qty'!G32*'Falhas UM-3-2 Cost'!$D32/1000</f>
        <v>1.2906975504699396</v>
      </c>
      <c r="H32" s="350">
        <f>'Falhas UM-3-2 Qty'!H32*'Falhas UM-3-2 Cost'!$D32/1000</f>
        <v>1.2990419763769534</v>
      </c>
      <c r="I32" s="350">
        <f>'Falhas UM-3-2 Qty'!I32*'Falhas UM-3-2 Cost'!$D32/1000</f>
        <v>1.3149115276601007</v>
      </c>
      <c r="J32" s="350">
        <f>'Falhas UM-3-2 Qty'!J32*'Falhas UM-3-2 Cost'!$D32/1000</f>
        <v>1.4950301349014545</v>
      </c>
      <c r="K32" s="350">
        <f>'Falhas UM-3-2 Qty'!K32*'Falhas UM-3-2 Cost'!$D32/1000</f>
        <v>1.4766410687890692</v>
      </c>
      <c r="L32" s="350">
        <f>'Falhas UM-3-2 Qty'!L32*'Falhas UM-3-2 Cost'!$D32/1000</f>
        <v>1.4774156104707237</v>
      </c>
      <c r="M32" s="350">
        <f>'Falhas UM-3-2 Qty'!M32*'Falhas UM-3-2 Cost'!$D32/1000</f>
        <v>1.4057182897988467</v>
      </c>
      <c r="N32" s="350">
        <f>'Falhas UM-3-2 Qty'!N32*'Falhas UM-3-2 Cost'!$D32/1000</f>
        <v>1.0901755993197162</v>
      </c>
      <c r="O32" s="350">
        <f>'Falhas UM-3-2 Qty'!O32*'Falhas UM-3-2 Cost'!$D32/1000</f>
        <v>1.0463709552635656</v>
      </c>
      <c r="P32" s="829">
        <f>'Falhas UM-3-2 Qty'!P32*'Falhas UM-3-2 Cost'!$D32/1000</f>
        <v>1.3266811968091456</v>
      </c>
      <c r="Q32" s="847">
        <f t="shared" si="0"/>
        <v>8.0222985180133115</v>
      </c>
      <c r="R32" s="369">
        <f t="shared" si="1"/>
        <v>7.8230027204510666</v>
      </c>
      <c r="S32" s="807">
        <f t="shared" si="2"/>
        <v>15.845301238464378</v>
      </c>
    </row>
    <row r="33" spans="1:19" ht="18" customHeight="1">
      <c r="A33" s="1002"/>
      <c r="B33" s="590">
        <v>3201</v>
      </c>
      <c r="C33" s="90" t="s">
        <v>114</v>
      </c>
      <c r="D33" s="131">
        <f>'Falhas UM-3-1 Cost'!D33</f>
        <v>210.98159999999999</v>
      </c>
      <c r="E33" s="350">
        <f>'Falhas UM-3-2 Qty'!E33*'Falhas UM-3-2 Cost'!$D33/1000</f>
        <v>68.198362201588182</v>
      </c>
      <c r="F33" s="350">
        <f>'Falhas UM-3-2 Qty'!F33*'Falhas UM-3-2 Cost'!$D33/1000</f>
        <v>71.374105479879304</v>
      </c>
      <c r="G33" s="350">
        <f>'Falhas UM-3-2 Qty'!G33*'Falhas UM-3-2 Cost'!$D33/1000</f>
        <v>68.689335719956517</v>
      </c>
      <c r="H33" s="350">
        <f>'Falhas UM-3-2 Qty'!H33*'Falhas UM-3-2 Cost'!$D33/1000</f>
        <v>69.133415800769001</v>
      </c>
      <c r="I33" s="350">
        <f>'Falhas UM-3-2 Qty'!I33*'Falhas UM-3-2 Cost'!$D33/1000</f>
        <v>69.977973796107491</v>
      </c>
      <c r="J33" s="350">
        <f>'Falhas UM-3-2 Qty'!J33*'Falhas UM-3-2 Cost'!$D33/1000</f>
        <v>79.563664477636749</v>
      </c>
      <c r="K33" s="350">
        <f>'Falhas UM-3-2 Qty'!K33*'Falhas UM-3-2 Cost'!$D33/1000</f>
        <v>78.585021002788423</v>
      </c>
      <c r="L33" s="350">
        <f>'Falhas UM-3-2 Qty'!L33*'Falhas UM-3-2 Cost'!$D33/1000</f>
        <v>78.626241158184925</v>
      </c>
      <c r="M33" s="350">
        <f>'Falhas UM-3-2 Qty'!M33*'Falhas UM-3-2 Cost'!$D33/1000</f>
        <v>74.810597959622413</v>
      </c>
      <c r="N33" s="350">
        <f>'Falhas UM-3-2 Qty'!N33*'Falhas UM-3-2 Cost'!$D33/1000</f>
        <v>58.017804177370536</v>
      </c>
      <c r="O33" s="350">
        <f>'Falhas UM-3-2 Qty'!O33*'Falhas UM-3-2 Cost'!$D33/1000</f>
        <v>55.686574912566705</v>
      </c>
      <c r="P33" s="829">
        <f>'Falhas UM-3-2 Qty'!P33*'Falhas UM-3-2 Cost'!$D33/1000</f>
        <v>70.604341108261451</v>
      </c>
      <c r="Q33" s="847">
        <f t="shared" si="0"/>
        <v>426.93685747593724</v>
      </c>
      <c r="R33" s="369">
        <f t="shared" si="1"/>
        <v>416.33058031879443</v>
      </c>
      <c r="S33" s="807">
        <f t="shared" si="2"/>
        <v>843.26743779473168</v>
      </c>
    </row>
    <row r="34" spans="1:19" ht="18" customHeight="1">
      <c r="A34" s="1002"/>
      <c r="B34" s="590">
        <v>3206</v>
      </c>
      <c r="C34" s="90" t="s">
        <v>133</v>
      </c>
      <c r="D34" s="131">
        <f>'Falhas UM-3-1 Cost'!D34</f>
        <v>210.98159999999999</v>
      </c>
      <c r="E34" s="350">
        <f>'Falhas UM-3-2 Qty'!E34*'Falhas UM-3-2 Cost'!$D34/1000</f>
        <v>50.474264846131895</v>
      </c>
      <c r="F34" s="350">
        <f>'Falhas UM-3-2 Qty'!F34*'Falhas UM-3-2 Cost'!$D34/1000</f>
        <v>52.824663039536858</v>
      </c>
      <c r="G34" s="350">
        <f>'Falhas UM-3-2 Qty'!G34*'Falhas UM-3-2 Cost'!$D34/1000</f>
        <v>50.83763907681076</v>
      </c>
      <c r="H34" s="350">
        <f>'Falhas UM-3-2 Qty'!H34*'Falhas UM-3-2 Cost'!$D34/1000</f>
        <v>51.166307022612237</v>
      </c>
      <c r="I34" s="350">
        <f>'Falhas UM-3-2 Qty'!I34*'Falhas UM-3-2 Cost'!$D34/1000</f>
        <v>51.791372530910323</v>
      </c>
      <c r="J34" s="350">
        <f>'Falhas UM-3-2 Qty'!J34*'Falhas UM-3-2 Cost'!$D34/1000</f>
        <v>58.885834546910758</v>
      </c>
      <c r="K34" s="350">
        <f>'Falhas UM-3-2 Qty'!K34*'Falhas UM-3-2 Cost'!$D34/1000</f>
        <v>58.161531083531059</v>
      </c>
      <c r="L34" s="350">
        <f>'Falhas UM-3-2 Qty'!L34*'Falhas UM-3-2 Cost'!$D34/1000</f>
        <v>58.192038517629442</v>
      </c>
      <c r="M34" s="350">
        <f>'Falhas UM-3-2 Qty'!M34*'Falhas UM-3-2 Cost'!$D34/1000</f>
        <v>55.368044228832545</v>
      </c>
      <c r="N34" s="350">
        <f>'Falhas UM-3-2 Qty'!N34*'Falhas UM-3-2 Cost'!$D34/1000</f>
        <v>42.939535779224649</v>
      </c>
      <c r="O34" s="350">
        <f>'Falhas UM-3-2 Qty'!O34*'Falhas UM-3-2 Cost'!$D34/1000</f>
        <v>41.214170542726038</v>
      </c>
      <c r="P34" s="829">
        <f>'Falhas UM-3-2 Qty'!P34*'Falhas UM-3-2 Cost'!$D34/1000</f>
        <v>52.254953012669795</v>
      </c>
      <c r="Q34" s="847">
        <f t="shared" si="0"/>
        <v>315.9800810629128</v>
      </c>
      <c r="R34" s="369">
        <f t="shared" si="1"/>
        <v>308.13027316461353</v>
      </c>
      <c r="S34" s="807">
        <f t="shared" si="2"/>
        <v>624.11035422752639</v>
      </c>
    </row>
    <row r="35" spans="1:19" ht="18" customHeight="1">
      <c r="A35" s="1002"/>
      <c r="B35" s="590">
        <v>3211</v>
      </c>
      <c r="C35" s="90" t="s">
        <v>116</v>
      </c>
      <c r="D35" s="131">
        <f>'Falhas UM-3-1 Cost'!D35</f>
        <v>210.98159999999999</v>
      </c>
      <c r="E35" s="350">
        <f>'Falhas UM-3-2 Qty'!E35*'Falhas UM-3-2 Cost'!$D35/1000</f>
        <v>127.57475113068313</v>
      </c>
      <c r="F35" s="350">
        <f>'Falhas UM-3-2 Qty'!F35*'Falhas UM-3-2 Cost'!$D35/1000</f>
        <v>133.51543130692198</v>
      </c>
      <c r="G35" s="350">
        <f>'Falhas UM-3-2 Qty'!G35*'Falhas UM-3-2 Cost'!$D35/1000</f>
        <v>128.49318703435557</v>
      </c>
      <c r="H35" s="350">
        <f>'Falhas UM-3-2 Qty'!H35*'Falhas UM-3-2 Cost'!$D35/1000</f>
        <v>129.3239020832637</v>
      </c>
      <c r="I35" s="350">
        <f>'Falhas UM-3-2 Qty'!I35*'Falhas UM-3-2 Cost'!$D35/1000</f>
        <v>130.90376811805578</v>
      </c>
      <c r="J35" s="350">
        <f>'Falhas UM-3-2 Qty'!J35*'Falhas UM-3-2 Cost'!$D35/1000</f>
        <v>148.83516798799761</v>
      </c>
      <c r="K35" s="350">
        <f>'Falhas UM-3-2 Qty'!K35*'Falhas UM-3-2 Cost'!$D35/1000</f>
        <v>147.00447596374642</v>
      </c>
      <c r="L35" s="350">
        <f>'Falhas UM-3-2 Qty'!L35*'Falhas UM-3-2 Cost'!$D35/1000</f>
        <v>147.08158413609127</v>
      </c>
      <c r="M35" s="350">
        <f>'Falhas UM-3-2 Qty'!M35*'Falhas UM-3-2 Cost'!$D35/1000</f>
        <v>139.94388000734372</v>
      </c>
      <c r="N35" s="350">
        <f>'Falhas UM-3-2 Qty'!N35*'Falhas UM-3-2 Cost'!$D35/1000</f>
        <v>108.53056715934433</v>
      </c>
      <c r="O35" s="350">
        <f>'Falhas UM-3-2 Qty'!O35*'Falhas UM-3-2 Cost'!$D35/1000</f>
        <v>104.16967074357984</v>
      </c>
      <c r="P35" s="829">
        <f>'Falhas UM-3-2 Qty'!P35*'Falhas UM-3-2 Cost'!$D35/1000</f>
        <v>132.07547739940526</v>
      </c>
      <c r="Q35" s="847">
        <f t="shared" si="0"/>
        <v>798.6462076612778</v>
      </c>
      <c r="R35" s="369">
        <f t="shared" si="1"/>
        <v>778.8056554095109</v>
      </c>
      <c r="S35" s="807">
        <f t="shared" si="2"/>
        <v>1577.4518630707887</v>
      </c>
    </row>
    <row r="36" spans="1:19" ht="18" customHeight="1" thickBot="1">
      <c r="A36" s="1003"/>
      <c r="B36" s="88">
        <v>0</v>
      </c>
      <c r="C36" s="89" t="s">
        <v>1</v>
      </c>
      <c r="D36" s="89">
        <f>'Falhas UM-3-1 Cost'!D36</f>
        <v>352.61910011204191</v>
      </c>
      <c r="E36" s="353">
        <f>SUBTOTAL(109,E19:E35)</f>
        <v>781.01435691476524</v>
      </c>
      <c r="F36" s="353">
        <f t="shared" ref="F36:P36" si="4">SUBTOTAL(109,F19:F35)</f>
        <v>817.38328153628902</v>
      </c>
      <c r="G36" s="353">
        <f t="shared" si="4"/>
        <v>786.63703397520794</v>
      </c>
      <c r="H36" s="353">
        <f t="shared" si="4"/>
        <v>791.72268277289027</v>
      </c>
      <c r="I36" s="353">
        <f t="shared" si="4"/>
        <v>801.39464406804223</v>
      </c>
      <c r="J36" s="353">
        <f t="shared" si="4"/>
        <v>911.17091730300388</v>
      </c>
      <c r="K36" s="353">
        <f t="shared" si="4"/>
        <v>899.96339589804415</v>
      </c>
      <c r="L36" s="353">
        <f t="shared" si="4"/>
        <v>900.4354531750763</v>
      </c>
      <c r="M36" s="353">
        <f t="shared" si="4"/>
        <v>856.73833167921578</v>
      </c>
      <c r="N36" s="353">
        <f t="shared" si="4"/>
        <v>664.42560431664742</v>
      </c>
      <c r="O36" s="353">
        <f t="shared" si="4"/>
        <v>637.7281373057865</v>
      </c>
      <c r="P36" s="353">
        <f t="shared" si="4"/>
        <v>808.56786418216041</v>
      </c>
      <c r="Q36" s="837">
        <f t="shared" si="0"/>
        <v>4889.3229165701987</v>
      </c>
      <c r="R36" s="353">
        <f t="shared" si="1"/>
        <v>4767.8587865569307</v>
      </c>
      <c r="S36" s="811">
        <f t="shared" si="2"/>
        <v>9657.1817031271294</v>
      </c>
    </row>
    <row r="37" spans="1:19" ht="18" customHeight="1" thickTop="1">
      <c r="A37" s="1004" t="s">
        <v>172</v>
      </c>
      <c r="B37" s="590">
        <v>3225</v>
      </c>
      <c r="C37" s="83" t="s">
        <v>19</v>
      </c>
      <c r="D37" s="131">
        <f>'Falhas UM-3-1 Cost'!D37</f>
        <v>210.98159999999999</v>
      </c>
      <c r="E37" s="351">
        <f>'Falhas UM-3-2 Qty'!E37*'Falhas UM-3-2 Cost'!$D37/1000</f>
        <v>6.4154193897874894</v>
      </c>
      <c r="F37" s="351">
        <f>'Falhas UM-3-2 Qty'!F37*'Falhas UM-3-2 Cost'!$D37/1000</f>
        <v>6.7141615347133952</v>
      </c>
      <c r="G37" s="351">
        <f>'Falhas UM-3-2 Qty'!G37*'Falhas UM-3-2 Cost'!$D37/1000</f>
        <v>6.4616052647547191</v>
      </c>
      <c r="H37" s="351">
        <f>'Falhas UM-3-2 Qty'!H37*'Falhas UM-3-2 Cost'!$D37/1000</f>
        <v>6.5033798744241054</v>
      </c>
      <c r="I37" s="351">
        <f>'Falhas UM-3-2 Qty'!I37*'Falhas UM-3-2 Cost'!$D37/1000</f>
        <v>6.5828274383271639</v>
      </c>
      <c r="J37" s="351">
        <f>'Falhas UM-3-2 Qty'!J37*'Falhas UM-3-2 Cost'!$D37/1000</f>
        <v>7.4845532844847424</v>
      </c>
      <c r="K37" s="351">
        <f>'Falhas UM-3-2 Qty'!K37*'Falhas UM-3-2 Cost'!$D37/1000</f>
        <v>7.3924923005908383</v>
      </c>
      <c r="L37" s="351">
        <f>'Falhas UM-3-2 Qty'!L37*'Falhas UM-3-2 Cost'!$D37/1000</f>
        <v>7.3963698802810853</v>
      </c>
      <c r="M37" s="351">
        <f>'Falhas UM-3-2 Qty'!M37*'Falhas UM-3-2 Cost'!$D37/1000</f>
        <v>7.0374323549456328</v>
      </c>
      <c r="N37" s="351">
        <f>'Falhas UM-3-2 Qty'!N37*'Falhas UM-3-2 Cost'!$D37/1000</f>
        <v>5.4577343774353677</v>
      </c>
      <c r="O37" s="351">
        <f>'Falhas UM-3-2 Qty'!O37*'Falhas UM-3-2 Cost'!$D37/1000</f>
        <v>5.23843565904013</v>
      </c>
      <c r="P37" s="609">
        <f>'Falhas UM-3-2 Qty'!P37*'Falhas UM-3-2 Cost'!$D37/1000</f>
        <v>6.6417498063987539</v>
      </c>
      <c r="Q37" s="848">
        <f t="shared" si="0"/>
        <v>40.161946786491612</v>
      </c>
      <c r="R37" s="370">
        <f t="shared" si="1"/>
        <v>39.16421437869181</v>
      </c>
      <c r="S37" s="808">
        <f t="shared" si="2"/>
        <v>79.326161165183422</v>
      </c>
    </row>
    <row r="38" spans="1:19" ht="18" customHeight="1">
      <c r="A38" s="1002"/>
      <c r="B38" s="590">
        <v>3235</v>
      </c>
      <c r="C38" s="83" t="s">
        <v>61</v>
      </c>
      <c r="D38" s="131">
        <f>'Falhas UM-3-1 Cost'!D38</f>
        <v>210.98159999999999</v>
      </c>
      <c r="E38" s="351">
        <f>'Falhas UM-3-2 Qty'!E38*'Falhas UM-3-2 Cost'!$D38/1000</f>
        <v>6.4425557136785914</v>
      </c>
      <c r="F38" s="351">
        <f>'Falhas UM-3-2 Qty'!F38*'Falhas UM-3-2 Cost'!$D38/1000</f>
        <v>6.7425614959619455</v>
      </c>
      <c r="G38" s="351">
        <f>'Falhas UM-3-2 Qty'!G38*'Falhas UM-3-2 Cost'!$D38/1000</f>
        <v>6.4889369484167334</v>
      </c>
      <c r="H38" s="351">
        <f>'Falhas UM-3-2 Qty'!H38*'Falhas UM-3-2 Cost'!$D38/1000</f>
        <v>6.5308882588237553</v>
      </c>
      <c r="I38" s="351">
        <f>'Falhas UM-3-2 Qty'!I38*'Falhas UM-3-2 Cost'!$D38/1000</f>
        <v>6.6106718747750817</v>
      </c>
      <c r="J38" s="351">
        <f>'Falhas UM-3-2 Qty'!J38*'Falhas UM-3-2 Cost'!$D38/1000</f>
        <v>7.5162118947435355</v>
      </c>
      <c r="K38" s="351">
        <f>'Falhas UM-3-2 Qty'!K38*'Falhas UM-3-2 Cost'!$D38/1000</f>
        <v>7.4237615058045536</v>
      </c>
      <c r="L38" s="351">
        <f>'Falhas UM-3-2 Qty'!L38*'Falhas UM-3-2 Cost'!$D38/1000</f>
        <v>7.4276554871128377</v>
      </c>
      <c r="M38" s="351">
        <f>'Falhas UM-3-2 Qty'!M38*'Falhas UM-3-2 Cost'!$D38/1000</f>
        <v>7.0671997064066341</v>
      </c>
      <c r="N38" s="351">
        <f>'Falhas UM-3-2 Qty'!N38*'Falhas UM-3-2 Cost'!$D38/1000</f>
        <v>5.4808198280940479</v>
      </c>
      <c r="O38" s="351">
        <f>'Falhas UM-3-2 Qty'!O38*'Falhas UM-3-2 Cost'!$D38/1000</f>
        <v>5.2605935068891254</v>
      </c>
      <c r="P38" s="609">
        <f>'Falhas UM-3-2 Qty'!P38*'Falhas UM-3-2 Cost'!$D38/1000</f>
        <v>6.6698434761963989</v>
      </c>
      <c r="Q38" s="848">
        <f t="shared" si="0"/>
        <v>40.331826186399638</v>
      </c>
      <c r="R38" s="370">
        <f t="shared" si="1"/>
        <v>39.329873510503596</v>
      </c>
      <c r="S38" s="808">
        <f t="shared" si="2"/>
        <v>79.661699696903241</v>
      </c>
    </row>
    <row r="39" spans="1:19" ht="18" customHeight="1">
      <c r="A39" s="1002"/>
      <c r="B39" s="590">
        <v>3245</v>
      </c>
      <c r="C39" s="83" t="s">
        <v>70</v>
      </c>
      <c r="D39" s="131">
        <f>'Falhas UM-3-1 Cost'!D39</f>
        <v>210.98159999999999</v>
      </c>
      <c r="E39" s="351">
        <f>'Falhas UM-3-2 Qty'!E39*'Falhas UM-3-2 Cost'!$D39/1000</f>
        <v>136.30833175667928</v>
      </c>
      <c r="F39" s="351">
        <f>'Falhas UM-3-2 Qty'!F39*'Falhas UM-3-2 Cost'!$D39/1000</f>
        <v>142.65570219750887</v>
      </c>
      <c r="G39" s="351">
        <f>'Falhas UM-3-2 Qty'!G39*'Falhas UM-3-2 Cost'!$D39/1000</f>
        <v>137.28964243724482</v>
      </c>
      <c r="H39" s="351">
        <f>'Falhas UM-3-2 Qty'!H39*'Falhas UM-3-2 Cost'!$D39/1000</f>
        <v>138.17722702179822</v>
      </c>
      <c r="I39" s="351">
        <f>'Falhas UM-3-2 Qty'!I39*'Falhas UM-3-2 Cost'!$D39/1000</f>
        <v>139.8652483715789</v>
      </c>
      <c r="J39" s="351">
        <f>'Falhas UM-3-2 Qty'!J39*'Falhas UM-3-2 Cost'!$D39/1000</f>
        <v>159.02420561563383</v>
      </c>
      <c r="K39" s="351">
        <f>'Falhas UM-3-2 Qty'!K39*'Falhas UM-3-2 Cost'!$D39/1000</f>
        <v>157.06818709649659</v>
      </c>
      <c r="L39" s="351">
        <f>'Falhas UM-3-2 Qty'!L39*'Falhas UM-3-2 Cost'!$D39/1000</f>
        <v>157.15057398139334</v>
      </c>
      <c r="M39" s="351">
        <f>'Falhas UM-3-2 Qty'!M39*'Falhas UM-3-2 Cost'!$D39/1000</f>
        <v>149.52423308133774</v>
      </c>
      <c r="N39" s="351">
        <f>'Falhas UM-3-2 Qty'!N39*'Falhas UM-3-2 Cost'!$D39/1000</f>
        <v>115.96041084134585</v>
      </c>
      <c r="O39" s="351">
        <f>'Falhas UM-3-2 Qty'!O39*'Falhas UM-3-2 Cost'!$D39/1000</f>
        <v>111.30097384359989</v>
      </c>
      <c r="P39" s="609">
        <f>'Falhas UM-3-2 Qty'!P39*'Falhas UM-3-2 Cost'!$D39/1000</f>
        <v>141.11717115433208</v>
      </c>
      <c r="Q39" s="848">
        <f t="shared" si="0"/>
        <v>853.32035740044387</v>
      </c>
      <c r="R39" s="370">
        <f t="shared" si="1"/>
        <v>832.12154999850554</v>
      </c>
      <c r="S39" s="808">
        <f t="shared" si="2"/>
        <v>1685.4419073989493</v>
      </c>
    </row>
    <row r="40" spans="1:19" ht="18" customHeight="1">
      <c r="A40" s="1002"/>
      <c r="B40" s="590">
        <v>3255</v>
      </c>
      <c r="C40" s="83" t="s">
        <v>69</v>
      </c>
      <c r="D40" s="131">
        <f>'Falhas UM-3-1 Cost'!D40</f>
        <v>210.98159999999999</v>
      </c>
      <c r="E40" s="351">
        <f>'Falhas UM-3-2 Qty'!E40*'Falhas UM-3-2 Cost'!$D40/1000</f>
        <v>12.601821125052789</v>
      </c>
      <c r="F40" s="351">
        <f>'Falhas UM-3-2 Qty'!F40*'Falhas UM-3-2 Cost'!$D40/1000</f>
        <v>13.188640917202896</v>
      </c>
      <c r="G40" s="351">
        <f>'Falhas UM-3-2 Qty'!G40*'Falhas UM-3-2 Cost'!$D40/1000</f>
        <v>12.692544131528031</v>
      </c>
      <c r="H40" s="351">
        <f>'Falhas UM-3-2 Qty'!H40*'Falhas UM-3-2 Cost'!$D40/1000</f>
        <v>12.774602080765227</v>
      </c>
      <c r="I40" s="351">
        <f>'Falhas UM-3-2 Qty'!I40*'Falhas UM-3-2 Cost'!$D40/1000</f>
        <v>12.930661089272339</v>
      </c>
      <c r="J40" s="351">
        <f>'Falhas UM-3-2 Qty'!J40*'Falhas UM-3-2 Cost'!$D40/1000</f>
        <v>14.701922970483675</v>
      </c>
      <c r="K40" s="351">
        <f>'Falhas UM-3-2 Qty'!K40*'Falhas UM-3-2 Cost'!$D40/1000</f>
        <v>14.521087395887552</v>
      </c>
      <c r="L40" s="351">
        <f>'Falhas UM-3-2 Qty'!L40*'Falhas UM-3-2 Cost'!$D40/1000</f>
        <v>14.528704133420314</v>
      </c>
      <c r="M40" s="351">
        <f>'Falhas UM-3-2 Qty'!M40*'Falhas UM-3-2 Cost'!$D40/1000</f>
        <v>13.82364243526432</v>
      </c>
      <c r="N40" s="351">
        <f>'Falhas UM-3-2 Qty'!N40*'Falhas UM-3-2 Cost'!$D40/1000</f>
        <v>10.720638541881844</v>
      </c>
      <c r="O40" s="351">
        <f>'Falhas UM-3-2 Qty'!O40*'Falhas UM-3-2 Cost'!$D40/1000</f>
        <v>10.289869631189994</v>
      </c>
      <c r="P40" s="609">
        <f>'Falhas UM-3-2 Qty'!P40*'Falhas UM-3-2 Cost'!$D40/1000</f>
        <v>13.046402414599367</v>
      </c>
      <c r="Q40" s="848">
        <f t="shared" si="0"/>
        <v>78.890192314304954</v>
      </c>
      <c r="R40" s="370">
        <f t="shared" si="1"/>
        <v>76.930344552243383</v>
      </c>
      <c r="S40" s="808">
        <f t="shared" si="2"/>
        <v>155.82053686654834</v>
      </c>
    </row>
    <row r="41" spans="1:19" ht="18" customHeight="1">
      <c r="A41" s="1002"/>
      <c r="B41" s="590">
        <v>3265</v>
      </c>
      <c r="C41" s="83" t="s">
        <v>15</v>
      </c>
      <c r="D41" s="131">
        <f>'Falhas UM-3-1 Cost'!D41</f>
        <v>210.98159999999999</v>
      </c>
      <c r="E41" s="351">
        <f>'Falhas UM-3-2 Qty'!E41*'Falhas UM-3-2 Cost'!$D41/1000</f>
        <v>39.66870513393912</v>
      </c>
      <c r="F41" s="351">
        <f>'Falhas UM-3-2 Qty'!F41*'Falhas UM-3-2 Cost'!$D41/1000</f>
        <v>41.515928727304043</v>
      </c>
      <c r="G41" s="351">
        <f>'Falhas UM-3-2 Qty'!G41*'Falhas UM-3-2 Cost'!$D41/1000</f>
        <v>39.954287999861272</v>
      </c>
      <c r="H41" s="351">
        <f>'Falhas UM-3-2 Qty'!H41*'Falhas UM-3-2 Cost'!$D41/1000</f>
        <v>40.212594522377671</v>
      </c>
      <c r="I41" s="351">
        <f>'Falhas UM-3-2 Qty'!I41*'Falhas UM-3-2 Cost'!$D41/1000</f>
        <v>40.703845646364528</v>
      </c>
      <c r="J41" s="351">
        <f>'Falhas UM-3-2 Qty'!J41*'Falhas UM-3-2 Cost'!$D41/1000</f>
        <v>46.279521144652044</v>
      </c>
      <c r="K41" s="351">
        <f>'Falhas UM-3-2 Qty'!K41*'Falhas UM-3-2 Cost'!$D41/1000</f>
        <v>45.710276984209315</v>
      </c>
      <c r="L41" s="351">
        <f>'Falhas UM-3-2 Qty'!L41*'Falhas UM-3-2 Cost'!$D41/1000</f>
        <v>45.734253369231091</v>
      </c>
      <c r="M41" s="351">
        <f>'Falhas UM-3-2 Qty'!M41*'Falhas UM-3-2 Cost'!$D41/1000</f>
        <v>43.514821405561847</v>
      </c>
      <c r="N41" s="351">
        <f>'Falhas UM-3-2 Qty'!N41*'Falhas UM-3-2 Cost'!$D41/1000</f>
        <v>33.747015208777803</v>
      </c>
      <c r="O41" s="351">
        <f>'Falhas UM-3-2 Qty'!O41*'Falhas UM-3-2 Cost'!$D41/1000</f>
        <v>32.391017156628706</v>
      </c>
      <c r="P41" s="609">
        <f>'Falhas UM-3-2 Qty'!P41*'Falhas UM-3-2 Cost'!$D41/1000</f>
        <v>41.068182551375948</v>
      </c>
      <c r="Q41" s="848">
        <f t="shared" si="0"/>
        <v>248.33488317449866</v>
      </c>
      <c r="R41" s="370">
        <f t="shared" si="1"/>
        <v>242.16556667578467</v>
      </c>
      <c r="S41" s="808">
        <f t="shared" si="2"/>
        <v>490.5004498502833</v>
      </c>
    </row>
    <row r="42" spans="1:19" ht="18" customHeight="1">
      <c r="A42" s="1002"/>
      <c r="B42" s="590">
        <v>3275</v>
      </c>
      <c r="C42" s="83" t="s">
        <v>14</v>
      </c>
      <c r="D42" s="131">
        <f>'Falhas UM-3-1 Cost'!D42</f>
        <v>210.98159999999999</v>
      </c>
      <c r="E42" s="351">
        <f>'Falhas UM-3-2 Qty'!E42*'Falhas UM-3-2 Cost'!$D42/1000</f>
        <v>30.313084911755986</v>
      </c>
      <c r="F42" s="351">
        <f>'Falhas UM-3-2 Qty'!F42*'Falhas UM-3-2 Cost'!$D42/1000</f>
        <v>31.724652177377738</v>
      </c>
      <c r="G42" s="351">
        <f>'Falhas UM-3-2 Qty'!G42*'Falhas UM-3-2 Cost'!$D42/1000</f>
        <v>30.531314814517152</v>
      </c>
      <c r="H42" s="351">
        <f>'Falhas UM-3-2 Qty'!H42*'Falhas UM-3-2 Cost'!$D42/1000</f>
        <v>30.728701331769539</v>
      </c>
      <c r="I42" s="351">
        <f>'Falhas UM-3-2 Qty'!I42*'Falhas UM-3-2 Cost'!$D42/1000</f>
        <v>31.104093898381667</v>
      </c>
      <c r="J42" s="351">
        <f>'Falhas UM-3-2 Qty'!J42*'Falhas UM-3-2 Cost'!$D42/1000</f>
        <v>35.364780609715304</v>
      </c>
      <c r="K42" s="351">
        <f>'Falhas UM-3-2 Qty'!K42*'Falhas UM-3-2 Cost'!$D42/1000</f>
        <v>34.929789184793336</v>
      </c>
      <c r="L42" s="351">
        <f>'Falhas UM-3-2 Qty'!L42*'Falhas UM-3-2 Cost'!$D42/1000</f>
        <v>34.94811088681481</v>
      </c>
      <c r="M42" s="351">
        <f>'Falhas UM-3-2 Qty'!M42*'Falhas UM-3-2 Cost'!$D42/1000</f>
        <v>33.252118306683663</v>
      </c>
      <c r="N42" s="351">
        <f>'Falhas UM-3-2 Qty'!N42*'Falhas UM-3-2 Cost'!$D42/1000</f>
        <v>25.787989148826043</v>
      </c>
      <c r="O42" s="351">
        <f>'Falhas UM-3-2 Qty'!O42*'Falhas UM-3-2 Cost'!$D42/1000</f>
        <v>24.751794900584656</v>
      </c>
      <c r="P42" s="609">
        <f>'Falhas UM-3-2 Qty'!P42*'Falhas UM-3-2 Cost'!$D42/1000</f>
        <v>31.382504184293623</v>
      </c>
      <c r="Q42" s="848">
        <f t="shared" si="0"/>
        <v>189.7666277435174</v>
      </c>
      <c r="R42" s="370">
        <f t="shared" si="1"/>
        <v>185.0523066119961</v>
      </c>
      <c r="S42" s="808">
        <f t="shared" si="2"/>
        <v>374.81893435551353</v>
      </c>
    </row>
    <row r="43" spans="1:19" ht="18" customHeight="1">
      <c r="A43" s="1002"/>
      <c r="B43" s="590">
        <v>3285</v>
      </c>
      <c r="C43" s="83" t="s">
        <v>68</v>
      </c>
      <c r="D43" s="131">
        <f>'Falhas UM-3-1 Cost'!D43</f>
        <v>210.98159999999999</v>
      </c>
      <c r="E43" s="351">
        <f>'Falhas UM-3-2 Qty'!E43*'Falhas UM-3-2 Cost'!$D43/1000</f>
        <v>108.57655410423058</v>
      </c>
      <c r="F43" s="351">
        <f>'Falhas UM-3-2 Qty'!F43*'Falhas UM-3-2 Cost'!$D43/1000</f>
        <v>113.63255912759601</v>
      </c>
      <c r="G43" s="351">
        <f>'Falhas UM-3-2 Qty'!G43*'Falhas UM-3-2 Cost'!$D43/1000</f>
        <v>109.35821822430565</v>
      </c>
      <c r="H43" s="351">
        <f>'Falhas UM-3-2 Qty'!H43*'Falhas UM-3-2 Cost'!$D43/1000</f>
        <v>110.06522471778159</v>
      </c>
      <c r="I43" s="351">
        <f>'Falhas UM-3-2 Qty'!I43*'Falhas UM-3-2 Cost'!$D43/1000</f>
        <v>111.40982001178551</v>
      </c>
      <c r="J43" s="351">
        <f>'Falhas UM-3-2 Qty'!J43*'Falhas UM-3-2 Cost'!$D43/1000</f>
        <v>126.67090883138246</v>
      </c>
      <c r="K43" s="351">
        <f>'Falhas UM-3-2 Qty'!K43*'Falhas UM-3-2 Cost'!$D43/1000</f>
        <v>125.11284009240697</v>
      </c>
      <c r="L43" s="351">
        <f>'Falhas UM-3-2 Qty'!L43*'Falhas UM-3-2 Cost'!$D43/1000</f>
        <v>125.17846545771069</v>
      </c>
      <c r="M43" s="351">
        <f>'Falhas UM-3-2 Qty'!M43*'Falhas UM-3-2 Cost'!$D43/1000</f>
        <v>119.10369508468382</v>
      </c>
      <c r="N43" s="351">
        <f>'Falhas UM-3-2 Qty'!N43*'Falhas UM-3-2 Cost'!$D43/1000</f>
        <v>92.36839494257282</v>
      </c>
      <c r="O43" s="351">
        <f>'Falhas UM-3-2 Qty'!O43*'Falhas UM-3-2 Cost'!$D43/1000</f>
        <v>88.656915191033519</v>
      </c>
      <c r="P43" s="609">
        <f>'Falhas UM-3-2 Qty'!P43*'Falhas UM-3-2 Cost'!$D43/1000</f>
        <v>112.4070405045032</v>
      </c>
      <c r="Q43" s="848">
        <f t="shared" si="0"/>
        <v>679.71328501708183</v>
      </c>
      <c r="R43" s="370">
        <f t="shared" si="1"/>
        <v>662.82735127291107</v>
      </c>
      <c r="S43" s="808">
        <f t="shared" si="2"/>
        <v>1342.540636289993</v>
      </c>
    </row>
    <row r="44" spans="1:19" ht="18" customHeight="1">
      <c r="A44" s="1002"/>
      <c r="B44" s="590">
        <v>3295</v>
      </c>
      <c r="C44" s="83" t="s">
        <v>13</v>
      </c>
      <c r="D44" s="131">
        <f>'Falhas UM-3-1 Cost'!D44</f>
        <v>210.98159999999999</v>
      </c>
      <c r="E44" s="351">
        <f>'Falhas UM-3-2 Qty'!E44*'Falhas UM-3-2 Cost'!$D44/1000</f>
        <v>44.048754147444683</v>
      </c>
      <c r="F44" s="351">
        <f>'Falhas UM-3-2 Qty'!F44*'Falhas UM-3-2 Cost'!$D44/1000</f>
        <v>46.099940281319157</v>
      </c>
      <c r="G44" s="351">
        <f>'Falhas UM-3-2 Qty'!G44*'Falhas UM-3-2 Cost'!$D44/1000</f>
        <v>44.365869853824648</v>
      </c>
      <c r="H44" s="351">
        <f>'Falhas UM-3-2 Qty'!H44*'Falhas UM-3-2 Cost'!$D44/1000</f>
        <v>44.652697479445116</v>
      </c>
      <c r="I44" s="351">
        <f>'Falhas UM-3-2 Qty'!I44*'Falhas UM-3-2 Cost'!$D44/1000</f>
        <v>45.198190454627699</v>
      </c>
      <c r="J44" s="351">
        <f>'Falhas UM-3-2 Qty'!J44*'Falhas UM-3-2 Cost'!$D44/1000</f>
        <v>51.389508230207667</v>
      </c>
      <c r="K44" s="351">
        <f>'Falhas UM-3-2 Qty'!K44*'Falhas UM-3-2 Cost'!$D44/1000</f>
        <v>50.757410560557311</v>
      </c>
      <c r="L44" s="351">
        <f>'Falhas UM-3-2 Qty'!L44*'Falhas UM-3-2 Cost'!$D44/1000</f>
        <v>50.784034315620715</v>
      </c>
      <c r="M44" s="351">
        <f>'Falhas UM-3-2 Qty'!M44*'Falhas UM-3-2 Cost'!$D44/1000</f>
        <v>48.319542152729213</v>
      </c>
      <c r="N44" s="351">
        <f>'Falhas UM-3-2 Qty'!N44*'Falhas UM-3-2 Cost'!$D44/1000</f>
        <v>37.473216509649113</v>
      </c>
      <c r="O44" s="351">
        <f>'Falhas UM-3-2 Qty'!O44*'Falhas UM-3-2 Cost'!$D44/1000</f>
        <v>35.967494943445864</v>
      </c>
      <c r="P44" s="609">
        <f>'Falhas UM-3-2 Qty'!P44*'Falhas UM-3-2 Cost'!$D44/1000</f>
        <v>45.602755884769699</v>
      </c>
      <c r="Q44" s="848">
        <f t="shared" si="0"/>
        <v>275.75496044686895</v>
      </c>
      <c r="R44" s="370">
        <f t="shared" si="1"/>
        <v>268.90445436677192</v>
      </c>
      <c r="S44" s="808">
        <f t="shared" si="2"/>
        <v>544.65941481364086</v>
      </c>
    </row>
    <row r="45" spans="1:19" ht="18" customHeight="1">
      <c r="A45" s="1002"/>
      <c r="B45" s="590">
        <v>3305</v>
      </c>
      <c r="C45" s="83" t="s">
        <v>12</v>
      </c>
      <c r="D45" s="131">
        <f>'Falhas UM-3-1 Cost'!D45</f>
        <v>210.98159999999999</v>
      </c>
      <c r="E45" s="351">
        <f>'Falhas UM-3-2 Qty'!E45*'Falhas UM-3-2 Cost'!$D45/1000</f>
        <v>26.098657028208574</v>
      </c>
      <c r="F45" s="351">
        <f>'Falhas UM-3-2 Qty'!F45*'Falhas UM-3-2 Cost'!$D45/1000</f>
        <v>27.313974111407227</v>
      </c>
      <c r="G45" s="351">
        <f>'Falhas UM-3-2 Qty'!G45*'Falhas UM-3-2 Cost'!$D45/1000</f>
        <v>26.286546429833088</v>
      </c>
      <c r="H45" s="351">
        <f>'Falhas UM-3-2 Qty'!H45*'Falhas UM-3-2 Cost'!$D45/1000</f>
        <v>26.456490301621763</v>
      </c>
      <c r="I45" s="351">
        <f>'Falhas UM-3-2 Qty'!I45*'Falhas UM-3-2 Cost'!$D45/1000</f>
        <v>26.779692043558274</v>
      </c>
      <c r="J45" s="351">
        <f>'Falhas UM-3-2 Qty'!J45*'Falhas UM-3-2 Cost'!$D45/1000</f>
        <v>30.448015525231291</v>
      </c>
      <c r="K45" s="351">
        <f>'Falhas UM-3-2 Qty'!K45*'Falhas UM-3-2 Cost'!$D45/1000</f>
        <v>30.073500953642849</v>
      </c>
      <c r="L45" s="351">
        <f>'Falhas UM-3-2 Qty'!L45*'Falhas UM-3-2 Cost'!$D45/1000</f>
        <v>30.089275389620699</v>
      </c>
      <c r="M45" s="351">
        <f>'Falhas UM-3-2 Qty'!M45*'Falhas UM-3-2 Cost'!$D45/1000</f>
        <v>28.629076640463921</v>
      </c>
      <c r="N45" s="351">
        <f>'Falhas UM-3-2 Qty'!N45*'Falhas UM-3-2 Cost'!$D45/1000</f>
        <v>22.202685282663559</v>
      </c>
      <c r="O45" s="351">
        <f>'Falhas UM-3-2 Qty'!O45*'Falhas UM-3-2 Cost'!$D45/1000</f>
        <v>21.310553110099143</v>
      </c>
      <c r="P45" s="609">
        <f>'Falhas UM-3-2 Qty'!P45*'Falhas UM-3-2 Cost'!$D45/1000</f>
        <v>27.019394950283012</v>
      </c>
      <c r="Q45" s="848">
        <f t="shared" si="0"/>
        <v>163.3833754398602</v>
      </c>
      <c r="R45" s="370">
        <f t="shared" si="1"/>
        <v>159.32448632677318</v>
      </c>
      <c r="S45" s="808">
        <f t="shared" si="2"/>
        <v>322.70786176663341</v>
      </c>
    </row>
    <row r="46" spans="1:19" ht="18" customHeight="1">
      <c r="A46" s="1002"/>
      <c r="B46" s="590">
        <v>3315</v>
      </c>
      <c r="C46" s="83" t="s">
        <v>133</v>
      </c>
      <c r="D46" s="131">
        <f>'Falhas UM-3-1 Cost'!D46</f>
        <v>210.98159999999999</v>
      </c>
      <c r="E46" s="351">
        <f>'Falhas UM-3-2 Qty'!E46*'Falhas UM-3-2 Cost'!$D46/1000</f>
        <v>247.83534834295872</v>
      </c>
      <c r="F46" s="351">
        <f>'Falhas UM-3-2 Qty'!F46*'Falhas UM-3-2 Cost'!$D46/1000</f>
        <v>259.376115836709</v>
      </c>
      <c r="G46" s="351">
        <f>'Falhas UM-3-2 Qty'!G46*'Falhas UM-3-2 Cost'!$D46/1000</f>
        <v>249.61956410744162</v>
      </c>
      <c r="H46" s="351">
        <f>'Falhas UM-3-2 Qty'!H46*'Falhas UM-3-2 Cost'!$D46/1000</f>
        <v>251.23336740076709</v>
      </c>
      <c r="I46" s="351">
        <f>'Falhas UM-3-2 Qty'!I46*'Falhas UM-3-2 Cost'!$D46/1000</f>
        <v>254.30252211670938</v>
      </c>
      <c r="J46" s="351">
        <f>'Falhas UM-3-2 Qty'!J46*'Falhas UM-3-2 Cost'!$D46/1000</f>
        <v>289.13727345783963</v>
      </c>
      <c r="K46" s="351">
        <f>'Falhas UM-3-2 Qty'!K46*'Falhas UM-3-2 Cost'!$D46/1000</f>
        <v>285.58084719388233</v>
      </c>
      <c r="L46" s="351">
        <f>'Falhas UM-3-2 Qty'!L46*'Falhas UM-3-2 Cost'!$D46/1000</f>
        <v>285.73064274969425</v>
      </c>
      <c r="M46" s="351">
        <f>'Falhas UM-3-2 Qty'!M46*'Falhas UM-3-2 Cost'!$D46/1000</f>
        <v>271.86445548741176</v>
      </c>
      <c r="N46" s="351">
        <f>'Falhas UM-3-2 Qty'!N46*'Falhas UM-3-2 Cost'!$D46/1000</f>
        <v>210.83882727109454</v>
      </c>
      <c r="O46" s="351">
        <f>'Falhas UM-3-2 Qty'!O46*'Falhas UM-3-2 Cost'!$D46/1000</f>
        <v>202.36705466162707</v>
      </c>
      <c r="P46" s="609">
        <f>'Falhas UM-3-2 Qty'!P46*'Falhas UM-3-2 Cost'!$D46/1000</f>
        <v>256.57876389124732</v>
      </c>
      <c r="Q46" s="848">
        <f t="shared" si="0"/>
        <v>1551.5041912624254</v>
      </c>
      <c r="R46" s="370">
        <f t="shared" si="1"/>
        <v>1512.9605912549571</v>
      </c>
      <c r="S46" s="808">
        <f t="shared" si="2"/>
        <v>3064.4647825173824</v>
      </c>
    </row>
    <row r="47" spans="1:19" ht="18" customHeight="1">
      <c r="A47" s="1002"/>
      <c r="B47" s="590">
        <v>3325</v>
      </c>
      <c r="C47" s="83" t="s">
        <v>11</v>
      </c>
      <c r="D47" s="131">
        <f>'Falhas UM-3-1 Cost'!D47</f>
        <v>210.98159999999999</v>
      </c>
      <c r="E47" s="351">
        <f>'Falhas UM-3-2 Qty'!E47*'Falhas UM-3-2 Cost'!$D47/1000</f>
        <v>403.9061175977094</v>
      </c>
      <c r="F47" s="351">
        <f>'Falhas UM-3-2 Qty'!F47*'Falhas UM-3-2 Cost'!$D47/1000</f>
        <v>422.71451851252976</v>
      </c>
      <c r="G47" s="351">
        <f>'Falhas UM-3-2 Qty'!G47*'Falhas UM-3-2 Cost'!$D47/1000</f>
        <v>406.81391774489282</v>
      </c>
      <c r="H47" s="351">
        <f>'Falhas UM-3-2 Qty'!H47*'Falhas UM-3-2 Cost'!$D47/1000</f>
        <v>409.44399060226226</v>
      </c>
      <c r="I47" s="351">
        <f>'Falhas UM-3-2 Qty'!I47*'Falhas UM-3-2 Cost'!$D47/1000</f>
        <v>414.44590164486095</v>
      </c>
      <c r="J47" s="351">
        <f>'Falhas UM-3-2 Qty'!J47*'Falhas UM-3-2 Cost'!$D47/1000</f>
        <v>471.21733988299025</v>
      </c>
      <c r="K47" s="351">
        <f>'Falhas UM-3-2 Qty'!K47*'Falhas UM-3-2 Cost'!$D47/1000</f>
        <v>465.42130499772549</v>
      </c>
      <c r="L47" s="351">
        <f>'Falhas UM-3-2 Qty'!L47*'Falhas UM-3-2 Cost'!$D47/1000</f>
        <v>465.66543216435412</v>
      </c>
      <c r="M47" s="351">
        <f>'Falhas UM-3-2 Qty'!M47*'Falhas UM-3-2 Cost'!$D47/1000</f>
        <v>443.06721161011313</v>
      </c>
      <c r="N47" s="351">
        <f>'Falhas UM-3-2 Qty'!N47*'Falhas UM-3-2 Cost'!$D47/1000</f>
        <v>343.61156603083617</v>
      </c>
      <c r="O47" s="351">
        <f>'Falhas UM-3-2 Qty'!O47*'Falhas UM-3-2 Cost'!$D47/1000</f>
        <v>329.80481567525152</v>
      </c>
      <c r="P47" s="609">
        <f>'Falhas UM-3-2 Qty'!P47*'Falhas UM-3-2 Cost'!$D47/1000</f>
        <v>418.15557415128274</v>
      </c>
      <c r="Q47" s="848">
        <f t="shared" si="0"/>
        <v>2528.541785985245</v>
      </c>
      <c r="R47" s="370">
        <f t="shared" si="1"/>
        <v>2465.725904629563</v>
      </c>
      <c r="S47" s="808">
        <f t="shared" si="2"/>
        <v>4994.2676906148081</v>
      </c>
    </row>
    <row r="48" spans="1:19" ht="18" customHeight="1">
      <c r="A48" s="1002"/>
      <c r="B48" s="590">
        <v>3335</v>
      </c>
      <c r="C48" s="83" t="s">
        <v>6</v>
      </c>
      <c r="D48" s="131">
        <f>'Falhas UM-3-1 Cost'!D48</f>
        <v>210.98159999999999</v>
      </c>
      <c r="E48" s="351">
        <f>'Falhas UM-3-2 Qty'!E48*'Falhas UM-3-2 Cost'!$D48/1000</f>
        <v>172.20872757391189</v>
      </c>
      <c r="F48" s="351">
        <f>'Falhas UM-3-2 Qty'!F48*'Falhas UM-3-2 Cost'!$D48/1000</f>
        <v>180.22784550286389</v>
      </c>
      <c r="G48" s="351">
        <f>'Falhas UM-3-2 Qty'!G48*'Falhas UM-3-2 Cost'!$D48/1000</f>
        <v>173.44849231519376</v>
      </c>
      <c r="H48" s="351">
        <f>'Falhas UM-3-2 Qty'!H48*'Falhas UM-3-2 Cost'!$D48/1000</f>
        <v>174.56984572000991</v>
      </c>
      <c r="I48" s="351">
        <f>'Falhas UM-3-2 Qty'!I48*'Falhas UM-3-2 Cost'!$D48/1000</f>
        <v>176.70245203260293</v>
      </c>
      <c r="J48" s="351">
        <f>'Falhas UM-3-2 Qty'!J48*'Falhas UM-3-2 Cost'!$D48/1000</f>
        <v>200.90742619758103</v>
      </c>
      <c r="K48" s="351">
        <f>'Falhas UM-3-2 Qty'!K48*'Falhas UM-3-2 Cost'!$D48/1000</f>
        <v>198.43623858967365</v>
      </c>
      <c r="L48" s="351">
        <f>'Falhas UM-3-2 Qty'!L48*'Falhas UM-3-2 Cost'!$D48/1000</f>
        <v>198.54032423457892</v>
      </c>
      <c r="M48" s="351">
        <f>'Falhas UM-3-2 Qty'!M48*'Falhas UM-3-2 Cost'!$D48/1000</f>
        <v>188.90538522888525</v>
      </c>
      <c r="N48" s="351">
        <f>'Falhas UM-3-2 Qty'!N48*'Falhas UM-3-2 Cost'!$D48/1000</f>
        <v>146.50164478267629</v>
      </c>
      <c r="O48" s="351">
        <f>'Falhas UM-3-2 Qty'!O48*'Falhas UM-3-2 Cost'!$D48/1000</f>
        <v>140.61502210707218</v>
      </c>
      <c r="P48" s="609">
        <f>'Falhas UM-3-2 Qty'!P48*'Falhas UM-3-2 Cost'!$D48/1000</f>
        <v>178.28410171358919</v>
      </c>
      <c r="Q48" s="848">
        <f t="shared" si="0"/>
        <v>1078.0647893421635</v>
      </c>
      <c r="R48" s="370">
        <f t="shared" si="1"/>
        <v>1051.2827166564755</v>
      </c>
      <c r="S48" s="808">
        <f t="shared" si="2"/>
        <v>2129.347505998639</v>
      </c>
    </row>
    <row r="49" spans="1:19" ht="18" customHeight="1">
      <c r="A49" s="1002"/>
      <c r="B49" s="595">
        <v>0</v>
      </c>
      <c r="C49" s="98" t="s">
        <v>1</v>
      </c>
      <c r="D49" s="318">
        <f>'Falhas UM-3-1 Cost'!D49</f>
        <v>657.86546343483792</v>
      </c>
      <c r="E49" s="355">
        <f>SUBTOTAL(109,E37:E48)</f>
        <v>1234.4240768253569</v>
      </c>
      <c r="F49" s="355">
        <f t="shared" ref="F49:P49" si="5">SUBTOTAL(109,F37:F48)</f>
        <v>1291.906600422494</v>
      </c>
      <c r="G49" s="355">
        <f t="shared" si="5"/>
        <v>1243.3109402718144</v>
      </c>
      <c r="H49" s="355">
        <f t="shared" si="5"/>
        <v>1251.3490093118462</v>
      </c>
      <c r="I49" s="355">
        <f t="shared" si="5"/>
        <v>1266.6359266228444</v>
      </c>
      <c r="J49" s="355">
        <f t="shared" si="5"/>
        <v>1440.1416676449455</v>
      </c>
      <c r="K49" s="355">
        <f t="shared" si="5"/>
        <v>1422.4277368556707</v>
      </c>
      <c r="L49" s="355">
        <f t="shared" si="5"/>
        <v>1423.173842049833</v>
      </c>
      <c r="M49" s="355">
        <f t="shared" si="5"/>
        <v>1354.1088134944871</v>
      </c>
      <c r="N49" s="355">
        <f t="shared" si="5"/>
        <v>1050.1509427658534</v>
      </c>
      <c r="O49" s="355">
        <f t="shared" si="5"/>
        <v>1007.9545403864616</v>
      </c>
      <c r="P49" s="355">
        <f t="shared" si="5"/>
        <v>1277.9734846828715</v>
      </c>
      <c r="Q49" s="839">
        <f t="shared" si="0"/>
        <v>7727.7682210993016</v>
      </c>
      <c r="R49" s="355">
        <f t="shared" si="1"/>
        <v>7535.7893602351769</v>
      </c>
      <c r="S49" s="817">
        <f t="shared" si="2"/>
        <v>15263.557581334479</v>
      </c>
    </row>
    <row r="50" spans="1:19" ht="18" customHeight="1">
      <c r="A50" s="1002"/>
      <c r="B50" s="590">
        <v>3345</v>
      </c>
      <c r="C50" s="83" t="s">
        <v>2</v>
      </c>
      <c r="D50" s="131">
        <f>'Falhas UM-3-1 Cost'!D50</f>
        <v>210.98159999999999</v>
      </c>
      <c r="E50" s="350">
        <f>'Falhas UM-3-2 Qty'!E50*'Falhas UM-3-2 Cost'!$D50/1000</f>
        <v>1214.8628823710101</v>
      </c>
      <c r="F50" s="350">
        <f>'Falhas UM-3-2 Qty'!F50*'Falhas UM-3-2 Cost'!$D50/1000</f>
        <v>1271.434514125611</v>
      </c>
      <c r="G50" s="350">
        <f>'Falhas UM-3-2 Qty'!G50*'Falhas UM-3-2 Cost'!$D50/1000</f>
        <v>1223.6089209038666</v>
      </c>
      <c r="H50" s="350">
        <f>'Falhas UM-3-2 Qty'!H50*'Falhas UM-3-2 Cost'!$D50/1000</f>
        <v>1231.5196153775066</v>
      </c>
      <c r="I50" s="350">
        <f>'Falhas UM-3-2 Qty'!I50*'Falhas UM-3-2 Cost'!$D50/1000</f>
        <v>1246.5642898744331</v>
      </c>
      <c r="J50" s="350">
        <f>'Falhas UM-3-2 Qty'!J50*'Falhas UM-3-2 Cost'!$D50/1000</f>
        <v>1417.3205871658126</v>
      </c>
      <c r="K50" s="350">
        <f>'Falhas UM-3-2 Qty'!K50*'Falhas UM-3-2 Cost'!$D50/1000</f>
        <v>1399.8873586499508</v>
      </c>
      <c r="L50" s="350">
        <f>'Falhas UM-3-2 Qty'!L50*'Falhas UM-3-2 Cost'!$D50/1000</f>
        <v>1400.6216407526319</v>
      </c>
      <c r="M50" s="350">
        <f>'Falhas UM-3-2 Qty'!M50*'Falhas UM-3-2 Cost'!$D50/1000</f>
        <v>1332.651045203681</v>
      </c>
      <c r="N50" s="350">
        <f>'Falhas UM-3-2 Qty'!N50*'Falhas UM-3-2 Cost'!$D50/1000</f>
        <v>1033.5098166054756</v>
      </c>
      <c r="O50" s="350">
        <f>'Falhas UM-3-2 Qty'!O50*'Falhas UM-3-2 Cost'!$D50/1000</f>
        <v>991.98207586977128</v>
      </c>
      <c r="P50" s="829">
        <f>'Falhas UM-3-2 Qty'!P50*'Falhas UM-3-2 Cost'!$D50/1000</f>
        <v>1257.7221883004545</v>
      </c>
      <c r="Q50" s="847">
        <f t="shared" si="0"/>
        <v>7605.3108098182411</v>
      </c>
      <c r="R50" s="369">
        <f t="shared" si="1"/>
        <v>7416.3741253819662</v>
      </c>
      <c r="S50" s="807">
        <f t="shared" si="2"/>
        <v>15021.684935200206</v>
      </c>
    </row>
    <row r="51" spans="1:19" ht="18" customHeight="1">
      <c r="A51" s="1002"/>
      <c r="B51" s="595">
        <v>3355</v>
      </c>
      <c r="C51" s="100" t="s">
        <v>60</v>
      </c>
      <c r="D51" s="319">
        <f>'Falhas UM-3-1 Cost'!D51</f>
        <v>210.98159999999999</v>
      </c>
      <c r="E51" s="356">
        <f>'Falhas UM-3-2 Qty'!E51*'Falhas UM-3-2 Cost'!$D51/1000</f>
        <v>104.53640355209411</v>
      </c>
      <c r="F51" s="356">
        <f>'Falhas UM-3-2 Qty'!F51*'Falhas UM-3-2 Cost'!$D51/1000</f>
        <v>109.40427383812808</v>
      </c>
      <c r="G51" s="356">
        <f>'Falhas UM-3-2 Qty'!G51*'Falhas UM-3-2 Cost'!$D51/1000</f>
        <v>105.28898182806257</v>
      </c>
      <c r="H51" s="356">
        <f>'Falhas UM-3-2 Qty'!H51*'Falhas UM-3-2 Cost'!$D51/1000</f>
        <v>105.96968049938903</v>
      </c>
      <c r="I51" s="356">
        <f>'Falhas UM-3-2 Qty'!I51*'Falhas UM-3-2 Cost'!$D51/1000</f>
        <v>107.26424319230065</v>
      </c>
      <c r="J51" s="356">
        <f>'Falhas UM-3-2 Qty'!J51*'Falhas UM-3-2 Cost'!$D51/1000</f>
        <v>121.95746451113396</v>
      </c>
      <c r="K51" s="356">
        <f>'Falhas UM-3-2 Qty'!K51*'Falhas UM-3-2 Cost'!$D51/1000</f>
        <v>120.45737175351073</v>
      </c>
      <c r="L51" s="356">
        <f>'Falhas UM-3-2 Qty'!L51*'Falhas UM-3-2 Cost'!$D51/1000</f>
        <v>120.52055518871219</v>
      </c>
      <c r="M51" s="356">
        <f>'Falhas UM-3-2 Qty'!M51*'Falhas UM-3-2 Cost'!$D51/1000</f>
        <v>114.67182797094264</v>
      </c>
      <c r="N51" s="356">
        <f>'Falhas UM-3-2 Qty'!N51*'Falhas UM-3-2 Cost'!$D51/1000</f>
        <v>88.931352526684876</v>
      </c>
      <c r="O51" s="356">
        <f>'Falhas UM-3-2 Qty'!O51*'Falhas UM-3-2 Cost'!$D51/1000</f>
        <v>85.357977516920926</v>
      </c>
      <c r="P51" s="382">
        <f>'Falhas UM-3-2 Qty'!P51*'Falhas UM-3-2 Cost'!$D51/1000</f>
        <v>108.22435695458751</v>
      </c>
      <c r="Q51" s="852">
        <f t="shared" si="0"/>
        <v>654.42104742110837</v>
      </c>
      <c r="R51" s="374">
        <f t="shared" si="1"/>
        <v>638.16344191135886</v>
      </c>
      <c r="S51" s="818">
        <f t="shared" si="2"/>
        <v>1292.5844893324672</v>
      </c>
    </row>
    <row r="52" spans="1:19" ht="18" customHeight="1">
      <c r="A52" s="1002"/>
      <c r="B52" s="596">
        <v>3365</v>
      </c>
      <c r="C52" s="80" t="s">
        <v>67</v>
      </c>
      <c r="D52" s="315">
        <f>'Falhas UM-3-1 Cost'!D52</f>
        <v>120</v>
      </c>
      <c r="E52" s="349">
        <f>'Falhas UM-3-2 Qty'!E52*'Falhas UM-3-2 Cost'!$D52/1000</f>
        <v>0</v>
      </c>
      <c r="F52" s="349">
        <f>'Falhas UM-3-2 Qty'!F52*'Falhas UM-3-2 Cost'!$D52/1000</f>
        <v>0</v>
      </c>
      <c r="G52" s="349">
        <f>'Falhas UM-3-2 Qty'!G52*'Falhas UM-3-2 Cost'!$D52/1000</f>
        <v>0</v>
      </c>
      <c r="H52" s="349">
        <f>'Falhas UM-3-2 Qty'!H52*'Falhas UM-3-2 Cost'!$D52/1000</f>
        <v>0</v>
      </c>
      <c r="I52" s="349">
        <f>'Falhas UM-3-2 Qty'!I52*'Falhas UM-3-2 Cost'!$D52/1000</f>
        <v>0</v>
      </c>
      <c r="J52" s="349">
        <f>'Falhas UM-3-2 Qty'!J52*'Falhas UM-3-2 Cost'!$D52/1000</f>
        <v>0</v>
      </c>
      <c r="K52" s="349">
        <f>'Falhas UM-3-2 Qty'!K52*'Falhas UM-3-2 Cost'!$D52/1000</f>
        <v>0</v>
      </c>
      <c r="L52" s="349">
        <f>'Falhas UM-3-2 Qty'!L52*'Falhas UM-3-2 Cost'!$D52/1000</f>
        <v>0</v>
      </c>
      <c r="M52" s="349">
        <f>'Falhas UM-3-2 Qty'!M52*'Falhas UM-3-2 Cost'!$D52/1000</f>
        <v>0</v>
      </c>
      <c r="N52" s="349">
        <f>'Falhas UM-3-2 Qty'!N52*'Falhas UM-3-2 Cost'!$D52/1000</f>
        <v>0</v>
      </c>
      <c r="O52" s="349">
        <f>'Falhas UM-3-2 Qty'!O52*'Falhas UM-3-2 Cost'!$D52/1000</f>
        <v>0</v>
      </c>
      <c r="P52" s="383">
        <f>'Falhas UM-3-2 Qty'!P52*'Falhas UM-3-2 Cost'!$D52/1000</f>
        <v>0</v>
      </c>
      <c r="Q52" s="846">
        <f t="shared" si="0"/>
        <v>0</v>
      </c>
      <c r="R52" s="368">
        <f t="shared" si="1"/>
        <v>0</v>
      </c>
      <c r="S52" s="820">
        <f t="shared" si="2"/>
        <v>0</v>
      </c>
    </row>
    <row r="53" spans="1:19" ht="18" customHeight="1">
      <c r="A53" s="1002"/>
      <c r="B53" s="597">
        <v>3375</v>
      </c>
      <c r="C53" s="91" t="s">
        <v>66</v>
      </c>
      <c r="D53" s="317">
        <f>'Falhas UM-3-1 Cost'!D53</f>
        <v>2.1146400000000001</v>
      </c>
      <c r="E53" s="354">
        <f>'Falhas UM-3-2 Qty'!E53*'Falhas UM-3-2 Cost'!$D53/1000</f>
        <v>319.16559998926772</v>
      </c>
      <c r="F53" s="354">
        <f>'Falhas UM-3-2 Qty'!F53*'Falhas UM-3-2 Cost'!$D53/1000</f>
        <v>334.02795116760831</v>
      </c>
      <c r="G53" s="354">
        <f>'Falhas UM-3-2 Qty'!G53*'Falhas UM-3-2 Cost'!$D53/1000</f>
        <v>321.46333636460287</v>
      </c>
      <c r="H53" s="354">
        <f>'Falhas UM-3-2 Qty'!H53*'Falhas UM-3-2 Cost'!$D53/1000</f>
        <v>323.54161333285094</v>
      </c>
      <c r="I53" s="354">
        <f>'Falhas UM-3-2 Qty'!I53*'Falhas UM-3-2 Cost'!$D53/1000</f>
        <v>327.4941108798032</v>
      </c>
      <c r="J53" s="354">
        <f>'Falhas UM-3-2 Qty'!J53*'Falhas UM-3-2 Cost'!$D53/1000</f>
        <v>372.35475883258607</v>
      </c>
      <c r="K53" s="354">
        <f>'Falhas UM-3-2 Qty'!K53*'Falhas UM-3-2 Cost'!$D53/1000</f>
        <v>367.77474661906291</v>
      </c>
      <c r="L53" s="354">
        <f>'Falhas UM-3-2 Qty'!L53*'Falhas UM-3-2 Cost'!$D53/1000</f>
        <v>367.96765529317287</v>
      </c>
      <c r="M53" s="354">
        <f>'Falhas UM-3-2 Qty'!M53*'Falhas UM-3-2 Cost'!$D53/1000</f>
        <v>350.11059815132523</v>
      </c>
      <c r="N53" s="354">
        <f>'Falhas UM-3-2 Qty'!N53*'Falhas UM-3-2 Cost'!$D53/1000</f>
        <v>271.52099673002243</v>
      </c>
      <c r="O53" s="354">
        <f>'Falhas UM-3-2 Qty'!O53*'Falhas UM-3-2 Cost'!$D53/1000</f>
        <v>260.61093726533448</v>
      </c>
      <c r="P53" s="384">
        <f>'Falhas UM-3-2 Qty'!P53*'Falhas UM-3-2 Cost'!$D53/1000</f>
        <v>330.42548478004954</v>
      </c>
      <c r="Q53" s="851">
        <f t="shared" si="0"/>
        <v>1998.0473705667191</v>
      </c>
      <c r="R53" s="373">
        <f t="shared" si="1"/>
        <v>1948.4104188389676</v>
      </c>
      <c r="S53" s="812">
        <f t="shared" si="2"/>
        <v>3946.4577894056865</v>
      </c>
    </row>
    <row r="54" spans="1:19" ht="18" customHeight="1" thickBot="1">
      <c r="A54" s="1003"/>
      <c r="B54" s="598">
        <v>0</v>
      </c>
      <c r="C54" s="104" t="s">
        <v>1</v>
      </c>
      <c r="D54" s="148">
        <f>'Falhas UM-3-1 Cost'!D54</f>
        <v>52260.816986935024</v>
      </c>
      <c r="E54" s="805">
        <f>SUBTOTAL(109,E50:E53)</f>
        <v>1638.5648859123719</v>
      </c>
      <c r="F54" s="805">
        <f t="shared" ref="F54:P54" si="6">SUBTOTAL(109,F50:F53)</f>
        <v>1714.8667391313475</v>
      </c>
      <c r="G54" s="805">
        <f t="shared" si="6"/>
        <v>1650.361239096532</v>
      </c>
      <c r="H54" s="805">
        <f t="shared" si="6"/>
        <v>1661.0309092097464</v>
      </c>
      <c r="I54" s="805">
        <f t="shared" si="6"/>
        <v>1681.322643946537</v>
      </c>
      <c r="J54" s="805">
        <f t="shared" si="6"/>
        <v>1911.6328105095326</v>
      </c>
      <c r="K54" s="805">
        <f t="shared" si="6"/>
        <v>1888.1194770225243</v>
      </c>
      <c r="L54" s="805">
        <f t="shared" si="6"/>
        <v>1889.109851234517</v>
      </c>
      <c r="M54" s="805">
        <f t="shared" si="6"/>
        <v>1797.4334713259486</v>
      </c>
      <c r="N54" s="805">
        <f t="shared" si="6"/>
        <v>1393.9621658621829</v>
      </c>
      <c r="O54" s="805">
        <f t="shared" si="6"/>
        <v>1337.9509906520268</v>
      </c>
      <c r="P54" s="562">
        <f t="shared" si="6"/>
        <v>1696.3720300350917</v>
      </c>
      <c r="Q54" s="842">
        <f t="shared" si="0"/>
        <v>10257.779227806068</v>
      </c>
      <c r="R54" s="357">
        <f t="shared" si="1"/>
        <v>10002.947986132291</v>
      </c>
      <c r="S54" s="822">
        <f t="shared" si="2"/>
        <v>20260.727213938357</v>
      </c>
    </row>
    <row r="55" spans="1:19" ht="20.100000000000001" customHeight="1" thickTop="1">
      <c r="A55" s="105"/>
      <c r="B55" s="590">
        <v>0</v>
      </c>
      <c r="C55" s="83"/>
      <c r="D55" s="131">
        <f>'Falhas UM-3-1 Cost'!D55</f>
        <v>0</v>
      </c>
      <c r="E55" s="350"/>
      <c r="F55" s="350"/>
      <c r="G55" s="350"/>
      <c r="H55" s="350"/>
      <c r="I55" s="350"/>
      <c r="J55" s="350"/>
      <c r="K55" s="350"/>
      <c r="L55" s="350"/>
      <c r="M55" s="350"/>
      <c r="N55" s="350"/>
      <c r="O55" s="350"/>
      <c r="P55" s="829"/>
      <c r="Q55" s="847">
        <f t="shared" si="0"/>
        <v>0</v>
      </c>
      <c r="R55" s="369">
        <f t="shared" si="1"/>
        <v>0</v>
      </c>
      <c r="S55" s="807">
        <f t="shared" si="2"/>
        <v>0</v>
      </c>
    </row>
    <row r="56" spans="1:19" ht="20.100000000000001" customHeight="1" thickBot="1">
      <c r="A56" s="106"/>
      <c r="B56" s="599">
        <v>0</v>
      </c>
      <c r="C56" s="108" t="s">
        <v>59</v>
      </c>
      <c r="D56" s="152">
        <f>'Falhas UM-3-1 Cost'!D56</f>
        <v>55513.159759441412</v>
      </c>
      <c r="E56" s="826">
        <f>SUMIF($C$5:$C$53,$C$53,E6:E54)</f>
        <v>1638.5648859123719</v>
      </c>
      <c r="F56" s="826">
        <f t="shared" ref="F56:P56" si="7">SUMIF($C$5:$C$53,$C$53,F6:F54)</f>
        <v>1714.8667391313475</v>
      </c>
      <c r="G56" s="826">
        <f t="shared" si="7"/>
        <v>1650.361239096532</v>
      </c>
      <c r="H56" s="826">
        <f t="shared" si="7"/>
        <v>1661.0309092097464</v>
      </c>
      <c r="I56" s="826">
        <f t="shared" si="7"/>
        <v>1681.322643946537</v>
      </c>
      <c r="J56" s="826">
        <f t="shared" si="7"/>
        <v>1911.6328105095326</v>
      </c>
      <c r="K56" s="826">
        <f t="shared" si="7"/>
        <v>1888.1194770225243</v>
      </c>
      <c r="L56" s="826">
        <f t="shared" si="7"/>
        <v>1889.109851234517</v>
      </c>
      <c r="M56" s="826">
        <f t="shared" si="7"/>
        <v>1797.4334713259486</v>
      </c>
      <c r="N56" s="826">
        <f t="shared" si="7"/>
        <v>1393.9621658621829</v>
      </c>
      <c r="O56" s="826">
        <f t="shared" si="7"/>
        <v>1337.9509906520268</v>
      </c>
      <c r="P56" s="831">
        <f t="shared" si="7"/>
        <v>1696.3720300350917</v>
      </c>
      <c r="Q56" s="853">
        <f t="shared" si="0"/>
        <v>10257.779227806068</v>
      </c>
      <c r="R56" s="367">
        <f t="shared" si="1"/>
        <v>10002.947986132291</v>
      </c>
      <c r="S56" s="854">
        <f t="shared" si="2"/>
        <v>20260.727213938357</v>
      </c>
    </row>
    <row r="57" spans="1:19">
      <c r="C57" s="110"/>
      <c r="D57" s="110"/>
      <c r="E57" s="205"/>
      <c r="F57" s="205"/>
      <c r="G57" s="205"/>
      <c r="H57" s="205"/>
      <c r="I57" s="205"/>
      <c r="J57" s="205"/>
      <c r="K57" s="205"/>
      <c r="L57" s="205"/>
      <c r="M57" s="205"/>
      <c r="N57" s="205"/>
      <c r="O57" s="205"/>
      <c r="P57" s="205"/>
      <c r="Q57" s="205"/>
    </row>
    <row r="58" spans="1:19">
      <c r="B58" s="174" t="s">
        <v>173</v>
      </c>
      <c r="C58" s="209" t="s">
        <v>175</v>
      </c>
      <c r="D58" s="209"/>
      <c r="E58" s="208">
        <f t="shared" ref="E58:P58" si="8">E18+E36</f>
        <v>3255.9917023978564</v>
      </c>
      <c r="F58" s="208">
        <f t="shared" si="8"/>
        <v>3407.6110878091513</v>
      </c>
      <c r="G58" s="208">
        <f t="shared" ref="G58:H58" si="9">G18+G36</f>
        <v>3279.4322316172979</v>
      </c>
      <c r="H58" s="208">
        <f t="shared" si="9"/>
        <v>3300.6339293069223</v>
      </c>
      <c r="I58" s="208">
        <f t="shared" ref="I58" si="10">I18+I36</f>
        <v>3340.9556281900641</v>
      </c>
      <c r="J58" s="208">
        <f t="shared" ref="J58:K58" si="11">J18+J36</f>
        <v>3798.6048783077586</v>
      </c>
      <c r="K58" s="208">
        <f t="shared" si="11"/>
        <v>3751.8815416931184</v>
      </c>
      <c r="L58" s="208">
        <f t="shared" ref="L58:M58" si="12">L18+L36</f>
        <v>3753.8495139377578</v>
      </c>
      <c r="M58" s="208">
        <f t="shared" si="12"/>
        <v>3571.6794120061741</v>
      </c>
      <c r="N58" s="208">
        <f t="shared" si="8"/>
        <v>2769.9417243257931</v>
      </c>
      <c r="O58" s="208">
        <f t="shared" si="8"/>
        <v>2658.6419379738632</v>
      </c>
      <c r="P58" s="208">
        <f t="shared" si="8"/>
        <v>3370.8602579375965</v>
      </c>
      <c r="Q58" s="208">
        <f>SUM(E58:J58)</f>
        <v>20383.229457629051</v>
      </c>
      <c r="R58" s="208">
        <f>SUM(K58:P58)</f>
        <v>19876.8543878743</v>
      </c>
      <c r="S58" s="208">
        <f t="shared" ref="S58" si="13">SUM(E58:P58)</f>
        <v>40260.083845503359</v>
      </c>
    </row>
    <row r="59" spans="1:19">
      <c r="B59" s="174"/>
      <c r="C59" s="174" t="s">
        <v>176</v>
      </c>
      <c r="D59" s="174"/>
      <c r="E59" s="208">
        <v>5129.8188028990662</v>
      </c>
      <c r="F59" s="208">
        <v>2497.4954176861743</v>
      </c>
      <c r="G59" s="208">
        <f>'[7]Falhas UM-3'!$AA$19+'[7]Falhas UM-3'!$AA$37</f>
        <v>2132.1060175462453</v>
      </c>
      <c r="H59" s="208">
        <f>'[8]Falhas UM-3'!$AA$19+'[8]Falhas UM-3'!$AA$37</f>
        <v>2266.0819987090545</v>
      </c>
      <c r="I59" s="208">
        <f>'[9]Falhas UM-3'!$AA$19+'[9]Falhas UM-3'!$AA$37</f>
        <v>3275.1827681235054</v>
      </c>
      <c r="J59" s="208">
        <f>'[10]Falhas UM-3'!$AA$19+'[10]Falhas UM-3'!$AA$37</f>
        <v>3191.0309147974708</v>
      </c>
      <c r="K59" s="208">
        <f>'[11]Falhas UM-3'!$AA$19+'[11]Falhas UM-3'!$AA$37</f>
        <v>932.54616425816153</v>
      </c>
      <c r="L59" s="208">
        <f>'[12]Falhas UM-3'!$AA$19+'[12]Falhas UM-3'!$AA$37</f>
        <v>2496.9330671248836</v>
      </c>
      <c r="M59" s="208">
        <f>'[2]Falhas UM-3'!$AA$19+'[2]Falhas UM-3'!$AA$37</f>
        <v>2605.4528407297939</v>
      </c>
      <c r="N59" s="208">
        <f>'[13]Falhas UM-3-2 Cost'!N$60</f>
        <v>1479.1217437973996</v>
      </c>
      <c r="O59" s="208">
        <f>'[13]Falhas UM-3-2 Cost'!O$60</f>
        <v>1647.9360284043817</v>
      </c>
      <c r="P59" s="208">
        <f>'[13]Falhas UM-3-2 Cost'!P$60</f>
        <v>1688.5990506145097</v>
      </c>
      <c r="Q59" s="208">
        <f t="shared" ref="Q59:Q65" si="14">SUM(E59:J59)</f>
        <v>18491.715919761515</v>
      </c>
      <c r="R59" s="208">
        <f t="shared" ref="R59:R65" si="15">SUM(K59:P59)</f>
        <v>10850.588894929129</v>
      </c>
      <c r="S59" s="208">
        <f t="shared" ref="S59:S65" si="16">SUM(E59:P59)</f>
        <v>29342.304814690648</v>
      </c>
    </row>
    <row r="60" spans="1:19">
      <c r="B60" s="174" t="s">
        <v>174</v>
      </c>
      <c r="C60" s="174" t="s">
        <v>175</v>
      </c>
      <c r="D60" s="174"/>
      <c r="E60" s="208">
        <f t="shared" ref="E60:P60" si="17">E49</f>
        <v>1234.4240768253569</v>
      </c>
      <c r="F60" s="208">
        <f t="shared" si="17"/>
        <v>1291.906600422494</v>
      </c>
      <c r="G60" s="208">
        <f t="shared" ref="G60:H60" si="18">G49</f>
        <v>1243.3109402718144</v>
      </c>
      <c r="H60" s="208">
        <f t="shared" si="18"/>
        <v>1251.3490093118462</v>
      </c>
      <c r="I60" s="208">
        <f t="shared" ref="I60" si="19">I49</f>
        <v>1266.6359266228444</v>
      </c>
      <c r="J60" s="208">
        <f t="shared" ref="J60:K60" si="20">J49</f>
        <v>1440.1416676449455</v>
      </c>
      <c r="K60" s="208">
        <f t="shared" si="20"/>
        <v>1422.4277368556707</v>
      </c>
      <c r="L60" s="208">
        <f t="shared" ref="L60:M60" si="21">L49</f>
        <v>1423.173842049833</v>
      </c>
      <c r="M60" s="208">
        <f t="shared" si="21"/>
        <v>1354.1088134944871</v>
      </c>
      <c r="N60" s="208">
        <f t="shared" si="17"/>
        <v>1050.1509427658534</v>
      </c>
      <c r="O60" s="208">
        <f t="shared" si="17"/>
        <v>1007.9545403864616</v>
      </c>
      <c r="P60" s="208">
        <f t="shared" si="17"/>
        <v>1277.9734846828715</v>
      </c>
      <c r="Q60" s="208">
        <f t="shared" si="14"/>
        <v>7727.7682210993016</v>
      </c>
      <c r="R60" s="208">
        <f t="shared" si="15"/>
        <v>7535.7893602351769</v>
      </c>
      <c r="S60" s="208">
        <f t="shared" si="16"/>
        <v>15263.55758133448</v>
      </c>
    </row>
    <row r="61" spans="1:19">
      <c r="B61" s="174"/>
      <c r="C61" s="174" t="s">
        <v>176</v>
      </c>
      <c r="D61" s="174"/>
      <c r="E61" s="208">
        <v>1128.4241550950824</v>
      </c>
      <c r="F61" s="208">
        <v>1002.1052924491274</v>
      </c>
      <c r="G61" s="208">
        <f>'[7]Falhas UM-3'!$AA$50</f>
        <v>910.98651261364182</v>
      </c>
      <c r="H61" s="208">
        <f>'[8]Falhas UM-3'!$AA$50</f>
        <v>1029.9057161303365</v>
      </c>
      <c r="I61" s="208">
        <f>'[9]Falhas UM-3'!$AA$50</f>
        <v>1295.2736813196091</v>
      </c>
      <c r="J61" s="208">
        <f>'[10]Falhas UM-3'!$AA$50</f>
        <v>1456.8526027872238</v>
      </c>
      <c r="K61" s="208">
        <f>'[11]Falhas UM-3'!$AA$50</f>
        <v>479.15648713173374</v>
      </c>
      <c r="L61" s="208">
        <f>'[12]Falhas UM-3'!$AA$50</f>
        <v>1297.748070793939</v>
      </c>
      <c r="M61" s="208">
        <f>'[2]Falhas UM-3'!$AA$50</f>
        <v>1119.9374483934378</v>
      </c>
      <c r="N61" s="208">
        <f>'[13]Falhas UM-3-2 Cost'!N$62</f>
        <v>630.22056231217584</v>
      </c>
      <c r="O61" s="208">
        <f>'[13]Falhas UM-3-2 Cost'!O$62</f>
        <v>702.14853836788609</v>
      </c>
      <c r="P61" s="208">
        <f>'[13]Falhas UM-3-2 Cost'!P$62</f>
        <v>719.47413906981842</v>
      </c>
      <c r="Q61" s="208">
        <f t="shared" si="14"/>
        <v>6823.5479603950207</v>
      </c>
      <c r="R61" s="208">
        <f t="shared" si="15"/>
        <v>4948.6852460689906</v>
      </c>
      <c r="S61" s="208">
        <f t="shared" si="16"/>
        <v>11772.23320646401</v>
      </c>
    </row>
    <row r="62" spans="1:19">
      <c r="B62" s="174" t="s">
        <v>104</v>
      </c>
      <c r="C62" s="174" t="s">
        <v>175</v>
      </c>
      <c r="D62" s="174"/>
      <c r="E62" s="208">
        <f t="shared" ref="E62:P62" si="22">E54</f>
        <v>1638.5648859123719</v>
      </c>
      <c r="F62" s="208">
        <f t="shared" si="22"/>
        <v>1714.8667391313475</v>
      </c>
      <c r="G62" s="208">
        <f t="shared" ref="G62:H62" si="23">G54</f>
        <v>1650.361239096532</v>
      </c>
      <c r="H62" s="208">
        <f t="shared" si="23"/>
        <v>1661.0309092097464</v>
      </c>
      <c r="I62" s="208">
        <f t="shared" ref="I62" si="24">I54</f>
        <v>1681.322643946537</v>
      </c>
      <c r="J62" s="208">
        <f t="shared" ref="J62:K62" si="25">J54</f>
        <v>1911.6328105095326</v>
      </c>
      <c r="K62" s="208">
        <f t="shared" si="25"/>
        <v>1888.1194770225243</v>
      </c>
      <c r="L62" s="208">
        <f t="shared" ref="L62:M62" si="26">L54</f>
        <v>1889.109851234517</v>
      </c>
      <c r="M62" s="208">
        <f t="shared" si="26"/>
        <v>1797.4334713259486</v>
      </c>
      <c r="N62" s="208">
        <f t="shared" si="22"/>
        <v>1393.9621658621829</v>
      </c>
      <c r="O62" s="208">
        <f t="shared" si="22"/>
        <v>1337.9509906520268</v>
      </c>
      <c r="P62" s="208">
        <f t="shared" si="22"/>
        <v>1696.3720300350917</v>
      </c>
      <c r="Q62" s="208">
        <f t="shared" si="14"/>
        <v>10257.779227806068</v>
      </c>
      <c r="R62" s="208">
        <f t="shared" si="15"/>
        <v>10002.947986132291</v>
      </c>
      <c r="S62" s="208">
        <f t="shared" si="16"/>
        <v>20260.727213938357</v>
      </c>
    </row>
    <row r="63" spans="1:19">
      <c r="B63" s="233"/>
      <c r="C63" s="174" t="s">
        <v>176</v>
      </c>
      <c r="D63" s="174"/>
      <c r="E63" s="572">
        <v>1896.5517918713026</v>
      </c>
      <c r="F63" s="572">
        <v>1835.6666547832424</v>
      </c>
      <c r="G63" s="572">
        <f>'[7]Falhas UM-3'!$AA$55</f>
        <v>1584.3600555670314</v>
      </c>
      <c r="H63" s="572">
        <f>'[8]Falhas UM-3'!$AA$55</f>
        <v>1715.7552539935928</v>
      </c>
      <c r="I63" s="572">
        <f>'[9]Falhas UM-3'!$AA$55</f>
        <v>2394.0359044926522</v>
      </c>
      <c r="J63" s="572">
        <f>'[10]Falhas UM-3'!$AA$55</f>
        <v>2376.9252531887491</v>
      </c>
      <c r="K63" s="572">
        <f>'[11]Falhas UM-3'!$AA$55</f>
        <v>733.14611031693437</v>
      </c>
      <c r="L63" s="572">
        <f>'[12]Falhas UM-3'!$AA$55</f>
        <v>2175.6670335784042</v>
      </c>
      <c r="M63" s="572">
        <f>'[2]Falhas UM-3'!$AA$55</f>
        <v>1929.8022850390416</v>
      </c>
      <c r="N63" s="572">
        <f>'[13]Falhas UM-3-2 Cost'!N$64</f>
        <v>869.81696164999187</v>
      </c>
      <c r="O63" s="572">
        <f>'[13]Falhas UM-3-2 Cost'!O$64</f>
        <v>969.09041816952151</v>
      </c>
      <c r="P63" s="572">
        <f>'[13]Falhas UM-3-2 Cost'!P$64</f>
        <v>993.00284226756423</v>
      </c>
      <c r="Q63" s="208">
        <f t="shared" si="14"/>
        <v>11803.294913896571</v>
      </c>
      <c r="R63" s="208">
        <f t="shared" si="15"/>
        <v>7670.5256510214576</v>
      </c>
      <c r="S63" s="208">
        <f t="shared" si="16"/>
        <v>19473.820564918027</v>
      </c>
    </row>
    <row r="64" spans="1:19">
      <c r="B64" s="575" t="s">
        <v>1</v>
      </c>
      <c r="C64" s="1012" t="s">
        <v>175</v>
      </c>
      <c r="D64" s="1013"/>
      <c r="E64" s="656">
        <f t="array" ref="E64">SUM(IF($C$58:$C$63=$C$64,E58:E63))</f>
        <v>6128.9806651355857</v>
      </c>
      <c r="F64" s="656">
        <f>SUMIF($C$58:$C$63,$C64,F58:F63)</f>
        <v>6414.3844273629929</v>
      </c>
      <c r="G64" s="656">
        <f>SUMIF($C$58:$C$63,$C64,G58:G63)</f>
        <v>6173.1044109856439</v>
      </c>
      <c r="H64" s="656">
        <f t="shared" ref="H64:P64" si="27">SUMIF($C$58:$C$63,$C64,H58:H63)</f>
        <v>6213.0138478285153</v>
      </c>
      <c r="I64" s="656">
        <f t="shared" ref="I64" si="28">SUMIF($C$58:$C$63,$C64,I58:I63)</f>
        <v>6288.9141987594458</v>
      </c>
      <c r="J64" s="656">
        <f t="shared" ref="J64:K64" si="29">SUMIF($C$58:$C$63,$C64,J58:J63)</f>
        <v>7150.3793564622365</v>
      </c>
      <c r="K64" s="656">
        <f t="shared" si="29"/>
        <v>7062.4287555713126</v>
      </c>
      <c r="L64" s="656">
        <f t="shared" ref="L64:M64" si="30">SUMIF($C$58:$C$63,$C64,L58:L63)</f>
        <v>7066.1332072221076</v>
      </c>
      <c r="M64" s="656">
        <f t="shared" si="30"/>
        <v>6723.2216968266093</v>
      </c>
      <c r="N64" s="656">
        <f t="shared" si="27"/>
        <v>5214.0548329538296</v>
      </c>
      <c r="O64" s="656">
        <f t="shared" si="27"/>
        <v>5004.5474690123519</v>
      </c>
      <c r="P64" s="656">
        <f t="shared" si="27"/>
        <v>6345.2057726555595</v>
      </c>
      <c r="Q64" s="657">
        <f t="shared" si="14"/>
        <v>38368.776906534418</v>
      </c>
      <c r="R64" s="657">
        <f t="shared" si="15"/>
        <v>37415.591734241767</v>
      </c>
      <c r="S64" s="657">
        <f t="shared" si="16"/>
        <v>75784.368640776185</v>
      </c>
    </row>
    <row r="65" spans="2:19">
      <c r="B65" s="200"/>
      <c r="C65" s="1012" t="s">
        <v>176</v>
      </c>
      <c r="D65" s="1013"/>
      <c r="E65" s="656">
        <f t="array" ref="E65">SUM(IF($C$58:$C$63=$C$65,E58:E63))</f>
        <v>8154.7947498654521</v>
      </c>
      <c r="F65" s="656">
        <f>SUMIF($C$58:$C$63,$C65,F58:F63)</f>
        <v>5335.2673649185435</v>
      </c>
      <c r="G65" s="656">
        <f>SUMIF($C$58:$C$63,$C65,G58:G63)</f>
        <v>4627.4525857269182</v>
      </c>
      <c r="H65" s="656">
        <f t="shared" ref="H65:P65" si="31">SUMIF($C$58:$C$63,$C65,H58:H63)</f>
        <v>5011.742968832983</v>
      </c>
      <c r="I65" s="656">
        <f t="shared" ref="I65" si="32">SUMIF($C$58:$C$63,$C65,I58:I63)</f>
        <v>6964.492353935766</v>
      </c>
      <c r="J65" s="656">
        <f t="shared" ref="J65:K65" si="33">SUMIF($C$58:$C$63,$C65,J58:J63)</f>
        <v>7024.808770773443</v>
      </c>
      <c r="K65" s="656">
        <f t="shared" si="33"/>
        <v>2144.8487617068295</v>
      </c>
      <c r="L65" s="656">
        <f t="shared" ref="L65:M65" si="34">SUMIF($C$58:$C$63,$C65,L58:L63)</f>
        <v>5970.3481714972268</v>
      </c>
      <c r="M65" s="656">
        <f t="shared" si="34"/>
        <v>5655.1925741622736</v>
      </c>
      <c r="N65" s="656">
        <f t="shared" si="31"/>
        <v>2979.1592677595672</v>
      </c>
      <c r="O65" s="656">
        <f t="shared" si="31"/>
        <v>3319.1749849417893</v>
      </c>
      <c r="P65" s="656">
        <f t="shared" si="31"/>
        <v>3401.0760319518922</v>
      </c>
      <c r="Q65" s="657">
        <f t="shared" si="14"/>
        <v>37118.558794053104</v>
      </c>
      <c r="R65" s="657">
        <f t="shared" si="15"/>
        <v>23469.799792019581</v>
      </c>
      <c r="S65" s="657">
        <f t="shared" si="16"/>
        <v>60588.358586072689</v>
      </c>
    </row>
    <row r="66" spans="2:19">
      <c r="C66" s="110"/>
      <c r="D66" s="110"/>
      <c r="E66" s="205"/>
      <c r="F66" s="205"/>
      <c r="G66" s="205"/>
      <c r="H66" s="205"/>
      <c r="I66" s="205"/>
      <c r="J66" s="205"/>
      <c r="K66" s="205"/>
      <c r="L66" s="205"/>
      <c r="M66" s="205"/>
      <c r="N66" s="205"/>
      <c r="O66" s="205"/>
      <c r="P66" s="205"/>
    </row>
    <row r="67" spans="2:19">
      <c r="C67" s="110"/>
      <c r="D67" s="110"/>
      <c r="E67" s="110"/>
    </row>
    <row r="91" spans="5:6">
      <c r="E91" s="1" t="s">
        <v>221</v>
      </c>
      <c r="F91" s="587">
        <f>12-COUNTIF($F$64:$Q$64,"=0")</f>
        <v>12</v>
      </c>
    </row>
    <row r="92" spans="5:6">
      <c r="E92" s="1" t="s">
        <v>225</v>
      </c>
      <c r="F92" s="587">
        <f ca="1">OFFSET($E$5,0,0,,COUNTIF($E$64:$Q$64,"&gt;0"))</f>
        <v>44682</v>
      </c>
    </row>
    <row r="93" spans="5:6">
      <c r="E93" s="1" t="s">
        <v>226</v>
      </c>
      <c r="F93" s="587">
        <f ca="1">OFFSET($F$64,0,0,,COUNTIF($E$64:$Q$64,"&gt;0"))</f>
        <v>6414.3844273629929</v>
      </c>
    </row>
    <row r="94" spans="5:6">
      <c r="E94" s="1" t="s">
        <v>227</v>
      </c>
      <c r="F94" s="587">
        <f ca="1">OFFSET($F$65,0,0,,COUNTIF($E$64:$Q$64,"&gt;0"))</f>
        <v>5335.2673649185435</v>
      </c>
    </row>
  </sheetData>
  <mergeCells count="6">
    <mergeCell ref="C64:D64"/>
    <mergeCell ref="C65:D65"/>
    <mergeCell ref="A1:E1"/>
    <mergeCell ref="B4:C4"/>
    <mergeCell ref="A6:A36"/>
    <mergeCell ref="A37:A54"/>
  </mergeCells>
  <printOptions gridLinesSet="0"/>
  <pageMargins left="0.78740157480314965" right="0.19685039370078741" top="0.59055118110236227" bottom="0.59055118110236227" header="0.51181102362204722" footer="0.31496062992125984"/>
  <pageSetup paperSize="9" scale="34" orientation="landscape" r:id="rId1"/>
  <headerFooter alignWithMargins="0">
    <oddFooter>&amp;L&amp;A&amp;R&amp;F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11">
    <tabColor indexed="56"/>
    <pageSetUpPr fitToPage="1"/>
  </sheetPr>
  <dimension ref="A1:AA81"/>
  <sheetViews>
    <sheetView showGridLines="0" zoomScale="106" zoomScaleNormal="106" zoomScaleSheetLayoutView="53" workbookViewId="0">
      <pane xSplit="3" ySplit="5" topLeftCell="D6" activePane="bottomRight" state="frozen"/>
      <selection activeCell="E6" sqref="E6"/>
      <selection pane="topRight" activeCell="E6" sqref="E6"/>
      <selection pane="bottomLeft" activeCell="E6" sqref="E6"/>
      <selection pane="bottomRight" activeCell="D6" sqref="D6"/>
    </sheetView>
  </sheetViews>
  <sheetFormatPr defaultColWidth="11.42578125" defaultRowHeight="12.75"/>
  <cols>
    <col min="1" max="1" width="3.140625" style="76" bestFit="1" customWidth="1"/>
    <col min="2" max="2" width="6.42578125" style="76" bestFit="1" customWidth="1"/>
    <col min="3" max="3" width="25.140625" style="76" bestFit="1" customWidth="1"/>
    <col min="4" max="4" width="7.7109375" style="76" bestFit="1" customWidth="1"/>
    <col min="5" max="5" width="8.85546875" style="76" bestFit="1" customWidth="1"/>
    <col min="6" max="6" width="9.85546875" style="76" bestFit="1" customWidth="1"/>
    <col min="7" max="7" width="8.85546875" style="76" bestFit="1" customWidth="1"/>
    <col min="8" max="12" width="9.85546875" style="76" bestFit="1" customWidth="1"/>
    <col min="13" max="13" width="8.85546875" style="76" bestFit="1" customWidth="1"/>
    <col min="14" max="16384" width="11.42578125" style="76"/>
  </cols>
  <sheetData>
    <row r="1" spans="1:27" ht="18" customHeight="1">
      <c r="A1" s="996" t="s">
        <v>141</v>
      </c>
      <c r="B1" s="996"/>
      <c r="C1" s="996"/>
      <c r="D1" s="996"/>
      <c r="E1" s="996"/>
    </row>
    <row r="2" spans="1:27" ht="18" customHeight="1"/>
    <row r="3" spans="1:27" ht="9.9499999999999993" customHeight="1"/>
    <row r="4" spans="1:27" ht="25.5">
      <c r="A4" s="112"/>
      <c r="B4" s="1015" t="s">
        <v>57</v>
      </c>
      <c r="C4" s="1016"/>
      <c r="D4" s="381" t="s">
        <v>201</v>
      </c>
      <c r="E4" s="1024" t="s">
        <v>82</v>
      </c>
      <c r="F4" s="1025"/>
      <c r="G4" s="1025"/>
      <c r="H4" s="1025"/>
      <c r="I4" s="1025"/>
      <c r="J4" s="1025"/>
      <c r="K4" s="1025"/>
      <c r="L4" s="1025"/>
      <c r="M4" s="1025"/>
      <c r="N4" s="1025"/>
      <c r="O4" s="1025"/>
      <c r="P4" s="1025"/>
      <c r="Q4" s="1023" t="s">
        <v>163</v>
      </c>
      <c r="R4" s="1023"/>
      <c r="S4" s="1023" t="s">
        <v>164</v>
      </c>
      <c r="T4" s="1023"/>
      <c r="U4" s="1023" t="s">
        <v>1</v>
      </c>
      <c r="V4" s="1023"/>
      <c r="W4" s="1023" t="s">
        <v>52</v>
      </c>
      <c r="X4" s="1023" t="s">
        <v>54</v>
      </c>
      <c r="Y4" s="1023" t="s">
        <v>52</v>
      </c>
      <c r="Z4" s="1023" t="s">
        <v>52</v>
      </c>
    </row>
    <row r="5" spans="1:27" ht="35.25" customHeight="1">
      <c r="A5" s="112"/>
      <c r="B5" s="113" t="s">
        <v>51</v>
      </c>
      <c r="C5" s="114" t="s">
        <v>50</v>
      </c>
      <c r="D5" s="481">
        <f>'Falhas UM-1 - Qty'!E5</f>
        <v>2022</v>
      </c>
      <c r="E5" s="115">
        <f>'Falhas UM-1 - Qty'!F5</f>
        <v>44652</v>
      </c>
      <c r="F5" s="115">
        <f>'Falhas UM-1 - Qty'!G5</f>
        <v>44682</v>
      </c>
      <c r="G5" s="115">
        <f>'Falhas UM-1 - Qty'!H5</f>
        <v>44713</v>
      </c>
      <c r="H5" s="115">
        <f>'Falhas UM-1 - Qty'!I5</f>
        <v>44743</v>
      </c>
      <c r="I5" s="115">
        <f>'Falhas UM-1 - Qty'!J5</f>
        <v>44774</v>
      </c>
      <c r="J5" s="115">
        <f>'Falhas UM-1 - Qty'!K5</f>
        <v>44805</v>
      </c>
      <c r="K5" s="115">
        <f>'Falhas UM-1 - Qty'!L5</f>
        <v>44835</v>
      </c>
      <c r="L5" s="115">
        <f>'Falhas UM-1 - Qty'!M5</f>
        <v>44866</v>
      </c>
      <c r="M5" s="115">
        <f>'Falhas UM-1 - Qty'!N5</f>
        <v>44896</v>
      </c>
      <c r="N5" s="115">
        <f>'Falhas UM-1 - Qty'!O5</f>
        <v>44927</v>
      </c>
      <c r="O5" s="115">
        <f>'Falhas UM-1 - Qty'!P5</f>
        <v>44958</v>
      </c>
      <c r="P5" s="115">
        <f>'Falhas UM-1 - Qty'!Q5</f>
        <v>44986</v>
      </c>
      <c r="Q5" s="111" t="s">
        <v>49</v>
      </c>
      <c r="R5" s="111" t="s">
        <v>48</v>
      </c>
      <c r="S5" s="111" t="s">
        <v>49</v>
      </c>
      <c r="T5" s="111" t="s">
        <v>48</v>
      </c>
      <c r="U5" s="111" t="s">
        <v>49</v>
      </c>
      <c r="V5" s="111" t="s">
        <v>48</v>
      </c>
      <c r="W5" s="111" t="s">
        <v>55</v>
      </c>
      <c r="X5" s="111" t="s">
        <v>54</v>
      </c>
      <c r="Y5" s="111" t="s">
        <v>189</v>
      </c>
      <c r="Z5" s="111" t="s">
        <v>48</v>
      </c>
    </row>
    <row r="6" spans="1:27" ht="18" customHeight="1">
      <c r="A6" s="1001" t="s">
        <v>142</v>
      </c>
      <c r="B6" s="79">
        <v>4010</v>
      </c>
      <c r="C6" s="80" t="s">
        <v>143</v>
      </c>
      <c r="D6" s="358">
        <f>'[3]Falhas UM-4 Qty'!Z6</f>
        <v>46.977434528527112</v>
      </c>
      <c r="E6" s="339">
        <f>'Prod &amp; Defects - Qty'!F$8*'Falhas UM-4 Qty'!$D6/1000000</f>
        <v>463.05926560265885</v>
      </c>
      <c r="F6" s="339">
        <f>'Prod &amp; Defects - Qty'!G$8*'Falhas UM-4 Qty'!$D6/1000000</f>
        <v>528.70915926700968</v>
      </c>
      <c r="G6" s="339">
        <f>'Prod &amp; Defects - Qty'!H$8*'Falhas UM-4 Qty'!$D6/1000000</f>
        <v>478.87876305547337</v>
      </c>
      <c r="H6" s="339">
        <f>'Prod &amp; Defects - Qty'!I$8*'Falhas UM-4 Qty'!$D6/1000000</f>
        <v>481.28655926624828</v>
      </c>
      <c r="I6" s="339">
        <f>'Prod &amp; Defects - Qty'!J$8*'Falhas UM-4 Qty'!$D6/1000000</f>
        <v>519.58284411195154</v>
      </c>
      <c r="J6" s="339">
        <f>'Prod &amp; Defects - Qty'!K$8*'Falhas UM-4 Qty'!$D6/1000000</f>
        <v>547.52890355085947</v>
      </c>
      <c r="K6" s="339">
        <f>'Prod &amp; Defects - Qty'!L$8*'Falhas UM-4 Qty'!$D6/1000000</f>
        <v>534.23362609583853</v>
      </c>
      <c r="L6" s="339">
        <f>'Prod &amp; Defects - Qty'!M$8*'Falhas UM-4 Qty'!$D6/1000000</f>
        <v>533.16499248182856</v>
      </c>
      <c r="M6" s="339">
        <f>'Prod &amp; Defects - Qty'!N$8*'Falhas UM-4 Qty'!$D6/1000000</f>
        <v>532.53461569712908</v>
      </c>
      <c r="N6" s="339">
        <f>'Prod &amp; Defects - Qty'!O$8*'Falhas UM-4 Qty'!$D6/1000000</f>
        <v>394.12225900948249</v>
      </c>
      <c r="O6" s="339">
        <f>'Prod &amp; Defects - Qty'!P$8*'Falhas UM-4 Qty'!$D6/1000000</f>
        <v>411.64811338764429</v>
      </c>
      <c r="P6" s="339">
        <f>'Prod &amp; Defects - Qty'!Q$8*'Falhas UM-4 Qty'!$D6/1000000</f>
        <v>509.20899539096513</v>
      </c>
      <c r="Q6" s="339"/>
      <c r="R6" s="339">
        <f>Q6/SUM('Prod &amp; Defects - Qty'!$F$8:$K$8)*1000000</f>
        <v>0</v>
      </c>
      <c r="S6" s="339">
        <f>SUM(K6:P6)</f>
        <v>2914.9126020628883</v>
      </c>
      <c r="T6" s="339">
        <f>S6/SUM('Prod &amp; Defects - Qty'!$L$8:$Q$8)*1000000</f>
        <v>46.97743452852712</v>
      </c>
      <c r="U6" s="339">
        <f>Q6+S6</f>
        <v>2914.9126020628883</v>
      </c>
      <c r="V6" s="339">
        <f>U6/'Prod &amp; Defects - Qty'!$R$8*1000000</f>
        <v>23.076522227369754</v>
      </c>
      <c r="W6" s="339">
        <f>V6*0.9</f>
        <v>20.768870004632777</v>
      </c>
      <c r="X6" s="339">
        <f>W6*0.9</f>
        <v>18.691983004169501</v>
      </c>
      <c r="Y6" s="339">
        <f>(W6+X6)/2</f>
        <v>19.730426504401137</v>
      </c>
      <c r="Z6" s="339">
        <f>Y6*$AA$6</f>
        <v>19.730426504401137</v>
      </c>
      <c r="AA6" s="76">
        <f>'Falhas UM-3-2 Qty'!AA6</f>
        <v>1</v>
      </c>
    </row>
    <row r="7" spans="1:27" ht="18" customHeight="1">
      <c r="A7" s="1002"/>
      <c r="B7" s="82">
        <v>4020</v>
      </c>
      <c r="C7" s="83" t="s">
        <v>144</v>
      </c>
      <c r="D7" s="359">
        <f>'[3]Falhas UM-4 Qty'!Z7</f>
        <v>41.104732995195612</v>
      </c>
      <c r="E7" s="340">
        <f>'Prod &amp; Defects - Qty'!F$8*'Falhas UM-4 Qty'!$D7/1000000</f>
        <v>405.17170987679805</v>
      </c>
      <c r="F7" s="340">
        <f>'Prod &amp; Defects - Qty'!G$8*'Falhas UM-4 Qty'!$D7/1000000</f>
        <v>462.61463704638282</v>
      </c>
      <c r="G7" s="340">
        <f>'Prod &amp; Defects - Qty'!H$8*'Falhas UM-4 Qty'!$D7/1000000</f>
        <v>419.01359429305421</v>
      </c>
      <c r="H7" s="340">
        <f>'Prod &amp; Defects - Qty'!I$8*'Falhas UM-4 Qty'!$D7/1000000</f>
        <v>421.12038921159427</v>
      </c>
      <c r="I7" s="340">
        <f>'Prod &amp; Defects - Qty'!J$8*'Falhas UM-4 Qty'!$D7/1000000</f>
        <v>454.62921273695468</v>
      </c>
      <c r="J7" s="340">
        <f>'Prod &amp; Defects - Qty'!K$8*'Falhas UM-4 Qty'!$D7/1000000</f>
        <v>479.08170408802278</v>
      </c>
      <c r="K7" s="340">
        <f>'Prod &amp; Defects - Qty'!L$8*'Falhas UM-4 Qty'!$D7/1000000</f>
        <v>467.44848410974112</v>
      </c>
      <c r="L7" s="340">
        <f>'Prod &amp; Defects - Qty'!M$8*'Falhas UM-4 Qty'!$D7/1000000</f>
        <v>466.51344157677994</v>
      </c>
      <c r="M7" s="340">
        <f>'Prod &amp; Defects - Qty'!N$8*'Falhas UM-4 Qty'!$D7/1000000</f>
        <v>465.96186889765232</v>
      </c>
      <c r="N7" s="340">
        <f>'Prod &amp; Defects - Qty'!O$8*'Falhas UM-4 Qty'!$D7/1000000</f>
        <v>344.85259543516486</v>
      </c>
      <c r="O7" s="340">
        <f>'Prod &amp; Defects - Qty'!P$8*'Falhas UM-4 Qty'!$D7/1000000</f>
        <v>360.1875231926515</v>
      </c>
      <c r="P7" s="340">
        <f>'Prod &amp; Defects - Qty'!Q$8*'Falhas UM-4 Qty'!$D7/1000000</f>
        <v>445.55221042534993</v>
      </c>
      <c r="Q7" s="340"/>
      <c r="R7" s="340">
        <f>Q7/SUM('Prod &amp; Defects - Qty'!$F$8:$K$8)*1000000</f>
        <v>0</v>
      </c>
      <c r="S7" s="340">
        <f t="shared" ref="S7:S62" si="0">SUM(K7:P7)</f>
        <v>2550.5161236373397</v>
      </c>
      <c r="T7" s="340">
        <f>S7/SUM('Prod &amp; Defects - Qty'!$L$8:$Q$8)*1000000</f>
        <v>41.104732995195619</v>
      </c>
      <c r="U7" s="340">
        <f t="shared" ref="U7:U62" si="1">Q7+S7</f>
        <v>2550.5161236373397</v>
      </c>
      <c r="V7" s="340">
        <f>U7/'Prod &amp; Defects - Qty'!$R$8*1000000</f>
        <v>20.191700422417053</v>
      </c>
      <c r="W7" s="340">
        <f t="shared" ref="W7:X23" si="2">V7*0.9</f>
        <v>18.172530380175349</v>
      </c>
      <c r="X7" s="340">
        <f t="shared" si="2"/>
        <v>16.355277342157816</v>
      </c>
      <c r="Y7" s="340">
        <f t="shared" ref="Y7:Y61" si="3">(W7+X7)/2</f>
        <v>17.263903861166582</v>
      </c>
      <c r="Z7" s="340">
        <f t="shared" ref="Z7:Z14" si="4">Y7*$AA$6</f>
        <v>17.263903861166582</v>
      </c>
    </row>
    <row r="8" spans="1:27" ht="18" customHeight="1">
      <c r="A8" s="1002"/>
      <c r="B8" s="82">
        <v>4030</v>
      </c>
      <c r="C8" s="83" t="s">
        <v>145</v>
      </c>
      <c r="D8" s="359">
        <f>'[3]Falhas UM-4 Qty'!Z8</f>
        <v>8.9913879135210699</v>
      </c>
      <c r="E8" s="340">
        <f>'Prod &amp; Defects - Qty'!F$8*'Falhas UM-4 Qty'!$D8/1000000</f>
        <v>88.628626185522577</v>
      </c>
      <c r="F8" s="340">
        <f>'Prod &amp; Defects - Qty'!G$8*'Falhas UM-4 Qty'!$D8/1000000</f>
        <v>101.19388579030444</v>
      </c>
      <c r="G8" s="340">
        <f>'Prod &amp; Defects - Qty'!H$8*'Falhas UM-4 Qty'!$D8/1000000</f>
        <v>91.656446661943818</v>
      </c>
      <c r="H8" s="340">
        <f>'Prod &amp; Defects - Qty'!I$8*'Falhas UM-4 Qty'!$D8/1000000</f>
        <v>92.117294087203646</v>
      </c>
      <c r="I8" s="340">
        <f>'Prod &amp; Defects - Qty'!J$8*'Falhas UM-4 Qty'!$D8/1000000</f>
        <v>99.447127147485332</v>
      </c>
      <c r="J8" s="340">
        <f>'Prod &amp; Defects - Qty'!K$8*'Falhas UM-4 Qty'!$D8/1000000</f>
        <v>104.79594756714771</v>
      </c>
      <c r="K8" s="340">
        <f>'Prod &amp; Defects - Qty'!L$8*'Falhas UM-4 Qty'!$D8/1000000</f>
        <v>102.2512577982036</v>
      </c>
      <c r="L8" s="340">
        <f>'Prod &amp; Defects - Qty'!M$8*'Falhas UM-4 Qty'!$D8/1000000</f>
        <v>102.0467234412847</v>
      </c>
      <c r="M8" s="340">
        <f>'Prod &amp; Defects - Qty'!N$8*'Falhas UM-4 Qty'!$D8/1000000</f>
        <v>101.92607057337491</v>
      </c>
      <c r="N8" s="340">
        <f>'Prod &amp; Defects - Qty'!O$8*'Falhas UM-4 Qty'!$D8/1000000</f>
        <v>75.434219677440268</v>
      </c>
      <c r="O8" s="340">
        <f>'Prod &amp; Defects - Qty'!P$8*'Falhas UM-4 Qty'!$D8/1000000</f>
        <v>78.78863348933632</v>
      </c>
      <c r="P8" s="340">
        <f>'Prod &amp; Defects - Qty'!Q$8*'Falhas UM-4 Qty'!$D8/1000000</f>
        <v>97.461593051324073</v>
      </c>
      <c r="Q8" s="340"/>
      <c r="R8" s="340">
        <f>Q8/SUM('Prod &amp; Defects - Qty'!$F$8:$K$8)*1000000</f>
        <v>0</v>
      </c>
      <c r="S8" s="340">
        <f t="shared" si="0"/>
        <v>557.90849803096387</v>
      </c>
      <c r="T8" s="340">
        <f>S8/SUM('Prod &amp; Defects - Qty'!$L$8:$Q$8)*1000000</f>
        <v>8.9913879135210699</v>
      </c>
      <c r="U8" s="340">
        <f t="shared" si="1"/>
        <v>557.90849803096387</v>
      </c>
      <c r="V8" s="340">
        <f>U8/'Prod &amp; Defects - Qty'!$R$8*1000000</f>
        <v>4.4168006431954936</v>
      </c>
      <c r="W8" s="340">
        <f t="shared" si="2"/>
        <v>3.9751205788759445</v>
      </c>
      <c r="X8" s="340">
        <f t="shared" si="2"/>
        <v>3.5776085209883499</v>
      </c>
      <c r="Y8" s="340">
        <f t="shared" si="3"/>
        <v>3.776364549932147</v>
      </c>
      <c r="Z8" s="340">
        <f t="shared" si="4"/>
        <v>3.776364549932147</v>
      </c>
    </row>
    <row r="9" spans="1:27" ht="18" customHeight="1">
      <c r="A9" s="1002"/>
      <c r="B9" s="82">
        <v>4040</v>
      </c>
      <c r="C9" s="83" t="s">
        <v>146</v>
      </c>
      <c r="D9" s="359">
        <f>'[3]Falhas UM-4 Qty'!Z9</f>
        <v>131.45991239905331</v>
      </c>
      <c r="E9" s="340">
        <f>'Prod &amp; Defects - Qty'!F$8*'Falhas UM-4 Qty'!$D9/1000000</f>
        <v>1295.8078937820633</v>
      </c>
      <c r="F9" s="340">
        <f>'Prod &amp; Defects - Qty'!G$8*'Falhas UM-4 Qty'!$D9/1000000</f>
        <v>1479.5201240632198</v>
      </c>
      <c r="G9" s="340">
        <f>'Prod &amp; Defects - Qty'!H$8*'Falhas UM-4 Qty'!$D9/1000000</f>
        <v>1340.0765893848677</v>
      </c>
      <c r="H9" s="340">
        <f>'Prod &amp; Defects - Qty'!I$8*'Falhas UM-4 Qty'!$D9/1000000</f>
        <v>1346.8144770988304</v>
      </c>
      <c r="I9" s="340">
        <f>'Prod &amp; Defects - Qty'!J$8*'Falhas UM-4 Qty'!$D9/1000000</f>
        <v>1453.9813818383427</v>
      </c>
      <c r="J9" s="340">
        <f>'Prod &amp; Defects - Qty'!K$8*'Falhas UM-4 Qty'!$D9/1000000</f>
        <v>1532.1845992470469</v>
      </c>
      <c r="K9" s="340">
        <f>'Prod &amp; Defects - Qty'!L$8*'Falhas UM-4 Qty'!$D9/1000000</f>
        <v>1494.9795873706148</v>
      </c>
      <c r="L9" s="340">
        <f>'Prod &amp; Defects - Qty'!M$8*'Falhas UM-4 Qty'!$D9/1000000</f>
        <v>1491.9891626551243</v>
      </c>
      <c r="M9" s="340">
        <f>'Prod &amp; Defects - Qty'!N$8*'Falhas UM-4 Qty'!$D9/1000000</f>
        <v>1490.2251396145587</v>
      </c>
      <c r="N9" s="340">
        <f>'Prod &amp; Defects - Qty'!O$8*'Falhas UM-4 Qty'!$D9/1000000</f>
        <v>1102.8971284594331</v>
      </c>
      <c r="O9" s="340">
        <f>'Prod &amp; Defects - Qty'!P$8*'Falhas UM-4 Qty'!$D9/1000000</f>
        <v>1151.9408300662681</v>
      </c>
      <c r="P9" s="340">
        <f>'Prod &amp; Defects - Qty'!Q$8*'Falhas UM-4 Qty'!$D9/1000000</f>
        <v>1424.9515879002811</v>
      </c>
      <c r="Q9" s="340"/>
      <c r="R9" s="340">
        <f>Q9/SUM('Prod &amp; Defects - Qty'!$F$8:$K$8)*1000000</f>
        <v>0</v>
      </c>
      <c r="S9" s="340">
        <f t="shared" si="0"/>
        <v>8156.9834360662799</v>
      </c>
      <c r="T9" s="340">
        <f>S9/SUM('Prod &amp; Defects - Qty'!$L$8:$Q$8)*1000000</f>
        <v>131.45991239905331</v>
      </c>
      <c r="U9" s="340">
        <f t="shared" si="1"/>
        <v>8156.9834360662799</v>
      </c>
      <c r="V9" s="340">
        <f>U9/'Prod &amp; Defects - Qty'!$R$8*1000000</f>
        <v>64.576484878982768</v>
      </c>
      <c r="W9" s="340">
        <f t="shared" si="2"/>
        <v>58.118836391084493</v>
      </c>
      <c r="X9" s="340">
        <f t="shared" si="2"/>
        <v>52.306952751976041</v>
      </c>
      <c r="Y9" s="340">
        <f t="shared" si="3"/>
        <v>55.212894571530271</v>
      </c>
      <c r="Z9" s="340">
        <f t="shared" si="4"/>
        <v>55.212894571530271</v>
      </c>
    </row>
    <row r="10" spans="1:27" ht="18" customHeight="1">
      <c r="A10" s="1002"/>
      <c r="B10" s="82">
        <v>4050</v>
      </c>
      <c r="C10" s="83" t="s">
        <v>147</v>
      </c>
      <c r="D10" s="359">
        <f>'[3]Falhas UM-4 Qty'!Z10</f>
        <v>10.184283193429819</v>
      </c>
      <c r="E10" s="340">
        <f>'Prod &amp; Defects - Qty'!F$8*'Falhas UM-4 Qty'!$D10/1000000</f>
        <v>100.38706335432941</v>
      </c>
      <c r="F10" s="340">
        <f>'Prod &amp; Defects - Qty'!G$8*'Falhas UM-4 Qty'!$D10/1000000</f>
        <v>114.61936691467594</v>
      </c>
      <c r="G10" s="340">
        <f>'Prod &amp; Defects - Qty'!H$8*'Falhas UM-4 Qty'!$D10/1000000</f>
        <v>103.81658741527767</v>
      </c>
      <c r="H10" s="340">
        <f>'Prod &amp; Defects - Qty'!I$8*'Falhas UM-4 Qty'!$D10/1000000</f>
        <v>104.33857587055843</v>
      </c>
      <c r="I10" s="340">
        <f>'Prod &amp; Defects - Qty'!J$8*'Falhas UM-4 Qty'!$D10/1000000</f>
        <v>112.64086427858241</v>
      </c>
      <c r="J10" s="340">
        <f>'Prod &amp; Defects - Qty'!K$8*'Falhas UM-4 Qty'!$D10/1000000</f>
        <v>118.69931737042656</v>
      </c>
      <c r="K10" s="340">
        <f>'Prod &amp; Defects - Qty'!L$8*'Falhas UM-4 Qty'!$D10/1000000</f>
        <v>115.81702138947142</v>
      </c>
      <c r="L10" s="340">
        <f>'Prod &amp; Defects - Qty'!M$8*'Falhas UM-4 Qty'!$D10/1000000</f>
        <v>115.58535128095396</v>
      </c>
      <c r="M10" s="340">
        <f>'Prod &amp; Defects - Qty'!N$8*'Falhas UM-4 Qty'!$D10/1000000</f>
        <v>115.44869129178309</v>
      </c>
      <c r="N10" s="340">
        <f>'Prod &amp; Defects - Qty'!O$8*'Falhas UM-4 Qty'!$D10/1000000</f>
        <v>85.442143422060411</v>
      </c>
      <c r="O10" s="340">
        <f>'Prod &amp; Defects - Qty'!P$8*'Falhas UM-4 Qty'!$D10/1000000</f>
        <v>89.241590241269407</v>
      </c>
      <c r="P10" s="340">
        <f>'Prod &amp; Defects - Qty'!Q$8*'Falhas UM-4 Qty'!$D10/1000000</f>
        <v>110.39190764140866</v>
      </c>
      <c r="Q10" s="340"/>
      <c r="R10" s="340">
        <f>Q10/SUM('Prod &amp; Defects - Qty'!$F$8:$K$8)*1000000</f>
        <v>0</v>
      </c>
      <c r="S10" s="340">
        <f t="shared" si="0"/>
        <v>631.92670526694701</v>
      </c>
      <c r="T10" s="340">
        <f>S10/SUM('Prod &amp; Defects - Qty'!$L$8:$Q$8)*1000000</f>
        <v>10.184283193429822</v>
      </c>
      <c r="U10" s="340">
        <f t="shared" si="1"/>
        <v>631.92670526694701</v>
      </c>
      <c r="V10" s="340">
        <f>U10/'Prod &amp; Defects - Qty'!$R$8*1000000</f>
        <v>5.0027814384009517</v>
      </c>
      <c r="W10" s="340">
        <f t="shared" si="2"/>
        <v>4.5025032945608565</v>
      </c>
      <c r="X10" s="340">
        <f t="shared" si="2"/>
        <v>4.0522529651047714</v>
      </c>
      <c r="Y10" s="340">
        <f t="shared" si="3"/>
        <v>4.2773781298328135</v>
      </c>
      <c r="Z10" s="340">
        <f t="shared" si="4"/>
        <v>4.2773781298328135</v>
      </c>
    </row>
    <row r="11" spans="1:27" ht="18" customHeight="1">
      <c r="A11" s="1002"/>
      <c r="B11" s="82">
        <v>4060</v>
      </c>
      <c r="C11" s="83" t="s">
        <v>148</v>
      </c>
      <c r="D11" s="359">
        <f>'[3]Falhas UM-4 Qty'!Z11</f>
        <v>1.9062681825247401</v>
      </c>
      <c r="E11" s="340">
        <f>'Prod &amp; Defects - Qty'!F$8*'Falhas UM-4 Qty'!$D11/1000000</f>
        <v>18.790194771185117</v>
      </c>
      <c r="F11" s="340">
        <f>'Prod &amp; Defects - Qty'!G$8*'Falhas UM-4 Qty'!$D11/1000000</f>
        <v>21.454161093196362</v>
      </c>
      <c r="G11" s="340">
        <f>'Prod &amp; Defects - Qty'!H$8*'Falhas UM-4 Qty'!$D11/1000000</f>
        <v>19.432124347810234</v>
      </c>
      <c r="H11" s="340">
        <f>'Prod &amp; Defects - Qty'!I$8*'Falhas UM-4 Qty'!$D11/1000000</f>
        <v>19.529828817044642</v>
      </c>
      <c r="I11" s="340">
        <f>'Prod &amp; Defects - Qty'!J$8*'Falhas UM-4 Qty'!$D11/1000000</f>
        <v>21.0838300102332</v>
      </c>
      <c r="J11" s="340">
        <f>'Prod &amp; Defects - Qty'!K$8*'Falhas UM-4 Qty'!$D11/1000000</f>
        <v>22.21783582536526</v>
      </c>
      <c r="K11" s="340">
        <f>'Prod &amp; Defects - Qty'!L$8*'Falhas UM-4 Qty'!$D11/1000000</f>
        <v>21.678335006627393</v>
      </c>
      <c r="L11" s="340">
        <f>'Prod &amp; Defects - Qty'!M$8*'Falhas UM-4 Qty'!$D11/1000000</f>
        <v>21.634971585921082</v>
      </c>
      <c r="M11" s="340">
        <f>'Prod &amp; Defects - Qty'!N$8*'Falhas UM-4 Qty'!$D11/1000000</f>
        <v>21.609391917304965</v>
      </c>
      <c r="N11" s="340">
        <f>'Prod &amp; Defects - Qty'!O$8*'Falhas UM-4 Qty'!$D11/1000000</f>
        <v>15.992842732148803</v>
      </c>
      <c r="O11" s="340">
        <f>'Prod &amp; Defects - Qty'!P$8*'Falhas UM-4 Qty'!$D11/1000000</f>
        <v>16.704013508244806</v>
      </c>
      <c r="P11" s="340">
        <f>'Prod &amp; Defects - Qty'!Q$8*'Falhas UM-4 Qty'!$D11/1000000</f>
        <v>20.662876036360217</v>
      </c>
      <c r="Q11" s="340"/>
      <c r="R11" s="340">
        <f>Q11/SUM('Prod &amp; Defects - Qty'!$F$8:$K$8)*1000000</f>
        <v>0</v>
      </c>
      <c r="S11" s="340">
        <f t="shared" si="0"/>
        <v>118.28243078660725</v>
      </c>
      <c r="T11" s="340">
        <f>S11/SUM('Prod &amp; Defects - Qty'!$L$8:$Q$8)*1000000</f>
        <v>1.9062681825247401</v>
      </c>
      <c r="U11" s="340">
        <f t="shared" si="1"/>
        <v>118.28243078660725</v>
      </c>
      <c r="V11" s="340">
        <f>U11/'Prod &amp; Defects - Qty'!$R$8*1000000</f>
        <v>0.93640788448434509</v>
      </c>
      <c r="W11" s="340">
        <f t="shared" si="2"/>
        <v>0.8427670960359106</v>
      </c>
      <c r="X11" s="340">
        <f t="shared" si="2"/>
        <v>0.75849038643231959</v>
      </c>
      <c r="Y11" s="340">
        <f t="shared" si="3"/>
        <v>0.80062874123411509</v>
      </c>
      <c r="Z11" s="340">
        <f t="shared" si="4"/>
        <v>0.80062874123411509</v>
      </c>
    </row>
    <row r="12" spans="1:27" ht="18" customHeight="1">
      <c r="A12" s="1002"/>
      <c r="B12" s="82">
        <v>4070</v>
      </c>
      <c r="C12" s="83" t="s">
        <v>149</v>
      </c>
      <c r="D12" s="359">
        <f>'[3]Falhas UM-4 Qty'!Z12</f>
        <v>10.827105817437154</v>
      </c>
      <c r="E12" s="340">
        <f>'Prod &amp; Defects - Qty'!F$8*'Falhas UM-4 Qty'!$D12/1000000</f>
        <v>106.7234028154563</v>
      </c>
      <c r="F12" s="340">
        <f>'Prod &amp; Defects - Qty'!G$8*'Falhas UM-4 Qty'!$D12/1000000</f>
        <v>121.8540363364458</v>
      </c>
      <c r="G12" s="340">
        <f>'Prod &amp; Defects - Qty'!H$8*'Falhas UM-4 Qty'!$D12/1000000</f>
        <v>110.36939529289332</v>
      </c>
      <c r="H12" s="340">
        <f>'Prod &amp; Defects - Qty'!I$8*'Falhas UM-4 Qty'!$D12/1000000</f>
        <v>110.92433118120908</v>
      </c>
      <c r="I12" s="340">
        <f>'Prod &amp; Defects - Qty'!J$8*'Falhas UM-4 Qty'!$D12/1000000</f>
        <v>119.75065242672868</v>
      </c>
      <c r="J12" s="340">
        <f>'Prod &amp; Defects - Qty'!K$8*'Falhas UM-4 Qty'!$D12/1000000</f>
        <v>126.19150952678392</v>
      </c>
      <c r="K12" s="340">
        <f>'Prod &amp; Defects - Qty'!L$8*'Falhas UM-4 Qty'!$D12/1000000</f>
        <v>123.12728566436154</v>
      </c>
      <c r="L12" s="340">
        <f>'Prod &amp; Defects - Qty'!M$8*'Falhas UM-4 Qty'!$D12/1000000</f>
        <v>122.88099275085791</v>
      </c>
      <c r="M12" s="340">
        <f>'Prod &amp; Defects - Qty'!N$8*'Falhas UM-4 Qty'!$D12/1000000</f>
        <v>122.7357069083828</v>
      </c>
      <c r="N12" s="340">
        <f>'Prod &amp; Defects - Qty'!O$8*'Falhas UM-4 Qty'!$D12/1000000</f>
        <v>90.835173230070183</v>
      </c>
      <c r="O12" s="340">
        <f>'Prod &amp; Defects - Qty'!P$8*'Falhas UM-4 Qty'!$D12/1000000</f>
        <v>94.87443765133446</v>
      </c>
      <c r="P12" s="340">
        <f>'Prod &amp; Defects - Qty'!Q$8*'Falhas UM-4 Qty'!$D12/1000000</f>
        <v>117.35974370718164</v>
      </c>
      <c r="Q12" s="340"/>
      <c r="R12" s="340">
        <f>Q12/SUM('Prod &amp; Defects - Qty'!$F$8:$K$8)*1000000</f>
        <v>0</v>
      </c>
      <c r="S12" s="340">
        <f t="shared" si="0"/>
        <v>671.81333991218855</v>
      </c>
      <c r="T12" s="340">
        <f>S12/SUM('Prod &amp; Defects - Qty'!$L$8:$Q$8)*1000000</f>
        <v>10.827105817437156</v>
      </c>
      <c r="U12" s="340">
        <f t="shared" si="1"/>
        <v>671.81333991218855</v>
      </c>
      <c r="V12" s="340">
        <f>U12/'Prod &amp; Defects - Qty'!$R$8*1000000</f>
        <v>5.3185524190864424</v>
      </c>
      <c r="W12" s="340">
        <f t="shared" si="2"/>
        <v>4.786697177177798</v>
      </c>
      <c r="X12" s="340">
        <f t="shared" si="2"/>
        <v>4.3080274594600185</v>
      </c>
      <c r="Y12" s="340">
        <f t="shared" si="3"/>
        <v>4.5473623183189087</v>
      </c>
      <c r="Z12" s="340">
        <f t="shared" si="4"/>
        <v>4.5473623183189087</v>
      </c>
    </row>
    <row r="13" spans="1:27" ht="18" customHeight="1">
      <c r="A13" s="1002"/>
      <c r="B13" s="82">
        <v>4080</v>
      </c>
      <c r="C13" s="83" t="s">
        <v>150</v>
      </c>
      <c r="D13" s="359">
        <f>'[3]Falhas UM-4 Qty'!Z13</f>
        <v>336.45564999670427</v>
      </c>
      <c r="E13" s="340">
        <f>'Prod &amp; Defects - Qty'!F$8*'Falhas UM-4 Qty'!$D13/1000000</f>
        <v>3316.4626327291244</v>
      </c>
      <c r="F13" s="340">
        <f>'Prod &amp; Defects - Qty'!G$8*'Falhas UM-4 Qty'!$D13/1000000</f>
        <v>3786.6517323837797</v>
      </c>
      <c r="G13" s="340">
        <f>'Prod &amp; Defects - Qty'!H$8*'Falhas UM-4 Qty'!$D13/1000000</f>
        <v>3429.762972594976</v>
      </c>
      <c r="H13" s="340">
        <f>'Prod &amp; Defects - Qty'!I$8*'Falhas UM-4 Qty'!$D13/1000000</f>
        <v>3447.0077763456779</v>
      </c>
      <c r="I13" s="340">
        <f>'Prod &amp; Defects - Qty'!J$8*'Falhas UM-4 Qty'!$D13/1000000</f>
        <v>3721.2884291641199</v>
      </c>
      <c r="J13" s="340">
        <f>'Prod &amp; Defects - Qty'!K$8*'Falhas UM-4 Qty'!$D13/1000000</f>
        <v>3921.4400485049873</v>
      </c>
      <c r="K13" s="340">
        <f>'Prod &amp; Defects - Qty'!L$8*'Falhas UM-4 Qty'!$D13/1000000</f>
        <v>3826.2183476413693</v>
      </c>
      <c r="L13" s="340">
        <f>'Prod &amp; Defects - Qty'!M$8*'Falhas UM-4 Qty'!$D13/1000000</f>
        <v>3818.5647194511857</v>
      </c>
      <c r="M13" s="340">
        <f>'Prod &amp; Defects - Qty'!N$8*'Falhas UM-4 Qty'!$D13/1000000</f>
        <v>3814.0499171217798</v>
      </c>
      <c r="N13" s="340">
        <f>'Prod &amp; Defects - Qty'!O$8*'Falhas UM-4 Qty'!$D13/1000000</f>
        <v>2822.7310018958256</v>
      </c>
      <c r="O13" s="340">
        <f>'Prod &amp; Defects - Qty'!P$8*'Falhas UM-4 Qty'!$D13/1000000</f>
        <v>2948.252388615469</v>
      </c>
      <c r="P13" s="340">
        <f>'Prod &amp; Defects - Qty'!Q$8*'Falhas UM-4 Qty'!$D13/1000000</f>
        <v>3646.9902038690052</v>
      </c>
      <c r="Q13" s="340"/>
      <c r="R13" s="340">
        <f>Q13/SUM('Prod &amp; Defects - Qty'!$F$8:$K$8)*1000000</f>
        <v>0</v>
      </c>
      <c r="S13" s="340">
        <f t="shared" si="0"/>
        <v>20876.806578594635</v>
      </c>
      <c r="T13" s="340">
        <f>S13/SUM('Prod &amp; Defects - Qty'!$L$8:$Q$8)*1000000</f>
        <v>336.45564999670432</v>
      </c>
      <c r="U13" s="340">
        <f t="shared" si="1"/>
        <v>20876.806578594635</v>
      </c>
      <c r="V13" s="340">
        <f>U13/'Prod &amp; Defects - Qty'!$R$8*1000000</f>
        <v>165.27565550558631</v>
      </c>
      <c r="W13" s="340">
        <f t="shared" si="2"/>
        <v>148.74808995502769</v>
      </c>
      <c r="X13" s="340">
        <f t="shared" si="2"/>
        <v>133.87328095952492</v>
      </c>
      <c r="Y13" s="340">
        <f t="shared" si="3"/>
        <v>141.31068545727629</v>
      </c>
      <c r="Z13" s="340">
        <f t="shared" si="4"/>
        <v>141.31068545727629</v>
      </c>
    </row>
    <row r="14" spans="1:27" ht="18" customHeight="1">
      <c r="A14" s="1002"/>
      <c r="B14" s="82">
        <v>4090</v>
      </c>
      <c r="C14" s="83" t="s">
        <v>151</v>
      </c>
      <c r="D14" s="359">
        <f>'[3]Falhas UM-4 Qty'!Z14</f>
        <v>3.5227271890032679</v>
      </c>
      <c r="E14" s="340">
        <f>'Prod &amp; Defects - Qty'!F$8*'Falhas UM-4 Qty'!$D14/1000000</f>
        <v>34.723723877850425</v>
      </c>
      <c r="F14" s="340">
        <f>'Prod &amp; Defects - Qty'!G$8*'Falhas UM-4 Qty'!$D14/1000000</f>
        <v>39.646654806020734</v>
      </c>
      <c r="G14" s="340">
        <f>'Prod &amp; Defects - Qty'!H$8*'Falhas UM-4 Qty'!$D14/1000000</f>
        <v>35.909990738795265</v>
      </c>
      <c r="H14" s="340">
        <f>'Prod &amp; Defects - Qty'!I$8*'Falhas UM-4 Qty'!$D14/1000000</f>
        <v>36.090545706566559</v>
      </c>
      <c r="I14" s="340">
        <f>'Prod &amp; Defects - Qty'!J$8*'Falhas UM-4 Qty'!$D14/1000000</f>
        <v>38.962293923933558</v>
      </c>
      <c r="J14" s="340">
        <f>'Prod &amp; Defects - Qty'!K$8*'Falhas UM-4 Qty'!$D14/1000000</f>
        <v>41.057903111599195</v>
      </c>
      <c r="K14" s="340">
        <f>'Prod &amp; Defects - Qty'!L$8*'Falhas UM-4 Qty'!$D14/1000000</f>
        <v>40.060921564049941</v>
      </c>
      <c r="L14" s="340">
        <f>'Prod &amp; Defects - Qty'!M$8*'Falhas UM-4 Qty'!$D14/1000000</f>
        <v>39.980787245840844</v>
      </c>
      <c r="M14" s="340">
        <f>'Prod &amp; Defects - Qty'!N$8*'Falhas UM-4 Qty'!$D14/1000000</f>
        <v>39.933516775218862</v>
      </c>
      <c r="N14" s="340">
        <f>'Prod &amp; Defects - Qty'!O$8*'Falhas UM-4 Qty'!$D14/1000000</f>
        <v>29.554300091908878</v>
      </c>
      <c r="O14" s="340">
        <f>'Prod &amp; Defects - Qty'!P$8*'Falhas UM-4 Qty'!$D14/1000000</f>
        <v>30.868522640417172</v>
      </c>
      <c r="P14" s="340">
        <f>'Prod &amp; Defects - Qty'!Q$8*'Falhas UM-4 Qty'!$D14/1000000</f>
        <v>38.184383437531103</v>
      </c>
      <c r="Q14" s="340"/>
      <c r="R14" s="340">
        <f>Q14/SUM('Prod &amp; Defects - Qty'!$F$8:$K$8)*1000000</f>
        <v>0</v>
      </c>
      <c r="S14" s="340">
        <f t="shared" si="0"/>
        <v>218.58243175496682</v>
      </c>
      <c r="T14" s="340">
        <f>S14/SUM('Prod &amp; Defects - Qty'!$L$8:$Q$8)*1000000</f>
        <v>3.5227271890032688</v>
      </c>
      <c r="U14" s="340">
        <f t="shared" si="1"/>
        <v>218.58243175496682</v>
      </c>
      <c r="V14" s="340">
        <f>U14/'Prod &amp; Defects - Qty'!$R$8*1000000</f>
        <v>1.7304540593554298</v>
      </c>
      <c r="W14" s="340">
        <f t="shared" si="2"/>
        <v>1.557408653419887</v>
      </c>
      <c r="X14" s="340">
        <f t="shared" si="2"/>
        <v>1.4016677880778983</v>
      </c>
      <c r="Y14" s="340">
        <f t="shared" si="3"/>
        <v>1.4795382207488927</v>
      </c>
      <c r="Z14" s="340">
        <f t="shared" si="4"/>
        <v>1.4795382207488927</v>
      </c>
    </row>
    <row r="15" spans="1:27" ht="18" customHeight="1" thickBot="1">
      <c r="A15" s="1002"/>
      <c r="B15" s="85"/>
      <c r="C15" s="86" t="s">
        <v>1</v>
      </c>
      <c r="D15" s="362">
        <f>'[3]Falhas UM-4 Qty'!Z15</f>
        <v>256.43320960745876</v>
      </c>
      <c r="E15" s="343">
        <f>SUBTOTAL(109,E6:E14)</f>
        <v>5829.7545129949885</v>
      </c>
      <c r="F15" s="343">
        <f t="shared" ref="F15:P15" si="5">SUBTOTAL(109,F6:F14)</f>
        <v>6656.2637577010355</v>
      </c>
      <c r="G15" s="343">
        <f t="shared" si="5"/>
        <v>6028.9164637850918</v>
      </c>
      <c r="H15" s="343">
        <f t="shared" si="5"/>
        <v>6059.2297775849338</v>
      </c>
      <c r="I15" s="343">
        <f t="shared" si="5"/>
        <v>6541.3666356383319</v>
      </c>
      <c r="J15" s="343">
        <f t="shared" si="5"/>
        <v>6893.1977687922399</v>
      </c>
      <c r="K15" s="343">
        <f t="shared" si="5"/>
        <v>6725.8148666402767</v>
      </c>
      <c r="L15" s="343">
        <f t="shared" si="5"/>
        <v>6712.3611424697765</v>
      </c>
      <c r="M15" s="343">
        <f t="shared" si="5"/>
        <v>6704.4249187971845</v>
      </c>
      <c r="N15" s="343">
        <f t="shared" si="5"/>
        <v>4961.8616639535348</v>
      </c>
      <c r="O15" s="343">
        <f t="shared" si="5"/>
        <v>5182.5060527926353</v>
      </c>
      <c r="P15" s="343">
        <f t="shared" si="5"/>
        <v>6410.7635014594071</v>
      </c>
      <c r="Q15" s="343"/>
      <c r="R15" s="343">
        <f>Q15/SUM('Prod &amp; Defects - Qty'!$F$8:$K$8)*1000000</f>
        <v>0</v>
      </c>
      <c r="S15" s="343">
        <f t="shared" si="0"/>
        <v>36697.732146112816</v>
      </c>
      <c r="T15" s="343">
        <f>S15/SUM('Prod &amp; Defects - Qty'!$L$8:$Q$8)*1000000</f>
        <v>591.42950221539638</v>
      </c>
      <c r="U15" s="343">
        <f t="shared" si="1"/>
        <v>36697.732146112816</v>
      </c>
      <c r="V15" s="343">
        <f>U15/'Prod &amp; Defects - Qty'!$R$8*1000000</f>
        <v>290.52535947887856</v>
      </c>
      <c r="W15" s="343">
        <f t="shared" si="2"/>
        <v>261.47282353099069</v>
      </c>
      <c r="X15" s="343">
        <f t="shared" si="2"/>
        <v>235.32554117789164</v>
      </c>
      <c r="Y15" s="343">
        <f t="shared" si="3"/>
        <v>248.39918235444117</v>
      </c>
      <c r="Z15" s="343">
        <f t="shared" ref="Z15:Z61" si="6">Y15*0.9</f>
        <v>223.55926411899705</v>
      </c>
    </row>
    <row r="16" spans="1:27" ht="18" customHeight="1" thickTop="1">
      <c r="A16" s="1002" t="s">
        <v>37</v>
      </c>
      <c r="B16" s="82">
        <v>4130</v>
      </c>
      <c r="C16" s="83" t="s">
        <v>152</v>
      </c>
      <c r="D16" s="359">
        <f>'[3]Falhas UM-4 Qty'!Z16</f>
        <v>1.863402513903941E-2</v>
      </c>
      <c r="E16" s="340">
        <f>'Prod &amp; Defects - Qty'!F$8*'Falhas UM-4 Qty'!$D16/1000000</f>
        <v>0.18367665417883364</v>
      </c>
      <c r="F16" s="340">
        <f>'Prod &amp; Defects - Qty'!G$8*'Falhas UM-4 Qty'!$D16/1000000</f>
        <v>0.20971727945337715</v>
      </c>
      <c r="G16" s="340">
        <f>'Prod &amp; Defects - Qty'!H$8*'Falhas UM-4 Qty'!$D16/1000000</f>
        <v>0.18995160120778878</v>
      </c>
      <c r="H16" s="340">
        <f>'Prod &amp; Defects - Qty'!I$8*'Falhas UM-4 Qty'!$D16/1000000</f>
        <v>0.19090667539546111</v>
      </c>
      <c r="I16" s="340">
        <f>'Prod &amp; Defects - Qty'!J$8*'Falhas UM-4 Qty'!$D16/1000000</f>
        <v>0.20609724383983424</v>
      </c>
      <c r="J16" s="340">
        <f>'Prod &amp; Defects - Qty'!K$8*'Falhas UM-4 Qty'!$D16/1000000</f>
        <v>0.21718230157761842</v>
      </c>
      <c r="K16" s="340">
        <f>'Prod &amp; Defects - Qty'!L$8*'Falhas UM-4 Qty'!$D16/1000000</f>
        <v>0.21190860928654789</v>
      </c>
      <c r="L16" s="340">
        <f>'Prod &amp; Defects - Qty'!M$8*'Falhas UM-4 Qty'!$D16/1000000</f>
        <v>0.21148472607905192</v>
      </c>
      <c r="M16" s="340">
        <f>'Prod &amp; Defects - Qty'!N$8*'Falhas UM-4 Qty'!$D16/1000000</f>
        <v>0.21123468141460724</v>
      </c>
      <c r="N16" s="340">
        <f>'Prod &amp; Defects - Qty'!O$8*'Falhas UM-4 Qty'!$D16/1000000</f>
        <v>0.15633216577158962</v>
      </c>
      <c r="O16" s="340">
        <f>'Prod &amp; Defects - Qty'!P$8*'Falhas UM-4 Qty'!$D16/1000000</f>
        <v>0.16328395473885424</v>
      </c>
      <c r="P16" s="340">
        <f>'Prod &amp; Defects - Qty'!Q$8*'Falhas UM-4 Qty'!$D16/1000000</f>
        <v>0.20198236273158496</v>
      </c>
      <c r="Q16" s="340"/>
      <c r="R16" s="340">
        <f>Q16/SUM('Prod &amp; Defects - Qty'!$F$8:$K$8)*1000000</f>
        <v>0</v>
      </c>
      <c r="S16" s="340">
        <f t="shared" si="0"/>
        <v>1.1562265000222358</v>
      </c>
      <c r="T16" s="340">
        <f>S16/SUM('Prod &amp; Defects - Qty'!$L$8:$Q$8)*1000000</f>
        <v>1.8634025139039414E-2</v>
      </c>
      <c r="U16" s="340">
        <f t="shared" si="1"/>
        <v>1.1562265000222358</v>
      </c>
      <c r="V16" s="340">
        <f>U16/'Prod &amp; Defects - Qty'!$R$8*1000000</f>
        <v>9.1535116726156347E-3</v>
      </c>
      <c r="W16" s="340">
        <f t="shared" si="2"/>
        <v>8.2381605053540707E-3</v>
      </c>
      <c r="X16" s="340">
        <f t="shared" si="2"/>
        <v>7.4143444548186634E-3</v>
      </c>
      <c r="Y16" s="340">
        <f t="shared" si="3"/>
        <v>7.826252480086367E-3</v>
      </c>
      <c r="Z16" s="340">
        <f t="shared" ref="Z16:Z33" si="7">Y16*$AA$6</f>
        <v>7.826252480086367E-3</v>
      </c>
    </row>
    <row r="17" spans="1:26" ht="18" customHeight="1">
      <c r="A17" s="1002"/>
      <c r="B17" s="82">
        <v>4140</v>
      </c>
      <c r="C17" s="90" t="s">
        <v>153</v>
      </c>
      <c r="D17" s="359">
        <f>'[3]Falhas UM-4 Qty'!Z17</f>
        <v>841.90653805885165</v>
      </c>
      <c r="E17" s="340">
        <f>'Prod &amp; Defects - Qty'!F$8*'Falhas UM-4 Qty'!$D17/1000000</f>
        <v>8298.7210164248172</v>
      </c>
      <c r="F17" s="340">
        <f>'Prod &amp; Defects - Qty'!G$8*'Falhas UM-4 Qty'!$D17/1000000</f>
        <v>9475.2662078256344</v>
      </c>
      <c r="G17" s="340">
        <f>'Prod &amp; Defects - Qty'!H$8*'Falhas UM-4 Qty'!$D17/1000000</f>
        <v>8582.2302899302103</v>
      </c>
      <c r="H17" s="340">
        <f>'Prod &amp; Defects - Qty'!I$8*'Falhas UM-4 Qty'!$D17/1000000</f>
        <v>8625.381632537772</v>
      </c>
      <c r="I17" s="340">
        <f>'Prod &amp; Defects - Qty'!J$8*'Falhas UM-4 Qty'!$D17/1000000</f>
        <v>9311.7088642937488</v>
      </c>
      <c r="J17" s="340">
        <f>'Prod &amp; Defects - Qty'!K$8*'Falhas UM-4 Qty'!$D17/1000000</f>
        <v>9812.5444333436189</v>
      </c>
      <c r="K17" s="340">
        <f>'Prod &amp; Defects - Qty'!L$8*'Falhas UM-4 Qty'!$D17/1000000</f>
        <v>9574.2729924480664</v>
      </c>
      <c r="L17" s="340">
        <f>'Prod &amp; Defects - Qty'!M$8*'Falhas UM-4 Qty'!$D17/1000000</f>
        <v>9555.1214650082657</v>
      </c>
      <c r="M17" s="340">
        <f>'Prod &amp; Defects - Qty'!N$8*'Falhas UM-4 Qty'!$D17/1000000</f>
        <v>9543.8241614878552</v>
      </c>
      <c r="N17" s="340">
        <f>'Prod &amp; Defects - Qty'!O$8*'Falhas UM-4 Qty'!$D17/1000000</f>
        <v>7063.2657995215322</v>
      </c>
      <c r="O17" s="340">
        <f>'Prod &amp; Defects - Qty'!P$8*'Falhas UM-4 Qty'!$D17/1000000</f>
        <v>7377.3555648338897</v>
      </c>
      <c r="P17" s="340">
        <f>'Prod &amp; Defects - Qty'!Q$8*'Falhas UM-4 Qty'!$D17/1000000</f>
        <v>9125.7938361385095</v>
      </c>
      <c r="Q17" s="340"/>
      <c r="R17" s="340">
        <f>Q17/SUM('Prod &amp; Defects - Qty'!$F$8:$K$8)*1000000</f>
        <v>0</v>
      </c>
      <c r="S17" s="340">
        <f t="shared" si="0"/>
        <v>52239.633819438117</v>
      </c>
      <c r="T17" s="340">
        <f>S17/SUM('Prod &amp; Defects - Qty'!$L$8:$Q$8)*1000000</f>
        <v>841.90653805885177</v>
      </c>
      <c r="U17" s="340">
        <f t="shared" si="1"/>
        <v>52239.633819438117</v>
      </c>
      <c r="V17" s="340">
        <f>U17/'Prod &amp; Defects - Qty'!$R$8*1000000</f>
        <v>413.56611176979362</v>
      </c>
      <c r="W17" s="340">
        <f t="shared" si="2"/>
        <v>372.20950059281427</v>
      </c>
      <c r="X17" s="340">
        <f t="shared" si="2"/>
        <v>334.98855053353287</v>
      </c>
      <c r="Y17" s="340">
        <f t="shared" si="3"/>
        <v>353.59902556317354</v>
      </c>
      <c r="Z17" s="340">
        <f t="shared" si="7"/>
        <v>353.59902556317354</v>
      </c>
    </row>
    <row r="18" spans="1:26" ht="18" customHeight="1">
      <c r="A18" s="1002"/>
      <c r="B18" s="82">
        <v>4150</v>
      </c>
      <c r="C18" s="90" t="s">
        <v>154</v>
      </c>
      <c r="D18" s="359">
        <f>'[3]Falhas UM-4 Qty'!Z18</f>
        <v>0</v>
      </c>
      <c r="E18" s="340">
        <f>'Prod &amp; Defects - Qty'!F$8*'Falhas UM-4 Qty'!$D18/1000000</f>
        <v>0</v>
      </c>
      <c r="F18" s="340">
        <f>'Prod &amp; Defects - Qty'!G$8*'Falhas UM-4 Qty'!$D18/1000000</f>
        <v>0</v>
      </c>
      <c r="G18" s="340">
        <f>'Prod &amp; Defects - Qty'!H$8*'Falhas UM-4 Qty'!$D18/1000000</f>
        <v>0</v>
      </c>
      <c r="H18" s="340">
        <f>'Prod &amp; Defects - Qty'!I$8*'Falhas UM-4 Qty'!$D18/1000000</f>
        <v>0</v>
      </c>
      <c r="I18" s="340">
        <f>'Prod &amp; Defects - Qty'!J$8*'Falhas UM-4 Qty'!$D18/1000000</f>
        <v>0</v>
      </c>
      <c r="J18" s="340">
        <f>'Prod &amp; Defects - Qty'!K$8*'Falhas UM-4 Qty'!$D18/1000000</f>
        <v>0</v>
      </c>
      <c r="K18" s="340">
        <f>'Prod &amp; Defects - Qty'!L$8*'Falhas UM-4 Qty'!$D18/1000000</f>
        <v>0</v>
      </c>
      <c r="L18" s="340">
        <f>'Prod &amp; Defects - Qty'!M$8*'Falhas UM-4 Qty'!$D18/1000000</f>
        <v>0</v>
      </c>
      <c r="M18" s="340">
        <f>'Prod &amp; Defects - Qty'!N$8*'Falhas UM-4 Qty'!$D18/1000000</f>
        <v>0</v>
      </c>
      <c r="N18" s="340">
        <f>'Prod &amp; Defects - Qty'!O$8*'Falhas UM-4 Qty'!$D18/1000000</f>
        <v>0</v>
      </c>
      <c r="O18" s="340">
        <f>'Prod &amp; Defects - Qty'!P$8*'Falhas UM-4 Qty'!$D18/1000000</f>
        <v>0</v>
      </c>
      <c r="P18" s="340">
        <f>'Prod &amp; Defects - Qty'!Q$8*'Falhas UM-4 Qty'!$D18/1000000</f>
        <v>0</v>
      </c>
      <c r="Q18" s="340"/>
      <c r="R18" s="340">
        <f>Q18/SUM('Prod &amp; Defects - Qty'!$F$8:$K$8)*1000000</f>
        <v>0</v>
      </c>
      <c r="S18" s="340">
        <f t="shared" si="0"/>
        <v>0</v>
      </c>
      <c r="T18" s="340">
        <f>S18/SUM('Prod &amp; Defects - Qty'!$L$8:$Q$8)*1000000</f>
        <v>0</v>
      </c>
      <c r="U18" s="340">
        <f t="shared" si="1"/>
        <v>0</v>
      </c>
      <c r="V18" s="340">
        <f>U18/'Prod &amp; Defects - Qty'!$R$8*1000000</f>
        <v>0</v>
      </c>
      <c r="W18" s="340">
        <f t="shared" si="2"/>
        <v>0</v>
      </c>
      <c r="X18" s="340">
        <f t="shared" si="2"/>
        <v>0</v>
      </c>
      <c r="Y18" s="340">
        <f t="shared" si="3"/>
        <v>0</v>
      </c>
      <c r="Z18" s="340">
        <f t="shared" si="7"/>
        <v>0</v>
      </c>
    </row>
    <row r="19" spans="1:26" ht="18" customHeight="1">
      <c r="A19" s="1002"/>
      <c r="B19" s="82">
        <v>4160</v>
      </c>
      <c r="C19" s="90" t="s">
        <v>155</v>
      </c>
      <c r="D19" s="359">
        <f>'[3]Falhas UM-4 Qty'!Z19</f>
        <v>7.6786755073391028E-2</v>
      </c>
      <c r="E19" s="340">
        <f>'Prod &amp; Defects - Qty'!F$8*'Falhas UM-4 Qty'!$D19/1000000</f>
        <v>0.75689144733316083</v>
      </c>
      <c r="F19" s="340">
        <f>'Prod &amp; Defects - Qty'!G$8*'Falhas UM-4 Qty'!$D19/1000000</f>
        <v>0.86419918680406549</v>
      </c>
      <c r="G19" s="340">
        <f>'Prod &amp; Defects - Qty'!H$8*'Falhas UM-4 Qty'!$D19/1000000</f>
        <v>0.7827491359976142</v>
      </c>
      <c r="H19" s="340">
        <f>'Prod &amp; Defects - Qty'!I$8*'Falhas UM-4 Qty'!$D19/1000000</f>
        <v>0.78668478850309842</v>
      </c>
      <c r="I19" s="340">
        <f>'Prod &amp; Defects - Qty'!J$8*'Falhas UM-4 Qty'!$D19/1000000</f>
        <v>0.84928180926808117</v>
      </c>
      <c r="J19" s="340">
        <f>'Prod &amp; Defects - Qty'!K$8*'Falhas UM-4 Qty'!$D19/1000000</f>
        <v>0.89496091548020862</v>
      </c>
      <c r="K19" s="340">
        <f>'Prod &amp; Defects - Qty'!L$8*'Falhas UM-4 Qty'!$D19/1000000</f>
        <v>0.87322917930054278</v>
      </c>
      <c r="L19" s="340">
        <f>'Prod &amp; Defects - Qty'!M$8*'Falhas UM-4 Qty'!$D19/1000000</f>
        <v>0.87148244901597716</v>
      </c>
      <c r="M19" s="340">
        <f>'Prod &amp; Defects - Qty'!N$8*'Falhas UM-4 Qty'!$D19/1000000</f>
        <v>0.87045206946765863</v>
      </c>
      <c r="N19" s="340">
        <f>'Prod &amp; Defects - Qty'!O$8*'Falhas UM-4 Qty'!$D19/1000000</f>
        <v>0.64421077215604949</v>
      </c>
      <c r="O19" s="340">
        <f>'Prod &amp; Defects - Qty'!P$8*'Falhas UM-4 Qty'!$D19/1000000</f>
        <v>0.67285757888557862</v>
      </c>
      <c r="P19" s="340">
        <f>'Prod &amp; Defects - Qty'!Q$8*'Falhas UM-4 Qty'!$D19/1000000</f>
        <v>0.83232528133288552</v>
      </c>
      <c r="Q19" s="340"/>
      <c r="R19" s="340">
        <f>Q19/SUM('Prod &amp; Defects - Qty'!$F$8:$K$8)*1000000</f>
        <v>0</v>
      </c>
      <c r="S19" s="340">
        <f t="shared" si="0"/>
        <v>4.7645573301586923</v>
      </c>
      <c r="T19" s="340">
        <f>S19/SUM('Prod &amp; Defects - Qty'!$L$8:$Q$8)*1000000</f>
        <v>7.6786755073391028E-2</v>
      </c>
      <c r="U19" s="340">
        <f t="shared" si="1"/>
        <v>4.7645573301586923</v>
      </c>
      <c r="V19" s="340">
        <f>U19/'Prod &amp; Defects - Qty'!$R$8*1000000</f>
        <v>3.7719625986444051E-2</v>
      </c>
      <c r="W19" s="340">
        <f t="shared" si="2"/>
        <v>3.3947663387799649E-2</v>
      </c>
      <c r="X19" s="340">
        <f t="shared" si="2"/>
        <v>3.0552897049019687E-2</v>
      </c>
      <c r="Y19" s="340">
        <f t="shared" si="3"/>
        <v>3.2250280218409672E-2</v>
      </c>
      <c r="Z19" s="340">
        <f t="shared" si="7"/>
        <v>3.2250280218409672E-2</v>
      </c>
    </row>
    <row r="20" spans="1:26" ht="18" customHeight="1">
      <c r="A20" s="1002"/>
      <c r="B20" s="82">
        <v>4170</v>
      </c>
      <c r="C20" s="38" t="s">
        <v>205</v>
      </c>
      <c r="D20" s="234">
        <f>'[3]Falhas UM-4 Qty'!Z20</f>
        <v>0</v>
      </c>
      <c r="E20" s="496">
        <f>'Prod &amp; Defects - Qty'!F$8*'Falhas UM-4 Qty'!$D20/1000000</f>
        <v>0</v>
      </c>
      <c r="F20" s="496">
        <f>'Prod &amp; Defects - Qty'!G$8*'Falhas UM-4 Qty'!$D20/1000000</f>
        <v>0</v>
      </c>
      <c r="G20" s="496">
        <f>'Prod &amp; Defects - Qty'!H$8*'Falhas UM-4 Qty'!$D20/1000000</f>
        <v>0</v>
      </c>
      <c r="H20" s="496">
        <f>'Prod &amp; Defects - Qty'!I$8*'Falhas UM-4 Qty'!$D20/1000000</f>
        <v>0</v>
      </c>
      <c r="I20" s="496">
        <f>'Prod &amp; Defects - Qty'!J$8*'Falhas UM-4 Qty'!$D20/1000000</f>
        <v>0</v>
      </c>
      <c r="J20" s="496">
        <f>'Prod &amp; Defects - Qty'!K$8*'Falhas UM-4 Qty'!$D20/1000000</f>
        <v>0</v>
      </c>
      <c r="K20" s="496">
        <f>'Prod &amp; Defects - Qty'!L$8*'Falhas UM-4 Qty'!$D20/1000000</f>
        <v>0</v>
      </c>
      <c r="L20" s="496">
        <f>'Prod &amp; Defects - Qty'!M$8*'Falhas UM-4 Qty'!$D20/1000000</f>
        <v>0</v>
      </c>
      <c r="M20" s="496">
        <f>'Prod &amp; Defects - Qty'!N$8*'Falhas UM-4 Qty'!$D20/1000000</f>
        <v>0</v>
      </c>
      <c r="N20" s="496">
        <f>'Prod &amp; Defects - Qty'!O$8*'Falhas UM-4 Qty'!$D20/1000000</f>
        <v>0</v>
      </c>
      <c r="O20" s="496">
        <f>'Prod &amp; Defects - Qty'!P$8*'Falhas UM-4 Qty'!$D20/1000000</f>
        <v>0</v>
      </c>
      <c r="P20" s="496">
        <f>'Prod &amp; Defects - Qty'!Q$8*'Falhas UM-4 Qty'!$D20/1000000</f>
        <v>0</v>
      </c>
      <c r="Q20" s="340"/>
      <c r="R20" s="340">
        <f>Q20/SUM('Prod &amp; Defects - Qty'!$F$8:$K$8)*1000000</f>
        <v>0</v>
      </c>
      <c r="S20" s="340">
        <f t="shared" ref="S20" si="8">SUM(K20:P20)</f>
        <v>0</v>
      </c>
      <c r="T20" s="340">
        <f>S20/SUM('Prod &amp; Defects - Qty'!$L$8:$Q$8)*1000000</f>
        <v>0</v>
      </c>
      <c r="U20" s="496"/>
      <c r="V20" s="496"/>
      <c r="W20" s="496"/>
      <c r="X20" s="496"/>
      <c r="Y20" s="496"/>
      <c r="Z20" s="496"/>
    </row>
    <row r="21" spans="1:26" ht="18" customHeight="1">
      <c r="A21" s="1002"/>
      <c r="B21" s="82">
        <v>4180</v>
      </c>
      <c r="C21" s="91" t="s">
        <v>206</v>
      </c>
      <c r="D21" s="363">
        <f>'[3]Falhas UM-4 Qty'!Z21</f>
        <v>8.9928689852764077</v>
      </c>
      <c r="E21" s="344">
        <f>'Prod &amp; Defects - Qty'!F$8*'Falhas UM-4 Qty'!$D21/1000000</f>
        <v>88.643225194732295</v>
      </c>
      <c r="F21" s="344">
        <f>'Prod &amp; Defects - Qty'!G$8*'Falhas UM-4 Qty'!$D21/1000000</f>
        <v>101.21055456352371</v>
      </c>
      <c r="G21" s="344">
        <f>'Prod &amp; Defects - Qty'!H$8*'Falhas UM-4 Qty'!$D21/1000000</f>
        <v>91.671544417223799</v>
      </c>
      <c r="H21" s="344">
        <f>'Prod &amp; Defects - Qty'!I$8*'Falhas UM-4 Qty'!$D21/1000000</f>
        <v>92.132467753801393</v>
      </c>
      <c r="I21" s="344">
        <f>'Prod &amp; Defects - Qty'!J$8*'Falhas UM-4 Qty'!$D21/1000000</f>
        <v>99.463508192612537</v>
      </c>
      <c r="J21" s="344">
        <f>'Prod &amp; Defects - Qty'!K$8*'Falhas UM-4 Qty'!$D21/1000000</f>
        <v>104.81320967612447</v>
      </c>
      <c r="K21" s="344">
        <f>'Prod &amp; Defects - Qty'!L$8*'Falhas UM-4 Qty'!$D21/1000000</f>
        <v>102.26810074295575</v>
      </c>
      <c r="L21" s="344">
        <f>'Prod &amp; Defects - Qty'!M$8*'Falhas UM-4 Qty'!$D21/1000000</f>
        <v>102.06353269490242</v>
      </c>
      <c r="M21" s="344">
        <f>'Prod &amp; Defects - Qty'!N$8*'Falhas UM-4 Qty'!$D21/1000000</f>
        <v>101.94285995291351</v>
      </c>
      <c r="N21" s="344">
        <f>'Prod &amp; Defects - Qty'!O$8*'Falhas UM-4 Qty'!$D21/1000000</f>
        <v>75.446645288839164</v>
      </c>
      <c r="O21" s="344">
        <f>'Prod &amp; Defects - Qty'!P$8*'Falhas UM-4 Qty'!$D21/1000000</f>
        <v>78.801611643635198</v>
      </c>
      <c r="P21" s="344">
        <f>'Prod &amp; Defects - Qty'!Q$8*'Falhas UM-4 Qty'!$D21/1000000</f>
        <v>97.47764703699201</v>
      </c>
      <c r="Q21" s="344"/>
      <c r="R21" s="344">
        <f>Q21/SUM('Prod &amp; Defects - Qty'!$F$8:$K$8)*1000000</f>
        <v>0</v>
      </c>
      <c r="S21" s="344">
        <f t="shared" si="0"/>
        <v>558.00039736023803</v>
      </c>
      <c r="T21" s="344">
        <f>S21/SUM('Prod &amp; Defects - Qty'!$L$8:$Q$8)*1000000</f>
        <v>8.9928689852764077</v>
      </c>
      <c r="U21" s="344">
        <f t="shared" si="1"/>
        <v>558.00039736023803</v>
      </c>
      <c r="V21" s="344">
        <f>U21/'Prod &amp; Defects - Qty'!$R$8*1000000</f>
        <v>4.4175281836758398</v>
      </c>
      <c r="W21" s="344">
        <f t="shared" si="2"/>
        <v>3.9757753653082557</v>
      </c>
      <c r="X21" s="344">
        <f t="shared" si="2"/>
        <v>3.5781978287774301</v>
      </c>
      <c r="Y21" s="344">
        <f t="shared" si="3"/>
        <v>3.7769865970428427</v>
      </c>
      <c r="Z21" s="344">
        <f t="shared" si="7"/>
        <v>3.7769865970428427</v>
      </c>
    </row>
    <row r="22" spans="1:26" ht="18" customHeight="1">
      <c r="A22" s="1002" t="s">
        <v>156</v>
      </c>
      <c r="B22" s="82">
        <v>4190</v>
      </c>
      <c r="C22" s="83" t="s">
        <v>116</v>
      </c>
      <c r="D22" s="359">
        <f>'[3]Falhas UM-4 Qty'!Z22</f>
        <v>57.421373727050423</v>
      </c>
      <c r="E22" s="340">
        <f>'Prod &amp; Defects - Qty'!F$8*'Falhas UM-4 Qty'!$D22/1000000</f>
        <v>566.00577308659263</v>
      </c>
      <c r="F22" s="340">
        <f>'Prod &amp; Defects - Qty'!G$8*'Falhas UM-4 Qty'!$D22/1000000</f>
        <v>646.25083365823048</v>
      </c>
      <c r="G22" s="340">
        <f>'Prod &amp; Defects - Qty'!H$8*'Falhas UM-4 Qty'!$D22/1000000</f>
        <v>585.34223291094872</v>
      </c>
      <c r="H22" s="340">
        <f>'Prod &amp; Defects - Qty'!I$8*'Falhas UM-4 Qty'!$D22/1000000</f>
        <v>588.28532606759029</v>
      </c>
      <c r="I22" s="340">
        <f>'Prod &amp; Defects - Qty'!J$8*'Falhas UM-4 Qty'!$D22/1000000</f>
        <v>635.09557244550479</v>
      </c>
      <c r="J22" s="340">
        <f>'Prod &amp; Defects - Qty'!K$8*'Falhas UM-4 Qty'!$D22/1000000</f>
        <v>669.25454982144993</v>
      </c>
      <c r="K22" s="340">
        <f>'Prod &amp; Defects - Qty'!L$8*'Falhas UM-4 Qty'!$D22/1000000</f>
        <v>653.00349006879378</v>
      </c>
      <c r="L22" s="340">
        <f>'Prod &amp; Defects - Qty'!M$8*'Falhas UM-4 Qty'!$D22/1000000</f>
        <v>651.69727974157593</v>
      </c>
      <c r="M22" s="340">
        <f>'Prod &amp; Defects - Qty'!N$8*'Falhas UM-4 Qty'!$D22/1000000</f>
        <v>650.92675871788958</v>
      </c>
      <c r="N22" s="340">
        <f>'Prod &amp; Defects - Qty'!O$8*'Falhas UM-4 Qty'!$D22/1000000</f>
        <v>481.74281452066373</v>
      </c>
      <c r="O22" s="340">
        <f>'Prod &amp; Defects - Qty'!P$8*'Falhas UM-4 Qty'!$D22/1000000</f>
        <v>503.1649854892205</v>
      </c>
      <c r="P22" s="340">
        <f>'Prod &amp; Defects - Qty'!Q$8*'Falhas UM-4 Qty'!$D22/1000000</f>
        <v>622.41542823639691</v>
      </c>
      <c r="Q22" s="340"/>
      <c r="R22" s="340">
        <f>Q22/SUM('Prod &amp; Defects - Qty'!$F$8:$K$8)*1000000</f>
        <v>0</v>
      </c>
      <c r="S22" s="340">
        <f t="shared" si="0"/>
        <v>3562.9507567745404</v>
      </c>
      <c r="T22" s="340">
        <f>S22/SUM('Prod &amp; Defects - Qty'!$L$8:$Q$8)*1000000</f>
        <v>57.42137372705043</v>
      </c>
      <c r="U22" s="340">
        <f t="shared" si="1"/>
        <v>3562.9507567745404</v>
      </c>
      <c r="V22" s="340">
        <f>U22/'Prod &amp; Defects - Qty'!$R$8*1000000</f>
        <v>28.206853363474426</v>
      </c>
      <c r="W22" s="340">
        <f t="shared" si="2"/>
        <v>25.386168027126985</v>
      </c>
      <c r="X22" s="340">
        <f t="shared" si="2"/>
        <v>22.847551224414286</v>
      </c>
      <c r="Y22" s="340">
        <f t="shared" si="3"/>
        <v>24.116859625770637</v>
      </c>
      <c r="Z22" s="340">
        <f t="shared" si="7"/>
        <v>24.116859625770637</v>
      </c>
    </row>
    <row r="23" spans="1:26" ht="18" customHeight="1">
      <c r="A23" s="1002"/>
      <c r="B23" s="82">
        <v>4200</v>
      </c>
      <c r="C23" s="90" t="s">
        <v>115</v>
      </c>
      <c r="D23" s="359">
        <f>'[3]Falhas UM-4 Qty'!Z23</f>
        <v>7.9335272748244604E-2</v>
      </c>
      <c r="E23" s="340">
        <f>'Prod &amp; Defects - Qty'!F$8*'Falhas UM-4 Qty'!$D23/1000000</f>
        <v>0.7820123321736574</v>
      </c>
      <c r="F23" s="340">
        <f>'Prod &amp; Defects - Qty'!G$8*'Falhas UM-4 Qty'!$D23/1000000</f>
        <v>0.89288156698876298</v>
      </c>
      <c r="G23" s="340">
        <f>'Prod &amp; Defects - Qty'!H$8*'Falhas UM-4 Qty'!$D23/1000000</f>
        <v>0.80872822583100623</v>
      </c>
      <c r="H23" s="340">
        <f>'Prod &amp; Defects - Qty'!I$8*'Falhas UM-4 Qty'!$D23/1000000</f>
        <v>0.81279450086328831</v>
      </c>
      <c r="I23" s="340">
        <f>'Prod &amp; Defects - Qty'!J$8*'Falhas UM-4 Qty'!$D23/1000000</f>
        <v>0.87746908843859228</v>
      </c>
      <c r="J23" s="340">
        <f>'Prod &amp; Defects - Qty'!K$8*'Falhas UM-4 Qty'!$D23/1000000</f>
        <v>0.92466426352798703</v>
      </c>
      <c r="K23" s="340">
        <f>'Prod &amp; Defects - Qty'!L$8*'Falhas UM-4 Qty'!$D23/1000000</f>
        <v>0.90221126085247572</v>
      </c>
      <c r="L23" s="340">
        <f>'Prod &amp; Defects - Qty'!M$8*'Falhas UM-4 Qty'!$D23/1000000</f>
        <v>0.90040655737970643</v>
      </c>
      <c r="M23" s="340">
        <f>'Prod &amp; Defects - Qty'!N$8*'Falhas UM-4 Qty'!$D23/1000000</f>
        <v>0.89934198000015786</v>
      </c>
      <c r="N23" s="340">
        <f>'Prod &amp; Defects - Qty'!O$8*'Falhas UM-4 Qty'!$D23/1000000</f>
        <v>0.66559183634611174</v>
      </c>
      <c r="O23" s="340">
        <f>'Prod &amp; Defects - Qty'!P$8*'Falhas UM-4 Qty'!$D23/1000000</f>
        <v>0.69518941763576581</v>
      </c>
      <c r="P23" s="340">
        <f>'Prod &amp; Defects - Qty'!Q$8*'Falhas UM-4 Qty'!$D23/1000000</f>
        <v>0.85994978100964548</v>
      </c>
      <c r="Q23" s="340"/>
      <c r="R23" s="340">
        <f>Q23/SUM('Prod &amp; Defects - Qty'!$F$8:$K$8)*1000000</f>
        <v>0</v>
      </c>
      <c r="S23" s="340">
        <f t="shared" si="0"/>
        <v>4.9226908332238635</v>
      </c>
      <c r="T23" s="340">
        <f>S23/SUM('Prod &amp; Defects - Qty'!$L$8:$Q$8)*1000000</f>
        <v>7.9335272748244617E-2</v>
      </c>
      <c r="U23" s="340">
        <f t="shared" si="1"/>
        <v>4.9226908332238635</v>
      </c>
      <c r="V23" s="340">
        <f>U23/'Prod &amp; Defects - Qty'!$R$8*1000000</f>
        <v>3.8971523314615307E-2</v>
      </c>
      <c r="W23" s="340">
        <f t="shared" si="2"/>
        <v>3.5074370983153774E-2</v>
      </c>
      <c r="X23" s="340">
        <f t="shared" si="2"/>
        <v>3.1566933884838395E-2</v>
      </c>
      <c r="Y23" s="340">
        <f t="shared" si="3"/>
        <v>3.3320652433996081E-2</v>
      </c>
      <c r="Z23" s="340">
        <f t="shared" si="7"/>
        <v>3.3320652433996081E-2</v>
      </c>
    </row>
    <row r="24" spans="1:26" ht="18" customHeight="1">
      <c r="A24" s="1002"/>
      <c r="B24" s="82">
        <v>4210</v>
      </c>
      <c r="C24" s="90" t="s">
        <v>126</v>
      </c>
      <c r="D24" s="359">
        <f>'[3]Falhas UM-4 Qty'!Z24</f>
        <v>1.0546861783085262</v>
      </c>
      <c r="E24" s="340">
        <f>'Prod &amp; Defects - Qty'!F$8*'Falhas UM-4 Qty'!$D24/1000000</f>
        <v>10.396102130103557</v>
      </c>
      <c r="F24" s="340">
        <f>'Prod &amp; Defects - Qty'!G$8*'Falhas UM-4 Qty'!$D24/1000000</f>
        <v>11.870002017360472</v>
      </c>
      <c r="G24" s="340">
        <f>'Prod &amp; Defects - Qty'!H$8*'Falhas UM-4 Qty'!$D24/1000000</f>
        <v>10.751264251635302</v>
      </c>
      <c r="H24" s="340">
        <f>'Prod &amp; Defects - Qty'!I$8*'Falhas UM-4 Qty'!$D24/1000000</f>
        <v>10.805321468875334</v>
      </c>
      <c r="I24" s="340">
        <f>'Prod &amp; Defects - Qty'!J$8*'Falhas UM-4 Qty'!$D24/1000000</f>
        <v>11.66510793258276</v>
      </c>
      <c r="J24" s="340">
        <f>'Prod &amp; Defects - Qty'!K$8*'Falhas UM-4 Qty'!$D24/1000000</f>
        <v>12.292522411985768</v>
      </c>
      <c r="K24" s="340">
        <f>'Prod &amp; Defects - Qty'!L$8*'Falhas UM-4 Qty'!$D24/1000000</f>
        <v>11.994031327716948</v>
      </c>
      <c r="L24" s="340">
        <f>'Prod &amp; Defects - Qty'!M$8*'Falhas UM-4 Qty'!$D24/1000000</f>
        <v>11.97003953008722</v>
      </c>
      <c r="M24" s="340">
        <f>'Prod &amp; Defects - Qty'!N$8*'Falhas UM-4 Qty'!$D24/1000000</f>
        <v>11.955886997310119</v>
      </c>
      <c r="N24" s="340">
        <f>'Prod &amp; Defects - Qty'!O$8*'Falhas UM-4 Qty'!$D24/1000000</f>
        <v>8.8484035646649613</v>
      </c>
      <c r="O24" s="340">
        <f>'Prod &amp; Defects - Qty'!P$8*'Falhas UM-4 Qty'!$D24/1000000</f>
        <v>9.2418749528155999</v>
      </c>
      <c r="P24" s="340">
        <f>'Prod &amp; Defects - Qty'!Q$8*'Falhas UM-4 Qty'!$D24/1000000</f>
        <v>11.432205583365629</v>
      </c>
      <c r="Q24" s="340"/>
      <c r="R24" s="340">
        <f>Q24/SUM('Prod &amp; Defects - Qty'!$F$8:$K$8)*1000000</f>
        <v>0</v>
      </c>
      <c r="S24" s="340">
        <f t="shared" si="0"/>
        <v>65.442441955960476</v>
      </c>
      <c r="T24" s="340">
        <f>S24/SUM('Prod &amp; Defects - Qty'!$L$8:$Q$8)*1000000</f>
        <v>1.0546861783085264</v>
      </c>
      <c r="U24" s="340">
        <f t="shared" si="1"/>
        <v>65.442441955960476</v>
      </c>
      <c r="V24" s="340">
        <f>U24/'Prod &amp; Defects - Qty'!$R$8*1000000</f>
        <v>0.51808893527075817</v>
      </c>
      <c r="W24" s="340">
        <f t="shared" ref="W24:X39" si="9">V24*0.9</f>
        <v>0.46628004174368237</v>
      </c>
      <c r="X24" s="340">
        <f t="shared" si="9"/>
        <v>0.41965203756931413</v>
      </c>
      <c r="Y24" s="340">
        <f t="shared" si="3"/>
        <v>0.44296603965649828</v>
      </c>
      <c r="Z24" s="340">
        <f t="shared" si="7"/>
        <v>0.44296603965649828</v>
      </c>
    </row>
    <row r="25" spans="1:26" ht="18" customHeight="1">
      <c r="A25" s="1002"/>
      <c r="B25" s="82">
        <v>4220</v>
      </c>
      <c r="C25" s="90" t="s">
        <v>127</v>
      </c>
      <c r="D25" s="359">
        <f>'[3]Falhas UM-4 Qty'!Z25</f>
        <v>8.3369407851475952E-2</v>
      </c>
      <c r="E25" s="340">
        <f>'Prod &amp; Defects - Qty'!F$8*'Falhas UM-4 Qty'!$D25/1000000</f>
        <v>0.82177703318366757</v>
      </c>
      <c r="F25" s="340">
        <f>'Prod &amp; Defects - Qty'!G$8*'Falhas UM-4 Qty'!$D25/1000000</f>
        <v>0.93828387982693595</v>
      </c>
      <c r="G25" s="340">
        <f>'Prod &amp; Defects - Qty'!H$8*'Falhas UM-4 Qty'!$D25/1000000</f>
        <v>0.84985140864468167</v>
      </c>
      <c r="H25" s="340">
        <f>'Prod &amp; Defects - Qty'!I$8*'Falhas UM-4 Qty'!$D25/1000000</f>
        <v>0.85412445050688546</v>
      </c>
      <c r="I25" s="340">
        <f>'Prod &amp; Defects - Qty'!J$8*'Falhas UM-4 Qty'!$D25/1000000</f>
        <v>0.92208768908175776</v>
      </c>
      <c r="J25" s="340">
        <f>'Prod &amp; Defects - Qty'!K$8*'Falhas UM-4 Qty'!$D25/1000000</f>
        <v>0.97168270103987353</v>
      </c>
      <c r="K25" s="340">
        <f>'Prod &amp; Defects - Qty'!L$8*'Falhas UM-4 Qty'!$D25/1000000</f>
        <v>0.94808798115424242</v>
      </c>
      <c r="L25" s="340">
        <f>'Prod &amp; Defects - Qty'!M$8*'Falhas UM-4 Qty'!$D25/1000000</f>
        <v>0.94619150995473289</v>
      </c>
      <c r="M25" s="340">
        <f>'Prod &amp; Defects - Qty'!N$8*'Falhas UM-4 Qty'!$D25/1000000</f>
        <v>0.94507279966773761</v>
      </c>
      <c r="N25" s="340">
        <f>'Prod &amp; Defects - Qty'!O$8*'Falhas UM-4 Qty'!$D25/1000000</f>
        <v>0.69943664834983021</v>
      </c>
      <c r="O25" s="340">
        <f>'Prod &amp; Defects - Qty'!P$8*'Falhas UM-4 Qty'!$D25/1000000</f>
        <v>0.73053924295216588</v>
      </c>
      <c r="P25" s="340">
        <f>'Prod &amp; Defects - Qty'!Q$8*'Falhas UM-4 Qty'!$D25/1000000</f>
        <v>0.90367753889605007</v>
      </c>
      <c r="Q25" s="340"/>
      <c r="R25" s="340">
        <f>Q25/SUM('Prod &amp; Defects - Qty'!$F$8:$K$8)*1000000</f>
        <v>0</v>
      </c>
      <c r="S25" s="340">
        <f t="shared" si="0"/>
        <v>5.1730057209747589</v>
      </c>
      <c r="T25" s="340">
        <f>S25/SUM('Prod &amp; Defects - Qty'!$L$8:$Q$8)*1000000</f>
        <v>8.3369407851475952E-2</v>
      </c>
      <c r="U25" s="340">
        <f t="shared" si="1"/>
        <v>5.1730057209747589</v>
      </c>
      <c r="V25" s="340">
        <f>U25/'Prod &amp; Defects - Qty'!$R$8*1000000</f>
        <v>4.0953194074464898E-2</v>
      </c>
      <c r="W25" s="340">
        <f t="shared" si="9"/>
        <v>3.6857874667018412E-2</v>
      </c>
      <c r="X25" s="340">
        <f t="shared" si="9"/>
        <v>3.3172087200316572E-2</v>
      </c>
      <c r="Y25" s="340">
        <f t="shared" si="3"/>
        <v>3.5014980933667492E-2</v>
      </c>
      <c r="Z25" s="340">
        <f t="shared" si="7"/>
        <v>3.5014980933667492E-2</v>
      </c>
    </row>
    <row r="26" spans="1:26" ht="18" customHeight="1">
      <c r="A26" s="1002"/>
      <c r="B26" s="82">
        <v>4230</v>
      </c>
      <c r="C26" s="90" t="s">
        <v>157</v>
      </c>
      <c r="D26" s="359">
        <f>'[3]Falhas UM-4 Qty'!Z26</f>
        <v>0.15024089519996231</v>
      </c>
      <c r="E26" s="340">
        <f>'Prod &amp; Defects - Qty'!F$8*'Falhas UM-4 Qty'!$D26/1000000</f>
        <v>1.4809331180597749</v>
      </c>
      <c r="F26" s="340">
        <f>'Prod &amp; Defects - Qty'!G$8*'Falhas UM-4 Qty'!$D26/1000000</f>
        <v>1.690891343597291</v>
      </c>
      <c r="G26" s="340">
        <f>'Prod &amp; Defects - Qty'!H$8*'Falhas UM-4 Qty'!$D26/1000000</f>
        <v>1.531526248203591</v>
      </c>
      <c r="H26" s="340">
        <f>'Prod &amp; Defects - Qty'!I$8*'Falhas UM-4 Qty'!$D26/1000000</f>
        <v>1.5392267423194677</v>
      </c>
      <c r="I26" s="340">
        <f>'Prod &amp; Defects - Qty'!J$8*'Falhas UM-4 Qty'!$D26/1000000</f>
        <v>1.6617040162659042</v>
      </c>
      <c r="J26" s="340">
        <f>'Prod &amp; Defects - Qty'!K$8*'Falhas UM-4 Qty'!$D26/1000000</f>
        <v>1.7510797139716454</v>
      </c>
      <c r="K26" s="340">
        <f>'Prod &amp; Defects - Qty'!L$8*'Falhas UM-4 Qty'!$D26/1000000</f>
        <v>1.7085594187102844</v>
      </c>
      <c r="L26" s="340">
        <f>'Prod &amp; Defects - Qty'!M$8*'Falhas UM-4 Qty'!$D26/1000000</f>
        <v>1.7051417678227687</v>
      </c>
      <c r="M26" s="340">
        <f>'Prod &amp; Defects - Qty'!N$8*'Falhas UM-4 Qty'!$D26/1000000</f>
        <v>1.7031257281348411</v>
      </c>
      <c r="N26" s="340">
        <f>'Prod &amp; Defects - Qty'!O$8*'Falhas UM-4 Qty'!$D26/1000000</f>
        <v>1.2604622114019171</v>
      </c>
      <c r="O26" s="340">
        <f>'Prod &amp; Defects - Qty'!P$8*'Falhas UM-4 Qty'!$D26/1000000</f>
        <v>1.3165125274173703</v>
      </c>
      <c r="P26" s="340">
        <f>'Prod &amp; Defects - Qty'!Q$8*'Falhas UM-4 Qty'!$D26/1000000</f>
        <v>1.62852688911641</v>
      </c>
      <c r="Q26" s="340"/>
      <c r="R26" s="340">
        <f>Q26/SUM('Prod &amp; Defects - Qty'!$F$8:$K$8)*1000000</f>
        <v>0</v>
      </c>
      <c r="S26" s="340">
        <f t="shared" si="0"/>
        <v>9.3223285426035911</v>
      </c>
      <c r="T26" s="340">
        <f>S26/SUM('Prod &amp; Defects - Qty'!$L$8:$Q$8)*1000000</f>
        <v>0.15024089519996231</v>
      </c>
      <c r="U26" s="340">
        <f t="shared" si="1"/>
        <v>9.3223285426035911</v>
      </c>
      <c r="V26" s="340">
        <f>U26/'Prod &amp; Defects - Qty'!$R$8*1000000</f>
        <v>7.3802185929001646E-2</v>
      </c>
      <c r="W26" s="340">
        <f t="shared" si="9"/>
        <v>6.6421967336101478E-2</v>
      </c>
      <c r="X26" s="340">
        <f t="shared" si="9"/>
        <v>5.9779770602491331E-2</v>
      </c>
      <c r="Y26" s="340">
        <f t="shared" si="3"/>
        <v>6.3100868969296398E-2</v>
      </c>
      <c r="Z26" s="340">
        <f t="shared" si="7"/>
        <v>6.3100868969296398E-2</v>
      </c>
    </row>
    <row r="27" spans="1:26" ht="18" customHeight="1">
      <c r="A27" s="1002"/>
      <c r="B27" s="82">
        <v>4240</v>
      </c>
      <c r="C27" s="93" t="s">
        <v>158</v>
      </c>
      <c r="D27" s="361">
        <f>'[3]Falhas UM-4 Qty'!Z27</f>
        <v>0.14847843852263223</v>
      </c>
      <c r="E27" s="342">
        <f>'Prod &amp; Defects - Qty'!F$8*'Falhas UM-4 Qty'!$D27/1000000</f>
        <v>1.4635604815407377</v>
      </c>
      <c r="F27" s="342">
        <f>'Prod &amp; Defects - Qty'!G$8*'Falhas UM-4 Qty'!$D27/1000000</f>
        <v>1.6710557140558382</v>
      </c>
      <c r="G27" s="342">
        <f>'Prod &amp; Defects - Qty'!H$8*'Falhas UM-4 Qty'!$D27/1000000</f>
        <v>1.5135601101620135</v>
      </c>
      <c r="H27" s="342">
        <f>'Prod &amp; Defects - Qty'!I$8*'Falhas UM-4 Qty'!$D27/1000000</f>
        <v>1.5211702707687933</v>
      </c>
      <c r="I27" s="342">
        <f>'Prod &amp; Defects - Qty'!J$8*'Falhas UM-4 Qty'!$D27/1000000</f>
        <v>1.6422107795189045</v>
      </c>
      <c r="J27" s="342">
        <f>'Prod &amp; Defects - Qty'!K$8*'Falhas UM-4 Qty'!$D27/1000000</f>
        <v>1.7305380223748335</v>
      </c>
      <c r="K27" s="342">
        <f>'Prod &amp; Defects - Qty'!L$8*'Falhas UM-4 Qty'!$D27/1000000</f>
        <v>1.6885165272451257</v>
      </c>
      <c r="L27" s="342">
        <f>'Prod &amp; Defects - Qty'!M$8*'Falhas UM-4 Qty'!$D27/1000000</f>
        <v>1.6851389683819518</v>
      </c>
      <c r="M27" s="342">
        <f>'Prod &amp; Defects - Qty'!N$8*'Falhas UM-4 Qty'!$D27/1000000</f>
        <v>1.6831465785971016</v>
      </c>
      <c r="N27" s="342">
        <f>'Prod &amp; Defects - Qty'!O$8*'Falhas UM-4 Qty'!$D27/1000000</f>
        <v>1.245675890819556</v>
      </c>
      <c r="O27" s="342">
        <f>'Prod &amp; Defects - Qty'!P$8*'Falhas UM-4 Qty'!$D27/1000000</f>
        <v>1.3010686877647426</v>
      </c>
      <c r="P27" s="342">
        <f>'Prod &amp; Defects - Qty'!Q$8*'Falhas UM-4 Qty'!$D27/1000000</f>
        <v>1.6094228489939471</v>
      </c>
      <c r="Q27" s="342"/>
      <c r="R27" s="342">
        <f>Q27/SUM('Prod &amp; Defects - Qty'!$F$8:$K$8)*1000000</f>
        <v>0</v>
      </c>
      <c r="S27" s="342">
        <f t="shared" si="0"/>
        <v>9.2129695018024247</v>
      </c>
      <c r="T27" s="342">
        <f>S27/SUM('Prod &amp; Defects - Qty'!$L$8:$Q$8)*1000000</f>
        <v>0.14847843852263226</v>
      </c>
      <c r="U27" s="342">
        <f t="shared" si="1"/>
        <v>9.2129695018024247</v>
      </c>
      <c r="V27" s="342">
        <f>U27/'Prod &amp; Defects - Qty'!$R$8*1000000</f>
        <v>7.2936421948968086E-2</v>
      </c>
      <c r="W27" s="342">
        <f t="shared" si="9"/>
        <v>6.5642779754071276E-2</v>
      </c>
      <c r="X27" s="342">
        <f t="shared" si="9"/>
        <v>5.9078501778664153E-2</v>
      </c>
      <c r="Y27" s="342">
        <f t="shared" si="3"/>
        <v>6.2360640766367714E-2</v>
      </c>
      <c r="Z27" s="342">
        <f t="shared" si="7"/>
        <v>6.2360640766367714E-2</v>
      </c>
    </row>
    <row r="28" spans="1:26" ht="18" customHeight="1">
      <c r="A28" s="1002"/>
      <c r="B28" s="82">
        <v>4250</v>
      </c>
      <c r="C28" s="90" t="s">
        <v>130</v>
      </c>
      <c r="D28" s="360">
        <f>'[3]Falhas UM-4 Qty'!Z28</f>
        <v>30.114308342501509</v>
      </c>
      <c r="E28" s="341">
        <f>'Prod &amp; Defects - Qty'!F$8*'Falhas UM-4 Qty'!$D28/1000000</f>
        <v>296.8384639383155</v>
      </c>
      <c r="F28" s="341">
        <f>'Prod &amp; Defects - Qty'!G$8*'Falhas UM-4 Qty'!$D28/1000000</f>
        <v>338.92252323832173</v>
      </c>
      <c r="G28" s="341">
        <f>'Prod &amp; Defects - Qty'!H$8*'Falhas UM-4 Qty'!$D28/1000000</f>
        <v>306.97935879344391</v>
      </c>
      <c r="H28" s="341">
        <f>'Prod &amp; Defects - Qty'!I$8*'Falhas UM-4 Qty'!$D28/1000000</f>
        <v>308.52284702869758</v>
      </c>
      <c r="I28" s="341">
        <f>'Prod &amp; Defects - Qty'!J$8*'Falhas UM-4 Qty'!$D28/1000000</f>
        <v>333.07221081984829</v>
      </c>
      <c r="J28" s="341">
        <f>'Prod &amp; Defects - Qty'!K$8*'Falhas UM-4 Qty'!$D28/1000000</f>
        <v>350.98668953388068</v>
      </c>
      <c r="K28" s="341">
        <f>'Prod &amp; Defects - Qty'!L$8*'Falhas UM-4 Qty'!$D28/1000000</f>
        <v>342.46391495502456</v>
      </c>
      <c r="L28" s="341">
        <f>'Prod &amp; Defects - Qty'!M$8*'Falhas UM-4 Qty'!$D28/1000000</f>
        <v>341.77888048091091</v>
      </c>
      <c r="M28" s="341">
        <f>'Prod &amp; Defects - Qty'!N$8*'Falhas UM-4 Qty'!$D28/1000000</f>
        <v>341.37478517309091</v>
      </c>
      <c r="N28" s="341">
        <f>'Prod &amp; Defects - Qty'!O$8*'Falhas UM-4 Qty'!$D28/1000000</f>
        <v>252.64724120359327</v>
      </c>
      <c r="O28" s="341">
        <f>'Prod &amp; Defects - Qty'!P$8*'Falhas UM-4 Qty'!$D28/1000000</f>
        <v>263.88197524146943</v>
      </c>
      <c r="P28" s="341">
        <f>'Prod &amp; Defects - Qty'!Q$8*'Falhas UM-4 Qty'!$D28/1000000</f>
        <v>326.42218230684927</v>
      </c>
      <c r="Q28" s="341"/>
      <c r="R28" s="341">
        <f>Q28/SUM('Prod &amp; Defects - Qty'!$F$8:$K$8)*1000000</f>
        <v>0</v>
      </c>
      <c r="S28" s="341">
        <f t="shared" si="0"/>
        <v>1868.5689793609383</v>
      </c>
      <c r="T28" s="341">
        <f>S28/SUM('Prod &amp; Defects - Qty'!$L$8:$Q$8)*1000000</f>
        <v>30.114308342501513</v>
      </c>
      <c r="U28" s="341">
        <f t="shared" si="1"/>
        <v>1868.5689793609383</v>
      </c>
      <c r="V28" s="341">
        <f>U28/'Prod &amp; Defects - Qty'!$R$8*1000000</f>
        <v>14.792921597402325</v>
      </c>
      <c r="W28" s="341">
        <f t="shared" si="9"/>
        <v>13.313629437662092</v>
      </c>
      <c r="X28" s="341">
        <f t="shared" si="9"/>
        <v>11.982266493895883</v>
      </c>
      <c r="Y28" s="341">
        <f t="shared" si="3"/>
        <v>12.647947965778988</v>
      </c>
      <c r="Z28" s="341">
        <f t="shared" si="7"/>
        <v>12.647947965778988</v>
      </c>
    </row>
    <row r="29" spans="1:26" ht="18" customHeight="1">
      <c r="A29" s="1002"/>
      <c r="B29" s="82">
        <v>4260</v>
      </c>
      <c r="C29" s="90" t="s">
        <v>131</v>
      </c>
      <c r="D29" s="359">
        <f>'[3]Falhas UM-4 Qty'!Z29</f>
        <v>3.1295036304404626</v>
      </c>
      <c r="E29" s="340">
        <f>'Prod &amp; Defects - Qty'!F$8*'Falhas UM-4 Qty'!$D29/1000000</f>
        <v>30.847696715592669</v>
      </c>
      <c r="F29" s="340">
        <f>'Prod &amp; Defects - Qty'!G$8*'Falhas UM-4 Qty'!$D29/1000000</f>
        <v>35.221106686200052</v>
      </c>
      <c r="G29" s="340">
        <f>'Prod &amp; Defects - Qty'!H$8*'Falhas UM-4 Qty'!$D29/1000000</f>
        <v>31.9015468291033</v>
      </c>
      <c r="H29" s="340">
        <f>'Prod &amp; Defects - Qty'!I$8*'Falhas UM-4 Qty'!$D29/1000000</f>
        <v>32.061947392876213</v>
      </c>
      <c r="I29" s="340">
        <f>'Prod &amp; Defects - Qty'!J$8*'Falhas UM-4 Qty'!$D29/1000000</f>
        <v>34.613137419743957</v>
      </c>
      <c r="J29" s="340">
        <f>'Prod &amp; Defects - Qty'!K$8*'Falhas UM-4 Qty'!$D29/1000000</f>
        <v>36.474824745761268</v>
      </c>
      <c r="K29" s="340">
        <f>'Prod &amp; Defects - Qty'!L$8*'Falhas UM-4 Qty'!$D29/1000000</f>
        <v>35.589131018958561</v>
      </c>
      <c r="L29" s="340">
        <f>'Prod &amp; Defects - Qty'!M$8*'Falhas UM-4 Qty'!$D29/1000000</f>
        <v>35.517941674367506</v>
      </c>
      <c r="M29" s="340">
        <f>'Prod &amp; Defects - Qty'!N$8*'Falhas UM-4 Qty'!$D29/1000000</f>
        <v>35.475947758436142</v>
      </c>
      <c r="N29" s="340">
        <f>'Prod &amp; Defects - Qty'!O$8*'Falhas UM-4 Qty'!$D29/1000000</f>
        <v>26.255308592013122</v>
      </c>
      <c r="O29" s="340">
        <f>'Prod &amp; Defects - Qty'!P$8*'Falhas UM-4 Qty'!$D29/1000000</f>
        <v>27.422831370842651</v>
      </c>
      <c r="P29" s="340">
        <f>'Prod &amp; Defects - Qty'!Q$8*'Falhas UM-4 Qty'!$D29/1000000</f>
        <v>33.922061000612274</v>
      </c>
      <c r="Q29" s="340"/>
      <c r="R29" s="340">
        <f>Q29/SUM('Prod &amp; Defects - Qty'!$F$8:$K$8)*1000000</f>
        <v>0</v>
      </c>
      <c r="S29" s="340">
        <f t="shared" si="0"/>
        <v>194.18322141523026</v>
      </c>
      <c r="T29" s="340">
        <f>S29/SUM('Prod &amp; Defects - Qty'!$L$8:$Q$8)*1000000</f>
        <v>3.1295036304404631</v>
      </c>
      <c r="U29" s="340">
        <f t="shared" si="1"/>
        <v>194.18322141523026</v>
      </c>
      <c r="V29" s="340">
        <f>U29/'Prod &amp; Defects - Qty'!$R$8*1000000</f>
        <v>1.5372925493545024</v>
      </c>
      <c r="W29" s="340">
        <f t="shared" si="9"/>
        <v>1.3835632944190521</v>
      </c>
      <c r="X29" s="340">
        <f t="shared" si="9"/>
        <v>1.2452069649771469</v>
      </c>
      <c r="Y29" s="340">
        <f t="shared" si="3"/>
        <v>1.3143851296980995</v>
      </c>
      <c r="Z29" s="340">
        <f t="shared" si="7"/>
        <v>1.3143851296980995</v>
      </c>
    </row>
    <row r="30" spans="1:26" ht="18" customHeight="1">
      <c r="A30" s="1002"/>
      <c r="B30" s="82">
        <v>4270</v>
      </c>
      <c r="C30" s="90" t="s">
        <v>159</v>
      </c>
      <c r="D30" s="359">
        <f>'[3]Falhas UM-4 Qty'!Z30</f>
        <v>0.62449615860528485</v>
      </c>
      <c r="E30" s="340">
        <f>'Prod &amp; Defects - Qty'!F$8*'Falhas UM-4 Qty'!$D30/1000000</f>
        <v>6.1556944409095093</v>
      </c>
      <c r="F30" s="340">
        <f>'Prod &amp; Defects - Qty'!G$8*'Falhas UM-4 Qty'!$D30/1000000</f>
        <v>7.0284135839980131</v>
      </c>
      <c r="G30" s="340">
        <f>'Prod &amp; Defects - Qty'!H$8*'Falhas UM-4 Qty'!$D30/1000000</f>
        <v>6.3659914801049888</v>
      </c>
      <c r="H30" s="340">
        <f>'Prod &amp; Defects - Qty'!I$8*'Falhas UM-4 Qty'!$D30/1000000</f>
        <v>6.3979996027158608</v>
      </c>
      <c r="I30" s="340">
        <f>'Prod &amp; Defects - Qty'!J$8*'Falhas UM-4 Qty'!$D30/1000000</f>
        <v>6.9070925962992487</v>
      </c>
      <c r="J30" s="340">
        <f>'Prod &amp; Defects - Qty'!K$8*'Falhas UM-4 Qty'!$D30/1000000</f>
        <v>7.2785945087154129</v>
      </c>
      <c r="K30" s="340">
        <f>'Prod &amp; Defects - Qty'!L$8*'Falhas UM-4 Qty'!$D30/1000000</f>
        <v>7.1018532757898445</v>
      </c>
      <c r="L30" s="340">
        <f>'Prod &amp; Defects - Qty'!M$8*'Falhas UM-4 Qty'!$D30/1000000</f>
        <v>7.087647357701651</v>
      </c>
      <c r="M30" s="340">
        <f>'Prod &amp; Defects - Qty'!N$8*'Falhas UM-4 Qty'!$D30/1000000</f>
        <v>7.0792674220055094</v>
      </c>
      <c r="N30" s="340">
        <f>'Prod &amp; Defects - Qty'!O$8*'Falhas UM-4 Qty'!$D30/1000000</f>
        <v>5.2392779478580822</v>
      </c>
      <c r="O30" s="340">
        <f>'Prod &amp; Defects - Qty'!P$8*'Falhas UM-4 Qty'!$D30/1000000</f>
        <v>5.4722585021450856</v>
      </c>
      <c r="P30" s="340">
        <f>'Prod &amp; Defects - Qty'!Q$8*'Falhas UM-4 Qty'!$D30/1000000</f>
        <v>6.7691874777837961</v>
      </c>
      <c r="Q30" s="340"/>
      <c r="R30" s="340">
        <f>Q30/SUM('Prod &amp; Defects - Qty'!$F$8:$K$8)*1000000</f>
        <v>0</v>
      </c>
      <c r="S30" s="340">
        <f t="shared" si="0"/>
        <v>38.749491983283967</v>
      </c>
      <c r="T30" s="340">
        <f>S30/SUM('Prod &amp; Defects - Qty'!$L$8:$Q$8)*1000000</f>
        <v>0.62449615860528496</v>
      </c>
      <c r="U30" s="340">
        <f t="shared" si="1"/>
        <v>38.749491983283967</v>
      </c>
      <c r="V30" s="340">
        <f>U30/'Prod &amp; Defects - Qty'!$R$8*1000000</f>
        <v>0.30676855025385985</v>
      </c>
      <c r="W30" s="340">
        <f t="shared" si="9"/>
        <v>0.27609169522847388</v>
      </c>
      <c r="X30" s="340">
        <f t="shared" si="9"/>
        <v>0.24848252570562648</v>
      </c>
      <c r="Y30" s="340">
        <f t="shared" si="3"/>
        <v>0.26228711046705017</v>
      </c>
      <c r="Z30" s="340">
        <f t="shared" si="7"/>
        <v>0.26228711046705017</v>
      </c>
    </row>
    <row r="31" spans="1:26" ht="18" customHeight="1">
      <c r="A31" s="1002"/>
      <c r="B31" s="82">
        <v>4280</v>
      </c>
      <c r="C31" s="90" t="s">
        <v>160</v>
      </c>
      <c r="D31" s="359">
        <f>'[3]Falhas UM-4 Qty'!Z31</f>
        <v>5.0107948741826691</v>
      </c>
      <c r="E31" s="340">
        <f>'Prod &amp; Defects - Qty'!F$8*'Falhas UM-4 Qty'!$D31/1000000</f>
        <v>49.39169236914357</v>
      </c>
      <c r="F31" s="340">
        <f>'Prod &amp; Defects - Qty'!G$8*'Falhas UM-4 Qty'!$D31/1000000</f>
        <v>56.394163959289813</v>
      </c>
      <c r="G31" s="340">
        <f>'Prod &amp; Defects - Qty'!H$8*'Falhas UM-4 Qty'!$D31/1000000</f>
        <v>51.079061156823379</v>
      </c>
      <c r="H31" s="340">
        <f>'Prod &amp; Defects - Qty'!I$8*'Falhas UM-4 Qty'!$D31/1000000</f>
        <v>51.335886013951352</v>
      </c>
      <c r="I31" s="340">
        <f>'Prod &amp; Defects - Qty'!J$8*'Falhas UM-4 Qty'!$D31/1000000</f>
        <v>55.42071588452594</v>
      </c>
      <c r="J31" s="340">
        <f>'Prod &amp; Defects - Qty'!K$8*'Falhas UM-4 Qty'!$D31/1000000</f>
        <v>58.401550678836585</v>
      </c>
      <c r="K31" s="340">
        <f>'Prod &amp; Defects - Qty'!L$8*'Falhas UM-4 Qty'!$D31/1000000</f>
        <v>56.983424959732012</v>
      </c>
      <c r="L31" s="340">
        <f>'Prod &amp; Defects - Qty'!M$8*'Falhas UM-4 Qty'!$D31/1000000</f>
        <v>56.869440365017525</v>
      </c>
      <c r="M31" s="340">
        <f>'Prod &amp; Defects - Qty'!N$8*'Falhas UM-4 Qty'!$D31/1000000</f>
        <v>56.802201938882149</v>
      </c>
      <c r="N31" s="340">
        <f>'Prod &amp; Defects - Qty'!O$8*'Falhas UM-4 Qty'!$D31/1000000</f>
        <v>42.038604599550219</v>
      </c>
      <c r="O31" s="340">
        <f>'Prod &amp; Defects - Qty'!P$8*'Falhas UM-4 Qty'!$D31/1000000</f>
        <v>43.907980017027242</v>
      </c>
      <c r="P31" s="340">
        <f>'Prod &amp; Defects - Qty'!Q$8*'Falhas UM-4 Qty'!$D31/1000000</f>
        <v>54.314201054196076</v>
      </c>
      <c r="Q31" s="340"/>
      <c r="R31" s="340">
        <f>Q31/SUM('Prod &amp; Defects - Qty'!$F$8:$K$8)*1000000</f>
        <v>0</v>
      </c>
      <c r="S31" s="340">
        <f t="shared" si="0"/>
        <v>310.91585293440522</v>
      </c>
      <c r="T31" s="340">
        <f>S31/SUM('Prod &amp; Defects - Qty'!$L$8:$Q$8)*1000000</f>
        <v>5.01079487418267</v>
      </c>
      <c r="U31" s="340">
        <f t="shared" si="1"/>
        <v>310.91585293440522</v>
      </c>
      <c r="V31" s="340">
        <f>U31/'Prod &amp; Defects - Qty'!$R$8*1000000</f>
        <v>2.461431120097656</v>
      </c>
      <c r="W31" s="340">
        <f t="shared" si="9"/>
        <v>2.2152880080878905</v>
      </c>
      <c r="X31" s="340">
        <f t="shared" si="9"/>
        <v>1.9937592072791015</v>
      </c>
      <c r="Y31" s="340">
        <f t="shared" si="3"/>
        <v>2.1045236076834959</v>
      </c>
      <c r="Z31" s="340">
        <f t="shared" si="7"/>
        <v>2.1045236076834959</v>
      </c>
    </row>
    <row r="32" spans="1:26" ht="18" customHeight="1">
      <c r="A32" s="1002"/>
      <c r="B32" s="82">
        <v>4290</v>
      </c>
      <c r="C32" s="90" t="s">
        <v>161</v>
      </c>
      <c r="D32" s="359">
        <f>'[3]Falhas UM-4 Qty'!Z32</f>
        <v>0</v>
      </c>
      <c r="E32" s="340">
        <f>'Prod &amp; Defects - Qty'!F$8*'Falhas UM-4 Qty'!$D32/1000000</f>
        <v>0</v>
      </c>
      <c r="F32" s="340">
        <f>'Prod &amp; Defects - Qty'!G$8*'Falhas UM-4 Qty'!$D32/1000000</f>
        <v>0</v>
      </c>
      <c r="G32" s="340">
        <f>'Prod &amp; Defects - Qty'!H$8*'Falhas UM-4 Qty'!$D32/1000000</f>
        <v>0</v>
      </c>
      <c r="H32" s="340">
        <f>'Prod &amp; Defects - Qty'!I$8*'Falhas UM-4 Qty'!$D32/1000000</f>
        <v>0</v>
      </c>
      <c r="I32" s="340">
        <f>'Prod &amp; Defects - Qty'!J$8*'Falhas UM-4 Qty'!$D32/1000000</f>
        <v>0</v>
      </c>
      <c r="J32" s="340">
        <f>'Prod &amp; Defects - Qty'!K$8*'Falhas UM-4 Qty'!$D32/1000000</f>
        <v>0</v>
      </c>
      <c r="K32" s="340">
        <f>'Prod &amp; Defects - Qty'!L$8*'Falhas UM-4 Qty'!$D32/1000000</f>
        <v>0</v>
      </c>
      <c r="L32" s="340">
        <f>'Prod &amp; Defects - Qty'!M$8*'Falhas UM-4 Qty'!$D32/1000000</f>
        <v>0</v>
      </c>
      <c r="M32" s="340">
        <f>'Prod &amp; Defects - Qty'!N$8*'Falhas UM-4 Qty'!$D32/1000000</f>
        <v>0</v>
      </c>
      <c r="N32" s="340">
        <f>'Prod &amp; Defects - Qty'!O$8*'Falhas UM-4 Qty'!$D32/1000000</f>
        <v>0</v>
      </c>
      <c r="O32" s="340">
        <f>'Prod &amp; Defects - Qty'!P$8*'Falhas UM-4 Qty'!$D32/1000000</f>
        <v>0</v>
      </c>
      <c r="P32" s="340">
        <f>'Prod &amp; Defects - Qty'!Q$8*'Falhas UM-4 Qty'!$D32/1000000</f>
        <v>0</v>
      </c>
      <c r="Q32" s="340"/>
      <c r="R32" s="340">
        <f>Q32/SUM('Prod &amp; Defects - Qty'!$F$8:$K$8)*1000000</f>
        <v>0</v>
      </c>
      <c r="S32" s="340">
        <f t="shared" ref="S32" si="10">SUM(K32:P32)</f>
        <v>0</v>
      </c>
      <c r="T32" s="340">
        <f>S32/SUM('Prod &amp; Defects - Qty'!$L$8:$Q$8)*1000000</f>
        <v>0</v>
      </c>
      <c r="U32" s="340"/>
      <c r="V32" s="340"/>
      <c r="W32" s="340"/>
      <c r="X32" s="340"/>
      <c r="Y32" s="340"/>
      <c r="Z32" s="340"/>
    </row>
    <row r="33" spans="1:26" ht="18" customHeight="1">
      <c r="A33" s="1002"/>
      <c r="B33" s="82">
        <v>4300</v>
      </c>
      <c r="C33" s="90" t="s">
        <v>116</v>
      </c>
      <c r="D33" s="359">
        <f>'[3]Falhas UM-4 Qty'!Z33</f>
        <v>10.36177049333695</v>
      </c>
      <c r="E33" s="340">
        <f>'Prod &amp; Defects - Qty'!F$8*'Falhas UM-4 Qty'!$D33/1000000</f>
        <v>102.13656584576255</v>
      </c>
      <c r="F33" s="340">
        <f>'Prod &amp; Defects - Qty'!G$8*'Falhas UM-4 Qty'!$D33/1000000</f>
        <v>116.61690386100464</v>
      </c>
      <c r="G33" s="340">
        <f>'Prod &amp; Defects - Qty'!H$8*'Falhas UM-4 Qty'!$D33/1000000</f>
        <v>105.62585817453909</v>
      </c>
      <c r="H33" s="340">
        <f>'Prod &amp; Defects - Qty'!I$8*'Falhas UM-4 Qty'!$D33/1000000</f>
        <v>106.15694361973569</v>
      </c>
      <c r="I33" s="340">
        <f>'Prod &amp; Defects - Qty'!J$8*'Falhas UM-4 Qty'!$D33/1000000</f>
        <v>114.60392073334684</v>
      </c>
      <c r="J33" s="340">
        <f>'Prod &amp; Defects - Qty'!K$8*'Falhas UM-4 Qty'!$D33/1000000</f>
        <v>120.76795793557579</v>
      </c>
      <c r="K33" s="340">
        <f>'Prod &amp; Defects - Qty'!L$8*'Falhas UM-4 Qty'!$D33/1000000</f>
        <v>117.83543054201394</v>
      </c>
      <c r="L33" s="340">
        <f>'Prod &amp; Defects - Qty'!M$8*'Falhas UM-4 Qty'!$D33/1000000</f>
        <v>117.59972298665323</v>
      </c>
      <c r="M33" s="340">
        <f>'Prod &amp; Defects - Qty'!N$8*'Falhas UM-4 Qty'!$D33/1000000</f>
        <v>117.46068134606691</v>
      </c>
      <c r="N33" s="340">
        <f>'Prod &amp; Defects - Qty'!O$8*'Falhas UM-4 Qty'!$D33/1000000</f>
        <v>86.931192287477145</v>
      </c>
      <c r="O33" s="340">
        <f>'Prod &amp; Defects - Qty'!P$8*'Falhas UM-4 Qty'!$D33/1000000</f>
        <v>90.796854228975477</v>
      </c>
      <c r="P33" s="340">
        <f>'Prod &amp; Defects - Qty'!Q$8*'Falhas UM-4 Qty'!$D33/1000000</f>
        <v>112.31577024879483</v>
      </c>
      <c r="Q33" s="340"/>
      <c r="R33" s="340">
        <f>Q33/SUM('Prod &amp; Defects - Qty'!$F$8:$K$8)*1000000</f>
        <v>0</v>
      </c>
      <c r="S33" s="340">
        <f t="shared" si="0"/>
        <v>642.93965163998155</v>
      </c>
      <c r="T33" s="340">
        <f>S33/SUM('Prod &amp; Defects - Qty'!$L$8:$Q$8)*1000000</f>
        <v>10.361770493336952</v>
      </c>
      <c r="U33" s="340">
        <f t="shared" si="1"/>
        <v>642.93965163998155</v>
      </c>
      <c r="V33" s="340">
        <f>U33/'Prod &amp; Defects - Qty'!$R$8*1000000</f>
        <v>5.0899677580135219</v>
      </c>
      <c r="W33" s="340">
        <f t="shared" si="9"/>
        <v>4.58097098221217</v>
      </c>
      <c r="X33" s="340">
        <f t="shared" si="9"/>
        <v>4.1228738839909536</v>
      </c>
      <c r="Y33" s="340">
        <f t="shared" si="3"/>
        <v>4.3519224331015618</v>
      </c>
      <c r="Z33" s="340">
        <f t="shared" si="7"/>
        <v>4.3519224331015618</v>
      </c>
    </row>
    <row r="34" spans="1:26" ht="18" customHeight="1" thickBot="1">
      <c r="A34" s="96"/>
      <c r="B34" s="88"/>
      <c r="C34" s="89" t="s">
        <v>1</v>
      </c>
      <c r="D34" s="89">
        <f>'[3]Falhas UM-4 Qty'!Z34</f>
        <v>264.64459157050038</v>
      </c>
      <c r="E34" s="343">
        <f>SUBTOTAL(109,E16:E33)</f>
        <v>9454.6250812124381</v>
      </c>
      <c r="F34" s="343">
        <f t="shared" ref="F34:P34" si="11">SUBTOTAL(109,F16:F33)</f>
        <v>10795.047738364288</v>
      </c>
      <c r="G34" s="343">
        <f t="shared" si="11"/>
        <v>9777.6235146740783</v>
      </c>
      <c r="H34" s="343">
        <f t="shared" si="11"/>
        <v>9826.7852789143744</v>
      </c>
      <c r="I34" s="343">
        <f t="shared" si="11"/>
        <v>10608.708980944622</v>
      </c>
      <c r="J34" s="343">
        <f t="shared" si="11"/>
        <v>11179.30444057392</v>
      </c>
      <c r="K34" s="343">
        <f t="shared" si="11"/>
        <v>10907.8448823156</v>
      </c>
      <c r="L34" s="343">
        <f t="shared" si="11"/>
        <v>10886.025795818116</v>
      </c>
      <c r="M34" s="343">
        <f t="shared" si="11"/>
        <v>10873.15492463173</v>
      </c>
      <c r="N34" s="343">
        <f t="shared" si="11"/>
        <v>8047.0869970510366</v>
      </c>
      <c r="O34" s="343">
        <f t="shared" si="11"/>
        <v>8404.9253876894181</v>
      </c>
      <c r="P34" s="343">
        <f t="shared" si="11"/>
        <v>10396.898403785583</v>
      </c>
      <c r="Q34" s="343"/>
      <c r="R34" s="343">
        <f>Q34/SUM('Prod &amp; Defects - Qty'!$F$8:$K$8)*1000000</f>
        <v>0</v>
      </c>
      <c r="S34" s="343">
        <f t="shared" si="0"/>
        <v>59515.936391291485</v>
      </c>
      <c r="T34" s="343">
        <f>S34/SUM('Prod &amp; Defects - Qty'!$L$8:$Q$8)*1000000</f>
        <v>959.17318524308882</v>
      </c>
      <c r="U34" s="343">
        <f t="shared" si="1"/>
        <v>59515.936391291485</v>
      </c>
      <c r="V34" s="343">
        <f>U34/'Prod &amp; Defects - Qty'!$R$8*1000000</f>
        <v>471.17050029026262</v>
      </c>
      <c r="W34" s="343">
        <f t="shared" si="9"/>
        <v>424.05345026123638</v>
      </c>
      <c r="X34" s="343">
        <f t="shared" si="9"/>
        <v>381.64810523511272</v>
      </c>
      <c r="Y34" s="343">
        <f t="shared" si="3"/>
        <v>402.85077774817455</v>
      </c>
      <c r="Z34" s="343">
        <f t="shared" si="6"/>
        <v>362.56569997335708</v>
      </c>
    </row>
    <row r="35" spans="1:26" ht="18" customHeight="1" thickTop="1">
      <c r="A35" s="1004" t="s">
        <v>162</v>
      </c>
      <c r="B35" s="82">
        <v>4310</v>
      </c>
      <c r="C35" s="83" t="s">
        <v>152</v>
      </c>
      <c r="D35" s="359">
        <f>'[3]Falhas UM-4 Qty'!Z35</f>
        <v>0.496907337041051</v>
      </c>
      <c r="E35" s="341">
        <f>'Prod &amp; Defects - Qty'!F$8*'Falhas UM-4 Qty'!$D35/1000000</f>
        <v>4.8980441114355644</v>
      </c>
      <c r="F35" s="341">
        <f>'Prod &amp; Defects - Qty'!G$8*'Falhas UM-4 Qty'!$D35/1000000</f>
        <v>5.5924607854233912</v>
      </c>
      <c r="G35" s="341">
        <f>'Prod &amp; Defects - Qty'!H$8*'Falhas UM-4 Qty'!$D35/1000000</f>
        <v>5.0653760322077002</v>
      </c>
      <c r="H35" s="341">
        <f>'Prod &amp; Defects - Qty'!I$8*'Falhas UM-4 Qty'!$D35/1000000</f>
        <v>5.0908446772122966</v>
      </c>
      <c r="I35" s="341">
        <f>'Prod &amp; Defects - Qty'!J$8*'Falhas UM-4 Qty'!$D35/1000000</f>
        <v>5.4959265023955801</v>
      </c>
      <c r="J35" s="341">
        <f>'Prod &amp; Defects - Qty'!K$8*'Falhas UM-4 Qty'!$D35/1000000</f>
        <v>5.7915280420698254</v>
      </c>
      <c r="K35" s="341">
        <f>'Prod &amp; Defects - Qty'!L$8*'Falhas UM-4 Qty'!$D35/1000000</f>
        <v>5.6508962476412776</v>
      </c>
      <c r="L35" s="341">
        <f>'Prod &amp; Defects - Qty'!M$8*'Falhas UM-4 Qty'!$D35/1000000</f>
        <v>5.6395926954413849</v>
      </c>
      <c r="M35" s="341">
        <f>'Prod &amp; Defects - Qty'!N$8*'Falhas UM-4 Qty'!$D35/1000000</f>
        <v>5.63292483772286</v>
      </c>
      <c r="N35" s="341">
        <f>'Prod &amp; Defects - Qty'!O$8*'Falhas UM-4 Qty'!$D35/1000000</f>
        <v>4.168857753909057</v>
      </c>
      <c r="O35" s="341">
        <f>'Prod &amp; Defects - Qty'!P$8*'Falhas UM-4 Qty'!$D35/1000000</f>
        <v>4.3542387930361137</v>
      </c>
      <c r="P35" s="341">
        <f>'Prod &amp; Defects - Qty'!Q$8*'Falhas UM-4 Qty'!$D35/1000000</f>
        <v>5.386196339508933</v>
      </c>
      <c r="Q35" s="341"/>
      <c r="R35" s="341">
        <f>Q35/SUM('Prod &amp; Defects - Qty'!$F$8:$K$8)*1000000</f>
        <v>0</v>
      </c>
      <c r="S35" s="341">
        <f t="shared" si="0"/>
        <v>30.832706667259622</v>
      </c>
      <c r="T35" s="341">
        <f>S35/SUM('Prod &amp; Defects - Qty'!$L$8:$Q$8)*1000000</f>
        <v>0.496907337041051</v>
      </c>
      <c r="U35" s="341">
        <f t="shared" si="1"/>
        <v>30.832706667259622</v>
      </c>
      <c r="V35" s="341">
        <f>U35/'Prod &amp; Defects - Qty'!$R$8*1000000</f>
        <v>0.24409364460308358</v>
      </c>
      <c r="W35" s="341">
        <f t="shared" si="9"/>
        <v>0.21968428014277522</v>
      </c>
      <c r="X35" s="341">
        <f t="shared" si="9"/>
        <v>0.19771585212849771</v>
      </c>
      <c r="Y35" s="341">
        <f t="shared" si="3"/>
        <v>0.20870006613563646</v>
      </c>
      <c r="Z35" s="341">
        <f t="shared" ref="Z35:Z50" si="12">Y35*$AA$6</f>
        <v>0.20870006613563646</v>
      </c>
    </row>
    <row r="36" spans="1:26" ht="18" customHeight="1">
      <c r="A36" s="1002"/>
      <c r="B36" s="82">
        <v>4320</v>
      </c>
      <c r="C36" s="90" t="s">
        <v>153</v>
      </c>
      <c r="D36" s="360">
        <f>'[3]Falhas UM-4 Qty'!Z36</f>
        <v>2.4256994277213683E-2</v>
      </c>
      <c r="E36" s="341">
        <f>'Prod &amp; Defects - Qty'!F$8*'Falhas UM-4 Qty'!$D36/1000000</f>
        <v>0.23910258336720283</v>
      </c>
      <c r="F36" s="341">
        <f>'Prod &amp; Defects - Qty'!G$8*'Falhas UM-4 Qty'!$D36/1000000</f>
        <v>0.27300117980819866</v>
      </c>
      <c r="G36" s="341">
        <f>'Prod &amp; Defects - Qty'!H$8*'Falhas UM-4 Qty'!$D36/1000000</f>
        <v>0.24727104686531692</v>
      </c>
      <c r="H36" s="341">
        <f>'Prod &amp; Defects - Qty'!I$8*'Falhas UM-4 Qty'!$D36/1000000</f>
        <v>0.24851432248246449</v>
      </c>
      <c r="I36" s="341">
        <f>'Prod &amp; Defects - Qty'!J$8*'Falhas UM-4 Qty'!$D36/1000000</f>
        <v>0.26828876890900705</v>
      </c>
      <c r="J36" s="341">
        <f>'Prod &amp; Defects - Qty'!K$8*'Falhas UM-4 Qty'!$D36/1000000</f>
        <v>0.28271883327253916</v>
      </c>
      <c r="K36" s="341">
        <f>'Prod &amp; Defects - Qty'!L$8*'Falhas UM-4 Qty'!$D36/1000000</f>
        <v>0.27585376129964179</v>
      </c>
      <c r="L36" s="341">
        <f>'Prod &amp; Defects - Qty'!M$8*'Falhas UM-4 Qty'!$D36/1000000</f>
        <v>0.27530196787542371</v>
      </c>
      <c r="M36" s="341">
        <f>'Prod &amp; Defects - Qty'!N$8*'Falhas UM-4 Qty'!$D36/1000000</f>
        <v>0.27497647019313415</v>
      </c>
      <c r="N36" s="341">
        <f>'Prod &amp; Defects - Qty'!O$8*'Falhas UM-4 Qty'!$D36/1000000</f>
        <v>0.20350667245377327</v>
      </c>
      <c r="O36" s="341">
        <f>'Prod &amp; Defects - Qty'!P$8*'Falhas UM-4 Qty'!$D36/1000000</f>
        <v>0.21255622046806921</v>
      </c>
      <c r="P36" s="341">
        <f>'Prod &amp; Defects - Qty'!Q$8*'Falhas UM-4 Qty'!$D36/1000000</f>
        <v>0.26293218884917335</v>
      </c>
      <c r="Q36" s="341"/>
      <c r="R36" s="341">
        <f>Q36/SUM('Prod &amp; Defects - Qty'!$F$8:$K$8)*1000000</f>
        <v>0</v>
      </c>
      <c r="S36" s="341">
        <f t="shared" si="0"/>
        <v>1.5051272811392153</v>
      </c>
      <c r="T36" s="341">
        <f>S36/SUM('Prod &amp; Defects - Qty'!$L$8:$Q$8)*1000000</f>
        <v>2.4256994277213683E-2</v>
      </c>
      <c r="U36" s="341">
        <f t="shared" si="1"/>
        <v>1.5051272811392153</v>
      </c>
      <c r="V36" s="341">
        <f>U36/'Prod &amp; Defects - Qty'!$R$8*1000000</f>
        <v>1.1915658511904965E-2</v>
      </c>
      <c r="W36" s="341">
        <f t="shared" si="9"/>
        <v>1.0724092660714469E-2</v>
      </c>
      <c r="X36" s="341">
        <f t="shared" si="9"/>
        <v>9.6516833946430226E-3</v>
      </c>
      <c r="Y36" s="341">
        <f t="shared" si="3"/>
        <v>1.0187888027678746E-2</v>
      </c>
      <c r="Z36" s="341">
        <f t="shared" si="12"/>
        <v>1.0187888027678746E-2</v>
      </c>
    </row>
    <row r="37" spans="1:26" ht="18" customHeight="1">
      <c r="A37" s="1002"/>
      <c r="B37" s="82">
        <v>4330</v>
      </c>
      <c r="C37" s="90" t="s">
        <v>154</v>
      </c>
      <c r="D37" s="360">
        <f>'[3]Falhas UM-4 Qty'!Z37</f>
        <v>6.0512561529874331E-3</v>
      </c>
      <c r="E37" s="341">
        <f>'Prod &amp; Defects - Qty'!F$8*'Falhas UM-4 Qty'!$D37/1000000</f>
        <v>5.9647578849252793E-2</v>
      </c>
      <c r="F37" s="341">
        <f>'Prod &amp; Defects - Qty'!G$8*'Falhas UM-4 Qty'!$D37/1000000</f>
        <v>6.8104071353928292E-2</v>
      </c>
      <c r="G37" s="341">
        <f>'Prod &amp; Defects - Qty'!H$8*'Falhas UM-4 Qty'!$D37/1000000</f>
        <v>6.1685319570074441E-2</v>
      </c>
      <c r="H37" s="341">
        <f>'Prod &amp; Defects - Qty'!I$8*'Falhas UM-4 Qty'!$D37/1000000</f>
        <v>6.1995472556967413E-2</v>
      </c>
      <c r="I37" s="341">
        <f>'Prod &amp; Defects - Qty'!J$8*'Falhas UM-4 Qty'!$D37/1000000</f>
        <v>6.6928492668323153E-2</v>
      </c>
      <c r="J37" s="341">
        <f>'Prod &amp; Defects - Qty'!K$8*'Falhas UM-4 Qty'!$D37/1000000</f>
        <v>7.0528279796518753E-2</v>
      </c>
      <c r="K37" s="341">
        <f>'Prod &amp; Defects - Qty'!L$8*'Falhas UM-4 Qty'!$D37/1000000</f>
        <v>6.8815688840609582E-2</v>
      </c>
      <c r="L37" s="341">
        <f>'Prod &amp; Defects - Qty'!M$8*'Falhas UM-4 Qty'!$D37/1000000</f>
        <v>6.8678036033533882E-2</v>
      </c>
      <c r="M37" s="341">
        <f>'Prod &amp; Defects - Qty'!N$8*'Falhas UM-4 Qty'!$D37/1000000</f>
        <v>6.8596835954487484E-2</v>
      </c>
      <c r="N37" s="341">
        <f>'Prod &amp; Defects - Qty'!O$8*'Falhas UM-4 Qty'!$D37/1000000</f>
        <v>5.0767666834002675E-2</v>
      </c>
      <c r="O37" s="341">
        <f>'Prod &amp; Defects - Qty'!P$8*'Falhas UM-4 Qty'!$D37/1000000</f>
        <v>5.3025206761556871E-2</v>
      </c>
      <c r="P37" s="341">
        <f>'Prod &amp; Defects - Qty'!Q$8*'Falhas UM-4 Qty'!$D37/1000000</f>
        <v>6.5592216719390459E-2</v>
      </c>
      <c r="Q37" s="341"/>
      <c r="R37" s="341">
        <f>Q37/SUM('Prod &amp; Defects - Qty'!$F$8:$K$8)*1000000</f>
        <v>0</v>
      </c>
      <c r="S37" s="341">
        <f t="shared" si="0"/>
        <v>0.37547565114358095</v>
      </c>
      <c r="T37" s="341">
        <f>S37/SUM('Prod &amp; Defects - Qty'!$L$8:$Q$8)*1000000</f>
        <v>6.051256152987434E-3</v>
      </c>
      <c r="U37" s="341">
        <f t="shared" si="1"/>
        <v>0.37547565114358095</v>
      </c>
      <c r="V37" s="341">
        <f>U37/'Prod &amp; Defects - Qty'!$R$8*1000000</f>
        <v>2.9725324194347972E-3</v>
      </c>
      <c r="W37" s="341">
        <f t="shared" si="9"/>
        <v>2.6752791774913177E-3</v>
      </c>
      <c r="X37" s="341">
        <f t="shared" si="9"/>
        <v>2.4077512597421862E-3</v>
      </c>
      <c r="Y37" s="341">
        <f t="shared" si="3"/>
        <v>2.5415152186167517E-3</v>
      </c>
      <c r="Z37" s="341">
        <f t="shared" si="12"/>
        <v>2.5415152186167517E-3</v>
      </c>
    </row>
    <row r="38" spans="1:26" ht="18" customHeight="1">
      <c r="A38" s="1002"/>
      <c r="B38" s="82">
        <v>4340</v>
      </c>
      <c r="C38" s="90" t="s">
        <v>155</v>
      </c>
      <c r="D38" s="360">
        <f>'[3]Falhas UM-4 Qty'!Z38</f>
        <v>3.650076498034649E-2</v>
      </c>
      <c r="E38" s="341">
        <f>'Prod &amp; Defects - Qty'!F$8*'Falhas UM-4 Qty'!$D38/1000000</f>
        <v>0.35979013318555575</v>
      </c>
      <c r="F38" s="341">
        <f>'Prod &amp; Defects - Qty'!G$8*'Falhas UM-4 Qty'!$D38/1000000</f>
        <v>0.410799120025228</v>
      </c>
      <c r="G38" s="341">
        <f>'Prod &amp; Defects - Qty'!H$8*'Falhas UM-4 Qty'!$D38/1000000</f>
        <v>0.37208164642861569</v>
      </c>
      <c r="H38" s="341">
        <f>'Prod &amp; Defects - Qty'!I$8*'Falhas UM-4 Qty'!$D38/1000000</f>
        <v>0.3739524681218841</v>
      </c>
      <c r="I38" s="341">
        <f>'Prod &amp; Defects - Qty'!J$8*'Falhas UM-4 Qty'!$D38/1000000</f>
        <v>0.40370810945910052</v>
      </c>
      <c r="J38" s="341">
        <f>'Prod &amp; Defects - Qty'!K$8*'Falhas UM-4 Qty'!$D38/1000000</f>
        <v>0.42542178024474003</v>
      </c>
      <c r="K38" s="341">
        <f>'Prod &amp; Defects - Qty'!L$8*'Falhas UM-4 Qty'!$D38/1000000</f>
        <v>0.41509154823857275</v>
      </c>
      <c r="L38" s="341">
        <f>'Prod &amp; Defects - Qty'!M$8*'Falhas UM-4 Qty'!$D38/1000000</f>
        <v>0.41426123588144748</v>
      </c>
      <c r="M38" s="341">
        <f>'Prod &amp; Defects - Qty'!N$8*'Falhas UM-4 Qty'!$D38/1000000</f>
        <v>0.41377144253495451</v>
      </c>
      <c r="N38" s="341">
        <f>'Prod &amp; Defects - Qty'!O$8*'Falhas UM-4 Qty'!$D38/1000000</f>
        <v>0.30622710869603981</v>
      </c>
      <c r="O38" s="341">
        <f>'Prod &amp; Defects - Qty'!P$8*'Falhas UM-4 Qty'!$D38/1000000</f>
        <v>0.31984443578418886</v>
      </c>
      <c r="P38" s="341">
        <f>'Prod &amp; Defects - Qty'!Q$8*'Falhas UM-4 Qty'!$D38/1000000</f>
        <v>0.39564778394523153</v>
      </c>
      <c r="Q38" s="341"/>
      <c r="R38" s="341">
        <f>Q38/SUM('Prod &amp; Defects - Qty'!$F$8:$K$8)*1000000</f>
        <v>0</v>
      </c>
      <c r="S38" s="341">
        <f t="shared" si="0"/>
        <v>2.2648435550804349</v>
      </c>
      <c r="T38" s="341">
        <f>S38/SUM('Prod &amp; Defects - Qty'!$L$8:$Q$8)*1000000</f>
        <v>3.650076498034649E-2</v>
      </c>
      <c r="U38" s="341">
        <f t="shared" si="1"/>
        <v>2.2648435550804349</v>
      </c>
      <c r="V38" s="341">
        <f>U38/'Prod &amp; Defects - Qty'!$R$8*1000000</f>
        <v>1.7930113102993542E-2</v>
      </c>
      <c r="W38" s="341">
        <f t="shared" si="9"/>
        <v>1.6137101792694189E-2</v>
      </c>
      <c r="X38" s="341">
        <f t="shared" si="9"/>
        <v>1.4523391613424771E-2</v>
      </c>
      <c r="Y38" s="341">
        <f t="shared" si="3"/>
        <v>1.5330246703059481E-2</v>
      </c>
      <c r="Z38" s="341">
        <f t="shared" si="12"/>
        <v>1.5330246703059481E-2</v>
      </c>
    </row>
    <row r="39" spans="1:26" ht="18" customHeight="1">
      <c r="A39" s="1002"/>
      <c r="B39" s="82">
        <v>4350</v>
      </c>
      <c r="C39" s="91" t="s">
        <v>216</v>
      </c>
      <c r="D39" s="361">
        <f>'[3]Falhas UM-4 Qty'!Z39</f>
        <v>0.46696352200662578</v>
      </c>
      <c r="E39" s="341">
        <f>'Prod &amp; Defects - Qty'!F$8*'Falhas UM-4 Qty'!$D39/1000000</f>
        <v>4.6028862098102037</v>
      </c>
      <c r="F39" s="341">
        <f>'Prod &amp; Defects - Qty'!G$8*'Falhas UM-4 Qty'!$D39/1000000</f>
        <v>5.2554570850088007</v>
      </c>
      <c r="G39" s="341">
        <f>'Prod &amp; Defects - Qty'!H$8*'Falhas UM-4 Qty'!$D39/1000000</f>
        <v>4.7601346487911629</v>
      </c>
      <c r="H39" s="341">
        <f>'Prod &amp; Defects - Qty'!I$8*'Falhas UM-4 Qty'!$D39/1000000</f>
        <v>4.7840685440781634</v>
      </c>
      <c r="I39" s="341">
        <f>'Prod &amp; Defects - Qty'!J$8*'Falhas UM-4 Qty'!$D39/1000000</f>
        <v>5.1647399926320237</v>
      </c>
      <c r="J39" s="341">
        <f>'Prod &amp; Defects - Qty'!K$8*'Falhas UM-4 Qty'!$D39/1000000</f>
        <v>5.4425284770984215</v>
      </c>
      <c r="K39" s="341">
        <f>'Prod &amp; Defects - Qty'!L$8*'Falhas UM-4 Qty'!$D39/1000000</f>
        <v>5.3103712052345902</v>
      </c>
      <c r="L39" s="341">
        <f>'Prod &amp; Defects - Qty'!M$8*'Falhas UM-4 Qty'!$D39/1000000</f>
        <v>5.2997488091599436</v>
      </c>
      <c r="M39" s="341">
        <f>'Prod &amp; Defects - Qty'!N$8*'Falhas UM-4 Qty'!$D39/1000000</f>
        <v>5.2934827589482039</v>
      </c>
      <c r="N39" s="341">
        <f>'Prod &amp; Defects - Qty'!O$8*'Falhas UM-4 Qty'!$D39/1000000</f>
        <v>3.9176408847212922</v>
      </c>
      <c r="O39" s="341">
        <f>'Prod &amp; Defects - Qty'!P$8*'Falhas UM-4 Qty'!$D39/1000000</f>
        <v>4.0918507956867787</v>
      </c>
      <c r="P39" s="341">
        <f>'Prod &amp; Defects - Qty'!Q$8*'Falhas UM-4 Qty'!$D39/1000000</f>
        <v>5.0616222088676901</v>
      </c>
      <c r="Q39" s="341"/>
      <c r="R39" s="341">
        <f>Q39/SUM('Prod &amp; Defects - Qty'!$F$8:$K$8)*1000000</f>
        <v>0</v>
      </c>
      <c r="S39" s="341">
        <f t="shared" si="0"/>
        <v>28.974716662618494</v>
      </c>
      <c r="T39" s="341">
        <f>S39/SUM('Prod &amp; Defects - Qty'!$L$8:$Q$8)*1000000</f>
        <v>0.46696352200662578</v>
      </c>
      <c r="U39" s="341">
        <f t="shared" si="1"/>
        <v>28.974716662618494</v>
      </c>
      <c r="V39" s="341">
        <f>U39/'Prod &amp; Defects - Qty'!$R$8*1000000</f>
        <v>0.22938447369689982</v>
      </c>
      <c r="W39" s="341">
        <f t="shared" si="9"/>
        <v>0.20644602632720985</v>
      </c>
      <c r="X39" s="341">
        <f t="shared" si="9"/>
        <v>0.18580142369448888</v>
      </c>
      <c r="Y39" s="341">
        <f t="shared" si="3"/>
        <v>0.19612372501084935</v>
      </c>
      <c r="Z39" s="341">
        <f t="shared" si="12"/>
        <v>0.19612372501084935</v>
      </c>
    </row>
    <row r="40" spans="1:26" ht="18" customHeight="1">
      <c r="A40" s="1002"/>
      <c r="B40" s="82">
        <v>4360</v>
      </c>
      <c r="C40" s="83" t="s">
        <v>115</v>
      </c>
      <c r="D40" s="359">
        <f>'[3]Falhas UM-4 Qty'!Z40</f>
        <v>0.47779924362519127</v>
      </c>
      <c r="E40" s="341">
        <f>'Prod &amp; Defects - Qty'!F$8*'Falhas UM-4 Qty'!$D40/1000000</f>
        <v>4.7096945390713696</v>
      </c>
      <c r="F40" s="341">
        <f>'Prod &amp; Defects - Qty'!G$8*'Falhas UM-4 Qty'!$D40/1000000</f>
        <v>5.3774080881765922</v>
      </c>
      <c r="G40" s="341">
        <f>'Prod &amp; Defects - Qty'!H$8*'Falhas UM-4 Qty'!$D40/1000000</f>
        <v>4.8705918718726204</v>
      </c>
      <c r="H40" s="341">
        <f>'Prod &amp; Defects - Qty'!I$8*'Falhas UM-4 Qty'!$D40/1000000</f>
        <v>4.8950811446449185</v>
      </c>
      <c r="I40" s="341">
        <f>'Prod &amp; Defects - Qty'!J$8*'Falhas UM-4 Qty'!$D40/1000000</f>
        <v>5.2845859380967717</v>
      </c>
      <c r="J40" s="341">
        <f>'Prod &amp; Defects - Qty'!K$8*'Falhas UM-4 Qty'!$D40/1000000</f>
        <v>5.5688204050535921</v>
      </c>
      <c r="K40" s="341">
        <f>'Prod &amp; Defects - Qty'!L$8*'Falhas UM-4 Qty'!$D40/1000000</f>
        <v>5.4335964709339351</v>
      </c>
      <c r="L40" s="341">
        <f>'Prod &amp; Defects - Qty'!M$8*'Falhas UM-4 Qty'!$D40/1000000</f>
        <v>5.4227275859552035</v>
      </c>
      <c r="M40" s="341">
        <f>'Prod &amp; Defects - Qty'!N$8*'Falhas UM-4 Qty'!$D40/1000000</f>
        <v>5.4163161342880128</v>
      </c>
      <c r="N40" s="341">
        <f>'Prod &amp; Defects - Qty'!O$8*'Falhas UM-4 Qty'!$D40/1000000</f>
        <v>4.0085483411451541</v>
      </c>
      <c r="O40" s="341">
        <f>'Prod &amp; Defects - Qty'!P$8*'Falhas UM-4 Qty'!$D40/1000000</f>
        <v>4.1868007308256923</v>
      </c>
      <c r="P40" s="341">
        <f>'Prod &amp; Defects - Qty'!Q$8*'Falhas UM-4 Qty'!$D40/1000000</f>
        <v>5.1790753430182015</v>
      </c>
      <c r="Q40" s="341"/>
      <c r="R40" s="341">
        <f>Q40/SUM('Prod &amp; Defects - Qty'!$F$8:$K$8)*1000000</f>
        <v>0</v>
      </c>
      <c r="S40" s="341">
        <f t="shared" si="0"/>
        <v>29.6470646061662</v>
      </c>
      <c r="T40" s="341">
        <f>S40/SUM('Prod &amp; Defects - Qty'!$L$8:$Q$8)*1000000</f>
        <v>0.47779924362519133</v>
      </c>
      <c r="U40" s="341">
        <f t="shared" si="1"/>
        <v>29.6470646061662</v>
      </c>
      <c r="V40" s="341">
        <f>U40/'Prod &amp; Defects - Qty'!$R$8*1000000</f>
        <v>0.23470725841875553</v>
      </c>
      <c r="W40" s="341">
        <f t="shared" ref="W40:X59" si="13">V40*0.9</f>
        <v>0.21123653257687999</v>
      </c>
      <c r="X40" s="341">
        <f t="shared" si="13"/>
        <v>0.19011287931919199</v>
      </c>
      <c r="Y40" s="341">
        <f t="shared" si="3"/>
        <v>0.20067470594803599</v>
      </c>
      <c r="Z40" s="341">
        <f t="shared" si="12"/>
        <v>0.20067470594803599</v>
      </c>
    </row>
    <row r="41" spans="1:26" ht="18" customHeight="1">
      <c r="A41" s="1002"/>
      <c r="B41" s="82">
        <v>4370</v>
      </c>
      <c r="C41" s="90" t="s">
        <v>126</v>
      </c>
      <c r="D41" s="360">
        <f>'[3]Falhas UM-4 Qty'!Z41</f>
        <v>0</v>
      </c>
      <c r="E41" s="341">
        <f>'Prod &amp; Defects - Qty'!F$8*'Falhas UM-4 Qty'!$D41/1000000</f>
        <v>0</v>
      </c>
      <c r="F41" s="341">
        <f>'Prod &amp; Defects - Qty'!G$8*'Falhas UM-4 Qty'!$D41/1000000</f>
        <v>0</v>
      </c>
      <c r="G41" s="341">
        <f>'Prod &amp; Defects - Qty'!H$8*'Falhas UM-4 Qty'!$D41/1000000</f>
        <v>0</v>
      </c>
      <c r="H41" s="341">
        <f>'Prod &amp; Defects - Qty'!I$8*'Falhas UM-4 Qty'!$D41/1000000</f>
        <v>0</v>
      </c>
      <c r="I41" s="341">
        <f>'Prod &amp; Defects - Qty'!J$8*'Falhas UM-4 Qty'!$D41/1000000</f>
        <v>0</v>
      </c>
      <c r="J41" s="341">
        <f>'Prod &amp; Defects - Qty'!K$8*'Falhas UM-4 Qty'!$D41/1000000</f>
        <v>0</v>
      </c>
      <c r="K41" s="341">
        <f>'Prod &amp; Defects - Qty'!L$8*'Falhas UM-4 Qty'!$D41/1000000</f>
        <v>0</v>
      </c>
      <c r="L41" s="341">
        <f>'Prod &amp; Defects - Qty'!M$8*'Falhas UM-4 Qty'!$D41/1000000</f>
        <v>0</v>
      </c>
      <c r="M41" s="341">
        <f>'Prod &amp; Defects - Qty'!N$8*'Falhas UM-4 Qty'!$D41/1000000</f>
        <v>0</v>
      </c>
      <c r="N41" s="341">
        <f>'Prod &amp; Defects - Qty'!O$8*'Falhas UM-4 Qty'!$D41/1000000</f>
        <v>0</v>
      </c>
      <c r="O41" s="341">
        <f>'Prod &amp; Defects - Qty'!P$8*'Falhas UM-4 Qty'!$D41/1000000</f>
        <v>0</v>
      </c>
      <c r="P41" s="341">
        <f>'Prod &amp; Defects - Qty'!Q$8*'Falhas UM-4 Qty'!$D41/1000000</f>
        <v>0</v>
      </c>
      <c r="Q41" s="341"/>
      <c r="R41" s="341">
        <f>Q41/SUM('Prod &amp; Defects - Qty'!$F$8:$K$8)*1000000</f>
        <v>0</v>
      </c>
      <c r="S41" s="341">
        <f t="shared" si="0"/>
        <v>0</v>
      </c>
      <c r="T41" s="341">
        <f>S41/SUM('Prod &amp; Defects - Qty'!$L$8:$Q$8)*1000000</f>
        <v>0</v>
      </c>
      <c r="U41" s="341">
        <f t="shared" si="1"/>
        <v>0</v>
      </c>
      <c r="V41" s="341">
        <f>U41/'Prod &amp; Defects - Qty'!$R$8*1000000</f>
        <v>0</v>
      </c>
      <c r="W41" s="341">
        <f t="shared" si="13"/>
        <v>0</v>
      </c>
      <c r="X41" s="341">
        <f t="shared" si="13"/>
        <v>0</v>
      </c>
      <c r="Y41" s="341">
        <f t="shared" si="3"/>
        <v>0</v>
      </c>
      <c r="Z41" s="341">
        <f t="shared" si="12"/>
        <v>0</v>
      </c>
    </row>
    <row r="42" spans="1:26" ht="18" customHeight="1">
      <c r="A42" s="1002"/>
      <c r="B42" s="82">
        <v>4380</v>
      </c>
      <c r="C42" s="90" t="s">
        <v>127</v>
      </c>
      <c r="D42" s="360">
        <f>'[3]Falhas UM-4 Qty'!Z42</f>
        <v>0</v>
      </c>
      <c r="E42" s="341">
        <f>'Prod &amp; Defects - Qty'!F$8*'Falhas UM-4 Qty'!$D42/1000000</f>
        <v>0</v>
      </c>
      <c r="F42" s="341">
        <f>'Prod &amp; Defects - Qty'!G$8*'Falhas UM-4 Qty'!$D42/1000000</f>
        <v>0</v>
      </c>
      <c r="G42" s="341">
        <f>'Prod &amp; Defects - Qty'!H$8*'Falhas UM-4 Qty'!$D42/1000000</f>
        <v>0</v>
      </c>
      <c r="H42" s="341">
        <f>'Prod &amp; Defects - Qty'!I$8*'Falhas UM-4 Qty'!$D42/1000000</f>
        <v>0</v>
      </c>
      <c r="I42" s="341">
        <f>'Prod &amp; Defects - Qty'!J$8*'Falhas UM-4 Qty'!$D42/1000000</f>
        <v>0</v>
      </c>
      <c r="J42" s="341">
        <f>'Prod &amp; Defects - Qty'!K$8*'Falhas UM-4 Qty'!$D42/1000000</f>
        <v>0</v>
      </c>
      <c r="K42" s="341">
        <f>'Prod &amp; Defects - Qty'!L$8*'Falhas UM-4 Qty'!$D42/1000000</f>
        <v>0</v>
      </c>
      <c r="L42" s="341">
        <f>'Prod &amp; Defects - Qty'!M$8*'Falhas UM-4 Qty'!$D42/1000000</f>
        <v>0</v>
      </c>
      <c r="M42" s="341">
        <f>'Prod &amp; Defects - Qty'!N$8*'Falhas UM-4 Qty'!$D42/1000000</f>
        <v>0</v>
      </c>
      <c r="N42" s="341">
        <f>'Prod &amp; Defects - Qty'!O$8*'Falhas UM-4 Qty'!$D42/1000000</f>
        <v>0</v>
      </c>
      <c r="O42" s="341">
        <f>'Prod &amp; Defects - Qty'!P$8*'Falhas UM-4 Qty'!$D42/1000000</f>
        <v>0</v>
      </c>
      <c r="P42" s="341">
        <f>'Prod &amp; Defects - Qty'!Q$8*'Falhas UM-4 Qty'!$D42/1000000</f>
        <v>0</v>
      </c>
      <c r="Q42" s="341"/>
      <c r="R42" s="341">
        <f>Q42/SUM('Prod &amp; Defects - Qty'!$F$8:$K$8)*1000000</f>
        <v>0</v>
      </c>
      <c r="S42" s="341">
        <f t="shared" si="0"/>
        <v>0</v>
      </c>
      <c r="T42" s="341">
        <f>S42/SUM('Prod &amp; Defects - Qty'!$L$8:$Q$8)*1000000</f>
        <v>0</v>
      </c>
      <c r="U42" s="341">
        <f t="shared" si="1"/>
        <v>0</v>
      </c>
      <c r="V42" s="341">
        <f>U42/'Prod &amp; Defects - Qty'!$R$8*1000000</f>
        <v>0</v>
      </c>
      <c r="W42" s="341">
        <f t="shared" si="13"/>
        <v>0</v>
      </c>
      <c r="X42" s="341">
        <f t="shared" si="13"/>
        <v>0</v>
      </c>
      <c r="Y42" s="341">
        <f t="shared" si="3"/>
        <v>0</v>
      </c>
      <c r="Z42" s="341">
        <f t="shared" si="12"/>
        <v>0</v>
      </c>
    </row>
    <row r="43" spans="1:26" ht="18" customHeight="1">
      <c r="A43" s="1002"/>
      <c r="B43" s="82">
        <v>4390</v>
      </c>
      <c r="C43" s="90" t="s">
        <v>157</v>
      </c>
      <c r="D43" s="360">
        <f>'[3]Falhas UM-4 Qty'!Z43</f>
        <v>0</v>
      </c>
      <c r="E43" s="341">
        <f>'Prod &amp; Defects - Qty'!F$8*'Falhas UM-4 Qty'!$D43/1000000</f>
        <v>0</v>
      </c>
      <c r="F43" s="341">
        <f>'Prod &amp; Defects - Qty'!G$8*'Falhas UM-4 Qty'!$D43/1000000</f>
        <v>0</v>
      </c>
      <c r="G43" s="341">
        <f>'Prod &amp; Defects - Qty'!H$8*'Falhas UM-4 Qty'!$D43/1000000</f>
        <v>0</v>
      </c>
      <c r="H43" s="341">
        <f>'Prod &amp; Defects - Qty'!I$8*'Falhas UM-4 Qty'!$D43/1000000</f>
        <v>0</v>
      </c>
      <c r="I43" s="341">
        <f>'Prod &amp; Defects - Qty'!J$8*'Falhas UM-4 Qty'!$D43/1000000</f>
        <v>0</v>
      </c>
      <c r="J43" s="341">
        <f>'Prod &amp; Defects - Qty'!K$8*'Falhas UM-4 Qty'!$D43/1000000</f>
        <v>0</v>
      </c>
      <c r="K43" s="341">
        <f>'Prod &amp; Defects - Qty'!L$8*'Falhas UM-4 Qty'!$D43/1000000</f>
        <v>0</v>
      </c>
      <c r="L43" s="341">
        <f>'Prod &amp; Defects - Qty'!M$8*'Falhas UM-4 Qty'!$D43/1000000</f>
        <v>0</v>
      </c>
      <c r="M43" s="341">
        <f>'Prod &amp; Defects - Qty'!N$8*'Falhas UM-4 Qty'!$D43/1000000</f>
        <v>0</v>
      </c>
      <c r="N43" s="341">
        <f>'Prod &amp; Defects - Qty'!O$8*'Falhas UM-4 Qty'!$D43/1000000</f>
        <v>0</v>
      </c>
      <c r="O43" s="341">
        <f>'Prod &amp; Defects - Qty'!P$8*'Falhas UM-4 Qty'!$D43/1000000</f>
        <v>0</v>
      </c>
      <c r="P43" s="341">
        <f>'Prod &amp; Defects - Qty'!Q$8*'Falhas UM-4 Qty'!$D43/1000000</f>
        <v>0</v>
      </c>
      <c r="Q43" s="341"/>
      <c r="R43" s="341">
        <f>Q43/SUM('Prod &amp; Defects - Qty'!$F$8:$K$8)*1000000</f>
        <v>0</v>
      </c>
      <c r="S43" s="341">
        <f t="shared" si="0"/>
        <v>0</v>
      </c>
      <c r="T43" s="341">
        <f>S43/SUM('Prod &amp; Defects - Qty'!$L$8:$Q$8)*1000000</f>
        <v>0</v>
      </c>
      <c r="U43" s="341">
        <f t="shared" si="1"/>
        <v>0</v>
      </c>
      <c r="V43" s="341">
        <f>U43/'Prod &amp; Defects - Qty'!$R$8*1000000</f>
        <v>0</v>
      </c>
      <c r="W43" s="341">
        <f t="shared" si="13"/>
        <v>0</v>
      </c>
      <c r="X43" s="341">
        <f t="shared" si="13"/>
        <v>0</v>
      </c>
      <c r="Y43" s="341">
        <f t="shared" si="3"/>
        <v>0</v>
      </c>
      <c r="Z43" s="341">
        <f t="shared" si="12"/>
        <v>0</v>
      </c>
    </row>
    <row r="44" spans="1:26" ht="18" customHeight="1">
      <c r="A44" s="1002"/>
      <c r="B44" s="82">
        <v>4400</v>
      </c>
      <c r="C44" s="90" t="s">
        <v>158</v>
      </c>
      <c r="D44" s="360">
        <f>'[3]Falhas UM-4 Qty'!Z44</f>
        <v>0</v>
      </c>
      <c r="E44" s="341">
        <f>'Prod &amp; Defects - Qty'!F$8*'Falhas UM-4 Qty'!$D44/1000000</f>
        <v>0</v>
      </c>
      <c r="F44" s="341">
        <f>'Prod &amp; Defects - Qty'!G$8*'Falhas UM-4 Qty'!$D44/1000000</f>
        <v>0</v>
      </c>
      <c r="G44" s="341">
        <f>'Prod &amp; Defects - Qty'!H$8*'Falhas UM-4 Qty'!$D44/1000000</f>
        <v>0</v>
      </c>
      <c r="H44" s="341">
        <f>'Prod &amp; Defects - Qty'!I$8*'Falhas UM-4 Qty'!$D44/1000000</f>
        <v>0</v>
      </c>
      <c r="I44" s="341">
        <f>'Prod &amp; Defects - Qty'!J$8*'Falhas UM-4 Qty'!$D44/1000000</f>
        <v>0</v>
      </c>
      <c r="J44" s="341">
        <f>'Prod &amp; Defects - Qty'!K$8*'Falhas UM-4 Qty'!$D44/1000000</f>
        <v>0</v>
      </c>
      <c r="K44" s="341">
        <f>'Prod &amp; Defects - Qty'!L$8*'Falhas UM-4 Qty'!$D44/1000000</f>
        <v>0</v>
      </c>
      <c r="L44" s="341">
        <f>'Prod &amp; Defects - Qty'!M$8*'Falhas UM-4 Qty'!$D44/1000000</f>
        <v>0</v>
      </c>
      <c r="M44" s="341">
        <f>'Prod &amp; Defects - Qty'!N$8*'Falhas UM-4 Qty'!$D44/1000000</f>
        <v>0</v>
      </c>
      <c r="N44" s="341">
        <f>'Prod &amp; Defects - Qty'!O$8*'Falhas UM-4 Qty'!$D44/1000000</f>
        <v>0</v>
      </c>
      <c r="O44" s="341">
        <f>'Prod &amp; Defects - Qty'!P$8*'Falhas UM-4 Qty'!$D44/1000000</f>
        <v>0</v>
      </c>
      <c r="P44" s="341">
        <f>'Prod &amp; Defects - Qty'!Q$8*'Falhas UM-4 Qty'!$D44/1000000</f>
        <v>0</v>
      </c>
      <c r="Q44" s="341"/>
      <c r="R44" s="341">
        <f>Q44/SUM('Prod &amp; Defects - Qty'!$F$8:$K$8)*1000000</f>
        <v>0</v>
      </c>
      <c r="S44" s="341">
        <f t="shared" si="0"/>
        <v>0</v>
      </c>
      <c r="T44" s="341">
        <f>S44/SUM('Prod &amp; Defects - Qty'!$L$8:$Q$8)*1000000</f>
        <v>0</v>
      </c>
      <c r="U44" s="341">
        <f t="shared" si="1"/>
        <v>0</v>
      </c>
      <c r="V44" s="341">
        <f>U44/'Prod &amp; Defects - Qty'!$R$8*1000000</f>
        <v>0</v>
      </c>
      <c r="W44" s="341">
        <f t="shared" si="13"/>
        <v>0</v>
      </c>
      <c r="X44" s="341">
        <f t="shared" si="13"/>
        <v>0</v>
      </c>
      <c r="Y44" s="341">
        <f t="shared" si="3"/>
        <v>0</v>
      </c>
      <c r="Z44" s="341">
        <f t="shared" si="12"/>
        <v>0</v>
      </c>
    </row>
    <row r="45" spans="1:26" ht="18" customHeight="1">
      <c r="A45" s="1002"/>
      <c r="B45" s="82">
        <v>4410</v>
      </c>
      <c r="C45" s="93" t="s">
        <v>130</v>
      </c>
      <c r="D45" s="361">
        <f>'[3]Falhas UM-4 Qty'!Z45</f>
        <v>0</v>
      </c>
      <c r="E45" s="341">
        <f>'Prod &amp; Defects - Qty'!F$8*'Falhas UM-4 Qty'!$D45/1000000</f>
        <v>0</v>
      </c>
      <c r="F45" s="341">
        <f>'Prod &amp; Defects - Qty'!G$8*'Falhas UM-4 Qty'!$D45/1000000</f>
        <v>0</v>
      </c>
      <c r="G45" s="341">
        <f>'Prod &amp; Defects - Qty'!H$8*'Falhas UM-4 Qty'!$D45/1000000</f>
        <v>0</v>
      </c>
      <c r="H45" s="341">
        <f>'Prod &amp; Defects - Qty'!I$8*'Falhas UM-4 Qty'!$D45/1000000</f>
        <v>0</v>
      </c>
      <c r="I45" s="341">
        <f>'Prod &amp; Defects - Qty'!J$8*'Falhas UM-4 Qty'!$D45/1000000</f>
        <v>0</v>
      </c>
      <c r="J45" s="341">
        <f>'Prod &amp; Defects - Qty'!K$8*'Falhas UM-4 Qty'!$D45/1000000</f>
        <v>0</v>
      </c>
      <c r="K45" s="341">
        <f>'Prod &amp; Defects - Qty'!L$8*'Falhas UM-4 Qty'!$D45/1000000</f>
        <v>0</v>
      </c>
      <c r="L45" s="341">
        <f>'Prod &amp; Defects - Qty'!M$8*'Falhas UM-4 Qty'!$D45/1000000</f>
        <v>0</v>
      </c>
      <c r="M45" s="341">
        <f>'Prod &amp; Defects - Qty'!N$8*'Falhas UM-4 Qty'!$D45/1000000</f>
        <v>0</v>
      </c>
      <c r="N45" s="341">
        <f>'Prod &amp; Defects - Qty'!O$8*'Falhas UM-4 Qty'!$D45/1000000</f>
        <v>0</v>
      </c>
      <c r="O45" s="341">
        <f>'Prod &amp; Defects - Qty'!P$8*'Falhas UM-4 Qty'!$D45/1000000</f>
        <v>0</v>
      </c>
      <c r="P45" s="341">
        <f>'Prod &amp; Defects - Qty'!Q$8*'Falhas UM-4 Qty'!$D45/1000000</f>
        <v>0</v>
      </c>
      <c r="Q45" s="341"/>
      <c r="R45" s="341">
        <f>Q45/SUM('Prod &amp; Defects - Qty'!$F$8:$K$8)*1000000</f>
        <v>0</v>
      </c>
      <c r="S45" s="341">
        <f t="shared" si="0"/>
        <v>0</v>
      </c>
      <c r="T45" s="341">
        <f>S45/SUM('Prod &amp; Defects - Qty'!$L$8:$Q$8)*1000000</f>
        <v>0</v>
      </c>
      <c r="U45" s="341">
        <f t="shared" si="1"/>
        <v>0</v>
      </c>
      <c r="V45" s="341">
        <f>U45/'Prod &amp; Defects - Qty'!$R$8*1000000</f>
        <v>0</v>
      </c>
      <c r="W45" s="341">
        <f t="shared" si="13"/>
        <v>0</v>
      </c>
      <c r="X45" s="341">
        <f t="shared" si="13"/>
        <v>0</v>
      </c>
      <c r="Y45" s="341">
        <f t="shared" si="3"/>
        <v>0</v>
      </c>
      <c r="Z45" s="341">
        <f t="shared" si="12"/>
        <v>0</v>
      </c>
    </row>
    <row r="46" spans="1:26" ht="18" customHeight="1">
      <c r="A46" s="1002"/>
      <c r="B46" s="82">
        <v>4420</v>
      </c>
      <c r="C46" s="90" t="s">
        <v>131</v>
      </c>
      <c r="D46" s="360">
        <f>'[3]Falhas UM-4 Qty'!Z46</f>
        <v>0</v>
      </c>
      <c r="E46" s="341">
        <f>'Prod &amp; Defects - Qty'!F$8*'Falhas UM-4 Qty'!$D46/1000000</f>
        <v>0</v>
      </c>
      <c r="F46" s="341">
        <f>'Prod &amp; Defects - Qty'!G$8*'Falhas UM-4 Qty'!$D46/1000000</f>
        <v>0</v>
      </c>
      <c r="G46" s="341">
        <f>'Prod &amp; Defects - Qty'!H$8*'Falhas UM-4 Qty'!$D46/1000000</f>
        <v>0</v>
      </c>
      <c r="H46" s="341">
        <f>'Prod &amp; Defects - Qty'!I$8*'Falhas UM-4 Qty'!$D46/1000000</f>
        <v>0</v>
      </c>
      <c r="I46" s="341">
        <f>'Prod &amp; Defects - Qty'!J$8*'Falhas UM-4 Qty'!$D46/1000000</f>
        <v>0</v>
      </c>
      <c r="J46" s="341">
        <f>'Prod &amp; Defects - Qty'!K$8*'Falhas UM-4 Qty'!$D46/1000000</f>
        <v>0</v>
      </c>
      <c r="K46" s="341">
        <f>'Prod &amp; Defects - Qty'!L$8*'Falhas UM-4 Qty'!$D46/1000000</f>
        <v>0</v>
      </c>
      <c r="L46" s="341">
        <f>'Prod &amp; Defects - Qty'!M$8*'Falhas UM-4 Qty'!$D46/1000000</f>
        <v>0</v>
      </c>
      <c r="M46" s="341">
        <f>'Prod &amp; Defects - Qty'!N$8*'Falhas UM-4 Qty'!$D46/1000000</f>
        <v>0</v>
      </c>
      <c r="N46" s="341">
        <f>'Prod &amp; Defects - Qty'!O$8*'Falhas UM-4 Qty'!$D46/1000000</f>
        <v>0</v>
      </c>
      <c r="O46" s="341">
        <f>'Prod &amp; Defects - Qty'!P$8*'Falhas UM-4 Qty'!$D46/1000000</f>
        <v>0</v>
      </c>
      <c r="P46" s="341">
        <f>'Prod &amp; Defects - Qty'!Q$8*'Falhas UM-4 Qty'!$D46/1000000</f>
        <v>0</v>
      </c>
      <c r="Q46" s="341"/>
      <c r="R46" s="341">
        <f>Q46/SUM('Prod &amp; Defects - Qty'!$F$8:$K$8)*1000000</f>
        <v>0</v>
      </c>
      <c r="S46" s="341">
        <f t="shared" si="0"/>
        <v>0</v>
      </c>
      <c r="T46" s="341">
        <f>S46/SUM('Prod &amp; Defects - Qty'!$L$8:$Q$8)*1000000</f>
        <v>0</v>
      </c>
      <c r="U46" s="341">
        <f t="shared" si="1"/>
        <v>0</v>
      </c>
      <c r="V46" s="341">
        <f>U46/'Prod &amp; Defects - Qty'!$R$8*1000000</f>
        <v>0</v>
      </c>
      <c r="W46" s="341">
        <f t="shared" si="13"/>
        <v>0</v>
      </c>
      <c r="X46" s="341">
        <f t="shared" si="13"/>
        <v>0</v>
      </c>
      <c r="Y46" s="341">
        <f t="shared" si="3"/>
        <v>0</v>
      </c>
      <c r="Z46" s="341">
        <f t="shared" si="12"/>
        <v>0</v>
      </c>
    </row>
    <row r="47" spans="1:26" ht="18" customHeight="1">
      <c r="A47" s="1002"/>
      <c r="B47" s="82">
        <v>4430</v>
      </c>
      <c r="C47" s="90" t="s">
        <v>159</v>
      </c>
      <c r="D47" s="360">
        <f>'[3]Falhas UM-4 Qty'!Z47</f>
        <v>0</v>
      </c>
      <c r="E47" s="341">
        <f>'Prod &amp; Defects - Qty'!F$8*'Falhas UM-4 Qty'!$D47/1000000</f>
        <v>0</v>
      </c>
      <c r="F47" s="341">
        <f>'Prod &amp; Defects - Qty'!G$8*'Falhas UM-4 Qty'!$D47/1000000</f>
        <v>0</v>
      </c>
      <c r="G47" s="341">
        <f>'Prod &amp; Defects - Qty'!H$8*'Falhas UM-4 Qty'!$D47/1000000</f>
        <v>0</v>
      </c>
      <c r="H47" s="341">
        <f>'Prod &amp; Defects - Qty'!I$8*'Falhas UM-4 Qty'!$D47/1000000</f>
        <v>0</v>
      </c>
      <c r="I47" s="341">
        <f>'Prod &amp; Defects - Qty'!J$8*'Falhas UM-4 Qty'!$D47/1000000</f>
        <v>0</v>
      </c>
      <c r="J47" s="341">
        <f>'Prod &amp; Defects - Qty'!K$8*'Falhas UM-4 Qty'!$D47/1000000</f>
        <v>0</v>
      </c>
      <c r="K47" s="341">
        <f>'Prod &amp; Defects - Qty'!L$8*'Falhas UM-4 Qty'!$D47/1000000</f>
        <v>0</v>
      </c>
      <c r="L47" s="341">
        <f>'Prod &amp; Defects - Qty'!M$8*'Falhas UM-4 Qty'!$D47/1000000</f>
        <v>0</v>
      </c>
      <c r="M47" s="341">
        <f>'Prod &amp; Defects - Qty'!N$8*'Falhas UM-4 Qty'!$D47/1000000</f>
        <v>0</v>
      </c>
      <c r="N47" s="341">
        <f>'Prod &amp; Defects - Qty'!O$8*'Falhas UM-4 Qty'!$D47/1000000</f>
        <v>0</v>
      </c>
      <c r="O47" s="341">
        <f>'Prod &amp; Defects - Qty'!P$8*'Falhas UM-4 Qty'!$D47/1000000</f>
        <v>0</v>
      </c>
      <c r="P47" s="341">
        <f>'Prod &amp; Defects - Qty'!Q$8*'Falhas UM-4 Qty'!$D47/1000000</f>
        <v>0</v>
      </c>
      <c r="Q47" s="341"/>
      <c r="R47" s="341">
        <f>Q47/SUM('Prod &amp; Defects - Qty'!$F$8:$K$8)*1000000</f>
        <v>0</v>
      </c>
      <c r="S47" s="341">
        <f t="shared" si="0"/>
        <v>0</v>
      </c>
      <c r="T47" s="341">
        <f>S47/SUM('Prod &amp; Defects - Qty'!$L$8:$Q$8)*1000000</f>
        <v>0</v>
      </c>
      <c r="U47" s="341">
        <f t="shared" si="1"/>
        <v>0</v>
      </c>
      <c r="V47" s="341">
        <f>U47/'Prod &amp; Defects - Qty'!$R$8*1000000</f>
        <v>0</v>
      </c>
      <c r="W47" s="341">
        <f t="shared" si="13"/>
        <v>0</v>
      </c>
      <c r="X47" s="341">
        <f t="shared" si="13"/>
        <v>0</v>
      </c>
      <c r="Y47" s="341">
        <f t="shared" si="3"/>
        <v>0</v>
      </c>
      <c r="Z47" s="341">
        <f t="shared" si="12"/>
        <v>0</v>
      </c>
    </row>
    <row r="48" spans="1:26" ht="18" customHeight="1">
      <c r="A48" s="1002"/>
      <c r="B48" s="82">
        <v>4440</v>
      </c>
      <c r="C48" s="90" t="s">
        <v>160</v>
      </c>
      <c r="D48" s="360">
        <f>'[3]Falhas UM-4 Qty'!Z48</f>
        <v>0</v>
      </c>
      <c r="E48" s="341">
        <f>'Prod &amp; Defects - Qty'!F$8*'Falhas UM-4 Qty'!$D48/1000000</f>
        <v>0</v>
      </c>
      <c r="F48" s="341">
        <f>'Prod &amp; Defects - Qty'!G$8*'Falhas UM-4 Qty'!$D48/1000000</f>
        <v>0</v>
      </c>
      <c r="G48" s="341">
        <f>'Prod &amp; Defects - Qty'!H$8*'Falhas UM-4 Qty'!$D48/1000000</f>
        <v>0</v>
      </c>
      <c r="H48" s="341">
        <f>'Prod &amp; Defects - Qty'!I$8*'Falhas UM-4 Qty'!$D48/1000000</f>
        <v>0</v>
      </c>
      <c r="I48" s="341">
        <f>'Prod &amp; Defects - Qty'!J$8*'Falhas UM-4 Qty'!$D48/1000000</f>
        <v>0</v>
      </c>
      <c r="J48" s="341">
        <f>'Prod &amp; Defects - Qty'!K$8*'Falhas UM-4 Qty'!$D48/1000000</f>
        <v>0</v>
      </c>
      <c r="K48" s="341">
        <f>'Prod &amp; Defects - Qty'!L$8*'Falhas UM-4 Qty'!$D48/1000000</f>
        <v>0</v>
      </c>
      <c r="L48" s="341">
        <f>'Prod &amp; Defects - Qty'!M$8*'Falhas UM-4 Qty'!$D48/1000000</f>
        <v>0</v>
      </c>
      <c r="M48" s="341">
        <f>'Prod &amp; Defects - Qty'!N$8*'Falhas UM-4 Qty'!$D48/1000000</f>
        <v>0</v>
      </c>
      <c r="N48" s="341">
        <f>'Prod &amp; Defects - Qty'!O$8*'Falhas UM-4 Qty'!$D48/1000000</f>
        <v>0</v>
      </c>
      <c r="O48" s="341">
        <f>'Prod &amp; Defects - Qty'!P$8*'Falhas UM-4 Qty'!$D48/1000000</f>
        <v>0</v>
      </c>
      <c r="P48" s="341">
        <f>'Prod &amp; Defects - Qty'!Q$8*'Falhas UM-4 Qty'!$D48/1000000</f>
        <v>0</v>
      </c>
      <c r="Q48" s="341"/>
      <c r="R48" s="341">
        <f>Q48/SUM('Prod &amp; Defects - Qty'!$F$8:$K$8)*1000000</f>
        <v>0</v>
      </c>
      <c r="S48" s="341">
        <f t="shared" si="0"/>
        <v>0</v>
      </c>
      <c r="T48" s="341">
        <f>S48/SUM('Prod &amp; Defects - Qty'!$L$8:$Q$8)*1000000</f>
        <v>0</v>
      </c>
      <c r="U48" s="341">
        <f t="shared" si="1"/>
        <v>0</v>
      </c>
      <c r="V48" s="341">
        <f>U48/'Prod &amp; Defects - Qty'!$R$8*1000000</f>
        <v>0</v>
      </c>
      <c r="W48" s="341">
        <f t="shared" si="13"/>
        <v>0</v>
      </c>
      <c r="X48" s="341">
        <f t="shared" si="13"/>
        <v>0</v>
      </c>
      <c r="Y48" s="341">
        <f t="shared" si="3"/>
        <v>0</v>
      </c>
      <c r="Z48" s="341">
        <f t="shared" si="12"/>
        <v>0</v>
      </c>
    </row>
    <row r="49" spans="1:26" ht="18" customHeight="1">
      <c r="A49" s="1002"/>
      <c r="B49" s="82">
        <v>4450</v>
      </c>
      <c r="C49" s="90" t="s">
        <v>161</v>
      </c>
      <c r="D49" s="360">
        <f>'[3]Falhas UM-4 Qty'!Z49</f>
        <v>2.274942550270707</v>
      </c>
      <c r="E49" s="341">
        <f>'Prod &amp; Defects - Qty'!F$8*'Falhas UM-4 Qty'!$D49/1000000</f>
        <v>22.424239152031486</v>
      </c>
      <c r="F49" s="341">
        <f>'Prod &amp; Defects - Qty'!G$8*'Falhas UM-4 Qty'!$D49/1000000</f>
        <v>25.603419497162637</v>
      </c>
      <c r="G49" s="341">
        <f>'Prod &amp; Defects - Qty'!H$8*'Falhas UM-4 Qty'!$D49/1000000</f>
        <v>23.190318616363509</v>
      </c>
      <c r="H49" s="341">
        <f>'Prod &amp; Defects - Qty'!I$8*'Falhas UM-4 Qty'!$D49/1000000</f>
        <v>23.306919237645761</v>
      </c>
      <c r="I49" s="341">
        <f>'Prod &amp; Defects - Qty'!J$8*'Falhas UM-4 Qty'!$D49/1000000</f>
        <v>25.161465974544999</v>
      </c>
      <c r="J49" s="341">
        <f>'Prod &amp; Defects - Qty'!K$8*'Falhas UM-4 Qty'!$D49/1000000</f>
        <v>26.514789764318138</v>
      </c>
      <c r="K49" s="341">
        <f>'Prod &amp; Defects - Qty'!L$8*'Falhas UM-4 Qty'!$D49/1000000</f>
        <v>25.870948892554164</v>
      </c>
      <c r="L49" s="341">
        <f>'Prod &amp; Defects - Qty'!M$8*'Falhas UM-4 Qty'!$D49/1000000</f>
        <v>25.819198938484522</v>
      </c>
      <c r="M49" s="341">
        <f>'Prod &amp; Defects - Qty'!N$8*'Falhas UM-4 Qty'!$D49/1000000</f>
        <v>25.788672133762034</v>
      </c>
      <c r="N49" s="341">
        <f>'Prod &amp; Defects - Qty'!O$8*'Falhas UM-4 Qty'!$D49/1000000</f>
        <v>19.085876145173899</v>
      </c>
      <c r="O49" s="341">
        <f>'Prod &amp; Defects - Qty'!P$8*'Falhas UM-4 Qty'!$D49/1000000</f>
        <v>19.934588133277828</v>
      </c>
      <c r="P49" s="341">
        <f>'Prod &amp; Defects - Qty'!Q$8*'Falhas UM-4 Qty'!$D49/1000000</f>
        <v>24.65909903811486</v>
      </c>
      <c r="Q49" s="341"/>
      <c r="R49" s="341">
        <f>Q49/SUM('Prod &amp; Defects - Qty'!$F$8:$K$8)*1000000</f>
        <v>0</v>
      </c>
      <c r="S49" s="341">
        <f t="shared" si="0"/>
        <v>141.15838328136732</v>
      </c>
      <c r="T49" s="341">
        <f>S49/SUM('Prod &amp; Defects - Qty'!$L$8:$Q$8)*1000000</f>
        <v>2.2749425502707075</v>
      </c>
      <c r="U49" s="341">
        <f t="shared" si="1"/>
        <v>141.15838328136732</v>
      </c>
      <c r="V49" s="341">
        <f>U49/'Prod &amp; Defects - Qty'!$R$8*1000000</f>
        <v>1.1175102015294569</v>
      </c>
      <c r="W49" s="341">
        <f t="shared" si="13"/>
        <v>1.0057591813765112</v>
      </c>
      <c r="X49" s="341">
        <f t="shared" si="13"/>
        <v>0.90518326323886011</v>
      </c>
      <c r="Y49" s="341">
        <f t="shared" si="3"/>
        <v>0.95547122230768566</v>
      </c>
      <c r="Z49" s="341">
        <f t="shared" si="12"/>
        <v>0.95547122230768566</v>
      </c>
    </row>
    <row r="50" spans="1:26" ht="18" customHeight="1">
      <c r="A50" s="1002"/>
      <c r="B50" s="82">
        <v>4460</v>
      </c>
      <c r="C50" s="90" t="s">
        <v>217</v>
      </c>
      <c r="D50" s="360">
        <f>'[3]Falhas UM-4 Qty'!Z50</f>
        <v>0.42478847718039192</v>
      </c>
      <c r="E50" s="341">
        <f>'Prod &amp; Defects - Qty'!F$8*'Falhas UM-4 Qty'!$D50/1000000</f>
        <v>4.1871643748484475</v>
      </c>
      <c r="F50" s="341">
        <f>'Prod &amp; Defects - Qty'!G$8*'Falhas UM-4 Qty'!$D50/1000000</f>
        <v>4.7807965864967787</v>
      </c>
      <c r="G50" s="341">
        <f>'Prod &amp; Defects - Qty'!H$8*'Falhas UM-4 Qty'!$D50/1000000</f>
        <v>4.3302105054041604</v>
      </c>
      <c r="H50" s="341">
        <f>'Prod &amp; Defects - Qty'!I$8*'Falhas UM-4 Qty'!$D50/1000000</f>
        <v>4.3519827476732589</v>
      </c>
      <c r="I50" s="341">
        <f>'Prod &amp; Defects - Qty'!J$8*'Falhas UM-4 Qty'!$D50/1000000</f>
        <v>4.6982728481127403</v>
      </c>
      <c r="J50" s="341">
        <f>'Prod &amp; Defects - Qty'!K$8*'Falhas UM-4 Qty'!$D50/1000000</f>
        <v>4.9509721313193964</v>
      </c>
      <c r="K50" s="341">
        <f>'Prod &amp; Defects - Qty'!L$8*'Falhas UM-4 Qty'!$D50/1000000</f>
        <v>4.830750992798527</v>
      </c>
      <c r="L50" s="341">
        <f>'Prod &amp; Defects - Qty'!M$8*'Falhas UM-4 Qty'!$D50/1000000</f>
        <v>4.8210879865038043</v>
      </c>
      <c r="M50" s="341">
        <f>'Prod &amp; Defects - Qty'!N$8*'Falhas UM-4 Qty'!$D50/1000000</f>
        <v>4.8153878711801426</v>
      </c>
      <c r="N50" s="341">
        <f>'Prod &amp; Defects - Qty'!O$8*'Falhas UM-4 Qty'!$D50/1000000</f>
        <v>3.5638087926208253</v>
      </c>
      <c r="O50" s="341">
        <f>'Prod &amp; Defects - Qty'!P$8*'Falhas UM-4 Qty'!$D50/1000000</f>
        <v>3.7222844749841051</v>
      </c>
      <c r="P50" s="341">
        <f>'Prod &amp; Defects - Qty'!Q$8*'Falhas UM-4 Qty'!$D50/1000000</f>
        <v>4.6044684195628669</v>
      </c>
      <c r="Q50" s="341"/>
      <c r="R50" s="341">
        <f>Q50/SUM('Prod &amp; Defects - Qty'!$F$8:$K$8)*1000000</f>
        <v>0</v>
      </c>
      <c r="S50" s="341">
        <f t="shared" si="0"/>
        <v>26.357788537650269</v>
      </c>
      <c r="T50" s="341">
        <f>S50/SUM('Prod &amp; Defects - Qty'!$L$8:$Q$8)*1000000</f>
        <v>0.42478847718039198</v>
      </c>
      <c r="U50" s="341">
        <f t="shared" si="1"/>
        <v>26.357788537650269</v>
      </c>
      <c r="V50" s="341">
        <f>U50/'Prod &amp; Defects - Qty'!$R$8*1000000</f>
        <v>0.20866700861732232</v>
      </c>
      <c r="W50" s="341">
        <f t="shared" si="13"/>
        <v>0.18780030775559009</v>
      </c>
      <c r="X50" s="341">
        <f t="shared" si="13"/>
        <v>0.16902027698003108</v>
      </c>
      <c r="Y50" s="341">
        <f t="shared" si="3"/>
        <v>0.17841029236781059</v>
      </c>
      <c r="Z50" s="341">
        <f t="shared" si="12"/>
        <v>0.17841029236781059</v>
      </c>
    </row>
    <row r="51" spans="1:26" ht="18" customHeight="1">
      <c r="A51" s="1002"/>
      <c r="B51" s="608">
        <v>4462</v>
      </c>
      <c r="C51" s="38" t="s">
        <v>248</v>
      </c>
      <c r="D51" s="606">
        <f>'[3]Falhas UM-4 Qty'!Z51</f>
        <v>0.36886874716381862</v>
      </c>
      <c r="E51" s="607">
        <f>'Prod &amp; Defects - Qty'!F$8*'Falhas UM-4 Qty'!$D51/1000000</f>
        <v>3.6359603899128903</v>
      </c>
      <c r="F51" s="607">
        <f>'Prod &amp; Defects - Qty'!G$8*'Falhas UM-4 Qty'!$D51/1000000</f>
        <v>4.1514460538373781</v>
      </c>
      <c r="G51" s="607">
        <f>'Prod &amp; Defects - Qty'!H$8*'Falhas UM-4 Qty'!$D51/1000000</f>
        <v>3.7601757342531053</v>
      </c>
      <c r="H51" s="607">
        <f>'Prod &amp; Defects - Qty'!I$8*'Falhas UM-4 Qty'!$D51/1000000</f>
        <v>3.7790818490847911</v>
      </c>
      <c r="I51" s="607">
        <f>'Prod &amp; Defects - Qty'!J$8*'Falhas UM-4 Qty'!$D51/1000000</f>
        <v>4.0797858520563679</v>
      </c>
      <c r="J51" s="607">
        <f>'Prod &amp; Defects - Qty'!K$8*'Falhas UM-4 Qty'!$D51/1000000</f>
        <v>4.2992194596352533</v>
      </c>
      <c r="K51" s="607">
        <f>'Prod &amp; Defects - Qty'!L$8*'Falhas UM-4 Qty'!$D51/1000000</f>
        <v>4.1948243944885855</v>
      </c>
      <c r="L51" s="607">
        <f>'Prod &amp; Defects - Qty'!M$8*'Falhas UM-4 Qty'!$D51/1000000</f>
        <v>4.1864334394197709</v>
      </c>
      <c r="M51" s="607">
        <f>'Prod &amp; Defects - Qty'!N$8*'Falhas UM-4 Qty'!$D51/1000000</f>
        <v>4.1814836949914742</v>
      </c>
      <c r="N51" s="607">
        <f>'Prod &amp; Defects - Qty'!O$8*'Falhas UM-4 Qty'!$D51/1000000</f>
        <v>3.0946641801378068</v>
      </c>
      <c r="O51" s="607">
        <f>'Prod &amp; Defects - Qty'!P$8*'Falhas UM-4 Qty'!$D51/1000000</f>
        <v>3.2322779092043086</v>
      </c>
      <c r="P51" s="607">
        <f>'Prod &amp; Defects - Qty'!Q$8*'Falhas UM-4 Qty'!$D51/1000000</f>
        <v>3.998329965429491</v>
      </c>
      <c r="Q51" s="341"/>
      <c r="R51" s="341">
        <f>Q51/SUM('Prod &amp; Defects - Qty'!$F$8:$K$8)*1000000</f>
        <v>0</v>
      </c>
      <c r="S51" s="341">
        <f t="shared" ref="S51:S53" si="14">SUM(K51:P51)</f>
        <v>22.888013583671437</v>
      </c>
      <c r="T51" s="341">
        <f>S51/SUM('Prod &amp; Defects - Qty'!$L$8:$Q$8)*1000000</f>
        <v>0.36886874716381873</v>
      </c>
      <c r="U51" s="341">
        <f t="shared" ref="U51:U53" si="15">Q51+S51</f>
        <v>22.888013583671437</v>
      </c>
      <c r="V51" s="341">
        <f>U51/'Prod &amp; Defects - Qty'!$R$8*1000000</f>
        <v>0.18119780120685058</v>
      </c>
      <c r="W51" s="341">
        <f t="shared" ref="W51:W53" si="16">V51*0.9</f>
        <v>0.16307802108616554</v>
      </c>
      <c r="X51" s="341">
        <f t="shared" ref="X51:X53" si="17">W51*0.9</f>
        <v>0.14677021897754899</v>
      </c>
      <c r="Y51" s="341">
        <f t="shared" ref="Y51:Y53" si="18">(W51+X51)/2</f>
        <v>0.15492412003185727</v>
      </c>
      <c r="Z51" s="341">
        <f t="shared" ref="Z51:Z53" si="19">Y51*$AA$6</f>
        <v>0.15492412003185727</v>
      </c>
    </row>
    <row r="52" spans="1:26" ht="18" customHeight="1">
      <c r="A52" s="1002"/>
      <c r="B52" s="608">
        <v>4464</v>
      </c>
      <c r="C52" s="38" t="s">
        <v>249</v>
      </c>
      <c r="D52" s="606">
        <f>'[3]Falhas UM-4 Qty'!Z52</f>
        <v>0.15555936419232733</v>
      </c>
      <c r="E52" s="607">
        <f>'Prod &amp; Defects - Qty'!F$8*'Falhas UM-4 Qty'!$D52/1000000</f>
        <v>1.533357571852362</v>
      </c>
      <c r="F52" s="607">
        <f>'Prod &amp; Defects - Qty'!G$8*'Falhas UM-4 Qty'!$D52/1000000</f>
        <v>1.7507482365451899</v>
      </c>
      <c r="G52" s="607">
        <f>'Prod &amp; Defects - Qty'!H$8*'Falhas UM-4 Qty'!$D52/1000000</f>
        <v>1.585741679037006</v>
      </c>
      <c r="H52" s="607">
        <f>'Prod &amp; Defects - Qty'!I$8*'Falhas UM-4 Qty'!$D52/1000000</f>
        <v>1.5937147676360737</v>
      </c>
      <c r="I52" s="607">
        <f>'Prod &amp; Defects - Qty'!J$8*'Falhas UM-4 Qty'!$D52/1000000</f>
        <v>1.7205276892294878</v>
      </c>
      <c r="J52" s="607">
        <f>'Prod &amp; Defects - Qty'!K$8*'Falhas UM-4 Qty'!$D52/1000000</f>
        <v>1.8130672517157622</v>
      </c>
      <c r="K52" s="607">
        <f>'Prod &amp; Defects - Qty'!L$8*'Falhas UM-4 Qty'!$D52/1000000</f>
        <v>1.7690417546144312</v>
      </c>
      <c r="L52" s="607">
        <f>'Prod &amp; Defects - Qty'!M$8*'Falhas UM-4 Qty'!$D52/1000000</f>
        <v>1.7655031202207416</v>
      </c>
      <c r="M52" s="607">
        <f>'Prod &amp; Defects - Qty'!N$8*'Falhas UM-4 Qty'!$D52/1000000</f>
        <v>1.7634157135155095</v>
      </c>
      <c r="N52" s="607">
        <f>'Prod &amp; Defects - Qty'!O$8*'Falhas UM-4 Qty'!$D52/1000000</f>
        <v>1.305082081234739</v>
      </c>
      <c r="O52" s="607">
        <f>'Prod &amp; Defects - Qty'!P$8*'Falhas UM-4 Qty'!$D52/1000000</f>
        <v>1.3631165565388044</v>
      </c>
      <c r="P52" s="607">
        <f>'Prod &amp; Defects - Qty'!Q$8*'Falhas UM-4 Qty'!$D52/1000000</f>
        <v>1.686176104740895</v>
      </c>
      <c r="Q52" s="341"/>
      <c r="R52" s="341">
        <f>Q52/SUM('Prod &amp; Defects - Qty'!$F$8:$K$8)*1000000</f>
        <v>0</v>
      </c>
      <c r="S52" s="341">
        <f t="shared" si="14"/>
        <v>9.6523353308651192</v>
      </c>
      <c r="T52" s="341">
        <f>S52/SUM('Prod &amp; Defects - Qty'!$L$8:$Q$8)*1000000</f>
        <v>0.15555936419232733</v>
      </c>
      <c r="U52" s="341">
        <f t="shared" si="15"/>
        <v>9.6523353308651192</v>
      </c>
      <c r="V52" s="341">
        <f>U52/'Prod &amp; Defects - Qty'!$R$8*1000000</f>
        <v>7.6414754477063987E-2</v>
      </c>
      <c r="W52" s="341">
        <f t="shared" si="16"/>
        <v>6.8773279029357592E-2</v>
      </c>
      <c r="X52" s="341">
        <f t="shared" si="17"/>
        <v>6.1895951126421836E-2</v>
      </c>
      <c r="Y52" s="341">
        <f t="shared" si="18"/>
        <v>6.5334615077889707E-2</v>
      </c>
      <c r="Z52" s="341">
        <f t="shared" si="19"/>
        <v>6.5334615077889707E-2</v>
      </c>
    </row>
    <row r="53" spans="1:26" ht="18" customHeight="1">
      <c r="A53" s="1002"/>
      <c r="B53" s="608">
        <v>4466</v>
      </c>
      <c r="C53" s="38" t="s">
        <v>116</v>
      </c>
      <c r="D53" s="606">
        <f>'[3]Falhas UM-4 Qty'!Z53</f>
        <v>1.2582159393833139</v>
      </c>
      <c r="E53" s="607">
        <f>'Prod &amp; Defects - Qty'!F$8*'Falhas UM-4 Qty'!$D53/1000000</f>
        <v>12.402306654412873</v>
      </c>
      <c r="F53" s="607">
        <f>'Prod &amp; Defects - Qty'!G$8*'Falhas UM-4 Qty'!$D53/1000000</f>
        <v>14.160634742276969</v>
      </c>
      <c r="G53" s="607">
        <f>'Prod &amp; Defects - Qty'!H$8*'Falhas UM-4 Qty'!$D53/1000000</f>
        <v>12.826006757407598</v>
      </c>
      <c r="H53" s="607">
        <f>'Prod &amp; Defects - Qty'!I$8*'Falhas UM-4 Qty'!$D53/1000000</f>
        <v>12.890495753062398</v>
      </c>
      <c r="I53" s="607">
        <f>'Prod &amp; Defects - Qty'!J$8*'Falhas UM-4 Qty'!$D53/1000000</f>
        <v>13.916200892042839</v>
      </c>
      <c r="J53" s="607">
        <f>'Prod &amp; Defects - Qty'!K$8*'Falhas UM-4 Qty'!$D53/1000000</f>
        <v>14.664691689419932</v>
      </c>
      <c r="K53" s="607">
        <f>'Prod &amp; Defects - Qty'!L$8*'Falhas UM-4 Qty'!$D53/1000000</f>
        <v>14.308598808224543</v>
      </c>
      <c r="L53" s="607">
        <f>'Prod &amp; Defects - Qty'!M$8*'Falhas UM-4 Qty'!$D53/1000000</f>
        <v>14.27997715487113</v>
      </c>
      <c r="M53" s="607">
        <f>'Prod &amp; Defects - Qty'!N$8*'Falhas UM-4 Qty'!$D53/1000000</f>
        <v>14.2630935143257</v>
      </c>
      <c r="N53" s="607">
        <f>'Prod &amp; Defects - Qty'!O$8*'Falhas UM-4 Qty'!$D53/1000000</f>
        <v>10.55593846978509</v>
      </c>
      <c r="O53" s="607">
        <f>'Prod &amp; Defects - Qty'!P$8*'Falhas UM-4 Qty'!$D53/1000000</f>
        <v>11.025340631721441</v>
      </c>
      <c r="P53" s="607">
        <f>'Prod &amp; Defects - Qty'!Q$8*'Falhas UM-4 Qty'!$D53/1000000</f>
        <v>13.63835383750498</v>
      </c>
      <c r="Q53" s="341"/>
      <c r="R53" s="341">
        <f>Q53/SUM('Prod &amp; Defects - Qty'!$F$8:$K$8)*1000000</f>
        <v>0</v>
      </c>
      <c r="S53" s="341">
        <f t="shared" si="14"/>
        <v>78.071302416432871</v>
      </c>
      <c r="T53" s="341">
        <f>S53/SUM('Prod &amp; Defects - Qty'!$L$8:$Q$8)*1000000</f>
        <v>1.2582159393833139</v>
      </c>
      <c r="U53" s="341">
        <f t="shared" si="15"/>
        <v>78.071302416432871</v>
      </c>
      <c r="V53" s="341">
        <f>U53/'Prod &amp; Defects - Qty'!$R$8*1000000</f>
        <v>0.61806798058285317</v>
      </c>
      <c r="W53" s="341">
        <f t="shared" si="16"/>
        <v>0.55626118252456791</v>
      </c>
      <c r="X53" s="341">
        <f t="shared" si="17"/>
        <v>0.50063506427211113</v>
      </c>
      <c r="Y53" s="341">
        <f t="shared" si="18"/>
        <v>0.52844812339833958</v>
      </c>
      <c r="Z53" s="341">
        <f t="shared" si="19"/>
        <v>0.52844812339833958</v>
      </c>
    </row>
    <row r="54" spans="1:26" ht="18" customHeight="1">
      <c r="A54" s="1002"/>
      <c r="B54" s="97"/>
      <c r="C54" s="98" t="s">
        <v>1</v>
      </c>
      <c r="D54" s="364">
        <f>'[3]Falhas UM-4 Qty'!Z54</f>
        <v>2.8417149686716243</v>
      </c>
      <c r="E54" s="345">
        <f>SUBTOTAL(109,E35:E53)</f>
        <v>59.052193298777212</v>
      </c>
      <c r="F54" s="345">
        <f t="shared" ref="F54:P54" si="20">SUBTOTAL(109,F35:F53)</f>
        <v>67.424275446115089</v>
      </c>
      <c r="G54" s="345">
        <f t="shared" si="20"/>
        <v>61.069593858200868</v>
      </c>
      <c r="H54" s="345">
        <f t="shared" si="20"/>
        <v>61.376650984198974</v>
      </c>
      <c r="I54" s="345">
        <f t="shared" si="20"/>
        <v>66.260431060147241</v>
      </c>
      <c r="J54" s="345">
        <f t="shared" si="20"/>
        <v>69.824286113944126</v>
      </c>
      <c r="K54" s="345">
        <f t="shared" si="20"/>
        <v>68.128789764868884</v>
      </c>
      <c r="L54" s="345">
        <f t="shared" si="20"/>
        <v>67.992510969846904</v>
      </c>
      <c r="M54" s="345">
        <f t="shared" si="20"/>
        <v>67.912121407416507</v>
      </c>
      <c r="N54" s="345">
        <f t="shared" si="20"/>
        <v>50.260918096711677</v>
      </c>
      <c r="O54" s="345">
        <f t="shared" si="20"/>
        <v>52.495923888288893</v>
      </c>
      <c r="P54" s="345">
        <f t="shared" si="20"/>
        <v>64.937493446261712</v>
      </c>
      <c r="Q54" s="345"/>
      <c r="R54" s="345">
        <f>Q54/SUM('Prod &amp; Defects - Qty'!$F$8:$K$8)*1000000</f>
        <v>0</v>
      </c>
      <c r="S54" s="345">
        <f t="shared" si="0"/>
        <v>371.72775757339457</v>
      </c>
      <c r="T54" s="345">
        <f>S54/SUM('Prod &amp; Defects - Qty'!$L$8:$Q$8)*1000000</f>
        <v>5.9908541962739754</v>
      </c>
      <c r="U54" s="345">
        <f t="shared" si="1"/>
        <v>371.72775757339457</v>
      </c>
      <c r="V54" s="345">
        <f>U54/'Prod &amp; Defects - Qty'!$R$8*1000000</f>
        <v>2.9428614271666191</v>
      </c>
      <c r="W54" s="345">
        <f t="shared" si="13"/>
        <v>2.6485752844499575</v>
      </c>
      <c r="X54" s="345">
        <f t="shared" si="13"/>
        <v>2.3837177560049616</v>
      </c>
      <c r="Y54" s="345">
        <f t="shared" si="3"/>
        <v>2.5161465202274593</v>
      </c>
      <c r="Z54" s="345">
        <f t="shared" si="6"/>
        <v>2.2645318682047133</v>
      </c>
    </row>
    <row r="55" spans="1:26" ht="18" customHeight="1">
      <c r="A55" s="1002"/>
      <c r="B55" s="82">
        <v>4470</v>
      </c>
      <c r="C55" s="83" t="s">
        <v>266</v>
      </c>
      <c r="D55" s="359">
        <f>'[3]Falhas UM-4 Qty'!Z55</f>
        <v>263.77659336546066</v>
      </c>
      <c r="E55" s="375">
        <f>'Prod &amp; Defects - Qty'!F$8*'Falhas UM-4 Qty'!$D55/1000000</f>
        <v>2600.0610044554301</v>
      </c>
      <c r="F55" s="375">
        <f>'Prod &amp; Defects - Qty'!G$8*'Falhas UM-4 Qty'!$D55/1000000</f>
        <v>2968.6827795562276</v>
      </c>
      <c r="G55" s="375">
        <f>'Prod &amp; Defects - Qty'!H$8*'Falhas UM-4 Qty'!$D55/1000000</f>
        <v>2688.8869096743078</v>
      </c>
      <c r="H55" s="375">
        <f>'Prod &amp; Defects - Qty'!I$8*'Falhas UM-4 Qty'!$D55/1000000</f>
        <v>2702.4065981879662</v>
      </c>
      <c r="I55" s="375">
        <f>'Prod &amp; Defects - Qty'!J$8*'Falhas UM-4 Qty'!$D55/1000000</f>
        <v>2917.4388505136794</v>
      </c>
      <c r="J55" s="375">
        <f>'Prod &amp; Defects - Qty'!K$8*'Falhas UM-4 Qty'!$D55/1000000</f>
        <v>3074.354962063097</v>
      </c>
      <c r="K55" s="375">
        <f>'Prod &amp; Defects - Qty'!L$8*'Falhas UM-4 Qty'!$D55/1000000</f>
        <v>2999.7024607051435</v>
      </c>
      <c r="L55" s="375">
        <f>'Prod &amp; Defects - Qty'!M$8*'Falhas UM-4 Qty'!$D55/1000000</f>
        <v>2993.7021216681492</v>
      </c>
      <c r="M55" s="375">
        <f>'Prod &amp; Defects - Qty'!N$8*'Falhas UM-4 Qty'!$D55/1000000</f>
        <v>2990.1625788541678</v>
      </c>
      <c r="N55" s="375">
        <f>'Prod &amp; Defects - Qty'!O$8*'Falhas UM-4 Qty'!$D55/1000000</f>
        <v>2212.9822093177745</v>
      </c>
      <c r="O55" s="375">
        <f>'Prod &amp; Defects - Qty'!P$8*'Falhas UM-4 Qty'!$D55/1000000</f>
        <v>2311.3892468686095</v>
      </c>
      <c r="P55" s="375">
        <f>'Prod &amp; Defects - Qty'!Q$8*'Falhas UM-4 Qty'!$D55/1000000</f>
        <v>2859.1900656838311</v>
      </c>
      <c r="Q55" s="375"/>
      <c r="R55" s="375">
        <f>Q55/SUM('Prod &amp; Defects - Qty'!$F$8:$K$8)*1000000</f>
        <v>0</v>
      </c>
      <c r="S55" s="375">
        <f t="shared" si="0"/>
        <v>16367.128683097677</v>
      </c>
      <c r="T55" s="375">
        <f>S55/SUM('Prod &amp; Defects - Qty'!$L$8:$Q$8)*1000000</f>
        <v>263.77659336546071</v>
      </c>
      <c r="U55" s="375">
        <f t="shared" si="1"/>
        <v>16367.128683097677</v>
      </c>
      <c r="V55" s="375">
        <f>U55/'Prod &amp; Defects - Qty'!$R$8*1000000</f>
        <v>129.5738364801841</v>
      </c>
      <c r="W55" s="375">
        <f t="shared" si="13"/>
        <v>116.61645283216569</v>
      </c>
      <c r="X55" s="375">
        <f t="shared" si="13"/>
        <v>104.95480754894912</v>
      </c>
      <c r="Y55" s="375">
        <f t="shared" si="3"/>
        <v>110.78563019055741</v>
      </c>
      <c r="Z55" s="375">
        <f t="shared" ref="Z55:Z60" si="21">Y55*$AA$6</f>
        <v>110.78563019055741</v>
      </c>
    </row>
    <row r="56" spans="1:26" ht="18" customHeight="1">
      <c r="A56" s="1002"/>
      <c r="B56" s="97">
        <v>4475</v>
      </c>
      <c r="C56" s="100" t="s">
        <v>267</v>
      </c>
      <c r="D56" s="365">
        <f>'[3]Falhas UM-4 Qty'!Z56</f>
        <v>11.87122360784304</v>
      </c>
      <c r="E56" s="376">
        <f>'Prod &amp; Defects - Qty'!F$8*'Falhas UM-4 Qty'!$D56/1000000</f>
        <v>117.01533174006416</v>
      </c>
      <c r="F56" s="376">
        <f>'Prod &amp; Defects - Qty'!G$8*'Falhas UM-4 Qty'!$D56/1000000</f>
        <v>133.60509606717676</v>
      </c>
      <c r="G56" s="376">
        <f>'Prod &amp; Defects - Qty'!H$8*'Falhas UM-4 Qty'!$D56/1000000</f>
        <v>121.01292746896725</v>
      </c>
      <c r="H56" s="376">
        <f>'Prod &amp; Defects - Qty'!I$8*'Falhas UM-4 Qty'!$D56/1000000</f>
        <v>121.62137889904416</v>
      </c>
      <c r="I56" s="376">
        <f>'Prod &amp; Defects - Qty'!J$8*'Falhas UM-4 Qty'!$D56/1000000</f>
        <v>131.29887119541303</v>
      </c>
      <c r="J56" s="376">
        <f>'Prod &amp; Defects - Qty'!K$8*'Falhas UM-4 Qty'!$D56/1000000</f>
        <v>138.36085582456278</v>
      </c>
      <c r="K56" s="376">
        <f>'Prod &amp; Defects - Qty'!L$8*'Falhas UM-4 Qty'!$D56/1000000</f>
        <v>135.00113188091012</v>
      </c>
      <c r="L56" s="376">
        <f>'Prod &amp; Defects - Qty'!M$8*'Falhas UM-4 Qty'!$D56/1000000</f>
        <v>134.73108757742509</v>
      </c>
      <c r="M56" s="376">
        <f>'Prod &amp; Defects - Qty'!N$8*'Falhas UM-4 Qty'!$D56/1000000</f>
        <v>134.5717910163535</v>
      </c>
      <c r="N56" s="376">
        <f>'Prod &amp; Defects - Qty'!O$8*'Falhas UM-4 Qty'!$D56/1000000</f>
        <v>99.594912163384379</v>
      </c>
      <c r="O56" s="376">
        <f>'Prod &amp; Defects - Qty'!P$8*'Falhas UM-4 Qty'!$D56/1000000</f>
        <v>104.02370522817623</v>
      </c>
      <c r="P56" s="376">
        <f>'Prod &amp; Defects - Qty'!Q$8*'Falhas UM-4 Qty'!$D56/1000000</f>
        <v>128.67739390367237</v>
      </c>
      <c r="Q56" s="376"/>
      <c r="R56" s="376">
        <f>Q56/SUM('Prod &amp; Defects - Qty'!$F$8:$K$8)*1000000</f>
        <v>0</v>
      </c>
      <c r="S56" s="376">
        <f t="shared" si="0"/>
        <v>736.60002176992168</v>
      </c>
      <c r="T56" s="376">
        <f>S56/SUM('Prod &amp; Defects - Qty'!$L$8:$Q$8)*1000000</f>
        <v>11.871223607843042</v>
      </c>
      <c r="U56" s="376">
        <f t="shared" si="1"/>
        <v>736.60002176992168</v>
      </c>
      <c r="V56" s="376">
        <f>U56/'Prod &amp; Defects - Qty'!$R$8*1000000</f>
        <v>5.8314498908217738</v>
      </c>
      <c r="W56" s="376">
        <f t="shared" si="13"/>
        <v>5.2483049017395969</v>
      </c>
      <c r="X56" s="376">
        <f t="shared" si="13"/>
        <v>4.7234744115656371</v>
      </c>
      <c r="Y56" s="376">
        <f t="shared" si="3"/>
        <v>4.985889656652617</v>
      </c>
      <c r="Z56" s="376">
        <f t="shared" si="21"/>
        <v>4.985889656652617</v>
      </c>
    </row>
    <row r="57" spans="1:26" ht="18" customHeight="1">
      <c r="A57" s="1002"/>
      <c r="B57" s="79">
        <v>4480</v>
      </c>
      <c r="C57" s="80" t="s">
        <v>268</v>
      </c>
      <c r="D57" s="358">
        <f>'[3]Falhas UM-4 Qty'!Z57</f>
        <v>924.56483963181438</v>
      </c>
      <c r="E57" s="377">
        <f>'Prod &amp; Defects - Qty'!F$8*'Falhas UM-4 Qty'!$D57/1000000</f>
        <v>9113.4886342498448</v>
      </c>
      <c r="F57" s="377">
        <f>'Prod &amp; Defects - Qty'!G$8*'Falhas UM-4 Qty'!$D57/1000000</f>
        <v>10405.546917482989</v>
      </c>
      <c r="G57" s="377">
        <f>'Prod &amp; Defects - Qty'!H$8*'Falhas UM-4 Qty'!$D57/1000000</f>
        <v>9424.8328205024063</v>
      </c>
      <c r="H57" s="377">
        <f>'Prod &amp; Defects - Qty'!I$8*'Falhas UM-4 Qty'!$D57/1000000</f>
        <v>9472.220757707224</v>
      </c>
      <c r="I57" s="377">
        <f>'Prod &amp; Defects - Qty'!J$8*'Falhas UM-4 Qty'!$D57/1000000</f>
        <v>10225.931529958116</v>
      </c>
      <c r="J57" s="377">
        <f>'Prod &amp; Defects - Qty'!K$8*'Falhas UM-4 Qty'!$D57/1000000</f>
        <v>10775.939086198441</v>
      </c>
      <c r="K57" s="377">
        <f>'Prod &amp; Defects - Qty'!L$8*'Falhas UM-4 Qty'!$D57/1000000</f>
        <v>10514.274178537351</v>
      </c>
      <c r="L57" s="377">
        <f>'Prod &amp; Defects - Qty'!M$8*'Falhas UM-4 Qty'!$D57/1000000</f>
        <v>10493.242356006424</v>
      </c>
      <c r="M57" s="377">
        <f>'Prod &amp; Defects - Qty'!N$8*'Falhas UM-4 Qty'!$D57/1000000</f>
        <v>10480.835884331191</v>
      </c>
      <c r="N57" s="377">
        <f>'Prod &amp; Defects - Qty'!O$8*'Falhas UM-4 Qty'!$D57/1000000</f>
        <v>7756.7365449714653</v>
      </c>
      <c r="O57" s="377">
        <f>'Prod &amp; Defects - Qty'!P$8*'Falhas UM-4 Qty'!$D57/1000000</f>
        <v>8101.6636127260035</v>
      </c>
      <c r="P57" s="377">
        <f>'Prod &amp; Defects - Qty'!Q$8*'Falhas UM-4 Qty'!$D57/1000000</f>
        <v>10021.763382520025</v>
      </c>
      <c r="Q57" s="377"/>
      <c r="R57" s="377"/>
      <c r="S57" s="377"/>
      <c r="T57" s="377"/>
      <c r="U57" s="377"/>
      <c r="V57" s="377"/>
      <c r="W57" s="377"/>
      <c r="X57" s="377"/>
      <c r="Y57" s="377"/>
      <c r="Z57" s="377"/>
    </row>
    <row r="58" spans="1:26" ht="18" customHeight="1">
      <c r="A58" s="1002"/>
      <c r="B58" s="230">
        <v>4485</v>
      </c>
      <c r="C58" s="640" t="s">
        <v>269</v>
      </c>
      <c r="D58" s="606">
        <f>'[3]Falhas UM-4 Qty'!Z58</f>
        <v>35.241793473272089</v>
      </c>
      <c r="E58" s="641">
        <f>'Prod &amp; Defects - Qty'!F$8*'Falhas UM-4 Qty'!$D58/1000000</f>
        <v>347.38037885709133</v>
      </c>
      <c r="F58" s="641">
        <f>'Prod &amp; Defects - Qty'!G$8*'Falhas UM-4 Qty'!$D58/1000000</f>
        <v>396.62998172027818</v>
      </c>
      <c r="G58" s="641">
        <f>'Prod &amp; Defects - Qty'!H$8*'Falhas UM-4 Qty'!$D58/1000000</f>
        <v>359.24793756220737</v>
      </c>
      <c r="H58" s="641">
        <f>'Prod &amp; Defects - Qty'!I$8*'Falhas UM-4 Qty'!$D58/1000000</f>
        <v>361.0542315337168</v>
      </c>
      <c r="I58" s="641">
        <f>'Prod &amp; Defects - Qty'!J$8*'Falhas UM-4 Qty'!$D58/1000000</f>
        <v>389.78355178866411</v>
      </c>
      <c r="J58" s="641">
        <f>'Prod &amp; Defects - Qty'!K$8*'Falhas UM-4 Qty'!$D58/1000000</f>
        <v>410.74828230283714</v>
      </c>
      <c r="K58" s="641">
        <f>'Prod &amp; Defects - Qty'!L$8*'Falhas UM-4 Qty'!$D58/1000000</f>
        <v>400.77435701419307</v>
      </c>
      <c r="L58" s="641">
        <f>'Prod &amp; Defects - Qty'!M$8*'Falhas UM-4 Qty'!$D58/1000000</f>
        <v>399.97268349792927</v>
      </c>
      <c r="M58" s="641">
        <f>'Prod &amp; Defects - Qty'!N$8*'Falhas UM-4 Qty'!$D58/1000000</f>
        <v>399.49978393072882</v>
      </c>
      <c r="N58" s="641">
        <f>'Prod &amp; Defects - Qty'!O$8*'Falhas UM-4 Qty'!$D58/1000000</f>
        <v>295.66483130953372</v>
      </c>
      <c r="O58" s="641">
        <f>'Prod &amp; Defects - Qty'!P$8*'Falhas UM-4 Qty'!$D58/1000000</f>
        <v>308.81247435638329</v>
      </c>
      <c r="P58" s="641">
        <f>'Prod &amp; Defects - Qty'!Q$8*'Falhas UM-4 Qty'!$D58/1000000</f>
        <v>382.001240178481</v>
      </c>
      <c r="Q58" s="641"/>
      <c r="R58" s="641"/>
      <c r="S58" s="641"/>
      <c r="T58" s="641"/>
      <c r="U58" s="641"/>
      <c r="V58" s="641"/>
      <c r="W58" s="641"/>
      <c r="X58" s="641"/>
      <c r="Y58" s="641"/>
      <c r="Z58" s="641"/>
    </row>
    <row r="59" spans="1:26" ht="18" customHeight="1">
      <c r="A59" s="1002"/>
      <c r="B59" s="101">
        <v>4490</v>
      </c>
      <c r="C59" s="80" t="s">
        <v>67</v>
      </c>
      <c r="D59" s="358">
        <f>'[3]Falhas UM-4 Qty'!Z59</f>
        <v>2.4634181233810101E-2</v>
      </c>
      <c r="E59" s="377">
        <f>'Prod &amp; Defects - Qty'!F$8*'Falhas UM-4 Qty'!$D59/1000000</f>
        <v>0.24282053682441809</v>
      </c>
      <c r="F59" s="377">
        <f>'Prod &amp; Defects - Qty'!G$8*'Falhas UM-4 Qty'!$D59/1000000</f>
        <v>0.27724624343736459</v>
      </c>
      <c r="G59" s="377">
        <f>'Prod &amp; Defects - Qty'!H$8*'Falhas UM-4 Qty'!$D59/1000000</f>
        <v>0.25111601679669676</v>
      </c>
      <c r="H59" s="377">
        <f>'Prod &amp; Defects - Qty'!I$8*'Falhas UM-4 Qty'!$D59/1000000</f>
        <v>0.25237862487279961</v>
      </c>
      <c r="I59" s="377">
        <f>'Prod &amp; Defects - Qty'!J$8*'Falhas UM-4 Qty'!$D59/1000000</f>
        <v>0.27246055635626082</v>
      </c>
      <c r="J59" s="377">
        <f>'Prod &amp; Defects - Qty'!K$8*'Falhas UM-4 Qty'!$D59/1000000</f>
        <v>0.28711500268561152</v>
      </c>
      <c r="K59" s="377">
        <f>'Prod &amp; Defects - Qty'!L$8*'Falhas UM-4 Qty'!$D59/1000000</f>
        <v>0.28014318147681633</v>
      </c>
      <c r="L59" s="377">
        <f>'Prod &amp; Defects - Qty'!M$8*'Falhas UM-4 Qty'!$D59/1000000</f>
        <v>0.27958280787650663</v>
      </c>
      <c r="M59" s="377">
        <f>'Prod &amp; Defects - Qty'!N$8*'Falhas UM-4 Qty'!$D59/1000000</f>
        <v>0.27925224883011074</v>
      </c>
      <c r="N59" s="377">
        <f>'Prod &amp; Defects - Qty'!O$8*'Falhas UM-4 Qty'!$D59/1000000</f>
        <v>0.20667112315004146</v>
      </c>
      <c r="O59" s="377">
        <f>'Prod &amp; Defects - Qty'!P$8*'Falhas UM-4 Qty'!$D59/1000000</f>
        <v>0.21586138816476533</v>
      </c>
      <c r="P59" s="377">
        <f>'Prod &amp; Defects - Qty'!Q$8*'Falhas UM-4 Qty'!$D59/1000000</f>
        <v>0.26702068353115527</v>
      </c>
      <c r="Q59" s="377"/>
      <c r="R59" s="377">
        <f>Q59/SUM('Prod &amp; Defects - Qty'!$F$8:$K$8)*1000000</f>
        <v>0</v>
      </c>
      <c r="S59" s="377">
        <f t="shared" si="0"/>
        <v>1.5285314330293958</v>
      </c>
      <c r="T59" s="377">
        <f>S59/SUM('Prod &amp; Defects - Qty'!$L$8:$Q$8)*1000000</f>
        <v>2.4634181233810105E-2</v>
      </c>
      <c r="U59" s="377">
        <f t="shared" si="1"/>
        <v>1.5285314330293958</v>
      </c>
      <c r="V59" s="377">
        <f>U59/'Prod &amp; Defects - Qty'!$R$8*1000000</f>
        <v>1.2100942431197869E-2</v>
      </c>
      <c r="W59" s="377">
        <f t="shared" si="13"/>
        <v>1.0890848188078082E-2</v>
      </c>
      <c r="X59" s="377">
        <f t="shared" si="13"/>
        <v>9.8017633692702739E-3</v>
      </c>
      <c r="Y59" s="377">
        <f t="shared" si="3"/>
        <v>1.0346305778674177E-2</v>
      </c>
      <c r="Z59" s="377">
        <f t="shared" si="21"/>
        <v>1.0346305778674177E-2</v>
      </c>
    </row>
    <row r="60" spans="1:26" ht="18" customHeight="1">
      <c r="A60" s="1002"/>
      <c r="B60" s="102">
        <v>4500</v>
      </c>
      <c r="C60" s="91" t="s">
        <v>66</v>
      </c>
      <c r="D60" s="363">
        <f>'[3]Falhas UM-4 Qty'!Z60</f>
        <v>4.4379227322803887</v>
      </c>
      <c r="E60" s="378">
        <f>'Prod &amp; Defects - Qty'!F$8*'Falhas UM-4 Qty'!$D60/1000000</f>
        <v>43.744858820742706</v>
      </c>
      <c r="F60" s="378">
        <f>'Prod &amp; Defects - Qty'!G$8*'Falhas UM-4 Qty'!$D60/1000000</f>
        <v>49.946754654111174</v>
      </c>
      <c r="G60" s="378">
        <f>'Prod &amp; Defects - Qty'!H$8*'Falhas UM-4 Qty'!$D60/1000000</f>
        <v>45.239314788031948</v>
      </c>
      <c r="H60" s="378">
        <f>'Prod &amp; Defects - Qty'!I$8*'Falhas UM-4 Qty'!$D60/1000000</f>
        <v>45.466777476144642</v>
      </c>
      <c r="I60" s="378">
        <f>'Prod &amp; Defects - Qty'!J$8*'Falhas UM-4 Qty'!$D60/1000000</f>
        <v>49.0845985594868</v>
      </c>
      <c r="J60" s="378">
        <f>'Prod &amp; Defects - Qty'!K$8*'Falhas UM-4 Qty'!$D60/1000000</f>
        <v>51.724641671808648</v>
      </c>
      <c r="K60" s="378">
        <f>'Prod &amp; Defects - Qty'!L$8*'Falhas UM-4 Qty'!$D60/1000000</f>
        <v>50.468646859793466</v>
      </c>
      <c r="L60" s="378">
        <f>'Prod &amp; Defects - Qty'!M$8*'Falhas UM-4 Qty'!$D60/1000000</f>
        <v>50.367693849998652</v>
      </c>
      <c r="M60" s="378">
        <f>'Prod &amp; Defects - Qty'!N$8*'Falhas UM-4 Qty'!$D60/1000000</f>
        <v>50.308142631614842</v>
      </c>
      <c r="N60" s="378">
        <f>'Prod &amp; Defects - Qty'!O$8*'Falhas UM-4 Qty'!$D60/1000000</f>
        <v>37.232431913533887</v>
      </c>
      <c r="O60" s="378">
        <f>'Prod &amp; Defects - Qty'!P$8*'Falhas UM-4 Qty'!$D60/1000000</f>
        <v>38.888086129820408</v>
      </c>
      <c r="P60" s="378">
        <f>'Prod &amp; Defects - Qty'!Q$8*'Falhas UM-4 Qty'!$D60/1000000</f>
        <v>48.104588911830398</v>
      </c>
      <c r="Q60" s="378"/>
      <c r="R60" s="378">
        <f>Q60/SUM('Prod &amp; Defects - Qty'!$F$8:$K$8)*1000000</f>
        <v>0</v>
      </c>
      <c r="S60" s="378">
        <f t="shared" si="0"/>
        <v>275.36959029659164</v>
      </c>
      <c r="T60" s="378">
        <f>S60/SUM('Prod &amp; Defects - Qty'!$L$8:$Q$8)*1000000</f>
        <v>4.4379227322803896</v>
      </c>
      <c r="U60" s="378">
        <f t="shared" si="1"/>
        <v>275.36959029659164</v>
      </c>
      <c r="V60" s="378">
        <f>U60/'Prod &amp; Defects - Qty'!$R$8*1000000</f>
        <v>2.1800216125601359</v>
      </c>
      <c r="W60" s="378">
        <f t="shared" ref="W60:X61" si="22">V60*0.9</f>
        <v>1.9620194513041225</v>
      </c>
      <c r="X60" s="378">
        <f t="shared" si="22"/>
        <v>1.7658175061737102</v>
      </c>
      <c r="Y60" s="378">
        <f t="shared" si="3"/>
        <v>1.8639184787389165</v>
      </c>
      <c r="Z60" s="378">
        <f t="shared" si="21"/>
        <v>1.8639184787389165</v>
      </c>
    </row>
    <row r="61" spans="1:26" ht="18" customHeight="1" thickBot="1">
      <c r="A61" s="1003"/>
      <c r="B61" s="103"/>
      <c r="C61" s="104" t="s">
        <v>1</v>
      </c>
      <c r="D61" s="89">
        <f>'[3]Falhas UM-4 Qty'!Z61</f>
        <v>1007.5249737080243</v>
      </c>
      <c r="E61" s="379">
        <f>SUBTOTAL(109,E57:E58)</f>
        <v>9460.8690131069361</v>
      </c>
      <c r="F61" s="379">
        <f t="shared" ref="F61:P61" si="23">SUBTOTAL(109,F57:F58)</f>
        <v>10802.176899203267</v>
      </c>
      <c r="G61" s="379">
        <f t="shared" si="23"/>
        <v>9784.0807580646142</v>
      </c>
      <c r="H61" s="379">
        <f t="shared" si="23"/>
        <v>9833.2749892409411</v>
      </c>
      <c r="I61" s="379">
        <f t="shared" si="23"/>
        <v>10615.715081746779</v>
      </c>
      <c r="J61" s="379">
        <f t="shared" si="23"/>
        <v>11186.687368501278</v>
      </c>
      <c r="K61" s="379">
        <f t="shared" si="23"/>
        <v>10915.048535551545</v>
      </c>
      <c r="L61" s="379">
        <f t="shared" si="23"/>
        <v>10893.215039504354</v>
      </c>
      <c r="M61" s="379">
        <f t="shared" si="23"/>
        <v>10880.33566826192</v>
      </c>
      <c r="N61" s="379">
        <f t="shared" si="23"/>
        <v>8052.4013762809991</v>
      </c>
      <c r="O61" s="379">
        <f t="shared" si="23"/>
        <v>8410.4760870823866</v>
      </c>
      <c r="P61" s="379">
        <f t="shared" si="23"/>
        <v>10403.764622698505</v>
      </c>
      <c r="Q61" s="379"/>
      <c r="R61" s="379">
        <f>Q61/SUM('Prod &amp; Defects - Qty'!$F$8:$K$8)*1000000</f>
        <v>0</v>
      </c>
      <c r="S61" s="379">
        <f t="shared" si="0"/>
        <v>59555.241329379714</v>
      </c>
      <c r="T61" s="379">
        <f>S61/SUM('Prod &amp; Defects - Qty'!$L$8:$Q$8)*1000000</f>
        <v>959.80663310508669</v>
      </c>
      <c r="U61" s="379">
        <f t="shared" si="1"/>
        <v>59555.241329379714</v>
      </c>
      <c r="V61" s="379">
        <f>U61/'Prod &amp; Defects - Qty'!$R$8*1000000</f>
        <v>471.48166614710397</v>
      </c>
      <c r="W61" s="379">
        <f t="shared" si="22"/>
        <v>424.3334995323936</v>
      </c>
      <c r="X61" s="379">
        <f t="shared" si="22"/>
        <v>381.90014957915423</v>
      </c>
      <c r="Y61" s="379">
        <f t="shared" si="3"/>
        <v>403.11682455577392</v>
      </c>
      <c r="Z61" s="379">
        <f t="shared" si="6"/>
        <v>362.80514210019652</v>
      </c>
    </row>
    <row r="62" spans="1:26" ht="18" customHeight="1" thickTop="1" thickBot="1">
      <c r="A62" s="106"/>
      <c r="B62" s="107"/>
      <c r="C62" s="108" t="s">
        <v>59</v>
      </c>
      <c r="D62" s="366">
        <f>'[3]Falhas UM-4 Qty'!Z62</f>
        <v>0</v>
      </c>
      <c r="E62" s="380">
        <f>SUMIF($C$6:$C$61,$C$61,E6:E61)</f>
        <v>24804.300800613142</v>
      </c>
      <c r="F62" s="380">
        <f t="shared" ref="F62:P62" si="24">SUMIF($C$6:$C$61,$C$61,F6:F61)</f>
        <v>28320.912670714708</v>
      </c>
      <c r="G62" s="380">
        <f t="shared" si="24"/>
        <v>25651.690330381985</v>
      </c>
      <c r="H62" s="380">
        <f t="shared" si="24"/>
        <v>25780.666696724449</v>
      </c>
      <c r="I62" s="380">
        <f t="shared" si="24"/>
        <v>27832.051129389882</v>
      </c>
      <c r="J62" s="380">
        <f t="shared" si="24"/>
        <v>29329.013863981381</v>
      </c>
      <c r="K62" s="380">
        <f t="shared" si="24"/>
        <v>28616.837074272291</v>
      </c>
      <c r="L62" s="380">
        <f t="shared" si="24"/>
        <v>28559.59448876209</v>
      </c>
      <c r="M62" s="380">
        <f t="shared" si="24"/>
        <v>28525.827633098248</v>
      </c>
      <c r="N62" s="380">
        <f t="shared" si="24"/>
        <v>21111.610955382283</v>
      </c>
      <c r="O62" s="380">
        <f t="shared" si="24"/>
        <v>22050.40345145273</v>
      </c>
      <c r="P62" s="380">
        <f t="shared" si="24"/>
        <v>27276.364021389756</v>
      </c>
      <c r="Q62" s="109"/>
      <c r="R62" s="109">
        <f>Q62/SUM('Prod &amp; Defects - Qty'!$F$8:$K$8)*1000000</f>
        <v>0</v>
      </c>
      <c r="S62" s="109">
        <f t="shared" si="0"/>
        <v>156140.63762435739</v>
      </c>
      <c r="T62" s="109">
        <f>S62/SUM('Prod &amp; Defects - Qty'!$L$8:$Q$8)*1000000</f>
        <v>2516.4001747598459</v>
      </c>
      <c r="U62" s="109">
        <f t="shared" si="1"/>
        <v>156140.63762435739</v>
      </c>
      <c r="V62" s="109">
        <f>U62/'Prod &amp; Defects - Qty'!$R$8*1000000</f>
        <v>1236.1203873434117</v>
      </c>
      <c r="W62" s="109"/>
      <c r="X62" s="109"/>
      <c r="Y62" s="109"/>
      <c r="Z62" s="109"/>
    </row>
    <row r="63" spans="1:26" ht="18" customHeight="1">
      <c r="C63" s="110"/>
      <c r="D63" s="11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</row>
    <row r="64" spans="1:26">
      <c r="C64" s="110" t="s">
        <v>286</v>
      </c>
      <c r="E64" s="651">
        <f>'[23]Totalização (MTG+ACB)'!$K$110</f>
        <v>9186.4315068493142</v>
      </c>
      <c r="F64" s="651">
        <f>'[24]Totalização (MTG+ACB)'!$K$110</f>
        <v>8757.6952380952389</v>
      </c>
      <c r="G64" s="651">
        <f>'[25]Totalização (MTG+ACB)'!$K$110</f>
        <v>8237.268</v>
      </c>
      <c r="H64" s="651">
        <f>'[26]Totalização (MTG+ACB)'!$K$110</f>
        <v>10219.051724137931</v>
      </c>
      <c r="I64" s="651">
        <f>'[27]Totalização (MTG+ACB)'!$K$110</f>
        <v>14084.011594202899</v>
      </c>
      <c r="J64" s="651">
        <f>'[28]Totalização (MTG+ACB)'!$K$110</f>
        <v>12731.919444444444</v>
      </c>
      <c r="K64" s="651">
        <f>'[29]Totalização (MTG+ACB)'!$K$110</f>
        <v>8104.318181818182</v>
      </c>
      <c r="L64" s="651">
        <f>'[30]Totalização (MTG+ACB)'!$K$110</f>
        <v>4771.5190476190473</v>
      </c>
      <c r="M64" s="651">
        <f>'[31]Totalização (MTG+ACB)'!$K$110</f>
        <v>6275.3263157894744</v>
      </c>
    </row>
    <row r="65" spans="1:26">
      <c r="C65" s="110" t="s">
        <v>287</v>
      </c>
      <c r="E65" s="651">
        <f>'[23]Totalização (MTG+ACB)'!$K$111</f>
        <v>359.88082191780825</v>
      </c>
      <c r="F65" s="651">
        <f>'[24]Totalização (MTG+ACB)'!$K$111</f>
        <v>736.62857142857138</v>
      </c>
      <c r="G65" s="651">
        <f>'[25]Totalização (MTG+ACB)'!$K$111</f>
        <v>539.76400000000001</v>
      </c>
      <c r="H65" s="651">
        <f>'[26]Totalização (MTG+ACB)'!$K$111</f>
        <v>779.65517241379314</v>
      </c>
      <c r="I65" s="651">
        <f>'[27]Totalização (MTG+ACB)'!$K$111</f>
        <v>1282.9565217391305</v>
      </c>
      <c r="J65" s="651">
        <f>'[28]Totalização (MTG+ACB)'!$K$111</f>
        <v>189.32222222222222</v>
      </c>
      <c r="K65" s="651">
        <f>'[29]Totalização (MTG+ACB)'!$K$111</f>
        <v>1039.0151515151515</v>
      </c>
      <c r="L65" s="651">
        <f>'[30]Totalização (MTG+ACB)'!$K$111</f>
        <v>424.9444444444444</v>
      </c>
      <c r="M65" s="651">
        <f>'[31]Totalização (MTG+ACB)'!$K$111</f>
        <v>268.46315789473687</v>
      </c>
    </row>
    <row r="66" spans="1:26" ht="13.5" thickBot="1">
      <c r="C66" s="76" t="s">
        <v>288</v>
      </c>
      <c r="E66" s="234">
        <f>'[23]Totalização (MTG+ACB)'!$K$7</f>
        <v>9241105</v>
      </c>
      <c r="F66" s="234">
        <f>'[24]Totalização (MTG+ACB)'!$K$7</f>
        <v>10903402</v>
      </c>
      <c r="G66" s="234">
        <f>'[25]Totalização (MTG+ACB)'!$K$7</f>
        <v>8381306</v>
      </c>
      <c r="H66" s="234">
        <f>'[26]Totalização (MTG+ACB)'!$K$7</f>
        <v>10452595</v>
      </c>
      <c r="I66" s="234">
        <f>'[27]Totalização (MTG+ACB)'!$K$7</f>
        <v>11646400</v>
      </c>
      <c r="J66" s="234">
        <f>'[28]Totalização (MTG+ACB)'!$K$7</f>
        <v>12910309</v>
      </c>
      <c r="K66" s="234">
        <f>'[29]Totalização (MTG+ACB)'!$K$7</f>
        <v>11324855</v>
      </c>
      <c r="L66" s="234">
        <f>'[30]Totalização (MTG+ACB)'!$K$7</f>
        <v>10437050</v>
      </c>
      <c r="M66" s="234">
        <f>'[31]Totalização (MTG+ACB)'!$K$7</f>
        <v>10062850</v>
      </c>
    </row>
    <row r="67" spans="1:26">
      <c r="A67" s="1017" t="s">
        <v>254</v>
      </c>
      <c r="B67" s="1018"/>
      <c r="C67" s="621" t="s">
        <v>65</v>
      </c>
      <c r="E67" s="637"/>
      <c r="F67" s="637"/>
      <c r="G67" s="637"/>
      <c r="H67" s="637"/>
      <c r="I67" s="637"/>
      <c r="J67" s="637"/>
      <c r="K67" s="637"/>
      <c r="L67" s="637"/>
      <c r="M67" s="637"/>
      <c r="N67" s="637"/>
      <c r="O67" s="637"/>
      <c r="P67" s="637"/>
      <c r="Q67" s="637"/>
      <c r="R67" s="637"/>
      <c r="S67" s="637"/>
      <c r="T67" s="637"/>
      <c r="U67" s="637"/>
      <c r="V67" s="637"/>
      <c r="W67" s="637"/>
      <c r="X67" s="637"/>
      <c r="Y67" s="637"/>
      <c r="Z67" s="637"/>
    </row>
    <row r="68" spans="1:26">
      <c r="A68" s="1019"/>
      <c r="B68" s="1020"/>
      <c r="C68" s="233" t="s">
        <v>64</v>
      </c>
      <c r="E68" s="638">
        <f t="shared" ref="E68:J68" si="25">E15+E34</f>
        <v>15284.379594207427</v>
      </c>
      <c r="F68" s="638">
        <f t="shared" si="25"/>
        <v>17451.311496065326</v>
      </c>
      <c r="G68" s="638">
        <f t="shared" si="25"/>
        <v>15806.53997845917</v>
      </c>
      <c r="H68" s="638">
        <f t="shared" si="25"/>
        <v>15886.015056499309</v>
      </c>
      <c r="I68" s="638">
        <f t="shared" si="25"/>
        <v>17150.075616582955</v>
      </c>
      <c r="J68" s="638">
        <f t="shared" si="25"/>
        <v>18072.502209366161</v>
      </c>
      <c r="K68" s="638">
        <f t="shared" ref="K68:L68" si="26">K15+K34</f>
        <v>17633.659748955877</v>
      </c>
      <c r="L68" s="638">
        <f t="shared" si="26"/>
        <v>17598.386938287891</v>
      </c>
      <c r="M68" s="638">
        <f t="shared" ref="M68" si="27">M15+M34</f>
        <v>17577.579843428914</v>
      </c>
      <c r="N68" s="638"/>
      <c r="O68" s="638"/>
      <c r="P68" s="638"/>
      <c r="Q68" s="638"/>
      <c r="R68" s="638"/>
      <c r="S68" s="638"/>
      <c r="T68" s="638"/>
      <c r="U68" s="638"/>
      <c r="V68" s="638"/>
      <c r="W68" s="638"/>
      <c r="X68" s="638"/>
      <c r="Y68" s="638"/>
      <c r="Z68" s="638"/>
    </row>
    <row r="69" spans="1:26">
      <c r="A69" s="1019"/>
      <c r="B69" s="1020"/>
      <c r="C69" s="233" t="s">
        <v>63</v>
      </c>
      <c r="E69" s="638">
        <f t="shared" ref="E69:M69" si="28">+E54+E58+E57+H55</f>
        <v>12222.32780459368</v>
      </c>
      <c r="F69" s="638">
        <f t="shared" si="28"/>
        <v>13787.040025163062</v>
      </c>
      <c r="G69" s="638">
        <f t="shared" si="28"/>
        <v>12919.505313985912</v>
      </c>
      <c r="H69" s="638">
        <f t="shared" si="28"/>
        <v>12894.354100930283</v>
      </c>
      <c r="I69" s="638">
        <f t="shared" si="28"/>
        <v>13675.677634475076</v>
      </c>
      <c r="J69" s="638">
        <f t="shared" si="28"/>
        <v>14246.67423346939</v>
      </c>
      <c r="K69" s="638">
        <f t="shared" si="28"/>
        <v>13196.159534634189</v>
      </c>
      <c r="L69" s="638">
        <f t="shared" si="28"/>
        <v>13272.596797342809</v>
      </c>
      <c r="M69" s="638">
        <f t="shared" si="28"/>
        <v>13807.437855353168</v>
      </c>
      <c r="N69" s="638"/>
      <c r="O69" s="638"/>
      <c r="P69" s="638"/>
      <c r="Q69" s="638"/>
      <c r="R69" s="638"/>
      <c r="S69" s="638"/>
      <c r="T69" s="638"/>
      <c r="U69" s="638"/>
      <c r="V69" s="638"/>
      <c r="W69" s="638"/>
      <c r="X69" s="638"/>
      <c r="Y69" s="638"/>
      <c r="Z69" s="638"/>
    </row>
    <row r="70" spans="1:26">
      <c r="A70" s="1019"/>
      <c r="B70" s="1020"/>
      <c r="C70" s="233" t="s">
        <v>256</v>
      </c>
      <c r="E70" s="638">
        <f t="shared" ref="E70:J70" si="29">SUM(E68:E69)</f>
        <v>27506.707398801107</v>
      </c>
      <c r="F70" s="638">
        <f t="shared" si="29"/>
        <v>31238.351521228389</v>
      </c>
      <c r="G70" s="638">
        <f t="shared" si="29"/>
        <v>28726.04529244508</v>
      </c>
      <c r="H70" s="638">
        <f t="shared" si="29"/>
        <v>28780.369157429592</v>
      </c>
      <c r="I70" s="638">
        <f t="shared" si="29"/>
        <v>30825.753251058031</v>
      </c>
      <c r="J70" s="638">
        <f t="shared" si="29"/>
        <v>32319.176442835553</v>
      </c>
      <c r="K70" s="638">
        <f t="shared" ref="K70:L70" si="30">SUM(K68:K69)</f>
        <v>30829.819283590066</v>
      </c>
      <c r="L70" s="638">
        <f t="shared" si="30"/>
        <v>30870.9837356307</v>
      </c>
      <c r="M70" s="638">
        <f t="shared" ref="M70" si="31">SUM(M68:M69)</f>
        <v>31385.017698782081</v>
      </c>
      <c r="N70" s="638"/>
      <c r="O70" s="638"/>
      <c r="P70" s="638"/>
      <c r="Q70" s="638"/>
      <c r="R70" s="638"/>
      <c r="S70" s="638"/>
      <c r="T70" s="638"/>
      <c r="U70" s="638"/>
      <c r="V70" s="638"/>
      <c r="W70" s="638"/>
      <c r="X70" s="638"/>
      <c r="Y70" s="638"/>
      <c r="Z70" s="638"/>
    </row>
    <row r="71" spans="1:26" ht="13.5" thickBot="1">
      <c r="A71" s="1021"/>
      <c r="B71" s="1022"/>
      <c r="C71" s="622" t="s">
        <v>257</v>
      </c>
      <c r="E71" s="639">
        <f>E70/'Prod &amp; Defects - Qty'!F8*1000000</f>
        <v>2790.5597445302724</v>
      </c>
      <c r="F71" s="639">
        <f>F70/'Prod &amp; Defects - Qty'!G8*1000000</f>
        <v>2775.6235874599324</v>
      </c>
      <c r="G71" s="639">
        <f>G70/'Prod &amp; Defects - Qty'!H8*1000000</f>
        <v>2817.9907235373053</v>
      </c>
      <c r="H71" s="639">
        <f>H70/'Prod &amp; Defects - Qty'!I8*1000000</f>
        <v>2809.1952325891698</v>
      </c>
      <c r="I71" s="639">
        <f>I70/'Prod &amp; Defects - Qty'!J8*1000000</f>
        <v>2787.0720166274264</v>
      </c>
      <c r="J71" s="639">
        <f>J70/'Prod &amp; Defects - Qty'!K8*1000000</f>
        <v>2772.953145510412</v>
      </c>
      <c r="K71" s="639">
        <f>K70/'Prod &amp; Defects - Qty'!L8*1000000</f>
        <v>2710.9971109556418</v>
      </c>
      <c r="L71" s="639">
        <f>L70/'Prod &amp; Defects - Qty'!M8*1000000</f>
        <v>2720.057838983575</v>
      </c>
      <c r="M71" s="639">
        <f>M70/'Prod &amp; Defects - Qty'!N8*1000000</f>
        <v>2768.623054092197</v>
      </c>
      <c r="N71" s="639"/>
      <c r="O71" s="639"/>
      <c r="P71" s="639"/>
      <c r="Q71" s="639"/>
      <c r="R71" s="639"/>
      <c r="S71" s="639"/>
      <c r="T71" s="639"/>
      <c r="U71" s="639"/>
      <c r="V71" s="639"/>
      <c r="W71" s="639"/>
      <c r="X71" s="639"/>
      <c r="Y71" s="639"/>
      <c r="Z71" s="639"/>
    </row>
    <row r="72" spans="1:26">
      <c r="A72" s="1017" t="s">
        <v>258</v>
      </c>
      <c r="B72" s="1018"/>
      <c r="C72" s="621" t="s">
        <v>64</v>
      </c>
      <c r="E72" s="637">
        <f t="shared" ref="E72:J72" si="32">SUM(E16:E30)</f>
        <v>9303.0968229975333</v>
      </c>
      <c r="F72" s="637">
        <f t="shared" si="32"/>
        <v>10622.036670543994</v>
      </c>
      <c r="G72" s="637">
        <f t="shared" si="32"/>
        <v>9620.9185953427168</v>
      </c>
      <c r="H72" s="637">
        <f t="shared" si="32"/>
        <v>9669.2924492806887</v>
      </c>
      <c r="I72" s="637">
        <f t="shared" si="32"/>
        <v>10438.68434432675</v>
      </c>
      <c r="J72" s="637">
        <f t="shared" si="32"/>
        <v>11000.134931959508</v>
      </c>
      <c r="K72" s="637">
        <f t="shared" ref="K72:L72" si="33">SUM(K16:K30)</f>
        <v>10733.026026813854</v>
      </c>
      <c r="L72" s="637">
        <f t="shared" si="33"/>
        <v>10711.556632466445</v>
      </c>
      <c r="M72" s="637">
        <f t="shared" ref="M72" si="34">SUM(M16:M30)</f>
        <v>10698.89204134678</v>
      </c>
      <c r="N72" s="637"/>
      <c r="O72" s="637"/>
      <c r="P72" s="637"/>
      <c r="Q72" s="637"/>
      <c r="R72" s="637"/>
      <c r="S72" s="637"/>
      <c r="T72" s="637"/>
      <c r="U72" s="637"/>
      <c r="V72" s="637"/>
      <c r="W72" s="637"/>
      <c r="X72" s="637"/>
      <c r="Y72" s="637"/>
      <c r="Z72" s="637"/>
    </row>
    <row r="73" spans="1:26">
      <c r="A73" s="1019"/>
      <c r="B73" s="1020"/>
      <c r="C73" s="233" t="s">
        <v>63</v>
      </c>
      <c r="E73" s="638">
        <f t="shared" ref="E73:J73" si="35">SUM(E40:E53)</f>
        <v>48.892722682129431</v>
      </c>
      <c r="F73" s="638">
        <f t="shared" si="35"/>
        <v>55.824453204495541</v>
      </c>
      <c r="G73" s="638">
        <f t="shared" si="35"/>
        <v>50.563045164337993</v>
      </c>
      <c r="H73" s="638">
        <f t="shared" si="35"/>
        <v>50.817275499747197</v>
      </c>
      <c r="I73" s="638">
        <f t="shared" si="35"/>
        <v>54.860839194083205</v>
      </c>
      <c r="J73" s="638">
        <f t="shared" si="35"/>
        <v>57.811560701462078</v>
      </c>
      <c r="K73" s="638">
        <f t="shared" ref="K73:L73" si="36">SUM(K40:K53)</f>
        <v>56.407761313614188</v>
      </c>
      <c r="L73" s="638">
        <f t="shared" si="36"/>
        <v>56.29492822545518</v>
      </c>
      <c r="M73" s="638">
        <f t="shared" ref="M73" si="37">SUM(M40:M53)</f>
        <v>56.228369062062868</v>
      </c>
      <c r="N73" s="638"/>
      <c r="O73" s="638"/>
      <c r="P73" s="638"/>
      <c r="Q73" s="638"/>
      <c r="R73" s="638"/>
      <c r="S73" s="638"/>
      <c r="T73" s="638"/>
      <c r="U73" s="638"/>
      <c r="V73" s="638"/>
      <c r="W73" s="638"/>
      <c r="X73" s="638"/>
      <c r="Y73" s="638"/>
      <c r="Z73" s="638"/>
    </row>
    <row r="74" spans="1:26">
      <c r="A74" s="1019"/>
      <c r="B74" s="1020"/>
      <c r="C74" s="233" t="s">
        <v>256</v>
      </c>
      <c r="E74" s="638">
        <f t="shared" ref="E74:J74" si="38">SUM(E72:E73)</f>
        <v>9351.9895456796621</v>
      </c>
      <c r="F74" s="638">
        <f t="shared" si="38"/>
        <v>10677.861123748489</v>
      </c>
      <c r="G74" s="638">
        <f t="shared" si="38"/>
        <v>9671.4816405070542</v>
      </c>
      <c r="H74" s="638">
        <f t="shared" si="38"/>
        <v>9720.1097247804355</v>
      </c>
      <c r="I74" s="638">
        <f t="shared" si="38"/>
        <v>10493.545183520833</v>
      </c>
      <c r="J74" s="638">
        <f t="shared" si="38"/>
        <v>11057.946492660971</v>
      </c>
      <c r="K74" s="638">
        <f t="shared" ref="K74:L74" si="39">SUM(K72:K73)</f>
        <v>10789.433788127468</v>
      </c>
      <c r="L74" s="638">
        <f t="shared" si="39"/>
        <v>10767.851560691901</v>
      </c>
      <c r="M74" s="638">
        <f t="shared" ref="M74" si="40">SUM(M72:M73)</f>
        <v>10755.120410408843</v>
      </c>
      <c r="N74" s="638"/>
      <c r="O74" s="638"/>
      <c r="P74" s="638"/>
      <c r="Q74" s="638"/>
      <c r="R74" s="638"/>
      <c r="S74" s="638"/>
      <c r="T74" s="638"/>
      <c r="U74" s="638"/>
      <c r="V74" s="638"/>
      <c r="W74" s="638"/>
      <c r="X74" s="638"/>
      <c r="Y74" s="638"/>
      <c r="Z74" s="638"/>
    </row>
    <row r="75" spans="1:26" ht="13.5" thickBot="1">
      <c r="A75" s="1021"/>
      <c r="B75" s="1022"/>
      <c r="C75" s="622" t="s">
        <v>257</v>
      </c>
      <c r="E75" s="639">
        <f>E74/'Prod &amp; Defects - Qty'!F8*1000000</f>
        <v>948.76079419738471</v>
      </c>
      <c r="F75" s="639">
        <f>F74/'Prod &amp; Defects - Qty'!G8*1000000</f>
        <v>948.7607941973846</v>
      </c>
      <c r="G75" s="639">
        <f>G74/'Prod &amp; Defects - Qty'!H8*1000000</f>
        <v>948.76079419738471</v>
      </c>
      <c r="H75" s="639">
        <f>H74/'Prod &amp; Defects - Qty'!I8*1000000</f>
        <v>948.76079419738505</v>
      </c>
      <c r="I75" s="639">
        <f>I74/'Prod &amp; Defects - Qty'!J8*1000000</f>
        <v>948.76079419738437</v>
      </c>
      <c r="J75" s="639">
        <f>J74/'Prod &amp; Defects - Qty'!K8*1000000</f>
        <v>948.76079419738483</v>
      </c>
      <c r="K75" s="639">
        <f>K74/'Prod &amp; Defects - Qty'!L8*1000000</f>
        <v>948.7607941973846</v>
      </c>
      <c r="L75" s="639">
        <f>L74/'Prod &amp; Defects - Qty'!M8*1000000</f>
        <v>948.7607941973846</v>
      </c>
      <c r="M75" s="639">
        <f>M74/'Prod &amp; Defects - Qty'!N8*1000000</f>
        <v>948.76079419738437</v>
      </c>
      <c r="N75" s="639"/>
      <c r="O75" s="639"/>
      <c r="P75" s="639"/>
      <c r="Q75" s="639"/>
      <c r="R75" s="639"/>
      <c r="S75" s="639"/>
      <c r="T75" s="639"/>
      <c r="U75" s="639"/>
      <c r="V75" s="639"/>
      <c r="W75" s="639"/>
      <c r="X75" s="639"/>
      <c r="Y75" s="639"/>
      <c r="Z75" s="639"/>
    </row>
    <row r="76" spans="1:26">
      <c r="A76" s="1017" t="s">
        <v>259</v>
      </c>
      <c r="B76" s="1018"/>
      <c r="C76" s="621" t="s">
        <v>264</v>
      </c>
      <c r="E76" s="637">
        <f>(E55+E57)/E$66*1000000</f>
        <v>1267.5485928041371</v>
      </c>
      <c r="F76" s="637">
        <f t="shared" ref="F76:G76" si="41">(F55+F57)/F$66*1000000</f>
        <v>1226.6107126050399</v>
      </c>
      <c r="G76" s="637">
        <f t="shared" si="41"/>
        <v>1445.3260303557363</v>
      </c>
      <c r="H76" s="637">
        <f t="shared" ref="H76:I76" si="42">(H55+H57)/H$66*1000000</f>
        <v>1164.7468744264165</v>
      </c>
      <c r="I76" s="637">
        <f t="shared" si="42"/>
        <v>1128.5350306078956</v>
      </c>
      <c r="J76" s="637">
        <f t="shared" ref="J76:K76" si="43">(J55+J57)/J$66*1000000</f>
        <v>1072.8088729914627</v>
      </c>
      <c r="K76" s="637">
        <f t="shared" si="43"/>
        <v>1193.3023989483745</v>
      </c>
      <c r="L76" s="637">
        <f t="shared" ref="L76:M76" si="44">(L55+L57)/L$66*1000000</f>
        <v>1292.2180575617222</v>
      </c>
      <c r="M76" s="637">
        <f t="shared" si="44"/>
        <v>1338.6862035293539</v>
      </c>
      <c r="N76" s="637"/>
      <c r="O76" s="637"/>
      <c r="P76" s="637"/>
      <c r="Q76" s="637"/>
      <c r="R76" s="637"/>
      <c r="S76" s="637"/>
      <c r="T76" s="637"/>
      <c r="U76" s="637"/>
      <c r="V76" s="637"/>
      <c r="W76" s="637"/>
      <c r="X76" s="637"/>
      <c r="Y76" s="637"/>
      <c r="Z76" s="637"/>
    </row>
    <row r="77" spans="1:26">
      <c r="A77" s="1019"/>
      <c r="B77" s="1020"/>
      <c r="C77" s="233" t="s">
        <v>265</v>
      </c>
      <c r="E77" s="638">
        <f>(E56+E58)/E$66*1000000</f>
        <v>50.253266313623264</v>
      </c>
      <c r="F77" s="638">
        <f t="shared" ref="F77:G77" si="45">(F56+F58)/F$66*1000000</f>
        <v>48.630241991211079</v>
      </c>
      <c r="G77" s="638">
        <f t="shared" si="45"/>
        <v>57.301435484061152</v>
      </c>
      <c r="H77" s="638">
        <f t="shared" ref="H77:I77" si="46">(H56+H58)/H$66*1000000</f>
        <v>46.177586564174824</v>
      </c>
      <c r="I77" s="638">
        <f t="shared" si="46"/>
        <v>44.74193080987061</v>
      </c>
      <c r="J77" s="638">
        <f t="shared" ref="J77:K77" si="47">(J56+J58)/J$66*1000000</f>
        <v>42.532610034926343</v>
      </c>
      <c r="K77" s="638">
        <f t="shared" si="47"/>
        <v>47.309699673426564</v>
      </c>
      <c r="L77" s="638">
        <f t="shared" ref="L77:M77" si="48">(L56+L58)/L$66*1000000</f>
        <v>51.231312590756424</v>
      </c>
      <c r="M77" s="638">
        <f t="shared" si="48"/>
        <v>53.073589981673415</v>
      </c>
      <c r="N77" s="638"/>
      <c r="O77" s="638"/>
      <c r="P77" s="638"/>
      <c r="Q77" s="638"/>
      <c r="R77" s="638"/>
      <c r="S77" s="638"/>
      <c r="T77" s="638"/>
      <c r="U77" s="638"/>
      <c r="V77" s="638"/>
      <c r="W77" s="638"/>
      <c r="X77" s="638"/>
      <c r="Y77" s="638"/>
      <c r="Z77" s="638"/>
    </row>
    <row r="78" spans="1:26" ht="13.5" thickBot="1">
      <c r="A78" s="1021"/>
      <c r="B78" s="1022"/>
      <c r="C78" s="622" t="s">
        <v>257</v>
      </c>
      <c r="E78" s="639">
        <f t="shared" ref="E78:J78" si="49">E76+E77</f>
        <v>1317.8018591177604</v>
      </c>
      <c r="F78" s="639">
        <f t="shared" si="49"/>
        <v>1275.240954596251</v>
      </c>
      <c r="G78" s="639">
        <f t="shared" si="49"/>
        <v>1502.6274658397974</v>
      </c>
      <c r="H78" s="639">
        <f t="shared" si="49"/>
        <v>1210.9244609905913</v>
      </c>
      <c r="I78" s="639">
        <f t="shared" si="49"/>
        <v>1173.2769614177662</v>
      </c>
      <c r="J78" s="639">
        <f t="shared" si="49"/>
        <v>1115.3414830263891</v>
      </c>
      <c r="K78" s="639">
        <f t="shared" ref="K78:L78" si="50">K76+K77</f>
        <v>1240.6120986218011</v>
      </c>
      <c r="L78" s="639">
        <f t="shared" si="50"/>
        <v>1343.4493701524787</v>
      </c>
      <c r="M78" s="639">
        <f t="shared" ref="M78" si="51">M76+M77</f>
        <v>1391.7597935110273</v>
      </c>
      <c r="N78" s="639"/>
      <c r="O78" s="639"/>
      <c r="P78" s="639"/>
      <c r="Q78" s="639"/>
      <c r="R78" s="639"/>
      <c r="S78" s="639"/>
      <c r="T78" s="639"/>
      <c r="U78" s="639"/>
      <c r="V78" s="639"/>
      <c r="W78" s="639"/>
      <c r="X78" s="639"/>
      <c r="Y78" s="639"/>
      <c r="Z78" s="639"/>
    </row>
    <row r="79" spans="1:26">
      <c r="A79" s="1017" t="s">
        <v>285</v>
      </c>
      <c r="B79" s="1018"/>
      <c r="C79" s="621" t="s">
        <v>264</v>
      </c>
      <c r="E79" s="637">
        <f>E64/E$66*1000000</f>
        <v>994.08366281405904</v>
      </c>
      <c r="F79" s="637">
        <f t="shared" ref="F79:G79" si="52">F64/F$66*1000000</f>
        <v>803.20758952987683</v>
      </c>
      <c r="G79" s="637">
        <f t="shared" si="52"/>
        <v>982.814372843564</v>
      </c>
      <c r="H79" s="637">
        <f t="shared" ref="H79:I79" si="53">H64/H$66*1000000</f>
        <v>977.65690951748638</v>
      </c>
      <c r="I79" s="637">
        <f t="shared" si="53"/>
        <v>1209.301723640172</v>
      </c>
      <c r="J79" s="637">
        <f t="shared" ref="J79:K79" si="54">J64/J$66*1000000</f>
        <v>986.18239458439336</v>
      </c>
      <c r="K79" s="637">
        <f t="shared" si="54"/>
        <v>715.6222469796021</v>
      </c>
      <c r="L79" s="637">
        <f t="shared" ref="L79:M79" si="55">L64/L$66*1000000</f>
        <v>457.17123589702527</v>
      </c>
      <c r="M79" s="637">
        <f t="shared" si="55"/>
        <v>623.61322247568785</v>
      </c>
      <c r="N79" s="637"/>
      <c r="O79" s="637"/>
      <c r="P79" s="637"/>
      <c r="Q79" s="637"/>
      <c r="R79" s="637"/>
      <c r="S79" s="637"/>
      <c r="T79" s="637"/>
      <c r="U79" s="637"/>
      <c r="V79" s="637"/>
      <c r="W79" s="637"/>
      <c r="X79" s="637"/>
      <c r="Y79" s="637"/>
      <c r="Z79" s="637"/>
    </row>
    <row r="80" spans="1:26">
      <c r="A80" s="1019"/>
      <c r="B80" s="1020"/>
      <c r="C80" s="233" t="s">
        <v>265</v>
      </c>
      <c r="E80" s="654">
        <f>E65/E$66*1000000</f>
        <v>38.943483697870356</v>
      </c>
      <c r="F80" s="654">
        <f t="shared" ref="F80:G80" si="56">F65/F$66*1000000</f>
        <v>67.559516876344773</v>
      </c>
      <c r="G80" s="654">
        <f t="shared" si="56"/>
        <v>64.400941810262026</v>
      </c>
      <c r="H80" s="654">
        <f t="shared" ref="H80:I80" si="57">H65/H$66*1000000</f>
        <v>74.589627974086156</v>
      </c>
      <c r="I80" s="654">
        <f t="shared" si="57"/>
        <v>110.15906389434765</v>
      </c>
      <c r="J80" s="654">
        <f t="shared" ref="J80:K80" si="58">J65/J$66*1000000</f>
        <v>14.664422224303246</v>
      </c>
      <c r="K80" s="654">
        <f t="shared" si="58"/>
        <v>91.746441920461805</v>
      </c>
      <c r="L80" s="654">
        <f t="shared" ref="L80:M80" si="59">L65/L$66*1000000</f>
        <v>40.714995563348303</v>
      </c>
      <c r="M80" s="654">
        <f t="shared" si="59"/>
        <v>26.67864053371926</v>
      </c>
      <c r="N80" s="638"/>
      <c r="O80" s="638"/>
      <c r="P80" s="638"/>
      <c r="Q80" s="638"/>
      <c r="R80" s="638"/>
      <c r="S80" s="638"/>
      <c r="T80" s="638"/>
      <c r="U80" s="638"/>
      <c r="V80" s="638"/>
      <c r="W80" s="638"/>
      <c r="X80" s="638"/>
      <c r="Y80" s="638"/>
      <c r="Z80" s="638"/>
    </row>
    <row r="81" spans="1:26" ht="13.5" thickBot="1">
      <c r="A81" s="1021"/>
      <c r="B81" s="1022"/>
      <c r="C81" s="622" t="s">
        <v>257</v>
      </c>
      <c r="E81" s="639">
        <f>E79+E80</f>
        <v>1033.0271465119295</v>
      </c>
      <c r="F81" s="639">
        <f t="shared" ref="F81:G81" si="60">F79+F80</f>
        <v>870.76710640622161</v>
      </c>
      <c r="G81" s="639">
        <f t="shared" si="60"/>
        <v>1047.215314653826</v>
      </c>
      <c r="H81" s="639">
        <f t="shared" ref="H81:I81" si="61">H79+H80</f>
        <v>1052.2465374915726</v>
      </c>
      <c r="I81" s="639">
        <f t="shared" si="61"/>
        <v>1319.4607875345196</v>
      </c>
      <c r="J81" s="639">
        <f t="shared" ref="J81:K81" si="62">J79+J80</f>
        <v>1000.8468168086966</v>
      </c>
      <c r="K81" s="639">
        <f t="shared" si="62"/>
        <v>807.36868890006394</v>
      </c>
      <c r="L81" s="639">
        <f t="shared" ref="L81:M81" si="63">L79+L80</f>
        <v>497.88623146037355</v>
      </c>
      <c r="M81" s="639">
        <f t="shared" si="63"/>
        <v>650.29186300940705</v>
      </c>
      <c r="N81" s="639"/>
      <c r="O81" s="639"/>
      <c r="P81" s="639"/>
      <c r="Q81" s="639"/>
      <c r="R81" s="639"/>
      <c r="S81" s="639"/>
      <c r="T81" s="639"/>
      <c r="U81" s="639"/>
      <c r="V81" s="639"/>
      <c r="W81" s="639"/>
      <c r="X81" s="639"/>
      <c r="Y81" s="639"/>
      <c r="Z81" s="639"/>
    </row>
  </sheetData>
  <mergeCells count="16">
    <mergeCell ref="A1:E1"/>
    <mergeCell ref="B4:C4"/>
    <mergeCell ref="A79:B81"/>
    <mergeCell ref="Y4:Z4"/>
    <mergeCell ref="A16:A21"/>
    <mergeCell ref="A22:A33"/>
    <mergeCell ref="A35:A61"/>
    <mergeCell ref="A6:A15"/>
    <mergeCell ref="U4:V4"/>
    <mergeCell ref="E4:P4"/>
    <mergeCell ref="Q4:R4"/>
    <mergeCell ref="S4:T4"/>
    <mergeCell ref="W4:X4"/>
    <mergeCell ref="A67:B71"/>
    <mergeCell ref="A72:B75"/>
    <mergeCell ref="A76:B78"/>
  </mergeCells>
  <printOptions gridLinesSet="0"/>
  <pageMargins left="0.78740157480314965" right="0.19685039370078741" top="0.59055118110236227" bottom="0.59055118110236227" header="0.51181102362204722" footer="0.31496062992125984"/>
  <pageSetup paperSize="9" scale="39" orientation="landscape" r:id="rId1"/>
  <headerFooter alignWithMargins="0">
    <oddFooter>&amp;L&amp;A&amp;R&amp;F</oddFooter>
  </headerFooter>
  <ignoredErrors>
    <ignoredError sqref="T59:T61 T6:T56 T62" evalError="1"/>
    <ignoredError sqref="Y15:Z15 Y34:Z34 Y54:Z54 Y61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>
    <tabColor indexed="56"/>
    <pageSetUpPr fitToPage="1"/>
  </sheetPr>
  <dimension ref="A1:T103"/>
  <sheetViews>
    <sheetView showGridLines="0" topLeftCell="C82" zoomScaleNormal="100" zoomScaleSheetLayoutView="53" workbookViewId="0">
      <selection activeCell="F69" sqref="F69:O69"/>
    </sheetView>
  </sheetViews>
  <sheetFormatPr defaultColWidth="11.42578125" defaultRowHeight="12.75"/>
  <cols>
    <col min="1" max="1" width="3.140625" style="76" bestFit="1" customWidth="1"/>
    <col min="2" max="2" width="14.28515625" style="76" customWidth="1"/>
    <col min="3" max="3" width="25.140625" style="76" bestFit="1" customWidth="1"/>
    <col min="4" max="4" width="8" style="76" customWidth="1"/>
    <col min="5" max="13" width="12.85546875" style="76" customWidth="1"/>
    <col min="14" max="16384" width="11.42578125" style="76"/>
  </cols>
  <sheetData>
    <row r="1" spans="1:19" ht="18" customHeight="1">
      <c r="A1" s="996" t="s">
        <v>141</v>
      </c>
      <c r="B1" s="996"/>
      <c r="C1" s="996"/>
      <c r="D1" s="996"/>
      <c r="E1" s="996"/>
    </row>
    <row r="2" spans="1:19" ht="18" customHeight="1"/>
    <row r="3" spans="1:19" ht="9.9499999999999993" customHeight="1" thickBot="1"/>
    <row r="4" spans="1:19" ht="51">
      <c r="A4" s="872"/>
      <c r="B4" s="1029" t="s">
        <v>57</v>
      </c>
      <c r="C4" s="1030"/>
      <c r="D4" s="873" t="s">
        <v>202</v>
      </c>
      <c r="E4" s="1031" t="s">
        <v>82</v>
      </c>
      <c r="F4" s="1032"/>
      <c r="G4" s="1032"/>
      <c r="H4" s="1032"/>
      <c r="I4" s="1032"/>
      <c r="J4" s="1032"/>
      <c r="K4" s="1032"/>
      <c r="L4" s="1032"/>
      <c r="M4" s="1032"/>
      <c r="N4" s="1032"/>
      <c r="O4" s="1032"/>
      <c r="P4" s="1032"/>
      <c r="Q4" s="1026" t="s">
        <v>252</v>
      </c>
      <c r="R4" s="1027"/>
      <c r="S4" s="1028"/>
    </row>
    <row r="5" spans="1:19" ht="35.25" customHeight="1" thickBot="1">
      <c r="A5" s="884"/>
      <c r="B5" s="885" t="s">
        <v>51</v>
      </c>
      <c r="C5" s="886" t="s">
        <v>50</v>
      </c>
      <c r="D5" s="887">
        <f>'Falhas UM-1 - Qty'!E5</f>
        <v>2022</v>
      </c>
      <c r="E5" s="888">
        <f>'Falhas UM-1 - Cost'!F5</f>
        <v>44652</v>
      </c>
      <c r="F5" s="888">
        <f>'Falhas UM-1 - Cost'!G5</f>
        <v>44682</v>
      </c>
      <c r="G5" s="888">
        <f>'Falhas UM-1 - Cost'!H5</f>
        <v>44713</v>
      </c>
      <c r="H5" s="888">
        <f>'Falhas UM-1 - Cost'!I5</f>
        <v>44743</v>
      </c>
      <c r="I5" s="888">
        <f>'Falhas UM-1 - Cost'!J5</f>
        <v>44774</v>
      </c>
      <c r="J5" s="888">
        <f>'Falhas UM-1 - Cost'!K5</f>
        <v>44805</v>
      </c>
      <c r="K5" s="888">
        <f>'Falhas UM-1 - Cost'!L5</f>
        <v>44835</v>
      </c>
      <c r="L5" s="888">
        <f>'Falhas UM-1 - Cost'!M5</f>
        <v>44866</v>
      </c>
      <c r="M5" s="888">
        <f>'Falhas UM-1 - Cost'!$N5</f>
        <v>44896</v>
      </c>
      <c r="N5" s="888">
        <f>'Falhas UM-1 - Cost'!O5</f>
        <v>44927</v>
      </c>
      <c r="O5" s="888">
        <f>'Falhas UM-1 - Cost'!P5</f>
        <v>44958</v>
      </c>
      <c r="P5" s="890">
        <f>'Falhas UM-1 - Cost'!Q5</f>
        <v>44986</v>
      </c>
      <c r="Q5" s="895" t="str">
        <f>'Falhas UM-1 - Cost'!R5</f>
        <v>1st Half</v>
      </c>
      <c r="R5" s="888" t="str">
        <f>'Falhas UM-1 - Cost'!S5</f>
        <v>2nd Half</v>
      </c>
      <c r="S5" s="889" t="str">
        <f>'Falhas UM-1 - Cost'!T5</f>
        <v>Total</v>
      </c>
    </row>
    <row r="6" spans="1:19" ht="18" customHeight="1">
      <c r="A6" s="1002" t="s">
        <v>142</v>
      </c>
      <c r="B6" s="82">
        <v>4010</v>
      </c>
      <c r="C6" s="83" t="s">
        <v>143</v>
      </c>
      <c r="D6" s="321">
        <f>'[32]Base Custo Falhas UM-4'!$J$51</f>
        <v>84.901899999999998</v>
      </c>
      <c r="E6" s="350">
        <f>$D6/1000*'Falhas UM-4 Qty'!E6</f>
        <v>39.314611462270385</v>
      </c>
      <c r="F6" s="350">
        <f>$D6/1000*'Falhas UM-4 Qty'!F6</f>
        <v>44.88841216917173</v>
      </c>
      <c r="G6" s="350">
        <f>$D6/1000*'Falhas UM-4 Qty'!G6</f>
        <v>40.657716853059497</v>
      </c>
      <c r="H6" s="350">
        <f>$D6/1000*'Falhas UM-4 Qty'!H6</f>
        <v>40.862143326167086</v>
      </c>
      <c r="I6" s="350">
        <f>$D6/1000*'Falhas UM-4 Qty'!I6</f>
        <v>44.113570672508502</v>
      </c>
      <c r="J6" s="350">
        <f>$D6/1000*'Falhas UM-4 Qty'!J6</f>
        <v>46.486244216384719</v>
      </c>
      <c r="K6" s="350">
        <f>$D6/1000*'Falhas UM-4 Qty'!K6</f>
        <v>45.357449899426271</v>
      </c>
      <c r="L6" s="350">
        <f>$D6/1000*'Falhas UM-4 Qty'!L6</f>
        <v>45.266720875192959</v>
      </c>
      <c r="M6" s="350">
        <f>$D6/1000*'Falhas UM-4 Qty'!M6</f>
        <v>45.213200688456084</v>
      </c>
      <c r="N6" s="350">
        <f>$D6/1000*'Falhas UM-4 Qty'!N6</f>
        <v>33.461728622197185</v>
      </c>
      <c r="O6" s="350">
        <f>$D6/1000*'Falhas UM-4 Qty'!O6</f>
        <v>34.949706958026439</v>
      </c>
      <c r="P6" s="829">
        <f>$D6/1000*'Falhas UM-4 Qty'!P6</f>
        <v>43.232811205784181</v>
      </c>
      <c r="Q6" s="834">
        <f>SUM(E6:J6)</f>
        <v>256.3226986995619</v>
      </c>
      <c r="R6" s="350">
        <f>SUM(K6:P6)</f>
        <v>247.48161824908314</v>
      </c>
      <c r="S6" s="807">
        <f>SUM(Q6:R6)</f>
        <v>503.80431694864501</v>
      </c>
    </row>
    <row r="7" spans="1:19" ht="18" customHeight="1">
      <c r="A7" s="1002"/>
      <c r="B7" s="82">
        <v>4020</v>
      </c>
      <c r="C7" s="83" t="s">
        <v>144</v>
      </c>
      <c r="D7" s="321">
        <f>'[32]Base Custo Falhas UM-4'!$K$51</f>
        <v>84.901899999999998</v>
      </c>
      <c r="E7" s="350">
        <f>$D7/1000*'Falhas UM-4 Qty'!E7</f>
        <v>34.399847994788921</v>
      </c>
      <c r="F7" s="350">
        <f>$D7/1000*'Falhas UM-4 Qty'!F7</f>
        <v>39.276861653048293</v>
      </c>
      <c r="G7" s="350">
        <f>$D7/1000*'Falhas UM-4 Qty'!G7</f>
        <v>35.575050281309458</v>
      </c>
      <c r="H7" s="350">
        <f>$D7/1000*'Falhas UM-4 Qty'!H7</f>
        <v>35.753921172803857</v>
      </c>
      <c r="I7" s="350">
        <f>$D7/1000*'Falhas UM-4 Qty'!I7</f>
        <v>38.598883956871653</v>
      </c>
      <c r="J7" s="350">
        <f>$D7/1000*'Falhas UM-4 Qty'!J7</f>
        <v>40.674946932310903</v>
      </c>
      <c r="K7" s="350">
        <f>$D7/1000*'Falhas UM-4 Qty'!K7</f>
        <v>39.687264453036832</v>
      </c>
      <c r="L7" s="350">
        <f>$D7/1000*'Falhas UM-4 Qty'!L7</f>
        <v>39.607877565407613</v>
      </c>
      <c r="M7" s="350">
        <f>$D7/1000*'Falhas UM-4 Qty'!M7</f>
        <v>39.561047996961591</v>
      </c>
      <c r="N7" s="350">
        <f>$D7/1000*'Falhas UM-4 Qty'!N7</f>
        <v>29.278640572376823</v>
      </c>
      <c r="O7" s="350">
        <f>$D7/1000*'Falhas UM-4 Qty'!O7</f>
        <v>30.580605075350178</v>
      </c>
      <c r="P7" s="829">
        <f>$D7/1000*'Falhas UM-4 Qty'!P7</f>
        <v>37.828229214312017</v>
      </c>
      <c r="Q7" s="834">
        <f t="shared" ref="Q7:Q62" si="0">SUM(E7:J7)</f>
        <v>224.27951199113306</v>
      </c>
      <c r="R7" s="350">
        <f t="shared" ref="R7:R62" si="1">SUM(K7:P7)</f>
        <v>216.54366487744505</v>
      </c>
      <c r="S7" s="807">
        <f t="shared" ref="S7:S62" si="2">SUM(Q7:R7)</f>
        <v>440.82317686857812</v>
      </c>
    </row>
    <row r="8" spans="1:19" ht="18" customHeight="1">
      <c r="A8" s="1002"/>
      <c r="B8" s="82">
        <v>4030</v>
      </c>
      <c r="C8" s="83" t="s">
        <v>145</v>
      </c>
      <c r="D8" s="321">
        <f>'[32]Base Custo Falhas UM-4'!$L$51</f>
        <v>106.7903</v>
      </c>
      <c r="E8" s="350">
        <f>$D8/1000*'Falhas UM-4 Qty'!E8</f>
        <v>9.4646775789398117</v>
      </c>
      <c r="F8" s="350">
        <f>$D8/1000*'Falhas UM-4 Qty'!F8</f>
        <v>10.806525421712347</v>
      </c>
      <c r="G8" s="350">
        <f>$D8/1000*'Falhas UM-4 Qty'!G8</f>
        <v>9.7880194359629797</v>
      </c>
      <c r="H8" s="350">
        <f>$D8/1000*'Falhas UM-4 Qty'!H8</f>
        <v>9.8372334707607045</v>
      </c>
      <c r="I8" s="350">
        <f>$D8/1000*'Falhas UM-4 Qty'!I8</f>
        <v>10.619988542218103</v>
      </c>
      <c r="J8" s="350">
        <f>$D8/1000*'Falhas UM-4 Qty'!J8</f>
        <v>11.191190679479973</v>
      </c>
      <c r="K8" s="350">
        <f>$D8/1000*'Falhas UM-4 Qty'!K8</f>
        <v>10.919442495647502</v>
      </c>
      <c r="L8" s="350">
        <f>$D8/1000*'Falhas UM-4 Qty'!L8</f>
        <v>10.897600210311825</v>
      </c>
      <c r="M8" s="350">
        <f>$D8/1000*'Falhas UM-4 Qty'!M8</f>
        <v>10.884715654351879</v>
      </c>
      <c r="N8" s="350">
        <f>$D8/1000*'Falhas UM-4 Qty'!N8</f>
        <v>8.0556429496197506</v>
      </c>
      <c r="O8" s="350">
        <f>$D8/1000*'Falhas UM-4 Qty'!O8</f>
        <v>8.4138618069162732</v>
      </c>
      <c r="P8" s="829">
        <f>$D8/1000*'Falhas UM-4 Qty'!P8</f>
        <v>10.407952760428813</v>
      </c>
      <c r="Q8" s="834">
        <f t="shared" si="0"/>
        <v>61.707635129073914</v>
      </c>
      <c r="R8" s="350">
        <f t="shared" si="1"/>
        <v>59.579215877276042</v>
      </c>
      <c r="S8" s="807">
        <f t="shared" si="2"/>
        <v>121.28685100634996</v>
      </c>
    </row>
    <row r="9" spans="1:19" ht="18" customHeight="1">
      <c r="A9" s="1002"/>
      <c r="B9" s="82">
        <v>4040</v>
      </c>
      <c r="C9" s="83" t="s">
        <v>146</v>
      </c>
      <c r="D9" s="321">
        <f>'[32]Base Custo Falhas UM-4'!$N$51</f>
        <v>106.7903</v>
      </c>
      <c r="E9" s="350">
        <f>$D9/1000*'Falhas UM-4 Qty'!E9</f>
        <v>138.37971371935467</v>
      </c>
      <c r="F9" s="350">
        <f>$D9/1000*'Falhas UM-4 Qty'!F9</f>
        <v>157.99839790474846</v>
      </c>
      <c r="G9" s="350">
        <f>$D9/1000*'Falhas UM-4 Qty'!G9</f>
        <v>143.10718100338684</v>
      </c>
      <c r="H9" s="350">
        <f>$D9/1000*'Falhas UM-4 Qty'!H9</f>
        <v>143.82672205372722</v>
      </c>
      <c r="I9" s="350">
        <f>$D9/1000*'Falhas UM-4 Qty'!I9</f>
        <v>155.27110796093118</v>
      </c>
      <c r="J9" s="350">
        <f>$D9/1000*'Falhas UM-4 Qty'!J9</f>
        <v>163.62245300897192</v>
      </c>
      <c r="K9" s="350">
        <f>$D9/1000*'Falhas UM-4 Qty'!K9</f>
        <v>159.64931862918417</v>
      </c>
      <c r="L9" s="350">
        <f>$D9/1000*'Falhas UM-4 Qty'!L9</f>
        <v>159.32997027668952</v>
      </c>
      <c r="M9" s="350">
        <f>$D9/1000*'Falhas UM-4 Qty'!M9</f>
        <v>159.14158972698061</v>
      </c>
      <c r="N9" s="350">
        <f>$D9/1000*'Falhas UM-4 Qty'!N9</f>
        <v>117.77871521732141</v>
      </c>
      <c r="O9" s="350">
        <f>$D9/1000*'Falhas UM-4 Qty'!O9</f>
        <v>123.01610682502579</v>
      </c>
      <c r="P9" s="829">
        <f>$D9/1000*'Falhas UM-4 Qty'!P9</f>
        <v>152.17100755734739</v>
      </c>
      <c r="Q9" s="834">
        <f t="shared" si="0"/>
        <v>902.20557565112017</v>
      </c>
      <c r="R9" s="350">
        <f t="shared" si="1"/>
        <v>871.08670823254886</v>
      </c>
      <c r="S9" s="807">
        <f t="shared" si="2"/>
        <v>1773.2922838836689</v>
      </c>
    </row>
    <row r="10" spans="1:19" ht="18" customHeight="1">
      <c r="A10" s="1002"/>
      <c r="B10" s="82">
        <v>4050</v>
      </c>
      <c r="C10" s="83" t="s">
        <v>147</v>
      </c>
      <c r="D10" s="321">
        <f>'[32]Base Custo Falhas UM-4'!$O$51</f>
        <v>126.7903</v>
      </c>
      <c r="E10" s="350">
        <f>$D10/1000*'Falhas UM-4 Qty'!E10</f>
        <v>12.728105878814432</v>
      </c>
      <c r="F10" s="350">
        <f>$D10/1000*'Falhas UM-4 Qty'!F10</f>
        <v>14.532623916921835</v>
      </c>
      <c r="G10" s="350">
        <f>$D10/1000*'Falhas UM-4 Qty'!G10</f>
        <v>13.162936263359279</v>
      </c>
      <c r="H10" s="350">
        <f>$D10/1000*'Falhas UM-4 Qty'!H10</f>
        <v>13.229119336200863</v>
      </c>
      <c r="I10" s="350">
        <f>$D10/1000*'Falhas UM-4 Qty'!I10</f>
        <v>14.281768974140746</v>
      </c>
      <c r="J10" s="350">
        <f>$D10/1000*'Falhas UM-4 Qty'!J10</f>
        <v>15.049922059191594</v>
      </c>
      <c r="K10" s="350">
        <f>$D10/1000*'Falhas UM-4 Qty'!K10</f>
        <v>14.684474887077497</v>
      </c>
      <c r="L10" s="350">
        <f>$D10/1000*'Falhas UM-4 Qty'!L10</f>
        <v>14.655101364517536</v>
      </c>
      <c r="M10" s="350">
        <f>$D10/1000*'Falhas UM-4 Qty'!M10</f>
        <v>14.637774203492565</v>
      </c>
      <c r="N10" s="350">
        <f>$D10/1000*'Falhas UM-4 Qty'!N10</f>
        <v>10.833234997126066</v>
      </c>
      <c r="O10" s="350">
        <f>$D10/1000*'Falhas UM-4 Qty'!O10</f>
        <v>11.314967999167621</v>
      </c>
      <c r="P10" s="829">
        <f>$D10/1000*'Falhas UM-4 Qty'!P10</f>
        <v>13.996623087426496</v>
      </c>
      <c r="Q10" s="834">
        <f t="shared" si="0"/>
        <v>82.984476428628739</v>
      </c>
      <c r="R10" s="350">
        <f t="shared" si="1"/>
        <v>80.122176538807793</v>
      </c>
      <c r="S10" s="807">
        <f t="shared" si="2"/>
        <v>163.10665296743653</v>
      </c>
    </row>
    <row r="11" spans="1:19" ht="18" customHeight="1">
      <c r="A11" s="1002"/>
      <c r="B11" s="82">
        <v>4060</v>
      </c>
      <c r="C11" s="83" t="s">
        <v>148</v>
      </c>
      <c r="D11" s="321">
        <f>D10</f>
        <v>126.7903</v>
      </c>
      <c r="E11" s="350">
        <f>$D11/1000*'Falhas UM-4 Qty'!E11</f>
        <v>2.3824144320969922</v>
      </c>
      <c r="F11" s="350">
        <f>$D11/1000*'Falhas UM-4 Qty'!F11</f>
        <v>2.7201795212546944</v>
      </c>
      <c r="G11" s="350">
        <f>$D11/1000*'Falhas UM-4 Qty'!G11</f>
        <v>2.4638048756961637</v>
      </c>
      <c r="H11" s="350">
        <f>$D11/1000*'Falhas UM-4 Qty'!H11</f>
        <v>2.4761928546617353</v>
      </c>
      <c r="I11" s="350">
        <f>$D11/1000*'Falhas UM-4 Qty'!I11</f>
        <v>2.6732251321464702</v>
      </c>
      <c r="J11" s="350">
        <f>$D11/1000*'Falhas UM-4 Qty'!J11</f>
        <v>2.8170060696488086</v>
      </c>
      <c r="K11" s="350">
        <f>$D11/1000*'Falhas UM-4 Qty'!K11</f>
        <v>2.748602598990789</v>
      </c>
      <c r="L11" s="350">
        <f>$D11/1000*'Falhas UM-4 Qty'!L11</f>
        <v>2.7431045378704098</v>
      </c>
      <c r="M11" s="350">
        <f>$D11/1000*'Falhas UM-4 Qty'!M11</f>
        <v>2.7398612840126715</v>
      </c>
      <c r="N11" s="350">
        <f>$D11/1000*'Falhas UM-4 Qty'!N11</f>
        <v>2.0277373278619661</v>
      </c>
      <c r="O11" s="350">
        <f>$D11/1000*'Falhas UM-4 Qty'!O11</f>
        <v>2.1179068839144115</v>
      </c>
      <c r="P11" s="829">
        <f>$D11/1000*'Falhas UM-4 Qty'!P11</f>
        <v>2.6198522515129228</v>
      </c>
      <c r="Q11" s="834">
        <f t="shared" si="0"/>
        <v>15.532822885504864</v>
      </c>
      <c r="R11" s="350">
        <f t="shared" si="1"/>
        <v>14.997064884163171</v>
      </c>
      <c r="S11" s="807">
        <f t="shared" si="2"/>
        <v>30.529887769668036</v>
      </c>
    </row>
    <row r="12" spans="1:19" ht="18" customHeight="1">
      <c r="A12" s="1002"/>
      <c r="B12" s="82">
        <v>4070</v>
      </c>
      <c r="C12" s="83" t="s">
        <v>149</v>
      </c>
      <c r="D12" s="321">
        <f>'[32]Base Custo Falhas UM-4'!$P$51</f>
        <v>126.7903</v>
      </c>
      <c r="E12" s="350">
        <f>$D12/1000*'Falhas UM-4 Qty'!E12</f>
        <v>13.531492259992548</v>
      </c>
      <c r="F12" s="350">
        <f>$D12/1000*'Falhas UM-4 Qty'!F12</f>
        <v>15.449909823308863</v>
      </c>
      <c r="G12" s="350">
        <f>$D12/1000*'Falhas UM-4 Qty'!G12</f>
        <v>13.993768740004532</v>
      </c>
      <c r="H12" s="350">
        <f>$D12/1000*'Falhas UM-4 Qty'!H12</f>
        <v>14.064129227764854</v>
      </c>
      <c r="I12" s="350">
        <f>$D12/1000*'Falhas UM-4 Qty'!I12</f>
        <v>15.183221146380657</v>
      </c>
      <c r="J12" s="350">
        <f>$D12/1000*'Falhas UM-4 Qty'!J12</f>
        <v>15.999859350353791</v>
      </c>
      <c r="K12" s="350">
        <f>$D12/1000*'Falhas UM-4 Qty'!K12</f>
        <v>15.611345487570098</v>
      </c>
      <c r="L12" s="350">
        <f>$D12/1000*'Falhas UM-4 Qty'!L12</f>
        <v>15.5801179351791</v>
      </c>
      <c r="M12" s="350">
        <f>$D12/1000*'Falhas UM-4 Qty'!M12</f>
        <v>15.561697099625926</v>
      </c>
      <c r="N12" s="350">
        <f>$D12/1000*'Falhas UM-4 Qty'!N12</f>
        <v>11.517018864392567</v>
      </c>
      <c r="O12" s="350">
        <f>$D12/1000*'Falhas UM-4 Qty'!O12</f>
        <v>12.029158412143991</v>
      </c>
      <c r="P12" s="829">
        <f>$D12/1000*'Falhas UM-4 Qty'!P12</f>
        <v>14.880077112556672</v>
      </c>
      <c r="Q12" s="834">
        <f t="shared" si="0"/>
        <v>88.222380547805244</v>
      </c>
      <c r="R12" s="350">
        <f t="shared" si="1"/>
        <v>85.179414911468356</v>
      </c>
      <c r="S12" s="807">
        <f t="shared" si="2"/>
        <v>173.40179545927361</v>
      </c>
    </row>
    <row r="13" spans="1:19" ht="18" customHeight="1">
      <c r="A13" s="1002"/>
      <c r="B13" s="82">
        <v>4080</v>
      </c>
      <c r="C13" s="83" t="s">
        <v>150</v>
      </c>
      <c r="D13" s="321">
        <f>'[32]Base Custo Falhas UM-4'!$S$51</f>
        <v>156.09710000000001</v>
      </c>
      <c r="E13" s="350">
        <f>$D13/1000*'Falhas UM-4 Qty'!E13</f>
        <v>517.69019922738141</v>
      </c>
      <c r="F13" s="350">
        <f>$D13/1000*'Falhas UM-4 Qty'!F13</f>
        <v>591.08535413508412</v>
      </c>
      <c r="G13" s="350">
        <f>$D13/1000*'Falhas UM-4 Qty'!G13</f>
        <v>535.37605370945528</v>
      </c>
      <c r="H13" s="350">
        <f>$D13/1000*'Falhas UM-4 Qty'!H13</f>
        <v>538.067917565009</v>
      </c>
      <c r="I13" s="350">
        <f>$D13/1000*'Falhas UM-4 Qty'!I13</f>
        <v>580.88233205607457</v>
      </c>
      <c r="J13" s="350">
        <f>$D13/1000*'Falhas UM-4 Qty'!J13</f>
        <v>612.12541939548794</v>
      </c>
      <c r="K13" s="350">
        <f>$D13/1000*'Falhas UM-4 Qty'!K13</f>
        <v>597.26158803360966</v>
      </c>
      <c r="L13" s="350">
        <f>$D13/1000*'Falhas UM-4 Qty'!L13</f>
        <v>596.0668788686437</v>
      </c>
      <c r="M13" s="350">
        <f>$D13/1000*'Falhas UM-4 Qty'!M13</f>
        <v>595.36213131795023</v>
      </c>
      <c r="N13" s="350">
        <f>$D13/1000*'Falhas UM-4 Qty'!N13</f>
        <v>440.62012347603292</v>
      </c>
      <c r="O13" s="350">
        <f>$D13/1000*'Falhas UM-4 Qty'!O13</f>
        <v>460.21364793094779</v>
      </c>
      <c r="P13" s="829">
        <f>$D13/1000*'Falhas UM-4 Qty'!P13</f>
        <v>569.28459455236055</v>
      </c>
      <c r="Q13" s="834">
        <f t="shared" si="0"/>
        <v>3375.2272760884921</v>
      </c>
      <c r="R13" s="350">
        <f t="shared" si="1"/>
        <v>3258.8089641795445</v>
      </c>
      <c r="S13" s="807">
        <f t="shared" si="2"/>
        <v>6634.0362402680366</v>
      </c>
    </row>
    <row r="14" spans="1:19" ht="18" customHeight="1">
      <c r="A14" s="1002"/>
      <c r="B14" s="82">
        <v>4090</v>
      </c>
      <c r="C14" s="83" t="s">
        <v>151</v>
      </c>
      <c r="D14" s="321">
        <f>D13</f>
        <v>156.09710000000001</v>
      </c>
      <c r="E14" s="350">
        <f>$D14/1000*'Falhas UM-4 Qty'!E14</f>
        <v>5.4202725985332059</v>
      </c>
      <c r="F14" s="350">
        <f>$D14/1000*'Falhas UM-4 Qty'!F14</f>
        <v>6.1887278399209</v>
      </c>
      <c r="G14" s="350">
        <f>$D14/1000*'Falhas UM-4 Qty'!G14</f>
        <v>5.6054454153527988</v>
      </c>
      <c r="H14" s="350">
        <f>$D14/1000*'Falhas UM-4 Qty'!H14</f>
        <v>5.633629522212491</v>
      </c>
      <c r="I14" s="350">
        <f>$D14/1000*'Falhas UM-4 Qty'!I14</f>
        <v>6.0819010908736493</v>
      </c>
      <c r="J14" s="350">
        <f>$D14/1000*'Falhas UM-4 Qty'!J14</f>
        <v>6.4090196078016115</v>
      </c>
      <c r="K14" s="350">
        <f>$D14/1000*'Falhas UM-4 Qty'!K14</f>
        <v>6.2533936794756606</v>
      </c>
      <c r="L14" s="350">
        <f>$D14/1000*'Falhas UM-4 Qty'!L14</f>
        <v>6.240884944792743</v>
      </c>
      <c r="M14" s="350">
        <f>$D14/1000*'Falhas UM-4 Qty'!M14</f>
        <v>6.2335061614130174</v>
      </c>
      <c r="N14" s="350">
        <f>$D14/1000*'Falhas UM-4 Qty'!N14</f>
        <v>4.6133405368767102</v>
      </c>
      <c r="O14" s="350">
        <f>$D14/1000*'Falhas UM-4 Qty'!O14</f>
        <v>4.8184868654534636</v>
      </c>
      <c r="P14" s="829">
        <f>$D14/1000*'Falhas UM-4 Qty'!P14</f>
        <v>5.9604715198866369</v>
      </c>
      <c r="Q14" s="834">
        <f t="shared" si="0"/>
        <v>35.338996074694663</v>
      </c>
      <c r="R14" s="350">
        <f t="shared" si="1"/>
        <v>34.120083707898232</v>
      </c>
      <c r="S14" s="807">
        <f t="shared" si="2"/>
        <v>69.459079782592895</v>
      </c>
    </row>
    <row r="15" spans="1:19" ht="18" customHeight="1" thickBot="1">
      <c r="A15" s="1002"/>
      <c r="B15" s="85"/>
      <c r="C15" s="86" t="s">
        <v>1</v>
      </c>
      <c r="D15" s="324"/>
      <c r="E15" s="353">
        <f>SUBTOTAL(109,E6:E14)</f>
        <v>773.31133515217232</v>
      </c>
      <c r="F15" s="353">
        <f t="shared" ref="F15:M15" si="3">SUBTOTAL(109,F6:F14)</f>
        <v>882.94699238517126</v>
      </c>
      <c r="G15" s="353">
        <f t="shared" si="3"/>
        <v>799.72997657758685</v>
      </c>
      <c r="H15" s="353">
        <f t="shared" si="3"/>
        <v>803.7510085293078</v>
      </c>
      <c r="I15" s="353">
        <f t="shared" si="3"/>
        <v>867.70599953214548</v>
      </c>
      <c r="J15" s="353">
        <f t="shared" si="3"/>
        <v>914.37606131963128</v>
      </c>
      <c r="K15" s="353">
        <f t="shared" si="3"/>
        <v>892.17288016401835</v>
      </c>
      <c r="L15" s="353">
        <f t="shared" si="3"/>
        <v>890.38825657860536</v>
      </c>
      <c r="M15" s="353">
        <f t="shared" si="3"/>
        <v>889.33552413324458</v>
      </c>
      <c r="N15" s="353">
        <f>SUBTOTAL(109,N6:N14)</f>
        <v>658.18618256380535</v>
      </c>
      <c r="O15" s="353">
        <f t="shared" ref="O15" si="4">SUBTOTAL(109,O6:O14)</f>
        <v>687.45444875694591</v>
      </c>
      <c r="P15" s="353">
        <f t="shared" ref="P15" si="5">SUBTOTAL(109,P6:P14)</f>
        <v>850.38161926161558</v>
      </c>
      <c r="Q15" s="837">
        <f t="shared" si="0"/>
        <v>5041.8213734960145</v>
      </c>
      <c r="R15" s="353">
        <f t="shared" si="1"/>
        <v>4867.918911458235</v>
      </c>
      <c r="S15" s="811">
        <f t="shared" si="2"/>
        <v>9909.7402849542486</v>
      </c>
    </row>
    <row r="16" spans="1:19" ht="18" customHeight="1" thickTop="1">
      <c r="A16" s="1002" t="s">
        <v>37</v>
      </c>
      <c r="B16" s="82">
        <v>4130</v>
      </c>
      <c r="C16" s="83" t="s">
        <v>152</v>
      </c>
      <c r="D16" s="321">
        <f>'[32]Base Custo Falhas UM-4'!$W$51</f>
        <v>156.09710000000001</v>
      </c>
      <c r="E16" s="350">
        <f>$D16/1000*'Falhas UM-4 Qty'!E16</f>
        <v>2.8671393055018816E-2</v>
      </c>
      <c r="F16" s="350">
        <f>$D16/1000*'Falhas UM-4 Qty'!F16</f>
        <v>3.2736259142561765E-2</v>
      </c>
      <c r="G16" s="350">
        <f>$D16/1000*'Falhas UM-4 Qty'!G16</f>
        <v>2.9650894088892328E-2</v>
      </c>
      <c r="H16" s="350">
        <f>$D16/1000*'Falhas UM-4 Qty'!H16</f>
        <v>2.9799978399872834E-2</v>
      </c>
      <c r="I16" s="350">
        <f>$D16/1000*'Falhas UM-4 Qty'!I16</f>
        <v>3.2171182081390991E-2</v>
      </c>
      <c r="J16" s="350">
        <f>$D16/1000*'Falhas UM-4 Qty'!J16</f>
        <v>3.3901527447591666E-2</v>
      </c>
      <c r="K16" s="350">
        <f>$D16/1000*'Falhas UM-4 Qty'!K16</f>
        <v>3.3078319374663198E-2</v>
      </c>
      <c r="L16" s="350">
        <f>$D16/1000*'Falhas UM-4 Qty'!L16</f>
        <v>3.3012152435234379E-2</v>
      </c>
      <c r="M16" s="350">
        <f>$D16/1000*'Falhas UM-4 Qty'!M16</f>
        <v>3.2973121188244095E-2</v>
      </c>
      <c r="N16" s="350">
        <f>$D16/1000*'Falhas UM-4 Qty'!N16</f>
        <v>2.4402997713664405E-2</v>
      </c>
      <c r="O16" s="350">
        <f>$D16/1000*'Falhas UM-4 Qty'!O16</f>
        <v>2.5488151811266405E-2</v>
      </c>
      <c r="P16" s="829">
        <f>$D16/1000*'Falhas UM-4 Qty'!P16</f>
        <v>3.1528861073548492E-2</v>
      </c>
      <c r="Q16" s="834">
        <f t="shared" si="0"/>
        <v>0.18693123421532842</v>
      </c>
      <c r="R16" s="350">
        <f t="shared" si="1"/>
        <v>0.18048360359662097</v>
      </c>
      <c r="S16" s="807">
        <f t="shared" si="2"/>
        <v>0.36741483781194939</v>
      </c>
    </row>
    <row r="17" spans="1:19" ht="18" customHeight="1">
      <c r="A17" s="1002"/>
      <c r="B17" s="82">
        <v>4140</v>
      </c>
      <c r="C17" s="90" t="s">
        <v>153</v>
      </c>
      <c r="D17" s="321">
        <f>'[32]Base Custo Falhas UM-4'!$V$51</f>
        <v>20.357800000000001</v>
      </c>
      <c r="E17" s="350">
        <f>$D17/1000*'Falhas UM-4 Qty'!E17</f>
        <v>168.94370270817316</v>
      </c>
      <c r="F17" s="350">
        <f>$D17/1000*'Falhas UM-4 Qty'!F17</f>
        <v>192.89557440567273</v>
      </c>
      <c r="G17" s="350">
        <f>$D17/1000*'Falhas UM-4 Qty'!G17</f>
        <v>174.71532779634126</v>
      </c>
      <c r="H17" s="350">
        <f>$D17/1000*'Falhas UM-4 Qty'!H17</f>
        <v>175.59379419887748</v>
      </c>
      <c r="I17" s="350">
        <f>$D17/1000*'Falhas UM-4 Qty'!I17</f>
        <v>189.56590671751931</v>
      </c>
      <c r="J17" s="350">
        <f>$D17/1000*'Falhas UM-4 Qty'!J17</f>
        <v>199.76181706512276</v>
      </c>
      <c r="K17" s="350">
        <f>$D17/1000*'Falhas UM-4 Qty'!K17</f>
        <v>194.91113472565928</v>
      </c>
      <c r="L17" s="350">
        <f>$D17/1000*'Falhas UM-4 Qty'!L17</f>
        <v>194.52125176034528</v>
      </c>
      <c r="M17" s="350">
        <f>$D17/1000*'Falhas UM-4 Qty'!M17</f>
        <v>194.29126351473749</v>
      </c>
      <c r="N17" s="350">
        <f>$D17/1000*'Falhas UM-4 Qty'!N17</f>
        <v>143.79255249349947</v>
      </c>
      <c r="O17" s="350">
        <f>$D17/1000*'Falhas UM-4 Qty'!O17</f>
        <v>150.18672911777537</v>
      </c>
      <c r="P17" s="829">
        <f>$D17/1000*'Falhas UM-4 Qty'!P17</f>
        <v>185.78108575734058</v>
      </c>
      <c r="Q17" s="834">
        <f t="shared" si="0"/>
        <v>1101.4761228917068</v>
      </c>
      <c r="R17" s="350">
        <f t="shared" si="1"/>
        <v>1063.4840173693574</v>
      </c>
      <c r="S17" s="807">
        <f t="shared" si="2"/>
        <v>2164.9601402610642</v>
      </c>
    </row>
    <row r="18" spans="1:19" ht="18" customHeight="1">
      <c r="A18" s="1002"/>
      <c r="B18" s="82">
        <v>4150</v>
      </c>
      <c r="C18" s="90" t="s">
        <v>154</v>
      </c>
      <c r="D18" s="321">
        <f>D17</f>
        <v>20.357800000000001</v>
      </c>
      <c r="E18" s="350">
        <f>$D18/1000*'Falhas UM-4 Qty'!E18</f>
        <v>0</v>
      </c>
      <c r="F18" s="350">
        <f>$D18/1000*'Falhas UM-4 Qty'!F18</f>
        <v>0</v>
      </c>
      <c r="G18" s="350">
        <f>$D18/1000*'Falhas UM-4 Qty'!G18</f>
        <v>0</v>
      </c>
      <c r="H18" s="350">
        <f>$D18/1000*'Falhas UM-4 Qty'!H18</f>
        <v>0</v>
      </c>
      <c r="I18" s="350">
        <f>$D18/1000*'Falhas UM-4 Qty'!I18</f>
        <v>0</v>
      </c>
      <c r="J18" s="350">
        <f>$D18/1000*'Falhas UM-4 Qty'!J18</f>
        <v>0</v>
      </c>
      <c r="K18" s="350">
        <f>$D18/1000*'Falhas UM-4 Qty'!K18</f>
        <v>0</v>
      </c>
      <c r="L18" s="350">
        <f>$D18/1000*'Falhas UM-4 Qty'!L18</f>
        <v>0</v>
      </c>
      <c r="M18" s="350">
        <f>$D18/1000*'Falhas UM-4 Qty'!M18</f>
        <v>0</v>
      </c>
      <c r="N18" s="350">
        <f>$D18/1000*'Falhas UM-4 Qty'!N18</f>
        <v>0</v>
      </c>
      <c r="O18" s="350">
        <f>$D18/1000*'Falhas UM-4 Qty'!O18</f>
        <v>0</v>
      </c>
      <c r="P18" s="829">
        <f>$D18/1000*'Falhas UM-4 Qty'!P18</f>
        <v>0</v>
      </c>
      <c r="Q18" s="834">
        <f t="shared" si="0"/>
        <v>0</v>
      </c>
      <c r="R18" s="350">
        <f t="shared" si="1"/>
        <v>0</v>
      </c>
      <c r="S18" s="807">
        <f t="shared" si="2"/>
        <v>0</v>
      </c>
    </row>
    <row r="19" spans="1:19" ht="18" customHeight="1">
      <c r="A19" s="1002"/>
      <c r="B19" s="82">
        <v>4160</v>
      </c>
      <c r="C19" s="90" t="s">
        <v>155</v>
      </c>
      <c r="D19" s="321">
        <f>D18</f>
        <v>20.357800000000001</v>
      </c>
      <c r="E19" s="350">
        <f>$D19/1000*'Falhas UM-4 Qty'!E19</f>
        <v>1.5408644706519023E-2</v>
      </c>
      <c r="F19" s="350">
        <f>$D19/1000*'Falhas UM-4 Qty'!F19</f>
        <v>1.7593194205119806E-2</v>
      </c>
      <c r="G19" s="350">
        <f>$D19/1000*'Falhas UM-4 Qty'!G19</f>
        <v>1.5935050360812233E-2</v>
      </c>
      <c r="H19" s="350">
        <f>$D19/1000*'Falhas UM-4 Qty'!H19</f>
        <v>1.6015171587388379E-2</v>
      </c>
      <c r="I19" s="350">
        <f>$D19/1000*'Falhas UM-4 Qty'!I19</f>
        <v>1.7289509216717746E-2</v>
      </c>
      <c r="J19" s="350">
        <f>$D19/1000*'Falhas UM-4 Qty'!J19</f>
        <v>1.8219435325162993E-2</v>
      </c>
      <c r="K19" s="350">
        <f>$D19/1000*'Falhas UM-4 Qty'!K19</f>
        <v>1.7777024986364593E-2</v>
      </c>
      <c r="L19" s="350">
        <f>$D19/1000*'Falhas UM-4 Qty'!L19</f>
        <v>1.7741465400577461E-2</v>
      </c>
      <c r="M19" s="350">
        <f>$D19/1000*'Falhas UM-4 Qty'!M19</f>
        <v>1.7720489139808702E-2</v>
      </c>
      <c r="N19" s="350">
        <f>$D19/1000*'Falhas UM-4 Qty'!N19</f>
        <v>1.3114714057398426E-2</v>
      </c>
      <c r="O19" s="350">
        <f>$D19/1000*'Falhas UM-4 Qty'!O19</f>
        <v>1.3697900019436835E-2</v>
      </c>
      <c r="P19" s="829">
        <f>$D19/1000*'Falhas UM-4 Qty'!P19</f>
        <v>1.694431161231862E-2</v>
      </c>
      <c r="Q19" s="834">
        <f t="shared" si="0"/>
        <v>0.10046100540172018</v>
      </c>
      <c r="R19" s="350">
        <f t="shared" si="1"/>
        <v>9.6995905215904649E-2</v>
      </c>
      <c r="S19" s="807">
        <f t="shared" si="2"/>
        <v>0.19745691061762483</v>
      </c>
    </row>
    <row r="20" spans="1:19" ht="18" customHeight="1">
      <c r="A20" s="1002"/>
      <c r="B20" s="82">
        <v>4170</v>
      </c>
      <c r="C20" s="91" t="s">
        <v>205</v>
      </c>
      <c r="D20" s="325">
        <f>D16</f>
        <v>156.09710000000001</v>
      </c>
      <c r="E20" s="354">
        <f>$D20/1000*'Falhas UM-4 Qty'!E20</f>
        <v>0</v>
      </c>
      <c r="F20" s="354">
        <f>$D20/1000*'Falhas UM-4 Qty'!F20</f>
        <v>0</v>
      </c>
      <c r="G20" s="354">
        <f>$D20/1000*'Falhas UM-4 Qty'!G20</f>
        <v>0</v>
      </c>
      <c r="H20" s="354">
        <f>$D20/1000*'Falhas UM-4 Qty'!H20</f>
        <v>0</v>
      </c>
      <c r="I20" s="354">
        <f>$D20/1000*'Falhas UM-4 Qty'!I20</f>
        <v>0</v>
      </c>
      <c r="J20" s="354">
        <f>$D20/1000*'Falhas UM-4 Qty'!J20</f>
        <v>0</v>
      </c>
      <c r="K20" s="354">
        <f>$D20/1000*'Falhas UM-4 Qty'!K20</f>
        <v>0</v>
      </c>
      <c r="L20" s="354">
        <f>$D20/1000*'Falhas UM-4 Qty'!L20</f>
        <v>0</v>
      </c>
      <c r="M20" s="354">
        <f>$D20/1000*'Falhas UM-4 Qty'!M20</f>
        <v>0</v>
      </c>
      <c r="N20" s="354">
        <f>$D20/1000*'Falhas UM-4 Qty'!N20</f>
        <v>0</v>
      </c>
      <c r="O20" s="354">
        <f>$D20/1000*'Falhas UM-4 Qty'!O20</f>
        <v>0</v>
      </c>
      <c r="P20" s="384">
        <f>$D20/1000*'Falhas UM-4 Qty'!P20</f>
        <v>0</v>
      </c>
      <c r="Q20" s="838">
        <f t="shared" si="0"/>
        <v>0</v>
      </c>
      <c r="R20" s="354">
        <f t="shared" si="1"/>
        <v>0</v>
      </c>
      <c r="S20" s="812">
        <f t="shared" si="2"/>
        <v>0</v>
      </c>
    </row>
    <row r="21" spans="1:19" ht="18" customHeight="1">
      <c r="A21" s="1002" t="s">
        <v>156</v>
      </c>
      <c r="B21" s="82">
        <v>4180</v>
      </c>
      <c r="C21" s="83" t="s">
        <v>206</v>
      </c>
      <c r="D21" s="321">
        <f>D20</f>
        <v>156.09710000000001</v>
      </c>
      <c r="E21" s="350">
        <f>$D21/1000*'Falhas UM-4 Qty'!E21</f>
        <v>13.836950387544649</v>
      </c>
      <c r="F21" s="350">
        <f>$D21/1000*'Falhas UM-4 Qty'!F21</f>
        <v>15.79867405675782</v>
      </c>
      <c r="G21" s="350">
        <f>$D21/1000*'Falhas UM-4 Qty'!G21</f>
        <v>14.309662236049826</v>
      </c>
      <c r="H21" s="350">
        <f>$D21/1000*'Falhas UM-4 Qty'!H21</f>
        <v>14.381611032211913</v>
      </c>
      <c r="I21" s="350">
        <f>$D21/1000*'Falhas UM-4 Qty'!I21</f>
        <v>15.52596518469306</v>
      </c>
      <c r="J21" s="350">
        <f>$D21/1000*'Falhas UM-4 Qty'!J21</f>
        <v>16.361038072134971</v>
      </c>
      <c r="K21" s="350">
        <f>$D21/1000*'Falhas UM-4 Qty'!K21</f>
        <v>15.963753948483241</v>
      </c>
      <c r="L21" s="350">
        <f>$D21/1000*'Falhas UM-4 Qty'!L21</f>
        <v>15.931821469429455</v>
      </c>
      <c r="M21" s="350">
        <f>$D21/1000*'Falhas UM-4 Qty'!M21</f>
        <v>15.912984804355936</v>
      </c>
      <c r="N21" s="350">
        <f>$D21/1000*'Falhas UM-4 Qty'!N21</f>
        <v>11.777002534316457</v>
      </c>
      <c r="O21" s="350">
        <f>$D21/1000*'Falhas UM-4 Qty'!O21</f>
        <v>12.300703052897688</v>
      </c>
      <c r="P21" s="829">
        <f>$D21/1000*'Falhas UM-4 Qty'!P21</f>
        <v>15.215978017298047</v>
      </c>
      <c r="Q21" s="834">
        <f t="shared" si="0"/>
        <v>90.213900969392242</v>
      </c>
      <c r="R21" s="350">
        <f t="shared" si="1"/>
        <v>87.102243826780821</v>
      </c>
      <c r="S21" s="807">
        <f t="shared" si="2"/>
        <v>177.31614479617306</v>
      </c>
    </row>
    <row r="22" spans="1:19" ht="18" customHeight="1">
      <c r="A22" s="1002"/>
      <c r="B22" s="82">
        <v>4190</v>
      </c>
      <c r="C22" s="90" t="s">
        <v>116</v>
      </c>
      <c r="D22" s="321">
        <f>D21</f>
        <v>156.09710000000001</v>
      </c>
      <c r="E22" s="350">
        <f>$D22/1000*'Falhas UM-4 Qty'!E22</f>
        <v>88.351859762075165</v>
      </c>
      <c r="F22" s="350">
        <f>$D22/1000*'Falhas UM-4 Qty'!F22</f>
        <v>100.87788100663218</v>
      </c>
      <c r="G22" s="350">
        <f>$D22/1000*'Falhas UM-4 Qty'!G22</f>
        <v>91.370225064923659</v>
      </c>
      <c r="H22" s="350">
        <f>$D22/1000*'Falhas UM-4 Qty'!H22</f>
        <v>91.829633371705256</v>
      </c>
      <c r="I22" s="350">
        <f>$D22/1000*'Falhas UM-4 Qty'!I22</f>
        <v>99.136577081583212</v>
      </c>
      <c r="J22" s="350">
        <f>$D22/1000*'Falhas UM-4 Qty'!J22</f>
        <v>104.46869438893387</v>
      </c>
      <c r="K22" s="350">
        <f>$D22/1000*'Falhas UM-4 Qty'!K22</f>
        <v>101.93195108961753</v>
      </c>
      <c r="L22" s="350">
        <f>$D22/1000*'Falhas UM-4 Qty'!L22</f>
        <v>101.72805544554876</v>
      </c>
      <c r="M22" s="350">
        <f>$D22/1000*'Falhas UM-4 Qty'!M22</f>
        <v>101.6077793482623</v>
      </c>
      <c r="N22" s="350">
        <f>$D22/1000*'Falhas UM-4 Qty'!N22</f>
        <v>75.198656292513505</v>
      </c>
      <c r="O22" s="350">
        <f>$D22/1000*'Falhas UM-4 Qty'!O22</f>
        <v>78.542595056409411</v>
      </c>
      <c r="P22" s="829">
        <f>$D22/1000*'Falhas UM-4 Qty'!P22</f>
        <v>97.157243342959688</v>
      </c>
      <c r="Q22" s="834">
        <f t="shared" si="0"/>
        <v>576.03487067585331</v>
      </c>
      <c r="R22" s="350">
        <f t="shared" si="1"/>
        <v>556.16628057531125</v>
      </c>
      <c r="S22" s="807">
        <f t="shared" si="2"/>
        <v>1132.2011512511644</v>
      </c>
    </row>
    <row r="23" spans="1:19" ht="18" customHeight="1">
      <c r="A23" s="1002"/>
      <c r="B23" s="82">
        <v>4200</v>
      </c>
      <c r="C23" s="90" t="s">
        <v>115</v>
      </c>
      <c r="D23" s="321">
        <f t="shared" ref="D23:D33" si="6">D22</f>
        <v>156.09710000000001</v>
      </c>
      <c r="E23" s="350">
        <f>$D23/1000*'Falhas UM-4 Qty'!E23</f>
        <v>0.12206985721654463</v>
      </c>
      <c r="F23" s="350">
        <f>$D23/1000*'Falhas UM-4 Qty'!F23</f>
        <v>0.13937622325040164</v>
      </c>
      <c r="G23" s="350">
        <f>$D23/1000*'Falhas UM-4 Qty'!G23</f>
        <v>0.12624013074036516</v>
      </c>
      <c r="H23" s="350">
        <f>$D23/1000*'Falhas UM-4 Qty'!H23</f>
        <v>0.12687486448070681</v>
      </c>
      <c r="I23" s="350">
        <f>$D23/1000*'Falhas UM-4 Qty'!I23</f>
        <v>0.1369703800449078</v>
      </c>
      <c r="J23" s="350">
        <f>$D23/1000*'Falhas UM-4 Qty'!J23</f>
        <v>0.14433741001035455</v>
      </c>
      <c r="K23" s="350">
        <f>$D23/1000*'Falhas UM-4 Qty'!K23</f>
        <v>0.14083256140641501</v>
      </c>
      <c r="L23" s="350">
        <f>$D23/1000*'Falhas UM-4 Qty'!L23</f>
        <v>0.14055085242795579</v>
      </c>
      <c r="M23" s="350">
        <f>$D23/1000*'Falhas UM-4 Qty'!M23</f>
        <v>0.14038467498628265</v>
      </c>
      <c r="N23" s="350">
        <f>$D23/1000*'Falhas UM-4 Qty'!N23</f>
        <v>0.10389695543730265</v>
      </c>
      <c r="O23" s="350">
        <f>$D23/1000*'Falhas UM-4 Qty'!O23</f>
        <v>0.10851705204363191</v>
      </c>
      <c r="P23" s="829">
        <f>$D23/1000*'Falhas UM-4 Qty'!P23</f>
        <v>0.13423566696124076</v>
      </c>
      <c r="Q23" s="834">
        <f t="shared" si="0"/>
        <v>0.79586886574328064</v>
      </c>
      <c r="R23" s="350">
        <f t="shared" si="1"/>
        <v>0.76841776326282885</v>
      </c>
      <c r="S23" s="807">
        <f t="shared" si="2"/>
        <v>1.5642866290061095</v>
      </c>
    </row>
    <row r="24" spans="1:19" ht="18" customHeight="1">
      <c r="A24" s="1002"/>
      <c r="B24" s="82">
        <v>4210</v>
      </c>
      <c r="C24" s="90" t="s">
        <v>126</v>
      </c>
      <c r="D24" s="321">
        <f t="shared" si="6"/>
        <v>156.09710000000001</v>
      </c>
      <c r="E24" s="350">
        <f>$D24/1000*'Falhas UM-4 Qty'!E24</f>
        <v>1.6228013938129882</v>
      </c>
      <c r="F24" s="350">
        <f>$D24/1000*'Falhas UM-4 Qty'!F24</f>
        <v>1.8528728919041195</v>
      </c>
      <c r="G24" s="350">
        <f>$D24/1000*'Falhas UM-4 Qty'!G24</f>
        <v>1.6782411710139411</v>
      </c>
      <c r="H24" s="350">
        <f>$D24/1000*'Falhas UM-4 Qty'!H24</f>
        <v>1.6866793458591802</v>
      </c>
      <c r="I24" s="350">
        <f>$D24/1000*'Falhas UM-4 Qty'!I24</f>
        <v>1.8208895194631647</v>
      </c>
      <c r="J24" s="350">
        <f>$D24/1000*'Falhas UM-4 Qty'!J24</f>
        <v>1.9188271001959838</v>
      </c>
      <c r="K24" s="350">
        <f>$D24/1000*'Falhas UM-4 Qty'!K24</f>
        <v>1.8722335075657655</v>
      </c>
      <c r="L24" s="350">
        <f>$D24/1000*'Falhas UM-4 Qty'!L24</f>
        <v>1.868488457531978</v>
      </c>
      <c r="M24" s="350">
        <f>$D24/1000*'Falhas UM-4 Qty'!M24</f>
        <v>1.8662792882078174</v>
      </c>
      <c r="N24" s="350">
        <f>$D24/1000*'Falhas UM-4 Qty'!N24</f>
        <v>1.3812101360738631</v>
      </c>
      <c r="O24" s="350">
        <f>$D24/1000*'Falhas UM-4 Qty'!O24</f>
        <v>1.4426298786971521</v>
      </c>
      <c r="P24" s="829">
        <f>$D24/1000*'Falhas UM-4 Qty'!P24</f>
        <v>1.7845341381671831</v>
      </c>
      <c r="Q24" s="834">
        <f t="shared" si="0"/>
        <v>10.580311422249377</v>
      </c>
      <c r="R24" s="350">
        <f t="shared" si="1"/>
        <v>10.21537540624376</v>
      </c>
      <c r="S24" s="807">
        <f t="shared" si="2"/>
        <v>20.795686828493139</v>
      </c>
    </row>
    <row r="25" spans="1:19" ht="18" customHeight="1">
      <c r="A25" s="1002"/>
      <c r="B25" s="82">
        <v>4220</v>
      </c>
      <c r="C25" s="90" t="s">
        <v>127</v>
      </c>
      <c r="D25" s="321">
        <f t="shared" si="6"/>
        <v>156.09710000000001</v>
      </c>
      <c r="E25" s="350">
        <f>$D25/1000*'Falhas UM-4 Qty'!E25</f>
        <v>0.1282770117265743</v>
      </c>
      <c r="F25" s="350">
        <f>$D25/1000*'Falhas UM-4 Qty'!F25</f>
        <v>0.14646339261773322</v>
      </c>
      <c r="G25" s="350">
        <f>$D25/1000*'Falhas UM-4 Qty'!G25</f>
        <v>0.13265934032034976</v>
      </c>
      <c r="H25" s="350">
        <f>$D25/1000*'Falhas UM-4 Qty'!H25</f>
        <v>0.13332634976321836</v>
      </c>
      <c r="I25" s="350">
        <f>$D25/1000*'Falhas UM-4 Qty'!I25</f>
        <v>0.14393521421136407</v>
      </c>
      <c r="J25" s="350">
        <f>$D25/1000*'Falhas UM-4 Qty'!J25</f>
        <v>0.15167685175249127</v>
      </c>
      <c r="K25" s="350">
        <f>$D25/1000*'Falhas UM-4 Qty'!K25</f>
        <v>0.1479937844030319</v>
      </c>
      <c r="L25" s="350">
        <f>$D25/1000*'Falhas UM-4 Qty'!L25</f>
        <v>0.14769775074855496</v>
      </c>
      <c r="M25" s="350">
        <f>$D25/1000*'Falhas UM-4 Qty'!M25</f>
        <v>0.14752312331701481</v>
      </c>
      <c r="N25" s="350">
        <f>$D25/1000*'Falhas UM-4 Qty'!N25</f>
        <v>0.1091800324411283</v>
      </c>
      <c r="O25" s="350">
        <f>$D25/1000*'Falhas UM-4 Qty'!O25</f>
        <v>0.11403505726102854</v>
      </c>
      <c r="P25" s="829">
        <f>$D25/1000*'Falhas UM-4 Qty'!P25</f>
        <v>0.14106144315681063</v>
      </c>
      <c r="Q25" s="834">
        <f t="shared" si="0"/>
        <v>0.83633816039173092</v>
      </c>
      <c r="R25" s="350">
        <f t="shared" si="1"/>
        <v>0.80749119132756908</v>
      </c>
      <c r="S25" s="807">
        <f t="shared" si="2"/>
        <v>1.6438293517193001</v>
      </c>
    </row>
    <row r="26" spans="1:19" ht="18" customHeight="1">
      <c r="A26" s="1002"/>
      <c r="B26" s="82">
        <v>4230</v>
      </c>
      <c r="C26" s="93" t="s">
        <v>157</v>
      </c>
      <c r="D26" s="323">
        <f t="shared" si="6"/>
        <v>156.09710000000001</v>
      </c>
      <c r="E26" s="352">
        <f>$D26/1000*'Falhas UM-4 Qty'!E26</f>
        <v>0.23116936502308852</v>
      </c>
      <c r="F26" s="352">
        <f>$D26/1000*'Falhas UM-4 Qty'!F26</f>
        <v>0.26394323515064072</v>
      </c>
      <c r="G26" s="352">
        <f>$D26/1000*'Falhas UM-4 Qty'!G26</f>
        <v>0.23906680591846077</v>
      </c>
      <c r="H26" s="352">
        <f>$D26/1000*'Falhas UM-4 Qty'!H26</f>
        <v>0.24026883071851621</v>
      </c>
      <c r="I26" s="352">
        <f>$D26/1000*'Falhas UM-4 Qty'!I26</f>
        <v>0.25938717799746053</v>
      </c>
      <c r="J26" s="352">
        <f>$D26/1000*'Falhas UM-4 Qty'!J26</f>
        <v>0.27333846521980337</v>
      </c>
      <c r="K26" s="352">
        <f>$D26/1000*'Falhas UM-4 Qty'!K26</f>
        <v>0.26670117043836117</v>
      </c>
      <c r="L26" s="352">
        <f>$D26/1000*'Falhas UM-4 Qty'!L26</f>
        <v>0.26616768504600752</v>
      </c>
      <c r="M26" s="352">
        <f>$D26/1000*'Falhas UM-4 Qty'!M26</f>
        <v>0.26585298709723715</v>
      </c>
      <c r="N26" s="352">
        <f>$D26/1000*'Falhas UM-4 Qty'!N26</f>
        <v>0.1967544958594262</v>
      </c>
      <c r="O26" s="352">
        <f>$D26/1000*'Falhas UM-4 Qty'!O26</f>
        <v>0.20550378764352203</v>
      </c>
      <c r="P26" s="830">
        <f>$D26/1000*'Falhas UM-4 Qty'!P26</f>
        <v>0.25420832466309318</v>
      </c>
      <c r="Q26" s="836">
        <f t="shared" si="0"/>
        <v>1.5071738800279701</v>
      </c>
      <c r="R26" s="352">
        <f t="shared" si="1"/>
        <v>1.4551884507476474</v>
      </c>
      <c r="S26" s="809">
        <f t="shared" si="2"/>
        <v>2.9623623307756173</v>
      </c>
    </row>
    <row r="27" spans="1:19" ht="18" customHeight="1">
      <c r="A27" s="1002"/>
      <c r="B27" s="82">
        <v>4240</v>
      </c>
      <c r="C27" s="90" t="s">
        <v>158</v>
      </c>
      <c r="D27" s="322">
        <f t="shared" si="6"/>
        <v>156.09710000000001</v>
      </c>
      <c r="E27" s="351">
        <f>$D27/1000*'Falhas UM-4 Qty'!E27</f>
        <v>0.2284575468431127</v>
      </c>
      <c r="F27" s="351">
        <f>$D27/1000*'Falhas UM-4 Qty'!F27</f>
        <v>0.26084695090254562</v>
      </c>
      <c r="G27" s="351">
        <f>$D27/1000*'Falhas UM-4 Qty'!G27</f>
        <v>0.23626234387197087</v>
      </c>
      <c r="H27" s="351">
        <f>$D27/1000*'Falhas UM-4 Qty'!H27</f>
        <v>0.23745026787322343</v>
      </c>
      <c r="I27" s="351">
        <f>$D27/1000*'Falhas UM-4 Qty'!I27</f>
        <v>0.25634434027164044</v>
      </c>
      <c r="J27" s="351">
        <f>$D27/1000*'Falhas UM-4 Qty'!J27</f>
        <v>0.27013196673244666</v>
      </c>
      <c r="K27" s="351">
        <f>$D27/1000*'Falhas UM-4 Qty'!K27</f>
        <v>0.26357253320503515</v>
      </c>
      <c r="L27" s="351">
        <f>$D27/1000*'Falhas UM-4 Qty'!L27</f>
        <v>0.26304530606141441</v>
      </c>
      <c r="M27" s="351">
        <f>$D27/1000*'Falhas UM-4 Qty'!M27</f>
        <v>0.26273429979392965</v>
      </c>
      <c r="N27" s="351">
        <f>$D27/1000*'Falhas UM-4 Qty'!N27</f>
        <v>0.19444639409684933</v>
      </c>
      <c r="O27" s="351">
        <f>$D27/1000*'Falhas UM-4 Qty'!O27</f>
        <v>0.20309304906088183</v>
      </c>
      <c r="P27" s="609">
        <f>$D27/1000*'Falhas UM-4 Qty'!P27</f>
        <v>0.25122623940169309</v>
      </c>
      <c r="Q27" s="835">
        <f t="shared" si="0"/>
        <v>1.4894934164949398</v>
      </c>
      <c r="R27" s="351">
        <f t="shared" si="1"/>
        <v>1.4381178216198034</v>
      </c>
      <c r="S27" s="808">
        <f t="shared" si="2"/>
        <v>2.9276112381147432</v>
      </c>
    </row>
    <row r="28" spans="1:19" ht="18" customHeight="1">
      <c r="A28" s="1002"/>
      <c r="B28" s="82">
        <v>4250</v>
      </c>
      <c r="C28" s="90" t="s">
        <v>130</v>
      </c>
      <c r="D28" s="321">
        <f t="shared" si="6"/>
        <v>156.09710000000001</v>
      </c>
      <c r="E28" s="350">
        <f>$D28/1000*'Falhas UM-4 Qty'!E28</f>
        <v>46.335623389225631</v>
      </c>
      <c r="F28" s="350">
        <f>$D28/1000*'Falhas UM-4 Qty'!F28</f>
        <v>52.904823002184635</v>
      </c>
      <c r="G28" s="350">
        <f>$D28/1000*'Falhas UM-4 Qty'!G28</f>
        <v>47.9185876675161</v>
      </c>
      <c r="H28" s="350">
        <f>$D28/1000*'Falhas UM-4 Qty'!H28</f>
        <v>48.159521704923314</v>
      </c>
      <c r="I28" s="350">
        <f>$D28/1000*'Falhas UM-4 Qty'!I28</f>
        <v>51.991606199566945</v>
      </c>
      <c r="J28" s="350">
        <f>$D28/1000*'Falhas UM-4 Qty'!J28</f>
        <v>54.788004374839133</v>
      </c>
      <c r="K28" s="350">
        <f>$D28/1000*'Falhas UM-4 Qty'!K28</f>
        <v>53.45762397912597</v>
      </c>
      <c r="L28" s="350">
        <f>$D28/1000*'Falhas UM-4 Qty'!L28</f>
        <v>53.350692084316805</v>
      </c>
      <c r="M28" s="350">
        <f>$D28/1000*'Falhas UM-4 Qty'!M28</f>
        <v>53.287613978642497</v>
      </c>
      <c r="N28" s="350">
        <f>$D28/1000*'Falhas UM-4 Qty'!N28</f>
        <v>39.437501674881425</v>
      </c>
      <c r="O28" s="350">
        <f>$D28/1000*'Falhas UM-4 Qty'!O28</f>
        <v>41.191211077465184</v>
      </c>
      <c r="P28" s="829">
        <f>$D28/1000*'Falhas UM-4 Qty'!P28</f>
        <v>50.953556033770489</v>
      </c>
      <c r="Q28" s="834">
        <f t="shared" si="0"/>
        <v>302.09816633825579</v>
      </c>
      <c r="R28" s="350">
        <f t="shared" si="1"/>
        <v>291.67819882820237</v>
      </c>
      <c r="S28" s="807">
        <f t="shared" si="2"/>
        <v>593.77636516645816</v>
      </c>
    </row>
    <row r="29" spans="1:19" ht="18" customHeight="1">
      <c r="A29" s="1002"/>
      <c r="B29" s="82">
        <v>4260</v>
      </c>
      <c r="C29" s="90" t="s">
        <v>131</v>
      </c>
      <c r="D29" s="321">
        <f t="shared" si="6"/>
        <v>156.09710000000001</v>
      </c>
      <c r="E29" s="350">
        <f>$D29/1000*'Falhas UM-4 Qty'!E29</f>
        <v>4.8152359989835407</v>
      </c>
      <c r="F29" s="350">
        <f>$D29/1000*'Falhas UM-4 Qty'!F29</f>
        <v>5.4979126125064388</v>
      </c>
      <c r="G29" s="350">
        <f>$D29/1000*'Falhas UM-4 Qty'!G29</f>
        <v>4.9797389455372212</v>
      </c>
      <c r="H29" s="350">
        <f>$D29/1000*'Falhas UM-4 Qty'!H29</f>
        <v>5.0047770083805379</v>
      </c>
      <c r="I29" s="350">
        <f>$D29/1000*'Falhas UM-4 Qty'!I29</f>
        <v>5.4030103731235153</v>
      </c>
      <c r="J29" s="350">
        <f>$D29/1000*'Falhas UM-4 Qty'!J29</f>
        <v>5.6936143658215714</v>
      </c>
      <c r="K29" s="350">
        <f>$D29/1000*'Falhas UM-4 Qty'!K29</f>
        <v>5.5553601435794766</v>
      </c>
      <c r="L29" s="350">
        <f>$D29/1000*'Falhas UM-4 Qty'!L29</f>
        <v>5.5442476933379128</v>
      </c>
      <c r="M29" s="350">
        <f>$D29/1000*'Falhas UM-4 Qty'!M29</f>
        <v>5.5376925648433826</v>
      </c>
      <c r="N29" s="350">
        <f>$D29/1000*'Falhas UM-4 Qty'!N29</f>
        <v>4.0983775308183317</v>
      </c>
      <c r="O29" s="350">
        <f>$D29/1000*'Falhas UM-4 Qty'!O29</f>
        <v>4.2806244507775633</v>
      </c>
      <c r="P29" s="829">
        <f>$D29/1000*'Falhas UM-4 Qty'!P29</f>
        <v>5.2951353482186745</v>
      </c>
      <c r="Q29" s="834">
        <f t="shared" si="0"/>
        <v>31.394289304352821</v>
      </c>
      <c r="R29" s="350">
        <f t="shared" si="1"/>
        <v>30.311437731575342</v>
      </c>
      <c r="S29" s="807">
        <f t="shared" si="2"/>
        <v>61.705727035928163</v>
      </c>
    </row>
    <row r="30" spans="1:19" ht="18" customHeight="1">
      <c r="A30" s="1002"/>
      <c r="B30" s="82">
        <v>4270</v>
      </c>
      <c r="C30" s="90" t="s">
        <v>159</v>
      </c>
      <c r="D30" s="321">
        <f t="shared" si="6"/>
        <v>156.09710000000001</v>
      </c>
      <c r="E30" s="350">
        <f>$D30/1000*'Falhas UM-4 Qty'!E30</f>
        <v>0.96088605071209587</v>
      </c>
      <c r="F30" s="350">
        <f>$D30/1000*'Falhas UM-4 Qty'!F30</f>
        <v>1.0971149780626963</v>
      </c>
      <c r="G30" s="350">
        <f>$D30/1000*'Falhas UM-4 Qty'!G30</f>
        <v>0.9937128086690965</v>
      </c>
      <c r="H30" s="350">
        <f>$D30/1000*'Falhas UM-4 Qty'!H30</f>
        <v>0.9987091837850981</v>
      </c>
      <c r="I30" s="350">
        <f>$D30/1000*'Falhas UM-4 Qty'!I30</f>
        <v>1.0781771237137836</v>
      </c>
      <c r="J30" s="350">
        <f>$D30/1000*'Falhas UM-4 Qty'!J30</f>
        <v>1.1361674948864009</v>
      </c>
      <c r="K30" s="350">
        <f>$D30/1000*'Falhas UM-4 Qty'!K30</f>
        <v>1.1085787009762951</v>
      </c>
      <c r="L30" s="350">
        <f>$D30/1000*'Falhas UM-4 Qty'!L30</f>
        <v>1.1063611983598904</v>
      </c>
      <c r="M30" s="350">
        <f>$D30/1000*'Falhas UM-4 Qty'!M30</f>
        <v>1.1050531146995364</v>
      </c>
      <c r="N30" s="350">
        <f>$D30/1000*'Falhas UM-4 Qty'!N30</f>
        <v>0.81783609375459798</v>
      </c>
      <c r="O30" s="350">
        <f>$D30/1000*'Falhas UM-4 Qty'!O30</f>
        <v>0.85420368263519175</v>
      </c>
      <c r="P30" s="829">
        <f>$D30/1000*'Falhas UM-4 Qty'!P30</f>
        <v>1.0566505346383652</v>
      </c>
      <c r="Q30" s="834">
        <f t="shared" si="0"/>
        <v>6.264767639829171</v>
      </c>
      <c r="R30" s="350">
        <f t="shared" si="1"/>
        <v>6.0486833250638767</v>
      </c>
      <c r="S30" s="807">
        <f t="shared" si="2"/>
        <v>12.313450964893047</v>
      </c>
    </row>
    <row r="31" spans="1:19" ht="18" customHeight="1">
      <c r="A31" s="1002"/>
      <c r="B31" s="82">
        <v>4280</v>
      </c>
      <c r="C31" s="90" t="s">
        <v>160</v>
      </c>
      <c r="D31" s="321">
        <f t="shared" si="6"/>
        <v>156.09710000000001</v>
      </c>
      <c r="E31" s="350">
        <f>$D31/1000*'Falhas UM-4 Qty'!E31</f>
        <v>7.7098999429154418</v>
      </c>
      <c r="F31" s="350">
        <f>$D31/1000*'Falhas UM-4 Qty'!F31</f>
        <v>8.8029654509696584</v>
      </c>
      <c r="G31" s="350">
        <f>$D31/1000*'Falhas UM-4 Qty'!G31</f>
        <v>7.9732933173027751</v>
      </c>
      <c r="H31" s="350">
        <f>$D31/1000*'Falhas UM-4 Qty'!H31</f>
        <v>8.0133829327083657</v>
      </c>
      <c r="I31" s="350">
        <f>$D31/1000*'Falhas UM-4 Qty'!I31</f>
        <v>8.6510130294984346</v>
      </c>
      <c r="J31" s="350">
        <f>$D31/1000*'Falhas UM-4 Qty'!J31</f>
        <v>9.1163126964694232</v>
      </c>
      <c r="K31" s="350">
        <f>$D31/1000*'Falhas UM-4 Qty'!K31</f>
        <v>8.8949473842817852</v>
      </c>
      <c r="L31" s="350">
        <f>$D31/1000*'Falhas UM-4 Qty'!L31</f>
        <v>8.8771547196021778</v>
      </c>
      <c r="M31" s="350">
        <f>$D31/1000*'Falhas UM-4 Qty'!M31</f>
        <v>8.8666589962738822</v>
      </c>
      <c r="N31" s="350">
        <f>$D31/1000*'Falhas UM-4 Qty'!N31</f>
        <v>6.5621042660364512</v>
      </c>
      <c r="O31" s="350">
        <f>$D31/1000*'Falhas UM-4 Qty'!O31</f>
        <v>6.8539083475159037</v>
      </c>
      <c r="P31" s="829">
        <f>$D31/1000*'Falhas UM-4 Qty'!P31</f>
        <v>8.4782892733769515</v>
      </c>
      <c r="Q31" s="834">
        <f t="shared" si="0"/>
        <v>50.266867369864102</v>
      </c>
      <c r="R31" s="350">
        <f t="shared" si="1"/>
        <v>48.533062987087149</v>
      </c>
      <c r="S31" s="807">
        <f t="shared" si="2"/>
        <v>98.799930356951251</v>
      </c>
    </row>
    <row r="32" spans="1:19" ht="18" customHeight="1">
      <c r="A32" s="1002"/>
      <c r="B32" s="82">
        <v>4290</v>
      </c>
      <c r="C32" s="90" t="s">
        <v>161</v>
      </c>
      <c r="D32" s="321">
        <f t="shared" si="6"/>
        <v>156.09710000000001</v>
      </c>
      <c r="E32" s="350">
        <f>$D32/1000*'Falhas UM-4 Qty'!E32</f>
        <v>0</v>
      </c>
      <c r="F32" s="350">
        <f>$D32/1000*'Falhas UM-4 Qty'!F32</f>
        <v>0</v>
      </c>
      <c r="G32" s="350">
        <f>$D32/1000*'Falhas UM-4 Qty'!G32</f>
        <v>0</v>
      </c>
      <c r="H32" s="350">
        <f>$D32/1000*'Falhas UM-4 Qty'!H32</f>
        <v>0</v>
      </c>
      <c r="I32" s="350">
        <f>$D32/1000*'Falhas UM-4 Qty'!I32</f>
        <v>0</v>
      </c>
      <c r="J32" s="350">
        <f>$D32/1000*'Falhas UM-4 Qty'!J32</f>
        <v>0</v>
      </c>
      <c r="K32" s="350">
        <f>$D32/1000*'Falhas UM-4 Qty'!K32</f>
        <v>0</v>
      </c>
      <c r="L32" s="350">
        <f>$D32/1000*'Falhas UM-4 Qty'!L32</f>
        <v>0</v>
      </c>
      <c r="M32" s="350">
        <f>$D32/1000*'Falhas UM-4 Qty'!M32</f>
        <v>0</v>
      </c>
      <c r="N32" s="350">
        <f>$D32/1000*'Falhas UM-4 Qty'!N32</f>
        <v>0</v>
      </c>
      <c r="O32" s="350">
        <f>$D32/1000*'Falhas UM-4 Qty'!O32</f>
        <v>0</v>
      </c>
      <c r="P32" s="829">
        <f>$D32/1000*'Falhas UM-4 Qty'!P32</f>
        <v>0</v>
      </c>
      <c r="Q32" s="834">
        <f t="shared" si="0"/>
        <v>0</v>
      </c>
      <c r="R32" s="350">
        <f t="shared" si="1"/>
        <v>0</v>
      </c>
      <c r="S32" s="807">
        <f t="shared" si="2"/>
        <v>0</v>
      </c>
    </row>
    <row r="33" spans="1:19" ht="18" customHeight="1" thickBot="1">
      <c r="A33" s="96"/>
      <c r="B33" s="82">
        <v>4300</v>
      </c>
      <c r="C33" s="90" t="s">
        <v>116</v>
      </c>
      <c r="D33" s="321">
        <f t="shared" si="6"/>
        <v>156.09710000000001</v>
      </c>
      <c r="E33" s="350">
        <f>$D33/1000*'Falhas UM-4 Qty'!E33</f>
        <v>15.943221732482582</v>
      </c>
      <c r="F33" s="350">
        <f>$D33/1000*'Falhas UM-4 Qty'!F33</f>
        <v>18.203560503681629</v>
      </c>
      <c r="G33" s="350">
        <f>$D33/1000*'Falhas UM-4 Qty'!G33</f>
        <v>16.487890146056849</v>
      </c>
      <c r="H33" s="350">
        <f>$D33/1000*'Falhas UM-4 Qty'!H33</f>
        <v>16.570791043904244</v>
      </c>
      <c r="I33" s="350">
        <f>$D33/1000*'Falhas UM-4 Qty'!I33</f>
        <v>17.889339675105315</v>
      </c>
      <c r="J33" s="350">
        <f>$D33/1000*'Falhas UM-4 Qty'!J33</f>
        <v>18.851528006665369</v>
      </c>
      <c r="K33" s="350">
        <f>$D33/1000*'Falhas UM-4 Qty'!K33</f>
        <v>18.393768984859808</v>
      </c>
      <c r="L33" s="350">
        <f>$D33/1000*'Falhas UM-4 Qty'!L33</f>
        <v>18.356975719019911</v>
      </c>
      <c r="M33" s="350">
        <f>$D33/1000*'Falhas UM-4 Qty'!M33</f>
        <v>18.335271722145141</v>
      </c>
      <c r="N33" s="350">
        <f>$D33/1000*'Falhas UM-4 Qty'!N33</f>
        <v>13.569707015617551</v>
      </c>
      <c r="O33" s="350">
        <f>$D33/1000*'Falhas UM-4 Qty'!O33</f>
        <v>14.173125634265809</v>
      </c>
      <c r="P33" s="829">
        <f>$D33/1000*'Falhas UM-4 Qty'!P33</f>
        <v>17.532166020103155</v>
      </c>
      <c r="Q33" s="834">
        <f t="shared" si="0"/>
        <v>103.94633110789599</v>
      </c>
      <c r="R33" s="350">
        <f t="shared" si="1"/>
        <v>100.36101509601136</v>
      </c>
      <c r="S33" s="807">
        <f t="shared" si="2"/>
        <v>204.30734620390734</v>
      </c>
    </row>
    <row r="34" spans="1:19" ht="18" customHeight="1" thickTop="1" thickBot="1">
      <c r="A34" s="1004" t="s">
        <v>162</v>
      </c>
      <c r="B34" s="88"/>
      <c r="C34" s="89" t="s">
        <v>1</v>
      </c>
      <c r="D34" s="326"/>
      <c r="E34" s="353">
        <f>SUBTOTAL(109,E16:E33)</f>
        <v>349.27423518449621</v>
      </c>
      <c r="F34" s="353">
        <f t="shared" ref="F34:M34" si="7">SUBTOTAL(109,F16:F33)</f>
        <v>398.79233816364081</v>
      </c>
      <c r="G34" s="353">
        <f t="shared" si="7"/>
        <v>361.2064937187115</v>
      </c>
      <c r="H34" s="353">
        <f t="shared" si="7"/>
        <v>363.02263528517818</v>
      </c>
      <c r="I34" s="353">
        <f t="shared" si="7"/>
        <v>391.90858270809008</v>
      </c>
      <c r="J34" s="353">
        <f t="shared" si="7"/>
        <v>412.98760922155736</v>
      </c>
      <c r="K34" s="353">
        <f t="shared" si="7"/>
        <v>402.95930785796298</v>
      </c>
      <c r="L34" s="353">
        <f t="shared" si="7"/>
        <v>402.15326375961183</v>
      </c>
      <c r="M34" s="353">
        <f t="shared" si="7"/>
        <v>401.67778602769044</v>
      </c>
      <c r="N34" s="353">
        <f>SUBTOTAL(109,N16:N33)</f>
        <v>297.27674362711736</v>
      </c>
      <c r="O34" s="353">
        <f t="shared" ref="O34" si="8">SUBTOTAL(109,O16:O33)</f>
        <v>310.49606529627903</v>
      </c>
      <c r="P34" s="353">
        <f t="shared" ref="P34" si="9">SUBTOTAL(109,P16:P33)</f>
        <v>384.08384331274181</v>
      </c>
      <c r="Q34" s="837">
        <f t="shared" si="0"/>
        <v>2277.1918942816742</v>
      </c>
      <c r="R34" s="353">
        <f t="shared" si="1"/>
        <v>2198.6470098814034</v>
      </c>
      <c r="S34" s="811">
        <f t="shared" si="2"/>
        <v>4475.838904163078</v>
      </c>
    </row>
    <row r="35" spans="1:19" ht="18" customHeight="1" thickTop="1">
      <c r="A35" s="1002"/>
      <c r="B35" s="82">
        <v>4310</v>
      </c>
      <c r="C35" s="90" t="s">
        <v>152</v>
      </c>
      <c r="D35" s="322">
        <f>D31</f>
        <v>156.09710000000001</v>
      </c>
      <c r="E35" s="351">
        <f>$D35/1000*'Falhas UM-4 Qty'!E35</f>
        <v>0.76457048146716855</v>
      </c>
      <c r="F35" s="351">
        <f>$D35/1000*'Falhas UM-4 Qty'!F35</f>
        <v>0.87296691046831376</v>
      </c>
      <c r="G35" s="351">
        <f>$D35/1000*'Falhas UM-4 Qty'!G35</f>
        <v>0.79069050903712867</v>
      </c>
      <c r="H35" s="351">
        <f>$D35/1000*'Falhas UM-4 Qty'!H35</f>
        <v>0.79466609066327565</v>
      </c>
      <c r="I35" s="351">
        <f>$D35/1000*'Falhas UM-4 Qty'!I35</f>
        <v>0.85789818883709323</v>
      </c>
      <c r="J35" s="351">
        <f>$D35/1000*'Falhas UM-4 Qty'!J35</f>
        <v>0.90404073193577783</v>
      </c>
      <c r="K35" s="351">
        <f>$D35/1000*'Falhas UM-4 Qty'!K35</f>
        <v>0.8820885166576854</v>
      </c>
      <c r="L35" s="351">
        <f>$D35/1000*'Falhas UM-4 Qty'!L35</f>
        <v>0.88032406493958348</v>
      </c>
      <c r="M35" s="351">
        <f>$D35/1000*'Falhas UM-4 Qty'!M35</f>
        <v>0.87928323168650913</v>
      </c>
      <c r="N35" s="351">
        <f>$D35/1000*'Falhas UM-4 Qty'!N35</f>
        <v>0.65074660569771758</v>
      </c>
      <c r="O35" s="351">
        <f>$D35/1000*'Falhas UM-4 Qty'!O35</f>
        <v>0.6796840483004376</v>
      </c>
      <c r="P35" s="609">
        <f>$D35/1000*'Falhas UM-4 Qty'!P35</f>
        <v>0.8407696286279599</v>
      </c>
      <c r="Q35" s="835">
        <f t="shared" si="0"/>
        <v>4.9848329124087574</v>
      </c>
      <c r="R35" s="351">
        <f t="shared" si="1"/>
        <v>4.8128960959098936</v>
      </c>
      <c r="S35" s="808">
        <f t="shared" si="2"/>
        <v>9.797729008318651</v>
      </c>
    </row>
    <row r="36" spans="1:19" ht="18" customHeight="1">
      <c r="A36" s="1002"/>
      <c r="B36" s="82">
        <v>4320</v>
      </c>
      <c r="C36" s="90" t="s">
        <v>153</v>
      </c>
      <c r="D36" s="322">
        <f t="shared" ref="D36:D52" si="10">D17</f>
        <v>20.357800000000001</v>
      </c>
      <c r="E36" s="351">
        <f>$D36/1000*'Falhas UM-4 Qty'!E36</f>
        <v>4.8676025716728423E-3</v>
      </c>
      <c r="F36" s="351">
        <f>$D36/1000*'Falhas UM-4 Qty'!F36</f>
        <v>5.5577034182993472E-3</v>
      </c>
      <c r="G36" s="351">
        <f>$D36/1000*'Falhas UM-4 Qty'!G36</f>
        <v>5.0338945178747497E-3</v>
      </c>
      <c r="H36" s="351">
        <f>$D36/1000*'Falhas UM-4 Qty'!H36</f>
        <v>5.0592048742335166E-3</v>
      </c>
      <c r="I36" s="351">
        <f>$D36/1000*'Falhas UM-4 Qty'!I36</f>
        <v>5.4617690996957846E-3</v>
      </c>
      <c r="J36" s="351">
        <f>$D36/1000*'Falhas UM-4 Qty'!J36</f>
        <v>5.7555334639956979E-3</v>
      </c>
      <c r="K36" s="351">
        <f>$D36/1000*'Falhas UM-4 Qty'!K36</f>
        <v>5.6157757017858481E-3</v>
      </c>
      <c r="L36" s="351">
        <f>$D36/1000*'Falhas UM-4 Qty'!L36</f>
        <v>5.6045424016143014E-3</v>
      </c>
      <c r="M36" s="351">
        <f>$D36/1000*'Falhas UM-4 Qty'!M36</f>
        <v>5.5979159848977868E-3</v>
      </c>
      <c r="N36" s="351">
        <f>$D36/1000*'Falhas UM-4 Qty'!N36</f>
        <v>4.1429481364794263E-3</v>
      </c>
      <c r="O36" s="351">
        <f>$D36/1000*'Falhas UM-4 Qty'!O36</f>
        <v>4.32717702504486E-3</v>
      </c>
      <c r="P36" s="609">
        <f>$D36/1000*'Falhas UM-4 Qty'!P36</f>
        <v>5.3527209141537016E-3</v>
      </c>
      <c r="Q36" s="835">
        <f t="shared" si="0"/>
        <v>3.1735707945771942E-2</v>
      </c>
      <c r="R36" s="351">
        <f t="shared" si="1"/>
        <v>3.0641080163975924E-2</v>
      </c>
      <c r="S36" s="808">
        <f t="shared" si="2"/>
        <v>6.2376788109747866E-2</v>
      </c>
    </row>
    <row r="37" spans="1:19" ht="18" customHeight="1">
      <c r="A37" s="1002"/>
      <c r="B37" s="82">
        <v>4330</v>
      </c>
      <c r="C37" s="90" t="s">
        <v>154</v>
      </c>
      <c r="D37" s="322">
        <f t="shared" si="10"/>
        <v>20.357800000000001</v>
      </c>
      <c r="E37" s="351">
        <f>$D37/1000*'Falhas UM-4 Qty'!E37</f>
        <v>1.2142934806973187E-3</v>
      </c>
      <c r="F37" s="351">
        <f>$D37/1000*'Falhas UM-4 Qty'!F37</f>
        <v>1.3864490638090016E-3</v>
      </c>
      <c r="G37" s="351">
        <f>$D37/1000*'Falhas UM-4 Qty'!G37</f>
        <v>1.2557773987436616E-3</v>
      </c>
      <c r="H37" s="351">
        <f>$D37/1000*'Falhas UM-4 Qty'!H37</f>
        <v>1.2620914312202313E-3</v>
      </c>
      <c r="I37" s="351">
        <f>$D37/1000*'Falhas UM-4 Qty'!I37</f>
        <v>1.3625168680431892E-3</v>
      </c>
      <c r="J37" s="351">
        <f>$D37/1000*'Falhas UM-4 Qty'!J37</f>
        <v>1.4358006144415696E-3</v>
      </c>
      <c r="K37" s="351">
        <f>$D37/1000*'Falhas UM-4 Qty'!K37</f>
        <v>1.4009360302793619E-3</v>
      </c>
      <c r="L37" s="351">
        <f>$D37/1000*'Falhas UM-4 Qty'!L37</f>
        <v>1.3981337219634762E-3</v>
      </c>
      <c r="M37" s="351">
        <f>$D37/1000*'Falhas UM-4 Qty'!M37</f>
        <v>1.3964806669942654E-3</v>
      </c>
      <c r="N37" s="351">
        <f>$D37/1000*'Falhas UM-4 Qty'!N37</f>
        <v>1.0335180078732597E-3</v>
      </c>
      <c r="O37" s="351">
        <f>$D37/1000*'Falhas UM-4 Qty'!O37</f>
        <v>1.0794765542104226E-3</v>
      </c>
      <c r="P37" s="609">
        <f>$D37/1000*'Falhas UM-4 Qty'!P37</f>
        <v>1.3353132295300073E-3</v>
      </c>
      <c r="Q37" s="835">
        <f t="shared" si="0"/>
        <v>7.9169288569549724E-3</v>
      </c>
      <c r="R37" s="351">
        <f t="shared" si="1"/>
        <v>7.6438582108507933E-3</v>
      </c>
      <c r="S37" s="808">
        <f t="shared" si="2"/>
        <v>1.5560787067805766E-2</v>
      </c>
    </row>
    <row r="38" spans="1:19" ht="18" customHeight="1">
      <c r="A38" s="1002"/>
      <c r="B38" s="82">
        <v>4340</v>
      </c>
      <c r="C38" s="91" t="s">
        <v>155</v>
      </c>
      <c r="D38" s="323">
        <f t="shared" si="10"/>
        <v>20.357800000000001</v>
      </c>
      <c r="E38" s="351">
        <f>$D38/1000*'Falhas UM-4 Qty'!E38</f>
        <v>7.3245355733649077E-3</v>
      </c>
      <c r="F38" s="351">
        <f>$D38/1000*'Falhas UM-4 Qty'!F38</f>
        <v>8.3629663256495883E-3</v>
      </c>
      <c r="G38" s="351">
        <f>$D38/1000*'Falhas UM-4 Qty'!G38</f>
        <v>7.5747637416644729E-3</v>
      </c>
      <c r="H38" s="351">
        <f>$D38/1000*'Falhas UM-4 Qty'!H38</f>
        <v>7.6128495555316932E-3</v>
      </c>
      <c r="I38" s="351">
        <f>$D38/1000*'Falhas UM-4 Qty'!I38</f>
        <v>8.2186089507464768E-3</v>
      </c>
      <c r="J38" s="351">
        <f>$D38/1000*'Falhas UM-4 Qty'!J38</f>
        <v>8.6606515178663697E-3</v>
      </c>
      <c r="K38" s="351">
        <f>$D38/1000*'Falhas UM-4 Qty'!K38</f>
        <v>8.4503507207312166E-3</v>
      </c>
      <c r="L38" s="351">
        <f>$D38/1000*'Falhas UM-4 Qty'!L38</f>
        <v>8.4334473878273329E-3</v>
      </c>
      <c r="M38" s="351">
        <f>$D38/1000*'Falhas UM-4 Qty'!M38</f>
        <v>8.4234762728380985E-3</v>
      </c>
      <c r="N38" s="351">
        <f>$D38/1000*'Falhas UM-4 Qty'!N38</f>
        <v>6.2341102334122402E-3</v>
      </c>
      <c r="O38" s="351">
        <f>$D38/1000*'Falhas UM-4 Qty'!O38</f>
        <v>6.5113290548073606E-3</v>
      </c>
      <c r="P38" s="609">
        <f>$D38/1000*'Falhas UM-4 Qty'!P38</f>
        <v>8.0545184560002359E-3</v>
      </c>
      <c r="Q38" s="835">
        <f t="shared" si="0"/>
        <v>4.7754375664823503E-2</v>
      </c>
      <c r="R38" s="351">
        <f t="shared" si="1"/>
        <v>4.6107232125616487E-2</v>
      </c>
      <c r="S38" s="808">
        <f t="shared" si="2"/>
        <v>9.3861607790439991E-2</v>
      </c>
    </row>
    <row r="39" spans="1:19" ht="18" customHeight="1">
      <c r="A39" s="1002"/>
      <c r="B39" s="82">
        <v>4350</v>
      </c>
      <c r="C39" s="83" t="s">
        <v>216</v>
      </c>
      <c r="D39" s="321">
        <f t="shared" si="10"/>
        <v>156.09710000000001</v>
      </c>
      <c r="E39" s="351">
        <f>$D39/1000*'Falhas UM-4 Qty'!E39</f>
        <v>0.71849718898136439</v>
      </c>
      <c r="F39" s="351">
        <f>$D39/1000*'Falhas UM-4 Qty'!F39</f>
        <v>0.8203616101443274</v>
      </c>
      <c r="G39" s="351">
        <f>$D39/1000*'Falhas UM-4 Qty'!G39</f>
        <v>0.7430432142858191</v>
      </c>
      <c r="H39" s="351">
        <f>$D39/1000*'Falhas UM-4 Qty'!H39</f>
        <v>0.74677922593182355</v>
      </c>
      <c r="I39" s="351">
        <f>$D39/1000*'Falhas UM-4 Qty'!I39</f>
        <v>0.80620093510388036</v>
      </c>
      <c r="J39" s="351">
        <f>$D39/1000*'Falhas UM-4 Qty'!J39</f>
        <v>0.84956291194248013</v>
      </c>
      <c r="K39" s="351">
        <f>$D39/1000*'Falhas UM-4 Qty'!K39</f>
        <v>0.82893354506062444</v>
      </c>
      <c r="L39" s="351">
        <f>$D39/1000*'Falhas UM-4 Qty'!L39</f>
        <v>0.82727541983832076</v>
      </c>
      <c r="M39" s="351">
        <f>$D39/1000*'Falhas UM-4 Qty'!M39</f>
        <v>0.82629730757181374</v>
      </c>
      <c r="N39" s="351">
        <f>$D39/1000*'Falhas UM-4 Qty'!N39</f>
        <v>0.61153238094642814</v>
      </c>
      <c r="O39" s="351">
        <f>$D39/1000*'Falhas UM-4 Qty'!O39</f>
        <v>0.63872604283939871</v>
      </c>
      <c r="P39" s="609">
        <f>$D39/1000*'Falhas UM-4 Qty'!P39</f>
        <v>0.79010454809984076</v>
      </c>
      <c r="Q39" s="835">
        <f t="shared" si="0"/>
        <v>4.6844450863896947</v>
      </c>
      <c r="R39" s="351">
        <f t="shared" si="1"/>
        <v>4.5228692443564267</v>
      </c>
      <c r="S39" s="808">
        <f t="shared" si="2"/>
        <v>9.2073143307461223</v>
      </c>
    </row>
    <row r="40" spans="1:19" ht="18" customHeight="1">
      <c r="A40" s="1002"/>
      <c r="B40" s="82">
        <v>4360</v>
      </c>
      <c r="C40" s="90" t="s">
        <v>115</v>
      </c>
      <c r="D40" s="322">
        <f t="shared" si="10"/>
        <v>156.09710000000001</v>
      </c>
      <c r="E40" s="351">
        <f>$D40/1000*'Falhas UM-4 Qty'!E40</f>
        <v>0.73516965943487755</v>
      </c>
      <c r="F40" s="351">
        <f>$D40/1000*'Falhas UM-4 Qty'!F40</f>
        <v>0.83939780808091047</v>
      </c>
      <c r="G40" s="351">
        <f>$D40/1000*'Falhas UM-4 Qty'!G40</f>
        <v>0.76028526648288774</v>
      </c>
      <c r="H40" s="351">
        <f>$D40/1000*'Falhas UM-4 Qty'!H40</f>
        <v>0.76410797094375238</v>
      </c>
      <c r="I40" s="351">
        <f>$D40/1000*'Falhas UM-4 Qty'!I40</f>
        <v>0.82490853963768562</v>
      </c>
      <c r="J40" s="351">
        <f>$D40/1000*'Falhas UM-4 Qty'!J40</f>
        <v>0.86927671564969111</v>
      </c>
      <c r="K40" s="351">
        <f>$D40/1000*'Falhas UM-4 Qty'!K40</f>
        <v>0.84816865168302169</v>
      </c>
      <c r="L40" s="351">
        <f>$D40/1000*'Falhas UM-4 Qty'!L40</f>
        <v>0.84647205025760808</v>
      </c>
      <c r="M40" s="351">
        <f>$D40/1000*'Falhas UM-4 Qty'!M40</f>
        <v>0.84547124124556949</v>
      </c>
      <c r="N40" s="351">
        <f>$D40/1000*'Falhas UM-4 Qty'!N40</f>
        <v>0.62572277126256926</v>
      </c>
      <c r="O40" s="351">
        <f>$D40/1000*'Falhas UM-4 Qty'!O40</f>
        <v>0.65354745235977119</v>
      </c>
      <c r="P40" s="609">
        <f>$D40/1000*'Falhas UM-4 Qty'!P40</f>
        <v>0.80843864172664659</v>
      </c>
      <c r="Q40" s="835">
        <f t="shared" si="0"/>
        <v>4.7931459602298041</v>
      </c>
      <c r="R40" s="351">
        <f t="shared" si="1"/>
        <v>4.6278208085351862</v>
      </c>
      <c r="S40" s="808">
        <f t="shared" si="2"/>
        <v>9.4209667687649912</v>
      </c>
    </row>
    <row r="41" spans="1:19" ht="18" customHeight="1">
      <c r="A41" s="1002"/>
      <c r="B41" s="82">
        <v>4370</v>
      </c>
      <c r="C41" s="90" t="s">
        <v>126</v>
      </c>
      <c r="D41" s="322">
        <f t="shared" si="10"/>
        <v>156.09710000000001</v>
      </c>
      <c r="E41" s="351">
        <f>$D41/1000*'Falhas UM-4 Qty'!E41</f>
        <v>0</v>
      </c>
      <c r="F41" s="351">
        <f>$D41/1000*'Falhas UM-4 Qty'!F41</f>
        <v>0</v>
      </c>
      <c r="G41" s="351">
        <f>$D41/1000*'Falhas UM-4 Qty'!G41</f>
        <v>0</v>
      </c>
      <c r="H41" s="351">
        <f>$D41/1000*'Falhas UM-4 Qty'!H41</f>
        <v>0</v>
      </c>
      <c r="I41" s="351">
        <f>$D41/1000*'Falhas UM-4 Qty'!I41</f>
        <v>0</v>
      </c>
      <c r="J41" s="351">
        <f>$D41/1000*'Falhas UM-4 Qty'!J41</f>
        <v>0</v>
      </c>
      <c r="K41" s="351">
        <f>$D41/1000*'Falhas UM-4 Qty'!K41</f>
        <v>0</v>
      </c>
      <c r="L41" s="351">
        <f>$D41/1000*'Falhas UM-4 Qty'!L41</f>
        <v>0</v>
      </c>
      <c r="M41" s="351">
        <f>$D41/1000*'Falhas UM-4 Qty'!M41</f>
        <v>0</v>
      </c>
      <c r="N41" s="351">
        <f>$D41/1000*'Falhas UM-4 Qty'!N41</f>
        <v>0</v>
      </c>
      <c r="O41" s="351">
        <f>$D41/1000*'Falhas UM-4 Qty'!O41</f>
        <v>0</v>
      </c>
      <c r="P41" s="609">
        <f>$D41/1000*'Falhas UM-4 Qty'!P41</f>
        <v>0</v>
      </c>
      <c r="Q41" s="835">
        <f t="shared" si="0"/>
        <v>0</v>
      </c>
      <c r="R41" s="351">
        <f t="shared" si="1"/>
        <v>0</v>
      </c>
      <c r="S41" s="808">
        <f t="shared" si="2"/>
        <v>0</v>
      </c>
    </row>
    <row r="42" spans="1:19" ht="18" customHeight="1">
      <c r="A42" s="1002"/>
      <c r="B42" s="82">
        <v>4380</v>
      </c>
      <c r="C42" s="90" t="s">
        <v>127</v>
      </c>
      <c r="D42" s="322">
        <f t="shared" si="10"/>
        <v>156.09710000000001</v>
      </c>
      <c r="E42" s="351">
        <f>$D42/1000*'Falhas UM-4 Qty'!E42</f>
        <v>0</v>
      </c>
      <c r="F42" s="351">
        <f>$D42/1000*'Falhas UM-4 Qty'!F42</f>
        <v>0</v>
      </c>
      <c r="G42" s="351">
        <f>$D42/1000*'Falhas UM-4 Qty'!G42</f>
        <v>0</v>
      </c>
      <c r="H42" s="351">
        <f>$D42/1000*'Falhas UM-4 Qty'!H42</f>
        <v>0</v>
      </c>
      <c r="I42" s="351">
        <f>$D42/1000*'Falhas UM-4 Qty'!I42</f>
        <v>0</v>
      </c>
      <c r="J42" s="351">
        <f>$D42/1000*'Falhas UM-4 Qty'!J42</f>
        <v>0</v>
      </c>
      <c r="K42" s="351">
        <f>$D42/1000*'Falhas UM-4 Qty'!K42</f>
        <v>0</v>
      </c>
      <c r="L42" s="351">
        <f>$D42/1000*'Falhas UM-4 Qty'!L42</f>
        <v>0</v>
      </c>
      <c r="M42" s="351">
        <f>$D42/1000*'Falhas UM-4 Qty'!M42</f>
        <v>0</v>
      </c>
      <c r="N42" s="351">
        <f>$D42/1000*'Falhas UM-4 Qty'!N42</f>
        <v>0</v>
      </c>
      <c r="O42" s="351">
        <f>$D42/1000*'Falhas UM-4 Qty'!O42</f>
        <v>0</v>
      </c>
      <c r="P42" s="609">
        <f>$D42/1000*'Falhas UM-4 Qty'!P42</f>
        <v>0</v>
      </c>
      <c r="Q42" s="835">
        <f t="shared" si="0"/>
        <v>0</v>
      </c>
      <c r="R42" s="351">
        <f t="shared" si="1"/>
        <v>0</v>
      </c>
      <c r="S42" s="808">
        <f t="shared" si="2"/>
        <v>0</v>
      </c>
    </row>
    <row r="43" spans="1:19" ht="18" customHeight="1">
      <c r="A43" s="1002"/>
      <c r="B43" s="82">
        <v>4390</v>
      </c>
      <c r="C43" s="90" t="s">
        <v>157</v>
      </c>
      <c r="D43" s="322">
        <f t="shared" si="10"/>
        <v>156.09710000000001</v>
      </c>
      <c r="E43" s="351">
        <f>$D43/1000*'Falhas UM-4 Qty'!E43</f>
        <v>0</v>
      </c>
      <c r="F43" s="351">
        <f>$D43/1000*'Falhas UM-4 Qty'!F43</f>
        <v>0</v>
      </c>
      <c r="G43" s="351">
        <f>$D43/1000*'Falhas UM-4 Qty'!G43</f>
        <v>0</v>
      </c>
      <c r="H43" s="351">
        <f>$D43/1000*'Falhas UM-4 Qty'!H43</f>
        <v>0</v>
      </c>
      <c r="I43" s="351">
        <f>$D43/1000*'Falhas UM-4 Qty'!I43</f>
        <v>0</v>
      </c>
      <c r="J43" s="351">
        <f>$D43/1000*'Falhas UM-4 Qty'!J43</f>
        <v>0</v>
      </c>
      <c r="K43" s="351">
        <f>$D43/1000*'Falhas UM-4 Qty'!K43</f>
        <v>0</v>
      </c>
      <c r="L43" s="351">
        <f>$D43/1000*'Falhas UM-4 Qty'!L43</f>
        <v>0</v>
      </c>
      <c r="M43" s="351">
        <f>$D43/1000*'Falhas UM-4 Qty'!M43</f>
        <v>0</v>
      </c>
      <c r="N43" s="351">
        <f>$D43/1000*'Falhas UM-4 Qty'!N43</f>
        <v>0</v>
      </c>
      <c r="O43" s="351">
        <f>$D43/1000*'Falhas UM-4 Qty'!O43</f>
        <v>0</v>
      </c>
      <c r="P43" s="609">
        <f>$D43/1000*'Falhas UM-4 Qty'!P43</f>
        <v>0</v>
      </c>
      <c r="Q43" s="835">
        <f t="shared" si="0"/>
        <v>0</v>
      </c>
      <c r="R43" s="351">
        <f t="shared" si="1"/>
        <v>0</v>
      </c>
      <c r="S43" s="808">
        <f t="shared" si="2"/>
        <v>0</v>
      </c>
    </row>
    <row r="44" spans="1:19" ht="18" customHeight="1">
      <c r="A44" s="1002"/>
      <c r="B44" s="82">
        <v>4400</v>
      </c>
      <c r="C44" s="93" t="s">
        <v>158</v>
      </c>
      <c r="D44" s="323">
        <f t="shared" si="10"/>
        <v>156.09710000000001</v>
      </c>
      <c r="E44" s="351">
        <f>$D44/1000*'Falhas UM-4 Qty'!E44</f>
        <v>0</v>
      </c>
      <c r="F44" s="351">
        <f>$D44/1000*'Falhas UM-4 Qty'!F44</f>
        <v>0</v>
      </c>
      <c r="G44" s="351">
        <f>$D44/1000*'Falhas UM-4 Qty'!G44</f>
        <v>0</v>
      </c>
      <c r="H44" s="351">
        <f>$D44/1000*'Falhas UM-4 Qty'!H44</f>
        <v>0</v>
      </c>
      <c r="I44" s="351">
        <f>$D44/1000*'Falhas UM-4 Qty'!I44</f>
        <v>0</v>
      </c>
      <c r="J44" s="351">
        <f>$D44/1000*'Falhas UM-4 Qty'!J44</f>
        <v>0</v>
      </c>
      <c r="K44" s="351">
        <f>$D44/1000*'Falhas UM-4 Qty'!K44</f>
        <v>0</v>
      </c>
      <c r="L44" s="351">
        <f>$D44/1000*'Falhas UM-4 Qty'!L44</f>
        <v>0</v>
      </c>
      <c r="M44" s="351">
        <f>$D44/1000*'Falhas UM-4 Qty'!M44</f>
        <v>0</v>
      </c>
      <c r="N44" s="351">
        <f>$D44/1000*'Falhas UM-4 Qty'!N44</f>
        <v>0</v>
      </c>
      <c r="O44" s="351">
        <f>$D44/1000*'Falhas UM-4 Qty'!O44</f>
        <v>0</v>
      </c>
      <c r="P44" s="609">
        <f>$D44/1000*'Falhas UM-4 Qty'!P44</f>
        <v>0</v>
      </c>
      <c r="Q44" s="835">
        <f t="shared" si="0"/>
        <v>0</v>
      </c>
      <c r="R44" s="351">
        <f t="shared" si="1"/>
        <v>0</v>
      </c>
      <c r="S44" s="808">
        <f t="shared" si="2"/>
        <v>0</v>
      </c>
    </row>
    <row r="45" spans="1:19" ht="18" customHeight="1">
      <c r="A45" s="1002"/>
      <c r="B45" s="82">
        <v>4410</v>
      </c>
      <c r="C45" s="90" t="s">
        <v>130</v>
      </c>
      <c r="D45" s="322">
        <f t="shared" si="10"/>
        <v>156.09710000000001</v>
      </c>
      <c r="E45" s="351">
        <f>$D45/1000*'Falhas UM-4 Qty'!E45</f>
        <v>0</v>
      </c>
      <c r="F45" s="351">
        <f>$D45/1000*'Falhas UM-4 Qty'!F45</f>
        <v>0</v>
      </c>
      <c r="G45" s="351">
        <f>$D45/1000*'Falhas UM-4 Qty'!G45</f>
        <v>0</v>
      </c>
      <c r="H45" s="351">
        <f>$D45/1000*'Falhas UM-4 Qty'!H45</f>
        <v>0</v>
      </c>
      <c r="I45" s="351">
        <f>$D45/1000*'Falhas UM-4 Qty'!I45</f>
        <v>0</v>
      </c>
      <c r="J45" s="351">
        <f>$D45/1000*'Falhas UM-4 Qty'!J45</f>
        <v>0</v>
      </c>
      <c r="K45" s="351">
        <f>$D45/1000*'Falhas UM-4 Qty'!K45</f>
        <v>0</v>
      </c>
      <c r="L45" s="351">
        <f>$D45/1000*'Falhas UM-4 Qty'!L45</f>
        <v>0</v>
      </c>
      <c r="M45" s="351">
        <f>$D45/1000*'Falhas UM-4 Qty'!M45</f>
        <v>0</v>
      </c>
      <c r="N45" s="351">
        <f>$D45/1000*'Falhas UM-4 Qty'!N45</f>
        <v>0</v>
      </c>
      <c r="O45" s="351">
        <f>$D45/1000*'Falhas UM-4 Qty'!O45</f>
        <v>0</v>
      </c>
      <c r="P45" s="609">
        <f>$D45/1000*'Falhas UM-4 Qty'!P45</f>
        <v>0</v>
      </c>
      <c r="Q45" s="835">
        <f t="shared" si="0"/>
        <v>0</v>
      </c>
      <c r="R45" s="351">
        <f t="shared" si="1"/>
        <v>0</v>
      </c>
      <c r="S45" s="808">
        <f t="shared" si="2"/>
        <v>0</v>
      </c>
    </row>
    <row r="46" spans="1:19" ht="18" customHeight="1">
      <c r="A46" s="1002"/>
      <c r="B46" s="82">
        <v>4420</v>
      </c>
      <c r="C46" s="90" t="s">
        <v>131</v>
      </c>
      <c r="D46" s="322">
        <f t="shared" si="10"/>
        <v>156.09710000000001</v>
      </c>
      <c r="E46" s="351">
        <f>$D46/1000*'Falhas UM-4 Qty'!E46</f>
        <v>0</v>
      </c>
      <c r="F46" s="351">
        <f>$D46/1000*'Falhas UM-4 Qty'!F46</f>
        <v>0</v>
      </c>
      <c r="G46" s="351">
        <f>$D46/1000*'Falhas UM-4 Qty'!G46</f>
        <v>0</v>
      </c>
      <c r="H46" s="351">
        <f>$D46/1000*'Falhas UM-4 Qty'!H46</f>
        <v>0</v>
      </c>
      <c r="I46" s="351">
        <f>$D46/1000*'Falhas UM-4 Qty'!I46</f>
        <v>0</v>
      </c>
      <c r="J46" s="351">
        <f>$D46/1000*'Falhas UM-4 Qty'!J46</f>
        <v>0</v>
      </c>
      <c r="K46" s="351">
        <f>$D46/1000*'Falhas UM-4 Qty'!K46</f>
        <v>0</v>
      </c>
      <c r="L46" s="351">
        <f>$D46/1000*'Falhas UM-4 Qty'!L46</f>
        <v>0</v>
      </c>
      <c r="M46" s="351">
        <f>$D46/1000*'Falhas UM-4 Qty'!M46</f>
        <v>0</v>
      </c>
      <c r="N46" s="351">
        <f>$D46/1000*'Falhas UM-4 Qty'!N46</f>
        <v>0</v>
      </c>
      <c r="O46" s="351">
        <f>$D46/1000*'Falhas UM-4 Qty'!O46</f>
        <v>0</v>
      </c>
      <c r="P46" s="609">
        <f>$D46/1000*'Falhas UM-4 Qty'!P46</f>
        <v>0</v>
      </c>
      <c r="Q46" s="835">
        <f t="shared" si="0"/>
        <v>0</v>
      </c>
      <c r="R46" s="351">
        <f t="shared" si="1"/>
        <v>0</v>
      </c>
      <c r="S46" s="808">
        <f t="shared" si="2"/>
        <v>0</v>
      </c>
    </row>
    <row r="47" spans="1:19" ht="18" customHeight="1">
      <c r="A47" s="1002"/>
      <c r="B47" s="82">
        <v>4430</v>
      </c>
      <c r="C47" s="90" t="s">
        <v>159</v>
      </c>
      <c r="D47" s="322">
        <f t="shared" si="10"/>
        <v>156.09710000000001</v>
      </c>
      <c r="E47" s="351">
        <f>$D47/1000*'Falhas UM-4 Qty'!E47</f>
        <v>0</v>
      </c>
      <c r="F47" s="351">
        <f>$D47/1000*'Falhas UM-4 Qty'!F47</f>
        <v>0</v>
      </c>
      <c r="G47" s="351">
        <f>$D47/1000*'Falhas UM-4 Qty'!G47</f>
        <v>0</v>
      </c>
      <c r="H47" s="351">
        <f>$D47/1000*'Falhas UM-4 Qty'!H47</f>
        <v>0</v>
      </c>
      <c r="I47" s="351">
        <f>$D47/1000*'Falhas UM-4 Qty'!I47</f>
        <v>0</v>
      </c>
      <c r="J47" s="351">
        <f>$D47/1000*'Falhas UM-4 Qty'!J47</f>
        <v>0</v>
      </c>
      <c r="K47" s="351">
        <f>$D47/1000*'Falhas UM-4 Qty'!K47</f>
        <v>0</v>
      </c>
      <c r="L47" s="351">
        <f>$D47/1000*'Falhas UM-4 Qty'!L47</f>
        <v>0</v>
      </c>
      <c r="M47" s="351">
        <f>$D47/1000*'Falhas UM-4 Qty'!M47</f>
        <v>0</v>
      </c>
      <c r="N47" s="351">
        <f>$D47/1000*'Falhas UM-4 Qty'!N47</f>
        <v>0</v>
      </c>
      <c r="O47" s="351">
        <f>$D47/1000*'Falhas UM-4 Qty'!O47</f>
        <v>0</v>
      </c>
      <c r="P47" s="609">
        <f>$D47/1000*'Falhas UM-4 Qty'!P47</f>
        <v>0</v>
      </c>
      <c r="Q47" s="835">
        <f t="shared" si="0"/>
        <v>0</v>
      </c>
      <c r="R47" s="351">
        <f t="shared" si="1"/>
        <v>0</v>
      </c>
      <c r="S47" s="808">
        <f t="shared" si="2"/>
        <v>0</v>
      </c>
    </row>
    <row r="48" spans="1:19" ht="18" customHeight="1">
      <c r="A48" s="1002"/>
      <c r="B48" s="82">
        <v>4440</v>
      </c>
      <c r="C48" s="90" t="s">
        <v>160</v>
      </c>
      <c r="D48" s="322">
        <f t="shared" si="10"/>
        <v>156.09710000000001</v>
      </c>
      <c r="E48" s="351">
        <f>$D48/1000*'Falhas UM-4 Qty'!E48</f>
        <v>0</v>
      </c>
      <c r="F48" s="351">
        <f>$D48/1000*'Falhas UM-4 Qty'!F48</f>
        <v>0</v>
      </c>
      <c r="G48" s="351">
        <f>$D48/1000*'Falhas UM-4 Qty'!G48</f>
        <v>0</v>
      </c>
      <c r="H48" s="351">
        <f>$D48/1000*'Falhas UM-4 Qty'!H48</f>
        <v>0</v>
      </c>
      <c r="I48" s="351">
        <f>$D48/1000*'Falhas UM-4 Qty'!I48</f>
        <v>0</v>
      </c>
      <c r="J48" s="351">
        <f>$D48/1000*'Falhas UM-4 Qty'!J48</f>
        <v>0</v>
      </c>
      <c r="K48" s="351">
        <f>$D48/1000*'Falhas UM-4 Qty'!K48</f>
        <v>0</v>
      </c>
      <c r="L48" s="351">
        <f>$D48/1000*'Falhas UM-4 Qty'!L48</f>
        <v>0</v>
      </c>
      <c r="M48" s="351">
        <f>$D48/1000*'Falhas UM-4 Qty'!M48</f>
        <v>0</v>
      </c>
      <c r="N48" s="351">
        <f>$D48/1000*'Falhas UM-4 Qty'!N48</f>
        <v>0</v>
      </c>
      <c r="O48" s="351">
        <f>$D48/1000*'Falhas UM-4 Qty'!O48</f>
        <v>0</v>
      </c>
      <c r="P48" s="609">
        <f>$D48/1000*'Falhas UM-4 Qty'!P48</f>
        <v>0</v>
      </c>
      <c r="Q48" s="835">
        <f t="shared" si="0"/>
        <v>0</v>
      </c>
      <c r="R48" s="351">
        <f t="shared" si="1"/>
        <v>0</v>
      </c>
      <c r="S48" s="808">
        <f t="shared" si="2"/>
        <v>0</v>
      </c>
    </row>
    <row r="49" spans="1:20" ht="18" customHeight="1">
      <c r="A49" s="1002"/>
      <c r="B49" s="82">
        <v>4450</v>
      </c>
      <c r="C49" s="90" t="s">
        <v>161</v>
      </c>
      <c r="D49" s="322">
        <f t="shared" si="10"/>
        <v>156.09710000000001</v>
      </c>
      <c r="E49" s="351">
        <f>$D49/1000*'Falhas UM-4 Qty'!E49</f>
        <v>3.5003587013385746</v>
      </c>
      <c r="F49" s="351">
        <f>$D49/1000*'Falhas UM-4 Qty'!F49</f>
        <v>3.9966195335905463</v>
      </c>
      <c r="G49" s="351">
        <f>$D49/1000*'Falhas UM-4 Qty'!G49</f>
        <v>3.6199414840903565</v>
      </c>
      <c r="H49" s="351">
        <f>$D49/1000*'Falhas UM-4 Qty'!H49</f>
        <v>3.6381425029307146</v>
      </c>
      <c r="I49" s="351">
        <f>$D49/1000*'Falhas UM-4 Qty'!I49</f>
        <v>3.9276318703751487</v>
      </c>
      <c r="J49" s="351">
        <f>$D49/1000*'Falhas UM-4 Qty'!J49</f>
        <v>4.1388817893197452</v>
      </c>
      <c r="K49" s="351">
        <f>$D49/1000*'Falhas UM-4 Qty'!K49</f>
        <v>4.0383800963759171</v>
      </c>
      <c r="L49" s="351">
        <f>$D49/1000*'Falhas UM-4 Qty'!L49</f>
        <v>4.0303020786205126</v>
      </c>
      <c r="M49" s="351">
        <f>$D49/1000*'Falhas UM-4 Qty'!M49</f>
        <v>4.0255369329310664</v>
      </c>
      <c r="N49" s="351">
        <f>$D49/1000*'Falhas UM-4 Qty'!N49</f>
        <v>2.9792499172208249</v>
      </c>
      <c r="O49" s="351">
        <f>$D49/1000*'Falhas UM-4 Qty'!O49</f>
        <v>3.1117313972990828</v>
      </c>
      <c r="P49" s="609">
        <f>$D49/1000*'Falhas UM-4 Qty'!P49</f>
        <v>3.8492138484625196</v>
      </c>
      <c r="Q49" s="835">
        <f t="shared" si="0"/>
        <v>22.821575881645089</v>
      </c>
      <c r="R49" s="351">
        <f t="shared" si="1"/>
        <v>22.03441427090992</v>
      </c>
      <c r="S49" s="808">
        <f t="shared" si="2"/>
        <v>44.855990152555009</v>
      </c>
    </row>
    <row r="50" spans="1:20" ht="18" customHeight="1">
      <c r="A50" s="1002"/>
      <c r="B50" s="82">
        <v>4460</v>
      </c>
      <c r="C50" s="90" t="s">
        <v>217</v>
      </c>
      <c r="D50" s="322">
        <f t="shared" si="10"/>
        <v>156.09710000000001</v>
      </c>
      <c r="E50" s="351">
        <f>$D50/1000*'Falhas UM-4 Qty'!E50</f>
        <v>0.65360421613715569</v>
      </c>
      <c r="F50" s="351">
        <f>$D50/1000*'Falhas UM-4 Qty'!F50</f>
        <v>0.74626848284204639</v>
      </c>
      <c r="G50" s="351">
        <f>$D50/1000*'Falhas UM-4 Qty'!G50</f>
        <v>0.67593330228312387</v>
      </c>
      <c r="H50" s="351">
        <f>$D50/1000*'Falhas UM-4 Qty'!H50</f>
        <v>0.67933188616182749</v>
      </c>
      <c r="I50" s="351">
        <f>$D50/1000*'Falhas UM-4 Qty'!I50</f>
        <v>0.73338676659913926</v>
      </c>
      <c r="J50" s="351">
        <f>$D50/1000*'Falhas UM-4 Qty'!J50</f>
        <v>0.77283239187977704</v>
      </c>
      <c r="K50" s="351">
        <f>$D50/1000*'Falhas UM-4 Qty'!K50</f>
        <v>0.75406622079797103</v>
      </c>
      <c r="L50" s="351">
        <f>$D50/1000*'Falhas UM-4 Qty'!L50</f>
        <v>0.75255785353808302</v>
      </c>
      <c r="M50" s="351">
        <f>$D50/1000*'Falhas UM-4 Qty'!M50</f>
        <v>0.75166808206639391</v>
      </c>
      <c r="N50" s="351">
        <f>$D50/1000*'Falhas UM-4 Qty'!N50</f>
        <v>0.55630021748261227</v>
      </c>
      <c r="O50" s="351">
        <f>$D50/1000*'Falhas UM-4 Qty'!O50</f>
        <v>0.58103781192004145</v>
      </c>
      <c r="P50" s="609">
        <f>$D50/1000*'Falhas UM-4 Qty'!P50</f>
        <v>0.71874416733534685</v>
      </c>
      <c r="Q50" s="835">
        <f t="shared" si="0"/>
        <v>4.2613570459030692</v>
      </c>
      <c r="R50" s="351">
        <f t="shared" si="1"/>
        <v>4.1143743531404482</v>
      </c>
      <c r="S50" s="808">
        <f t="shared" si="2"/>
        <v>8.3757313990435165</v>
      </c>
    </row>
    <row r="51" spans="1:20" ht="18" customHeight="1">
      <c r="A51" s="1002"/>
      <c r="B51" s="608">
        <v>4462</v>
      </c>
      <c r="C51" s="38" t="s">
        <v>248</v>
      </c>
      <c r="D51" s="611">
        <f t="shared" si="10"/>
        <v>156.09710000000001</v>
      </c>
      <c r="E51" s="609">
        <f>$D51/1000*'Falhas UM-4 Qty'!E51</f>
        <v>0.56756287258027149</v>
      </c>
      <c r="F51" s="609">
        <f>$D51/1000*'Falhas UM-4 Qty'!F51</f>
        <v>0.64802868981045869</v>
      </c>
      <c r="G51" s="609">
        <f>$D51/1000*'Falhas UM-4 Qty'!G51</f>
        <v>0.58695252760728045</v>
      </c>
      <c r="H51" s="609">
        <f>$D51/1000*'Falhas UM-4 Qty'!H51</f>
        <v>0.58990371730477364</v>
      </c>
      <c r="I51" s="609">
        <f>$D51/1000*'Falhas UM-4 Qty'!I51</f>
        <v>0.63684274012702813</v>
      </c>
      <c r="J51" s="609">
        <f>$D51/1000*'Falhas UM-4 Qty'!J51</f>
        <v>0.67109568991263013</v>
      </c>
      <c r="K51" s="609">
        <f>$D51/1000*'Falhas UM-4 Qty'!K51</f>
        <v>0.6547999229889242</v>
      </c>
      <c r="L51" s="609">
        <f>$D51/1000*'Falhas UM-4 Qty'!L51</f>
        <v>0.65349011923645195</v>
      </c>
      <c r="M51" s="609">
        <f>$D51/1000*'Falhas UM-4 Qty'!M51</f>
        <v>0.65271747848545369</v>
      </c>
      <c r="N51" s="609">
        <f>$D51/1000*'Falhas UM-4 Qty'!N51</f>
        <v>0.48306810399338929</v>
      </c>
      <c r="O51" s="609">
        <f>$D51/1000*'Falhas UM-4 Qty'!O51</f>
        <v>0.5045492080208559</v>
      </c>
      <c r="P51" s="609">
        <f>$D51/1000*'Falhas UM-4 Qty'!P51</f>
        <v>0.62412771244664389</v>
      </c>
      <c r="Q51" s="835">
        <f t="shared" si="0"/>
        <v>3.7003862373424425</v>
      </c>
      <c r="R51" s="351">
        <f t="shared" si="1"/>
        <v>3.5727525451717188</v>
      </c>
      <c r="S51" s="808">
        <f t="shared" si="2"/>
        <v>7.2731387825141613</v>
      </c>
    </row>
    <row r="52" spans="1:20" ht="18" customHeight="1">
      <c r="A52" s="1002"/>
      <c r="B52" s="608">
        <v>4464</v>
      </c>
      <c r="C52" s="38" t="s">
        <v>249</v>
      </c>
      <c r="D52" s="611">
        <f t="shared" si="10"/>
        <v>156.09710000000001</v>
      </c>
      <c r="E52" s="609">
        <f>$D52/1000*'Falhas UM-4 Qty'!E52</f>
        <v>0.23935267022919535</v>
      </c>
      <c r="F52" s="609">
        <f>$D52/1000*'Falhas UM-4 Qty'!F52</f>
        <v>0.27328672255481817</v>
      </c>
      <c r="G52" s="609">
        <f>$D52/1000*'Falhas UM-4 Qty'!G52</f>
        <v>0.24752967744680746</v>
      </c>
      <c r="H52" s="609">
        <f>$D52/1000*'Falhas UM-4 Qty'!H52</f>
        <v>0.24877425345516499</v>
      </c>
      <c r="I52" s="609">
        <f>$D52/1000*'Falhas UM-4 Qty'!I52</f>
        <v>0.26856938275842429</v>
      </c>
      <c r="J52" s="609">
        <f>$D52/1000*'Falhas UM-4 Qty'!J52</f>
        <v>0.28301454009780053</v>
      </c>
      <c r="K52" s="609">
        <f>$D52/1000*'Falhas UM-4 Qty'!K52</f>
        <v>0.27614228767422438</v>
      </c>
      <c r="L52" s="609">
        <f>$D52/1000*'Falhas UM-4 Qty'!L52</f>
        <v>0.27558991710740915</v>
      </c>
      <c r="M52" s="609">
        <f>$D52/1000*'Falhas UM-4 Qty'!M52</f>
        <v>0.27526407897420185</v>
      </c>
      <c r="N52" s="609">
        <f>$D52/1000*'Falhas UM-4 Qty'!N52</f>
        <v>0.20371952814270719</v>
      </c>
      <c r="O52" s="609">
        <f>$D52/1000*'Falhas UM-4 Qty'!O52</f>
        <v>0.21277854143769342</v>
      </c>
      <c r="P52" s="609">
        <f>$D52/1000*'Falhas UM-4 Qty'!P52</f>
        <v>0.26320720003935</v>
      </c>
      <c r="Q52" s="835">
        <f t="shared" si="0"/>
        <v>1.5605272465422109</v>
      </c>
      <c r="R52" s="351">
        <f t="shared" si="1"/>
        <v>1.5067015533755859</v>
      </c>
      <c r="S52" s="808">
        <f t="shared" si="2"/>
        <v>3.067228799917797</v>
      </c>
    </row>
    <row r="53" spans="1:20" ht="18" customHeight="1">
      <c r="A53" s="1002"/>
      <c r="B53" s="608">
        <v>4466</v>
      </c>
      <c r="C53" s="610" t="s">
        <v>116</v>
      </c>
      <c r="D53" s="612">
        <f>D33</f>
        <v>156.09710000000001</v>
      </c>
      <c r="E53" s="384">
        <f>$D53/1000*'Falhas UM-4 Qty'!E53</f>
        <v>1.9359641020645519</v>
      </c>
      <c r="F53" s="384">
        <f>$D53/1000*'Falhas UM-4 Qty'!F53</f>
        <v>2.2104340174286823</v>
      </c>
      <c r="G53" s="384">
        <f>$D53/1000*'Falhas UM-4 Qty'!G53</f>
        <v>2.0021024594117298</v>
      </c>
      <c r="H53" s="384">
        <f>$D53/1000*'Falhas UM-4 Qty'!H53</f>
        <v>2.0121690046153566</v>
      </c>
      <c r="I53" s="384">
        <f>$D53/1000*'Falhas UM-4 Qty'!I53</f>
        <v>2.1722786022653007</v>
      </c>
      <c r="J53" s="384">
        <f>$D53/1000*'Falhas UM-4 Qty'!J53</f>
        <v>2.2891158451125522</v>
      </c>
      <c r="K53" s="384">
        <f>$D53/1000*'Falhas UM-4 Qty'!K53</f>
        <v>2.2335307790273076</v>
      </c>
      <c r="L53" s="384">
        <f>$D53/1000*'Falhas UM-4 Qty'!L53</f>
        <v>2.2290630219416343</v>
      </c>
      <c r="M53" s="384">
        <f>$D53/1000*'Falhas UM-4 Qty'!M53</f>
        <v>2.2264275346150506</v>
      </c>
      <c r="N53" s="384">
        <f>$D53/1000*'Falhas UM-4 Qty'!N53</f>
        <v>1.6477513829118904</v>
      </c>
      <c r="O53" s="384">
        <f>$D53/1000*'Falhas UM-4 Qty'!O53</f>
        <v>1.7210236991238852</v>
      </c>
      <c r="P53" s="384">
        <f>$D53/1000*'Falhas UM-4 Qty'!P53</f>
        <v>2.1289074828083989</v>
      </c>
      <c r="Q53" s="838">
        <f t="shared" si="0"/>
        <v>12.622064030898173</v>
      </c>
      <c r="R53" s="354">
        <f t="shared" si="1"/>
        <v>12.186703900428167</v>
      </c>
      <c r="S53" s="812">
        <f t="shared" si="2"/>
        <v>24.80876793132634</v>
      </c>
    </row>
    <row r="54" spans="1:20" ht="18" customHeight="1" thickBot="1">
      <c r="A54" s="1002"/>
      <c r="B54" s="559"/>
      <c r="C54" s="560" t="s">
        <v>1</v>
      </c>
      <c r="D54" s="561"/>
      <c r="E54" s="562">
        <f>SUBTOTAL(109,E35:E53)</f>
        <v>9.1284863238588958</v>
      </c>
      <c r="F54" s="562">
        <f t="shared" ref="F54:M54" si="11">SUBTOTAL(109,F35:F53)</f>
        <v>10.42267089372786</v>
      </c>
      <c r="G54" s="562">
        <f t="shared" si="11"/>
        <v>9.4403428763034167</v>
      </c>
      <c r="H54" s="562">
        <f t="shared" si="11"/>
        <v>9.4878087978676753</v>
      </c>
      <c r="I54" s="562">
        <f t="shared" si="11"/>
        <v>10.242759920622186</v>
      </c>
      <c r="J54" s="562">
        <f t="shared" si="11"/>
        <v>10.793672601446758</v>
      </c>
      <c r="K54" s="562">
        <f t="shared" si="11"/>
        <v>10.531577082718471</v>
      </c>
      <c r="L54" s="562">
        <f t="shared" si="11"/>
        <v>10.510510648991009</v>
      </c>
      <c r="M54" s="562">
        <f t="shared" si="11"/>
        <v>10.498083760500789</v>
      </c>
      <c r="N54" s="562">
        <f>SUBTOTAL(109,N35:N53)</f>
        <v>7.7695014840359038</v>
      </c>
      <c r="O54" s="562">
        <f t="shared" ref="O54" si="12">SUBTOTAL(109,O35:O53)</f>
        <v>8.1149961839352276</v>
      </c>
      <c r="P54" s="562">
        <f t="shared" ref="P54" si="13">SUBTOTAL(109,P35:P53)</f>
        <v>10.03825578214639</v>
      </c>
      <c r="Q54" s="896">
        <f t="shared" si="0"/>
        <v>59.515741413826795</v>
      </c>
      <c r="R54" s="562">
        <f t="shared" si="1"/>
        <v>57.462924942327788</v>
      </c>
      <c r="S54" s="874">
        <f t="shared" si="2"/>
        <v>116.97866635615458</v>
      </c>
    </row>
    <row r="55" spans="1:20" ht="18" customHeight="1" thickTop="1">
      <c r="A55" s="1002"/>
      <c r="B55" s="868">
        <v>4470</v>
      </c>
      <c r="C55" s="869" t="s">
        <v>218</v>
      </c>
      <c r="D55" s="864">
        <v>0</v>
      </c>
      <c r="E55" s="865">
        <f>$D55/1000*'Falhas UM-4 Qty'!E55</f>
        <v>0</v>
      </c>
      <c r="F55" s="865">
        <f>$D55/1000*'Falhas UM-4 Qty'!F55</f>
        <v>0</v>
      </c>
      <c r="G55" s="865">
        <f>$D55/1000*'Falhas UM-4 Qty'!G55</f>
        <v>0</v>
      </c>
      <c r="H55" s="865">
        <f>$D55/1000*'Falhas UM-4 Qty'!H55</f>
        <v>0</v>
      </c>
      <c r="I55" s="865">
        <f>$D55/1000*'Falhas UM-4 Qty'!I55</f>
        <v>0</v>
      </c>
      <c r="J55" s="865">
        <f>$D55/1000*'Falhas UM-4 Qty'!J55</f>
        <v>0</v>
      </c>
      <c r="K55" s="865">
        <f>$D55/1000*'Falhas UM-4 Qty'!K55</f>
        <v>0</v>
      </c>
      <c r="L55" s="865">
        <f>$D55/1000*'Falhas UM-4 Qty'!L55</f>
        <v>0</v>
      </c>
      <c r="M55" s="865">
        <f>$D55/1000*'Falhas UM-4 Qty'!M55</f>
        <v>0</v>
      </c>
      <c r="N55" s="865">
        <f>$D55/1000*'Falhas UM-4 Qty'!N55</f>
        <v>0</v>
      </c>
      <c r="O55" s="865">
        <f>$D55/1000*'Falhas UM-4 Qty'!O55</f>
        <v>0</v>
      </c>
      <c r="P55" s="865">
        <f>$D55/1000*'Falhas UM-4 Qty'!P55</f>
        <v>0</v>
      </c>
      <c r="Q55" s="897">
        <f t="shared" si="0"/>
        <v>0</v>
      </c>
      <c r="R55" s="865">
        <f t="shared" si="1"/>
        <v>0</v>
      </c>
      <c r="S55" s="875">
        <f t="shared" si="2"/>
        <v>0</v>
      </c>
    </row>
    <row r="56" spans="1:20" ht="18" customHeight="1">
      <c r="A56" s="1002"/>
      <c r="B56" s="102">
        <v>4480</v>
      </c>
      <c r="C56" s="91" t="s">
        <v>219</v>
      </c>
      <c r="D56" s="866">
        <v>0</v>
      </c>
      <c r="E56" s="384">
        <f>$D56/1000*'Falhas UM-4 Qty'!E56</f>
        <v>0</v>
      </c>
      <c r="F56" s="384">
        <f>$D56/1000*'Falhas UM-4 Qty'!F56</f>
        <v>0</v>
      </c>
      <c r="G56" s="384">
        <f>$D56/1000*'Falhas UM-4 Qty'!G56</f>
        <v>0</v>
      </c>
      <c r="H56" s="384">
        <f>$D56/1000*'Falhas UM-4 Qty'!H56</f>
        <v>0</v>
      </c>
      <c r="I56" s="384">
        <f>$D56/1000*'Falhas UM-4 Qty'!I56</f>
        <v>0</v>
      </c>
      <c r="J56" s="384">
        <f>$D56/1000*'Falhas UM-4 Qty'!J56</f>
        <v>0</v>
      </c>
      <c r="K56" s="384">
        <f>$D56/1000*'Falhas UM-4 Qty'!K56</f>
        <v>0</v>
      </c>
      <c r="L56" s="384">
        <f>$D56/1000*'Falhas UM-4 Qty'!L56</f>
        <v>0</v>
      </c>
      <c r="M56" s="384">
        <f>$D56/1000*'Falhas UM-4 Qty'!M56</f>
        <v>0</v>
      </c>
      <c r="N56" s="384">
        <f>$D56/1000*'Falhas UM-4 Qty'!N56</f>
        <v>0</v>
      </c>
      <c r="O56" s="384">
        <f>$D56/1000*'Falhas UM-4 Qty'!O56</f>
        <v>0</v>
      </c>
      <c r="P56" s="384">
        <f>$D56/1000*'Falhas UM-4 Qty'!P56</f>
        <v>0</v>
      </c>
      <c r="Q56" s="898">
        <f t="shared" si="0"/>
        <v>0</v>
      </c>
      <c r="R56" s="384">
        <f t="shared" si="1"/>
        <v>0</v>
      </c>
      <c r="S56" s="812">
        <f t="shared" si="2"/>
        <v>0</v>
      </c>
    </row>
    <row r="57" spans="1:20" ht="18" customHeight="1">
      <c r="A57" s="1002"/>
      <c r="B57" s="79">
        <v>4480</v>
      </c>
      <c r="C57" s="80" t="s">
        <v>268</v>
      </c>
      <c r="D57" s="867">
        <f>D53</f>
        <v>156.09710000000001</v>
      </c>
      <c r="E57" s="383">
        <f>$D57/1000*'Falhas UM-4 Qty'!E57</f>
        <v>1422.5891466893615</v>
      </c>
      <c r="F57" s="383">
        <f>$D57/1000*'Falhas UM-4 Qty'!F57</f>
        <v>1624.2756977330339</v>
      </c>
      <c r="G57" s="383">
        <f>$D57/1000*'Falhas UM-4 Qty'!G57</f>
        <v>1471.1890712652464</v>
      </c>
      <c r="H57" s="383">
        <f>$D57/1000*'Falhas UM-4 Qty'!H57</f>
        <v>1478.5861908379004</v>
      </c>
      <c r="I57" s="383">
        <f>$D57/1000*'Falhas UM-4 Qty'!I57</f>
        <v>1596.2382566250251</v>
      </c>
      <c r="J57" s="383">
        <f>$D57/1000*'Falhas UM-4 Qty'!J57</f>
        <v>1682.0928411322268</v>
      </c>
      <c r="K57" s="383">
        <f>$D57/1000*'Falhas UM-4 Qty'!K57</f>
        <v>1641.2477078745628</v>
      </c>
      <c r="L57" s="383">
        <f>$D57/1000*'Falhas UM-4 Qty'!L57</f>
        <v>1637.9647013697704</v>
      </c>
      <c r="M57" s="383">
        <f>$D57/1000*'Falhas UM-4 Qty'!M57</f>
        <v>1636.0280871200346</v>
      </c>
      <c r="N57" s="383">
        <f>$D57/1000*'Falhas UM-4 Qty'!N57</f>
        <v>1210.8040801340655</v>
      </c>
      <c r="O57" s="383">
        <f>$D57/1000*'Falhas UM-4 Qty'!O57</f>
        <v>1264.6461951220524</v>
      </c>
      <c r="P57" s="383">
        <f>$D57/1000*'Falhas UM-4 Qty'!P57</f>
        <v>1564.3682008975668</v>
      </c>
      <c r="Q57" s="899">
        <f t="shared" ref="Q57:Q58" si="14">SUM(E57:J57)</f>
        <v>9274.9712042827941</v>
      </c>
      <c r="R57" s="383">
        <f t="shared" ref="R57:R58" si="15">SUM(K57:P57)</f>
        <v>8955.0589725180525</v>
      </c>
      <c r="S57" s="820">
        <f t="shared" ref="S57:S58" si="16">SUM(Q57:R57)</f>
        <v>18230.030176800847</v>
      </c>
    </row>
    <row r="58" spans="1:20" ht="18" customHeight="1">
      <c r="A58" s="1002"/>
      <c r="B58" s="195">
        <v>4485</v>
      </c>
      <c r="C58" s="91" t="s">
        <v>269</v>
      </c>
      <c r="D58" s="866">
        <f>D57</f>
        <v>156.09710000000001</v>
      </c>
      <c r="E58" s="384">
        <f>$D58/1000*'Falhas UM-4 Qty'!E58</f>
        <v>54.225069736493275</v>
      </c>
      <c r="F58" s="384">
        <f>$D58/1000*'Falhas UM-4 Qty'!F58</f>
        <v>61.912789919588441</v>
      </c>
      <c r="G58" s="384">
        <f>$D58/1000*'Falhas UM-4 Qty'!G58</f>
        <v>56.077561234441646</v>
      </c>
      <c r="H58" s="384">
        <f>$D58/1000*'Falhas UM-4 Qty'!H58</f>
        <v>56.359518485141749</v>
      </c>
      <c r="I58" s="384">
        <f>$D58/1000*'Falhas UM-4 Qty'!I58</f>
        <v>60.844082061910285</v>
      </c>
      <c r="J58" s="384">
        <f>$D58/1000*'Falhas UM-4 Qty'!J58</f>
        <v>64.116615697454208</v>
      </c>
      <c r="K58" s="384">
        <f>$D58/1000*'Falhas UM-4 Qty'!K58</f>
        <v>62.559714884280204</v>
      </c>
      <c r="L58" s="384">
        <f>$D58/1000*'Falhas UM-4 Qty'!L58</f>
        <v>62.43457597324462</v>
      </c>
      <c r="M58" s="384">
        <f>$D58/1000*'Falhas UM-4 Qty'!M58</f>
        <v>62.360757722213378</v>
      </c>
      <c r="N58" s="384">
        <f>$D58/1000*'Falhas UM-4 Qty'!N58</f>
        <v>46.15242273940742</v>
      </c>
      <c r="O58" s="384">
        <f>$D58/1000*'Falhas UM-4 Qty'!O58</f>
        <v>48.204731690855802</v>
      </c>
      <c r="P58" s="384">
        <f>$D58/1000*'Falhas UM-4 Qty'!P58</f>
        <v>59.629285788264376</v>
      </c>
      <c r="Q58" s="898">
        <f t="shared" si="14"/>
        <v>353.53563713502962</v>
      </c>
      <c r="R58" s="384">
        <f t="shared" si="15"/>
        <v>341.3414887982658</v>
      </c>
      <c r="S58" s="812">
        <f t="shared" si="16"/>
        <v>694.87712593329547</v>
      </c>
    </row>
    <row r="59" spans="1:20" ht="18" customHeight="1">
      <c r="A59" s="1002"/>
      <c r="B59" s="870">
        <v>4490</v>
      </c>
      <c r="C59" s="100" t="s">
        <v>67</v>
      </c>
      <c r="D59" s="200">
        <f>'[33]Outras Perdas'!$F$62*1000</f>
        <v>180</v>
      </c>
      <c r="E59" s="382">
        <f>$D57/1000*'Falhas UM-4 Qty'!E59</f>
        <v>3.7903581618734875E-2</v>
      </c>
      <c r="F59" s="382">
        <f>$D57/1000*'Falhas UM-4 Qty'!F57</f>
        <v>1624.2756977330339</v>
      </c>
      <c r="G59" s="382">
        <f>$D57/1000*'Falhas UM-4 Qty'!G57</f>
        <v>1471.1890712652464</v>
      </c>
      <c r="H59" s="382">
        <f>$D57/1000*'Falhas UM-4 Qty'!H57</f>
        <v>1478.5861908379004</v>
      </c>
      <c r="I59" s="382">
        <f>$D57/1000*'Falhas UM-4 Qty'!I57</f>
        <v>1596.2382566250251</v>
      </c>
      <c r="J59" s="382">
        <f>$D57/1000*'Falhas UM-4 Qty'!J57</f>
        <v>1682.0928411322268</v>
      </c>
      <c r="K59" s="382">
        <f>$D57/1000*'Falhas UM-4 Qty'!K57</f>
        <v>1641.2477078745628</v>
      </c>
      <c r="L59" s="382">
        <f>$D57/1000*'Falhas UM-4 Qty'!L57</f>
        <v>1637.9647013697704</v>
      </c>
      <c r="M59" s="382">
        <f>$D57/1000*'Falhas UM-4 Qty'!M57</f>
        <v>1636.0280871200346</v>
      </c>
      <c r="N59" s="382">
        <f>$D57/1000*'Falhas UM-4 Qty'!N57</f>
        <v>1210.8040801340655</v>
      </c>
      <c r="O59" s="382">
        <f>$D57/1000*'Falhas UM-4 Qty'!O57</f>
        <v>1264.6461951220524</v>
      </c>
      <c r="P59" s="382">
        <f>$D57/1000*'Falhas UM-4 Qty'!P57</f>
        <v>1564.3682008975668</v>
      </c>
      <c r="Q59" s="900">
        <f t="shared" si="0"/>
        <v>7852.419961175051</v>
      </c>
      <c r="R59" s="382">
        <f t="shared" si="1"/>
        <v>8955.0589725180525</v>
      </c>
      <c r="S59" s="818">
        <f t="shared" si="2"/>
        <v>16807.478933693103</v>
      </c>
    </row>
    <row r="60" spans="1:20" ht="18" customHeight="1" thickBot="1">
      <c r="A60" s="1003"/>
      <c r="B60" s="103">
        <v>4500</v>
      </c>
      <c r="C60" s="91" t="s">
        <v>66</v>
      </c>
      <c r="D60" s="871">
        <f>'[33]Outras Perdas'!$F$53</f>
        <v>5.8390659999999997E-2</v>
      </c>
      <c r="E60" s="384">
        <f>$D58/1000*'Falhas UM-4 Qty'!E60</f>
        <v>6.8284456018273572</v>
      </c>
      <c r="F60" s="384">
        <f>$D58/1000*'Falhas UM-4 Qty'!F58</f>
        <v>61.912789919588441</v>
      </c>
      <c r="G60" s="384">
        <f>$D58/1000*'Falhas UM-4 Qty'!G58</f>
        <v>56.077561234441646</v>
      </c>
      <c r="H60" s="384">
        <f>$D58/1000*'Falhas UM-4 Qty'!H58</f>
        <v>56.359518485141749</v>
      </c>
      <c r="I60" s="384">
        <f>$D58/1000*'Falhas UM-4 Qty'!I58</f>
        <v>60.844082061910285</v>
      </c>
      <c r="J60" s="384">
        <f>$D58/1000*'Falhas UM-4 Qty'!J58</f>
        <v>64.116615697454208</v>
      </c>
      <c r="K60" s="384">
        <f>$D58/1000*'Falhas UM-4 Qty'!K58</f>
        <v>62.559714884280204</v>
      </c>
      <c r="L60" s="384">
        <f>$D58/1000*'Falhas UM-4 Qty'!L58</f>
        <v>62.43457597324462</v>
      </c>
      <c r="M60" s="384">
        <f>$D58/1000*'Falhas UM-4 Qty'!M58</f>
        <v>62.360757722213378</v>
      </c>
      <c r="N60" s="384">
        <f>$D58/1000*'Falhas UM-4 Qty'!N58</f>
        <v>46.15242273940742</v>
      </c>
      <c r="O60" s="384">
        <f>$D58/1000*'Falhas UM-4 Qty'!O58</f>
        <v>48.204731690855802</v>
      </c>
      <c r="P60" s="384">
        <f>$D58/1000*'Falhas UM-4 Qty'!P58</f>
        <v>59.629285788264376</v>
      </c>
      <c r="Q60" s="898">
        <f t="shared" si="0"/>
        <v>306.13901300036372</v>
      </c>
      <c r="R60" s="384">
        <f t="shared" si="1"/>
        <v>341.3414887982658</v>
      </c>
      <c r="S60" s="812">
        <f t="shared" si="2"/>
        <v>647.48050179862958</v>
      </c>
    </row>
    <row r="61" spans="1:20" ht="18" customHeight="1" thickTop="1" thickBot="1">
      <c r="A61" s="105"/>
      <c r="B61" s="88"/>
      <c r="C61" s="104" t="s">
        <v>1</v>
      </c>
      <c r="D61" s="326">
        <f>'[33]Outras Perdas'!$F$62*1000</f>
        <v>180</v>
      </c>
      <c r="E61" s="385">
        <f>SUBTOTAL(109,E57:E58)</f>
        <v>1476.8142164258547</v>
      </c>
      <c r="F61" s="385">
        <f t="shared" ref="F61:P61" si="17">SUBTOTAL(109,F57:F58)</f>
        <v>1686.1884876526224</v>
      </c>
      <c r="G61" s="385">
        <f t="shared" si="17"/>
        <v>1527.2666324996881</v>
      </c>
      <c r="H61" s="385">
        <f t="shared" si="17"/>
        <v>1534.9457093230421</v>
      </c>
      <c r="I61" s="385">
        <f t="shared" si="17"/>
        <v>1657.0823386869354</v>
      </c>
      <c r="J61" s="385">
        <f t="shared" si="17"/>
        <v>1746.2094568296809</v>
      </c>
      <c r="K61" s="385">
        <f t="shared" si="17"/>
        <v>1703.8074227588431</v>
      </c>
      <c r="L61" s="385">
        <f t="shared" si="17"/>
        <v>1700.399277343015</v>
      </c>
      <c r="M61" s="385">
        <f t="shared" si="17"/>
        <v>1698.3888448422479</v>
      </c>
      <c r="N61" s="385">
        <f t="shared" si="17"/>
        <v>1256.956502873473</v>
      </c>
      <c r="O61" s="385">
        <f t="shared" si="17"/>
        <v>1312.8509268129083</v>
      </c>
      <c r="P61" s="385">
        <f t="shared" si="17"/>
        <v>1623.9974866858311</v>
      </c>
      <c r="Q61" s="901">
        <f t="shared" si="0"/>
        <v>9628.506841417824</v>
      </c>
      <c r="R61" s="385">
        <f t="shared" si="1"/>
        <v>9296.4004613163197</v>
      </c>
      <c r="S61" s="822">
        <f t="shared" si="2"/>
        <v>18924.907302734144</v>
      </c>
    </row>
    <row r="62" spans="1:20" ht="18" customHeight="1" thickTop="1" thickBot="1">
      <c r="A62" s="876"/>
      <c r="B62" s="563"/>
      <c r="C62" s="560" t="s">
        <v>59</v>
      </c>
      <c r="D62" s="561">
        <f>'[33]Outras Perdas'!$F$53</f>
        <v>5.8390659999999997E-2</v>
      </c>
      <c r="E62" s="562">
        <f>SUMIF($C$6:$C$61,$C$61,E6:E61)</f>
        <v>2608.5282730863819</v>
      </c>
      <c r="F62" s="562">
        <f t="shared" ref="F62:P62" si="18">SUMIF($C$6:$C$61,$C$61,F6:F61)</f>
        <v>2978.3504890951626</v>
      </c>
      <c r="G62" s="562">
        <f t="shared" si="18"/>
        <v>2697.64344567229</v>
      </c>
      <c r="H62" s="562">
        <f t="shared" si="18"/>
        <v>2711.2071619353956</v>
      </c>
      <c r="I62" s="562">
        <f t="shared" si="18"/>
        <v>2926.9396808477932</v>
      </c>
      <c r="J62" s="562">
        <f t="shared" si="18"/>
        <v>3084.3667999723166</v>
      </c>
      <c r="K62" s="562">
        <f t="shared" si="18"/>
        <v>3009.471187863543</v>
      </c>
      <c r="L62" s="562">
        <f t="shared" si="18"/>
        <v>3003.4513083302231</v>
      </c>
      <c r="M62" s="562">
        <f t="shared" si="18"/>
        <v>2999.9002387636838</v>
      </c>
      <c r="N62" s="562">
        <f t="shared" si="18"/>
        <v>2220.1889305484315</v>
      </c>
      <c r="O62" s="562">
        <f t="shared" si="18"/>
        <v>2318.9164370500685</v>
      </c>
      <c r="P62" s="562">
        <f t="shared" si="18"/>
        <v>2868.5012050423347</v>
      </c>
      <c r="Q62" s="896">
        <f t="shared" si="0"/>
        <v>17007.03585060934</v>
      </c>
      <c r="R62" s="562">
        <f t="shared" si="1"/>
        <v>16420.429307598286</v>
      </c>
      <c r="S62" s="874">
        <f t="shared" si="2"/>
        <v>33427.465158207626</v>
      </c>
      <c r="T62" s="234"/>
    </row>
    <row r="63" spans="1:20" ht="13.5" thickTop="1">
      <c r="A63" s="876"/>
      <c r="B63" s="174" t="s">
        <v>173</v>
      </c>
      <c r="C63" s="209" t="s">
        <v>175</v>
      </c>
      <c r="D63" s="209"/>
      <c r="E63" s="573">
        <f t="shared" ref="E63:P63" si="19">E15+E34</f>
        <v>1122.5855703366685</v>
      </c>
      <c r="F63" s="573">
        <f t="shared" si="19"/>
        <v>1281.7393305488122</v>
      </c>
      <c r="G63" s="573">
        <f t="shared" ref="G63:H63" si="20">G15+G34</f>
        <v>1160.9364702962985</v>
      </c>
      <c r="H63" s="573">
        <f t="shared" si="20"/>
        <v>1166.7736438144859</v>
      </c>
      <c r="I63" s="573">
        <f t="shared" ref="I63" si="21">I15+I34</f>
        <v>1259.6145822402354</v>
      </c>
      <c r="J63" s="573">
        <f t="shared" ref="J63:K63" si="22">J15+J34</f>
        <v>1327.3636705411886</v>
      </c>
      <c r="K63" s="573">
        <f t="shared" si="22"/>
        <v>1295.1321880219814</v>
      </c>
      <c r="L63" s="573">
        <f t="shared" ref="L63:M63" si="23">L15+L34</f>
        <v>1292.5415203382172</v>
      </c>
      <c r="M63" s="573">
        <f t="shared" si="23"/>
        <v>1291.0133101609349</v>
      </c>
      <c r="N63" s="573">
        <f t="shared" si="19"/>
        <v>955.46292619092264</v>
      </c>
      <c r="O63" s="573">
        <f t="shared" si="19"/>
        <v>997.95051405322488</v>
      </c>
      <c r="P63" s="891">
        <f t="shared" si="19"/>
        <v>1234.4654625743574</v>
      </c>
      <c r="Q63" s="902">
        <f>SUM(E63:J63)</f>
        <v>7319.0132677776892</v>
      </c>
      <c r="R63" s="573">
        <f>SUM(K63:P63)</f>
        <v>7066.5659213396375</v>
      </c>
      <c r="S63" s="877">
        <f>SUM(E63:P63)</f>
        <v>14385.579189117328</v>
      </c>
    </row>
    <row r="64" spans="1:20">
      <c r="A64" s="876"/>
      <c r="B64" s="174"/>
      <c r="C64" s="174" t="s">
        <v>176</v>
      </c>
      <c r="D64" s="174"/>
      <c r="E64" s="573">
        <v>1614.1923723924283</v>
      </c>
      <c r="F64" s="573">
        <v>1661.8458070399442</v>
      </c>
      <c r="G64" s="573">
        <f>'[7]Falhas UM-4'!$P$16+'[7]Falhas UM-4'!$P$35</f>
        <v>1160.9648484275817</v>
      </c>
      <c r="H64" s="573">
        <f>'[8]Falhas UM-4'!$P$16+'[8]Falhas UM-4'!$P$35</f>
        <v>1594.9282820379922</v>
      </c>
      <c r="I64" s="573">
        <f>'[9]Falhas UM-4'!$P$16+'[9]Falhas UM-4'!$P$35</f>
        <v>1812.1269802708021</v>
      </c>
      <c r="J64" s="573">
        <f>'[10]Falhas UM-4'!$P$16+'[10]Falhas UM-4'!$P$35</f>
        <v>1759.562829422408</v>
      </c>
      <c r="K64" s="573">
        <f>'[11]Falhas UM-4'!$P$16+'[11]Falhas UM-4'!$P$35</f>
        <v>1662.1476860517976</v>
      </c>
      <c r="L64" s="573">
        <f>'[12]Falhas UM-4'!$P$16+'[12]Falhas UM-4'!$P$35</f>
        <v>1646.1120641108912</v>
      </c>
      <c r="M64" s="573">
        <f>'[2]Falhas UM-4'!$P$16+'[2]Falhas UM-4'!$P$35</f>
        <v>1556.2163781480349</v>
      </c>
      <c r="N64" s="573">
        <f>'[13]Falhas UM-4 Cost'!$N$64</f>
        <v>1998.0580181021035</v>
      </c>
      <c r="O64" s="573">
        <f>'[13]Falhas UM-4 Cost'!O$64</f>
        <v>2030.8651679144805</v>
      </c>
      <c r="P64" s="891">
        <f>'[13]Falhas UM-4 Cost'!P$64</f>
        <v>2476.0797858616888</v>
      </c>
      <c r="Q64" s="902">
        <f t="shared" ref="Q64:Q70" si="24">SUM(E64:J64)</f>
        <v>9603.6211195911565</v>
      </c>
      <c r="R64" s="573">
        <f t="shared" ref="R64:R70" si="25">SUM(K64:P64)</f>
        <v>11369.479100188997</v>
      </c>
      <c r="S64" s="877">
        <f t="shared" ref="S64:S70" si="26">SUM(E64:P64)</f>
        <v>20973.100219780154</v>
      </c>
    </row>
    <row r="65" spans="1:19">
      <c r="A65" s="876"/>
      <c r="B65" s="174" t="s">
        <v>174</v>
      </c>
      <c r="C65" s="174" t="s">
        <v>175</v>
      </c>
      <c r="D65" s="174"/>
      <c r="E65" s="573">
        <f t="shared" ref="E65:P65" si="27">E54</f>
        <v>9.1284863238588958</v>
      </c>
      <c r="F65" s="573">
        <f t="shared" si="27"/>
        <v>10.42267089372786</v>
      </c>
      <c r="G65" s="573">
        <f t="shared" ref="G65:H65" si="28">G54</f>
        <v>9.4403428763034167</v>
      </c>
      <c r="H65" s="573">
        <f t="shared" si="28"/>
        <v>9.4878087978676753</v>
      </c>
      <c r="I65" s="573">
        <f t="shared" ref="I65" si="29">I54</f>
        <v>10.242759920622186</v>
      </c>
      <c r="J65" s="573">
        <f t="shared" ref="J65:K65" si="30">J54</f>
        <v>10.793672601446758</v>
      </c>
      <c r="K65" s="573">
        <f t="shared" si="30"/>
        <v>10.531577082718471</v>
      </c>
      <c r="L65" s="573">
        <f t="shared" ref="L65:M65" si="31">L54</f>
        <v>10.510510648991009</v>
      </c>
      <c r="M65" s="573">
        <f t="shared" si="31"/>
        <v>10.498083760500789</v>
      </c>
      <c r="N65" s="573">
        <f t="shared" si="27"/>
        <v>7.7695014840359038</v>
      </c>
      <c r="O65" s="573">
        <f t="shared" si="27"/>
        <v>8.1149961839352276</v>
      </c>
      <c r="P65" s="891">
        <f t="shared" si="27"/>
        <v>10.03825578214639</v>
      </c>
      <c r="Q65" s="902">
        <f t="shared" si="24"/>
        <v>59.515741413826795</v>
      </c>
      <c r="R65" s="573">
        <f t="shared" si="25"/>
        <v>57.462924942327788</v>
      </c>
      <c r="S65" s="877">
        <f t="shared" si="26"/>
        <v>116.9786663561546</v>
      </c>
    </row>
    <row r="66" spans="1:19">
      <c r="A66" s="876"/>
      <c r="B66" s="174"/>
      <c r="C66" s="174" t="s">
        <v>176</v>
      </c>
      <c r="D66" s="174"/>
      <c r="E66" s="573">
        <v>5.1956582156356186</v>
      </c>
      <c r="F66" s="573">
        <v>13.876964211493682</v>
      </c>
      <c r="G66" s="573">
        <f>'[7]Falhas UM-4'!$P$55</f>
        <v>8.7983859479515054</v>
      </c>
      <c r="H66" s="573">
        <f>'[8]Falhas UM-4'!$P$55</f>
        <v>12.888034448388382</v>
      </c>
      <c r="I66" s="573">
        <f>'[9]Falhas UM-4'!$P$55</f>
        <v>13.537474735050603</v>
      </c>
      <c r="J66" s="573">
        <f>'[10]Falhas UM-4'!$P$55</f>
        <v>14.022035973989116</v>
      </c>
      <c r="K66" s="573">
        <f>'[11]Falhas UM-4'!$P$55</f>
        <v>13.780469193764519</v>
      </c>
      <c r="L66" s="573">
        <f>'[12]Falhas UM-4'!$P$55</f>
        <v>14.943532422025161</v>
      </c>
      <c r="M66" s="573">
        <f>'[2]Falhas UM-4'!$P$55</f>
        <v>14.288028238276382</v>
      </c>
      <c r="N66" s="573">
        <f>'[13]Falhas UM-4 Cost'!$F$66</f>
        <v>13.300387815042095</v>
      </c>
      <c r="O66" s="573">
        <f>'[13]Falhas UM-4 Cost'!$F$66</f>
        <v>13.300387815042095</v>
      </c>
      <c r="P66" s="891">
        <f>'[13]Falhas UM-4 Cost'!$F$66</f>
        <v>13.300387815042095</v>
      </c>
      <c r="Q66" s="902">
        <f t="shared" si="24"/>
        <v>68.318553532508901</v>
      </c>
      <c r="R66" s="573">
        <f t="shared" si="25"/>
        <v>82.913193299192358</v>
      </c>
      <c r="S66" s="877">
        <f t="shared" si="26"/>
        <v>151.23174683170123</v>
      </c>
    </row>
    <row r="67" spans="1:19">
      <c r="A67" s="876"/>
      <c r="B67" s="174" t="s">
        <v>104</v>
      </c>
      <c r="C67" s="174" t="s">
        <v>175</v>
      </c>
      <c r="D67" s="174"/>
      <c r="E67" s="573">
        <f t="shared" ref="E67:P67" si="32">E61</f>
        <v>1476.8142164258547</v>
      </c>
      <c r="F67" s="573">
        <f t="shared" si="32"/>
        <v>1686.1884876526224</v>
      </c>
      <c r="G67" s="573">
        <f t="shared" ref="G67:H67" si="33">G61</f>
        <v>1527.2666324996881</v>
      </c>
      <c r="H67" s="573">
        <f t="shared" si="33"/>
        <v>1534.9457093230421</v>
      </c>
      <c r="I67" s="573">
        <f t="shared" ref="I67" si="34">I61</f>
        <v>1657.0823386869354</v>
      </c>
      <c r="J67" s="573">
        <f t="shared" ref="J67:K67" si="35">J61</f>
        <v>1746.2094568296809</v>
      </c>
      <c r="K67" s="573">
        <f t="shared" si="35"/>
        <v>1703.8074227588431</v>
      </c>
      <c r="L67" s="573">
        <f t="shared" ref="L67:M67" si="36">L61</f>
        <v>1700.399277343015</v>
      </c>
      <c r="M67" s="573">
        <f t="shared" si="36"/>
        <v>1698.3888448422479</v>
      </c>
      <c r="N67" s="573">
        <f t="shared" si="32"/>
        <v>1256.956502873473</v>
      </c>
      <c r="O67" s="573">
        <f t="shared" si="32"/>
        <v>1312.8509268129083</v>
      </c>
      <c r="P67" s="891">
        <f t="shared" si="32"/>
        <v>1623.9974866858311</v>
      </c>
      <c r="Q67" s="902">
        <f t="shared" si="24"/>
        <v>9628.506841417824</v>
      </c>
      <c r="R67" s="573">
        <f t="shared" si="25"/>
        <v>9296.4004613163197</v>
      </c>
      <c r="S67" s="877">
        <f t="shared" si="26"/>
        <v>18924.907302734144</v>
      </c>
    </row>
    <row r="68" spans="1:19">
      <c r="A68" s="876"/>
      <c r="B68" s="233"/>
      <c r="C68" s="174" t="s">
        <v>176</v>
      </c>
      <c r="D68" s="174"/>
      <c r="E68" s="574">
        <v>442.17188865564611</v>
      </c>
      <c r="F68" s="574">
        <v>2126.0339919202643</v>
      </c>
      <c r="G68" s="574">
        <f>'[7]Falhas UM-4'!$P$62</f>
        <v>1347.9485595501822</v>
      </c>
      <c r="H68" s="574">
        <f>'[8]Falhas UM-4'!$P$62</f>
        <v>1974.6070965637261</v>
      </c>
      <c r="I68" s="574">
        <f>'[9]Falhas UM-4'!$P$62</f>
        <v>2074.0621719998448</v>
      </c>
      <c r="J68" s="574">
        <f>'[10]Falhas UM-4'!$P$62</f>
        <v>2148.3116480409039</v>
      </c>
      <c r="K68" s="574">
        <f>'[11]Falhas UM-4'!$P$62</f>
        <v>2111.4299228736168</v>
      </c>
      <c r="L68" s="574">
        <f>'[12]Falhas UM-4'!$P$62</f>
        <v>2289.7583347845398</v>
      </c>
      <c r="M68" s="574">
        <f>'[2]Falhas UM-4'!$P$62</f>
        <v>2190.2797302210975</v>
      </c>
      <c r="N68" s="574">
        <f>'[13]Falhas UM-4 Cost'!$F$68</f>
        <v>1346.6682931794001</v>
      </c>
      <c r="O68" s="574">
        <f>'[13]Falhas UM-4 Cost'!$F$68</f>
        <v>1346.6682931794001</v>
      </c>
      <c r="P68" s="892">
        <f>'[13]Falhas UM-4 Cost'!$F$68</f>
        <v>1346.6682931794001</v>
      </c>
      <c r="Q68" s="902">
        <f t="shared" si="24"/>
        <v>10113.135356730569</v>
      </c>
      <c r="R68" s="573">
        <f t="shared" si="25"/>
        <v>10631.472867417455</v>
      </c>
      <c r="S68" s="877">
        <f t="shared" si="26"/>
        <v>20744.608224148018</v>
      </c>
    </row>
    <row r="69" spans="1:19">
      <c r="A69" s="876"/>
      <c r="B69" s="200" t="s">
        <v>220</v>
      </c>
      <c r="C69" s="174" t="s">
        <v>175</v>
      </c>
      <c r="D69" s="174"/>
      <c r="E69" s="656">
        <f>SUMIF($C$63:$C$68,$C69,E$63:E$68)</f>
        <v>2608.5282730863819</v>
      </c>
      <c r="F69" s="656">
        <f>F70</f>
        <v>3801.756763171702</v>
      </c>
      <c r="G69" s="656">
        <f t="shared" ref="G69:O69" si="37">G70</f>
        <v>2517.7117939257155</v>
      </c>
      <c r="H69" s="656">
        <f t="shared" si="37"/>
        <v>3582.4234130501068</v>
      </c>
      <c r="I69" s="656">
        <f t="shared" si="37"/>
        <v>3899.7266270056975</v>
      </c>
      <c r="J69" s="656">
        <f t="shared" si="37"/>
        <v>3921.8965134373011</v>
      </c>
      <c r="K69" s="656">
        <f t="shared" si="37"/>
        <v>3787.3580781191786</v>
      </c>
      <c r="L69" s="656">
        <f t="shared" si="37"/>
        <v>3950.8139313174561</v>
      </c>
      <c r="M69" s="656">
        <f t="shared" si="37"/>
        <v>3760.784136607409</v>
      </c>
      <c r="N69" s="656">
        <f t="shared" si="37"/>
        <v>3358.0266990965456</v>
      </c>
      <c r="O69" s="656">
        <f t="shared" si="37"/>
        <v>3390.8338489089228</v>
      </c>
      <c r="P69" s="893">
        <f t="shared" ref="F69:P70" si="38">SUMIF($C$63:$C$68,$C69,P$63:P$68)</f>
        <v>2868.5012050423347</v>
      </c>
      <c r="Q69" s="903">
        <f t="shared" si="24"/>
        <v>20332.043383676908</v>
      </c>
      <c r="R69" s="657">
        <f t="shared" si="25"/>
        <v>21116.317899091846</v>
      </c>
      <c r="S69" s="878">
        <f t="shared" si="26"/>
        <v>41448.361282768747</v>
      </c>
    </row>
    <row r="70" spans="1:19" ht="13.5" thickBot="1">
      <c r="A70" s="150"/>
      <c r="B70" s="879"/>
      <c r="C70" s="880" t="s">
        <v>176</v>
      </c>
      <c r="D70" s="880"/>
      <c r="E70" s="881">
        <f>SUMIF($C$63:$C$68,$C70,E$63:E$68)</f>
        <v>2061.5599192637101</v>
      </c>
      <c r="F70" s="881">
        <f t="shared" si="38"/>
        <v>3801.756763171702</v>
      </c>
      <c r="G70" s="881">
        <f t="shared" si="38"/>
        <v>2517.7117939257155</v>
      </c>
      <c r="H70" s="881">
        <f t="shared" si="38"/>
        <v>3582.4234130501068</v>
      </c>
      <c r="I70" s="881">
        <f t="shared" si="38"/>
        <v>3899.7266270056975</v>
      </c>
      <c r="J70" s="881">
        <f t="shared" si="38"/>
        <v>3921.8965134373011</v>
      </c>
      <c r="K70" s="881">
        <f t="shared" si="38"/>
        <v>3787.3580781191786</v>
      </c>
      <c r="L70" s="881">
        <f t="shared" si="38"/>
        <v>3950.8139313174561</v>
      </c>
      <c r="M70" s="881">
        <f t="shared" si="38"/>
        <v>3760.784136607409</v>
      </c>
      <c r="N70" s="881">
        <f t="shared" si="38"/>
        <v>3358.0266990965456</v>
      </c>
      <c r="O70" s="881">
        <f t="shared" si="38"/>
        <v>3390.8338489089228</v>
      </c>
      <c r="P70" s="894">
        <f t="shared" si="38"/>
        <v>3836.0484668561312</v>
      </c>
      <c r="Q70" s="904">
        <f t="shared" si="24"/>
        <v>19785.075029854233</v>
      </c>
      <c r="R70" s="882">
        <f t="shared" si="25"/>
        <v>22083.86516090564</v>
      </c>
      <c r="S70" s="883">
        <f t="shared" si="26"/>
        <v>41868.940190759873</v>
      </c>
    </row>
    <row r="100" spans="5:6">
      <c r="E100" s="1" t="s">
        <v>221</v>
      </c>
      <c r="F100" s="587">
        <f>12-COUNTIF($E$69:$P$69,"=0")</f>
        <v>12</v>
      </c>
    </row>
    <row r="101" spans="5:6">
      <c r="E101" s="1" t="s">
        <v>228</v>
      </c>
      <c r="F101" s="1">
        <f ca="1">OFFSET($E$5,0,0,,COUNTIF($E$69:$P$69,"&gt;0"))</f>
        <v>44682</v>
      </c>
    </row>
    <row r="102" spans="5:6">
      <c r="E102" s="1" t="s">
        <v>229</v>
      </c>
      <c r="F102" s="1">
        <f ca="1">OFFSET($E$69,0,0,,COUNTIF($E$69:$P$69,"&gt;0"))</f>
        <v>3801.756763171702</v>
      </c>
    </row>
    <row r="103" spans="5:6">
      <c r="E103" s="1" t="s">
        <v>230</v>
      </c>
      <c r="F103" s="1">
        <f ca="1">OFFSET($E$70,0,0,,COUNTIF($E$69:$P$69,"&gt;0"))</f>
        <v>3801.756763171702</v>
      </c>
    </row>
  </sheetData>
  <mergeCells count="8">
    <mergeCell ref="Q4:S4"/>
    <mergeCell ref="A21:A32"/>
    <mergeCell ref="A34:A60"/>
    <mergeCell ref="A1:E1"/>
    <mergeCell ref="B4:C4"/>
    <mergeCell ref="E4:P4"/>
    <mergeCell ref="A6:A15"/>
    <mergeCell ref="A16:A20"/>
  </mergeCells>
  <printOptions gridLinesSet="0"/>
  <pageMargins left="0.78740157480314965" right="0.19685039370078741" top="0.59055118110236227" bottom="0.59055118110236227" header="0.51181102362204722" footer="0.31496062992125984"/>
  <pageSetup paperSize="9" scale="32" orientation="landscape" r:id="rId1"/>
  <headerFooter alignWithMargins="0">
    <oddFooter>&amp;L&amp;A&amp;R&amp;F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51">
    <tabColor indexed="56"/>
    <pageSetUpPr fitToPage="1"/>
  </sheetPr>
  <dimension ref="A1:Y53"/>
  <sheetViews>
    <sheetView showGridLines="0" zoomScaleNormal="100" workbookViewId="0">
      <pane xSplit="4" ySplit="5" topLeftCell="E198" activePane="bottomRight" state="frozen"/>
      <selection activeCell="E6" sqref="E6"/>
      <selection pane="topRight" activeCell="E6" sqref="E6"/>
      <selection pane="bottomLeft" activeCell="E6" sqref="E6"/>
      <selection pane="bottomRight" activeCell="R19" sqref="R19"/>
    </sheetView>
  </sheetViews>
  <sheetFormatPr defaultColWidth="11.42578125" defaultRowHeight="12.75"/>
  <cols>
    <col min="1" max="1" width="4.7109375" style="1" customWidth="1"/>
    <col min="2" max="2" width="10.85546875" style="1" bestFit="1" customWidth="1"/>
    <col min="3" max="3" width="11.7109375" style="1" bestFit="1" customWidth="1"/>
    <col min="4" max="5" width="9.42578125" style="1" customWidth="1"/>
    <col min="6" max="6" width="11.7109375" style="1" bestFit="1" customWidth="1"/>
    <col min="7" max="17" width="10.42578125" style="1" bestFit="1" customWidth="1"/>
    <col min="18" max="18" width="8.5703125" style="1" bestFit="1" customWidth="1"/>
    <col min="19" max="19" width="9.28515625" style="1" customWidth="1"/>
    <col min="20" max="20" width="8.5703125" style="1" bestFit="1" customWidth="1"/>
    <col min="21" max="21" width="7.85546875" style="1" customWidth="1"/>
    <col min="22" max="22" width="8.5703125" style="1" bestFit="1" customWidth="1"/>
    <col min="23" max="23" width="7.85546875" style="1" customWidth="1"/>
    <col min="24" max="24" width="6.42578125" style="1" bestFit="1" customWidth="1"/>
    <col min="25" max="16384" width="11.42578125" style="1"/>
  </cols>
  <sheetData>
    <row r="1" spans="1:24" ht="18" customHeight="1">
      <c r="A1" s="967" t="s">
        <v>103</v>
      </c>
      <c r="B1" s="967"/>
      <c r="C1" s="967"/>
      <c r="D1" s="967"/>
      <c r="E1" s="967"/>
      <c r="F1" s="967"/>
    </row>
    <row r="2" spans="1:24" ht="18" customHeight="1">
      <c r="A2" s="17"/>
      <c r="B2" s="17"/>
      <c r="C2" s="17"/>
      <c r="D2" s="17"/>
      <c r="E2" s="536">
        <v>1</v>
      </c>
      <c r="F2" s="17"/>
    </row>
    <row r="3" spans="1:24" ht="9.9499999999999993" customHeight="1" thickBot="1">
      <c r="A3" s="17"/>
      <c r="B3" s="17"/>
      <c r="C3" s="17"/>
      <c r="D3" s="17"/>
      <c r="E3" s="17"/>
      <c r="F3" s="17"/>
    </row>
    <row r="4" spans="1:24" ht="25.5">
      <c r="A4" s="22"/>
      <c r="B4" s="1046" t="s">
        <v>57</v>
      </c>
      <c r="C4" s="1047"/>
      <c r="D4" s="1048"/>
      <c r="E4" s="482" t="s">
        <v>201</v>
      </c>
      <c r="F4" s="1049" t="s">
        <v>82</v>
      </c>
      <c r="G4" s="1050"/>
      <c r="H4" s="1050"/>
      <c r="I4" s="1050"/>
      <c r="J4" s="1050"/>
      <c r="K4" s="1050"/>
      <c r="L4" s="1050"/>
      <c r="M4" s="1050"/>
      <c r="N4" s="1050"/>
      <c r="O4" s="1050"/>
      <c r="P4" s="1050"/>
      <c r="Q4" s="1050"/>
      <c r="R4" s="12" t="s">
        <v>55</v>
      </c>
      <c r="S4" s="13"/>
      <c r="T4" s="12" t="s">
        <v>54</v>
      </c>
      <c r="U4" s="13"/>
      <c r="V4" s="12" t="s">
        <v>1</v>
      </c>
      <c r="W4" s="13"/>
      <c r="X4" s="120" t="s">
        <v>52</v>
      </c>
    </row>
    <row r="5" spans="1:24" ht="13.5" thickBot="1">
      <c r="A5" s="21"/>
      <c r="B5" s="20" t="s">
        <v>102</v>
      </c>
      <c r="C5" s="1044" t="s">
        <v>50</v>
      </c>
      <c r="D5" s="1045"/>
      <c r="E5" s="24">
        <f>'Falhas UM-1 - Qty'!E5</f>
        <v>2022</v>
      </c>
      <c r="F5" s="27">
        <f>'Falhas UM-4 Cost'!E5</f>
        <v>44652</v>
      </c>
      <c r="G5" s="27">
        <f>'Falhas UM-4 Cost'!F5</f>
        <v>44682</v>
      </c>
      <c r="H5" s="27">
        <f>'Falhas UM-4 Cost'!G5</f>
        <v>44713</v>
      </c>
      <c r="I5" s="27">
        <f>'Falhas UM-4 Cost'!H5</f>
        <v>44743</v>
      </c>
      <c r="J5" s="27">
        <f>'Falhas UM-4 Cost'!I5</f>
        <v>44774</v>
      </c>
      <c r="K5" s="27">
        <f>'Falhas UM-4 Cost'!J5</f>
        <v>44805</v>
      </c>
      <c r="L5" s="27">
        <f>'Falhas UM-4 Cost'!K5</f>
        <v>44835</v>
      </c>
      <c r="M5" s="27">
        <f>'Falhas UM-4 Cost'!L5</f>
        <v>44866</v>
      </c>
      <c r="N5" s="27">
        <f>'Falhas UM-4 Cost'!M5</f>
        <v>44896</v>
      </c>
      <c r="O5" s="27">
        <f>'Falhas UM-4 Cost'!N5</f>
        <v>44927</v>
      </c>
      <c r="P5" s="27">
        <f>'Falhas UM-4 Cost'!O5</f>
        <v>44958</v>
      </c>
      <c r="Q5" s="27">
        <f>'Falhas UM-4 Cost'!P5</f>
        <v>44986</v>
      </c>
      <c r="R5" s="6" t="s">
        <v>49</v>
      </c>
      <c r="S5" s="7" t="s">
        <v>48</v>
      </c>
      <c r="T5" s="6" t="s">
        <v>49</v>
      </c>
      <c r="U5" s="7" t="s">
        <v>48</v>
      </c>
      <c r="V5" s="6" t="s">
        <v>49</v>
      </c>
      <c r="W5" s="7" t="s">
        <v>48</v>
      </c>
      <c r="X5" s="121"/>
    </row>
    <row r="6" spans="1:24" ht="18" customHeight="1" thickTop="1">
      <c r="A6" s="1051" t="s">
        <v>101</v>
      </c>
      <c r="B6" s="116">
        <v>5010</v>
      </c>
      <c r="C6" s="1039" t="s">
        <v>98</v>
      </c>
      <c r="D6" s="67" t="s">
        <v>134</v>
      </c>
      <c r="E6" s="425">
        <f>'[3]BLIND-PVC-PRE - Qty'!X6</f>
        <v>28.397308843393422</v>
      </c>
      <c r="F6" s="393">
        <f>$E6*'Prod &amp; Defects - Qty'!F$5/1000000</f>
        <v>40.955110036494446</v>
      </c>
      <c r="G6" s="393">
        <f>$E6*'Prod &amp; Defects - Qty'!G$5/1000000</f>
        <v>22.348656729351134</v>
      </c>
      <c r="H6" s="393">
        <f>$E6*'Prod &amp; Defects - Qty'!H$5/1000000</f>
        <v>22.246103469120101</v>
      </c>
      <c r="I6" s="393">
        <f>$E6*'Prod &amp; Defects - Qty'!I$5/1000000</f>
        <v>22.481321125709556</v>
      </c>
      <c r="J6" s="393">
        <f>$E6*'Prod &amp; Defects - Qty'!J$5/1000000</f>
        <v>40.610592281158446</v>
      </c>
      <c r="K6" s="393">
        <f>$E6*'Prod &amp; Defects - Qty'!K$5/1000000</f>
        <v>47.060275400588168</v>
      </c>
      <c r="L6" s="393">
        <f>$E6*'Prod &amp; Defects - Qty'!L$5/1000000</f>
        <v>47.395309810741978</v>
      </c>
      <c r="M6" s="393">
        <f>$E6*'Prod &amp; Defects - Qty'!M$5/1000000</f>
        <v>47.449568321570574</v>
      </c>
      <c r="N6" s="393">
        <f>$E6*'Prod &amp; Defects - Qty'!N$5/1000000</f>
        <v>38.043279066537131</v>
      </c>
      <c r="O6" s="393">
        <f>$E6*'Prod &amp; Defects - Qty'!O$5/1000000</f>
        <v>35.256449756020629</v>
      </c>
      <c r="P6" s="393">
        <f>$E6*'Prod &amp; Defects - Qty'!P$5/1000000</f>
        <v>35.672626558370943</v>
      </c>
      <c r="Q6" s="393">
        <f>$E6*'Prod &amp; Defects - Qty'!Q$5/1000000</f>
        <v>43.917481997182357</v>
      </c>
      <c r="R6" s="279">
        <f>SUM(F6:K6)</f>
        <v>195.70205904242187</v>
      </c>
      <c r="S6" s="279">
        <f>R6/SUM('Prod &amp; Defects - Qty'!$F$5:$K$5)*1000000</f>
        <v>28.397308843393422</v>
      </c>
      <c r="T6" s="280">
        <f>SUM(L6:Q6)</f>
        <v>247.73471551042363</v>
      </c>
      <c r="U6" s="279">
        <f>T6/SUM('Prod &amp; Defects - Qty'!$L$5:$Q$5)*1000000</f>
        <v>28.397308843393429</v>
      </c>
      <c r="V6" s="280">
        <f>R6+T6</f>
        <v>443.43677455284546</v>
      </c>
      <c r="W6" s="279">
        <f>V6/'Prod &amp; Defects - Qty'!$R$5*1000000</f>
        <v>28.397308843393418</v>
      </c>
      <c r="X6" s="281">
        <f t="shared" ref="X6:X21" si="0">W6*Redutor</f>
        <v>26.977443401223745</v>
      </c>
    </row>
    <row r="7" spans="1:24" ht="18" customHeight="1">
      <c r="A7" s="1052"/>
      <c r="B7" s="117">
        <f>B6+10</f>
        <v>5020</v>
      </c>
      <c r="C7" s="1040"/>
      <c r="D7" s="29" t="s">
        <v>135</v>
      </c>
      <c r="E7" s="216">
        <f>'[3]BLIND-PVC-PRE - Qty'!X7</f>
        <v>145.6112561004272</v>
      </c>
      <c r="F7" s="394">
        <f>$E7*'Prod &amp; Defects - Qty'!F$5/1000000</f>
        <v>210.00317491467408</v>
      </c>
      <c r="G7" s="394">
        <f>$E7*'Prod &amp; Defects - Qty'!G$5/1000000</f>
        <v>114.59592866579575</v>
      </c>
      <c r="H7" s="394">
        <f>$E7*'Prod &amp; Defects - Qty'!H$5/1000000</f>
        <v>114.07007217982424</v>
      </c>
      <c r="I7" s="394">
        <f>$E7*'Prod &amp; Defects - Qty'!I$5/1000000</f>
        <v>115.2761843019931</v>
      </c>
      <c r="J7" s="394">
        <f>$E7*'Prod &amp; Defects - Qty'!J$5/1000000</f>
        <v>208.2366109286277</v>
      </c>
      <c r="K7" s="394">
        <f>$E7*'Prod &amp; Defects - Qty'!K$5/1000000</f>
        <v>241.30828210877806</v>
      </c>
      <c r="L7" s="394">
        <f>$E7*'Prod &amp; Defects - Qty'!L$5/1000000</f>
        <v>243.02621888822435</v>
      </c>
      <c r="M7" s="394">
        <f>$E7*'Prod &amp; Defects - Qty'!M$5/1000000</f>
        <v>243.3044371503654</v>
      </c>
      <c r="N7" s="394">
        <f>$E7*'Prod &amp; Defects - Qty'!N$5/1000000</f>
        <v>195.07234582006248</v>
      </c>
      <c r="O7" s="394">
        <f>$E7*'Prod &amp; Defects - Qty'!O$5/1000000</f>
        <v>180.78248058389931</v>
      </c>
      <c r="P7" s="394">
        <f>$E7*'Prod &amp; Defects - Qty'!P$5/1000000</f>
        <v>182.91648656609601</v>
      </c>
      <c r="Q7" s="394">
        <f>$E7*'Prod &amp; Defects - Qty'!Q$5/1000000</f>
        <v>225.19316015627928</v>
      </c>
      <c r="R7" s="60">
        <f t="shared" ref="R7:R9" si="1">SUM(F7:K7)</f>
        <v>1003.4902530996928</v>
      </c>
      <c r="S7" s="60">
        <f>R7/SUM('Prod &amp; Defects - Qty'!$F$5:$K$5)*1000000</f>
        <v>145.6112561004272</v>
      </c>
      <c r="T7" s="60">
        <f t="shared" ref="T7:T9" si="2">SUM(L7:Q7)</f>
        <v>1270.2951291649267</v>
      </c>
      <c r="U7" s="60">
        <f>T7/SUM('Prod &amp; Defects - Qty'!$L$5:$Q$5)*1000000</f>
        <v>145.61125610042723</v>
      </c>
      <c r="V7" s="60">
        <f t="shared" ref="V7:V9" si="3">R7+T7</f>
        <v>2273.7853822646193</v>
      </c>
      <c r="W7" s="60">
        <f>V7/'Prod &amp; Defects - Qty'!$R$5*1000000</f>
        <v>145.61125610042714</v>
      </c>
      <c r="X7" s="65">
        <f t="shared" si="0"/>
        <v>138.33069329540578</v>
      </c>
    </row>
    <row r="8" spans="1:24" ht="18" customHeight="1">
      <c r="A8" s="1052"/>
      <c r="B8" s="117">
        <f>B7+10</f>
        <v>5030</v>
      </c>
      <c r="C8" s="1040"/>
      <c r="D8" s="29" t="s">
        <v>136</v>
      </c>
      <c r="E8" s="216">
        <f>'[3]BLIND-PVC-PRE - Qty'!X8</f>
        <v>190.71636471217249</v>
      </c>
      <c r="F8" s="394">
        <f>$E8*'Prod &amp; Defects - Qty'!F$5/1000000</f>
        <v>275.05457455925097</v>
      </c>
      <c r="G8" s="394">
        <f>$E8*'Prod &amp; Defects - Qty'!G$5/1000000</f>
        <v>150.09360890948241</v>
      </c>
      <c r="H8" s="394">
        <f>$E8*'Prod &amp; Defects - Qty'!H$5/1000000</f>
        <v>149.40486107466091</v>
      </c>
      <c r="I8" s="394">
        <f>$E8*'Prod &amp; Defects - Qty'!I$5/1000000</f>
        <v>150.98458317538015</v>
      </c>
      <c r="J8" s="394">
        <f>$E8*'Prod &amp; Defects - Qty'!J$5/1000000</f>
        <v>272.74079284708824</v>
      </c>
      <c r="K8" s="394">
        <f>$E8*'Prod &amp; Defects - Qty'!K$5/1000000</f>
        <v>316.05687342594462</v>
      </c>
      <c r="L8" s="394">
        <f>$E8*'Prod &amp; Defects - Qty'!L$5/1000000</f>
        <v>318.30696497899987</v>
      </c>
      <c r="M8" s="394">
        <f>$E8*'Prod &amp; Defects - Qty'!M$5/1000000</f>
        <v>318.67136521132448</v>
      </c>
      <c r="N8" s="394">
        <f>$E8*'Prod &amp; Defects - Qty'!N$5/1000000</f>
        <v>255.49871381522217</v>
      </c>
      <c r="O8" s="394">
        <f>$E8*'Prod &amp; Defects - Qty'!O$5/1000000</f>
        <v>236.78236438555817</v>
      </c>
      <c r="P8" s="394">
        <f>$E8*'Prod &amp; Defects - Qty'!P$5/1000000</f>
        <v>239.57740835467195</v>
      </c>
      <c r="Q8" s="394">
        <f>$E8*'Prod &amp; Defects - Qty'!Q$5/1000000</f>
        <v>294.94986866558338</v>
      </c>
      <c r="R8" s="60">
        <f t="shared" si="1"/>
        <v>1314.3352939918072</v>
      </c>
      <c r="S8" s="60">
        <f>R8/SUM('Prod &amp; Defects - Qty'!$F$5:$K$5)*1000000</f>
        <v>190.71636471217246</v>
      </c>
      <c r="T8" s="60">
        <f t="shared" si="2"/>
        <v>1663.7866854113599</v>
      </c>
      <c r="U8" s="60">
        <f>T8/SUM('Prod &amp; Defects - Qty'!$L$5:$Q$5)*1000000</f>
        <v>190.71636471217249</v>
      </c>
      <c r="V8" s="60">
        <f t="shared" si="3"/>
        <v>2978.1219794031672</v>
      </c>
      <c r="W8" s="60">
        <f>V8/'Prod &amp; Defects - Qty'!$R$5*1000000</f>
        <v>190.71636471217244</v>
      </c>
      <c r="X8" s="65">
        <f t="shared" si="0"/>
        <v>181.18054647656382</v>
      </c>
    </row>
    <row r="9" spans="1:24" ht="18" customHeight="1">
      <c r="A9" s="1052"/>
      <c r="B9" s="117"/>
      <c r="C9" s="1040"/>
      <c r="D9" s="29" t="s">
        <v>204</v>
      </c>
      <c r="E9" s="216">
        <f>'[3]BLIND-PVC-PRE - Qty'!X9</f>
        <v>229.28956666566941</v>
      </c>
      <c r="F9" s="394">
        <f>$E9*'Prod &amp; Defects - Qty'!F$5/1000000</f>
        <v>330.68554083065237</v>
      </c>
      <c r="G9" s="394">
        <f>$E9*'Prod &amp; Defects - Qty'!G$5/1000000</f>
        <v>180.45068443958837</v>
      </c>
      <c r="H9" s="394">
        <f>$E9*'Prod &amp; Defects - Qty'!H$5/1000000</f>
        <v>179.62263440399508</v>
      </c>
      <c r="I9" s="394">
        <f>$E9*'Prod &amp; Defects - Qty'!I$5/1000000</f>
        <v>181.52186206845238</v>
      </c>
      <c r="J9" s="394">
        <f>$E9*'Prod &amp; Defects - Qty'!J$5/1000000</f>
        <v>327.90378685300391</v>
      </c>
      <c r="K9" s="394">
        <f>$E9*'Prod &amp; Defects - Qty'!K$5/1000000</f>
        <v>379.98073033171579</v>
      </c>
      <c r="L9" s="394">
        <f>$E9*'Prod &amp; Defects - Qty'!L$5/1000000</f>
        <v>382.68591254267466</v>
      </c>
      <c r="M9" s="394">
        <f>$E9*'Prod &amp; Defects - Qty'!M$5/1000000</f>
        <v>383.1240142833862</v>
      </c>
      <c r="N9" s="394">
        <f>$E9*'Prod &amp; Defects - Qty'!N$5/1000000</f>
        <v>307.17442345727079</v>
      </c>
      <c r="O9" s="394">
        <f>$E9*'Prod &amp; Defects - Qty'!O$5/1000000</f>
        <v>284.67261215876192</v>
      </c>
      <c r="P9" s="394">
        <f>$E9*'Prod &amp; Defects - Qty'!P$5/1000000</f>
        <v>288.03296574696498</v>
      </c>
      <c r="Q9" s="394">
        <f>$E9*'Prod &amp; Defects - Qty'!Q$5/1000000</f>
        <v>354.60474341828359</v>
      </c>
      <c r="R9" s="60">
        <f t="shared" si="1"/>
        <v>1580.1652389274077</v>
      </c>
      <c r="S9" s="60">
        <f>R9/SUM('Prod &amp; Defects - Qty'!$F$5:$K$5)*1000000</f>
        <v>229.28956666566938</v>
      </c>
      <c r="T9" s="60">
        <f t="shared" si="2"/>
        <v>2000.294671607342</v>
      </c>
      <c r="U9" s="60">
        <f>T9/SUM('Prod &amp; Defects - Qty'!$L$5:$Q$5)*1000000</f>
        <v>229.28956666566941</v>
      </c>
      <c r="V9" s="60">
        <f t="shared" si="3"/>
        <v>3580.4599105347497</v>
      </c>
      <c r="W9" s="60">
        <f>V9/'Prod &amp; Defects - Qty'!$R$5*1000000</f>
        <v>229.28956666566935</v>
      </c>
      <c r="X9" s="65">
        <f t="shared" si="0"/>
        <v>217.82508833238589</v>
      </c>
    </row>
    <row r="10" spans="1:24" ht="18" customHeight="1">
      <c r="A10" s="1052"/>
      <c r="B10" s="117"/>
      <c r="C10" s="1041"/>
      <c r="D10" s="68" t="s">
        <v>83</v>
      </c>
      <c r="E10" s="426">
        <f>'[3]BLIND-PVC-PRE - Qty'!X10</f>
        <v>515.6919025263785</v>
      </c>
      <c r="F10" s="395">
        <f>SUBTOTAL(109,F6:F9)</f>
        <v>856.69840034107187</v>
      </c>
      <c r="G10" s="395">
        <f t="shared" ref="G10:Q10" si="4">SUBTOTAL(109,G6:G9)</f>
        <v>467.48887874421769</v>
      </c>
      <c r="H10" s="395">
        <f t="shared" si="4"/>
        <v>465.34367112760037</v>
      </c>
      <c r="I10" s="395">
        <f t="shared" si="4"/>
        <v>470.26395067153521</v>
      </c>
      <c r="J10" s="395">
        <f t="shared" si="4"/>
        <v>849.49178290987822</v>
      </c>
      <c r="K10" s="395">
        <f t="shared" si="4"/>
        <v>984.40616126702662</v>
      </c>
      <c r="L10" s="395">
        <f t="shared" si="4"/>
        <v>991.41440622064079</v>
      </c>
      <c r="M10" s="395">
        <f t="shared" si="4"/>
        <v>992.54938496664658</v>
      </c>
      <c r="N10" s="395">
        <f t="shared" si="4"/>
        <v>795.78876215909258</v>
      </c>
      <c r="O10" s="395">
        <f t="shared" si="4"/>
        <v>737.49390688424</v>
      </c>
      <c r="P10" s="395">
        <f t="shared" si="4"/>
        <v>746.19948722610388</v>
      </c>
      <c r="Q10" s="395">
        <f t="shared" si="4"/>
        <v>918.66525423732855</v>
      </c>
      <c r="R10" s="388">
        <f>SUM(F10:K10)</f>
        <v>4093.69284506133</v>
      </c>
      <c r="S10" s="388">
        <f>R10/SUM('Prod &amp; Defects - Qty'!$F$5:$K$5)*1000000</f>
        <v>594.01449632166248</v>
      </c>
      <c r="T10" s="388">
        <f>SUM(L10:Q10)</f>
        <v>5182.1112016940524</v>
      </c>
      <c r="U10" s="388">
        <f>T10/SUM('Prod &amp; Defects - Qty'!$L$5:$Q$5)*1000000</f>
        <v>594.01449632166259</v>
      </c>
      <c r="V10" s="388">
        <f>T10+R10</f>
        <v>9275.8040467553819</v>
      </c>
      <c r="W10" s="388">
        <f>V10/'Prod &amp; Defects - Qty'!$R$5*1000000</f>
        <v>594.01449632166236</v>
      </c>
      <c r="X10" s="402">
        <f t="shared" si="0"/>
        <v>564.31377150557921</v>
      </c>
    </row>
    <row r="11" spans="1:24" ht="18" customHeight="1">
      <c r="A11" s="1052"/>
      <c r="B11" s="117">
        <f>B8+10</f>
        <v>5040</v>
      </c>
      <c r="C11" s="1042" t="s">
        <v>137</v>
      </c>
      <c r="D11" s="38" t="s">
        <v>134</v>
      </c>
      <c r="E11" s="221">
        <f>'[3]BLIND-PVC-PRE - Qty'!X11</f>
        <v>408.96461516150521</v>
      </c>
      <c r="F11" s="396">
        <f>F37*$E11/1000000</f>
        <v>882.92008484617054</v>
      </c>
      <c r="G11" s="396">
        <f t="shared" ref="G11:Q11" si="5">G37*$E11/1000000</f>
        <v>924.03437900517554</v>
      </c>
      <c r="H11" s="396">
        <f t="shared" si="5"/>
        <v>889.27640142769849</v>
      </c>
      <c r="I11" s="396">
        <f t="shared" si="5"/>
        <v>895.02561900378169</v>
      </c>
      <c r="J11" s="396">
        <f t="shared" si="5"/>
        <v>905.95956511083909</v>
      </c>
      <c r="K11" s="396">
        <f t="shared" si="5"/>
        <v>1030.0593023571375</v>
      </c>
      <c r="L11" s="396">
        <f t="shared" si="5"/>
        <v>1017.3894382731124</v>
      </c>
      <c r="M11" s="396">
        <f t="shared" si="5"/>
        <v>1017.9230889639086</v>
      </c>
      <c r="N11" s="396">
        <f t="shared" si="5"/>
        <v>968.52442442326549</v>
      </c>
      <c r="O11" s="396">
        <f t="shared" si="5"/>
        <v>751.1189848732115</v>
      </c>
      <c r="P11" s="396">
        <f t="shared" si="5"/>
        <v>720.93806741668436</v>
      </c>
      <c r="Q11" s="396">
        <f t="shared" si="5"/>
        <v>914.06873756804771</v>
      </c>
      <c r="R11" s="389">
        <f t="shared" ref="R11:R15" si="6">SUM(F11:K11)</f>
        <v>5527.2753517508027</v>
      </c>
      <c r="S11" s="389">
        <f>R11/SUM('Prod &amp; Defects - Qty'!$F$11:$K$11)/5*1000000</f>
        <v>12.583526620354007</v>
      </c>
      <c r="T11" s="389">
        <f t="shared" ref="T11:T15" si="7">SUM(L11:Q11)</f>
        <v>5389.9627415182294</v>
      </c>
      <c r="U11" s="389">
        <f>T11/SUM('Prod &amp; Defects - Qty'!$L$11:$Q$11)*1000000</f>
        <v>62.917633101770029</v>
      </c>
      <c r="V11" s="389">
        <f t="shared" ref="V11:V15" si="8">R11+T11</f>
        <v>10917.238093269032</v>
      </c>
      <c r="W11" s="389">
        <f>V11/'Prod &amp; Defects - Qty'!$R$11*1000000</f>
        <v>62.917633101770015</v>
      </c>
      <c r="X11" s="403">
        <f t="shared" si="0"/>
        <v>59.771751446681513</v>
      </c>
    </row>
    <row r="12" spans="1:24" ht="18" customHeight="1">
      <c r="A12" s="1052"/>
      <c r="B12" s="117">
        <f>B11+10</f>
        <v>5050</v>
      </c>
      <c r="C12" s="1043"/>
      <c r="D12" s="38" t="s">
        <v>135</v>
      </c>
      <c r="E12" s="221">
        <f>'[3]BLIND-PVC-PRE - Qty'!X12</f>
        <v>591.2093995282795</v>
      </c>
      <c r="F12" s="396">
        <f t="shared" ref="F12:Q15" si="9">F38*$E12/1000000</f>
        <v>1531.6454299711622</v>
      </c>
      <c r="G12" s="396">
        <f t="shared" si="9"/>
        <v>1602.9684430455582</v>
      </c>
      <c r="H12" s="396">
        <f t="shared" si="9"/>
        <v>1542.6720488131646</v>
      </c>
      <c r="I12" s="396">
        <f t="shared" si="9"/>
        <v>1552.6455027842019</v>
      </c>
      <c r="J12" s="396">
        <f t="shared" si="9"/>
        <v>1571.613163474969</v>
      </c>
      <c r="K12" s="396">
        <f t="shared" si="9"/>
        <v>1786.8951563486862</v>
      </c>
      <c r="L12" s="396">
        <f t="shared" si="9"/>
        <v>1764.9161123154609</v>
      </c>
      <c r="M12" s="396">
        <f t="shared" si="9"/>
        <v>1765.8418627381636</v>
      </c>
      <c r="N12" s="396">
        <f t="shared" si="9"/>
        <v>1680.1475399008521</v>
      </c>
      <c r="O12" s="396">
        <f t="shared" si="9"/>
        <v>1303.0034997403791</v>
      </c>
      <c r="P12" s="396">
        <f t="shared" si="9"/>
        <v>1250.647159582277</v>
      </c>
      <c r="Q12" s="396">
        <f t="shared" si="9"/>
        <v>1585.6805486756302</v>
      </c>
      <c r="R12" s="389">
        <f t="shared" si="6"/>
        <v>9588.4397444377428</v>
      </c>
      <c r="S12" s="389">
        <f>R12/SUM('Prod &amp; Defects - Qty'!$F$11:$K$11)*1000000</f>
        <v>109.14635068214392</v>
      </c>
      <c r="T12" s="389">
        <f t="shared" si="7"/>
        <v>9350.2367229527626</v>
      </c>
      <c r="U12" s="389">
        <f>T12/SUM('Prod &amp; Defects - Qty'!$L$11:$Q$11)*1000000</f>
        <v>109.14635068214392</v>
      </c>
      <c r="V12" s="389">
        <f t="shared" si="8"/>
        <v>18938.676467390505</v>
      </c>
      <c r="W12" s="389">
        <f>V12/'Prod &amp; Defects - Qty'!$R$11*1000000</f>
        <v>109.14635068214389</v>
      </c>
      <c r="X12" s="403">
        <f t="shared" si="0"/>
        <v>103.68903314803669</v>
      </c>
    </row>
    <row r="13" spans="1:24" ht="18" customHeight="1">
      <c r="A13" s="1052"/>
      <c r="B13" s="117">
        <f t="shared" ref="B13:B21" si="10">B12+10</f>
        <v>5060</v>
      </c>
      <c r="C13" s="1043"/>
      <c r="D13" s="38" t="s">
        <v>136</v>
      </c>
      <c r="E13" s="221">
        <f>'[3]BLIND-PVC-PRE - Qty'!X13</f>
        <v>419.37594255133644</v>
      </c>
      <c r="F13" s="396">
        <f t="shared" si="9"/>
        <v>959.72109761051308</v>
      </c>
      <c r="G13" s="396">
        <f t="shared" si="9"/>
        <v>1004.4117283878575</v>
      </c>
      <c r="H13" s="396">
        <f t="shared" si="9"/>
        <v>966.63031989584226</v>
      </c>
      <c r="I13" s="396">
        <f t="shared" si="9"/>
        <v>972.87963452490237</v>
      </c>
      <c r="J13" s="396">
        <f t="shared" si="9"/>
        <v>984.76467252458451</v>
      </c>
      <c r="K13" s="396">
        <f t="shared" si="9"/>
        <v>1119.6592548173237</v>
      </c>
      <c r="L13" s="396">
        <f t="shared" si="9"/>
        <v>1105.8872996041682</v>
      </c>
      <c r="M13" s="396">
        <f t="shared" si="9"/>
        <v>1106.4673700267374</v>
      </c>
      <c r="N13" s="396">
        <f t="shared" si="9"/>
        <v>1052.7717509473512</v>
      </c>
      <c r="O13" s="396">
        <f t="shared" si="9"/>
        <v>816.45524772970555</v>
      </c>
      <c r="P13" s="396">
        <f t="shared" si="9"/>
        <v>783.64903601767162</v>
      </c>
      <c r="Q13" s="396">
        <f t="shared" si="9"/>
        <v>993.5792232692321</v>
      </c>
      <c r="R13" s="389">
        <f t="shared" si="6"/>
        <v>6008.0667077610242</v>
      </c>
      <c r="S13" s="389">
        <f>R13/SUM('Prod &amp; Defects - Qty'!$F$11:$K$11)*1000000</f>
        <v>68.390538323756402</v>
      </c>
      <c r="T13" s="389">
        <f t="shared" si="7"/>
        <v>5858.8099275948662</v>
      </c>
      <c r="U13" s="389">
        <f>T13/SUM('Prod &amp; Defects - Qty'!$L$11:$Q$11)*1000000</f>
        <v>68.390538323756402</v>
      </c>
      <c r="V13" s="389">
        <f t="shared" si="8"/>
        <v>11866.876635355889</v>
      </c>
      <c r="W13" s="389">
        <f>V13/'Prod &amp; Defects - Qty'!$R$11*1000000</f>
        <v>68.390538323756388</v>
      </c>
      <c r="X13" s="403">
        <f t="shared" si="0"/>
        <v>64.971011407568568</v>
      </c>
    </row>
    <row r="14" spans="1:24" ht="18" customHeight="1">
      <c r="A14" s="1052"/>
      <c r="B14" s="117">
        <f t="shared" si="10"/>
        <v>5070</v>
      </c>
      <c r="C14" s="1043"/>
      <c r="D14" s="38" t="s">
        <v>138</v>
      </c>
      <c r="E14" s="221">
        <f>'[3]BLIND-PVC-PRE - Qty'!X14</f>
        <v>520.19731455550425</v>
      </c>
      <c r="F14" s="396">
        <f t="shared" si="9"/>
        <v>1392.5969966476619</v>
      </c>
      <c r="G14" s="396">
        <f t="shared" si="9"/>
        <v>1457.4450429746341</v>
      </c>
      <c r="H14" s="396">
        <f t="shared" si="9"/>
        <v>1402.6225782751537</v>
      </c>
      <c r="I14" s="396">
        <f t="shared" si="9"/>
        <v>1411.6906052313218</v>
      </c>
      <c r="J14" s="396">
        <f t="shared" si="9"/>
        <v>1428.936311577269</v>
      </c>
      <c r="K14" s="396">
        <f t="shared" si="9"/>
        <v>1624.6742094234473</v>
      </c>
      <c r="L14" s="396">
        <f t="shared" si="9"/>
        <v>1604.6905042453945</v>
      </c>
      <c r="M14" s="396">
        <f t="shared" si="9"/>
        <v>1605.532211623012</v>
      </c>
      <c r="N14" s="396">
        <f t="shared" si="9"/>
        <v>1527.6175361519124</v>
      </c>
      <c r="O14" s="396">
        <f t="shared" si="9"/>
        <v>1184.7120259380192</v>
      </c>
      <c r="P14" s="396">
        <f t="shared" si="9"/>
        <v>1137.108787856338</v>
      </c>
      <c r="Q14" s="396">
        <f t="shared" si="9"/>
        <v>1441.7266075542532</v>
      </c>
      <c r="R14" s="389">
        <f t="shared" si="6"/>
        <v>8717.9657441294876</v>
      </c>
      <c r="S14" s="389">
        <f>R14/SUM('Prod &amp; Defects - Qty'!$F$11:$K$11)*1000000</f>
        <v>99.237641545973105</v>
      </c>
      <c r="T14" s="389">
        <f t="shared" si="7"/>
        <v>8501.3876733689303</v>
      </c>
      <c r="U14" s="389">
        <f>T14/SUM('Prod &amp; Defects - Qty'!$L$11:$Q$11)*1000000</f>
        <v>99.237641545973133</v>
      </c>
      <c r="V14" s="389">
        <f t="shared" si="8"/>
        <v>17219.353417498416</v>
      </c>
      <c r="W14" s="389">
        <f>V14/'Prod &amp; Defects - Qty'!$R$11*1000000</f>
        <v>99.237641545973091</v>
      </c>
      <c r="X14" s="403">
        <f t="shared" si="0"/>
        <v>94.275759468674437</v>
      </c>
    </row>
    <row r="15" spans="1:24" ht="18" customHeight="1">
      <c r="A15" s="1052"/>
      <c r="B15" s="117">
        <f t="shared" si="10"/>
        <v>5080</v>
      </c>
      <c r="C15" s="1043"/>
      <c r="D15" s="38" t="s">
        <v>139</v>
      </c>
      <c r="E15" s="221">
        <f>'[3]BLIND-PVC-PRE - Qty'!X15</f>
        <v>997.93248849991369</v>
      </c>
      <c r="F15" s="396">
        <f t="shared" si="9"/>
        <v>4308.9040212886821</v>
      </c>
      <c r="G15" s="396">
        <f t="shared" si="9"/>
        <v>4509.5536049540578</v>
      </c>
      <c r="H15" s="396">
        <f t="shared" si="9"/>
        <v>4339.9246748549676</v>
      </c>
      <c r="I15" s="396">
        <f t="shared" si="9"/>
        <v>4367.9825106183998</v>
      </c>
      <c r="J15" s="396">
        <f t="shared" si="9"/>
        <v>4421.3433132073023</v>
      </c>
      <c r="K15" s="396">
        <f t="shared" si="9"/>
        <v>5026.9857332170468</v>
      </c>
      <c r="L15" s="396">
        <f t="shared" si="9"/>
        <v>4965.1531514943772</v>
      </c>
      <c r="M15" s="396">
        <f t="shared" si="9"/>
        <v>4967.7575203914057</v>
      </c>
      <c r="N15" s="396">
        <f t="shared" si="9"/>
        <v>4726.6778259334942</v>
      </c>
      <c r="O15" s="396">
        <f t="shared" si="9"/>
        <v>3665.6767355681372</v>
      </c>
      <c r="P15" s="396">
        <f t="shared" si="9"/>
        <v>3518.3851756335039</v>
      </c>
      <c r="Q15" s="396">
        <f t="shared" si="9"/>
        <v>4460.9184077259379</v>
      </c>
      <c r="R15" s="389">
        <f t="shared" si="6"/>
        <v>26974.693858140457</v>
      </c>
      <c r="S15" s="389">
        <f>R15/SUM('Prod &amp; Defects - Qty'!$F$11:$K$11)*1000000</f>
        <v>307.0561503076658</v>
      </c>
      <c r="T15" s="389">
        <f t="shared" si="7"/>
        <v>26304.568816746854</v>
      </c>
      <c r="U15" s="389">
        <f>T15/SUM('Prod &amp; Defects - Qty'!$L$11:$Q$11)*1000000</f>
        <v>307.05615030766575</v>
      </c>
      <c r="V15" s="389">
        <f t="shared" si="8"/>
        <v>53279.262674887315</v>
      </c>
      <c r="W15" s="389">
        <f>V15/'Prod &amp; Defects - Qty'!$R$11*1000000</f>
        <v>307.05615030766575</v>
      </c>
      <c r="X15" s="403">
        <f t="shared" si="0"/>
        <v>291.70334279228246</v>
      </c>
    </row>
    <row r="16" spans="1:24" ht="18" customHeight="1">
      <c r="A16" s="1052"/>
      <c r="B16" s="117">
        <f t="shared" si="10"/>
        <v>5090</v>
      </c>
      <c r="C16" s="1043"/>
      <c r="D16" s="69" t="s">
        <v>83</v>
      </c>
      <c r="E16" s="427">
        <f>'[3]BLIND-PVC-PRE - Qty'!X16</f>
        <v>642.6298879268802</v>
      </c>
      <c r="F16" s="397">
        <f>SUBTOTAL(109,F11:F15)</f>
        <v>9075.7876303641897</v>
      </c>
      <c r="G16" s="397">
        <f t="shared" ref="G16:Q16" si="11">SUBTOTAL(109,G11:G15)</f>
        <v>9498.4131983672833</v>
      </c>
      <c r="H16" s="397">
        <f t="shared" si="11"/>
        <v>9141.1260232668265</v>
      </c>
      <c r="I16" s="397">
        <f t="shared" si="11"/>
        <v>9200.223872162609</v>
      </c>
      <c r="J16" s="397">
        <f t="shared" si="11"/>
        <v>9312.6170258949642</v>
      </c>
      <c r="K16" s="397">
        <f t="shared" si="11"/>
        <v>10588.273656163641</v>
      </c>
      <c r="L16" s="397">
        <f t="shared" si="11"/>
        <v>10458.036505932512</v>
      </c>
      <c r="M16" s="397">
        <f t="shared" si="11"/>
        <v>10463.522053743227</v>
      </c>
      <c r="N16" s="397">
        <f t="shared" si="11"/>
        <v>9955.7390773568768</v>
      </c>
      <c r="O16" s="397">
        <f t="shared" si="11"/>
        <v>7720.9664938494534</v>
      </c>
      <c r="P16" s="397">
        <f t="shared" si="11"/>
        <v>7410.728226506475</v>
      </c>
      <c r="Q16" s="397">
        <f t="shared" si="11"/>
        <v>9395.9735247931021</v>
      </c>
      <c r="R16" s="390">
        <f>SUM(R6:R15)</f>
        <v>65003.827096342167</v>
      </c>
      <c r="S16" s="391">
        <f>R16/SUM('Prod &amp; Defects - Qty'!$F$11:$K$11)*1000000</f>
        <v>739.94629961090209</v>
      </c>
      <c r="T16" s="390">
        <f>SUM(T6:T15)</f>
        <v>65769.188285569748</v>
      </c>
      <c r="U16" s="391">
        <f>T16/SUM('Prod &amp; Defects - Qty'!$L$11:$Q$11)*1000000</f>
        <v>767.73103199357502</v>
      </c>
      <c r="V16" s="390">
        <f t="shared" ref="V16:V30" si="12">T16+R16</f>
        <v>130773.01538191192</v>
      </c>
      <c r="W16" s="391">
        <f>V16/'Prod &amp; Defects - Qty'!$R$11*1000000</f>
        <v>753.66393323272382</v>
      </c>
      <c r="X16" s="404">
        <f t="shared" si="0"/>
        <v>715.98073657108762</v>
      </c>
    </row>
    <row r="17" spans="1:25" ht="18" customHeight="1">
      <c r="A17" s="1052"/>
      <c r="B17" s="117">
        <f t="shared" si="10"/>
        <v>5100</v>
      </c>
      <c r="C17" s="1042" t="s">
        <v>140</v>
      </c>
      <c r="D17" s="38" t="s">
        <v>134</v>
      </c>
      <c r="E17" s="221">
        <f>'[3]BLIND-PVC-PRE - Qty'!X17</f>
        <v>350.24486719877422</v>
      </c>
      <c r="F17" s="396">
        <f>$E17/1000000*F43</f>
        <v>1228.7422961536113</v>
      </c>
      <c r="G17" s="396">
        <f t="shared" ref="G17:Q17" si="13">$E17/1000000*G43</f>
        <v>1285.9602404237007</v>
      </c>
      <c r="H17" s="396">
        <f t="shared" si="13"/>
        <v>1237.5882553355532</v>
      </c>
      <c r="I17" s="396">
        <f t="shared" si="13"/>
        <v>1245.5893269237636</v>
      </c>
      <c r="J17" s="396">
        <f t="shared" si="13"/>
        <v>1260.8058819395517</v>
      </c>
      <c r="K17" s="396">
        <f t="shared" si="13"/>
        <v>1433.5130144572627</v>
      </c>
      <c r="L17" s="396">
        <f t="shared" si="13"/>
        <v>1415.880616968795</v>
      </c>
      <c r="M17" s="396">
        <f t="shared" si="13"/>
        <v>1416.6232880059672</v>
      </c>
      <c r="N17" s="396">
        <f t="shared" si="13"/>
        <v>1347.8761504831334</v>
      </c>
      <c r="O17" s="396">
        <f t="shared" si="13"/>
        <v>1045.317330524291</v>
      </c>
      <c r="P17" s="396">
        <f t="shared" si="13"/>
        <v>1003.3151488409771</v>
      </c>
      <c r="Q17" s="396">
        <f t="shared" si="13"/>
        <v>1272.0912557304441</v>
      </c>
      <c r="R17" s="389">
        <f t="shared" ref="R17:R30" si="14">SUM(F17:K17)</f>
        <v>7692.1990152334438</v>
      </c>
      <c r="S17" s="389">
        <f>R17/SUM('Prod &amp; Defects - Qty'!$F$11:$K$11)*1000000</f>
        <v>87.561216799693568</v>
      </c>
      <c r="T17" s="389">
        <f t="shared" ref="T17:T30" si="15">SUM(L17:Q17)</f>
        <v>7501.1037905536068</v>
      </c>
      <c r="U17" s="389">
        <f>T17/SUM('Prod &amp; Defects - Qty'!$L$11:$Q$11)*1000000</f>
        <v>87.56121679969354</v>
      </c>
      <c r="V17" s="389">
        <f t="shared" ref="V17:V20" si="16">R17+T17</f>
        <v>15193.302805787051</v>
      </c>
      <c r="W17" s="389">
        <f>V17/'Prod &amp; Defects - Qty'!$R$11*1000000</f>
        <v>87.56121679969354</v>
      </c>
      <c r="X17" s="403">
        <f t="shared" si="0"/>
        <v>83.183155959708856</v>
      </c>
    </row>
    <row r="18" spans="1:25" ht="18" customHeight="1">
      <c r="A18" s="1052"/>
      <c r="B18" s="117">
        <f t="shared" si="10"/>
        <v>5110</v>
      </c>
      <c r="C18" s="1043"/>
      <c r="D18" s="38" t="s">
        <v>135</v>
      </c>
      <c r="E18" s="221">
        <f>'[3]BLIND-PVC-PRE - Qty'!X18</f>
        <v>383.48955521906561</v>
      </c>
      <c r="F18" s="396">
        <f t="shared" ref="F18:Q20" si="17">$E18/1000000*F44</f>
        <v>1345.3725686246141</v>
      </c>
      <c r="G18" s="396">
        <f t="shared" si="17"/>
        <v>1408.0215495338273</v>
      </c>
      <c r="H18" s="396">
        <f t="shared" si="17"/>
        <v>1355.0581722404515</v>
      </c>
      <c r="I18" s="396">
        <f t="shared" si="17"/>
        <v>1363.8186928704295</v>
      </c>
      <c r="J18" s="396">
        <f t="shared" si="17"/>
        <v>1380.479579185886</v>
      </c>
      <c r="K18" s="396">
        <f t="shared" si="17"/>
        <v>1569.5797991608129</v>
      </c>
      <c r="L18" s="396">
        <f t="shared" si="17"/>
        <v>1550.2737624317701</v>
      </c>
      <c r="M18" s="396">
        <f t="shared" si="17"/>
        <v>1551.0869266274287</v>
      </c>
      <c r="N18" s="396">
        <f t="shared" si="17"/>
        <v>1475.8144197037134</v>
      </c>
      <c r="O18" s="396">
        <f t="shared" si="17"/>
        <v>1144.5371957957541</v>
      </c>
      <c r="P18" s="396">
        <f t="shared" si="17"/>
        <v>1098.5482335568786</v>
      </c>
      <c r="Q18" s="396">
        <f t="shared" si="17"/>
        <v>1392.8361427814179</v>
      </c>
      <c r="R18" s="389">
        <f t="shared" si="14"/>
        <v>8422.330361616021</v>
      </c>
      <c r="S18" s="389">
        <f>R18/SUM('Prod &amp; Defects - Qty'!$F$11:$K$11)*1000000</f>
        <v>95.872388804766402</v>
      </c>
      <c r="T18" s="389">
        <f t="shared" si="15"/>
        <v>8213.0966808969642</v>
      </c>
      <c r="U18" s="389">
        <f>T18/SUM('Prod &amp; Defects - Qty'!$L$11:$Q$11)*1000000</f>
        <v>95.872388804766416</v>
      </c>
      <c r="V18" s="389">
        <f t="shared" si="16"/>
        <v>16635.427042512987</v>
      </c>
      <c r="W18" s="389">
        <f>V18/'Prod &amp; Defects - Qty'!$R$11*1000000</f>
        <v>95.872388804766402</v>
      </c>
      <c r="X18" s="403">
        <f t="shared" si="0"/>
        <v>91.078769364528071</v>
      </c>
    </row>
    <row r="19" spans="1:25" ht="18" customHeight="1">
      <c r="A19" s="1052"/>
      <c r="B19" s="117">
        <f t="shared" si="10"/>
        <v>5120</v>
      </c>
      <c r="C19" s="1043"/>
      <c r="D19" s="38" t="s">
        <v>136</v>
      </c>
      <c r="E19" s="221">
        <f>'[3]BLIND-PVC-PRE - Qty'!X19</f>
        <v>549.3995333454651</v>
      </c>
      <c r="F19" s="396">
        <f t="shared" si="17"/>
        <v>1927.4242318175275</v>
      </c>
      <c r="G19" s="396">
        <f t="shared" si="17"/>
        <v>2017.1771870353793</v>
      </c>
      <c r="H19" s="396">
        <f t="shared" si="17"/>
        <v>1941.3001406507433</v>
      </c>
      <c r="I19" s="396">
        <f t="shared" si="17"/>
        <v>1953.8507456945331</v>
      </c>
      <c r="J19" s="396">
        <f t="shared" si="17"/>
        <v>1977.7196700035795</v>
      </c>
      <c r="K19" s="396">
        <f t="shared" si="17"/>
        <v>2248.6307579220038</v>
      </c>
      <c r="L19" s="396">
        <f t="shared" si="17"/>
        <v>2220.9723056243197</v>
      </c>
      <c r="M19" s="396">
        <f t="shared" si="17"/>
        <v>2222.1372709370589</v>
      </c>
      <c r="N19" s="396">
        <f t="shared" si="17"/>
        <v>2114.2994442874938</v>
      </c>
      <c r="O19" s="396">
        <f t="shared" si="17"/>
        <v>1639.7009845744365</v>
      </c>
      <c r="P19" s="396">
        <f t="shared" si="17"/>
        <v>1573.8157106491863</v>
      </c>
      <c r="Q19" s="396">
        <f t="shared" si="17"/>
        <v>1995.4220824441497</v>
      </c>
      <c r="R19" s="389">
        <f t="shared" si="14"/>
        <v>12066.102733123767</v>
      </c>
      <c r="S19" s="389">
        <f>R19/SUM('Prod &amp; Defects - Qty'!$F$11:$K$11)*1000000</f>
        <v>137.3498833363663</v>
      </c>
      <c r="T19" s="389">
        <f t="shared" si="15"/>
        <v>11766.347798516645</v>
      </c>
      <c r="U19" s="389">
        <f>T19/SUM('Prod &amp; Defects - Qty'!$L$11:$Q$11)*1000000</f>
        <v>137.34988333636628</v>
      </c>
      <c r="V19" s="389">
        <f t="shared" si="16"/>
        <v>23832.45053164041</v>
      </c>
      <c r="W19" s="389">
        <f>V19/'Prod &amp; Defects - Qty'!$R$11*1000000</f>
        <v>137.34988333636625</v>
      </c>
      <c r="X19" s="403">
        <f t="shared" si="0"/>
        <v>130.48238916954793</v>
      </c>
    </row>
    <row r="20" spans="1:25" ht="18" customHeight="1">
      <c r="A20" s="1052"/>
      <c r="B20" s="117">
        <f t="shared" si="10"/>
        <v>5130</v>
      </c>
      <c r="C20" s="1043"/>
      <c r="D20" s="38" t="s">
        <v>138</v>
      </c>
      <c r="E20" s="221">
        <f>'[3]BLIND-PVC-PRE - Qty'!X20</f>
        <v>451.93970389891518</v>
      </c>
      <c r="F20" s="396">
        <f t="shared" si="17"/>
        <v>1585.5119703341072</v>
      </c>
      <c r="G20" s="396">
        <f t="shared" si="17"/>
        <v>1659.3433472160791</v>
      </c>
      <c r="H20" s="396">
        <f t="shared" si="17"/>
        <v>1596.9263850701834</v>
      </c>
      <c r="I20" s="396">
        <f t="shared" si="17"/>
        <v>1607.2505961096492</v>
      </c>
      <c r="J20" s="396">
        <f t="shared" si="17"/>
        <v>1626.885331725329</v>
      </c>
      <c r="K20" s="396">
        <f t="shared" si="17"/>
        <v>1849.7385913763478</v>
      </c>
      <c r="L20" s="396">
        <f t="shared" si="17"/>
        <v>1826.9865648764319</v>
      </c>
      <c r="M20" s="396">
        <f t="shared" si="17"/>
        <v>1827.9448730775434</v>
      </c>
      <c r="N20" s="396">
        <f t="shared" si="17"/>
        <v>1739.2367608803286</v>
      </c>
      <c r="O20" s="396">
        <f t="shared" si="17"/>
        <v>1348.8289167973448</v>
      </c>
      <c r="P20" s="396">
        <f t="shared" si="17"/>
        <v>1294.6312530174723</v>
      </c>
      <c r="Q20" s="396">
        <f t="shared" si="17"/>
        <v>1641.4474537350998</v>
      </c>
      <c r="R20" s="389">
        <f t="shared" si="14"/>
        <v>9925.6562218316958</v>
      </c>
      <c r="S20" s="389">
        <f>R20/SUM('Prod &amp; Defects - Qty'!$F$11:$K$11)*1000000</f>
        <v>112.9849259747288</v>
      </c>
      <c r="T20" s="389">
        <f t="shared" si="15"/>
        <v>9679.0758223842222</v>
      </c>
      <c r="U20" s="389">
        <f>T20/SUM('Prod &amp; Defects - Qty'!$L$11:$Q$11)*1000000</f>
        <v>112.98492597472881</v>
      </c>
      <c r="V20" s="389">
        <f t="shared" si="16"/>
        <v>19604.732044215918</v>
      </c>
      <c r="W20" s="389">
        <f>V20/'Prod &amp; Defects - Qty'!$R$11*1000000</f>
        <v>112.98492597472878</v>
      </c>
      <c r="X20" s="403">
        <f t="shared" si="0"/>
        <v>107.33567967599234</v>
      </c>
    </row>
    <row r="21" spans="1:25" ht="18" customHeight="1">
      <c r="A21" s="1052"/>
      <c r="B21" s="117">
        <f t="shared" si="10"/>
        <v>5140</v>
      </c>
      <c r="C21" s="1043"/>
      <c r="D21" s="70" t="s">
        <v>83</v>
      </c>
      <c r="E21" s="428">
        <f>'[3]BLIND-PVC-PRE - Qty'!X21</f>
        <v>269.90742374062569</v>
      </c>
      <c r="F21" s="398">
        <f>SUBTOTAL(109,F17:F20)</f>
        <v>6087.0510669298601</v>
      </c>
      <c r="G21" s="398">
        <f t="shared" ref="G21:Q21" si="18">SUBTOTAL(109,G17:G20)</f>
        <v>6370.5023242089865</v>
      </c>
      <c r="H21" s="398">
        <f t="shared" si="18"/>
        <v>6130.872953296931</v>
      </c>
      <c r="I21" s="398">
        <f t="shared" si="18"/>
        <v>6170.509361598376</v>
      </c>
      <c r="J21" s="398">
        <f t="shared" si="18"/>
        <v>6245.890462854346</v>
      </c>
      <c r="K21" s="398">
        <f t="shared" si="18"/>
        <v>7101.4621629164267</v>
      </c>
      <c r="L21" s="398">
        <f t="shared" si="18"/>
        <v>7014.1132499013165</v>
      </c>
      <c r="M21" s="398">
        <f t="shared" si="18"/>
        <v>7017.7923586479992</v>
      </c>
      <c r="N21" s="398">
        <f t="shared" si="18"/>
        <v>6677.2267753546694</v>
      </c>
      <c r="O21" s="398">
        <f t="shared" si="18"/>
        <v>5178.3844276918262</v>
      </c>
      <c r="P21" s="398">
        <f t="shared" si="18"/>
        <v>4970.3103460645143</v>
      </c>
      <c r="Q21" s="398">
        <f t="shared" si="18"/>
        <v>6301.7969346911113</v>
      </c>
      <c r="R21" s="391">
        <f t="shared" si="14"/>
        <v>38106.288331804928</v>
      </c>
      <c r="S21" s="391">
        <f>R21/SUM('Prod &amp; Defects - Qty'!$F$11:$K$11)*1000000</f>
        <v>433.76841491555507</v>
      </c>
      <c r="T21" s="391">
        <f t="shared" si="15"/>
        <v>37159.624092351434</v>
      </c>
      <c r="U21" s="391">
        <f>T21/SUM('Prod &amp; Defects - Qty'!$L$11:$Q$11)*1000000</f>
        <v>433.76841491555501</v>
      </c>
      <c r="V21" s="391">
        <f t="shared" si="12"/>
        <v>75265.912424156355</v>
      </c>
      <c r="W21" s="391">
        <f>V21/'Prod &amp; Defects - Qty'!$R$11*1000000</f>
        <v>433.7684149155549</v>
      </c>
      <c r="X21" s="405">
        <f t="shared" si="0"/>
        <v>412.07999416977714</v>
      </c>
    </row>
    <row r="22" spans="1:25" ht="18" customHeight="1" thickBot="1">
      <c r="A22" s="1053"/>
      <c r="B22" s="71"/>
      <c r="C22" s="72" t="s">
        <v>1</v>
      </c>
      <c r="D22" s="73"/>
      <c r="E22" s="429">
        <f>'[3]BLIND-PVC-PRE - Qty'!X22</f>
        <v>0</v>
      </c>
      <c r="F22" s="399">
        <f>SUMIF($D$6:$D$21,$D$21,F6:F21)</f>
        <v>16019.537097635122</v>
      </c>
      <c r="G22" s="399">
        <f t="shared" ref="G22:Q22" si="19">SUMIF($D$6:$D$21,$D$21,G6:G21)</f>
        <v>16336.404401320488</v>
      </c>
      <c r="H22" s="399">
        <f t="shared" si="19"/>
        <v>15737.342647691359</v>
      </c>
      <c r="I22" s="399">
        <f t="shared" si="19"/>
        <v>15840.997184432519</v>
      </c>
      <c r="J22" s="399">
        <f t="shared" si="19"/>
        <v>16407.999271659188</v>
      </c>
      <c r="K22" s="399">
        <f t="shared" si="19"/>
        <v>18674.141980347093</v>
      </c>
      <c r="L22" s="399">
        <f t="shared" si="19"/>
        <v>18463.56416205447</v>
      </c>
      <c r="M22" s="399">
        <f t="shared" si="19"/>
        <v>18473.863797357873</v>
      </c>
      <c r="N22" s="399">
        <f t="shared" si="19"/>
        <v>17428.754614870639</v>
      </c>
      <c r="O22" s="399">
        <f t="shared" si="19"/>
        <v>13636.844828425519</v>
      </c>
      <c r="P22" s="399">
        <f t="shared" si="19"/>
        <v>13127.238059797093</v>
      </c>
      <c r="Q22" s="399">
        <f t="shared" si="19"/>
        <v>16616.435713721541</v>
      </c>
      <c r="R22" s="392">
        <f t="shared" si="14"/>
        <v>99016.422583085761</v>
      </c>
      <c r="S22" s="406"/>
      <c r="T22" s="392">
        <f t="shared" si="15"/>
        <v>97746.701176227129</v>
      </c>
      <c r="U22" s="406"/>
      <c r="V22" s="392">
        <f t="shared" si="12"/>
        <v>196763.1237593129</v>
      </c>
      <c r="W22" s="406"/>
      <c r="X22" s="407">
        <f t="shared" ref="X22:X30" si="20">W22*0.9</f>
        <v>0</v>
      </c>
    </row>
    <row r="23" spans="1:25" ht="18" customHeight="1" thickTop="1">
      <c r="A23" s="1035" t="s">
        <v>89</v>
      </c>
      <c r="B23" s="66">
        <f>B21+10</f>
        <v>5150</v>
      </c>
      <c r="C23" s="74" t="s">
        <v>98</v>
      </c>
      <c r="D23" s="67"/>
      <c r="E23" s="425">
        <f>'[3]BLIND-PVC-PRE - Qty'!X23</f>
        <v>37904.288565322728</v>
      </c>
      <c r="F23" s="583">
        <f>$E23/1000000*F49</f>
        <v>43.186335399282044</v>
      </c>
      <c r="G23" s="583">
        <f t="shared" ref="G23:Q23" si="21">$E23/1000000*G49</f>
        <v>23.566206619324035</v>
      </c>
      <c r="H23" s="583">
        <f t="shared" si="21"/>
        <v>23.458066280092108</v>
      </c>
      <c r="I23" s="583">
        <f t="shared" si="21"/>
        <v>23.706098542739035</v>
      </c>
      <c r="J23" s="583">
        <f t="shared" si="21"/>
        <v>42.823048392613259</v>
      </c>
      <c r="K23" s="583">
        <f t="shared" si="21"/>
        <v>49.624108826014094</v>
      </c>
      <c r="L23" s="583">
        <f t="shared" si="21"/>
        <v>49.977395836946549</v>
      </c>
      <c r="M23" s="583">
        <f t="shared" si="21"/>
        <v>50.034610339479229</v>
      </c>
      <c r="N23" s="583">
        <f t="shared" si="21"/>
        <v>40.115868520239637</v>
      </c>
      <c r="O23" s="583">
        <f t="shared" si="21"/>
        <v>37.177213363477236</v>
      </c>
      <c r="P23" s="583">
        <f t="shared" si="21"/>
        <v>37.616063386238402</v>
      </c>
      <c r="Q23" s="583">
        <f t="shared" si="21"/>
        <v>46.310096731084016</v>
      </c>
      <c r="R23" s="905">
        <f t="shared" si="14"/>
        <v>206.36386406006457</v>
      </c>
      <c r="S23" s="393">
        <f>R23/SUM(F49:K49)*1000000</f>
        <v>37904.288565322728</v>
      </c>
      <c r="T23" s="386">
        <f t="shared" si="15"/>
        <v>261.23124817746509</v>
      </c>
      <c r="U23" s="393">
        <f>T23/SUM(L49:Q49)*1000000</f>
        <v>37904.288565322728</v>
      </c>
      <c r="V23" s="386">
        <f t="shared" si="12"/>
        <v>467.59511223752963</v>
      </c>
      <c r="W23" s="393">
        <f>V23/SUM(F49:Q49)*1000000</f>
        <v>37904.288565322728</v>
      </c>
      <c r="X23" s="408">
        <f t="shared" ref="X23:X24" si="22">W23*$Y$6</f>
        <v>0</v>
      </c>
      <c r="Y23" s="118">
        <v>0.79</v>
      </c>
    </row>
    <row r="24" spans="1:25" ht="18" customHeight="1">
      <c r="A24" s="1036"/>
      <c r="B24" s="66">
        <f>B23+10</f>
        <v>5160</v>
      </c>
      <c r="C24" s="44" t="s">
        <v>96</v>
      </c>
      <c r="D24" s="29"/>
      <c r="E24" s="216">
        <f>'[3]BLIND-PVC-PRE - Qty'!X24</f>
        <v>31572.560106671994</v>
      </c>
      <c r="F24" s="584">
        <f>$E24/1000000*F50</f>
        <v>113.42238725342033</v>
      </c>
      <c r="G24" s="584">
        <f t="shared" ref="G24:Q24" si="23">$E24/1000000*G50</f>
        <v>118.70404464664426</v>
      </c>
      <c r="H24" s="584">
        <f t="shared" si="23"/>
        <v>114.23893748620951</v>
      </c>
      <c r="I24" s="584">
        <f t="shared" si="23"/>
        <v>114.97749808020968</v>
      </c>
      <c r="J24" s="584">
        <f t="shared" si="23"/>
        <v>116.38210342428087</v>
      </c>
      <c r="K24" s="584">
        <f t="shared" si="23"/>
        <v>132.32430328764647</v>
      </c>
      <c r="L24" s="584">
        <f t="shared" si="23"/>
        <v>130.69669705776113</v>
      </c>
      <c r="M24" s="584">
        <f t="shared" si="23"/>
        <v>130.76525132031381</v>
      </c>
      <c r="N24" s="584">
        <f t="shared" si="23"/>
        <v>124.41936050245248</v>
      </c>
      <c r="O24" s="584">
        <f t="shared" si="23"/>
        <v>96.490848761842898</v>
      </c>
      <c r="P24" s="584">
        <f t="shared" si="23"/>
        <v>92.613723565382855</v>
      </c>
      <c r="Q24" s="584">
        <f t="shared" si="23"/>
        <v>117.42383043279774</v>
      </c>
      <c r="R24" s="906">
        <f t="shared" si="14"/>
        <v>710.04927417841111</v>
      </c>
      <c r="S24" s="394">
        <f>R24/SUM(F50:K50)*1000000</f>
        <v>31572.560106671997</v>
      </c>
      <c r="T24" s="387">
        <f t="shared" si="15"/>
        <v>692.409711640551</v>
      </c>
      <c r="U24" s="394">
        <f>T24/SUM(L50:Q50)*1000000</f>
        <v>31572.560106671997</v>
      </c>
      <c r="V24" s="387">
        <f t="shared" si="12"/>
        <v>1402.458985818962</v>
      </c>
      <c r="W24" s="394">
        <f>V24/SUM(F50:Q50)*1000000</f>
        <v>31572.560106671997</v>
      </c>
      <c r="X24" s="409">
        <f t="shared" si="22"/>
        <v>0</v>
      </c>
      <c r="Y24" s="119">
        <v>0.25600000000000001</v>
      </c>
    </row>
    <row r="25" spans="1:25" ht="18" customHeight="1">
      <c r="A25" s="1036"/>
      <c r="B25" s="66"/>
      <c r="C25" s="64"/>
      <c r="D25" s="61"/>
      <c r="E25" s="430">
        <f>'[3]BLIND-PVC-PRE - Qty'!X25</f>
        <v>0</v>
      </c>
      <c r="F25" s="585"/>
      <c r="G25" s="585"/>
      <c r="H25" s="585"/>
      <c r="I25" s="585"/>
      <c r="J25" s="585"/>
      <c r="K25" s="585"/>
      <c r="L25" s="585"/>
      <c r="M25" s="585"/>
      <c r="N25" s="585"/>
      <c r="O25" s="585"/>
      <c r="P25" s="585"/>
      <c r="Q25" s="585"/>
      <c r="R25" s="418">
        <f t="shared" si="14"/>
        <v>0</v>
      </c>
      <c r="S25" s="410"/>
      <c r="T25" s="418">
        <f t="shared" si="15"/>
        <v>0</v>
      </c>
      <c r="U25" s="410"/>
      <c r="V25" s="418">
        <f t="shared" si="12"/>
        <v>0</v>
      </c>
      <c r="W25" s="410"/>
      <c r="X25" s="411">
        <f t="shared" si="20"/>
        <v>0</v>
      </c>
    </row>
    <row r="26" spans="1:25" ht="18" customHeight="1" thickBot="1">
      <c r="A26" s="1038"/>
      <c r="B26" s="75"/>
      <c r="C26" s="72" t="s">
        <v>1</v>
      </c>
      <c r="D26" s="73"/>
      <c r="E26" s="429">
        <f>'[3]BLIND-PVC-PRE - Qty'!X26</f>
        <v>0</v>
      </c>
      <c r="F26" s="586"/>
      <c r="G26" s="586"/>
      <c r="H26" s="586"/>
      <c r="I26" s="586"/>
      <c r="J26" s="586"/>
      <c r="K26" s="586"/>
      <c r="L26" s="586"/>
      <c r="M26" s="586"/>
      <c r="N26" s="586"/>
      <c r="O26" s="586"/>
      <c r="P26" s="586"/>
      <c r="Q26" s="586"/>
      <c r="R26" s="392">
        <f t="shared" si="14"/>
        <v>0</v>
      </c>
      <c r="S26" s="406"/>
      <c r="T26" s="392">
        <f t="shared" si="15"/>
        <v>0</v>
      </c>
      <c r="U26" s="406"/>
      <c r="V26" s="392">
        <f t="shared" si="12"/>
        <v>0</v>
      </c>
      <c r="W26" s="406"/>
      <c r="X26" s="407">
        <f t="shared" si="20"/>
        <v>0</v>
      </c>
    </row>
    <row r="27" spans="1:25" ht="18" customHeight="1" thickTop="1">
      <c r="A27" s="1035" t="s">
        <v>100</v>
      </c>
      <c r="B27" s="66">
        <v>5170</v>
      </c>
      <c r="C27" s="74" t="s">
        <v>98</v>
      </c>
      <c r="D27" s="67"/>
      <c r="E27" s="432">
        <f>'[3]BLIND-PVC-PRE - Qty'!X27</f>
        <v>8.9577527565087245E-2</v>
      </c>
      <c r="F27" s="393">
        <f>$E27*'Prod &amp; Defects - Qty'!F5</f>
        <v>129190.32287380884</v>
      </c>
      <c r="G27" s="393">
        <f>$E27*'Prod &amp; Defects - Qty'!G5</f>
        <v>70497.434290569072</v>
      </c>
      <c r="H27" s="393">
        <f>$E27*'Prod &amp; Defects - Qty'!H5</f>
        <v>70173.936470902525</v>
      </c>
      <c r="I27" s="393">
        <f>$E27*'Prod &amp; Defects - Qty'!I5</f>
        <v>70915.915798349946</v>
      </c>
      <c r="J27" s="393">
        <f>$E27*'Prod &amp; Defects - Qty'!J5</f>
        <v>128103.56324825887</v>
      </c>
      <c r="K27" s="393">
        <f>$E27*'Prod &amp; Defects - Qty'!K5</f>
        <v>148448.68364691964</v>
      </c>
      <c r="L27" s="393">
        <f>$E27*'Prod &amp; Defects - Qty'!L5</f>
        <v>149505.52865558982</v>
      </c>
      <c r="M27" s="393">
        <f>$E27*'Prod &amp; Defects - Qty'!M5</f>
        <v>149676.68372088819</v>
      </c>
      <c r="N27" s="393">
        <f>$E27*'Prod &amp; Defects - Qty'!N5</f>
        <v>120005.134924673</v>
      </c>
      <c r="O27" s="393">
        <f>$E27*'Prod &amp; Defects - Qty'!O5</f>
        <v>111214.25686088549</v>
      </c>
      <c r="P27" s="393">
        <f>$E27*'Prod &amp; Defects - Qty'!P5</f>
        <v>112527.06045048192</v>
      </c>
      <c r="Q27" s="393">
        <f>$E27*'Prod &amp; Defects - Qty'!Q5</f>
        <v>138534.93920453195</v>
      </c>
      <c r="R27" s="386">
        <f t="shared" si="14"/>
        <v>617329.85632880894</v>
      </c>
      <c r="S27" s="412">
        <f>R27/SUM(F51:K51)</f>
        <v>8.9577527565087245E-2</v>
      </c>
      <c r="T27" s="386">
        <f t="shared" si="15"/>
        <v>781463.60381705046</v>
      </c>
      <c r="U27" s="412">
        <f>T27/SUM(L51:Q51)</f>
        <v>8.9577527565087273E-2</v>
      </c>
      <c r="V27" s="386">
        <f t="shared" si="12"/>
        <v>1398793.4601458595</v>
      </c>
      <c r="W27" s="412">
        <f>V27/SUM(F51:Q51)</f>
        <v>8.9577527565087245E-2</v>
      </c>
      <c r="X27" s="413">
        <f t="shared" si="20"/>
        <v>8.0619774808578529E-2</v>
      </c>
    </row>
    <row r="28" spans="1:25" ht="18" customHeight="1">
      <c r="A28" s="1036"/>
      <c r="B28" s="66">
        <f>B27+10</f>
        <v>5180</v>
      </c>
      <c r="C28" s="44" t="s">
        <v>96</v>
      </c>
      <c r="D28" s="29"/>
      <c r="E28" s="433">
        <f>'[3]BLIND-PVC-PRE - Qty'!X28</f>
        <v>6.0676251326009109E-2</v>
      </c>
      <c r="F28" s="394">
        <f>$E28*'Prod &amp; Defects - Qty'!F11</f>
        <v>851466.88341333065</v>
      </c>
      <c r="G28" s="394">
        <f>$E28*'Prod &amp; Defects - Qty'!G11</f>
        <v>891116.51933412428</v>
      </c>
      <c r="H28" s="394">
        <f>$E28*'Prod &amp; Defects - Qty'!H11</f>
        <v>857596.76216742536</v>
      </c>
      <c r="I28" s="394">
        <f>$E28*'Prod &amp; Defects - Qty'!I11</f>
        <v>863141.16924977815</v>
      </c>
      <c r="J28" s="394">
        <f>$E28*'Prod &amp; Defects - Qty'!J11</f>
        <v>873685.60376313236</v>
      </c>
      <c r="K28" s="394">
        <f>$E28*'Prod &amp; Defects - Qty'!K11</f>
        <v>993364.40405220829</v>
      </c>
      <c r="L28" s="394">
        <f>$E28*'Prod &amp; Defects - Qty'!L11</f>
        <v>981145.89201464946</v>
      </c>
      <c r="M28" s="394">
        <f>$E28*'Prod &amp; Defects - Qty'!M11</f>
        <v>981660.53189919004</v>
      </c>
      <c r="N28" s="394">
        <f>$E28*'Prod &amp; Defects - Qty'!N11</f>
        <v>934021.6485357763</v>
      </c>
      <c r="O28" s="394">
        <f>$E28*'Prod &amp; Defects - Qty'!O11</f>
        <v>724361.0742347152</v>
      </c>
      <c r="P28" s="394">
        <f>$E28*'Prod &amp; Defects - Qty'!P11</f>
        <v>695255.32370720117</v>
      </c>
      <c r="Q28" s="394">
        <f>$E28*'Prod &amp; Defects - Qty'!Q11</f>
        <v>881505.89454336034</v>
      </c>
      <c r="R28" s="387">
        <f t="shared" si="14"/>
        <v>5330371.3419799991</v>
      </c>
      <c r="S28" s="414">
        <f>R28/SUM(F52:K52)</f>
        <v>6.0676251326009109E-2</v>
      </c>
      <c r="T28" s="387">
        <f t="shared" si="15"/>
        <v>5197950.3649348924</v>
      </c>
      <c r="U28" s="414">
        <f>T28/SUM(L52:Q52)</f>
        <v>6.0676251326009116E-2</v>
      </c>
      <c r="V28" s="387">
        <f t="shared" si="12"/>
        <v>10528321.706914891</v>
      </c>
      <c r="W28" s="414">
        <f>V28/SUM(F52:Q52)</f>
        <v>6.0676251326009095E-2</v>
      </c>
      <c r="X28" s="415">
        <f t="shared" si="20"/>
        <v>5.4608626193408186E-2</v>
      </c>
    </row>
    <row r="29" spans="1:25" ht="18" customHeight="1">
      <c r="A29" s="1036"/>
      <c r="B29" s="66">
        <f>B28+10</f>
        <v>5190</v>
      </c>
      <c r="C29" s="44" t="s">
        <v>119</v>
      </c>
      <c r="D29" s="29"/>
      <c r="E29" s="433">
        <f>'[3]BLIND-PVC-PRE - Qty'!X29</f>
        <v>6.7251281979924402E-2</v>
      </c>
      <c r="F29" s="394">
        <f>$E29*'Prod &amp; Defects - Qty'!F8</f>
        <v>662899.74233374756</v>
      </c>
      <c r="G29" s="394">
        <f>$E29*'Prod &amp; Defects - Qty'!G8</f>
        <v>756881.87556608208</v>
      </c>
      <c r="H29" s="394">
        <f>$E29*'Prod &amp; Defects - Qty'!H8</f>
        <v>685546.39161668962</v>
      </c>
      <c r="I29" s="394">
        <f>$E29*'Prod &amp; Defects - Qty'!I8</f>
        <v>688993.30998390459</v>
      </c>
      <c r="J29" s="394">
        <f>$E29*'Prod &amp; Defects - Qty'!J8</f>
        <v>743816.95620447316</v>
      </c>
      <c r="K29" s="394">
        <f>$E29*'Prod &amp; Defects - Qty'!K8</f>
        <v>783823.57517836476</v>
      </c>
      <c r="L29" s="394">
        <f>$E29*'Prod &amp; Defects - Qty'!L8</f>
        <v>764790.51255792764</v>
      </c>
      <c r="M29" s="394">
        <f>$E29*'Prod &amp; Defects - Qty'!M8</f>
        <v>763260.69337494578</v>
      </c>
      <c r="N29" s="394">
        <f>$E29*'Prod &amp; Defects - Qty'!N8</f>
        <v>762358.26761826302</v>
      </c>
      <c r="O29" s="394">
        <f>$E29*'Prod &amp; Defects - Qty'!O8</f>
        <v>564211.89111798292</v>
      </c>
      <c r="P29" s="394">
        <f>$E29*'Prod &amp; Defects - Qty'!P8</f>
        <v>589301.30237583094</v>
      </c>
      <c r="Q29" s="394">
        <f>$E29*'Prod &amp; Defects - Qty'!Q8</f>
        <v>728966.11063246801</v>
      </c>
      <c r="R29" s="387">
        <f t="shared" si="14"/>
        <v>4321961.8508832613</v>
      </c>
      <c r="S29" s="414">
        <f>R29/SUM(F53:K53)</f>
        <v>6.7251281979924402E-2</v>
      </c>
      <c r="T29" s="387">
        <f t="shared" si="15"/>
        <v>4172888.7776774187</v>
      </c>
      <c r="U29" s="414">
        <f>T29/SUM(L53:Q53)</f>
        <v>6.7251281979924415E-2</v>
      </c>
      <c r="V29" s="387">
        <f t="shared" si="12"/>
        <v>8494850.6285606809</v>
      </c>
      <c r="W29" s="414">
        <f>V29/SUM(F53:Q53)</f>
        <v>6.7251281979924402E-2</v>
      </c>
      <c r="X29" s="415">
        <f t="shared" si="20"/>
        <v>6.0526153781931963E-2</v>
      </c>
    </row>
    <row r="30" spans="1:25" ht="18" customHeight="1" thickBot="1">
      <c r="A30" s="1037"/>
      <c r="B30" s="122"/>
      <c r="C30" s="123" t="s">
        <v>1</v>
      </c>
      <c r="D30" s="124"/>
      <c r="E30" s="431">
        <f>'[3]BLIND-PVC-PRE - Qty'!X30</f>
        <v>0</v>
      </c>
      <c r="F30" s="401"/>
      <c r="G30" s="401"/>
      <c r="H30" s="401"/>
      <c r="I30" s="401"/>
      <c r="J30" s="401"/>
      <c r="K30" s="401"/>
      <c r="L30" s="401"/>
      <c r="M30" s="401"/>
      <c r="N30" s="401"/>
      <c r="O30" s="401"/>
      <c r="P30" s="401"/>
      <c r="Q30" s="401"/>
      <c r="R30" s="416">
        <f t="shared" si="14"/>
        <v>0</v>
      </c>
      <c r="S30" s="416"/>
      <c r="T30" s="416">
        <f t="shared" si="15"/>
        <v>0</v>
      </c>
      <c r="U30" s="416"/>
      <c r="V30" s="416">
        <f t="shared" si="12"/>
        <v>0</v>
      </c>
      <c r="W30" s="400"/>
      <c r="X30" s="417">
        <f t="shared" si="20"/>
        <v>0</v>
      </c>
    </row>
    <row r="32" spans="1:25">
      <c r="C32" s="544" t="s">
        <v>190</v>
      </c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</row>
    <row r="33" spans="3:17">
      <c r="C33" s="544" t="s">
        <v>98</v>
      </c>
      <c r="D33" s="186" t="s">
        <v>134</v>
      </c>
      <c r="E33" s="186"/>
      <c r="F33" s="545">
        <f>'Prod &amp; Defects - Qty'!F$5/(V_BLD_UM1_BM1+V_BLD_UM1_BM2+V_BLD_UM1_BM3)*V_BLD_UM1_BM1</f>
        <v>413503.06365384621</v>
      </c>
      <c r="G33" s="545">
        <f>'Prod &amp; Defects - Qty'!G$5/(V_BLD_UM1_BM1+V_BLD_UM1_BM2+V_BLD_UM1_BM3)*V_BLD_UM1_BM1</f>
        <v>225643.1008951049</v>
      </c>
      <c r="H33" s="545">
        <f>'Prod &amp; Defects - Qty'!H$5/(V_BLD_UM1_BM1+V_BLD_UM1_BM2+V_BLD_UM1_BM3)*V_BLD_UM1_BM1</f>
        <v>224607.67241608395</v>
      </c>
      <c r="I33" s="545">
        <f>'Prod &amp; Defects - Qty'!I$5/(V_BLD_UM1_BM1+V_BLD_UM1_BM2+V_BLD_UM1_BM3)*V_BLD_UM1_BM1</f>
        <v>226982.54630944057</v>
      </c>
      <c r="J33" s="545">
        <f>'Prod &amp; Defects - Qty'!J$5/(V_BLD_UM1_BM1+V_BLD_UM1_BM2+V_BLD_UM1_BM3)*V_BLD_UM1_BM1</f>
        <v>410024.64186013985</v>
      </c>
      <c r="K33" s="545">
        <f>'Prod &amp; Defects - Qty'!K$5/(V_BLD_UM1_BM1+V_BLD_UM1_BM2+V_BLD_UM1_BM3)*V_BLD_UM1_BM1</f>
        <v>475143.83521853137</v>
      </c>
      <c r="L33" s="545">
        <f>'Prod &amp; Defects - Qty'!L$5/(V_BLD_UM1_BM1+V_BLD_UM1_BM2+V_BLD_UM1_BM3)*V_BLD_UM1_BM1</f>
        <v>478526.50846503489</v>
      </c>
      <c r="M33" s="545">
        <f>'Prod &amp; Defects - Qty'!M$5/(V_BLD_UM1_BM1+V_BLD_UM1_BM2+V_BLD_UM1_BM3)*V_BLD_UM1_BM1</f>
        <v>479074.32924825174</v>
      </c>
      <c r="N33" s="545">
        <f>'Prod &amp; Defects - Qty'!N$5/(V_BLD_UM1_BM1+V_BLD_UM1_BM2+V_BLD_UM1_BM3)*V_BLD_UM1_BM1</f>
        <v>384103.77682867134</v>
      </c>
      <c r="O33" s="545">
        <f>'Prod &amp; Defects - Qty'!O$5/(V_BLD_UM1_BM1+V_BLD_UM1_BM2+V_BLD_UM1_BM3)*V_BLD_UM1_BM1</f>
        <v>355966.56863286713</v>
      </c>
      <c r="P33" s="545">
        <f>'Prod &amp; Defects - Qty'!P$5/(V_BLD_UM1_BM1+V_BLD_UM1_BM2+V_BLD_UM1_BM3)*V_BLD_UM1_BM1</f>
        <v>360168.49563636363</v>
      </c>
      <c r="Q33" s="545">
        <f>'Prod &amp; Defects - Qty'!Q$5/(V_BLD_UM1_BM1+V_BLD_UM1_BM2+V_BLD_UM1_BM3)*V_BLD_UM1_BM1</f>
        <v>443412.63733916084</v>
      </c>
    </row>
    <row r="34" spans="3:17">
      <c r="C34" s="544"/>
      <c r="D34" s="186" t="s">
        <v>135</v>
      </c>
      <c r="E34" s="186"/>
      <c r="F34" s="545">
        <f>'Prod &amp; Defects - Qty'!F$5/(V_BLD_UM1_BM1+V_BLD_UM1_BM2+V_BLD_UM1_BM3)*V_BLD_UM1_BM2</f>
        <v>403417.62307692313</v>
      </c>
      <c r="G34" s="545">
        <f>'Prod &amp; Defects - Qty'!G$5/(V_BLD_UM1_BM1+V_BLD_UM1_BM2+V_BLD_UM1_BM3)*V_BLD_UM1_BM2</f>
        <v>220139.61062937064</v>
      </c>
      <c r="H34" s="545">
        <f>'Prod &amp; Defects - Qty'!H$5/(V_BLD_UM1_BM1+V_BLD_UM1_BM2+V_BLD_UM1_BM3)*V_BLD_UM1_BM2</f>
        <v>219129.43650349652</v>
      </c>
      <c r="I34" s="545">
        <f>'Prod &amp; Defects - Qty'!I$5/(V_BLD_UM1_BM1+V_BLD_UM1_BM2+V_BLD_UM1_BM3)*V_BLD_UM1_BM2</f>
        <v>221446.38664335667</v>
      </c>
      <c r="J34" s="545">
        <f>'Prod &amp; Defects - Qty'!J$5/(V_BLD_UM1_BM1+V_BLD_UM1_BM2+V_BLD_UM1_BM3)*V_BLD_UM1_BM2</f>
        <v>400024.04083916085</v>
      </c>
      <c r="K34" s="545">
        <f>'Prod &amp; Defects - Qty'!K$5/(V_BLD_UM1_BM1+V_BLD_UM1_BM2+V_BLD_UM1_BM3)*V_BLD_UM1_BM2</f>
        <v>463554.96118881111</v>
      </c>
      <c r="L34" s="545">
        <f>'Prod &amp; Defects - Qty'!L$5/(V_BLD_UM1_BM1+V_BLD_UM1_BM2+V_BLD_UM1_BM3)*V_BLD_UM1_BM2</f>
        <v>466855.13020979014</v>
      </c>
      <c r="M34" s="545">
        <f>'Prod &amp; Defects - Qty'!M$5/(V_BLD_UM1_BM1+V_BLD_UM1_BM2+V_BLD_UM1_BM3)*V_BLD_UM1_BM2</f>
        <v>467389.58951048955</v>
      </c>
      <c r="N34" s="545">
        <f>'Prod &amp; Defects - Qty'!N$5/(V_BLD_UM1_BM1+V_BLD_UM1_BM2+V_BLD_UM1_BM3)*V_BLD_UM1_BM2</f>
        <v>374735.39202797203</v>
      </c>
      <c r="O34" s="545">
        <f>'Prod &amp; Defects - Qty'!O$5/(V_BLD_UM1_BM1+V_BLD_UM1_BM2+V_BLD_UM1_BM3)*V_BLD_UM1_BM2</f>
        <v>347284.45720279717</v>
      </c>
      <c r="P34" s="545">
        <f>'Prod &amp; Defects - Qty'!P$5/(V_BLD_UM1_BM1+V_BLD_UM1_BM2+V_BLD_UM1_BM3)*V_BLD_UM1_BM2</f>
        <v>351383.89818181819</v>
      </c>
      <c r="Q34" s="545">
        <f>'Prod &amp; Defects - Qty'!Q$5/(V_BLD_UM1_BM1+V_BLD_UM1_BM2+V_BLD_UM1_BM3)*V_BLD_UM1_BM2</f>
        <v>432597.69496503496</v>
      </c>
    </row>
    <row r="35" spans="3:17">
      <c r="C35" s="544"/>
      <c r="D35" s="186" t="s">
        <v>136</v>
      </c>
      <c r="E35" s="186"/>
      <c r="F35" s="545">
        <f>'Prod &amp; Defects - Qty'!F$5/(V_BLD_UM1_BM1+V_BLD_UM1_BM2+V_BLD_UM1_BM3)*V_BLD_UM1_BM3</f>
        <v>625297.31576923083</v>
      </c>
      <c r="G35" s="545">
        <f>'Prod &amp; Defects - Qty'!G$5/(V_BLD_UM1_BM1+V_BLD_UM1_BM2+V_BLD_UM1_BM3)*V_BLD_UM1_BM3</f>
        <v>341216.39647552453</v>
      </c>
      <c r="H35" s="545">
        <f>'Prod &amp; Defects - Qty'!H$5/(V_BLD_UM1_BM1+V_BLD_UM1_BM2+V_BLD_UM1_BM3)*V_BLD_UM1_BM3</f>
        <v>339650.6265804196</v>
      </c>
      <c r="I35" s="545">
        <f>'Prod &amp; Defects - Qty'!I$5/(V_BLD_UM1_BM1+V_BLD_UM1_BM2+V_BLD_UM1_BM3)*V_BLD_UM1_BM3</f>
        <v>343241.89929720282</v>
      </c>
      <c r="J35" s="545">
        <f>'Prod &amp; Defects - Qty'!J$5/(V_BLD_UM1_BM1+V_BLD_UM1_BM2+V_BLD_UM1_BM3)*V_BLD_UM1_BM3</f>
        <v>620037.2633006993</v>
      </c>
      <c r="K35" s="545">
        <f>'Prod &amp; Defects - Qty'!K$5/(V_BLD_UM1_BM1+V_BLD_UM1_BM2+V_BLD_UM1_BM3)*V_BLD_UM1_BM3</f>
        <v>718510.18984265719</v>
      </c>
      <c r="L35" s="545">
        <f>'Prod &amp; Defects - Qty'!L$5/(V_BLD_UM1_BM1+V_BLD_UM1_BM2+V_BLD_UM1_BM3)*V_BLD_UM1_BM3</f>
        <v>723625.45182517474</v>
      </c>
      <c r="M35" s="545">
        <f>'Prod &amp; Defects - Qty'!M$5/(V_BLD_UM1_BM1+V_BLD_UM1_BM2+V_BLD_UM1_BM3)*V_BLD_UM1_BM3</f>
        <v>724453.86374125874</v>
      </c>
      <c r="N35" s="545">
        <f>'Prod &amp; Defects - Qty'!N$5/(V_BLD_UM1_BM1+V_BLD_UM1_BM2+V_BLD_UM1_BM3)*V_BLD_UM1_BM3</f>
        <v>580839.85764335666</v>
      </c>
      <c r="O35" s="545">
        <f>'Prod &amp; Defects - Qty'!O$5/(V_BLD_UM1_BM1+V_BLD_UM1_BM2+V_BLD_UM1_BM3)*V_BLD_UM1_BM3</f>
        <v>538290.90866433561</v>
      </c>
      <c r="P35" s="545">
        <f>'Prod &amp; Defects - Qty'!P$5/(V_BLD_UM1_BM1+V_BLD_UM1_BM2+V_BLD_UM1_BM3)*V_BLD_UM1_BM3</f>
        <v>544645.04218181816</v>
      </c>
      <c r="Q35" s="545">
        <f>'Prod &amp; Defects - Qty'!Q$5/(V_BLD_UM1_BM1+V_BLD_UM1_BM2+V_BLD_UM1_BM3)*V_BLD_UM1_BM3</f>
        <v>670526.42719580419</v>
      </c>
    </row>
    <row r="36" spans="3:17">
      <c r="C36" s="544"/>
      <c r="D36" s="186" t="s">
        <v>204</v>
      </c>
      <c r="E36" s="186"/>
      <c r="F36" s="545">
        <f>'Prod &amp; Defects - Qty'!F5*(1+'BLIND-PVC-PRE - Qty'!$E9/10000)</f>
        <v>1475286.5565830653</v>
      </c>
      <c r="G36" s="545">
        <f>'Prod &amp; Defects - Qty'!G5*(1+'BLIND-PVC-PRE - Qty'!$E9/10000)</f>
        <v>805044.17644395877</v>
      </c>
      <c r="H36" s="545">
        <f>'Prod &amp; Defects - Qty'!H5*(1+'BLIND-PVC-PRE - Qty'!$E9/10000)</f>
        <v>801349.9989403995</v>
      </c>
      <c r="I36" s="545">
        <f>'Prod &amp; Defects - Qty'!I5*(1+'BLIND-PVC-PRE - Qty'!$E9/10000)</f>
        <v>809823.01845684531</v>
      </c>
      <c r="J36" s="545">
        <f>'Prod &amp; Defects - Qty'!J5*(1+'BLIND-PVC-PRE - Qty'!$E9/10000)</f>
        <v>1462876.3246853002</v>
      </c>
      <c r="K36" s="545">
        <f>'Prod &amp; Defects - Qty'!K5*(1+'BLIND-PVC-PRE - Qty'!$E9/10000)</f>
        <v>1695207.0592831713</v>
      </c>
      <c r="L36" s="545">
        <f>'Prod &amp; Defects - Qty'!L5*(1+'BLIND-PVC-PRE - Qty'!$E9/10000)</f>
        <v>1707275.6817542673</v>
      </c>
      <c r="M36" s="545">
        <f>'Prod &amp; Defects - Qty'!M5*(1+'BLIND-PVC-PRE - Qty'!$E9/10000)</f>
        <v>1709230.1839283386</v>
      </c>
      <c r="N36" s="545">
        <f>'Prod &amp; Defects - Qty'!N5*(1+'BLIND-PVC-PRE - Qty'!$E9/10000)</f>
        <v>1370396.4688457269</v>
      </c>
      <c r="O36" s="545">
        <f>'Prod &amp; Defects - Qty'!O5*(1+'BLIND-PVC-PRE - Qty'!$E9/10000)</f>
        <v>1270009.1957158761</v>
      </c>
      <c r="P36" s="545">
        <f>'Prod &amp; Defects - Qty'!P5*(1+'BLIND-PVC-PRE - Qty'!$E9/10000)</f>
        <v>1285000.7325746964</v>
      </c>
      <c r="Q36" s="545">
        <f>'Prod &amp; Defects - Qty'!Q5*(1+'BLIND-PVC-PRE - Qty'!$E9/10000)</f>
        <v>1581997.2338418283</v>
      </c>
    </row>
    <row r="37" spans="3:17">
      <c r="C37" s="1033" t="s">
        <v>137</v>
      </c>
      <c r="D37" s="544" t="s">
        <v>134</v>
      </c>
      <c r="E37" s="186"/>
      <c r="F37" s="685">
        <f>'Prod &amp; Defects - Qty'!F$11/(V_BLD_UM3_BM1+V_BLD_UM3_BM2+V_BLD_UM3_BM3+V_BLD_UM3_BM4+V_BLD_UM3_BM5)*V_BLD_UM3_BM1</f>
        <v>2158915.5934615382</v>
      </c>
      <c r="G37" s="685">
        <f>'Prod &amp; Defects - Qty'!G$11/(V_BLD_UM3_BM1+V_BLD_UM3_BM2+V_BLD_UM3_BM3+V_BLD_UM3_BM4+V_BLD_UM3_BM5)*V_BLD_UM3_BM1</f>
        <v>2259448.2376923072</v>
      </c>
      <c r="H37" s="685">
        <f>'Prod &amp; Defects - Qty'!H$11/(V_BLD_UM3_BM1+V_BLD_UM3_BM2+V_BLD_UM3_BM3+V_BLD_UM3_BM4+V_BLD_UM3_BM5)*V_BLD_UM3_BM1</f>
        <v>2174458.0544615388</v>
      </c>
      <c r="I37" s="685">
        <f>'Prod &amp; Defects - Qty'!I$11/(V_BLD_UM3_BM1+V_BLD_UM3_BM2+V_BLD_UM3_BM3+V_BLD_UM3_BM4+V_BLD_UM3_BM5)*V_BLD_UM3_BM1</f>
        <v>2188516.0373846157</v>
      </c>
      <c r="J37" s="685">
        <f>'Prod &amp; Defects - Qty'!J$11/(V_BLD_UM3_BM1+V_BLD_UM3_BM2+V_BLD_UM3_BM3+V_BLD_UM3_BM4+V_BLD_UM3_BM5)*V_BLD_UM3_BM1</f>
        <v>2215251.7149999994</v>
      </c>
      <c r="K37" s="685">
        <f>'Prod &amp; Defects - Qty'!K$11/(V_BLD_UM3_BM1+V_BLD_UM3_BM2+V_BLD_UM3_BM3+V_BLD_UM3_BM4+V_BLD_UM3_BM5)*V_BLD_UM3_BM1</f>
        <v>2518700.3084615385</v>
      </c>
      <c r="L37" s="685">
        <f>'Prod &amp; Defects - Qty'!L$11/(V_BLD_UM3_BM1+V_BLD_UM3_BM2+V_BLD_UM3_BM3+V_BLD_UM3_BM4+V_BLD_UM3_BM5)*V_BLD_UM3_BM1</f>
        <v>2487719.9653846156</v>
      </c>
      <c r="M37" s="685">
        <f>'Prod &amp; Defects - Qty'!M$11/(V_BLD_UM3_BM1+V_BLD_UM3_BM2+V_BLD_UM3_BM3+V_BLD_UM3_BM4+V_BLD_UM3_BM5)*V_BLD_UM3_BM1</f>
        <v>2489024.8476923076</v>
      </c>
      <c r="N37" s="685">
        <f>'Prod &amp; Defects - Qty'!N$11/(V_BLD_UM3_BM1+V_BLD_UM3_BM2+V_BLD_UM3_BM3+V_BLD_UM3_BM4+V_BLD_UM3_BM5)*V_BLD_UM3_BM1</f>
        <v>2368235.2666153847</v>
      </c>
      <c r="O37" s="685">
        <f>'Prod &amp; Defects - Qty'!O$11/(V_BLD_UM3_BM1+V_BLD_UM3_BM2+V_BLD_UM3_BM3+V_BLD_UM3_BM4+V_BLD_UM3_BM5)*V_BLD_UM3_BM1</f>
        <v>1836635.6330769234</v>
      </c>
      <c r="P37" s="685">
        <f>'Prod &amp; Defects - Qty'!P$11/(V_BLD_UM3_BM1+V_BLD_UM3_BM2+V_BLD_UM3_BM3+V_BLD_UM3_BM4+V_BLD_UM3_BM5)*V_BLD_UM3_BM1</f>
        <v>1762837.2741538459</v>
      </c>
      <c r="Q37" s="685">
        <f>'Prod &amp; Defects - Qty'!Q$11/(V_BLD_UM3_BM1+V_BLD_UM3_BM2+V_BLD_UM3_BM3+V_BLD_UM3_BM4+V_BLD_UM3_BM5)*V_BLD_UM3_BM1</f>
        <v>2235080.2579999999</v>
      </c>
    </row>
    <row r="38" spans="3:17">
      <c r="C38" s="1034"/>
      <c r="D38" s="544" t="s">
        <v>135</v>
      </c>
      <c r="E38" s="186"/>
      <c r="F38" s="685">
        <f>'Prod &amp; Defects - Qty'!F$11/(V_BLD_UM3_BM1+V_BLD_UM3_BM2+V_BLD_UM3_BM3+V_BLD_UM3_BM4+V_BLD_UM3_BM5)*V_BLD_UM3_BM2</f>
        <v>2590698.7121538459</v>
      </c>
      <c r="G38" s="685">
        <f>'Prod &amp; Defects - Qty'!G$11/(V_BLD_UM3_BM1+V_BLD_UM3_BM2+V_BLD_UM3_BM3+V_BLD_UM3_BM4+V_BLD_UM3_BM5)*V_BLD_UM3_BM2</f>
        <v>2711337.8852307689</v>
      </c>
      <c r="H38" s="685">
        <f>'Prod &amp; Defects - Qty'!H$11/(V_BLD_UM3_BM1+V_BLD_UM3_BM2+V_BLD_UM3_BM3+V_BLD_UM3_BM4+V_BLD_UM3_BM5)*V_BLD_UM3_BM2</f>
        <v>2609349.6653538463</v>
      </c>
      <c r="I38" s="685">
        <f>'Prod &amp; Defects - Qty'!I$11/(V_BLD_UM3_BM1+V_BLD_UM3_BM2+V_BLD_UM3_BM3+V_BLD_UM3_BM4+V_BLD_UM3_BM5)*V_BLD_UM3_BM2</f>
        <v>2626219.2448615385</v>
      </c>
      <c r="J38" s="685">
        <f>'Prod &amp; Defects - Qty'!J$11/(V_BLD_UM3_BM1+V_BLD_UM3_BM2+V_BLD_UM3_BM3+V_BLD_UM3_BM4+V_BLD_UM3_BM5)*V_BLD_UM3_BM2</f>
        <v>2658302.0579999993</v>
      </c>
      <c r="K38" s="685">
        <f>'Prod &amp; Defects - Qty'!K$11/(V_BLD_UM3_BM1+V_BLD_UM3_BM2+V_BLD_UM3_BM3+V_BLD_UM3_BM4+V_BLD_UM3_BM5)*V_BLD_UM3_BM2</f>
        <v>3022440.3701538462</v>
      </c>
      <c r="L38" s="685">
        <f>'Prod &amp; Defects - Qty'!L$11/(V_BLD_UM3_BM1+V_BLD_UM3_BM2+V_BLD_UM3_BM3+V_BLD_UM3_BM4+V_BLD_UM3_BM5)*V_BLD_UM3_BM2</f>
        <v>2985263.9584615384</v>
      </c>
      <c r="M38" s="685">
        <f>'Prod &amp; Defects - Qty'!M$11/(V_BLD_UM3_BM1+V_BLD_UM3_BM2+V_BLD_UM3_BM3+V_BLD_UM3_BM4+V_BLD_UM3_BM5)*V_BLD_UM3_BM2</f>
        <v>2986829.817230769</v>
      </c>
      <c r="N38" s="685">
        <f>'Prod &amp; Defects - Qty'!N$11/(V_BLD_UM3_BM1+V_BLD_UM3_BM2+V_BLD_UM3_BM3+V_BLD_UM3_BM4+V_BLD_UM3_BM5)*V_BLD_UM3_BM2</f>
        <v>2841882.3199384618</v>
      </c>
      <c r="O38" s="685">
        <f>'Prod &amp; Defects - Qty'!O$11/(V_BLD_UM3_BM1+V_BLD_UM3_BM2+V_BLD_UM3_BM3+V_BLD_UM3_BM4+V_BLD_UM3_BM5)*V_BLD_UM3_BM2</f>
        <v>2203962.759692308</v>
      </c>
      <c r="P38" s="685">
        <f>'Prod &amp; Defects - Qty'!P$11/(V_BLD_UM3_BM1+V_BLD_UM3_BM2+V_BLD_UM3_BM3+V_BLD_UM3_BM4+V_BLD_UM3_BM5)*V_BLD_UM3_BM2</f>
        <v>2115404.7289846148</v>
      </c>
      <c r="Q38" s="685">
        <f>'Prod &amp; Defects - Qty'!Q$11/(V_BLD_UM3_BM1+V_BLD_UM3_BM2+V_BLD_UM3_BM3+V_BLD_UM3_BM4+V_BLD_UM3_BM5)*V_BLD_UM3_BM2</f>
        <v>2682096.3095999998</v>
      </c>
    </row>
    <row r="39" spans="3:17">
      <c r="C39" s="1034"/>
      <c r="D39" s="544" t="s">
        <v>136</v>
      </c>
      <c r="E39" s="186"/>
      <c r="F39" s="685">
        <f>'Prod &amp; Defects - Qty'!F$11/(V_BLD_UM3_BM1+V_BLD_UM3_BM2+V_BLD_UM3_BM3+V_BLD_UM3_BM4+V_BLD_UM3_BM5)*V_BLD_UM3_BM3</f>
        <v>2288450.5290692304</v>
      </c>
      <c r="G39" s="685">
        <f>'Prod &amp; Defects - Qty'!G$11/(V_BLD_UM3_BM1+V_BLD_UM3_BM2+V_BLD_UM3_BM3+V_BLD_UM3_BM4+V_BLD_UM3_BM5)*V_BLD_UM3_BM3</f>
        <v>2395015.1319538457</v>
      </c>
      <c r="H39" s="685">
        <f>'Prod &amp; Defects - Qty'!H$11/(V_BLD_UM3_BM1+V_BLD_UM3_BM2+V_BLD_UM3_BM3+V_BLD_UM3_BM4+V_BLD_UM3_BM5)*V_BLD_UM3_BM3</f>
        <v>2304925.5377292312</v>
      </c>
      <c r="I39" s="685">
        <f>'Prod &amp; Defects - Qty'!I$11/(V_BLD_UM3_BM1+V_BLD_UM3_BM2+V_BLD_UM3_BM3+V_BLD_UM3_BM4+V_BLD_UM3_BM5)*V_BLD_UM3_BM3</f>
        <v>2319826.9996276926</v>
      </c>
      <c r="J39" s="685">
        <f>'Prod &amp; Defects - Qty'!J$11/(V_BLD_UM3_BM1+V_BLD_UM3_BM2+V_BLD_UM3_BM3+V_BLD_UM3_BM4+V_BLD_UM3_BM5)*V_BLD_UM3_BM3</f>
        <v>2348166.8178999992</v>
      </c>
      <c r="K39" s="685">
        <f>'Prod &amp; Defects - Qty'!K$11/(V_BLD_UM3_BM1+V_BLD_UM3_BM2+V_BLD_UM3_BM3+V_BLD_UM3_BM4+V_BLD_UM3_BM5)*V_BLD_UM3_BM3</f>
        <v>2669822.326969231</v>
      </c>
      <c r="L39" s="685">
        <f>'Prod &amp; Defects - Qty'!L$11/(V_BLD_UM3_BM1+V_BLD_UM3_BM2+V_BLD_UM3_BM3+V_BLD_UM3_BM4+V_BLD_UM3_BM5)*V_BLD_UM3_BM3</f>
        <v>2636983.1633076924</v>
      </c>
      <c r="M39" s="685">
        <f>'Prod &amp; Defects - Qty'!M$11/(V_BLD_UM3_BM1+V_BLD_UM3_BM2+V_BLD_UM3_BM3+V_BLD_UM3_BM4+V_BLD_UM3_BM5)*V_BLD_UM3_BM3</f>
        <v>2638366.3385538459</v>
      </c>
      <c r="N39" s="685">
        <f>'Prod &amp; Defects - Qty'!N$11/(V_BLD_UM3_BM1+V_BLD_UM3_BM2+V_BLD_UM3_BM3+V_BLD_UM3_BM4+V_BLD_UM3_BM5)*V_BLD_UM3_BM3</f>
        <v>2510329.382612308</v>
      </c>
      <c r="O39" s="685">
        <f>'Prod &amp; Defects - Qty'!O$11/(V_BLD_UM3_BM1+V_BLD_UM3_BM2+V_BLD_UM3_BM3+V_BLD_UM3_BM4+V_BLD_UM3_BM5)*V_BLD_UM3_BM3</f>
        <v>1946833.7710615387</v>
      </c>
      <c r="P39" s="685">
        <f>'Prod &amp; Defects - Qty'!P$11/(V_BLD_UM3_BM1+V_BLD_UM3_BM2+V_BLD_UM3_BM3+V_BLD_UM3_BM4+V_BLD_UM3_BM5)*V_BLD_UM3_BM3</f>
        <v>1868607.5106030765</v>
      </c>
      <c r="Q39" s="685">
        <f>'Prod &amp; Defects - Qty'!Q$11/(V_BLD_UM3_BM1+V_BLD_UM3_BM2+V_BLD_UM3_BM3+V_BLD_UM3_BM4+V_BLD_UM3_BM5)*V_BLD_UM3_BM3</f>
        <v>2369185.0734799998</v>
      </c>
    </row>
    <row r="40" spans="3:17">
      <c r="C40" s="1034"/>
      <c r="D40" s="544" t="s">
        <v>138</v>
      </c>
      <c r="E40" s="186"/>
      <c r="F40" s="685">
        <f>'Prod &amp; Defects - Qty'!F$11/(V_BLD_UM3_BM1+V_BLD_UM3_BM2+V_BLD_UM3_BM3+V_BLD_UM3_BM4+V_BLD_UM3_BM5)*V_BLD_UM3_BM4</f>
        <v>2677055.3358923076</v>
      </c>
      <c r="G40" s="685">
        <f>'Prod &amp; Defects - Qty'!G$11/(V_BLD_UM3_BM1+V_BLD_UM3_BM2+V_BLD_UM3_BM3+V_BLD_UM3_BM4+V_BLD_UM3_BM5)*V_BLD_UM3_BM4</f>
        <v>2801715.8147384613</v>
      </c>
      <c r="H40" s="685">
        <f>'Prod &amp; Defects - Qty'!H$11/(V_BLD_UM3_BM1+V_BLD_UM3_BM2+V_BLD_UM3_BM3+V_BLD_UM3_BM4+V_BLD_UM3_BM5)*V_BLD_UM3_BM4</f>
        <v>2696327.9875323079</v>
      </c>
      <c r="I40" s="685">
        <f>'Prod &amp; Defects - Qty'!I$11/(V_BLD_UM3_BM1+V_BLD_UM3_BM2+V_BLD_UM3_BM3+V_BLD_UM3_BM4+V_BLD_UM3_BM5)*V_BLD_UM3_BM4</f>
        <v>2713759.8863569233</v>
      </c>
      <c r="J40" s="685">
        <f>'Prod &amp; Defects - Qty'!J$11/(V_BLD_UM3_BM1+V_BLD_UM3_BM2+V_BLD_UM3_BM3+V_BLD_UM3_BM4+V_BLD_UM3_BM5)*V_BLD_UM3_BM4</f>
        <v>2746912.1265999991</v>
      </c>
      <c r="K40" s="685">
        <f>'Prod &amp; Defects - Qty'!K$11/(V_BLD_UM3_BM1+V_BLD_UM3_BM2+V_BLD_UM3_BM3+V_BLD_UM3_BM4+V_BLD_UM3_BM5)*V_BLD_UM3_BM4</f>
        <v>3123188.3824923076</v>
      </c>
      <c r="L40" s="685">
        <f>'Prod &amp; Defects - Qty'!L$11/(V_BLD_UM3_BM1+V_BLD_UM3_BM2+V_BLD_UM3_BM3+V_BLD_UM3_BM4+V_BLD_UM3_BM5)*V_BLD_UM3_BM4</f>
        <v>3084772.7570769233</v>
      </c>
      <c r="M40" s="685">
        <f>'Prod &amp; Defects - Qty'!M$11/(V_BLD_UM3_BM1+V_BLD_UM3_BM2+V_BLD_UM3_BM3+V_BLD_UM3_BM4+V_BLD_UM3_BM5)*V_BLD_UM3_BM4</f>
        <v>3086390.8111384613</v>
      </c>
      <c r="N40" s="685">
        <f>'Prod &amp; Defects - Qty'!N$11/(V_BLD_UM3_BM1+V_BLD_UM3_BM2+V_BLD_UM3_BM3+V_BLD_UM3_BM4+V_BLD_UM3_BM5)*V_BLD_UM3_BM4</f>
        <v>2936611.730603077</v>
      </c>
      <c r="O40" s="685">
        <f>'Prod &amp; Defects - Qty'!O$11/(V_BLD_UM3_BM1+V_BLD_UM3_BM2+V_BLD_UM3_BM3+V_BLD_UM3_BM4+V_BLD_UM3_BM5)*V_BLD_UM3_BM4</f>
        <v>2277428.185015385</v>
      </c>
      <c r="P40" s="685">
        <f>'Prod &amp; Defects - Qty'!P$11/(V_BLD_UM3_BM1+V_BLD_UM3_BM2+V_BLD_UM3_BM3+V_BLD_UM3_BM4+V_BLD_UM3_BM5)*V_BLD_UM3_BM4</f>
        <v>2185918.2199507686</v>
      </c>
      <c r="Q40" s="685">
        <f>'Prod &amp; Defects - Qty'!Q$11/(V_BLD_UM3_BM1+V_BLD_UM3_BM2+V_BLD_UM3_BM3+V_BLD_UM3_BM4+V_BLD_UM3_BM5)*V_BLD_UM3_BM4</f>
        <v>2771499.5199199999</v>
      </c>
    </row>
    <row r="41" spans="3:17">
      <c r="C41" s="1034"/>
      <c r="D41" s="544" t="s">
        <v>139</v>
      </c>
      <c r="E41" s="186"/>
      <c r="F41" s="685">
        <f>'Prod &amp; Defects - Qty'!F$11/(V_BLD_UM3_BM1+V_BLD_UM3_BM2+V_BLD_UM3_BM3+V_BLD_UM3_BM4+V_BLD_UM3_BM5)*V_BLD_UM3_BM5</f>
        <v>4317831.1869230764</v>
      </c>
      <c r="G41" s="685">
        <f>'Prod &amp; Defects - Qty'!G$11/(V_BLD_UM3_BM1+V_BLD_UM3_BM2+V_BLD_UM3_BM3+V_BLD_UM3_BM4+V_BLD_UM3_BM5)*V_BLD_UM3_BM5</f>
        <v>4518896.4753846144</v>
      </c>
      <c r="H41" s="685">
        <f>'Prod &amp; Defects - Qty'!H$11/(V_BLD_UM3_BM1+V_BLD_UM3_BM2+V_BLD_UM3_BM3+V_BLD_UM3_BM4+V_BLD_UM3_BM5)*V_BLD_UM3_BM5</f>
        <v>4348916.1089230776</v>
      </c>
      <c r="I41" s="685">
        <f>'Prod &amp; Defects - Qty'!I$11/(V_BLD_UM3_BM1+V_BLD_UM3_BM2+V_BLD_UM3_BM3+V_BLD_UM3_BM4+V_BLD_UM3_BM5)*V_BLD_UM3_BM5</f>
        <v>4377032.0747692315</v>
      </c>
      <c r="J41" s="685">
        <f>'Prod &amp; Defects - Qty'!J$11/(V_BLD_UM3_BM1+V_BLD_UM3_BM2+V_BLD_UM3_BM3+V_BLD_UM3_BM4+V_BLD_UM3_BM5)*V_BLD_UM3_BM5</f>
        <v>4430503.4299999988</v>
      </c>
      <c r="K41" s="685">
        <f>'Prod &amp; Defects - Qty'!K$11/(V_BLD_UM3_BM1+V_BLD_UM3_BM2+V_BLD_UM3_BM3+V_BLD_UM3_BM4+V_BLD_UM3_BM5)*V_BLD_UM3_BM5</f>
        <v>5037400.616923077</v>
      </c>
      <c r="L41" s="685">
        <f>'Prod &amp; Defects - Qty'!L$11/(V_BLD_UM3_BM1+V_BLD_UM3_BM2+V_BLD_UM3_BM3+V_BLD_UM3_BM4+V_BLD_UM3_BM5)*V_BLD_UM3_BM5</f>
        <v>4975439.9307692312</v>
      </c>
      <c r="M41" s="685">
        <f>'Prod &amp; Defects - Qty'!M$11/(V_BLD_UM3_BM1+V_BLD_UM3_BM2+V_BLD_UM3_BM3+V_BLD_UM3_BM4+V_BLD_UM3_BM5)*V_BLD_UM3_BM5</f>
        <v>4978049.6953846151</v>
      </c>
      <c r="N41" s="685">
        <f>'Prod &amp; Defects - Qty'!N$11/(V_BLD_UM3_BM1+V_BLD_UM3_BM2+V_BLD_UM3_BM3+V_BLD_UM3_BM4+V_BLD_UM3_BM5)*V_BLD_UM3_BM5</f>
        <v>4736470.5332307694</v>
      </c>
      <c r="O41" s="685">
        <f>'Prod &amp; Defects - Qty'!O$11/(V_BLD_UM3_BM1+V_BLD_UM3_BM2+V_BLD_UM3_BM3+V_BLD_UM3_BM4+V_BLD_UM3_BM5)*V_BLD_UM3_BM5</f>
        <v>3673271.2661538469</v>
      </c>
      <c r="P41" s="685">
        <f>'Prod &amp; Defects - Qty'!P$11/(V_BLD_UM3_BM1+V_BLD_UM3_BM2+V_BLD_UM3_BM3+V_BLD_UM3_BM4+V_BLD_UM3_BM5)*V_BLD_UM3_BM5</f>
        <v>3525674.5483076917</v>
      </c>
      <c r="Q41" s="685">
        <f>'Prod &amp; Defects - Qty'!Q$11/(V_BLD_UM3_BM1+V_BLD_UM3_BM2+V_BLD_UM3_BM3+V_BLD_UM3_BM4+V_BLD_UM3_BM5)*V_BLD_UM3_BM5</f>
        <v>4470160.5159999998</v>
      </c>
    </row>
    <row r="42" spans="3:17">
      <c r="C42" s="1034"/>
      <c r="D42" s="686" t="s">
        <v>83</v>
      </c>
      <c r="E42" s="186"/>
      <c r="F42" s="687">
        <f>SUM(F37:F41)</f>
        <v>14032951.357499998</v>
      </c>
      <c r="G42" s="687">
        <f t="shared" ref="G42:Q42" si="24">SUM(G37:G41)</f>
        <v>14686413.544999998</v>
      </c>
      <c r="H42" s="687">
        <f t="shared" si="24"/>
        <v>14133977.354000002</v>
      </c>
      <c r="I42" s="687">
        <f t="shared" si="24"/>
        <v>14225354.243000001</v>
      </c>
      <c r="J42" s="687">
        <f t="shared" si="24"/>
        <v>14399136.147499997</v>
      </c>
      <c r="K42" s="687">
        <f t="shared" si="24"/>
        <v>16371552.005000001</v>
      </c>
      <c r="L42" s="687">
        <f t="shared" si="24"/>
        <v>16170179.775</v>
      </c>
      <c r="M42" s="687">
        <f t="shared" si="24"/>
        <v>16178661.509999998</v>
      </c>
      <c r="N42" s="687">
        <f t="shared" si="24"/>
        <v>15393529.232999999</v>
      </c>
      <c r="O42" s="687">
        <f t="shared" si="24"/>
        <v>11938131.615000002</v>
      </c>
      <c r="P42" s="687">
        <f t="shared" si="24"/>
        <v>11458442.281999998</v>
      </c>
      <c r="Q42" s="687">
        <f t="shared" si="24"/>
        <v>14528021.676999997</v>
      </c>
    </row>
    <row r="43" spans="3:17">
      <c r="C43" s="1033" t="s">
        <v>140</v>
      </c>
      <c r="D43" s="544" t="s">
        <v>134</v>
      </c>
      <c r="E43" s="186"/>
      <c r="F43" s="685">
        <f t="shared" ref="F43:Q43" si="25">F$42/(V_BLD_UM3_OP1+V_BLD_UM3_OP2+V_BLD_UM3_OP3+V_BLD_UM3_OP4)*V_BLD_UM3_OP1</f>
        <v>3508237.8393749995</v>
      </c>
      <c r="G43" s="685">
        <f t="shared" si="25"/>
        <v>3671603.3862499995</v>
      </c>
      <c r="H43" s="685">
        <f t="shared" si="25"/>
        <v>3533494.3385000005</v>
      </c>
      <c r="I43" s="685">
        <f t="shared" si="25"/>
        <v>3556338.5607500002</v>
      </c>
      <c r="J43" s="685">
        <f t="shared" si="25"/>
        <v>3599784.0368749998</v>
      </c>
      <c r="K43" s="685">
        <f t="shared" si="25"/>
        <v>4092888.0012500002</v>
      </c>
      <c r="L43" s="685">
        <f t="shared" si="25"/>
        <v>4042544.9437500006</v>
      </c>
      <c r="M43" s="685">
        <f t="shared" si="25"/>
        <v>4044665.377499999</v>
      </c>
      <c r="N43" s="685">
        <f t="shared" si="25"/>
        <v>3848382.3082499998</v>
      </c>
      <c r="O43" s="685">
        <f t="shared" si="25"/>
        <v>2984532.903750001</v>
      </c>
      <c r="P43" s="685">
        <f t="shared" si="25"/>
        <v>2864610.5704999994</v>
      </c>
      <c r="Q43" s="685">
        <f t="shared" si="25"/>
        <v>3632005.4192499989</v>
      </c>
    </row>
    <row r="44" spans="3:17">
      <c r="C44" s="1034"/>
      <c r="D44" s="544" t="s">
        <v>135</v>
      </c>
      <c r="E44" s="186"/>
      <c r="F44" s="685">
        <f t="shared" ref="F44:Q44" si="26">F$42/(V_BLD_UM3_OP1+V_BLD_UM3_OP2+V_BLD_UM3_OP3+V_BLD_UM3_OP4)*V_BLD_UM3_OP2</f>
        <v>3508237.8393749995</v>
      </c>
      <c r="G44" s="685">
        <f t="shared" si="26"/>
        <v>3671603.3862499995</v>
      </c>
      <c r="H44" s="685">
        <f t="shared" si="26"/>
        <v>3533494.3385000005</v>
      </c>
      <c r="I44" s="685">
        <f t="shared" si="26"/>
        <v>3556338.5607500002</v>
      </c>
      <c r="J44" s="685">
        <f t="shared" si="26"/>
        <v>3599784.0368749998</v>
      </c>
      <c r="K44" s="685">
        <f t="shared" si="26"/>
        <v>4092888.0012500002</v>
      </c>
      <c r="L44" s="685">
        <f t="shared" si="26"/>
        <v>4042544.9437500006</v>
      </c>
      <c r="M44" s="685">
        <f t="shared" si="26"/>
        <v>4044665.377499999</v>
      </c>
      <c r="N44" s="685">
        <f t="shared" si="26"/>
        <v>3848382.3082499998</v>
      </c>
      <c r="O44" s="685">
        <f t="shared" si="26"/>
        <v>2984532.903750001</v>
      </c>
      <c r="P44" s="685">
        <f t="shared" si="26"/>
        <v>2864610.5704999994</v>
      </c>
      <c r="Q44" s="685">
        <f t="shared" si="26"/>
        <v>3632005.4192499989</v>
      </c>
    </row>
    <row r="45" spans="3:17">
      <c r="C45" s="1034"/>
      <c r="D45" s="544" t="s">
        <v>136</v>
      </c>
      <c r="E45" s="186"/>
      <c r="F45" s="685">
        <f t="shared" ref="F45:Q45" si="27">F$42/(V_BLD_UM3_OP1+V_BLD_UM3_OP2+V_BLD_UM3_OP3+V_BLD_UM3_OP4)*V_BLD_UM3_OP3</f>
        <v>3508237.8393749995</v>
      </c>
      <c r="G45" s="685">
        <f t="shared" si="27"/>
        <v>3671603.3862499995</v>
      </c>
      <c r="H45" s="685">
        <f t="shared" si="27"/>
        <v>3533494.3385000005</v>
      </c>
      <c r="I45" s="685">
        <f t="shared" si="27"/>
        <v>3556338.5607500002</v>
      </c>
      <c r="J45" s="685">
        <f t="shared" si="27"/>
        <v>3599784.0368749998</v>
      </c>
      <c r="K45" s="685">
        <f t="shared" si="27"/>
        <v>4092888.0012500002</v>
      </c>
      <c r="L45" s="685">
        <f t="shared" si="27"/>
        <v>4042544.9437500006</v>
      </c>
      <c r="M45" s="685">
        <f t="shared" si="27"/>
        <v>4044665.377499999</v>
      </c>
      <c r="N45" s="685">
        <f t="shared" si="27"/>
        <v>3848382.3082499998</v>
      </c>
      <c r="O45" s="685">
        <f t="shared" si="27"/>
        <v>2984532.903750001</v>
      </c>
      <c r="P45" s="685">
        <f t="shared" si="27"/>
        <v>2864610.5704999994</v>
      </c>
      <c r="Q45" s="685">
        <f t="shared" si="27"/>
        <v>3632005.4192499989</v>
      </c>
    </row>
    <row r="46" spans="3:17">
      <c r="C46" s="1034"/>
      <c r="D46" s="544" t="s">
        <v>138</v>
      </c>
      <c r="E46" s="186"/>
      <c r="F46" s="685">
        <f t="shared" ref="F46:Q46" si="28">F$42/(V_BLD_UM3_OP1+V_BLD_UM3_OP2+V_BLD_UM3_OP3+V_BLD_UM3_OP4)*V_BLD_UM3_OP4</f>
        <v>3508237.8393749995</v>
      </c>
      <c r="G46" s="685">
        <f t="shared" si="28"/>
        <v>3671603.3862499995</v>
      </c>
      <c r="H46" s="685">
        <f t="shared" si="28"/>
        <v>3533494.3385000005</v>
      </c>
      <c r="I46" s="685">
        <f t="shared" si="28"/>
        <v>3556338.5607500002</v>
      </c>
      <c r="J46" s="685">
        <f t="shared" si="28"/>
        <v>3599784.0368749998</v>
      </c>
      <c r="K46" s="685">
        <f t="shared" si="28"/>
        <v>4092888.0012500002</v>
      </c>
      <c r="L46" s="685">
        <f t="shared" si="28"/>
        <v>4042544.9437500006</v>
      </c>
      <c r="M46" s="685">
        <f t="shared" si="28"/>
        <v>4044665.377499999</v>
      </c>
      <c r="N46" s="685">
        <f t="shared" si="28"/>
        <v>3848382.3082499998</v>
      </c>
      <c r="O46" s="685">
        <f t="shared" si="28"/>
        <v>2984532.903750001</v>
      </c>
      <c r="P46" s="685">
        <f t="shared" si="28"/>
        <v>2864610.5704999994</v>
      </c>
      <c r="Q46" s="685">
        <f t="shared" si="28"/>
        <v>3632005.4192499989</v>
      </c>
    </row>
    <row r="47" spans="3:17">
      <c r="C47" s="1034"/>
      <c r="D47" s="688" t="s">
        <v>83</v>
      </c>
      <c r="E47" s="186"/>
      <c r="F47" s="689">
        <f>SUM(F43:F46)</f>
        <v>14032951.357499998</v>
      </c>
      <c r="G47" s="689">
        <f t="shared" ref="G47:Q47" si="29">SUM(G43:G46)</f>
        <v>14686413.544999998</v>
      </c>
      <c r="H47" s="689">
        <f t="shared" si="29"/>
        <v>14133977.354000002</v>
      </c>
      <c r="I47" s="689">
        <f t="shared" si="29"/>
        <v>14225354.243000001</v>
      </c>
      <c r="J47" s="689">
        <f t="shared" si="29"/>
        <v>14399136.147499999</v>
      </c>
      <c r="K47" s="689">
        <f t="shared" si="29"/>
        <v>16371552.005000001</v>
      </c>
      <c r="L47" s="689">
        <f t="shared" si="29"/>
        <v>16170179.775000002</v>
      </c>
      <c r="M47" s="689">
        <f t="shared" si="29"/>
        <v>16178661.509999996</v>
      </c>
      <c r="N47" s="689">
        <f t="shared" si="29"/>
        <v>15393529.232999999</v>
      </c>
      <c r="O47" s="689">
        <f t="shared" si="29"/>
        <v>11938131.615000004</v>
      </c>
      <c r="P47" s="689">
        <f t="shared" si="29"/>
        <v>11458442.281999998</v>
      </c>
      <c r="Q47" s="689">
        <f t="shared" si="29"/>
        <v>14528021.676999995</v>
      </c>
    </row>
    <row r="48" spans="3:17">
      <c r="C48" s="186"/>
      <c r="D48" s="186"/>
      <c r="E48" s="186"/>
      <c r="F48" s="690"/>
      <c r="G48" s="690"/>
      <c r="H48" s="690"/>
      <c r="I48" s="690"/>
      <c r="J48" s="690"/>
      <c r="K48" s="690"/>
      <c r="L48" s="690"/>
      <c r="M48" s="690"/>
      <c r="N48" s="690"/>
      <c r="O48" s="690"/>
      <c r="P48" s="690"/>
      <c r="Q48" s="690"/>
    </row>
    <row r="49" spans="3:17">
      <c r="C49" s="186" t="s">
        <v>89</v>
      </c>
      <c r="D49" s="544" t="s">
        <v>98</v>
      </c>
      <c r="E49" s="186"/>
      <c r="F49" s="460">
        <f>'Prod &amp; Defects - Qty'!F5/1000*'BLIND-PVC-PRE - Qty'!$Y23</f>
        <v>1139.3522219750002</v>
      </c>
      <c r="G49" s="460">
        <f>'Prod &amp; Defects - Qty'!G5/1000*'BLIND-PVC-PRE - Qty'!$Y23</f>
        <v>621.72929532000001</v>
      </c>
      <c r="H49" s="460">
        <f>'Prod &amp; Defects - Qty'!H5/1000*'BLIND-PVC-PRE - Qty'!$Y23</f>
        <v>618.87631104500008</v>
      </c>
      <c r="I49" s="460">
        <f>'Prod &amp; Defects - Qty'!I5/1000*'BLIND-PVC-PRE - Qty'!$Y23</f>
        <v>625.41995747750013</v>
      </c>
      <c r="J49" s="460">
        <f>'Prod &amp; Defects - Qty'!J5/1000*'BLIND-PVC-PRE - Qty'!$Y23</f>
        <v>1129.76789734</v>
      </c>
      <c r="K49" s="460">
        <f>'Prod &amp; Defects - Qty'!K5/1000*'BLIND-PVC-PRE - Qty'!$Y23</f>
        <v>1309.1950991374999</v>
      </c>
      <c r="L49" s="460">
        <f>'Prod &amp; Defects - Qty'!L5/1000*'BLIND-PVC-PRE - Qty'!$Y23</f>
        <v>1318.5156014950001</v>
      </c>
      <c r="M49" s="460">
        <f>'Prod &amp; Defects - Qty'!M5/1000*'BLIND-PVC-PRE - Qty'!$Y23</f>
        <v>1320.0250481749999</v>
      </c>
      <c r="N49" s="460">
        <f>'Prod &amp; Defects - Qty'!N5/1000*'BLIND-PVC-PRE - Qty'!$Y23</f>
        <v>1058.3464309349999</v>
      </c>
      <c r="O49" s="460">
        <f>'Prod &amp; Defects - Qty'!O5/1000*'BLIND-PVC-PRE - Qty'!$Y23</f>
        <v>980.81812825500003</v>
      </c>
      <c r="P49" s="460">
        <f>'Prod &amp; Defects - Qty'!P5/1000*'BLIND-PVC-PRE - Qty'!$Y23</f>
        <v>992.39597444000003</v>
      </c>
      <c r="Q49" s="460">
        <f>'Prod &amp; Defects - Qty'!Q5/1000*'BLIND-PVC-PRE - Qty'!$Y23</f>
        <v>1221.764040005</v>
      </c>
    </row>
    <row r="50" spans="3:17">
      <c r="C50" s="186"/>
      <c r="D50" s="544" t="s">
        <v>96</v>
      </c>
      <c r="E50" s="186"/>
      <c r="F50" s="460">
        <f>'Prod &amp; Defects - Qty'!F11/1000*'BLIND-PVC-PRE - Qty'!$Y$24</f>
        <v>3592.43554752</v>
      </c>
      <c r="G50" s="460">
        <f>'Prod &amp; Defects - Qty'!G11/1000*'BLIND-PVC-PRE - Qty'!$Y$24</f>
        <v>3759.7218675199993</v>
      </c>
      <c r="H50" s="460">
        <f>'Prod &amp; Defects - Qty'!H11/1000*'BLIND-PVC-PRE - Qty'!$Y$24</f>
        <v>3618.2982026240006</v>
      </c>
      <c r="I50" s="460">
        <f>'Prod &amp; Defects - Qty'!I11/1000*'BLIND-PVC-PRE - Qty'!$Y$24</f>
        <v>3641.6906862080004</v>
      </c>
      <c r="J50" s="460">
        <f>'Prod &amp; Defects - Qty'!J11/1000*'BLIND-PVC-PRE - Qty'!$Y$24</f>
        <v>3686.1788537599996</v>
      </c>
      <c r="K50" s="460">
        <f>'Prod &amp; Defects - Qty'!K11/1000*'BLIND-PVC-PRE - Qty'!$Y$24</f>
        <v>4191.1173132800004</v>
      </c>
      <c r="L50" s="460">
        <f>'Prod &amp; Defects - Qty'!L11/1000*'BLIND-PVC-PRE - Qty'!$Y$24</f>
        <v>4139.5660224000003</v>
      </c>
      <c r="M50" s="460">
        <f>'Prod &amp; Defects - Qty'!M11/1000*'BLIND-PVC-PRE - Qty'!$Y$24</f>
        <v>4141.7373465600003</v>
      </c>
      <c r="N50" s="460">
        <f>'Prod &amp; Defects - Qty'!N11/1000*'BLIND-PVC-PRE - Qty'!$Y$24</f>
        <v>3940.7434836480002</v>
      </c>
      <c r="O50" s="460">
        <f>'Prod &amp; Defects - Qty'!O11/1000*'BLIND-PVC-PRE - Qty'!$Y$24</f>
        <v>3056.1616934400008</v>
      </c>
      <c r="P50" s="460">
        <f>'Prod &amp; Defects - Qty'!P11/1000*'BLIND-PVC-PRE - Qty'!$Y$24</f>
        <v>2933.3612241919996</v>
      </c>
      <c r="Q50" s="460">
        <f>'Prod &amp; Defects - Qty'!Q11/1000*'BLIND-PVC-PRE - Qty'!$Y$24</f>
        <v>3719.173549312</v>
      </c>
    </row>
    <row r="51" spans="3:17">
      <c r="C51" s="186" t="s">
        <v>177</v>
      </c>
      <c r="D51" s="544" t="s">
        <v>98</v>
      </c>
      <c r="E51" s="186"/>
      <c r="F51" s="545">
        <f>'Prod &amp; Defects - Qty'!F5</f>
        <v>1442218.0025000002</v>
      </c>
      <c r="G51" s="545">
        <f>'Prod &amp; Defects - Qty'!G5</f>
        <v>786999.10800000001</v>
      </c>
      <c r="H51" s="545">
        <f>'Prod &amp; Defects - Qty'!H5</f>
        <v>783387.73550000007</v>
      </c>
      <c r="I51" s="545">
        <f>'Prod &amp; Defects - Qty'!I5</f>
        <v>791670.83225000009</v>
      </c>
      <c r="J51" s="545">
        <f>'Prod &amp; Defects - Qty'!J5</f>
        <v>1430085.946</v>
      </c>
      <c r="K51" s="545">
        <f>'Prod &amp; Defects - Qty'!K5</f>
        <v>1657208.9862499998</v>
      </c>
      <c r="L51" s="545">
        <f>'Prod &amp; Defects - Qty'!L5</f>
        <v>1669007.0904999999</v>
      </c>
      <c r="M51" s="545">
        <f>'Prod &amp; Defects - Qty'!M5</f>
        <v>1670917.7825</v>
      </c>
      <c r="N51" s="545">
        <f>'Prod &amp; Defects - Qty'!N5</f>
        <v>1339679.0264999999</v>
      </c>
      <c r="O51" s="545">
        <f>'Prod &amp; Defects - Qty'!O5</f>
        <v>1241541.9345</v>
      </c>
      <c r="P51" s="545">
        <f>'Prod &amp; Defects - Qty'!P5</f>
        <v>1256197.436</v>
      </c>
      <c r="Q51" s="545">
        <f>'Prod &amp; Defects - Qty'!Q5</f>
        <v>1546536.7594999999</v>
      </c>
    </row>
    <row r="52" spans="3:17">
      <c r="C52" s="186"/>
      <c r="D52" s="544" t="s">
        <v>96</v>
      </c>
      <c r="E52" s="186"/>
      <c r="F52" s="545">
        <f>'Prod &amp; Defects - Qty'!F11</f>
        <v>14032951.3575</v>
      </c>
      <c r="G52" s="545">
        <f>'Prod &amp; Defects - Qty'!G11</f>
        <v>14686413.544999998</v>
      </c>
      <c r="H52" s="545">
        <f>'Prod &amp; Defects - Qty'!H11</f>
        <v>14133977.354000002</v>
      </c>
      <c r="I52" s="545">
        <f>'Prod &amp; Defects - Qty'!I11</f>
        <v>14225354.243000001</v>
      </c>
      <c r="J52" s="545">
        <f>'Prod &amp; Defects - Qty'!J11</f>
        <v>14399136.147499997</v>
      </c>
      <c r="K52" s="545">
        <f>'Prod &amp; Defects - Qty'!K11</f>
        <v>16371552.004999999</v>
      </c>
      <c r="L52" s="545">
        <f>'Prod &amp; Defects - Qty'!L11</f>
        <v>16170179.775</v>
      </c>
      <c r="M52" s="545">
        <f>'Prod &amp; Defects - Qty'!M11</f>
        <v>16178661.51</v>
      </c>
      <c r="N52" s="545">
        <f>'Prod &amp; Defects - Qty'!N11</f>
        <v>15393529.233000001</v>
      </c>
      <c r="O52" s="545">
        <f>'Prod &amp; Defects - Qty'!O11</f>
        <v>11938131.615000002</v>
      </c>
      <c r="P52" s="545">
        <f>'Prod &amp; Defects - Qty'!P11</f>
        <v>11458442.281999998</v>
      </c>
      <c r="Q52" s="545">
        <f>'Prod &amp; Defects - Qty'!Q11</f>
        <v>14528021.676999999</v>
      </c>
    </row>
    <row r="53" spans="3:17">
      <c r="C53" s="186"/>
      <c r="D53" s="544" t="s">
        <v>119</v>
      </c>
      <c r="E53" s="186"/>
      <c r="F53" s="545">
        <f>'Prod &amp; Defects - Qty'!F8</f>
        <v>9857057.3350800052</v>
      </c>
      <c r="G53" s="545">
        <f>'Prod &amp; Defects - Qty'!G8</f>
        <v>11254534.534999996</v>
      </c>
      <c r="H53" s="545">
        <f>'Prod &amp; Defects - Qty'!H8</f>
        <v>10193804.064900002</v>
      </c>
      <c r="I53" s="545">
        <f>'Prod &amp; Defects - Qty'!I8</f>
        <v>10245058.379550003</v>
      </c>
      <c r="J53" s="545">
        <f>'Prod &amp; Defects - Qty'!J8</f>
        <v>11060264.3445</v>
      </c>
      <c r="K53" s="545">
        <f>'Prod &amp; Defects - Qty'!K8</f>
        <v>11655146.96675</v>
      </c>
      <c r="L53" s="545">
        <f>'Prod &amp; Defects - Qty'!L8</f>
        <v>11372132.843299998</v>
      </c>
      <c r="M53" s="545">
        <f>'Prod &amp; Defects - Qty'!M8</f>
        <v>11349385.0363</v>
      </c>
      <c r="N53" s="545">
        <f>'Prod &amp; Defects - Qty'!N8</f>
        <v>11335966.321739998</v>
      </c>
      <c r="O53" s="545">
        <f>'Prod &amp; Defects - Qty'!O8</f>
        <v>8389607.9674200006</v>
      </c>
      <c r="P53" s="545">
        <f>'Prod &amp; Defects - Qty'!P8</f>
        <v>8762677.6029599998</v>
      </c>
      <c r="Q53" s="545">
        <f>'Prod &amp; Defects - Qty'!Q8</f>
        <v>10839438.13666</v>
      </c>
    </row>
  </sheetData>
  <mergeCells count="12">
    <mergeCell ref="A1:F1"/>
    <mergeCell ref="C5:D5"/>
    <mergeCell ref="B4:D4"/>
    <mergeCell ref="F4:Q4"/>
    <mergeCell ref="A6:A22"/>
    <mergeCell ref="C37:C42"/>
    <mergeCell ref="C43:C47"/>
    <mergeCell ref="A27:A30"/>
    <mergeCell ref="A23:A26"/>
    <mergeCell ref="C6:C10"/>
    <mergeCell ref="C11:C16"/>
    <mergeCell ref="C17:C21"/>
  </mergeCells>
  <phoneticPr fontId="25" type="noConversion"/>
  <printOptions horizontalCentered="1" gridLinesSet="0"/>
  <pageMargins left="0.78740157480314965" right="0.19685039370078741" top="0.59055118110236227" bottom="0.59055118110236227" header="0.51181102362204722" footer="0.51181102362204722"/>
  <pageSetup paperSize="9" scale="37" orientation="portrait" horizontalDpi="4294967292" r:id="rId1"/>
  <headerFooter alignWithMargins="0">
    <oddFooter>&amp;L&amp;A&amp;R&amp;F</oddFooter>
  </headerFooter>
  <ignoredErrors>
    <ignoredError sqref="U6:U10 U23:U24 U27:U29" evalError="1"/>
    <ignoredError sqref="V10 V16" formula="1"/>
  </ignoredError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8B750-CF24-4D65-B772-E65577CAA487}">
  <sheetPr>
    <tabColor indexed="56"/>
    <pageSetUpPr fitToPage="1"/>
  </sheetPr>
  <dimension ref="A1:AE166"/>
  <sheetViews>
    <sheetView showGridLines="0" topLeftCell="A7" zoomScaleNormal="100" workbookViewId="0">
      <selection activeCell="F33" sqref="F33:Q33"/>
    </sheetView>
  </sheetViews>
  <sheetFormatPr defaultColWidth="11.42578125" defaultRowHeight="12.75"/>
  <cols>
    <col min="1" max="1" width="4.7109375" style="1" customWidth="1"/>
    <col min="2" max="2" width="10.85546875" style="1" bestFit="1" customWidth="1"/>
    <col min="3" max="3" width="11.7109375" style="1" bestFit="1" customWidth="1"/>
    <col min="4" max="4" width="9.42578125" style="1" customWidth="1"/>
    <col min="5" max="5" width="11" style="1" customWidth="1"/>
    <col min="6" max="6" width="12.85546875" style="1" bestFit="1" customWidth="1"/>
    <col min="7" max="9" width="11.5703125" style="1" bestFit="1" customWidth="1"/>
    <col min="10" max="11" width="12.5703125" style="1" bestFit="1" customWidth="1"/>
    <col min="12" max="12" width="11.5703125" style="1" bestFit="1" customWidth="1"/>
    <col min="13" max="13" width="12.5703125" style="1" bestFit="1" customWidth="1"/>
    <col min="14" max="17" width="11.42578125" style="1"/>
    <col min="18" max="19" width="11.7109375" style="1" bestFit="1" customWidth="1"/>
    <col min="20" max="20" width="11.42578125" style="1"/>
    <col min="21" max="21" width="11.7109375" style="1" bestFit="1" customWidth="1"/>
    <col min="22" max="22" width="12.28515625" style="1" bestFit="1" customWidth="1"/>
    <col min="23" max="16384" width="11.42578125" style="1"/>
  </cols>
  <sheetData>
    <row r="1" spans="1:31" ht="18" customHeight="1">
      <c r="A1" s="967" t="s">
        <v>103</v>
      </c>
      <c r="B1" s="967"/>
      <c r="C1" s="967"/>
      <c r="D1" s="967"/>
      <c r="E1" s="967"/>
      <c r="F1" s="967"/>
    </row>
    <row r="2" spans="1:31" ht="18" customHeight="1">
      <c r="A2" s="17"/>
      <c r="B2" s="17"/>
      <c r="C2" s="17"/>
      <c r="D2" s="17"/>
      <c r="E2" s="17"/>
      <c r="F2" s="17"/>
      <c r="T2" s="658"/>
      <c r="U2" s="658"/>
      <c r="V2" s="658"/>
      <c r="W2" s="658"/>
      <c r="X2" s="658"/>
      <c r="Y2" s="658"/>
      <c r="Z2" s="658"/>
      <c r="AA2" s="658"/>
      <c r="AB2" s="658"/>
      <c r="AC2" s="658"/>
      <c r="AD2" s="658"/>
      <c r="AE2" s="658"/>
    </row>
    <row r="3" spans="1:31" ht="9.9499999999999993" customHeight="1" thickBot="1">
      <c r="A3" s="17"/>
      <c r="B3" s="17"/>
      <c r="C3" s="17"/>
      <c r="D3" s="17"/>
      <c r="E3" s="17"/>
      <c r="F3" s="17"/>
    </row>
    <row r="4" spans="1:31" ht="38.25">
      <c r="A4" s="22"/>
      <c r="B4" s="1046" t="s">
        <v>57</v>
      </c>
      <c r="C4" s="1047"/>
      <c r="D4" s="1048"/>
      <c r="E4" s="482" t="s">
        <v>202</v>
      </c>
      <c r="F4" s="659">
        <v>1</v>
      </c>
      <c r="G4" s="659">
        <v>2</v>
      </c>
      <c r="H4" s="659">
        <v>3</v>
      </c>
      <c r="I4" s="659">
        <v>4</v>
      </c>
      <c r="J4" s="659">
        <v>5</v>
      </c>
      <c r="K4" s="659">
        <v>6</v>
      </c>
      <c r="L4" s="659">
        <v>7</v>
      </c>
      <c r="M4" s="659">
        <v>8</v>
      </c>
      <c r="N4" s="659">
        <v>9</v>
      </c>
      <c r="O4" s="659">
        <v>10</v>
      </c>
      <c r="P4" s="659">
        <v>11</v>
      </c>
      <c r="Q4" s="659">
        <v>12</v>
      </c>
      <c r="R4" s="1062" t="s">
        <v>1</v>
      </c>
      <c r="S4" s="979"/>
      <c r="T4" s="1063"/>
    </row>
    <row r="5" spans="1:31" ht="13.5" thickBot="1">
      <c r="A5" s="21"/>
      <c r="B5" s="20" t="s">
        <v>102</v>
      </c>
      <c r="C5" s="1044" t="s">
        <v>50</v>
      </c>
      <c r="D5" s="1045"/>
      <c r="E5" s="24">
        <v>2021</v>
      </c>
      <c r="F5" s="27">
        <v>44287</v>
      </c>
      <c r="G5" s="27">
        <v>44317</v>
      </c>
      <c r="H5" s="27">
        <v>44348</v>
      </c>
      <c r="I5" s="27">
        <v>44378</v>
      </c>
      <c r="J5" s="27">
        <v>44409</v>
      </c>
      <c r="K5" s="27">
        <v>44440</v>
      </c>
      <c r="L5" s="27">
        <v>44470</v>
      </c>
      <c r="M5" s="27">
        <v>44501</v>
      </c>
      <c r="N5" s="27">
        <v>44531</v>
      </c>
      <c r="O5" s="27">
        <v>44562</v>
      </c>
      <c r="P5" s="27">
        <v>44593</v>
      </c>
      <c r="Q5" s="27">
        <v>44621</v>
      </c>
      <c r="R5" s="27" t="s">
        <v>55</v>
      </c>
      <c r="S5" s="27" t="s">
        <v>54</v>
      </c>
      <c r="T5" s="27" t="s">
        <v>1</v>
      </c>
    </row>
    <row r="6" spans="1:31" ht="18" customHeight="1" thickTop="1">
      <c r="A6" s="1051" t="s">
        <v>101</v>
      </c>
      <c r="B6" s="116">
        <v>5010</v>
      </c>
      <c r="C6" s="1039" t="s">
        <v>98</v>
      </c>
      <c r="D6" s="67" t="s">
        <v>134</v>
      </c>
      <c r="E6" s="660">
        <v>175.01089999999999</v>
      </c>
      <c r="F6" s="661">
        <f>$E6/1000*'BLIND-PVC-PRE - Qty'!F6</f>
        <v>7.1675906670859257</v>
      </c>
      <c r="G6" s="661">
        <f>$E6/1000*'BLIND-PVC-PRE - Qty'!G6</f>
        <v>3.9112585279947982</v>
      </c>
      <c r="H6" s="661">
        <f>$E6/1000*'BLIND-PVC-PRE - Qty'!H6</f>
        <v>3.8933105896238311</v>
      </c>
      <c r="I6" s="661">
        <f>$E6/1000*'BLIND-PVC-PRE - Qty'!I6</f>
        <v>3.9344762433994425</v>
      </c>
      <c r="J6" s="661">
        <f>$E6/1000*'BLIND-PVC-PRE - Qty'!J6</f>
        <v>7.1072963046585924</v>
      </c>
      <c r="K6" s="661">
        <f>$E6/1000*'BLIND-PVC-PRE - Qty'!K6</f>
        <v>8.2360611521047957</v>
      </c>
      <c r="L6" s="661">
        <f>$E6/1000*'BLIND-PVC-PRE - Qty'!L6</f>
        <v>8.2946958257567829</v>
      </c>
      <c r="M6" s="661">
        <f>$E6/1000*'BLIND-PVC-PRE - Qty'!M6</f>
        <v>8.3041916565695555</v>
      </c>
      <c r="N6" s="661">
        <f>$E6/1000*'BLIND-PVC-PRE - Qty'!N6</f>
        <v>6.6579885083858228</v>
      </c>
      <c r="O6" s="661">
        <f>$E6/1000*'BLIND-PVC-PRE - Qty'!O6</f>
        <v>6.1702630026059504</v>
      </c>
      <c r="P6" s="661">
        <f>$E6/1000*'BLIND-PVC-PRE - Qty'!P6</f>
        <v>6.2430984793444013</v>
      </c>
      <c r="Q6" s="661">
        <f>$E6/1000*'BLIND-PVC-PRE - Qty'!Q6</f>
        <v>7.6860380500606817</v>
      </c>
      <c r="R6" s="661">
        <f>SUM(F6:K6)</f>
        <v>34.249993484867389</v>
      </c>
      <c r="S6" s="661">
        <f>SUM(L6:Q6)</f>
        <v>43.356275522723195</v>
      </c>
      <c r="T6" s="661">
        <f>R6+S6</f>
        <v>77.606269007590583</v>
      </c>
    </row>
    <row r="7" spans="1:31" ht="18" customHeight="1">
      <c r="A7" s="1052"/>
      <c r="B7" s="117">
        <v>5020</v>
      </c>
      <c r="C7" s="1040"/>
      <c r="D7" s="29" t="s">
        <v>135</v>
      </c>
      <c r="E7" s="662">
        <v>175.01089999999999</v>
      </c>
      <c r="F7" s="125">
        <f>$E7/1000*'BLIND-PVC-PRE - Qty'!F7</f>
        <v>36.752844644674532</v>
      </c>
      <c r="G7" s="125">
        <f>$E7/1000*'BLIND-PVC-PRE - Qty'!G7</f>
        <v>20.055536612136713</v>
      </c>
      <c r="H7" s="125">
        <f>$E7/1000*'BLIND-PVC-PRE - Qty'!H7</f>
        <v>19.963505995256</v>
      </c>
      <c r="I7" s="125">
        <f>$E7/1000*'BLIND-PVC-PRE - Qty'!I7</f>
        <v>20.174588763257685</v>
      </c>
      <c r="J7" s="125">
        <f>$E7/1000*'BLIND-PVC-PRE - Qty'!J7</f>
        <v>36.443676691568967</v>
      </c>
      <c r="K7" s="125">
        <f>$E7/1000*'BLIND-PVC-PRE - Qty'!K7</f>
        <v>42.231579629311142</v>
      </c>
      <c r="L7" s="125">
        <f>$E7/1000*'BLIND-PVC-PRE - Qty'!L7</f>
        <v>42.532237291225144</v>
      </c>
      <c r="M7" s="125">
        <f>$E7/1000*'BLIND-PVC-PRE - Qty'!M7</f>
        <v>42.580928519678885</v>
      </c>
      <c r="N7" s="125">
        <f>$E7/1000*'BLIND-PVC-PRE - Qty'!N7</f>
        <v>34.13978680708037</v>
      </c>
      <c r="O7" s="125">
        <f>$E7/1000*'BLIND-PVC-PRE - Qty'!O7</f>
        <v>31.638904631220743</v>
      </c>
      <c r="P7" s="125">
        <f>$E7/1000*'BLIND-PVC-PRE - Qty'!P7</f>
        <v>32.012378938770375</v>
      </c>
      <c r="Q7" s="125">
        <f>$E7/1000*'BLIND-PVC-PRE - Qty'!Q7</f>
        <v>39.411257632794573</v>
      </c>
      <c r="R7" s="125">
        <f t="shared" ref="R7:R9" si="0">SUM(F7:K7)</f>
        <v>175.62173233620504</v>
      </c>
      <c r="S7" s="125">
        <f t="shared" ref="S7:S9" si="1">SUM(L7:Q7)</f>
        <v>222.31549382077009</v>
      </c>
      <c r="T7" s="125">
        <f t="shared" ref="T7:T9" si="2">R7+S7</f>
        <v>397.93722615697516</v>
      </c>
    </row>
    <row r="8" spans="1:31" ht="18" customHeight="1">
      <c r="A8" s="1052"/>
      <c r="B8" s="117">
        <v>5030</v>
      </c>
      <c r="C8" s="1040"/>
      <c r="D8" s="29" t="s">
        <v>136</v>
      </c>
      <c r="E8" s="662">
        <v>175.01089999999999</v>
      </c>
      <c r="F8" s="125">
        <f>$E8/1000*'BLIND-PVC-PRE - Qty'!F8</f>
        <v>48.137548642731616</v>
      </c>
      <c r="G8" s="125">
        <f>$E8/1000*'BLIND-PVC-PRE - Qty'!G8</f>
        <v>26.268017579496536</v>
      </c>
      <c r="H8" s="125">
        <f>$E8/1000*'BLIND-PVC-PRE - Qty'!H8</f>
        <v>26.147479201051372</v>
      </c>
      <c r="I8" s="125">
        <f>$E8/1000*'BLIND-PVC-PRE - Qty'!I8</f>
        <v>26.423947787648139</v>
      </c>
      <c r="J8" s="125">
        <f>$E8/1000*'BLIND-PVC-PRE - Qty'!J8</f>
        <v>47.732611622882473</v>
      </c>
      <c r="K8" s="125">
        <f>$E8/1000*'BLIND-PVC-PRE - Qty'!K8</f>
        <v>55.313397869460651</v>
      </c>
      <c r="L8" s="125">
        <f>$E8/1000*'BLIND-PVC-PRE - Qty'!L8</f>
        <v>55.707188417243245</v>
      </c>
      <c r="M8" s="125">
        <f>$E8/1000*'BLIND-PVC-PRE - Qty'!M8</f>
        <v>55.770962429862585</v>
      </c>
      <c r="N8" s="125">
        <f>$E8/1000*'BLIND-PVC-PRE - Qty'!N8</f>
        <v>44.715059853644469</v>
      </c>
      <c r="O8" s="125">
        <f>$E8/1000*'BLIND-PVC-PRE - Qty'!O8</f>
        <v>41.439494695244484</v>
      </c>
      <c r="P8" s="125">
        <f>$E8/1000*'BLIND-PVC-PRE - Qty'!P8</f>
        <v>41.928657855818656</v>
      </c>
      <c r="Q8" s="125">
        <f>$E8/1000*'BLIND-PVC-PRE - Qty'!Q8</f>
        <v>51.619441970045543</v>
      </c>
      <c r="R8" s="125">
        <f t="shared" si="0"/>
        <v>230.02300270327078</v>
      </c>
      <c r="S8" s="125">
        <f t="shared" si="1"/>
        <v>291.18080522185903</v>
      </c>
      <c r="T8" s="125">
        <f t="shared" si="2"/>
        <v>521.20380792512981</v>
      </c>
      <c r="U8" s="282"/>
    </row>
    <row r="9" spans="1:31" ht="18" customHeight="1">
      <c r="A9" s="1052"/>
      <c r="B9" s="117">
        <v>5035</v>
      </c>
      <c r="C9" s="1040"/>
      <c r="D9" s="29" t="s">
        <v>204</v>
      </c>
      <c r="E9" s="662">
        <v>175.01089999999999</v>
      </c>
      <c r="F9" s="125">
        <f>$E9/1000*'BLIND-PVC-PRE - Qty'!F9</f>
        <v>57.873574117759219</v>
      </c>
      <c r="G9" s="125">
        <f>$E9/1000*'BLIND-PVC-PRE - Qty'!G9</f>
        <v>31.580836689388356</v>
      </c>
      <c r="H9" s="125">
        <f>$E9/1000*'BLIND-PVC-PRE - Qty'!H9</f>
        <v>31.435918907414141</v>
      </c>
      <c r="I9" s="125">
        <f>$E9/1000*'BLIND-PVC-PRE - Qty'!I9</f>
        <v>31.768304450275711</v>
      </c>
      <c r="J9" s="125">
        <f>$E9/1000*'BLIND-PVC-PRE - Qty'!J9</f>
        <v>57.386736850552381</v>
      </c>
      <c r="K9" s="125">
        <f>$E9/1000*'BLIND-PVC-PRE - Qty'!K9</f>
        <v>66.500769598010876</v>
      </c>
      <c r="L9" s="125">
        <f>$E9/1000*'BLIND-PVC-PRE - Qty'!L9</f>
        <v>66.974205971414776</v>
      </c>
      <c r="M9" s="125">
        <f>$E9/1000*'BLIND-PVC-PRE - Qty'!M9</f>
        <v>67.050878551348276</v>
      </c>
      <c r="N9" s="125">
        <f>$E9/1000*'BLIND-PVC-PRE - Qty'!N9</f>
        <v>53.758872306238075</v>
      </c>
      <c r="O9" s="125">
        <f>$E9/1000*'BLIND-PVC-PRE - Qty'!O9</f>
        <v>49.820810059255869</v>
      </c>
      <c r="P9" s="125">
        <f>$E9/1000*'BLIND-PVC-PRE - Qty'!P9</f>
        <v>50.408908565045515</v>
      </c>
      <c r="Q9" s="125">
        <f>$E9/1000*'BLIND-PVC-PRE - Qty'!Q9</f>
        <v>62.059695289902884</v>
      </c>
      <c r="R9" s="125">
        <f t="shared" si="0"/>
        <v>276.54614061340067</v>
      </c>
      <c r="S9" s="125">
        <f t="shared" si="1"/>
        <v>350.07337074320537</v>
      </c>
      <c r="T9" s="125">
        <f t="shared" si="2"/>
        <v>626.61951135660604</v>
      </c>
      <c r="U9" s="282"/>
    </row>
    <row r="10" spans="1:31" ht="18" customHeight="1">
      <c r="A10" s="1052"/>
      <c r="B10" s="117"/>
      <c r="C10" s="1041"/>
      <c r="D10" s="68" t="s">
        <v>83</v>
      </c>
      <c r="E10" s="663">
        <v>175.01089999999999</v>
      </c>
      <c r="F10" s="664">
        <f>SUBTOTAL(109,F6:F9)</f>
        <v>149.93155807225128</v>
      </c>
      <c r="G10" s="664">
        <f t="shared" ref="G10:Q10" si="3">SUBTOTAL(109,G6:G9)</f>
        <v>81.815649409016402</v>
      </c>
      <c r="H10" s="664">
        <f t="shared" si="3"/>
        <v>81.440214693345354</v>
      </c>
      <c r="I10" s="664">
        <f t="shared" si="3"/>
        <v>82.301317244580972</v>
      </c>
      <c r="J10" s="664">
        <f t="shared" si="3"/>
        <v>148.67032146966241</v>
      </c>
      <c r="K10" s="664">
        <f t="shared" si="3"/>
        <v>172.28180824888744</v>
      </c>
      <c r="L10" s="664">
        <f t="shared" si="3"/>
        <v>173.50832750563995</v>
      </c>
      <c r="M10" s="664">
        <f t="shared" si="3"/>
        <v>173.70696115745932</v>
      </c>
      <c r="N10" s="664">
        <f t="shared" si="3"/>
        <v>139.27170747534873</v>
      </c>
      <c r="O10" s="664">
        <f t="shared" si="3"/>
        <v>129.06947238832706</v>
      </c>
      <c r="P10" s="664">
        <f t="shared" si="3"/>
        <v>130.59304383897896</v>
      </c>
      <c r="Q10" s="664">
        <f t="shared" si="3"/>
        <v>160.77643294280369</v>
      </c>
      <c r="R10" s="664">
        <f t="shared" ref="R10" si="4">SUBTOTAL(109,R6:R9)</f>
        <v>716.4408691377439</v>
      </c>
      <c r="S10" s="664">
        <f t="shared" ref="S10" si="5">SUBTOTAL(109,S6:S9)</f>
        <v>906.92594530855774</v>
      </c>
      <c r="T10" s="664">
        <f t="shared" ref="T10" si="6">SUBTOTAL(109,T6:T9)</f>
        <v>1623.3668144463018</v>
      </c>
      <c r="U10" s="282"/>
      <c r="V10" s="665"/>
      <c r="W10" s="665"/>
      <c r="X10" s="665"/>
      <c r="Y10" s="665"/>
      <c r="Z10" s="665"/>
      <c r="AA10" s="665"/>
      <c r="AB10" s="665"/>
      <c r="AC10" s="665"/>
      <c r="AD10" s="665"/>
      <c r="AE10" s="665"/>
    </row>
    <row r="11" spans="1:31" ht="18" customHeight="1">
      <c r="A11" s="1052"/>
      <c r="B11" s="117">
        <v>5040</v>
      </c>
      <c r="C11" s="1042" t="s">
        <v>137</v>
      </c>
      <c r="D11" s="38" t="s">
        <v>134</v>
      </c>
      <c r="E11" s="666">
        <v>60.4771</v>
      </c>
      <c r="F11" s="126">
        <f>$E11/1000*'BLIND-PVC-PRE - Qty'!F11</f>
        <v>53.39644626325034</v>
      </c>
      <c r="G11" s="126">
        <f>$E11/1000*'BLIND-PVC-PRE - Qty'!G11</f>
        <v>55.882919542533898</v>
      </c>
      <c r="H11" s="126">
        <f>$E11/1000*'BLIND-PVC-PRE - Qty'!H11</f>
        <v>53.780857856783065</v>
      </c>
      <c r="I11" s="126">
        <f>$E11/1000*'BLIND-PVC-PRE - Qty'!I11</f>
        <v>54.128553863053604</v>
      </c>
      <c r="J11" s="126">
        <f>$E11/1000*'BLIND-PVC-PRE - Qty'!J11</f>
        <v>54.789807215164728</v>
      </c>
      <c r="K11" s="126">
        <f>$E11/1000*'BLIND-PVC-PRE - Qty'!K11</f>
        <v>62.294999434582842</v>
      </c>
      <c r="L11" s="126">
        <f>$E11/1000*'BLIND-PVC-PRE - Qty'!L11</f>
        <v>61.528762797386847</v>
      </c>
      <c r="M11" s="126">
        <f>$E11/1000*'BLIND-PVC-PRE - Qty'!M11</f>
        <v>61.561036443579198</v>
      </c>
      <c r="N11" s="126">
        <f>$E11/1000*'BLIND-PVC-PRE - Qty'!N11</f>
        <v>58.573548468288266</v>
      </c>
      <c r="O11" s="126">
        <f>$E11/1000*'BLIND-PVC-PRE - Qty'!O11</f>
        <v>45.425497960075695</v>
      </c>
      <c r="P11" s="126">
        <f>$E11/1000*'BLIND-PVC-PRE - Qty'!P11</f>
        <v>43.600243596965562</v>
      </c>
      <c r="Q11" s="126">
        <f>$E11/1000*'BLIND-PVC-PRE - Qty'!Q11</f>
        <v>55.280226448776574</v>
      </c>
      <c r="R11" s="126">
        <f t="shared" ref="R11:R15" si="7">SUM(F11:K11)</f>
        <v>334.27358417536851</v>
      </c>
      <c r="S11" s="126">
        <f t="shared" ref="S11:S15" si="8">SUM(L11:Q11)</f>
        <v>325.96931571507218</v>
      </c>
      <c r="T11" s="126">
        <f t="shared" ref="T11:T15" si="9">R11+S11</f>
        <v>660.24289989044064</v>
      </c>
      <c r="U11" s="665"/>
      <c r="V11" s="665"/>
      <c r="W11" s="665"/>
      <c r="X11" s="665"/>
      <c r="Y11" s="665"/>
      <c r="Z11" s="665"/>
      <c r="AA11" s="665"/>
      <c r="AB11" s="665"/>
      <c r="AC11" s="665"/>
      <c r="AD11" s="665"/>
      <c r="AE11" s="665"/>
    </row>
    <row r="12" spans="1:31" ht="18" customHeight="1">
      <c r="A12" s="1052"/>
      <c r="B12" s="117">
        <v>5050</v>
      </c>
      <c r="C12" s="1043"/>
      <c r="D12" s="38" t="s">
        <v>135</v>
      </c>
      <c r="E12" s="666">
        <v>60.4771</v>
      </c>
      <c r="F12" s="126">
        <f>$E12/1000*'BLIND-PVC-PRE - Qty'!F12</f>
        <v>92.629473832908971</v>
      </c>
      <c r="G12" s="126">
        <f>$E12/1000*'BLIND-PVC-PRE - Qty'!G12</f>
        <v>96.94288282691052</v>
      </c>
      <c r="H12" s="126">
        <f>$E12/1000*'BLIND-PVC-PRE - Qty'!H12</f>
        <v>93.29633176327863</v>
      </c>
      <c r="I12" s="126">
        <f>$E12/1000*'BLIND-PVC-PRE - Qty'!I12</f>
        <v>93.899497336430457</v>
      </c>
      <c r="J12" s="126">
        <f>$E12/1000*'BLIND-PVC-PRE - Qty'!J12</f>
        <v>95.046606448792048</v>
      </c>
      <c r="K12" s="126">
        <f>$E12/1000*'BLIND-PVC-PRE - Qty'!K12</f>
        <v>108.06623706001513</v>
      </c>
      <c r="L12" s="126">
        <f>$E12/1000*'BLIND-PVC-PRE - Qty'!L12</f>
        <v>106.73700821611335</v>
      </c>
      <c r="M12" s="126">
        <f>$E12/1000*'BLIND-PVC-PRE - Qty'!M12</f>
        <v>106.79299491700219</v>
      </c>
      <c r="N12" s="126">
        <f>$E12/1000*'BLIND-PVC-PRE - Qty'!N12</f>
        <v>101.61045078533782</v>
      </c>
      <c r="O12" s="126">
        <f>$E12/1000*'BLIND-PVC-PRE - Qty'!O12</f>
        <v>78.801872954148877</v>
      </c>
      <c r="P12" s="126">
        <f>$E12/1000*'BLIND-PVC-PRE - Qty'!P12</f>
        <v>75.635513334773322</v>
      </c>
      <c r="Q12" s="126">
        <f>$E12/1000*'BLIND-PVC-PRE - Qty'!Q12</f>
        <v>95.897361110310953</v>
      </c>
      <c r="R12" s="126">
        <f t="shared" si="7"/>
        <v>579.88102926833574</v>
      </c>
      <c r="S12" s="126">
        <f t="shared" si="8"/>
        <v>565.47520131768658</v>
      </c>
      <c r="T12" s="126">
        <f t="shared" si="9"/>
        <v>1145.3562305860223</v>
      </c>
      <c r="U12" s="665"/>
      <c r="V12" s="665"/>
      <c r="W12" s="665"/>
      <c r="X12" s="665"/>
      <c r="Y12" s="665"/>
      <c r="Z12" s="665"/>
      <c r="AA12" s="665"/>
      <c r="AB12" s="665"/>
      <c r="AC12" s="665"/>
      <c r="AD12" s="665"/>
      <c r="AE12" s="665"/>
    </row>
    <row r="13" spans="1:31" ht="18" customHeight="1">
      <c r="A13" s="1052"/>
      <c r="B13" s="117">
        <v>5060</v>
      </c>
      <c r="C13" s="1043"/>
      <c r="D13" s="38" t="s">
        <v>136</v>
      </c>
      <c r="E13" s="666">
        <v>60.4771</v>
      </c>
      <c r="F13" s="126">
        <f>$E13/1000*'BLIND-PVC-PRE - Qty'!F13</f>
        <v>58.04114879230076</v>
      </c>
      <c r="G13" s="126">
        <f>$E13/1000*'BLIND-PVC-PRE - Qty'!G13</f>
        <v>60.743908538885293</v>
      </c>
      <c r="H13" s="126">
        <f>$E13/1000*'BLIND-PVC-PRE - Qty'!H13</f>
        <v>58.458998519372841</v>
      </c>
      <c r="I13" s="126">
        <f>$E13/1000*'BLIND-PVC-PRE - Qty'!I13</f>
        <v>58.836938945125972</v>
      </c>
      <c r="J13" s="126">
        <f>$E13/1000*'BLIND-PVC-PRE - Qty'!J13</f>
        <v>59.555711576736549</v>
      </c>
      <c r="K13" s="126">
        <f>$E13/1000*'BLIND-PVC-PRE - Qty'!K13</f>
        <v>67.713744719512761</v>
      </c>
      <c r="L13" s="126">
        <f>$E13/1000*'BLIND-PVC-PRE - Qty'!L13</f>
        <v>66.880856806891245</v>
      </c>
      <c r="M13" s="126">
        <f>$E13/1000*'BLIND-PVC-PRE - Qty'!M13</f>
        <v>66.915937783844001</v>
      </c>
      <c r="N13" s="126">
        <f>$E13/1000*'BLIND-PVC-PRE - Qty'!N13</f>
        <v>63.668582459218051</v>
      </c>
      <c r="O13" s="126">
        <f>$E13/1000*'BLIND-PVC-PRE - Qty'!O13</f>
        <v>49.376845662474175</v>
      </c>
      <c r="P13" s="126">
        <f>$E13/1000*'BLIND-PVC-PRE - Qty'!P13</f>
        <v>47.392821116144326</v>
      </c>
      <c r="Q13" s="126">
        <f>$E13/1000*'BLIND-PVC-PRE - Qty'!Q13</f>
        <v>60.088790043575678</v>
      </c>
      <c r="R13" s="126">
        <f t="shared" si="7"/>
        <v>363.35045109193419</v>
      </c>
      <c r="S13" s="126">
        <f t="shared" si="8"/>
        <v>354.32383387214747</v>
      </c>
      <c r="T13" s="126">
        <f t="shared" si="9"/>
        <v>717.67428496408161</v>
      </c>
    </row>
    <row r="14" spans="1:31" ht="18" customHeight="1">
      <c r="A14" s="1052"/>
      <c r="B14" s="117">
        <v>5070</v>
      </c>
      <c r="C14" s="1043"/>
      <c r="D14" s="38" t="s">
        <v>138</v>
      </c>
      <c r="E14" s="666">
        <v>60.4771</v>
      </c>
      <c r="F14" s="126">
        <f>$E14/1000*'BLIND-PVC-PRE - Qty'!F14</f>
        <v>84.220227825960308</v>
      </c>
      <c r="G14" s="126">
        <f>$E14/1000*'BLIND-PVC-PRE - Qty'!G14</f>
        <v>88.142049608481244</v>
      </c>
      <c r="H14" s="126">
        <f>$E14/1000*'BLIND-PVC-PRE - Qty'!H14</f>
        <v>84.826545928604304</v>
      </c>
      <c r="I14" s="126">
        <f>$E14/1000*'BLIND-PVC-PRE - Qty'!I14</f>
        <v>85.374953901635166</v>
      </c>
      <c r="J14" s="126">
        <f>$E14/1000*'BLIND-PVC-PRE - Qty'!J14</f>
        <v>86.417924208889644</v>
      </c>
      <c r="K14" s="126">
        <f>$E14/1000*'BLIND-PVC-PRE - Qty'!K14</f>
        <v>98.255584630722765</v>
      </c>
      <c r="L14" s="126">
        <f>$E14/1000*'BLIND-PVC-PRE - Qty'!L14</f>
        <v>97.047028094299151</v>
      </c>
      <c r="M14" s="126">
        <f>$E14/1000*'BLIND-PVC-PRE - Qty'!M14</f>
        <v>97.097932115546058</v>
      </c>
      <c r="N14" s="126">
        <f>$E14/1000*'BLIND-PVC-PRE - Qty'!N14</f>
        <v>92.385878495612815</v>
      </c>
      <c r="O14" s="126">
        <f>$E14/1000*'BLIND-PVC-PRE - Qty'!O14</f>
        <v>71.647947663856186</v>
      </c>
      <c r="P14" s="126">
        <f>$E14/1000*'BLIND-PVC-PRE - Qty'!P14</f>
        <v>68.769041874066545</v>
      </c>
      <c r="Q14" s="126">
        <f>$E14/1000*'BLIND-PVC-PRE - Qty'!Q14</f>
        <v>87.191444217719322</v>
      </c>
      <c r="R14" s="126">
        <f t="shared" si="7"/>
        <v>527.23728610429339</v>
      </c>
      <c r="S14" s="126">
        <f t="shared" si="8"/>
        <v>514.13927246110006</v>
      </c>
      <c r="T14" s="126">
        <f t="shared" si="9"/>
        <v>1041.3765585653935</v>
      </c>
    </row>
    <row r="15" spans="1:31" ht="18" customHeight="1">
      <c r="A15" s="1052"/>
      <c r="B15" s="117">
        <v>5080</v>
      </c>
      <c r="C15" s="1043"/>
      <c r="D15" s="38" t="s">
        <v>139</v>
      </c>
      <c r="E15" s="666">
        <v>60.4771</v>
      </c>
      <c r="F15" s="126">
        <f>$E15/1000*'BLIND-PVC-PRE - Qty'!F15</f>
        <v>260.59001938587772</v>
      </c>
      <c r="G15" s="126">
        <f>$E15/1000*'BLIND-PVC-PRE - Qty'!G15</f>
        <v>272.72472432216705</v>
      </c>
      <c r="H15" s="126">
        <f>$E15/1000*'BLIND-PVC-PRE - Qty'!H15</f>
        <v>262.46605855367136</v>
      </c>
      <c r="I15" s="126">
        <f>$E15/1000*'BLIND-PVC-PRE - Qty'!I15</f>
        <v>264.16291509292</v>
      </c>
      <c r="J15" s="126">
        <f>$E15/1000*'BLIND-PVC-PRE - Qty'!J15</f>
        <v>267.39002168716934</v>
      </c>
      <c r="K15" s="126">
        <f>$E15/1000*'BLIND-PVC-PRE - Qty'!K15</f>
        <v>304.01751888634067</v>
      </c>
      <c r="L15" s="126">
        <f>$E15/1000*'BLIND-PVC-PRE - Qty'!L15</f>
        <v>300.27806365824057</v>
      </c>
      <c r="M15" s="126">
        <f>$E15/1000*'BLIND-PVC-PRE - Qty'!M15</f>
        <v>300.43556833646306</v>
      </c>
      <c r="N15" s="126">
        <f>$E15/1000*'BLIND-PVC-PRE - Qty'!N15</f>
        <v>285.85576754676254</v>
      </c>
      <c r="O15" s="126">
        <f>$E15/1000*'BLIND-PVC-PRE - Qty'!O15</f>
        <v>221.68949850462778</v>
      </c>
      <c r="P15" s="126">
        <f>$E15/1000*'BLIND-PVC-PRE - Qty'!P15</f>
        <v>212.78173210530497</v>
      </c>
      <c r="Q15" s="126">
        <f>$E15/1000*'BLIND-PVC-PRE - Qty'!Q15</f>
        <v>269.78340863588232</v>
      </c>
      <c r="R15" s="126">
        <f t="shared" si="7"/>
        <v>1631.3512579281462</v>
      </c>
      <c r="S15" s="126">
        <f t="shared" si="8"/>
        <v>1590.8240387872813</v>
      </c>
      <c r="T15" s="126">
        <f t="shared" si="9"/>
        <v>3222.1752967154275</v>
      </c>
      <c r="U15" s="282"/>
    </row>
    <row r="16" spans="1:31" ht="18" customHeight="1">
      <c r="A16" s="1052"/>
      <c r="B16" s="117"/>
      <c r="C16" s="1043"/>
      <c r="D16" s="69" t="s">
        <v>83</v>
      </c>
      <c r="E16" s="667">
        <v>60.4771</v>
      </c>
      <c r="F16" s="664">
        <f>SUBTOTAL(109,F11:F15)</f>
        <v>548.87731610029812</v>
      </c>
      <c r="G16" s="664">
        <f t="shared" ref="G16:Q16" si="10">SUBTOTAL(109,G11:G15)</f>
        <v>574.436484838978</v>
      </c>
      <c r="H16" s="664">
        <f t="shared" si="10"/>
        <v>552.82879262171014</v>
      </c>
      <c r="I16" s="664">
        <f t="shared" si="10"/>
        <v>556.40285913916523</v>
      </c>
      <c r="J16" s="664">
        <f t="shared" si="10"/>
        <v>563.20007113675229</v>
      </c>
      <c r="K16" s="664">
        <f t="shared" si="10"/>
        <v>640.34808473117414</v>
      </c>
      <c r="L16" s="664">
        <f t="shared" si="10"/>
        <v>632.47171957293108</v>
      </c>
      <c r="M16" s="664">
        <f t="shared" si="10"/>
        <v>632.80346959643452</v>
      </c>
      <c r="N16" s="664">
        <f t="shared" si="10"/>
        <v>602.09422775521944</v>
      </c>
      <c r="O16" s="664">
        <f t="shared" si="10"/>
        <v>466.94166274518273</v>
      </c>
      <c r="P16" s="664">
        <f t="shared" si="10"/>
        <v>448.17935202725471</v>
      </c>
      <c r="Q16" s="664">
        <f t="shared" si="10"/>
        <v>568.24123045626482</v>
      </c>
      <c r="R16" s="664">
        <f t="shared" ref="R16" si="11">SUBTOTAL(109,R11:R15)</f>
        <v>3436.0936085680778</v>
      </c>
      <c r="S16" s="664">
        <f t="shared" ref="S16" si="12">SUBTOTAL(109,S11:S15)</f>
        <v>3350.7316621532873</v>
      </c>
      <c r="T16" s="664">
        <f t="shared" ref="T16" si="13">SUBTOTAL(109,T11:T15)</f>
        <v>6786.8252707213651</v>
      </c>
      <c r="U16" s="282"/>
    </row>
    <row r="17" spans="1:21" ht="18" customHeight="1">
      <c r="A17" s="1052"/>
      <c r="B17" s="117">
        <v>5090</v>
      </c>
      <c r="C17" s="1042" t="s">
        <v>140</v>
      </c>
      <c r="D17" s="38" t="s">
        <v>134</v>
      </c>
      <c r="E17" s="666">
        <v>60.4771</v>
      </c>
      <c r="F17" s="126">
        <f>$E17/1000*'BLIND-PVC-PRE - Qty'!F17</f>
        <v>74.310770718711566</v>
      </c>
      <c r="G17" s="126">
        <f>$E17/1000*'BLIND-PVC-PRE - Qty'!G17</f>
        <v>77.771146056128188</v>
      </c>
      <c r="H17" s="126">
        <f>$E17/1000*'BLIND-PVC-PRE - Qty'!H17</f>
        <v>74.845748676753786</v>
      </c>
      <c r="I17" s="126">
        <f>$E17/1000*'BLIND-PVC-PRE - Qty'!I17</f>
        <v>75.329630283301142</v>
      </c>
      <c r="J17" s="126">
        <f>$E17/1000*'BLIND-PVC-PRE - Qty'!J17</f>
        <v>76.249883402646461</v>
      </c>
      <c r="K17" s="126">
        <f>$E17/1000*'BLIND-PVC-PRE - Qty'!K17</f>
        <v>86.694709926633323</v>
      </c>
      <c r="L17" s="126">
        <f>$E17/1000*'BLIND-PVC-PRE - Qty'!L17</f>
        <v>85.628353660483512</v>
      </c>
      <c r="M17" s="126">
        <f>$E17/1000*'BLIND-PVC-PRE - Qty'!M17</f>
        <v>85.673268251065679</v>
      </c>
      <c r="N17" s="126">
        <f>$E17/1000*'BLIND-PVC-PRE - Qty'!N17</f>
        <v>81.515640740383503</v>
      </c>
      <c r="O17" s="126">
        <f>$E17/1000*'BLIND-PVC-PRE - Qty'!O17</f>
        <v>63.217760729850603</v>
      </c>
      <c r="P17" s="126">
        <f>$E17/1000*'BLIND-PVC-PRE - Qty'!P17</f>
        <v>60.677590587970656</v>
      </c>
      <c r="Q17" s="126">
        <f>$E17/1000*'BLIND-PVC-PRE - Qty'!Q17</f>
        <v>76.932390081935637</v>
      </c>
      <c r="R17" s="126">
        <f t="shared" ref="R17:R20" si="14">SUM(F17:K17)</f>
        <v>465.20188906417445</v>
      </c>
      <c r="S17" s="126">
        <f t="shared" ref="S17:S20" si="15">SUM(L17:Q17)</f>
        <v>453.64500405168963</v>
      </c>
      <c r="T17" s="126">
        <f t="shared" ref="T17:T20" si="16">R17+S17</f>
        <v>918.84689311586408</v>
      </c>
    </row>
    <row r="18" spans="1:21" ht="18" customHeight="1">
      <c r="A18" s="1052"/>
      <c r="B18" s="117">
        <v>5100</v>
      </c>
      <c r="C18" s="1043"/>
      <c r="D18" s="38" t="s">
        <v>135</v>
      </c>
      <c r="E18" s="666">
        <v>60.4771</v>
      </c>
      <c r="F18" s="126">
        <f>$E18/1000*'BLIND-PVC-PRE - Qty'!F18</f>
        <v>81.364231369967655</v>
      </c>
      <c r="G18" s="126">
        <f>$E18/1000*'BLIND-PVC-PRE - Qty'!G18</f>
        <v>85.153060053312231</v>
      </c>
      <c r="H18" s="126">
        <f>$E18/1000*'BLIND-PVC-PRE - Qty'!H18</f>
        <v>81.949988588403016</v>
      </c>
      <c r="I18" s="126">
        <f>$E18/1000*'BLIND-PVC-PRE - Qty'!I18</f>
        <v>82.479799470594244</v>
      </c>
      <c r="J18" s="126">
        <f>$E18/1000*'BLIND-PVC-PRE - Qty'!J18</f>
        <v>83.487401558382743</v>
      </c>
      <c r="K18" s="126">
        <f>$E18/1000*'BLIND-PVC-PRE - Qty'!K18</f>
        <v>94.923634471828393</v>
      </c>
      <c r="L18" s="126">
        <f>$E18/1000*'BLIND-PVC-PRE - Qty'!L18</f>
        <v>93.756061357962409</v>
      </c>
      <c r="M18" s="126">
        <f>$E18/1000*'BLIND-PVC-PRE - Qty'!M18</f>
        <v>93.805239170339675</v>
      </c>
      <c r="N18" s="126">
        <f>$E18/1000*'BLIND-PVC-PRE - Qty'!N18</f>
        <v>89.252976241863436</v>
      </c>
      <c r="O18" s="126">
        <f>$E18/1000*'BLIND-PVC-PRE - Qty'!O18</f>
        <v>69.218290443859402</v>
      </c>
      <c r="P18" s="126">
        <f>$E18/1000*'BLIND-PVC-PRE - Qty'!P18</f>
        <v>66.437011375642697</v>
      </c>
      <c r="Q18" s="126">
        <f>$E18/1000*'BLIND-PVC-PRE - Qty'!Q18</f>
        <v>84.234690690606087</v>
      </c>
      <c r="R18" s="126">
        <f t="shared" si="14"/>
        <v>509.35811551248827</v>
      </c>
      <c r="S18" s="126">
        <f t="shared" si="15"/>
        <v>496.70426928027376</v>
      </c>
      <c r="T18" s="126">
        <f t="shared" si="16"/>
        <v>1006.062384792762</v>
      </c>
    </row>
    <row r="19" spans="1:21" ht="18" customHeight="1">
      <c r="A19" s="1052"/>
      <c r="B19" s="117">
        <v>5110</v>
      </c>
      <c r="C19" s="1043"/>
      <c r="D19" s="38" t="s">
        <v>136</v>
      </c>
      <c r="E19" s="666">
        <v>60.4771</v>
      </c>
      <c r="F19" s="126">
        <f>$E19/1000*'BLIND-PVC-PRE - Qty'!F19</f>
        <v>116.56502801005179</v>
      </c>
      <c r="G19" s="126">
        <f>$E19/1000*'BLIND-PVC-PRE - Qty'!G19</f>
        <v>121.99302645805734</v>
      </c>
      <c r="H19" s="126">
        <f>$E19/1000*'BLIND-PVC-PRE - Qty'!H19</f>
        <v>117.40420273614906</v>
      </c>
      <c r="I19" s="126">
        <f>$E19/1000*'BLIND-PVC-PRE - Qty'!I19</f>
        <v>118.16322693244284</v>
      </c>
      <c r="J19" s="126">
        <f>$E19/1000*'BLIND-PVC-PRE - Qty'!J19</f>
        <v>119.60675025477347</v>
      </c>
      <c r="K19" s="126">
        <f>$E19/1000*'BLIND-PVC-PRE - Qty'!K19</f>
        <v>135.99066720992482</v>
      </c>
      <c r="L19" s="126">
        <f>$E19/1000*'BLIND-PVC-PRE - Qty'!L19</f>
        <v>134.31796422447255</v>
      </c>
      <c r="M19" s="126">
        <f>$E19/1000*'BLIND-PVC-PRE - Qty'!M19</f>
        <v>134.38841794818759</v>
      </c>
      <c r="N19" s="126">
        <f>$E19/1000*'BLIND-PVC-PRE - Qty'!N19</f>
        <v>127.86669892211918</v>
      </c>
      <c r="O19" s="126">
        <f>$E19/1000*'BLIND-PVC-PRE - Qty'!O19</f>
        <v>99.164360414206655</v>
      </c>
      <c r="P19" s="126">
        <f>$E19/1000*'BLIND-PVC-PRE - Qty'!P19</f>
        <v>95.179810114501905</v>
      </c>
      <c r="Q19" s="126">
        <f>$E19/1000*'BLIND-PVC-PRE - Qty'!Q19</f>
        <v>120.67734082218308</v>
      </c>
      <c r="R19" s="126">
        <f t="shared" si="14"/>
        <v>729.72290160139937</v>
      </c>
      <c r="S19" s="126">
        <f t="shared" si="15"/>
        <v>711.59459244567097</v>
      </c>
      <c r="T19" s="126">
        <f t="shared" si="16"/>
        <v>1441.3174940470703</v>
      </c>
    </row>
    <row r="20" spans="1:21" ht="18" customHeight="1">
      <c r="A20" s="1052"/>
      <c r="B20" s="117">
        <v>5120</v>
      </c>
      <c r="C20" s="1043"/>
      <c r="D20" s="38" t="s">
        <v>138</v>
      </c>
      <c r="E20" s="666">
        <v>60.4771</v>
      </c>
      <c r="F20" s="126">
        <f>$E20/1000*'BLIND-PVC-PRE - Qty'!F20</f>
        <v>95.887165981092835</v>
      </c>
      <c r="G20" s="126">
        <f>$E20/1000*'BLIND-PVC-PRE - Qty'!G20</f>
        <v>100.35227354392154</v>
      </c>
      <c r="H20" s="126">
        <f>$E20/1000*'BLIND-PVC-PRE - Qty'!H20</f>
        <v>96.577476682527987</v>
      </c>
      <c r="I20" s="126">
        <f>$E20/1000*'BLIND-PVC-PRE - Qty'!I20</f>
        <v>97.201855025982866</v>
      </c>
      <c r="J20" s="126">
        <f>$E20/1000*'BLIND-PVC-PRE - Qty'!J20</f>
        <v>98.389306895285898</v>
      </c>
      <c r="K20" s="126">
        <f>$E20/1000*'BLIND-PVC-PRE - Qty'!K20</f>
        <v>111.86682576452652</v>
      </c>
      <c r="L20" s="126">
        <f>$E20/1000*'BLIND-PVC-PRE - Qty'!L20</f>
        <v>110.49084918268845</v>
      </c>
      <c r="M20" s="126">
        <f>$E20/1000*'BLIND-PVC-PRE - Qty'!M20</f>
        <v>110.5488048835979</v>
      </c>
      <c r="N20" s="126">
        <f>$E20/1000*'BLIND-PVC-PRE - Qty'!N20</f>
        <v>105.18399551143571</v>
      </c>
      <c r="O20" s="126">
        <f>$E20/1000*'BLIND-PVC-PRE - Qty'!O20</f>
        <v>81.573261284044705</v>
      </c>
      <c r="P20" s="126">
        <f>$E20/1000*'BLIND-PVC-PRE - Qty'!P20</f>
        <v>78.295543751862979</v>
      </c>
      <c r="Q20" s="126">
        <f>$E20/1000*'BLIND-PVC-PRE - Qty'!Q20</f>
        <v>99.269981804283006</v>
      </c>
      <c r="R20" s="126">
        <f t="shared" si="14"/>
        <v>600.27490389333764</v>
      </c>
      <c r="S20" s="126">
        <f t="shared" si="15"/>
        <v>585.3624364179127</v>
      </c>
      <c r="T20" s="126">
        <f t="shared" si="16"/>
        <v>1185.6373403112502</v>
      </c>
    </row>
    <row r="21" spans="1:21" ht="18" customHeight="1">
      <c r="A21" s="1052"/>
      <c r="B21" s="117"/>
      <c r="C21" s="1043"/>
      <c r="D21" s="70" t="s">
        <v>83</v>
      </c>
      <c r="E21" s="668">
        <v>60.4771</v>
      </c>
      <c r="F21" s="664">
        <f>SUBTOTAL(109,F17:F20)</f>
        <v>368.12719607982382</v>
      </c>
      <c r="G21" s="664">
        <f t="shared" ref="G21:Q21" si="17">SUBTOTAL(109,G17:G20)</f>
        <v>385.26950611141933</v>
      </c>
      <c r="H21" s="664">
        <f t="shared" si="17"/>
        <v>370.77741668383385</v>
      </c>
      <c r="I21" s="664">
        <f t="shared" si="17"/>
        <v>373.17451171232108</v>
      </c>
      <c r="J21" s="664">
        <f t="shared" si="17"/>
        <v>377.73334211108863</v>
      </c>
      <c r="K21" s="664">
        <f t="shared" si="17"/>
        <v>429.47583737291308</v>
      </c>
      <c r="L21" s="664">
        <f t="shared" si="17"/>
        <v>424.19322842560695</v>
      </c>
      <c r="M21" s="664">
        <f t="shared" si="17"/>
        <v>424.41573025319087</v>
      </c>
      <c r="N21" s="664">
        <f t="shared" si="17"/>
        <v>403.81931141580185</v>
      </c>
      <c r="O21" s="664">
        <f t="shared" si="17"/>
        <v>313.17367287196134</v>
      </c>
      <c r="P21" s="664">
        <f t="shared" si="17"/>
        <v>300.58995582997824</v>
      </c>
      <c r="Q21" s="664">
        <f t="shared" si="17"/>
        <v>381.11440339900787</v>
      </c>
      <c r="R21" s="664">
        <f t="shared" ref="R21" si="18">SUBTOTAL(109,R17:R20)</f>
        <v>2304.5578100713997</v>
      </c>
      <c r="S21" s="664">
        <f t="shared" ref="S21" si="19">SUBTOTAL(109,S17:S20)</f>
        <v>2247.3063021955468</v>
      </c>
      <c r="T21" s="664">
        <f t="shared" ref="T21" si="20">SUBTOTAL(109,T17:T20)</f>
        <v>4551.8641122669469</v>
      </c>
      <c r="U21" s="282"/>
    </row>
    <row r="22" spans="1:21" ht="18" customHeight="1" thickBot="1">
      <c r="A22" s="1052"/>
      <c r="B22" s="1057"/>
      <c r="C22" s="72" t="s">
        <v>1</v>
      </c>
      <c r="D22" s="73"/>
      <c r="E22" s="669">
        <v>79438.606117200005</v>
      </c>
      <c r="F22" s="670">
        <f>SUBTOTAL(109,F6:F21)</f>
        <v>1066.9360702523732</v>
      </c>
      <c r="G22" s="670">
        <f t="shared" ref="G22:Q22" si="21">SUBTOTAL(109,G6:G21)</f>
        <v>1041.5216403594136</v>
      </c>
      <c r="H22" s="670">
        <f t="shared" si="21"/>
        <v>1005.0464239988894</v>
      </c>
      <c r="I22" s="670">
        <f t="shared" si="21"/>
        <v>1011.8786880960672</v>
      </c>
      <c r="J22" s="670">
        <f t="shared" si="21"/>
        <v>1089.6037347175034</v>
      </c>
      <c r="K22" s="670">
        <f t="shared" si="21"/>
        <v>1242.1057303529747</v>
      </c>
      <c r="L22" s="670">
        <f t="shared" si="21"/>
        <v>1230.1732755041778</v>
      </c>
      <c r="M22" s="670">
        <f t="shared" si="21"/>
        <v>1230.9261610070848</v>
      </c>
      <c r="N22" s="670">
        <f t="shared" si="21"/>
        <v>1145.1852466463699</v>
      </c>
      <c r="O22" s="670">
        <f t="shared" si="21"/>
        <v>909.18480800547115</v>
      </c>
      <c r="P22" s="670">
        <f t="shared" si="21"/>
        <v>879.36235169621182</v>
      </c>
      <c r="Q22" s="670">
        <f t="shared" si="21"/>
        <v>1110.1320667980763</v>
      </c>
      <c r="R22" s="670">
        <f t="shared" ref="R22" si="22">SUBTOTAL(109,R6:R21)</f>
        <v>6457.0922877772227</v>
      </c>
      <c r="S22" s="670">
        <f t="shared" ref="S22" si="23">SUBTOTAL(109,S6:S21)</f>
        <v>6504.9639096573919</v>
      </c>
      <c r="T22" s="670">
        <f t="shared" ref="T22" si="24">SUBTOTAL(109,T6:T21)</f>
        <v>12962.056197434615</v>
      </c>
      <c r="U22" s="282"/>
    </row>
    <row r="23" spans="1:21" ht="18" customHeight="1" thickTop="1" thickBot="1">
      <c r="A23" s="1052"/>
      <c r="B23" s="1058"/>
      <c r="C23" s="671" t="s">
        <v>176</v>
      </c>
      <c r="D23" s="672"/>
      <c r="E23" s="673">
        <v>14.04</v>
      </c>
      <c r="F23" s="674">
        <f>F22</f>
        <v>1066.9360702523732</v>
      </c>
      <c r="G23" s="674">
        <f t="shared" ref="G23:Q23" si="25">G22</f>
        <v>1041.5216403594136</v>
      </c>
      <c r="H23" s="674">
        <f t="shared" si="25"/>
        <v>1005.0464239988894</v>
      </c>
      <c r="I23" s="674">
        <f t="shared" si="25"/>
        <v>1011.8786880960672</v>
      </c>
      <c r="J23" s="674">
        <f t="shared" si="25"/>
        <v>1089.6037347175034</v>
      </c>
      <c r="K23" s="674">
        <f t="shared" si="25"/>
        <v>1242.1057303529747</v>
      </c>
      <c r="L23" s="674">
        <f t="shared" si="25"/>
        <v>1230.1732755041778</v>
      </c>
      <c r="M23" s="674">
        <f t="shared" si="25"/>
        <v>1230.9261610070848</v>
      </c>
      <c r="N23" s="674">
        <f t="shared" si="25"/>
        <v>1145.1852466463699</v>
      </c>
      <c r="O23" s="674">
        <f t="shared" si="25"/>
        <v>909.18480800547115</v>
      </c>
      <c r="P23" s="674">
        <f t="shared" si="25"/>
        <v>879.36235169621182</v>
      </c>
      <c r="Q23" s="674">
        <f t="shared" si="25"/>
        <v>1110.1320667980763</v>
      </c>
      <c r="R23" s="674">
        <v>6433.8419898092852</v>
      </c>
      <c r="S23" s="674">
        <v>0</v>
      </c>
      <c r="T23" s="674">
        <v>6433.8419898092852</v>
      </c>
      <c r="U23" s="539"/>
    </row>
    <row r="24" spans="1:21" ht="18" customHeight="1" thickTop="1">
      <c r="A24" s="1035" t="s">
        <v>89</v>
      </c>
      <c r="B24" s="675">
        <v>5130</v>
      </c>
      <c r="C24" s="74" t="s">
        <v>98</v>
      </c>
      <c r="D24" s="67"/>
      <c r="E24" s="919">
        <v>14.04</v>
      </c>
      <c r="F24" s="676">
        <f>$E24*'BLIND-PVC-PRE - Qty'!F23</f>
        <v>606.33614900591988</v>
      </c>
      <c r="G24" s="676">
        <f>$E24*'BLIND-PVC-PRE - Qty'!G23</f>
        <v>330.86954093530943</v>
      </c>
      <c r="H24" s="676">
        <f>$E24*'BLIND-PVC-PRE - Qty'!H23</f>
        <v>329.3512505724932</v>
      </c>
      <c r="I24" s="676">
        <f>$E24*'BLIND-PVC-PRE - Qty'!I23</f>
        <v>332.83362354005601</v>
      </c>
      <c r="J24" s="676">
        <f>$E24*'BLIND-PVC-PRE - Qty'!J23</f>
        <v>601.23559943229009</v>
      </c>
      <c r="K24" s="676">
        <f>$E24*'BLIND-PVC-PRE - Qty'!K23</f>
        <v>696.7224879172378</v>
      </c>
      <c r="L24" s="676">
        <f>$E24*'BLIND-PVC-PRE - Qty'!L23</f>
        <v>701.68263755072951</v>
      </c>
      <c r="M24" s="676">
        <f>$E24*'BLIND-PVC-PRE - Qty'!M23</f>
        <v>702.48592916628832</v>
      </c>
      <c r="N24" s="676">
        <f>$E24*'BLIND-PVC-PRE - Qty'!N23</f>
        <v>563.22679402416452</v>
      </c>
      <c r="O24" s="676">
        <f>$E24*'BLIND-PVC-PRE - Qty'!O23</f>
        <v>521.96807562322033</v>
      </c>
      <c r="P24" s="676">
        <f>$E24*'BLIND-PVC-PRE - Qty'!P23</f>
        <v>528.12952994278714</v>
      </c>
      <c r="Q24" s="676">
        <f>$E24*'BLIND-PVC-PRE - Qty'!Q23</f>
        <v>650.19375810441954</v>
      </c>
      <c r="R24" s="676">
        <v>4377.4665999999997</v>
      </c>
      <c r="S24" s="676">
        <v>0</v>
      </c>
      <c r="T24" s="676">
        <v>4377.4665999999997</v>
      </c>
    </row>
    <row r="25" spans="1:21" ht="18" customHeight="1">
      <c r="A25" s="1036"/>
      <c r="B25" s="677">
        <v>5140</v>
      </c>
      <c r="C25" s="44" t="s">
        <v>96</v>
      </c>
      <c r="D25" s="29"/>
      <c r="E25" s="679">
        <f>E24</f>
        <v>14.04</v>
      </c>
      <c r="F25" s="54">
        <f>$E25*'BLIND-PVC-PRE - Qty'!F24</f>
        <v>1592.4503170380212</v>
      </c>
      <c r="G25" s="54">
        <f>$E25*'BLIND-PVC-PRE - Qty'!G24</f>
        <v>1666.6047868388853</v>
      </c>
      <c r="H25" s="54">
        <f>$E25*'BLIND-PVC-PRE - Qty'!H24</f>
        <v>1603.9146823063813</v>
      </c>
      <c r="I25" s="54">
        <f>$E25*'BLIND-PVC-PRE - Qty'!I24</f>
        <v>1614.2840730461439</v>
      </c>
      <c r="J25" s="54">
        <f>$E25*'BLIND-PVC-PRE - Qty'!J24</f>
        <v>1634.0047320769033</v>
      </c>
      <c r="K25" s="54">
        <f>$E25*'BLIND-PVC-PRE - Qty'!K24</f>
        <v>1857.8332181585563</v>
      </c>
      <c r="L25" s="54">
        <f>$E25*'BLIND-PVC-PRE - Qty'!L24</f>
        <v>1834.9816266909661</v>
      </c>
      <c r="M25" s="54">
        <f>$E25*'BLIND-PVC-PRE - Qty'!M24</f>
        <v>1835.9441285372059</v>
      </c>
      <c r="N25" s="54">
        <f>$E25*'BLIND-PVC-PRE - Qty'!N24</f>
        <v>1746.8478214544327</v>
      </c>
      <c r="O25" s="54">
        <f>$E25*'BLIND-PVC-PRE - Qty'!O24</f>
        <v>1354.7315166162741</v>
      </c>
      <c r="P25" s="54">
        <f>$E25*'BLIND-PVC-PRE - Qty'!P24</f>
        <v>1300.2966788579752</v>
      </c>
      <c r="Q25" s="54">
        <f>$E25*'BLIND-PVC-PRE - Qty'!Q24</f>
        <v>1648.6305792764801</v>
      </c>
      <c r="R25" s="54">
        <v>9482.7402999999995</v>
      </c>
      <c r="S25" s="54">
        <v>0</v>
      </c>
      <c r="T25" s="54">
        <v>9482.7402999999995</v>
      </c>
    </row>
    <row r="26" spans="1:21" ht="18" customHeight="1">
      <c r="A26" s="1036"/>
      <c r="B26" s="677"/>
      <c r="C26" s="64"/>
      <c r="D26" s="61"/>
      <c r="E26" s="491"/>
      <c r="F26" s="678"/>
      <c r="G26" s="678"/>
      <c r="H26" s="678"/>
      <c r="I26" s="678"/>
      <c r="J26" s="678"/>
      <c r="K26" s="678"/>
      <c r="L26" s="678"/>
      <c r="M26" s="678"/>
      <c r="N26" s="678"/>
      <c r="O26" s="678"/>
      <c r="P26" s="678"/>
      <c r="Q26" s="678"/>
      <c r="R26" s="678">
        <v>0</v>
      </c>
      <c r="S26" s="678">
        <v>0</v>
      </c>
      <c r="T26" s="678">
        <v>0</v>
      </c>
    </row>
    <row r="27" spans="1:21" ht="18" customHeight="1" thickBot="1">
      <c r="A27" s="1036"/>
      <c r="B27" s="1057"/>
      <c r="C27" s="72" t="s">
        <v>1</v>
      </c>
      <c r="D27" s="73"/>
      <c r="E27" s="669">
        <v>1.4757206500000002</v>
      </c>
      <c r="F27" s="670">
        <f>SUBTOTAL(109,F24:F25)</f>
        <v>2198.7864660439409</v>
      </c>
      <c r="G27" s="670">
        <f t="shared" ref="G27:Q27" si="26">SUBTOTAL(109,G24:G25)</f>
        <v>1997.4743277741948</v>
      </c>
      <c r="H27" s="670">
        <f t="shared" si="26"/>
        <v>1933.2659328788745</v>
      </c>
      <c r="I27" s="670">
        <f t="shared" si="26"/>
        <v>1947.1176965862001</v>
      </c>
      <c r="J27" s="670">
        <f t="shared" si="26"/>
        <v>2235.2403315091933</v>
      </c>
      <c r="K27" s="670">
        <f t="shared" si="26"/>
        <v>2554.5557060757942</v>
      </c>
      <c r="L27" s="670">
        <f t="shared" si="26"/>
        <v>2536.6642642416955</v>
      </c>
      <c r="M27" s="670">
        <f t="shared" si="26"/>
        <v>2538.4300577034942</v>
      </c>
      <c r="N27" s="670">
        <f t="shared" si="26"/>
        <v>2310.0746154785975</v>
      </c>
      <c r="O27" s="670">
        <f t="shared" si="26"/>
        <v>1876.6995922394945</v>
      </c>
      <c r="P27" s="670">
        <f t="shared" si="26"/>
        <v>1828.4262088007622</v>
      </c>
      <c r="Q27" s="670">
        <f t="shared" si="26"/>
        <v>2298.8243373808996</v>
      </c>
      <c r="R27" s="670">
        <v>59204.633299999987</v>
      </c>
      <c r="S27" s="670">
        <v>0</v>
      </c>
      <c r="T27" s="670">
        <v>59204.633299999987</v>
      </c>
    </row>
    <row r="28" spans="1:21" ht="18" customHeight="1" thickTop="1" thickBot="1">
      <c r="A28" s="1038"/>
      <c r="B28" s="1058"/>
      <c r="C28" s="671" t="s">
        <v>176</v>
      </c>
      <c r="D28" s="672"/>
      <c r="E28" s="673">
        <v>0.40350349000000002</v>
      </c>
      <c r="F28" s="674">
        <f>F27</f>
        <v>2198.7864660439409</v>
      </c>
      <c r="G28" s="674">
        <f t="shared" ref="G28:Q28" si="27">G27</f>
        <v>1997.4743277741948</v>
      </c>
      <c r="H28" s="674">
        <f t="shared" si="27"/>
        <v>1933.2659328788745</v>
      </c>
      <c r="I28" s="674">
        <f t="shared" si="27"/>
        <v>1947.1176965862001</v>
      </c>
      <c r="J28" s="674">
        <f t="shared" si="27"/>
        <v>2235.2403315091933</v>
      </c>
      <c r="K28" s="674">
        <f t="shared" si="27"/>
        <v>2554.5557060757942</v>
      </c>
      <c r="L28" s="674">
        <f t="shared" si="27"/>
        <v>2536.6642642416955</v>
      </c>
      <c r="M28" s="674">
        <f t="shared" si="27"/>
        <v>2538.4300577034942</v>
      </c>
      <c r="N28" s="674">
        <f t="shared" si="27"/>
        <v>2310.0746154785975</v>
      </c>
      <c r="O28" s="674">
        <f t="shared" si="27"/>
        <v>1876.6995922394945</v>
      </c>
      <c r="P28" s="674">
        <f t="shared" si="27"/>
        <v>1828.4262088007622</v>
      </c>
      <c r="Q28" s="674">
        <f t="shared" si="27"/>
        <v>2298.8243373808996</v>
      </c>
      <c r="R28" s="674">
        <v>11301.998247605083</v>
      </c>
      <c r="S28" s="674">
        <v>0</v>
      </c>
      <c r="T28" s="674">
        <v>11301.998247605083</v>
      </c>
    </row>
    <row r="29" spans="1:21" ht="18" customHeight="1" thickTop="1">
      <c r="A29" s="1036" t="s">
        <v>100</v>
      </c>
      <c r="B29" s="66">
        <v>5170</v>
      </c>
      <c r="C29" s="74" t="s">
        <v>98</v>
      </c>
      <c r="D29" s="67"/>
      <c r="E29" s="660">
        <f>'[2]Falhas BLIND-PVC'!N27</f>
        <v>1.47657127</v>
      </c>
      <c r="F29" s="676">
        <f>$E29/1000*'BLIND-PVC-PRE - Qty'!F27</f>
        <v>190.75871911748999</v>
      </c>
      <c r="G29" s="676">
        <f>$E29/1000*'BLIND-PVC-PRE - Qty'!G27</f>
        <v>104.09448608216714</v>
      </c>
      <c r="H29" s="676">
        <f>$E29/1000*'BLIND-PVC-PRE - Qty'!H27</f>
        <v>103.61681849573986</v>
      </c>
      <c r="I29" s="676">
        <f>$E29/1000*'BLIND-PVC-PRE - Qty'!I27</f>
        <v>104.71240385358266</v>
      </c>
      <c r="J29" s="676">
        <f>$E29/1000*'BLIND-PVC-PRE - Qty'!J27</f>
        <v>189.15404107700692</v>
      </c>
      <c r="K29" s="676">
        <f>$E29/1000*'BLIND-PVC-PRE - Qty'!K27</f>
        <v>219.19506134236039</v>
      </c>
      <c r="L29" s="676">
        <f>$E29/1000*'BLIND-PVC-PRE - Qty'!L27</f>
        <v>220.75556831900568</v>
      </c>
      <c r="M29" s="676">
        <f>$E29/1000*'BLIND-PVC-PRE - Qty'!M27</f>
        <v>221.00829097114021</v>
      </c>
      <c r="N29" s="676">
        <f>$E29/1000*'BLIND-PVC-PRE - Qty'!N27</f>
        <v>177.19613448224578</v>
      </c>
      <c r="O29" s="676">
        <f>$E29/1000*'BLIND-PVC-PRE - Qty'!O27</f>
        <v>164.21577649518392</v>
      </c>
      <c r="P29" s="676">
        <f>$E29/1000*'BLIND-PVC-PRE - Qty'!P27</f>
        <v>166.15422455873488</v>
      </c>
      <c r="Q29" s="676">
        <f>$E29/1000*'BLIND-PVC-PRE - Qty'!Q27</f>
        <v>204.55671112060855</v>
      </c>
      <c r="R29" s="676">
        <v>1570.3763776808914</v>
      </c>
      <c r="S29" s="676">
        <v>0</v>
      </c>
      <c r="T29" s="676">
        <v>1570.3763776808914</v>
      </c>
    </row>
    <row r="30" spans="1:21" ht="18" customHeight="1">
      <c r="A30" s="1036"/>
      <c r="B30" s="66">
        <v>5180</v>
      </c>
      <c r="C30" s="44" t="s">
        <v>96</v>
      </c>
      <c r="D30" s="29"/>
      <c r="E30" s="662">
        <f>'[2]Falhas BLIND-PVC'!N28</f>
        <v>0.40350349000000002</v>
      </c>
      <c r="F30" s="54">
        <f>$E30/1000*'BLIND-PVC-PRE - Qty'!F28</f>
        <v>343.56985907670207</v>
      </c>
      <c r="G30" s="54">
        <f>$E30/1000*'BLIND-PVC-PRE - Qty'!G28</f>
        <v>359.56862554797164</v>
      </c>
      <c r="H30" s="54">
        <f>$E30/1000*'BLIND-PVC-PRE - Qty'!H28</f>
        <v>346.04328654725612</v>
      </c>
      <c r="I30" s="54">
        <f>$E30/1000*'BLIND-PVC-PRE - Qty'!I28</f>
        <v>348.28047415496621</v>
      </c>
      <c r="J30" s="54">
        <f>$E30/1000*'BLIND-PVC-PRE - Qty'!J28</f>
        <v>352.53519028118109</v>
      </c>
      <c r="K30" s="54">
        <f>$E30/1000*'BLIND-PVC-PRE - Qty'!K28</f>
        <v>400.82600387683624</v>
      </c>
      <c r="L30" s="54">
        <f>$E30/1000*'BLIND-PVC-PRE - Qty'!L28</f>
        <v>395.89579162707423</v>
      </c>
      <c r="M30" s="54">
        <f>$E30/1000*'BLIND-PVC-PRE - Qty'!M28</f>
        <v>396.10345061657955</v>
      </c>
      <c r="N30" s="54">
        <f>$E30/1000*'BLIND-PVC-PRE - Qty'!N28</f>
        <v>376.88099491973918</v>
      </c>
      <c r="O30" s="54">
        <f>$E30/1000*'BLIND-PVC-PRE - Qty'!O28</f>
        <v>292.28222147385668</v>
      </c>
      <c r="P30" s="54">
        <f>$E30/1000*'BLIND-PVC-PRE - Qty'!P28</f>
        <v>280.53794955693542</v>
      </c>
      <c r="Q30" s="54">
        <f>$E30/1000*'BLIND-PVC-PRE - Qty'!Q28</f>
        <v>355.6907049038179</v>
      </c>
      <c r="R30" s="54">
        <v>2164.4237943239436</v>
      </c>
      <c r="S30" s="54">
        <v>0</v>
      </c>
      <c r="T30" s="54">
        <v>2164.4237943239436</v>
      </c>
    </row>
    <row r="31" spans="1:21" ht="18" customHeight="1">
      <c r="A31" s="1036"/>
      <c r="B31" s="66">
        <v>5190</v>
      </c>
      <c r="C31" s="44" t="s">
        <v>119</v>
      </c>
      <c r="D31" s="29"/>
      <c r="E31" s="679">
        <f>'[2]Falhas BLIND-PVC'!N29</f>
        <v>0.52740282999999999</v>
      </c>
      <c r="F31" s="54">
        <f>$E31/1000*'BLIND-PVC-PRE - Qty'!F29</f>
        <v>349.61520011308926</v>
      </c>
      <c r="G31" s="54">
        <f>$E31/1000*'BLIND-PVC-PRE - Qty'!G29</f>
        <v>399.18164314925951</v>
      </c>
      <c r="H31" s="54">
        <f>$E31/1000*'BLIND-PVC-PRE - Qty'!H29</f>
        <v>361.55910703493038</v>
      </c>
      <c r="I31" s="54">
        <f>$E31/1000*'BLIND-PVC-PRE - Qty'!I29</f>
        <v>363.37702153657852</v>
      </c>
      <c r="J31" s="54">
        <f>$E31/1000*'BLIND-PVC-PRE - Qty'!J29</f>
        <v>392.29116770422519</v>
      </c>
      <c r="K31" s="54">
        <f>$E31/1000*'BLIND-PVC-PRE - Qty'!K29</f>
        <v>413.39077176978731</v>
      </c>
      <c r="L31" s="54">
        <f>$E31/1000*'BLIND-PVC-PRE - Qty'!L29</f>
        <v>403.35268068020156</v>
      </c>
      <c r="M31" s="54">
        <f>$E31/1000*'BLIND-PVC-PRE - Qty'!M29</f>
        <v>402.54584971370866</v>
      </c>
      <c r="N31" s="54">
        <f>$E31/1000*'BLIND-PVC-PRE - Qty'!N29</f>
        <v>402.06990781576928</v>
      </c>
      <c r="O31" s="54">
        <f>$E31/1000*'BLIND-PVC-PRE - Qty'!O29</f>
        <v>297.56694809527608</v>
      </c>
      <c r="P31" s="54">
        <f>$E31/1000*'BLIND-PVC-PRE - Qty'!P29</f>
        <v>310.79917459569896</v>
      </c>
      <c r="Q31" s="54">
        <f>$E31/1000*'BLIND-PVC-PRE - Qty'!Q29</f>
        <v>384.45878972165673</v>
      </c>
      <c r="R31" s="54">
        <v>2028.9184078430767</v>
      </c>
      <c r="S31" s="54">
        <v>0</v>
      </c>
      <c r="T31" s="54">
        <v>2028.9184078430767</v>
      </c>
    </row>
    <row r="32" spans="1:21" ht="18" customHeight="1" thickBot="1">
      <c r="A32" s="1037"/>
      <c r="B32" s="122"/>
      <c r="C32" s="123" t="s">
        <v>1</v>
      </c>
      <c r="D32" s="124"/>
      <c r="E32" s="124">
        <v>0</v>
      </c>
      <c r="F32" s="680">
        <f>SUBTOTAL(109,F29:F31)</f>
        <v>883.94377830728126</v>
      </c>
      <c r="G32" s="680">
        <f t="shared" ref="G32:R32" si="28">SUBTOTAL(109,G29:G31)</f>
        <v>862.84475477939827</v>
      </c>
      <c r="H32" s="680">
        <f t="shared" si="28"/>
        <v>811.21921207792639</v>
      </c>
      <c r="I32" s="680">
        <f t="shared" si="28"/>
        <v>816.3698995451274</v>
      </c>
      <c r="J32" s="680">
        <f t="shared" si="28"/>
        <v>933.9803990624132</v>
      </c>
      <c r="K32" s="680">
        <f t="shared" si="28"/>
        <v>1033.4118369889839</v>
      </c>
      <c r="L32" s="680">
        <f t="shared" si="28"/>
        <v>1020.0040406262815</v>
      </c>
      <c r="M32" s="680">
        <f t="shared" si="28"/>
        <v>1019.6575913014284</v>
      </c>
      <c r="N32" s="680">
        <f t="shared" si="28"/>
        <v>956.14703721775425</v>
      </c>
      <c r="O32" s="680">
        <f t="shared" si="28"/>
        <v>754.0649460643167</v>
      </c>
      <c r="P32" s="680">
        <f t="shared" si="28"/>
        <v>757.49134871136926</v>
      </c>
      <c r="Q32" s="680">
        <f t="shared" si="28"/>
        <v>944.70620574608324</v>
      </c>
      <c r="R32" s="680">
        <f t="shared" si="28"/>
        <v>5763.7185798479113</v>
      </c>
      <c r="S32" s="680">
        <v>0</v>
      </c>
      <c r="T32" s="680">
        <v>5761.8554298479112</v>
      </c>
    </row>
    <row r="33" spans="2:20">
      <c r="C33" s="671" t="s">
        <v>176</v>
      </c>
      <c r="D33" s="672"/>
      <c r="E33" s="672"/>
      <c r="F33" s="674">
        <f>F32</f>
        <v>883.94377830728126</v>
      </c>
      <c r="G33" s="674">
        <f t="shared" ref="G33:Q33" si="29">G32</f>
        <v>862.84475477939827</v>
      </c>
      <c r="H33" s="674">
        <f t="shared" si="29"/>
        <v>811.21921207792639</v>
      </c>
      <c r="I33" s="674">
        <f t="shared" si="29"/>
        <v>816.3698995451274</v>
      </c>
      <c r="J33" s="674">
        <f t="shared" si="29"/>
        <v>933.9803990624132</v>
      </c>
      <c r="K33" s="674">
        <f t="shared" si="29"/>
        <v>1033.4118369889839</v>
      </c>
      <c r="L33" s="674">
        <f t="shared" si="29"/>
        <v>1020.0040406262815</v>
      </c>
      <c r="M33" s="674">
        <f t="shared" si="29"/>
        <v>1019.6575913014284</v>
      </c>
      <c r="N33" s="674">
        <f t="shared" si="29"/>
        <v>956.14703721775425</v>
      </c>
      <c r="O33" s="674">
        <f t="shared" si="29"/>
        <v>754.0649460643167</v>
      </c>
      <c r="P33" s="674">
        <f t="shared" si="29"/>
        <v>757.49134871136926</v>
      </c>
      <c r="Q33" s="674">
        <f t="shared" si="29"/>
        <v>944.70620574608324</v>
      </c>
      <c r="R33" s="674">
        <v>4432.9510327550606</v>
      </c>
      <c r="S33" s="674">
        <v>0</v>
      </c>
      <c r="T33" s="674">
        <v>4432.9510327550606</v>
      </c>
    </row>
    <row r="35" spans="2:20">
      <c r="C35" s="544" t="s">
        <v>292</v>
      </c>
      <c r="D35" s="615"/>
      <c r="E35" s="691"/>
      <c r="F35" s="691"/>
      <c r="G35" s="691"/>
      <c r="H35" s="691"/>
      <c r="I35" s="691"/>
      <c r="J35" s="691"/>
      <c r="K35" s="691"/>
      <c r="L35" s="691"/>
      <c r="M35" s="691"/>
      <c r="N35" s="691"/>
      <c r="O35" s="691"/>
      <c r="P35" s="691"/>
      <c r="Q35" s="691"/>
    </row>
    <row r="36" spans="2:20">
      <c r="B36" s="1" t="s">
        <v>65</v>
      </c>
      <c r="C36" s="1059" t="s">
        <v>98</v>
      </c>
      <c r="D36" s="186" t="s">
        <v>134</v>
      </c>
      <c r="E36" s="186"/>
      <c r="F36" s="545">
        <f>'BLIND-PVC-PRE - Qty'!F33*'[34]Falhas BLIND-PVC'!$N6/1000</f>
        <v>49689.091847640819</v>
      </c>
      <c r="G36" s="545">
        <f>'BLIND-PVC-PRE - Qty'!G33*'[35]Falhas BLIND-PVC'!$N6/1000</f>
        <v>28099.673819118754</v>
      </c>
      <c r="H36" s="545">
        <f>'BLIND-PVC-PRE - Qty'!H33*'[7]Falhas BLIND-PVC'!$N6/1000</f>
        <v>27970.730357483557</v>
      </c>
      <c r="I36" s="545">
        <f>'BLIND-PVC-PRE - Qty'!I33*'[8]Falhas BLIND-PVC'!$N6/1000</f>
        <v>29365.435661945885</v>
      </c>
      <c r="J36" s="545">
        <f>'BLIND-PVC-PRE - Qty'!J33*'[9]Falhas BLIND-PVC'!$N6/1000</f>
        <v>53046.158993836056</v>
      </c>
      <c r="K36" s="545">
        <f>'BLIND-PVC-PRE - Qty'!K33*'[10]Falhas BLIND-PVC'!$N6/1000</f>
        <v>72256.500938804194</v>
      </c>
      <c r="L36" s="545">
        <f>'BLIND-PVC-PRE - Qty'!L33*'[11]Falhas BLIND-PVC'!$N6/1000</f>
        <v>72770.913869152413</v>
      </c>
      <c r="M36" s="545">
        <f>'BLIND-PVC-PRE - Qty'!M33*'[12]Falhas BLIND-PVC'!$N6/1000</f>
        <v>83843.229528632859</v>
      </c>
      <c r="N36" s="545">
        <f>'BLIND-PVC-PRE - Qty'!N33*'[2]Falhas BLIND-PVC'!$N6/1000</f>
        <v>67222.347676184902</v>
      </c>
      <c r="O36" s="545">
        <f>'BLIND-PVC-PRE - Qty'!O33*'[2]Falhas BLIND-PVC'!$N6/1000</f>
        <v>62298.029546349848</v>
      </c>
      <c r="P36" s="545">
        <f>'BLIND-PVC-PRE - Qty'!P33*'[2]Falhas BLIND-PVC'!$N6/1000</f>
        <v>63033.412572966066</v>
      </c>
      <c r="Q36" s="545">
        <f>'BLIND-PVC-PRE - Qty'!Q33*'[2]Falhas BLIND-PVC'!$N6/1000</f>
        <v>77602.044732100141</v>
      </c>
    </row>
    <row r="37" spans="2:20">
      <c r="C37" s="1060"/>
      <c r="D37" s="186" t="s">
        <v>135</v>
      </c>
      <c r="E37" s="186"/>
      <c r="F37" s="545">
        <f>'BLIND-PVC-PRE - Qty'!F34*'[34]Falhas BLIND-PVC'!$N7/1000</f>
        <v>48477.162778186168</v>
      </c>
      <c r="G37" s="545">
        <f>'BLIND-PVC-PRE - Qty'!G34*'[35]Falhas BLIND-PVC'!$N7/1000</f>
        <v>27414.315921091467</v>
      </c>
      <c r="H37" s="545">
        <f>'BLIND-PVC-PRE - Qty'!H34*'[7]Falhas BLIND-PVC'!$N7/1000</f>
        <v>27288.517421935176</v>
      </c>
      <c r="I37" s="545">
        <f>'BLIND-PVC-PRE - Qty'!I34*'[8]Falhas BLIND-PVC'!$N7/1000</f>
        <v>28649.205523849647</v>
      </c>
      <c r="J37" s="545">
        <f>'BLIND-PVC-PRE - Qty'!J34*'[9]Falhas BLIND-PVC'!$N7/1000</f>
        <v>51752.350237888837</v>
      </c>
      <c r="K37" s="545">
        <f>'BLIND-PVC-PRE - Qty'!K34*'[10]Falhas BLIND-PVC'!$N7/1000</f>
        <v>70494.147257369958</v>
      </c>
      <c r="L37" s="545">
        <f>'BLIND-PVC-PRE - Qty'!L34*'[11]Falhas BLIND-PVC'!$N7/1000</f>
        <v>70996.013530880387</v>
      </c>
      <c r="M37" s="545">
        <f>'BLIND-PVC-PRE - Qty'!M34*'[12]Falhas BLIND-PVC'!$N7/1000</f>
        <v>81798.272710861318</v>
      </c>
      <c r="N37" s="545">
        <f>'BLIND-PVC-PRE - Qty'!N34*'[2]Falhas BLIND-PVC'!$N7/1000</f>
        <v>65582.778220668202</v>
      </c>
      <c r="O37" s="545">
        <f>'BLIND-PVC-PRE - Qty'!O34*'[2]Falhas BLIND-PVC'!$N7/1000</f>
        <v>60778.565411073017</v>
      </c>
      <c r="P37" s="545">
        <f>'BLIND-PVC-PRE - Qty'!P34*'[2]Falhas BLIND-PVC'!$N7/1000</f>
        <v>61496.01226630836</v>
      </c>
      <c r="Q37" s="545">
        <f>'BLIND-PVC-PRE - Qty'!Q34*'[2]Falhas BLIND-PVC'!$N7/1000</f>
        <v>75709.311933756238</v>
      </c>
      <c r="R37" s="282"/>
    </row>
    <row r="38" spans="2:20">
      <c r="C38" s="1060"/>
      <c r="D38" s="186" t="s">
        <v>136</v>
      </c>
      <c r="E38" s="186"/>
      <c r="F38" s="545">
        <f>'BLIND-PVC-PRE - Qty'!F35*'[34]Falhas BLIND-PVC'!$N8/1000</f>
        <v>75139.60230618855</v>
      </c>
      <c r="G38" s="545">
        <f>'BLIND-PVC-PRE - Qty'!G35*'[35]Falhas BLIND-PVC'!$N8/1000</f>
        <v>42492.189677691778</v>
      </c>
      <c r="H38" s="545">
        <f>'BLIND-PVC-PRE - Qty'!H35*'[7]Falhas BLIND-PVC'!$N8/1000</f>
        <v>42297.202003999526</v>
      </c>
      <c r="I38" s="545">
        <f>'BLIND-PVC-PRE - Qty'!I35*'[8]Falhas BLIND-PVC'!$N8/1000</f>
        <v>44406.26856196695</v>
      </c>
      <c r="J38" s="545">
        <f>'BLIND-PVC-PRE - Qty'!J35*'[9]Falhas BLIND-PVC'!$N8/1000</f>
        <v>80216.142868727693</v>
      </c>
      <c r="K38" s="545">
        <f>'BLIND-PVC-PRE - Qty'!K35*'[10]Falhas BLIND-PVC'!$N8/1000</f>
        <v>109265.92824892342</v>
      </c>
      <c r="L38" s="545">
        <f>'BLIND-PVC-PRE - Qty'!L35*'[11]Falhas BLIND-PVC'!$N8/1000</f>
        <v>110043.82097286462</v>
      </c>
      <c r="M38" s="545">
        <f>'BLIND-PVC-PRE - Qty'!M35*'[12]Falhas BLIND-PVC'!$N8/1000</f>
        <v>126787.32270183504</v>
      </c>
      <c r="N38" s="545">
        <f>'BLIND-PVC-PRE - Qty'!N35*'[2]Falhas BLIND-PVC'!$N8/1000</f>
        <v>101653.30624203572</v>
      </c>
      <c r="O38" s="545">
        <f>'BLIND-PVC-PRE - Qty'!O35*'[2]Falhas BLIND-PVC'!$N8/1000</f>
        <v>94206.776387163161</v>
      </c>
      <c r="P38" s="545">
        <f>'BLIND-PVC-PRE - Qty'!P35*'[2]Falhas BLIND-PVC'!$N8/1000</f>
        <v>95318.819012777953</v>
      </c>
      <c r="Q38" s="545">
        <f>'BLIND-PVC-PRE - Qty'!Q35*'[2]Falhas BLIND-PVC'!$N8/1000</f>
        <v>117349.43349732216</v>
      </c>
      <c r="R38" s="282"/>
    </row>
    <row r="39" spans="2:20">
      <c r="C39" s="1061"/>
      <c r="D39" s="186" t="s">
        <v>204</v>
      </c>
      <c r="E39" s="186"/>
      <c r="F39" s="545">
        <f>'BLIND-PVC-PRE - Qty'!F36*'[34]Falhas BLIND-PVC'!$N9/1000</f>
        <v>177279.57941567193</v>
      </c>
      <c r="G39" s="545">
        <f>'BLIND-PVC-PRE - Qty'!G36*'[35]Falhas BLIND-PVC'!$N9/1000</f>
        <v>100253.35885883085</v>
      </c>
      <c r="H39" s="545">
        <f>'BLIND-PVC-PRE - Qty'!H36*'[7]Falhas BLIND-PVC'!$N9/1000</f>
        <v>99793.317393046353</v>
      </c>
      <c r="I39" s="545">
        <f>'BLIND-PVC-PRE - Qty'!I36*'[8]Falhas BLIND-PVC'!$N9/1000</f>
        <v>104769.31434911929</v>
      </c>
      <c r="J39" s="545">
        <f>'BLIND-PVC-PRE - Qty'!J36*'[9]Falhas BLIND-PVC'!$N9/1000</f>
        <v>189256.8450411438</v>
      </c>
      <c r="K39" s="545">
        <f>'BLIND-PVC-PRE - Qty'!K36*'[10]Falhas BLIND-PVC'!$N9/1000</f>
        <v>257795.05360566376</v>
      </c>
      <c r="L39" s="545">
        <f>'BLIND-PVC-PRE - Qty'!L36*'[11]Falhas BLIND-PVC'!$N9/1000</f>
        <v>259630.36402384852</v>
      </c>
      <c r="M39" s="545">
        <f>'BLIND-PVC-PRE - Qty'!M36*'[12]Falhas BLIND-PVC'!$N9/1000</f>
        <v>299133.91279646411</v>
      </c>
      <c r="N39" s="545">
        <f>'BLIND-PVC-PRE - Qty'!N36*'[2]Falhas BLIND-PVC'!$N9/1000</f>
        <v>239834.31936951261</v>
      </c>
      <c r="O39" s="545">
        <f>'BLIND-PVC-PRE - Qty'!O36*'[2]Falhas BLIND-PVC'!$N9/1000</f>
        <v>222265.45235051162</v>
      </c>
      <c r="P39" s="545">
        <f>'BLIND-PVC-PRE - Qty'!P36*'[2]Falhas BLIND-PVC'!$N9/1000</f>
        <v>224889.13470855693</v>
      </c>
      <c r="Q39" s="545">
        <f>'BLIND-PVC-PRE - Qty'!Q36*'[2]Falhas BLIND-PVC'!$N9/1000</f>
        <v>276866.75969216885</v>
      </c>
      <c r="R39" s="282"/>
    </row>
    <row r="40" spans="2:20">
      <c r="C40" s="1033" t="s">
        <v>137</v>
      </c>
      <c r="D40" s="544" t="s">
        <v>134</v>
      </c>
      <c r="E40" s="186"/>
      <c r="F40" s="685">
        <f>'BLIND-PVC-PRE - Qty'!F37*'[34]Falhas BLIND-PVC'!$N11/1000</f>
        <v>88282.808230947907</v>
      </c>
      <c r="G40" s="685">
        <f>'BLIND-PVC-PRE - Qty'!G37*'[35]Falhas BLIND-PVC'!$N11/1000</f>
        <v>97101.369628593297</v>
      </c>
      <c r="H40" s="685">
        <f>'BLIND-PVC-PRE - Qty'!H37*'[7]Falhas BLIND-PVC'!$N11/1000</f>
        <v>95381.732775733617</v>
      </c>
      <c r="I40" s="685">
        <f>'BLIND-PVC-PRE - Qty'!I37*'[8]Falhas BLIND-PVC'!$N11/1000</f>
        <v>110468.19205783708</v>
      </c>
      <c r="J40" s="685">
        <f>'BLIND-PVC-PRE - Qty'!J37*'[9]Falhas BLIND-PVC'!$N11/1000</f>
        <v>114032.96185685447</v>
      </c>
      <c r="K40" s="685">
        <f>'BLIND-PVC-PRE - Qty'!K37*'[10]Falhas BLIND-PVC'!$N11/1000</f>
        <v>136930.40161966576</v>
      </c>
      <c r="L40" s="685">
        <f>'BLIND-PVC-PRE - Qty'!L37*'[11]Falhas BLIND-PVC'!$N11/1000</f>
        <v>141189.30277542118</v>
      </c>
      <c r="M40" s="685">
        <f>'BLIND-PVC-PRE - Qty'!M37*'[12]Falhas BLIND-PVC'!$N11/1000</f>
        <v>150529.00461637246</v>
      </c>
      <c r="N40" s="685">
        <f>'BLIND-PVC-PRE - Qty'!N37*'[2]Falhas BLIND-PVC'!$N11/1000</f>
        <v>144145.007737812</v>
      </c>
      <c r="O40" s="685">
        <f>'BLIND-PVC-PRE - Qty'!O37*'[2]Falhas BLIND-PVC'!$N11/1000</f>
        <v>111788.66444286003</v>
      </c>
      <c r="P40" s="685">
        <f>'BLIND-PVC-PRE - Qty'!P37*'[2]Falhas BLIND-PVC'!$N11/1000</f>
        <v>107296.85352864797</v>
      </c>
      <c r="Q40" s="685">
        <f>'BLIND-PVC-PRE - Qty'!Q37*'[2]Falhas BLIND-PVC'!$N11/1000</f>
        <v>136040.39498342801</v>
      </c>
      <c r="R40" s="282"/>
    </row>
    <row r="41" spans="2:20">
      <c r="C41" s="1034"/>
      <c r="D41" s="544" t="s">
        <v>135</v>
      </c>
      <c r="E41" s="186"/>
      <c r="F41" s="685">
        <f>'BLIND-PVC-PRE - Qty'!F38*'[34]Falhas BLIND-PVC'!$N12/1000</f>
        <v>105939.36987713751</v>
      </c>
      <c r="G41" s="685">
        <f>'BLIND-PVC-PRE - Qty'!G38*'[35]Falhas BLIND-PVC'!$N12/1000</f>
        <v>116521.64355431196</v>
      </c>
      <c r="H41" s="685">
        <f>'BLIND-PVC-PRE - Qty'!H38*'[7]Falhas BLIND-PVC'!$N12/1000</f>
        <v>114458.07933088033</v>
      </c>
      <c r="I41" s="685">
        <f>'BLIND-PVC-PRE - Qty'!I38*'[8]Falhas BLIND-PVC'!$N12/1000</f>
        <v>132561.83046940449</v>
      </c>
      <c r="J41" s="685">
        <f>'BLIND-PVC-PRE - Qty'!J38*'[9]Falhas BLIND-PVC'!$N12/1000</f>
        <v>136839.55422822537</v>
      </c>
      <c r="K41" s="685">
        <f>'BLIND-PVC-PRE - Qty'!K38*'[10]Falhas BLIND-PVC'!$N12/1000</f>
        <v>164316.48194359892</v>
      </c>
      <c r="L41" s="685">
        <f>'BLIND-PVC-PRE - Qty'!L38*'[11]Falhas BLIND-PVC'!$N12/1000</f>
        <v>169427.16333050537</v>
      </c>
      <c r="M41" s="685">
        <f>'BLIND-PVC-PRE - Qty'!M38*'[12]Falhas BLIND-PVC'!$N12/1000</f>
        <v>180634.80553964691</v>
      </c>
      <c r="N41" s="685">
        <f>'BLIND-PVC-PRE - Qty'!N38*'[2]Falhas BLIND-PVC'!$N12/1000</f>
        <v>172974.0092853744</v>
      </c>
      <c r="O41" s="685">
        <f>'BLIND-PVC-PRE - Qty'!O38*'[2]Falhas BLIND-PVC'!$N12/1000</f>
        <v>134146.397331432</v>
      </c>
      <c r="P41" s="685">
        <f>'BLIND-PVC-PRE - Qty'!P38*'[2]Falhas BLIND-PVC'!$N12/1000</f>
        <v>128756.22423437756</v>
      </c>
      <c r="Q41" s="685">
        <f>'BLIND-PVC-PRE - Qty'!Q38*'[2]Falhas BLIND-PVC'!$N12/1000</f>
        <v>163248.4739801136</v>
      </c>
      <c r="R41" s="282"/>
    </row>
    <row r="42" spans="2:20">
      <c r="C42" s="1034"/>
      <c r="D42" s="544" t="s">
        <v>136</v>
      </c>
      <c r="E42" s="186"/>
      <c r="F42" s="685">
        <f>'BLIND-PVC-PRE - Qty'!F39*'[34]Falhas BLIND-PVC'!$N13/1000</f>
        <v>93579.776724804789</v>
      </c>
      <c r="G42" s="685">
        <f>'BLIND-PVC-PRE - Qty'!G39*'[35]Falhas BLIND-PVC'!$N13/1000</f>
        <v>102927.45180630889</v>
      </c>
      <c r="H42" s="685">
        <f>'BLIND-PVC-PRE - Qty'!H39*'[7]Falhas BLIND-PVC'!$N13/1000</f>
        <v>101104.63674227764</v>
      </c>
      <c r="I42" s="685">
        <f>'BLIND-PVC-PRE - Qty'!I39*'[8]Falhas BLIND-PVC'!$N13/1000</f>
        <v>117096.2835813073</v>
      </c>
      <c r="J42" s="685">
        <f>'BLIND-PVC-PRE - Qty'!J39*'[9]Falhas BLIND-PVC'!$N13/1000</f>
        <v>120874.93956826573</v>
      </c>
      <c r="K42" s="685">
        <f>'BLIND-PVC-PRE - Qty'!K39*'[10]Falhas BLIND-PVC'!$N13/1000</f>
        <v>145146.22571684571</v>
      </c>
      <c r="L42" s="685">
        <f>'BLIND-PVC-PRE - Qty'!L39*'[11]Falhas BLIND-PVC'!$N13/1000</f>
        <v>149660.66094194641</v>
      </c>
      <c r="M42" s="685">
        <f>'BLIND-PVC-PRE - Qty'!M39*'[12]Falhas BLIND-PVC'!$N13/1000</f>
        <v>159560.7448933548</v>
      </c>
      <c r="N42" s="685">
        <f>'BLIND-PVC-PRE - Qty'!N39*'[2]Falhas BLIND-PVC'!$N13/1000</f>
        <v>152793.70820208071</v>
      </c>
      <c r="O42" s="685">
        <f>'BLIND-PVC-PRE - Qty'!O39*'[2]Falhas BLIND-PVC'!$N13/1000</f>
        <v>118495.98430943162</v>
      </c>
      <c r="P42" s="685">
        <f>'BLIND-PVC-PRE - Qty'!P39*'[2]Falhas BLIND-PVC'!$N13/1000</f>
        <v>113734.66474036686</v>
      </c>
      <c r="Q42" s="685">
        <f>'BLIND-PVC-PRE - Qty'!Q39*'[2]Falhas BLIND-PVC'!$N13/1000</f>
        <v>144202.81868243366</v>
      </c>
      <c r="R42" s="282"/>
    </row>
    <row r="43" spans="2:20">
      <c r="C43" s="1034"/>
      <c r="D43" s="544" t="s">
        <v>138</v>
      </c>
      <c r="E43" s="186"/>
      <c r="F43" s="685">
        <f>'BLIND-PVC-PRE - Qty'!F40*'[34]Falhas BLIND-PVC'!$N14/1000</f>
        <v>109470.68220637542</v>
      </c>
      <c r="G43" s="685">
        <f>'BLIND-PVC-PRE - Qty'!G40*'[35]Falhas BLIND-PVC'!$N14/1000</f>
        <v>120405.69833945569</v>
      </c>
      <c r="H43" s="685">
        <f>'BLIND-PVC-PRE - Qty'!H40*'[7]Falhas BLIND-PVC'!$N14/1000</f>
        <v>118273.34864190967</v>
      </c>
      <c r="I43" s="685">
        <f>'BLIND-PVC-PRE - Qty'!I40*'[8]Falhas BLIND-PVC'!$N14/1000</f>
        <v>136980.55815171797</v>
      </c>
      <c r="J43" s="685">
        <f>'BLIND-PVC-PRE - Qty'!J40*'[9]Falhas BLIND-PVC'!$N14/1000</f>
        <v>141400.87270249953</v>
      </c>
      <c r="K43" s="685">
        <f>'BLIND-PVC-PRE - Qty'!K40*'[10]Falhas BLIND-PVC'!$N14/1000</f>
        <v>169793.69800838555</v>
      </c>
      <c r="L43" s="685">
        <f>'BLIND-PVC-PRE - Qty'!L40*'[11]Falhas BLIND-PVC'!$N14/1000</f>
        <v>175074.73544152224</v>
      </c>
      <c r="M43" s="685">
        <f>'BLIND-PVC-PRE - Qty'!M40*'[12]Falhas BLIND-PVC'!$N14/1000</f>
        <v>186655.96572430184</v>
      </c>
      <c r="N43" s="685">
        <f>'BLIND-PVC-PRE - Qty'!N40*'[2]Falhas BLIND-PVC'!$N14/1000</f>
        <v>178739.80959488687</v>
      </c>
      <c r="O43" s="685">
        <f>'BLIND-PVC-PRE - Qty'!O40*'[2]Falhas BLIND-PVC'!$N14/1000</f>
        <v>138617.94390914642</v>
      </c>
      <c r="P43" s="685">
        <f>'BLIND-PVC-PRE - Qty'!P40*'[2]Falhas BLIND-PVC'!$N14/1000</f>
        <v>133048.09837552349</v>
      </c>
      <c r="Q43" s="685">
        <f>'BLIND-PVC-PRE - Qty'!Q40*'[2]Falhas BLIND-PVC'!$N14/1000</f>
        <v>168690.0897794507</v>
      </c>
      <c r="R43" s="282"/>
    </row>
    <row r="44" spans="2:20">
      <c r="C44" s="1034"/>
      <c r="D44" s="544" t="s">
        <v>139</v>
      </c>
      <c r="E44" s="186"/>
      <c r="F44" s="685">
        <f>'BLIND-PVC-PRE - Qty'!F41*'[34]Falhas BLIND-PVC'!$N15/1000</f>
        <v>176565.61646189581</v>
      </c>
      <c r="G44" s="685">
        <f>'BLIND-PVC-PRE - Qty'!G41*'[35]Falhas BLIND-PVC'!$N15/1000</f>
        <v>194202.73925718659</v>
      </c>
      <c r="H44" s="685">
        <f>'BLIND-PVC-PRE - Qty'!H41*'[7]Falhas BLIND-PVC'!$N15/1000</f>
        <v>190763.46555146723</v>
      </c>
      <c r="I44" s="685">
        <f>'BLIND-PVC-PRE - Qty'!I41*'[8]Falhas BLIND-PVC'!$N15/1000</f>
        <v>220936.38411567415</v>
      </c>
      <c r="J44" s="685">
        <f>'BLIND-PVC-PRE - Qty'!J41*'[9]Falhas BLIND-PVC'!$N15/1000</f>
        <v>228065.92371370894</v>
      </c>
      <c r="K44" s="685">
        <f>'BLIND-PVC-PRE - Qty'!K41*'[10]Falhas BLIND-PVC'!$N15/1000</f>
        <v>273860.80323933152</v>
      </c>
      <c r="L44" s="685">
        <f>'BLIND-PVC-PRE - Qty'!L41*'[11]Falhas BLIND-PVC'!$N15/1000</f>
        <v>282378.60555084236</v>
      </c>
      <c r="M44" s="685">
        <f>'BLIND-PVC-PRE - Qty'!M41*'[12]Falhas BLIND-PVC'!$N15/1000</f>
        <v>301058.00923274492</v>
      </c>
      <c r="N44" s="685">
        <f>'BLIND-PVC-PRE - Qty'!N41*'[2]Falhas BLIND-PVC'!$N15/1000</f>
        <v>288290.01547562401</v>
      </c>
      <c r="O44" s="685">
        <f>'BLIND-PVC-PRE - Qty'!O41*'[2]Falhas BLIND-PVC'!$N15/1000</f>
        <v>223577.32888572005</v>
      </c>
      <c r="P44" s="685">
        <f>'BLIND-PVC-PRE - Qty'!P41*'[2]Falhas BLIND-PVC'!$N15/1000</f>
        <v>214593.70705729595</v>
      </c>
      <c r="Q44" s="685">
        <f>'BLIND-PVC-PRE - Qty'!Q41*'[2]Falhas BLIND-PVC'!$N15/1000</f>
        <v>272080.78996685601</v>
      </c>
      <c r="R44" s="282"/>
    </row>
    <row r="45" spans="2:20">
      <c r="C45" s="1034"/>
      <c r="D45" s="686" t="s">
        <v>83</v>
      </c>
      <c r="E45" s="186"/>
      <c r="F45" s="687">
        <f>SUBTOTAL(109,F40:F44)</f>
        <v>573838.25350116147</v>
      </c>
      <c r="G45" s="687">
        <f t="shared" ref="G45:M45" si="30">SUBTOTAL(109,G40:G44)</f>
        <v>631158.90258585638</v>
      </c>
      <c r="H45" s="687">
        <f t="shared" si="30"/>
        <v>619981.26304226846</v>
      </c>
      <c r="I45" s="687">
        <f t="shared" si="30"/>
        <v>718043.24837594107</v>
      </c>
      <c r="J45" s="687">
        <f t="shared" si="30"/>
        <v>741214.25206955406</v>
      </c>
      <c r="K45" s="687">
        <f t="shared" si="30"/>
        <v>890047.6105278274</v>
      </c>
      <c r="L45" s="687">
        <f t="shared" si="30"/>
        <v>917730.46804023755</v>
      </c>
      <c r="M45" s="687">
        <f t="shared" si="30"/>
        <v>978438.53000642103</v>
      </c>
      <c r="N45" s="687">
        <f t="shared" ref="N45:Q45" si="31">SUBTOTAL(109,N40:N44)</f>
        <v>936942.55029577797</v>
      </c>
      <c r="O45" s="687">
        <f t="shared" si="31"/>
        <v>726626.31887859013</v>
      </c>
      <c r="P45" s="687">
        <f t="shared" si="31"/>
        <v>697429.54793621181</v>
      </c>
      <c r="Q45" s="687">
        <f t="shared" si="31"/>
        <v>884262.56739228196</v>
      </c>
      <c r="R45" s="282"/>
    </row>
    <row r="46" spans="2:20">
      <c r="C46" s="1033" t="s">
        <v>140</v>
      </c>
      <c r="D46" s="544" t="s">
        <v>134</v>
      </c>
      <c r="E46" s="186"/>
      <c r="F46" s="685">
        <f>'BLIND-PVC-PRE - Qty'!F43*'[34]Falhas BLIND-PVC'!$N$17/1000</f>
        <v>143459.56337529037</v>
      </c>
      <c r="G46" s="685">
        <f>'BLIND-PVC-PRE - Qty'!G43*'[35]Falhas BLIND-PVC'!$N$17/1000</f>
        <v>157789.7256464641</v>
      </c>
      <c r="H46" s="685">
        <f>'BLIND-PVC-PRE - Qty'!H43*'[7]Falhas BLIND-PVC'!$N$17/1000</f>
        <v>154995.31576056711</v>
      </c>
      <c r="I46" s="685">
        <f>'BLIND-PVC-PRE - Qty'!I43*'[8]Falhas BLIND-PVC'!$N$17/1000</f>
        <v>179510.81209398524</v>
      </c>
      <c r="J46" s="685">
        <f>'BLIND-PVC-PRE - Qty'!J43*'[9]Falhas BLIND-PVC'!$N$17/1000</f>
        <v>185303.56301738854</v>
      </c>
      <c r="K46" s="685">
        <f>'BLIND-PVC-PRE - Qty'!K43*'[10]Falhas BLIND-PVC'!$N$17/1000</f>
        <v>222511.90263195688</v>
      </c>
      <c r="L46" s="685">
        <f>'BLIND-PVC-PRE - Qty'!L43*'[11]Falhas BLIND-PVC'!$N$17/1000</f>
        <v>229432.61701005942</v>
      </c>
      <c r="M46" s="685">
        <f>'BLIND-PVC-PRE - Qty'!M43*'[12]Falhas BLIND-PVC'!$N$17/1000</f>
        <v>244609.63250160517</v>
      </c>
      <c r="N46" s="685">
        <f>'BLIND-PVC-PRE - Qty'!N43*'[2]Falhas BLIND-PVC'!$N$17/1000</f>
        <v>234235.63757394449</v>
      </c>
      <c r="O46" s="685">
        <f>'BLIND-PVC-PRE - Qty'!O43*'[2]Falhas BLIND-PVC'!$N$17/1000</f>
        <v>181656.57971964756</v>
      </c>
      <c r="P46" s="685">
        <f>'BLIND-PVC-PRE - Qty'!P43*'[2]Falhas BLIND-PVC'!$N$17/1000</f>
        <v>174357.38698405295</v>
      </c>
      <c r="Q46" s="685">
        <f>'BLIND-PVC-PRE - Qty'!Q43*'[2]Falhas BLIND-PVC'!$N$17/1000</f>
        <v>221065.64184807043</v>
      </c>
      <c r="R46" s="282"/>
    </row>
    <row r="47" spans="2:20">
      <c r="C47" s="1034"/>
      <c r="D47" s="544" t="s">
        <v>135</v>
      </c>
      <c r="E47" s="186"/>
      <c r="F47" s="685">
        <f>'BLIND-PVC-PRE - Qty'!F44*'[34]Falhas BLIND-PVC'!$N$17/1000</f>
        <v>143459.56337529037</v>
      </c>
      <c r="G47" s="685">
        <f>'BLIND-PVC-PRE - Qty'!G44*'[35]Falhas BLIND-PVC'!$N$17/1000</f>
        <v>157789.7256464641</v>
      </c>
      <c r="H47" s="685">
        <f>'BLIND-PVC-PRE - Qty'!H44*'[7]Falhas BLIND-PVC'!$N$17/1000</f>
        <v>154995.31576056711</v>
      </c>
      <c r="I47" s="685">
        <f>'BLIND-PVC-PRE - Qty'!I44*'[8]Falhas BLIND-PVC'!$N$17/1000</f>
        <v>179510.81209398524</v>
      </c>
      <c r="J47" s="685">
        <f>'BLIND-PVC-PRE - Qty'!J44*'[9]Falhas BLIND-PVC'!$N$17/1000</f>
        <v>185303.56301738854</v>
      </c>
      <c r="K47" s="685">
        <f>'BLIND-PVC-PRE - Qty'!K44*'[10]Falhas BLIND-PVC'!$N$17/1000</f>
        <v>222511.90263195688</v>
      </c>
      <c r="L47" s="685">
        <f>'BLIND-PVC-PRE - Qty'!L44*'[11]Falhas BLIND-PVC'!$N$17/1000</f>
        <v>229432.61701005942</v>
      </c>
      <c r="M47" s="685">
        <f>'BLIND-PVC-PRE - Qty'!M44*'[12]Falhas BLIND-PVC'!$N$17/1000</f>
        <v>244609.63250160517</v>
      </c>
      <c r="N47" s="685">
        <f>'BLIND-PVC-PRE - Qty'!N44*'[2]Falhas BLIND-PVC'!$N$17/1000</f>
        <v>234235.63757394449</v>
      </c>
      <c r="O47" s="685">
        <f>'BLIND-PVC-PRE - Qty'!O44*'[2]Falhas BLIND-PVC'!$N$17/1000</f>
        <v>181656.57971964756</v>
      </c>
      <c r="P47" s="685">
        <f>'BLIND-PVC-PRE - Qty'!P44*'[2]Falhas BLIND-PVC'!$N$17/1000</f>
        <v>174357.38698405295</v>
      </c>
      <c r="Q47" s="685">
        <f>'BLIND-PVC-PRE - Qty'!Q44*'[2]Falhas BLIND-PVC'!$N$17/1000</f>
        <v>221065.64184807043</v>
      </c>
      <c r="R47" s="282"/>
    </row>
    <row r="48" spans="2:20">
      <c r="C48" s="1034"/>
      <c r="D48" s="544" t="s">
        <v>136</v>
      </c>
      <c r="E48" s="186"/>
      <c r="F48" s="685">
        <f>'BLIND-PVC-PRE - Qty'!F45*'[34]Falhas BLIND-PVC'!$N$17/1000</f>
        <v>143459.56337529037</v>
      </c>
      <c r="G48" s="685">
        <f>'BLIND-PVC-PRE - Qty'!G45*'[35]Falhas BLIND-PVC'!$N$17/1000</f>
        <v>157789.7256464641</v>
      </c>
      <c r="H48" s="685">
        <f>'BLIND-PVC-PRE - Qty'!H45*'[7]Falhas BLIND-PVC'!$N$17/1000</f>
        <v>154995.31576056711</v>
      </c>
      <c r="I48" s="685">
        <f>'BLIND-PVC-PRE - Qty'!I45*'[8]Falhas BLIND-PVC'!$N$17/1000</f>
        <v>179510.81209398524</v>
      </c>
      <c r="J48" s="685">
        <f>'BLIND-PVC-PRE - Qty'!J45*'[9]Falhas BLIND-PVC'!$N$17/1000</f>
        <v>185303.56301738854</v>
      </c>
      <c r="K48" s="685">
        <f>'BLIND-PVC-PRE - Qty'!K45*'[10]Falhas BLIND-PVC'!$N$17/1000</f>
        <v>222511.90263195688</v>
      </c>
      <c r="L48" s="685">
        <f>'BLIND-PVC-PRE - Qty'!L45*'[11]Falhas BLIND-PVC'!$N$17/1000</f>
        <v>229432.61701005942</v>
      </c>
      <c r="M48" s="685">
        <f>'BLIND-PVC-PRE - Qty'!M45*'[12]Falhas BLIND-PVC'!$N$17/1000</f>
        <v>244609.63250160517</v>
      </c>
      <c r="N48" s="685">
        <f>'BLIND-PVC-PRE - Qty'!N45*'[2]Falhas BLIND-PVC'!$N$17/1000</f>
        <v>234235.63757394449</v>
      </c>
      <c r="O48" s="685">
        <f>'BLIND-PVC-PRE - Qty'!O45*'[2]Falhas BLIND-PVC'!$N$17/1000</f>
        <v>181656.57971964756</v>
      </c>
      <c r="P48" s="685">
        <f>'BLIND-PVC-PRE - Qty'!P45*'[2]Falhas BLIND-PVC'!$N$17/1000</f>
        <v>174357.38698405295</v>
      </c>
      <c r="Q48" s="685">
        <f>'BLIND-PVC-PRE - Qty'!Q45*'[2]Falhas BLIND-PVC'!$N$17/1000</f>
        <v>221065.64184807043</v>
      </c>
      <c r="R48" s="681"/>
    </row>
    <row r="49" spans="3:26">
      <c r="C49" s="1034"/>
      <c r="D49" s="544" t="s">
        <v>138</v>
      </c>
      <c r="E49" s="186"/>
      <c r="F49" s="685">
        <f>'BLIND-PVC-PRE - Qty'!F46*'[34]Falhas BLIND-PVC'!$N$17/1000</f>
        <v>143459.56337529037</v>
      </c>
      <c r="G49" s="685">
        <f>'BLIND-PVC-PRE - Qty'!G46*'[35]Falhas BLIND-PVC'!$N$17/1000</f>
        <v>157789.7256464641</v>
      </c>
      <c r="H49" s="685">
        <f>'BLIND-PVC-PRE - Qty'!H46*'[7]Falhas BLIND-PVC'!$N$17/1000</f>
        <v>154995.31576056711</v>
      </c>
      <c r="I49" s="685">
        <f>'BLIND-PVC-PRE - Qty'!I46*'[8]Falhas BLIND-PVC'!$N$17/1000</f>
        <v>179510.81209398524</v>
      </c>
      <c r="J49" s="685">
        <f>'BLIND-PVC-PRE - Qty'!J46*'[9]Falhas BLIND-PVC'!$N$17/1000</f>
        <v>185303.56301738854</v>
      </c>
      <c r="K49" s="685">
        <f>'BLIND-PVC-PRE - Qty'!K46*'[10]Falhas BLIND-PVC'!$N$17/1000</f>
        <v>222511.90263195688</v>
      </c>
      <c r="L49" s="685">
        <f>'BLIND-PVC-PRE - Qty'!L46*'[11]Falhas BLIND-PVC'!$N$17/1000</f>
        <v>229432.61701005942</v>
      </c>
      <c r="M49" s="685">
        <f>'BLIND-PVC-PRE - Qty'!M46*'[12]Falhas BLIND-PVC'!$N$17/1000</f>
        <v>244609.63250160517</v>
      </c>
      <c r="N49" s="685">
        <f>'BLIND-PVC-PRE - Qty'!N46*'[2]Falhas BLIND-PVC'!$N$17/1000</f>
        <v>234235.63757394449</v>
      </c>
      <c r="O49" s="685">
        <f>'BLIND-PVC-PRE - Qty'!O46*'[2]Falhas BLIND-PVC'!$N$17/1000</f>
        <v>181656.57971964756</v>
      </c>
      <c r="P49" s="685">
        <f>'BLIND-PVC-PRE - Qty'!P46*'[2]Falhas BLIND-PVC'!$N$17/1000</f>
        <v>174357.38698405295</v>
      </c>
      <c r="Q49" s="685">
        <f>'BLIND-PVC-PRE - Qty'!Q46*'[2]Falhas BLIND-PVC'!$N$17/1000</f>
        <v>221065.64184807043</v>
      </c>
    </row>
    <row r="50" spans="3:26">
      <c r="C50" s="1034"/>
      <c r="D50" s="688" t="s">
        <v>83</v>
      </c>
      <c r="E50" s="186"/>
      <c r="F50" s="689">
        <f>SUBTOTAL(109,F46:F49)</f>
        <v>573838.25350116147</v>
      </c>
      <c r="G50" s="689">
        <f t="shared" ref="G50:M50" si="32">SUBTOTAL(109,G46:G49)</f>
        <v>631158.90258585638</v>
      </c>
      <c r="H50" s="689">
        <f t="shared" si="32"/>
        <v>619981.26304226846</v>
      </c>
      <c r="I50" s="689">
        <f t="shared" si="32"/>
        <v>718043.24837594095</v>
      </c>
      <c r="J50" s="689">
        <f t="shared" si="32"/>
        <v>741214.25206955418</v>
      </c>
      <c r="K50" s="689">
        <f t="shared" si="32"/>
        <v>890047.61052782752</v>
      </c>
      <c r="L50" s="689">
        <f t="shared" si="32"/>
        <v>917730.46804023767</v>
      </c>
      <c r="M50" s="689">
        <f t="shared" si="32"/>
        <v>978438.53000642068</v>
      </c>
      <c r="N50" s="689">
        <f t="shared" ref="N50:Q50" si="33">SUBTOTAL(109,N46:N49)</f>
        <v>936942.55029577797</v>
      </c>
      <c r="O50" s="689">
        <f t="shared" si="33"/>
        <v>726626.31887859025</v>
      </c>
      <c r="P50" s="689">
        <f t="shared" si="33"/>
        <v>697429.54793621181</v>
      </c>
      <c r="Q50" s="689">
        <f t="shared" si="33"/>
        <v>884262.56739228172</v>
      </c>
    </row>
    <row r="51" spans="3:26">
      <c r="C51" s="186"/>
      <c r="D51" s="186"/>
      <c r="E51" s="186"/>
      <c r="F51" s="690">
        <f t="shared" ref="F51" si="34">F45</f>
        <v>573838.25350116147</v>
      </c>
      <c r="G51" s="690">
        <f t="shared" ref="G51:M51" si="35">G45</f>
        <v>631158.90258585638</v>
      </c>
      <c r="H51" s="690">
        <f t="shared" si="35"/>
        <v>619981.26304226846</v>
      </c>
      <c r="I51" s="690">
        <f t="shared" si="35"/>
        <v>718043.24837594107</v>
      </c>
      <c r="J51" s="690">
        <f t="shared" si="35"/>
        <v>741214.25206955406</v>
      </c>
      <c r="K51" s="690">
        <f t="shared" si="35"/>
        <v>890047.6105278274</v>
      </c>
      <c r="L51" s="690">
        <f t="shared" si="35"/>
        <v>917730.46804023755</v>
      </c>
      <c r="M51" s="690">
        <f t="shared" si="35"/>
        <v>978438.53000642103</v>
      </c>
      <c r="N51" s="690">
        <f t="shared" ref="N51:Q51" si="36">N45</f>
        <v>936942.55029577797</v>
      </c>
      <c r="O51" s="690">
        <f t="shared" si="36"/>
        <v>726626.31887859013</v>
      </c>
      <c r="P51" s="690">
        <f t="shared" si="36"/>
        <v>697429.54793621181</v>
      </c>
      <c r="Q51" s="690">
        <f t="shared" si="36"/>
        <v>884262.56739228196</v>
      </c>
    </row>
    <row r="52" spans="3:26">
      <c r="C52" s="186" t="s">
        <v>89</v>
      </c>
      <c r="D52" s="544" t="s">
        <v>98</v>
      </c>
      <c r="E52" s="186"/>
      <c r="F52" s="460">
        <f>'BLIND-PVC-PRE - Qty'!F49*'[34]Falhas BLIND-PVC'!$N23</f>
        <v>15882.569974331504</v>
      </c>
      <c r="G52" s="460">
        <f>'BLIND-PVC-PRE - Qty'!G49*'[35]Falhas BLIND-PVC'!$N23</f>
        <v>8834.7732864972004</v>
      </c>
      <c r="H52" s="460">
        <f>'BLIND-PVC-PRE - Qty'!H49*'[7]Falhas BLIND-PVC'!$N23</f>
        <v>8794.2323799494516</v>
      </c>
      <c r="I52" s="460">
        <f>'BLIND-PVC-PRE - Qty'!I49*'[8]Falhas BLIND-PVC'!$N23</f>
        <v>8937.2511923534767</v>
      </c>
      <c r="J52" s="460">
        <f>'BLIND-PVC-PRE - Qty'!J49*'[9]Falhas BLIND-PVC'!$N23</f>
        <v>16144.383252988599</v>
      </c>
      <c r="K52" s="460">
        <f>'BLIND-PVC-PRE - Qty'!K49*'[10]Falhas BLIND-PVC'!$N23</f>
        <v>18852.409427579998</v>
      </c>
      <c r="L52" s="460">
        <f>'BLIND-PVC-PRE - Qty'!L49*'[11]Falhas BLIND-PVC'!$N23</f>
        <v>18841.58794536355</v>
      </c>
      <c r="M52" s="460">
        <f>'BLIND-PVC-PRE - Qty'!M49*'[12]Falhas BLIND-PVC'!$N23</f>
        <v>18533.151676376998</v>
      </c>
      <c r="N52" s="460">
        <f>'BLIND-PVC-PRE - Qty'!N49*'[2]Falhas BLIND-PVC'!$N23</f>
        <v>14859.183890327398</v>
      </c>
      <c r="O52" s="460">
        <f>'BLIND-PVC-PRE - Qty'!O49*'[2]Falhas BLIND-PVC'!$N23</f>
        <v>13770.686520700199</v>
      </c>
      <c r="P52" s="460">
        <f>'BLIND-PVC-PRE - Qty'!P49*'[2]Falhas BLIND-PVC'!$N23</f>
        <v>13933.2394811376</v>
      </c>
      <c r="Q52" s="460">
        <f>'BLIND-PVC-PRE - Qty'!Q49*'[2]Falhas BLIND-PVC'!$N23</f>
        <v>17153.567121670199</v>
      </c>
    </row>
    <row r="53" spans="3:26">
      <c r="C53" s="186"/>
      <c r="D53" s="544" t="s">
        <v>96</v>
      </c>
      <c r="E53" s="186"/>
      <c r="F53" s="460">
        <f>'BLIND-PVC-PRE - Qty'!F50*'[34]Falhas BLIND-PVC'!$N24</f>
        <v>50078.551532428799</v>
      </c>
      <c r="G53" s="460">
        <f>'BLIND-PVC-PRE - Qty'!G50*'[35]Falhas BLIND-PVC'!$N24</f>
        <v>53425.647737459192</v>
      </c>
      <c r="H53" s="460">
        <f>'BLIND-PVC-PRE - Qty'!H50*'[7]Falhas BLIND-PVC'!$N24</f>
        <v>51416.017459287053</v>
      </c>
      <c r="I53" s="460">
        <f>'BLIND-PVC-PRE - Qty'!I50*'[8]Falhas BLIND-PVC'!$N24</f>
        <v>52039.759905912324</v>
      </c>
      <c r="J53" s="460">
        <f>'BLIND-PVC-PRE - Qty'!J50*'[9]Falhas BLIND-PVC'!$N24</f>
        <v>52675.49582023039</v>
      </c>
      <c r="K53" s="460">
        <f>'BLIND-PVC-PRE - Qty'!K50*'[10]Falhas BLIND-PVC'!$N24</f>
        <v>60352.089311232005</v>
      </c>
      <c r="L53" s="460">
        <f>'BLIND-PVC-PRE - Qty'!L50*'[11]Falhas BLIND-PVC'!$N24</f>
        <v>59154.398460096003</v>
      </c>
      <c r="M53" s="460">
        <f>'BLIND-PVC-PRE - Qty'!M50*'[12]Falhas BLIND-PVC'!$N24</f>
        <v>58149.992345702398</v>
      </c>
      <c r="N53" s="460">
        <f>'BLIND-PVC-PRE - Qty'!N50*'[2]Falhas BLIND-PVC'!$N24</f>
        <v>55328.038510417922</v>
      </c>
      <c r="O53" s="460">
        <f>'BLIND-PVC-PRE - Qty'!O50*'[2]Falhas BLIND-PVC'!$N24</f>
        <v>42908.510175897609</v>
      </c>
      <c r="P53" s="460">
        <f>'BLIND-PVC-PRE - Qty'!P50*'[2]Falhas BLIND-PVC'!$N24</f>
        <v>41184.391587655671</v>
      </c>
      <c r="Q53" s="460">
        <f>'BLIND-PVC-PRE - Qty'!Q50*'[2]Falhas BLIND-PVC'!$N24</f>
        <v>52217.196632340478</v>
      </c>
    </row>
    <row r="54" spans="3:26">
      <c r="C54" s="186" t="s">
        <v>177</v>
      </c>
      <c r="D54" s="544" t="s">
        <v>98</v>
      </c>
      <c r="E54" s="186"/>
      <c r="F54" s="545">
        <f>'BLIND-PVC-PRE - Qty'!F51*'[34]Falhas BLIND-PVC'!$N27</f>
        <v>1958214.1104363492</v>
      </c>
      <c r="G54" s="545">
        <f>'BLIND-PVC-PRE - Qty'!G51*'[35]Falhas BLIND-PVC'!$N27</f>
        <v>1071825.8744318378</v>
      </c>
      <c r="H54" s="545">
        <f>'BLIND-PVC-PRE - Qty'!H51*'[7]Falhas BLIND-PVC'!$N27</f>
        <v>1066815.7574219008</v>
      </c>
      <c r="I54" s="545">
        <f>'BLIND-PVC-PRE - Qty'!I51*'[8]Falhas BLIND-PVC'!$N27</f>
        <v>1126117.0045260894</v>
      </c>
      <c r="J54" s="545">
        <f>'BLIND-PVC-PRE - Qty'!J51*'[9]Falhas BLIND-PVC'!$N27</f>
        <v>2033873.3378080274</v>
      </c>
      <c r="K54" s="545">
        <f>'BLIND-PVC-PRE - Qty'!K51*'[10]Falhas BLIND-PVC'!$N27</f>
        <v>2419331.7402083944</v>
      </c>
      <c r="L54" s="545">
        <f>'BLIND-PVC-PRE - Qty'!L51*'[11]Falhas BLIND-PVC'!$N27</f>
        <v>2462211.8230388393</v>
      </c>
      <c r="M54" s="545">
        <f>'BLIND-PVC-PRE - Qty'!M51*'[12]Falhas BLIND-PVC'!$N27</f>
        <v>2465807.8760874588</v>
      </c>
      <c r="N54" s="545">
        <f>'BLIND-PVC-PRE - Qty'!N51*'[2]Falhas BLIND-PVC'!$N27</f>
        <v>1978131.5615514684</v>
      </c>
      <c r="O54" s="545">
        <f>'BLIND-PVC-PRE - Qty'!O51*'[2]Falhas BLIND-PVC'!$N27</f>
        <v>1833225.1509829217</v>
      </c>
      <c r="P54" s="545">
        <f>'BLIND-PVC-PRE - Qty'!P51*'[2]Falhas BLIND-PVC'!$N27</f>
        <v>1854865.0434452638</v>
      </c>
      <c r="Q54" s="545">
        <f>'BLIND-PVC-PRE - Qty'!Q51*'[2]Falhas BLIND-PVC'!$N27</f>
        <v>2283571.7470765994</v>
      </c>
    </row>
    <row r="55" spans="3:26">
      <c r="C55" s="186"/>
      <c r="D55" s="544" t="s">
        <v>96</v>
      </c>
      <c r="E55" s="186"/>
      <c r="F55" s="545">
        <f>'BLIND-PVC-PRE - Qty'!F52*'[34]Falhas BLIND-PVC'!$N28</f>
        <v>5216076.2258149786</v>
      </c>
      <c r="G55" s="545">
        <f>'BLIND-PVC-PRE - Qty'!G52*'[35]Falhas BLIND-PVC'!$N28</f>
        <v>5469249.9238492241</v>
      </c>
      <c r="H55" s="545">
        <f>'BLIND-PVC-PRE - Qty'!H52*'[7]Falhas BLIND-PVC'!$N28</f>
        <v>5257867.9849824822</v>
      </c>
      <c r="I55" s="545">
        <f>'BLIND-PVC-PRE - Qty'!I52*'[8]Falhas BLIND-PVC'!$N28</f>
        <v>5530846.3226404283</v>
      </c>
      <c r="J55" s="545">
        <f>'BLIND-PVC-PRE - Qty'!J52*'[9]Falhas BLIND-PVC'!$N28</f>
        <v>5598417.8281265832</v>
      </c>
      <c r="K55" s="545">
        <f>'BLIND-PVC-PRE - Qty'!K52*'[10]Falhas BLIND-PVC'!$N28</f>
        <v>6537199.0250281906</v>
      </c>
      <c r="L55" s="545">
        <f>'BLIND-PVC-PRE - Qty'!L52*'[11]Falhas BLIND-PVC'!$N28</f>
        <v>6524705.3774331743</v>
      </c>
      <c r="M55" s="545">
        <f>'BLIND-PVC-PRE - Qty'!M52*'[12]Falhas BLIND-PVC'!$N28</f>
        <v>6528146.3828136697</v>
      </c>
      <c r="N55" s="545">
        <f>'BLIND-PVC-PRE - Qty'!N52*'[2]Falhas BLIND-PVC'!$N28</f>
        <v>6211342.7689325241</v>
      </c>
      <c r="O55" s="545">
        <f>'BLIND-PVC-PRE - Qty'!O52*'[2]Falhas BLIND-PVC'!$N28</f>
        <v>4817077.7707318375</v>
      </c>
      <c r="P55" s="545">
        <f>'BLIND-PVC-PRE - Qty'!P52*'[2]Falhas BLIND-PVC'!$N28</f>
        <v>4623521.4507505633</v>
      </c>
      <c r="Q55" s="545">
        <f>'BLIND-PVC-PRE - Qty'!Q52*'[2]Falhas BLIND-PVC'!$N28</f>
        <v>5862107.4494651528</v>
      </c>
    </row>
    <row r="56" spans="3:26">
      <c r="C56" s="189"/>
      <c r="D56" s="546" t="s">
        <v>119</v>
      </c>
      <c r="E56" s="189"/>
      <c r="F56" s="545">
        <f>'BLIND-PVC-PRE - Qty'!F53*'[34]Falhas BLIND-PVC'!$N29</f>
        <v>4717603.707572747</v>
      </c>
      <c r="G56" s="545">
        <f>'BLIND-PVC-PRE - Qty'!G53*'[35]Falhas BLIND-PVC'!$N29</f>
        <v>5655421.9487287905</v>
      </c>
      <c r="H56" s="545">
        <f>'BLIND-PVC-PRE - Qty'!H53*'[7]Falhas BLIND-PVC'!$N29</f>
        <v>4965418.5759134162</v>
      </c>
      <c r="I56" s="545">
        <f>'BLIND-PVC-PRE - Qty'!I53*'[8]Falhas BLIND-PVC'!$N29</f>
        <v>5203481.8504186049</v>
      </c>
      <c r="J56" s="545">
        <f>'BLIND-PVC-PRE - Qty'!J53*'[9]Falhas BLIND-PVC'!$N29</f>
        <v>5630801.5922872042</v>
      </c>
      <c r="K56" s="545">
        <f>'BLIND-PVC-PRE - Qty'!K53*'[10]Falhas BLIND-PVC'!$N29</f>
        <v>5989602.1709920615</v>
      </c>
      <c r="L56" s="545">
        <f>'BLIND-PVC-PRE - Qty'!L53*'[11]Falhas BLIND-PVC'!$N29</f>
        <v>5911256.2589997416</v>
      </c>
      <c r="M56" s="545">
        <f>'BLIND-PVC-PRE - Qty'!M53*'[12]Falhas BLIND-PVC'!$N29</f>
        <v>5910791.8456646921</v>
      </c>
      <c r="N56" s="545">
        <f>'BLIND-PVC-PRE - Qty'!N53*'[2]Falhas BLIND-PVC'!$N29</f>
        <v>5978620.7188703651</v>
      </c>
      <c r="O56" s="545">
        <f>'BLIND-PVC-PRE - Qty'!O53*'[2]Falhas BLIND-PVC'!$N29</f>
        <v>4424702.9846078558</v>
      </c>
      <c r="P56" s="545">
        <f>'BLIND-PVC-PRE - Qty'!P53*'[2]Falhas BLIND-PVC'!$N29</f>
        <v>4621460.9661787199</v>
      </c>
      <c r="Q56" s="545">
        <f>'BLIND-PVC-PRE - Qty'!Q53*'[2]Falhas BLIND-PVC'!$N29</f>
        <v>5716750.3488844112</v>
      </c>
    </row>
    <row r="58" spans="3:26">
      <c r="E58" s="1" t="s">
        <v>302</v>
      </c>
      <c r="F58" s="665">
        <f>F21+F16</f>
        <v>917.00451218012199</v>
      </c>
      <c r="G58" s="665">
        <f t="shared" ref="G58:M58" si="37">G21+G16</f>
        <v>959.70599095039734</v>
      </c>
      <c r="H58" s="665">
        <f t="shared" si="37"/>
        <v>923.60620930554398</v>
      </c>
      <c r="I58" s="665">
        <f t="shared" si="37"/>
        <v>929.57737085148631</v>
      </c>
      <c r="J58" s="665">
        <f t="shared" si="37"/>
        <v>940.93341324784092</v>
      </c>
      <c r="K58" s="665">
        <f t="shared" si="37"/>
        <v>1069.8239221040872</v>
      </c>
      <c r="L58" s="665">
        <f t="shared" si="37"/>
        <v>1056.6649479985381</v>
      </c>
      <c r="M58" s="665">
        <f t="shared" si="37"/>
        <v>1057.2191998496255</v>
      </c>
      <c r="N58" s="665">
        <f t="shared" ref="N58:Q58" si="38">N21+N16</f>
        <v>1005.9135391710213</v>
      </c>
      <c r="O58" s="665">
        <f t="shared" si="38"/>
        <v>780.11533561714407</v>
      </c>
      <c r="P58" s="665">
        <f t="shared" si="38"/>
        <v>748.76930785723289</v>
      </c>
      <c r="Q58" s="665">
        <f t="shared" si="38"/>
        <v>949.35563385527269</v>
      </c>
      <c r="Z58" s="665"/>
    </row>
    <row r="59" spans="3:26">
      <c r="C59" s="535"/>
      <c r="D59" s="693" t="s">
        <v>309</v>
      </c>
      <c r="E59" s="692" t="s">
        <v>308</v>
      </c>
      <c r="F59" s="658"/>
      <c r="G59" s="658"/>
      <c r="H59" s="658"/>
      <c r="I59" s="658"/>
      <c r="J59" s="658"/>
      <c r="K59" s="658"/>
      <c r="L59" s="658"/>
      <c r="M59" s="658"/>
      <c r="N59" s="658"/>
      <c r="O59" s="658"/>
      <c r="P59" s="658"/>
      <c r="Q59" s="658"/>
      <c r="R59" s="682"/>
    </row>
    <row r="60" spans="3:26" ht="13.5" thickBot="1">
      <c r="E60" s="694" t="s">
        <v>294</v>
      </c>
      <c r="F60" s="695" cm="1">
        <f t="array" aca="1" ref="F60" ca="1">OFFSET(F5,,,,COUNTA(BLD_UM1Qloss))</f>
        <v>44287</v>
      </c>
      <c r="G60" s="695"/>
      <c r="H60" s="695"/>
      <c r="I60" s="695"/>
      <c r="J60" s="695"/>
      <c r="K60" s="695"/>
      <c r="L60" s="695"/>
      <c r="M60" s="695"/>
      <c r="N60" s="695"/>
      <c r="O60" s="695"/>
      <c r="P60" s="695"/>
      <c r="Q60" s="695"/>
      <c r="R60" s="682" t="s">
        <v>55</v>
      </c>
      <c r="S60" s="1" t="s">
        <v>54</v>
      </c>
      <c r="T60" s="1" t="s">
        <v>1</v>
      </c>
      <c r="U60" s="1" t="s">
        <v>298</v>
      </c>
      <c r="V60" s="1" t="s">
        <v>312</v>
      </c>
      <c r="W60" s="1" t="s">
        <v>299</v>
      </c>
    </row>
    <row r="61" spans="3:26" ht="13.5" thickBot="1">
      <c r="D61" s="1054" t="s">
        <v>65</v>
      </c>
      <c r="E61" s="245" t="s">
        <v>293</v>
      </c>
      <c r="F61" s="457" cm="1">
        <f t="array" aca="1" ref="F61:Q61" ca="1">OFFSET($F$10,0,0,,COUNTA(F10:Q10))</f>
        <v>149.93155807225128</v>
      </c>
      <c r="G61" s="457">
        <f ca="1"/>
        <v>81.815649409016402</v>
      </c>
      <c r="H61" s="457">
        <f ca="1"/>
        <v>81.440214693345354</v>
      </c>
      <c r="I61" s="457">
        <f ca="1"/>
        <v>82.301317244580972</v>
      </c>
      <c r="J61" s="457">
        <f ca="1"/>
        <v>148.67032146966241</v>
      </c>
      <c r="K61" s="457">
        <f ca="1"/>
        <v>172.28180824888744</v>
      </c>
      <c r="L61" s="457">
        <f ca="1"/>
        <v>173.50832750563995</v>
      </c>
      <c r="M61" s="457">
        <f ca="1"/>
        <v>173.70696115745932</v>
      </c>
      <c r="N61" s="457">
        <f ca="1"/>
        <v>139.27170747534873</v>
      </c>
      <c r="O61" s="457">
        <f ca="1"/>
        <v>129.06947238832706</v>
      </c>
      <c r="P61" s="457">
        <f ca="1"/>
        <v>130.59304383897896</v>
      </c>
      <c r="Q61" s="457">
        <f ca="1"/>
        <v>160.77643294280369</v>
      </c>
      <c r="R61" s="457">
        <f ca="1">SUM(F61:K61)</f>
        <v>716.4408691377439</v>
      </c>
      <c r="S61" s="457">
        <f ca="1">SUM(L61:Q61)</f>
        <v>906.92594530855774</v>
      </c>
      <c r="T61" s="457">
        <f ca="1">R61+S61</f>
        <v>1623.3668144463018</v>
      </c>
      <c r="U61" s="698">
        <f ca="1">COUNTA(F61:Q61)+0.3</f>
        <v>12.3</v>
      </c>
      <c r="V61" s="701" cm="1">
        <f t="array" aca="1" ref="V61" ca="1">INDEX(F61:Q61,1,COUNTA(F61:Q61))</f>
        <v>160.77643294280369</v>
      </c>
      <c r="W61" s="266">
        <f ca="1">SUM($V$61:V61)-V61/2</f>
        <v>80.388216471401847</v>
      </c>
    </row>
    <row r="62" spans="3:26">
      <c r="D62" s="1055"/>
      <c r="E62" s="186" t="s">
        <v>295</v>
      </c>
      <c r="F62" s="460" cm="1">
        <f t="array" aca="1" ref="F62:Q62" ca="1">OFFSET(F58,0,0,,COUNTA(F58:Q58))</f>
        <v>917.00451218012199</v>
      </c>
      <c r="G62" s="460">
        <f ca="1"/>
        <v>959.70599095039734</v>
      </c>
      <c r="H62" s="460">
        <f ca="1"/>
        <v>923.60620930554398</v>
      </c>
      <c r="I62" s="460">
        <f ca="1"/>
        <v>929.57737085148631</v>
      </c>
      <c r="J62" s="460">
        <f ca="1"/>
        <v>940.93341324784092</v>
      </c>
      <c r="K62" s="460">
        <f ca="1"/>
        <v>1069.8239221040872</v>
      </c>
      <c r="L62" s="460">
        <f ca="1"/>
        <v>1056.6649479985381</v>
      </c>
      <c r="M62" s="460">
        <f ca="1"/>
        <v>1057.2191998496255</v>
      </c>
      <c r="N62" s="460">
        <f ca="1"/>
        <v>1005.9135391710213</v>
      </c>
      <c r="O62" s="460">
        <f ca="1"/>
        <v>780.11533561714407</v>
      </c>
      <c r="P62" s="460">
        <f ca="1"/>
        <v>748.76930785723289</v>
      </c>
      <c r="Q62" s="460">
        <f ca="1"/>
        <v>949.35563385527269</v>
      </c>
      <c r="R62" s="460">
        <f t="shared" ref="R62:R73" ca="1" si="39">SUM(F62:K62)</f>
        <v>5740.6514186394779</v>
      </c>
      <c r="S62" s="460">
        <f t="shared" ref="S62:S73" ca="1" si="40">SUM(L62:Q62)</f>
        <v>5598.037964348835</v>
      </c>
      <c r="T62" s="460">
        <f t="shared" ref="T62:T73" ca="1" si="41">R62+S62</f>
        <v>11338.689382988312</v>
      </c>
      <c r="U62" s="699">
        <f ca="1">U61</f>
        <v>12.3</v>
      </c>
      <c r="V62" s="702" cm="1">
        <f t="array" aca="1" ref="V62" ca="1">INDEX(F62:Q62,1,COUNTA(F62:Q62))</f>
        <v>949.35563385527269</v>
      </c>
      <c r="W62" s="266">
        <f ca="1">SUM($V$61:V62)-V62/2</f>
        <v>635.45424987043998</v>
      </c>
    </row>
    <row r="63" spans="3:26">
      <c r="D63" s="1055"/>
      <c r="E63" s="186" t="s">
        <v>301</v>
      </c>
      <c r="F63" s="460" cm="1">
        <f t="array" aca="1" ref="F63:Q63" ca="1">OFFSET(F22,,,,COUNTA(F22:Q22))</f>
        <v>1066.9360702523732</v>
      </c>
      <c r="G63" s="460">
        <f ca="1"/>
        <v>1041.5216403594136</v>
      </c>
      <c r="H63" s="460">
        <f ca="1"/>
        <v>1005.0464239988894</v>
      </c>
      <c r="I63" s="460">
        <f ca="1"/>
        <v>1011.8786880960672</v>
      </c>
      <c r="J63" s="460">
        <f ca="1"/>
        <v>1089.6037347175034</v>
      </c>
      <c r="K63" s="460">
        <f ca="1"/>
        <v>1242.1057303529747</v>
      </c>
      <c r="L63" s="460">
        <f ca="1"/>
        <v>1230.1732755041778</v>
      </c>
      <c r="M63" s="460">
        <f ca="1"/>
        <v>1230.9261610070848</v>
      </c>
      <c r="N63" s="460">
        <f ca="1"/>
        <v>1145.1852466463699</v>
      </c>
      <c r="O63" s="460">
        <f ca="1"/>
        <v>909.18480800547115</v>
      </c>
      <c r="P63" s="460">
        <f ca="1"/>
        <v>879.36235169621182</v>
      </c>
      <c r="Q63" s="460">
        <f ca="1"/>
        <v>1110.1320667980763</v>
      </c>
      <c r="R63" s="460">
        <f t="shared" ca="1" si="39"/>
        <v>6457.0922877772209</v>
      </c>
      <c r="S63" s="460">
        <f t="shared" ca="1" si="40"/>
        <v>6504.9639096573919</v>
      </c>
      <c r="T63" s="460">
        <f t="shared" ca="1" si="41"/>
        <v>12962.056197434613</v>
      </c>
      <c r="U63" s="699">
        <f ca="1">U62</f>
        <v>12.3</v>
      </c>
      <c r="V63" s="702" cm="1">
        <f t="array" aca="1" ref="V63" ca="1">INDEX(F63:Q63,1,COUNTA(F63:Q63))</f>
        <v>1110.1320667980763</v>
      </c>
      <c r="W63" s="258"/>
    </row>
    <row r="64" spans="3:26" ht="13.5" thickBot="1">
      <c r="D64" s="1056"/>
      <c r="E64" s="253" t="s">
        <v>304</v>
      </c>
      <c r="F64" s="471" cm="1">
        <f t="array" aca="1" ref="F64:Q64" ca="1">OFFSET(F23,0,0,,COUNTA(F23:Q23))</f>
        <v>1066.9360702523732</v>
      </c>
      <c r="G64" s="471">
        <f ca="1"/>
        <v>1041.5216403594136</v>
      </c>
      <c r="H64" s="471">
        <f ca="1"/>
        <v>1005.0464239988894</v>
      </c>
      <c r="I64" s="471">
        <f ca="1"/>
        <v>1011.8786880960672</v>
      </c>
      <c r="J64" s="471">
        <f ca="1"/>
        <v>1089.6037347175034</v>
      </c>
      <c r="K64" s="471">
        <f ca="1"/>
        <v>1242.1057303529747</v>
      </c>
      <c r="L64" s="471">
        <f ca="1"/>
        <v>1230.1732755041778</v>
      </c>
      <c r="M64" s="471">
        <f ca="1"/>
        <v>1230.9261610070848</v>
      </c>
      <c r="N64" s="471">
        <f ca="1"/>
        <v>1145.1852466463699</v>
      </c>
      <c r="O64" s="471">
        <f ca="1"/>
        <v>909.18480800547115</v>
      </c>
      <c r="P64" s="471">
        <f ca="1"/>
        <v>879.36235169621182</v>
      </c>
      <c r="Q64" s="471">
        <f ca="1"/>
        <v>1110.1320667980763</v>
      </c>
      <c r="R64" s="471">
        <f t="shared" ca="1" si="39"/>
        <v>6457.0922877772209</v>
      </c>
      <c r="S64" s="471">
        <f t="shared" ca="1" si="40"/>
        <v>6504.9639096573919</v>
      </c>
      <c r="T64" s="471">
        <f t="shared" ca="1" si="41"/>
        <v>12962.056197434613</v>
      </c>
      <c r="U64" s="700">
        <f ca="1">U63</f>
        <v>12.3</v>
      </c>
      <c r="V64" s="703" cm="1">
        <f t="array" aca="1" ref="V64" ca="1">INDEX(F64:Q64,1,COUNTA(F64:Q64))</f>
        <v>1110.1320667980763</v>
      </c>
      <c r="W64" s="696"/>
    </row>
    <row r="65" spans="4:23" ht="13.5" thickBot="1">
      <c r="D65" s="1054" t="s">
        <v>89</v>
      </c>
      <c r="E65" s="245" t="s">
        <v>296</v>
      </c>
      <c r="F65" s="457" cm="1">
        <f t="array" aca="1" ref="F65:Q65" ca="1">OFFSET(F24,,,,COUNTA(F24:Q24))</f>
        <v>606.33614900591988</v>
      </c>
      <c r="G65" s="457">
        <f ca="1"/>
        <v>330.86954093530943</v>
      </c>
      <c r="H65" s="457">
        <f ca="1"/>
        <v>329.3512505724932</v>
      </c>
      <c r="I65" s="457">
        <f ca="1"/>
        <v>332.83362354005601</v>
      </c>
      <c r="J65" s="457">
        <f ca="1"/>
        <v>601.23559943229009</v>
      </c>
      <c r="K65" s="457">
        <f ca="1"/>
        <v>696.7224879172378</v>
      </c>
      <c r="L65" s="457">
        <f ca="1"/>
        <v>701.68263755072951</v>
      </c>
      <c r="M65" s="457">
        <f ca="1"/>
        <v>702.48592916628832</v>
      </c>
      <c r="N65" s="457">
        <f ca="1"/>
        <v>563.22679402416452</v>
      </c>
      <c r="O65" s="457">
        <f ca="1"/>
        <v>521.96807562322033</v>
      </c>
      <c r="P65" s="457">
        <f ca="1"/>
        <v>528.12952994278714</v>
      </c>
      <c r="Q65" s="457">
        <f ca="1"/>
        <v>650.19375810441954</v>
      </c>
      <c r="R65" s="457">
        <f t="shared" ca="1" si="39"/>
        <v>2897.3486514033066</v>
      </c>
      <c r="S65" s="457">
        <f t="shared" ca="1" si="40"/>
        <v>3667.6867244116088</v>
      </c>
      <c r="T65" s="457">
        <f t="shared" ca="1" si="41"/>
        <v>6565.0353758149158</v>
      </c>
      <c r="U65" s="698">
        <f t="shared" ref="U65:U69" ca="1" si="42">COUNTA(F65:Q65)+0.3</f>
        <v>12.3</v>
      </c>
      <c r="V65" s="701" cm="1">
        <f t="array" aca="1" ref="V65" ca="1">INDEX(F65:Q65,1,COUNTA(F65:Q65))</f>
        <v>650.19375810441954</v>
      </c>
      <c r="W65" s="266">
        <f ca="1">SUM($V$65:V65)-V65/2</f>
        <v>325.09687905220977</v>
      </c>
    </row>
    <row r="66" spans="4:23" ht="13.5" thickBot="1">
      <c r="D66" s="1055"/>
      <c r="E66" s="186" t="s">
        <v>297</v>
      </c>
      <c r="F66" s="460" cm="1">
        <f t="array" aca="1" ref="F66:Q66" ca="1">OFFSET(F25,,,,COUNTA(F25:Q25))</f>
        <v>1592.4503170380212</v>
      </c>
      <c r="G66" s="460">
        <f ca="1"/>
        <v>1666.6047868388853</v>
      </c>
      <c r="H66" s="460">
        <f ca="1"/>
        <v>1603.9146823063813</v>
      </c>
      <c r="I66" s="460">
        <f ca="1"/>
        <v>1614.2840730461439</v>
      </c>
      <c r="J66" s="460">
        <f ca="1"/>
        <v>1634.0047320769033</v>
      </c>
      <c r="K66" s="460">
        <f ca="1"/>
        <v>1857.8332181585563</v>
      </c>
      <c r="L66" s="460">
        <f ca="1"/>
        <v>1834.9816266909661</v>
      </c>
      <c r="M66" s="460">
        <f ca="1"/>
        <v>1835.9441285372059</v>
      </c>
      <c r="N66" s="460">
        <f ca="1"/>
        <v>1746.8478214544327</v>
      </c>
      <c r="O66" s="460">
        <f ca="1"/>
        <v>1354.7315166162741</v>
      </c>
      <c r="P66" s="460">
        <f ca="1"/>
        <v>1300.2966788579752</v>
      </c>
      <c r="Q66" s="460">
        <f ca="1"/>
        <v>1648.6305792764801</v>
      </c>
      <c r="R66" s="460">
        <f t="shared" ca="1" si="39"/>
        <v>9969.0918094648914</v>
      </c>
      <c r="S66" s="460">
        <f t="shared" ca="1" si="40"/>
        <v>9721.4323514333337</v>
      </c>
      <c r="T66" s="460">
        <f t="shared" ca="1" si="41"/>
        <v>19690.524160898225</v>
      </c>
      <c r="U66" s="699">
        <f ca="1">U65</f>
        <v>12.3</v>
      </c>
      <c r="V66" s="702" cm="1">
        <f t="array" aca="1" ref="V66" ca="1">INDEX(F66:Q66,1,COUNTA(F66:Q66))</f>
        <v>1648.6305792764801</v>
      </c>
      <c r="W66" s="266">
        <f ca="1">SUM($V$65:V66)-V66/2</f>
        <v>1474.5090477426595</v>
      </c>
    </row>
    <row r="67" spans="4:23">
      <c r="D67" s="1055"/>
      <c r="E67" s="186" t="s">
        <v>303</v>
      </c>
      <c r="F67" s="460" cm="1">
        <f t="array" aca="1" ref="F67:Q67" ca="1">OFFSET(F27,,,,COUNTA(F27:Q27))</f>
        <v>2198.7864660439409</v>
      </c>
      <c r="G67" s="460">
        <f ca="1"/>
        <v>1997.4743277741948</v>
      </c>
      <c r="H67" s="460">
        <f ca="1"/>
        <v>1933.2659328788745</v>
      </c>
      <c r="I67" s="460">
        <f ca="1"/>
        <v>1947.1176965862001</v>
      </c>
      <c r="J67" s="460">
        <f ca="1"/>
        <v>2235.2403315091933</v>
      </c>
      <c r="K67" s="460">
        <f ca="1"/>
        <v>2554.5557060757942</v>
      </c>
      <c r="L67" s="460">
        <f ca="1"/>
        <v>2536.6642642416955</v>
      </c>
      <c r="M67" s="460">
        <f ca="1"/>
        <v>2538.4300577034942</v>
      </c>
      <c r="N67" s="460">
        <f ca="1"/>
        <v>2310.0746154785975</v>
      </c>
      <c r="O67" s="460">
        <f ca="1"/>
        <v>1876.6995922394945</v>
      </c>
      <c r="P67" s="460">
        <f ca="1"/>
        <v>1828.4262088007622</v>
      </c>
      <c r="Q67" s="460">
        <f ca="1"/>
        <v>2298.8243373808996</v>
      </c>
      <c r="R67" s="460">
        <f t="shared" ca="1" si="39"/>
        <v>12866.440460868196</v>
      </c>
      <c r="S67" s="460">
        <f t="shared" ca="1" si="40"/>
        <v>13389.119075844943</v>
      </c>
      <c r="T67" s="460">
        <f t="shared" ca="1" si="41"/>
        <v>26255.559536713139</v>
      </c>
      <c r="U67" s="699">
        <f ca="1">U66</f>
        <v>12.3</v>
      </c>
      <c r="V67" s="702" cm="1">
        <f t="array" aca="1" ref="V67" ca="1">INDEX(F67:Q67,1,COUNTA(F67:Q67))</f>
        <v>2298.8243373808996</v>
      </c>
      <c r="W67" s="266"/>
    </row>
    <row r="68" spans="4:23" ht="13.5" thickBot="1">
      <c r="D68" s="1056"/>
      <c r="E68" s="253" t="s">
        <v>305</v>
      </c>
      <c r="F68" s="471" cm="1">
        <f t="array" aca="1" ref="F68:Q68" ca="1">OFFSET(F28,,,,COUNTA(F28:Q28))</f>
        <v>2198.7864660439409</v>
      </c>
      <c r="G68" s="471">
        <f ca="1"/>
        <v>1997.4743277741948</v>
      </c>
      <c r="H68" s="471">
        <f ca="1"/>
        <v>1933.2659328788745</v>
      </c>
      <c r="I68" s="471">
        <f ca="1"/>
        <v>1947.1176965862001</v>
      </c>
      <c r="J68" s="471">
        <f ca="1"/>
        <v>2235.2403315091933</v>
      </c>
      <c r="K68" s="471">
        <f ca="1"/>
        <v>2554.5557060757942</v>
      </c>
      <c r="L68" s="471">
        <f ca="1"/>
        <v>2536.6642642416955</v>
      </c>
      <c r="M68" s="471">
        <f ca="1"/>
        <v>2538.4300577034942</v>
      </c>
      <c r="N68" s="471">
        <f ca="1"/>
        <v>2310.0746154785975</v>
      </c>
      <c r="O68" s="471">
        <f ca="1"/>
        <v>1876.6995922394945</v>
      </c>
      <c r="P68" s="471">
        <f ca="1"/>
        <v>1828.4262088007622</v>
      </c>
      <c r="Q68" s="471">
        <f ca="1"/>
        <v>2298.8243373808996</v>
      </c>
      <c r="R68" s="471">
        <f t="shared" ca="1" si="39"/>
        <v>12866.440460868196</v>
      </c>
      <c r="S68" s="471">
        <f t="shared" ca="1" si="40"/>
        <v>13389.119075844943</v>
      </c>
      <c r="T68" s="471">
        <f t="shared" ca="1" si="41"/>
        <v>26255.559536713139</v>
      </c>
      <c r="U68" s="700">
        <f ca="1">U67</f>
        <v>12.3</v>
      </c>
      <c r="V68" s="703" cm="1">
        <f t="array" aca="1" ref="V68" ca="1">INDEX(F68:Q68,1,COUNTA(F68:Q68))</f>
        <v>2298.8243373808996</v>
      </c>
      <c r="W68" s="696"/>
    </row>
    <row r="69" spans="4:23" ht="13.5" thickBot="1">
      <c r="D69" s="1054" t="s">
        <v>199</v>
      </c>
      <c r="E69" s="245" t="s">
        <v>300</v>
      </c>
      <c r="F69" s="457" cm="1">
        <f t="array" aca="1" ref="F69:Q69" ca="1">OFFSET(F29,,,,COUNTA(F29:Q29))</f>
        <v>190.75871911748999</v>
      </c>
      <c r="G69" s="457">
        <f ca="1"/>
        <v>104.09448608216714</v>
      </c>
      <c r="H69" s="457">
        <f ca="1"/>
        <v>103.61681849573986</v>
      </c>
      <c r="I69" s="457">
        <f ca="1"/>
        <v>104.71240385358266</v>
      </c>
      <c r="J69" s="457">
        <f ca="1"/>
        <v>189.15404107700692</v>
      </c>
      <c r="K69" s="457">
        <f ca="1"/>
        <v>219.19506134236039</v>
      </c>
      <c r="L69" s="457">
        <f ca="1"/>
        <v>220.75556831900568</v>
      </c>
      <c r="M69" s="457">
        <f ca="1"/>
        <v>221.00829097114021</v>
      </c>
      <c r="N69" s="457">
        <f ca="1"/>
        <v>177.19613448224578</v>
      </c>
      <c r="O69" s="457">
        <f ca="1"/>
        <v>164.21577649518392</v>
      </c>
      <c r="P69" s="457">
        <f ca="1"/>
        <v>166.15422455873488</v>
      </c>
      <c r="Q69" s="457">
        <f ca="1"/>
        <v>204.55671112060855</v>
      </c>
      <c r="R69" s="457">
        <f t="shared" ca="1" si="39"/>
        <v>911.53152996834694</v>
      </c>
      <c r="S69" s="457">
        <f t="shared" ca="1" si="40"/>
        <v>1153.8867059469192</v>
      </c>
      <c r="T69" s="457">
        <f t="shared" ca="1" si="41"/>
        <v>2065.418235915266</v>
      </c>
      <c r="U69" s="698">
        <f t="shared" ca="1" si="42"/>
        <v>12.3</v>
      </c>
      <c r="V69" s="701" cm="1">
        <f t="array" aca="1" ref="V69" ca="1">INDEX(F69:Q69,1,COUNTA(F69:Q69))</f>
        <v>204.55671112060855</v>
      </c>
      <c r="W69" s="266">
        <f ca="1">SUM($V$69:V69)-V69/2</f>
        <v>102.27835556030428</v>
      </c>
    </row>
    <row r="70" spans="4:23" ht="13.5" thickBot="1">
      <c r="D70" s="1055"/>
      <c r="E70" s="186" t="s">
        <v>306</v>
      </c>
      <c r="F70" s="460" cm="1">
        <f t="array" aca="1" ref="F70:Q70" ca="1">OFFSET(F30,,,,COUNTA(F30:Q30))</f>
        <v>343.56985907670207</v>
      </c>
      <c r="G70" s="460">
        <f ca="1"/>
        <v>359.56862554797164</v>
      </c>
      <c r="H70" s="460">
        <f ca="1"/>
        <v>346.04328654725612</v>
      </c>
      <c r="I70" s="460">
        <f ca="1"/>
        <v>348.28047415496621</v>
      </c>
      <c r="J70" s="460">
        <f ca="1"/>
        <v>352.53519028118109</v>
      </c>
      <c r="K70" s="460">
        <f ca="1"/>
        <v>400.82600387683624</v>
      </c>
      <c r="L70" s="460">
        <f ca="1"/>
        <v>395.89579162707423</v>
      </c>
      <c r="M70" s="460">
        <f ca="1"/>
        <v>396.10345061657955</v>
      </c>
      <c r="N70" s="460">
        <f ca="1"/>
        <v>376.88099491973918</v>
      </c>
      <c r="O70" s="460">
        <f ca="1"/>
        <v>292.28222147385668</v>
      </c>
      <c r="P70" s="460">
        <f ca="1"/>
        <v>280.53794955693542</v>
      </c>
      <c r="Q70" s="460">
        <f ca="1"/>
        <v>355.6907049038179</v>
      </c>
      <c r="R70" s="460">
        <f t="shared" ca="1" si="39"/>
        <v>2150.8234394849133</v>
      </c>
      <c r="S70" s="460">
        <f t="shared" ca="1" si="40"/>
        <v>2097.3911130980027</v>
      </c>
      <c r="T70" s="460">
        <f t="shared" ca="1" si="41"/>
        <v>4248.2145525829164</v>
      </c>
      <c r="U70" s="699">
        <f ca="1">U69</f>
        <v>12.3</v>
      </c>
      <c r="V70" s="702" cm="1">
        <f t="array" aca="1" ref="V70" ca="1">INDEX(F70:Q70,1,COUNTA(F70:Q70))</f>
        <v>355.6907049038179</v>
      </c>
      <c r="W70" s="266">
        <f ca="1">SUM($V$69:V70)-V70/2</f>
        <v>382.40206357251748</v>
      </c>
    </row>
    <row r="71" spans="4:23">
      <c r="D71" s="1055"/>
      <c r="E71" s="186" t="s">
        <v>307</v>
      </c>
      <c r="F71" s="460" cm="1">
        <f t="array" aca="1" ref="F71:Q71" ca="1">OFFSET(F31,,,,COUNTA(F31:Q31))</f>
        <v>349.61520011308926</v>
      </c>
      <c r="G71" s="460">
        <f ca="1"/>
        <v>399.18164314925951</v>
      </c>
      <c r="H71" s="460">
        <f ca="1"/>
        <v>361.55910703493038</v>
      </c>
      <c r="I71" s="460">
        <f ca="1"/>
        <v>363.37702153657852</v>
      </c>
      <c r="J71" s="460">
        <f ca="1"/>
        <v>392.29116770422519</v>
      </c>
      <c r="K71" s="460">
        <f ca="1"/>
        <v>413.39077176978731</v>
      </c>
      <c r="L71" s="460">
        <f ca="1"/>
        <v>403.35268068020156</v>
      </c>
      <c r="M71" s="460">
        <f ca="1"/>
        <v>402.54584971370866</v>
      </c>
      <c r="N71" s="460">
        <f ca="1"/>
        <v>402.06990781576928</v>
      </c>
      <c r="O71" s="460">
        <f ca="1"/>
        <v>297.56694809527608</v>
      </c>
      <c r="P71" s="460">
        <f ca="1"/>
        <v>310.79917459569896</v>
      </c>
      <c r="Q71" s="460">
        <f ca="1"/>
        <v>384.45878972165673</v>
      </c>
      <c r="R71" s="460">
        <f t="shared" ca="1" si="39"/>
        <v>2279.4149113078702</v>
      </c>
      <c r="S71" s="460">
        <f t="shared" ca="1" si="40"/>
        <v>2200.7933506223112</v>
      </c>
      <c r="T71" s="460">
        <f t="shared" ca="1" si="41"/>
        <v>4480.2082619301818</v>
      </c>
      <c r="U71" s="699">
        <f ca="1">U70</f>
        <v>12.3</v>
      </c>
      <c r="V71" s="702" cm="1">
        <f t="array" aca="1" ref="V71" ca="1">INDEX(F71:Q71,1,COUNTA(F71:Q71))</f>
        <v>384.45878972165673</v>
      </c>
      <c r="W71" s="266">
        <f ca="1">SUM($V$69:V71)-V71/2</f>
        <v>752.47681088525485</v>
      </c>
    </row>
    <row r="72" spans="4:23" ht="13.5" thickBot="1">
      <c r="D72" s="1055"/>
      <c r="E72" s="186" t="s">
        <v>310</v>
      </c>
      <c r="F72" s="460" cm="1">
        <f t="array" aca="1" ref="F72:Q72" ca="1">OFFSET(F32,,,,COUNTA(F32:Q32))</f>
        <v>883.94377830728126</v>
      </c>
      <c r="G72" s="460">
        <f ca="1"/>
        <v>862.84475477939827</v>
      </c>
      <c r="H72" s="460">
        <f ca="1"/>
        <v>811.21921207792639</v>
      </c>
      <c r="I72" s="460">
        <f ca="1"/>
        <v>816.3698995451274</v>
      </c>
      <c r="J72" s="460">
        <f ca="1"/>
        <v>933.9803990624132</v>
      </c>
      <c r="K72" s="460">
        <f ca="1"/>
        <v>1033.4118369889839</v>
      </c>
      <c r="L72" s="460">
        <f ca="1"/>
        <v>1020.0040406262815</v>
      </c>
      <c r="M72" s="460">
        <f ca="1"/>
        <v>1019.6575913014284</v>
      </c>
      <c r="N72" s="460">
        <f ca="1"/>
        <v>956.14703721775425</v>
      </c>
      <c r="O72" s="460">
        <f ca="1"/>
        <v>754.0649460643167</v>
      </c>
      <c r="P72" s="460">
        <f ca="1"/>
        <v>757.49134871136926</v>
      </c>
      <c r="Q72" s="460">
        <f ca="1"/>
        <v>944.70620574608324</v>
      </c>
      <c r="R72" s="460">
        <f t="shared" ca="1" si="39"/>
        <v>5341.7698807611305</v>
      </c>
      <c r="S72" s="460">
        <f t="shared" ca="1" si="40"/>
        <v>5452.0711696672333</v>
      </c>
      <c r="T72" s="460">
        <f t="shared" ca="1" si="41"/>
        <v>10793.841050428364</v>
      </c>
      <c r="U72" s="699">
        <f ca="1">U71</f>
        <v>12.3</v>
      </c>
      <c r="V72" s="703" cm="1">
        <f t="array" aca="1" ref="V72" ca="1">INDEX(F72:Q72,1,COUNTA(F72:Q72))</f>
        <v>944.70620574608324</v>
      </c>
      <c r="W72" s="697"/>
    </row>
    <row r="73" spans="4:23" ht="13.5" thickBot="1">
      <c r="D73" s="1056"/>
      <c r="E73" s="253" t="s">
        <v>311</v>
      </c>
      <c r="F73" s="471" cm="1">
        <f t="array" aca="1" ref="F73:Q73" ca="1">OFFSET(F33,,,,COUNTA(F33:Q33))</f>
        <v>883.94377830728126</v>
      </c>
      <c r="G73" s="471">
        <f ca="1"/>
        <v>862.84475477939827</v>
      </c>
      <c r="H73" s="471">
        <f ca="1"/>
        <v>811.21921207792639</v>
      </c>
      <c r="I73" s="471">
        <f ca="1"/>
        <v>816.3698995451274</v>
      </c>
      <c r="J73" s="471">
        <f ca="1"/>
        <v>933.9803990624132</v>
      </c>
      <c r="K73" s="471">
        <f ca="1"/>
        <v>1033.4118369889839</v>
      </c>
      <c r="L73" s="471">
        <f ca="1"/>
        <v>1020.0040406262815</v>
      </c>
      <c r="M73" s="471">
        <f ca="1"/>
        <v>1019.6575913014284</v>
      </c>
      <c r="N73" s="471">
        <f ca="1"/>
        <v>956.14703721775425</v>
      </c>
      <c r="O73" s="471">
        <f ca="1"/>
        <v>754.0649460643167</v>
      </c>
      <c r="P73" s="471">
        <f ca="1"/>
        <v>757.49134871136926</v>
      </c>
      <c r="Q73" s="471">
        <f ca="1"/>
        <v>944.70620574608324</v>
      </c>
      <c r="R73" s="471">
        <f t="shared" ca="1" si="39"/>
        <v>5341.7698807611305</v>
      </c>
      <c r="S73" s="471">
        <f t="shared" ca="1" si="40"/>
        <v>5452.0711696672333</v>
      </c>
      <c r="T73" s="471">
        <f t="shared" ca="1" si="41"/>
        <v>10793.841050428364</v>
      </c>
      <c r="U73" s="700">
        <f ca="1">U72</f>
        <v>12.3</v>
      </c>
      <c r="V73" s="703" cm="1">
        <f t="array" aca="1" ref="V73" ca="1">INDEX(F73:Q73,1,COUNTA(F73:Q73))</f>
        <v>944.70620574608324</v>
      </c>
      <c r="W73" s="696"/>
    </row>
    <row r="93" spans="6:26">
      <c r="Z93" s="665"/>
    </row>
    <row r="94" spans="6:26">
      <c r="F94" s="658"/>
      <c r="Q94" s="658"/>
    </row>
    <row r="95" spans="6:26">
      <c r="F95" s="282"/>
      <c r="G95" s="282"/>
      <c r="H95" s="282"/>
      <c r="I95" s="282"/>
      <c r="J95" s="282"/>
      <c r="K95" s="282"/>
      <c r="L95" s="282"/>
      <c r="M95" s="282"/>
      <c r="N95" s="282"/>
      <c r="O95" s="282"/>
      <c r="P95" s="282"/>
      <c r="Q95" s="282"/>
      <c r="R95" s="665"/>
      <c r="S95" s="665"/>
      <c r="U95" s="683"/>
    </row>
    <row r="96" spans="6:26">
      <c r="F96" s="282"/>
      <c r="G96" s="282"/>
      <c r="H96" s="282"/>
      <c r="I96" s="282"/>
      <c r="J96" s="282"/>
      <c r="K96" s="282"/>
      <c r="L96" s="282"/>
      <c r="M96" s="282"/>
      <c r="N96" s="282"/>
      <c r="O96" s="282"/>
      <c r="P96" s="282"/>
      <c r="Q96" s="282"/>
      <c r="R96" s="665"/>
      <c r="S96" s="665"/>
      <c r="U96" s="683"/>
    </row>
    <row r="97" spans="6:21">
      <c r="F97" s="282"/>
      <c r="G97" s="282"/>
      <c r="H97" s="282"/>
      <c r="I97" s="282"/>
      <c r="J97" s="282"/>
      <c r="K97" s="282"/>
      <c r="L97" s="282"/>
      <c r="M97" s="282"/>
      <c r="N97" s="282"/>
      <c r="O97" s="282"/>
      <c r="P97" s="282"/>
      <c r="Q97" s="282"/>
      <c r="R97" s="665"/>
      <c r="S97" s="665"/>
      <c r="U97" s="683"/>
    </row>
    <row r="98" spans="6:21">
      <c r="F98" s="282"/>
      <c r="G98" s="282"/>
      <c r="H98" s="282"/>
      <c r="I98" s="282"/>
      <c r="J98" s="282"/>
      <c r="K98" s="282"/>
      <c r="L98" s="282"/>
      <c r="M98" s="282"/>
      <c r="N98" s="282"/>
      <c r="O98" s="282"/>
      <c r="P98" s="282"/>
      <c r="Q98" s="282"/>
      <c r="R98" s="665"/>
      <c r="S98" s="665"/>
      <c r="U98" s="683"/>
    </row>
    <row r="127" spans="5:20">
      <c r="E127" s="658"/>
    </row>
    <row r="128" spans="5:20">
      <c r="F128" s="282"/>
      <c r="G128" s="282"/>
      <c r="H128" s="282"/>
      <c r="I128" s="282"/>
      <c r="J128" s="282"/>
      <c r="K128" s="282"/>
      <c r="L128" s="282"/>
      <c r="M128" s="282"/>
      <c r="N128" s="282"/>
      <c r="O128" s="282"/>
      <c r="P128" s="282"/>
      <c r="Q128" s="282"/>
      <c r="R128" s="665"/>
      <c r="T128" s="683"/>
    </row>
    <row r="129" spans="6:20">
      <c r="F129" s="282"/>
      <c r="G129" s="282"/>
      <c r="H129" s="282"/>
      <c r="I129" s="282"/>
      <c r="J129" s="282"/>
      <c r="K129" s="282"/>
      <c r="L129" s="282"/>
      <c r="M129" s="282"/>
      <c r="N129" s="282"/>
      <c r="O129" s="282"/>
      <c r="P129" s="282"/>
      <c r="Q129" s="282"/>
      <c r="R129" s="665"/>
      <c r="T129" s="683"/>
    </row>
    <row r="130" spans="6:20"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  <c r="R130" s="665"/>
      <c r="T130" s="683"/>
    </row>
    <row r="131" spans="6:20">
      <c r="F131" s="282"/>
      <c r="G131" s="282"/>
      <c r="H131" s="282"/>
      <c r="I131" s="282"/>
      <c r="J131" s="282"/>
      <c r="K131" s="282"/>
      <c r="L131" s="282"/>
      <c r="M131" s="282"/>
      <c r="N131" s="282"/>
      <c r="O131" s="282"/>
      <c r="P131" s="282"/>
      <c r="Q131" s="282"/>
      <c r="R131" s="665"/>
      <c r="T131" s="683"/>
    </row>
    <row r="132" spans="6:20">
      <c r="F132" s="282"/>
      <c r="G132" s="282"/>
      <c r="H132" s="282"/>
      <c r="I132" s="282"/>
      <c r="J132" s="282"/>
      <c r="K132" s="282"/>
      <c r="L132" s="282"/>
      <c r="M132" s="282"/>
      <c r="N132" s="282"/>
      <c r="O132" s="282"/>
      <c r="P132" s="282"/>
      <c r="Q132" s="282"/>
      <c r="R132" s="665"/>
      <c r="T132" s="683"/>
    </row>
    <row r="166" spans="4:4">
      <c r="D166" s="684"/>
    </row>
  </sheetData>
  <mergeCells count="18">
    <mergeCell ref="R4:T4"/>
    <mergeCell ref="C5:D5"/>
    <mergeCell ref="A1:F1"/>
    <mergeCell ref="B4:D4"/>
    <mergeCell ref="A6:A23"/>
    <mergeCell ref="C6:C10"/>
    <mergeCell ref="C11:C16"/>
    <mergeCell ref="C17:C21"/>
    <mergeCell ref="B22:B23"/>
    <mergeCell ref="D61:D64"/>
    <mergeCell ref="D65:D68"/>
    <mergeCell ref="D69:D73"/>
    <mergeCell ref="A24:A28"/>
    <mergeCell ref="B27:B28"/>
    <mergeCell ref="A29:A32"/>
    <mergeCell ref="C40:C45"/>
    <mergeCell ref="C46:C50"/>
    <mergeCell ref="C36:C39"/>
  </mergeCells>
  <printOptions horizontalCentered="1" gridLinesSet="0"/>
  <pageMargins left="0.78740157480314965" right="0.19685039370078741" top="0.59055118110236227" bottom="0.59055118110236227" header="0.51181102362204722" footer="0.51181102362204722"/>
  <pageSetup paperSize="9" scale="31" orientation="portrait" horizontalDpi="4294967292" r:id="rId1"/>
  <headerFooter alignWithMargins="0">
    <oddFooter>&amp;L&amp;A&amp;R&amp;F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01">
    <tabColor indexed="56"/>
    <pageSetUpPr fitToPage="1"/>
  </sheetPr>
  <dimension ref="A1:W73"/>
  <sheetViews>
    <sheetView showGridLines="0" zoomScale="98" zoomScaleNormal="98" workbookViewId="0">
      <pane xSplit="4" ySplit="5" topLeftCell="K30" activePane="bottomRight" state="frozen"/>
      <selection activeCell="E6" sqref="E6"/>
      <selection pane="topRight" activeCell="E6" sqref="E6"/>
      <selection pane="bottomLeft" activeCell="E6" sqref="E6"/>
      <selection pane="bottomRight" activeCell="F35" sqref="F35:Q35"/>
    </sheetView>
  </sheetViews>
  <sheetFormatPr defaultColWidth="11.42578125" defaultRowHeight="12.75"/>
  <cols>
    <col min="1" max="1" width="4.7109375" style="76" customWidth="1"/>
    <col min="2" max="2" width="10.85546875" style="76" bestFit="1" customWidth="1"/>
    <col min="3" max="3" width="11.7109375" style="76" bestFit="1" customWidth="1"/>
    <col min="4" max="4" width="10.5703125" style="76" bestFit="1" customWidth="1"/>
    <col min="5" max="5" width="10.140625" style="76" bestFit="1" customWidth="1"/>
    <col min="6" max="16384" width="11.42578125" style="76"/>
  </cols>
  <sheetData>
    <row r="1" spans="1:23" ht="18" customHeight="1">
      <c r="A1" s="996" t="s">
        <v>103</v>
      </c>
      <c r="B1" s="996"/>
      <c r="C1" s="996"/>
      <c r="D1" s="996"/>
      <c r="E1" s="996"/>
    </row>
    <row r="2" spans="1:23" ht="18" customHeight="1"/>
    <row r="3" spans="1:23" ht="9.9499999999999993" customHeight="1" thickBot="1"/>
    <row r="4" spans="1:23" ht="25.5">
      <c r="A4" s="77"/>
      <c r="B4" s="1066" t="s">
        <v>57</v>
      </c>
      <c r="C4" s="1067"/>
      <c r="D4" s="1008"/>
      <c r="E4" s="483" t="s">
        <v>201</v>
      </c>
      <c r="F4" s="78" t="s">
        <v>82</v>
      </c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 t="s">
        <v>166</v>
      </c>
      <c r="S4" s="78"/>
      <c r="T4" s="78" t="s">
        <v>164</v>
      </c>
      <c r="U4" s="78"/>
      <c r="V4" s="78" t="s">
        <v>1</v>
      </c>
      <c r="W4" s="78"/>
    </row>
    <row r="5" spans="1:23" ht="13.5" thickBot="1">
      <c r="A5" s="127"/>
      <c r="B5" s="128" t="s">
        <v>102</v>
      </c>
      <c r="C5" s="1068" t="s">
        <v>50</v>
      </c>
      <c r="D5" s="1069"/>
      <c r="E5" s="128">
        <f>'Falhas UM-1 - Qty'!E5</f>
        <v>2022</v>
      </c>
      <c r="F5" s="154">
        <f>'Falhas UM-1 - Qty'!F5</f>
        <v>44652</v>
      </c>
      <c r="G5" s="154">
        <f>'Falhas UM-1 - Qty'!G5</f>
        <v>44682</v>
      </c>
      <c r="H5" s="154">
        <f>'Falhas UM-1 - Qty'!H5</f>
        <v>44713</v>
      </c>
      <c r="I5" s="154">
        <f>'Falhas UM-1 - Qty'!I5</f>
        <v>44743</v>
      </c>
      <c r="J5" s="154">
        <f>'Falhas UM-1 - Qty'!J5</f>
        <v>44774</v>
      </c>
      <c r="K5" s="154">
        <f>'Falhas UM-1 - Qty'!K5</f>
        <v>44805</v>
      </c>
      <c r="L5" s="154">
        <f>'Falhas UM-1 - Qty'!L5</f>
        <v>44835</v>
      </c>
      <c r="M5" s="154">
        <f>'Falhas UM-1 - Qty'!M5</f>
        <v>44866</v>
      </c>
      <c r="N5" s="154">
        <f>'Falhas UM-1 - Qty'!N5</f>
        <v>44896</v>
      </c>
      <c r="O5" s="154">
        <f>'Falhas UM-1 - Qty'!O5</f>
        <v>44927</v>
      </c>
      <c r="P5" s="154">
        <f>'Falhas UM-1 - Qty'!P5</f>
        <v>44958</v>
      </c>
      <c r="Q5" s="154">
        <f>'Falhas UM-1 - Qty'!Q5</f>
        <v>44986</v>
      </c>
      <c r="R5" s="128" t="s">
        <v>49</v>
      </c>
      <c r="S5" s="128" t="s">
        <v>48</v>
      </c>
      <c r="T5" s="128" t="s">
        <v>49</v>
      </c>
      <c r="U5" s="128" t="s">
        <v>48</v>
      </c>
      <c r="V5" s="128" t="s">
        <v>49</v>
      </c>
      <c r="W5" s="128" t="s">
        <v>48</v>
      </c>
    </row>
    <row r="6" spans="1:23" ht="18" customHeight="1" thickTop="1">
      <c r="A6" s="1070" t="s">
        <v>99</v>
      </c>
      <c r="B6" s="1071">
        <v>6010</v>
      </c>
      <c r="C6" s="129" t="s">
        <v>98</v>
      </c>
      <c r="D6" s="129" t="s">
        <v>89</v>
      </c>
      <c r="E6" s="130">
        <f>'[3]SM - Qty'!X6</f>
        <v>2108.1687734006514</v>
      </c>
      <c r="F6" s="130">
        <f>$E6/1000000*F$9</f>
        <v>301.40015880236359</v>
      </c>
      <c r="G6" s="130">
        <f t="shared" ref="G6:Q6" si="0">$E6/1000000*G$9</f>
        <v>297.88483164426225</v>
      </c>
      <c r="H6" s="130">
        <f t="shared" si="0"/>
        <v>294.15952138957078</v>
      </c>
      <c r="I6" s="130">
        <f t="shared" si="0"/>
        <v>299.95746986819825</v>
      </c>
      <c r="J6" s="130">
        <f t="shared" si="0"/>
        <v>298.09481474085243</v>
      </c>
      <c r="K6" s="130">
        <f t="shared" si="0"/>
        <v>344.94117038661688</v>
      </c>
      <c r="L6" s="130">
        <f t="shared" si="0"/>
        <v>347.0138086105527</v>
      </c>
      <c r="M6" s="130">
        <f t="shared" si="0"/>
        <v>347.15379734161286</v>
      </c>
      <c r="N6" s="130">
        <f t="shared" si="0"/>
        <v>346.7338311484325</v>
      </c>
      <c r="O6" s="130">
        <f t="shared" si="0"/>
        <v>256.4864526494751</v>
      </c>
      <c r="P6" s="130">
        <f t="shared" si="0"/>
        <v>267.94236087566986</v>
      </c>
      <c r="Q6" s="130">
        <f t="shared" si="0"/>
        <v>323.5420372339226</v>
      </c>
      <c r="R6" s="130"/>
      <c r="S6" s="130"/>
      <c r="T6" s="130"/>
      <c r="U6" s="130"/>
      <c r="V6" s="130"/>
      <c r="W6" s="130"/>
    </row>
    <row r="7" spans="1:23" ht="18" customHeight="1">
      <c r="A7" s="1002"/>
      <c r="B7" s="1064"/>
      <c r="C7" s="131"/>
      <c r="D7" s="131" t="s">
        <v>88</v>
      </c>
      <c r="E7" s="95">
        <f>'[3]SM - Qty'!X7</f>
        <v>1354.2214397583934</v>
      </c>
      <c r="F7" s="95">
        <f t="shared" ref="F7:Q8" si="1">$E7/1000000*F$9</f>
        <v>193.61000036934666</v>
      </c>
      <c r="G7" s="95">
        <f t="shared" si="1"/>
        <v>191.3518645571998</v>
      </c>
      <c r="H7" s="95">
        <f t="shared" si="1"/>
        <v>188.95884219565653</v>
      </c>
      <c r="I7" s="95">
        <f t="shared" si="1"/>
        <v>192.68326228736788</v>
      </c>
      <c r="J7" s="95">
        <f t="shared" si="1"/>
        <v>191.48675110659619</v>
      </c>
      <c r="K7" s="95">
        <f t="shared" si="1"/>
        <v>221.57937935841605</v>
      </c>
      <c r="L7" s="95">
        <f t="shared" si="1"/>
        <v>222.91077708858407</v>
      </c>
      <c r="M7" s="95">
        <f t="shared" si="1"/>
        <v>223.00070145484835</v>
      </c>
      <c r="N7" s="95">
        <f t="shared" si="1"/>
        <v>222.73092835605553</v>
      </c>
      <c r="O7" s="95">
        <f t="shared" si="1"/>
        <v>164.75884548143068</v>
      </c>
      <c r="P7" s="95">
        <f t="shared" si="1"/>
        <v>172.1177612985891</v>
      </c>
      <c r="Q7" s="95">
        <f t="shared" si="1"/>
        <v>207.83324798921007</v>
      </c>
      <c r="R7" s="95"/>
      <c r="S7" s="95"/>
      <c r="T7" s="95"/>
      <c r="U7" s="95"/>
      <c r="V7" s="95"/>
      <c r="W7" s="95"/>
    </row>
    <row r="8" spans="1:23" ht="18" customHeight="1">
      <c r="A8" s="1002"/>
      <c r="B8" s="1064"/>
      <c r="C8" s="131"/>
      <c r="D8" s="131" t="s">
        <v>87</v>
      </c>
      <c r="E8" s="95">
        <f>'[3]SM - Qty'!X8</f>
        <v>232.92619995316559</v>
      </c>
      <c r="F8" s="95">
        <f t="shared" si="1"/>
        <v>33.300936120911388</v>
      </c>
      <c r="G8" s="95">
        <f t="shared" si="1"/>
        <v>32.912536573939683</v>
      </c>
      <c r="H8" s="95">
        <f t="shared" si="1"/>
        <v>32.500936529284751</v>
      </c>
      <c r="I8" s="95">
        <f t="shared" si="1"/>
        <v>33.141537093950397</v>
      </c>
      <c r="J8" s="95">
        <f t="shared" si="1"/>
        <v>32.935737071622917</v>
      </c>
      <c r="K8" s="95">
        <f t="shared" si="1"/>
        <v>38.11167162672065</v>
      </c>
      <c r="L8" s="95">
        <f t="shared" si="1"/>
        <v>38.340672146731343</v>
      </c>
      <c r="M8" s="95">
        <f t="shared" si="1"/>
        <v>38.356139145186837</v>
      </c>
      <c r="N8" s="95">
        <f t="shared" si="1"/>
        <v>38.309738149820369</v>
      </c>
      <c r="O8" s="95">
        <f t="shared" si="1"/>
        <v>28.338535087368882</v>
      </c>
      <c r="P8" s="95">
        <f t="shared" si="1"/>
        <v>29.604269218244674</v>
      </c>
      <c r="Q8" s="95">
        <f t="shared" si="1"/>
        <v>35.747335891157796</v>
      </c>
      <c r="R8" s="95"/>
      <c r="S8" s="95"/>
      <c r="T8" s="95"/>
      <c r="U8" s="95"/>
      <c r="V8" s="95"/>
      <c r="W8" s="95"/>
    </row>
    <row r="9" spans="1:23" ht="18" customHeight="1">
      <c r="A9" s="1002"/>
      <c r="B9" s="1064"/>
      <c r="C9" s="132" t="s">
        <v>83</v>
      </c>
      <c r="D9" s="132"/>
      <c r="E9" s="133">
        <f>'[3]SM - Qty'!X9</f>
        <v>0</v>
      </c>
      <c r="F9" s="133">
        <f>'[36]PRODUCTION (Rev.2) BP22 (2)'!B$7+'[36]PRODUCTION (Rev.2) BP22 (2)'!B$71+'[36]PRODUCTION (Rev.2) BP22 (2)'!B$72</f>
        <v>142967.75599999999</v>
      </c>
      <c r="G9" s="133">
        <f>'[36]PRODUCTION (Rev.2) BP22 (2)'!C$7+'[36]PRODUCTION (Rev.2) BP22 (2)'!C$71+'[36]PRODUCTION (Rev.2) BP22 (2)'!C$72</f>
        <v>141300.277</v>
      </c>
      <c r="H9" s="133">
        <f>'[36]PRODUCTION (Rev.2) BP22 (2)'!D$7+'[36]PRODUCTION (Rev.2) BP22 (2)'!D$71+'[36]PRODUCTION (Rev.2) BP22 (2)'!D$72</f>
        <v>139533.19350000002</v>
      </c>
      <c r="I9" s="133">
        <f>'[36]PRODUCTION (Rev.2) BP22 (2)'!E$7+'[36]PRODUCTION (Rev.2) BP22 (2)'!E$71+'[36]PRODUCTION (Rev.2) BP22 (2)'!E$72</f>
        <v>142283.42325000002</v>
      </c>
      <c r="J9" s="133">
        <f>'[36]PRODUCTION (Rev.2) BP22 (2)'!F$7+'[36]PRODUCTION (Rev.2) BP22 (2)'!F$71+'[36]PRODUCTION (Rev.2) BP22 (2)'!F$72</f>
        <v>141399.88149999999</v>
      </c>
      <c r="K9" s="133">
        <f>'[36]PRODUCTION (Rev.2) BP22 (2)'!G$7+'[36]PRODUCTION (Rev.2) BP22 (2)'!G$71+'[36]PRODUCTION (Rev.2) BP22 (2)'!G$72</f>
        <v>163621.23125000001</v>
      </c>
      <c r="L9" s="133">
        <f>'[36]PRODUCTION (Rev.2) BP22 (2)'!H$7+'[36]PRODUCTION (Rev.2) BP22 (2)'!H$71+'[36]PRODUCTION (Rev.2) BP22 (2)'!H$72</f>
        <v>164604.37749999997</v>
      </c>
      <c r="M9" s="133">
        <f>'[36]PRODUCTION (Rev.2) BP22 (2)'!I$7+'[36]PRODUCTION (Rev.2) BP22 (2)'!I$71+'[36]PRODUCTION (Rev.2) BP22 (2)'!I$72</f>
        <v>164670.78049999999</v>
      </c>
      <c r="N9" s="133">
        <f>'[36]PRODUCTION (Rev.2) BP22 (2)'!J$7+'[36]PRODUCTION (Rev.2) BP22 (2)'!J$71+'[36]PRODUCTION (Rev.2) BP22 (2)'!J$72</f>
        <v>164471.57149999999</v>
      </c>
      <c r="O9" s="133">
        <f>'[36]PRODUCTION (Rev.2) BP22 (2)'!K$7+'[36]PRODUCTION (Rev.2) BP22 (2)'!K$71+'[36]PRODUCTION (Rev.2) BP22 (2)'!K$72</f>
        <v>121663.14950000001</v>
      </c>
      <c r="P9" s="133">
        <f>'[36]PRODUCTION (Rev.2) BP22 (2)'!L$7+'[36]PRODUCTION (Rev.2) BP22 (2)'!L$71+'[36]PRODUCTION (Rev.2) BP22 (2)'!L$72</f>
        <v>127097.20599999999</v>
      </c>
      <c r="Q9" s="133">
        <f>'[36]PRODUCTION (Rev.2) BP22 (2)'!M$7+'[36]PRODUCTION (Rev.2) BP22 (2)'!M$71+'[36]PRODUCTION (Rev.2) BP22 (2)'!M$72</f>
        <v>153470.6525</v>
      </c>
      <c r="R9" s="133"/>
      <c r="S9" s="133"/>
      <c r="T9" s="133"/>
      <c r="U9" s="133"/>
      <c r="V9" s="133"/>
      <c r="W9" s="133"/>
    </row>
    <row r="10" spans="1:23" ht="18" customHeight="1">
      <c r="A10" s="1002"/>
      <c r="B10" s="1064">
        <v>6020</v>
      </c>
      <c r="C10" s="131" t="s">
        <v>97</v>
      </c>
      <c r="D10" s="131" t="s">
        <v>89</v>
      </c>
      <c r="E10" s="95">
        <f>'[3]SM - Qty'!X10</f>
        <v>1171.192636864655</v>
      </c>
      <c r="F10" s="95">
        <f>$E10/1000000*F$13</f>
        <v>36.751319652606952</v>
      </c>
      <c r="G10" s="95">
        <f t="shared" ref="G10:Q12" si="2">$E10/1000000*G$13</f>
        <v>36.325966144988975</v>
      </c>
      <c r="H10" s="95">
        <f t="shared" si="2"/>
        <v>35.871650214653968</v>
      </c>
      <c r="I10" s="95">
        <f t="shared" si="2"/>
        <v>36.582086532873504</v>
      </c>
      <c r="J10" s="95">
        <f t="shared" si="2"/>
        <v>36.354928567705997</v>
      </c>
      <c r="K10" s="95">
        <f t="shared" si="2"/>
        <v>42.072494260516244</v>
      </c>
      <c r="L10" s="95">
        <f t="shared" si="2"/>
        <v>42.328614648400773</v>
      </c>
      <c r="M10" s="95">
        <f t="shared" si="2"/>
        <v>42.347922930212121</v>
      </c>
      <c r="N10" s="95">
        <f t="shared" si="2"/>
        <v>42.28999808477807</v>
      </c>
      <c r="O10" s="95">
        <f t="shared" si="2"/>
        <v>31.270566065869879</v>
      </c>
      <c r="P10" s="95">
        <f t="shared" si="2"/>
        <v>32.672130420497588</v>
      </c>
      <c r="Q10" s="95">
        <f t="shared" si="2"/>
        <v>39.448252811899948</v>
      </c>
      <c r="R10" s="95"/>
      <c r="S10" s="95"/>
      <c r="T10" s="95"/>
      <c r="U10" s="95"/>
      <c r="V10" s="95"/>
      <c r="W10" s="95"/>
    </row>
    <row r="11" spans="1:23" ht="18" customHeight="1">
      <c r="A11" s="1002"/>
      <c r="B11" s="1064"/>
      <c r="C11" s="131"/>
      <c r="D11" s="131" t="s">
        <v>88</v>
      </c>
      <c r="E11" s="95">
        <f>'[3]SM - Qty'!X11</f>
        <v>1198.9083838921426</v>
      </c>
      <c r="F11" s="95">
        <f>$E11/1000000*F$13</f>
        <v>37.621023103906666</v>
      </c>
      <c r="G11" s="95">
        <f t="shared" si="2"/>
        <v>37.185603796826385</v>
      </c>
      <c r="H11" s="95">
        <f t="shared" si="2"/>
        <v>36.720536684320848</v>
      </c>
      <c r="I11" s="95">
        <f t="shared" si="2"/>
        <v>37.447785158504431</v>
      </c>
      <c r="J11" s="95">
        <f t="shared" si="2"/>
        <v>37.215251602251655</v>
      </c>
      <c r="K11" s="95">
        <f t="shared" si="2"/>
        <v>43.068120915804599</v>
      </c>
      <c r="L11" s="95">
        <f t="shared" si="2"/>
        <v>43.330302277482637</v>
      </c>
      <c r="M11" s="95">
        <f t="shared" si="2"/>
        <v>43.350067481099479</v>
      </c>
      <c r="N11" s="95">
        <f t="shared" si="2"/>
        <v>43.290771870248946</v>
      </c>
      <c r="O11" s="95">
        <f t="shared" si="2"/>
        <v>32.010569948414904</v>
      </c>
      <c r="P11" s="95">
        <f t="shared" si="2"/>
        <v>33.44530169316522</v>
      </c>
      <c r="Q11" s="95">
        <f t="shared" si="2"/>
        <v>40.38177797351463</v>
      </c>
      <c r="R11" s="95"/>
      <c r="S11" s="95"/>
      <c r="T11" s="95"/>
      <c r="U11" s="95"/>
      <c r="V11" s="95"/>
      <c r="W11" s="95"/>
    </row>
    <row r="12" spans="1:23" ht="18" customHeight="1">
      <c r="A12" s="1002"/>
      <c r="B12" s="1064"/>
      <c r="C12" s="131"/>
      <c r="D12" s="131" t="s">
        <v>87</v>
      </c>
      <c r="E12" s="95">
        <f>'[3]SM - Qty'!X12</f>
        <v>0</v>
      </c>
      <c r="F12" s="95">
        <f>$E12/1000000*F$13</f>
        <v>0</v>
      </c>
      <c r="G12" s="95">
        <f t="shared" si="2"/>
        <v>0</v>
      </c>
      <c r="H12" s="95">
        <f t="shared" si="2"/>
        <v>0</v>
      </c>
      <c r="I12" s="95">
        <f t="shared" si="2"/>
        <v>0</v>
      </c>
      <c r="J12" s="95">
        <f t="shared" si="2"/>
        <v>0</v>
      </c>
      <c r="K12" s="95">
        <f t="shared" si="2"/>
        <v>0</v>
      </c>
      <c r="L12" s="95">
        <f t="shared" si="2"/>
        <v>0</v>
      </c>
      <c r="M12" s="95">
        <f t="shared" si="2"/>
        <v>0</v>
      </c>
      <c r="N12" s="95">
        <f t="shared" si="2"/>
        <v>0</v>
      </c>
      <c r="O12" s="95">
        <f t="shared" si="2"/>
        <v>0</v>
      </c>
      <c r="P12" s="95">
        <f t="shared" si="2"/>
        <v>0</v>
      </c>
      <c r="Q12" s="95">
        <f t="shared" si="2"/>
        <v>0</v>
      </c>
      <c r="R12" s="95"/>
      <c r="S12" s="95"/>
      <c r="T12" s="95"/>
      <c r="U12" s="95"/>
      <c r="V12" s="95"/>
      <c r="W12" s="95"/>
    </row>
    <row r="13" spans="1:23" ht="18" customHeight="1">
      <c r="A13" s="1002"/>
      <c r="B13" s="1064"/>
      <c r="C13" s="132" t="s">
        <v>83</v>
      </c>
      <c r="D13" s="132"/>
      <c r="E13" s="133">
        <f>'[3]SM - Qty'!X13</f>
        <v>0</v>
      </c>
      <c r="F13" s="133">
        <f>'[36]PRODUCTION (Rev.2) BP22 (2)'!B$73+'[36]PRODUCTION (Rev.2) BP22 (2)'!B$9</f>
        <v>31379.397800000002</v>
      </c>
      <c r="G13" s="133">
        <f>'[36]PRODUCTION (Rev.2) BP22 (2)'!C$73+'[36]PRODUCTION (Rev.2) BP22 (2)'!C$9</f>
        <v>31016.218000000001</v>
      </c>
      <c r="H13" s="133">
        <f>'[36]PRODUCTION (Rev.2) BP22 (2)'!D$73+'[36]PRODUCTION (Rev.2) BP22 (2)'!D$9</f>
        <v>30628.3092</v>
      </c>
      <c r="I13" s="133">
        <f>'[36]PRODUCTION (Rev.2) BP22 (2)'!E$73+'[36]PRODUCTION (Rev.2) BP22 (2)'!E$9</f>
        <v>31234.901400000002</v>
      </c>
      <c r="J13" s="133">
        <f>'[36]PRODUCTION (Rev.2) BP22 (2)'!F$73+'[36]PRODUCTION (Rev.2) BP22 (2)'!F$9</f>
        <v>31040.947</v>
      </c>
      <c r="K13" s="133">
        <f>'[36]PRODUCTION (Rev.2) BP22 (2)'!G$73+'[36]PRODUCTION (Rev.2) BP22 (2)'!G$9</f>
        <v>35922.778999999995</v>
      </c>
      <c r="L13" s="133">
        <f>'[36]PRODUCTION (Rev.2) BP22 (2)'!H$73+'[36]PRODUCTION (Rev.2) BP22 (2)'!H$9</f>
        <v>36141.462399999997</v>
      </c>
      <c r="M13" s="133">
        <f>'[36]PRODUCTION (Rev.2) BP22 (2)'!I$73+'[36]PRODUCTION (Rev.2) BP22 (2)'!I$9</f>
        <v>36157.948399999994</v>
      </c>
      <c r="N13" s="133">
        <f>'[36]PRODUCTION (Rev.2) BP22 (2)'!J$73+'[36]PRODUCTION (Rev.2) BP22 (2)'!J$9</f>
        <v>36108.490399999995</v>
      </c>
      <c r="O13" s="133">
        <f>'[36]PRODUCTION (Rev.2) BP22 (2)'!K$73+'[36]PRODUCTION (Rev.2) BP22 (2)'!K$9</f>
        <v>26699.763200000001</v>
      </c>
      <c r="P13" s="133">
        <f>'[36]PRODUCTION (Rev.2) BP22 (2)'!L$73+'[36]PRODUCTION (Rev.2) BP22 (2)'!L$9</f>
        <v>27896.461599999999</v>
      </c>
      <c r="Q13" s="133">
        <f>'[36]PRODUCTION (Rev.2) BP22 (2)'!M$73+'[36]PRODUCTION (Rev.2) BP22 (2)'!M$9</f>
        <v>33682.121599999999</v>
      </c>
      <c r="R13" s="133"/>
      <c r="S13" s="133"/>
      <c r="T13" s="133"/>
      <c r="U13" s="133"/>
      <c r="V13" s="133"/>
      <c r="W13" s="133"/>
    </row>
    <row r="14" spans="1:23" ht="18" customHeight="1">
      <c r="A14" s="1002"/>
      <c r="B14" s="1064">
        <v>6030</v>
      </c>
      <c r="C14" s="131" t="s">
        <v>96</v>
      </c>
      <c r="D14" s="131" t="s">
        <v>89</v>
      </c>
      <c r="E14" s="84">
        <f>'[3]SM - Qty'!X14</f>
        <v>1934.5240670689773</v>
      </c>
      <c r="F14" s="95">
        <f>$E14/1000000*F$17</f>
        <v>3005.0781115274567</v>
      </c>
      <c r="G14" s="95">
        <f t="shared" ref="G14:Q16" si="3">$E14/1000000*G$17</f>
        <v>2969.3626786476239</v>
      </c>
      <c r="H14" s="95">
        <f t="shared" si="3"/>
        <v>2932.233867008199</v>
      </c>
      <c r="I14" s="95">
        <f t="shared" si="3"/>
        <v>2989.3404632269294</v>
      </c>
      <c r="J14" s="95">
        <f t="shared" si="3"/>
        <v>2970.7760574072176</v>
      </c>
      <c r="K14" s="95">
        <f t="shared" si="3"/>
        <v>3436.7707079128236</v>
      </c>
      <c r="L14" s="95">
        <f t="shared" si="3"/>
        <v>3456.7484924921296</v>
      </c>
      <c r="M14" s="95">
        <f t="shared" si="3"/>
        <v>3457.6907449985251</v>
      </c>
      <c r="N14" s="95">
        <f t="shared" si="3"/>
        <v>3454.8639874793389</v>
      </c>
      <c r="O14" s="95">
        <f t="shared" si="3"/>
        <v>2558.1189930947598</v>
      </c>
      <c r="P14" s="95">
        <f t="shared" si="3"/>
        <v>2671.3899330258264</v>
      </c>
      <c r="Q14" s="95">
        <f t="shared" si="3"/>
        <v>3226.4376026044138</v>
      </c>
      <c r="R14" s="84"/>
      <c r="S14" s="84"/>
      <c r="T14" s="84"/>
      <c r="U14" s="84"/>
      <c r="V14" s="84"/>
      <c r="W14" s="84"/>
    </row>
    <row r="15" spans="1:23" ht="18" customHeight="1">
      <c r="A15" s="1002"/>
      <c r="B15" s="1064"/>
      <c r="C15" s="131"/>
      <c r="D15" s="131" t="s">
        <v>88</v>
      </c>
      <c r="E15" s="84">
        <f>'[3]SM - Qty'!X15</f>
        <v>1934.5240670689773</v>
      </c>
      <c r="F15" s="95">
        <f>$E15/1000000*F$17</f>
        <v>3005.0781115274567</v>
      </c>
      <c r="G15" s="95">
        <f t="shared" si="3"/>
        <v>2969.3626786476239</v>
      </c>
      <c r="H15" s="95">
        <f t="shared" si="3"/>
        <v>2932.233867008199</v>
      </c>
      <c r="I15" s="95">
        <f t="shared" si="3"/>
        <v>2989.3404632269294</v>
      </c>
      <c r="J15" s="95">
        <f t="shared" si="3"/>
        <v>2970.7760574072176</v>
      </c>
      <c r="K15" s="95">
        <f t="shared" si="3"/>
        <v>3436.7707079128236</v>
      </c>
      <c r="L15" s="95">
        <f t="shared" si="3"/>
        <v>3456.7484924921296</v>
      </c>
      <c r="M15" s="95">
        <f t="shared" si="3"/>
        <v>3457.6907449985251</v>
      </c>
      <c r="N15" s="95">
        <f t="shared" si="3"/>
        <v>3454.8639874793389</v>
      </c>
      <c r="O15" s="95">
        <f t="shared" si="3"/>
        <v>2558.1189930947598</v>
      </c>
      <c r="P15" s="95">
        <f t="shared" si="3"/>
        <v>2671.3899330258264</v>
      </c>
      <c r="Q15" s="95">
        <f t="shared" si="3"/>
        <v>3226.4376026044138</v>
      </c>
      <c r="R15" s="84"/>
      <c r="S15" s="84"/>
      <c r="T15" s="84"/>
      <c r="U15" s="84"/>
      <c r="V15" s="84"/>
      <c r="W15" s="84"/>
    </row>
    <row r="16" spans="1:23" ht="18" customHeight="1">
      <c r="A16" s="1002"/>
      <c r="B16" s="1064"/>
      <c r="C16" s="131"/>
      <c r="D16" s="131" t="s">
        <v>87</v>
      </c>
      <c r="E16" s="84">
        <f>'[3]SM - Qty'!X16</f>
        <v>131.44927753331822</v>
      </c>
      <c r="F16" s="95">
        <f>$E16/1000000*F$17</f>
        <v>204.19252125922907</v>
      </c>
      <c r="G16" s="95">
        <f t="shared" si="3"/>
        <v>201.76568774045214</v>
      </c>
      <c r="H16" s="95">
        <f t="shared" si="3"/>
        <v>199.24281632791514</v>
      </c>
      <c r="I16" s="95">
        <f t="shared" si="3"/>
        <v>203.12316134048066</v>
      </c>
      <c r="J16" s="95">
        <f t="shared" si="3"/>
        <v>201.86172563421221</v>
      </c>
      <c r="K16" s="95">
        <f t="shared" si="3"/>
        <v>233.52566881593793</v>
      </c>
      <c r="L16" s="95">
        <f t="shared" si="3"/>
        <v>234.88314241596649</v>
      </c>
      <c r="M16" s="95">
        <f t="shared" si="3"/>
        <v>234.94716767847322</v>
      </c>
      <c r="N16" s="95">
        <f t="shared" si="3"/>
        <v>234.75509189095308</v>
      </c>
      <c r="O16" s="95">
        <f t="shared" si="3"/>
        <v>173.82202641502514</v>
      </c>
      <c r="P16" s="95">
        <f t="shared" si="3"/>
        <v>181.51869117764952</v>
      </c>
      <c r="Q16" s="95">
        <f t="shared" si="3"/>
        <v>219.23371184069086</v>
      </c>
      <c r="R16" s="84"/>
      <c r="S16" s="84"/>
      <c r="T16" s="84"/>
      <c r="U16" s="84"/>
      <c r="V16" s="84"/>
      <c r="W16" s="84"/>
    </row>
    <row r="17" spans="1:23" ht="18" customHeight="1" thickBot="1">
      <c r="A17" s="1002"/>
      <c r="B17" s="1065"/>
      <c r="C17" s="134" t="s">
        <v>83</v>
      </c>
      <c r="D17" s="134"/>
      <c r="E17" s="135">
        <f>'[3]SM - Qty'!X17</f>
        <v>0</v>
      </c>
      <c r="F17" s="135">
        <f>'[36]PRODUCTION (Rev.2) BP22 (2)'!B$13+'[36]PRODUCTION (Rev.2) BP22 (2)'!B$14+'[36]PRODUCTION (Rev.2) BP22 (2)'!B$15+'[36]PRODUCTION (Rev.2) BP22 (2)'!B$77+'[36]PRODUCTION (Rev.2) BP22 (2)'!B$76</f>
        <v>1553394.0170000002</v>
      </c>
      <c r="G17" s="135">
        <f>'[36]PRODUCTION (Rev.2) BP22 (2)'!C$13+'[36]PRODUCTION (Rev.2) BP22 (2)'!C$14+'[36]PRODUCTION (Rev.2) BP22 (2)'!C$15+'[36]PRODUCTION (Rev.2) BP22 (2)'!C$77+'[36]PRODUCTION (Rev.2) BP22 (2)'!C$76</f>
        <v>1534931.888</v>
      </c>
      <c r="H17" s="135">
        <f>'[36]PRODUCTION (Rev.2) BP22 (2)'!D$13+'[36]PRODUCTION (Rev.2) BP22 (2)'!D$14+'[36]PRODUCTION (Rev.2) BP22 (2)'!D$15+'[36]PRODUCTION (Rev.2) BP22 (2)'!D$77+'[36]PRODUCTION (Rev.2) BP22 (2)'!D$76</f>
        <v>1515739.1510000001</v>
      </c>
      <c r="I17" s="135">
        <f>'[36]PRODUCTION (Rev.2) BP22 (2)'!E$13+'[36]PRODUCTION (Rev.2) BP22 (2)'!E$14+'[36]PRODUCTION (Rev.2) BP22 (2)'!E$15+'[36]PRODUCTION (Rev.2) BP22 (2)'!E$77+'[36]PRODUCTION (Rev.2) BP22 (2)'!E$76</f>
        <v>1545258.8644999999</v>
      </c>
      <c r="J17" s="135">
        <f>'[36]PRODUCTION (Rev.2) BP22 (2)'!F$13+'[36]PRODUCTION (Rev.2) BP22 (2)'!F$14+'[36]PRODUCTION (Rev.2) BP22 (2)'!F$15+'[36]PRODUCTION (Rev.2) BP22 (2)'!F$77+'[36]PRODUCTION (Rev.2) BP22 (2)'!F$76</f>
        <v>1535662.4960000003</v>
      </c>
      <c r="K17" s="135">
        <f>'[36]PRODUCTION (Rev.2) BP22 (2)'!G$13+'[36]PRODUCTION (Rev.2) BP22 (2)'!G$14+'[36]PRODUCTION (Rev.2) BP22 (2)'!G$15+'[36]PRODUCTION (Rev.2) BP22 (2)'!G$77+'[36]PRODUCTION (Rev.2) BP22 (2)'!G$76</f>
        <v>1776545.8525</v>
      </c>
      <c r="L17" s="135">
        <f>'[36]PRODUCTION (Rev.2) BP22 (2)'!H$13+'[36]PRODUCTION (Rev.2) BP22 (2)'!H$14+'[36]PRODUCTION (Rev.2) BP22 (2)'!H$15+'[36]PRODUCTION (Rev.2) BP22 (2)'!H$77+'[36]PRODUCTION (Rev.2) BP22 (2)'!H$76</f>
        <v>1786872.8290000001</v>
      </c>
      <c r="M17" s="135">
        <f>'[36]PRODUCTION (Rev.2) BP22 (2)'!I$13+'[36]PRODUCTION (Rev.2) BP22 (2)'!I$14+'[36]PRODUCTION (Rev.2) BP22 (2)'!I$15+'[36]PRODUCTION (Rev.2) BP22 (2)'!I$77+'[36]PRODUCTION (Rev.2) BP22 (2)'!I$76</f>
        <v>1787359.9010000003</v>
      </c>
      <c r="N17" s="135">
        <f>'[36]PRODUCTION (Rev.2) BP22 (2)'!J$13+'[36]PRODUCTION (Rev.2) BP22 (2)'!J$14+'[36]PRODUCTION (Rev.2) BP22 (2)'!J$15+'[36]PRODUCTION (Rev.2) BP22 (2)'!J$77+'[36]PRODUCTION (Rev.2) BP22 (2)'!J$76</f>
        <v>1785898.6850000003</v>
      </c>
      <c r="O17" s="135">
        <f>'[36]PRODUCTION (Rev.2) BP22 (2)'!K$13+'[36]PRODUCTION (Rev.2) BP22 (2)'!K$14+'[36]PRODUCTION (Rev.2) BP22 (2)'!K$15+'[36]PRODUCTION (Rev.2) BP22 (2)'!K$77+'[36]PRODUCTION (Rev.2) BP22 (2)'!K$76</f>
        <v>1322350.5649999999</v>
      </c>
      <c r="P17" s="135">
        <f>'[36]PRODUCTION (Rev.2) BP22 (2)'!L$13+'[36]PRODUCTION (Rev.2) BP22 (2)'!L$14+'[36]PRODUCTION (Rev.2) BP22 (2)'!L$15+'[36]PRODUCTION (Rev.2) BP22 (2)'!L$77+'[36]PRODUCTION (Rev.2) BP22 (2)'!L$76</f>
        <v>1380902.92</v>
      </c>
      <c r="Q17" s="135">
        <f>'[36]PRODUCTION (Rev.2) BP22 (2)'!M$13+'[36]PRODUCTION (Rev.2) BP22 (2)'!M$14+'[36]PRODUCTION (Rev.2) BP22 (2)'!M$15+'[36]PRODUCTION (Rev.2) BP22 (2)'!M$77+'[36]PRODUCTION (Rev.2) BP22 (2)'!M$76</f>
        <v>1667819.8309999998</v>
      </c>
      <c r="R17" s="135"/>
      <c r="S17" s="135"/>
      <c r="T17" s="135"/>
      <c r="U17" s="135"/>
      <c r="V17" s="135"/>
      <c r="W17" s="135"/>
    </row>
    <row r="18" spans="1:23" ht="18" customHeight="1" thickTop="1">
      <c r="A18" s="1002"/>
      <c r="B18" s="1071">
        <v>6040</v>
      </c>
      <c r="C18" s="136" t="s">
        <v>95</v>
      </c>
      <c r="D18" s="136" t="s">
        <v>89</v>
      </c>
      <c r="E18" s="130">
        <f>'[3]SM - Qty'!X18</f>
        <v>2113.5464643428613</v>
      </c>
      <c r="F18" s="95">
        <f>$E18/1000000*F$21</f>
        <v>17.454089411836222</v>
      </c>
      <c r="G18" s="95">
        <f t="shared" ref="G18:Q20" si="4">$E18/1000000*G$21</f>
        <v>17.565261955860652</v>
      </c>
      <c r="H18" s="95">
        <f t="shared" si="4"/>
        <v>17.342916867811784</v>
      </c>
      <c r="I18" s="95">
        <f t="shared" si="4"/>
        <v>18.009952131958393</v>
      </c>
      <c r="J18" s="95">
        <f t="shared" si="4"/>
        <v>17.898779587933959</v>
      </c>
      <c r="K18" s="95">
        <f t="shared" si="4"/>
        <v>21.122783364642558</v>
      </c>
      <c r="L18" s="95">
        <f t="shared" si="4"/>
        <v>21.567473540740298</v>
      </c>
      <c r="M18" s="95">
        <f t="shared" si="4"/>
        <v>21.789818628789167</v>
      </c>
      <c r="N18" s="95">
        <f t="shared" si="4"/>
        <v>21.122783364642558</v>
      </c>
      <c r="O18" s="95">
        <f t="shared" si="4"/>
        <v>14.452430723176487</v>
      </c>
      <c r="P18" s="95">
        <f t="shared" si="4"/>
        <v>15.564156163420831</v>
      </c>
      <c r="Q18" s="95">
        <f t="shared" si="4"/>
        <v>18.45464230805613</v>
      </c>
      <c r="R18" s="130"/>
      <c r="S18" s="130"/>
      <c r="T18" s="130"/>
      <c r="U18" s="130"/>
      <c r="V18" s="130"/>
      <c r="W18" s="130"/>
    </row>
    <row r="19" spans="1:23" ht="18" customHeight="1">
      <c r="A19" s="1002"/>
      <c r="B19" s="1064"/>
      <c r="C19" s="137"/>
      <c r="D19" s="137" t="s">
        <v>88</v>
      </c>
      <c r="E19" s="95">
        <f>'[3]SM - Qty'!X19</f>
        <v>1960.8996278938448</v>
      </c>
      <c r="F19" s="95">
        <f>$E19/1000000*F$21</f>
        <v>16.19350130707295</v>
      </c>
      <c r="G19" s="95">
        <f t="shared" si="4"/>
        <v>16.296644627500164</v>
      </c>
      <c r="H19" s="95">
        <f t="shared" si="4"/>
        <v>16.090357986645735</v>
      </c>
      <c r="I19" s="95">
        <f t="shared" si="4"/>
        <v>16.709217909209034</v>
      </c>
      <c r="J19" s="95">
        <f t="shared" si="4"/>
        <v>16.606074588781816</v>
      </c>
      <c r="K19" s="95">
        <f t="shared" si="4"/>
        <v>19.597230881171086</v>
      </c>
      <c r="L19" s="95">
        <f t="shared" si="4"/>
        <v>20.009804162879952</v>
      </c>
      <c r="M19" s="95">
        <f t="shared" si="4"/>
        <v>20.216090803734385</v>
      </c>
      <c r="N19" s="95">
        <f t="shared" si="4"/>
        <v>19.597230881171086</v>
      </c>
      <c r="O19" s="95">
        <f t="shared" si="4"/>
        <v>13.408631655538111</v>
      </c>
      <c r="P19" s="95">
        <f t="shared" si="4"/>
        <v>14.440064859810274</v>
      </c>
      <c r="Q19" s="95">
        <f t="shared" si="4"/>
        <v>17.121791190917897</v>
      </c>
      <c r="R19" s="95"/>
      <c r="S19" s="95"/>
      <c r="T19" s="95"/>
      <c r="U19" s="95"/>
      <c r="V19" s="95"/>
      <c r="W19" s="95"/>
    </row>
    <row r="20" spans="1:23" ht="18" customHeight="1">
      <c r="A20" s="1002"/>
      <c r="B20" s="1064"/>
      <c r="C20" s="137"/>
      <c r="D20" s="137" t="s">
        <v>87</v>
      </c>
      <c r="E20" s="95">
        <f>'[3]SM - Qty'!X20</f>
        <v>280.41524280494684</v>
      </c>
      <c r="F20" s="95">
        <f>$E20/1000000*F$21</f>
        <v>2.3157251581318121</v>
      </c>
      <c r="G20" s="95">
        <f t="shared" si="4"/>
        <v>2.3304749999033518</v>
      </c>
      <c r="H20" s="95">
        <f t="shared" si="4"/>
        <v>2.300975316360272</v>
      </c>
      <c r="I20" s="95">
        <f t="shared" si="4"/>
        <v>2.3894743669895133</v>
      </c>
      <c r="J20" s="95">
        <f t="shared" si="4"/>
        <v>2.3747245252179727</v>
      </c>
      <c r="K20" s="95">
        <f t="shared" si="4"/>
        <v>2.8024699365926389</v>
      </c>
      <c r="L20" s="95">
        <f t="shared" si="4"/>
        <v>2.8614693036787999</v>
      </c>
      <c r="M20" s="95">
        <f t="shared" si="4"/>
        <v>2.8909689872218798</v>
      </c>
      <c r="N20" s="95">
        <f t="shared" si="4"/>
        <v>2.8024699365926389</v>
      </c>
      <c r="O20" s="95">
        <f t="shared" si="4"/>
        <v>1.9174794303002265</v>
      </c>
      <c r="P20" s="95">
        <f t="shared" si="4"/>
        <v>2.0649778480156287</v>
      </c>
      <c r="Q20" s="95">
        <f t="shared" si="4"/>
        <v>2.4484737340756739</v>
      </c>
      <c r="R20" s="95"/>
      <c r="S20" s="95"/>
      <c r="T20" s="95"/>
      <c r="U20" s="95"/>
      <c r="V20" s="95"/>
      <c r="W20" s="95"/>
    </row>
    <row r="21" spans="1:23" ht="18" customHeight="1">
      <c r="A21" s="1002"/>
      <c r="B21" s="1064"/>
      <c r="C21" s="138" t="s">
        <v>92</v>
      </c>
      <c r="D21" s="138"/>
      <c r="E21" s="133">
        <f>'[3]SM - Qty'!X21</f>
        <v>0</v>
      </c>
      <c r="F21" s="133">
        <f>'[36]PRODUCTION (Rev.2) BP22 (2)'!B$83+'[36]PRODUCTION (Rev.2) BP22 (2)'!B$84</f>
        <v>8258.2000000000007</v>
      </c>
      <c r="G21" s="133">
        <f>'[36]PRODUCTION (Rev.2) BP22 (2)'!C$83+'[36]PRODUCTION (Rev.2) BP22 (2)'!C$84</f>
        <v>8310.7999999999993</v>
      </c>
      <c r="H21" s="133">
        <f>'[36]PRODUCTION (Rev.2) BP22 (2)'!D$83+'[36]PRODUCTION (Rev.2) BP22 (2)'!D$84</f>
        <v>8205.6</v>
      </c>
      <c r="I21" s="133">
        <f>'[36]PRODUCTION (Rev.2) BP22 (2)'!E$83+'[36]PRODUCTION (Rev.2) BP22 (2)'!E$84</f>
        <v>8521.2000000000007</v>
      </c>
      <c r="J21" s="133">
        <f>'[36]PRODUCTION (Rev.2) BP22 (2)'!F$83+'[36]PRODUCTION (Rev.2) BP22 (2)'!F$84</f>
        <v>8468.6</v>
      </c>
      <c r="K21" s="133">
        <f>'[36]PRODUCTION (Rev.2) BP22 (2)'!G$83+'[36]PRODUCTION (Rev.2) BP22 (2)'!G$84</f>
        <v>9994</v>
      </c>
      <c r="L21" s="133">
        <f>'[36]PRODUCTION (Rev.2) BP22 (2)'!H$83+'[36]PRODUCTION (Rev.2) BP22 (2)'!H$84</f>
        <v>10204.400000000001</v>
      </c>
      <c r="M21" s="133">
        <f>'[36]PRODUCTION (Rev.2) BP22 (2)'!I$83+'[36]PRODUCTION (Rev.2) BP22 (2)'!I$84</f>
        <v>10309.6</v>
      </c>
      <c r="N21" s="133">
        <f>'[36]PRODUCTION (Rev.2) BP22 (2)'!J$83+'[36]PRODUCTION (Rev.2) BP22 (2)'!J$84</f>
        <v>9994</v>
      </c>
      <c r="O21" s="133">
        <f>'[36]PRODUCTION (Rev.2) BP22 (2)'!K$83+'[36]PRODUCTION (Rev.2) BP22 (2)'!K$84</f>
        <v>6838</v>
      </c>
      <c r="P21" s="133">
        <f>'[36]PRODUCTION (Rev.2) BP22 (2)'!L$83+'[36]PRODUCTION (Rev.2) BP22 (2)'!L$84</f>
        <v>7364</v>
      </c>
      <c r="Q21" s="133">
        <f>'[36]PRODUCTION (Rev.2) BP22 (2)'!M$83+'[36]PRODUCTION (Rev.2) BP22 (2)'!M$84</f>
        <v>8731.6</v>
      </c>
      <c r="R21" s="133"/>
      <c r="S21" s="133"/>
      <c r="T21" s="133"/>
      <c r="U21" s="133"/>
      <c r="V21" s="133"/>
      <c r="W21" s="133"/>
    </row>
    <row r="22" spans="1:23" ht="18" customHeight="1">
      <c r="A22" s="1002"/>
      <c r="B22" s="1064">
        <v>6050</v>
      </c>
      <c r="C22" s="139" t="s">
        <v>94</v>
      </c>
      <c r="D22" s="139" t="s">
        <v>89</v>
      </c>
      <c r="E22" s="95">
        <f>'[3]SM - Qty'!X22</f>
        <v>1022.4768263751063</v>
      </c>
      <c r="F22" s="95">
        <f>$E22/1000000*F$25</f>
        <v>1.6705435997065889</v>
      </c>
      <c r="G22" s="95">
        <f t="shared" ref="G22:Q24" si="5">$E22/1000000*G$25</f>
        <v>1.6811840048002618</v>
      </c>
      <c r="H22" s="95">
        <f t="shared" si="5"/>
        <v>1.6599031946129166</v>
      </c>
      <c r="I22" s="95">
        <f t="shared" si="5"/>
        <v>1.7237456251749519</v>
      </c>
      <c r="J22" s="95">
        <f t="shared" si="5"/>
        <v>1.7131052200812793</v>
      </c>
      <c r="K22" s="95">
        <f t="shared" si="5"/>
        <v>2.0216769677977831</v>
      </c>
      <c r="L22" s="95">
        <f t="shared" si="5"/>
        <v>2.0642385881724734</v>
      </c>
      <c r="M22" s="95">
        <f t="shared" si="5"/>
        <v>2.0855193983598181</v>
      </c>
      <c r="N22" s="95">
        <f t="shared" si="5"/>
        <v>2.0216769677977831</v>
      </c>
      <c r="O22" s="95">
        <f t="shared" si="5"/>
        <v>1.3832526621774306</v>
      </c>
      <c r="P22" s="95">
        <f t="shared" si="5"/>
        <v>1.4896567131141563</v>
      </c>
      <c r="Q22" s="95">
        <f t="shared" si="5"/>
        <v>1.7663072455496422</v>
      </c>
      <c r="R22" s="95"/>
      <c r="S22" s="95"/>
      <c r="T22" s="95"/>
      <c r="U22" s="95"/>
      <c r="V22" s="95"/>
      <c r="W22" s="95"/>
    </row>
    <row r="23" spans="1:23" ht="18" customHeight="1">
      <c r="A23" s="1002"/>
      <c r="B23" s="1064"/>
      <c r="C23" s="139"/>
      <c r="D23" s="139" t="s">
        <v>88</v>
      </c>
      <c r="E23" s="95">
        <f>'[3]SM - Qty'!X23</f>
        <v>868.34943813976133</v>
      </c>
      <c r="F23" s="95">
        <f>$E23/1000000*F$25</f>
        <v>1.4187271131962238</v>
      </c>
      <c r="G23" s="95">
        <f t="shared" si="5"/>
        <v>1.4277635916242255</v>
      </c>
      <c r="H23" s="95">
        <f t="shared" si="5"/>
        <v>1.4096906347682225</v>
      </c>
      <c r="I23" s="95">
        <f t="shared" si="5"/>
        <v>1.4639095053362312</v>
      </c>
      <c r="J23" s="95">
        <f t="shared" si="5"/>
        <v>1.4548730269082297</v>
      </c>
      <c r="K23" s="95">
        <f t="shared" si="5"/>
        <v>1.7169309013202712</v>
      </c>
      <c r="L23" s="95">
        <f t="shared" si="5"/>
        <v>1.7530768150322771</v>
      </c>
      <c r="M23" s="95">
        <f t="shared" si="5"/>
        <v>1.7711497718882796</v>
      </c>
      <c r="N23" s="95">
        <f t="shared" si="5"/>
        <v>1.7169309013202712</v>
      </c>
      <c r="O23" s="95">
        <f t="shared" si="5"/>
        <v>1.1747421956401856</v>
      </c>
      <c r="P23" s="95">
        <f t="shared" si="5"/>
        <v>1.2651069799201999</v>
      </c>
      <c r="Q23" s="95">
        <f t="shared" si="5"/>
        <v>1.5000554190482371</v>
      </c>
      <c r="R23" s="95"/>
      <c r="S23" s="95"/>
      <c r="T23" s="95"/>
      <c r="U23" s="95"/>
      <c r="V23" s="95"/>
      <c r="W23" s="95"/>
    </row>
    <row r="24" spans="1:23" ht="18" customHeight="1">
      <c r="A24" s="1002"/>
      <c r="B24" s="1064"/>
      <c r="C24" s="139"/>
      <c r="D24" s="139" t="s">
        <v>87</v>
      </c>
      <c r="E24" s="95">
        <f>'[3]SM - Qty'!X24</f>
        <v>0</v>
      </c>
      <c r="F24" s="95">
        <f>$E24/1000000*F$25</f>
        <v>0</v>
      </c>
      <c r="G24" s="95">
        <f t="shared" si="5"/>
        <v>0</v>
      </c>
      <c r="H24" s="95">
        <f t="shared" si="5"/>
        <v>0</v>
      </c>
      <c r="I24" s="95">
        <f t="shared" si="5"/>
        <v>0</v>
      </c>
      <c r="J24" s="95">
        <f t="shared" si="5"/>
        <v>0</v>
      </c>
      <c r="K24" s="95">
        <f t="shared" si="5"/>
        <v>0</v>
      </c>
      <c r="L24" s="95">
        <f t="shared" si="5"/>
        <v>0</v>
      </c>
      <c r="M24" s="95">
        <f t="shared" si="5"/>
        <v>0</v>
      </c>
      <c r="N24" s="95">
        <f t="shared" si="5"/>
        <v>0</v>
      </c>
      <c r="O24" s="95">
        <f t="shared" si="5"/>
        <v>0</v>
      </c>
      <c r="P24" s="95">
        <f t="shared" si="5"/>
        <v>0</v>
      </c>
      <c r="Q24" s="95">
        <f t="shared" si="5"/>
        <v>0</v>
      </c>
      <c r="R24" s="95"/>
      <c r="S24" s="95"/>
      <c r="T24" s="95"/>
      <c r="U24" s="95"/>
      <c r="V24" s="95"/>
      <c r="W24" s="95"/>
    </row>
    <row r="25" spans="1:23" ht="18" customHeight="1">
      <c r="A25" s="1002"/>
      <c r="B25" s="1064"/>
      <c r="C25" s="138" t="s">
        <v>92</v>
      </c>
      <c r="D25" s="138"/>
      <c r="E25" s="133">
        <f>'[3]SM - Qty'!X25</f>
        <v>0</v>
      </c>
      <c r="F25" s="133">
        <f>'[36]PRODUCTION (Rev.2) BP22 (2)'!B$85+'[36]PRODUCTION (Rev.2) BP22 (2)'!B$103</f>
        <v>1633.8204999999998</v>
      </c>
      <c r="G25" s="133">
        <f>'[36]PRODUCTION (Rev.2) BP22 (2)'!C$85+'[36]PRODUCTION (Rev.2) BP22 (2)'!C$103</f>
        <v>1644.2270000000001</v>
      </c>
      <c r="H25" s="133">
        <f>'[36]PRODUCTION (Rev.2) BP22 (2)'!D$85+'[36]PRODUCTION (Rev.2) BP22 (2)'!D$103</f>
        <v>1623.414</v>
      </c>
      <c r="I25" s="133">
        <f>'[36]PRODUCTION (Rev.2) BP22 (2)'!E$85+'[36]PRODUCTION (Rev.2) BP22 (2)'!E$103</f>
        <v>1685.8530000000001</v>
      </c>
      <c r="J25" s="133">
        <f>'[36]PRODUCTION (Rev.2) BP22 (2)'!F$85+'[36]PRODUCTION (Rev.2) BP22 (2)'!F$103</f>
        <v>1675.4465</v>
      </c>
      <c r="K25" s="133">
        <f>'[36]PRODUCTION (Rev.2) BP22 (2)'!G$85+'[36]PRODUCTION (Rev.2) BP22 (2)'!G$103</f>
        <v>1977.2350000000001</v>
      </c>
      <c r="L25" s="133">
        <f>'[36]PRODUCTION (Rev.2) BP22 (2)'!H$85+'[36]PRODUCTION (Rev.2) BP22 (2)'!H$103</f>
        <v>2018.8610000000003</v>
      </c>
      <c r="M25" s="133">
        <f>'[36]PRODUCTION (Rev.2) BP22 (2)'!I$85+'[36]PRODUCTION (Rev.2) BP22 (2)'!I$103</f>
        <v>2039.674</v>
      </c>
      <c r="N25" s="133">
        <f>'[36]PRODUCTION (Rev.2) BP22 (2)'!J$85+'[36]PRODUCTION (Rev.2) BP22 (2)'!J$103</f>
        <v>1977.2350000000001</v>
      </c>
      <c r="O25" s="133">
        <f>'[36]PRODUCTION (Rev.2) BP22 (2)'!K$85+'[36]PRODUCTION (Rev.2) BP22 (2)'!K$103</f>
        <v>1352.845</v>
      </c>
      <c r="P25" s="133">
        <f>'[36]PRODUCTION (Rev.2) BP22 (2)'!L$85+'[36]PRODUCTION (Rev.2) BP22 (2)'!L$103</f>
        <v>1456.9100000000003</v>
      </c>
      <c r="Q25" s="133">
        <f>'[36]PRODUCTION (Rev.2) BP22 (2)'!M$85+'[36]PRODUCTION (Rev.2) BP22 (2)'!M$103</f>
        <v>1727.4790000000003</v>
      </c>
      <c r="R25" s="133"/>
      <c r="S25" s="133"/>
      <c r="T25" s="133"/>
      <c r="U25" s="133"/>
      <c r="V25" s="133"/>
      <c r="W25" s="133"/>
    </row>
    <row r="26" spans="1:23" ht="18" customHeight="1">
      <c r="A26" s="1002"/>
      <c r="B26" s="1064">
        <v>6060</v>
      </c>
      <c r="C26" s="139" t="s">
        <v>93</v>
      </c>
      <c r="D26" s="139" t="s">
        <v>89</v>
      </c>
      <c r="E26" s="95">
        <f>'[3]SM - Qty'!X26</f>
        <v>1226.6161935678967</v>
      </c>
      <c r="F26" s="95">
        <f>$E26/1000000*F$29</f>
        <v>3516.5546030943051</v>
      </c>
      <c r="G26" s="95">
        <f t="shared" ref="G26:Q28" si="6">$E26/1000000*G$29</f>
        <v>3907.2071735001832</v>
      </c>
      <c r="H26" s="95">
        <f t="shared" si="6"/>
        <v>3794.6704813711149</v>
      </c>
      <c r="I26" s="95">
        <f t="shared" si="6"/>
        <v>3865.1352725889014</v>
      </c>
      <c r="J26" s="95">
        <f t="shared" si="6"/>
        <v>3853.3911407192704</v>
      </c>
      <c r="K26" s="95">
        <f t="shared" si="6"/>
        <v>4255.7030228529811</v>
      </c>
      <c r="L26" s="95">
        <f t="shared" si="6"/>
        <v>4345.2967707025173</v>
      </c>
      <c r="M26" s="95">
        <f t="shared" si="6"/>
        <v>4390.0936446272854</v>
      </c>
      <c r="N26" s="95">
        <f t="shared" si="6"/>
        <v>4071.3093455817884</v>
      </c>
      <c r="O26" s="95">
        <f t="shared" si="6"/>
        <v>2630.6917172631729</v>
      </c>
      <c r="P26" s="95">
        <f t="shared" si="6"/>
        <v>2993.4562746730649</v>
      </c>
      <c r="Q26" s="95">
        <f t="shared" si="6"/>
        <v>3789.4501807106385</v>
      </c>
      <c r="R26" s="95"/>
      <c r="S26" s="95"/>
      <c r="T26" s="95"/>
      <c r="U26" s="95"/>
      <c r="V26" s="95"/>
      <c r="W26" s="95"/>
    </row>
    <row r="27" spans="1:23" ht="18" customHeight="1">
      <c r="A27" s="1002"/>
      <c r="B27" s="1064"/>
      <c r="C27" s="139"/>
      <c r="D27" s="139" t="s">
        <v>88</v>
      </c>
      <c r="E27" s="95">
        <f>'[3]SM - Qty'!X27</f>
        <v>1147.8748543665515</v>
      </c>
      <c r="F27" s="95">
        <f>$E27/1000000*F$29</f>
        <v>3290.8130710044034</v>
      </c>
      <c r="G27" s="95">
        <f t="shared" si="6"/>
        <v>3656.3881096464679</v>
      </c>
      <c r="H27" s="95">
        <f t="shared" si="6"/>
        <v>3551.0755923603529</v>
      </c>
      <c r="I27" s="95">
        <f t="shared" si="6"/>
        <v>3617.0169702593471</v>
      </c>
      <c r="J27" s="95">
        <f t="shared" si="6"/>
        <v>3606.0267406095149</v>
      </c>
      <c r="K27" s="95">
        <f t="shared" si="6"/>
        <v>3982.5126336995963</v>
      </c>
      <c r="L27" s="95">
        <f t="shared" si="6"/>
        <v>4066.3550049353776</v>
      </c>
      <c r="M27" s="95">
        <f t="shared" si="6"/>
        <v>4108.276190553268</v>
      </c>
      <c r="N27" s="95">
        <f t="shared" si="6"/>
        <v>3809.9559150180025</v>
      </c>
      <c r="O27" s="95">
        <f t="shared" si="6"/>
        <v>2461.8172234081212</v>
      </c>
      <c r="P27" s="95">
        <f t="shared" si="6"/>
        <v>2801.2944907797564</v>
      </c>
      <c r="Q27" s="95">
        <f t="shared" si="6"/>
        <v>3546.1904034220233</v>
      </c>
      <c r="R27" s="95"/>
      <c r="S27" s="95"/>
      <c r="T27" s="95"/>
      <c r="U27" s="95"/>
      <c r="V27" s="95"/>
      <c r="W27" s="95"/>
    </row>
    <row r="28" spans="1:23" ht="18" customHeight="1">
      <c r="A28" s="1002"/>
      <c r="B28" s="1064"/>
      <c r="C28" s="139"/>
      <c r="D28" s="139" t="s">
        <v>87</v>
      </c>
      <c r="E28" s="95">
        <f>'[3]SM - Qty'!X28</f>
        <v>26.735116350440492</v>
      </c>
      <c r="F28" s="95">
        <f>$E28/1000000*F$29</f>
        <v>76.646221498949501</v>
      </c>
      <c r="G28" s="95">
        <f t="shared" si="6"/>
        <v>85.160817977592586</v>
      </c>
      <c r="H28" s="95">
        <f t="shared" si="6"/>
        <v>82.707987521300552</v>
      </c>
      <c r="I28" s="95">
        <f t="shared" si="6"/>
        <v>84.24382603516959</v>
      </c>
      <c r="J28" s="95">
        <f t="shared" si="6"/>
        <v>83.987852949524751</v>
      </c>
      <c r="K28" s="95">
        <f t="shared" si="6"/>
        <v>92.756573788537608</v>
      </c>
      <c r="L28" s="95">
        <f t="shared" si="6"/>
        <v>94.709343763033147</v>
      </c>
      <c r="M28" s="95">
        <f t="shared" si="6"/>
        <v>95.685728750280916</v>
      </c>
      <c r="N28" s="95">
        <f t="shared" si="6"/>
        <v>88.737560798181207</v>
      </c>
      <c r="O28" s="95">
        <f t="shared" si="6"/>
        <v>57.338105849226224</v>
      </c>
      <c r="P28" s="95">
        <f t="shared" si="6"/>
        <v>65.244859975762779</v>
      </c>
      <c r="Q28" s="95">
        <f t="shared" si="6"/>
        <v>82.594206742704955</v>
      </c>
      <c r="R28" s="95"/>
      <c r="S28" s="95"/>
      <c r="T28" s="95"/>
      <c r="U28" s="95"/>
      <c r="V28" s="95"/>
      <c r="W28" s="95"/>
    </row>
    <row r="29" spans="1:23" ht="18" customHeight="1">
      <c r="A29" s="1002"/>
      <c r="B29" s="1064"/>
      <c r="C29" s="138" t="s">
        <v>92</v>
      </c>
      <c r="D29" s="138"/>
      <c r="E29" s="133">
        <f>'[3]SM - Qty'!X29</f>
        <v>0</v>
      </c>
      <c r="F29" s="133">
        <f>SUM('[36]PRODUCTION (Rev.2) BP22 (2)'!B$25:B$34,'[36]PRODUCTION (Rev.2) BP22 (2)'!B$86:B$87,'[36]PRODUCTION (Rev.2) BP22 (2)'!B$92:B$93,'[36]PRODUCTION (Rev.2) BP22 (2)'!B$97:B$100)</f>
        <v>2866874.4319000007</v>
      </c>
      <c r="G29" s="133">
        <f>SUM('[36]PRODUCTION (Rev.2) BP22 (2)'!C$25:C$34,'[36]PRODUCTION (Rev.2) BP22 (2)'!C$86:C$87,'[36]PRODUCTION (Rev.2) BP22 (2)'!C$92:C$93,'[36]PRODUCTION (Rev.2) BP22 (2)'!C$97:C$100)</f>
        <v>3185354.3056000001</v>
      </c>
      <c r="H29" s="133">
        <f>SUM('[36]PRODUCTION (Rev.2) BP22 (2)'!D$25:D$34,'[36]PRODUCTION (Rev.2) BP22 (2)'!D$86:D$87,'[36]PRODUCTION (Rev.2) BP22 (2)'!D$92:D$93,'[36]PRODUCTION (Rev.2) BP22 (2)'!D$97:D$100)</f>
        <v>3093608.6620000005</v>
      </c>
      <c r="I29" s="133">
        <f>SUM('[36]PRODUCTION (Rev.2) BP22 (2)'!E$25:E$34,'[36]PRODUCTION (Rev.2) BP22 (2)'!E$86:E$87,'[36]PRODUCTION (Rev.2) BP22 (2)'!E$92:E$93,'[36]PRODUCTION (Rev.2) BP22 (2)'!E$97:E$100)</f>
        <v>3151055.1489999997</v>
      </c>
      <c r="J29" s="133">
        <f>SUM('[36]PRODUCTION (Rev.2) BP22 (2)'!F$25:F$34,'[36]PRODUCTION (Rev.2) BP22 (2)'!F$86:F$87,'[36]PRODUCTION (Rev.2) BP22 (2)'!F$92:F$93,'[36]PRODUCTION (Rev.2) BP22 (2)'!F$97:F$100)</f>
        <v>3141480.7344999998</v>
      </c>
      <c r="K29" s="133">
        <f>SUM('[36]PRODUCTION (Rev.2) BP22 (2)'!G$25:G$34,'[36]PRODUCTION (Rev.2) BP22 (2)'!G$86:G$87,'[36]PRODUCTION (Rev.2) BP22 (2)'!G$92:G$93,'[36]PRODUCTION (Rev.2) BP22 (2)'!G$97:G$100)</f>
        <v>3469465.8730000006</v>
      </c>
      <c r="L29" s="133">
        <f>SUM('[36]PRODUCTION (Rev.2) BP22 (2)'!H$25:H$34,'[36]PRODUCTION (Rev.2) BP22 (2)'!H$86:H$87,'[36]PRODUCTION (Rev.2) BP22 (2)'!H$92:H$93,'[36]PRODUCTION (Rev.2) BP22 (2)'!H$97:H$100)</f>
        <v>3542507.2598000006</v>
      </c>
      <c r="M29" s="133">
        <f>SUM('[36]PRODUCTION (Rev.2) BP22 (2)'!I$25:I$34,'[36]PRODUCTION (Rev.2) BP22 (2)'!I$86:I$87,'[36]PRODUCTION (Rev.2) BP22 (2)'!I$92:I$93,'[36]PRODUCTION (Rev.2) BP22 (2)'!I$97:I$100)</f>
        <v>3579027.9532000008</v>
      </c>
      <c r="N29" s="133">
        <f>SUM('[36]PRODUCTION (Rev.2) BP22 (2)'!J$25:J$34,'[36]PRODUCTION (Rev.2) BP22 (2)'!J$86:J$87,'[36]PRODUCTION (Rev.2) BP22 (2)'!J$92:J$93,'[36]PRODUCTION (Rev.2) BP22 (2)'!J$97:J$100)</f>
        <v>3319138.7550000004</v>
      </c>
      <c r="O29" s="133">
        <f>SUM('[36]PRODUCTION (Rev.2) BP22 (2)'!K$25:K$34,'[36]PRODUCTION (Rev.2) BP22 (2)'!K$86:K$87,'[36]PRODUCTION (Rev.2) BP22 (2)'!K$92:K$93,'[36]PRODUCTION (Rev.2) BP22 (2)'!K$97:K$100)</f>
        <v>2144673.8849999998</v>
      </c>
      <c r="P29" s="133">
        <f>SUM('[36]PRODUCTION (Rev.2) BP22 (2)'!L$25:L$34,'[36]PRODUCTION (Rev.2) BP22 (2)'!L$86:L$87,'[36]PRODUCTION (Rev.2) BP22 (2)'!L$92:L$93,'[36]PRODUCTION (Rev.2) BP22 (2)'!L$97:L$100)</f>
        <v>2440418.0299999998</v>
      </c>
      <c r="Q29" s="133">
        <f>SUM('[36]PRODUCTION (Rev.2) BP22 (2)'!M$25:M$34,'[36]PRODUCTION (Rev.2) BP22 (2)'!M$86:M$87,'[36]PRODUCTION (Rev.2) BP22 (2)'!M$92:M$93,'[36]PRODUCTION (Rev.2) BP22 (2)'!M$97:M$100)</f>
        <v>3089352.807000001</v>
      </c>
      <c r="R29" s="133"/>
      <c r="S29" s="133"/>
      <c r="T29" s="133"/>
      <c r="U29" s="133"/>
      <c r="V29" s="133"/>
      <c r="W29" s="133"/>
    </row>
    <row r="30" spans="1:23" ht="18" customHeight="1">
      <c r="A30" s="1002"/>
      <c r="B30" s="140"/>
      <c r="C30" s="140" t="s">
        <v>83</v>
      </c>
      <c r="D30" s="138" t="s">
        <v>91</v>
      </c>
      <c r="E30" s="133">
        <f>'[3]SM - Qty'!X30</f>
        <v>0</v>
      </c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3"/>
    </row>
    <row r="31" spans="1:23" ht="18" customHeight="1">
      <c r="A31" s="1002"/>
      <c r="B31" s="1064">
        <v>6070</v>
      </c>
      <c r="C31" s="139" t="s">
        <v>90</v>
      </c>
      <c r="D31" s="139" t="s">
        <v>89</v>
      </c>
      <c r="E31" s="95">
        <f>'[3]SM - Qty'!X31</f>
        <v>1359.09167646848</v>
      </c>
      <c r="F31" s="95">
        <f>$E31/1000000*F$34</f>
        <v>1154.8769162303606</v>
      </c>
      <c r="G31" s="95">
        <f t="shared" ref="G31:Q33" si="7">$E31/1000000*G$34</f>
        <v>1077.7978911387959</v>
      </c>
      <c r="H31" s="95">
        <f t="shared" si="7"/>
        <v>1113.1961653155577</v>
      </c>
      <c r="I31" s="95">
        <f t="shared" si="7"/>
        <v>1146.6023062213746</v>
      </c>
      <c r="J31" s="95">
        <f t="shared" si="7"/>
        <v>1187.4702483497449</v>
      </c>
      <c r="K31" s="95">
        <f t="shared" si="7"/>
        <v>1408.9598117718824</v>
      </c>
      <c r="L31" s="95">
        <f t="shared" si="7"/>
        <v>1435.7608779639886</v>
      </c>
      <c r="M31" s="95">
        <f t="shared" si="7"/>
        <v>1441.7571693066925</v>
      </c>
      <c r="N31" s="95">
        <f t="shared" si="7"/>
        <v>1358.283503136028</v>
      </c>
      <c r="O31" s="95">
        <f t="shared" si="7"/>
        <v>956.26751025443866</v>
      </c>
      <c r="P31" s="95">
        <f t="shared" si="7"/>
        <v>1046.8731213069789</v>
      </c>
      <c r="Q31" s="95">
        <f t="shared" si="7"/>
        <v>1221.0800515556675</v>
      </c>
      <c r="R31" s="95"/>
      <c r="S31" s="95"/>
      <c r="T31" s="95"/>
      <c r="U31" s="95"/>
      <c r="V31" s="95"/>
      <c r="W31" s="95"/>
    </row>
    <row r="32" spans="1:23" ht="18" customHeight="1">
      <c r="A32" s="1002"/>
      <c r="B32" s="1064"/>
      <c r="C32" s="139"/>
      <c r="D32" s="139" t="s">
        <v>88</v>
      </c>
      <c r="E32" s="95">
        <f>'[3]SM - Qty'!X32</f>
        <v>1324.7594799299206</v>
      </c>
      <c r="F32" s="95">
        <f>$E32/1000000*F$34</f>
        <v>1125.7034160519968</v>
      </c>
      <c r="G32" s="95">
        <f t="shared" si="7"/>
        <v>1050.5714945180966</v>
      </c>
      <c r="H32" s="95">
        <f t="shared" si="7"/>
        <v>1085.0755681584235</v>
      </c>
      <c r="I32" s="95">
        <f t="shared" si="7"/>
        <v>1117.6378320726947</v>
      </c>
      <c r="J32" s="95">
        <f t="shared" si="7"/>
        <v>1157.473403651255</v>
      </c>
      <c r="K32" s="95">
        <f t="shared" si="7"/>
        <v>1373.3678896004676</v>
      </c>
      <c r="L32" s="95">
        <f t="shared" si="7"/>
        <v>1399.4919304764146</v>
      </c>
      <c r="M32" s="95">
        <f t="shared" si="7"/>
        <v>1405.3367487018561</v>
      </c>
      <c r="N32" s="95">
        <f t="shared" si="7"/>
        <v>1323.971721972066</v>
      </c>
      <c r="O32" s="95">
        <f t="shared" si="7"/>
        <v>932.11110883286347</v>
      </c>
      <c r="P32" s="95">
        <f t="shared" si="7"/>
        <v>1020.4279194313866</v>
      </c>
      <c r="Q32" s="95">
        <f t="shared" si="7"/>
        <v>1190.2341851250408</v>
      </c>
      <c r="R32" s="95"/>
      <c r="S32" s="95"/>
      <c r="T32" s="95"/>
      <c r="U32" s="95"/>
      <c r="V32" s="95"/>
      <c r="W32" s="95"/>
    </row>
    <row r="33" spans="1:23" ht="18" customHeight="1">
      <c r="A33" s="1002"/>
      <c r="B33" s="1064"/>
      <c r="C33" s="139"/>
      <c r="D33" s="139" t="s">
        <v>87</v>
      </c>
      <c r="E33" s="95">
        <f>'[3]SM - Qty'!X33</f>
        <v>21.917959381883186</v>
      </c>
      <c r="F33" s="95">
        <f>$E33/1000000*F$34</f>
        <v>18.624604785149387</v>
      </c>
      <c r="G33" s="95">
        <f t="shared" si="7"/>
        <v>17.38155770421816</v>
      </c>
      <c r="H33" s="95">
        <f t="shared" si="7"/>
        <v>17.952422752565049</v>
      </c>
      <c r="I33" s="95">
        <f t="shared" si="7"/>
        <v>18.491160831942977</v>
      </c>
      <c r="J33" s="95">
        <f t="shared" si="7"/>
        <v>19.150234764261</v>
      </c>
      <c r="K33" s="95">
        <f t="shared" si="7"/>
        <v>22.722178687287471</v>
      </c>
      <c r="L33" s="95">
        <f t="shared" si="7"/>
        <v>23.154397271479038</v>
      </c>
      <c r="M33" s="95">
        <f t="shared" si="7"/>
        <v>23.251098967447646</v>
      </c>
      <c r="N33" s="95">
        <f t="shared" si="7"/>
        <v>21.904926037200926</v>
      </c>
      <c r="O33" s="95">
        <f t="shared" si="7"/>
        <v>15.421647274327515</v>
      </c>
      <c r="P33" s="95">
        <f t="shared" si="7"/>
        <v>16.882836491511529</v>
      </c>
      <c r="Q33" s="95">
        <f t="shared" si="7"/>
        <v>19.692257288756672</v>
      </c>
      <c r="R33" s="95"/>
      <c r="S33" s="95"/>
      <c r="T33" s="95"/>
      <c r="U33" s="95"/>
      <c r="V33" s="95"/>
      <c r="W33" s="95"/>
    </row>
    <row r="34" spans="1:23" ht="18" customHeight="1" thickBot="1">
      <c r="A34" s="1002"/>
      <c r="B34" s="1065"/>
      <c r="C34" s="141" t="s">
        <v>83</v>
      </c>
      <c r="D34" s="141"/>
      <c r="E34" s="142">
        <f>'[3]SM - Qty'!X34</f>
        <v>0</v>
      </c>
      <c r="F34" s="142">
        <f>SUM('[36]PRODUCTION (Rev.2) BP22 (2)'!B$22:B$24,'[36]PRODUCTION (Rev.2) BP22 (2)'!B$44:B$48,'[36]PRODUCTION (Rev.2) BP22 (2)'!B$54:B$57,'[36]PRODUCTION (Rev.2) BP22 (2)'!B$63:B$68,'[36]PRODUCTION (Rev.2) BP22 (2)'!B$81:B$82,'[36]PRODUCTION (Rev.2) BP22 (2)'!B$101:B$103)</f>
        <v>849741.73282500007</v>
      </c>
      <c r="G34" s="142">
        <f>SUM('[36]PRODUCTION (Rev.2) BP22 (2)'!C$22:C$24,'[36]PRODUCTION (Rev.2) BP22 (2)'!C$44:C$48,'[36]PRODUCTION (Rev.2) BP22 (2)'!C$54:C$57,'[36]PRODUCTION (Rev.2) BP22 (2)'!C$63:C$68,'[36]PRODUCTION (Rev.2) BP22 (2)'!C$81:C$82,'[36]PRODUCTION (Rev.2) BP22 (2)'!C$101:C$103)</f>
        <v>793028.10089999996</v>
      </c>
      <c r="H34" s="142">
        <f>SUM('[36]PRODUCTION (Rev.2) BP22 (2)'!D$22:D$24,'[36]PRODUCTION (Rev.2) BP22 (2)'!D$44:D$48,'[36]PRODUCTION (Rev.2) BP22 (2)'!D$54:D$57,'[36]PRODUCTION (Rev.2) BP22 (2)'!D$63:D$68,'[36]PRODUCTION (Rev.2) BP22 (2)'!D$81:D$82,'[36]PRODUCTION (Rev.2) BP22 (2)'!D$101:D$103)</f>
        <v>819073.63910000003</v>
      </c>
      <c r="I34" s="142">
        <f>SUM('[36]PRODUCTION (Rev.2) BP22 (2)'!E$22:E$24,'[36]PRODUCTION (Rev.2) BP22 (2)'!E$44:E$48,'[36]PRODUCTION (Rev.2) BP22 (2)'!E$54:E$57,'[36]PRODUCTION (Rev.2) BP22 (2)'!E$63:E$68,'[36]PRODUCTION (Rev.2) BP22 (2)'!E$81:E$82,'[36]PRODUCTION (Rev.2) BP22 (2)'!E$101:E$103)</f>
        <v>843653.39445000025</v>
      </c>
      <c r="J34" s="142">
        <f>SUM('[36]PRODUCTION (Rev.2) BP22 (2)'!F$22:F$24,'[36]PRODUCTION (Rev.2) BP22 (2)'!F$44:F$48,'[36]PRODUCTION (Rev.2) BP22 (2)'!F$54:F$57,'[36]PRODUCTION (Rev.2) BP22 (2)'!F$63:F$68,'[36]PRODUCTION (Rev.2) BP22 (2)'!F$81:F$82,'[36]PRODUCTION (Rev.2) BP22 (2)'!F$101:F$103)</f>
        <v>873723.43522500026</v>
      </c>
      <c r="K34" s="142">
        <f>SUM('[36]PRODUCTION (Rev.2) BP22 (2)'!G$22:G$24,'[36]PRODUCTION (Rev.2) BP22 (2)'!G$44:G$48,'[36]PRODUCTION (Rev.2) BP22 (2)'!G$54:G$57,'[36]PRODUCTION (Rev.2) BP22 (2)'!G$63:G$68,'[36]PRODUCTION (Rev.2) BP22 (2)'!G$81:G$82,'[36]PRODUCTION (Rev.2) BP22 (2)'!G$101:G$103)</f>
        <v>1036692.2527499998</v>
      </c>
      <c r="L34" s="142">
        <f>SUM('[36]PRODUCTION (Rev.2) BP22 (2)'!H$22:H$24,'[36]PRODUCTION (Rev.2) BP22 (2)'!H$44:H$48,'[36]PRODUCTION (Rev.2) BP22 (2)'!H$54:H$57,'[36]PRODUCTION (Rev.2) BP22 (2)'!H$63:H$68,'[36]PRODUCTION (Rev.2) BP22 (2)'!H$81:H$82,'[36]PRODUCTION (Rev.2) BP22 (2)'!H$101:H$103)</f>
        <v>1056412.08965</v>
      </c>
      <c r="M34" s="142">
        <f>SUM('[36]PRODUCTION (Rev.2) BP22 (2)'!I$22:I$24,'[36]PRODUCTION (Rev.2) BP22 (2)'!I$44:I$48,'[36]PRODUCTION (Rev.2) BP22 (2)'!I$54:I$57,'[36]PRODUCTION (Rev.2) BP22 (2)'!I$63:I$68,'[36]PRODUCTION (Rev.2) BP22 (2)'!I$81:I$82,'[36]PRODUCTION (Rev.2) BP22 (2)'!I$101:I$103)</f>
        <v>1060824.0741000003</v>
      </c>
      <c r="N34" s="142">
        <f>SUM('[36]PRODUCTION (Rev.2) BP22 (2)'!J$22:J$24,'[36]PRODUCTION (Rev.2) BP22 (2)'!J$44:J$48,'[36]PRODUCTION (Rev.2) BP22 (2)'!J$54:J$57,'[36]PRODUCTION (Rev.2) BP22 (2)'!J$63:J$68,'[36]PRODUCTION (Rev.2) BP22 (2)'!J$81:J$82,'[36]PRODUCTION (Rev.2) BP22 (2)'!J$101:J$103)</f>
        <v>999405.35774999973</v>
      </c>
      <c r="O34" s="142">
        <f>SUM('[36]PRODUCTION (Rev.2) BP22 (2)'!K$22:K$24,'[36]PRODUCTION (Rev.2) BP22 (2)'!K$44:K$48,'[36]PRODUCTION (Rev.2) BP22 (2)'!K$54:K$57,'[36]PRODUCTION (Rev.2) BP22 (2)'!K$63:K$68,'[36]PRODUCTION (Rev.2) BP22 (2)'!K$81:K$82,'[36]PRODUCTION (Rev.2) BP22 (2)'!K$101:K$103)</f>
        <v>703607.80425000004</v>
      </c>
      <c r="P34" s="142">
        <f>SUM('[36]PRODUCTION (Rev.2) BP22 (2)'!L$22:L$24,'[36]PRODUCTION (Rev.2) BP22 (2)'!L$44:L$48,'[36]PRODUCTION (Rev.2) BP22 (2)'!L$54:L$57,'[36]PRODUCTION (Rev.2) BP22 (2)'!L$63:L$68,'[36]PRODUCTION (Rev.2) BP22 (2)'!L$81:L$82,'[36]PRODUCTION (Rev.2) BP22 (2)'!L$101:L$103)</f>
        <v>770274.10250000015</v>
      </c>
      <c r="Q34" s="142">
        <f>SUM('[36]PRODUCTION (Rev.2) BP22 (2)'!M$22:M$24,'[36]PRODUCTION (Rev.2) BP22 (2)'!M$44:M$48,'[36]PRODUCTION (Rev.2) BP22 (2)'!M$54:M$57,'[36]PRODUCTION (Rev.2) BP22 (2)'!M$63:M$68,'[36]PRODUCTION (Rev.2) BP22 (2)'!M$81:M$82,'[36]PRODUCTION (Rev.2) BP22 (2)'!M$101:M$103)</f>
        <v>898453.04234999989</v>
      </c>
      <c r="R34" s="142"/>
      <c r="S34" s="142"/>
      <c r="T34" s="142"/>
      <c r="U34" s="142"/>
      <c r="V34" s="142"/>
      <c r="W34" s="142"/>
    </row>
    <row r="35" spans="1:23" ht="18" customHeight="1" thickTop="1" thickBot="1">
      <c r="A35" s="1002"/>
      <c r="B35" s="920"/>
      <c r="C35" s="923" t="s">
        <v>117</v>
      </c>
      <c r="D35" s="924"/>
      <c r="E35" s="925">
        <f>'[3]SM - Qty'!$X$35</f>
        <v>539.88633971795412</v>
      </c>
      <c r="F35" s="925">
        <f>$E35/1000000*F36</f>
        <v>5.1007597558408762</v>
      </c>
      <c r="G35" s="925">
        <f t="shared" ref="G35:Q35" si="8">$E35/1000000*G36</f>
        <v>5.037787413176174</v>
      </c>
      <c r="H35" s="925">
        <f t="shared" si="8"/>
        <v>4.9748150705114709</v>
      </c>
      <c r="I35" s="925">
        <f t="shared" si="8"/>
        <v>5.0692735845085251</v>
      </c>
      <c r="J35" s="925">
        <f t="shared" si="8"/>
        <v>5.037787413176174</v>
      </c>
      <c r="K35" s="925">
        <f t="shared" si="8"/>
        <v>5.8249416964849514</v>
      </c>
      <c r="L35" s="925">
        <f t="shared" si="8"/>
        <v>5.8564278678173016</v>
      </c>
      <c r="M35" s="925">
        <f t="shared" si="8"/>
        <v>5.8564278678173016</v>
      </c>
      <c r="N35" s="925">
        <f t="shared" si="8"/>
        <v>5.8564278678173016</v>
      </c>
      <c r="O35" s="925">
        <f t="shared" si="8"/>
        <v>4.3450916438644498</v>
      </c>
      <c r="P35" s="925">
        <f t="shared" si="8"/>
        <v>4.5340086718585564</v>
      </c>
      <c r="Q35" s="925">
        <f t="shared" si="8"/>
        <v>5.4785938118290876</v>
      </c>
      <c r="R35" s="925"/>
      <c r="S35" s="925"/>
      <c r="T35" s="925"/>
      <c r="U35" s="925"/>
      <c r="V35" s="925"/>
      <c r="W35" s="925"/>
    </row>
    <row r="36" spans="1:23" ht="18" customHeight="1" thickTop="1">
      <c r="A36" s="1002"/>
      <c r="B36" s="143">
        <v>6075</v>
      </c>
      <c r="C36" s="921" t="s">
        <v>190</v>
      </c>
      <c r="D36" s="921"/>
      <c r="E36" s="922">
        <f>'[3]SM - Qty'!X35</f>
        <v>539.88633971795412</v>
      </c>
      <c r="F36" s="922">
        <f>SUM('[36]PRODUCTION (Rev.2) BP22 (2)'!B$10)</f>
        <v>9447.84</v>
      </c>
      <c r="G36" s="922">
        <f>SUM('[36]PRODUCTION (Rev.2) BP22 (2)'!C$10)</f>
        <v>9331.2000000000007</v>
      </c>
      <c r="H36" s="922">
        <f>SUM('[36]PRODUCTION (Rev.2) BP22 (2)'!D$10)</f>
        <v>9214.56</v>
      </c>
      <c r="I36" s="922">
        <f>SUM('[36]PRODUCTION (Rev.2) BP22 (2)'!E$10)</f>
        <v>9389.52</v>
      </c>
      <c r="J36" s="922">
        <f>SUM('[36]PRODUCTION (Rev.2) BP22 (2)'!F$10)</f>
        <v>9331.2000000000007</v>
      </c>
      <c r="K36" s="922">
        <f>SUM('[36]PRODUCTION (Rev.2) BP22 (2)'!G$10)</f>
        <v>10789.2</v>
      </c>
      <c r="L36" s="922">
        <f>SUM('[36]PRODUCTION (Rev.2) BP22 (2)'!H$10)</f>
        <v>10847.52</v>
      </c>
      <c r="M36" s="922">
        <f>SUM('[36]PRODUCTION (Rev.2) BP22 (2)'!I$10)</f>
        <v>10847.52</v>
      </c>
      <c r="N36" s="922">
        <f>SUM('[36]PRODUCTION (Rev.2) BP22 (2)'!J$10)</f>
        <v>10847.52</v>
      </c>
      <c r="O36" s="922">
        <f>SUM('[36]PRODUCTION (Rev.2) BP22 (2)'!K$10)</f>
        <v>8048.1600000000008</v>
      </c>
      <c r="P36" s="922">
        <f>SUM('[36]PRODUCTION (Rev.2) BP22 (2)'!L$10)</f>
        <v>8398.08</v>
      </c>
      <c r="Q36" s="922">
        <f>SUM('[36]PRODUCTION (Rev.2) BP22 (2)'!M$10)</f>
        <v>10147.679999999998</v>
      </c>
      <c r="R36" s="922"/>
      <c r="S36" s="922"/>
      <c r="T36" s="922"/>
      <c r="U36" s="922"/>
      <c r="V36" s="922"/>
      <c r="W36" s="922"/>
    </row>
    <row r="37" spans="1:23" ht="18" customHeight="1">
      <c r="A37" s="1002"/>
      <c r="B37" s="1064"/>
      <c r="C37" s="131" t="s">
        <v>118</v>
      </c>
      <c r="D37" s="131"/>
      <c r="E37" s="84">
        <f>'[3]SM - Qty'!$X$37</f>
        <v>289.33446085248835</v>
      </c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</row>
    <row r="38" spans="1:23" ht="18" customHeight="1">
      <c r="A38" s="1002"/>
      <c r="B38" s="1064"/>
      <c r="C38" s="131" t="s">
        <v>86</v>
      </c>
      <c r="D38" s="131"/>
      <c r="E38" s="145">
        <f>'[3]SM - Qty'!X38</f>
        <v>0</v>
      </c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</row>
    <row r="39" spans="1:23" ht="18" customHeight="1">
      <c r="A39" s="1002"/>
      <c r="B39" s="1064"/>
      <c r="C39" s="131" t="s">
        <v>85</v>
      </c>
      <c r="D39" s="131"/>
      <c r="E39" s="145">
        <f>'[3]SM - Qty'!X39</f>
        <v>0</v>
      </c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</row>
    <row r="40" spans="1:23" ht="18" customHeight="1">
      <c r="A40" s="1002"/>
      <c r="B40" s="1064"/>
      <c r="C40" s="131" t="s">
        <v>84</v>
      </c>
      <c r="D40" s="131"/>
      <c r="E40" s="145">
        <f>'[3]SM - Qty'!X40</f>
        <v>0</v>
      </c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</row>
    <row r="41" spans="1:23" ht="18" customHeight="1">
      <c r="A41" s="1002"/>
      <c r="B41" s="1064"/>
      <c r="C41" s="132" t="s">
        <v>83</v>
      </c>
      <c r="D41" s="132"/>
      <c r="E41" s="146">
        <f>'[3]SM - Qty'!W41</f>
        <v>0</v>
      </c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</row>
    <row r="42" spans="1:23" ht="18" customHeight="1" thickBot="1">
      <c r="A42" s="1003"/>
      <c r="B42" s="85">
        <v>6080</v>
      </c>
      <c r="C42" s="147" t="s">
        <v>1</v>
      </c>
      <c r="D42" s="148" t="s">
        <v>165</v>
      </c>
      <c r="E42" s="149">
        <f>'[3]SM - Qty'!W42</f>
        <v>0</v>
      </c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</row>
    <row r="43" spans="1:23" ht="20.100000000000001" customHeight="1" thickTop="1" thickBot="1">
      <c r="A43" s="150"/>
      <c r="B43" s="151"/>
      <c r="C43" s="152" t="s">
        <v>59</v>
      </c>
      <c r="D43" s="152"/>
      <c r="E43" s="153">
        <f>'[3]SM - Qty'!W43</f>
        <v>0</v>
      </c>
      <c r="F43" s="153"/>
      <c r="G43" s="153"/>
      <c r="H43" s="153"/>
      <c r="I43" s="153"/>
      <c r="J43" s="153"/>
      <c r="K43" s="153"/>
      <c r="L43" s="153"/>
      <c r="M43" s="153"/>
      <c r="N43" s="153"/>
      <c r="O43" s="153"/>
      <c r="P43" s="153"/>
      <c r="Q43" s="153"/>
      <c r="R43" s="153"/>
      <c r="S43" s="153"/>
      <c r="T43" s="153"/>
      <c r="U43" s="153"/>
      <c r="V43" s="153"/>
      <c r="W43" s="153"/>
    </row>
    <row r="44" spans="1:23" ht="13.5" customHeight="1">
      <c r="E44" s="234">
        <f>'[3]SM - Qty'!W44</f>
        <v>0</v>
      </c>
    </row>
    <row r="45" spans="1:23">
      <c r="C45" s="76" t="s">
        <v>167</v>
      </c>
      <c r="E45" s="234">
        <f>'[3]SM - Qty'!W45</f>
        <v>0</v>
      </c>
      <c r="G45" s="182" t="e">
        <f t="shared" ref="G45:N45" si="9">(G43-F43)/F43*100</f>
        <v>#DIV/0!</v>
      </c>
      <c r="H45" s="182" t="e">
        <f t="shared" si="9"/>
        <v>#DIV/0!</v>
      </c>
      <c r="I45" s="182" t="e">
        <f t="shared" si="9"/>
        <v>#DIV/0!</v>
      </c>
      <c r="J45" s="182" t="e">
        <f t="shared" si="9"/>
        <v>#DIV/0!</v>
      </c>
      <c r="K45" s="182" t="e">
        <f t="shared" si="9"/>
        <v>#DIV/0!</v>
      </c>
      <c r="L45" s="182" t="e">
        <f t="shared" si="9"/>
        <v>#DIV/0!</v>
      </c>
      <c r="M45" s="182" t="e">
        <f t="shared" si="9"/>
        <v>#DIV/0!</v>
      </c>
      <c r="N45" s="182" t="e">
        <f t="shared" si="9"/>
        <v>#DIV/0!</v>
      </c>
    </row>
    <row r="46" spans="1:23">
      <c r="B46" s="547" t="s">
        <v>193</v>
      </c>
      <c r="C46" s="547" t="s">
        <v>190</v>
      </c>
      <c r="D46" s="547"/>
      <c r="E46" s="548">
        <f>'[3]SM - Qty'!W46</f>
        <v>0</v>
      </c>
      <c r="F46" s="604">
        <v>1308973</v>
      </c>
      <c r="G46" s="604"/>
      <c r="H46" s="604"/>
      <c r="I46" s="604"/>
      <c r="J46" s="604"/>
      <c r="K46" s="604"/>
      <c r="L46" s="604"/>
      <c r="M46" s="604"/>
      <c r="N46" s="604"/>
      <c r="O46" s="604"/>
      <c r="P46" s="604"/>
      <c r="Q46" s="604"/>
      <c r="R46" s="547">
        <f>SUM(F46:K46)</f>
        <v>1308973</v>
      </c>
      <c r="S46" s="547"/>
      <c r="T46" s="547">
        <f>SUM(L46:Q46)</f>
        <v>0</v>
      </c>
      <c r="U46" s="547"/>
      <c r="V46" s="547">
        <f>SUM(F46:Q46)</f>
        <v>1308973</v>
      </c>
      <c r="W46" s="547"/>
    </row>
    <row r="47" spans="1:23">
      <c r="B47" s="549"/>
      <c r="C47" s="549" t="s">
        <v>194</v>
      </c>
      <c r="D47" s="549"/>
      <c r="E47" s="605">
        <f>'[3]SM - Qty'!W47</f>
        <v>0</v>
      </c>
      <c r="F47" s="605">
        <v>0</v>
      </c>
      <c r="G47" s="605"/>
      <c r="H47" s="605"/>
      <c r="I47" s="605"/>
      <c r="J47" s="605"/>
      <c r="K47" s="605"/>
      <c r="L47" s="605"/>
      <c r="M47" s="605"/>
      <c r="N47" s="605"/>
      <c r="O47" s="605"/>
      <c r="P47" s="605"/>
      <c r="Q47" s="605"/>
      <c r="R47" s="549">
        <f t="shared" ref="R47:R50" si="10">SUM(F47:K47)</f>
        <v>0</v>
      </c>
      <c r="S47" s="549"/>
      <c r="T47" s="549">
        <f t="shared" ref="T47:T50" si="11">SUM(L47:Q47)</f>
        <v>0</v>
      </c>
      <c r="U47" s="549"/>
      <c r="V47" s="549">
        <f t="shared" ref="V47:V50" si="12">SUM(F47:Q47)</f>
        <v>0</v>
      </c>
      <c r="W47" s="549">
        <f>MROUND(V47/$V$46*1000000,1)</f>
        <v>0</v>
      </c>
    </row>
    <row r="48" spans="1:23">
      <c r="B48" s="549"/>
      <c r="C48" s="549" t="s">
        <v>88</v>
      </c>
      <c r="D48" s="549"/>
      <c r="E48" s="605">
        <f>'[3]SM - Qty'!W48</f>
        <v>0</v>
      </c>
      <c r="F48" s="550">
        <v>0</v>
      </c>
      <c r="G48" s="550"/>
      <c r="H48" s="550"/>
      <c r="I48" s="550"/>
      <c r="J48" s="550"/>
      <c r="K48" s="550"/>
      <c r="L48" s="550"/>
      <c r="M48" s="550"/>
      <c r="N48" s="550"/>
      <c r="O48" s="550"/>
      <c r="P48" s="550"/>
      <c r="Q48" s="550"/>
      <c r="R48" s="549">
        <f t="shared" si="10"/>
        <v>0</v>
      </c>
      <c r="S48" s="549"/>
      <c r="T48" s="549">
        <f t="shared" si="11"/>
        <v>0</v>
      </c>
      <c r="U48" s="549"/>
      <c r="V48" s="549">
        <f t="shared" si="12"/>
        <v>0</v>
      </c>
      <c r="W48" s="549">
        <f t="shared" ref="W48:W51" si="13">MROUND(V48/$V$46*1000000,1)</f>
        <v>0</v>
      </c>
    </row>
    <row r="49" spans="2:23">
      <c r="B49" s="549"/>
      <c r="C49" s="549" t="s">
        <v>195</v>
      </c>
      <c r="D49" s="549"/>
      <c r="E49" s="605">
        <f>'[3]SM - Qty'!W49</f>
        <v>1988</v>
      </c>
      <c r="F49" s="605">
        <v>2639</v>
      </c>
      <c r="G49" s="605"/>
      <c r="H49" s="605"/>
      <c r="I49" s="605"/>
      <c r="J49" s="605"/>
      <c r="K49" s="605"/>
      <c r="L49" s="605"/>
      <c r="M49" s="605"/>
      <c r="N49" s="605"/>
      <c r="O49" s="605"/>
      <c r="P49" s="605"/>
      <c r="Q49" s="605"/>
      <c r="R49" s="549">
        <f t="shared" si="10"/>
        <v>2639</v>
      </c>
      <c r="S49" s="549"/>
      <c r="T49" s="549">
        <f t="shared" si="11"/>
        <v>0</v>
      </c>
      <c r="U49" s="549"/>
      <c r="V49" s="549">
        <f t="shared" si="12"/>
        <v>2639</v>
      </c>
      <c r="W49" s="549">
        <f t="shared" si="13"/>
        <v>2016</v>
      </c>
    </row>
    <row r="50" spans="2:23">
      <c r="B50" s="549"/>
      <c r="C50" s="549" t="s">
        <v>196</v>
      </c>
      <c r="D50" s="549"/>
      <c r="E50" s="605">
        <f>'[3]SM - Qty'!W50</f>
        <v>105</v>
      </c>
      <c r="F50" s="605">
        <v>55</v>
      </c>
      <c r="G50" s="605"/>
      <c r="H50" s="605"/>
      <c r="I50" s="605"/>
      <c r="J50" s="605"/>
      <c r="K50" s="605"/>
      <c r="L50" s="605"/>
      <c r="M50" s="605"/>
      <c r="N50" s="605"/>
      <c r="O50" s="605"/>
      <c r="P50" s="605"/>
      <c r="Q50" s="605"/>
      <c r="R50" s="549">
        <f t="shared" si="10"/>
        <v>55</v>
      </c>
      <c r="S50" s="549"/>
      <c r="T50" s="549">
        <f t="shared" si="11"/>
        <v>0</v>
      </c>
      <c r="U50" s="549"/>
      <c r="V50" s="549">
        <f t="shared" si="12"/>
        <v>55</v>
      </c>
      <c r="W50" s="549">
        <f t="shared" si="13"/>
        <v>42</v>
      </c>
    </row>
    <row r="51" spans="2:23">
      <c r="B51" s="549"/>
      <c r="C51" s="549" t="s">
        <v>1</v>
      </c>
      <c r="D51" s="549"/>
      <c r="E51" s="605">
        <f>'[3]SM - Qty'!W51</f>
        <v>2094</v>
      </c>
      <c r="F51" s="550">
        <v>2694</v>
      </c>
      <c r="G51" s="550"/>
      <c r="H51" s="550"/>
      <c r="I51" s="550"/>
      <c r="J51" s="550"/>
      <c r="K51" s="550"/>
      <c r="L51" s="550"/>
      <c r="M51" s="550"/>
      <c r="N51" s="550"/>
      <c r="O51" s="550"/>
      <c r="P51" s="550"/>
      <c r="Q51" s="550"/>
      <c r="R51" s="550">
        <f>SUM(R47:R50)</f>
        <v>2694</v>
      </c>
      <c r="S51" s="550">
        <f t="shared" ref="S51:U51" si="14">S46*$E$52/1000000</f>
        <v>0</v>
      </c>
      <c r="T51" s="550">
        <f>SUM(T47:T50)</f>
        <v>0</v>
      </c>
      <c r="U51" s="550">
        <f t="shared" si="14"/>
        <v>0</v>
      </c>
      <c r="V51" s="550">
        <f>SUM(V47:V50)</f>
        <v>2694</v>
      </c>
      <c r="W51" s="549">
        <f t="shared" si="13"/>
        <v>2058</v>
      </c>
    </row>
    <row r="52" spans="2:23">
      <c r="B52" s="549"/>
      <c r="C52" s="549" t="s">
        <v>198</v>
      </c>
      <c r="D52" s="549"/>
      <c r="E52" s="605">
        <f>'[3]SM - Qty'!W52</f>
        <v>2093.5399629847811</v>
      </c>
      <c r="F52" s="550">
        <f>F51/F46*1000000</f>
        <v>2058.102038773909</v>
      </c>
      <c r="G52" s="550"/>
      <c r="H52" s="550"/>
      <c r="I52" s="550"/>
      <c r="J52" s="550"/>
      <c r="K52" s="550"/>
      <c r="L52" s="550"/>
      <c r="M52" s="550"/>
      <c r="N52" s="550"/>
      <c r="O52" s="550" t="e">
        <f t="shared" ref="O52:P52" si="15">O51/O46*1000000</f>
        <v>#DIV/0!</v>
      </c>
      <c r="P52" s="550" t="e">
        <f t="shared" si="15"/>
        <v>#DIV/0!</v>
      </c>
      <c r="Q52" s="550" t="e">
        <f t="shared" ref="Q52" si="16">Q51/Q46*1000000</f>
        <v>#DIV/0!</v>
      </c>
      <c r="R52" s="550">
        <f t="shared" ref="R52:V52" si="17">R51/R46*1000000</f>
        <v>2058.102038773909</v>
      </c>
      <c r="S52" s="550" t="e">
        <f t="shared" si="17"/>
        <v>#DIV/0!</v>
      </c>
      <c r="T52" s="550" t="e">
        <f t="shared" si="17"/>
        <v>#DIV/0!</v>
      </c>
      <c r="U52" s="550" t="e">
        <f t="shared" si="17"/>
        <v>#DIV/0!</v>
      </c>
      <c r="V52" s="550">
        <f t="shared" si="17"/>
        <v>2058.102038773909</v>
      </c>
      <c r="W52" s="550">
        <f>V51/V46*1000000</f>
        <v>2058.102038773909</v>
      </c>
    </row>
    <row r="53" spans="2:23">
      <c r="B53" s="549" t="s">
        <v>197</v>
      </c>
      <c r="C53" s="549" t="s">
        <v>190</v>
      </c>
      <c r="D53" s="549"/>
      <c r="E53" s="551">
        <f>'[3]SM - Qty'!W53</f>
        <v>0</v>
      </c>
      <c r="F53" s="550">
        <v>937088</v>
      </c>
      <c r="G53" s="550"/>
      <c r="H53" s="550"/>
      <c r="I53" s="550"/>
      <c r="J53" s="550"/>
      <c r="K53" s="550"/>
      <c r="L53" s="550"/>
      <c r="M53" s="550"/>
      <c r="N53" s="550"/>
      <c r="O53" s="550"/>
      <c r="P53" s="550"/>
      <c r="Q53" s="550"/>
      <c r="R53" s="550">
        <f t="shared" ref="R53:R57" si="18">SUM(F53:K53)</f>
        <v>937088</v>
      </c>
      <c r="S53" s="550"/>
      <c r="T53" s="550">
        <f t="shared" ref="T53:T57" si="19">SUM(L53:Q53)</f>
        <v>0</v>
      </c>
      <c r="U53" s="550"/>
      <c r="V53" s="547">
        <f>SUM(F53:Q53)</f>
        <v>937088</v>
      </c>
      <c r="W53" s="550"/>
    </row>
    <row r="54" spans="2:23">
      <c r="B54" s="549"/>
      <c r="C54" s="549" t="s">
        <v>194</v>
      </c>
      <c r="D54" s="549"/>
      <c r="E54" s="605">
        <f>'[3]SM - Qty'!W54</f>
        <v>183</v>
      </c>
      <c r="F54" s="550">
        <v>56</v>
      </c>
      <c r="G54" s="550"/>
      <c r="H54" s="550"/>
      <c r="I54" s="550"/>
      <c r="J54" s="550"/>
      <c r="K54" s="550"/>
      <c r="L54" s="550"/>
      <c r="M54" s="550"/>
      <c r="N54" s="550"/>
      <c r="O54" s="550"/>
      <c r="P54" s="550"/>
      <c r="Q54" s="550"/>
      <c r="R54" s="549">
        <f t="shared" si="18"/>
        <v>56</v>
      </c>
      <c r="S54" s="549"/>
      <c r="T54" s="549">
        <f t="shared" si="19"/>
        <v>0</v>
      </c>
      <c r="U54" s="549"/>
      <c r="V54" s="549">
        <f t="shared" ref="V54:V57" si="20">SUM(F54:Q54)</f>
        <v>56</v>
      </c>
      <c r="W54" s="549">
        <f>MROUND(V54/$V$53*1000000,1)</f>
        <v>60</v>
      </c>
    </row>
    <row r="55" spans="2:23">
      <c r="B55" s="549"/>
      <c r="C55" s="549" t="s">
        <v>88</v>
      </c>
      <c r="D55" s="549"/>
      <c r="E55" s="605">
        <f>'[3]SM - Qty'!W55</f>
        <v>16</v>
      </c>
      <c r="F55" s="550">
        <v>10</v>
      </c>
      <c r="G55" s="550"/>
      <c r="H55" s="550"/>
      <c r="I55" s="550"/>
      <c r="J55" s="550"/>
      <c r="K55" s="550"/>
      <c r="L55" s="550"/>
      <c r="M55" s="550"/>
      <c r="N55" s="550"/>
      <c r="O55" s="550"/>
      <c r="P55" s="550"/>
      <c r="Q55" s="550"/>
      <c r="R55" s="549">
        <f t="shared" si="18"/>
        <v>10</v>
      </c>
      <c r="S55" s="549"/>
      <c r="T55" s="549">
        <f t="shared" si="19"/>
        <v>0</v>
      </c>
      <c r="U55" s="549"/>
      <c r="V55" s="549">
        <f t="shared" si="20"/>
        <v>10</v>
      </c>
      <c r="W55" s="549">
        <f t="shared" ref="W55:W58" si="21">MROUND(V55/$V$53*1000000,1)</f>
        <v>11</v>
      </c>
    </row>
    <row r="56" spans="2:23">
      <c r="B56" s="549"/>
      <c r="C56" s="549" t="s">
        <v>195</v>
      </c>
      <c r="D56" s="549"/>
      <c r="E56" s="605">
        <f>'[3]SM - Qty'!W56</f>
        <v>887</v>
      </c>
      <c r="F56" s="605">
        <v>588</v>
      </c>
      <c r="G56" s="605"/>
      <c r="H56" s="605"/>
      <c r="I56" s="605"/>
      <c r="J56" s="605"/>
      <c r="K56" s="605"/>
      <c r="L56" s="605"/>
      <c r="M56" s="605"/>
      <c r="N56" s="605"/>
      <c r="O56" s="605"/>
      <c r="P56" s="605"/>
      <c r="Q56" s="605"/>
      <c r="R56" s="549">
        <f t="shared" si="18"/>
        <v>588</v>
      </c>
      <c r="S56" s="549"/>
      <c r="T56" s="549">
        <f t="shared" si="19"/>
        <v>0</v>
      </c>
      <c r="U56" s="549"/>
      <c r="V56" s="549">
        <f t="shared" si="20"/>
        <v>588</v>
      </c>
      <c r="W56" s="549">
        <f t="shared" si="21"/>
        <v>627</v>
      </c>
    </row>
    <row r="57" spans="2:23">
      <c r="B57" s="549"/>
      <c r="C57" s="549" t="s">
        <v>196</v>
      </c>
      <c r="D57" s="549"/>
      <c r="E57" s="605">
        <f>'[3]SM - Qty'!W57</f>
        <v>36</v>
      </c>
      <c r="F57" s="605">
        <v>4</v>
      </c>
      <c r="G57" s="605"/>
      <c r="H57" s="605"/>
      <c r="I57" s="605"/>
      <c r="J57" s="605"/>
      <c r="K57" s="605"/>
      <c r="L57" s="605"/>
      <c r="M57" s="605"/>
      <c r="N57" s="605"/>
      <c r="O57" s="605"/>
      <c r="P57" s="605"/>
      <c r="Q57" s="605"/>
      <c r="R57" s="549">
        <f t="shared" si="18"/>
        <v>4</v>
      </c>
      <c r="S57" s="549"/>
      <c r="T57" s="549">
        <f t="shared" si="19"/>
        <v>0</v>
      </c>
      <c r="U57" s="549"/>
      <c r="V57" s="549">
        <f t="shared" si="20"/>
        <v>4</v>
      </c>
      <c r="W57" s="549">
        <f t="shared" si="21"/>
        <v>4</v>
      </c>
    </row>
    <row r="58" spans="2:23">
      <c r="B58" s="549"/>
      <c r="C58" s="549" t="s">
        <v>1</v>
      </c>
      <c r="D58" s="549"/>
      <c r="E58" s="605">
        <f>'[3]SM - Qty'!W58</f>
        <v>1122</v>
      </c>
      <c r="F58" s="550">
        <v>658</v>
      </c>
      <c r="G58" s="550"/>
      <c r="H58" s="550"/>
      <c r="I58" s="550"/>
      <c r="J58" s="550"/>
      <c r="K58" s="550"/>
      <c r="L58" s="550"/>
      <c r="M58" s="550"/>
      <c r="N58" s="550"/>
      <c r="O58" s="550"/>
      <c r="P58" s="550"/>
      <c r="Q58" s="550"/>
      <c r="R58" s="550">
        <f>SUM(R54:R57)</f>
        <v>658</v>
      </c>
      <c r="S58" s="550">
        <f t="shared" ref="S58:U58" si="22">S53*$E$59/1000000</f>
        <v>0</v>
      </c>
      <c r="T58" s="550">
        <f>SUM(T54:T57)</f>
        <v>0</v>
      </c>
      <c r="U58" s="550">
        <f t="shared" si="22"/>
        <v>0</v>
      </c>
      <c r="V58" s="550">
        <f>SUM(V54:V57)</f>
        <v>658</v>
      </c>
      <c r="W58" s="549">
        <f t="shared" si="21"/>
        <v>702</v>
      </c>
    </row>
    <row r="59" spans="2:23">
      <c r="B59" s="549"/>
      <c r="C59" s="549" t="s">
        <v>198</v>
      </c>
      <c r="D59" s="549"/>
      <c r="E59" s="605">
        <f>'[3]SM - Qty'!W59</f>
        <v>1121.8938553011901</v>
      </c>
      <c r="F59" s="550">
        <f>F58/F53*1000000</f>
        <v>702.17524928288492</v>
      </c>
      <c r="G59" s="550"/>
      <c r="H59" s="550"/>
      <c r="I59" s="550"/>
      <c r="J59" s="550"/>
      <c r="K59" s="550"/>
      <c r="L59" s="550"/>
      <c r="M59" s="550"/>
      <c r="N59" s="550"/>
      <c r="O59" s="550" t="e">
        <f t="shared" ref="O59:P59" si="23">O58/O53*1000000</f>
        <v>#DIV/0!</v>
      </c>
      <c r="P59" s="550" t="e">
        <f t="shared" si="23"/>
        <v>#DIV/0!</v>
      </c>
      <c r="Q59" s="550" t="e">
        <f t="shared" ref="Q59" si="24">Q58/Q53*1000000</f>
        <v>#DIV/0!</v>
      </c>
      <c r="R59" s="550">
        <f t="shared" ref="R59:V59" si="25">R58/R53*1000000</f>
        <v>702.17524928288492</v>
      </c>
      <c r="S59" s="550" t="e">
        <f t="shared" si="25"/>
        <v>#DIV/0!</v>
      </c>
      <c r="T59" s="550" t="e">
        <f t="shared" si="25"/>
        <v>#DIV/0!</v>
      </c>
      <c r="U59" s="550" t="e">
        <f t="shared" si="25"/>
        <v>#DIV/0!</v>
      </c>
      <c r="V59" s="550">
        <f t="shared" si="25"/>
        <v>702.17524928288492</v>
      </c>
      <c r="W59" s="550">
        <f>V58/V53*1000000</f>
        <v>702.17524928288492</v>
      </c>
    </row>
    <row r="60" spans="2:23">
      <c r="B60" s="549" t="s">
        <v>215</v>
      </c>
      <c r="C60" s="549" t="s">
        <v>190</v>
      </c>
      <c r="D60" s="549"/>
      <c r="E60" s="551">
        <f>'[3]SM - Qty'!W60</f>
        <v>0</v>
      </c>
      <c r="F60" s="550">
        <v>867084</v>
      </c>
      <c r="G60" s="550"/>
      <c r="H60" s="550"/>
      <c r="I60" s="550"/>
      <c r="J60" s="550"/>
      <c r="K60" s="550"/>
      <c r="L60" s="550"/>
      <c r="M60" s="550"/>
      <c r="N60" s="550"/>
      <c r="O60" s="550"/>
      <c r="P60" s="550"/>
      <c r="Q60" s="550"/>
      <c r="R60" s="550">
        <f>SUM(F60:K60)</f>
        <v>867084</v>
      </c>
      <c r="S60" s="550"/>
      <c r="T60" s="550">
        <f t="shared" ref="T60:T64" si="26">SUM(L60:Q60)</f>
        <v>0</v>
      </c>
      <c r="U60" s="550"/>
      <c r="V60" s="547">
        <f>SUM(F60:Q60)</f>
        <v>867084</v>
      </c>
      <c r="W60" s="550"/>
    </row>
    <row r="61" spans="2:23">
      <c r="B61" s="549"/>
      <c r="C61" s="549" t="s">
        <v>194</v>
      </c>
      <c r="D61" s="549"/>
      <c r="E61" s="605">
        <f>'[3]SM - Qty'!W61</f>
        <v>3</v>
      </c>
      <c r="F61" s="605">
        <v>27</v>
      </c>
      <c r="G61" s="605"/>
      <c r="H61" s="605"/>
      <c r="I61" s="605"/>
      <c r="J61" s="605"/>
      <c r="K61" s="605"/>
      <c r="L61" s="605"/>
      <c r="M61" s="605"/>
      <c r="N61" s="605"/>
      <c r="O61" s="605"/>
      <c r="P61" s="605"/>
      <c r="Q61" s="605"/>
      <c r="R61" s="549">
        <f t="shared" ref="R61:R64" si="27">SUM(F61:K61)</f>
        <v>27</v>
      </c>
      <c r="S61" s="549"/>
      <c r="T61" s="549">
        <f t="shared" si="26"/>
        <v>0</v>
      </c>
      <c r="U61" s="549"/>
      <c r="V61" s="549">
        <f t="shared" ref="V61:V64" si="28">SUM(F61:Q61)</f>
        <v>27</v>
      </c>
      <c r="W61" s="549">
        <f>MROUND(V61/$V$60*1000000,1)</f>
        <v>31</v>
      </c>
    </row>
    <row r="62" spans="2:23">
      <c r="B62" s="549"/>
      <c r="C62" s="549" t="s">
        <v>88</v>
      </c>
      <c r="D62" s="549"/>
      <c r="E62" s="605">
        <f>'[3]SM - Qty'!W62</f>
        <v>2</v>
      </c>
      <c r="F62" s="605">
        <v>15</v>
      </c>
      <c r="G62" s="605"/>
      <c r="H62" s="605"/>
      <c r="I62" s="605"/>
      <c r="J62" s="605"/>
      <c r="K62" s="605"/>
      <c r="L62" s="605"/>
      <c r="M62" s="605"/>
      <c r="N62" s="605"/>
      <c r="O62" s="605"/>
      <c r="P62" s="605"/>
      <c r="Q62" s="605"/>
      <c r="R62" s="549">
        <f t="shared" si="27"/>
        <v>15</v>
      </c>
      <c r="S62" s="549"/>
      <c r="T62" s="549">
        <f t="shared" si="26"/>
        <v>0</v>
      </c>
      <c r="U62" s="549"/>
      <c r="V62" s="549">
        <f t="shared" si="28"/>
        <v>15</v>
      </c>
      <c r="W62" s="549">
        <f t="shared" ref="W62:W65" si="29">MROUND(V62/$V$60*1000000,1)</f>
        <v>17</v>
      </c>
    </row>
    <row r="63" spans="2:23">
      <c r="B63" s="549"/>
      <c r="C63" s="549" t="s">
        <v>195</v>
      </c>
      <c r="D63" s="549"/>
      <c r="E63" s="605">
        <f>'[3]SM - Qty'!W63</f>
        <v>921</v>
      </c>
      <c r="F63" s="605">
        <v>839</v>
      </c>
      <c r="G63" s="605"/>
      <c r="H63" s="605"/>
      <c r="I63" s="605"/>
      <c r="J63" s="605"/>
      <c r="K63" s="605"/>
      <c r="L63" s="605"/>
      <c r="M63" s="605"/>
      <c r="N63" s="605"/>
      <c r="O63" s="605"/>
      <c r="P63" s="605"/>
      <c r="Q63" s="605"/>
      <c r="R63" s="549">
        <f t="shared" si="27"/>
        <v>839</v>
      </c>
      <c r="S63" s="549"/>
      <c r="T63" s="549">
        <f t="shared" si="26"/>
        <v>0</v>
      </c>
      <c r="U63" s="549"/>
      <c r="V63" s="549">
        <f t="shared" si="28"/>
        <v>839</v>
      </c>
      <c r="W63" s="549">
        <f t="shared" si="29"/>
        <v>968</v>
      </c>
    </row>
    <row r="64" spans="2:23">
      <c r="B64" s="549"/>
      <c r="C64" s="549" t="s">
        <v>196</v>
      </c>
      <c r="D64" s="549"/>
      <c r="E64" s="605">
        <f>'[3]SM - Qty'!W64</f>
        <v>12</v>
      </c>
      <c r="F64" s="605">
        <v>32</v>
      </c>
      <c r="G64" s="605"/>
      <c r="H64" s="605"/>
      <c r="I64" s="605"/>
      <c r="J64" s="605"/>
      <c r="K64" s="605"/>
      <c r="L64" s="605"/>
      <c r="M64" s="605"/>
      <c r="N64" s="605"/>
      <c r="O64" s="605"/>
      <c r="P64" s="605"/>
      <c r="Q64" s="605"/>
      <c r="R64" s="549">
        <f t="shared" si="27"/>
        <v>32</v>
      </c>
      <c r="S64" s="549"/>
      <c r="T64" s="549">
        <f t="shared" si="26"/>
        <v>0</v>
      </c>
      <c r="U64" s="549"/>
      <c r="V64" s="549">
        <f t="shared" si="28"/>
        <v>32</v>
      </c>
      <c r="W64" s="549">
        <f t="shared" si="29"/>
        <v>37</v>
      </c>
    </row>
    <row r="65" spans="2:23">
      <c r="B65" s="549"/>
      <c r="C65" s="549" t="s">
        <v>1</v>
      </c>
      <c r="D65" s="549"/>
      <c r="E65" s="605">
        <f>'[3]SM - Qty'!W65</f>
        <v>938</v>
      </c>
      <c r="F65" s="550">
        <v>913</v>
      </c>
      <c r="G65" s="550"/>
      <c r="H65" s="550"/>
      <c r="I65" s="550"/>
      <c r="J65" s="550"/>
      <c r="K65" s="550"/>
      <c r="L65" s="550"/>
      <c r="M65" s="550"/>
      <c r="N65" s="550"/>
      <c r="O65" s="550"/>
      <c r="P65" s="550"/>
      <c r="Q65" s="550"/>
      <c r="R65" s="550">
        <f>SUM(R61:R64)</f>
        <v>913</v>
      </c>
      <c r="S65" s="550">
        <f t="shared" ref="S65:U65" si="30">S60*$E$59/1000000</f>
        <v>0</v>
      </c>
      <c r="T65" s="550">
        <f>SUM(T61:T64)</f>
        <v>0</v>
      </c>
      <c r="U65" s="550">
        <f t="shared" si="30"/>
        <v>0</v>
      </c>
      <c r="V65" s="550">
        <f>SUM(V61:V64)</f>
        <v>913</v>
      </c>
      <c r="W65" s="549">
        <f t="shared" si="29"/>
        <v>1053</v>
      </c>
    </row>
    <row r="66" spans="2:23">
      <c r="B66" s="552"/>
      <c r="C66" s="552" t="s">
        <v>198</v>
      </c>
      <c r="D66" s="552"/>
      <c r="E66" s="708">
        <f>'[3]SM - Qty'!W66</f>
        <v>937.82893580786197</v>
      </c>
      <c r="F66" s="550">
        <f>F65/F60*1000000</f>
        <v>1052.9545003713597</v>
      </c>
      <c r="G66" s="550"/>
      <c r="H66" s="550"/>
      <c r="I66" s="550"/>
      <c r="J66" s="550"/>
      <c r="K66" s="550"/>
      <c r="L66" s="550"/>
      <c r="M66" s="550"/>
      <c r="N66" s="550"/>
      <c r="O66" s="550" t="e">
        <f t="shared" ref="O66:P66" si="31">O65/O60*1000000</f>
        <v>#DIV/0!</v>
      </c>
      <c r="P66" s="550" t="e">
        <f t="shared" si="31"/>
        <v>#DIV/0!</v>
      </c>
      <c r="Q66" s="550" t="e">
        <f t="shared" ref="Q66" si="32">Q65/Q60*1000000</f>
        <v>#DIV/0!</v>
      </c>
      <c r="R66" s="550">
        <f t="shared" ref="R66" si="33">R65/R60*1000000</f>
        <v>1052.9545003713597</v>
      </c>
      <c r="S66" s="553" t="e">
        <f t="shared" ref="S66:V66" si="34">S65/S60*1000000</f>
        <v>#DIV/0!</v>
      </c>
      <c r="T66" s="550" t="e">
        <f t="shared" si="34"/>
        <v>#DIV/0!</v>
      </c>
      <c r="U66" s="553" t="e">
        <f t="shared" si="34"/>
        <v>#DIV/0!</v>
      </c>
      <c r="V66" s="550">
        <f t="shared" si="34"/>
        <v>1052.9545003713597</v>
      </c>
      <c r="W66" s="553">
        <f>V65/V60*1000000</f>
        <v>1052.9545003713597</v>
      </c>
    </row>
    <row r="67" spans="2:23">
      <c r="E67" s="234">
        <f>'[3]SM - Qty'!W67</f>
        <v>0</v>
      </c>
    </row>
    <row r="68" spans="2:23">
      <c r="B68" s="200" t="s">
        <v>194</v>
      </c>
      <c r="C68" s="200" t="s">
        <v>190</v>
      </c>
      <c r="D68" s="200"/>
      <c r="E68" s="602">
        <f>'[3]SM - Qty'!W68</f>
        <v>0</v>
      </c>
      <c r="F68" s="602">
        <v>4222520</v>
      </c>
      <c r="G68" s="602"/>
      <c r="H68" s="602"/>
      <c r="I68" s="602"/>
      <c r="J68" s="602"/>
      <c r="K68" s="602"/>
      <c r="L68" s="602"/>
      <c r="M68" s="602"/>
      <c r="N68" s="602"/>
      <c r="O68" s="602"/>
      <c r="P68" s="602"/>
      <c r="Q68" s="602"/>
      <c r="R68" s="200">
        <f>SUM(F68:K68)</f>
        <v>4222520</v>
      </c>
      <c r="S68" s="200"/>
      <c r="T68" s="200">
        <f>SUM(L68:Q68)</f>
        <v>0</v>
      </c>
      <c r="U68" s="200"/>
      <c r="V68" s="200">
        <f>R68+T68</f>
        <v>4222520</v>
      </c>
      <c r="W68" s="200"/>
    </row>
    <row r="69" spans="2:23">
      <c r="B69" s="200"/>
      <c r="C69" s="200" t="s">
        <v>82</v>
      </c>
      <c r="D69" s="200"/>
      <c r="E69" s="602">
        <f>'[3]SM - Qty'!W69</f>
        <v>0</v>
      </c>
      <c r="F69" s="602">
        <v>922</v>
      </c>
      <c r="G69" s="602"/>
      <c r="H69" s="602"/>
      <c r="I69" s="602"/>
      <c r="J69" s="602"/>
      <c r="K69" s="602"/>
      <c r="L69" s="602"/>
      <c r="M69" s="602"/>
      <c r="N69" s="602"/>
      <c r="O69" s="602"/>
      <c r="P69" s="602"/>
      <c r="Q69" s="602"/>
      <c r="R69" s="200">
        <f>SUM(F69:K69)</f>
        <v>922</v>
      </c>
      <c r="S69" s="200"/>
      <c r="T69" s="200">
        <f>SUM(L69:Q69)</f>
        <v>0</v>
      </c>
      <c r="U69" s="200"/>
      <c r="V69" s="200">
        <f>R69+T69</f>
        <v>922</v>
      </c>
      <c r="W69" s="200"/>
    </row>
    <row r="70" spans="2:23">
      <c r="B70" s="200"/>
      <c r="C70" s="200" t="s">
        <v>198</v>
      </c>
      <c r="D70" s="200"/>
      <c r="E70" s="602">
        <f>'[3]SM - Qty'!W70</f>
        <v>0</v>
      </c>
      <c r="F70" s="603">
        <f t="shared" ref="F70" si="35">F69/F68*1000000</f>
        <v>218.35302141848942</v>
      </c>
      <c r="G70" s="603"/>
      <c r="H70" s="603"/>
      <c r="I70" s="603"/>
      <c r="J70" s="603"/>
      <c r="K70" s="603"/>
      <c r="L70" s="603"/>
      <c r="M70" s="603"/>
      <c r="N70" s="603"/>
      <c r="O70" s="603"/>
      <c r="P70" s="603"/>
      <c r="Q70" s="603"/>
      <c r="R70" s="603">
        <f t="shared" ref="R70:V70" si="36">R69/R68*1000000</f>
        <v>218.35302141848942</v>
      </c>
      <c r="S70" s="200"/>
      <c r="T70" s="603" t="e">
        <f t="shared" si="36"/>
        <v>#DIV/0!</v>
      </c>
      <c r="U70" s="200"/>
      <c r="V70" s="603">
        <f t="shared" si="36"/>
        <v>218.35302141848942</v>
      </c>
      <c r="W70" s="200"/>
    </row>
    <row r="71" spans="2:23">
      <c r="B71" s="200" t="s">
        <v>247</v>
      </c>
      <c r="C71" s="200" t="s">
        <v>190</v>
      </c>
      <c r="D71" s="200"/>
      <c r="E71" s="602">
        <f>'[3]SM - Qty'!W71</f>
        <v>0</v>
      </c>
      <c r="F71" s="200">
        <v>60192</v>
      </c>
      <c r="G71" s="200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>
        <f>SUM(F71:K71)</f>
        <v>60192</v>
      </c>
      <c r="S71" s="200"/>
      <c r="T71" s="200">
        <f>SUM(L71:Q71)</f>
        <v>0</v>
      </c>
      <c r="U71" s="200"/>
      <c r="V71" s="200">
        <f>R71+T71</f>
        <v>60192</v>
      </c>
      <c r="W71" s="200"/>
    </row>
    <row r="72" spans="2:23">
      <c r="B72" s="200"/>
      <c r="C72" s="200" t="s">
        <v>82</v>
      </c>
      <c r="D72" s="200"/>
      <c r="E72" s="602">
        <f>'[3]SM - Qty'!W72</f>
        <v>0</v>
      </c>
      <c r="F72" s="200">
        <v>4</v>
      </c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>
        <f>SUM(F72:K72)</f>
        <v>4</v>
      </c>
      <c r="S72" s="200"/>
      <c r="T72" s="200">
        <f>SUM(L72:Q72)</f>
        <v>0</v>
      </c>
      <c r="U72" s="200"/>
      <c r="V72" s="200">
        <f>R72+T72</f>
        <v>4</v>
      </c>
      <c r="W72" s="200"/>
    </row>
    <row r="73" spans="2:23">
      <c r="B73" s="200"/>
      <c r="C73" s="200" t="s">
        <v>198</v>
      </c>
      <c r="D73" s="200"/>
      <c r="E73" s="602">
        <f>'[3]SM - Qty'!W73</f>
        <v>0</v>
      </c>
      <c r="F73" s="603">
        <f t="shared" ref="F73" si="37">F72/F71*1000000</f>
        <v>66.454013822434874</v>
      </c>
      <c r="G73" s="603"/>
      <c r="H73" s="603"/>
      <c r="I73" s="603"/>
      <c r="J73" s="603"/>
      <c r="K73" s="603"/>
      <c r="L73" s="603"/>
      <c r="M73" s="603"/>
      <c r="N73" s="603"/>
      <c r="O73" s="603"/>
      <c r="P73" s="603"/>
      <c r="Q73" s="603"/>
      <c r="R73" s="603">
        <f t="shared" ref="R73:V73" si="38">R72/R71*1000000</f>
        <v>66.454013822434874</v>
      </c>
      <c r="S73" s="200"/>
      <c r="T73" s="603" t="e">
        <f t="shared" si="38"/>
        <v>#DIV/0!</v>
      </c>
      <c r="U73" s="200"/>
      <c r="V73" s="603">
        <f t="shared" si="38"/>
        <v>66.454013822434874</v>
      </c>
      <c r="W73" s="200"/>
    </row>
  </sheetData>
  <mergeCells count="12">
    <mergeCell ref="B22:B25"/>
    <mergeCell ref="B26:B29"/>
    <mergeCell ref="B31:B34"/>
    <mergeCell ref="B37:B41"/>
    <mergeCell ref="A1:E1"/>
    <mergeCell ref="B4:D4"/>
    <mergeCell ref="C5:D5"/>
    <mergeCell ref="A6:A42"/>
    <mergeCell ref="B6:B9"/>
    <mergeCell ref="B10:B13"/>
    <mergeCell ref="B14:B17"/>
    <mergeCell ref="B18:B21"/>
  </mergeCells>
  <conditionalFormatting sqref="F52:J52 O52:W52 O59:W59 O66:W66">
    <cfRule type="expression" dxfId="5" priority="8">
      <formula>F$52&gt;$E$52</formula>
    </cfRule>
  </conditionalFormatting>
  <conditionalFormatting sqref="F59:J59">
    <cfRule type="expression" dxfId="4" priority="5">
      <formula>F$52&gt;$E$52</formula>
    </cfRule>
  </conditionalFormatting>
  <conditionalFormatting sqref="F66:J66">
    <cfRule type="expression" dxfId="3" priority="4">
      <formula>F$52&gt;$E$52</formula>
    </cfRule>
  </conditionalFormatting>
  <conditionalFormatting sqref="K52:N52">
    <cfRule type="expression" dxfId="2" priority="3">
      <formula>K$52&gt;$E$52</formula>
    </cfRule>
  </conditionalFormatting>
  <conditionalFormatting sqref="K59:N59">
    <cfRule type="expression" dxfId="1" priority="2">
      <formula>K$52&gt;$E$52</formula>
    </cfRule>
  </conditionalFormatting>
  <conditionalFormatting sqref="K66:N66">
    <cfRule type="expression" dxfId="0" priority="1">
      <formula>K$52&gt;$E$52</formula>
    </cfRule>
  </conditionalFormatting>
  <printOptions gridLinesSet="0"/>
  <pageMargins left="0.78740157480314965" right="0.19685039370078741" top="0.59055118110236227" bottom="0.59055118110236227" header="0.51181102362204722" footer="0.31496062992125984"/>
  <pageSetup paperSize="9" scale="37" orientation="portrait" r:id="rId1"/>
  <headerFooter alignWithMargins="0">
    <oddFooter>&amp;L&amp;A&amp;R&amp;F</oddFooter>
  </headerFooter>
  <ignoredErrors>
    <ignoredError sqref="K45 O52:Q52 S52:U52 O59:Q59 S59:U59 O66:Q66 S66:U66 T73" evalError="1"/>
    <ignoredError sqref="S51:U51 S58:U58 S65:U65 R70 V70" formula="1"/>
    <ignoredError sqref="T70" evalError="1" 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3">
    <tabColor indexed="56"/>
    <pageSetUpPr fitToPage="1"/>
  </sheetPr>
  <dimension ref="A1:T47"/>
  <sheetViews>
    <sheetView showGridLines="0" topLeftCell="A34" zoomScale="98" zoomScaleNormal="98" workbookViewId="0">
      <selection activeCell="Q45" sqref="Q45"/>
    </sheetView>
  </sheetViews>
  <sheetFormatPr defaultColWidth="11.42578125" defaultRowHeight="12.75"/>
  <cols>
    <col min="1" max="1" width="4.7109375" style="76" customWidth="1"/>
    <col min="2" max="2" width="10.85546875" style="76" bestFit="1" customWidth="1"/>
    <col min="3" max="3" width="11.7109375" style="76" bestFit="1" customWidth="1"/>
    <col min="4" max="4" width="10.5703125" style="76" bestFit="1" customWidth="1"/>
    <col min="5" max="5" width="10.140625" style="76" bestFit="1" customWidth="1"/>
    <col min="6" max="6" width="6.5703125" style="76" bestFit="1" customWidth="1"/>
    <col min="7" max="7" width="6.85546875" style="76" bestFit="1" customWidth="1"/>
    <col min="8" max="9" width="6.5703125" style="76" bestFit="1" customWidth="1"/>
    <col min="10" max="10" width="6.7109375" style="76" bestFit="1" customWidth="1"/>
    <col min="11" max="12" width="6.5703125" style="76" bestFit="1" customWidth="1"/>
    <col min="13" max="13" width="6.7109375" style="76" bestFit="1" customWidth="1"/>
    <col min="14" max="16" width="6.5703125" style="76" bestFit="1" customWidth="1"/>
    <col min="17" max="17" width="7" style="76" bestFit="1" customWidth="1"/>
    <col min="18" max="16384" width="11.42578125" style="76"/>
  </cols>
  <sheetData>
    <row r="1" spans="1:20" ht="18" customHeight="1">
      <c r="A1" s="996" t="s">
        <v>103</v>
      </c>
      <c r="B1" s="996"/>
      <c r="C1" s="996"/>
      <c r="D1" s="996"/>
      <c r="E1" s="996"/>
    </row>
    <row r="2" spans="1:20" ht="18" customHeight="1"/>
    <row r="3" spans="1:20" ht="9.9499999999999993" customHeight="1" thickBot="1"/>
    <row r="4" spans="1:20" ht="38.25">
      <c r="A4" s="77"/>
      <c r="B4" s="1066" t="s">
        <v>57</v>
      </c>
      <c r="C4" s="1067"/>
      <c r="D4" s="1008"/>
      <c r="E4" s="483" t="s">
        <v>202</v>
      </c>
      <c r="F4" s="78" t="s">
        <v>82</v>
      </c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 t="s">
        <v>166</v>
      </c>
      <c r="S4" s="78" t="s">
        <v>164</v>
      </c>
      <c r="T4" s="78" t="s">
        <v>1</v>
      </c>
    </row>
    <row r="5" spans="1:20" ht="13.5" thickBot="1">
      <c r="A5" s="127"/>
      <c r="B5" s="128" t="s">
        <v>102</v>
      </c>
      <c r="C5" s="1068" t="s">
        <v>50</v>
      </c>
      <c r="D5" s="1069"/>
      <c r="E5" s="128">
        <f>'Falhas UM-1 - Qty'!E5</f>
        <v>2022</v>
      </c>
      <c r="F5" s="154">
        <f>'Falhas UM-1 - Cost'!F5</f>
        <v>44652</v>
      </c>
      <c r="G5" s="154">
        <f>'Falhas UM-1 - Cost'!G5</f>
        <v>44682</v>
      </c>
      <c r="H5" s="154">
        <f>'Falhas UM-1 - Cost'!H5</f>
        <v>44713</v>
      </c>
      <c r="I5" s="154">
        <f>'Falhas UM-1 - Cost'!I5</f>
        <v>44743</v>
      </c>
      <c r="J5" s="154">
        <f>'Falhas UM-1 - Cost'!$J5</f>
        <v>44774</v>
      </c>
      <c r="K5" s="154">
        <f>'Falhas UM-1 - Cost'!K5</f>
        <v>44805</v>
      </c>
      <c r="L5" s="154">
        <f>'Falhas UM-1 - Cost'!L5</f>
        <v>44835</v>
      </c>
      <c r="M5" s="154">
        <f>'Falhas UM-1 - Cost'!M5</f>
        <v>44866</v>
      </c>
      <c r="N5" s="154">
        <f>'Falhas UM-1 - Cost'!N5</f>
        <v>44896</v>
      </c>
      <c r="O5" s="154">
        <f>'Falhas UM-1 - Cost'!O5</f>
        <v>44927</v>
      </c>
      <c r="P5" s="154">
        <f>'Falhas UM-1 - Cost'!P5</f>
        <v>44958</v>
      </c>
      <c r="Q5" s="154">
        <f>'Falhas UM-1 - Cost'!Q5</f>
        <v>44986</v>
      </c>
      <c r="R5" s="154" t="str">
        <f>'Falhas UM-1 - Cost'!R5</f>
        <v>1st Half</v>
      </c>
      <c r="S5" s="154" t="str">
        <f>'Falhas UM-1 - Cost'!S5</f>
        <v>2nd Half</v>
      </c>
      <c r="T5" s="154" t="str">
        <f>'Falhas UM-1 - Cost'!T5</f>
        <v>Total</v>
      </c>
    </row>
    <row r="6" spans="1:20" ht="18" customHeight="1" thickTop="1">
      <c r="A6" s="1070" t="s">
        <v>99</v>
      </c>
      <c r="B6" s="1071">
        <v>6010</v>
      </c>
      <c r="C6" s="129" t="s">
        <v>98</v>
      </c>
      <c r="D6" s="129" t="s">
        <v>89</v>
      </c>
      <c r="E6" s="155">
        <f>'[2]Falhas SM'!I6</f>
        <v>20</v>
      </c>
      <c r="F6" s="155">
        <f>$E6/1000*'SM - Qty'!F6</f>
        <v>6.0280031760472719</v>
      </c>
      <c r="G6" s="155">
        <f>$E6/1000*'SM - Qty'!G6</f>
        <v>5.957696632885245</v>
      </c>
      <c r="H6" s="155">
        <f>$E6/1000*'SM - Qty'!H6</f>
        <v>5.8831904277914155</v>
      </c>
      <c r="I6" s="155">
        <f>$E6/1000*'SM - Qty'!I6</f>
        <v>5.9991493973639649</v>
      </c>
      <c r="J6" s="155">
        <f>$E6/1000*'SM - Qty'!J6</f>
        <v>5.9618962948170484</v>
      </c>
      <c r="K6" s="155">
        <f>$E6/1000*'SM - Qty'!K6</f>
        <v>6.8988234077323378</v>
      </c>
      <c r="L6" s="155">
        <f>$E6/1000*'SM - Qty'!L6</f>
        <v>6.9402761722110542</v>
      </c>
      <c r="M6" s="155">
        <f>$E6/1000*'SM - Qty'!M6</f>
        <v>6.9430759468322574</v>
      </c>
      <c r="N6" s="155">
        <f>$E6/1000*'SM - Qty'!N6</f>
        <v>6.9346766229686505</v>
      </c>
      <c r="O6" s="155">
        <f>$E6/1000*'SM - Qty'!O6</f>
        <v>5.1297290529895019</v>
      </c>
      <c r="P6" s="155">
        <f>$E6/1000*'SM - Qty'!P6</f>
        <v>5.3588472175133974</v>
      </c>
      <c r="Q6" s="155">
        <f>$E6/1000*'SM - Qty'!Q6</f>
        <v>6.4708407446784522</v>
      </c>
      <c r="R6" s="155">
        <f>SUM(F6:K6)</f>
        <v>36.728759336637282</v>
      </c>
      <c r="S6" s="155">
        <f t="shared" ref="S6:S43" si="0">SUM(L6:Q6)</f>
        <v>37.777445757193313</v>
      </c>
      <c r="T6" s="155">
        <f t="shared" ref="T6:T43" si="1">R6+S6</f>
        <v>74.506205093830602</v>
      </c>
    </row>
    <row r="7" spans="1:20" ht="18" customHeight="1">
      <c r="A7" s="1002"/>
      <c r="B7" s="1064"/>
      <c r="C7" s="131"/>
      <c r="D7" s="131" t="s">
        <v>88</v>
      </c>
      <c r="E7" s="156">
        <f>'[2]Falhas SM'!I7</f>
        <v>26.07</v>
      </c>
      <c r="F7" s="156">
        <f>$E7/1000*'SM - Qty'!F7</f>
        <v>5.0474127096288672</v>
      </c>
      <c r="G7" s="156">
        <f>$E7/1000*'SM - Qty'!G7</f>
        <v>4.9885431090061987</v>
      </c>
      <c r="H7" s="156">
        <f>$E7/1000*'SM - Qty'!H7</f>
        <v>4.9261570160407659</v>
      </c>
      <c r="I7" s="156">
        <f>$E7/1000*'SM - Qty'!I7</f>
        <v>5.0232526478316801</v>
      </c>
      <c r="J7" s="156">
        <f>$E7/1000*'SM - Qty'!J7</f>
        <v>4.9920596013489629</v>
      </c>
      <c r="K7" s="156">
        <f>$E7/1000*'SM - Qty'!K7</f>
        <v>5.7765744198739064</v>
      </c>
      <c r="L7" s="156">
        <f>$E7/1000*'SM - Qty'!L7</f>
        <v>5.811283958699387</v>
      </c>
      <c r="M7" s="156">
        <f>$E7/1000*'SM - Qty'!M7</f>
        <v>5.8136282869278961</v>
      </c>
      <c r="N7" s="156">
        <f>$E7/1000*'SM - Qty'!N7</f>
        <v>5.8065953022423678</v>
      </c>
      <c r="O7" s="156">
        <f>$E7/1000*'SM - Qty'!O7</f>
        <v>4.2952631017008978</v>
      </c>
      <c r="P7" s="156">
        <f>$E7/1000*'SM - Qty'!P7</f>
        <v>4.4871100370542178</v>
      </c>
      <c r="Q7" s="156">
        <f>$E7/1000*'SM - Qty'!Q7</f>
        <v>5.4182127750787066</v>
      </c>
      <c r="R7" s="156">
        <f t="shared" ref="R7:R42" si="2">SUM(F7:K7)</f>
        <v>30.75399950373038</v>
      </c>
      <c r="S7" s="156">
        <f t="shared" si="0"/>
        <v>31.632093461703473</v>
      </c>
      <c r="T7" s="156">
        <f t="shared" si="1"/>
        <v>62.386092965433853</v>
      </c>
    </row>
    <row r="8" spans="1:20" ht="18" customHeight="1">
      <c r="A8" s="1002"/>
      <c r="B8" s="1064"/>
      <c r="C8" s="131"/>
      <c r="D8" s="131" t="s">
        <v>87</v>
      </c>
      <c r="E8" s="156">
        <f>'[2]Falhas SM'!I8</f>
        <v>842.06137999999987</v>
      </c>
      <c r="F8" s="156">
        <f>$E8/1000*'SM - Qty'!F8</f>
        <v>28.041432225266487</v>
      </c>
      <c r="G8" s="156">
        <f>$E8/1000*'SM - Qty'!G8</f>
        <v>27.714375966752115</v>
      </c>
      <c r="H8" s="156">
        <f>$E8/1000*'SM - Qty'!H8</f>
        <v>27.367783465141923</v>
      </c>
      <c r="I8" s="156">
        <f>$E8/1000*'SM - Qty'!I8</f>
        <v>27.907208460653056</v>
      </c>
      <c r="J8" s="156">
        <f>$E8/1000*'SM - Qty'!J8</f>
        <v>27.733912209847947</v>
      </c>
      <c r="K8" s="156">
        <f>$E8/1000*'SM - Qty'!K8</f>
        <v>32.092366804103229</v>
      </c>
      <c r="L8" s="156">
        <f>$E8/1000*'SM - Qty'!L8</f>
        <v>32.285199298004152</v>
      </c>
      <c r="M8" s="156">
        <f>$E8/1000*'SM - Qty'!M8</f>
        <v>32.298223460068044</v>
      </c>
      <c r="N8" s="156">
        <f>$E8/1000*'SM - Qty'!N8</f>
        <v>32.25915097387638</v>
      </c>
      <c r="O8" s="156">
        <f>$E8/1000*'SM - Qty'!O8</f>
        <v>23.862785962848257</v>
      </c>
      <c r="P8" s="156">
        <f>$E8/1000*'SM - Qty'!P8</f>
        <v>24.928611791806627</v>
      </c>
      <c r="Q8" s="156">
        <f>$E8/1000*'SM - Qty'!Q8</f>
        <v>30.101450991831857</v>
      </c>
      <c r="R8" s="156">
        <f t="shared" si="2"/>
        <v>170.85707913176475</v>
      </c>
      <c r="S8" s="156">
        <f t="shared" si="0"/>
        <v>175.73542247843531</v>
      </c>
      <c r="T8" s="156">
        <f t="shared" si="1"/>
        <v>346.59250161020009</v>
      </c>
    </row>
    <row r="9" spans="1:20" ht="18" customHeight="1">
      <c r="A9" s="1002"/>
      <c r="B9" s="1064"/>
      <c r="C9" s="132" t="s">
        <v>83</v>
      </c>
      <c r="D9" s="132"/>
      <c r="E9" s="157"/>
      <c r="F9" s="157">
        <f>SUBTOTAL(109,F6:F8)</f>
        <v>39.116848110942627</v>
      </c>
      <c r="G9" s="157">
        <f t="shared" ref="G9:Q9" si="3">SUBTOTAL(109,G6:G8)</f>
        <v>38.660615708643562</v>
      </c>
      <c r="H9" s="157">
        <f t="shared" si="3"/>
        <v>38.177130908974107</v>
      </c>
      <c r="I9" s="157">
        <f t="shared" si="3"/>
        <v>38.9296105058487</v>
      </c>
      <c r="J9" s="157">
        <f t="shared" si="3"/>
        <v>38.687868106013958</v>
      </c>
      <c r="K9" s="157">
        <f t="shared" si="3"/>
        <v>44.767764631709468</v>
      </c>
      <c r="L9" s="157">
        <f t="shared" si="3"/>
        <v>45.036759428914593</v>
      </c>
      <c r="M9" s="157">
        <f t="shared" si="3"/>
        <v>45.054927693828198</v>
      </c>
      <c r="N9" s="157">
        <f t="shared" si="3"/>
        <v>45.000422899087397</v>
      </c>
      <c r="O9" s="157">
        <f t="shared" si="3"/>
        <v>33.287778117538657</v>
      </c>
      <c r="P9" s="157">
        <f t="shared" si="3"/>
        <v>34.774569046374239</v>
      </c>
      <c r="Q9" s="157">
        <f t="shared" si="3"/>
        <v>41.990504511589016</v>
      </c>
      <c r="R9" s="157">
        <f t="shared" si="2"/>
        <v>238.33983797213241</v>
      </c>
      <c r="S9" s="157">
        <f t="shared" si="0"/>
        <v>245.14496169733212</v>
      </c>
      <c r="T9" s="157">
        <f t="shared" si="1"/>
        <v>483.48479966946456</v>
      </c>
    </row>
    <row r="10" spans="1:20" ht="18" customHeight="1">
      <c r="A10" s="1002"/>
      <c r="B10" s="1064">
        <v>6020</v>
      </c>
      <c r="C10" s="131" t="s">
        <v>97</v>
      </c>
      <c r="D10" s="131" t="s">
        <v>89</v>
      </c>
      <c r="E10" s="156">
        <f>'[2]Falhas SM'!I10</f>
        <v>10</v>
      </c>
      <c r="F10" s="156">
        <f>$E10/1000*'SM - Qty'!F10</f>
        <v>0.36751319652606951</v>
      </c>
      <c r="G10" s="156">
        <f>$E10/1000*'SM - Qty'!G10</f>
        <v>0.36325966144988975</v>
      </c>
      <c r="H10" s="156">
        <f>$E10/1000*'SM - Qty'!H10</f>
        <v>0.35871650214653966</v>
      </c>
      <c r="I10" s="156">
        <f>$E10/1000*'SM - Qty'!I10</f>
        <v>0.36582086532873503</v>
      </c>
      <c r="J10" s="156">
        <f>$E10/1000*'SM - Qty'!J10</f>
        <v>0.36354928567705996</v>
      </c>
      <c r="K10" s="156">
        <f>$E10/1000*'SM - Qty'!K10</f>
        <v>0.42072494260516247</v>
      </c>
      <c r="L10" s="156">
        <f>$E10/1000*'SM - Qty'!L10</f>
        <v>0.42328614648400775</v>
      </c>
      <c r="M10" s="156">
        <f>$E10/1000*'SM - Qty'!M10</f>
        <v>0.42347922930212123</v>
      </c>
      <c r="N10" s="156">
        <f>$E10/1000*'SM - Qty'!N10</f>
        <v>0.42289998084778069</v>
      </c>
      <c r="O10" s="156">
        <f>$E10/1000*'SM - Qty'!O10</f>
        <v>0.31270566065869881</v>
      </c>
      <c r="P10" s="156">
        <f>$E10/1000*'SM - Qty'!P10</f>
        <v>0.32672130420497586</v>
      </c>
      <c r="Q10" s="156">
        <f>$E10/1000*'SM - Qty'!Q10</f>
        <v>0.39448252811899948</v>
      </c>
      <c r="R10" s="156">
        <f t="shared" si="2"/>
        <v>2.2395844537334564</v>
      </c>
      <c r="S10" s="156">
        <f t="shared" si="0"/>
        <v>2.303574849616584</v>
      </c>
      <c r="T10" s="156">
        <f t="shared" si="1"/>
        <v>4.5431593033500404</v>
      </c>
    </row>
    <row r="11" spans="1:20" ht="18" customHeight="1">
      <c r="A11" s="1002"/>
      <c r="B11" s="1064"/>
      <c r="C11" s="131"/>
      <c r="D11" s="131" t="s">
        <v>88</v>
      </c>
      <c r="E11" s="156">
        <f>'[2]Falhas SM'!I11</f>
        <v>24.22</v>
      </c>
      <c r="F11" s="156">
        <f>$E11/1000*'SM - Qty'!F11</f>
        <v>0.91118117957661937</v>
      </c>
      <c r="G11" s="156">
        <f>$E11/1000*'SM - Qty'!G11</f>
        <v>0.90063532395913504</v>
      </c>
      <c r="H11" s="156">
        <f>$E11/1000*'SM - Qty'!H11</f>
        <v>0.88937139849425084</v>
      </c>
      <c r="I11" s="156">
        <f>$E11/1000*'SM - Qty'!I11</f>
        <v>0.90698535653897727</v>
      </c>
      <c r="J11" s="156">
        <f>$E11/1000*'SM - Qty'!J11</f>
        <v>0.90135339380653501</v>
      </c>
      <c r="K11" s="156">
        <f>$E11/1000*'SM - Qty'!K11</f>
        <v>1.0431098885807872</v>
      </c>
      <c r="L11" s="156">
        <f>$E11/1000*'SM - Qty'!L11</f>
        <v>1.0494599211606295</v>
      </c>
      <c r="M11" s="156">
        <f>$E11/1000*'SM - Qty'!M11</f>
        <v>1.0499386343922292</v>
      </c>
      <c r="N11" s="156">
        <f>$E11/1000*'SM - Qty'!N11</f>
        <v>1.0485024946974295</v>
      </c>
      <c r="O11" s="156">
        <f>$E11/1000*'SM - Qty'!O11</f>
        <v>0.77529600415060895</v>
      </c>
      <c r="P11" s="156">
        <f>$E11/1000*'SM - Qty'!P11</f>
        <v>0.81004520700846161</v>
      </c>
      <c r="Q11" s="156">
        <f>$E11/1000*'SM - Qty'!Q11</f>
        <v>0.97804666251852423</v>
      </c>
      <c r="R11" s="156">
        <f t="shared" si="2"/>
        <v>5.5526365409563043</v>
      </c>
      <c r="S11" s="156">
        <f t="shared" si="0"/>
        <v>5.7112889239278832</v>
      </c>
      <c r="T11" s="156">
        <f t="shared" si="1"/>
        <v>11.263925464884188</v>
      </c>
    </row>
    <row r="12" spans="1:20" ht="18" customHeight="1">
      <c r="A12" s="1002"/>
      <c r="B12" s="1064"/>
      <c r="C12" s="131"/>
      <c r="D12" s="131" t="s">
        <v>87</v>
      </c>
      <c r="E12" s="156">
        <f>'[2]Falhas SM'!I12</f>
        <v>570</v>
      </c>
      <c r="F12" s="156">
        <f>$E12/1000*'SM - Qty'!F12</f>
        <v>0</v>
      </c>
      <c r="G12" s="156">
        <f>$E12/1000*'SM - Qty'!G12</f>
        <v>0</v>
      </c>
      <c r="H12" s="156">
        <f>$E12/1000*'SM - Qty'!H12</f>
        <v>0</v>
      </c>
      <c r="I12" s="156">
        <f>$E12/1000*'SM - Qty'!I12</f>
        <v>0</v>
      </c>
      <c r="J12" s="156">
        <f>$E12/1000*'SM - Qty'!J12</f>
        <v>0</v>
      </c>
      <c r="K12" s="156">
        <f>$E12/1000*'SM - Qty'!K12</f>
        <v>0</v>
      </c>
      <c r="L12" s="156">
        <f>$E12/1000*'SM - Qty'!L12</f>
        <v>0</v>
      </c>
      <c r="M12" s="156">
        <f>$E12/1000*'SM - Qty'!M12</f>
        <v>0</v>
      </c>
      <c r="N12" s="156">
        <f>$E12/1000*'SM - Qty'!N12</f>
        <v>0</v>
      </c>
      <c r="O12" s="156">
        <f>$E12/1000*'SM - Qty'!O12</f>
        <v>0</v>
      </c>
      <c r="P12" s="156">
        <f>$E12/1000*'SM - Qty'!P12</f>
        <v>0</v>
      </c>
      <c r="Q12" s="156">
        <f>$E12/1000*'SM - Qty'!Q12</f>
        <v>0</v>
      </c>
      <c r="R12" s="156">
        <f t="shared" si="2"/>
        <v>0</v>
      </c>
      <c r="S12" s="156">
        <f t="shared" si="0"/>
        <v>0</v>
      </c>
      <c r="T12" s="156">
        <f t="shared" si="1"/>
        <v>0</v>
      </c>
    </row>
    <row r="13" spans="1:20" ht="18" customHeight="1">
      <c r="A13" s="1002"/>
      <c r="B13" s="1064"/>
      <c r="C13" s="132" t="s">
        <v>83</v>
      </c>
      <c r="D13" s="132"/>
      <c r="E13" s="157"/>
      <c r="F13" s="157">
        <f>SUBTOTAL(109,F10:F12)</f>
        <v>1.2786943761026888</v>
      </c>
      <c r="G13" s="157">
        <f t="shared" ref="G13:Q13" si="4">SUBTOTAL(109,G10:G12)</f>
        <v>1.2638949854090247</v>
      </c>
      <c r="H13" s="157">
        <f t="shared" si="4"/>
        <v>1.2480879006407906</v>
      </c>
      <c r="I13" s="157">
        <f t="shared" si="4"/>
        <v>1.2728062218677123</v>
      </c>
      <c r="J13" s="157">
        <f t="shared" si="4"/>
        <v>1.2649026794835949</v>
      </c>
      <c r="K13" s="157">
        <f t="shared" si="4"/>
        <v>1.4638348311859497</v>
      </c>
      <c r="L13" s="157">
        <f t="shared" si="4"/>
        <v>1.4727460676446373</v>
      </c>
      <c r="M13" s="157">
        <f t="shared" si="4"/>
        <v>1.4734178636943505</v>
      </c>
      <c r="N13" s="157">
        <f t="shared" si="4"/>
        <v>1.4714024755452102</v>
      </c>
      <c r="O13" s="157">
        <f t="shared" si="4"/>
        <v>1.0880016648093078</v>
      </c>
      <c r="P13" s="157">
        <f t="shared" si="4"/>
        <v>1.1367665112134375</v>
      </c>
      <c r="Q13" s="157">
        <f t="shared" si="4"/>
        <v>1.3725291906375237</v>
      </c>
      <c r="R13" s="157">
        <f t="shared" si="2"/>
        <v>7.7922209946897603</v>
      </c>
      <c r="S13" s="157">
        <f t="shared" si="0"/>
        <v>8.0148637735444677</v>
      </c>
      <c r="T13" s="157">
        <f t="shared" si="1"/>
        <v>15.807084768234228</v>
      </c>
    </row>
    <row r="14" spans="1:20" ht="18" customHeight="1">
      <c r="A14" s="1002"/>
      <c r="B14" s="1064">
        <v>6030</v>
      </c>
      <c r="C14" s="131" t="s">
        <v>96</v>
      </c>
      <c r="D14" s="131" t="s">
        <v>89</v>
      </c>
      <c r="E14" s="158">
        <f>'[2]Falhas SM'!I14</f>
        <v>10</v>
      </c>
      <c r="F14" s="158">
        <f>$E14/1000*'SM - Qty'!F14</f>
        <v>30.050781115274567</v>
      </c>
      <c r="G14" s="158">
        <f>$E14/1000*'SM - Qty'!G14</f>
        <v>29.693626786476241</v>
      </c>
      <c r="H14" s="158">
        <f>$E14/1000*'SM - Qty'!H14</f>
        <v>29.32233867008199</v>
      </c>
      <c r="I14" s="158">
        <f>$E14/1000*'SM - Qty'!I14</f>
        <v>29.893404632269295</v>
      </c>
      <c r="J14" s="158">
        <f>$E14/1000*'SM - Qty'!J14</f>
        <v>29.707760574072179</v>
      </c>
      <c r="K14" s="158">
        <f>$E14/1000*'SM - Qty'!K14</f>
        <v>34.367707079128238</v>
      </c>
      <c r="L14" s="158">
        <f>$E14/1000*'SM - Qty'!L14</f>
        <v>34.567484924921295</v>
      </c>
      <c r="M14" s="158">
        <f>$E14/1000*'SM - Qty'!M14</f>
        <v>34.576907449985249</v>
      </c>
      <c r="N14" s="158">
        <f>$E14/1000*'SM - Qty'!N14</f>
        <v>34.548639874793388</v>
      </c>
      <c r="O14" s="158">
        <f>$E14/1000*'SM - Qty'!O14</f>
        <v>25.581189930947598</v>
      </c>
      <c r="P14" s="158">
        <f>$E14/1000*'SM - Qty'!P14</f>
        <v>26.713899330258265</v>
      </c>
      <c r="Q14" s="158">
        <f>$E14/1000*'SM - Qty'!Q14</f>
        <v>32.26437602604414</v>
      </c>
      <c r="R14" s="158">
        <f t="shared" si="2"/>
        <v>183.0356188573025</v>
      </c>
      <c r="S14" s="158">
        <f t="shared" si="0"/>
        <v>188.25249753694996</v>
      </c>
      <c r="T14" s="158">
        <f t="shared" si="1"/>
        <v>371.28811639425248</v>
      </c>
    </row>
    <row r="15" spans="1:20" ht="18" customHeight="1">
      <c r="A15" s="1002"/>
      <c r="B15" s="1064"/>
      <c r="C15" s="131"/>
      <c r="D15" s="131" t="s">
        <v>88</v>
      </c>
      <c r="E15" s="158">
        <f>'[2]Falhas SM'!I15</f>
        <v>19.795000000000002</v>
      </c>
      <c r="F15" s="158">
        <f>$E15/1000*'SM - Qty'!F15</f>
        <v>59.485521217686006</v>
      </c>
      <c r="G15" s="158">
        <f>$E15/1000*'SM - Qty'!G15</f>
        <v>58.778534223829716</v>
      </c>
      <c r="H15" s="158">
        <f>$E15/1000*'SM - Qty'!H15</f>
        <v>58.043569397427298</v>
      </c>
      <c r="I15" s="158">
        <f>$E15/1000*'SM - Qty'!I15</f>
        <v>59.173994469577067</v>
      </c>
      <c r="J15" s="158">
        <f>$E15/1000*'SM - Qty'!J15</f>
        <v>58.806512056375873</v>
      </c>
      <c r="K15" s="158">
        <f>$E15/1000*'SM - Qty'!K15</f>
        <v>68.030876163134337</v>
      </c>
      <c r="L15" s="158">
        <f>$E15/1000*'SM - Qty'!L15</f>
        <v>68.42633640888171</v>
      </c>
      <c r="M15" s="158">
        <f>$E15/1000*'SM - Qty'!M15</f>
        <v>68.4449882972458</v>
      </c>
      <c r="N15" s="158">
        <f>$E15/1000*'SM - Qty'!N15</f>
        <v>68.389032632153516</v>
      </c>
      <c r="O15" s="158">
        <f>$E15/1000*'SM - Qty'!O15</f>
        <v>50.637965468310774</v>
      </c>
      <c r="P15" s="158">
        <f>$E15/1000*'SM - Qty'!P15</f>
        <v>52.880163724246231</v>
      </c>
      <c r="Q15" s="158">
        <f>$E15/1000*'SM - Qty'!Q15</f>
        <v>63.867332343554374</v>
      </c>
      <c r="R15" s="158">
        <f t="shared" si="2"/>
        <v>362.31900752803028</v>
      </c>
      <c r="S15" s="158">
        <f t="shared" si="0"/>
        <v>372.64581887439238</v>
      </c>
      <c r="T15" s="158">
        <f t="shared" si="1"/>
        <v>734.96482640242266</v>
      </c>
    </row>
    <row r="16" spans="1:20" ht="18" customHeight="1">
      <c r="A16" s="1002"/>
      <c r="B16" s="1064"/>
      <c r="C16" s="131"/>
      <c r="D16" s="131" t="s">
        <v>87</v>
      </c>
      <c r="E16" s="158">
        <f>'[2]Falhas SM'!I16</f>
        <v>210.98159999999999</v>
      </c>
      <c r="F16" s="158">
        <f>$E16/1000*'SM - Qty'!F16</f>
        <v>43.080864843306159</v>
      </c>
      <c r="G16" s="158">
        <f>$E16/1000*'SM - Qty'!G16</f>
        <v>42.568847624580975</v>
      </c>
      <c r="H16" s="158">
        <f>$E16/1000*'SM - Qty'!H16</f>
        <v>42.036568177369659</v>
      </c>
      <c r="I16" s="158">
        <f>$E16/1000*'SM - Qty'!I16</f>
        <v>42.855249576672755</v>
      </c>
      <c r="J16" s="158">
        <f>$E16/1000*'SM - Qty'!J16</f>
        <v>42.589109853067107</v>
      </c>
      <c r="K16" s="158">
        <f>$E16/1000*'SM - Qty'!K16</f>
        <v>49.269619247856689</v>
      </c>
      <c r="L16" s="158">
        <f>$E16/1000*'SM - Qty'!L16</f>
        <v>49.556021199948475</v>
      </c>
      <c r="M16" s="158">
        <f>$E16/1000*'SM - Qty'!M16</f>
        <v>49.569529352272561</v>
      </c>
      <c r="N16" s="158">
        <f>$E16/1000*'SM - Qty'!N16</f>
        <v>49.529004895300304</v>
      </c>
      <c r="O16" s="158">
        <f>$E16/1000*'SM - Qty'!O16</f>
        <v>36.673249248284264</v>
      </c>
      <c r="P16" s="158">
        <f>$E16/1000*'SM - Qty'!P16</f>
        <v>38.297103894566376</v>
      </c>
      <c r="Q16" s="158">
        <f>$E16/1000*'SM - Qty'!Q16</f>
        <v>46.254279298087901</v>
      </c>
      <c r="R16" s="158">
        <f t="shared" si="2"/>
        <v>262.40025932285334</v>
      </c>
      <c r="S16" s="158">
        <f t="shared" si="0"/>
        <v>269.87918788845985</v>
      </c>
      <c r="T16" s="158">
        <f t="shared" si="1"/>
        <v>532.27944721131325</v>
      </c>
    </row>
    <row r="17" spans="1:20" ht="18" customHeight="1" thickBot="1">
      <c r="A17" s="1002"/>
      <c r="B17" s="1065"/>
      <c r="C17" s="134" t="s">
        <v>83</v>
      </c>
      <c r="D17" s="134"/>
      <c r="E17" s="159"/>
      <c r="F17" s="157">
        <f>SUBTOTAL(109,F14:F16)</f>
        <v>132.61716717626672</v>
      </c>
      <c r="G17" s="157">
        <f t="shared" ref="G17:Q17" si="5">SUBTOTAL(109,G14:G16)</f>
        <v>131.04100863488694</v>
      </c>
      <c r="H17" s="157">
        <f t="shared" si="5"/>
        <v>129.40247624487893</v>
      </c>
      <c r="I17" s="157">
        <f t="shared" si="5"/>
        <v>131.92264867851912</v>
      </c>
      <c r="J17" s="157">
        <f t="shared" si="5"/>
        <v>131.10338248351516</v>
      </c>
      <c r="K17" s="157">
        <f t="shared" si="5"/>
        <v>151.66820249011926</v>
      </c>
      <c r="L17" s="157">
        <f t="shared" si="5"/>
        <v>152.54984253375147</v>
      </c>
      <c r="M17" s="157">
        <f t="shared" si="5"/>
        <v>152.5914250995036</v>
      </c>
      <c r="N17" s="157">
        <f t="shared" si="5"/>
        <v>152.46667740224723</v>
      </c>
      <c r="O17" s="157">
        <f t="shared" si="5"/>
        <v>112.89240464754263</v>
      </c>
      <c r="P17" s="157">
        <f t="shared" si="5"/>
        <v>117.89116694907086</v>
      </c>
      <c r="Q17" s="157">
        <f t="shared" si="5"/>
        <v>142.38598766768641</v>
      </c>
      <c r="R17" s="159">
        <f t="shared" si="2"/>
        <v>807.75488570818607</v>
      </c>
      <c r="S17" s="159">
        <f t="shared" si="0"/>
        <v>830.77750429980233</v>
      </c>
      <c r="T17" s="159">
        <f t="shared" si="1"/>
        <v>1638.5323900079884</v>
      </c>
    </row>
    <row r="18" spans="1:20" ht="18" customHeight="1" thickTop="1">
      <c r="A18" s="1002"/>
      <c r="B18" s="1071">
        <v>6040</v>
      </c>
      <c r="C18" s="136" t="s">
        <v>95</v>
      </c>
      <c r="D18" s="136" t="s">
        <v>89</v>
      </c>
      <c r="E18" s="155">
        <f>'[2]Falhas SM'!I18</f>
        <v>20</v>
      </c>
      <c r="F18" s="155">
        <f>$E18/1000*'SM - Qty'!F18</f>
        <v>0.34908178823672442</v>
      </c>
      <c r="G18" s="155">
        <f>$E18/1000*'SM - Qty'!G18</f>
        <v>0.35130523911721306</v>
      </c>
      <c r="H18" s="155">
        <f>$E18/1000*'SM - Qty'!H18</f>
        <v>0.34685833735623567</v>
      </c>
      <c r="I18" s="155">
        <f>$E18/1000*'SM - Qty'!I18</f>
        <v>0.36019904263916785</v>
      </c>
      <c r="J18" s="155">
        <f>$E18/1000*'SM - Qty'!J18</f>
        <v>0.35797559175867916</v>
      </c>
      <c r="K18" s="155">
        <f>$E18/1000*'SM - Qty'!K18</f>
        <v>0.42245566729285117</v>
      </c>
      <c r="L18" s="155">
        <f>$E18/1000*'SM - Qty'!L18</f>
        <v>0.43134947081480596</v>
      </c>
      <c r="M18" s="155">
        <f>$E18/1000*'SM - Qty'!M18</f>
        <v>0.43579637257578335</v>
      </c>
      <c r="N18" s="155">
        <f>$E18/1000*'SM - Qty'!N18</f>
        <v>0.42245566729285117</v>
      </c>
      <c r="O18" s="155">
        <f>$E18/1000*'SM - Qty'!O18</f>
        <v>0.28904861446352975</v>
      </c>
      <c r="P18" s="155">
        <f>$E18/1000*'SM - Qty'!P18</f>
        <v>0.31128312326841662</v>
      </c>
      <c r="Q18" s="155">
        <f>$E18/1000*'SM - Qty'!Q18</f>
        <v>0.36909284616112259</v>
      </c>
      <c r="R18" s="155">
        <f t="shared" si="2"/>
        <v>2.1878756664008714</v>
      </c>
      <c r="S18" s="155">
        <f t="shared" si="0"/>
        <v>2.2590260945765093</v>
      </c>
      <c r="T18" s="155">
        <f t="shared" si="1"/>
        <v>4.4469017609773811</v>
      </c>
    </row>
    <row r="19" spans="1:20" ht="18" customHeight="1">
      <c r="A19" s="1002"/>
      <c r="B19" s="1064"/>
      <c r="C19" s="137"/>
      <c r="D19" s="137" t="s">
        <v>88</v>
      </c>
      <c r="E19" s="156">
        <f>'[2]Falhas SM'!I19</f>
        <v>26.07</v>
      </c>
      <c r="F19" s="156">
        <f>$E19/1000*'SM - Qty'!F19</f>
        <v>0.42216457907539179</v>
      </c>
      <c r="G19" s="156">
        <f>$E19/1000*'SM - Qty'!G19</f>
        <v>0.42485352543892929</v>
      </c>
      <c r="H19" s="156">
        <f>$E19/1000*'SM - Qty'!H19</f>
        <v>0.41947563271185428</v>
      </c>
      <c r="I19" s="156">
        <f>$E19/1000*'SM - Qty'!I19</f>
        <v>0.43560931089307953</v>
      </c>
      <c r="J19" s="156">
        <f>$E19/1000*'SM - Qty'!J19</f>
        <v>0.43292036452954191</v>
      </c>
      <c r="K19" s="156">
        <f>$E19/1000*'SM - Qty'!K19</f>
        <v>0.51089980907213017</v>
      </c>
      <c r="L19" s="156">
        <f>$E19/1000*'SM - Qty'!L19</f>
        <v>0.5216555945262803</v>
      </c>
      <c r="M19" s="156">
        <f>$E19/1000*'SM - Qty'!M19</f>
        <v>0.52703348725335541</v>
      </c>
      <c r="N19" s="156">
        <f>$E19/1000*'SM - Qty'!N19</f>
        <v>0.51089980907213017</v>
      </c>
      <c r="O19" s="156">
        <f>$E19/1000*'SM - Qty'!O19</f>
        <v>0.34956302725987853</v>
      </c>
      <c r="P19" s="156">
        <f>$E19/1000*'SM - Qty'!P19</f>
        <v>0.37645249089525384</v>
      </c>
      <c r="Q19" s="156">
        <f>$E19/1000*'SM - Qty'!Q19</f>
        <v>0.44636509634722954</v>
      </c>
      <c r="R19" s="156">
        <f t="shared" si="2"/>
        <v>2.6459232217209268</v>
      </c>
      <c r="S19" s="156">
        <f t="shared" si="0"/>
        <v>2.7319695053541277</v>
      </c>
      <c r="T19" s="156">
        <f t="shared" si="1"/>
        <v>5.3778927270750545</v>
      </c>
    </row>
    <row r="20" spans="1:20" ht="18" customHeight="1">
      <c r="A20" s="1002"/>
      <c r="B20" s="1064"/>
      <c r="C20" s="137"/>
      <c r="D20" s="137" t="s">
        <v>87</v>
      </c>
      <c r="E20" s="156">
        <f>'[2]Falhas SM'!I20</f>
        <v>1763.52</v>
      </c>
      <c r="F20" s="156">
        <f>$E20/1000*'SM - Qty'!F20</f>
        <v>4.0838276308686137</v>
      </c>
      <c r="G20" s="156">
        <f>$E20/1000*'SM - Qty'!G20</f>
        <v>4.1098392718295589</v>
      </c>
      <c r="H20" s="156">
        <f>$E20/1000*'SM - Qty'!H20</f>
        <v>4.0578159899076667</v>
      </c>
      <c r="I20" s="156">
        <f>$E20/1000*'SM - Qty'!I20</f>
        <v>4.2138858356733468</v>
      </c>
      <c r="J20" s="156">
        <f>$E20/1000*'SM - Qty'!J20</f>
        <v>4.187874194712399</v>
      </c>
      <c r="K20" s="156">
        <f>$E20/1000*'SM - Qty'!K20</f>
        <v>4.9422117825798502</v>
      </c>
      <c r="L20" s="156">
        <f>$E20/1000*'SM - Qty'!L20</f>
        <v>5.0462583464236372</v>
      </c>
      <c r="M20" s="156">
        <f>$E20/1000*'SM - Qty'!M20</f>
        <v>5.0982816283455294</v>
      </c>
      <c r="N20" s="156">
        <f>$E20/1000*'SM - Qty'!N20</f>
        <v>4.9422117825798502</v>
      </c>
      <c r="O20" s="156">
        <f>$E20/1000*'SM - Qty'!O20</f>
        <v>3.3815133249230556</v>
      </c>
      <c r="P20" s="156">
        <f>$E20/1000*'SM - Qty'!P20</f>
        <v>3.6416297345325215</v>
      </c>
      <c r="Q20" s="156">
        <f>$E20/1000*'SM - Qty'!Q20</f>
        <v>4.3179323995171321</v>
      </c>
      <c r="R20" s="156">
        <f t="shared" si="2"/>
        <v>25.595454705571438</v>
      </c>
      <c r="S20" s="156">
        <f t="shared" si="0"/>
        <v>26.427827216321727</v>
      </c>
      <c r="T20" s="156">
        <f t="shared" si="1"/>
        <v>52.023281921893165</v>
      </c>
    </row>
    <row r="21" spans="1:20" ht="18" customHeight="1">
      <c r="A21" s="1002"/>
      <c r="B21" s="1064"/>
      <c r="C21" s="138" t="s">
        <v>92</v>
      </c>
      <c r="D21" s="138"/>
      <c r="E21" s="157"/>
      <c r="F21" s="157">
        <f>SUBTOTAL(109,F18:F20)</f>
        <v>4.85507399818073</v>
      </c>
      <c r="G21" s="157">
        <f t="shared" ref="G21:Q21" si="6">SUBTOTAL(109,G18:G20)</f>
        <v>4.8859980363857014</v>
      </c>
      <c r="H21" s="157">
        <f t="shared" si="6"/>
        <v>4.8241499599757569</v>
      </c>
      <c r="I21" s="157">
        <f t="shared" si="6"/>
        <v>5.009694189205594</v>
      </c>
      <c r="J21" s="157">
        <f t="shared" si="6"/>
        <v>4.9787701510006199</v>
      </c>
      <c r="K21" s="157">
        <f t="shared" si="6"/>
        <v>5.875567258944832</v>
      </c>
      <c r="L21" s="157">
        <f t="shared" si="6"/>
        <v>5.9992634117647237</v>
      </c>
      <c r="M21" s="157">
        <f t="shared" si="6"/>
        <v>6.0611114881746682</v>
      </c>
      <c r="N21" s="157">
        <f t="shared" si="6"/>
        <v>5.875567258944832</v>
      </c>
      <c r="O21" s="157">
        <f t="shared" si="6"/>
        <v>4.0201249666464633</v>
      </c>
      <c r="P21" s="157">
        <f t="shared" si="6"/>
        <v>4.3293653486961921</v>
      </c>
      <c r="Q21" s="157">
        <f t="shared" si="6"/>
        <v>5.1333903420254838</v>
      </c>
      <c r="R21" s="157">
        <f t="shared" si="2"/>
        <v>30.429253593693232</v>
      </c>
      <c r="S21" s="157">
        <f t="shared" si="0"/>
        <v>31.418822816252366</v>
      </c>
      <c r="T21" s="157">
        <f t="shared" si="1"/>
        <v>61.848076409945598</v>
      </c>
    </row>
    <row r="22" spans="1:20" ht="18" customHeight="1">
      <c r="A22" s="1002"/>
      <c r="B22" s="1064">
        <v>6050</v>
      </c>
      <c r="C22" s="139" t="s">
        <v>94</v>
      </c>
      <c r="D22" s="139" t="s">
        <v>89</v>
      </c>
      <c r="E22" s="156">
        <f>'[2]Falhas SM'!I22</f>
        <v>10</v>
      </c>
      <c r="F22" s="156">
        <f>$E22/1000*'SM - Qty'!F22</f>
        <v>1.6705435997065889E-2</v>
      </c>
      <c r="G22" s="156">
        <f>$E22/1000*'SM - Qty'!G22</f>
        <v>1.6811840048002617E-2</v>
      </c>
      <c r="H22" s="156">
        <f>$E22/1000*'SM - Qty'!H22</f>
        <v>1.6599031946129165E-2</v>
      </c>
      <c r="I22" s="156">
        <f>$E22/1000*'SM - Qty'!I22</f>
        <v>1.7237456251749519E-2</v>
      </c>
      <c r="J22" s="156">
        <f>$E22/1000*'SM - Qty'!J22</f>
        <v>1.7131052200812794E-2</v>
      </c>
      <c r="K22" s="156">
        <f>$E22/1000*'SM - Qty'!K22</f>
        <v>2.0216769677977833E-2</v>
      </c>
      <c r="L22" s="156">
        <f>$E22/1000*'SM - Qty'!L22</f>
        <v>2.0642385881724734E-2</v>
      </c>
      <c r="M22" s="156">
        <f>$E22/1000*'SM - Qty'!M22</f>
        <v>2.0855193983598183E-2</v>
      </c>
      <c r="N22" s="156">
        <f>$E22/1000*'SM - Qty'!N22</f>
        <v>2.0216769677977833E-2</v>
      </c>
      <c r="O22" s="156">
        <f>$E22/1000*'SM - Qty'!O22</f>
        <v>1.3832526621774307E-2</v>
      </c>
      <c r="P22" s="156">
        <f>$E22/1000*'SM - Qty'!P22</f>
        <v>1.4896567131141562E-2</v>
      </c>
      <c r="Q22" s="156">
        <f>$E22/1000*'SM - Qty'!Q22</f>
        <v>1.7663072455496424E-2</v>
      </c>
      <c r="R22" s="156">
        <f t="shared" si="2"/>
        <v>0.10470158612173781</v>
      </c>
      <c r="S22" s="156">
        <f t="shared" si="0"/>
        <v>0.10810651575171304</v>
      </c>
      <c r="T22" s="156">
        <f t="shared" si="1"/>
        <v>0.21280810187345084</v>
      </c>
    </row>
    <row r="23" spans="1:20" ht="18" customHeight="1">
      <c r="A23" s="1002"/>
      <c r="B23" s="1064"/>
      <c r="C23" s="139"/>
      <c r="D23" s="139" t="s">
        <v>88</v>
      </c>
      <c r="E23" s="156">
        <f>'[2]Falhas SM'!I23</f>
        <v>24.22</v>
      </c>
      <c r="F23" s="156">
        <f>$E23/1000*'SM - Qty'!F23</f>
        <v>3.4361570681612538E-2</v>
      </c>
      <c r="G23" s="156">
        <f>$E23/1000*'SM - Qty'!G23</f>
        <v>3.458043418913874E-2</v>
      </c>
      <c r="H23" s="156">
        <f>$E23/1000*'SM - Qty'!H23</f>
        <v>3.4142707174086351E-2</v>
      </c>
      <c r="I23" s="156">
        <f>$E23/1000*'SM - Qty'!I23</f>
        <v>3.5455888219243517E-2</v>
      </c>
      <c r="J23" s="156">
        <f>$E23/1000*'SM - Qty'!J23</f>
        <v>3.5237024711717323E-2</v>
      </c>
      <c r="K23" s="156">
        <f>$E23/1000*'SM - Qty'!K23</f>
        <v>4.1584066429976967E-2</v>
      </c>
      <c r="L23" s="156">
        <f>$E23/1000*'SM - Qty'!L23</f>
        <v>4.2459520460081751E-2</v>
      </c>
      <c r="M23" s="156">
        <f>$E23/1000*'SM - Qty'!M23</f>
        <v>4.2897247475134126E-2</v>
      </c>
      <c r="N23" s="156">
        <f>$E23/1000*'SM - Qty'!N23</f>
        <v>4.1584066429976967E-2</v>
      </c>
      <c r="O23" s="156">
        <f>$E23/1000*'SM - Qty'!O23</f>
        <v>2.8452255978405293E-2</v>
      </c>
      <c r="P23" s="156">
        <f>$E23/1000*'SM - Qty'!P23</f>
        <v>3.0640891053667241E-2</v>
      </c>
      <c r="Q23" s="156">
        <f>$E23/1000*'SM - Qty'!Q23</f>
        <v>3.6331342249348302E-2</v>
      </c>
      <c r="R23" s="156">
        <f t="shared" si="2"/>
        <v>0.21536169140577546</v>
      </c>
      <c r="S23" s="156">
        <f t="shared" si="0"/>
        <v>0.22236532364661368</v>
      </c>
      <c r="T23" s="156">
        <f t="shared" si="1"/>
        <v>0.43772701505238915</v>
      </c>
    </row>
    <row r="24" spans="1:20" ht="18" customHeight="1">
      <c r="A24" s="1002"/>
      <c r="B24" s="1064"/>
      <c r="C24" s="139"/>
      <c r="D24" s="139" t="s">
        <v>87</v>
      </c>
      <c r="E24" s="156">
        <f>'[2]Falhas SM'!I24</f>
        <v>1027.44</v>
      </c>
      <c r="F24" s="156">
        <f>$E24/1000*'SM - Qty'!F24</f>
        <v>0</v>
      </c>
      <c r="G24" s="156">
        <f>$E24/1000*'SM - Qty'!G24</f>
        <v>0</v>
      </c>
      <c r="H24" s="156">
        <f>$E24/1000*'SM - Qty'!H24</f>
        <v>0</v>
      </c>
      <c r="I24" s="156">
        <f>$E24/1000*'SM - Qty'!I24</f>
        <v>0</v>
      </c>
      <c r="J24" s="156">
        <f>$E24/1000*'SM - Qty'!J24</f>
        <v>0</v>
      </c>
      <c r="K24" s="156">
        <f>$E24/1000*'SM - Qty'!K24</f>
        <v>0</v>
      </c>
      <c r="L24" s="156">
        <f>$E24/1000*'SM - Qty'!L24</f>
        <v>0</v>
      </c>
      <c r="M24" s="156">
        <f>$E24/1000*'SM - Qty'!M24</f>
        <v>0</v>
      </c>
      <c r="N24" s="156">
        <f>$E24/1000*'SM - Qty'!N24</f>
        <v>0</v>
      </c>
      <c r="O24" s="156">
        <f>$E24/1000*'SM - Qty'!O24</f>
        <v>0</v>
      </c>
      <c r="P24" s="156">
        <f>$E24/1000*'SM - Qty'!P24</f>
        <v>0</v>
      </c>
      <c r="Q24" s="156">
        <f>$E24/1000*'SM - Qty'!Q24</f>
        <v>0</v>
      </c>
      <c r="R24" s="156">
        <f t="shared" si="2"/>
        <v>0</v>
      </c>
      <c r="S24" s="156">
        <f t="shared" si="0"/>
        <v>0</v>
      </c>
      <c r="T24" s="156">
        <f t="shared" si="1"/>
        <v>0</v>
      </c>
    </row>
    <row r="25" spans="1:20" ht="18" customHeight="1">
      <c r="A25" s="1002"/>
      <c r="B25" s="1064"/>
      <c r="C25" s="138" t="s">
        <v>92</v>
      </c>
      <c r="D25" s="138"/>
      <c r="E25" s="157"/>
      <c r="F25" s="157">
        <f>SUBTOTAL(109,F22:F24)</f>
        <v>5.1067006678678431E-2</v>
      </c>
      <c r="G25" s="157">
        <f t="shared" ref="G25:Q25" si="7">SUBTOTAL(109,G22:G24)</f>
        <v>5.1392274237141357E-2</v>
      </c>
      <c r="H25" s="157">
        <f t="shared" si="7"/>
        <v>5.0741739120215512E-2</v>
      </c>
      <c r="I25" s="157">
        <f t="shared" si="7"/>
        <v>5.2693344470993039E-2</v>
      </c>
      <c r="J25" s="157">
        <f t="shared" si="7"/>
        <v>5.236807691253012E-2</v>
      </c>
      <c r="K25" s="157">
        <f t="shared" si="7"/>
        <v>6.1800836107954796E-2</v>
      </c>
      <c r="L25" s="157">
        <f t="shared" si="7"/>
        <v>6.3101906341806485E-2</v>
      </c>
      <c r="M25" s="157">
        <f t="shared" si="7"/>
        <v>6.3752441458732309E-2</v>
      </c>
      <c r="N25" s="157">
        <f t="shared" si="7"/>
        <v>6.1800836107954796E-2</v>
      </c>
      <c r="O25" s="157">
        <f t="shared" si="7"/>
        <v>4.22847826001796E-2</v>
      </c>
      <c r="P25" s="157">
        <f t="shared" si="7"/>
        <v>4.5537458184808803E-2</v>
      </c>
      <c r="Q25" s="157">
        <f t="shared" si="7"/>
        <v>5.3994414704844729E-2</v>
      </c>
      <c r="R25" s="157">
        <f t="shared" si="2"/>
        <v>0.32006327752751323</v>
      </c>
      <c r="S25" s="157">
        <f t="shared" si="0"/>
        <v>0.33047183939832669</v>
      </c>
      <c r="T25" s="157">
        <f t="shared" si="1"/>
        <v>0.65053511692583998</v>
      </c>
    </row>
    <row r="26" spans="1:20" ht="18" customHeight="1">
      <c r="A26" s="1002"/>
      <c r="B26" s="1064">
        <v>6060</v>
      </c>
      <c r="C26" s="139" t="s">
        <v>93</v>
      </c>
      <c r="D26" s="139" t="s">
        <v>89</v>
      </c>
      <c r="E26" s="156">
        <f>'[2]Falhas SM'!I26</f>
        <v>10</v>
      </c>
      <c r="F26" s="156">
        <f>$E26/1000*'SM - Qty'!F26</f>
        <v>35.165546030943055</v>
      </c>
      <c r="G26" s="156">
        <f>$E26/1000*'SM - Qty'!G26</f>
        <v>39.072071735001835</v>
      </c>
      <c r="H26" s="156">
        <f>$E26/1000*'SM - Qty'!H26</f>
        <v>37.94670481371115</v>
      </c>
      <c r="I26" s="156">
        <f>$E26/1000*'SM - Qty'!I26</f>
        <v>38.651352725889012</v>
      </c>
      <c r="J26" s="156">
        <f>$E26/1000*'SM - Qty'!J26</f>
        <v>38.533911407192704</v>
      </c>
      <c r="K26" s="156">
        <f>$E26/1000*'SM - Qty'!K26</f>
        <v>42.557030228529811</v>
      </c>
      <c r="L26" s="156">
        <f>$E26/1000*'SM - Qty'!L26</f>
        <v>43.452967707025174</v>
      </c>
      <c r="M26" s="156">
        <f>$E26/1000*'SM - Qty'!M26</f>
        <v>43.900936446272851</v>
      </c>
      <c r="N26" s="156">
        <f>$E26/1000*'SM - Qty'!N26</f>
        <v>40.713093455817884</v>
      </c>
      <c r="O26" s="156">
        <f>$E26/1000*'SM - Qty'!O26</f>
        <v>26.306917172631728</v>
      </c>
      <c r="P26" s="156">
        <f>$E26/1000*'SM - Qty'!P26</f>
        <v>29.934562746730649</v>
      </c>
      <c r="Q26" s="156">
        <f>$E26/1000*'SM - Qty'!Q26</f>
        <v>37.894501807106387</v>
      </c>
      <c r="R26" s="156">
        <f t="shared" si="2"/>
        <v>231.92661694126758</v>
      </c>
      <c r="S26" s="156">
        <f t="shared" si="0"/>
        <v>222.20297933558467</v>
      </c>
      <c r="T26" s="156">
        <f t="shared" si="1"/>
        <v>454.12959627685223</v>
      </c>
    </row>
    <row r="27" spans="1:20" ht="18" customHeight="1">
      <c r="A27" s="1002"/>
      <c r="B27" s="1064"/>
      <c r="C27" s="139"/>
      <c r="D27" s="139" t="s">
        <v>88</v>
      </c>
      <c r="E27" s="156">
        <f>'[2]Falhas SM'!I27</f>
        <v>19.795000000000002</v>
      </c>
      <c r="F27" s="156">
        <f>$E27/1000*'SM - Qty'!F27</f>
        <v>65.141644740532158</v>
      </c>
      <c r="G27" s="156">
        <f>$E27/1000*'SM - Qty'!G27</f>
        <v>72.378202630451838</v>
      </c>
      <c r="H27" s="156">
        <f>$E27/1000*'SM - Qty'!H27</f>
        <v>70.293541350773182</v>
      </c>
      <c r="I27" s="156">
        <f>$E27/1000*'SM - Qty'!I27</f>
        <v>71.598850926283774</v>
      </c>
      <c r="J27" s="156">
        <f>$E27/1000*'SM - Qty'!J27</f>
        <v>71.381299330365351</v>
      </c>
      <c r="K27" s="156">
        <f>$E27/1000*'SM - Qty'!K27</f>
        <v>78.833837584083511</v>
      </c>
      <c r="L27" s="156">
        <f>$E27/1000*'SM - Qty'!L27</f>
        <v>80.493497322695802</v>
      </c>
      <c r="M27" s="156">
        <f>$E27/1000*'SM - Qty'!M27</f>
        <v>81.32332719200194</v>
      </c>
      <c r="N27" s="156">
        <f>$E27/1000*'SM - Qty'!N27</f>
        <v>75.418077337781355</v>
      </c>
      <c r="O27" s="156">
        <f>$E27/1000*'SM - Qty'!O27</f>
        <v>48.731671937363757</v>
      </c>
      <c r="P27" s="156">
        <f>$E27/1000*'SM - Qty'!P27</f>
        <v>55.451624444985278</v>
      </c>
      <c r="Q27" s="156">
        <f>$E27/1000*'SM - Qty'!Q27</f>
        <v>70.196839035738947</v>
      </c>
      <c r="R27" s="156">
        <f t="shared" si="2"/>
        <v>429.62737656248987</v>
      </c>
      <c r="S27" s="156">
        <f t="shared" si="0"/>
        <v>411.61503727056709</v>
      </c>
      <c r="T27" s="156">
        <f t="shared" si="1"/>
        <v>841.24241383305696</v>
      </c>
    </row>
    <row r="28" spans="1:20" ht="18" customHeight="1">
      <c r="A28" s="1002"/>
      <c r="B28" s="1064"/>
      <c r="C28" s="139"/>
      <c r="D28" s="139" t="s">
        <v>87</v>
      </c>
      <c r="E28" s="156">
        <f>'[2]Falhas SM'!I28</f>
        <v>467.88451780000003</v>
      </c>
      <c r="F28" s="156">
        <f>$E28/1000*'SM - Qty'!F28</f>
        <v>35.861580387227981</v>
      </c>
      <c r="G28" s="156">
        <f>$E28/1000*'SM - Qty'!G28</f>
        <v>39.845428254899481</v>
      </c>
      <c r="H28" s="156">
        <f>$E28/1000*'SM - Qty'!H28</f>
        <v>38.69778685961213</v>
      </c>
      <c r="I28" s="156">
        <f>$E28/1000*'SM - Qty'!I28</f>
        <v>39.416381922092413</v>
      </c>
      <c r="J28" s="156">
        <f>$E28/1000*'SM - Qty'!J28</f>
        <v>39.2966160783457</v>
      </c>
      <c r="K28" s="156">
        <f>$E28/1000*'SM - Qty'!K28</f>
        <v>43.399364799830039</v>
      </c>
      <c r="L28" s="156">
        <f>$E28/1000*'SM - Qty'!L28</f>
        <v>44.3130356377212</v>
      </c>
      <c r="M28" s="156">
        <f>$E28/1000*'SM - Qty'!M28</f>
        <v>44.769871056666787</v>
      </c>
      <c r="N28" s="156">
        <f>$E28/1000*'SM - Qty'!N28</f>
        <v>41.518930844805197</v>
      </c>
      <c r="O28" s="156">
        <f>$E28/1000*'SM - Qty'!O28</f>
        <v>26.827612006830574</v>
      </c>
      <c r="P28" s="156">
        <f>$E28/1000*'SM - Qty'!P28</f>
        <v>30.527059848688289</v>
      </c>
      <c r="Q28" s="156">
        <f>$E28/1000*'SM - Qty'!Q28</f>
        <v>38.644550594884016</v>
      </c>
      <c r="R28" s="156">
        <f t="shared" si="2"/>
        <v>236.51715830200774</v>
      </c>
      <c r="S28" s="156">
        <f t="shared" si="0"/>
        <v>226.60105998959605</v>
      </c>
      <c r="T28" s="156">
        <f t="shared" si="1"/>
        <v>463.1182182916038</v>
      </c>
    </row>
    <row r="29" spans="1:20" ht="18" customHeight="1">
      <c r="A29" s="1002"/>
      <c r="B29" s="1064"/>
      <c r="C29" s="138" t="s">
        <v>92</v>
      </c>
      <c r="D29" s="138"/>
      <c r="E29" s="157"/>
      <c r="F29" s="157">
        <f>SUBTOTAL(109,F26:F28)</f>
        <v>136.16877115870318</v>
      </c>
      <c r="G29" s="157">
        <f t="shared" ref="G29:Q29" si="8">SUBTOTAL(109,G26:G28)</f>
        <v>151.29570262035315</v>
      </c>
      <c r="H29" s="157">
        <f t="shared" si="8"/>
        <v>146.93803302409646</v>
      </c>
      <c r="I29" s="157">
        <f t="shared" si="8"/>
        <v>149.66658557426518</v>
      </c>
      <c r="J29" s="157">
        <f t="shared" si="8"/>
        <v>149.21182681590375</v>
      </c>
      <c r="K29" s="157">
        <f t="shared" si="8"/>
        <v>164.79023261244336</v>
      </c>
      <c r="L29" s="157">
        <f t="shared" si="8"/>
        <v>168.25950066744218</v>
      </c>
      <c r="M29" s="157">
        <f t="shared" si="8"/>
        <v>169.99413469494158</v>
      </c>
      <c r="N29" s="157">
        <f t="shared" si="8"/>
        <v>157.65010163840444</v>
      </c>
      <c r="O29" s="157">
        <f t="shared" si="8"/>
        <v>101.86620111682606</v>
      </c>
      <c r="P29" s="157">
        <f t="shared" si="8"/>
        <v>115.9132470404042</v>
      </c>
      <c r="Q29" s="157">
        <f t="shared" si="8"/>
        <v>146.73589143772935</v>
      </c>
      <c r="R29" s="157">
        <f t="shared" si="2"/>
        <v>898.07115180576511</v>
      </c>
      <c r="S29" s="157">
        <f t="shared" si="0"/>
        <v>860.41907659574781</v>
      </c>
      <c r="T29" s="157">
        <f t="shared" si="1"/>
        <v>1758.4902284015129</v>
      </c>
    </row>
    <row r="30" spans="1:20" ht="18" customHeight="1">
      <c r="A30" s="1002"/>
      <c r="B30" s="140"/>
      <c r="C30" s="140" t="s">
        <v>83</v>
      </c>
      <c r="D30" s="138" t="s">
        <v>91</v>
      </c>
      <c r="E30" s="157"/>
      <c r="F30" s="157"/>
      <c r="G30" s="157"/>
      <c r="H30" s="157"/>
      <c r="I30" s="157"/>
      <c r="J30" s="157"/>
      <c r="K30" s="157"/>
      <c r="L30" s="157"/>
      <c r="M30" s="157"/>
      <c r="N30" s="157"/>
      <c r="O30" s="157"/>
      <c r="P30" s="157"/>
      <c r="Q30" s="157"/>
      <c r="R30" s="157">
        <f t="shared" si="2"/>
        <v>0</v>
      </c>
      <c r="S30" s="157">
        <f t="shared" si="0"/>
        <v>0</v>
      </c>
      <c r="T30" s="157">
        <f t="shared" si="1"/>
        <v>0</v>
      </c>
    </row>
    <row r="31" spans="1:20" ht="18" customHeight="1">
      <c r="A31" s="1002"/>
      <c r="B31" s="1064">
        <v>6070</v>
      </c>
      <c r="C31" s="139" t="s">
        <v>90</v>
      </c>
      <c r="D31" s="139" t="s">
        <v>89</v>
      </c>
      <c r="E31" s="156">
        <f>'[2]Falhas SM'!I31</f>
        <v>20</v>
      </c>
      <c r="F31" s="156">
        <f>$E31/1000*'SM - Qty'!F31</f>
        <v>23.097538324607214</v>
      </c>
      <c r="G31" s="156">
        <f>$E31/1000*'SM - Qty'!G31</f>
        <v>21.55595782277592</v>
      </c>
      <c r="H31" s="156">
        <f>$E31/1000*'SM - Qty'!H31</f>
        <v>22.263923306311153</v>
      </c>
      <c r="I31" s="156">
        <f>$E31/1000*'SM - Qty'!I31</f>
        <v>22.932046124427494</v>
      </c>
      <c r="J31" s="156">
        <f>$E31/1000*'SM - Qty'!J31</f>
        <v>23.749404966994899</v>
      </c>
      <c r="K31" s="156">
        <f>$E31/1000*'SM - Qty'!K31</f>
        <v>28.179196235437647</v>
      </c>
      <c r="L31" s="156">
        <f>$E31/1000*'SM - Qty'!L31</f>
        <v>28.715217559279772</v>
      </c>
      <c r="M31" s="156">
        <f>$E31/1000*'SM - Qty'!M31</f>
        <v>28.835143386133851</v>
      </c>
      <c r="N31" s="156">
        <f>$E31/1000*'SM - Qty'!N31</f>
        <v>27.165670062720562</v>
      </c>
      <c r="O31" s="156">
        <f>$E31/1000*'SM - Qty'!O31</f>
        <v>19.125350205088775</v>
      </c>
      <c r="P31" s="156">
        <f>$E31/1000*'SM - Qty'!P31</f>
        <v>20.937462426139579</v>
      </c>
      <c r="Q31" s="156">
        <f>$E31/1000*'SM - Qty'!Q31</f>
        <v>24.421601031113351</v>
      </c>
      <c r="R31" s="156">
        <f t="shared" si="2"/>
        <v>141.77806678055435</v>
      </c>
      <c r="S31" s="156">
        <f t="shared" si="0"/>
        <v>149.20044467047589</v>
      </c>
      <c r="T31" s="156">
        <f t="shared" si="1"/>
        <v>290.97851145103027</v>
      </c>
    </row>
    <row r="32" spans="1:20" ht="18" customHeight="1">
      <c r="A32" s="1002"/>
      <c r="B32" s="1064"/>
      <c r="C32" s="139"/>
      <c r="D32" s="139" t="s">
        <v>88</v>
      </c>
      <c r="E32" s="156">
        <f>'[2]Falhas SM'!I32</f>
        <v>48.44</v>
      </c>
      <c r="F32" s="156">
        <f>$E32/1000*'SM - Qty'!F32</f>
        <v>54.529073473558718</v>
      </c>
      <c r="G32" s="156">
        <f>$E32/1000*'SM - Qty'!G32</f>
        <v>50.889683194456595</v>
      </c>
      <c r="H32" s="156">
        <f>$E32/1000*'SM - Qty'!H32</f>
        <v>52.56106052159403</v>
      </c>
      <c r="I32" s="156">
        <f>$E32/1000*'SM - Qty'!I32</f>
        <v>54.138376585601328</v>
      </c>
      <c r="J32" s="156">
        <f>$E32/1000*'SM - Qty'!J32</f>
        <v>56.068011672866788</v>
      </c>
      <c r="K32" s="156">
        <f>$E32/1000*'SM - Qty'!K32</f>
        <v>66.52594057224664</v>
      </c>
      <c r="L32" s="156">
        <f>$E32/1000*'SM - Qty'!L32</f>
        <v>67.791389112277514</v>
      </c>
      <c r="M32" s="156">
        <f>$E32/1000*'SM - Qty'!M32</f>
        <v>68.074512107117911</v>
      </c>
      <c r="N32" s="156">
        <f>$E32/1000*'SM - Qty'!N32</f>
        <v>64.133190212326866</v>
      </c>
      <c r="O32" s="156">
        <f>$E32/1000*'SM - Qty'!O32</f>
        <v>45.1514621118639</v>
      </c>
      <c r="P32" s="156">
        <f>$E32/1000*'SM - Qty'!P32</f>
        <v>49.429528417256364</v>
      </c>
      <c r="Q32" s="156">
        <f>$E32/1000*'SM - Qty'!Q32</f>
        <v>57.654943927456969</v>
      </c>
      <c r="R32" s="156">
        <f t="shared" si="2"/>
        <v>334.7121460203241</v>
      </c>
      <c r="S32" s="156">
        <f t="shared" si="0"/>
        <v>352.23502588829956</v>
      </c>
      <c r="T32" s="156">
        <f t="shared" si="1"/>
        <v>686.94717190862366</v>
      </c>
    </row>
    <row r="33" spans="1:20" ht="18" customHeight="1">
      <c r="A33" s="1002"/>
      <c r="B33" s="1064"/>
      <c r="C33" s="139"/>
      <c r="D33" s="139" t="s">
        <v>87</v>
      </c>
      <c r="E33" s="156">
        <f>'[2]Falhas SM'!I33</f>
        <v>460</v>
      </c>
      <c r="F33" s="156">
        <f>$E33/1000*'SM - Qty'!F33</f>
        <v>8.5673182011687192</v>
      </c>
      <c r="G33" s="156">
        <f>$E33/1000*'SM - Qty'!G33</f>
        <v>7.9955165439403544</v>
      </c>
      <c r="H33" s="156">
        <f>$E33/1000*'SM - Qty'!H33</f>
        <v>8.2581144661799222</v>
      </c>
      <c r="I33" s="156">
        <f>$E33/1000*'SM - Qty'!I33</f>
        <v>8.5059339826937705</v>
      </c>
      <c r="J33" s="156">
        <f>$E33/1000*'SM - Qty'!J33</f>
        <v>8.8091079915600599</v>
      </c>
      <c r="K33" s="156">
        <f>$E33/1000*'SM - Qty'!K33</f>
        <v>10.452202196152237</v>
      </c>
      <c r="L33" s="156">
        <f>$E33/1000*'SM - Qty'!L33</f>
        <v>10.651022744880358</v>
      </c>
      <c r="M33" s="156">
        <f>$E33/1000*'SM - Qty'!M33</f>
        <v>10.695505525025919</v>
      </c>
      <c r="N33" s="156">
        <f>$E33/1000*'SM - Qty'!N33</f>
        <v>10.076265977112426</v>
      </c>
      <c r="O33" s="156">
        <f>$E33/1000*'SM - Qty'!O33</f>
        <v>7.0939577461906573</v>
      </c>
      <c r="P33" s="156">
        <f>$E33/1000*'SM - Qty'!P33</f>
        <v>7.7661047860953039</v>
      </c>
      <c r="Q33" s="156">
        <f>$E33/1000*'SM - Qty'!Q33</f>
        <v>9.0584383528280696</v>
      </c>
      <c r="R33" s="156">
        <f t="shared" si="2"/>
        <v>52.588193381695064</v>
      </c>
      <c r="S33" s="156">
        <f t="shared" si="0"/>
        <v>55.341295132132728</v>
      </c>
      <c r="T33" s="156">
        <f t="shared" si="1"/>
        <v>107.92948851382779</v>
      </c>
    </row>
    <row r="34" spans="1:20" ht="18" customHeight="1" thickBot="1">
      <c r="A34" s="1002"/>
      <c r="B34" s="1065"/>
      <c r="C34" s="141" t="s">
        <v>83</v>
      </c>
      <c r="D34" s="141"/>
      <c r="E34" s="160"/>
      <c r="F34" s="157">
        <f>SUBTOTAL(109,F31:F33)</f>
        <v>86.193929999334642</v>
      </c>
      <c r="G34" s="157">
        <f t="shared" ref="G34:Q34" si="9">SUBTOTAL(109,G31:G33)</f>
        <v>80.441157561172872</v>
      </c>
      <c r="H34" s="157">
        <f t="shared" si="9"/>
        <v>83.083098294085104</v>
      </c>
      <c r="I34" s="157">
        <f t="shared" si="9"/>
        <v>85.576356692722598</v>
      </c>
      <c r="J34" s="157">
        <f t="shared" si="9"/>
        <v>88.626524631421745</v>
      </c>
      <c r="K34" s="157">
        <f t="shared" si="9"/>
        <v>105.15733900383653</v>
      </c>
      <c r="L34" s="157">
        <f t="shared" si="9"/>
        <v>107.15762941643763</v>
      </c>
      <c r="M34" s="157">
        <f t="shared" si="9"/>
        <v>107.60516101827768</v>
      </c>
      <c r="N34" s="157">
        <f t="shared" si="9"/>
        <v>101.37512625215986</v>
      </c>
      <c r="O34" s="157">
        <f t="shared" si="9"/>
        <v>71.370770063143326</v>
      </c>
      <c r="P34" s="157">
        <f t="shared" si="9"/>
        <v>78.133095629491237</v>
      </c>
      <c r="Q34" s="157">
        <f t="shared" si="9"/>
        <v>91.1349833113984</v>
      </c>
      <c r="R34" s="160">
        <f t="shared" si="2"/>
        <v>529.07840618257353</v>
      </c>
      <c r="S34" s="160">
        <f t="shared" si="0"/>
        <v>556.77676569090818</v>
      </c>
      <c r="T34" s="160">
        <f t="shared" si="1"/>
        <v>1085.8551718734816</v>
      </c>
    </row>
    <row r="35" spans="1:20" ht="18" customHeight="1" thickTop="1">
      <c r="A35" s="1002"/>
      <c r="B35" s="143">
        <v>6075</v>
      </c>
      <c r="C35" s="144" t="s">
        <v>117</v>
      </c>
      <c r="D35" s="144"/>
      <c r="E35" s="161">
        <f>'[2]Falhas SM'!I35</f>
        <v>42.16</v>
      </c>
      <c r="F35" s="161">
        <f>$E35/1000*'SM - Qty'!F35</f>
        <v>0.21504803130625133</v>
      </c>
      <c r="G35" s="161">
        <f>$E35/1000*'SM - Qty'!G35</f>
        <v>0.21239311733950747</v>
      </c>
      <c r="H35" s="161">
        <f>$E35/1000*'SM - Qty'!H35</f>
        <v>0.20973820337276358</v>
      </c>
      <c r="I35" s="161">
        <f>$E35/1000*'SM - Qty'!I35</f>
        <v>0.21372057432287939</v>
      </c>
      <c r="J35" s="161">
        <f>$E35/1000*'SM - Qty'!J35</f>
        <v>0.21239311733950747</v>
      </c>
      <c r="K35" s="161">
        <f>$E35/1000*'SM - Qty'!K35</f>
        <v>0.24557954192380552</v>
      </c>
      <c r="L35" s="161">
        <f>$E35/1000*'SM - Qty'!L35</f>
        <v>0.24690699890717741</v>
      </c>
      <c r="M35" s="161">
        <f>$E35/1000*'SM - Qty'!M35</f>
        <v>0.24690699890717741</v>
      </c>
      <c r="N35" s="161">
        <f>$E35/1000*'SM - Qty'!N35</f>
        <v>0.24690699890717741</v>
      </c>
      <c r="O35" s="161">
        <f>$E35/1000*'SM - Qty'!O35</f>
        <v>0.18318906370532517</v>
      </c>
      <c r="P35" s="161">
        <f>$E35/1000*'SM - Qty'!P35</f>
        <v>0.19115380560555673</v>
      </c>
      <c r="Q35" s="161">
        <f>$E35/1000*'SM - Qty'!Q35</f>
        <v>0.2309775151067143</v>
      </c>
      <c r="R35" s="161">
        <f t="shared" si="2"/>
        <v>1.3088725856047148</v>
      </c>
      <c r="S35" s="161">
        <f t="shared" si="0"/>
        <v>1.3460413811391285</v>
      </c>
      <c r="T35" s="161">
        <f t="shared" si="1"/>
        <v>2.6549139667438433</v>
      </c>
    </row>
    <row r="36" spans="1:20" ht="18" customHeight="1">
      <c r="A36" s="1002"/>
      <c r="B36" s="1064"/>
      <c r="C36" s="131" t="s">
        <v>118</v>
      </c>
      <c r="D36" s="131"/>
      <c r="E36" s="158">
        <f>'[2]Falhas SM'!I36</f>
        <v>10</v>
      </c>
      <c r="F36" s="158">
        <f>$E36/1000*'SM - Qty'!F36</f>
        <v>94.478400000000008</v>
      </c>
      <c r="G36" s="158">
        <f>$E36/1000*'SM - Qty'!G36</f>
        <v>93.312000000000012</v>
      </c>
      <c r="H36" s="158">
        <f>$E36/1000*'SM - Qty'!H36</f>
        <v>92.145600000000002</v>
      </c>
      <c r="I36" s="158">
        <f>$E36/1000*'SM - Qty'!I36</f>
        <v>93.895200000000003</v>
      </c>
      <c r="J36" s="158">
        <f>$E36/1000*'SM - Qty'!J36</f>
        <v>93.312000000000012</v>
      </c>
      <c r="K36" s="158">
        <f>$E36/1000*'SM - Qty'!K36</f>
        <v>107.89200000000001</v>
      </c>
      <c r="L36" s="158">
        <f>$E36/1000*'SM - Qty'!L36</f>
        <v>108.4752</v>
      </c>
      <c r="M36" s="158">
        <f>$E36/1000*'SM - Qty'!M36</f>
        <v>108.4752</v>
      </c>
      <c r="N36" s="158">
        <f>$E36/1000*'SM - Qty'!N36</f>
        <v>108.4752</v>
      </c>
      <c r="O36" s="158">
        <f>$E36/1000*'SM - Qty'!O36</f>
        <v>80.481600000000014</v>
      </c>
      <c r="P36" s="158">
        <f>$E36/1000*'SM - Qty'!P36</f>
        <v>83.980800000000002</v>
      </c>
      <c r="Q36" s="158">
        <f>$E36/1000*'SM - Qty'!Q36</f>
        <v>101.47679999999998</v>
      </c>
      <c r="R36" s="158">
        <f t="shared" si="2"/>
        <v>575.03520000000003</v>
      </c>
      <c r="S36" s="158">
        <f t="shared" si="0"/>
        <v>591.36480000000006</v>
      </c>
      <c r="T36" s="158">
        <f t="shared" si="1"/>
        <v>1166.4000000000001</v>
      </c>
    </row>
    <row r="37" spans="1:20" ht="18" customHeight="1">
      <c r="A37" s="1002"/>
      <c r="B37" s="1064"/>
      <c r="C37" s="131" t="s">
        <v>86</v>
      </c>
      <c r="D37" s="131"/>
      <c r="E37" s="145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>
        <f t="shared" si="2"/>
        <v>0</v>
      </c>
      <c r="S37" s="162">
        <f t="shared" si="0"/>
        <v>0</v>
      </c>
      <c r="T37" s="162">
        <f t="shared" si="1"/>
        <v>0</v>
      </c>
    </row>
    <row r="38" spans="1:20" ht="18" customHeight="1">
      <c r="A38" s="1002"/>
      <c r="B38" s="1064"/>
      <c r="C38" s="131" t="s">
        <v>85</v>
      </c>
      <c r="D38" s="131"/>
      <c r="E38" s="145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>
        <f t="shared" si="2"/>
        <v>0</v>
      </c>
      <c r="S38" s="162">
        <f t="shared" si="0"/>
        <v>0</v>
      </c>
      <c r="T38" s="162">
        <f t="shared" si="1"/>
        <v>0</v>
      </c>
    </row>
    <row r="39" spans="1:20" ht="18" customHeight="1">
      <c r="A39" s="1002"/>
      <c r="B39" s="1064"/>
      <c r="C39" s="131" t="s">
        <v>84</v>
      </c>
      <c r="D39" s="131"/>
      <c r="E39" s="145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>
        <f t="shared" si="2"/>
        <v>0</v>
      </c>
      <c r="S39" s="162">
        <f t="shared" si="0"/>
        <v>0</v>
      </c>
      <c r="T39" s="162">
        <f t="shared" si="1"/>
        <v>0</v>
      </c>
    </row>
    <row r="40" spans="1:20" ht="18" customHeight="1">
      <c r="A40" s="1002"/>
      <c r="B40" s="1064"/>
      <c r="C40" s="132" t="s">
        <v>83</v>
      </c>
      <c r="D40" s="132"/>
      <c r="E40" s="146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>
        <f t="shared" si="2"/>
        <v>0</v>
      </c>
      <c r="S40" s="163">
        <f t="shared" si="0"/>
        <v>0</v>
      </c>
      <c r="T40" s="163">
        <f t="shared" si="1"/>
        <v>0</v>
      </c>
    </row>
    <row r="41" spans="1:20" ht="18" customHeight="1" thickBot="1">
      <c r="A41" s="1003"/>
      <c r="B41" s="85">
        <v>6080</v>
      </c>
      <c r="C41" s="147" t="s">
        <v>1</v>
      </c>
      <c r="D41" s="148" t="s">
        <v>165</v>
      </c>
      <c r="E41" s="149"/>
      <c r="F41" s="164">
        <f>SUBTOTAL(109,F6:F40)</f>
        <v>494.97499985751568</v>
      </c>
      <c r="G41" s="164">
        <f t="shared" ref="G41:Q41" si="10">SUBTOTAL(109,G6:G40)</f>
        <v>501.16416293842792</v>
      </c>
      <c r="H41" s="164">
        <f t="shared" si="10"/>
        <v>496.07905627514407</v>
      </c>
      <c r="I41" s="164">
        <f t="shared" si="10"/>
        <v>506.53931578122285</v>
      </c>
      <c r="J41" s="164">
        <f t="shared" si="10"/>
        <v>507.45003606159094</v>
      </c>
      <c r="K41" s="164">
        <f t="shared" si="10"/>
        <v>581.92232120627125</v>
      </c>
      <c r="L41" s="164">
        <f t="shared" si="10"/>
        <v>589.26095043120426</v>
      </c>
      <c r="M41" s="164">
        <f t="shared" si="10"/>
        <v>591.566037298786</v>
      </c>
      <c r="N41" s="164">
        <f t="shared" si="10"/>
        <v>572.62320576140405</v>
      </c>
      <c r="O41" s="164">
        <f t="shared" si="10"/>
        <v>405.23235442281191</v>
      </c>
      <c r="P41" s="164">
        <f t="shared" si="10"/>
        <v>436.39570178904057</v>
      </c>
      <c r="Q41" s="164">
        <f t="shared" si="10"/>
        <v>530.5150583908777</v>
      </c>
      <c r="R41" s="164">
        <f t="shared" si="2"/>
        <v>3088.1298921201728</v>
      </c>
      <c r="S41" s="164">
        <f t="shared" si="0"/>
        <v>3125.5933080941245</v>
      </c>
      <c r="T41" s="164">
        <f t="shared" si="1"/>
        <v>6213.7232002142973</v>
      </c>
    </row>
    <row r="42" spans="1:20" ht="20.100000000000001" customHeight="1" thickTop="1" thickBot="1">
      <c r="A42" s="150"/>
      <c r="B42" s="151"/>
      <c r="C42" s="152" t="s">
        <v>59</v>
      </c>
      <c r="D42" s="152"/>
      <c r="E42" s="153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>
        <f t="shared" si="2"/>
        <v>0</v>
      </c>
      <c r="S42" s="165">
        <f t="shared" si="0"/>
        <v>0</v>
      </c>
      <c r="T42" s="165">
        <f t="shared" si="1"/>
        <v>0</v>
      </c>
    </row>
    <row r="43" spans="1:20" ht="13.5" customHeight="1">
      <c r="D43" s="76" t="s">
        <v>176</v>
      </c>
      <c r="F43" s="420">
        <f>F41</f>
        <v>494.97499985751568</v>
      </c>
      <c r="G43" s="420">
        <f t="shared" ref="G43:Q43" si="11">G41</f>
        <v>501.16416293842792</v>
      </c>
      <c r="H43" s="420">
        <f t="shared" si="11"/>
        <v>496.07905627514407</v>
      </c>
      <c r="I43" s="420">
        <f t="shared" si="11"/>
        <v>506.53931578122285</v>
      </c>
      <c r="J43" s="420">
        <f t="shared" si="11"/>
        <v>507.45003606159094</v>
      </c>
      <c r="K43" s="420">
        <f t="shared" si="11"/>
        <v>581.92232120627125</v>
      </c>
      <c r="L43" s="420">
        <f t="shared" si="11"/>
        <v>589.26095043120426</v>
      </c>
      <c r="M43" s="420">
        <f t="shared" si="11"/>
        <v>591.566037298786</v>
      </c>
      <c r="N43" s="420">
        <f t="shared" si="11"/>
        <v>572.62320576140405</v>
      </c>
      <c r="O43" s="420">
        <f t="shared" si="11"/>
        <v>405.23235442281191</v>
      </c>
      <c r="P43" s="420">
        <f t="shared" si="11"/>
        <v>436.39570178904057</v>
      </c>
      <c r="Q43" s="420">
        <f t="shared" si="11"/>
        <v>530.5150583908777</v>
      </c>
      <c r="R43" s="420">
        <f t="shared" ref="R43" si="12">SUM(F43:K43)</f>
        <v>3088.1298921201728</v>
      </c>
      <c r="S43" s="420">
        <f t="shared" si="0"/>
        <v>3125.5933080941245</v>
      </c>
      <c r="T43" s="420">
        <f t="shared" si="1"/>
        <v>6213.7232002142973</v>
      </c>
    </row>
    <row r="44" spans="1:20">
      <c r="C44" s="1072"/>
      <c r="D44" s="107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</row>
    <row r="45" spans="1:20">
      <c r="E45" s="421"/>
      <c r="G45" s="420"/>
      <c r="H45" s="420"/>
      <c r="I45" s="420"/>
      <c r="J45" s="420"/>
      <c r="K45" s="420"/>
      <c r="L45" s="420"/>
      <c r="M45" s="420"/>
      <c r="N45" s="420"/>
      <c r="O45" s="420"/>
      <c r="P45" s="420"/>
      <c r="Q45" s="420"/>
    </row>
    <row r="46" spans="1:20">
      <c r="E46" s="420"/>
      <c r="G46" s="420"/>
      <c r="H46" s="420"/>
      <c r="I46" s="420"/>
      <c r="J46" s="420"/>
      <c r="K46" s="420"/>
      <c r="L46" s="420"/>
      <c r="M46" s="420"/>
      <c r="N46" s="420"/>
      <c r="O46" s="420"/>
      <c r="P46" s="420"/>
      <c r="Q46" s="420"/>
    </row>
    <row r="47" spans="1:20"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2"/>
    </row>
  </sheetData>
  <mergeCells count="13">
    <mergeCell ref="C44:D44"/>
    <mergeCell ref="B31:B34"/>
    <mergeCell ref="B36:B40"/>
    <mergeCell ref="A1:E1"/>
    <mergeCell ref="B4:D4"/>
    <mergeCell ref="C5:D5"/>
    <mergeCell ref="A6:A41"/>
    <mergeCell ref="B6:B9"/>
    <mergeCell ref="B10:B13"/>
    <mergeCell ref="B14:B17"/>
    <mergeCell ref="B18:B21"/>
    <mergeCell ref="B22:B25"/>
    <mergeCell ref="B26:B29"/>
  </mergeCells>
  <printOptions gridLinesSet="0"/>
  <pageMargins left="0.78740157480314965" right="0.19685039370078741" top="0.59055118110236227" bottom="0.59055118110236227" header="0.51181102362204722" footer="0.31496062992125984"/>
  <pageSetup paperSize="9" scale="37" orientation="portrait" r:id="rId1"/>
  <headerFooter alignWithMargins="0">
    <oddFooter>&amp;L&amp;A&amp;R&amp;F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">
    <tabColor indexed="56"/>
  </sheetPr>
  <dimension ref="A1:R13"/>
  <sheetViews>
    <sheetView workbookViewId="0">
      <selection activeCell="O2" sqref="O2"/>
    </sheetView>
  </sheetViews>
  <sheetFormatPr defaultRowHeight="12.75"/>
  <cols>
    <col min="1" max="2" width="12.140625" customWidth="1"/>
    <col min="3" max="3" width="12" bestFit="1" customWidth="1"/>
    <col min="4" max="4" width="12" customWidth="1"/>
    <col min="5" max="5" width="13.7109375" bestFit="1" customWidth="1"/>
    <col min="6" max="6" width="13.7109375" customWidth="1"/>
    <col min="7" max="7" width="13.7109375" bestFit="1" customWidth="1"/>
    <col min="8" max="8" width="9.7109375" bestFit="1" customWidth="1"/>
    <col min="9" max="9" width="12" bestFit="1" customWidth="1"/>
    <col min="11" max="11" width="11.140625" bestFit="1" customWidth="1"/>
    <col min="13" max="13" width="11.42578125" bestFit="1" customWidth="1"/>
    <col min="14" max="14" width="11.85546875" bestFit="1" customWidth="1"/>
    <col min="15" max="15" width="15.42578125" bestFit="1" customWidth="1"/>
    <col min="16" max="16" width="11.85546875" bestFit="1" customWidth="1"/>
  </cols>
  <sheetData>
    <row r="1" spans="1:18">
      <c r="A1" t="s">
        <v>231</v>
      </c>
      <c r="B1" t="s">
        <v>233</v>
      </c>
      <c r="C1" t="s">
        <v>232</v>
      </c>
      <c r="D1" t="s">
        <v>235</v>
      </c>
      <c r="E1" t="s">
        <v>234</v>
      </c>
      <c r="F1" t="s">
        <v>237</v>
      </c>
      <c r="G1" t="s">
        <v>236</v>
      </c>
      <c r="H1" t="s">
        <v>239</v>
      </c>
      <c r="I1" t="s">
        <v>238</v>
      </c>
      <c r="J1" t="s">
        <v>241</v>
      </c>
      <c r="K1" t="s">
        <v>240</v>
      </c>
      <c r="L1" t="s">
        <v>243</v>
      </c>
      <c r="M1" t="s">
        <v>242</v>
      </c>
      <c r="N1" t="s">
        <v>245</v>
      </c>
      <c r="O1" t="s">
        <v>244</v>
      </c>
      <c r="P1" t="s">
        <v>165</v>
      </c>
      <c r="Q1" s="1" t="s">
        <v>176</v>
      </c>
      <c r="R1" s="1" t="s">
        <v>246</v>
      </c>
    </row>
    <row r="2" spans="1:18">
      <c r="A2" s="589">
        <f t="array" ref="A2:A13">TRANSPOSE('Falhas UM-1 - Qty'!F5:Q5)</f>
        <v>44652</v>
      </c>
      <c r="B2" s="524">
        <f t="array" ref="B2:B13">TRANSPOSE('Falhas UM-1 - Cost'!F70:Q70)</f>
        <v>4605.4622694100417</v>
      </c>
      <c r="C2" s="524">
        <f t="array" ref="C2:C13">TRANSPOSE([0]!UM1_Qloss)</f>
        <v>2568.5447771905974</v>
      </c>
      <c r="D2" s="524">
        <f t="array" ref="D2:D13">TRANSPOSE(UM3L1_BP)</f>
        <v>2077.765446177159</v>
      </c>
      <c r="E2" s="524">
        <f t="array" ref="E2:E13">TRANSPOSE(UM3L1_Qloss)</f>
        <v>2059.1156257786065</v>
      </c>
      <c r="F2" s="524">
        <f t="array" ref="F2:F13">TRANSPOSE(UM3L2_BP)</f>
        <v>8154.7947498654521</v>
      </c>
      <c r="G2" s="524">
        <f t="array" ref="G2:G13">TRANSPOSE(UM3L2_Qloss)</f>
        <v>6128.9806651355857</v>
      </c>
      <c r="H2" s="524">
        <f t="array" ref="H2:H13">TRANSPOSE(UM4_BP)</f>
        <v>2061.5599192637101</v>
      </c>
      <c r="I2" s="524">
        <f t="array" ref="I2:I13">TRANSPOSE(UM4_Qloss)</f>
        <v>2608.5282730863819</v>
      </c>
      <c r="J2" s="524">
        <f t="array" ref="J2:J13">TRANSPOSE(BLD_BP)</f>
        <v>1066.9360702523732</v>
      </c>
      <c r="K2" s="524">
        <f t="array" ref="K2:K13">TRANSPOSE(BLD_TotalQloss)</f>
        <v>1066.9360702523732</v>
      </c>
      <c r="L2" s="524">
        <f t="array" ref="L2:L13">TRANSPOSE(PVC_BP)</f>
        <v>2198.7864660439409</v>
      </c>
      <c r="M2" s="524">
        <f t="array" ref="M2:M13">TRANSPOSE(PVC_Qloss)</f>
        <v>2198.7864660439409</v>
      </c>
      <c r="N2" s="524">
        <f t="array" ref="N2:N13">TRANSPOSE(PRENSA_BP)</f>
        <v>883.94377830728126</v>
      </c>
      <c r="O2" s="524">
        <f t="array" ref="O2:O13">TRANSPOSE(PRENSA_Qloss)</f>
        <v>883.94377830728126</v>
      </c>
      <c r="P2" s="524">
        <f t="array" ref="P2:P13">TRANSPOSE(SM_Qloss)</f>
        <v>0</v>
      </c>
      <c r="Q2" s="524">
        <f>SUM(B2,D2,F2,H2,J2,L2,N2)</f>
        <v>21049.24869931996</v>
      </c>
      <c r="R2" s="524">
        <f>SUM(C2,E2,G2,I2,K2,M2,O2,P2)</f>
        <v>17514.835655794766</v>
      </c>
    </row>
    <row r="3" spans="1:18">
      <c r="A3" s="589">
        <v>44682</v>
      </c>
      <c r="B3" s="524">
        <v>4679.5607101937167</v>
      </c>
      <c r="C3" s="524">
        <v>1401.620590647882</v>
      </c>
      <c r="D3" s="524">
        <v>2015.8266915265965</v>
      </c>
      <c r="E3" s="524">
        <v>2155.0009578700328</v>
      </c>
      <c r="F3" s="524">
        <v>5335.2673649185435</v>
      </c>
      <c r="G3" s="524">
        <v>6414.3844273629929</v>
      </c>
      <c r="H3" s="524">
        <v>3801.756763171702</v>
      </c>
      <c r="I3" s="524">
        <v>3801.756763171702</v>
      </c>
      <c r="J3" s="524">
        <v>1041.5216403594136</v>
      </c>
      <c r="K3" s="524">
        <v>1041.5216403594136</v>
      </c>
      <c r="L3" s="524">
        <v>1997.4743277741948</v>
      </c>
      <c r="M3" s="524">
        <v>1997.4743277741948</v>
      </c>
      <c r="N3" s="524">
        <v>862.84475477939827</v>
      </c>
      <c r="O3" s="524">
        <v>862.84475477939827</v>
      </c>
      <c r="P3" s="524">
        <v>0</v>
      </c>
      <c r="Q3" s="524">
        <f t="shared" ref="Q3:Q13" si="0">SUM(B3,D3,F3,H3,J3,L3,N3)</f>
        <v>19734.252252723567</v>
      </c>
      <c r="R3" s="524">
        <f t="shared" ref="R3:R13" si="1">SUM(C3,E3,G3,I3,K3,M3,O3,P3)</f>
        <v>17674.603461965617</v>
      </c>
    </row>
    <row r="4" spans="1:18">
      <c r="A4" s="589">
        <v>44713</v>
      </c>
      <c r="B4" s="524">
        <v>2943.3037714297143</v>
      </c>
      <c r="C4" s="524">
        <v>1395.188850122327</v>
      </c>
      <c r="D4" s="524">
        <v>1210.3443384703271</v>
      </c>
      <c r="E4" s="524">
        <v>2073.9396070426642</v>
      </c>
      <c r="F4" s="524">
        <v>4627.4525857269182</v>
      </c>
      <c r="G4" s="524">
        <v>6173.1044109856439</v>
      </c>
      <c r="H4" s="524">
        <v>2517.7117939257155</v>
      </c>
      <c r="I4" s="524">
        <v>2517.7117939257155</v>
      </c>
      <c r="J4" s="524">
        <v>1005.0464239988894</v>
      </c>
      <c r="K4" s="524">
        <v>1005.0464239988894</v>
      </c>
      <c r="L4" s="524">
        <v>1933.2659328788745</v>
      </c>
      <c r="M4" s="524">
        <v>1933.2659328788745</v>
      </c>
      <c r="N4" s="524">
        <v>811.21921207792639</v>
      </c>
      <c r="O4" s="524">
        <v>811.21921207792639</v>
      </c>
      <c r="P4" s="524">
        <v>0</v>
      </c>
      <c r="Q4" s="524">
        <f t="shared" si="0"/>
        <v>15048.344058508363</v>
      </c>
      <c r="R4" s="524">
        <f t="shared" si="1"/>
        <v>15909.47623103204</v>
      </c>
    </row>
    <row r="5" spans="1:18">
      <c r="A5" s="589">
        <v>44743</v>
      </c>
      <c r="B5" s="524">
        <v>4552.9948183563265</v>
      </c>
      <c r="C5" s="524">
        <v>1409.94078419838</v>
      </c>
      <c r="D5" s="524">
        <v>1864.80441628072</v>
      </c>
      <c r="E5" s="524">
        <v>2087.3477330442106</v>
      </c>
      <c r="F5" s="524">
        <v>5011.742968832983</v>
      </c>
      <c r="G5" s="524">
        <v>6213.0138478285153</v>
      </c>
      <c r="H5" s="524">
        <v>3582.4234130501068</v>
      </c>
      <c r="I5" s="524">
        <v>3582.4234130501068</v>
      </c>
      <c r="J5" s="524">
        <v>1011.8786880960672</v>
      </c>
      <c r="K5" s="524">
        <v>1011.8786880960672</v>
      </c>
      <c r="L5" s="524">
        <v>1947.1176965862001</v>
      </c>
      <c r="M5" s="524">
        <v>1947.1176965862001</v>
      </c>
      <c r="N5" s="524">
        <v>816.3698995451274</v>
      </c>
      <c r="O5" s="524">
        <v>816.3698995451274</v>
      </c>
      <c r="P5" s="524">
        <v>0</v>
      </c>
      <c r="Q5" s="524">
        <f t="shared" si="0"/>
        <v>18787.331900747529</v>
      </c>
      <c r="R5" s="524">
        <f t="shared" si="1"/>
        <v>17068.092062348605</v>
      </c>
    </row>
    <row r="6" spans="1:18">
      <c r="A6" s="589">
        <v>44774</v>
      </c>
      <c r="B6" s="524">
        <v>4301.5417738451069</v>
      </c>
      <c r="C6" s="524">
        <v>2546.9379671898623</v>
      </c>
      <c r="D6" s="524">
        <v>2361.3107130551816</v>
      </c>
      <c r="E6" s="524">
        <v>2112.8475032577135</v>
      </c>
      <c r="F6" s="524">
        <v>6964.492353935766</v>
      </c>
      <c r="G6" s="524">
        <v>6288.9141987594458</v>
      </c>
      <c r="H6" s="524">
        <v>3899.7266270056975</v>
      </c>
      <c r="I6" s="524">
        <v>3899.7266270056975</v>
      </c>
      <c r="J6" s="524">
        <v>1089.6037347175034</v>
      </c>
      <c r="K6" s="524">
        <v>1089.6037347175034</v>
      </c>
      <c r="L6" s="524">
        <v>2235.2403315091933</v>
      </c>
      <c r="M6" s="524">
        <v>2235.2403315091933</v>
      </c>
      <c r="N6" s="524">
        <v>933.9803990624132</v>
      </c>
      <c r="O6" s="524">
        <v>933.9803990624132</v>
      </c>
      <c r="P6" s="524">
        <v>0</v>
      </c>
      <c r="Q6" s="524">
        <f t="shared" si="0"/>
        <v>21785.895933130865</v>
      </c>
      <c r="R6" s="524">
        <f t="shared" si="1"/>
        <v>19107.250761501829</v>
      </c>
    </row>
    <row r="7" spans="1:18">
      <c r="A7" s="589">
        <v>44805</v>
      </c>
      <c r="B7" s="524">
        <v>4644.647599723633</v>
      </c>
      <c r="C7" s="524">
        <v>2951.4369387756697</v>
      </c>
      <c r="D7" s="524">
        <v>2720.4269641422911</v>
      </c>
      <c r="E7" s="524">
        <v>2402.2686099973944</v>
      </c>
      <c r="F7" s="524">
        <v>7024.808770773443</v>
      </c>
      <c r="G7" s="524">
        <v>7150.3793564622365</v>
      </c>
      <c r="H7" s="524">
        <v>3921.8965134373011</v>
      </c>
      <c r="I7" s="524">
        <v>3921.8965134373011</v>
      </c>
      <c r="J7" s="524">
        <v>1242.1057303529747</v>
      </c>
      <c r="K7" s="524">
        <v>1242.1057303529747</v>
      </c>
      <c r="L7" s="524">
        <v>2554.5557060757942</v>
      </c>
      <c r="M7" s="524">
        <v>2554.5557060757942</v>
      </c>
      <c r="N7" s="524">
        <v>1033.4118369889839</v>
      </c>
      <c r="O7" s="524">
        <v>1033.4118369889839</v>
      </c>
      <c r="P7" s="524">
        <v>0</v>
      </c>
      <c r="Q7" s="524">
        <f t="shared" si="0"/>
        <v>23141.85312149442</v>
      </c>
      <c r="R7" s="524">
        <f t="shared" si="1"/>
        <v>21256.054692090351</v>
      </c>
    </row>
    <row r="8" spans="1:18">
      <c r="A8" s="589">
        <v>44835</v>
      </c>
      <c r="B8" s="524">
        <v>1511.0425264903513</v>
      </c>
      <c r="C8" s="524">
        <v>2972.4489903514768</v>
      </c>
      <c r="D8" s="524">
        <v>102.16506556073583</v>
      </c>
      <c r="E8" s="524">
        <v>2372.7203920333045</v>
      </c>
      <c r="F8" s="524">
        <v>2144.8487617068295</v>
      </c>
      <c r="G8" s="524">
        <v>7062.4287555713126</v>
      </c>
      <c r="H8" s="524">
        <v>3787.3580781191786</v>
      </c>
      <c r="I8" s="524">
        <v>3787.3580781191786</v>
      </c>
      <c r="J8" s="524">
        <v>1230.1732755041778</v>
      </c>
      <c r="K8" s="524">
        <v>1230.1732755041778</v>
      </c>
      <c r="L8" s="524">
        <v>2536.6642642416955</v>
      </c>
      <c r="M8" s="524">
        <v>2536.6642642416955</v>
      </c>
      <c r="N8" s="524">
        <v>1020.0040406262815</v>
      </c>
      <c r="O8" s="524">
        <v>1020.0040406262815</v>
      </c>
      <c r="P8" s="524">
        <v>0</v>
      </c>
      <c r="Q8" s="524">
        <f t="shared" si="0"/>
        <v>12332.25601224925</v>
      </c>
      <c r="R8" s="524">
        <f t="shared" si="1"/>
        <v>20981.797796447427</v>
      </c>
    </row>
    <row r="9" spans="1:18">
      <c r="A9" s="589">
        <v>44866</v>
      </c>
      <c r="B9" s="524">
        <v>719.42684626137043</v>
      </c>
      <c r="C9" s="524">
        <v>2975.8518725432909</v>
      </c>
      <c r="D9" s="524">
        <v>2325.4985181262555</v>
      </c>
      <c r="E9" s="524">
        <v>2373.9649536816196</v>
      </c>
      <c r="F9" s="524">
        <v>5970.3481714972268</v>
      </c>
      <c r="G9" s="524">
        <v>7066.1332072221076</v>
      </c>
      <c r="H9" s="524">
        <v>3950.8139313174561</v>
      </c>
      <c r="I9" s="524">
        <v>3950.8139313174561</v>
      </c>
      <c r="J9" s="524">
        <v>1230.9261610070848</v>
      </c>
      <c r="K9" s="524">
        <v>1230.9261610070848</v>
      </c>
      <c r="L9" s="524">
        <v>2538.4300577034942</v>
      </c>
      <c r="M9" s="524">
        <v>2538.4300577034942</v>
      </c>
      <c r="N9" s="524">
        <v>1019.6575913014284</v>
      </c>
      <c r="O9" s="524">
        <v>1019.6575913014284</v>
      </c>
      <c r="P9" s="524">
        <v>0</v>
      </c>
      <c r="Q9" s="524">
        <f t="shared" si="0"/>
        <v>17755.101277214315</v>
      </c>
      <c r="R9" s="524">
        <f t="shared" si="1"/>
        <v>21155.777774776481</v>
      </c>
    </row>
    <row r="10" spans="1:18">
      <c r="A10" s="589">
        <v>44896</v>
      </c>
      <c r="B10" s="524">
        <v>1008.1926523914865</v>
      </c>
      <c r="C10" s="524">
        <v>2385.9260948508086</v>
      </c>
      <c r="D10" s="524">
        <v>2665.1160679261939</v>
      </c>
      <c r="E10" s="524">
        <v>2258.7591000669563</v>
      </c>
      <c r="F10" s="524">
        <v>5655.1925741622736</v>
      </c>
      <c r="G10" s="524">
        <v>6723.2216968266093</v>
      </c>
      <c r="H10" s="524">
        <v>3760.784136607409</v>
      </c>
      <c r="I10" s="524">
        <v>3760.784136607409</v>
      </c>
      <c r="J10" s="524">
        <v>1145.1852466463699</v>
      </c>
      <c r="K10" s="524">
        <v>1145.1852466463699</v>
      </c>
      <c r="L10" s="524">
        <v>2310.0746154785975</v>
      </c>
      <c r="M10" s="524">
        <v>2310.0746154785975</v>
      </c>
      <c r="N10" s="524">
        <v>956.14703721775425</v>
      </c>
      <c r="O10" s="524">
        <v>956.14703721775425</v>
      </c>
      <c r="P10" s="524">
        <v>0</v>
      </c>
      <c r="Q10" s="524">
        <f t="shared" si="0"/>
        <v>17500.692330430084</v>
      </c>
      <c r="R10" s="524">
        <f t="shared" si="1"/>
        <v>19540.097927694504</v>
      </c>
    </row>
    <row r="11" spans="1:18">
      <c r="A11" s="589">
        <v>44927</v>
      </c>
      <c r="B11" s="524">
        <v>1845.8988045699998</v>
      </c>
      <c r="C11" s="524">
        <v>2211.1470290865996</v>
      </c>
      <c r="D11" s="524">
        <v>1102.2378402894863</v>
      </c>
      <c r="E11" s="524">
        <v>1751.7336677654839</v>
      </c>
      <c r="F11" s="524">
        <v>2979.1592677595672</v>
      </c>
      <c r="G11" s="524">
        <v>5214.0548329538296</v>
      </c>
      <c r="H11" s="524">
        <v>3358.0266990965456</v>
      </c>
      <c r="I11" s="524">
        <v>3358.0266990965456</v>
      </c>
      <c r="J11" s="524">
        <v>909.18480800547115</v>
      </c>
      <c r="K11" s="524">
        <v>909.18480800547115</v>
      </c>
      <c r="L11" s="524">
        <v>1876.6995922394945</v>
      </c>
      <c r="M11" s="524">
        <v>1876.6995922394945</v>
      </c>
      <c r="N11" s="524">
        <v>754.0649460643167</v>
      </c>
      <c r="O11" s="524">
        <v>754.0649460643167</v>
      </c>
      <c r="P11" s="524">
        <v>0</v>
      </c>
      <c r="Q11" s="524">
        <f t="shared" si="0"/>
        <v>12825.271958024881</v>
      </c>
      <c r="R11" s="524">
        <f t="shared" si="1"/>
        <v>16074.911575211741</v>
      </c>
    </row>
    <row r="12" spans="1:18">
      <c r="A12" s="589">
        <v>44958</v>
      </c>
      <c r="B12" s="524">
        <v>1878.3257282199997</v>
      </c>
      <c r="C12" s="524">
        <v>2237.2480150468928</v>
      </c>
      <c r="D12" s="524">
        <v>1228.0378248110455</v>
      </c>
      <c r="E12" s="524">
        <v>1681.3467779419311</v>
      </c>
      <c r="F12" s="524">
        <v>3319.1749849417893</v>
      </c>
      <c r="G12" s="524">
        <v>5004.5474690123519</v>
      </c>
      <c r="H12" s="524">
        <v>3390.8338489089228</v>
      </c>
      <c r="I12" s="524">
        <v>3390.8338489089228</v>
      </c>
      <c r="J12" s="524">
        <v>879.36235169621182</v>
      </c>
      <c r="K12" s="524">
        <v>879.36235169621182</v>
      </c>
      <c r="L12" s="524">
        <v>1828.4262088007622</v>
      </c>
      <c r="M12" s="524">
        <v>1828.4262088007622</v>
      </c>
      <c r="N12" s="524">
        <v>757.49134871136926</v>
      </c>
      <c r="O12" s="524">
        <v>757.49134871136926</v>
      </c>
      <c r="P12" s="524">
        <v>0</v>
      </c>
      <c r="Q12" s="524">
        <f t="shared" si="0"/>
        <v>13281.652296090102</v>
      </c>
      <c r="R12" s="524">
        <f t="shared" si="1"/>
        <v>15779.256020118442</v>
      </c>
    </row>
    <row r="13" spans="1:18">
      <c r="A13" s="589">
        <v>44986</v>
      </c>
      <c r="B13" s="524">
        <v>2289.9406609799998</v>
      </c>
      <c r="C13" s="524">
        <v>2754.3331933599238</v>
      </c>
      <c r="D13" s="524">
        <v>1258.3398077062914</v>
      </c>
      <c r="E13" s="524">
        <v>2131.7594342527827</v>
      </c>
      <c r="F13" s="524">
        <v>3401.0760319518922</v>
      </c>
      <c r="G13" s="524">
        <v>6345.2057726555595</v>
      </c>
      <c r="H13" s="524">
        <v>3836.0484668561312</v>
      </c>
      <c r="I13" s="524">
        <v>2868.5012050423347</v>
      </c>
      <c r="J13" s="524">
        <v>1110.1320667980763</v>
      </c>
      <c r="K13" s="524">
        <v>1110.1320667980763</v>
      </c>
      <c r="L13" s="524">
        <v>2298.8243373808996</v>
      </c>
      <c r="M13" s="524">
        <v>2298.8243373808996</v>
      </c>
      <c r="N13" s="524">
        <v>944.70620574608324</v>
      </c>
      <c r="O13" s="524">
        <v>944.70620574608324</v>
      </c>
      <c r="P13" s="524">
        <v>0</v>
      </c>
      <c r="Q13" s="524">
        <f t="shared" si="0"/>
        <v>15139.067577419373</v>
      </c>
      <c r="R13" s="524">
        <f t="shared" si="1"/>
        <v>18453.462215235657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34</vt:i4>
      </vt:variant>
    </vt:vector>
  </HeadingPairs>
  <TitlesOfParts>
    <vt:vector size="50" baseType="lpstr">
      <vt:lpstr>Configurações</vt:lpstr>
      <vt:lpstr>Prod &amp; Defects - Qty</vt:lpstr>
      <vt:lpstr>Prod &amp; Defects - Costs</vt:lpstr>
      <vt:lpstr>Falhas UM-1 - Qty</vt:lpstr>
      <vt:lpstr>Falhas UM-1 - Cost</vt:lpstr>
      <vt:lpstr>Falhas UM-3-1 Qty</vt:lpstr>
      <vt:lpstr>Falhas UM-3-1 Cost</vt:lpstr>
      <vt:lpstr>Falhas UM-3-2 Qty</vt:lpstr>
      <vt:lpstr>Falhas UM-3-2 Cost</vt:lpstr>
      <vt:lpstr>Falhas UM-4 Qty</vt:lpstr>
      <vt:lpstr>Falhas UM-4 Cost</vt:lpstr>
      <vt:lpstr>BLIND-PVC-PRE - Qty</vt:lpstr>
      <vt:lpstr>BLIND-PVC-PRE - Cost</vt:lpstr>
      <vt:lpstr>SM - Qty</vt:lpstr>
      <vt:lpstr>SM Cost</vt:lpstr>
      <vt:lpstr>RESUMO - QLOSS-BP</vt:lpstr>
      <vt:lpstr>BLD_BP</vt:lpstr>
      <vt:lpstr>BLD_TotalQloss</vt:lpstr>
      <vt:lpstr>Custo_LR6</vt:lpstr>
      <vt:lpstr>Custo_UM_1</vt:lpstr>
      <vt:lpstr>Custo_UM_3</vt:lpstr>
      <vt:lpstr>Custo_UM_4</vt:lpstr>
      <vt:lpstr>PesoPVC_UM1</vt:lpstr>
      <vt:lpstr>PesoPVC_UM3</vt:lpstr>
      <vt:lpstr>PRENSA_BP</vt:lpstr>
      <vt:lpstr>PRENSA_Qloss</vt:lpstr>
      <vt:lpstr>PVC_BP</vt:lpstr>
      <vt:lpstr>PVC_Qloss</vt:lpstr>
      <vt:lpstr>Redutor</vt:lpstr>
      <vt:lpstr>SM_Qloss</vt:lpstr>
      <vt:lpstr>UM1_BP</vt:lpstr>
      <vt:lpstr>UM1_Qloss</vt:lpstr>
      <vt:lpstr>UM3L1_BP</vt:lpstr>
      <vt:lpstr>UM3L1_Qloss</vt:lpstr>
      <vt:lpstr>UM3L2_BP</vt:lpstr>
      <vt:lpstr>UM3L2_Qloss</vt:lpstr>
      <vt:lpstr>UM4_BP</vt:lpstr>
      <vt:lpstr>UM4_Qloss</vt:lpstr>
      <vt:lpstr>V_BLD_UM1_BM1</vt:lpstr>
      <vt:lpstr>V_BLD_UM1_BM2</vt:lpstr>
      <vt:lpstr>V_BLD_UM1_BM3</vt:lpstr>
      <vt:lpstr>V_BLD_UM3_BM1</vt:lpstr>
      <vt:lpstr>V_BLD_UM3_BM2</vt:lpstr>
      <vt:lpstr>V_BLD_UM3_BM3</vt:lpstr>
      <vt:lpstr>V_BLD_UM3_BM4</vt:lpstr>
      <vt:lpstr>V_BLD_UM3_BM5</vt:lpstr>
      <vt:lpstr>V_BLD_UM3_OP1</vt:lpstr>
      <vt:lpstr>V_BLD_UM3_OP2</vt:lpstr>
      <vt:lpstr>V_BLD_UM3_OP3</vt:lpstr>
      <vt:lpstr>V_BLD_UM3_OP4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OSVALDO MARTINS TORQUATI</dc:creator>
  <cp:lastModifiedBy>Osvaldo Martins Torquati</cp:lastModifiedBy>
  <cp:lastPrinted>2021-02-11T17:50:56Z</cp:lastPrinted>
  <dcterms:created xsi:type="dcterms:W3CDTF">2014-04-07T12:28:32Z</dcterms:created>
  <dcterms:modified xsi:type="dcterms:W3CDTF">2022-01-14T19:57:33Z</dcterms:modified>
</cp:coreProperties>
</file>