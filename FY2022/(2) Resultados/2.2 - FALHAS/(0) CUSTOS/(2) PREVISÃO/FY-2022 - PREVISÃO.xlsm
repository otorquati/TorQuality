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2\(2) Resultados\2.2 - FALHAS\(0) CUSTOS\(2) PREVISÃO\"/>
    </mc:Choice>
  </mc:AlternateContent>
  <xr:revisionPtr revIDLastSave="0" documentId="13_ncr:1_{2E6356B6-2CD1-44B9-85CE-D6019D4F955D}" xr6:coauthVersionLast="47" xr6:coauthVersionMax="47" xr10:uidLastSave="{00000000-0000-0000-0000-000000000000}"/>
  <bookViews>
    <workbookView xWindow="-120" yWindow="-120" windowWidth="20730" windowHeight="11760" tabRatio="841" activeTab="3" xr2:uid="{00000000-000D-0000-FFFF-FFFF00000000}"/>
  </bookViews>
  <sheets>
    <sheet name="Prod &amp; Defects - Qty" sheetId="20" r:id="rId1"/>
    <sheet name="Prod &amp; Defects - Costs" sheetId="26" r:id="rId2"/>
    <sheet name="Falhas UM-1 - Qty" sheetId="1" r:id="rId3"/>
    <sheet name="Falhas UM-1 - Cost" sheetId="2" r:id="rId4"/>
    <sheet name="Falhas UM-3-1 Qty" sheetId="21" r:id="rId5"/>
    <sheet name="Falhas UM-3-1 Cost" sheetId="23" r:id="rId6"/>
    <sheet name="Falhas UM-3-2 Qty" sheetId="22" r:id="rId7"/>
    <sheet name="Falhas UM-3-2 Cost" sheetId="24" r:id="rId8"/>
    <sheet name="Falhas UM-4 Qty" sheetId="15" r:id="rId9"/>
    <sheet name="Falhas UM-4 Cost" sheetId="16" r:id="rId10"/>
    <sheet name="BLIND-PVC-PRE - Qty" sheetId="9" r:id="rId11"/>
    <sheet name="BLIND-PVC-PRE - Cost" sheetId="10" r:id="rId12"/>
    <sheet name="SM - Qty" sheetId="18" r:id="rId13"/>
    <sheet name="SM Cost" sheetId="19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xlnm.Print_Area" localSheetId="11">'BLIND-PVC-PRE - Cost'!$A$1:$F$31</definedName>
    <definedName name="_xlnm.Print_Area" localSheetId="10">'BLIND-PVC-PRE - Qty'!$A$1:$F$30</definedName>
    <definedName name="_xlnm.Print_Area" localSheetId="3">'Falhas UM-1 - Cost'!$A$1:$T$57</definedName>
    <definedName name="_xlnm.Print_Area" localSheetId="2">'Falhas UM-1 - Qty'!$A$1:$W$57</definedName>
    <definedName name="_xlnm.Print_Area" localSheetId="5">'Falhas UM-3-1 Cost'!$A$1:$E$65</definedName>
    <definedName name="_xlnm.Print_Area" localSheetId="4">'Falhas UM-3-1 Qty'!$A$1:$E$71</definedName>
    <definedName name="_xlnm.Print_Area" localSheetId="7">'Falhas UM-3-2 Cost'!$A$1:$E$81</definedName>
    <definedName name="_xlnm.Print_Area" localSheetId="6">'Falhas UM-3-2 Qty'!$A$1:$E$71</definedName>
    <definedName name="_xlnm.Print_Area" localSheetId="9">'Falhas UM-4 Cost'!$A$1:$E$68</definedName>
    <definedName name="_xlnm.Print_Area" localSheetId="8">'Falhas UM-4 Qty'!$A$1:$E$64</definedName>
    <definedName name="_xlnm.Print_Area" localSheetId="1">'Prod &amp; Defects - Costs'!#REF!</definedName>
    <definedName name="_xlnm.Print_Area" localSheetId="0">'Prod &amp; Defects - Qty'!#REF!</definedName>
    <definedName name="_xlnm.Print_Area" localSheetId="12">'SM - Qty'!$A$1:$E$42</definedName>
    <definedName name="_xlnm.Print_Area" localSheetId="13">'SM Cost'!$A$1:$E$42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9" i="1" l="1"/>
  <c r="P59" i="1"/>
  <c r="O59" i="1"/>
  <c r="N59" i="1"/>
  <c r="M59" i="1"/>
  <c r="L59" i="1"/>
  <c r="T59" i="1" s="1"/>
  <c r="U59" i="1" s="1"/>
  <c r="K59" i="1"/>
  <c r="J59" i="1"/>
  <c r="I59" i="1"/>
  <c r="H59" i="1"/>
  <c r="G59" i="1"/>
  <c r="F59" i="1"/>
  <c r="Q58" i="1"/>
  <c r="P58" i="1"/>
  <c r="O58" i="1"/>
  <c r="N58" i="1"/>
  <c r="M58" i="1"/>
  <c r="L58" i="1"/>
  <c r="T58" i="1" s="1"/>
  <c r="U58" i="1" s="1"/>
  <c r="K58" i="1"/>
  <c r="J58" i="1"/>
  <c r="I58" i="1"/>
  <c r="H58" i="1"/>
  <c r="G58" i="1"/>
  <c r="F58" i="1"/>
  <c r="R58" i="1" s="1"/>
  <c r="T61" i="1"/>
  <c r="U61" i="1" s="1"/>
  <c r="R61" i="1"/>
  <c r="T60" i="1"/>
  <c r="U60" i="1" s="1"/>
  <c r="R60" i="1"/>
  <c r="R59" i="1"/>
  <c r="S61" i="1" l="1"/>
  <c r="V61" i="1"/>
  <c r="W61" i="1" s="1"/>
  <c r="Y61" i="1" s="1"/>
  <c r="Z61" i="1" s="1"/>
  <c r="AA61" i="1" s="1"/>
  <c r="S58" i="1"/>
  <c r="V58" i="1"/>
  <c r="W58" i="1" s="1"/>
  <c r="Y58" i="1" s="1"/>
  <c r="Z58" i="1" s="1"/>
  <c r="AA58" i="1" s="1"/>
  <c r="V59" i="1"/>
  <c r="W59" i="1" s="1"/>
  <c r="Y59" i="1" s="1"/>
  <c r="Z59" i="1" s="1"/>
  <c r="AA59" i="1" s="1"/>
  <c r="S59" i="1"/>
  <c r="S60" i="1"/>
  <c r="V60" i="1"/>
  <c r="W60" i="1" s="1"/>
  <c r="Y60" i="1" s="1"/>
  <c r="Z60" i="1" s="1"/>
  <c r="AA60" i="1" s="1"/>
  <c r="F57" i="26" l="1"/>
  <c r="F56" i="26"/>
  <c r="F55" i="26"/>
  <c r="F54" i="26"/>
  <c r="F53" i="26"/>
  <c r="F52" i="26"/>
  <c r="F51" i="26"/>
  <c r="F50" i="26"/>
  <c r="F49" i="26"/>
  <c r="F48" i="26"/>
  <c r="F47" i="26"/>
  <c r="F46" i="26"/>
  <c r="F45" i="26"/>
  <c r="F44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0" i="26"/>
  <c r="F9" i="26"/>
  <c r="F8" i="26"/>
  <c r="F7" i="26"/>
  <c r="F6" i="26"/>
  <c r="F5" i="26"/>
  <c r="F53" i="20"/>
  <c r="F52" i="20"/>
  <c r="F51" i="20"/>
  <c r="F50" i="20"/>
  <c r="F49" i="20"/>
  <c r="F48" i="20"/>
  <c r="F47" i="20"/>
  <c r="F46" i="20"/>
  <c r="F45" i="20"/>
  <c r="F43" i="20"/>
  <c r="F42" i="20"/>
  <c r="F41" i="20"/>
  <c r="F40" i="20"/>
  <c r="F39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0" i="20"/>
  <c r="F9" i="20"/>
  <c r="F8" i="20"/>
  <c r="F7" i="20"/>
  <c r="F6" i="20"/>
  <c r="F5" i="20"/>
  <c r="D7" i="22" l="1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6" i="15" l="1"/>
  <c r="E57" i="1"/>
  <c r="E36" i="19" l="1"/>
  <c r="E35" i="19"/>
  <c r="E33" i="19"/>
  <c r="E32" i="19"/>
  <c r="E31" i="19"/>
  <c r="E28" i="19"/>
  <c r="E27" i="19"/>
  <c r="E26" i="19"/>
  <c r="E24" i="19"/>
  <c r="E23" i="19"/>
  <c r="E22" i="19"/>
  <c r="E20" i="19"/>
  <c r="E19" i="19"/>
  <c r="E18" i="19"/>
  <c r="E16" i="19"/>
  <c r="E15" i="19"/>
  <c r="E14" i="19"/>
  <c r="E12" i="19"/>
  <c r="E11" i="19"/>
  <c r="E10" i="19"/>
  <c r="E8" i="19"/>
  <c r="E7" i="19"/>
  <c r="E6" i="19"/>
  <c r="E30" i="10"/>
  <c r="E29" i="10"/>
  <c r="E28" i="10"/>
  <c r="E24" i="10"/>
  <c r="E23" i="10"/>
  <c r="E14" i="10"/>
  <c r="E13" i="10"/>
  <c r="E12" i="10"/>
  <c r="E11" i="10"/>
  <c r="E10" i="10"/>
  <c r="E9" i="10"/>
  <c r="E8" i="10"/>
  <c r="E7" i="10"/>
  <c r="E6" i="10"/>
  <c r="D61" i="16"/>
  <c r="D60" i="16"/>
  <c r="D59" i="16"/>
  <c r="D58" i="16"/>
  <c r="D57" i="16"/>
  <c r="D56" i="16"/>
  <c r="D55" i="16"/>
  <c r="D54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B35" i="16" l="1"/>
  <c r="C35" i="16"/>
  <c r="B36" i="16"/>
  <c r="C36" i="16"/>
  <c r="B37" i="16"/>
  <c r="C37" i="16"/>
  <c r="B38" i="16"/>
  <c r="C38" i="16"/>
  <c r="B39" i="16"/>
  <c r="C39" i="16"/>
  <c r="B40" i="16"/>
  <c r="C40" i="16"/>
  <c r="B41" i="16"/>
  <c r="C41" i="16"/>
  <c r="B42" i="16"/>
  <c r="C42" i="16"/>
  <c r="B43" i="16"/>
  <c r="C43" i="16"/>
  <c r="B44" i="16"/>
  <c r="C44" i="16"/>
  <c r="B45" i="16"/>
  <c r="C45" i="16"/>
  <c r="B46" i="16"/>
  <c r="C46" i="16"/>
  <c r="B47" i="16"/>
  <c r="C47" i="16"/>
  <c r="B48" i="16"/>
  <c r="C48" i="16"/>
  <c r="B49" i="16"/>
  <c r="C49" i="16"/>
  <c r="B50" i="16"/>
  <c r="C50" i="16"/>
  <c r="B51" i="16"/>
  <c r="C51" i="16"/>
  <c r="B52" i="16"/>
  <c r="C52" i="16"/>
  <c r="B53" i="16"/>
  <c r="C53" i="16"/>
  <c r="B16" i="16"/>
  <c r="C16" i="16"/>
  <c r="B17" i="16"/>
  <c r="C17" i="16"/>
  <c r="B18" i="16"/>
  <c r="C18" i="16"/>
  <c r="B19" i="16"/>
  <c r="C19" i="16"/>
  <c r="B20" i="16"/>
  <c r="C20" i="16"/>
  <c r="B21" i="16"/>
  <c r="C21" i="16"/>
  <c r="B22" i="16"/>
  <c r="C22" i="16"/>
  <c r="B23" i="16"/>
  <c r="C23" i="16"/>
  <c r="B24" i="16"/>
  <c r="C24" i="16"/>
  <c r="B25" i="16"/>
  <c r="C25" i="16"/>
  <c r="B26" i="16"/>
  <c r="C26" i="16"/>
  <c r="B27" i="16"/>
  <c r="C27" i="16"/>
  <c r="B28" i="16"/>
  <c r="C28" i="16"/>
  <c r="B29" i="16"/>
  <c r="C29" i="16"/>
  <c r="B30" i="16"/>
  <c r="C30" i="16"/>
  <c r="B31" i="16"/>
  <c r="C31" i="16"/>
  <c r="B32" i="16"/>
  <c r="C32" i="16"/>
  <c r="B33" i="16"/>
  <c r="C33" i="16"/>
  <c r="B55" i="15"/>
  <c r="B56" i="15" s="1"/>
  <c r="V39" i="19" l="1"/>
  <c r="V38" i="19"/>
  <c r="V37" i="19"/>
  <c r="T39" i="19"/>
  <c r="T38" i="19"/>
  <c r="T37" i="19"/>
  <c r="J35" i="19"/>
  <c r="J31" i="19"/>
  <c r="N32" i="19"/>
  <c r="J33" i="19"/>
  <c r="P33" i="19" l="1"/>
  <c r="K35" i="19"/>
  <c r="L32" i="19"/>
  <c r="O32" i="19"/>
  <c r="P32" i="19"/>
  <c r="K31" i="19"/>
  <c r="Q32" i="19"/>
  <c r="L31" i="19"/>
  <c r="H33" i="19"/>
  <c r="G32" i="19"/>
  <c r="K33" i="19"/>
  <c r="H32" i="19"/>
  <c r="L33" i="19"/>
  <c r="I32" i="19"/>
  <c r="M33" i="19"/>
  <c r="N36" i="19"/>
  <c r="F36" i="19"/>
  <c r="L36" i="19"/>
  <c r="M36" i="19"/>
  <c r="K36" i="19"/>
  <c r="P36" i="19"/>
  <c r="H36" i="19"/>
  <c r="J36" i="19"/>
  <c r="Q36" i="19"/>
  <c r="I36" i="19"/>
  <c r="G36" i="19"/>
  <c r="O36" i="19"/>
  <c r="F31" i="19"/>
  <c r="N31" i="19"/>
  <c r="J32" i="19"/>
  <c r="J34" i="19" s="1"/>
  <c r="F33" i="19"/>
  <c r="N33" i="19"/>
  <c r="F35" i="19"/>
  <c r="N35" i="19"/>
  <c r="L35" i="19"/>
  <c r="M31" i="19"/>
  <c r="M35" i="19"/>
  <c r="G31" i="19"/>
  <c r="O31" i="19"/>
  <c r="K32" i="19"/>
  <c r="G33" i="19"/>
  <c r="O33" i="19"/>
  <c r="G35" i="19"/>
  <c r="O35" i="19"/>
  <c r="H31" i="19"/>
  <c r="H35" i="19"/>
  <c r="P31" i="19"/>
  <c r="P35" i="19"/>
  <c r="I31" i="19"/>
  <c r="Q31" i="19"/>
  <c r="M32" i="19"/>
  <c r="I33" i="19"/>
  <c r="Q33" i="19"/>
  <c r="I35" i="19"/>
  <c r="Q35" i="19"/>
  <c r="F32" i="19"/>
  <c r="K40" i="19" l="1"/>
  <c r="P40" i="19"/>
  <c r="O34" i="19"/>
  <c r="O40" i="19"/>
  <c r="P34" i="19"/>
  <c r="H40" i="19"/>
  <c r="L34" i="19"/>
  <c r="H34" i="19"/>
  <c r="G34" i="19"/>
  <c r="L40" i="19"/>
  <c r="T32" i="19"/>
  <c r="N34" i="19"/>
  <c r="R33" i="19"/>
  <c r="Q34" i="19"/>
  <c r="G40" i="19"/>
  <c r="K34" i="19"/>
  <c r="T33" i="19"/>
  <c r="M34" i="19"/>
  <c r="R32" i="19"/>
  <c r="T36" i="19"/>
  <c r="R31" i="19"/>
  <c r="F34" i="19"/>
  <c r="R36" i="19"/>
  <c r="I34" i="19"/>
  <c r="N40" i="19"/>
  <c r="F40" i="19"/>
  <c r="Q40" i="19"/>
  <c r="J40" i="19"/>
  <c r="T31" i="19"/>
  <c r="R35" i="19"/>
  <c r="I40" i="19"/>
  <c r="T35" i="19"/>
  <c r="M40" i="19"/>
  <c r="V32" i="19" l="1"/>
  <c r="V33" i="19"/>
  <c r="T40" i="19"/>
  <c r="V36" i="19"/>
  <c r="V35" i="19"/>
  <c r="R40" i="19"/>
  <c r="V31" i="19"/>
  <c r="R34" i="19"/>
  <c r="D6" i="23"/>
  <c r="D6" i="21"/>
  <c r="E30" i="9"/>
  <c r="E26" i="9"/>
  <c r="E25" i="9"/>
  <c r="E22" i="9"/>
  <c r="V34" i="19" l="1"/>
  <c r="V40" i="19"/>
  <c r="G5" i="20" l="1"/>
  <c r="G40" i="18" l="1"/>
  <c r="H40" i="18"/>
  <c r="I40" i="18"/>
  <c r="J40" i="18"/>
  <c r="K40" i="18"/>
  <c r="L40" i="18"/>
  <c r="M40" i="18"/>
  <c r="N40" i="18"/>
  <c r="O40" i="18"/>
  <c r="P40" i="18"/>
  <c r="Q40" i="18"/>
  <c r="F40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H6" i="20"/>
  <c r="F7" i="21" s="1"/>
  <c r="I6" i="20"/>
  <c r="G7" i="21" s="1"/>
  <c r="J6" i="20"/>
  <c r="H7" i="21" s="1"/>
  <c r="K6" i="20"/>
  <c r="I7" i="21" s="1"/>
  <c r="L6" i="20"/>
  <c r="J7" i="21" s="1"/>
  <c r="M6" i="20"/>
  <c r="K7" i="21" s="1"/>
  <c r="N6" i="20"/>
  <c r="L7" i="21" s="1"/>
  <c r="O6" i="20"/>
  <c r="M7" i="21" s="1"/>
  <c r="P6" i="20"/>
  <c r="N7" i="21" s="1"/>
  <c r="Q6" i="20"/>
  <c r="O7" i="21" s="1"/>
  <c r="R6" i="20"/>
  <c r="P7" i="21" s="1"/>
  <c r="H7" i="20"/>
  <c r="I7" i="20"/>
  <c r="J7" i="20"/>
  <c r="K7" i="20"/>
  <c r="L7" i="20"/>
  <c r="M7" i="20"/>
  <c r="N7" i="20"/>
  <c r="O7" i="20"/>
  <c r="P7" i="20"/>
  <c r="Q7" i="20"/>
  <c r="R7" i="20"/>
  <c r="G7" i="20"/>
  <c r="G6" i="20"/>
  <c r="E7" i="21" s="1"/>
  <c r="Q7" i="21" s="1"/>
  <c r="G8" i="20"/>
  <c r="H8" i="20"/>
  <c r="I8" i="20"/>
  <c r="J8" i="20"/>
  <c r="K8" i="20"/>
  <c r="L8" i="20"/>
  <c r="M8" i="20"/>
  <c r="N8" i="20"/>
  <c r="O8" i="20"/>
  <c r="P8" i="20"/>
  <c r="Q8" i="20"/>
  <c r="R8" i="20"/>
  <c r="S7" i="21" l="1"/>
  <c r="T7" i="21" s="1"/>
  <c r="R7" i="21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U7" i="21" l="1"/>
  <c r="K16" i="18"/>
  <c r="K16" i="19" s="1"/>
  <c r="L16" i="18"/>
  <c r="L16" i="19" s="1"/>
  <c r="M16" i="18"/>
  <c r="M16" i="19" s="1"/>
  <c r="N16" i="18"/>
  <c r="N16" i="19" s="1"/>
  <c r="G16" i="18"/>
  <c r="G16" i="19" s="1"/>
  <c r="O16" i="18"/>
  <c r="O16" i="19" s="1"/>
  <c r="I16" i="18"/>
  <c r="I16" i="19" s="1"/>
  <c r="H16" i="18"/>
  <c r="H16" i="19" s="1"/>
  <c r="P16" i="18"/>
  <c r="P16" i="19" s="1"/>
  <c r="J16" i="18"/>
  <c r="J16" i="19" s="1"/>
  <c r="F16" i="18"/>
  <c r="F16" i="19" s="1"/>
  <c r="Q16" i="18"/>
  <c r="Q16" i="19" s="1"/>
  <c r="N15" i="18"/>
  <c r="F15" i="18"/>
  <c r="F15" i="19" s="1"/>
  <c r="G15" i="18"/>
  <c r="G15" i="19" s="1"/>
  <c r="O15" i="18"/>
  <c r="O15" i="19" s="1"/>
  <c r="H15" i="18"/>
  <c r="H15" i="19" s="1"/>
  <c r="P15" i="18"/>
  <c r="P15" i="19" s="1"/>
  <c r="I15" i="18"/>
  <c r="I15" i="19" s="1"/>
  <c r="Q15" i="18"/>
  <c r="Q15" i="19" s="1"/>
  <c r="J15" i="18"/>
  <c r="J15" i="19" s="1"/>
  <c r="K15" i="18"/>
  <c r="K15" i="19" s="1"/>
  <c r="L15" i="18"/>
  <c r="L15" i="19" s="1"/>
  <c r="M15" i="18"/>
  <c r="M15" i="19" s="1"/>
  <c r="I14" i="18"/>
  <c r="I14" i="19" s="1"/>
  <c r="Q14" i="18"/>
  <c r="Q14" i="19" s="1"/>
  <c r="J14" i="18"/>
  <c r="J14" i="19" s="1"/>
  <c r="F14" i="18"/>
  <c r="F14" i="19" s="1"/>
  <c r="O14" i="18"/>
  <c r="O14" i="19" s="1"/>
  <c r="K14" i="18"/>
  <c r="K14" i="19" s="1"/>
  <c r="G14" i="18"/>
  <c r="G14" i="19" s="1"/>
  <c r="L14" i="18"/>
  <c r="L14" i="19" s="1"/>
  <c r="M14" i="18"/>
  <c r="M14" i="19" s="1"/>
  <c r="N14" i="18"/>
  <c r="N14" i="19" s="1"/>
  <c r="H14" i="18"/>
  <c r="H14" i="19" s="1"/>
  <c r="P14" i="18"/>
  <c r="P14" i="19" s="1"/>
  <c r="H11" i="18"/>
  <c r="H11" i="19" s="1"/>
  <c r="P11" i="18"/>
  <c r="P11" i="19" s="1"/>
  <c r="I11" i="18"/>
  <c r="I11" i="19" s="1"/>
  <c r="Q11" i="18"/>
  <c r="Q11" i="19" s="1"/>
  <c r="J11" i="18"/>
  <c r="J11" i="19" s="1"/>
  <c r="K11" i="18"/>
  <c r="K11" i="19" s="1"/>
  <c r="L11" i="18"/>
  <c r="L11" i="19" s="1"/>
  <c r="M11" i="18"/>
  <c r="M11" i="19" s="1"/>
  <c r="N11" i="18"/>
  <c r="N11" i="19" s="1"/>
  <c r="F11" i="18"/>
  <c r="F11" i="19" s="1"/>
  <c r="G11" i="18"/>
  <c r="G11" i="19" s="1"/>
  <c r="O11" i="18"/>
  <c r="O11" i="19" s="1"/>
  <c r="M12" i="18"/>
  <c r="M12" i="19" s="1"/>
  <c r="N12" i="18"/>
  <c r="N12" i="19" s="1"/>
  <c r="G12" i="18"/>
  <c r="G12" i="19" s="1"/>
  <c r="O12" i="18"/>
  <c r="O12" i="19" s="1"/>
  <c r="H12" i="18"/>
  <c r="H12" i="19" s="1"/>
  <c r="P12" i="18"/>
  <c r="P12" i="19" s="1"/>
  <c r="I12" i="18"/>
  <c r="I12" i="19" s="1"/>
  <c r="Q12" i="18"/>
  <c r="Q12" i="19" s="1"/>
  <c r="J12" i="18"/>
  <c r="J12" i="19" s="1"/>
  <c r="F12" i="18"/>
  <c r="F12" i="19" s="1"/>
  <c r="K12" i="18"/>
  <c r="K12" i="19" s="1"/>
  <c r="L12" i="18"/>
  <c r="L12" i="19" s="1"/>
  <c r="G18" i="18"/>
  <c r="G18" i="19" s="1"/>
  <c r="O18" i="18"/>
  <c r="O18" i="19" s="1"/>
  <c r="H18" i="18"/>
  <c r="H18" i="19" s="1"/>
  <c r="P18" i="18"/>
  <c r="P18" i="19" s="1"/>
  <c r="I18" i="18"/>
  <c r="I18" i="19" s="1"/>
  <c r="Q18" i="18"/>
  <c r="Q18" i="19" s="1"/>
  <c r="J18" i="18"/>
  <c r="J18" i="19" s="1"/>
  <c r="F18" i="18"/>
  <c r="F18" i="19" s="1"/>
  <c r="K18" i="18"/>
  <c r="K18" i="19" s="1"/>
  <c r="L18" i="18"/>
  <c r="L18" i="19" s="1"/>
  <c r="M18" i="18"/>
  <c r="M18" i="19" s="1"/>
  <c r="N18" i="18"/>
  <c r="N18" i="19" s="1"/>
  <c r="K10" i="18"/>
  <c r="K10" i="19" s="1"/>
  <c r="L10" i="18"/>
  <c r="L10" i="19" s="1"/>
  <c r="M10" i="18"/>
  <c r="M10" i="19" s="1"/>
  <c r="N10" i="18"/>
  <c r="N10" i="19" s="1"/>
  <c r="G10" i="18"/>
  <c r="G10" i="19" s="1"/>
  <c r="O10" i="18"/>
  <c r="O10" i="19" s="1"/>
  <c r="H10" i="18"/>
  <c r="H10" i="19" s="1"/>
  <c r="P10" i="18"/>
  <c r="P10" i="19" s="1"/>
  <c r="I10" i="18"/>
  <c r="I10" i="19" s="1"/>
  <c r="Q10" i="18"/>
  <c r="Q10" i="19" s="1"/>
  <c r="J10" i="18"/>
  <c r="J10" i="19" s="1"/>
  <c r="F10" i="18"/>
  <c r="F10" i="19" s="1"/>
  <c r="I20" i="18"/>
  <c r="I20" i="19" s="1"/>
  <c r="Q20" i="18"/>
  <c r="Q20" i="19" s="1"/>
  <c r="J20" i="18"/>
  <c r="J20" i="19" s="1"/>
  <c r="F20" i="18"/>
  <c r="F20" i="19" s="1"/>
  <c r="K20" i="18"/>
  <c r="K20" i="19" s="1"/>
  <c r="L20" i="18"/>
  <c r="L20" i="19" s="1"/>
  <c r="M20" i="18"/>
  <c r="M20" i="19" s="1"/>
  <c r="N20" i="18"/>
  <c r="N20" i="19" s="1"/>
  <c r="G20" i="18"/>
  <c r="G20" i="19" s="1"/>
  <c r="O20" i="18"/>
  <c r="O20" i="19" s="1"/>
  <c r="H20" i="18"/>
  <c r="H20" i="19" s="1"/>
  <c r="P20" i="18"/>
  <c r="P20" i="19" s="1"/>
  <c r="L19" i="18"/>
  <c r="L19" i="19" s="1"/>
  <c r="M19" i="18"/>
  <c r="M19" i="19" s="1"/>
  <c r="N19" i="18"/>
  <c r="N19" i="19" s="1"/>
  <c r="F19" i="18"/>
  <c r="F19" i="19" s="1"/>
  <c r="G19" i="18"/>
  <c r="G19" i="19" s="1"/>
  <c r="O19" i="18"/>
  <c r="O19" i="19" s="1"/>
  <c r="H19" i="18"/>
  <c r="H19" i="19" s="1"/>
  <c r="P19" i="18"/>
  <c r="P19" i="19" s="1"/>
  <c r="I19" i="18"/>
  <c r="I19" i="19" s="1"/>
  <c r="Q19" i="18"/>
  <c r="Q19" i="19" s="1"/>
  <c r="J19" i="18"/>
  <c r="J19" i="19" s="1"/>
  <c r="K19" i="18"/>
  <c r="K19" i="19" s="1"/>
  <c r="M24" i="18"/>
  <c r="M24" i="19" s="1"/>
  <c r="N24" i="18"/>
  <c r="N24" i="19" s="1"/>
  <c r="G24" i="18"/>
  <c r="G24" i="19" s="1"/>
  <c r="O24" i="18"/>
  <c r="O24" i="19" s="1"/>
  <c r="H24" i="18"/>
  <c r="H24" i="19" s="1"/>
  <c r="P24" i="18"/>
  <c r="P24" i="19" s="1"/>
  <c r="I24" i="18"/>
  <c r="I24" i="19" s="1"/>
  <c r="Q24" i="18"/>
  <c r="Q24" i="19" s="1"/>
  <c r="J24" i="18"/>
  <c r="J24" i="19" s="1"/>
  <c r="F24" i="18"/>
  <c r="F24" i="19" s="1"/>
  <c r="K24" i="18"/>
  <c r="K24" i="19" s="1"/>
  <c r="L24" i="18"/>
  <c r="L24" i="19" s="1"/>
  <c r="H23" i="18"/>
  <c r="H23" i="19" s="1"/>
  <c r="P23" i="18"/>
  <c r="P23" i="19" s="1"/>
  <c r="I23" i="18"/>
  <c r="I23" i="19" s="1"/>
  <c r="Q23" i="18"/>
  <c r="Q23" i="19" s="1"/>
  <c r="J23" i="18"/>
  <c r="J23" i="19" s="1"/>
  <c r="K23" i="18"/>
  <c r="K23" i="19" s="1"/>
  <c r="L23" i="18"/>
  <c r="L23" i="19" s="1"/>
  <c r="M23" i="18"/>
  <c r="M23" i="19" s="1"/>
  <c r="N23" i="18"/>
  <c r="N23" i="19" s="1"/>
  <c r="F23" i="18"/>
  <c r="F23" i="19" s="1"/>
  <c r="G23" i="18"/>
  <c r="G23" i="19" s="1"/>
  <c r="O23" i="18"/>
  <c r="O23" i="19" s="1"/>
  <c r="K22" i="18"/>
  <c r="K22" i="19" s="1"/>
  <c r="L22" i="18"/>
  <c r="L22" i="19" s="1"/>
  <c r="M22" i="18"/>
  <c r="M22" i="19" s="1"/>
  <c r="N22" i="18"/>
  <c r="N22" i="19" s="1"/>
  <c r="G22" i="18"/>
  <c r="G22" i="19" s="1"/>
  <c r="O22" i="18"/>
  <c r="O22" i="19" s="1"/>
  <c r="H22" i="18"/>
  <c r="H22" i="19" s="1"/>
  <c r="P22" i="18"/>
  <c r="P22" i="19" s="1"/>
  <c r="I22" i="18"/>
  <c r="I22" i="19" s="1"/>
  <c r="Q22" i="18"/>
  <c r="Q22" i="19" s="1"/>
  <c r="J22" i="18"/>
  <c r="J22" i="19" s="1"/>
  <c r="F22" i="18"/>
  <c r="F22" i="19" s="1"/>
  <c r="D62" i="16"/>
  <c r="D63" i="16"/>
  <c r="D64" i="16"/>
  <c r="J25" i="19" l="1"/>
  <c r="H13" i="19"/>
  <c r="G17" i="19"/>
  <c r="H25" i="19"/>
  <c r="J13" i="19"/>
  <c r="N13" i="19"/>
  <c r="M13" i="19"/>
  <c r="Q17" i="19"/>
  <c r="P13" i="19"/>
  <c r="J17" i="19"/>
  <c r="R16" i="19"/>
  <c r="O13" i="19"/>
  <c r="O17" i="19"/>
  <c r="P25" i="19"/>
  <c r="T11" i="19"/>
  <c r="H17" i="19"/>
  <c r="Q13" i="19"/>
  <c r="M17" i="19"/>
  <c r="K13" i="19"/>
  <c r="K17" i="19"/>
  <c r="T12" i="19"/>
  <c r="P17" i="19"/>
  <c r="F25" i="19"/>
  <c r="R22" i="19"/>
  <c r="N25" i="19"/>
  <c r="T24" i="19"/>
  <c r="R20" i="19"/>
  <c r="N21" i="19"/>
  <c r="P21" i="19"/>
  <c r="L17" i="19"/>
  <c r="T14" i="19"/>
  <c r="Q25" i="19"/>
  <c r="T22" i="19"/>
  <c r="R24" i="19"/>
  <c r="L21" i="19"/>
  <c r="T18" i="19"/>
  <c r="O21" i="19"/>
  <c r="R11" i="19"/>
  <c r="L25" i="19"/>
  <c r="T23" i="19"/>
  <c r="M21" i="19"/>
  <c r="I25" i="19"/>
  <c r="K25" i="19"/>
  <c r="M25" i="19"/>
  <c r="G13" i="19"/>
  <c r="K21" i="19"/>
  <c r="G21" i="19"/>
  <c r="N17" i="18"/>
  <c r="N15" i="19"/>
  <c r="N17" i="19" s="1"/>
  <c r="H21" i="19"/>
  <c r="R19" i="19"/>
  <c r="F13" i="19"/>
  <c r="R10" i="19"/>
  <c r="F21" i="19"/>
  <c r="R18" i="19"/>
  <c r="R14" i="19"/>
  <c r="F17" i="19"/>
  <c r="J21" i="19"/>
  <c r="T16" i="19"/>
  <c r="V16" i="19" s="1"/>
  <c r="O25" i="19"/>
  <c r="T20" i="19"/>
  <c r="L13" i="19"/>
  <c r="T10" i="19"/>
  <c r="Q21" i="19"/>
  <c r="R12" i="19"/>
  <c r="G25" i="19"/>
  <c r="R23" i="19"/>
  <c r="T19" i="19"/>
  <c r="I13" i="19"/>
  <c r="I21" i="19"/>
  <c r="I17" i="19"/>
  <c r="R15" i="19"/>
  <c r="K17" i="18"/>
  <c r="J13" i="18"/>
  <c r="P13" i="18"/>
  <c r="G17" i="18"/>
  <c r="F17" i="18"/>
  <c r="M13" i="18"/>
  <c r="L13" i="18"/>
  <c r="P17" i="18"/>
  <c r="F25" i="18"/>
  <c r="P25" i="18"/>
  <c r="F13" i="18"/>
  <c r="K13" i="18"/>
  <c r="N25" i="18"/>
  <c r="I25" i="18"/>
  <c r="K25" i="18"/>
  <c r="G13" i="18"/>
  <c r="L17" i="18"/>
  <c r="I17" i="18"/>
  <c r="G25" i="18"/>
  <c r="I13" i="18"/>
  <c r="H17" i="18"/>
  <c r="J25" i="18"/>
  <c r="M25" i="18"/>
  <c r="H13" i="18"/>
  <c r="O17" i="18"/>
  <c r="Q25" i="18"/>
  <c r="L25" i="18"/>
  <c r="O13" i="18"/>
  <c r="N13" i="18"/>
  <c r="J17" i="18"/>
  <c r="H25" i="18"/>
  <c r="O25" i="18"/>
  <c r="Q13" i="18"/>
  <c r="M17" i="18"/>
  <c r="Q17" i="18"/>
  <c r="N21" i="18"/>
  <c r="P21" i="18"/>
  <c r="M21" i="18"/>
  <c r="H21" i="18"/>
  <c r="L21" i="18"/>
  <c r="O21" i="18"/>
  <c r="K21" i="18"/>
  <c r="G21" i="18"/>
  <c r="F21" i="18"/>
  <c r="J21" i="18"/>
  <c r="Q21" i="18"/>
  <c r="I21" i="18"/>
  <c r="V24" i="19" l="1"/>
  <c r="V12" i="19"/>
  <c r="V11" i="19"/>
  <c r="V19" i="19"/>
  <c r="T13" i="19"/>
  <c r="T25" i="19"/>
  <c r="R17" i="19"/>
  <c r="V14" i="19"/>
  <c r="V20" i="19"/>
  <c r="R21" i="19"/>
  <c r="V18" i="19"/>
  <c r="T15" i="19"/>
  <c r="V15" i="19" s="1"/>
  <c r="V23" i="19"/>
  <c r="R25" i="19"/>
  <c r="V22" i="19"/>
  <c r="V10" i="19"/>
  <c r="R13" i="19"/>
  <c r="T21" i="19"/>
  <c r="V13" i="19" l="1"/>
  <c r="T17" i="19"/>
  <c r="V21" i="19"/>
  <c r="V25" i="19"/>
  <c r="V17" i="19"/>
  <c r="D51" i="16" l="1"/>
  <c r="D52" i="16" s="1"/>
  <c r="D53" i="16" s="1"/>
  <c r="D33" i="16" l="1"/>
  <c r="R29" i="26" l="1"/>
  <c r="Q29" i="26"/>
  <c r="P29" i="26"/>
  <c r="O29" i="26"/>
  <c r="N29" i="26"/>
  <c r="M29" i="26"/>
  <c r="L29" i="26"/>
  <c r="K29" i="26"/>
  <c r="J29" i="26"/>
  <c r="I29" i="26"/>
  <c r="H29" i="26"/>
  <c r="G29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R29" i="20"/>
  <c r="Q29" i="20"/>
  <c r="P29" i="20"/>
  <c r="O29" i="20"/>
  <c r="N29" i="20"/>
  <c r="M29" i="20"/>
  <c r="L29" i="20"/>
  <c r="K29" i="20"/>
  <c r="J29" i="20"/>
  <c r="I29" i="20"/>
  <c r="H29" i="20"/>
  <c r="G29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H5" i="20" l="1"/>
  <c r="I5" i="20"/>
  <c r="J5" i="20"/>
  <c r="K5" i="20"/>
  <c r="L5" i="20"/>
  <c r="M5" i="20"/>
  <c r="N5" i="20"/>
  <c r="O5" i="20"/>
  <c r="P5" i="20"/>
  <c r="Q5" i="20"/>
  <c r="R5" i="20"/>
  <c r="H9" i="20"/>
  <c r="I9" i="20"/>
  <c r="J9" i="20"/>
  <c r="K9" i="20"/>
  <c r="L9" i="20"/>
  <c r="M9" i="20"/>
  <c r="N9" i="20"/>
  <c r="O9" i="20"/>
  <c r="P9" i="20"/>
  <c r="Q9" i="20"/>
  <c r="R9" i="20"/>
  <c r="G9" i="20"/>
  <c r="K26" i="18" l="1"/>
  <c r="K26" i="19" s="1"/>
  <c r="K28" i="18"/>
  <c r="K28" i="19" s="1"/>
  <c r="K27" i="18"/>
  <c r="K27" i="19" s="1"/>
  <c r="J28" i="18"/>
  <c r="J28" i="19" s="1"/>
  <c r="J26" i="18"/>
  <c r="J26" i="19" s="1"/>
  <c r="J27" i="18"/>
  <c r="J27" i="19" s="1"/>
  <c r="H28" i="18"/>
  <c r="H28" i="19" s="1"/>
  <c r="H27" i="18"/>
  <c r="H27" i="19" s="1"/>
  <c r="H26" i="18"/>
  <c r="H26" i="19" s="1"/>
  <c r="Q28" i="18"/>
  <c r="Q28" i="19" s="1"/>
  <c r="Q27" i="18"/>
  <c r="Q27" i="19" s="1"/>
  <c r="Q26" i="18"/>
  <c r="Q26" i="19" s="1"/>
  <c r="O28" i="18"/>
  <c r="O28" i="19" s="1"/>
  <c r="O27" i="18"/>
  <c r="O27" i="19" s="1"/>
  <c r="O26" i="18"/>
  <c r="O26" i="19" s="1"/>
  <c r="G28" i="18"/>
  <c r="G28" i="19" s="1"/>
  <c r="G27" i="18"/>
  <c r="G27" i="19" s="1"/>
  <c r="G26" i="18"/>
  <c r="G26" i="19" s="1"/>
  <c r="P28" i="18"/>
  <c r="P28" i="19" s="1"/>
  <c r="P27" i="18"/>
  <c r="P27" i="19" s="1"/>
  <c r="P26" i="18"/>
  <c r="P26" i="19" s="1"/>
  <c r="N27" i="18"/>
  <c r="N27" i="19" s="1"/>
  <c r="N26" i="18"/>
  <c r="N26" i="19" s="1"/>
  <c r="N28" i="18"/>
  <c r="N28" i="19" s="1"/>
  <c r="M26" i="18"/>
  <c r="M26" i="19" s="1"/>
  <c r="M27" i="18"/>
  <c r="M27" i="19" s="1"/>
  <c r="M28" i="18"/>
  <c r="M28" i="19" s="1"/>
  <c r="F28" i="18"/>
  <c r="F28" i="19" s="1"/>
  <c r="F27" i="18"/>
  <c r="F27" i="19" s="1"/>
  <c r="F26" i="18"/>
  <c r="F26" i="19" s="1"/>
  <c r="I28" i="18"/>
  <c r="I28" i="19" s="1"/>
  <c r="I27" i="18"/>
  <c r="I27" i="19" s="1"/>
  <c r="I26" i="18"/>
  <c r="I26" i="19" s="1"/>
  <c r="L26" i="18"/>
  <c r="L26" i="19" s="1"/>
  <c r="L27" i="18"/>
  <c r="L27" i="19" s="1"/>
  <c r="L28" i="18"/>
  <c r="L28" i="19" s="1"/>
  <c r="L6" i="18"/>
  <c r="L6" i="19" s="1"/>
  <c r="L7" i="18"/>
  <c r="L7" i="19" s="1"/>
  <c r="L8" i="18"/>
  <c r="L8" i="19" s="1"/>
  <c r="K6" i="18"/>
  <c r="K6" i="19" s="1"/>
  <c r="K7" i="18"/>
  <c r="K7" i="19" s="1"/>
  <c r="K8" i="18"/>
  <c r="K8" i="19" s="1"/>
  <c r="F7" i="18"/>
  <c r="F7" i="19" s="1"/>
  <c r="F8" i="18"/>
  <c r="F8" i="19" s="1"/>
  <c r="F6" i="18"/>
  <c r="F6" i="19" s="1"/>
  <c r="J6" i="18"/>
  <c r="J6" i="19" s="1"/>
  <c r="J7" i="18"/>
  <c r="J7" i="19" s="1"/>
  <c r="J8" i="18"/>
  <c r="J8" i="19" s="1"/>
  <c r="I8" i="18"/>
  <c r="I8" i="19" s="1"/>
  <c r="I7" i="18"/>
  <c r="I7" i="19" s="1"/>
  <c r="I6" i="18"/>
  <c r="I6" i="19" s="1"/>
  <c r="P6" i="18"/>
  <c r="P6" i="19" s="1"/>
  <c r="P7" i="18"/>
  <c r="P7" i="19" s="1"/>
  <c r="P8" i="18"/>
  <c r="P8" i="19" s="1"/>
  <c r="H6" i="18"/>
  <c r="H6" i="19" s="1"/>
  <c r="H7" i="18"/>
  <c r="H7" i="19" s="1"/>
  <c r="H8" i="18"/>
  <c r="H8" i="19" s="1"/>
  <c r="O6" i="18"/>
  <c r="O6" i="19" s="1"/>
  <c r="O7" i="18"/>
  <c r="O7" i="19" s="1"/>
  <c r="O8" i="18"/>
  <c r="O8" i="19" s="1"/>
  <c r="G6" i="18"/>
  <c r="G6" i="19" s="1"/>
  <c r="G7" i="18"/>
  <c r="G7" i="19" s="1"/>
  <c r="G8" i="18"/>
  <c r="G8" i="19" s="1"/>
  <c r="N6" i="18"/>
  <c r="N6" i="19" s="1"/>
  <c r="N7" i="18"/>
  <c r="N7" i="19" s="1"/>
  <c r="N8" i="18"/>
  <c r="N8" i="19" s="1"/>
  <c r="Q8" i="18"/>
  <c r="Q8" i="19" s="1"/>
  <c r="Q6" i="18"/>
  <c r="Q6" i="19" s="1"/>
  <c r="Q7" i="18"/>
  <c r="Q7" i="19" s="1"/>
  <c r="M6" i="18"/>
  <c r="M6" i="19" s="1"/>
  <c r="M7" i="18"/>
  <c r="M7" i="19" s="1"/>
  <c r="M8" i="18"/>
  <c r="M8" i="19" s="1"/>
  <c r="R28" i="19" l="1"/>
  <c r="T8" i="19"/>
  <c r="R27" i="19"/>
  <c r="H9" i="19"/>
  <c r="T26" i="19"/>
  <c r="O29" i="19"/>
  <c r="O30" i="19" s="1"/>
  <c r="J9" i="19"/>
  <c r="R26" i="19"/>
  <c r="F29" i="19"/>
  <c r="F30" i="19" s="1"/>
  <c r="F9" i="19"/>
  <c r="L9" i="19"/>
  <c r="P29" i="19"/>
  <c r="P30" i="19" s="1"/>
  <c r="J29" i="19"/>
  <c r="J30" i="19" s="1"/>
  <c r="N29" i="19"/>
  <c r="N30" i="19" s="1"/>
  <c r="T7" i="19"/>
  <c r="G9" i="19"/>
  <c r="Q9" i="19"/>
  <c r="P9" i="19"/>
  <c r="R8" i="19"/>
  <c r="Q29" i="19"/>
  <c r="Q30" i="19" s="1"/>
  <c r="R7" i="19"/>
  <c r="T27" i="19"/>
  <c r="T28" i="19"/>
  <c r="I9" i="19"/>
  <c r="O9" i="19"/>
  <c r="K9" i="19"/>
  <c r="L29" i="19"/>
  <c r="L30" i="19" s="1"/>
  <c r="G29" i="19"/>
  <c r="M9" i="19"/>
  <c r="N9" i="19"/>
  <c r="I29" i="19"/>
  <c r="I30" i="19" s="1"/>
  <c r="M29" i="19"/>
  <c r="M30" i="19" s="1"/>
  <c r="H29" i="19"/>
  <c r="H30" i="19" s="1"/>
  <c r="K29" i="19"/>
  <c r="K30" i="19" s="1"/>
  <c r="N29" i="18"/>
  <c r="N30" i="18" s="1"/>
  <c r="P29" i="18"/>
  <c r="P30" i="18" s="1"/>
  <c r="Q29" i="18"/>
  <c r="Q30" i="18" s="1"/>
  <c r="F29" i="18"/>
  <c r="F30" i="18" s="1"/>
  <c r="J29" i="18"/>
  <c r="J30" i="18" s="1"/>
  <c r="L29" i="18"/>
  <c r="L30" i="18" s="1"/>
  <c r="G29" i="18"/>
  <c r="G30" i="18" s="1"/>
  <c r="O29" i="18"/>
  <c r="O30" i="18" s="1"/>
  <c r="I29" i="18"/>
  <c r="I30" i="18" s="1"/>
  <c r="M29" i="18"/>
  <c r="M30" i="18" s="1"/>
  <c r="H29" i="18"/>
  <c r="H30" i="18" s="1"/>
  <c r="K29" i="18"/>
  <c r="K30" i="18" s="1"/>
  <c r="Q9" i="18"/>
  <c r="O9" i="18"/>
  <c r="P9" i="18"/>
  <c r="N9" i="18"/>
  <c r="K9" i="18"/>
  <c r="H9" i="18"/>
  <c r="I9" i="18"/>
  <c r="M9" i="18"/>
  <c r="J9" i="18"/>
  <c r="G9" i="18"/>
  <c r="F9" i="18"/>
  <c r="L9" i="18"/>
  <c r="AA7" i="22"/>
  <c r="AA6" i="15" s="1"/>
  <c r="Y6" i="9" s="1"/>
  <c r="V8" i="19" l="1"/>
  <c r="V28" i="19"/>
  <c r="H41" i="19"/>
  <c r="H42" i="19" s="1"/>
  <c r="P41" i="19"/>
  <c r="P42" i="19" s="1"/>
  <c r="J41" i="19"/>
  <c r="J42" i="19" s="1"/>
  <c r="F41" i="19"/>
  <c r="F42" i="19" s="1"/>
  <c r="O41" i="19"/>
  <c r="O42" i="19" s="1"/>
  <c r="V7" i="19"/>
  <c r="L41" i="19"/>
  <c r="L42" i="19" s="1"/>
  <c r="N41" i="19"/>
  <c r="N42" i="19" s="1"/>
  <c r="I41" i="19"/>
  <c r="I42" i="19" s="1"/>
  <c r="M41" i="19"/>
  <c r="M42" i="19" s="1"/>
  <c r="Q41" i="19"/>
  <c r="Q42" i="19" s="1"/>
  <c r="V26" i="19"/>
  <c r="R29" i="19"/>
  <c r="R30" i="19" s="1"/>
  <c r="G30" i="19"/>
  <c r="G41" i="19" s="1"/>
  <c r="G42" i="19" s="1"/>
  <c r="V27" i="19"/>
  <c r="K41" i="19"/>
  <c r="K42" i="19" s="1"/>
  <c r="T29" i="19"/>
  <c r="T30" i="19" s="1"/>
  <c r="P41" i="18"/>
  <c r="P42" i="18" s="1"/>
  <c r="M41" i="18"/>
  <c r="M42" i="18" s="1"/>
  <c r="J41" i="18"/>
  <c r="J42" i="18" s="1"/>
  <c r="I41" i="18"/>
  <c r="I42" i="18" s="1"/>
  <c r="L41" i="18"/>
  <c r="L42" i="18" s="1"/>
  <c r="K41" i="18"/>
  <c r="K42" i="18" s="1"/>
  <c r="F41" i="18"/>
  <c r="F42" i="18" s="1"/>
  <c r="Q41" i="18"/>
  <c r="Q42" i="18" s="1"/>
  <c r="N41" i="18"/>
  <c r="N42" i="18" s="1"/>
  <c r="H41" i="18"/>
  <c r="H42" i="18" s="1"/>
  <c r="O41" i="18"/>
  <c r="O42" i="18" s="1"/>
  <c r="G41" i="18"/>
  <c r="G42" i="18" s="1"/>
  <c r="E15" i="10"/>
  <c r="T34" i="19" l="1"/>
  <c r="V29" i="19"/>
  <c r="V30" i="19" s="1"/>
  <c r="E17" i="10"/>
  <c r="E18" i="10" s="1"/>
  <c r="E19" i="10" s="1"/>
  <c r="E20" i="10" s="1"/>
  <c r="E21" i="10" s="1"/>
  <c r="E16" i="10"/>
  <c r="E58" i="2" l="1"/>
  <c r="N9" i="26" l="1"/>
  <c r="M9" i="26"/>
  <c r="L9" i="26"/>
  <c r="K9" i="26"/>
  <c r="J9" i="26"/>
  <c r="J10" i="20" l="1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W52" i="18" l="1"/>
  <c r="W57" i="18" s="1"/>
  <c r="W58" i="18" s="1"/>
  <c r="V52" i="18"/>
  <c r="V57" i="18" s="1"/>
  <c r="V58" i="18" s="1"/>
  <c r="W45" i="18"/>
  <c r="W50" i="18" s="1"/>
  <c r="W51" i="18" s="1"/>
  <c r="U52" i="18"/>
  <c r="U57" i="18" s="1"/>
  <c r="U58" i="18" s="1"/>
  <c r="V45" i="18"/>
  <c r="V50" i="18" s="1"/>
  <c r="V51" i="18" s="1"/>
  <c r="U45" i="18"/>
  <c r="U50" i="18" s="1"/>
  <c r="U51" i="18" s="1"/>
  <c r="K43" i="9" l="1"/>
  <c r="Q38" i="9"/>
  <c r="F43" i="9"/>
  <c r="K38" i="9"/>
  <c r="M38" i="9"/>
  <c r="Q43" i="9"/>
  <c r="P43" i="9"/>
  <c r="G38" i="9"/>
  <c r="L38" i="9"/>
  <c r="F38" i="9"/>
  <c r="H38" i="9"/>
  <c r="O43" i="9"/>
  <c r="N43" i="9"/>
  <c r="H43" i="9"/>
  <c r="M43" i="9"/>
  <c r="I38" i="9"/>
  <c r="J43" i="9"/>
  <c r="P38" i="9"/>
  <c r="G43" i="9"/>
  <c r="O38" i="9"/>
  <c r="L43" i="9"/>
  <c r="I43" i="9"/>
  <c r="N38" i="9"/>
  <c r="J38" i="9"/>
  <c r="V13" i="26" l="1"/>
  <c r="V12" i="26"/>
  <c r="S39" i="26"/>
  <c r="I44" i="10" l="1"/>
  <c r="J8" i="26"/>
  <c r="I43" i="10" l="1"/>
  <c r="I38" i="10"/>
  <c r="I36" i="10"/>
  <c r="I42" i="10"/>
  <c r="J7" i="26"/>
  <c r="J6" i="26"/>
  <c r="I37" i="10"/>
  <c r="J5" i="26"/>
  <c r="J10" i="26" l="1"/>
  <c r="I39" i="10"/>
  <c r="I45" i="10"/>
  <c r="Q33" i="26" l="1"/>
  <c r="R33" i="26"/>
  <c r="P33" i="26"/>
  <c r="O33" i="26"/>
  <c r="O48" i="26" l="1"/>
  <c r="O57" i="26" s="1"/>
  <c r="K48" i="26"/>
  <c r="G48" i="26" l="1"/>
  <c r="J48" i="26"/>
  <c r="N48" i="26"/>
  <c r="N57" i="26" s="1"/>
  <c r="R48" i="26"/>
  <c r="R57" i="26" s="1"/>
  <c r="I48" i="26"/>
  <c r="M48" i="26"/>
  <c r="Q48" i="26"/>
  <c r="Q57" i="26" s="1"/>
  <c r="H48" i="26"/>
  <c r="L48" i="26"/>
  <c r="P48" i="26"/>
  <c r="P57" i="26" s="1"/>
  <c r="F5" i="16"/>
  <c r="G5" i="16"/>
  <c r="H5" i="16"/>
  <c r="I5" i="16"/>
  <c r="J5" i="16"/>
  <c r="K5" i="16"/>
  <c r="L5" i="16"/>
  <c r="M5" i="16"/>
  <c r="N5" i="16"/>
  <c r="O5" i="16"/>
  <c r="P5" i="16"/>
  <c r="E5" i="16"/>
  <c r="F5" i="15"/>
  <c r="G5" i="15"/>
  <c r="H5" i="15"/>
  <c r="I5" i="15"/>
  <c r="J5" i="15"/>
  <c r="K5" i="15"/>
  <c r="L5" i="15"/>
  <c r="M5" i="15"/>
  <c r="N5" i="15"/>
  <c r="O5" i="15"/>
  <c r="P5" i="15"/>
  <c r="E5" i="15"/>
  <c r="F4" i="24"/>
  <c r="G4" i="24"/>
  <c r="H4" i="24"/>
  <c r="I4" i="24"/>
  <c r="J4" i="24"/>
  <c r="K4" i="24"/>
  <c r="L4" i="24"/>
  <c r="M4" i="24"/>
  <c r="N4" i="24"/>
  <c r="O4" i="24"/>
  <c r="P4" i="24"/>
  <c r="E4" i="24"/>
  <c r="F4" i="22"/>
  <c r="G4" i="22"/>
  <c r="H4" i="22"/>
  <c r="I4" i="22"/>
  <c r="J4" i="22"/>
  <c r="K4" i="22"/>
  <c r="L4" i="22"/>
  <c r="M4" i="22"/>
  <c r="N4" i="22"/>
  <c r="O4" i="22"/>
  <c r="P4" i="22"/>
  <c r="E4" i="22"/>
  <c r="F4" i="23"/>
  <c r="G4" i="23"/>
  <c r="H4" i="23"/>
  <c r="I4" i="23"/>
  <c r="J4" i="23"/>
  <c r="K4" i="23"/>
  <c r="L4" i="23"/>
  <c r="M4" i="23"/>
  <c r="N4" i="23"/>
  <c r="O4" i="23"/>
  <c r="P4" i="23"/>
  <c r="E4" i="23"/>
  <c r="F4" i="21"/>
  <c r="G4" i="21"/>
  <c r="H4" i="21"/>
  <c r="I4" i="21"/>
  <c r="J4" i="21"/>
  <c r="K4" i="21"/>
  <c r="L4" i="21"/>
  <c r="M4" i="21"/>
  <c r="N4" i="21"/>
  <c r="O4" i="21"/>
  <c r="P4" i="21"/>
  <c r="E4" i="21"/>
  <c r="M57" i="26" l="1"/>
  <c r="S48" i="26"/>
  <c r="S57" i="26" s="1"/>
  <c r="H43" i="20" l="1"/>
  <c r="I43" i="20"/>
  <c r="M43" i="20"/>
  <c r="N43" i="20"/>
  <c r="D4" i="22" l="1"/>
  <c r="D6" i="22"/>
  <c r="D5" i="15" s="1"/>
  <c r="E5" i="9" s="1"/>
  <c r="E5" i="18" s="1"/>
  <c r="D4" i="24"/>
  <c r="D6" i="24"/>
  <c r="D5" i="16" s="1"/>
  <c r="E5" i="10" s="1"/>
  <c r="E5" i="19" s="1"/>
  <c r="D19" i="24"/>
  <c r="D37" i="24"/>
  <c r="D50" i="24"/>
  <c r="D55" i="24"/>
  <c r="D57" i="24"/>
  <c r="D54" i="24" l="1"/>
  <c r="D53" i="24"/>
  <c r="D56" i="24"/>
  <c r="D10" i="24" l="1"/>
  <c r="D14" i="24"/>
  <c r="D18" i="24"/>
  <c r="D7" i="24"/>
  <c r="D11" i="24"/>
  <c r="D15" i="24"/>
  <c r="D31" i="24"/>
  <c r="D8" i="24"/>
  <c r="D12" i="24"/>
  <c r="D16" i="24"/>
  <c r="D9" i="24"/>
  <c r="D13" i="24"/>
  <c r="D17" i="24"/>
  <c r="D32" i="24" l="1"/>
  <c r="D20" i="24"/>
  <c r="D21" i="24" l="1"/>
  <c r="D33" i="24"/>
  <c r="D34" i="24" l="1"/>
  <c r="D22" i="24"/>
  <c r="D35" i="24" l="1"/>
  <c r="D23" i="24"/>
  <c r="D36" i="24" l="1"/>
  <c r="D24" i="24"/>
  <c r="D25" i="24" l="1"/>
  <c r="D26" i="24" l="1"/>
  <c r="D38" i="24"/>
  <c r="D39" i="24"/>
  <c r="D27" i="24" l="1"/>
  <c r="D40" i="24"/>
  <c r="D41" i="24" l="1"/>
  <c r="D28" i="24"/>
  <c r="D42" i="24" l="1"/>
  <c r="D29" i="24"/>
  <c r="D43" i="24" l="1"/>
  <c r="D30" i="24"/>
  <c r="D44" i="24" l="1"/>
  <c r="D45" i="24" l="1"/>
  <c r="D46" i="24" l="1"/>
  <c r="D47" i="24" l="1"/>
  <c r="D48" i="24" l="1"/>
  <c r="D49" i="24" l="1"/>
  <c r="D51" i="24" l="1"/>
  <c r="D52" i="24" l="1"/>
  <c r="O43" i="20" l="1"/>
  <c r="P43" i="20"/>
  <c r="R43" i="20"/>
  <c r="Q43" i="20"/>
  <c r="M33" i="26" l="1"/>
  <c r="M44" i="18" l="1"/>
  <c r="S27" i="26" l="1"/>
  <c r="S28" i="26"/>
  <c r="S29" i="26"/>
  <c r="I52" i="18" l="1"/>
  <c r="I57" i="18" s="1"/>
  <c r="I58" i="18" s="1"/>
  <c r="I45" i="18"/>
  <c r="I50" i="18" l="1"/>
  <c r="I51" i="18" s="1"/>
  <c r="R63" i="24" l="1"/>
  <c r="Q63" i="24"/>
  <c r="R61" i="24"/>
  <c r="Q61" i="24"/>
  <c r="R59" i="24"/>
  <c r="Q59" i="24"/>
  <c r="R63" i="23"/>
  <c r="R61" i="23"/>
  <c r="Q61" i="23"/>
  <c r="R59" i="23"/>
  <c r="Q59" i="23"/>
  <c r="T74" i="1" l="1"/>
  <c r="S73" i="1"/>
  <c r="T72" i="1"/>
  <c r="S71" i="1"/>
  <c r="T70" i="1"/>
  <c r="S67" i="2"/>
  <c r="L44" i="19" l="1"/>
  <c r="L33" i="26"/>
  <c r="L44" i="18"/>
  <c r="G5" i="9" l="1"/>
  <c r="G5" i="10" s="1"/>
  <c r="H5" i="9"/>
  <c r="H5" i="10" s="1"/>
  <c r="I5" i="9"/>
  <c r="I5" i="10" s="1"/>
  <c r="J5" i="9"/>
  <c r="J5" i="10" s="1"/>
  <c r="K5" i="9"/>
  <c r="K5" i="10" s="1"/>
  <c r="L5" i="9"/>
  <c r="L5" i="10" s="1"/>
  <c r="M5" i="9"/>
  <c r="M5" i="10" s="1"/>
  <c r="N5" i="9"/>
  <c r="N5" i="10" s="1"/>
  <c r="O5" i="9"/>
  <c r="O5" i="10" s="1"/>
  <c r="P5" i="9"/>
  <c r="P5" i="10" s="1"/>
  <c r="Q5" i="9"/>
  <c r="Q5" i="10" s="1"/>
  <c r="F5" i="9"/>
  <c r="F5" i="10" s="1"/>
  <c r="B23" i="24" l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1" i="24" s="1"/>
  <c r="B52" i="24" s="1"/>
  <c r="B53" i="24" s="1"/>
  <c r="B54" i="24" s="1"/>
  <c r="B8" i="24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23" i="23" l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1" i="23" s="1"/>
  <c r="B52" i="23" s="1"/>
  <c r="B53" i="23" s="1"/>
  <c r="B54" i="23" s="1"/>
  <c r="B8" i="23"/>
  <c r="B9" i="23" s="1"/>
  <c r="B10" i="23" s="1"/>
  <c r="B11" i="23" s="1"/>
  <c r="B12" i="23" s="1"/>
  <c r="B13" i="23" s="1"/>
  <c r="B14" i="23" s="1"/>
  <c r="B15" i="23" s="1"/>
  <c r="B16" i="23" s="1"/>
  <c r="B17" i="23" s="1"/>
  <c r="B18" i="23" s="1"/>
  <c r="B23" i="22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1" i="22" s="1"/>
  <c r="B52" i="22" s="1"/>
  <c r="B53" i="22" s="1"/>
  <c r="B54" i="22" s="1"/>
  <c r="B8" i="22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23" i="21"/>
  <c r="B24" i="21" s="1"/>
  <c r="B25" i="21" s="1"/>
  <c r="B8" i="21"/>
  <c r="B9" i="21" s="1"/>
  <c r="B26" i="21" l="1"/>
  <c r="B10" i="21"/>
  <c r="B11" i="21" l="1"/>
  <c r="B27" i="21"/>
  <c r="B28" i="21" l="1"/>
  <c r="B12" i="21"/>
  <c r="B13" i="21" l="1"/>
  <c r="B29" i="21"/>
  <c r="B30" i="21" l="1"/>
  <c r="B14" i="21"/>
  <c r="B15" i="21" l="1"/>
  <c r="B31" i="21"/>
  <c r="B32" i="21" l="1"/>
  <c r="B16" i="21"/>
  <c r="B17" i="21" l="1"/>
  <c r="B33" i="21"/>
  <c r="B18" i="21" l="1"/>
  <c r="B34" i="21"/>
  <c r="B35" i="21" l="1"/>
  <c r="B36" i="21" l="1"/>
  <c r="B38" i="21" l="1"/>
  <c r="B39" i="21" l="1"/>
  <c r="B40" i="21" l="1"/>
  <c r="B41" i="21" l="1"/>
  <c r="B42" i="21" l="1"/>
  <c r="B43" i="21" l="1"/>
  <c r="B44" i="21" l="1"/>
  <c r="B45" i="21" l="1"/>
  <c r="B46" i="21" l="1"/>
  <c r="B47" i="21" l="1"/>
  <c r="B48" i="21" s="1"/>
  <c r="B49" i="21" l="1"/>
  <c r="B51" i="21" l="1"/>
  <c r="B52" i="21" l="1"/>
  <c r="B53" i="21" l="1"/>
  <c r="B54" i="21" l="1"/>
  <c r="K44" i="19" l="1"/>
  <c r="K33" i="26"/>
  <c r="K44" i="18"/>
  <c r="R25" i="10" l="1"/>
  <c r="J44" i="19"/>
  <c r="J33" i="26"/>
  <c r="J44" i="18"/>
  <c r="I44" i="19" l="1"/>
  <c r="I33" i="26"/>
  <c r="I44" i="18"/>
  <c r="G33" i="26" l="1"/>
  <c r="H33" i="26" l="1"/>
  <c r="H44" i="18"/>
  <c r="G44" i="19" l="1"/>
  <c r="H44" i="19"/>
  <c r="G44" i="18"/>
  <c r="R6" i="19" l="1"/>
  <c r="E40" i="19"/>
  <c r="Q5" i="19"/>
  <c r="P5" i="19"/>
  <c r="O5" i="19"/>
  <c r="N5" i="19"/>
  <c r="M5" i="19"/>
  <c r="L5" i="19"/>
  <c r="K5" i="19"/>
  <c r="J5" i="19"/>
  <c r="I5" i="19"/>
  <c r="H5" i="19"/>
  <c r="G5" i="19"/>
  <c r="F5" i="19"/>
  <c r="B29" i="10"/>
  <c r="B30" i="10" s="1"/>
  <c r="B7" i="10"/>
  <c r="B8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3" i="10" s="1"/>
  <c r="B24" i="10" s="1"/>
  <c r="B55" i="16"/>
  <c r="B56" i="16" s="1"/>
  <c r="B57" i="16" s="1"/>
  <c r="B58" i="16" s="1"/>
  <c r="B7" i="16"/>
  <c r="B8" i="16" s="1"/>
  <c r="B9" i="16" s="1"/>
  <c r="B10" i="16" s="1"/>
  <c r="B11" i="16" s="1"/>
  <c r="B12" i="16" s="1"/>
  <c r="B13" i="16" s="1"/>
  <c r="B14" i="16" s="1"/>
  <c r="B7" i="15"/>
  <c r="B8" i="15" s="1"/>
  <c r="B9" i="15" s="1"/>
  <c r="B10" i="15" s="1"/>
  <c r="B11" i="15" s="1"/>
  <c r="B12" i="15" s="1"/>
  <c r="B13" i="15" s="1"/>
  <c r="B14" i="15" s="1"/>
  <c r="B28" i="9"/>
  <c r="B29" i="9" s="1"/>
  <c r="B7" i="9"/>
  <c r="B8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3" i="9" s="1"/>
  <c r="B24" i="9" s="1"/>
  <c r="Q5" i="2"/>
  <c r="P5" i="2"/>
  <c r="O5" i="2"/>
  <c r="N5" i="2"/>
  <c r="M5" i="2"/>
  <c r="L5" i="2"/>
  <c r="K5" i="2"/>
  <c r="J5" i="2"/>
  <c r="I5" i="2"/>
  <c r="H5" i="2"/>
  <c r="G5" i="2"/>
  <c r="F5" i="2"/>
  <c r="C38" i="2"/>
  <c r="C39" i="2" s="1"/>
  <c r="C40" i="2" s="1"/>
  <c r="C41" i="2" s="1"/>
  <c r="C42" i="2" s="1"/>
  <c r="C43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18" i="2"/>
  <c r="C19" i="2" s="1"/>
  <c r="C20" i="2" s="1"/>
  <c r="C21" i="2" s="1"/>
  <c r="C23" i="2" s="1"/>
  <c r="C24" i="2" s="1"/>
  <c r="C25" i="2" s="1"/>
  <c r="C26" i="2" s="1"/>
  <c r="C27" i="2" s="1"/>
  <c r="C28" i="2" s="1"/>
  <c r="C31" i="2" s="1"/>
  <c r="C32" i="2" s="1"/>
  <c r="C33" i="2" s="1"/>
  <c r="C38" i="1"/>
  <c r="C39" i="1" s="1"/>
  <c r="C40" i="1" s="1"/>
  <c r="C41" i="1" s="1"/>
  <c r="C42" i="1" s="1"/>
  <c r="C43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18" i="1"/>
  <c r="C19" i="1" s="1"/>
  <c r="C20" i="1" s="1"/>
  <c r="C21" i="1" s="1"/>
  <c r="C23" i="1" s="1"/>
  <c r="C24" i="1" s="1"/>
  <c r="C25" i="1" s="1"/>
  <c r="C26" i="1" s="1"/>
  <c r="C27" i="1" s="1"/>
  <c r="C28" i="1" s="1"/>
  <c r="C31" i="1" s="1"/>
  <c r="C32" i="1" s="1"/>
  <c r="C33" i="1" s="1"/>
  <c r="R9" i="19" l="1"/>
  <c r="R41" i="19" s="1"/>
  <c r="B57" i="15"/>
  <c r="B58" i="15" s="1"/>
  <c r="E42" i="19"/>
  <c r="R42" i="19" l="1"/>
  <c r="E41" i="19" a="1"/>
  <c r="E41" i="19" s="1"/>
  <c r="X22" i="9" l="1"/>
  <c r="X25" i="9"/>
  <c r="X26" i="9"/>
  <c r="X30" i="9"/>
  <c r="R25" i="9" l="1"/>
  <c r="T25" i="9"/>
  <c r="V25" i="9" l="1"/>
  <c r="T6" i="19" l="1"/>
  <c r="V6" i="19" l="1"/>
  <c r="T9" i="19"/>
  <c r="T41" i="19" s="1"/>
  <c r="T42" i="19" s="1"/>
  <c r="V9" i="19" l="1"/>
  <c r="V41" i="19" s="1"/>
  <c r="V42" i="19" l="1"/>
  <c r="T64" i="2" l="1"/>
  <c r="T68" i="2" l="1"/>
  <c r="T66" i="2" l="1"/>
  <c r="N33" i="26"/>
  <c r="S33" i="26" s="1"/>
  <c r="M44" i="19" l="1"/>
  <c r="S50" i="26" l="1"/>
  <c r="S51" i="26"/>
  <c r="S49" i="26"/>
  <c r="Q67" i="16" l="1"/>
  <c r="Q63" i="16" l="1"/>
  <c r="Q65" i="16" l="1"/>
  <c r="I57" i="1" l="1"/>
  <c r="J16" i="20" l="1"/>
  <c r="I71" i="1"/>
  <c r="H60" i="15" l="1"/>
  <c r="H60" i="16" s="1"/>
  <c r="S61" i="23" l="1"/>
  <c r="S61" i="24"/>
  <c r="S63" i="24" l="1"/>
  <c r="S63" i="23"/>
  <c r="U17" i="26" l="1"/>
  <c r="U20" i="26" l="1"/>
  <c r="S55" i="26" l="1"/>
  <c r="S54" i="26"/>
  <c r="S52" i="26"/>
  <c r="S53" i="26"/>
  <c r="S56" i="26"/>
  <c r="I9" i="26" l="1"/>
  <c r="H9" i="26"/>
  <c r="I49" i="20" l="1"/>
  <c r="I50" i="20"/>
  <c r="G9" i="26"/>
  <c r="T48" i="26" s="1"/>
  <c r="H8" i="26"/>
  <c r="F60" i="15"/>
  <c r="F60" i="16" s="1"/>
  <c r="G42" i="10"/>
  <c r="H5" i="26"/>
  <c r="G36" i="10"/>
  <c r="G57" i="1"/>
  <c r="I8" i="26"/>
  <c r="G60" i="15"/>
  <c r="G60" i="16" s="1"/>
  <c r="H49" i="20"/>
  <c r="H50" i="20"/>
  <c r="H36" i="10"/>
  <c r="I5" i="26"/>
  <c r="H42" i="10"/>
  <c r="H57" i="1"/>
  <c r="I10" i="20" l="1"/>
  <c r="H45" i="18" s="1"/>
  <c r="H50" i="18" s="1"/>
  <c r="H51" i="18" s="1"/>
  <c r="H10" i="20"/>
  <c r="G52" i="18" s="1"/>
  <c r="G57" i="18" s="1"/>
  <c r="G58" i="18" s="1"/>
  <c r="R9" i="26"/>
  <c r="R49" i="20"/>
  <c r="R50" i="20"/>
  <c r="R8" i="26"/>
  <c r="P60" i="15"/>
  <c r="P60" i="16" s="1"/>
  <c r="L44" i="10"/>
  <c r="M7" i="26"/>
  <c r="L38" i="10"/>
  <c r="P44" i="10"/>
  <c r="Q7" i="26"/>
  <c r="P38" i="10"/>
  <c r="N37" i="10"/>
  <c r="N43" i="10"/>
  <c r="O6" i="26"/>
  <c r="Q9" i="26"/>
  <c r="Q49" i="20"/>
  <c r="Q50" i="20"/>
  <c r="L36" i="10"/>
  <c r="L42" i="10"/>
  <c r="T8" i="10"/>
  <c r="M5" i="26"/>
  <c r="M10" i="20"/>
  <c r="L57" i="1"/>
  <c r="N38" i="10"/>
  <c r="N44" i="10"/>
  <c r="O7" i="26"/>
  <c r="Q8" i="26"/>
  <c r="O60" i="15"/>
  <c r="O60" i="16" s="1"/>
  <c r="H16" i="20"/>
  <c r="G71" i="1"/>
  <c r="K44" i="10"/>
  <c r="K38" i="10"/>
  <c r="L7" i="26"/>
  <c r="O44" i="10"/>
  <c r="O38" i="10"/>
  <c r="P7" i="26"/>
  <c r="H43" i="10"/>
  <c r="H37" i="10"/>
  <c r="I6" i="26"/>
  <c r="P9" i="26"/>
  <c r="P50" i="20"/>
  <c r="P49" i="20"/>
  <c r="Q36" i="10"/>
  <c r="R5" i="26"/>
  <c r="Q42" i="10"/>
  <c r="R10" i="20"/>
  <c r="Q57" i="1"/>
  <c r="N8" i="26"/>
  <c r="L60" i="15"/>
  <c r="L60" i="16" s="1"/>
  <c r="O8" i="26"/>
  <c r="M60" i="15"/>
  <c r="M60" i="16" s="1"/>
  <c r="K37" i="10"/>
  <c r="K43" i="10"/>
  <c r="L6" i="26"/>
  <c r="P6" i="26"/>
  <c r="O43" i="10"/>
  <c r="O37" i="10"/>
  <c r="H44" i="10"/>
  <c r="I7" i="26"/>
  <c r="H38" i="10"/>
  <c r="M49" i="20"/>
  <c r="M50" i="20"/>
  <c r="R52" i="20"/>
  <c r="P42" i="10"/>
  <c r="P36" i="10"/>
  <c r="Q10" i="20"/>
  <c r="Q5" i="26"/>
  <c r="P57" i="1"/>
  <c r="G8" i="26"/>
  <c r="S8" i="20"/>
  <c r="T8" i="20" s="1"/>
  <c r="E60" i="15"/>
  <c r="G44" i="10"/>
  <c r="H7" i="26"/>
  <c r="G38" i="10"/>
  <c r="J44" i="10"/>
  <c r="J38" i="10"/>
  <c r="K7" i="26"/>
  <c r="S14" i="10"/>
  <c r="G6" i="26"/>
  <c r="F43" i="10"/>
  <c r="F37" i="10"/>
  <c r="S6" i="20"/>
  <c r="V7" i="21" s="1"/>
  <c r="W7" i="21" s="1"/>
  <c r="X7" i="21" s="1"/>
  <c r="Y7" i="21" s="1"/>
  <c r="Z7" i="21" s="1"/>
  <c r="O9" i="26"/>
  <c r="O49" i="20"/>
  <c r="O50" i="20"/>
  <c r="O36" i="10"/>
  <c r="O42" i="10"/>
  <c r="P10" i="20"/>
  <c r="P5" i="26"/>
  <c r="O57" i="1"/>
  <c r="P8" i="26"/>
  <c r="N60" i="15"/>
  <c r="N60" i="16" s="1"/>
  <c r="Q37" i="10"/>
  <c r="Q43" i="10"/>
  <c r="R6" i="26"/>
  <c r="L8" i="26"/>
  <c r="J60" i="15"/>
  <c r="J60" i="16" s="1"/>
  <c r="H6" i="26"/>
  <c r="G37" i="10"/>
  <c r="G43" i="10"/>
  <c r="J43" i="10"/>
  <c r="K6" i="26"/>
  <c r="J37" i="10"/>
  <c r="M44" i="10"/>
  <c r="M38" i="10"/>
  <c r="N7" i="26"/>
  <c r="S9" i="20"/>
  <c r="M36" i="10"/>
  <c r="N10" i="20"/>
  <c r="M42" i="10"/>
  <c r="N5" i="26"/>
  <c r="M57" i="1"/>
  <c r="J36" i="10"/>
  <c r="J42" i="10"/>
  <c r="K5" i="26"/>
  <c r="K10" i="20"/>
  <c r="J57" i="1"/>
  <c r="I16" i="20"/>
  <c r="H71" i="1"/>
  <c r="K8" i="26"/>
  <c r="I60" i="15"/>
  <c r="I60" i="16" s="1"/>
  <c r="M43" i="10"/>
  <c r="M37" i="10"/>
  <c r="N6" i="26"/>
  <c r="M6" i="26"/>
  <c r="L37" i="10"/>
  <c r="T14" i="10"/>
  <c r="L43" i="10"/>
  <c r="S8" i="10"/>
  <c r="G5" i="26"/>
  <c r="F36" i="10"/>
  <c r="F42" i="10"/>
  <c r="G10" i="20"/>
  <c r="S5" i="20"/>
  <c r="T5" i="20" s="1"/>
  <c r="F57" i="1"/>
  <c r="F44" i="10"/>
  <c r="F38" i="10"/>
  <c r="G7" i="26"/>
  <c r="S7" i="20"/>
  <c r="M8" i="26"/>
  <c r="K60" i="15"/>
  <c r="Q38" i="10"/>
  <c r="Q44" i="10"/>
  <c r="R7" i="26"/>
  <c r="P37" i="10"/>
  <c r="P43" i="10"/>
  <c r="Q6" i="26"/>
  <c r="N49" i="20"/>
  <c r="N50" i="20"/>
  <c r="K36" i="10"/>
  <c r="K42" i="10"/>
  <c r="L10" i="20"/>
  <c r="L5" i="26"/>
  <c r="K57" i="1"/>
  <c r="N42" i="10"/>
  <c r="O10" i="20"/>
  <c r="O5" i="26"/>
  <c r="N36" i="10"/>
  <c r="N57" i="1"/>
  <c r="Q16" i="20" l="1"/>
  <c r="P71" i="1"/>
  <c r="P16" i="20"/>
  <c r="O71" i="1"/>
  <c r="O16" i="20"/>
  <c r="N71" i="1"/>
  <c r="R16" i="20"/>
  <c r="Q71" i="1"/>
  <c r="H52" i="18"/>
  <c r="H57" i="18" s="1"/>
  <c r="H58" i="18" s="1"/>
  <c r="G39" i="10"/>
  <c r="H39" i="10"/>
  <c r="K39" i="10"/>
  <c r="H45" i="10"/>
  <c r="G45" i="18"/>
  <c r="G50" i="18" s="1"/>
  <c r="G51" i="18" s="1"/>
  <c r="K45" i="10"/>
  <c r="O10" i="26"/>
  <c r="O45" i="10"/>
  <c r="O39" i="10"/>
  <c r="I10" i="26"/>
  <c r="N39" i="10"/>
  <c r="L10" i="26"/>
  <c r="H10" i="26"/>
  <c r="K10" i="26"/>
  <c r="G10" i="26"/>
  <c r="N10" i="26"/>
  <c r="M10" i="26"/>
  <c r="S5" i="26"/>
  <c r="S8" i="26"/>
  <c r="G45" i="10"/>
  <c r="R44" i="10"/>
  <c r="T7" i="20"/>
  <c r="Q39" i="10"/>
  <c r="U8" i="10"/>
  <c r="J45" i="10"/>
  <c r="S7" i="26"/>
  <c r="R38" i="10"/>
  <c r="J39" i="10"/>
  <c r="P10" i="26"/>
  <c r="M45" i="10"/>
  <c r="P45" i="10"/>
  <c r="N45" i="10"/>
  <c r="L16" i="20"/>
  <c r="K71" i="1"/>
  <c r="M52" i="18"/>
  <c r="M57" i="18" s="1"/>
  <c r="M58" i="18" s="1"/>
  <c r="M45" i="18"/>
  <c r="M50" i="18" s="1"/>
  <c r="M51" i="18" s="1"/>
  <c r="U48" i="26"/>
  <c r="V48" i="26"/>
  <c r="S9" i="26"/>
  <c r="L45" i="10"/>
  <c r="K60" i="16"/>
  <c r="S60" i="15"/>
  <c r="T60" i="15" s="1"/>
  <c r="M39" i="10"/>
  <c r="L39" i="10"/>
  <c r="R57" i="1"/>
  <c r="F71" i="1"/>
  <c r="G16" i="20"/>
  <c r="U10" i="20"/>
  <c r="F45" i="18"/>
  <c r="F50" i="18" s="1"/>
  <c r="F52" i="18"/>
  <c r="F57" i="18" s="1"/>
  <c r="S10" i="20"/>
  <c r="T9" i="20"/>
  <c r="N52" i="18"/>
  <c r="N57" i="18" s="1"/>
  <c r="N58" i="18" s="1"/>
  <c r="N45" i="18"/>
  <c r="N50" i="18" s="1"/>
  <c r="N51" i="18" s="1"/>
  <c r="R42" i="10"/>
  <c r="F45" i="10"/>
  <c r="O52" i="18"/>
  <c r="O57" i="18" s="1"/>
  <c r="O58" i="18" s="1"/>
  <c r="O45" i="18"/>
  <c r="O50" i="18" s="1"/>
  <c r="O51" i="18" s="1"/>
  <c r="R43" i="10"/>
  <c r="Q45" i="18"/>
  <c r="Q50" i="18" s="1"/>
  <c r="Q51" i="18" s="1"/>
  <c r="Q52" i="18"/>
  <c r="Q57" i="18" s="1"/>
  <c r="Q58" i="18" s="1"/>
  <c r="R36" i="10"/>
  <c r="F39" i="10"/>
  <c r="J45" i="18"/>
  <c r="J50" i="18" s="1"/>
  <c r="J51" i="18" s="1"/>
  <c r="J52" i="18"/>
  <c r="J57" i="18" s="1"/>
  <c r="J58" i="18" s="1"/>
  <c r="S6" i="26"/>
  <c r="Q60" i="15"/>
  <c r="E60" i="16"/>
  <c r="Q10" i="26"/>
  <c r="Q45" i="10"/>
  <c r="L71" i="1"/>
  <c r="T57" i="1"/>
  <c r="U57" i="1" s="1"/>
  <c r="M16" i="20"/>
  <c r="J71" i="1"/>
  <c r="K16" i="20"/>
  <c r="R37" i="10"/>
  <c r="U14" i="10"/>
  <c r="P52" i="18"/>
  <c r="P57" i="18" s="1"/>
  <c r="P58" i="18" s="1"/>
  <c r="P45" i="18"/>
  <c r="P50" i="18" s="1"/>
  <c r="P51" i="18" s="1"/>
  <c r="R10" i="26"/>
  <c r="L52" i="18"/>
  <c r="L57" i="18" s="1"/>
  <c r="L58" i="18" s="1"/>
  <c r="L45" i="18"/>
  <c r="L50" i="18" s="1"/>
  <c r="L51" i="18" s="1"/>
  <c r="K52" i="18"/>
  <c r="K57" i="18" s="1"/>
  <c r="K58" i="18" s="1"/>
  <c r="K45" i="18"/>
  <c r="K50" i="18" s="1"/>
  <c r="K51" i="18" s="1"/>
  <c r="N16" i="20"/>
  <c r="M71" i="1"/>
  <c r="P39" i="10"/>
  <c r="Q60" i="16" l="1"/>
  <c r="S16" i="20"/>
  <c r="T71" i="1"/>
  <c r="U57" i="26"/>
  <c r="S10" i="26"/>
  <c r="V57" i="26" s="1"/>
  <c r="R45" i="18"/>
  <c r="R50" i="18" s="1"/>
  <c r="R51" i="18" s="1"/>
  <c r="R52" i="18"/>
  <c r="R57" i="18" s="1"/>
  <c r="R58" i="18" s="1"/>
  <c r="T10" i="20"/>
  <c r="Q46" i="10"/>
  <c r="F58" i="18"/>
  <c r="E46" i="19"/>
  <c r="F51" i="18"/>
  <c r="E45" i="19"/>
  <c r="S57" i="1"/>
  <c r="V57" i="1"/>
  <c r="W57" i="1" s="1"/>
  <c r="Y57" i="1" s="1"/>
  <c r="Q40" i="10"/>
  <c r="T52" i="18"/>
  <c r="T57" i="18" s="1"/>
  <c r="T58" i="18" s="1"/>
  <c r="T45" i="18"/>
  <c r="T50" i="18" s="1"/>
  <c r="T51" i="18" s="1"/>
  <c r="R39" i="10"/>
  <c r="K40" i="10"/>
  <c r="K46" i="10"/>
  <c r="R45" i="10"/>
  <c r="U60" i="15"/>
  <c r="V60" i="15" s="1"/>
  <c r="R60" i="15"/>
  <c r="Z57" i="1" l="1"/>
  <c r="R46" i="10"/>
  <c r="R40" i="10"/>
  <c r="I46" i="19"/>
  <c r="L46" i="19"/>
  <c r="P46" i="19"/>
  <c r="J46" i="19"/>
  <c r="N46" i="19"/>
  <c r="G46" i="19"/>
  <c r="Q46" i="19"/>
  <c r="K46" i="19"/>
  <c r="M46" i="19"/>
  <c r="H46" i="19"/>
  <c r="O46" i="19"/>
  <c r="S45" i="18"/>
  <c r="S50" i="18" s="1"/>
  <c r="S51" i="18" s="1"/>
  <c r="S52" i="18"/>
  <c r="S57" i="18" s="1"/>
  <c r="S58" i="18" s="1"/>
  <c r="H45" i="19"/>
  <c r="G45" i="19"/>
  <c r="G47" i="19" s="1"/>
  <c r="N45" i="19"/>
  <c r="N47" i="19" s="1"/>
  <c r="K45" i="19"/>
  <c r="K47" i="19" s="1"/>
  <c r="I45" i="19"/>
  <c r="I47" i="19" s="1"/>
  <c r="L45" i="19"/>
  <c r="L47" i="19" s="1"/>
  <c r="J45" i="19"/>
  <c r="J47" i="19" s="1"/>
  <c r="M45" i="19"/>
  <c r="M47" i="19" s="1"/>
  <c r="Q45" i="19"/>
  <c r="Q47" i="19" s="1"/>
  <c r="P45" i="19"/>
  <c r="P47" i="19" s="1"/>
  <c r="O45" i="19"/>
  <c r="O47" i="19" s="1"/>
  <c r="H47" i="19" l="1"/>
  <c r="S29" i="20" l="1"/>
  <c r="S28" i="20" l="1"/>
  <c r="G43" i="20" l="1"/>
  <c r="S27" i="20"/>
  <c r="L52" i="20"/>
  <c r="J43" i="20"/>
  <c r="K43" i="20"/>
  <c r="L43" i="20"/>
  <c r="L49" i="20" l="1"/>
  <c r="L50" i="20"/>
  <c r="J50" i="20"/>
  <c r="J49" i="20"/>
  <c r="K50" i="20"/>
  <c r="K49" i="20"/>
  <c r="S52" i="20"/>
  <c r="S50" i="20"/>
  <c r="S43" i="20"/>
  <c r="G49" i="20"/>
  <c r="G50" i="20"/>
  <c r="S49" i="20" l="1"/>
  <c r="T43" i="20"/>
  <c r="V43" i="20" s="1"/>
  <c r="H7" i="22" l="1"/>
  <c r="I7" i="22"/>
  <c r="N7" i="22"/>
  <c r="L7" i="22"/>
  <c r="K7" i="22"/>
  <c r="E7" i="22"/>
  <c r="M7" i="22"/>
  <c r="P7" i="22"/>
  <c r="G7" i="22"/>
  <c r="J7" i="22"/>
  <c r="F7" i="22"/>
  <c r="O7" i="22"/>
  <c r="O7" i="24" l="1"/>
  <c r="L7" i="24"/>
  <c r="P7" i="24"/>
  <c r="N7" i="24"/>
  <c r="F7" i="24"/>
  <c r="J7" i="24"/>
  <c r="I7" i="24"/>
  <c r="G7" i="24"/>
  <c r="H7" i="24"/>
  <c r="M7" i="24"/>
  <c r="Q7" i="22"/>
  <c r="E7" i="24"/>
  <c r="S7" i="22"/>
  <c r="T7" i="22" s="1"/>
  <c r="K7" i="24"/>
  <c r="Q7" i="24" l="1"/>
  <c r="R7" i="22"/>
  <c r="U7" i="22"/>
  <c r="V7" i="22" s="1"/>
  <c r="W7" i="22" s="1"/>
  <c r="X7" i="22" s="1"/>
  <c r="Y7" i="22" s="1"/>
  <c r="Z7" i="22" s="1"/>
  <c r="D20" i="15" l="1"/>
  <c r="D51" i="15" l="1"/>
  <c r="D53" i="15"/>
  <c r="D52" i="15"/>
  <c r="D32" i="15"/>
  <c r="G52" i="15" l="1"/>
  <c r="G52" i="16" s="1"/>
  <c r="I52" i="15"/>
  <c r="I52" i="16" s="1"/>
  <c r="N52" i="15"/>
  <c r="N52" i="16" s="1"/>
  <c r="M52" i="15"/>
  <c r="M52" i="16" s="1"/>
  <c r="H52" i="15"/>
  <c r="H52" i="16" s="1"/>
  <c r="O52" i="15"/>
  <c r="O52" i="16" s="1"/>
  <c r="P52" i="15"/>
  <c r="P52" i="16" s="1"/>
  <c r="J52" i="15"/>
  <c r="J52" i="16" s="1"/>
  <c r="L52" i="15"/>
  <c r="L52" i="16" s="1"/>
  <c r="K52" i="15"/>
  <c r="E52" i="15"/>
  <c r="F52" i="15"/>
  <c r="F52" i="16" s="1"/>
  <c r="M53" i="15"/>
  <c r="M53" i="16" s="1"/>
  <c r="N53" i="15"/>
  <c r="N53" i="16" s="1"/>
  <c r="F53" i="15"/>
  <c r="F53" i="16" s="1"/>
  <c r="L53" i="15"/>
  <c r="L53" i="16" s="1"/>
  <c r="H53" i="15"/>
  <c r="H53" i="16" s="1"/>
  <c r="K53" i="15"/>
  <c r="O53" i="15"/>
  <c r="O53" i="16" s="1"/>
  <c r="I53" i="15"/>
  <c r="I53" i="16" s="1"/>
  <c r="P53" i="15"/>
  <c r="P53" i="16" s="1"/>
  <c r="J53" i="15"/>
  <c r="J53" i="16" s="1"/>
  <c r="E53" i="15"/>
  <c r="G53" i="15"/>
  <c r="G53" i="16" s="1"/>
  <c r="M32" i="15"/>
  <c r="K32" i="15"/>
  <c r="E32" i="15"/>
  <c r="I32" i="15"/>
  <c r="H32" i="15"/>
  <c r="J32" i="15"/>
  <c r="G32" i="15"/>
  <c r="F32" i="15"/>
  <c r="L32" i="15"/>
  <c r="N32" i="15"/>
  <c r="P32" i="15"/>
  <c r="O32" i="15"/>
  <c r="E51" i="15"/>
  <c r="M51" i="15"/>
  <c r="M51" i="16" s="1"/>
  <c r="O51" i="15"/>
  <c r="O51" i="16" s="1"/>
  <c r="L51" i="15"/>
  <c r="L51" i="16" s="1"/>
  <c r="G51" i="15"/>
  <c r="G51" i="16" s="1"/>
  <c r="K51" i="15"/>
  <c r="P51" i="15"/>
  <c r="P51" i="16" s="1"/>
  <c r="I51" i="15"/>
  <c r="I51" i="16" s="1"/>
  <c r="H51" i="15"/>
  <c r="H51" i="16" s="1"/>
  <c r="N51" i="15"/>
  <c r="N51" i="16" s="1"/>
  <c r="F51" i="15"/>
  <c r="F51" i="16" s="1"/>
  <c r="J51" i="15"/>
  <c r="J51" i="16" s="1"/>
  <c r="Q53" i="15" l="1"/>
  <c r="E53" i="16"/>
  <c r="Q51" i="15"/>
  <c r="E51" i="16"/>
  <c r="Q32" i="15"/>
  <c r="Q52" i="15"/>
  <c r="E52" i="16"/>
  <c r="Q52" i="16" s="1"/>
  <c r="S32" i="15"/>
  <c r="T32" i="15" s="1"/>
  <c r="K53" i="16"/>
  <c r="S53" i="15"/>
  <c r="T53" i="15" s="1"/>
  <c r="K52" i="16"/>
  <c r="S52" i="15"/>
  <c r="T52" i="15" s="1"/>
  <c r="S51" i="15"/>
  <c r="T51" i="15" s="1"/>
  <c r="K51" i="16"/>
  <c r="Q53" i="16" l="1"/>
  <c r="Q51" i="16"/>
  <c r="U52" i="15"/>
  <c r="V52" i="15" s="1"/>
  <c r="W52" i="15" s="1"/>
  <c r="X52" i="15" s="1"/>
  <c r="Y52" i="15" s="1"/>
  <c r="Z52" i="15" s="1"/>
  <c r="R52" i="15"/>
  <c r="R32" i="15"/>
  <c r="U32" i="15"/>
  <c r="V32" i="15" s="1"/>
  <c r="W32" i="15" s="1"/>
  <c r="X32" i="15" s="1"/>
  <c r="Y32" i="15" s="1"/>
  <c r="Z32" i="15" s="1"/>
  <c r="U51" i="15"/>
  <c r="V51" i="15" s="1"/>
  <c r="W51" i="15" s="1"/>
  <c r="X51" i="15" s="1"/>
  <c r="Y51" i="15" s="1"/>
  <c r="Z51" i="15" s="1"/>
  <c r="R51" i="15"/>
  <c r="R53" i="15"/>
  <c r="U53" i="15"/>
  <c r="V53" i="15" s="1"/>
  <c r="W53" i="15" s="1"/>
  <c r="X53" i="15" s="1"/>
  <c r="Y53" i="15" s="1"/>
  <c r="Z53" i="15" s="1"/>
  <c r="D26" i="15" l="1"/>
  <c r="D27" i="15"/>
  <c r="D24" i="15"/>
  <c r="I27" i="15" l="1"/>
  <c r="I26" i="16" s="1"/>
  <c r="L27" i="15"/>
  <c r="L26" i="16" s="1"/>
  <c r="K27" i="15"/>
  <c r="H27" i="15"/>
  <c r="H26" i="16" s="1"/>
  <c r="M27" i="15"/>
  <c r="M26" i="16" s="1"/>
  <c r="P27" i="15"/>
  <c r="P26" i="16" s="1"/>
  <c r="E27" i="15"/>
  <c r="F27" i="15"/>
  <c r="F26" i="16" s="1"/>
  <c r="O27" i="15"/>
  <c r="O26" i="16" s="1"/>
  <c r="J27" i="15"/>
  <c r="J26" i="16" s="1"/>
  <c r="G27" i="15"/>
  <c r="G26" i="16" s="1"/>
  <c r="N27" i="15"/>
  <c r="N26" i="16" s="1"/>
  <c r="M24" i="15"/>
  <c r="M23" i="16" s="1"/>
  <c r="K24" i="15"/>
  <c r="I24" i="15"/>
  <c r="I23" i="16" s="1"/>
  <c r="E24" i="15"/>
  <c r="L24" i="15"/>
  <c r="L23" i="16" s="1"/>
  <c r="P24" i="15"/>
  <c r="P23" i="16" s="1"/>
  <c r="F24" i="15"/>
  <c r="F23" i="16" s="1"/>
  <c r="N24" i="15"/>
  <c r="N23" i="16" s="1"/>
  <c r="H24" i="15"/>
  <c r="H23" i="16" s="1"/>
  <c r="O24" i="15"/>
  <c r="O23" i="16" s="1"/>
  <c r="G24" i="15"/>
  <c r="G23" i="16" s="1"/>
  <c r="J24" i="15"/>
  <c r="J23" i="16" s="1"/>
  <c r="G26" i="15"/>
  <c r="G25" i="16" s="1"/>
  <c r="I26" i="15"/>
  <c r="I25" i="16" s="1"/>
  <c r="O26" i="15"/>
  <c r="O25" i="16" s="1"/>
  <c r="J26" i="15"/>
  <c r="J25" i="16" s="1"/>
  <c r="K26" i="15"/>
  <c r="F26" i="15"/>
  <c r="F25" i="16" s="1"/>
  <c r="M26" i="15"/>
  <c r="M25" i="16" s="1"/>
  <c r="E26" i="15"/>
  <c r="L26" i="15"/>
  <c r="L25" i="16" s="1"/>
  <c r="P26" i="15"/>
  <c r="P25" i="16" s="1"/>
  <c r="N26" i="15"/>
  <c r="N25" i="16" s="1"/>
  <c r="H26" i="15"/>
  <c r="H25" i="16" s="1"/>
  <c r="E25" i="16" l="1"/>
  <c r="Q26" i="15"/>
  <c r="Q27" i="15"/>
  <c r="E26" i="16"/>
  <c r="S24" i="15"/>
  <c r="T24" i="15" s="1"/>
  <c r="K23" i="16"/>
  <c r="Q24" i="15"/>
  <c r="E23" i="16"/>
  <c r="S26" i="15"/>
  <c r="T26" i="15" s="1"/>
  <c r="K25" i="16"/>
  <c r="K26" i="16"/>
  <c r="S27" i="15"/>
  <c r="T27" i="15" s="1"/>
  <c r="Q26" i="16" l="1"/>
  <c r="Q23" i="16"/>
  <c r="R24" i="15"/>
  <c r="U24" i="15"/>
  <c r="V24" i="15" s="1"/>
  <c r="W24" i="15" s="1"/>
  <c r="X24" i="15" s="1"/>
  <c r="Y24" i="15" s="1"/>
  <c r="Z24" i="15" s="1"/>
  <c r="R27" i="15"/>
  <c r="U27" i="15"/>
  <c r="V27" i="15" s="1"/>
  <c r="W27" i="15" s="1"/>
  <c r="X27" i="15" s="1"/>
  <c r="Y27" i="15" s="1"/>
  <c r="Z27" i="15" s="1"/>
  <c r="U26" i="15"/>
  <c r="V26" i="15" s="1"/>
  <c r="W26" i="15" s="1"/>
  <c r="X26" i="15" s="1"/>
  <c r="Y26" i="15" s="1"/>
  <c r="Z26" i="15" s="1"/>
  <c r="R26" i="15"/>
  <c r="Q25" i="16"/>
  <c r="N17" i="22" l="1"/>
  <c r="N17" i="24" s="1"/>
  <c r="M17" i="22"/>
  <c r="M17" i="24" s="1"/>
  <c r="K17" i="22"/>
  <c r="J17" i="22"/>
  <c r="J17" i="24" s="1"/>
  <c r="L17" i="22"/>
  <c r="L17" i="24" s="1"/>
  <c r="I17" i="22"/>
  <c r="I17" i="24" s="1"/>
  <c r="F17" i="22"/>
  <c r="F17" i="24" s="1"/>
  <c r="O17" i="22"/>
  <c r="O17" i="24" s="1"/>
  <c r="P17" i="22"/>
  <c r="P17" i="24" s="1"/>
  <c r="G17" i="22"/>
  <c r="G17" i="24" s="1"/>
  <c r="H17" i="22"/>
  <c r="H17" i="24" s="1"/>
  <c r="E17" i="22"/>
  <c r="K18" i="22"/>
  <c r="F18" i="22"/>
  <c r="F18" i="24" s="1"/>
  <c r="L18" i="22"/>
  <c r="L18" i="24" s="1"/>
  <c r="G18" i="22"/>
  <c r="G18" i="24" s="1"/>
  <c r="E18" i="22"/>
  <c r="H18" i="22"/>
  <c r="H18" i="24" s="1"/>
  <c r="J18" i="22"/>
  <c r="J18" i="24" s="1"/>
  <c r="N18" i="22"/>
  <c r="N18" i="24" s="1"/>
  <c r="O18" i="22"/>
  <c r="O18" i="24" s="1"/>
  <c r="I18" i="22"/>
  <c r="I18" i="24" s="1"/>
  <c r="M18" i="22"/>
  <c r="M18" i="24" s="1"/>
  <c r="P18" i="22"/>
  <c r="P18" i="24" s="1"/>
  <c r="S18" i="22" l="1"/>
  <c r="T18" i="22" s="1"/>
  <c r="K18" i="24"/>
  <c r="E17" i="24"/>
  <c r="Q17" i="22"/>
  <c r="K17" i="24"/>
  <c r="S17" i="22"/>
  <c r="T17" i="22" s="1"/>
  <c r="Q18" i="22"/>
  <c r="E18" i="24"/>
  <c r="Q18" i="24" l="1"/>
  <c r="Q17" i="24"/>
  <c r="R17" i="22"/>
  <c r="U17" i="22"/>
  <c r="V17" i="22" s="1"/>
  <c r="W17" i="22" s="1"/>
  <c r="X17" i="22" s="1"/>
  <c r="Y17" i="22" s="1"/>
  <c r="Z17" i="22" s="1"/>
  <c r="U18" i="22"/>
  <c r="V18" i="22" s="1"/>
  <c r="W18" i="22" s="1"/>
  <c r="X18" i="22" s="1"/>
  <c r="Y18" i="22" s="1"/>
  <c r="Z18" i="22" s="1"/>
  <c r="R18" i="22"/>
  <c r="E7" i="9" l="1"/>
  <c r="E6" i="9"/>
  <c r="E8" i="9"/>
  <c r="O6" i="9" l="1"/>
  <c r="K6" i="9"/>
  <c r="L6" i="9"/>
  <c r="I6" i="9"/>
  <c r="Q6" i="9"/>
  <c r="J6" i="9"/>
  <c r="G6" i="9"/>
  <c r="P6" i="9"/>
  <c r="M6" i="9"/>
  <c r="N6" i="9"/>
  <c r="H6" i="9"/>
  <c r="F6" i="9"/>
  <c r="M7" i="9"/>
  <c r="M7" i="10" s="1"/>
  <c r="F7" i="9"/>
  <c r="O7" i="9"/>
  <c r="O7" i="10" s="1"/>
  <c r="I7" i="9"/>
  <c r="I7" i="10" s="1"/>
  <c r="L7" i="9"/>
  <c r="H7" i="9"/>
  <c r="H7" i="10" s="1"/>
  <c r="P7" i="9"/>
  <c r="P7" i="10" s="1"/>
  <c r="G7" i="9"/>
  <c r="G7" i="10" s="1"/>
  <c r="N7" i="9"/>
  <c r="N7" i="10" s="1"/>
  <c r="Q7" i="9"/>
  <c r="Q7" i="10" s="1"/>
  <c r="J7" i="9"/>
  <c r="J7" i="10" s="1"/>
  <c r="K7" i="9"/>
  <c r="K7" i="10" s="1"/>
  <c r="P8" i="9"/>
  <c r="P8" i="10" s="1"/>
  <c r="Q8" i="9"/>
  <c r="Q8" i="10" s="1"/>
  <c r="H8" i="9"/>
  <c r="H8" i="10" s="1"/>
  <c r="L8" i="9"/>
  <c r="M8" i="9"/>
  <c r="M8" i="10" s="1"/>
  <c r="G8" i="9"/>
  <c r="G8" i="10" s="1"/>
  <c r="J8" i="9"/>
  <c r="J8" i="10" s="1"/>
  <c r="F8" i="9"/>
  <c r="K8" i="9"/>
  <c r="K8" i="10" s="1"/>
  <c r="N8" i="9"/>
  <c r="N8" i="10" s="1"/>
  <c r="I8" i="9"/>
  <c r="I8" i="10" s="1"/>
  <c r="O8" i="9"/>
  <c r="O8" i="10" s="1"/>
  <c r="E10" i="9"/>
  <c r="E9" i="9"/>
  <c r="R7" i="9" l="1"/>
  <c r="F7" i="10"/>
  <c r="J10" i="9"/>
  <c r="J6" i="10"/>
  <c r="J9" i="10" s="1"/>
  <c r="Q10" i="9"/>
  <c r="Q6" i="10"/>
  <c r="Q9" i="10" s="1"/>
  <c r="L8" i="10"/>
  <c r="T8" i="9"/>
  <c r="U8" i="9" s="1"/>
  <c r="F10" i="9"/>
  <c r="R6" i="9"/>
  <c r="F6" i="10"/>
  <c r="I6" i="10"/>
  <c r="I9" i="10" s="1"/>
  <c r="I10" i="9"/>
  <c r="R8" i="9"/>
  <c r="F8" i="10"/>
  <c r="R8" i="10" s="1"/>
  <c r="G10" i="9"/>
  <c r="G6" i="10"/>
  <c r="G9" i="10" s="1"/>
  <c r="H10" i="9"/>
  <c r="H6" i="10"/>
  <c r="H9" i="10" s="1"/>
  <c r="L10" i="9"/>
  <c r="L6" i="10"/>
  <c r="T6" i="9"/>
  <c r="P10" i="9"/>
  <c r="P6" i="10"/>
  <c r="P9" i="10" s="1"/>
  <c r="L9" i="9"/>
  <c r="F9" i="9"/>
  <c r="P9" i="9"/>
  <c r="G9" i="9"/>
  <c r="M9" i="9"/>
  <c r="K9" i="9"/>
  <c r="J9" i="9"/>
  <c r="Q9" i="9"/>
  <c r="H9" i="9"/>
  <c r="I9" i="9"/>
  <c r="N9" i="9"/>
  <c r="O9" i="9"/>
  <c r="N6" i="10"/>
  <c r="N9" i="10" s="1"/>
  <c r="N10" i="9"/>
  <c r="K6" i="10"/>
  <c r="K9" i="10" s="1"/>
  <c r="K10" i="9"/>
  <c r="T7" i="9"/>
  <c r="U7" i="9" s="1"/>
  <c r="L7" i="10"/>
  <c r="M6" i="10"/>
  <c r="M9" i="10" s="1"/>
  <c r="M10" i="9"/>
  <c r="O6" i="10"/>
  <c r="O9" i="10" s="1"/>
  <c r="O10" i="9"/>
  <c r="S8" i="9" l="1"/>
  <c r="V8" i="9"/>
  <c r="W8" i="9" s="1"/>
  <c r="X8" i="9" s="1"/>
  <c r="L9" i="10"/>
  <c r="T9" i="10" s="1"/>
  <c r="T10" i="9"/>
  <c r="U6" i="9"/>
  <c r="R6" i="10"/>
  <c r="F9" i="10"/>
  <c r="R9" i="9"/>
  <c r="V6" i="9"/>
  <c r="W6" i="9" s="1"/>
  <c r="X6" i="9" s="1"/>
  <c r="S6" i="9"/>
  <c r="R7" i="10"/>
  <c r="T9" i="9"/>
  <c r="U9" i="9" s="1"/>
  <c r="R10" i="9"/>
  <c r="S10" i="9" s="1"/>
  <c r="S7" i="9"/>
  <c r="V7" i="9"/>
  <c r="W7" i="9" s="1"/>
  <c r="X7" i="9" s="1"/>
  <c r="S9" i="10" l="1"/>
  <c r="R9" i="10"/>
  <c r="U10" i="9"/>
  <c r="V10" i="9"/>
  <c r="W10" i="9" s="1"/>
  <c r="X10" i="9" s="1"/>
  <c r="S9" i="9"/>
  <c r="V9" i="9"/>
  <c r="W9" i="9" s="1"/>
  <c r="X9" i="9" s="1"/>
  <c r="E6" i="1"/>
  <c r="J6" i="1" l="1"/>
  <c r="J6" i="2" s="1"/>
  <c r="H6" i="1"/>
  <c r="H6" i="2" s="1"/>
  <c r="L6" i="1"/>
  <c r="G6" i="1"/>
  <c r="G6" i="2" s="1"/>
  <c r="N6" i="1"/>
  <c r="N6" i="2" s="1"/>
  <c r="Q6" i="1"/>
  <c r="Q6" i="2" s="1"/>
  <c r="F6" i="1"/>
  <c r="K6" i="1"/>
  <c r="K6" i="2" s="1"/>
  <c r="O6" i="1"/>
  <c r="O6" i="2" s="1"/>
  <c r="M6" i="1"/>
  <c r="M6" i="2" s="1"/>
  <c r="I6" i="1"/>
  <c r="I6" i="2" s="1"/>
  <c r="P6" i="1"/>
  <c r="P6" i="2" s="1"/>
  <c r="U9" i="10"/>
  <c r="F6" i="2" l="1"/>
  <c r="R6" i="1"/>
  <c r="T6" i="1"/>
  <c r="U6" i="1" s="1"/>
  <c r="L6" i="2"/>
  <c r="S6" i="1" l="1"/>
  <c r="V6" i="1"/>
  <c r="W6" i="1" s="1"/>
  <c r="R6" i="2"/>
  <c r="S6" i="2"/>
  <c r="T6" i="2" l="1"/>
  <c r="Y6" i="1"/>
  <c r="X6" i="1"/>
  <c r="Z6" i="1" l="1"/>
  <c r="AA6" i="1" s="1"/>
  <c r="E27" i="22" l="1"/>
  <c r="M27" i="22"/>
  <c r="M27" i="24" s="1"/>
  <c r="F27" i="22"/>
  <c r="F27" i="24" s="1"/>
  <c r="L27" i="22"/>
  <c r="L27" i="24" s="1"/>
  <c r="O27" i="22"/>
  <c r="O27" i="24" s="1"/>
  <c r="H27" i="22"/>
  <c r="H27" i="24" s="1"/>
  <c r="J27" i="22"/>
  <c r="J27" i="24" s="1"/>
  <c r="P27" i="22"/>
  <c r="P27" i="24" s="1"/>
  <c r="I27" i="22"/>
  <c r="I27" i="24" s="1"/>
  <c r="G27" i="22"/>
  <c r="G27" i="24" s="1"/>
  <c r="N27" i="22"/>
  <c r="N27" i="24" s="1"/>
  <c r="K27" i="22"/>
  <c r="K25" i="22"/>
  <c r="N25" i="22"/>
  <c r="N25" i="24" s="1"/>
  <c r="H25" i="22"/>
  <c r="H25" i="24" s="1"/>
  <c r="I25" i="22"/>
  <c r="I25" i="24" s="1"/>
  <c r="P25" i="22"/>
  <c r="P25" i="24" s="1"/>
  <c r="J25" i="22"/>
  <c r="J25" i="24" s="1"/>
  <c r="G25" i="22"/>
  <c r="G25" i="24" s="1"/>
  <c r="E25" i="22"/>
  <c r="F25" i="22"/>
  <c r="F25" i="24" s="1"/>
  <c r="M25" i="22"/>
  <c r="M25" i="24" s="1"/>
  <c r="L25" i="22"/>
  <c r="L25" i="24" s="1"/>
  <c r="O25" i="22"/>
  <c r="O25" i="24" s="1"/>
  <c r="E34" i="22"/>
  <c r="G34" i="22"/>
  <c r="G34" i="24" s="1"/>
  <c r="L34" i="22"/>
  <c r="L34" i="24" s="1"/>
  <c r="P34" i="22"/>
  <c r="P34" i="24" s="1"/>
  <c r="F34" i="22"/>
  <c r="F34" i="24" s="1"/>
  <c r="N34" i="22"/>
  <c r="N34" i="24" s="1"/>
  <c r="K34" i="22"/>
  <c r="J34" i="22"/>
  <c r="J34" i="24" s="1"/>
  <c r="O34" i="22"/>
  <c r="O34" i="24" s="1"/>
  <c r="I34" i="22"/>
  <c r="I34" i="24" s="1"/>
  <c r="H34" i="22"/>
  <c r="H34" i="24" s="1"/>
  <c r="M34" i="22"/>
  <c r="M34" i="24" s="1"/>
  <c r="K48" i="22"/>
  <c r="L48" i="22"/>
  <c r="L48" i="24" s="1"/>
  <c r="P48" i="22"/>
  <c r="P48" i="24" s="1"/>
  <c r="I48" i="22"/>
  <c r="I48" i="24" s="1"/>
  <c r="G48" i="22"/>
  <c r="G48" i="24" s="1"/>
  <c r="N48" i="22"/>
  <c r="N48" i="24" s="1"/>
  <c r="E48" i="22"/>
  <c r="F48" i="22"/>
  <c r="F48" i="24" s="1"/>
  <c r="J48" i="22"/>
  <c r="J48" i="24" s="1"/>
  <c r="H48" i="22"/>
  <c r="H48" i="24" s="1"/>
  <c r="O48" i="22"/>
  <c r="O48" i="24" s="1"/>
  <c r="M48" i="22"/>
  <c r="M48" i="24" s="1"/>
  <c r="K26" i="22"/>
  <c r="P26" i="22"/>
  <c r="P26" i="24" s="1"/>
  <c r="H26" i="22"/>
  <c r="H26" i="24" s="1"/>
  <c r="F26" i="22"/>
  <c r="F26" i="24" s="1"/>
  <c r="I26" i="22"/>
  <c r="I26" i="24" s="1"/>
  <c r="G26" i="22"/>
  <c r="G26" i="24" s="1"/>
  <c r="M26" i="22"/>
  <c r="M26" i="24" s="1"/>
  <c r="O26" i="22"/>
  <c r="O26" i="24" s="1"/>
  <c r="E26" i="22"/>
  <c r="J26" i="22"/>
  <c r="J26" i="24" s="1"/>
  <c r="L26" i="22"/>
  <c r="L26" i="24" s="1"/>
  <c r="N26" i="22"/>
  <c r="N26" i="24" s="1"/>
  <c r="H29" i="22"/>
  <c r="H29" i="24" s="1"/>
  <c r="F29" i="22"/>
  <c r="F29" i="24" s="1"/>
  <c r="E29" i="22"/>
  <c r="O29" i="22"/>
  <c r="O29" i="24" s="1"/>
  <c r="I29" i="22"/>
  <c r="I29" i="24" s="1"/>
  <c r="G29" i="22"/>
  <c r="G29" i="24" s="1"/>
  <c r="P29" i="22"/>
  <c r="P29" i="24" s="1"/>
  <c r="L29" i="22"/>
  <c r="L29" i="24" s="1"/>
  <c r="M29" i="22"/>
  <c r="M29" i="24" s="1"/>
  <c r="K29" i="22"/>
  <c r="J29" i="22"/>
  <c r="J29" i="24" s="1"/>
  <c r="N29" i="22"/>
  <c r="N29" i="24" s="1"/>
  <c r="N31" i="22"/>
  <c r="N31" i="24" s="1"/>
  <c r="G31" i="22"/>
  <c r="G31" i="24" s="1"/>
  <c r="H31" i="22"/>
  <c r="H31" i="24" s="1"/>
  <c r="L31" i="22"/>
  <c r="L31" i="24" s="1"/>
  <c r="J31" i="22"/>
  <c r="J31" i="24" s="1"/>
  <c r="K31" i="22"/>
  <c r="I31" i="22"/>
  <c r="I31" i="24" s="1"/>
  <c r="M31" i="22"/>
  <c r="M31" i="24" s="1"/>
  <c r="P31" i="22"/>
  <c r="P31" i="24" s="1"/>
  <c r="E31" i="22"/>
  <c r="F31" i="22"/>
  <c r="F31" i="24" s="1"/>
  <c r="O31" i="22"/>
  <c r="O31" i="24" s="1"/>
  <c r="H41" i="22"/>
  <c r="H41" i="24" s="1"/>
  <c r="G41" i="22"/>
  <c r="G41" i="24" s="1"/>
  <c r="J41" i="22"/>
  <c r="J41" i="24" s="1"/>
  <c r="I41" i="22"/>
  <c r="I41" i="24" s="1"/>
  <c r="F41" i="22"/>
  <c r="F41" i="24" s="1"/>
  <c r="L41" i="22"/>
  <c r="L41" i="24" s="1"/>
  <c r="P41" i="22"/>
  <c r="P41" i="24" s="1"/>
  <c r="O41" i="22"/>
  <c r="O41" i="24" s="1"/>
  <c r="M41" i="22"/>
  <c r="M41" i="24" s="1"/>
  <c r="N41" i="22"/>
  <c r="N41" i="24" s="1"/>
  <c r="E41" i="22"/>
  <c r="K41" i="22"/>
  <c r="M20" i="22"/>
  <c r="O20" i="22"/>
  <c r="L20" i="22"/>
  <c r="K20" i="22"/>
  <c r="P20" i="22"/>
  <c r="H20" i="22"/>
  <c r="F20" i="22"/>
  <c r="N20" i="22"/>
  <c r="G20" i="22"/>
  <c r="E20" i="22"/>
  <c r="J20" i="22"/>
  <c r="I20" i="22"/>
  <c r="K22" i="22"/>
  <c r="G22" i="22"/>
  <c r="G22" i="24" s="1"/>
  <c r="F22" i="22"/>
  <c r="F22" i="24" s="1"/>
  <c r="M22" i="22"/>
  <c r="M22" i="24" s="1"/>
  <c r="P22" i="22"/>
  <c r="P22" i="24" s="1"/>
  <c r="N22" i="22"/>
  <c r="N22" i="24" s="1"/>
  <c r="L22" i="22"/>
  <c r="L22" i="24" s="1"/>
  <c r="J22" i="22"/>
  <c r="J22" i="24" s="1"/>
  <c r="H22" i="22"/>
  <c r="H22" i="24" s="1"/>
  <c r="E22" i="22"/>
  <c r="O22" i="22"/>
  <c r="O22" i="24" s="1"/>
  <c r="I22" i="22"/>
  <c r="I22" i="24" s="1"/>
  <c r="N40" i="22"/>
  <c r="N40" i="24" s="1"/>
  <c r="L40" i="22"/>
  <c r="L40" i="24" s="1"/>
  <c r="O40" i="22"/>
  <c r="O40" i="24" s="1"/>
  <c r="E40" i="22"/>
  <c r="H40" i="22"/>
  <c r="H40" i="24" s="1"/>
  <c r="K40" i="22"/>
  <c r="I40" i="22"/>
  <c r="I40" i="24" s="1"/>
  <c r="F40" i="22"/>
  <c r="F40" i="24" s="1"/>
  <c r="G40" i="22"/>
  <c r="G40" i="24" s="1"/>
  <c r="M40" i="22"/>
  <c r="M40" i="24" s="1"/>
  <c r="J40" i="22"/>
  <c r="J40" i="24" s="1"/>
  <c r="P40" i="22"/>
  <c r="P40" i="24" s="1"/>
  <c r="I36" i="22"/>
  <c r="I36" i="24" s="1"/>
  <c r="F36" i="22"/>
  <c r="F36" i="24" s="1"/>
  <c r="K36" i="22"/>
  <c r="N36" i="22"/>
  <c r="N36" i="24" s="1"/>
  <c r="H36" i="22"/>
  <c r="H36" i="24" s="1"/>
  <c r="L36" i="22"/>
  <c r="L36" i="24" s="1"/>
  <c r="M36" i="22"/>
  <c r="M36" i="24" s="1"/>
  <c r="P36" i="22"/>
  <c r="P36" i="24" s="1"/>
  <c r="G36" i="22"/>
  <c r="G36" i="24" s="1"/>
  <c r="E36" i="22"/>
  <c r="O36" i="22"/>
  <c r="O36" i="24" s="1"/>
  <c r="J36" i="22"/>
  <c r="J36" i="24" s="1"/>
  <c r="F21" i="22"/>
  <c r="F21" i="24" s="1"/>
  <c r="J21" i="22"/>
  <c r="J21" i="24" s="1"/>
  <c r="O21" i="22"/>
  <c r="O21" i="24" s="1"/>
  <c r="L21" i="22"/>
  <c r="L21" i="24" s="1"/>
  <c r="N21" i="22"/>
  <c r="N21" i="24" s="1"/>
  <c r="G21" i="22"/>
  <c r="G21" i="24" s="1"/>
  <c r="P21" i="22"/>
  <c r="P21" i="24" s="1"/>
  <c r="K21" i="22"/>
  <c r="H21" i="22"/>
  <c r="H21" i="24" s="1"/>
  <c r="I21" i="22"/>
  <c r="I21" i="24" s="1"/>
  <c r="M21" i="22"/>
  <c r="M21" i="24" s="1"/>
  <c r="E21" i="22"/>
  <c r="P39" i="22"/>
  <c r="P39" i="24" s="1"/>
  <c r="L39" i="22"/>
  <c r="L39" i="24" s="1"/>
  <c r="J39" i="22"/>
  <c r="J39" i="24" s="1"/>
  <c r="M39" i="22"/>
  <c r="M39" i="24" s="1"/>
  <c r="E39" i="22"/>
  <c r="F39" i="22"/>
  <c r="F39" i="24" s="1"/>
  <c r="K39" i="22"/>
  <c r="H39" i="22"/>
  <c r="H39" i="24" s="1"/>
  <c r="I39" i="22"/>
  <c r="I39" i="24" s="1"/>
  <c r="O39" i="22"/>
  <c r="O39" i="24" s="1"/>
  <c r="G39" i="22"/>
  <c r="G39" i="24" s="1"/>
  <c r="N39" i="22"/>
  <c r="N39" i="24" s="1"/>
  <c r="L42" i="22"/>
  <c r="L42" i="24" s="1"/>
  <c r="P42" i="22"/>
  <c r="P42" i="24" s="1"/>
  <c r="N42" i="22"/>
  <c r="N42" i="24" s="1"/>
  <c r="E42" i="22"/>
  <c r="K42" i="22"/>
  <c r="I42" i="22"/>
  <c r="I42" i="24" s="1"/>
  <c r="O42" i="22"/>
  <c r="O42" i="24" s="1"/>
  <c r="F42" i="22"/>
  <c r="F42" i="24" s="1"/>
  <c r="J42" i="22"/>
  <c r="J42" i="24" s="1"/>
  <c r="H42" i="22"/>
  <c r="H42" i="24" s="1"/>
  <c r="M42" i="22"/>
  <c r="M42" i="24" s="1"/>
  <c r="G42" i="22"/>
  <c r="G42" i="24" s="1"/>
  <c r="K32" i="22"/>
  <c r="F32" i="22"/>
  <c r="F32" i="24" s="1"/>
  <c r="I32" i="22"/>
  <c r="I32" i="24" s="1"/>
  <c r="O32" i="22"/>
  <c r="O32" i="24" s="1"/>
  <c r="G32" i="22"/>
  <c r="G32" i="24" s="1"/>
  <c r="J32" i="22"/>
  <c r="J32" i="24" s="1"/>
  <c r="H32" i="22"/>
  <c r="H32" i="24" s="1"/>
  <c r="L32" i="22"/>
  <c r="L32" i="24" s="1"/>
  <c r="N32" i="22"/>
  <c r="N32" i="24" s="1"/>
  <c r="M32" i="22"/>
  <c r="M32" i="24" s="1"/>
  <c r="E32" i="22"/>
  <c r="P32" i="22"/>
  <c r="P32" i="24" s="1"/>
  <c r="L44" i="22"/>
  <c r="L44" i="24" s="1"/>
  <c r="O44" i="22"/>
  <c r="O44" i="24" s="1"/>
  <c r="N44" i="22"/>
  <c r="N44" i="24" s="1"/>
  <c r="E44" i="22"/>
  <c r="M44" i="22"/>
  <c r="M44" i="24" s="1"/>
  <c r="P44" i="22"/>
  <c r="P44" i="24" s="1"/>
  <c r="J44" i="22"/>
  <c r="J44" i="24" s="1"/>
  <c r="F44" i="22"/>
  <c r="F44" i="24" s="1"/>
  <c r="H44" i="22"/>
  <c r="H44" i="24" s="1"/>
  <c r="G44" i="22"/>
  <c r="G44" i="24" s="1"/>
  <c r="K44" i="22"/>
  <c r="I44" i="22"/>
  <c r="I44" i="24" s="1"/>
  <c r="J33" i="22"/>
  <c r="J33" i="24" s="1"/>
  <c r="H33" i="22"/>
  <c r="H33" i="24" s="1"/>
  <c r="N33" i="22"/>
  <c r="N33" i="24" s="1"/>
  <c r="I33" i="22"/>
  <c r="I33" i="24" s="1"/>
  <c r="L33" i="22"/>
  <c r="L33" i="24" s="1"/>
  <c r="M33" i="22"/>
  <c r="M33" i="24" s="1"/>
  <c r="O33" i="22"/>
  <c r="O33" i="24" s="1"/>
  <c r="G33" i="22"/>
  <c r="G33" i="24" s="1"/>
  <c r="P33" i="22"/>
  <c r="P33" i="24" s="1"/>
  <c r="F33" i="22"/>
  <c r="F33" i="24" s="1"/>
  <c r="K33" i="22"/>
  <c r="E33" i="22"/>
  <c r="K45" i="22"/>
  <c r="M45" i="22"/>
  <c r="M45" i="24" s="1"/>
  <c r="L45" i="22"/>
  <c r="L45" i="24" s="1"/>
  <c r="E45" i="22"/>
  <c r="I45" i="22"/>
  <c r="I45" i="24" s="1"/>
  <c r="G45" i="22"/>
  <c r="G45" i="24" s="1"/>
  <c r="N45" i="22"/>
  <c r="N45" i="24" s="1"/>
  <c r="J45" i="22"/>
  <c r="J45" i="24" s="1"/>
  <c r="P45" i="22"/>
  <c r="P45" i="24" s="1"/>
  <c r="F45" i="22"/>
  <c r="F45" i="24" s="1"/>
  <c r="H45" i="22"/>
  <c r="H45" i="24" s="1"/>
  <c r="O45" i="22"/>
  <c r="O45" i="24" s="1"/>
  <c r="L24" i="22"/>
  <c r="L24" i="24" s="1"/>
  <c r="K24" i="22"/>
  <c r="P24" i="22"/>
  <c r="P24" i="24" s="1"/>
  <c r="M24" i="22"/>
  <c r="M24" i="24" s="1"/>
  <c r="J24" i="22"/>
  <c r="J24" i="24" s="1"/>
  <c r="I24" i="22"/>
  <c r="I24" i="24" s="1"/>
  <c r="G24" i="22"/>
  <c r="G24" i="24" s="1"/>
  <c r="H24" i="22"/>
  <c r="H24" i="24" s="1"/>
  <c r="F24" i="22"/>
  <c r="F24" i="24" s="1"/>
  <c r="O24" i="22"/>
  <c r="O24" i="24" s="1"/>
  <c r="N24" i="22"/>
  <c r="N24" i="24" s="1"/>
  <c r="E24" i="22"/>
  <c r="M43" i="22"/>
  <c r="M43" i="24" s="1"/>
  <c r="G43" i="22"/>
  <c r="G43" i="24" s="1"/>
  <c r="O43" i="22"/>
  <c r="O43" i="24" s="1"/>
  <c r="J43" i="22"/>
  <c r="J43" i="24" s="1"/>
  <c r="K43" i="22"/>
  <c r="I43" i="22"/>
  <c r="I43" i="24" s="1"/>
  <c r="F43" i="22"/>
  <c r="F43" i="24" s="1"/>
  <c r="H43" i="22"/>
  <c r="H43" i="24" s="1"/>
  <c r="E43" i="22"/>
  <c r="P43" i="22"/>
  <c r="P43" i="24" s="1"/>
  <c r="L43" i="22"/>
  <c r="L43" i="24" s="1"/>
  <c r="N43" i="22"/>
  <c r="N43" i="24" s="1"/>
  <c r="N28" i="22"/>
  <c r="N28" i="24" s="1"/>
  <c r="I28" i="22"/>
  <c r="I28" i="24" s="1"/>
  <c r="O28" i="22"/>
  <c r="O28" i="24" s="1"/>
  <c r="L28" i="22"/>
  <c r="L28" i="24" s="1"/>
  <c r="J28" i="22"/>
  <c r="J28" i="24" s="1"/>
  <c r="E28" i="22"/>
  <c r="H28" i="22"/>
  <c r="H28" i="24" s="1"/>
  <c r="M28" i="22"/>
  <c r="M28" i="24" s="1"/>
  <c r="P28" i="22"/>
  <c r="P28" i="24" s="1"/>
  <c r="K28" i="22"/>
  <c r="F28" i="22"/>
  <c r="F28" i="24" s="1"/>
  <c r="G28" i="22"/>
  <c r="G28" i="24" s="1"/>
  <c r="H56" i="22"/>
  <c r="H56" i="24" s="1"/>
  <c r="J56" i="22"/>
  <c r="J56" i="24" s="1"/>
  <c r="I56" i="22"/>
  <c r="I56" i="24" s="1"/>
  <c r="P56" i="22"/>
  <c r="P56" i="24" s="1"/>
  <c r="N56" i="22"/>
  <c r="N56" i="24" s="1"/>
  <c r="M56" i="22"/>
  <c r="M56" i="24" s="1"/>
  <c r="L56" i="22"/>
  <c r="L56" i="24" s="1"/>
  <c r="O56" i="22"/>
  <c r="O56" i="24" s="1"/>
  <c r="E56" i="22"/>
  <c r="K56" i="22"/>
  <c r="F56" i="22"/>
  <c r="F56" i="24" s="1"/>
  <c r="G56" i="22"/>
  <c r="G56" i="24" s="1"/>
  <c r="K35" i="22"/>
  <c r="I35" i="22"/>
  <c r="I35" i="24" s="1"/>
  <c r="O35" i="22"/>
  <c r="O35" i="24" s="1"/>
  <c r="H35" i="22"/>
  <c r="H35" i="24" s="1"/>
  <c r="P35" i="22"/>
  <c r="P35" i="24" s="1"/>
  <c r="M35" i="22"/>
  <c r="M35" i="24" s="1"/>
  <c r="E35" i="22"/>
  <c r="J35" i="22"/>
  <c r="J35" i="24" s="1"/>
  <c r="L35" i="22"/>
  <c r="L35" i="24" s="1"/>
  <c r="N35" i="22"/>
  <c r="N35" i="24" s="1"/>
  <c r="G35" i="22"/>
  <c r="G35" i="24" s="1"/>
  <c r="F35" i="22"/>
  <c r="F35" i="24" s="1"/>
  <c r="M23" i="22"/>
  <c r="M23" i="24" s="1"/>
  <c r="J23" i="22"/>
  <c r="J23" i="24" s="1"/>
  <c r="F23" i="22"/>
  <c r="F23" i="24" s="1"/>
  <c r="G23" i="22"/>
  <c r="G23" i="24" s="1"/>
  <c r="K23" i="22"/>
  <c r="L23" i="22"/>
  <c r="L23" i="24" s="1"/>
  <c r="P23" i="22"/>
  <c r="P23" i="24" s="1"/>
  <c r="N23" i="22"/>
  <c r="N23" i="24" s="1"/>
  <c r="E23" i="22"/>
  <c r="O23" i="22"/>
  <c r="O23" i="24" s="1"/>
  <c r="H23" i="22"/>
  <c r="H23" i="24" s="1"/>
  <c r="I23" i="22"/>
  <c r="I23" i="24" s="1"/>
  <c r="E24" i="24" l="1"/>
  <c r="Q24" i="22"/>
  <c r="Q33" i="22"/>
  <c r="E33" i="24"/>
  <c r="K21" i="24"/>
  <c r="S21" i="22"/>
  <c r="T21" i="22" s="1"/>
  <c r="N20" i="24"/>
  <c r="S41" i="22"/>
  <c r="T41" i="22" s="1"/>
  <c r="K41" i="24"/>
  <c r="K24" i="24"/>
  <c r="S24" i="22"/>
  <c r="T24" i="22" s="1"/>
  <c r="E36" i="24"/>
  <c r="Q36" i="22"/>
  <c r="K40" i="24"/>
  <c r="S40" i="22"/>
  <c r="T40" i="22" s="1"/>
  <c r="E22" i="24"/>
  <c r="Q22" i="22"/>
  <c r="H20" i="24"/>
  <c r="K31" i="24"/>
  <c r="S31" i="22"/>
  <c r="T31" i="22" s="1"/>
  <c r="S29" i="22"/>
  <c r="T29" i="22" s="1"/>
  <c r="K29" i="24"/>
  <c r="F30" i="22"/>
  <c r="F30" i="24" s="1"/>
  <c r="G30" i="22"/>
  <c r="G30" i="24" s="1"/>
  <c r="K30" i="22"/>
  <c r="K37" i="22" s="1"/>
  <c r="I30" i="22"/>
  <c r="I30" i="24" s="1"/>
  <c r="M30" i="22"/>
  <c r="M30" i="24" s="1"/>
  <c r="L30" i="22"/>
  <c r="L30" i="24" s="1"/>
  <c r="P30" i="22"/>
  <c r="P30" i="24" s="1"/>
  <c r="J30" i="22"/>
  <c r="J30" i="24" s="1"/>
  <c r="O30" i="22"/>
  <c r="O30" i="24" s="1"/>
  <c r="E30" i="22"/>
  <c r="E37" i="22" s="1"/>
  <c r="H30" i="22"/>
  <c r="H30" i="24" s="1"/>
  <c r="N30" i="22"/>
  <c r="N30" i="24" s="1"/>
  <c r="S33" i="22"/>
  <c r="T33" i="22" s="1"/>
  <c r="K33" i="24"/>
  <c r="E29" i="24"/>
  <c r="Q29" i="22"/>
  <c r="S34" i="22"/>
  <c r="T34" i="22" s="1"/>
  <c r="K34" i="24"/>
  <c r="L46" i="22"/>
  <c r="L46" i="24" s="1"/>
  <c r="I46" i="22"/>
  <c r="I46" i="24" s="1"/>
  <c r="O46" i="22"/>
  <c r="O46" i="24" s="1"/>
  <c r="N46" i="22"/>
  <c r="N46" i="24" s="1"/>
  <c r="J46" i="22"/>
  <c r="J46" i="24" s="1"/>
  <c r="P46" i="22"/>
  <c r="P46" i="24" s="1"/>
  <c r="K46" i="22"/>
  <c r="H46" i="22"/>
  <c r="H46" i="24" s="1"/>
  <c r="M46" i="22"/>
  <c r="M46" i="24" s="1"/>
  <c r="G46" i="22"/>
  <c r="G46" i="24" s="1"/>
  <c r="F46" i="22"/>
  <c r="F46" i="24" s="1"/>
  <c r="E46" i="22"/>
  <c r="S23" i="22"/>
  <c r="T23" i="22" s="1"/>
  <c r="K23" i="24"/>
  <c r="S35" i="22"/>
  <c r="T35" i="22" s="1"/>
  <c r="K35" i="24"/>
  <c r="S43" i="22"/>
  <c r="T43" i="22" s="1"/>
  <c r="K43" i="24"/>
  <c r="S32" i="22"/>
  <c r="T32" i="22" s="1"/>
  <c r="K32" i="24"/>
  <c r="S42" i="22"/>
  <c r="T42" i="22" s="1"/>
  <c r="K42" i="24"/>
  <c r="S22" i="22"/>
  <c r="T22" i="22" s="1"/>
  <c r="K22" i="24"/>
  <c r="P20" i="24"/>
  <c r="S48" i="22"/>
  <c r="T48" i="22" s="1"/>
  <c r="K48" i="24"/>
  <c r="K25" i="24"/>
  <c r="S25" i="22"/>
  <c r="T25" i="22" s="1"/>
  <c r="Q45" i="22"/>
  <c r="E45" i="24"/>
  <c r="Q44" i="22"/>
  <c r="E44" i="24"/>
  <c r="Q42" i="22"/>
  <c r="E42" i="24"/>
  <c r="E21" i="24"/>
  <c r="Q21" i="22"/>
  <c r="E40" i="24"/>
  <c r="Q40" i="22"/>
  <c r="I20" i="24"/>
  <c r="I37" i="24" s="1"/>
  <c r="I37" i="22"/>
  <c r="S20" i="22"/>
  <c r="T20" i="22" s="1"/>
  <c r="K20" i="24"/>
  <c r="E25" i="24"/>
  <c r="Q25" i="22"/>
  <c r="K27" i="24"/>
  <c r="S27" i="22"/>
  <c r="T27" i="22" s="1"/>
  <c r="S36" i="22"/>
  <c r="T36" i="22" s="1"/>
  <c r="K36" i="24"/>
  <c r="Q35" i="22"/>
  <c r="E35" i="24"/>
  <c r="S44" i="22"/>
  <c r="T44" i="22" s="1"/>
  <c r="K44" i="24"/>
  <c r="S39" i="22"/>
  <c r="T39" i="22" s="1"/>
  <c r="K39" i="24"/>
  <c r="J20" i="24"/>
  <c r="L20" i="24"/>
  <c r="Q48" i="22"/>
  <c r="E48" i="24"/>
  <c r="E32" i="24"/>
  <c r="Q32" i="22"/>
  <c r="E41" i="24"/>
  <c r="Q41" i="22"/>
  <c r="S56" i="22"/>
  <c r="T56" i="22" s="1"/>
  <c r="K56" i="24"/>
  <c r="E28" i="24"/>
  <c r="Q28" i="22"/>
  <c r="E20" i="24"/>
  <c r="Q20" i="22"/>
  <c r="O20" i="24"/>
  <c r="Q31" i="22"/>
  <c r="E31" i="24"/>
  <c r="Q31" i="24" s="1"/>
  <c r="F20" i="24"/>
  <c r="K28" i="24"/>
  <c r="S28" i="22"/>
  <c r="T28" i="22" s="1"/>
  <c r="E23" i="24"/>
  <c r="Q23" i="22"/>
  <c r="Q56" i="22"/>
  <c r="E56" i="24"/>
  <c r="Q43" i="22"/>
  <c r="E43" i="24"/>
  <c r="Q43" i="24" s="1"/>
  <c r="K45" i="24"/>
  <c r="S45" i="22"/>
  <c r="T45" i="22" s="1"/>
  <c r="Q39" i="22"/>
  <c r="E39" i="24"/>
  <c r="G20" i="24"/>
  <c r="M20" i="24"/>
  <c r="M37" i="24" s="1"/>
  <c r="M37" i="22"/>
  <c r="E26" i="24"/>
  <c r="Q26" i="22"/>
  <c r="K26" i="24"/>
  <c r="S26" i="22"/>
  <c r="T26" i="22" s="1"/>
  <c r="Q34" i="22"/>
  <c r="E34" i="24"/>
  <c r="E27" i="24"/>
  <c r="Q27" i="22"/>
  <c r="Q21" i="24" l="1"/>
  <c r="Q41" i="24"/>
  <c r="L37" i="22"/>
  <c r="L37" i="24"/>
  <c r="F37" i="24"/>
  <c r="H37" i="24"/>
  <c r="Q23" i="24"/>
  <c r="Q29" i="24"/>
  <c r="J37" i="22"/>
  <c r="J37" i="24"/>
  <c r="Q28" i="24"/>
  <c r="N37" i="24"/>
  <c r="Q35" i="24"/>
  <c r="Q34" i="24"/>
  <c r="G37" i="22"/>
  <c r="Q42" i="24"/>
  <c r="G37" i="24"/>
  <c r="Q39" i="24"/>
  <c r="Q27" i="24"/>
  <c r="F37" i="22"/>
  <c r="O37" i="24"/>
  <c r="O37" i="22"/>
  <c r="Q44" i="24"/>
  <c r="U34" i="22"/>
  <c r="V34" i="22" s="1"/>
  <c r="W34" i="22" s="1"/>
  <c r="X34" i="22" s="1"/>
  <c r="Y34" i="22" s="1"/>
  <c r="Z34" i="22" s="1"/>
  <c r="R34" i="22"/>
  <c r="E46" i="24"/>
  <c r="Q46" i="22"/>
  <c r="Q56" i="24"/>
  <c r="U48" i="22"/>
  <c r="V48" i="22" s="1"/>
  <c r="W48" i="22" s="1"/>
  <c r="X48" i="22" s="1"/>
  <c r="Y48" i="22" s="1"/>
  <c r="Z48" i="22" s="1"/>
  <c r="R48" i="22"/>
  <c r="Q25" i="24"/>
  <c r="R21" i="22"/>
  <c r="U21" i="22"/>
  <c r="V21" i="22" s="1"/>
  <c r="W21" i="22" s="1"/>
  <c r="X21" i="22" s="1"/>
  <c r="Y21" i="22" s="1"/>
  <c r="Z21" i="22" s="1"/>
  <c r="R29" i="22"/>
  <c r="U29" i="22"/>
  <c r="V29" i="22" s="1"/>
  <c r="W29" i="22" s="1"/>
  <c r="X29" i="22" s="1"/>
  <c r="Y29" i="22" s="1"/>
  <c r="Z29" i="22" s="1"/>
  <c r="N37" i="22"/>
  <c r="U42" i="22"/>
  <c r="V42" i="22" s="1"/>
  <c r="W42" i="22" s="1"/>
  <c r="X42" i="22" s="1"/>
  <c r="Y42" i="22" s="1"/>
  <c r="Z42" i="22" s="1"/>
  <c r="R42" i="22"/>
  <c r="Q36" i="24"/>
  <c r="U56" i="22"/>
  <c r="V56" i="22" s="1"/>
  <c r="W56" i="22" s="1"/>
  <c r="X56" i="22" s="1"/>
  <c r="Y56" i="22" s="1"/>
  <c r="Z56" i="22" s="1"/>
  <c r="R56" i="22"/>
  <c r="P37" i="22"/>
  <c r="Q33" i="24"/>
  <c r="U31" i="22"/>
  <c r="V31" i="22" s="1"/>
  <c r="W31" i="22" s="1"/>
  <c r="X31" i="22" s="1"/>
  <c r="Y31" i="22" s="1"/>
  <c r="Z31" i="22" s="1"/>
  <c r="R31" i="22"/>
  <c r="U35" i="22"/>
  <c r="V35" i="22" s="1"/>
  <c r="W35" i="22" s="1"/>
  <c r="X35" i="22" s="1"/>
  <c r="Y35" i="22" s="1"/>
  <c r="Z35" i="22" s="1"/>
  <c r="R35" i="22"/>
  <c r="U36" i="22"/>
  <c r="V36" i="22" s="1"/>
  <c r="W36" i="22" s="1"/>
  <c r="X36" i="22" s="1"/>
  <c r="Y36" i="22" s="1"/>
  <c r="Z36" i="22" s="1"/>
  <c r="R36" i="22"/>
  <c r="R39" i="22"/>
  <c r="U39" i="22"/>
  <c r="V39" i="22" s="1"/>
  <c r="W39" i="22" s="1"/>
  <c r="X39" i="22" s="1"/>
  <c r="Y39" i="22" s="1"/>
  <c r="Z39" i="22" s="1"/>
  <c r="R26" i="22"/>
  <c r="U26" i="22"/>
  <c r="V26" i="22" s="1"/>
  <c r="W26" i="22" s="1"/>
  <c r="X26" i="22" s="1"/>
  <c r="Y26" i="22" s="1"/>
  <c r="Z26" i="22" s="1"/>
  <c r="Q26" i="24"/>
  <c r="U20" i="22"/>
  <c r="V20" i="22" s="1"/>
  <c r="W20" i="22" s="1"/>
  <c r="X20" i="22" s="1"/>
  <c r="Y20" i="22" s="1"/>
  <c r="Z20" i="22" s="1"/>
  <c r="R20" i="22"/>
  <c r="U32" i="22"/>
  <c r="V32" i="22" s="1"/>
  <c r="W32" i="22" s="1"/>
  <c r="X32" i="22" s="1"/>
  <c r="Y32" i="22" s="1"/>
  <c r="Z32" i="22" s="1"/>
  <c r="R32" i="22"/>
  <c r="U44" i="22"/>
  <c r="V44" i="22" s="1"/>
  <c r="W44" i="22" s="1"/>
  <c r="X44" i="22" s="1"/>
  <c r="Y44" i="22" s="1"/>
  <c r="Z44" i="22" s="1"/>
  <c r="R44" i="22"/>
  <c r="P37" i="24"/>
  <c r="S30" i="22"/>
  <c r="T30" i="22" s="1"/>
  <c r="K30" i="24"/>
  <c r="K37" i="24" s="1"/>
  <c r="H37" i="22"/>
  <c r="U33" i="22"/>
  <c r="V33" i="22" s="1"/>
  <c r="W33" i="22" s="1"/>
  <c r="X33" i="22" s="1"/>
  <c r="Y33" i="22" s="1"/>
  <c r="Z33" i="22" s="1"/>
  <c r="R33" i="22"/>
  <c r="U41" i="22"/>
  <c r="V41" i="22" s="1"/>
  <c r="W41" i="22" s="1"/>
  <c r="X41" i="22" s="1"/>
  <c r="Y41" i="22" s="1"/>
  <c r="Z41" i="22" s="1"/>
  <c r="R41" i="22"/>
  <c r="Q20" i="24"/>
  <c r="Q32" i="24"/>
  <c r="U40" i="22"/>
  <c r="V40" i="22" s="1"/>
  <c r="W40" i="22" s="1"/>
  <c r="X40" i="22" s="1"/>
  <c r="Y40" i="22" s="1"/>
  <c r="Z40" i="22" s="1"/>
  <c r="R40" i="22"/>
  <c r="Q45" i="24"/>
  <c r="E30" i="24"/>
  <c r="Q30" i="22"/>
  <c r="U22" i="22"/>
  <c r="V22" i="22" s="1"/>
  <c r="W22" i="22" s="1"/>
  <c r="X22" i="22" s="1"/>
  <c r="Y22" i="22" s="1"/>
  <c r="Z22" i="22" s="1"/>
  <c r="R22" i="22"/>
  <c r="R24" i="22"/>
  <c r="U24" i="22"/>
  <c r="V24" i="22" s="1"/>
  <c r="W24" i="22" s="1"/>
  <c r="X24" i="22" s="1"/>
  <c r="Y24" i="22" s="1"/>
  <c r="Z24" i="22" s="1"/>
  <c r="R23" i="22"/>
  <c r="U23" i="22"/>
  <c r="V23" i="22" s="1"/>
  <c r="W23" i="22" s="1"/>
  <c r="X23" i="22" s="1"/>
  <c r="Y23" i="22" s="1"/>
  <c r="Z23" i="22" s="1"/>
  <c r="R27" i="22"/>
  <c r="U27" i="22"/>
  <c r="V27" i="22" s="1"/>
  <c r="W27" i="22" s="1"/>
  <c r="X27" i="22" s="1"/>
  <c r="Y27" i="22" s="1"/>
  <c r="Z27" i="22" s="1"/>
  <c r="U43" i="22"/>
  <c r="V43" i="22" s="1"/>
  <c r="W43" i="22" s="1"/>
  <c r="X43" i="22" s="1"/>
  <c r="Y43" i="22" s="1"/>
  <c r="Z43" i="22" s="1"/>
  <c r="R43" i="22"/>
  <c r="R28" i="22"/>
  <c r="U28" i="22"/>
  <c r="V28" i="22" s="1"/>
  <c r="W28" i="22" s="1"/>
  <c r="X28" i="22" s="1"/>
  <c r="Y28" i="22" s="1"/>
  <c r="Z28" i="22" s="1"/>
  <c r="Q48" i="24"/>
  <c r="U25" i="22"/>
  <c r="V25" i="22" s="1"/>
  <c r="W25" i="22" s="1"/>
  <c r="X25" i="22" s="1"/>
  <c r="Y25" i="22" s="1"/>
  <c r="Z25" i="22" s="1"/>
  <c r="R25" i="22"/>
  <c r="Q40" i="24"/>
  <c r="U45" i="22"/>
  <c r="V45" i="22" s="1"/>
  <c r="W45" i="22" s="1"/>
  <c r="X45" i="22" s="1"/>
  <c r="Y45" i="22" s="1"/>
  <c r="Z45" i="22" s="1"/>
  <c r="R45" i="22"/>
  <c r="S46" i="22"/>
  <c r="T46" i="22" s="1"/>
  <c r="K46" i="24"/>
  <c r="Q22" i="24"/>
  <c r="Q24" i="24"/>
  <c r="Q37" i="22" l="1"/>
  <c r="R37" i="22" s="1"/>
  <c r="Q30" i="24"/>
  <c r="E37" i="24"/>
  <c r="Q37" i="24" s="1"/>
  <c r="S37" i="22"/>
  <c r="T37" i="22" s="1"/>
  <c r="R30" i="22"/>
  <c r="U30" i="22"/>
  <c r="V30" i="22" s="1"/>
  <c r="W30" i="22" s="1"/>
  <c r="X30" i="22" s="1"/>
  <c r="Y30" i="22" s="1"/>
  <c r="Z30" i="22" s="1"/>
  <c r="R46" i="22"/>
  <c r="U46" i="22"/>
  <c r="V46" i="22" s="1"/>
  <c r="W46" i="22" s="1"/>
  <c r="X46" i="22" s="1"/>
  <c r="Y46" i="22" s="1"/>
  <c r="Z46" i="22" s="1"/>
  <c r="Q46" i="24"/>
  <c r="U37" i="22" l="1"/>
  <c r="V37" i="22" s="1"/>
  <c r="W37" i="22" s="1"/>
  <c r="X37" i="22" s="1"/>
  <c r="Y37" i="22" s="1"/>
  <c r="Z37" i="22" s="1"/>
  <c r="E35" i="1" l="1"/>
  <c r="E32" i="1"/>
  <c r="E24" i="1"/>
  <c r="E26" i="1"/>
  <c r="E16" i="1"/>
  <c r="E29" i="1"/>
  <c r="E27" i="1"/>
  <c r="E30" i="1"/>
  <c r="E31" i="1"/>
  <c r="E23" i="1"/>
  <c r="E18" i="1"/>
  <c r="E20" i="1"/>
  <c r="E21" i="1"/>
  <c r="E25" i="1"/>
  <c r="E19" i="1"/>
  <c r="E28" i="1"/>
  <c r="E33" i="1"/>
  <c r="E34" i="1"/>
  <c r="E17" i="1"/>
  <c r="M32" i="1" l="1"/>
  <c r="M32" i="2" s="1"/>
  <c r="H32" i="1"/>
  <c r="H32" i="2" s="1"/>
  <c r="Q32" i="1"/>
  <c r="Q32" i="2" s="1"/>
  <c r="O32" i="1"/>
  <c r="O32" i="2" s="1"/>
  <c r="I32" i="1"/>
  <c r="I32" i="2" s="1"/>
  <c r="J32" i="1"/>
  <c r="J32" i="2" s="1"/>
  <c r="G32" i="1"/>
  <c r="G32" i="2" s="1"/>
  <c r="L32" i="1"/>
  <c r="N32" i="1"/>
  <c r="N32" i="2" s="1"/>
  <c r="P32" i="1"/>
  <c r="P32" i="2" s="1"/>
  <c r="K32" i="1"/>
  <c r="K32" i="2" s="1"/>
  <c r="F32" i="1"/>
  <c r="O20" i="1"/>
  <c r="O20" i="2" s="1"/>
  <c r="K20" i="1"/>
  <c r="K20" i="2" s="1"/>
  <c r="L20" i="1"/>
  <c r="I20" i="1"/>
  <c r="I20" i="2" s="1"/>
  <c r="F20" i="1"/>
  <c r="N20" i="1"/>
  <c r="N20" i="2" s="1"/>
  <c r="J20" i="1"/>
  <c r="J20" i="2" s="1"/>
  <c r="G20" i="1"/>
  <c r="G20" i="2" s="1"/>
  <c r="P20" i="1"/>
  <c r="P20" i="2" s="1"/>
  <c r="M20" i="1"/>
  <c r="M20" i="2" s="1"/>
  <c r="Q20" i="1"/>
  <c r="Q20" i="2" s="1"/>
  <c r="H20" i="1"/>
  <c r="H20" i="2" s="1"/>
  <c r="M31" i="1"/>
  <c r="M31" i="2" s="1"/>
  <c r="N31" i="1"/>
  <c r="N31" i="2" s="1"/>
  <c r="G31" i="1"/>
  <c r="G31" i="2" s="1"/>
  <c r="L31" i="1"/>
  <c r="O31" i="1"/>
  <c r="O31" i="2" s="1"/>
  <c r="I31" i="1"/>
  <c r="I31" i="2" s="1"/>
  <c r="J31" i="1"/>
  <c r="J31" i="2" s="1"/>
  <c r="F31" i="1"/>
  <c r="P31" i="1"/>
  <c r="P31" i="2" s="1"/>
  <c r="Q31" i="1"/>
  <c r="Q31" i="2" s="1"/>
  <c r="H31" i="1"/>
  <c r="H31" i="2" s="1"/>
  <c r="K31" i="1"/>
  <c r="K31" i="2" s="1"/>
  <c r="I16" i="1"/>
  <c r="I16" i="2" s="1"/>
  <c r="O16" i="1"/>
  <c r="O16" i="2" s="1"/>
  <c r="F16" i="1"/>
  <c r="G16" i="1"/>
  <c r="G16" i="2" s="1"/>
  <c r="K16" i="1"/>
  <c r="K16" i="2" s="1"/>
  <c r="Q16" i="1"/>
  <c r="Q16" i="2" s="1"/>
  <c r="N16" i="1"/>
  <c r="N16" i="2" s="1"/>
  <c r="M16" i="1"/>
  <c r="M16" i="2" s="1"/>
  <c r="H16" i="1"/>
  <c r="H16" i="2" s="1"/>
  <c r="P16" i="1"/>
  <c r="P16" i="2" s="1"/>
  <c r="J16" i="1"/>
  <c r="J16" i="2" s="1"/>
  <c r="L16" i="1"/>
  <c r="I26" i="1"/>
  <c r="I26" i="2" s="1"/>
  <c r="P26" i="1"/>
  <c r="P26" i="2" s="1"/>
  <c r="L26" i="1"/>
  <c r="N26" i="1"/>
  <c r="N26" i="2" s="1"/>
  <c r="O26" i="1"/>
  <c r="O26" i="2" s="1"/>
  <c r="F26" i="1"/>
  <c r="J26" i="1"/>
  <c r="J26" i="2" s="1"/>
  <c r="H26" i="1"/>
  <c r="H26" i="2" s="1"/>
  <c r="M26" i="1"/>
  <c r="M26" i="2" s="1"/>
  <c r="G26" i="1"/>
  <c r="G26" i="2" s="1"/>
  <c r="K26" i="1"/>
  <c r="K26" i="2" s="1"/>
  <c r="Q26" i="1"/>
  <c r="Q26" i="2" s="1"/>
  <c r="P35" i="1"/>
  <c r="P35" i="2" s="1"/>
  <c r="G35" i="1"/>
  <c r="G35" i="2" s="1"/>
  <c r="H35" i="1"/>
  <c r="H35" i="2" s="1"/>
  <c r="K35" i="1"/>
  <c r="K35" i="2" s="1"/>
  <c r="Q35" i="1"/>
  <c r="Q35" i="2" s="1"/>
  <c r="N35" i="1"/>
  <c r="N35" i="2" s="1"/>
  <c r="J35" i="1"/>
  <c r="J35" i="2" s="1"/>
  <c r="M35" i="1"/>
  <c r="M35" i="2" s="1"/>
  <c r="O35" i="1"/>
  <c r="O35" i="2" s="1"/>
  <c r="I35" i="1"/>
  <c r="I35" i="2" s="1"/>
  <c r="L35" i="1"/>
  <c r="F35" i="1"/>
  <c r="O25" i="1"/>
  <c r="O25" i="2" s="1"/>
  <c r="I25" i="1"/>
  <c r="I25" i="2" s="1"/>
  <c r="P25" i="1"/>
  <c r="P25" i="2" s="1"/>
  <c r="F25" i="1"/>
  <c r="J25" i="1"/>
  <c r="J25" i="2" s="1"/>
  <c r="G25" i="1"/>
  <c r="G25" i="2" s="1"/>
  <c r="K25" i="1"/>
  <c r="K25" i="2" s="1"/>
  <c r="Q25" i="1"/>
  <c r="Q25" i="2" s="1"/>
  <c r="N25" i="1"/>
  <c r="N25" i="2" s="1"/>
  <c r="M25" i="1"/>
  <c r="M25" i="2" s="1"/>
  <c r="L25" i="1"/>
  <c r="H25" i="1"/>
  <c r="H25" i="2" s="1"/>
  <c r="I17" i="1"/>
  <c r="I17" i="2" s="1"/>
  <c r="O17" i="1"/>
  <c r="O17" i="2" s="1"/>
  <c r="L17" i="1"/>
  <c r="Q17" i="1"/>
  <c r="Q17" i="2" s="1"/>
  <c r="N17" i="1"/>
  <c r="N17" i="2" s="1"/>
  <c r="H17" i="1"/>
  <c r="H17" i="2" s="1"/>
  <c r="G17" i="1"/>
  <c r="G17" i="2" s="1"/>
  <c r="M17" i="1"/>
  <c r="M17" i="2" s="1"/>
  <c r="J17" i="1"/>
  <c r="J17" i="2" s="1"/>
  <c r="F17" i="1"/>
  <c r="P17" i="1"/>
  <c r="P17" i="2" s="1"/>
  <c r="K17" i="1"/>
  <c r="K17" i="2" s="1"/>
  <c r="G30" i="1"/>
  <c r="G30" i="2" s="1"/>
  <c r="P30" i="1"/>
  <c r="P30" i="2" s="1"/>
  <c r="N30" i="1"/>
  <c r="N30" i="2" s="1"/>
  <c r="M30" i="1"/>
  <c r="M30" i="2" s="1"/>
  <c r="L30" i="1"/>
  <c r="Q30" i="1"/>
  <c r="Q30" i="2" s="1"/>
  <c r="H30" i="1"/>
  <c r="H30" i="2" s="1"/>
  <c r="F30" i="1"/>
  <c r="J30" i="1"/>
  <c r="J30" i="2" s="1"/>
  <c r="O30" i="1"/>
  <c r="O30" i="2" s="1"/>
  <c r="K30" i="1"/>
  <c r="K30" i="2" s="1"/>
  <c r="I30" i="1"/>
  <c r="I30" i="2" s="1"/>
  <c r="P18" i="1"/>
  <c r="P18" i="2" s="1"/>
  <c r="L18" i="1"/>
  <c r="F18" i="1"/>
  <c r="O18" i="1"/>
  <c r="O18" i="2" s="1"/>
  <c r="Q18" i="1"/>
  <c r="Q18" i="2" s="1"/>
  <c r="M18" i="1"/>
  <c r="M18" i="2" s="1"/>
  <c r="K18" i="1"/>
  <c r="K18" i="2" s="1"/>
  <c r="I18" i="1"/>
  <c r="I18" i="2" s="1"/>
  <c r="N18" i="1"/>
  <c r="N18" i="2" s="1"/>
  <c r="J18" i="1"/>
  <c r="J18" i="2" s="1"/>
  <c r="H18" i="1"/>
  <c r="H18" i="2" s="1"/>
  <c r="G18" i="1"/>
  <c r="G18" i="2" s="1"/>
  <c r="F27" i="1"/>
  <c r="G27" i="1"/>
  <c r="G27" i="2" s="1"/>
  <c r="N27" i="1"/>
  <c r="N27" i="2" s="1"/>
  <c r="I27" i="1"/>
  <c r="I27" i="2" s="1"/>
  <c r="L27" i="1"/>
  <c r="O27" i="1"/>
  <c r="O27" i="2" s="1"/>
  <c r="J27" i="1"/>
  <c r="J27" i="2" s="1"/>
  <c r="Q27" i="1"/>
  <c r="Q27" i="2" s="1"/>
  <c r="P27" i="1"/>
  <c r="P27" i="2" s="1"/>
  <c r="K27" i="1"/>
  <c r="K27" i="2" s="1"/>
  <c r="H27" i="1"/>
  <c r="H27" i="2" s="1"/>
  <c r="M27" i="1"/>
  <c r="M27" i="2" s="1"/>
  <c r="K34" i="1"/>
  <c r="K34" i="2" s="1"/>
  <c r="M34" i="1"/>
  <c r="M34" i="2" s="1"/>
  <c r="Q34" i="1"/>
  <c r="Q34" i="2" s="1"/>
  <c r="I34" i="1"/>
  <c r="I34" i="2" s="1"/>
  <c r="H34" i="1"/>
  <c r="H34" i="2" s="1"/>
  <c r="F34" i="1"/>
  <c r="J34" i="1"/>
  <c r="J34" i="2" s="1"/>
  <c r="N34" i="1"/>
  <c r="N34" i="2" s="1"/>
  <c r="P34" i="1"/>
  <c r="P34" i="2" s="1"/>
  <c r="O34" i="1"/>
  <c r="O34" i="2" s="1"/>
  <c r="L34" i="1"/>
  <c r="G34" i="1"/>
  <c r="G34" i="2" s="1"/>
  <c r="M23" i="1"/>
  <c r="M23" i="2" s="1"/>
  <c r="J23" i="1"/>
  <c r="J23" i="2" s="1"/>
  <c r="H23" i="1"/>
  <c r="H23" i="2" s="1"/>
  <c r="O23" i="1"/>
  <c r="O23" i="2" s="1"/>
  <c r="Q23" i="1"/>
  <c r="Q23" i="2" s="1"/>
  <c r="L23" i="1"/>
  <c r="G23" i="1"/>
  <c r="G23" i="2" s="1"/>
  <c r="F23" i="1"/>
  <c r="P23" i="1"/>
  <c r="P23" i="2" s="1"/>
  <c r="K23" i="1"/>
  <c r="K23" i="2" s="1"/>
  <c r="N23" i="1"/>
  <c r="N23" i="2" s="1"/>
  <c r="I23" i="1"/>
  <c r="I23" i="2" s="1"/>
  <c r="N19" i="1"/>
  <c r="N19" i="2" s="1"/>
  <c r="G19" i="1"/>
  <c r="G19" i="2" s="1"/>
  <c r="L19" i="1"/>
  <c r="K19" i="1"/>
  <c r="K19" i="2" s="1"/>
  <c r="H19" i="1"/>
  <c r="H19" i="2" s="1"/>
  <c r="J19" i="1"/>
  <c r="J19" i="2" s="1"/>
  <c r="O19" i="1"/>
  <c r="O19" i="2" s="1"/>
  <c r="P19" i="1"/>
  <c r="P19" i="2" s="1"/>
  <c r="F19" i="1"/>
  <c r="Q19" i="1"/>
  <c r="Q19" i="2" s="1"/>
  <c r="I19" i="1"/>
  <c r="I19" i="2" s="1"/>
  <c r="M19" i="1"/>
  <c r="M19" i="2" s="1"/>
  <c r="G33" i="1"/>
  <c r="G33" i="2" s="1"/>
  <c r="L33" i="1"/>
  <c r="H33" i="1"/>
  <c r="H33" i="2" s="1"/>
  <c r="O33" i="1"/>
  <c r="O33" i="2" s="1"/>
  <c r="J33" i="1"/>
  <c r="J33" i="2" s="1"/>
  <c r="M33" i="1"/>
  <c r="M33" i="2" s="1"/>
  <c r="I33" i="1"/>
  <c r="I33" i="2" s="1"/>
  <c r="K33" i="1"/>
  <c r="K33" i="2" s="1"/>
  <c r="P33" i="1"/>
  <c r="P33" i="2" s="1"/>
  <c r="F33" i="1"/>
  <c r="Q33" i="1"/>
  <c r="Q33" i="2" s="1"/>
  <c r="N33" i="1"/>
  <c r="N33" i="2" s="1"/>
  <c r="H24" i="1"/>
  <c r="H24" i="2" s="1"/>
  <c r="M24" i="1"/>
  <c r="M24" i="2" s="1"/>
  <c r="O24" i="1"/>
  <c r="O24" i="2" s="1"/>
  <c r="L24" i="1"/>
  <c r="J24" i="1"/>
  <c r="J24" i="2" s="1"/>
  <c r="I24" i="1"/>
  <c r="I24" i="2" s="1"/>
  <c r="F24" i="1"/>
  <c r="G24" i="1"/>
  <c r="G24" i="2" s="1"/>
  <c r="Q24" i="1"/>
  <c r="Q24" i="2" s="1"/>
  <c r="N24" i="1"/>
  <c r="N24" i="2" s="1"/>
  <c r="K24" i="1"/>
  <c r="K24" i="2" s="1"/>
  <c r="P24" i="1"/>
  <c r="P24" i="2" s="1"/>
  <c r="K28" i="1"/>
  <c r="K28" i="2" s="1"/>
  <c r="P28" i="1"/>
  <c r="P28" i="2" s="1"/>
  <c r="M28" i="1"/>
  <c r="M28" i="2" s="1"/>
  <c r="Q28" i="1"/>
  <c r="Q28" i="2" s="1"/>
  <c r="O28" i="1"/>
  <c r="O28" i="2" s="1"/>
  <c r="F28" i="1"/>
  <c r="G28" i="1"/>
  <c r="G28" i="2" s="1"/>
  <c r="I28" i="1"/>
  <c r="I28" i="2" s="1"/>
  <c r="H28" i="1"/>
  <c r="H28" i="2" s="1"/>
  <c r="N28" i="1"/>
  <c r="N28" i="2" s="1"/>
  <c r="L28" i="1"/>
  <c r="J28" i="1"/>
  <c r="J28" i="2" s="1"/>
  <c r="H21" i="1"/>
  <c r="H21" i="2" s="1"/>
  <c r="P21" i="1"/>
  <c r="P21" i="2" s="1"/>
  <c r="O21" i="1"/>
  <c r="O21" i="2" s="1"/>
  <c r="L21" i="1"/>
  <c r="N21" i="1"/>
  <c r="N21" i="2" s="1"/>
  <c r="J21" i="1"/>
  <c r="J21" i="2" s="1"/>
  <c r="I21" i="1"/>
  <c r="I21" i="2" s="1"/>
  <c r="K21" i="1"/>
  <c r="K21" i="2" s="1"/>
  <c r="F21" i="1"/>
  <c r="G21" i="1"/>
  <c r="G21" i="2" s="1"/>
  <c r="Q21" i="1"/>
  <c r="Q21" i="2" s="1"/>
  <c r="M21" i="1"/>
  <c r="M21" i="2" s="1"/>
  <c r="L29" i="1"/>
  <c r="I29" i="1"/>
  <c r="I29" i="2" s="1"/>
  <c r="H29" i="1"/>
  <c r="H29" i="2" s="1"/>
  <c r="K29" i="1"/>
  <c r="K29" i="2" s="1"/>
  <c r="J29" i="1"/>
  <c r="J29" i="2" s="1"/>
  <c r="M29" i="1"/>
  <c r="M29" i="2" s="1"/>
  <c r="Q29" i="1"/>
  <c r="Q29" i="2" s="1"/>
  <c r="O29" i="1"/>
  <c r="O29" i="2" s="1"/>
  <c r="N29" i="1"/>
  <c r="N29" i="2" s="1"/>
  <c r="F29" i="1"/>
  <c r="P29" i="1"/>
  <c r="P29" i="2" s="1"/>
  <c r="G29" i="1"/>
  <c r="G29" i="2" s="1"/>
  <c r="J22" i="2" l="1"/>
  <c r="L21" i="2"/>
  <c r="S21" i="2" s="1"/>
  <c r="T21" i="1"/>
  <c r="U21" i="1" s="1"/>
  <c r="L24" i="2"/>
  <c r="S24" i="2" s="1"/>
  <c r="T24" i="1"/>
  <c r="U24" i="1" s="1"/>
  <c r="R23" i="1"/>
  <c r="F23" i="2"/>
  <c r="F30" i="2"/>
  <c r="R30" i="2" s="1"/>
  <c r="R30" i="1"/>
  <c r="R35" i="1"/>
  <c r="F35" i="2"/>
  <c r="R35" i="2" s="1"/>
  <c r="T16" i="1"/>
  <c r="U16" i="1" s="1"/>
  <c r="L16" i="2"/>
  <c r="G22" i="2"/>
  <c r="F31" i="2"/>
  <c r="R31" i="2" s="1"/>
  <c r="R31" i="1"/>
  <c r="L32" i="2"/>
  <c r="S32" i="2" s="1"/>
  <c r="T32" i="1"/>
  <c r="U32" i="1" s="1"/>
  <c r="L34" i="2"/>
  <c r="S34" i="2" s="1"/>
  <c r="T34" i="1"/>
  <c r="U34" i="1" s="1"/>
  <c r="L35" i="2"/>
  <c r="S35" i="2" s="1"/>
  <c r="T35" i="1"/>
  <c r="U35" i="1" s="1"/>
  <c r="R28" i="1"/>
  <c r="F28" i="2"/>
  <c r="R28" i="2" s="1"/>
  <c r="L23" i="2"/>
  <c r="T23" i="1"/>
  <c r="U23" i="1" s="1"/>
  <c r="L18" i="2"/>
  <c r="S18" i="2" s="1"/>
  <c r="T18" i="1"/>
  <c r="U18" i="1" s="1"/>
  <c r="F17" i="2"/>
  <c r="R17" i="2" s="1"/>
  <c r="R17" i="1"/>
  <c r="R26" i="1"/>
  <c r="F26" i="2"/>
  <c r="R26" i="2" s="1"/>
  <c r="P22" i="2"/>
  <c r="O22" i="2"/>
  <c r="T19" i="1"/>
  <c r="U19" i="1" s="1"/>
  <c r="L19" i="2"/>
  <c r="S19" i="2" s="1"/>
  <c r="R21" i="1"/>
  <c r="F21" i="2"/>
  <c r="R21" i="2" s="1"/>
  <c r="F19" i="2"/>
  <c r="R19" i="2" s="1"/>
  <c r="R19" i="1"/>
  <c r="Q36" i="2"/>
  <c r="T27" i="1"/>
  <c r="U27" i="1" s="1"/>
  <c r="L27" i="2"/>
  <c r="S27" i="2" s="1"/>
  <c r="L30" i="2"/>
  <c r="S30" i="2" s="1"/>
  <c r="T30" i="1"/>
  <c r="U30" i="1" s="1"/>
  <c r="H22" i="2"/>
  <c r="I22" i="2"/>
  <c r="G36" i="2"/>
  <c r="T17" i="1"/>
  <c r="U17" i="1" s="1"/>
  <c r="L17" i="2"/>
  <c r="S17" i="2" s="1"/>
  <c r="R16" i="1"/>
  <c r="R69" i="1" s="1"/>
  <c r="F16" i="2"/>
  <c r="T20" i="1"/>
  <c r="U20" i="1" s="1"/>
  <c r="L20" i="2"/>
  <c r="S20" i="2" s="1"/>
  <c r="I36" i="2"/>
  <c r="O36" i="2"/>
  <c r="R25" i="1"/>
  <c r="F25" i="2"/>
  <c r="R25" i="2" s="1"/>
  <c r="M22" i="2"/>
  <c r="T31" i="1"/>
  <c r="U31" i="1" s="1"/>
  <c r="L31" i="2"/>
  <c r="S31" i="2" s="1"/>
  <c r="R32" i="1"/>
  <c r="F32" i="2"/>
  <c r="R32" i="2" s="1"/>
  <c r="R18" i="1"/>
  <c r="F18" i="2"/>
  <c r="R18" i="2" s="1"/>
  <c r="L28" i="2"/>
  <c r="S28" i="2" s="1"/>
  <c r="T28" i="1"/>
  <c r="U28" i="1" s="1"/>
  <c r="F24" i="2"/>
  <c r="R24" i="2" s="1"/>
  <c r="T24" i="2" s="1"/>
  <c r="R24" i="1"/>
  <c r="N36" i="2"/>
  <c r="H36" i="2"/>
  <c r="T25" i="1"/>
  <c r="U25" i="1" s="1"/>
  <c r="L25" i="2"/>
  <c r="S25" i="2" s="1"/>
  <c r="L26" i="2"/>
  <c r="S26" i="2" s="1"/>
  <c r="T26" i="1"/>
  <c r="U26" i="1" s="1"/>
  <c r="N22" i="2"/>
  <c r="F29" i="2"/>
  <c r="R29" i="2" s="1"/>
  <c r="R29" i="1"/>
  <c r="R33" i="1"/>
  <c r="F33" i="2"/>
  <c r="R33" i="2" s="1"/>
  <c r="T33" i="1"/>
  <c r="U33" i="1" s="1"/>
  <c r="L33" i="2"/>
  <c r="S33" i="2" s="1"/>
  <c r="K36" i="2"/>
  <c r="J36" i="2"/>
  <c r="R34" i="1"/>
  <c r="F34" i="2"/>
  <c r="R34" i="2" s="1"/>
  <c r="T34" i="2" s="1"/>
  <c r="Q22" i="2"/>
  <c r="L29" i="2"/>
  <c r="S29" i="2" s="1"/>
  <c r="T29" i="1"/>
  <c r="U29" i="1" s="1"/>
  <c r="P36" i="2"/>
  <c r="M36" i="2"/>
  <c r="F27" i="2"/>
  <c r="R27" i="2" s="1"/>
  <c r="T27" i="2" s="1"/>
  <c r="R27" i="1"/>
  <c r="K22" i="2"/>
  <c r="R20" i="1"/>
  <c r="F20" i="2"/>
  <c r="R20" i="2" s="1"/>
  <c r="T20" i="2" l="1"/>
  <c r="T18" i="2"/>
  <c r="T19" i="2"/>
  <c r="T33" i="2"/>
  <c r="T26" i="2"/>
  <c r="T28" i="2"/>
  <c r="T21" i="2"/>
  <c r="T32" i="2"/>
  <c r="T30" i="2"/>
  <c r="T31" i="2"/>
  <c r="T17" i="2"/>
  <c r="V25" i="1"/>
  <c r="W25" i="1" s="1"/>
  <c r="S25" i="1"/>
  <c r="L36" i="2"/>
  <c r="S36" i="2" s="1"/>
  <c r="S23" i="2"/>
  <c r="V30" i="1"/>
  <c r="W30" i="1" s="1"/>
  <c r="S30" i="1"/>
  <c r="F36" i="2"/>
  <c r="R36" i="2" s="1"/>
  <c r="R23" i="2"/>
  <c r="S29" i="1"/>
  <c r="V29" i="1"/>
  <c r="W29" i="1" s="1"/>
  <c r="V32" i="1"/>
  <c r="W32" i="1" s="1"/>
  <c r="S32" i="1"/>
  <c r="V17" i="1"/>
  <c r="W17" i="1" s="1"/>
  <c r="S17" i="1"/>
  <c r="S23" i="1"/>
  <c r="V23" i="1"/>
  <c r="W23" i="1" s="1"/>
  <c r="V33" i="1"/>
  <c r="W33" i="1" s="1"/>
  <c r="S33" i="1"/>
  <c r="S34" i="1"/>
  <c r="V34" i="1"/>
  <c r="W34" i="1" s="1"/>
  <c r="T29" i="2"/>
  <c r="V24" i="1"/>
  <c r="W24" i="1" s="1"/>
  <c r="S24" i="1"/>
  <c r="V21" i="1"/>
  <c r="W21" i="1" s="1"/>
  <c r="S21" i="1"/>
  <c r="L22" i="2"/>
  <c r="S22" i="2" s="1"/>
  <c r="S16" i="2"/>
  <c r="S18" i="1"/>
  <c r="V18" i="1"/>
  <c r="W18" i="1" s="1"/>
  <c r="V31" i="1"/>
  <c r="W31" i="1" s="1"/>
  <c r="S31" i="1"/>
  <c r="V20" i="1"/>
  <c r="W20" i="1" s="1"/>
  <c r="S20" i="1"/>
  <c r="S28" i="1"/>
  <c r="V28" i="1"/>
  <c r="W28" i="1" s="1"/>
  <c r="V27" i="1"/>
  <c r="W27" i="1" s="1"/>
  <c r="S27" i="1"/>
  <c r="F22" i="2"/>
  <c r="R22" i="2" s="1"/>
  <c r="R16" i="2"/>
  <c r="S19" i="1"/>
  <c r="V19" i="1"/>
  <c r="W19" i="1" s="1"/>
  <c r="V26" i="1"/>
  <c r="W26" i="1" s="1"/>
  <c r="S26" i="1"/>
  <c r="V16" i="1"/>
  <c r="W16" i="1" s="1"/>
  <c r="S16" i="1"/>
  <c r="S69" i="1" s="1"/>
  <c r="T35" i="2"/>
  <c r="T25" i="2"/>
  <c r="S35" i="1"/>
  <c r="V35" i="1"/>
  <c r="W35" i="1" s="1"/>
  <c r="E56" i="1"/>
  <c r="T22" i="2" l="1"/>
  <c r="T23" i="2"/>
  <c r="T16" i="2"/>
  <c r="T36" i="2"/>
  <c r="Y20" i="1"/>
  <c r="X20" i="1"/>
  <c r="X21" i="1"/>
  <c r="Y21" i="1"/>
  <c r="X23" i="1"/>
  <c r="Y23" i="1"/>
  <c r="X31" i="1"/>
  <c r="Y31" i="1"/>
  <c r="X24" i="1"/>
  <c r="Y24" i="1"/>
  <c r="X18" i="1"/>
  <c r="Y18" i="1"/>
  <c r="X17" i="1"/>
  <c r="Y17" i="1"/>
  <c r="Y30" i="1"/>
  <c r="X30" i="1"/>
  <c r="Y16" i="1"/>
  <c r="X16" i="1"/>
  <c r="X27" i="1"/>
  <c r="Y27" i="1"/>
  <c r="X34" i="1"/>
  <c r="Y34" i="1"/>
  <c r="O56" i="1"/>
  <c r="O56" i="2" s="1"/>
  <c r="P56" i="1"/>
  <c r="P56" i="2" s="1"/>
  <c r="J56" i="1"/>
  <c r="J56" i="2" s="1"/>
  <c r="M56" i="1"/>
  <c r="M56" i="2" s="1"/>
  <c r="Q56" i="1"/>
  <c r="Q56" i="2" s="1"/>
  <c r="L56" i="1"/>
  <c r="K56" i="1"/>
  <c r="K56" i="2" s="1"/>
  <c r="G56" i="1"/>
  <c r="G56" i="2" s="1"/>
  <c r="H56" i="1"/>
  <c r="H56" i="2" s="1"/>
  <c r="I56" i="1"/>
  <c r="I56" i="2" s="1"/>
  <c r="F56" i="1"/>
  <c r="N56" i="1"/>
  <c r="N56" i="2" s="1"/>
  <c r="Y28" i="1"/>
  <c r="X28" i="1"/>
  <c r="X32" i="1"/>
  <c r="Y32" i="1"/>
  <c r="Y35" i="1"/>
  <c r="X35" i="1"/>
  <c r="X26" i="1"/>
  <c r="Y26" i="1"/>
  <c r="Y29" i="1"/>
  <c r="X29" i="1"/>
  <c r="X19" i="1"/>
  <c r="Y19" i="1"/>
  <c r="X33" i="1"/>
  <c r="Y33" i="1"/>
  <c r="Y25" i="1"/>
  <c r="X25" i="1"/>
  <c r="Z29" i="1" l="1"/>
  <c r="AA29" i="1" s="1"/>
  <c r="Z28" i="1"/>
  <c r="AA28" i="1" s="1"/>
  <c r="Z21" i="1"/>
  <c r="AA21" i="1" s="1"/>
  <c r="Z26" i="1"/>
  <c r="AA26" i="1" s="1"/>
  <c r="Z20" i="1"/>
  <c r="AA20" i="1" s="1"/>
  <c r="Z33" i="1"/>
  <c r="AA33" i="1" s="1"/>
  <c r="Z31" i="1"/>
  <c r="AA31" i="1" s="1"/>
  <c r="Z19" i="1"/>
  <c r="AA19" i="1" s="1"/>
  <c r="Z32" i="1"/>
  <c r="AA32" i="1" s="1"/>
  <c r="Z34" i="1"/>
  <c r="AA34" i="1" s="1"/>
  <c r="Z17" i="1"/>
  <c r="AA17" i="1" s="1"/>
  <c r="T56" i="1"/>
  <c r="U56" i="1" s="1"/>
  <c r="L56" i="2"/>
  <c r="S56" i="2" s="1"/>
  <c r="Z23" i="1"/>
  <c r="AA23" i="1" s="1"/>
  <c r="Z27" i="1"/>
  <c r="AA27" i="1" s="1"/>
  <c r="Z18" i="1"/>
  <c r="AA18" i="1" s="1"/>
  <c r="Z25" i="1"/>
  <c r="AA25" i="1" s="1"/>
  <c r="Z16" i="1"/>
  <c r="AA16" i="1" s="1"/>
  <c r="F56" i="2"/>
  <c r="R56" i="2" s="1"/>
  <c r="R56" i="1"/>
  <c r="Z24" i="1"/>
  <c r="AA24" i="1" s="1"/>
  <c r="Z35" i="1"/>
  <c r="AA35" i="1" s="1"/>
  <c r="Z30" i="1"/>
  <c r="AA30" i="1" s="1"/>
  <c r="D44" i="15"/>
  <c r="D23" i="15"/>
  <c r="D48" i="15"/>
  <c r="D16" i="15"/>
  <c r="D7" i="15"/>
  <c r="D45" i="15"/>
  <c r="D9" i="15"/>
  <c r="D8" i="15"/>
  <c r="D30" i="15"/>
  <c r="D47" i="15"/>
  <c r="D40" i="15"/>
  <c r="D29" i="15"/>
  <c r="D19" i="15"/>
  <c r="D33" i="15"/>
  <c r="D12" i="15"/>
  <c r="D21" i="15"/>
  <c r="D39" i="15"/>
  <c r="D25" i="15"/>
  <c r="D57" i="15"/>
  <c r="D11" i="15"/>
  <c r="D41" i="15"/>
  <c r="D37" i="15"/>
  <c r="D28" i="15"/>
  <c r="D42" i="15"/>
  <c r="D58" i="15"/>
  <c r="D22" i="15"/>
  <c r="D36" i="15"/>
  <c r="D13" i="15"/>
  <c r="D14" i="15"/>
  <c r="D10" i="15"/>
  <c r="D38" i="15"/>
  <c r="D50" i="15"/>
  <c r="D49" i="15"/>
  <c r="D46" i="15"/>
  <c r="D17" i="15"/>
  <c r="D18" i="15"/>
  <c r="D43" i="15"/>
  <c r="D31" i="15"/>
  <c r="AA36" i="1" l="1"/>
  <c r="I13" i="15"/>
  <c r="I13" i="16" s="1"/>
  <c r="G13" i="15"/>
  <c r="G13" i="16" s="1"/>
  <c r="H13" i="15"/>
  <c r="H13" i="16" s="1"/>
  <c r="K13" i="15"/>
  <c r="N13" i="15"/>
  <c r="N13" i="16" s="1"/>
  <c r="E13" i="15"/>
  <c r="M13" i="15"/>
  <c r="M13" i="16" s="1"/>
  <c r="J13" i="15"/>
  <c r="J13" i="16" s="1"/>
  <c r="O13" i="15"/>
  <c r="O13" i="16" s="1"/>
  <c r="F13" i="15"/>
  <c r="F13" i="16" s="1"/>
  <c r="L13" i="15"/>
  <c r="L13" i="16" s="1"/>
  <c r="P13" i="15"/>
  <c r="P13" i="16" s="1"/>
  <c r="O50" i="15"/>
  <c r="O50" i="16" s="1"/>
  <c r="I50" i="15"/>
  <c r="I50" i="16" s="1"/>
  <c r="K50" i="15"/>
  <c r="F50" i="15"/>
  <c r="F50" i="16" s="1"/>
  <c r="L50" i="15"/>
  <c r="L50" i="16" s="1"/>
  <c r="P50" i="15"/>
  <c r="P50" i="16" s="1"/>
  <c r="G50" i="15"/>
  <c r="G50" i="16" s="1"/>
  <c r="M50" i="15"/>
  <c r="M50" i="16" s="1"/>
  <c r="H50" i="15"/>
  <c r="H50" i="16" s="1"/>
  <c r="E50" i="15"/>
  <c r="J50" i="15"/>
  <c r="J50" i="16" s="1"/>
  <c r="N50" i="15"/>
  <c r="N50" i="16" s="1"/>
  <c r="K29" i="15"/>
  <c r="M29" i="15"/>
  <c r="M28" i="16" s="1"/>
  <c r="N29" i="15"/>
  <c r="N28" i="16" s="1"/>
  <c r="L29" i="15"/>
  <c r="L28" i="16" s="1"/>
  <c r="G29" i="15"/>
  <c r="G28" i="16" s="1"/>
  <c r="E29" i="15"/>
  <c r="I29" i="15"/>
  <c r="I28" i="16" s="1"/>
  <c r="P29" i="15"/>
  <c r="P28" i="16" s="1"/>
  <c r="O29" i="15"/>
  <c r="O28" i="16" s="1"/>
  <c r="F29" i="15"/>
  <c r="F28" i="16" s="1"/>
  <c r="J29" i="15"/>
  <c r="J28" i="16" s="1"/>
  <c r="H29" i="15"/>
  <c r="H28" i="16" s="1"/>
  <c r="L18" i="15"/>
  <c r="L18" i="16" s="1"/>
  <c r="G18" i="15"/>
  <c r="G18" i="16" s="1"/>
  <c r="F18" i="15"/>
  <c r="F18" i="16" s="1"/>
  <c r="M18" i="15"/>
  <c r="M18" i="16" s="1"/>
  <c r="K18" i="15"/>
  <c r="O18" i="15"/>
  <c r="O18" i="16" s="1"/>
  <c r="E18" i="15"/>
  <c r="H18" i="15"/>
  <c r="H18" i="16" s="1"/>
  <c r="P18" i="15"/>
  <c r="P18" i="16" s="1"/>
  <c r="J18" i="15"/>
  <c r="J18" i="16" s="1"/>
  <c r="I18" i="15"/>
  <c r="I18" i="16" s="1"/>
  <c r="N18" i="15"/>
  <c r="N18" i="16" s="1"/>
  <c r="K11" i="15"/>
  <c r="N11" i="15"/>
  <c r="N11" i="16" s="1"/>
  <c r="F11" i="15"/>
  <c r="F11" i="16" s="1"/>
  <c r="I11" i="15"/>
  <c r="I11" i="16" s="1"/>
  <c r="J11" i="15"/>
  <c r="J11" i="16" s="1"/>
  <c r="H11" i="15"/>
  <c r="H11" i="16" s="1"/>
  <c r="P11" i="15"/>
  <c r="P11" i="16" s="1"/>
  <c r="L11" i="15"/>
  <c r="L11" i="16" s="1"/>
  <c r="M11" i="15"/>
  <c r="M11" i="16" s="1"/>
  <c r="O11" i="15"/>
  <c r="O11" i="16" s="1"/>
  <c r="G11" i="15"/>
  <c r="G11" i="16" s="1"/>
  <c r="E11" i="15"/>
  <c r="P16" i="15"/>
  <c r="L16" i="15"/>
  <c r="N16" i="15"/>
  <c r="O16" i="15"/>
  <c r="E16" i="15"/>
  <c r="K16" i="15"/>
  <c r="J16" i="15"/>
  <c r="M16" i="15"/>
  <c r="H16" i="15"/>
  <c r="I16" i="15"/>
  <c r="G16" i="15"/>
  <c r="F16" i="15"/>
  <c r="K17" i="15"/>
  <c r="L17" i="15"/>
  <c r="L17" i="16" s="1"/>
  <c r="P17" i="15"/>
  <c r="P17" i="16" s="1"/>
  <c r="N17" i="15"/>
  <c r="N17" i="16" s="1"/>
  <c r="E17" i="15"/>
  <c r="J17" i="15"/>
  <c r="J17" i="16" s="1"/>
  <c r="I17" i="15"/>
  <c r="I17" i="16" s="1"/>
  <c r="O17" i="15"/>
  <c r="O17" i="16" s="1"/>
  <c r="H17" i="15"/>
  <c r="H17" i="16" s="1"/>
  <c r="G17" i="15"/>
  <c r="G17" i="16" s="1"/>
  <c r="F17" i="15"/>
  <c r="F17" i="16" s="1"/>
  <c r="M17" i="15"/>
  <c r="M17" i="16" s="1"/>
  <c r="I38" i="15"/>
  <c r="I38" i="16" s="1"/>
  <c r="O38" i="15"/>
  <c r="O38" i="16" s="1"/>
  <c r="L38" i="15"/>
  <c r="L38" i="16" s="1"/>
  <c r="G38" i="15"/>
  <c r="G38" i="16" s="1"/>
  <c r="N38" i="15"/>
  <c r="N38" i="16" s="1"/>
  <c r="J38" i="15"/>
  <c r="J38" i="16" s="1"/>
  <c r="H38" i="15"/>
  <c r="H38" i="16" s="1"/>
  <c r="K38" i="15"/>
  <c r="F38" i="15"/>
  <c r="F38" i="16" s="1"/>
  <c r="E38" i="15"/>
  <c r="M38" i="15"/>
  <c r="M38" i="16" s="1"/>
  <c r="P38" i="15"/>
  <c r="P38" i="16" s="1"/>
  <c r="E36" i="15"/>
  <c r="M36" i="15"/>
  <c r="M36" i="16" s="1"/>
  <c r="N36" i="15"/>
  <c r="N36" i="16" s="1"/>
  <c r="J36" i="15"/>
  <c r="J36" i="16" s="1"/>
  <c r="H36" i="15"/>
  <c r="H36" i="16" s="1"/>
  <c r="I36" i="15"/>
  <c r="I36" i="16" s="1"/>
  <c r="O36" i="15"/>
  <c r="O36" i="16" s="1"/>
  <c r="K36" i="15"/>
  <c r="P36" i="15"/>
  <c r="P36" i="16" s="1"/>
  <c r="L36" i="15"/>
  <c r="L36" i="16" s="1"/>
  <c r="G36" i="15"/>
  <c r="G36" i="16" s="1"/>
  <c r="F36" i="15"/>
  <c r="F36" i="16" s="1"/>
  <c r="I28" i="15"/>
  <c r="I27" i="16" s="1"/>
  <c r="L28" i="15"/>
  <c r="L27" i="16" s="1"/>
  <c r="H28" i="15"/>
  <c r="H27" i="16" s="1"/>
  <c r="O28" i="15"/>
  <c r="O27" i="16" s="1"/>
  <c r="E28" i="15"/>
  <c r="P28" i="15"/>
  <c r="P27" i="16" s="1"/>
  <c r="N28" i="15"/>
  <c r="N27" i="16" s="1"/>
  <c r="K28" i="15"/>
  <c r="J28" i="15"/>
  <c r="J27" i="16" s="1"/>
  <c r="G28" i="15"/>
  <c r="G27" i="16" s="1"/>
  <c r="F28" i="15"/>
  <c r="F27" i="16" s="1"/>
  <c r="M28" i="15"/>
  <c r="M27" i="16" s="1"/>
  <c r="E57" i="15"/>
  <c r="H57" i="15"/>
  <c r="H57" i="16" s="1"/>
  <c r="F57" i="15"/>
  <c r="F57" i="16" s="1"/>
  <c r="M57" i="15"/>
  <c r="M57" i="16" s="1"/>
  <c r="O57" i="15"/>
  <c r="O57" i="16" s="1"/>
  <c r="K57" i="15"/>
  <c r="I57" i="15"/>
  <c r="I57" i="16" s="1"/>
  <c r="J57" i="15"/>
  <c r="J57" i="16" s="1"/>
  <c r="P57" i="15"/>
  <c r="P57" i="16" s="1"/>
  <c r="G57" i="15"/>
  <c r="G57" i="16" s="1"/>
  <c r="N57" i="15"/>
  <c r="N57" i="16" s="1"/>
  <c r="L57" i="15"/>
  <c r="L57" i="16" s="1"/>
  <c r="L12" i="15"/>
  <c r="L12" i="16" s="1"/>
  <c r="I12" i="15"/>
  <c r="I12" i="16" s="1"/>
  <c r="O12" i="15"/>
  <c r="O12" i="16" s="1"/>
  <c r="P12" i="15"/>
  <c r="P12" i="16" s="1"/>
  <c r="H12" i="15"/>
  <c r="H12" i="16" s="1"/>
  <c r="K12" i="15"/>
  <c r="J12" i="15"/>
  <c r="J12" i="16" s="1"/>
  <c r="M12" i="15"/>
  <c r="M12" i="16" s="1"/>
  <c r="G12" i="15"/>
  <c r="G12" i="16" s="1"/>
  <c r="N12" i="15"/>
  <c r="N12" i="16" s="1"/>
  <c r="F12" i="15"/>
  <c r="F12" i="16" s="1"/>
  <c r="E12" i="15"/>
  <c r="M40" i="15"/>
  <c r="M40" i="16" s="1"/>
  <c r="N40" i="15"/>
  <c r="N40" i="16" s="1"/>
  <c r="K40" i="15"/>
  <c r="F40" i="15"/>
  <c r="F40" i="16" s="1"/>
  <c r="L40" i="15"/>
  <c r="L40" i="16" s="1"/>
  <c r="O40" i="15"/>
  <c r="O40" i="16" s="1"/>
  <c r="I40" i="15"/>
  <c r="I40" i="16" s="1"/>
  <c r="E40" i="15"/>
  <c r="G40" i="15"/>
  <c r="G40" i="16" s="1"/>
  <c r="J40" i="15"/>
  <c r="J40" i="16" s="1"/>
  <c r="P40" i="15"/>
  <c r="P40" i="16" s="1"/>
  <c r="H40" i="15"/>
  <c r="H40" i="16" s="1"/>
  <c r="J9" i="15"/>
  <c r="J9" i="16" s="1"/>
  <c r="K9" i="15"/>
  <c r="N9" i="15"/>
  <c r="N9" i="16" s="1"/>
  <c r="F9" i="15"/>
  <c r="F9" i="16" s="1"/>
  <c r="E9" i="15"/>
  <c r="M9" i="15"/>
  <c r="M9" i="16" s="1"/>
  <c r="L9" i="15"/>
  <c r="L9" i="16" s="1"/>
  <c r="P9" i="15"/>
  <c r="P9" i="16" s="1"/>
  <c r="O9" i="15"/>
  <c r="O9" i="16" s="1"/>
  <c r="G9" i="15"/>
  <c r="G9" i="16" s="1"/>
  <c r="I9" i="15"/>
  <c r="I9" i="16" s="1"/>
  <c r="H9" i="15"/>
  <c r="H9" i="16" s="1"/>
  <c r="N48" i="15"/>
  <c r="N48" i="16" s="1"/>
  <c r="G48" i="15"/>
  <c r="G48" i="16" s="1"/>
  <c r="J48" i="15"/>
  <c r="J48" i="16" s="1"/>
  <c r="E48" i="15"/>
  <c r="M48" i="15"/>
  <c r="M48" i="16" s="1"/>
  <c r="I48" i="15"/>
  <c r="I48" i="16" s="1"/>
  <c r="H48" i="15"/>
  <c r="H48" i="16" s="1"/>
  <c r="P48" i="15"/>
  <c r="P48" i="16" s="1"/>
  <c r="L48" i="15"/>
  <c r="L48" i="16" s="1"/>
  <c r="F48" i="15"/>
  <c r="F48" i="16" s="1"/>
  <c r="O48" i="15"/>
  <c r="O48" i="16" s="1"/>
  <c r="K48" i="15"/>
  <c r="V56" i="1"/>
  <c r="W56" i="1" s="1"/>
  <c r="S56" i="1"/>
  <c r="T56" i="2"/>
  <c r="M31" i="15"/>
  <c r="M30" i="16" s="1"/>
  <c r="H31" i="15"/>
  <c r="H30" i="16" s="1"/>
  <c r="F31" i="15"/>
  <c r="F30" i="16" s="1"/>
  <c r="L31" i="15"/>
  <c r="L30" i="16" s="1"/>
  <c r="O31" i="15"/>
  <c r="O30" i="16" s="1"/>
  <c r="J31" i="15"/>
  <c r="J30" i="16" s="1"/>
  <c r="I31" i="15"/>
  <c r="I30" i="16" s="1"/>
  <c r="P31" i="15"/>
  <c r="P30" i="16" s="1"/>
  <c r="N31" i="15"/>
  <c r="N30" i="16" s="1"/>
  <c r="K31" i="15"/>
  <c r="G31" i="15"/>
  <c r="G30" i="16" s="1"/>
  <c r="E31" i="15"/>
  <c r="O46" i="15"/>
  <c r="O46" i="16" s="1"/>
  <c r="I46" i="15"/>
  <c r="I46" i="16" s="1"/>
  <c r="N46" i="15"/>
  <c r="N46" i="16" s="1"/>
  <c r="F46" i="15"/>
  <c r="F46" i="16" s="1"/>
  <c r="G46" i="15"/>
  <c r="G46" i="16" s="1"/>
  <c r="H46" i="15"/>
  <c r="H46" i="16" s="1"/>
  <c r="J46" i="15"/>
  <c r="J46" i="16" s="1"/>
  <c r="M46" i="15"/>
  <c r="M46" i="16" s="1"/>
  <c r="K46" i="15"/>
  <c r="E46" i="15"/>
  <c r="P46" i="15"/>
  <c r="P46" i="16" s="1"/>
  <c r="L46" i="15"/>
  <c r="L46" i="16" s="1"/>
  <c r="I10" i="15"/>
  <c r="I10" i="16" s="1"/>
  <c r="O10" i="15"/>
  <c r="O10" i="16" s="1"/>
  <c r="N10" i="15"/>
  <c r="N10" i="16" s="1"/>
  <c r="G10" i="15"/>
  <c r="G10" i="16" s="1"/>
  <c r="P10" i="15"/>
  <c r="P10" i="16" s="1"/>
  <c r="J10" i="15"/>
  <c r="J10" i="16" s="1"/>
  <c r="H10" i="15"/>
  <c r="H10" i="16" s="1"/>
  <c r="E10" i="15"/>
  <c r="K10" i="15"/>
  <c r="F10" i="15"/>
  <c r="F10" i="16" s="1"/>
  <c r="M10" i="15"/>
  <c r="M10" i="16" s="1"/>
  <c r="L10" i="15"/>
  <c r="L10" i="16" s="1"/>
  <c r="L22" i="15"/>
  <c r="L21" i="16" s="1"/>
  <c r="P22" i="15"/>
  <c r="P21" i="16" s="1"/>
  <c r="G22" i="15"/>
  <c r="G21" i="16" s="1"/>
  <c r="F22" i="15"/>
  <c r="F21" i="16" s="1"/>
  <c r="E22" i="15"/>
  <c r="K22" i="15"/>
  <c r="I22" i="15"/>
  <c r="I21" i="16" s="1"/>
  <c r="N22" i="15"/>
  <c r="N21" i="16" s="1"/>
  <c r="M22" i="15"/>
  <c r="M21" i="16" s="1"/>
  <c r="J22" i="15"/>
  <c r="J21" i="16" s="1"/>
  <c r="O22" i="15"/>
  <c r="O21" i="16" s="1"/>
  <c r="H22" i="15"/>
  <c r="H21" i="16" s="1"/>
  <c r="H37" i="15"/>
  <c r="H37" i="16" s="1"/>
  <c r="J37" i="15"/>
  <c r="J37" i="16" s="1"/>
  <c r="K37" i="15"/>
  <c r="I37" i="15"/>
  <c r="I37" i="16" s="1"/>
  <c r="P37" i="15"/>
  <c r="P37" i="16" s="1"/>
  <c r="M37" i="15"/>
  <c r="M37" i="16" s="1"/>
  <c r="N37" i="15"/>
  <c r="N37" i="16" s="1"/>
  <c r="F37" i="15"/>
  <c r="F37" i="16" s="1"/>
  <c r="O37" i="15"/>
  <c r="O37" i="16" s="1"/>
  <c r="G37" i="15"/>
  <c r="G37" i="16" s="1"/>
  <c r="E37" i="15"/>
  <c r="L37" i="15"/>
  <c r="L37" i="16" s="1"/>
  <c r="E25" i="15"/>
  <c r="K25" i="15"/>
  <c r="P25" i="15"/>
  <c r="P24" i="16" s="1"/>
  <c r="F25" i="15"/>
  <c r="F24" i="16" s="1"/>
  <c r="O25" i="15"/>
  <c r="O24" i="16" s="1"/>
  <c r="G25" i="15"/>
  <c r="G24" i="16" s="1"/>
  <c r="N25" i="15"/>
  <c r="N24" i="16" s="1"/>
  <c r="J25" i="15"/>
  <c r="J24" i="16" s="1"/>
  <c r="I25" i="15"/>
  <c r="I24" i="16" s="1"/>
  <c r="H25" i="15"/>
  <c r="H24" i="16" s="1"/>
  <c r="M25" i="15"/>
  <c r="M24" i="16" s="1"/>
  <c r="L25" i="15"/>
  <c r="L24" i="16" s="1"/>
  <c r="I33" i="15"/>
  <c r="I31" i="16" s="1"/>
  <c r="O33" i="15"/>
  <c r="O31" i="16" s="1"/>
  <c r="M33" i="15"/>
  <c r="M31" i="16" s="1"/>
  <c r="P33" i="15"/>
  <c r="P31" i="16" s="1"/>
  <c r="G33" i="15"/>
  <c r="G31" i="16" s="1"/>
  <c r="J33" i="15"/>
  <c r="J31" i="16" s="1"/>
  <c r="F33" i="15"/>
  <c r="F31" i="16" s="1"/>
  <c r="K33" i="15"/>
  <c r="N33" i="15"/>
  <c r="N31" i="16" s="1"/>
  <c r="E33" i="15"/>
  <c r="L33" i="15"/>
  <c r="L31" i="16" s="1"/>
  <c r="H33" i="15"/>
  <c r="H31" i="16" s="1"/>
  <c r="P47" i="15"/>
  <c r="P47" i="16" s="1"/>
  <c r="N47" i="15"/>
  <c r="N47" i="16" s="1"/>
  <c r="K47" i="15"/>
  <c r="L47" i="15"/>
  <c r="L47" i="16" s="1"/>
  <c r="O47" i="15"/>
  <c r="O47" i="16" s="1"/>
  <c r="J47" i="15"/>
  <c r="J47" i="16" s="1"/>
  <c r="I47" i="15"/>
  <c r="I47" i="16" s="1"/>
  <c r="M47" i="15"/>
  <c r="M47" i="16" s="1"/>
  <c r="F47" i="15"/>
  <c r="F47" i="16" s="1"/>
  <c r="H47" i="15"/>
  <c r="H47" i="16" s="1"/>
  <c r="G47" i="15"/>
  <c r="G47" i="16" s="1"/>
  <c r="E47" i="15"/>
  <c r="F45" i="15"/>
  <c r="F45" i="16" s="1"/>
  <c r="K45" i="15"/>
  <c r="P45" i="15"/>
  <c r="P45" i="16" s="1"/>
  <c r="H45" i="15"/>
  <c r="H45" i="16" s="1"/>
  <c r="G45" i="15"/>
  <c r="G45" i="16" s="1"/>
  <c r="N45" i="15"/>
  <c r="N45" i="16" s="1"/>
  <c r="L45" i="15"/>
  <c r="L45" i="16" s="1"/>
  <c r="O45" i="15"/>
  <c r="O45" i="16" s="1"/>
  <c r="J45" i="15"/>
  <c r="J45" i="16" s="1"/>
  <c r="E45" i="15"/>
  <c r="M45" i="15"/>
  <c r="M45" i="16" s="1"/>
  <c r="I45" i="15"/>
  <c r="I45" i="16" s="1"/>
  <c r="O23" i="15"/>
  <c r="O22" i="16" s="1"/>
  <c r="I23" i="15"/>
  <c r="I22" i="16" s="1"/>
  <c r="G23" i="15"/>
  <c r="G22" i="16" s="1"/>
  <c r="K23" i="15"/>
  <c r="J23" i="15"/>
  <c r="J22" i="16" s="1"/>
  <c r="N23" i="15"/>
  <c r="N22" i="16" s="1"/>
  <c r="F23" i="15"/>
  <c r="F22" i="16" s="1"/>
  <c r="M23" i="15"/>
  <c r="M22" i="16" s="1"/>
  <c r="P23" i="15"/>
  <c r="P22" i="16" s="1"/>
  <c r="L23" i="15"/>
  <c r="L22" i="16" s="1"/>
  <c r="E23" i="15"/>
  <c r="H23" i="15"/>
  <c r="H22" i="16" s="1"/>
  <c r="AA22" i="1"/>
  <c r="M8" i="15"/>
  <c r="M8" i="16" s="1"/>
  <c r="F8" i="15"/>
  <c r="F8" i="16" s="1"/>
  <c r="N8" i="15"/>
  <c r="N8" i="16" s="1"/>
  <c r="I8" i="15"/>
  <c r="I8" i="16" s="1"/>
  <c r="H8" i="15"/>
  <c r="H8" i="16" s="1"/>
  <c r="L8" i="15"/>
  <c r="L8" i="16" s="1"/>
  <c r="K8" i="15"/>
  <c r="P8" i="15"/>
  <c r="P8" i="16" s="1"/>
  <c r="E8" i="15"/>
  <c r="G8" i="15"/>
  <c r="G8" i="16" s="1"/>
  <c r="O8" i="15"/>
  <c r="O8" i="16" s="1"/>
  <c r="J8" i="15"/>
  <c r="J8" i="16" s="1"/>
  <c r="E42" i="15"/>
  <c r="I42" i="15"/>
  <c r="I42" i="16" s="1"/>
  <c r="N42" i="15"/>
  <c r="N42" i="16" s="1"/>
  <c r="K42" i="15"/>
  <c r="G42" i="15"/>
  <c r="G42" i="16" s="1"/>
  <c r="F42" i="15"/>
  <c r="F42" i="16" s="1"/>
  <c r="L42" i="15"/>
  <c r="L42" i="16" s="1"/>
  <c r="O42" i="15"/>
  <c r="O42" i="16" s="1"/>
  <c r="H42" i="15"/>
  <c r="H42" i="16" s="1"/>
  <c r="M42" i="15"/>
  <c r="M42" i="16" s="1"/>
  <c r="J42" i="15"/>
  <c r="J42" i="16" s="1"/>
  <c r="P42" i="15"/>
  <c r="P42" i="16" s="1"/>
  <c r="O21" i="15"/>
  <c r="O20" i="16" s="1"/>
  <c r="N21" i="15"/>
  <c r="N20" i="16" s="1"/>
  <c r="E21" i="15"/>
  <c r="J21" i="15"/>
  <c r="J20" i="16" s="1"/>
  <c r="G21" i="15"/>
  <c r="G20" i="16" s="1"/>
  <c r="K21" i="15"/>
  <c r="M21" i="15"/>
  <c r="M20" i="16" s="1"/>
  <c r="L21" i="15"/>
  <c r="L20" i="16" s="1"/>
  <c r="P21" i="15"/>
  <c r="P20" i="16" s="1"/>
  <c r="I21" i="15"/>
  <c r="I20" i="16" s="1"/>
  <c r="H21" i="15"/>
  <c r="H20" i="16" s="1"/>
  <c r="F21" i="15"/>
  <c r="F20" i="16" s="1"/>
  <c r="K43" i="15"/>
  <c r="P43" i="15"/>
  <c r="P43" i="16" s="1"/>
  <c r="L43" i="15"/>
  <c r="L43" i="16" s="1"/>
  <c r="M43" i="15"/>
  <c r="M43" i="16" s="1"/>
  <c r="E43" i="15"/>
  <c r="N43" i="15"/>
  <c r="N43" i="16" s="1"/>
  <c r="F43" i="15"/>
  <c r="F43" i="16" s="1"/>
  <c r="J43" i="15"/>
  <c r="J43" i="16" s="1"/>
  <c r="I43" i="15"/>
  <c r="I43" i="16" s="1"/>
  <c r="G43" i="15"/>
  <c r="G43" i="16" s="1"/>
  <c r="H43" i="15"/>
  <c r="H43" i="16" s="1"/>
  <c r="O43" i="15"/>
  <c r="O43" i="16" s="1"/>
  <c r="K49" i="15"/>
  <c r="M49" i="15"/>
  <c r="M49" i="16" s="1"/>
  <c r="E49" i="15"/>
  <c r="G49" i="15"/>
  <c r="G49" i="16" s="1"/>
  <c r="H49" i="15"/>
  <c r="H49" i="16" s="1"/>
  <c r="I49" i="15"/>
  <c r="I49" i="16" s="1"/>
  <c r="J49" i="15"/>
  <c r="J49" i="16" s="1"/>
  <c r="N49" i="15"/>
  <c r="N49" i="16" s="1"/>
  <c r="L49" i="15"/>
  <c r="L49" i="16" s="1"/>
  <c r="P49" i="15"/>
  <c r="P49" i="16" s="1"/>
  <c r="F49" i="15"/>
  <c r="F49" i="16" s="1"/>
  <c r="O49" i="15"/>
  <c r="O49" i="16" s="1"/>
  <c r="O14" i="15"/>
  <c r="O14" i="16" s="1"/>
  <c r="N14" i="15"/>
  <c r="N14" i="16" s="1"/>
  <c r="H14" i="15"/>
  <c r="H14" i="16" s="1"/>
  <c r="F14" i="15"/>
  <c r="F14" i="16" s="1"/>
  <c r="M14" i="15"/>
  <c r="M14" i="16" s="1"/>
  <c r="L14" i="15"/>
  <c r="L14" i="16" s="1"/>
  <c r="K14" i="15"/>
  <c r="I14" i="15"/>
  <c r="I14" i="16" s="1"/>
  <c r="E14" i="15"/>
  <c r="P14" i="15"/>
  <c r="P14" i="16" s="1"/>
  <c r="J14" i="15"/>
  <c r="J14" i="16" s="1"/>
  <c r="G14" i="15"/>
  <c r="G14" i="16" s="1"/>
  <c r="L58" i="15"/>
  <c r="L58" i="16" s="1"/>
  <c r="E58" i="15"/>
  <c r="P58" i="15"/>
  <c r="P58" i="16" s="1"/>
  <c r="O58" i="15"/>
  <c r="O58" i="16" s="1"/>
  <c r="J58" i="15"/>
  <c r="J58" i="16" s="1"/>
  <c r="I58" i="15"/>
  <c r="I58" i="16" s="1"/>
  <c r="G58" i="15"/>
  <c r="G58" i="16" s="1"/>
  <c r="K58" i="15"/>
  <c r="M58" i="15"/>
  <c r="M58" i="16" s="1"/>
  <c r="N58" i="15"/>
  <c r="N58" i="16" s="1"/>
  <c r="H58" i="15"/>
  <c r="H58" i="16" s="1"/>
  <c r="F58" i="15"/>
  <c r="F58" i="16" s="1"/>
  <c r="G41" i="15"/>
  <c r="G41" i="16" s="1"/>
  <c r="H41" i="15"/>
  <c r="H41" i="16" s="1"/>
  <c r="P41" i="15"/>
  <c r="P41" i="16" s="1"/>
  <c r="I41" i="15"/>
  <c r="I41" i="16" s="1"/>
  <c r="K41" i="15"/>
  <c r="E41" i="15"/>
  <c r="J41" i="15"/>
  <c r="J41" i="16" s="1"/>
  <c r="M41" i="15"/>
  <c r="M41" i="16" s="1"/>
  <c r="O41" i="15"/>
  <c r="O41" i="16" s="1"/>
  <c r="N41" i="15"/>
  <c r="N41" i="16" s="1"/>
  <c r="L41" i="15"/>
  <c r="L41" i="16" s="1"/>
  <c r="F41" i="15"/>
  <c r="F41" i="16" s="1"/>
  <c r="F39" i="15"/>
  <c r="F39" i="16" s="1"/>
  <c r="E39" i="15"/>
  <c r="G39" i="15"/>
  <c r="G39" i="16" s="1"/>
  <c r="O39" i="15"/>
  <c r="O39" i="16" s="1"/>
  <c r="L39" i="15"/>
  <c r="L39" i="16" s="1"/>
  <c r="N39" i="15"/>
  <c r="N39" i="16" s="1"/>
  <c r="I39" i="15"/>
  <c r="I39" i="16" s="1"/>
  <c r="J39" i="15"/>
  <c r="J39" i="16" s="1"/>
  <c r="H39" i="15"/>
  <c r="H39" i="16" s="1"/>
  <c r="K39" i="15"/>
  <c r="P39" i="15"/>
  <c r="P39" i="16" s="1"/>
  <c r="M39" i="15"/>
  <c r="M39" i="16" s="1"/>
  <c r="P19" i="15"/>
  <c r="P19" i="16" s="1"/>
  <c r="H19" i="15"/>
  <c r="H19" i="16" s="1"/>
  <c r="J19" i="15"/>
  <c r="J19" i="16" s="1"/>
  <c r="L19" i="15"/>
  <c r="L19" i="16" s="1"/>
  <c r="O19" i="15"/>
  <c r="O19" i="16" s="1"/>
  <c r="I19" i="15"/>
  <c r="I19" i="16" s="1"/>
  <c r="K19" i="15"/>
  <c r="E19" i="15"/>
  <c r="F19" i="15"/>
  <c r="F19" i="16" s="1"/>
  <c r="G19" i="15"/>
  <c r="G19" i="16" s="1"/>
  <c r="M19" i="15"/>
  <c r="M19" i="16" s="1"/>
  <c r="N19" i="15"/>
  <c r="N19" i="16" s="1"/>
  <c r="L30" i="15"/>
  <c r="L29" i="16" s="1"/>
  <c r="H30" i="15"/>
  <c r="H29" i="16" s="1"/>
  <c r="E30" i="15"/>
  <c r="G30" i="15"/>
  <c r="G29" i="16" s="1"/>
  <c r="F30" i="15"/>
  <c r="F29" i="16" s="1"/>
  <c r="P30" i="15"/>
  <c r="P29" i="16" s="1"/>
  <c r="J30" i="15"/>
  <c r="J29" i="16" s="1"/>
  <c r="M30" i="15"/>
  <c r="M29" i="16" s="1"/>
  <c r="N30" i="15"/>
  <c r="N29" i="16" s="1"/>
  <c r="K30" i="15"/>
  <c r="O30" i="15"/>
  <c r="O29" i="16" s="1"/>
  <c r="I30" i="15"/>
  <c r="I29" i="16" s="1"/>
  <c r="J7" i="15"/>
  <c r="J7" i="16" s="1"/>
  <c r="L7" i="15"/>
  <c r="L7" i="16" s="1"/>
  <c r="H7" i="15"/>
  <c r="H7" i="16" s="1"/>
  <c r="O7" i="15"/>
  <c r="O7" i="16" s="1"/>
  <c r="I7" i="15"/>
  <c r="I7" i="16" s="1"/>
  <c r="E7" i="15"/>
  <c r="M7" i="15"/>
  <c r="M7" i="16" s="1"/>
  <c r="N7" i="15"/>
  <c r="N7" i="16" s="1"/>
  <c r="K7" i="15"/>
  <c r="F7" i="15"/>
  <c r="F7" i="16" s="1"/>
  <c r="G7" i="15"/>
  <c r="G7" i="16" s="1"/>
  <c r="P7" i="15"/>
  <c r="P7" i="16" s="1"/>
  <c r="M44" i="15"/>
  <c r="M44" i="16" s="1"/>
  <c r="F44" i="15"/>
  <c r="F44" i="16" s="1"/>
  <c r="H44" i="15"/>
  <c r="H44" i="16" s="1"/>
  <c r="O44" i="15"/>
  <c r="O44" i="16" s="1"/>
  <c r="G44" i="15"/>
  <c r="G44" i="16" s="1"/>
  <c r="I44" i="15"/>
  <c r="I44" i="16" s="1"/>
  <c r="E44" i="15"/>
  <c r="J44" i="15"/>
  <c r="J44" i="16" s="1"/>
  <c r="N44" i="15"/>
  <c r="N44" i="16" s="1"/>
  <c r="L44" i="15"/>
  <c r="L44" i="16" s="1"/>
  <c r="P44" i="15"/>
  <c r="P44" i="16" s="1"/>
  <c r="K44" i="15"/>
  <c r="D55" i="15"/>
  <c r="D35" i="15"/>
  <c r="D6" i="15"/>
  <c r="D34" i="15"/>
  <c r="K58" i="16" l="1"/>
  <c r="S58" i="15"/>
  <c r="T58" i="15" s="1"/>
  <c r="K42" i="16"/>
  <c r="S42" i="15"/>
  <c r="T42" i="15" s="1"/>
  <c r="Q22" i="15"/>
  <c r="E21" i="16"/>
  <c r="K10" i="16"/>
  <c r="S10" i="15"/>
  <c r="T10" i="15" s="1"/>
  <c r="E40" i="16"/>
  <c r="Q40" i="15"/>
  <c r="E12" i="16"/>
  <c r="Q12" i="15"/>
  <c r="S36" i="15"/>
  <c r="T36" i="15" s="1"/>
  <c r="K36" i="16"/>
  <c r="F16" i="16"/>
  <c r="F34" i="15"/>
  <c r="F32" i="16" s="1"/>
  <c r="O16" i="16"/>
  <c r="O34" i="15"/>
  <c r="O32" i="16" s="1"/>
  <c r="G34" i="15"/>
  <c r="G32" i="16" s="1"/>
  <c r="G16" i="16"/>
  <c r="K20" i="16"/>
  <c r="S21" i="15"/>
  <c r="T21" i="15" s="1"/>
  <c r="E22" i="16"/>
  <c r="Q23" i="15"/>
  <c r="S47" i="15"/>
  <c r="T47" i="15" s="1"/>
  <c r="K47" i="16"/>
  <c r="K9" i="16"/>
  <c r="S9" i="15"/>
  <c r="T9" i="15" s="1"/>
  <c r="S57" i="15"/>
  <c r="T57" i="15" s="1"/>
  <c r="K57" i="16"/>
  <c r="E38" i="16"/>
  <c r="Q38" i="15"/>
  <c r="I16" i="16"/>
  <c r="I34" i="15"/>
  <c r="I32" i="16" s="1"/>
  <c r="L16" i="16"/>
  <c r="L34" i="15"/>
  <c r="L32" i="16" s="1"/>
  <c r="Q29" i="15"/>
  <c r="E28" i="16"/>
  <c r="E50" i="16"/>
  <c r="Q50" i="15"/>
  <c r="Q13" i="15"/>
  <c r="E13" i="16"/>
  <c r="S8" i="15"/>
  <c r="T8" i="15" s="1"/>
  <c r="K8" i="16"/>
  <c r="Q47" i="15"/>
  <c r="E47" i="16"/>
  <c r="Q47" i="16" s="1"/>
  <c r="E10" i="16"/>
  <c r="Q10" i="16" s="1"/>
  <c r="Q10" i="15"/>
  <c r="N55" i="15"/>
  <c r="I55" i="15"/>
  <c r="G55" i="15"/>
  <c r="M55" i="15"/>
  <c r="L55" i="15"/>
  <c r="J55" i="15"/>
  <c r="O55" i="15"/>
  <c r="F55" i="15"/>
  <c r="K55" i="15"/>
  <c r="P55" i="15"/>
  <c r="H55" i="15"/>
  <c r="E55" i="15"/>
  <c r="K7" i="16"/>
  <c r="S7" i="15"/>
  <c r="T7" i="15" s="1"/>
  <c r="E14" i="16"/>
  <c r="Q14" i="15"/>
  <c r="K43" i="16"/>
  <c r="S43" i="15"/>
  <c r="T43" i="15" s="1"/>
  <c r="E42" i="16"/>
  <c r="Q42" i="16" s="1"/>
  <c r="Q42" i="15"/>
  <c r="K24" i="16"/>
  <c r="S25" i="15"/>
  <c r="T25" i="15" s="1"/>
  <c r="E46" i="16"/>
  <c r="Q46" i="15"/>
  <c r="X56" i="1"/>
  <c r="Y56" i="1"/>
  <c r="E17" i="16"/>
  <c r="Q17" i="15"/>
  <c r="H16" i="16"/>
  <c r="H34" i="15"/>
  <c r="H32" i="16" s="1"/>
  <c r="P34" i="15"/>
  <c r="P32" i="16" s="1"/>
  <c r="P16" i="16"/>
  <c r="K31" i="16"/>
  <c r="S33" i="15"/>
  <c r="T33" i="15" s="1"/>
  <c r="N16" i="16"/>
  <c r="N34" i="15"/>
  <c r="N32" i="16" s="1"/>
  <c r="S50" i="15"/>
  <c r="T50" i="15" s="1"/>
  <c r="K50" i="16"/>
  <c r="S44" i="15"/>
  <c r="T44" i="15" s="1"/>
  <c r="K44" i="16"/>
  <c r="E19" i="16"/>
  <c r="Q19" i="15"/>
  <c r="E24" i="16"/>
  <c r="Q25" i="15"/>
  <c r="K46" i="16"/>
  <c r="S46" i="15"/>
  <c r="T46" i="15" s="1"/>
  <c r="S48" i="15"/>
  <c r="T48" i="15" s="1"/>
  <c r="K48" i="16"/>
  <c r="Q48" i="15"/>
  <c r="E48" i="16"/>
  <c r="K27" i="16"/>
  <c r="S28" i="15"/>
  <c r="T28" i="15" s="1"/>
  <c r="K38" i="16"/>
  <c r="S38" i="15"/>
  <c r="T38" i="15" s="1"/>
  <c r="M34" i="15"/>
  <c r="M32" i="16" s="1"/>
  <c r="M16" i="16"/>
  <c r="E11" i="16"/>
  <c r="Q11" i="15"/>
  <c r="K13" i="16"/>
  <c r="S13" i="15"/>
  <c r="T13" i="15" s="1"/>
  <c r="M35" i="15"/>
  <c r="N35" i="15"/>
  <c r="G35" i="15"/>
  <c r="E35" i="15"/>
  <c r="L35" i="15"/>
  <c r="J35" i="15"/>
  <c r="O35" i="15"/>
  <c r="H35" i="15"/>
  <c r="K35" i="15"/>
  <c r="P35" i="15"/>
  <c r="F35" i="15"/>
  <c r="I35" i="15"/>
  <c r="Q30" i="15"/>
  <c r="E29" i="16"/>
  <c r="S19" i="15"/>
  <c r="T19" i="15" s="1"/>
  <c r="K19" i="16"/>
  <c r="S14" i="15"/>
  <c r="T14" i="15" s="1"/>
  <c r="K14" i="16"/>
  <c r="Q49" i="15"/>
  <c r="E49" i="16"/>
  <c r="E20" i="16"/>
  <c r="Q21" i="15"/>
  <c r="Q31" i="15"/>
  <c r="E30" i="16"/>
  <c r="S40" i="15"/>
  <c r="T40" i="15" s="1"/>
  <c r="K40" i="16"/>
  <c r="J16" i="16"/>
  <c r="J34" i="15"/>
  <c r="J32" i="16" s="1"/>
  <c r="Q18" i="15"/>
  <c r="E18" i="16"/>
  <c r="Q44" i="15"/>
  <c r="E44" i="16"/>
  <c r="I6" i="15"/>
  <c r="P6" i="15"/>
  <c r="F6" i="15"/>
  <c r="N6" i="15"/>
  <c r="M6" i="15"/>
  <c r="H6" i="15"/>
  <c r="G6" i="15"/>
  <c r="E6" i="15"/>
  <c r="J6" i="15"/>
  <c r="O6" i="15"/>
  <c r="L6" i="15"/>
  <c r="K6" i="15"/>
  <c r="Q7" i="15"/>
  <c r="E7" i="16"/>
  <c r="K29" i="16"/>
  <c r="S30" i="15"/>
  <c r="T30" i="15" s="1"/>
  <c r="K39" i="16"/>
  <c r="S39" i="15"/>
  <c r="T39" i="15" s="1"/>
  <c r="E39" i="16"/>
  <c r="Q39" i="15"/>
  <c r="Q41" i="15"/>
  <c r="E41" i="16"/>
  <c r="E58" i="16"/>
  <c r="Q58" i="16" s="1"/>
  <c r="Q58" i="15"/>
  <c r="E37" i="16"/>
  <c r="Q37" i="15"/>
  <c r="S37" i="15"/>
  <c r="T37" i="15" s="1"/>
  <c r="K37" i="16"/>
  <c r="S12" i="15"/>
  <c r="T12" i="15" s="1"/>
  <c r="K12" i="16"/>
  <c r="K34" i="15"/>
  <c r="K16" i="16"/>
  <c r="S16" i="15"/>
  <c r="T16" i="15" s="1"/>
  <c r="K22" i="16"/>
  <c r="S23" i="15"/>
  <c r="T23" i="15" s="1"/>
  <c r="S41" i="15"/>
  <c r="T41" i="15" s="1"/>
  <c r="K41" i="16"/>
  <c r="S49" i="15"/>
  <c r="T49" i="15" s="1"/>
  <c r="K49" i="16"/>
  <c r="E43" i="16"/>
  <c r="Q43" i="15"/>
  <c r="Q8" i="15"/>
  <c r="E8" i="16"/>
  <c r="Q8" i="16" s="1"/>
  <c r="Q45" i="15"/>
  <c r="E45" i="16"/>
  <c r="S45" i="15"/>
  <c r="T45" i="15" s="1"/>
  <c r="K45" i="16"/>
  <c r="Q33" i="15"/>
  <c r="E31" i="16"/>
  <c r="S22" i="15"/>
  <c r="T22" i="15" s="1"/>
  <c r="K21" i="16"/>
  <c r="S31" i="15"/>
  <c r="T31" i="15" s="1"/>
  <c r="K30" i="16"/>
  <c r="Q9" i="15"/>
  <c r="E9" i="16"/>
  <c r="Q9" i="16" s="1"/>
  <c r="Q57" i="15"/>
  <c r="E57" i="16"/>
  <c r="Q28" i="15"/>
  <c r="E27" i="16"/>
  <c r="Q36" i="15"/>
  <c r="E36" i="16"/>
  <c r="S17" i="15"/>
  <c r="T17" i="15" s="1"/>
  <c r="K17" i="16"/>
  <c r="E16" i="16"/>
  <c r="Q16" i="15"/>
  <c r="E34" i="15"/>
  <c r="K11" i="16"/>
  <c r="S11" i="15"/>
  <c r="T11" i="15" s="1"/>
  <c r="K18" i="16"/>
  <c r="S18" i="15"/>
  <c r="T18" i="15" s="1"/>
  <c r="S29" i="15"/>
  <c r="T29" i="15" s="1"/>
  <c r="K28" i="16"/>
  <c r="D15" i="15"/>
  <c r="D54" i="15"/>
  <c r="Q27" i="16" l="1"/>
  <c r="Q31" i="16"/>
  <c r="G34" i="16"/>
  <c r="Q43" i="16"/>
  <c r="Q39" i="16"/>
  <c r="J34" i="16"/>
  <c r="Q46" i="16"/>
  <c r="Q14" i="16"/>
  <c r="Q50" i="16"/>
  <c r="Q38" i="16"/>
  <c r="Q22" i="16"/>
  <c r="F34" i="16"/>
  <c r="Q28" i="16"/>
  <c r="Q44" i="16"/>
  <c r="Q24" i="16"/>
  <c r="Q7" i="16"/>
  <c r="Q20" i="16"/>
  <c r="Q41" i="16"/>
  <c r="Q48" i="16"/>
  <c r="I34" i="16"/>
  <c r="U49" i="15"/>
  <c r="V49" i="15" s="1"/>
  <c r="W49" i="15" s="1"/>
  <c r="X49" i="15" s="1"/>
  <c r="Y49" i="15" s="1"/>
  <c r="Z49" i="15" s="1"/>
  <c r="R49" i="15"/>
  <c r="O56" i="16"/>
  <c r="P15" i="15"/>
  <c r="P6" i="16"/>
  <c r="P15" i="16" s="1"/>
  <c r="P33" i="16"/>
  <c r="P54" i="15"/>
  <c r="R25" i="20" s="1"/>
  <c r="P35" i="16"/>
  <c r="P54" i="16" s="1"/>
  <c r="P66" i="16" s="1"/>
  <c r="R36" i="15"/>
  <c r="U36" i="15"/>
  <c r="V36" i="15" s="1"/>
  <c r="W36" i="15" s="1"/>
  <c r="X36" i="15" s="1"/>
  <c r="Y36" i="15" s="1"/>
  <c r="Z36" i="15" s="1"/>
  <c r="R45" i="15"/>
  <c r="U45" i="15"/>
  <c r="V45" i="15" s="1"/>
  <c r="W45" i="15" s="1"/>
  <c r="X45" i="15" s="1"/>
  <c r="Y45" i="15" s="1"/>
  <c r="Z45" i="15" s="1"/>
  <c r="U39" i="15"/>
  <c r="V39" i="15" s="1"/>
  <c r="W39" i="15" s="1"/>
  <c r="X39" i="15" s="1"/>
  <c r="Y39" i="15" s="1"/>
  <c r="Z39" i="15" s="1"/>
  <c r="R39" i="15"/>
  <c r="K15" i="15"/>
  <c r="K6" i="16"/>
  <c r="K15" i="16" s="1"/>
  <c r="S6" i="15"/>
  <c r="T6" i="15" s="1"/>
  <c r="N6" i="16"/>
  <c r="N15" i="16" s="1"/>
  <c r="N15" i="15"/>
  <c r="Q49" i="16"/>
  <c r="I33" i="16"/>
  <c r="I35" i="16"/>
  <c r="I54" i="16" s="1"/>
  <c r="I66" i="16" s="1"/>
  <c r="I54" i="15"/>
  <c r="K25" i="20" s="1"/>
  <c r="E33" i="16"/>
  <c r="E54" i="15"/>
  <c r="E35" i="16"/>
  <c r="Q35" i="15"/>
  <c r="M34" i="16"/>
  <c r="P34" i="16"/>
  <c r="R46" i="15"/>
  <c r="U46" i="15"/>
  <c r="V46" i="15" s="1"/>
  <c r="W46" i="15" s="1"/>
  <c r="X46" i="15" s="1"/>
  <c r="Y46" i="15" s="1"/>
  <c r="Z46" i="15" s="1"/>
  <c r="U14" i="15"/>
  <c r="V14" i="15" s="1"/>
  <c r="W14" i="15" s="1"/>
  <c r="X14" i="15" s="1"/>
  <c r="Y14" i="15" s="1"/>
  <c r="Z14" i="15" s="1"/>
  <c r="R14" i="15"/>
  <c r="F56" i="16"/>
  <c r="R10" i="15"/>
  <c r="U10" i="15"/>
  <c r="V10" i="15" s="1"/>
  <c r="W10" i="15" s="1"/>
  <c r="X10" i="15" s="1"/>
  <c r="Y10" i="15" s="1"/>
  <c r="Z10" i="15" s="1"/>
  <c r="R50" i="15"/>
  <c r="U50" i="15"/>
  <c r="V50" i="15" s="1"/>
  <c r="W50" i="15" s="1"/>
  <c r="X50" i="15" s="1"/>
  <c r="Y50" i="15" s="1"/>
  <c r="Z50" i="15" s="1"/>
  <c r="R38" i="15"/>
  <c r="U38" i="15"/>
  <c r="V38" i="15" s="1"/>
  <c r="W38" i="15" s="1"/>
  <c r="X38" i="15" s="1"/>
  <c r="Y38" i="15" s="1"/>
  <c r="Z38" i="15" s="1"/>
  <c r="R23" i="15"/>
  <c r="U23" i="15"/>
  <c r="V23" i="15" s="1"/>
  <c r="W23" i="15" s="1"/>
  <c r="X23" i="15" s="1"/>
  <c r="Y23" i="15" s="1"/>
  <c r="Z23" i="15" s="1"/>
  <c r="N35" i="16"/>
  <c r="N54" i="16" s="1"/>
  <c r="N66" i="16" s="1"/>
  <c r="N33" i="16"/>
  <c r="N54" i="15"/>
  <c r="P25" i="20" s="1"/>
  <c r="Q21" i="16"/>
  <c r="U16" i="15"/>
  <c r="V16" i="15" s="1"/>
  <c r="W16" i="15" s="1"/>
  <c r="X16" i="15" s="1"/>
  <c r="Y16" i="15" s="1"/>
  <c r="Z16" i="15" s="1"/>
  <c r="R16" i="15"/>
  <c r="Q57" i="16"/>
  <c r="R43" i="15"/>
  <c r="U43" i="15"/>
  <c r="V43" i="15" s="1"/>
  <c r="W43" i="15" s="1"/>
  <c r="X43" i="15" s="1"/>
  <c r="Y43" i="15" s="1"/>
  <c r="Z43" i="15" s="1"/>
  <c r="Q37" i="16"/>
  <c r="J15" i="15"/>
  <c r="J6" i="16"/>
  <c r="J15" i="16" s="1"/>
  <c r="I6" i="16"/>
  <c r="I15" i="16" s="1"/>
  <c r="I15" i="15"/>
  <c r="S35" i="15"/>
  <c r="T35" i="15" s="1"/>
  <c r="K54" i="15"/>
  <c r="K35" i="16"/>
  <c r="K54" i="16" s="1"/>
  <c r="K66" i="16" s="1"/>
  <c r="K33" i="16"/>
  <c r="M54" i="15"/>
  <c r="O25" i="20" s="1"/>
  <c r="M35" i="16"/>
  <c r="M54" i="16" s="1"/>
  <c r="M66" i="16" s="1"/>
  <c r="M33" i="16"/>
  <c r="H34" i="16"/>
  <c r="L56" i="16"/>
  <c r="R47" i="15"/>
  <c r="U47" i="15"/>
  <c r="V47" i="15" s="1"/>
  <c r="W47" i="15" s="1"/>
  <c r="X47" i="15" s="1"/>
  <c r="Y47" i="15" s="1"/>
  <c r="Z47" i="15" s="1"/>
  <c r="R29" i="15"/>
  <c r="U29" i="15"/>
  <c r="V29" i="15" s="1"/>
  <c r="W29" i="15" s="1"/>
  <c r="X29" i="15" s="1"/>
  <c r="Y29" i="15" s="1"/>
  <c r="Z29" i="15" s="1"/>
  <c r="U22" i="15"/>
  <c r="V22" i="15" s="1"/>
  <c r="W22" i="15" s="1"/>
  <c r="X22" i="15" s="1"/>
  <c r="Y22" i="15" s="1"/>
  <c r="Z22" i="15" s="1"/>
  <c r="R22" i="15"/>
  <c r="O15" i="15"/>
  <c r="O6" i="16"/>
  <c r="O15" i="16" s="1"/>
  <c r="R58" i="15"/>
  <c r="U58" i="15"/>
  <c r="V58" i="15" s="1"/>
  <c r="W58" i="15" s="1"/>
  <c r="X58" i="15" s="1"/>
  <c r="Y58" i="15" s="1"/>
  <c r="Z58" i="15" s="1"/>
  <c r="E6" i="16"/>
  <c r="Q6" i="15"/>
  <c r="E15" i="15"/>
  <c r="Q30" i="16"/>
  <c r="H54" i="15"/>
  <c r="J25" i="20" s="1"/>
  <c r="H35" i="16"/>
  <c r="H54" i="16" s="1"/>
  <c r="H66" i="16" s="1"/>
  <c r="H33" i="16"/>
  <c r="U25" i="15"/>
  <c r="V25" i="15" s="1"/>
  <c r="W25" i="15" s="1"/>
  <c r="X25" i="15" s="1"/>
  <c r="Y25" i="15" s="1"/>
  <c r="Z25" i="15" s="1"/>
  <c r="R25" i="15"/>
  <c r="U17" i="15"/>
  <c r="V17" i="15" s="1"/>
  <c r="W17" i="15" s="1"/>
  <c r="X17" i="15" s="1"/>
  <c r="Y17" i="15" s="1"/>
  <c r="Z17" i="15" s="1"/>
  <c r="R17" i="15"/>
  <c r="R42" i="15"/>
  <c r="U42" i="15"/>
  <c r="V42" i="15" s="1"/>
  <c r="W42" i="15" s="1"/>
  <c r="X42" i="15" s="1"/>
  <c r="Y42" i="15" s="1"/>
  <c r="Z42" i="15" s="1"/>
  <c r="E56" i="16"/>
  <c r="Q55" i="15"/>
  <c r="M56" i="16"/>
  <c r="U12" i="15"/>
  <c r="V12" i="15" s="1"/>
  <c r="W12" i="15" s="1"/>
  <c r="X12" i="15" s="1"/>
  <c r="Y12" i="15" s="1"/>
  <c r="Z12" i="15" s="1"/>
  <c r="R12" i="15"/>
  <c r="L6" i="16"/>
  <c r="L15" i="16" s="1"/>
  <c r="L15" i="15"/>
  <c r="F35" i="16"/>
  <c r="F54" i="16" s="1"/>
  <c r="F66" i="16" s="1"/>
  <c r="F33" i="16"/>
  <c r="F54" i="15"/>
  <c r="H25" i="20" s="1"/>
  <c r="U28" i="15"/>
  <c r="V28" i="15" s="1"/>
  <c r="W28" i="15" s="1"/>
  <c r="X28" i="15" s="1"/>
  <c r="Y28" i="15" s="1"/>
  <c r="Z28" i="15" s="1"/>
  <c r="R28" i="15"/>
  <c r="R37" i="15"/>
  <c r="U37" i="15"/>
  <c r="V37" i="15" s="1"/>
  <c r="W37" i="15" s="1"/>
  <c r="X37" i="15" s="1"/>
  <c r="Y37" i="15" s="1"/>
  <c r="Z37" i="15" s="1"/>
  <c r="R33" i="15"/>
  <c r="U33" i="15"/>
  <c r="V33" i="15" s="1"/>
  <c r="W33" i="15" s="1"/>
  <c r="X33" i="15" s="1"/>
  <c r="Y33" i="15" s="1"/>
  <c r="Z33" i="15" s="1"/>
  <c r="S34" i="15"/>
  <c r="T34" i="15" s="1"/>
  <c r="K32" i="16"/>
  <c r="K34" i="16" s="1"/>
  <c r="G15" i="15"/>
  <c r="G6" i="16"/>
  <c r="G15" i="16" s="1"/>
  <c r="U44" i="15"/>
  <c r="V44" i="15" s="1"/>
  <c r="W44" i="15" s="1"/>
  <c r="X44" i="15" s="1"/>
  <c r="Y44" i="15" s="1"/>
  <c r="Z44" i="15" s="1"/>
  <c r="R44" i="15"/>
  <c r="R31" i="15"/>
  <c r="U31" i="15"/>
  <c r="V31" i="15" s="1"/>
  <c r="W31" i="15" s="1"/>
  <c r="X31" i="15" s="1"/>
  <c r="Y31" i="15" s="1"/>
  <c r="Z31" i="15" s="1"/>
  <c r="O35" i="16"/>
  <c r="O54" i="16" s="1"/>
  <c r="O66" i="16" s="1"/>
  <c r="O33" i="16"/>
  <c r="O54" i="15"/>
  <c r="Q25" i="20" s="1"/>
  <c r="N34" i="16"/>
  <c r="Q17" i="16"/>
  <c r="H56" i="16"/>
  <c r="G56" i="16"/>
  <c r="L34" i="16"/>
  <c r="Q12" i="16"/>
  <c r="F6" i="16"/>
  <c r="F15" i="16" s="1"/>
  <c r="F15" i="15"/>
  <c r="J56" i="16"/>
  <c r="Q16" i="16"/>
  <c r="R9" i="15"/>
  <c r="U9" i="15"/>
  <c r="V9" i="15" s="1"/>
  <c r="W9" i="15" s="1"/>
  <c r="X9" i="15" s="1"/>
  <c r="Y9" i="15" s="1"/>
  <c r="Z9" i="15" s="1"/>
  <c r="H15" i="15"/>
  <c r="H6" i="16"/>
  <c r="H15" i="16" s="1"/>
  <c r="Q18" i="16"/>
  <c r="R21" i="15"/>
  <c r="U21" i="15"/>
  <c r="V21" i="15" s="1"/>
  <c r="W21" i="15" s="1"/>
  <c r="X21" i="15" s="1"/>
  <c r="Y21" i="15" s="1"/>
  <c r="Z21" i="15" s="1"/>
  <c r="Q29" i="16"/>
  <c r="J54" i="15"/>
  <c r="L25" i="20" s="1"/>
  <c r="J35" i="16"/>
  <c r="J54" i="16" s="1"/>
  <c r="J66" i="16" s="1"/>
  <c r="J33" i="16"/>
  <c r="U11" i="15"/>
  <c r="V11" i="15" s="1"/>
  <c r="W11" i="15" s="1"/>
  <c r="X11" i="15" s="1"/>
  <c r="Y11" i="15" s="1"/>
  <c r="Z11" i="15" s="1"/>
  <c r="R11" i="15"/>
  <c r="R19" i="15"/>
  <c r="U19" i="15"/>
  <c r="V19" i="15" s="1"/>
  <c r="W19" i="15" s="1"/>
  <c r="X19" i="15" s="1"/>
  <c r="Y19" i="15" s="1"/>
  <c r="Z19" i="15" s="1"/>
  <c r="P56" i="16"/>
  <c r="I56" i="16"/>
  <c r="Q13" i="16"/>
  <c r="U40" i="15"/>
  <c r="V40" i="15" s="1"/>
  <c r="W40" i="15" s="1"/>
  <c r="X40" i="15" s="1"/>
  <c r="Y40" i="15" s="1"/>
  <c r="Z40" i="15" s="1"/>
  <c r="R40" i="15"/>
  <c r="G33" i="16"/>
  <c r="G35" i="16"/>
  <c r="G54" i="16" s="1"/>
  <c r="G66" i="16" s="1"/>
  <c r="G54" i="15"/>
  <c r="I25" i="20" s="1"/>
  <c r="Q34" i="15"/>
  <c r="E32" i="16"/>
  <c r="E34" i="16" s="1"/>
  <c r="R8" i="15"/>
  <c r="U8" i="15"/>
  <c r="V8" i="15" s="1"/>
  <c r="W8" i="15" s="1"/>
  <c r="X8" i="15" s="1"/>
  <c r="Y8" i="15" s="1"/>
  <c r="Z8" i="15" s="1"/>
  <c r="R57" i="15"/>
  <c r="U57" i="15"/>
  <c r="V57" i="15" s="1"/>
  <c r="W57" i="15" s="1"/>
  <c r="X57" i="15" s="1"/>
  <c r="Y57" i="15" s="1"/>
  <c r="Z57" i="15" s="1"/>
  <c r="Q36" i="16"/>
  <c r="Q45" i="16"/>
  <c r="R41" i="15"/>
  <c r="U41" i="15"/>
  <c r="V41" i="15" s="1"/>
  <c r="W41" i="15" s="1"/>
  <c r="X41" i="15" s="1"/>
  <c r="Y41" i="15" s="1"/>
  <c r="Z41" i="15" s="1"/>
  <c r="U7" i="15"/>
  <c r="V7" i="15" s="1"/>
  <c r="W7" i="15" s="1"/>
  <c r="X7" i="15" s="1"/>
  <c r="Y7" i="15" s="1"/>
  <c r="Z7" i="15" s="1"/>
  <c r="R7" i="15"/>
  <c r="M6" i="16"/>
  <c r="M15" i="16" s="1"/>
  <c r="M15" i="15"/>
  <c r="U18" i="15"/>
  <c r="V18" i="15" s="1"/>
  <c r="W18" i="15" s="1"/>
  <c r="X18" i="15" s="1"/>
  <c r="Y18" i="15" s="1"/>
  <c r="Z18" i="15" s="1"/>
  <c r="R18" i="15"/>
  <c r="R30" i="15"/>
  <c r="U30" i="15"/>
  <c r="V30" i="15" s="1"/>
  <c r="W30" i="15" s="1"/>
  <c r="X30" i="15" s="1"/>
  <c r="Y30" i="15" s="1"/>
  <c r="Z30" i="15" s="1"/>
  <c r="L54" i="15"/>
  <c r="N25" i="20" s="1"/>
  <c r="L33" i="16"/>
  <c r="L35" i="16"/>
  <c r="L54" i="16" s="1"/>
  <c r="L66" i="16" s="1"/>
  <c r="Q11" i="16"/>
  <c r="U48" i="15"/>
  <c r="V48" i="15" s="1"/>
  <c r="W48" i="15" s="1"/>
  <c r="X48" i="15" s="1"/>
  <c r="Y48" i="15" s="1"/>
  <c r="Z48" i="15" s="1"/>
  <c r="R48" i="15"/>
  <c r="Q19" i="16"/>
  <c r="Z56" i="1"/>
  <c r="AA56" i="1" s="1"/>
  <c r="K56" i="16"/>
  <c r="S55" i="15"/>
  <c r="T55" i="15" s="1"/>
  <c r="N56" i="16"/>
  <c r="R13" i="15"/>
  <c r="U13" i="15"/>
  <c r="V13" i="15" s="1"/>
  <c r="W13" i="15" s="1"/>
  <c r="X13" i="15" s="1"/>
  <c r="Y13" i="15" s="1"/>
  <c r="Z13" i="15" s="1"/>
  <c r="O34" i="16"/>
  <c r="Q40" i="16"/>
  <c r="D61" i="15"/>
  <c r="R25" i="26" l="1"/>
  <c r="L25" i="26"/>
  <c r="M25" i="26"/>
  <c r="P25" i="26"/>
  <c r="J25" i="26"/>
  <c r="Q25" i="26"/>
  <c r="Q32" i="16"/>
  <c r="O24" i="26"/>
  <c r="M64" i="16"/>
  <c r="Q34" i="16"/>
  <c r="Q6" i="16"/>
  <c r="E15" i="16"/>
  <c r="L24" i="20"/>
  <c r="S15" i="15"/>
  <c r="T15" i="15" s="1"/>
  <c r="M24" i="20"/>
  <c r="N24" i="26"/>
  <c r="L64" i="16"/>
  <c r="U55" i="15"/>
  <c r="V55" i="15" s="1"/>
  <c r="W55" i="15" s="1"/>
  <c r="X55" i="15" s="1"/>
  <c r="Y55" i="15" s="1"/>
  <c r="Z55" i="15" s="1"/>
  <c r="R55" i="15"/>
  <c r="P64" i="16"/>
  <c r="R24" i="26"/>
  <c r="J24" i="26"/>
  <c r="H64" i="16"/>
  <c r="H24" i="20"/>
  <c r="Q56" i="16"/>
  <c r="Q24" i="26"/>
  <c r="O64" i="16"/>
  <c r="S54" i="15"/>
  <c r="T54" i="15" s="1"/>
  <c r="M25" i="20"/>
  <c r="H25" i="26"/>
  <c r="O25" i="26"/>
  <c r="R24" i="20"/>
  <c r="K25" i="26"/>
  <c r="R34" i="15"/>
  <c r="U34" i="15"/>
  <c r="V34" i="15" s="1"/>
  <c r="W34" i="15" s="1"/>
  <c r="X34" i="15" s="1"/>
  <c r="Y34" i="15" s="1"/>
  <c r="Z34" i="15" s="1"/>
  <c r="J24" i="20"/>
  <c r="F64" i="16"/>
  <c r="H24" i="26"/>
  <c r="I24" i="26"/>
  <c r="G64" i="16"/>
  <c r="Q24" i="20"/>
  <c r="R35" i="15"/>
  <c r="U35" i="15"/>
  <c r="V35" i="15" s="1"/>
  <c r="W35" i="15" s="1"/>
  <c r="X35" i="15" s="1"/>
  <c r="Y35" i="15" s="1"/>
  <c r="Z35" i="15" s="1"/>
  <c r="P24" i="20"/>
  <c r="N24" i="20"/>
  <c r="I24" i="20"/>
  <c r="I25" i="26"/>
  <c r="K24" i="20"/>
  <c r="Q35" i="16"/>
  <c r="E54" i="16"/>
  <c r="G25" i="26" s="1"/>
  <c r="P24" i="26"/>
  <c r="N64" i="16"/>
  <c r="N25" i="26"/>
  <c r="G24" i="20"/>
  <c r="Q15" i="15"/>
  <c r="I64" i="16"/>
  <c r="K24" i="26"/>
  <c r="Q54" i="15"/>
  <c r="G25" i="20"/>
  <c r="O24" i="20"/>
  <c r="R6" i="15"/>
  <c r="U6" i="15"/>
  <c r="V6" i="15" s="1"/>
  <c r="W6" i="15" s="1"/>
  <c r="J64" i="16"/>
  <c r="L24" i="26"/>
  <c r="Q33" i="16"/>
  <c r="M24" i="26"/>
  <c r="K64" i="16"/>
  <c r="S25" i="20" l="1"/>
  <c r="S25" i="26"/>
  <c r="E66" i="16"/>
  <c r="Q66" i="16" s="1"/>
  <c r="Q54" i="16"/>
  <c r="R15" i="15"/>
  <c r="U15" i="15"/>
  <c r="V15" i="15" s="1"/>
  <c r="S24" i="20"/>
  <c r="U54" i="15"/>
  <c r="V54" i="15" s="1"/>
  <c r="W54" i="15" s="1"/>
  <c r="X54" i="15" s="1"/>
  <c r="Y54" i="15" s="1"/>
  <c r="Z54" i="15" s="1"/>
  <c r="R54" i="15"/>
  <c r="W15" i="15"/>
  <c r="X6" i="15"/>
  <c r="X15" i="15" s="1"/>
  <c r="E64" i="16"/>
  <c r="Q64" i="16" s="1"/>
  <c r="Q15" i="16"/>
  <c r="G24" i="26"/>
  <c r="E28" i="9"/>
  <c r="E27" i="9"/>
  <c r="E23" i="9"/>
  <c r="E24" i="9"/>
  <c r="Y6" i="15" l="1"/>
  <c r="Z6" i="15" s="1"/>
  <c r="S24" i="26"/>
  <c r="L23" i="9"/>
  <c r="K23" i="9"/>
  <c r="O23" i="9"/>
  <c r="J23" i="9"/>
  <c r="M23" i="9"/>
  <c r="I23" i="9"/>
  <c r="N23" i="9"/>
  <c r="P23" i="9"/>
  <c r="H23" i="9"/>
  <c r="F23" i="9"/>
  <c r="G23" i="9"/>
  <c r="Q23" i="9"/>
  <c r="Y15" i="15"/>
  <c r="Z15" i="15" s="1"/>
  <c r="L28" i="9"/>
  <c r="N28" i="9"/>
  <c r="N29" i="10" s="1"/>
  <c r="F28" i="9"/>
  <c r="Q28" i="9"/>
  <c r="Q29" i="10" s="1"/>
  <c r="G28" i="9"/>
  <c r="G29" i="10" s="1"/>
  <c r="P28" i="9"/>
  <c r="P29" i="10" s="1"/>
  <c r="J28" i="9"/>
  <c r="J29" i="10" s="1"/>
  <c r="O28" i="9"/>
  <c r="O29" i="10" s="1"/>
  <c r="H28" i="9"/>
  <c r="H29" i="10" s="1"/>
  <c r="I28" i="9"/>
  <c r="I29" i="10" s="1"/>
  <c r="M28" i="9"/>
  <c r="M29" i="10" s="1"/>
  <c r="K28" i="9"/>
  <c r="K29" i="10" s="1"/>
  <c r="Q24" i="9"/>
  <c r="Q24" i="10" s="1"/>
  <c r="F24" i="9"/>
  <c r="P24" i="9"/>
  <c r="P24" i="10" s="1"/>
  <c r="L24" i="9"/>
  <c r="K24" i="9"/>
  <c r="K24" i="10" s="1"/>
  <c r="J24" i="9"/>
  <c r="J24" i="10" s="1"/>
  <c r="G24" i="9"/>
  <c r="G24" i="10" s="1"/>
  <c r="N24" i="9"/>
  <c r="N24" i="10" s="1"/>
  <c r="O24" i="9"/>
  <c r="O24" i="10" s="1"/>
  <c r="M24" i="9"/>
  <c r="M24" i="10" s="1"/>
  <c r="I24" i="9"/>
  <c r="I24" i="10" s="1"/>
  <c r="H24" i="9"/>
  <c r="H24" i="10" s="1"/>
  <c r="K27" i="9"/>
  <c r="L27" i="9"/>
  <c r="F27" i="9"/>
  <c r="G27" i="9"/>
  <c r="Q27" i="9"/>
  <c r="H27" i="9"/>
  <c r="N27" i="9"/>
  <c r="M27" i="9"/>
  <c r="J27" i="9"/>
  <c r="O27" i="9"/>
  <c r="I27" i="9"/>
  <c r="P27" i="9"/>
  <c r="E29" i="9"/>
  <c r="O28" i="10" l="1"/>
  <c r="L28" i="10"/>
  <c r="T27" i="9"/>
  <c r="G26" i="9"/>
  <c r="G23" i="10"/>
  <c r="G26" i="10" s="1"/>
  <c r="H31" i="26" s="1"/>
  <c r="O23" i="10"/>
  <c r="O26" i="10" s="1"/>
  <c r="P31" i="26" s="1"/>
  <c r="O26" i="9"/>
  <c r="J28" i="10"/>
  <c r="M28" i="10"/>
  <c r="R28" i="9"/>
  <c r="S28" i="9" s="1"/>
  <c r="F29" i="10"/>
  <c r="H26" i="9"/>
  <c r="H23" i="10"/>
  <c r="H26" i="10" s="1"/>
  <c r="I31" i="26" s="1"/>
  <c r="T23" i="9"/>
  <c r="L23" i="10"/>
  <c r="L26" i="9"/>
  <c r="K26" i="9"/>
  <c r="K23" i="10"/>
  <c r="K26" i="10" s="1"/>
  <c r="L31" i="26" s="1"/>
  <c r="N28" i="10"/>
  <c r="T24" i="9"/>
  <c r="L24" i="10"/>
  <c r="P26" i="9"/>
  <c r="P23" i="10"/>
  <c r="P26" i="10" s="1"/>
  <c r="Q31" i="26" s="1"/>
  <c r="H28" i="10"/>
  <c r="L29" i="10"/>
  <c r="T28" i="9"/>
  <c r="N23" i="10"/>
  <c r="N26" i="10" s="1"/>
  <c r="O31" i="26" s="1"/>
  <c r="N26" i="9"/>
  <c r="Q28" i="10"/>
  <c r="F24" i="10"/>
  <c r="R24" i="9"/>
  <c r="S24" i="9" s="1"/>
  <c r="I26" i="9"/>
  <c r="I23" i="10"/>
  <c r="I26" i="10" s="1"/>
  <c r="J31" i="26" s="1"/>
  <c r="O29" i="9"/>
  <c r="O30" i="10" s="1"/>
  <c r="P29" i="9"/>
  <c r="P30" i="10" s="1"/>
  <c r="F29" i="9"/>
  <c r="F30" i="9" s="1"/>
  <c r="G29" i="9"/>
  <c r="G30" i="10" s="1"/>
  <c r="J29" i="9"/>
  <c r="J30" i="10" s="1"/>
  <c r="L29" i="9"/>
  <c r="Q29" i="9"/>
  <c r="Q30" i="10" s="1"/>
  <c r="H29" i="9"/>
  <c r="H30" i="10" s="1"/>
  <c r="M29" i="9"/>
  <c r="M30" i="10" s="1"/>
  <c r="I29" i="9"/>
  <c r="I30" i="10" s="1"/>
  <c r="N29" i="9"/>
  <c r="N30" i="10" s="1"/>
  <c r="K29" i="9"/>
  <c r="K30" i="10" s="1"/>
  <c r="G28" i="10"/>
  <c r="M26" i="9"/>
  <c r="M23" i="10"/>
  <c r="M26" i="10" s="1"/>
  <c r="N31" i="26" s="1"/>
  <c r="K28" i="10"/>
  <c r="F26" i="9"/>
  <c r="F23" i="10"/>
  <c r="R23" i="9"/>
  <c r="S23" i="9" s="1"/>
  <c r="P28" i="10"/>
  <c r="I28" i="10"/>
  <c r="R27" i="9"/>
  <c r="S27" i="9" s="1"/>
  <c r="F28" i="10"/>
  <c r="Q23" i="10"/>
  <c r="Q26" i="10" s="1"/>
  <c r="R31" i="26" s="1"/>
  <c r="Q26" i="9"/>
  <c r="J23" i="10"/>
  <c r="J26" i="10" s="1"/>
  <c r="K31" i="26" s="1"/>
  <c r="J26" i="9"/>
  <c r="G31" i="10" l="1"/>
  <c r="H32" i="26" s="1"/>
  <c r="Q30" i="9"/>
  <c r="N31" i="10"/>
  <c r="O32" i="26" s="1"/>
  <c r="P31" i="10"/>
  <c r="Q32" i="26" s="1"/>
  <c r="R24" i="10"/>
  <c r="I30" i="9"/>
  <c r="G30" i="9"/>
  <c r="N30" i="9"/>
  <c r="L30" i="9"/>
  <c r="T29" i="9"/>
  <c r="L30" i="10"/>
  <c r="L31" i="10" s="1"/>
  <c r="M32" i="26" s="1"/>
  <c r="V24" i="9"/>
  <c r="W24" i="9" s="1"/>
  <c r="X24" i="9" s="1"/>
  <c r="U24" i="9"/>
  <c r="R29" i="10"/>
  <c r="R23" i="10"/>
  <c r="F26" i="10"/>
  <c r="R28" i="10"/>
  <c r="R26" i="9"/>
  <c r="F30" i="10"/>
  <c r="R30" i="10" s="1"/>
  <c r="R29" i="9"/>
  <c r="S29" i="9" s="1"/>
  <c r="H30" i="9"/>
  <c r="K30" i="9"/>
  <c r="H31" i="10"/>
  <c r="I32" i="26" s="1"/>
  <c r="M30" i="9"/>
  <c r="U27" i="9"/>
  <c r="V27" i="9"/>
  <c r="W27" i="9" s="1"/>
  <c r="X27" i="9" s="1"/>
  <c r="K31" i="10"/>
  <c r="L32" i="26" s="1"/>
  <c r="T26" i="9"/>
  <c r="M31" i="10"/>
  <c r="N32" i="26" s="1"/>
  <c r="I31" i="10"/>
  <c r="J32" i="26" s="1"/>
  <c r="Q31" i="10"/>
  <c r="R32" i="26" s="1"/>
  <c r="L26" i="10"/>
  <c r="J30" i="9"/>
  <c r="O30" i="9"/>
  <c r="V28" i="9"/>
  <c r="W28" i="9" s="1"/>
  <c r="X28" i="9" s="1"/>
  <c r="U28" i="9"/>
  <c r="P30" i="9"/>
  <c r="V23" i="9"/>
  <c r="W23" i="9" s="1"/>
  <c r="X23" i="9" s="1"/>
  <c r="U23" i="9"/>
  <c r="J31" i="10"/>
  <c r="K32" i="26" s="1"/>
  <c r="O31" i="10"/>
  <c r="P32" i="26" s="1"/>
  <c r="V26" i="9" l="1"/>
  <c r="R30" i="9"/>
  <c r="F31" i="10"/>
  <c r="V29" i="9"/>
  <c r="W29" i="9" s="1"/>
  <c r="X29" i="9" s="1"/>
  <c r="U29" i="9"/>
  <c r="M31" i="26"/>
  <c r="Q47" i="10"/>
  <c r="T30" i="9"/>
  <c r="R26" i="10"/>
  <c r="R47" i="10" s="1"/>
  <c r="K47" i="10"/>
  <c r="G31" i="26"/>
  <c r="V30" i="9" l="1"/>
  <c r="S31" i="26"/>
  <c r="R31" i="10"/>
  <c r="G32" i="26"/>
  <c r="S32" i="26" s="1"/>
  <c r="E8" i="1" l="1"/>
  <c r="E44" i="1"/>
  <c r="E38" i="1"/>
  <c r="E13" i="1"/>
  <c r="E11" i="1"/>
  <c r="E41" i="1"/>
  <c r="E46" i="1"/>
  <c r="E47" i="1"/>
  <c r="E37" i="1"/>
  <c r="E54" i="1"/>
  <c r="E55" i="1"/>
  <c r="E39" i="1"/>
  <c r="E9" i="1"/>
  <c r="E14" i="1"/>
  <c r="E53" i="1"/>
  <c r="E7" i="1"/>
  <c r="E48" i="1"/>
  <c r="E12" i="1"/>
  <c r="E45" i="1"/>
  <c r="E43" i="1"/>
  <c r="E40" i="1"/>
  <c r="E10" i="1"/>
  <c r="M45" i="1" l="1"/>
  <c r="M45" i="2" s="1"/>
  <c r="N45" i="1"/>
  <c r="N45" i="2" s="1"/>
  <c r="P45" i="1"/>
  <c r="P45" i="2" s="1"/>
  <c r="G45" i="1"/>
  <c r="G45" i="2" s="1"/>
  <c r="I45" i="1"/>
  <c r="I45" i="2" s="1"/>
  <c r="Q45" i="1"/>
  <c r="Q45" i="2" s="1"/>
  <c r="J45" i="1"/>
  <c r="J45" i="2" s="1"/>
  <c r="O45" i="1"/>
  <c r="O45" i="2" s="1"/>
  <c r="L45" i="1"/>
  <c r="H45" i="1"/>
  <c r="H45" i="2" s="1"/>
  <c r="F45" i="1"/>
  <c r="K45" i="1"/>
  <c r="K45" i="2" s="1"/>
  <c r="J14" i="1"/>
  <c r="J14" i="2" s="1"/>
  <c r="F14" i="1"/>
  <c r="G14" i="1"/>
  <c r="G14" i="2" s="1"/>
  <c r="P14" i="1"/>
  <c r="P14" i="2" s="1"/>
  <c r="H14" i="1"/>
  <c r="H14" i="2" s="1"/>
  <c r="Q14" i="1"/>
  <c r="Q14" i="2" s="1"/>
  <c r="M14" i="1"/>
  <c r="M14" i="2" s="1"/>
  <c r="L14" i="1"/>
  <c r="K14" i="1"/>
  <c r="K14" i="2" s="1"/>
  <c r="I14" i="1"/>
  <c r="I14" i="2" s="1"/>
  <c r="O14" i="1"/>
  <c r="O14" i="2" s="1"/>
  <c r="N14" i="1"/>
  <c r="N14" i="2" s="1"/>
  <c r="K11" i="1"/>
  <c r="K11" i="2" s="1"/>
  <c r="J11" i="1"/>
  <c r="J11" i="2" s="1"/>
  <c r="O11" i="1"/>
  <c r="O11" i="2" s="1"/>
  <c r="N11" i="1"/>
  <c r="N11" i="2" s="1"/>
  <c r="H11" i="1"/>
  <c r="H11" i="2" s="1"/>
  <c r="Q11" i="1"/>
  <c r="Q11" i="2" s="1"/>
  <c r="F11" i="1"/>
  <c r="G11" i="1"/>
  <c r="G11" i="2" s="1"/>
  <c r="M11" i="1"/>
  <c r="M11" i="2" s="1"/>
  <c r="L11" i="1"/>
  <c r="P11" i="1"/>
  <c r="P11" i="2" s="1"/>
  <c r="I11" i="1"/>
  <c r="I11" i="2" s="1"/>
  <c r="K55" i="1"/>
  <c r="K55" i="2" s="1"/>
  <c r="H55" i="1"/>
  <c r="H55" i="2" s="1"/>
  <c r="Q55" i="1"/>
  <c r="Q55" i="2" s="1"/>
  <c r="I55" i="1"/>
  <c r="I55" i="2" s="1"/>
  <c r="P55" i="1"/>
  <c r="P55" i="2" s="1"/>
  <c r="L55" i="1"/>
  <c r="G55" i="1"/>
  <c r="G55" i="2" s="1"/>
  <c r="N55" i="1"/>
  <c r="N55" i="2" s="1"/>
  <c r="J55" i="1"/>
  <c r="J55" i="2" s="1"/>
  <c r="F55" i="1"/>
  <c r="M55" i="1"/>
  <c r="M55" i="2" s="1"/>
  <c r="O55" i="1"/>
  <c r="O55" i="2" s="1"/>
  <c r="F13" i="1"/>
  <c r="M13" i="1"/>
  <c r="M13" i="2" s="1"/>
  <c r="K13" i="1"/>
  <c r="K13" i="2" s="1"/>
  <c r="H13" i="1"/>
  <c r="H13" i="2" s="1"/>
  <c r="Q13" i="1"/>
  <c r="Q13" i="2" s="1"/>
  <c r="I13" i="1"/>
  <c r="I13" i="2" s="1"/>
  <c r="J13" i="1"/>
  <c r="J13" i="2" s="1"/>
  <c r="P13" i="1"/>
  <c r="P13" i="2" s="1"/>
  <c r="N13" i="1"/>
  <c r="N13" i="2" s="1"/>
  <c r="O13" i="1"/>
  <c r="O13" i="2" s="1"/>
  <c r="G13" i="1"/>
  <c r="G13" i="2" s="1"/>
  <c r="L13" i="1"/>
  <c r="N10" i="1"/>
  <c r="N10" i="2" s="1"/>
  <c r="Q10" i="1"/>
  <c r="Q10" i="2" s="1"/>
  <c r="O10" i="1"/>
  <c r="O10" i="2" s="1"/>
  <c r="L10" i="1"/>
  <c r="F10" i="1"/>
  <c r="J10" i="1"/>
  <c r="J10" i="2" s="1"/>
  <c r="G10" i="1"/>
  <c r="G10" i="2" s="1"/>
  <c r="M10" i="1"/>
  <c r="M10" i="2" s="1"/>
  <c r="H10" i="1"/>
  <c r="H10" i="2" s="1"/>
  <c r="K10" i="1"/>
  <c r="K10" i="2" s="1"/>
  <c r="P10" i="1"/>
  <c r="P10" i="2" s="1"/>
  <c r="I10" i="1"/>
  <c r="I10" i="2" s="1"/>
  <c r="P37" i="1"/>
  <c r="P37" i="2" s="1"/>
  <c r="Q37" i="1"/>
  <c r="Q37" i="2" s="1"/>
  <c r="M37" i="1"/>
  <c r="M37" i="2" s="1"/>
  <c r="O37" i="1"/>
  <c r="O37" i="2" s="1"/>
  <c r="L37" i="1"/>
  <c r="J37" i="1"/>
  <c r="J37" i="2" s="1"/>
  <c r="H37" i="1"/>
  <c r="H37" i="2" s="1"/>
  <c r="K37" i="1"/>
  <c r="K37" i="2" s="1"/>
  <c r="N37" i="1"/>
  <c r="N37" i="2" s="1"/>
  <c r="F37" i="1"/>
  <c r="I37" i="1"/>
  <c r="I37" i="2" s="1"/>
  <c r="G37" i="1"/>
  <c r="G37" i="2" s="1"/>
  <c r="M47" i="1"/>
  <c r="M47" i="2" s="1"/>
  <c r="O47" i="1"/>
  <c r="O47" i="2" s="1"/>
  <c r="K47" i="1"/>
  <c r="K47" i="2" s="1"/>
  <c r="N47" i="1"/>
  <c r="N47" i="2" s="1"/>
  <c r="F47" i="1"/>
  <c r="G47" i="1"/>
  <c r="G47" i="2" s="1"/>
  <c r="P47" i="1"/>
  <c r="P47" i="2" s="1"/>
  <c r="Q47" i="1"/>
  <c r="Q47" i="2" s="1"/>
  <c r="H47" i="1"/>
  <c r="H47" i="2" s="1"/>
  <c r="J47" i="1"/>
  <c r="J47" i="2" s="1"/>
  <c r="L47" i="1"/>
  <c r="I47" i="1"/>
  <c r="I47" i="2" s="1"/>
  <c r="P12" i="1"/>
  <c r="P12" i="2" s="1"/>
  <c r="G12" i="1"/>
  <c r="G12" i="2" s="1"/>
  <c r="K12" i="1"/>
  <c r="K12" i="2" s="1"/>
  <c r="O12" i="1"/>
  <c r="O12" i="2" s="1"/>
  <c r="H12" i="1"/>
  <c r="H12" i="2" s="1"/>
  <c r="Q12" i="1"/>
  <c r="Q12" i="2" s="1"/>
  <c r="M12" i="1"/>
  <c r="M12" i="2" s="1"/>
  <c r="N12" i="1"/>
  <c r="N12" i="2" s="1"/>
  <c r="J12" i="1"/>
  <c r="J12" i="2" s="1"/>
  <c r="I12" i="1"/>
  <c r="I12" i="2" s="1"/>
  <c r="F12" i="1"/>
  <c r="L12" i="1"/>
  <c r="F7" i="1"/>
  <c r="Q7" i="1"/>
  <c r="Q7" i="2" s="1"/>
  <c r="K7" i="1"/>
  <c r="K7" i="2" s="1"/>
  <c r="J7" i="1"/>
  <c r="J7" i="2" s="1"/>
  <c r="I7" i="1"/>
  <c r="I7" i="2" s="1"/>
  <c r="H7" i="1"/>
  <c r="H7" i="2" s="1"/>
  <c r="G7" i="1"/>
  <c r="G7" i="2" s="1"/>
  <c r="M7" i="1"/>
  <c r="M7" i="2" s="1"/>
  <c r="L7" i="1"/>
  <c r="N7" i="1"/>
  <c r="N7" i="2" s="1"/>
  <c r="O7" i="1"/>
  <c r="O7" i="2" s="1"/>
  <c r="P7" i="1"/>
  <c r="P7" i="2" s="1"/>
  <c r="P54" i="1"/>
  <c r="P54" i="2" s="1"/>
  <c r="I54" i="1"/>
  <c r="I54" i="2" s="1"/>
  <c r="O54" i="1"/>
  <c r="O54" i="2" s="1"/>
  <c r="L54" i="1"/>
  <c r="M54" i="1"/>
  <c r="M54" i="2" s="1"/>
  <c r="G54" i="1"/>
  <c r="G54" i="2" s="1"/>
  <c r="J54" i="1"/>
  <c r="J54" i="2" s="1"/>
  <c r="N54" i="1"/>
  <c r="N54" i="2" s="1"/>
  <c r="K54" i="1"/>
  <c r="K54" i="2" s="1"/>
  <c r="Q54" i="1"/>
  <c r="Q54" i="2" s="1"/>
  <c r="F54" i="1"/>
  <c r="H54" i="1"/>
  <c r="H54" i="2" s="1"/>
  <c r="L46" i="1"/>
  <c r="K46" i="1"/>
  <c r="K46" i="2" s="1"/>
  <c r="M46" i="1"/>
  <c r="M46" i="2" s="1"/>
  <c r="F46" i="1"/>
  <c r="Q46" i="1"/>
  <c r="Q46" i="2" s="1"/>
  <c r="J46" i="1"/>
  <c r="J46" i="2" s="1"/>
  <c r="N46" i="1"/>
  <c r="N46" i="2" s="1"/>
  <c r="H46" i="1"/>
  <c r="H46" i="2" s="1"/>
  <c r="I46" i="1"/>
  <c r="I46" i="2" s="1"/>
  <c r="P46" i="1"/>
  <c r="P46" i="2" s="1"/>
  <c r="G46" i="1"/>
  <c r="G46" i="2" s="1"/>
  <c r="O46" i="1"/>
  <c r="O46" i="2" s="1"/>
  <c r="K40" i="1"/>
  <c r="K40" i="2" s="1"/>
  <c r="H40" i="1"/>
  <c r="H40" i="2" s="1"/>
  <c r="I40" i="1"/>
  <c r="I40" i="2" s="1"/>
  <c r="J40" i="1"/>
  <c r="J40" i="2" s="1"/>
  <c r="O40" i="1"/>
  <c r="O40" i="2" s="1"/>
  <c r="P40" i="1"/>
  <c r="P40" i="2" s="1"/>
  <c r="N40" i="1"/>
  <c r="N40" i="2" s="1"/>
  <c r="Q40" i="1"/>
  <c r="Q40" i="2" s="1"/>
  <c r="F40" i="1"/>
  <c r="L40" i="1"/>
  <c r="M40" i="1"/>
  <c r="M40" i="2" s="1"/>
  <c r="G40" i="1"/>
  <c r="G40" i="2" s="1"/>
  <c r="I53" i="1"/>
  <c r="I53" i="2" s="1"/>
  <c r="L53" i="1"/>
  <c r="P53" i="1"/>
  <c r="P53" i="2" s="1"/>
  <c r="F53" i="1"/>
  <c r="J53" i="1"/>
  <c r="J53" i="2" s="1"/>
  <c r="N53" i="1"/>
  <c r="N53" i="2" s="1"/>
  <c r="M53" i="1"/>
  <c r="M53" i="2" s="1"/>
  <c r="O53" i="1"/>
  <c r="O53" i="2" s="1"/>
  <c r="K53" i="1"/>
  <c r="K53" i="2" s="1"/>
  <c r="Q53" i="1"/>
  <c r="Q53" i="2" s="1"/>
  <c r="H53" i="1"/>
  <c r="H53" i="2" s="1"/>
  <c r="G53" i="1"/>
  <c r="G53" i="2" s="1"/>
  <c r="I9" i="1"/>
  <c r="I9" i="2" s="1"/>
  <c r="G9" i="1"/>
  <c r="G9" i="2" s="1"/>
  <c r="P9" i="1"/>
  <c r="P9" i="2" s="1"/>
  <c r="Q9" i="1"/>
  <c r="Q9" i="2" s="1"/>
  <c r="M9" i="1"/>
  <c r="M9" i="2" s="1"/>
  <c r="J9" i="1"/>
  <c r="J9" i="2" s="1"/>
  <c r="O9" i="1"/>
  <c r="O9" i="2" s="1"/>
  <c r="H9" i="1"/>
  <c r="H9" i="2" s="1"/>
  <c r="F9" i="1"/>
  <c r="L9" i="1"/>
  <c r="K9" i="1"/>
  <c r="K9" i="2" s="1"/>
  <c r="N9" i="1"/>
  <c r="N9" i="2" s="1"/>
  <c r="F38" i="1"/>
  <c r="H38" i="1"/>
  <c r="H38" i="2" s="1"/>
  <c r="M38" i="1"/>
  <c r="M38" i="2" s="1"/>
  <c r="I38" i="1"/>
  <c r="I38" i="2" s="1"/>
  <c r="Q38" i="1"/>
  <c r="Q38" i="2" s="1"/>
  <c r="N38" i="1"/>
  <c r="N38" i="2" s="1"/>
  <c r="K38" i="1"/>
  <c r="K38" i="2" s="1"/>
  <c r="G38" i="1"/>
  <c r="G38" i="2" s="1"/>
  <c r="L38" i="1"/>
  <c r="J38" i="1"/>
  <c r="J38" i="2" s="1"/>
  <c r="O38" i="1"/>
  <c r="O38" i="2" s="1"/>
  <c r="P38" i="1"/>
  <c r="P38" i="2" s="1"/>
  <c r="M44" i="1"/>
  <c r="M44" i="2" s="1"/>
  <c r="O44" i="1"/>
  <c r="O44" i="2" s="1"/>
  <c r="H44" i="1"/>
  <c r="H44" i="2" s="1"/>
  <c r="J44" i="1"/>
  <c r="J44" i="2" s="1"/>
  <c r="L44" i="1"/>
  <c r="K44" i="1"/>
  <c r="K44" i="2" s="1"/>
  <c r="N44" i="1"/>
  <c r="N44" i="2" s="1"/>
  <c r="P44" i="1"/>
  <c r="P44" i="2" s="1"/>
  <c r="Q44" i="1"/>
  <c r="Q44" i="2" s="1"/>
  <c r="G44" i="1"/>
  <c r="G44" i="2" s="1"/>
  <c r="F44" i="1"/>
  <c r="I44" i="1"/>
  <c r="I44" i="2" s="1"/>
  <c r="M8" i="1"/>
  <c r="M8" i="2" s="1"/>
  <c r="G8" i="1"/>
  <c r="G8" i="2" s="1"/>
  <c r="Q8" i="1"/>
  <c r="Q8" i="2" s="1"/>
  <c r="K8" i="1"/>
  <c r="K8" i="2" s="1"/>
  <c r="P8" i="1"/>
  <c r="P8" i="2" s="1"/>
  <c r="I8" i="1"/>
  <c r="I8" i="2" s="1"/>
  <c r="H8" i="1"/>
  <c r="H8" i="2" s="1"/>
  <c r="L8" i="1"/>
  <c r="O8" i="1"/>
  <c r="O8" i="2" s="1"/>
  <c r="J8" i="1"/>
  <c r="J8" i="2" s="1"/>
  <c r="N8" i="1"/>
  <c r="N8" i="2" s="1"/>
  <c r="F8" i="1"/>
  <c r="F43" i="1"/>
  <c r="L43" i="1"/>
  <c r="M43" i="1"/>
  <c r="M43" i="2" s="1"/>
  <c r="P43" i="1"/>
  <c r="P43" i="2" s="1"/>
  <c r="I43" i="1"/>
  <c r="I43" i="2" s="1"/>
  <c r="N43" i="1"/>
  <c r="N43" i="2" s="1"/>
  <c r="G43" i="1"/>
  <c r="G43" i="2" s="1"/>
  <c r="H43" i="1"/>
  <c r="H43" i="2" s="1"/>
  <c r="J43" i="1"/>
  <c r="J43" i="2" s="1"/>
  <c r="O43" i="1"/>
  <c r="O43" i="2" s="1"/>
  <c r="K43" i="1"/>
  <c r="K43" i="2" s="1"/>
  <c r="Q43" i="1"/>
  <c r="Q43" i="2" s="1"/>
  <c r="M48" i="1"/>
  <c r="M48" i="2" s="1"/>
  <c r="G48" i="1"/>
  <c r="G48" i="2" s="1"/>
  <c r="P48" i="1"/>
  <c r="P48" i="2" s="1"/>
  <c r="I48" i="1"/>
  <c r="I48" i="2" s="1"/>
  <c r="L48" i="1"/>
  <c r="K48" i="1"/>
  <c r="K48" i="2" s="1"/>
  <c r="Q48" i="1"/>
  <c r="Q48" i="2" s="1"/>
  <c r="J48" i="1"/>
  <c r="J48" i="2" s="1"/>
  <c r="H48" i="1"/>
  <c r="H48" i="2" s="1"/>
  <c r="O48" i="1"/>
  <c r="O48" i="2" s="1"/>
  <c r="F48" i="1"/>
  <c r="N48" i="1"/>
  <c r="N48" i="2" s="1"/>
  <c r="O39" i="1"/>
  <c r="O39" i="2" s="1"/>
  <c r="G39" i="1"/>
  <c r="G39" i="2" s="1"/>
  <c r="Q39" i="1"/>
  <c r="Q39" i="2" s="1"/>
  <c r="N39" i="1"/>
  <c r="N39" i="2" s="1"/>
  <c r="I39" i="1"/>
  <c r="I39" i="2" s="1"/>
  <c r="L39" i="1"/>
  <c r="P39" i="1"/>
  <c r="P39" i="2" s="1"/>
  <c r="K39" i="1"/>
  <c r="K39" i="2" s="1"/>
  <c r="F39" i="1"/>
  <c r="M39" i="1"/>
  <c r="M39" i="2" s="1"/>
  <c r="H39" i="1"/>
  <c r="H39" i="2" s="1"/>
  <c r="J39" i="1"/>
  <c r="J39" i="2" s="1"/>
  <c r="I41" i="1"/>
  <c r="I41" i="2" s="1"/>
  <c r="P41" i="1"/>
  <c r="P41" i="2" s="1"/>
  <c r="H41" i="1"/>
  <c r="H41" i="2" s="1"/>
  <c r="K41" i="1"/>
  <c r="K41" i="2" s="1"/>
  <c r="G41" i="1"/>
  <c r="G41" i="2" s="1"/>
  <c r="M41" i="1"/>
  <c r="M41" i="2" s="1"/>
  <c r="O41" i="1"/>
  <c r="O41" i="2" s="1"/>
  <c r="N41" i="1"/>
  <c r="N41" i="2" s="1"/>
  <c r="L41" i="1"/>
  <c r="F41" i="1"/>
  <c r="Q41" i="1"/>
  <c r="Q41" i="2" s="1"/>
  <c r="J41" i="1"/>
  <c r="J41" i="2" s="1"/>
  <c r="E15" i="1"/>
  <c r="O15" i="2" l="1"/>
  <c r="P15" i="26" s="1"/>
  <c r="F48" i="2"/>
  <c r="R48" i="2" s="1"/>
  <c r="R48" i="1"/>
  <c r="F46" i="2"/>
  <c r="R46" i="2" s="1"/>
  <c r="R46" i="1"/>
  <c r="P15" i="2"/>
  <c r="J15" i="2"/>
  <c r="T10" i="1"/>
  <c r="U10" i="1" s="1"/>
  <c r="L10" i="2"/>
  <c r="S10" i="2" s="1"/>
  <c r="Q15" i="1"/>
  <c r="J15" i="1"/>
  <c r="L15" i="1"/>
  <c r="M15" i="1"/>
  <c r="H15" i="1"/>
  <c r="O15" i="1"/>
  <c r="F15" i="1"/>
  <c r="P15" i="1"/>
  <c r="N15" i="1"/>
  <c r="K15" i="1"/>
  <c r="I15" i="1"/>
  <c r="G15" i="1"/>
  <c r="K15" i="2"/>
  <c r="T47" i="1"/>
  <c r="U47" i="1" s="1"/>
  <c r="L47" i="2"/>
  <c r="S47" i="2" s="1"/>
  <c r="R11" i="1"/>
  <c r="F11" i="2"/>
  <c r="R11" i="2" s="1"/>
  <c r="L41" i="2"/>
  <c r="S41" i="2" s="1"/>
  <c r="T41" i="1"/>
  <c r="U41" i="1" s="1"/>
  <c r="L44" i="2"/>
  <c r="S44" i="2" s="1"/>
  <c r="T44" i="1"/>
  <c r="U44" i="1" s="1"/>
  <c r="T38" i="1"/>
  <c r="U38" i="1" s="1"/>
  <c r="L38" i="2"/>
  <c r="S38" i="2" s="1"/>
  <c r="F38" i="2"/>
  <c r="R38" i="2" s="1"/>
  <c r="R38" i="1"/>
  <c r="N15" i="2"/>
  <c r="Q15" i="2"/>
  <c r="R55" i="1"/>
  <c r="F55" i="2"/>
  <c r="R55" i="2" s="1"/>
  <c r="F14" i="2"/>
  <c r="R14" i="2" s="1"/>
  <c r="R14" i="1"/>
  <c r="F41" i="2"/>
  <c r="R41" i="2" s="1"/>
  <c r="R41" i="1"/>
  <c r="L8" i="2"/>
  <c r="S8" i="2" s="1"/>
  <c r="T8" i="1"/>
  <c r="U8" i="1" s="1"/>
  <c r="L46" i="2"/>
  <c r="S46" i="2" s="1"/>
  <c r="T46" i="1"/>
  <c r="U46" i="1" s="1"/>
  <c r="L7" i="2"/>
  <c r="T7" i="1"/>
  <c r="U7" i="1" s="1"/>
  <c r="F7" i="2"/>
  <c r="R7" i="1"/>
  <c r="L37" i="2"/>
  <c r="T37" i="1"/>
  <c r="U37" i="1" s="1"/>
  <c r="F44" i="2"/>
  <c r="R44" i="2" s="1"/>
  <c r="T44" i="2" s="1"/>
  <c r="R44" i="1"/>
  <c r="T54" i="1"/>
  <c r="U54" i="1" s="1"/>
  <c r="L54" i="2"/>
  <c r="S54" i="2" s="1"/>
  <c r="M15" i="2"/>
  <c r="T12" i="1"/>
  <c r="U12" i="1" s="1"/>
  <c r="L12" i="2"/>
  <c r="S12" i="2" s="1"/>
  <c r="T13" i="1"/>
  <c r="U13" i="1" s="1"/>
  <c r="L13" i="2"/>
  <c r="S13" i="2" s="1"/>
  <c r="L14" i="2"/>
  <c r="S14" i="2" s="1"/>
  <c r="T14" i="1"/>
  <c r="U14" i="1" s="1"/>
  <c r="T43" i="1"/>
  <c r="U43" i="1" s="1"/>
  <c r="L43" i="2"/>
  <c r="S43" i="2" s="1"/>
  <c r="L9" i="2"/>
  <c r="S9" i="2" s="1"/>
  <c r="T9" i="1"/>
  <c r="U9" i="1" s="1"/>
  <c r="T40" i="1"/>
  <c r="U40" i="1" s="1"/>
  <c r="L40" i="2"/>
  <c r="S40" i="2" s="1"/>
  <c r="F54" i="2"/>
  <c r="R54" i="2" s="1"/>
  <c r="R54" i="1"/>
  <c r="G15" i="2"/>
  <c r="R12" i="1"/>
  <c r="F12" i="2"/>
  <c r="R12" i="2" s="1"/>
  <c r="F45" i="2"/>
  <c r="R45" i="2" s="1"/>
  <c r="R45" i="1"/>
  <c r="R39" i="1"/>
  <c r="F39" i="2"/>
  <c r="R39" i="2" s="1"/>
  <c r="L48" i="2"/>
  <c r="S48" i="2" s="1"/>
  <c r="T48" i="1"/>
  <c r="U48" i="1" s="1"/>
  <c r="F43" i="2"/>
  <c r="R43" i="2" s="1"/>
  <c r="R43" i="1"/>
  <c r="F9" i="2"/>
  <c r="R9" i="2" s="1"/>
  <c r="R9" i="1"/>
  <c r="F40" i="2"/>
  <c r="R40" i="2" s="1"/>
  <c r="T40" i="2" s="1"/>
  <c r="R40" i="1"/>
  <c r="H15" i="2"/>
  <c r="F37" i="2"/>
  <c r="R37" i="1"/>
  <c r="T55" i="1"/>
  <c r="U55" i="1" s="1"/>
  <c r="L55" i="2"/>
  <c r="S55" i="2" s="1"/>
  <c r="L11" i="2"/>
  <c r="S11" i="2" s="1"/>
  <c r="T11" i="1"/>
  <c r="U11" i="1" s="1"/>
  <c r="L39" i="2"/>
  <c r="S39" i="2" s="1"/>
  <c r="T39" i="1"/>
  <c r="U39" i="1" s="1"/>
  <c r="L53" i="2"/>
  <c r="S53" i="2" s="1"/>
  <c r="T53" i="1"/>
  <c r="U53" i="1" s="1"/>
  <c r="F8" i="2"/>
  <c r="R8" i="2" s="1"/>
  <c r="R8" i="1"/>
  <c r="R53" i="1"/>
  <c r="F53" i="2"/>
  <c r="R53" i="2" s="1"/>
  <c r="I15" i="2"/>
  <c r="F47" i="2"/>
  <c r="R47" i="2" s="1"/>
  <c r="R47" i="1"/>
  <c r="F10" i="2"/>
  <c r="R10" i="2" s="1"/>
  <c r="R10" i="1"/>
  <c r="F13" i="2"/>
  <c r="R13" i="2" s="1"/>
  <c r="R13" i="1"/>
  <c r="L45" i="2"/>
  <c r="S45" i="2" s="1"/>
  <c r="T45" i="1"/>
  <c r="U45" i="1" s="1"/>
  <c r="E22" i="1"/>
  <c r="T47" i="2" l="1"/>
  <c r="T54" i="2"/>
  <c r="T53" i="2"/>
  <c r="O63" i="2"/>
  <c r="T10" i="2"/>
  <c r="T38" i="2"/>
  <c r="T8" i="2"/>
  <c r="T13" i="2"/>
  <c r="T9" i="2"/>
  <c r="V39" i="1"/>
  <c r="W39" i="1" s="1"/>
  <c r="S39" i="1"/>
  <c r="S54" i="1"/>
  <c r="V54" i="1"/>
  <c r="W54" i="1" s="1"/>
  <c r="V7" i="1"/>
  <c r="W7" i="1" s="1"/>
  <c r="S7" i="1"/>
  <c r="R15" i="26"/>
  <c r="Q63" i="2"/>
  <c r="K15" i="26"/>
  <c r="J63" i="2"/>
  <c r="T45" i="2"/>
  <c r="T41" i="2"/>
  <c r="V38" i="1"/>
  <c r="W38" i="1" s="1"/>
  <c r="S38" i="1"/>
  <c r="T11" i="2"/>
  <c r="Q15" i="26"/>
  <c r="P63" i="2"/>
  <c r="S8" i="1"/>
  <c r="V8" i="1"/>
  <c r="W8" i="1" s="1"/>
  <c r="N15" i="26"/>
  <c r="M63" i="2"/>
  <c r="N63" i="2"/>
  <c r="O15" i="26"/>
  <c r="V47" i="1"/>
  <c r="W47" i="1" s="1"/>
  <c r="S47" i="1"/>
  <c r="H22" i="1"/>
  <c r="M22" i="1"/>
  <c r="N22" i="1"/>
  <c r="J22" i="1"/>
  <c r="L22" i="1"/>
  <c r="Q22" i="1"/>
  <c r="F22" i="1"/>
  <c r="I22" i="1"/>
  <c r="G22" i="1"/>
  <c r="P22" i="1"/>
  <c r="K22" i="1"/>
  <c r="O22" i="1"/>
  <c r="S53" i="1"/>
  <c r="V53" i="1"/>
  <c r="W53" i="1" s="1"/>
  <c r="S9" i="1"/>
  <c r="V9" i="1"/>
  <c r="W9" i="1" s="1"/>
  <c r="V45" i="1"/>
  <c r="W45" i="1" s="1"/>
  <c r="S45" i="1"/>
  <c r="R7" i="2"/>
  <c r="F15" i="2"/>
  <c r="V41" i="1"/>
  <c r="W41" i="1" s="1"/>
  <c r="S41" i="1"/>
  <c r="V43" i="1"/>
  <c r="W43" i="1" s="1"/>
  <c r="S43" i="1"/>
  <c r="S7" i="2"/>
  <c r="L15" i="2"/>
  <c r="S11" i="1"/>
  <c r="V11" i="1"/>
  <c r="W11" i="1" s="1"/>
  <c r="T15" i="1"/>
  <c r="U15" i="1" s="1"/>
  <c r="V37" i="1"/>
  <c r="W37" i="1" s="1"/>
  <c r="S37" i="1"/>
  <c r="T43" i="2"/>
  <c r="V44" i="1"/>
  <c r="W44" i="1" s="1"/>
  <c r="S44" i="1"/>
  <c r="T14" i="2"/>
  <c r="V46" i="1"/>
  <c r="W46" i="1" s="1"/>
  <c r="S46" i="1"/>
  <c r="V14" i="1"/>
  <c r="W14" i="1" s="1"/>
  <c r="S14" i="1"/>
  <c r="S13" i="1"/>
  <c r="V13" i="1"/>
  <c r="W13" i="1" s="1"/>
  <c r="J15" i="26"/>
  <c r="I63" i="2"/>
  <c r="R37" i="2"/>
  <c r="T12" i="2"/>
  <c r="T55" i="2"/>
  <c r="T46" i="2"/>
  <c r="V48" i="1"/>
  <c r="W48" i="1" s="1"/>
  <c r="S48" i="1"/>
  <c r="H63" i="2"/>
  <c r="I15" i="26"/>
  <c r="S12" i="1"/>
  <c r="V12" i="1"/>
  <c r="W12" i="1" s="1"/>
  <c r="V55" i="1"/>
  <c r="W55" i="1" s="1"/>
  <c r="S55" i="1"/>
  <c r="V10" i="1"/>
  <c r="W10" i="1" s="1"/>
  <c r="S10" i="1"/>
  <c r="S40" i="1"/>
  <c r="V40" i="1"/>
  <c r="W40" i="1" s="1"/>
  <c r="T39" i="2"/>
  <c r="G63" i="2"/>
  <c r="H15" i="26"/>
  <c r="S37" i="2"/>
  <c r="K63" i="2"/>
  <c r="L15" i="26"/>
  <c r="R15" i="1"/>
  <c r="T48" i="2"/>
  <c r="Y7" i="1" l="1"/>
  <c r="X7" i="1"/>
  <c r="Y9" i="1"/>
  <c r="X9" i="1"/>
  <c r="Z9" i="1" s="1"/>
  <c r="AA9" i="1" s="1"/>
  <c r="Y10" i="1"/>
  <c r="X10" i="1"/>
  <c r="Y48" i="1"/>
  <c r="X48" i="1"/>
  <c r="T37" i="2"/>
  <c r="Y14" i="1"/>
  <c r="X14" i="1"/>
  <c r="Y11" i="1"/>
  <c r="X11" i="1"/>
  <c r="R22" i="1"/>
  <c r="X47" i="1"/>
  <c r="Y47" i="1"/>
  <c r="X54" i="1"/>
  <c r="Y54" i="1"/>
  <c r="X45" i="1"/>
  <c r="Y45" i="1"/>
  <c r="X38" i="1"/>
  <c r="Y38" i="1"/>
  <c r="X44" i="1"/>
  <c r="Y44" i="1"/>
  <c r="Y41" i="1"/>
  <c r="X41" i="1"/>
  <c r="X53" i="1"/>
  <c r="Y53" i="1"/>
  <c r="V15" i="1"/>
  <c r="W15" i="1" s="1"/>
  <c r="S15" i="1"/>
  <c r="T22" i="1"/>
  <c r="U22" i="1" s="1"/>
  <c r="X40" i="1"/>
  <c r="Y40" i="1"/>
  <c r="X43" i="1"/>
  <c r="Y43" i="1"/>
  <c r="X46" i="1"/>
  <c r="Y46" i="1"/>
  <c r="S15" i="2"/>
  <c r="S63" i="2" s="1"/>
  <c r="M15" i="26"/>
  <c r="L63" i="2"/>
  <c r="X12" i="1"/>
  <c r="Y12" i="1"/>
  <c r="X13" i="1"/>
  <c r="Y13" i="1"/>
  <c r="F63" i="2"/>
  <c r="G15" i="26"/>
  <c r="R15" i="2"/>
  <c r="Y39" i="1"/>
  <c r="X39" i="1"/>
  <c r="X55" i="1"/>
  <c r="Y55" i="1"/>
  <c r="Y37" i="1"/>
  <c r="X37" i="1"/>
  <c r="T7" i="2"/>
  <c r="X8" i="1"/>
  <c r="Y8" i="1"/>
  <c r="Z37" i="1" l="1"/>
  <c r="AA37" i="1" s="1"/>
  <c r="Z41" i="1"/>
  <c r="AA41" i="1" s="1"/>
  <c r="Z7" i="1"/>
  <c r="AA7" i="1" s="1"/>
  <c r="Z47" i="1"/>
  <c r="AA47" i="1" s="1"/>
  <c r="Z11" i="1"/>
  <c r="AA11" i="1" s="1"/>
  <c r="Z13" i="1"/>
  <c r="AA13" i="1" s="1"/>
  <c r="Z39" i="1"/>
  <c r="AA39" i="1" s="1"/>
  <c r="S15" i="26"/>
  <c r="T63" i="2"/>
  <c r="Z53" i="1"/>
  <c r="AA53" i="1" s="1"/>
  <c r="Z45" i="1"/>
  <c r="AA45" i="1" s="1"/>
  <c r="Z54" i="1"/>
  <c r="AA54" i="1" s="1"/>
  <c r="Z48" i="1"/>
  <c r="AA48" i="1" s="1"/>
  <c r="Z46" i="1"/>
  <c r="AA46" i="1" s="1"/>
  <c r="Z43" i="1"/>
  <c r="AA43" i="1" s="1"/>
  <c r="S22" i="1"/>
  <c r="V22" i="1"/>
  <c r="W22" i="1" s="1"/>
  <c r="Z10" i="1"/>
  <c r="AA10" i="1" s="1"/>
  <c r="Z40" i="1"/>
  <c r="AA40" i="1" s="1"/>
  <c r="Z44" i="1"/>
  <c r="AA44" i="1" s="1"/>
  <c r="Z55" i="1"/>
  <c r="AA55" i="1" s="1"/>
  <c r="Z12" i="1"/>
  <c r="AA12" i="1" s="1"/>
  <c r="Z14" i="1"/>
  <c r="AA14" i="1" s="1"/>
  <c r="Z8" i="1"/>
  <c r="AA8" i="1" s="1"/>
  <c r="R63" i="2"/>
  <c r="T15" i="2"/>
  <c r="X15" i="1"/>
  <c r="Y15" i="1"/>
  <c r="Z38" i="1"/>
  <c r="AA38" i="1" s="1"/>
  <c r="AA15" i="1" l="1"/>
  <c r="Z15" i="1"/>
  <c r="Y22" i="1"/>
  <c r="X22" i="1"/>
  <c r="Z22" i="1" l="1"/>
  <c r="H51" i="22"/>
  <c r="O51" i="22"/>
  <c r="E51" i="22"/>
  <c r="G51" i="22"/>
  <c r="L51" i="22"/>
  <c r="P51" i="22"/>
  <c r="F51" i="22"/>
  <c r="N51" i="22"/>
  <c r="K51" i="22"/>
  <c r="I51" i="22"/>
  <c r="J51" i="22"/>
  <c r="M51" i="22"/>
  <c r="N51" i="24" l="1"/>
  <c r="L51" i="24"/>
  <c r="P51" i="24"/>
  <c r="G51" i="24"/>
  <c r="J51" i="24"/>
  <c r="E51" i="24"/>
  <c r="Q51" i="22"/>
  <c r="F51" i="24"/>
  <c r="M51" i="24"/>
  <c r="I51" i="24"/>
  <c r="O51" i="24"/>
  <c r="S51" i="22"/>
  <c r="T51" i="22" s="1"/>
  <c r="K51" i="24"/>
  <c r="H51" i="24"/>
  <c r="U51" i="22" l="1"/>
  <c r="V51" i="22" s="1"/>
  <c r="W51" i="22" s="1"/>
  <c r="X51" i="22" s="1"/>
  <c r="Y51" i="22" s="1"/>
  <c r="Z51" i="22" s="1"/>
  <c r="R51" i="22"/>
  <c r="L52" i="22"/>
  <c r="O52" i="22"/>
  <c r="I52" i="22"/>
  <c r="P52" i="22"/>
  <c r="H52" i="22"/>
  <c r="G52" i="22"/>
  <c r="J52" i="22"/>
  <c r="F52" i="22"/>
  <c r="K52" i="22"/>
  <c r="M52" i="22"/>
  <c r="N52" i="22"/>
  <c r="E52" i="22"/>
  <c r="Q51" i="24"/>
  <c r="R51" i="24" s="1"/>
  <c r="G52" i="24" l="1"/>
  <c r="G55" i="22"/>
  <c r="I23" i="20" s="1"/>
  <c r="I52" i="24"/>
  <c r="I55" i="22"/>
  <c r="K23" i="20" s="1"/>
  <c r="P52" i="24"/>
  <c r="P55" i="22"/>
  <c r="R23" i="20" s="1"/>
  <c r="M52" i="24"/>
  <c r="M55" i="22"/>
  <c r="O23" i="20" s="1"/>
  <c r="O52" i="24"/>
  <c r="O55" i="22"/>
  <c r="Q23" i="20" s="1"/>
  <c r="H52" i="24"/>
  <c r="H55" i="22"/>
  <c r="J23" i="20" s="1"/>
  <c r="N52" i="24"/>
  <c r="N55" i="22"/>
  <c r="P23" i="20" s="1"/>
  <c r="S52" i="22"/>
  <c r="T52" i="22" s="1"/>
  <c r="K52" i="24"/>
  <c r="K55" i="22"/>
  <c r="L52" i="24"/>
  <c r="L55" i="22"/>
  <c r="N23" i="20" s="1"/>
  <c r="F52" i="24"/>
  <c r="F55" i="22"/>
  <c r="H23" i="20" s="1"/>
  <c r="Q52" i="22"/>
  <c r="E52" i="24"/>
  <c r="E55" i="22"/>
  <c r="J52" i="24"/>
  <c r="J55" i="22"/>
  <c r="L23" i="20" s="1"/>
  <c r="Q55" i="22" l="1"/>
  <c r="G23" i="20"/>
  <c r="Q52" i="24"/>
  <c r="R52" i="22"/>
  <c r="U52" i="22"/>
  <c r="V52" i="22" s="1"/>
  <c r="W52" i="22" s="1"/>
  <c r="X52" i="22" s="1"/>
  <c r="Y52" i="22" s="1"/>
  <c r="Z52" i="22" s="1"/>
  <c r="I53" i="22"/>
  <c r="I53" i="24" s="1"/>
  <c r="P53" i="22"/>
  <c r="P53" i="24" s="1"/>
  <c r="M53" i="22"/>
  <c r="M53" i="24" s="1"/>
  <c r="G53" i="22"/>
  <c r="G53" i="24" s="1"/>
  <c r="L53" i="22"/>
  <c r="L53" i="24" s="1"/>
  <c r="J53" i="22"/>
  <c r="J53" i="24" s="1"/>
  <c r="N53" i="22"/>
  <c r="N53" i="24" s="1"/>
  <c r="E53" i="22"/>
  <c r="H53" i="22"/>
  <c r="H53" i="24" s="1"/>
  <c r="K53" i="22"/>
  <c r="O53" i="22"/>
  <c r="O53" i="24" s="1"/>
  <c r="F53" i="22"/>
  <c r="F53" i="24" s="1"/>
  <c r="M23" i="20"/>
  <c r="S55" i="22"/>
  <c r="T55" i="22" s="1"/>
  <c r="K53" i="24" l="1"/>
  <c r="S53" i="22"/>
  <c r="T53" i="22" s="1"/>
  <c r="E53" i="24"/>
  <c r="Q53" i="22"/>
  <c r="S23" i="20"/>
  <c r="U55" i="22"/>
  <c r="V55" i="22" s="1"/>
  <c r="W55" i="22" s="1"/>
  <c r="X55" i="22" s="1"/>
  <c r="Y55" i="22" s="1"/>
  <c r="Z55" i="22" s="1"/>
  <c r="R55" i="22"/>
  <c r="R53" i="22" l="1"/>
  <c r="U53" i="22"/>
  <c r="V53" i="22" s="1"/>
  <c r="W53" i="22" s="1"/>
  <c r="X53" i="22" s="1"/>
  <c r="Y53" i="22" s="1"/>
  <c r="Z53" i="22" s="1"/>
  <c r="Q53" i="24"/>
  <c r="M47" i="22" l="1"/>
  <c r="M47" i="24" s="1"/>
  <c r="F47" i="22"/>
  <c r="F47" i="24" s="1"/>
  <c r="E47" i="22"/>
  <c r="N47" i="22"/>
  <c r="N47" i="24" s="1"/>
  <c r="K47" i="22"/>
  <c r="H47" i="22"/>
  <c r="H47" i="24" s="1"/>
  <c r="J47" i="22"/>
  <c r="J47" i="24" s="1"/>
  <c r="I47" i="22"/>
  <c r="I47" i="24" s="1"/>
  <c r="O47" i="22"/>
  <c r="O47" i="24" s="1"/>
  <c r="L47" i="22"/>
  <c r="L47" i="24" s="1"/>
  <c r="P47" i="22"/>
  <c r="P47" i="24" s="1"/>
  <c r="G47" i="22"/>
  <c r="G47" i="24" s="1"/>
  <c r="J38" i="22" l="1"/>
  <c r="F38" i="22"/>
  <c r="P38" i="22"/>
  <c r="L38" i="22"/>
  <c r="I38" i="22"/>
  <c r="H38" i="22"/>
  <c r="G38" i="22"/>
  <c r="M38" i="22"/>
  <c r="O38" i="22"/>
  <c r="N38" i="22"/>
  <c r="E38" i="22"/>
  <c r="K38" i="22"/>
  <c r="S47" i="22"/>
  <c r="T47" i="22" s="1"/>
  <c r="K47" i="24"/>
  <c r="Q47" i="22"/>
  <c r="E47" i="24"/>
  <c r="N49" i="22"/>
  <c r="N49" i="24" s="1"/>
  <c r="J49" i="22"/>
  <c r="J49" i="24" s="1"/>
  <c r="P49" i="22"/>
  <c r="P49" i="24" s="1"/>
  <c r="M49" i="22"/>
  <c r="M49" i="24" s="1"/>
  <c r="K49" i="22"/>
  <c r="H49" i="22"/>
  <c r="H49" i="24" s="1"/>
  <c r="E49" i="22"/>
  <c r="L49" i="22"/>
  <c r="L49" i="24" s="1"/>
  <c r="F49" i="22"/>
  <c r="F49" i="24" s="1"/>
  <c r="G49" i="22"/>
  <c r="G49" i="24" s="1"/>
  <c r="O49" i="22"/>
  <c r="O49" i="24" s="1"/>
  <c r="I49" i="22"/>
  <c r="I49" i="24" s="1"/>
  <c r="Q47" i="24" l="1"/>
  <c r="R47" i="24" s="1"/>
  <c r="H50" i="22"/>
  <c r="J22" i="20" s="1"/>
  <c r="H38" i="24"/>
  <c r="H50" i="24" s="1"/>
  <c r="J38" i="24"/>
  <c r="J50" i="24" s="1"/>
  <c r="J50" i="22"/>
  <c r="L22" i="20" s="1"/>
  <c r="U47" i="22"/>
  <c r="V47" i="22" s="1"/>
  <c r="W47" i="22" s="1"/>
  <c r="X47" i="22" s="1"/>
  <c r="Y47" i="22" s="1"/>
  <c r="Z47" i="22" s="1"/>
  <c r="R47" i="22"/>
  <c r="K49" i="24"/>
  <c r="S49" i="22"/>
  <c r="T49" i="22" s="1"/>
  <c r="I38" i="24"/>
  <c r="I50" i="24" s="1"/>
  <c r="I50" i="22"/>
  <c r="K22" i="20" s="1"/>
  <c r="M38" i="24"/>
  <c r="M50" i="24" s="1"/>
  <c r="M50" i="22"/>
  <c r="O22" i="20" s="1"/>
  <c r="E49" i="24"/>
  <c r="Q49" i="22"/>
  <c r="K38" i="24"/>
  <c r="K50" i="22"/>
  <c r="S38" i="22"/>
  <c r="T38" i="22" s="1"/>
  <c r="L50" i="22"/>
  <c r="N22" i="20" s="1"/>
  <c r="L38" i="24"/>
  <c r="L50" i="24" s="1"/>
  <c r="N38" i="24"/>
  <c r="N50" i="24" s="1"/>
  <c r="N50" i="22"/>
  <c r="P22" i="20" s="1"/>
  <c r="F38" i="24"/>
  <c r="F50" i="24" s="1"/>
  <c r="F50" i="22"/>
  <c r="H22" i="20" s="1"/>
  <c r="O50" i="22"/>
  <c r="Q22" i="20" s="1"/>
  <c r="O38" i="24"/>
  <c r="O50" i="24" s="1"/>
  <c r="G50" i="22"/>
  <c r="I22" i="20" s="1"/>
  <c r="G38" i="24"/>
  <c r="G50" i="24" s="1"/>
  <c r="Q38" i="22"/>
  <c r="E50" i="22"/>
  <c r="E38" i="24"/>
  <c r="P50" i="22"/>
  <c r="R22" i="20" s="1"/>
  <c r="P38" i="24"/>
  <c r="P50" i="24" s="1"/>
  <c r="K50" i="24" l="1"/>
  <c r="K62" i="24" s="1"/>
  <c r="O62" i="24"/>
  <c r="Q22" i="26"/>
  <c r="K22" i="26"/>
  <c r="I62" i="24"/>
  <c r="R22" i="26"/>
  <c r="P62" i="24"/>
  <c r="M22" i="20"/>
  <c r="S50" i="22"/>
  <c r="T50" i="22" s="1"/>
  <c r="H22" i="26"/>
  <c r="F62" i="24"/>
  <c r="Q50" i="22"/>
  <c r="G22" i="20"/>
  <c r="Q49" i="24"/>
  <c r="Q38" i="24"/>
  <c r="E50" i="24"/>
  <c r="N62" i="24"/>
  <c r="P22" i="26"/>
  <c r="I22" i="26"/>
  <c r="G62" i="24"/>
  <c r="L62" i="24"/>
  <c r="N22" i="26"/>
  <c r="O22" i="26"/>
  <c r="M62" i="24"/>
  <c r="L22" i="26"/>
  <c r="J62" i="24"/>
  <c r="U49" i="22"/>
  <c r="V49" i="22" s="1"/>
  <c r="W49" i="22" s="1"/>
  <c r="X49" i="22" s="1"/>
  <c r="Y49" i="22" s="1"/>
  <c r="Z49" i="22" s="1"/>
  <c r="R49" i="22"/>
  <c r="U38" i="22"/>
  <c r="V38" i="22" s="1"/>
  <c r="W38" i="22" s="1"/>
  <c r="X38" i="22" s="1"/>
  <c r="Y38" i="22" s="1"/>
  <c r="Z38" i="22" s="1"/>
  <c r="R38" i="22"/>
  <c r="J22" i="26"/>
  <c r="H62" i="24"/>
  <c r="M22" i="26" l="1"/>
  <c r="S22" i="20"/>
  <c r="J14" i="22"/>
  <c r="J14" i="24" s="1"/>
  <c r="G14" i="22"/>
  <c r="G14" i="24" s="1"/>
  <c r="O14" i="22"/>
  <c r="O14" i="24" s="1"/>
  <c r="H14" i="22"/>
  <c r="H14" i="24" s="1"/>
  <c r="K14" i="22"/>
  <c r="L14" i="22"/>
  <c r="L14" i="24" s="1"/>
  <c r="N14" i="22"/>
  <c r="N14" i="24" s="1"/>
  <c r="P14" i="22"/>
  <c r="P14" i="24" s="1"/>
  <c r="E14" i="22"/>
  <c r="F14" i="22"/>
  <c r="F14" i="24" s="1"/>
  <c r="I14" i="22"/>
  <c r="I14" i="24" s="1"/>
  <c r="M14" i="22"/>
  <c r="M14" i="24" s="1"/>
  <c r="L13" i="22"/>
  <c r="L13" i="24" s="1"/>
  <c r="P13" i="22"/>
  <c r="P13" i="24" s="1"/>
  <c r="O13" i="22"/>
  <c r="O13" i="24" s="1"/>
  <c r="I13" i="22"/>
  <c r="I13" i="24" s="1"/>
  <c r="K13" i="22"/>
  <c r="G13" i="22"/>
  <c r="G13" i="24" s="1"/>
  <c r="N13" i="22"/>
  <c r="N13" i="24" s="1"/>
  <c r="H13" i="22"/>
  <c r="H13" i="24" s="1"/>
  <c r="F13" i="22"/>
  <c r="F13" i="24" s="1"/>
  <c r="M13" i="22"/>
  <c r="M13" i="24" s="1"/>
  <c r="J13" i="22"/>
  <c r="J13" i="24" s="1"/>
  <c r="E13" i="22"/>
  <c r="E62" i="24"/>
  <c r="S62" i="24" s="1"/>
  <c r="G22" i="26"/>
  <c r="Q50" i="24"/>
  <c r="H16" i="22"/>
  <c r="H16" i="24" s="1"/>
  <c r="O16" i="22"/>
  <c r="O16" i="24" s="1"/>
  <c r="L16" i="22"/>
  <c r="L16" i="24" s="1"/>
  <c r="G16" i="22"/>
  <c r="G16" i="24" s="1"/>
  <c r="F16" i="22"/>
  <c r="F16" i="24" s="1"/>
  <c r="E16" i="22"/>
  <c r="I16" i="22"/>
  <c r="I16" i="24" s="1"/>
  <c r="P16" i="22"/>
  <c r="P16" i="24" s="1"/>
  <c r="J16" i="22"/>
  <c r="J16" i="24" s="1"/>
  <c r="M16" i="22"/>
  <c r="M16" i="24" s="1"/>
  <c r="K16" i="22"/>
  <c r="N16" i="22"/>
  <c r="N16" i="24" s="1"/>
  <c r="O54" i="22"/>
  <c r="O54" i="24" s="1"/>
  <c r="O55" i="24" s="1"/>
  <c r="H54" i="22"/>
  <c r="H54" i="24" s="1"/>
  <c r="H55" i="24" s="1"/>
  <c r="N54" i="22"/>
  <c r="N54" i="24" s="1"/>
  <c r="N55" i="24" s="1"/>
  <c r="I54" i="22"/>
  <c r="I54" i="24" s="1"/>
  <c r="I55" i="24" s="1"/>
  <c r="E54" i="22"/>
  <c r="L54" i="22"/>
  <c r="L54" i="24" s="1"/>
  <c r="L55" i="24" s="1"/>
  <c r="F54" i="22"/>
  <c r="F54" i="24" s="1"/>
  <c r="F55" i="24" s="1"/>
  <c r="P54" i="22"/>
  <c r="P54" i="24" s="1"/>
  <c r="P55" i="24" s="1"/>
  <c r="M54" i="22"/>
  <c r="M54" i="24" s="1"/>
  <c r="M55" i="24" s="1"/>
  <c r="G54" i="22"/>
  <c r="G54" i="24" s="1"/>
  <c r="G55" i="24" s="1"/>
  <c r="J54" i="22"/>
  <c r="J54" i="24" s="1"/>
  <c r="J55" i="24" s="1"/>
  <c r="K54" i="22"/>
  <c r="J15" i="22"/>
  <c r="J15" i="24" s="1"/>
  <c r="M15" i="22"/>
  <c r="M15" i="24" s="1"/>
  <c r="E15" i="22"/>
  <c r="K15" i="22"/>
  <c r="O15" i="22"/>
  <c r="O15" i="24" s="1"/>
  <c r="P15" i="22"/>
  <c r="P15" i="24" s="1"/>
  <c r="L15" i="22"/>
  <c r="L15" i="24" s="1"/>
  <c r="F15" i="22"/>
  <c r="F15" i="24" s="1"/>
  <c r="G15" i="22"/>
  <c r="G15" i="24" s="1"/>
  <c r="H15" i="22"/>
  <c r="H15" i="24" s="1"/>
  <c r="I15" i="22"/>
  <c r="I15" i="24" s="1"/>
  <c r="N15" i="22"/>
  <c r="N15" i="24" s="1"/>
  <c r="R50" i="22"/>
  <c r="U50" i="22"/>
  <c r="V50" i="22" s="1"/>
  <c r="W50" i="22" s="1"/>
  <c r="X50" i="22" s="1"/>
  <c r="Y50" i="22" s="1"/>
  <c r="Z50" i="22" s="1"/>
  <c r="S22" i="26" l="1"/>
  <c r="M64" i="24"/>
  <c r="O23" i="26"/>
  <c r="S15" i="22"/>
  <c r="T15" i="22" s="1"/>
  <c r="K15" i="24"/>
  <c r="R23" i="26"/>
  <c r="P64" i="24"/>
  <c r="G11" i="22"/>
  <c r="G11" i="24" s="1"/>
  <c r="H11" i="22"/>
  <c r="H11" i="24" s="1"/>
  <c r="L11" i="22"/>
  <c r="L11" i="24" s="1"/>
  <c r="O11" i="22"/>
  <c r="O11" i="24" s="1"/>
  <c r="F11" i="22"/>
  <c r="F11" i="24" s="1"/>
  <c r="J11" i="22"/>
  <c r="J11" i="24" s="1"/>
  <c r="N11" i="22"/>
  <c r="N11" i="24" s="1"/>
  <c r="I11" i="22"/>
  <c r="I11" i="24" s="1"/>
  <c r="P11" i="22"/>
  <c r="P11" i="24" s="1"/>
  <c r="M11" i="22"/>
  <c r="M11" i="24" s="1"/>
  <c r="K11" i="22"/>
  <c r="E11" i="22"/>
  <c r="Q15" i="22"/>
  <c r="E15" i="24"/>
  <c r="Q15" i="24" s="1"/>
  <c r="F64" i="24"/>
  <c r="H23" i="26"/>
  <c r="K16" i="24"/>
  <c r="S16" i="22"/>
  <c r="T16" i="22" s="1"/>
  <c r="L64" i="24"/>
  <c r="N23" i="26"/>
  <c r="S14" i="22"/>
  <c r="T14" i="22" s="1"/>
  <c r="K14" i="24"/>
  <c r="E13" i="24"/>
  <c r="Q13" i="22"/>
  <c r="E12" i="22"/>
  <c r="N12" i="22"/>
  <c r="N12" i="24" s="1"/>
  <c r="M12" i="22"/>
  <c r="M12" i="24" s="1"/>
  <c r="P12" i="22"/>
  <c r="P12" i="24" s="1"/>
  <c r="J12" i="22"/>
  <c r="J12" i="24" s="1"/>
  <c r="K12" i="22"/>
  <c r="G12" i="22"/>
  <c r="G12" i="24" s="1"/>
  <c r="H12" i="22"/>
  <c r="H12" i="24" s="1"/>
  <c r="L12" i="22"/>
  <c r="L12" i="24" s="1"/>
  <c r="O12" i="22"/>
  <c r="O12" i="24" s="1"/>
  <c r="F12" i="22"/>
  <c r="F12" i="24" s="1"/>
  <c r="I12" i="22"/>
  <c r="I12" i="24" s="1"/>
  <c r="Q54" i="22"/>
  <c r="E54" i="24"/>
  <c r="K54" i="24"/>
  <c r="K55" i="24" s="1"/>
  <c r="S54" i="22"/>
  <c r="T54" i="22" s="1"/>
  <c r="I64" i="24"/>
  <c r="K23" i="26"/>
  <c r="G10" i="22"/>
  <c r="G10" i="24" s="1"/>
  <c r="H10" i="22"/>
  <c r="H10" i="24" s="1"/>
  <c r="E10" i="22"/>
  <c r="N10" i="22"/>
  <c r="N10" i="24" s="1"/>
  <c r="O10" i="22"/>
  <c r="O10" i="24" s="1"/>
  <c r="K10" i="22"/>
  <c r="I10" i="22"/>
  <c r="I10" i="24" s="1"/>
  <c r="M10" i="22"/>
  <c r="M10" i="24" s="1"/>
  <c r="F10" i="22"/>
  <c r="F10" i="24" s="1"/>
  <c r="P10" i="22"/>
  <c r="P10" i="24" s="1"/>
  <c r="J10" i="22"/>
  <c r="J10" i="24" s="1"/>
  <c r="L10" i="22"/>
  <c r="L10" i="24" s="1"/>
  <c r="F9" i="22"/>
  <c r="F9" i="24" s="1"/>
  <c r="P9" i="22"/>
  <c r="P9" i="24" s="1"/>
  <c r="G9" i="22"/>
  <c r="G9" i="24" s="1"/>
  <c r="K9" i="22"/>
  <c r="J9" i="22"/>
  <c r="J9" i="24" s="1"/>
  <c r="M9" i="22"/>
  <c r="M9" i="24" s="1"/>
  <c r="I9" i="22"/>
  <c r="I9" i="24" s="1"/>
  <c r="H9" i="22"/>
  <c r="H9" i="24" s="1"/>
  <c r="N9" i="22"/>
  <c r="N9" i="24" s="1"/>
  <c r="L9" i="22"/>
  <c r="L9" i="24" s="1"/>
  <c r="O9" i="22"/>
  <c r="O9" i="24" s="1"/>
  <c r="E9" i="22"/>
  <c r="H8" i="22"/>
  <c r="F8" i="22"/>
  <c r="E8" i="22"/>
  <c r="O8" i="22"/>
  <c r="I8" i="22"/>
  <c r="J8" i="22"/>
  <c r="G8" i="22"/>
  <c r="K8" i="22"/>
  <c r="L8" i="22"/>
  <c r="P8" i="22"/>
  <c r="N8" i="22"/>
  <c r="M8" i="22"/>
  <c r="L23" i="26"/>
  <c r="J64" i="24"/>
  <c r="P23" i="26"/>
  <c r="N64" i="24"/>
  <c r="Q23" i="26"/>
  <c r="O64" i="24"/>
  <c r="I23" i="26"/>
  <c r="G64" i="24"/>
  <c r="H64" i="24"/>
  <c r="J23" i="26"/>
  <c r="E16" i="24"/>
  <c r="Q16" i="24" s="1"/>
  <c r="R16" i="24" s="1"/>
  <c r="Q16" i="22"/>
  <c r="S13" i="22"/>
  <c r="T13" i="22" s="1"/>
  <c r="K13" i="24"/>
  <c r="E14" i="24"/>
  <c r="Q14" i="22"/>
  <c r="E8" i="24" l="1"/>
  <c r="E19" i="22"/>
  <c r="Q8" i="22"/>
  <c r="Q54" i="24"/>
  <c r="E55" i="24"/>
  <c r="P8" i="24"/>
  <c r="P19" i="24" s="1"/>
  <c r="P19" i="22"/>
  <c r="F8" i="24"/>
  <c r="F19" i="24" s="1"/>
  <c r="F19" i="22"/>
  <c r="U54" i="22"/>
  <c r="V54" i="22" s="1"/>
  <c r="W54" i="22" s="1"/>
  <c r="X54" i="22" s="1"/>
  <c r="Y54" i="22" s="1"/>
  <c r="Z54" i="22" s="1"/>
  <c r="R54" i="22"/>
  <c r="U14" i="22"/>
  <c r="V14" i="22" s="1"/>
  <c r="W14" i="22" s="1"/>
  <c r="X14" i="22" s="1"/>
  <c r="Y14" i="22" s="1"/>
  <c r="Z14" i="22" s="1"/>
  <c r="R14" i="22"/>
  <c r="L8" i="24"/>
  <c r="L19" i="24" s="1"/>
  <c r="L19" i="22"/>
  <c r="H8" i="24"/>
  <c r="H19" i="24" s="1"/>
  <c r="H19" i="22"/>
  <c r="N19" i="22"/>
  <c r="N8" i="24"/>
  <c r="N19" i="24" s="1"/>
  <c r="Q10" i="22"/>
  <c r="E10" i="24"/>
  <c r="Q14" i="24"/>
  <c r="K8" i="24"/>
  <c r="K19" i="22"/>
  <c r="S8" i="22"/>
  <c r="T8" i="22" s="1"/>
  <c r="Q9" i="22"/>
  <c r="E9" i="24"/>
  <c r="S9" i="22"/>
  <c r="T9" i="22" s="1"/>
  <c r="K9" i="24"/>
  <c r="U15" i="22"/>
  <c r="V15" i="22" s="1"/>
  <c r="W15" i="22" s="1"/>
  <c r="X15" i="22" s="1"/>
  <c r="Y15" i="22" s="1"/>
  <c r="Z15" i="22" s="1"/>
  <c r="R15" i="22"/>
  <c r="K12" i="24"/>
  <c r="S12" i="22"/>
  <c r="T12" i="22" s="1"/>
  <c r="G19" i="22"/>
  <c r="G8" i="24"/>
  <c r="G19" i="24" s="1"/>
  <c r="E11" i="24"/>
  <c r="Q11" i="22"/>
  <c r="J8" i="24"/>
  <c r="J19" i="24" s="1"/>
  <c r="J19" i="22"/>
  <c r="S10" i="22"/>
  <c r="T10" i="22" s="1"/>
  <c r="K10" i="24"/>
  <c r="E12" i="24"/>
  <c r="Q12" i="22"/>
  <c r="S11" i="22"/>
  <c r="T11" i="22" s="1"/>
  <c r="K11" i="24"/>
  <c r="U16" i="22"/>
  <c r="V16" i="22" s="1"/>
  <c r="W16" i="22" s="1"/>
  <c r="X16" i="22" s="1"/>
  <c r="Y16" i="22" s="1"/>
  <c r="Z16" i="22" s="1"/>
  <c r="R16" i="22"/>
  <c r="I19" i="22"/>
  <c r="I8" i="24"/>
  <c r="I19" i="24" s="1"/>
  <c r="U13" i="22"/>
  <c r="V13" i="22" s="1"/>
  <c r="W13" i="22" s="1"/>
  <c r="X13" i="22" s="1"/>
  <c r="Y13" i="22" s="1"/>
  <c r="Z13" i="22" s="1"/>
  <c r="R13" i="22"/>
  <c r="M19" i="22"/>
  <c r="M8" i="24"/>
  <c r="M19" i="24" s="1"/>
  <c r="O19" i="22"/>
  <c r="O8" i="24"/>
  <c r="O19" i="24" s="1"/>
  <c r="K64" i="24"/>
  <c r="M23" i="26"/>
  <c r="Q13" i="24"/>
  <c r="Q11" i="24" l="1"/>
  <c r="K21" i="20"/>
  <c r="K41" i="20" s="1"/>
  <c r="K47" i="20" s="1"/>
  <c r="I57" i="22"/>
  <c r="S19" i="22"/>
  <c r="T19" i="22" s="1"/>
  <c r="K57" i="22"/>
  <c r="M21" i="20"/>
  <c r="M41" i="20" s="1"/>
  <c r="M47" i="20" s="1"/>
  <c r="J21" i="26"/>
  <c r="J46" i="26" s="1"/>
  <c r="H60" i="24"/>
  <c r="H57" i="24"/>
  <c r="F60" i="24"/>
  <c r="H21" i="26"/>
  <c r="H46" i="26" s="1"/>
  <c r="F57" i="24"/>
  <c r="O58" i="24"/>
  <c r="O60" i="24"/>
  <c r="Q21" i="26"/>
  <c r="Q46" i="26" s="1"/>
  <c r="O57" i="24"/>
  <c r="J57" i="22"/>
  <c r="L21" i="20"/>
  <c r="L41" i="20" s="1"/>
  <c r="L47" i="20" s="1"/>
  <c r="K19" i="24"/>
  <c r="L57" i="22"/>
  <c r="N21" i="20"/>
  <c r="N41" i="20" s="1"/>
  <c r="N47" i="20" s="1"/>
  <c r="P57" i="22"/>
  <c r="R21" i="20"/>
  <c r="R41" i="20" s="1"/>
  <c r="R47" i="20" s="1"/>
  <c r="Q21" i="20"/>
  <c r="Q41" i="20" s="1"/>
  <c r="Q47" i="20" s="1"/>
  <c r="O57" i="22"/>
  <c r="L21" i="26"/>
  <c r="L46" i="26" s="1"/>
  <c r="J60" i="24"/>
  <c r="J57" i="24"/>
  <c r="L58" i="24"/>
  <c r="L60" i="24"/>
  <c r="N21" i="26"/>
  <c r="N46" i="26" s="1"/>
  <c r="L57" i="24"/>
  <c r="P58" i="24"/>
  <c r="R21" i="26"/>
  <c r="R46" i="26" s="1"/>
  <c r="P60" i="24"/>
  <c r="P57" i="24"/>
  <c r="M58" i="24"/>
  <c r="O21" i="26"/>
  <c r="O46" i="26" s="1"/>
  <c r="M60" i="24"/>
  <c r="M57" i="24"/>
  <c r="U11" i="22"/>
  <c r="V11" i="22" s="1"/>
  <c r="W11" i="22" s="1"/>
  <c r="X11" i="22" s="1"/>
  <c r="Y11" i="22" s="1"/>
  <c r="Z11" i="22" s="1"/>
  <c r="R11" i="22"/>
  <c r="Q10" i="24"/>
  <c r="S59" i="24" s="1"/>
  <c r="E64" i="24"/>
  <c r="S64" i="24" s="1"/>
  <c r="Q55" i="24"/>
  <c r="G23" i="26"/>
  <c r="S23" i="26" s="1"/>
  <c r="M57" i="22"/>
  <c r="O21" i="20"/>
  <c r="O41" i="20" s="1"/>
  <c r="O47" i="20" s="1"/>
  <c r="R10" i="22"/>
  <c r="U10" i="22"/>
  <c r="V10" i="22" s="1"/>
  <c r="W10" i="22" s="1"/>
  <c r="X10" i="22" s="1"/>
  <c r="Y10" i="22" s="1"/>
  <c r="Z10" i="22" s="1"/>
  <c r="U12" i="22"/>
  <c r="V12" i="22" s="1"/>
  <c r="W12" i="22" s="1"/>
  <c r="X12" i="22" s="1"/>
  <c r="Y12" i="22" s="1"/>
  <c r="Z12" i="22" s="1"/>
  <c r="R12" i="22"/>
  <c r="I21" i="26"/>
  <c r="I46" i="26" s="1"/>
  <c r="G60" i="24"/>
  <c r="G57" i="24"/>
  <c r="Q9" i="24"/>
  <c r="P21" i="26"/>
  <c r="P46" i="26" s="1"/>
  <c r="N60" i="24"/>
  <c r="N58" i="24"/>
  <c r="N57" i="24"/>
  <c r="R8" i="22"/>
  <c r="U8" i="22"/>
  <c r="V8" i="22" s="1"/>
  <c r="W8" i="22" s="1"/>
  <c r="X8" i="22" s="1"/>
  <c r="Y8" i="22" s="1"/>
  <c r="Z8" i="22" s="1"/>
  <c r="Q12" i="24"/>
  <c r="I21" i="20"/>
  <c r="I41" i="20" s="1"/>
  <c r="I47" i="20" s="1"/>
  <c r="G57" i="22"/>
  <c r="U9" i="22"/>
  <c r="V9" i="22" s="1"/>
  <c r="W9" i="22" s="1"/>
  <c r="X9" i="22" s="1"/>
  <c r="Y9" i="22" s="1"/>
  <c r="Z9" i="22" s="1"/>
  <c r="R9" i="22"/>
  <c r="P21" i="20"/>
  <c r="P41" i="20" s="1"/>
  <c r="P47" i="20" s="1"/>
  <c r="N57" i="22"/>
  <c r="G21" i="20"/>
  <c r="E57" i="22"/>
  <c r="Q19" i="22"/>
  <c r="I60" i="24"/>
  <c r="K21" i="26"/>
  <c r="K46" i="26" s="1"/>
  <c r="I57" i="24"/>
  <c r="J21" i="20"/>
  <c r="J41" i="20" s="1"/>
  <c r="J47" i="20" s="1"/>
  <c r="H57" i="22"/>
  <c r="H21" i="20"/>
  <c r="H41" i="20" s="1"/>
  <c r="H47" i="20" s="1"/>
  <c r="F57" i="22"/>
  <c r="Q8" i="24"/>
  <c r="E19" i="24"/>
  <c r="R19" i="22" l="1"/>
  <c r="U19" i="22"/>
  <c r="V19" i="22" s="1"/>
  <c r="W19" i="22" s="1"/>
  <c r="X19" i="22" s="1"/>
  <c r="Y19" i="22" s="1"/>
  <c r="Z19" i="22" s="1"/>
  <c r="E57" i="24"/>
  <c r="Q19" i="24"/>
  <c r="E60" i="24"/>
  <c r="G21" i="26"/>
  <c r="I66" i="24" a="1"/>
  <c r="I66" i="24" s="1"/>
  <c r="I65" i="24" a="1"/>
  <c r="I65" i="24" s="1"/>
  <c r="Q57" i="22"/>
  <c r="M66" i="24" a="1"/>
  <c r="M66" i="24" s="1"/>
  <c r="M65" i="24" a="1"/>
  <c r="M65" i="24" s="1"/>
  <c r="G66" i="24" a="1"/>
  <c r="G66" i="24" s="1"/>
  <c r="G65" i="24" a="1"/>
  <c r="G65" i="24" s="1"/>
  <c r="L66" i="24" a="1"/>
  <c r="L66" i="24" s="1"/>
  <c r="L65" i="24" a="1"/>
  <c r="L65" i="24" s="1"/>
  <c r="O66" i="24" a="1"/>
  <c r="O66" i="24" s="1"/>
  <c r="O65" i="24" a="1"/>
  <c r="O65" i="24" s="1"/>
  <c r="S57" i="22"/>
  <c r="T57" i="22" s="1"/>
  <c r="S21" i="20"/>
  <c r="G41" i="20"/>
  <c r="H65" i="24" a="1"/>
  <c r="H65" i="24" s="1"/>
  <c r="H66" i="24" a="1"/>
  <c r="H66" i="24" s="1"/>
  <c r="P65" i="24" a="1"/>
  <c r="P65" i="24" s="1"/>
  <c r="P66" i="24" a="1"/>
  <c r="P66" i="24" s="1"/>
  <c r="J66" i="24" a="1"/>
  <c r="J66" i="24" s="1"/>
  <c r="J65" i="24" a="1"/>
  <c r="J65" i="24" s="1"/>
  <c r="K60" i="24"/>
  <c r="K58" i="24"/>
  <c r="M21" i="26"/>
  <c r="M46" i="26" s="1"/>
  <c r="U46" i="26" s="1"/>
  <c r="K57" i="24"/>
  <c r="Q57" i="24" s="1"/>
  <c r="N65" i="24" a="1"/>
  <c r="N65" i="24" s="1"/>
  <c r="N66" i="24" a="1"/>
  <c r="N66" i="24" s="1"/>
  <c r="F66" i="24" a="1"/>
  <c r="F66" i="24" s="1"/>
  <c r="F65" i="24" a="1"/>
  <c r="F65" i="24" s="1"/>
  <c r="S21" i="26" l="1"/>
  <c r="G46" i="26"/>
  <c r="E65" i="24" a="1"/>
  <c r="E65" i="24" s="1"/>
  <c r="E66" i="24" a="1"/>
  <c r="E66" i="24" s="1"/>
  <c r="S60" i="24"/>
  <c r="S41" i="20"/>
  <c r="G47" i="20"/>
  <c r="K66" i="24" a="1"/>
  <c r="K66" i="24" s="1"/>
  <c r="K65" i="24" a="1"/>
  <c r="K65" i="24" s="1"/>
  <c r="R57" i="22"/>
  <c r="U57" i="22"/>
  <c r="V57" i="22" s="1"/>
  <c r="W57" i="22" s="1"/>
  <c r="X57" i="22" s="1"/>
  <c r="Y57" i="22" s="1"/>
  <c r="Z57" i="22" s="1"/>
  <c r="I58" i="2" l="1"/>
  <c r="I59" i="2" s="1"/>
  <c r="P58" i="2"/>
  <c r="P59" i="2" s="1"/>
  <c r="K58" i="2"/>
  <c r="K59" i="2" s="1"/>
  <c r="H58" i="2"/>
  <c r="H59" i="2" s="1"/>
  <c r="G58" i="2"/>
  <c r="G59" i="2" s="1"/>
  <c r="M58" i="2"/>
  <c r="M59" i="2" s="1"/>
  <c r="N58" i="2"/>
  <c r="N59" i="2" s="1"/>
  <c r="Q58" i="2"/>
  <c r="Q59" i="2" s="1"/>
  <c r="O58" i="2"/>
  <c r="O59" i="2" s="1"/>
  <c r="J58" i="2"/>
  <c r="J59" i="2" s="1"/>
  <c r="S47" i="20"/>
  <c r="T41" i="20"/>
  <c r="V41" i="20" s="1"/>
  <c r="V46" i="26"/>
  <c r="S46" i="26"/>
  <c r="T46" i="26"/>
  <c r="M67" i="2" l="1"/>
  <c r="N17" i="26"/>
  <c r="H17" i="26"/>
  <c r="G67" i="2"/>
  <c r="N73" i="1"/>
  <c r="P73" i="1"/>
  <c r="Q73" i="1"/>
  <c r="O73" i="1"/>
  <c r="L58" i="2"/>
  <c r="L59" i="2" s="1"/>
  <c r="H67" i="2"/>
  <c r="I17" i="26"/>
  <c r="J67" i="2"/>
  <c r="K17" i="26"/>
  <c r="L17" i="26"/>
  <c r="K67" i="2"/>
  <c r="P17" i="26"/>
  <c r="O67" i="2"/>
  <c r="P67" i="2"/>
  <c r="Q17" i="26"/>
  <c r="Q67" i="2"/>
  <c r="R17" i="26"/>
  <c r="F58" i="2"/>
  <c r="F59" i="2" s="1"/>
  <c r="O17" i="26"/>
  <c r="N67" i="2"/>
  <c r="I67" i="2"/>
  <c r="J17" i="26"/>
  <c r="R71" i="1" l="1"/>
  <c r="R58" i="2"/>
  <c r="R59" i="2" s="1"/>
  <c r="R67" i="2" s="1"/>
  <c r="K17" i="20"/>
  <c r="J73" i="1"/>
  <c r="J17" i="20"/>
  <c r="I73" i="1"/>
  <c r="F67" i="2"/>
  <c r="G17" i="26"/>
  <c r="L73" i="1"/>
  <c r="M17" i="20"/>
  <c r="Q17" i="20"/>
  <c r="L17" i="20"/>
  <c r="K73" i="1"/>
  <c r="M73" i="1"/>
  <c r="N17" i="20"/>
  <c r="G73" i="1"/>
  <c r="H17" i="20"/>
  <c r="O17" i="20"/>
  <c r="P17" i="20"/>
  <c r="I17" i="20"/>
  <c r="H73" i="1"/>
  <c r="R17" i="20"/>
  <c r="M17" i="26"/>
  <c r="L67" i="2"/>
  <c r="G17" i="20"/>
  <c r="F73" i="1"/>
  <c r="T73" i="1" l="1"/>
  <c r="S17" i="20"/>
  <c r="S17" i="26"/>
  <c r="T67" i="2"/>
  <c r="E52" i="1" l="1"/>
  <c r="E36" i="1"/>
  <c r="H36" i="1" l="1"/>
  <c r="O36" i="1"/>
  <c r="L36" i="1"/>
  <c r="J36" i="1"/>
  <c r="M36" i="1"/>
  <c r="F36" i="1"/>
  <c r="G36" i="1"/>
  <c r="K36" i="1"/>
  <c r="N36" i="1"/>
  <c r="Q36" i="1"/>
  <c r="I36" i="1"/>
  <c r="P36" i="1"/>
  <c r="P52" i="1"/>
  <c r="P52" i="2" s="1"/>
  <c r="J52" i="1"/>
  <c r="J52" i="2" s="1"/>
  <c r="N52" i="1"/>
  <c r="N52" i="2" s="1"/>
  <c r="H52" i="1"/>
  <c r="H52" i="2" s="1"/>
  <c r="Q52" i="1"/>
  <c r="Q52" i="2" s="1"/>
  <c r="G52" i="1"/>
  <c r="G52" i="2" s="1"/>
  <c r="K52" i="1"/>
  <c r="K52" i="2" s="1"/>
  <c r="M52" i="1"/>
  <c r="M52" i="2" s="1"/>
  <c r="I52" i="1"/>
  <c r="I52" i="2" s="1"/>
  <c r="F52" i="1"/>
  <c r="O52" i="1"/>
  <c r="O52" i="2" s="1"/>
  <c r="L52" i="1"/>
  <c r="E51" i="1"/>
  <c r="E49" i="1"/>
  <c r="E50" i="1"/>
  <c r="K69" i="1" l="1"/>
  <c r="F69" i="1"/>
  <c r="T69" i="1" s="1"/>
  <c r="G67" i="1"/>
  <c r="G69" i="1"/>
  <c r="M69" i="1"/>
  <c r="J69" i="1"/>
  <c r="P69" i="1"/>
  <c r="I69" i="1"/>
  <c r="L69" i="1"/>
  <c r="Q69" i="1"/>
  <c r="O69" i="1"/>
  <c r="N69" i="1"/>
  <c r="H69" i="1"/>
  <c r="F50" i="1"/>
  <c r="N50" i="1"/>
  <c r="N50" i="2" s="1"/>
  <c r="L50" i="1"/>
  <c r="J50" i="1"/>
  <c r="J50" i="2" s="1"/>
  <c r="H50" i="1"/>
  <c r="H50" i="2" s="1"/>
  <c r="O50" i="1"/>
  <c r="O50" i="2" s="1"/>
  <c r="K50" i="1"/>
  <c r="K50" i="2" s="1"/>
  <c r="I50" i="1"/>
  <c r="I50" i="2" s="1"/>
  <c r="M50" i="1"/>
  <c r="M50" i="2" s="1"/>
  <c r="Q50" i="1"/>
  <c r="Q50" i="2" s="1"/>
  <c r="P50" i="1"/>
  <c r="P50" i="2" s="1"/>
  <c r="G50" i="1"/>
  <c r="G50" i="2" s="1"/>
  <c r="T52" i="1"/>
  <c r="U52" i="1" s="1"/>
  <c r="L52" i="2"/>
  <c r="S52" i="2" s="1"/>
  <c r="L15" i="20"/>
  <c r="H15" i="20"/>
  <c r="R52" i="1"/>
  <c r="F52" i="2"/>
  <c r="R52" i="2" s="1"/>
  <c r="R36" i="1"/>
  <c r="G15" i="20"/>
  <c r="N15" i="20"/>
  <c r="K49" i="1"/>
  <c r="K49" i="2" s="1"/>
  <c r="Q49" i="1"/>
  <c r="Q49" i="2" s="1"/>
  <c r="M49" i="1"/>
  <c r="M49" i="2" s="1"/>
  <c r="J49" i="1"/>
  <c r="J49" i="2" s="1"/>
  <c r="H49" i="1"/>
  <c r="H49" i="2" s="1"/>
  <c r="N49" i="1"/>
  <c r="N49" i="2" s="1"/>
  <c r="O49" i="1"/>
  <c r="O49" i="2" s="1"/>
  <c r="G49" i="1"/>
  <c r="G49" i="2" s="1"/>
  <c r="F49" i="1"/>
  <c r="I49" i="1"/>
  <c r="I49" i="2" s="1"/>
  <c r="L49" i="1"/>
  <c r="P49" i="1"/>
  <c r="P49" i="2" s="1"/>
  <c r="Q15" i="20"/>
  <c r="K15" i="20"/>
  <c r="J15" i="20"/>
  <c r="T36" i="1"/>
  <c r="U36" i="1" s="1"/>
  <c r="M15" i="20"/>
  <c r="N51" i="1"/>
  <c r="N51" i="2" s="1"/>
  <c r="G51" i="1"/>
  <c r="G51" i="2" s="1"/>
  <c r="M51" i="1"/>
  <c r="M51" i="2" s="1"/>
  <c r="P51" i="1"/>
  <c r="P51" i="2" s="1"/>
  <c r="J51" i="1"/>
  <c r="J51" i="2" s="1"/>
  <c r="O51" i="1"/>
  <c r="O51" i="2" s="1"/>
  <c r="K51" i="1"/>
  <c r="K51" i="2" s="1"/>
  <c r="I51" i="1"/>
  <c r="I51" i="2" s="1"/>
  <c r="H51" i="1"/>
  <c r="H51" i="2" s="1"/>
  <c r="Q51" i="1"/>
  <c r="Q51" i="2" s="1"/>
  <c r="L51" i="1"/>
  <c r="F51" i="1"/>
  <c r="R15" i="20"/>
  <c r="P15" i="20"/>
  <c r="O15" i="20"/>
  <c r="I15" i="20"/>
  <c r="T52" i="2" l="1"/>
  <c r="R39" i="20"/>
  <c r="F51" i="2"/>
  <c r="R51" i="2" s="1"/>
  <c r="R51" i="1"/>
  <c r="R50" i="1"/>
  <c r="F50" i="2"/>
  <c r="R50" i="2" s="1"/>
  <c r="L51" i="2"/>
  <c r="S51" i="2" s="1"/>
  <c r="T51" i="1"/>
  <c r="U51" i="1" s="1"/>
  <c r="L49" i="2"/>
  <c r="S49" i="2" s="1"/>
  <c r="T49" i="1"/>
  <c r="U49" i="1" s="1"/>
  <c r="S15" i="20"/>
  <c r="G39" i="20"/>
  <c r="S36" i="1"/>
  <c r="V36" i="1"/>
  <c r="W36" i="1" s="1"/>
  <c r="L39" i="20"/>
  <c r="O39" i="20"/>
  <c r="R49" i="1"/>
  <c r="F49" i="2"/>
  <c r="R49" i="2" s="1"/>
  <c r="I39" i="20"/>
  <c r="M39" i="20"/>
  <c r="Q39" i="20"/>
  <c r="H39" i="20"/>
  <c r="J39" i="20"/>
  <c r="K39" i="20"/>
  <c r="S52" i="1"/>
  <c r="V52" i="1"/>
  <c r="W52" i="1" s="1"/>
  <c r="P39" i="20"/>
  <c r="N39" i="20"/>
  <c r="L50" i="2"/>
  <c r="S50" i="2" s="1"/>
  <c r="T50" i="1"/>
  <c r="U50" i="1" s="1"/>
  <c r="R73" i="1" l="1"/>
  <c r="I45" i="20"/>
  <c r="L45" i="20"/>
  <c r="T50" i="2"/>
  <c r="Q45" i="20"/>
  <c r="M45" i="20"/>
  <c r="T49" i="2"/>
  <c r="O45" i="20"/>
  <c r="Y36" i="1"/>
  <c r="X36" i="1"/>
  <c r="G45" i="20"/>
  <c r="S39" i="20"/>
  <c r="V50" i="1"/>
  <c r="W50" i="1" s="1"/>
  <c r="S50" i="1"/>
  <c r="P45" i="20"/>
  <c r="H45" i="20"/>
  <c r="V49" i="1"/>
  <c r="W49" i="1" s="1"/>
  <c r="S49" i="1"/>
  <c r="S51" i="1"/>
  <c r="V51" i="1"/>
  <c r="W51" i="1" s="1"/>
  <c r="N45" i="20"/>
  <c r="X52" i="1"/>
  <c r="Y52" i="1"/>
  <c r="K45" i="20"/>
  <c r="J45" i="20"/>
  <c r="T51" i="2"/>
  <c r="R45" i="20"/>
  <c r="E17" i="9"/>
  <c r="E13" i="9"/>
  <c r="E15" i="9"/>
  <c r="E18" i="9"/>
  <c r="E14" i="9"/>
  <c r="E11" i="9"/>
  <c r="E12" i="9"/>
  <c r="E19" i="9"/>
  <c r="E20" i="9"/>
  <c r="F11" i="9" l="1"/>
  <c r="I11" i="9"/>
  <c r="J11" i="9"/>
  <c r="H11" i="9"/>
  <c r="O11" i="9"/>
  <c r="N11" i="9"/>
  <c r="G11" i="9"/>
  <c r="K11" i="9"/>
  <c r="L11" i="9"/>
  <c r="Q11" i="9"/>
  <c r="P11" i="9"/>
  <c r="M11" i="9"/>
  <c r="Y50" i="1"/>
  <c r="X50" i="1"/>
  <c r="K15" i="9"/>
  <c r="K14" i="10" s="1"/>
  <c r="J15" i="9"/>
  <c r="J14" i="10" s="1"/>
  <c r="F15" i="9"/>
  <c r="G15" i="9"/>
  <c r="G14" i="10" s="1"/>
  <c r="M15" i="9"/>
  <c r="M14" i="10" s="1"/>
  <c r="H15" i="9"/>
  <c r="H14" i="10" s="1"/>
  <c r="P15" i="9"/>
  <c r="P14" i="10" s="1"/>
  <c r="N15" i="9"/>
  <c r="N14" i="10" s="1"/>
  <c r="I15" i="9"/>
  <c r="I14" i="10" s="1"/>
  <c r="L15" i="9"/>
  <c r="Q15" i="9"/>
  <c r="Q14" i="10" s="1"/>
  <c r="O15" i="9"/>
  <c r="O14" i="10" s="1"/>
  <c r="Z52" i="1"/>
  <c r="AA52" i="1" s="1"/>
  <c r="H12" i="9"/>
  <c r="H11" i="10" s="1"/>
  <c r="N12" i="9"/>
  <c r="N11" i="10" s="1"/>
  <c r="Q12" i="9"/>
  <c r="Q11" i="10" s="1"/>
  <c r="J12" i="9"/>
  <c r="J11" i="10" s="1"/>
  <c r="P12" i="9"/>
  <c r="P11" i="10" s="1"/>
  <c r="K12" i="9"/>
  <c r="K11" i="10" s="1"/>
  <c r="G12" i="9"/>
  <c r="G11" i="10" s="1"/>
  <c r="F12" i="9"/>
  <c r="L12" i="9"/>
  <c r="M12" i="9"/>
  <c r="M11" i="10" s="1"/>
  <c r="I12" i="9"/>
  <c r="I11" i="10" s="1"/>
  <c r="O12" i="9"/>
  <c r="O11" i="10" s="1"/>
  <c r="X49" i="1"/>
  <c r="Y49" i="1"/>
  <c r="G19" i="9"/>
  <c r="G18" i="10" s="1"/>
  <c r="P19" i="9"/>
  <c r="P18" i="10" s="1"/>
  <c r="Q19" i="9"/>
  <c r="Q18" i="10" s="1"/>
  <c r="F19" i="9"/>
  <c r="J19" i="9"/>
  <c r="J18" i="10" s="1"/>
  <c r="L19" i="9"/>
  <c r="N19" i="9"/>
  <c r="N18" i="10" s="1"/>
  <c r="O19" i="9"/>
  <c r="O18" i="10" s="1"/>
  <c r="M19" i="9"/>
  <c r="M18" i="10" s="1"/>
  <c r="H19" i="9"/>
  <c r="H18" i="10" s="1"/>
  <c r="I19" i="9"/>
  <c r="I18" i="10" s="1"/>
  <c r="K19" i="9"/>
  <c r="K18" i="10" s="1"/>
  <c r="F13" i="9"/>
  <c r="N13" i="9"/>
  <c r="N12" i="10" s="1"/>
  <c r="I13" i="9"/>
  <c r="I12" i="10" s="1"/>
  <c r="J13" i="9"/>
  <c r="J12" i="10" s="1"/>
  <c r="K13" i="9"/>
  <c r="K12" i="10" s="1"/>
  <c r="H13" i="9"/>
  <c r="H12" i="10" s="1"/>
  <c r="G13" i="9"/>
  <c r="G12" i="10" s="1"/>
  <c r="P13" i="9"/>
  <c r="P12" i="10" s="1"/>
  <c r="L13" i="9"/>
  <c r="O13" i="9"/>
  <c r="O12" i="10" s="1"/>
  <c r="M13" i="9"/>
  <c r="M12" i="10" s="1"/>
  <c r="Q13" i="9"/>
  <c r="Q12" i="10" s="1"/>
  <c r="S45" i="20"/>
  <c r="T39" i="20"/>
  <c r="V39" i="20" s="1"/>
  <c r="F17" i="9"/>
  <c r="G17" i="9"/>
  <c r="O17" i="9"/>
  <c r="H17" i="9"/>
  <c r="M17" i="9"/>
  <c r="N17" i="9"/>
  <c r="P17" i="9"/>
  <c r="I17" i="9"/>
  <c r="J17" i="9"/>
  <c r="Q17" i="9"/>
  <c r="K17" i="9"/>
  <c r="L17" i="9"/>
  <c r="P14" i="9"/>
  <c r="P13" i="10" s="1"/>
  <c r="M14" i="9"/>
  <c r="M13" i="10" s="1"/>
  <c r="K14" i="9"/>
  <c r="K13" i="10" s="1"/>
  <c r="Q14" i="9"/>
  <c r="Q13" i="10" s="1"/>
  <c r="J14" i="9"/>
  <c r="J13" i="10" s="1"/>
  <c r="L14" i="9"/>
  <c r="F14" i="9"/>
  <c r="H14" i="9"/>
  <c r="H13" i="10" s="1"/>
  <c r="N14" i="9"/>
  <c r="N13" i="10" s="1"/>
  <c r="O14" i="9"/>
  <c r="O13" i="10" s="1"/>
  <c r="I14" i="9"/>
  <c r="I13" i="10" s="1"/>
  <c r="G14" i="9"/>
  <c r="G13" i="10" s="1"/>
  <c r="I18" i="9"/>
  <c r="I17" i="10" s="1"/>
  <c r="N18" i="9"/>
  <c r="N17" i="10" s="1"/>
  <c r="L18" i="9"/>
  <c r="H18" i="9"/>
  <c r="H17" i="10" s="1"/>
  <c r="O18" i="9"/>
  <c r="O17" i="10" s="1"/>
  <c r="J18" i="9"/>
  <c r="J17" i="10" s="1"/>
  <c r="F18" i="9"/>
  <c r="M18" i="9"/>
  <c r="M17" i="10" s="1"/>
  <c r="Q18" i="9"/>
  <c r="Q17" i="10" s="1"/>
  <c r="P18" i="9"/>
  <c r="P17" i="10" s="1"/>
  <c r="K18" i="9"/>
  <c r="K17" i="10" s="1"/>
  <c r="G18" i="9"/>
  <c r="G17" i="10" s="1"/>
  <c r="Y51" i="1"/>
  <c r="X51" i="1"/>
  <c r="F20" i="9"/>
  <c r="P20" i="9"/>
  <c r="P19" i="10" s="1"/>
  <c r="I20" i="9"/>
  <c r="I19" i="10" s="1"/>
  <c r="L20" i="9"/>
  <c r="O20" i="9"/>
  <c r="O19" i="10" s="1"/>
  <c r="Q20" i="9"/>
  <c r="Q19" i="10" s="1"/>
  <c r="H20" i="9"/>
  <c r="H19" i="10" s="1"/>
  <c r="G20" i="9"/>
  <c r="G19" i="10" s="1"/>
  <c r="K20" i="9"/>
  <c r="K19" i="10" s="1"/>
  <c r="J20" i="9"/>
  <c r="J19" i="10" s="1"/>
  <c r="N20" i="9"/>
  <c r="N19" i="10" s="1"/>
  <c r="M20" i="9"/>
  <c r="M19" i="10" s="1"/>
  <c r="Z36" i="1"/>
  <c r="E16" i="9"/>
  <c r="E21" i="9"/>
  <c r="Z49" i="1" l="1"/>
  <c r="AA49" i="1" s="1"/>
  <c r="Z50" i="1"/>
  <c r="AA50" i="1" s="1"/>
  <c r="Z51" i="1"/>
  <c r="AA51" i="1" s="1"/>
  <c r="T19" i="9"/>
  <c r="U19" i="9" s="1"/>
  <c r="L18" i="10"/>
  <c r="T20" i="9"/>
  <c r="U20" i="9" s="1"/>
  <c r="L19" i="10"/>
  <c r="L13" i="10"/>
  <c r="T14" i="9"/>
  <c r="U14" i="9" s="1"/>
  <c r="Q21" i="9"/>
  <c r="Q16" i="10"/>
  <c r="Q20" i="10" s="1"/>
  <c r="G16" i="10"/>
  <c r="G20" i="10" s="1"/>
  <c r="G21" i="9"/>
  <c r="L14" i="10"/>
  <c r="T15" i="9"/>
  <c r="U15" i="9" s="1"/>
  <c r="K10" i="10"/>
  <c r="K15" i="10" s="1"/>
  <c r="K16" i="9"/>
  <c r="J16" i="10"/>
  <c r="J20" i="10" s="1"/>
  <c r="J21" i="9"/>
  <c r="G10" i="10"/>
  <c r="G15" i="10" s="1"/>
  <c r="G16" i="9"/>
  <c r="G22" i="9" s="1"/>
  <c r="I16" i="10"/>
  <c r="I20" i="10" s="1"/>
  <c r="I21" i="9"/>
  <c r="T13" i="9"/>
  <c r="U13" i="9" s="1"/>
  <c r="L12" i="10"/>
  <c r="R13" i="9"/>
  <c r="F12" i="10"/>
  <c r="N10" i="10"/>
  <c r="N15" i="10" s="1"/>
  <c r="N16" i="9"/>
  <c r="F19" i="10"/>
  <c r="R20" i="9"/>
  <c r="R18" i="9"/>
  <c r="F17" i="10"/>
  <c r="P21" i="9"/>
  <c r="P16" i="10"/>
  <c r="P20" i="10" s="1"/>
  <c r="R19" i="9"/>
  <c r="F18" i="10"/>
  <c r="R18" i="10" s="1"/>
  <c r="O16" i="9"/>
  <c r="O10" i="10"/>
  <c r="O15" i="10" s="1"/>
  <c r="N21" i="9"/>
  <c r="N16" i="10"/>
  <c r="N20" i="10" s="1"/>
  <c r="T12" i="9"/>
  <c r="U12" i="9" s="1"/>
  <c r="L11" i="10"/>
  <c r="M10" i="10"/>
  <c r="M15" i="10" s="1"/>
  <c r="M16" i="9"/>
  <c r="H16" i="9"/>
  <c r="H10" i="10"/>
  <c r="H15" i="10" s="1"/>
  <c r="F16" i="10"/>
  <c r="R17" i="9"/>
  <c r="F21" i="9"/>
  <c r="M21" i="9"/>
  <c r="M16" i="10"/>
  <c r="M20" i="10" s="1"/>
  <c r="F11" i="10"/>
  <c r="R12" i="9"/>
  <c r="P16" i="9"/>
  <c r="P10" i="10"/>
  <c r="P15" i="10" s="1"/>
  <c r="J16" i="9"/>
  <c r="J10" i="10"/>
  <c r="J15" i="10" s="1"/>
  <c r="L21" i="9"/>
  <c r="L16" i="10"/>
  <c r="T17" i="9"/>
  <c r="U17" i="9" s="1"/>
  <c r="H21" i="9"/>
  <c r="H16" i="10"/>
  <c r="H20" i="10" s="1"/>
  <c r="H21" i="10" s="1"/>
  <c r="I30" i="26" s="1"/>
  <c r="Q10" i="10"/>
  <c r="Q15" i="10" s="1"/>
  <c r="Q16" i="9"/>
  <c r="I16" i="9"/>
  <c r="I10" i="10"/>
  <c r="I15" i="10" s="1"/>
  <c r="T18" i="9"/>
  <c r="U18" i="9" s="1"/>
  <c r="L17" i="10"/>
  <c r="R14" i="9"/>
  <c r="F13" i="10"/>
  <c r="K16" i="10"/>
  <c r="K20" i="10" s="1"/>
  <c r="K21" i="10" s="1"/>
  <c r="L30" i="26" s="1"/>
  <c r="K21" i="9"/>
  <c r="O21" i="9"/>
  <c r="O16" i="10"/>
  <c r="O20" i="10" s="1"/>
  <c r="F14" i="10"/>
  <c r="R15" i="9"/>
  <c r="T11" i="9"/>
  <c r="L16" i="9"/>
  <c r="L10" i="10"/>
  <c r="F16" i="9"/>
  <c r="R11" i="9"/>
  <c r="F10" i="10"/>
  <c r="M21" i="10" l="1"/>
  <c r="N30" i="26" s="1"/>
  <c r="I22" i="9"/>
  <c r="J22" i="9"/>
  <c r="R19" i="10"/>
  <c r="O21" i="10"/>
  <c r="P30" i="26" s="1"/>
  <c r="L15" i="10"/>
  <c r="T15" i="10" s="1"/>
  <c r="R14" i="10"/>
  <c r="R13" i="10"/>
  <c r="R12" i="10"/>
  <c r="R21" i="9"/>
  <c r="S21" i="9" s="1"/>
  <c r="J21" i="10"/>
  <c r="K30" i="26" s="1"/>
  <c r="S15" i="9"/>
  <c r="V15" i="9"/>
  <c r="W15" i="9" s="1"/>
  <c r="X15" i="9" s="1"/>
  <c r="U11" i="9"/>
  <c r="T16" i="9"/>
  <c r="V14" i="9"/>
  <c r="W14" i="9" s="1"/>
  <c r="X14" i="9" s="1"/>
  <c r="S14" i="9"/>
  <c r="V12" i="9"/>
  <c r="W12" i="9" s="1"/>
  <c r="X12" i="9" s="1"/>
  <c r="S12" i="9"/>
  <c r="P21" i="10"/>
  <c r="Q30" i="26" s="1"/>
  <c r="Q21" i="10"/>
  <c r="R30" i="26" s="1"/>
  <c r="L20" i="10"/>
  <c r="V17" i="9"/>
  <c r="W17" i="9" s="1"/>
  <c r="X17" i="9" s="1"/>
  <c r="S17" i="9"/>
  <c r="N21" i="10"/>
  <c r="O30" i="26" s="1"/>
  <c r="R17" i="10"/>
  <c r="K22" i="9"/>
  <c r="R10" i="10"/>
  <c r="F15" i="10"/>
  <c r="T21" i="9"/>
  <c r="R16" i="10"/>
  <c r="F20" i="10"/>
  <c r="V18" i="9"/>
  <c r="W18" i="9" s="1"/>
  <c r="X18" i="9" s="1"/>
  <c r="S18" i="9"/>
  <c r="S11" i="9"/>
  <c r="V11" i="9"/>
  <c r="W11" i="9" s="1"/>
  <c r="X11" i="9" s="1"/>
  <c r="R16" i="9"/>
  <c r="S16" i="9" s="1"/>
  <c r="S20" i="9"/>
  <c r="V20" i="9"/>
  <c r="W20" i="9" s="1"/>
  <c r="X20" i="9" s="1"/>
  <c r="V13" i="9"/>
  <c r="W13" i="9" s="1"/>
  <c r="X13" i="9" s="1"/>
  <c r="S13" i="9"/>
  <c r="F22" i="9"/>
  <c r="Q22" i="9"/>
  <c r="H22" i="9"/>
  <c r="O22" i="9"/>
  <c r="I21" i="10"/>
  <c r="J30" i="26" s="1"/>
  <c r="R11" i="10"/>
  <c r="M22" i="9"/>
  <c r="N22" i="9"/>
  <c r="L22" i="9"/>
  <c r="P22" i="9"/>
  <c r="V19" i="9"/>
  <c r="W19" i="9" s="1"/>
  <c r="X19" i="9" s="1"/>
  <c r="S19" i="9"/>
  <c r="G21" i="10"/>
  <c r="H30" i="26" s="1"/>
  <c r="R22" i="9" l="1"/>
  <c r="S20" i="10"/>
  <c r="R20" i="10"/>
  <c r="F21" i="10"/>
  <c r="V16" i="9"/>
  <c r="W16" i="9" s="1"/>
  <c r="X16" i="9" s="1"/>
  <c r="U16" i="9"/>
  <c r="T22" i="9"/>
  <c r="V21" i="9"/>
  <c r="W21" i="9" s="1"/>
  <c r="X21" i="9" s="1"/>
  <c r="U21" i="9"/>
  <c r="T20" i="10"/>
  <c r="T21" i="10" s="1"/>
  <c r="T22" i="10" s="1"/>
  <c r="L21" i="10"/>
  <c r="S15" i="10"/>
  <c r="R15" i="10"/>
  <c r="V22" i="9" l="1"/>
  <c r="K41" i="10"/>
  <c r="R21" i="10"/>
  <c r="R41" i="10" s="1"/>
  <c r="G30" i="26"/>
  <c r="U20" i="10"/>
  <c r="U15" i="10"/>
  <c r="S21" i="10"/>
  <c r="M30" i="26"/>
  <c r="Q41" i="10"/>
  <c r="S30" i="26" l="1"/>
  <c r="U21" i="10"/>
  <c r="U22" i="10" s="1"/>
  <c r="S22" i="10"/>
  <c r="D59" i="15" l="1"/>
  <c r="F56" i="15"/>
  <c r="M56" i="15"/>
  <c r="P56" i="15"/>
  <c r="J56" i="15"/>
  <c r="E56" i="15"/>
  <c r="E55" i="16" s="1"/>
  <c r="O56" i="15"/>
  <c r="N56" i="15"/>
  <c r="K56" i="15"/>
  <c r="K55" i="16" s="1"/>
  <c r="K59" i="16" s="1"/>
  <c r="L56" i="15"/>
  <c r="G56" i="15"/>
  <c r="I56" i="15"/>
  <c r="H56" i="15"/>
  <c r="E59" i="16" l="1"/>
  <c r="J59" i="15"/>
  <c r="J55" i="16"/>
  <c r="J59" i="16" s="1"/>
  <c r="N59" i="15"/>
  <c r="P26" i="20" s="1"/>
  <c r="P42" i="20" s="1"/>
  <c r="P48" i="20" s="1"/>
  <c r="N55" i="16"/>
  <c r="N59" i="16" s="1"/>
  <c r="H59" i="15"/>
  <c r="J26" i="20" s="1"/>
  <c r="J42" i="20" s="1"/>
  <c r="J48" i="20" s="1"/>
  <c r="H55" i="16"/>
  <c r="H59" i="16" s="1"/>
  <c r="I59" i="15"/>
  <c r="K26" i="20" s="1"/>
  <c r="K42" i="20" s="1"/>
  <c r="K48" i="20" s="1"/>
  <c r="I55" i="16"/>
  <c r="I59" i="16" s="1"/>
  <c r="P59" i="15"/>
  <c r="R26" i="20" s="1"/>
  <c r="R42" i="20" s="1"/>
  <c r="R48" i="20" s="1"/>
  <c r="P55" i="16"/>
  <c r="P59" i="16" s="1"/>
  <c r="G59" i="15"/>
  <c r="G61" i="15" s="1"/>
  <c r="G55" i="16"/>
  <c r="G59" i="16" s="1"/>
  <c r="M59" i="15"/>
  <c r="O26" i="20" s="1"/>
  <c r="O42" i="20" s="1"/>
  <c r="O48" i="20" s="1"/>
  <c r="M55" i="16"/>
  <c r="M59" i="16" s="1"/>
  <c r="L59" i="15"/>
  <c r="N26" i="20" s="1"/>
  <c r="N42" i="20" s="1"/>
  <c r="N48" i="20" s="1"/>
  <c r="L55" i="16"/>
  <c r="L59" i="16" s="1"/>
  <c r="F59" i="15"/>
  <c r="F55" i="16"/>
  <c r="F59" i="16" s="1"/>
  <c r="O59" i="15"/>
  <c r="O61" i="15" s="1"/>
  <c r="O62" i="15" s="1"/>
  <c r="O55" i="16"/>
  <c r="O59" i="16" s="1"/>
  <c r="K61" i="16"/>
  <c r="K68" i="16"/>
  <c r="M26" i="26"/>
  <c r="M47" i="26" s="1"/>
  <c r="P61" i="15"/>
  <c r="P62" i="15" s="1"/>
  <c r="L26" i="20"/>
  <c r="L42" i="20" s="1"/>
  <c r="L48" i="20" s="1"/>
  <c r="J61" i="15"/>
  <c r="H26" i="20"/>
  <c r="H42" i="20" s="1"/>
  <c r="H48" i="20" s="1"/>
  <c r="F61" i="15"/>
  <c r="F62" i="15" s="1"/>
  <c r="Q26" i="20"/>
  <c r="Q42" i="20" s="1"/>
  <c r="Q48" i="20" s="1"/>
  <c r="Q56" i="15"/>
  <c r="E59" i="15"/>
  <c r="S56" i="15"/>
  <c r="T56" i="15" s="1"/>
  <c r="K59" i="15"/>
  <c r="I26" i="20" l="1"/>
  <c r="I42" i="20" s="1"/>
  <c r="I48" i="20" s="1"/>
  <c r="M61" i="15"/>
  <c r="M62" i="15" s="1"/>
  <c r="N61" i="15"/>
  <c r="N62" i="15" s="1"/>
  <c r="H61" i="15"/>
  <c r="L61" i="15"/>
  <c r="I61" i="15"/>
  <c r="I63" i="15" s="1"/>
  <c r="O26" i="26"/>
  <c r="O47" i="26" s="1"/>
  <c r="M61" i="16"/>
  <c r="M68" i="16"/>
  <c r="H61" i="16"/>
  <c r="H68" i="16"/>
  <c r="J26" i="26"/>
  <c r="J47" i="26" s="1"/>
  <c r="O61" i="16"/>
  <c r="O68" i="16"/>
  <c r="Q26" i="26"/>
  <c r="Q47" i="26" s="1"/>
  <c r="F61" i="16"/>
  <c r="H26" i="26"/>
  <c r="H47" i="26" s="1"/>
  <c r="F68" i="16"/>
  <c r="P68" i="16"/>
  <c r="P61" i="16"/>
  <c r="R26" i="26"/>
  <c r="R47" i="26" s="1"/>
  <c r="J61" i="16"/>
  <c r="J68" i="16"/>
  <c r="L26" i="26"/>
  <c r="L47" i="26" s="1"/>
  <c r="G61" i="16"/>
  <c r="G68" i="16"/>
  <c r="I26" i="26"/>
  <c r="I47" i="26" s="1"/>
  <c r="N26" i="26"/>
  <c r="N47" i="26" s="1"/>
  <c r="L61" i="16"/>
  <c r="L68" i="16"/>
  <c r="I61" i="16"/>
  <c r="I68" i="16"/>
  <c r="K26" i="26"/>
  <c r="K47" i="26" s="1"/>
  <c r="Q59" i="16"/>
  <c r="E61" i="16"/>
  <c r="G26" i="26"/>
  <c r="E68" i="16"/>
  <c r="N61" i="16"/>
  <c r="P26" i="26"/>
  <c r="P47" i="26" s="1"/>
  <c r="N68" i="16"/>
  <c r="Q55" i="16"/>
  <c r="S59" i="15"/>
  <c r="T59" i="15" s="1"/>
  <c r="M26" i="20"/>
  <c r="M42" i="20" s="1"/>
  <c r="M48" i="20" s="1"/>
  <c r="K61" i="15"/>
  <c r="G63" i="15"/>
  <c r="G62" i="15"/>
  <c r="L62" i="15"/>
  <c r="H63" i="15"/>
  <c r="H62" i="15"/>
  <c r="J62" i="15"/>
  <c r="Q59" i="15"/>
  <c r="G26" i="20"/>
  <c r="E61" i="15"/>
  <c r="R56" i="15"/>
  <c r="U56" i="15"/>
  <c r="V56" i="15" s="1"/>
  <c r="W56" i="15" s="1"/>
  <c r="X56" i="15" s="1"/>
  <c r="Y56" i="15" s="1"/>
  <c r="Z56" i="15" s="1"/>
  <c r="J63" i="15" l="1"/>
  <c r="I62" i="15"/>
  <c r="L63" i="15"/>
  <c r="U47" i="26"/>
  <c r="Q68" i="16"/>
  <c r="S26" i="26"/>
  <c r="G47" i="26"/>
  <c r="Q61" i="16"/>
  <c r="F63" i="15"/>
  <c r="E62" i="15"/>
  <c r="Q61" i="15"/>
  <c r="S26" i="20"/>
  <c r="G42" i="20"/>
  <c r="U59" i="15"/>
  <c r="V59" i="15" s="1"/>
  <c r="W59" i="15" s="1"/>
  <c r="X59" i="15" s="1"/>
  <c r="Y59" i="15" s="1"/>
  <c r="Z59" i="15" s="1"/>
  <c r="R59" i="15"/>
  <c r="S61" i="15"/>
  <c r="T61" i="15" s="1"/>
  <c r="K63" i="15"/>
  <c r="K62" i="15"/>
  <c r="V47" i="26" l="1"/>
  <c r="T47" i="26"/>
  <c r="S47" i="26"/>
  <c r="S42" i="20"/>
  <c r="G48" i="20"/>
  <c r="Q62" i="15"/>
  <c r="R61" i="15"/>
  <c r="U61" i="15"/>
  <c r="V61" i="15" s="1"/>
  <c r="T42" i="20" l="1"/>
  <c r="V42" i="20" s="1"/>
  <c r="S48" i="20"/>
  <c r="O51" i="21" l="1"/>
  <c r="O51" i="23" s="1"/>
  <c r="I51" i="21"/>
  <c r="I51" i="23" s="1"/>
  <c r="L51" i="21"/>
  <c r="L51" i="23" s="1"/>
  <c r="M51" i="21"/>
  <c r="M51" i="23" s="1"/>
  <c r="P51" i="21"/>
  <c r="P51" i="23" s="1"/>
  <c r="N51" i="21"/>
  <c r="N51" i="23" s="1"/>
  <c r="H51" i="21"/>
  <c r="H51" i="23" s="1"/>
  <c r="K51" i="21"/>
  <c r="J51" i="21"/>
  <c r="J51" i="23" s="1"/>
  <c r="G51" i="21"/>
  <c r="G51" i="23" s="1"/>
  <c r="E51" i="21"/>
  <c r="F51" i="21"/>
  <c r="F51" i="23" s="1"/>
  <c r="F54" i="21" l="1"/>
  <c r="F54" i="23" s="1"/>
  <c r="L54" i="21"/>
  <c r="L54" i="23" s="1"/>
  <c r="G54" i="21"/>
  <c r="G54" i="23" s="1"/>
  <c r="P54" i="21"/>
  <c r="P54" i="23" s="1"/>
  <c r="E54" i="21"/>
  <c r="O54" i="21"/>
  <c r="O54" i="23" s="1"/>
  <c r="O55" i="23" s="1"/>
  <c r="K54" i="21"/>
  <c r="H54" i="21"/>
  <c r="H54" i="23" s="1"/>
  <c r="I54" i="21"/>
  <c r="I54" i="23" s="1"/>
  <c r="M54" i="21"/>
  <c r="M54" i="23" s="1"/>
  <c r="J54" i="21"/>
  <c r="J54" i="23" s="1"/>
  <c r="N54" i="21"/>
  <c r="N54" i="23" s="1"/>
  <c r="J15" i="21"/>
  <c r="J15" i="23" s="1"/>
  <c r="O15" i="21"/>
  <c r="O15" i="23" s="1"/>
  <c r="G15" i="21"/>
  <c r="G15" i="23" s="1"/>
  <c r="E15" i="21"/>
  <c r="M15" i="21"/>
  <c r="M15" i="23" s="1"/>
  <c r="I15" i="21"/>
  <c r="I15" i="23" s="1"/>
  <c r="P15" i="21"/>
  <c r="P15" i="23" s="1"/>
  <c r="H15" i="21"/>
  <c r="H15" i="23" s="1"/>
  <c r="L15" i="21"/>
  <c r="L15" i="23" s="1"/>
  <c r="F15" i="21"/>
  <c r="F15" i="23" s="1"/>
  <c r="N15" i="21"/>
  <c r="N15" i="23" s="1"/>
  <c r="K15" i="21"/>
  <c r="J23" i="21"/>
  <c r="J23" i="23" s="1"/>
  <c r="E23" i="21"/>
  <c r="P23" i="21"/>
  <c r="P23" i="23" s="1"/>
  <c r="G23" i="21"/>
  <c r="G23" i="23" s="1"/>
  <c r="F23" i="21"/>
  <c r="F23" i="23" s="1"/>
  <c r="H23" i="21"/>
  <c r="H23" i="23" s="1"/>
  <c r="K23" i="21"/>
  <c r="M23" i="21"/>
  <c r="M23" i="23" s="1"/>
  <c r="L23" i="21"/>
  <c r="L23" i="23" s="1"/>
  <c r="O23" i="21"/>
  <c r="O23" i="23" s="1"/>
  <c r="I23" i="21"/>
  <c r="I23" i="23" s="1"/>
  <c r="N23" i="21"/>
  <c r="N23" i="23" s="1"/>
  <c r="E16" i="21"/>
  <c r="J16" i="21"/>
  <c r="J16" i="23" s="1"/>
  <c r="F16" i="21"/>
  <c r="F16" i="23" s="1"/>
  <c r="L16" i="21"/>
  <c r="L16" i="23" s="1"/>
  <c r="O16" i="21"/>
  <c r="O16" i="23" s="1"/>
  <c r="H16" i="21"/>
  <c r="H16" i="23" s="1"/>
  <c r="K16" i="21"/>
  <c r="M16" i="21"/>
  <c r="M16" i="23" s="1"/>
  <c r="G16" i="21"/>
  <c r="G16" i="23" s="1"/>
  <c r="P16" i="21"/>
  <c r="P16" i="23" s="1"/>
  <c r="N16" i="21"/>
  <c r="N16" i="23" s="1"/>
  <c r="I16" i="21"/>
  <c r="I16" i="23" s="1"/>
  <c r="P46" i="21"/>
  <c r="P46" i="23" s="1"/>
  <c r="E46" i="21"/>
  <c r="G46" i="21"/>
  <c r="G46" i="23" s="1"/>
  <c r="I46" i="21"/>
  <c r="I46" i="23" s="1"/>
  <c r="J46" i="21"/>
  <c r="J46" i="23" s="1"/>
  <c r="L46" i="21"/>
  <c r="L46" i="23" s="1"/>
  <c r="F46" i="21"/>
  <c r="F46" i="23" s="1"/>
  <c r="K46" i="21"/>
  <c r="M46" i="21"/>
  <c r="M46" i="23" s="1"/>
  <c r="H46" i="21"/>
  <c r="H46" i="23" s="1"/>
  <c r="O46" i="21"/>
  <c r="O46" i="23" s="1"/>
  <c r="N46" i="21"/>
  <c r="N46" i="23" s="1"/>
  <c r="L30" i="21"/>
  <c r="L30" i="23" s="1"/>
  <c r="I30" i="21"/>
  <c r="I30" i="23" s="1"/>
  <c r="F30" i="21"/>
  <c r="F30" i="23" s="1"/>
  <c r="O30" i="21"/>
  <c r="O30" i="23" s="1"/>
  <c r="K30" i="21"/>
  <c r="G30" i="21"/>
  <c r="G30" i="23" s="1"/>
  <c r="J30" i="21"/>
  <c r="J30" i="23" s="1"/>
  <c r="N30" i="21"/>
  <c r="N30" i="23" s="1"/>
  <c r="H30" i="21"/>
  <c r="H30" i="23" s="1"/>
  <c r="E30" i="21"/>
  <c r="M30" i="21"/>
  <c r="M30" i="23" s="1"/>
  <c r="P30" i="21"/>
  <c r="P30" i="23" s="1"/>
  <c r="O53" i="21"/>
  <c r="O53" i="23" s="1"/>
  <c r="K53" i="21"/>
  <c r="F53" i="21"/>
  <c r="F53" i="23" s="1"/>
  <c r="M53" i="21"/>
  <c r="M53" i="23" s="1"/>
  <c r="I53" i="21"/>
  <c r="I53" i="23" s="1"/>
  <c r="H53" i="21"/>
  <c r="H53" i="23" s="1"/>
  <c r="P53" i="21"/>
  <c r="P53" i="23" s="1"/>
  <c r="G53" i="21"/>
  <c r="G53" i="23" s="1"/>
  <c r="E53" i="21"/>
  <c r="J53" i="21"/>
  <c r="J53" i="23" s="1"/>
  <c r="N53" i="21"/>
  <c r="N53" i="23" s="1"/>
  <c r="L53" i="21"/>
  <c r="L53" i="23" s="1"/>
  <c r="J36" i="21"/>
  <c r="J36" i="23" s="1"/>
  <c r="K36" i="21"/>
  <c r="F36" i="21"/>
  <c r="F36" i="23" s="1"/>
  <c r="M36" i="21"/>
  <c r="M36" i="23" s="1"/>
  <c r="G36" i="21"/>
  <c r="G36" i="23" s="1"/>
  <c r="L36" i="21"/>
  <c r="L36" i="23" s="1"/>
  <c r="O36" i="21"/>
  <c r="O36" i="23" s="1"/>
  <c r="I36" i="21"/>
  <c r="I36" i="23" s="1"/>
  <c r="H36" i="21"/>
  <c r="H36" i="23" s="1"/>
  <c r="P36" i="21"/>
  <c r="P36" i="23" s="1"/>
  <c r="E36" i="21"/>
  <c r="N36" i="21"/>
  <c r="N36" i="23" s="1"/>
  <c r="P10" i="21"/>
  <c r="P10" i="23" s="1"/>
  <c r="G10" i="21"/>
  <c r="G10" i="23" s="1"/>
  <c r="M10" i="21"/>
  <c r="M10" i="23" s="1"/>
  <c r="L10" i="21"/>
  <c r="L10" i="23" s="1"/>
  <c r="E10" i="21"/>
  <c r="F10" i="21"/>
  <c r="F10" i="23" s="1"/>
  <c r="O10" i="21"/>
  <c r="O10" i="23" s="1"/>
  <c r="J10" i="21"/>
  <c r="J10" i="23" s="1"/>
  <c r="K10" i="21"/>
  <c r="H10" i="21"/>
  <c r="H10" i="23" s="1"/>
  <c r="N10" i="21"/>
  <c r="N10" i="23" s="1"/>
  <c r="I10" i="21"/>
  <c r="I10" i="23" s="1"/>
  <c r="G49" i="21"/>
  <c r="G49" i="23" s="1"/>
  <c r="N49" i="21"/>
  <c r="N49" i="23" s="1"/>
  <c r="H49" i="21"/>
  <c r="H49" i="23" s="1"/>
  <c r="I49" i="21"/>
  <c r="I49" i="23" s="1"/>
  <c r="E49" i="21"/>
  <c r="M49" i="21"/>
  <c r="M49" i="23" s="1"/>
  <c r="K49" i="21"/>
  <c r="O49" i="21"/>
  <c r="O49" i="23" s="1"/>
  <c r="F49" i="21"/>
  <c r="F49" i="23" s="1"/>
  <c r="P49" i="21"/>
  <c r="P49" i="23" s="1"/>
  <c r="L49" i="21"/>
  <c r="L49" i="23" s="1"/>
  <c r="J49" i="21"/>
  <c r="J49" i="23" s="1"/>
  <c r="O17" i="21"/>
  <c r="O17" i="23" s="1"/>
  <c r="M17" i="21"/>
  <c r="M17" i="23" s="1"/>
  <c r="G17" i="21"/>
  <c r="G17" i="23" s="1"/>
  <c r="J17" i="21"/>
  <c r="J17" i="23" s="1"/>
  <c r="L17" i="21"/>
  <c r="L17" i="23" s="1"/>
  <c r="I17" i="21"/>
  <c r="I17" i="23" s="1"/>
  <c r="E17" i="21"/>
  <c r="K17" i="21"/>
  <c r="F17" i="21"/>
  <c r="F17" i="23" s="1"/>
  <c r="P17" i="21"/>
  <c r="P17" i="23" s="1"/>
  <c r="N17" i="21"/>
  <c r="N17" i="23" s="1"/>
  <c r="H17" i="21"/>
  <c r="H17" i="23" s="1"/>
  <c r="K42" i="21"/>
  <c r="N42" i="21"/>
  <c r="N42" i="23" s="1"/>
  <c r="H42" i="21"/>
  <c r="H42" i="23" s="1"/>
  <c r="E42" i="21"/>
  <c r="L42" i="21"/>
  <c r="L42" i="23" s="1"/>
  <c r="P42" i="21"/>
  <c r="P42" i="23" s="1"/>
  <c r="M42" i="21"/>
  <c r="M42" i="23" s="1"/>
  <c r="O42" i="21"/>
  <c r="O42" i="23" s="1"/>
  <c r="G42" i="21"/>
  <c r="G42" i="23" s="1"/>
  <c r="I42" i="21"/>
  <c r="I42" i="23" s="1"/>
  <c r="F42" i="21"/>
  <c r="F42" i="23" s="1"/>
  <c r="J42" i="21"/>
  <c r="J42" i="23" s="1"/>
  <c r="N8" i="21"/>
  <c r="N8" i="23" s="1"/>
  <c r="M8" i="21"/>
  <c r="M8" i="23" s="1"/>
  <c r="E8" i="21"/>
  <c r="P8" i="21"/>
  <c r="P8" i="23" s="1"/>
  <c r="L8" i="21"/>
  <c r="L8" i="23" s="1"/>
  <c r="G8" i="21"/>
  <c r="G8" i="23" s="1"/>
  <c r="I8" i="21"/>
  <c r="I8" i="23" s="1"/>
  <c r="O8" i="21"/>
  <c r="O8" i="23" s="1"/>
  <c r="H8" i="21"/>
  <c r="H8" i="23" s="1"/>
  <c r="J8" i="21"/>
  <c r="J8" i="23" s="1"/>
  <c r="K8" i="21"/>
  <c r="F8" i="21"/>
  <c r="F8" i="23" s="1"/>
  <c r="F24" i="21"/>
  <c r="F24" i="23" s="1"/>
  <c r="H24" i="21"/>
  <c r="H24" i="23" s="1"/>
  <c r="N24" i="21"/>
  <c r="N24" i="23" s="1"/>
  <c r="J24" i="21"/>
  <c r="J24" i="23" s="1"/>
  <c r="O24" i="21"/>
  <c r="O24" i="23" s="1"/>
  <c r="G24" i="21"/>
  <c r="G24" i="23" s="1"/>
  <c r="M24" i="21"/>
  <c r="M24" i="23" s="1"/>
  <c r="I24" i="21"/>
  <c r="I24" i="23" s="1"/>
  <c r="K24" i="21"/>
  <c r="E24" i="21"/>
  <c r="P24" i="21"/>
  <c r="P24" i="23" s="1"/>
  <c r="L24" i="21"/>
  <c r="L24" i="23" s="1"/>
  <c r="H35" i="21"/>
  <c r="H35" i="23" s="1"/>
  <c r="O35" i="21"/>
  <c r="O35" i="23" s="1"/>
  <c r="N35" i="21"/>
  <c r="N35" i="23" s="1"/>
  <c r="P35" i="21"/>
  <c r="P35" i="23" s="1"/>
  <c r="M35" i="21"/>
  <c r="M35" i="23" s="1"/>
  <c r="E35" i="21"/>
  <c r="G35" i="21"/>
  <c r="G35" i="23" s="1"/>
  <c r="F35" i="21"/>
  <c r="F35" i="23" s="1"/>
  <c r="K35" i="21"/>
  <c r="J35" i="21"/>
  <c r="J35" i="23" s="1"/>
  <c r="I35" i="21"/>
  <c r="I35" i="23" s="1"/>
  <c r="L35" i="21"/>
  <c r="L35" i="23" s="1"/>
  <c r="M37" i="21"/>
  <c r="I37" i="21"/>
  <c r="K37" i="21"/>
  <c r="L37" i="21"/>
  <c r="N37" i="21"/>
  <c r="P37" i="21"/>
  <c r="E37" i="21"/>
  <c r="J37" i="21"/>
  <c r="G37" i="21"/>
  <c r="F37" i="21"/>
  <c r="H37" i="21"/>
  <c r="O37" i="21"/>
  <c r="M26" i="21"/>
  <c r="M26" i="23" s="1"/>
  <c r="J26" i="21"/>
  <c r="J26" i="23" s="1"/>
  <c r="E26" i="21"/>
  <c r="N26" i="21"/>
  <c r="N26" i="23" s="1"/>
  <c r="L26" i="21"/>
  <c r="L26" i="23" s="1"/>
  <c r="H26" i="21"/>
  <c r="H26" i="23" s="1"/>
  <c r="G26" i="21"/>
  <c r="G26" i="23" s="1"/>
  <c r="F26" i="21"/>
  <c r="F26" i="23" s="1"/>
  <c r="P26" i="21"/>
  <c r="P26" i="23" s="1"/>
  <c r="K26" i="21"/>
  <c r="O26" i="21"/>
  <c r="O26" i="23" s="1"/>
  <c r="I26" i="21"/>
  <c r="I26" i="23" s="1"/>
  <c r="E50" i="21"/>
  <c r="N50" i="21"/>
  <c r="P19" i="20" s="1"/>
  <c r="G50" i="21"/>
  <c r="I19" i="20" s="1"/>
  <c r="O50" i="21"/>
  <c r="Q19" i="20" s="1"/>
  <c r="F50" i="21"/>
  <c r="H19" i="20" s="1"/>
  <c r="P50" i="21"/>
  <c r="R19" i="20" s="1"/>
  <c r="L50" i="21"/>
  <c r="N19" i="20" s="1"/>
  <c r="J50" i="21"/>
  <c r="L19" i="20" s="1"/>
  <c r="M50" i="21"/>
  <c r="O19" i="20" s="1"/>
  <c r="H50" i="21"/>
  <c r="J19" i="20" s="1"/>
  <c r="I50" i="21"/>
  <c r="K19" i="20" s="1"/>
  <c r="K50" i="21"/>
  <c r="M33" i="21"/>
  <c r="M33" i="23" s="1"/>
  <c r="E33" i="21"/>
  <c r="F33" i="21"/>
  <c r="F33" i="23" s="1"/>
  <c r="P33" i="21"/>
  <c r="P33" i="23" s="1"/>
  <c r="I33" i="21"/>
  <c r="I33" i="23" s="1"/>
  <c r="N33" i="21"/>
  <c r="N33" i="23" s="1"/>
  <c r="K33" i="21"/>
  <c r="J33" i="21"/>
  <c r="J33" i="23" s="1"/>
  <c r="G33" i="21"/>
  <c r="G33" i="23" s="1"/>
  <c r="O33" i="21"/>
  <c r="O33" i="23" s="1"/>
  <c r="H33" i="21"/>
  <c r="H33" i="23" s="1"/>
  <c r="L33" i="21"/>
  <c r="L33" i="23" s="1"/>
  <c r="O18" i="21"/>
  <c r="O18" i="23" s="1"/>
  <c r="L18" i="21"/>
  <c r="L18" i="23" s="1"/>
  <c r="E18" i="21"/>
  <c r="F18" i="21"/>
  <c r="F18" i="23" s="1"/>
  <c r="K18" i="21"/>
  <c r="P18" i="21"/>
  <c r="P18" i="23" s="1"/>
  <c r="H18" i="21"/>
  <c r="H18" i="23" s="1"/>
  <c r="G18" i="21"/>
  <c r="G18" i="23" s="1"/>
  <c r="I18" i="21"/>
  <c r="I18" i="23" s="1"/>
  <c r="J18" i="21"/>
  <c r="J18" i="23" s="1"/>
  <c r="N18" i="21"/>
  <c r="N18" i="23" s="1"/>
  <c r="M18" i="21"/>
  <c r="M18" i="23" s="1"/>
  <c r="F52" i="21"/>
  <c r="F52" i="23" s="1"/>
  <c r="F55" i="23" s="1"/>
  <c r="P52" i="21"/>
  <c r="P52" i="23" s="1"/>
  <c r="N52" i="21"/>
  <c r="N52" i="23" s="1"/>
  <c r="L52" i="21"/>
  <c r="L52" i="23" s="1"/>
  <c r="L55" i="23" s="1"/>
  <c r="M52" i="21"/>
  <c r="M52" i="23" s="1"/>
  <c r="K52" i="21"/>
  <c r="I52" i="21"/>
  <c r="I52" i="23" s="1"/>
  <c r="J52" i="21"/>
  <c r="J52" i="23" s="1"/>
  <c r="E52" i="21"/>
  <c r="H52" i="21"/>
  <c r="H52" i="23" s="1"/>
  <c r="O52" i="21"/>
  <c r="O52" i="23" s="1"/>
  <c r="G52" i="21"/>
  <c r="G52" i="23" s="1"/>
  <c r="K39" i="21"/>
  <c r="J39" i="21"/>
  <c r="J39" i="23" s="1"/>
  <c r="G39" i="21"/>
  <c r="G39" i="23" s="1"/>
  <c r="P39" i="21"/>
  <c r="P39" i="23" s="1"/>
  <c r="H39" i="21"/>
  <c r="H39" i="23" s="1"/>
  <c r="I39" i="21"/>
  <c r="I39" i="23" s="1"/>
  <c r="F39" i="21"/>
  <c r="F39" i="23" s="1"/>
  <c r="M39" i="21"/>
  <c r="M39" i="23" s="1"/>
  <c r="N39" i="21"/>
  <c r="N39" i="23" s="1"/>
  <c r="E39" i="21"/>
  <c r="L39" i="21"/>
  <c r="L39" i="23" s="1"/>
  <c r="O39" i="21"/>
  <c r="O39" i="23" s="1"/>
  <c r="N9" i="21"/>
  <c r="N9" i="23" s="1"/>
  <c r="O9" i="21"/>
  <c r="O9" i="23" s="1"/>
  <c r="E9" i="21"/>
  <c r="K9" i="21"/>
  <c r="L9" i="21"/>
  <c r="L9" i="23" s="1"/>
  <c r="F9" i="21"/>
  <c r="F9" i="23" s="1"/>
  <c r="M9" i="21"/>
  <c r="M9" i="23" s="1"/>
  <c r="J9" i="21"/>
  <c r="J9" i="23" s="1"/>
  <c r="G9" i="21"/>
  <c r="G9" i="23" s="1"/>
  <c r="P9" i="21"/>
  <c r="P9" i="23" s="1"/>
  <c r="H9" i="21"/>
  <c r="H9" i="23" s="1"/>
  <c r="I9" i="21"/>
  <c r="I9" i="23" s="1"/>
  <c r="N56" i="21"/>
  <c r="N56" i="23" s="1"/>
  <c r="M56" i="21"/>
  <c r="M56" i="23" s="1"/>
  <c r="J56" i="21"/>
  <c r="J56" i="23" s="1"/>
  <c r="O56" i="21"/>
  <c r="O56" i="23" s="1"/>
  <c r="G56" i="21"/>
  <c r="G56" i="23" s="1"/>
  <c r="F56" i="21"/>
  <c r="F56" i="23" s="1"/>
  <c r="P56" i="21"/>
  <c r="P56" i="23" s="1"/>
  <c r="I56" i="21"/>
  <c r="I56" i="23" s="1"/>
  <c r="L56" i="21"/>
  <c r="L56" i="23" s="1"/>
  <c r="E56" i="21"/>
  <c r="K56" i="21"/>
  <c r="H56" i="21"/>
  <c r="H56" i="23" s="1"/>
  <c r="M29" i="21"/>
  <c r="M29" i="23" s="1"/>
  <c r="H29" i="21"/>
  <c r="H29" i="23" s="1"/>
  <c r="O29" i="21"/>
  <c r="O29" i="23" s="1"/>
  <c r="P29" i="21"/>
  <c r="P29" i="23" s="1"/>
  <c r="N29" i="21"/>
  <c r="N29" i="23" s="1"/>
  <c r="I29" i="21"/>
  <c r="I29" i="23" s="1"/>
  <c r="J29" i="21"/>
  <c r="J29" i="23" s="1"/>
  <c r="L29" i="21"/>
  <c r="L29" i="23" s="1"/>
  <c r="F29" i="21"/>
  <c r="F29" i="23" s="1"/>
  <c r="K29" i="21"/>
  <c r="G29" i="21"/>
  <c r="G29" i="23" s="1"/>
  <c r="E29" i="21"/>
  <c r="E43" i="21"/>
  <c r="H43" i="21"/>
  <c r="H43" i="23" s="1"/>
  <c r="P43" i="21"/>
  <c r="P43" i="23" s="1"/>
  <c r="L43" i="21"/>
  <c r="L43" i="23" s="1"/>
  <c r="I43" i="21"/>
  <c r="I43" i="23" s="1"/>
  <c r="K43" i="21"/>
  <c r="N43" i="21"/>
  <c r="N43" i="23" s="1"/>
  <c r="J43" i="21"/>
  <c r="J43" i="23" s="1"/>
  <c r="M43" i="21"/>
  <c r="M43" i="23" s="1"/>
  <c r="O43" i="21"/>
  <c r="O43" i="23" s="1"/>
  <c r="F43" i="21"/>
  <c r="F43" i="23" s="1"/>
  <c r="G43" i="21"/>
  <c r="G43" i="23" s="1"/>
  <c r="J34" i="21"/>
  <c r="J34" i="23" s="1"/>
  <c r="O34" i="21"/>
  <c r="O34" i="23" s="1"/>
  <c r="L34" i="21"/>
  <c r="L34" i="23" s="1"/>
  <c r="F34" i="21"/>
  <c r="F34" i="23" s="1"/>
  <c r="E34" i="21"/>
  <c r="P34" i="21"/>
  <c r="P34" i="23" s="1"/>
  <c r="M34" i="21"/>
  <c r="M34" i="23" s="1"/>
  <c r="N34" i="21"/>
  <c r="N34" i="23" s="1"/>
  <c r="I34" i="21"/>
  <c r="I34" i="23" s="1"/>
  <c r="G34" i="21"/>
  <c r="G34" i="23" s="1"/>
  <c r="K34" i="21"/>
  <c r="H34" i="21"/>
  <c r="H34" i="23" s="1"/>
  <c r="H44" i="21"/>
  <c r="H44" i="23" s="1"/>
  <c r="F44" i="21"/>
  <c r="F44" i="23" s="1"/>
  <c r="I44" i="21"/>
  <c r="I44" i="23" s="1"/>
  <c r="K44" i="21"/>
  <c r="M44" i="21"/>
  <c r="M44" i="23" s="1"/>
  <c r="L44" i="21"/>
  <c r="L44" i="23" s="1"/>
  <c r="E44" i="21"/>
  <c r="P44" i="21"/>
  <c r="P44" i="23" s="1"/>
  <c r="J44" i="21"/>
  <c r="J44" i="23" s="1"/>
  <c r="G44" i="21"/>
  <c r="G44" i="23" s="1"/>
  <c r="O44" i="21"/>
  <c r="O44" i="23" s="1"/>
  <c r="N44" i="21"/>
  <c r="N44" i="23" s="1"/>
  <c r="N11" i="21"/>
  <c r="N11" i="23" s="1"/>
  <c r="F11" i="21"/>
  <c r="F11" i="23" s="1"/>
  <c r="K11" i="21"/>
  <c r="M11" i="21"/>
  <c r="M11" i="23" s="1"/>
  <c r="P11" i="21"/>
  <c r="P11" i="23" s="1"/>
  <c r="G11" i="21"/>
  <c r="G11" i="23" s="1"/>
  <c r="H11" i="21"/>
  <c r="H11" i="23" s="1"/>
  <c r="O11" i="21"/>
  <c r="O11" i="23" s="1"/>
  <c r="L11" i="21"/>
  <c r="L11" i="23" s="1"/>
  <c r="I11" i="21"/>
  <c r="I11" i="23" s="1"/>
  <c r="E11" i="21"/>
  <c r="J11" i="21"/>
  <c r="J11" i="23" s="1"/>
  <c r="E31" i="21"/>
  <c r="I31" i="21"/>
  <c r="I31" i="23" s="1"/>
  <c r="O31" i="21"/>
  <c r="O31" i="23" s="1"/>
  <c r="J31" i="21"/>
  <c r="J31" i="23" s="1"/>
  <c r="P31" i="21"/>
  <c r="P31" i="23" s="1"/>
  <c r="N31" i="21"/>
  <c r="N31" i="23" s="1"/>
  <c r="F31" i="21"/>
  <c r="F31" i="23" s="1"/>
  <c r="K31" i="21"/>
  <c r="H31" i="21"/>
  <c r="H31" i="23" s="1"/>
  <c r="G31" i="21"/>
  <c r="G31" i="23" s="1"/>
  <c r="M31" i="21"/>
  <c r="M31" i="23" s="1"/>
  <c r="L31" i="21"/>
  <c r="L31" i="23" s="1"/>
  <c r="E51" i="23"/>
  <c r="Q51" i="21"/>
  <c r="F55" i="21"/>
  <c r="G55" i="21"/>
  <c r="P55" i="21"/>
  <c r="J55" i="21"/>
  <c r="I55" i="21"/>
  <c r="H55" i="21"/>
  <c r="M55" i="21"/>
  <c r="O55" i="21"/>
  <c r="L55" i="21"/>
  <c r="K55" i="21"/>
  <c r="N55" i="21"/>
  <c r="E55" i="21"/>
  <c r="P41" i="21"/>
  <c r="P41" i="23" s="1"/>
  <c r="I41" i="21"/>
  <c r="I41" i="23" s="1"/>
  <c r="N41" i="21"/>
  <c r="N41" i="23" s="1"/>
  <c r="K41" i="21"/>
  <c r="H41" i="21"/>
  <c r="H41" i="23" s="1"/>
  <c r="M41" i="21"/>
  <c r="M41" i="23" s="1"/>
  <c r="E41" i="21"/>
  <c r="O41" i="21"/>
  <c r="O41" i="23" s="1"/>
  <c r="G41" i="21"/>
  <c r="G41" i="23" s="1"/>
  <c r="J41" i="21"/>
  <c r="J41" i="23" s="1"/>
  <c r="F41" i="21"/>
  <c r="F41" i="23" s="1"/>
  <c r="L41" i="21"/>
  <c r="L41" i="23" s="1"/>
  <c r="G14" i="21"/>
  <c r="G14" i="23" s="1"/>
  <c r="L14" i="21"/>
  <c r="L14" i="23" s="1"/>
  <c r="O14" i="21"/>
  <c r="O14" i="23" s="1"/>
  <c r="J14" i="21"/>
  <c r="J14" i="23" s="1"/>
  <c r="H14" i="21"/>
  <c r="H14" i="23" s="1"/>
  <c r="M14" i="21"/>
  <c r="M14" i="23" s="1"/>
  <c r="K14" i="21"/>
  <c r="N14" i="21"/>
  <c r="N14" i="23" s="1"/>
  <c r="F14" i="21"/>
  <c r="F14" i="23" s="1"/>
  <c r="P14" i="21"/>
  <c r="P14" i="23" s="1"/>
  <c r="E14" i="21"/>
  <c r="I14" i="21"/>
  <c r="I14" i="23" s="1"/>
  <c r="J40" i="21"/>
  <c r="J40" i="23" s="1"/>
  <c r="O40" i="21"/>
  <c r="O40" i="23" s="1"/>
  <c r="N40" i="21"/>
  <c r="N40" i="23" s="1"/>
  <c r="E40" i="21"/>
  <c r="H40" i="21"/>
  <c r="H40" i="23" s="1"/>
  <c r="P40" i="21"/>
  <c r="P40" i="23" s="1"/>
  <c r="F40" i="21"/>
  <c r="F40" i="23" s="1"/>
  <c r="M40" i="21"/>
  <c r="M40" i="23" s="1"/>
  <c r="I40" i="21"/>
  <c r="I40" i="23" s="1"/>
  <c r="G40" i="21"/>
  <c r="G40" i="23" s="1"/>
  <c r="K40" i="21"/>
  <c r="L40" i="21"/>
  <c r="L40" i="23" s="1"/>
  <c r="H48" i="21"/>
  <c r="H48" i="23" s="1"/>
  <c r="I48" i="21"/>
  <c r="I48" i="23" s="1"/>
  <c r="O48" i="21"/>
  <c r="O48" i="23" s="1"/>
  <c r="N48" i="21"/>
  <c r="N48" i="23" s="1"/>
  <c r="K48" i="21"/>
  <c r="G48" i="21"/>
  <c r="G48" i="23" s="1"/>
  <c r="J48" i="21"/>
  <c r="J48" i="23" s="1"/>
  <c r="E48" i="21"/>
  <c r="L48" i="21"/>
  <c r="L48" i="23" s="1"/>
  <c r="M48" i="21"/>
  <c r="M48" i="23" s="1"/>
  <c r="F48" i="21"/>
  <c r="F48" i="23" s="1"/>
  <c r="P48" i="21"/>
  <c r="P48" i="23" s="1"/>
  <c r="H21" i="21"/>
  <c r="H21" i="23" s="1"/>
  <c r="E21" i="21"/>
  <c r="I21" i="21"/>
  <c r="I21" i="23" s="1"/>
  <c r="F21" i="21"/>
  <c r="F21" i="23" s="1"/>
  <c r="N21" i="21"/>
  <c r="N21" i="23" s="1"/>
  <c r="J21" i="21"/>
  <c r="J21" i="23" s="1"/>
  <c r="G21" i="21"/>
  <c r="G21" i="23" s="1"/>
  <c r="M21" i="21"/>
  <c r="M21" i="23" s="1"/>
  <c r="K21" i="21"/>
  <c r="L21" i="21"/>
  <c r="L21" i="23" s="1"/>
  <c r="O21" i="21"/>
  <c r="O21" i="23" s="1"/>
  <c r="P21" i="21"/>
  <c r="P21" i="23" s="1"/>
  <c r="J45" i="21"/>
  <c r="J45" i="23" s="1"/>
  <c r="O45" i="21"/>
  <c r="O45" i="23" s="1"/>
  <c r="K45" i="21"/>
  <c r="E45" i="21"/>
  <c r="G45" i="21"/>
  <c r="G45" i="23" s="1"/>
  <c r="L45" i="21"/>
  <c r="L45" i="23" s="1"/>
  <c r="N45" i="21"/>
  <c r="N45" i="23" s="1"/>
  <c r="I45" i="21"/>
  <c r="I45" i="23" s="1"/>
  <c r="M45" i="21"/>
  <c r="M45" i="23" s="1"/>
  <c r="F45" i="21"/>
  <c r="F45" i="23" s="1"/>
  <c r="P45" i="21"/>
  <c r="P45" i="23" s="1"/>
  <c r="H45" i="21"/>
  <c r="H45" i="23" s="1"/>
  <c r="G47" i="21"/>
  <c r="G47" i="23" s="1"/>
  <c r="O47" i="21"/>
  <c r="O47" i="23" s="1"/>
  <c r="M47" i="21"/>
  <c r="M47" i="23" s="1"/>
  <c r="I47" i="21"/>
  <c r="I47" i="23" s="1"/>
  <c r="N47" i="21"/>
  <c r="N47" i="23" s="1"/>
  <c r="K47" i="21"/>
  <c r="H47" i="21"/>
  <c r="H47" i="23" s="1"/>
  <c r="P47" i="21"/>
  <c r="P47" i="23" s="1"/>
  <c r="J47" i="21"/>
  <c r="J47" i="23" s="1"/>
  <c r="L47" i="21"/>
  <c r="L47" i="23" s="1"/>
  <c r="E47" i="21"/>
  <c r="F47" i="21"/>
  <c r="F47" i="23" s="1"/>
  <c r="M20" i="21"/>
  <c r="M20" i="23" s="1"/>
  <c r="O20" i="21"/>
  <c r="O20" i="23" s="1"/>
  <c r="I20" i="21"/>
  <c r="I20" i="23" s="1"/>
  <c r="P20" i="21"/>
  <c r="P20" i="23" s="1"/>
  <c r="J20" i="21"/>
  <c r="J20" i="23" s="1"/>
  <c r="G20" i="21"/>
  <c r="G20" i="23" s="1"/>
  <c r="E20" i="21"/>
  <c r="K20" i="21"/>
  <c r="F20" i="21"/>
  <c r="F20" i="23" s="1"/>
  <c r="L20" i="21"/>
  <c r="L20" i="23" s="1"/>
  <c r="H20" i="21"/>
  <c r="H20" i="23" s="1"/>
  <c r="N20" i="21"/>
  <c r="N20" i="23" s="1"/>
  <c r="L27" i="21"/>
  <c r="L27" i="23" s="1"/>
  <c r="I27" i="21"/>
  <c r="I27" i="23" s="1"/>
  <c r="H27" i="21"/>
  <c r="H27" i="23" s="1"/>
  <c r="E27" i="21"/>
  <c r="K27" i="21"/>
  <c r="M27" i="21"/>
  <c r="M27" i="23" s="1"/>
  <c r="F27" i="21"/>
  <c r="F27" i="23" s="1"/>
  <c r="P27" i="21"/>
  <c r="P27" i="23" s="1"/>
  <c r="G27" i="21"/>
  <c r="G27" i="23" s="1"/>
  <c r="O27" i="21"/>
  <c r="O27" i="23" s="1"/>
  <c r="J27" i="21"/>
  <c r="J27" i="23" s="1"/>
  <c r="N27" i="21"/>
  <c r="N27" i="23" s="1"/>
  <c r="E38" i="21"/>
  <c r="O38" i="21"/>
  <c r="O38" i="23" s="1"/>
  <c r="I38" i="21"/>
  <c r="I38" i="23" s="1"/>
  <c r="P38" i="21"/>
  <c r="P38" i="23" s="1"/>
  <c r="F38" i="21"/>
  <c r="F38" i="23" s="1"/>
  <c r="L38" i="21"/>
  <c r="L38" i="23" s="1"/>
  <c r="N38" i="21"/>
  <c r="N38" i="23" s="1"/>
  <c r="M38" i="21"/>
  <c r="M38" i="23" s="1"/>
  <c r="K38" i="21"/>
  <c r="H38" i="21"/>
  <c r="H38" i="23" s="1"/>
  <c r="J38" i="21"/>
  <c r="J38" i="23" s="1"/>
  <c r="G38" i="21"/>
  <c r="G38" i="23" s="1"/>
  <c r="H13" i="21"/>
  <c r="H13" i="23" s="1"/>
  <c r="K13" i="21"/>
  <c r="G13" i="21"/>
  <c r="G13" i="23" s="1"/>
  <c r="P13" i="21"/>
  <c r="P13" i="23" s="1"/>
  <c r="L13" i="21"/>
  <c r="L13" i="23" s="1"/>
  <c r="M13" i="21"/>
  <c r="M13" i="23" s="1"/>
  <c r="I13" i="21"/>
  <c r="I13" i="23" s="1"/>
  <c r="O13" i="21"/>
  <c r="O13" i="23" s="1"/>
  <c r="J13" i="21"/>
  <c r="J13" i="23" s="1"/>
  <c r="N13" i="21"/>
  <c r="N13" i="23" s="1"/>
  <c r="F13" i="21"/>
  <c r="F13" i="23" s="1"/>
  <c r="E13" i="21"/>
  <c r="L22" i="21"/>
  <c r="L22" i="23" s="1"/>
  <c r="O22" i="21"/>
  <c r="O22" i="23" s="1"/>
  <c r="M22" i="21"/>
  <c r="M22" i="23" s="1"/>
  <c r="P22" i="21"/>
  <c r="P22" i="23" s="1"/>
  <c r="I22" i="21"/>
  <c r="I22" i="23" s="1"/>
  <c r="K22" i="21"/>
  <c r="J22" i="21"/>
  <c r="J22" i="23" s="1"/>
  <c r="H22" i="21"/>
  <c r="H22" i="23" s="1"/>
  <c r="N22" i="21"/>
  <c r="N22" i="23" s="1"/>
  <c r="E22" i="21"/>
  <c r="F22" i="21"/>
  <c r="F22" i="23" s="1"/>
  <c r="G22" i="21"/>
  <c r="G22" i="23" s="1"/>
  <c r="K32" i="21"/>
  <c r="O32" i="21"/>
  <c r="O32" i="23" s="1"/>
  <c r="L32" i="21"/>
  <c r="L32" i="23" s="1"/>
  <c r="F32" i="21"/>
  <c r="F32" i="23" s="1"/>
  <c r="G32" i="21"/>
  <c r="G32" i="23" s="1"/>
  <c r="M32" i="21"/>
  <c r="M32" i="23" s="1"/>
  <c r="N32" i="21"/>
  <c r="N32" i="23" s="1"/>
  <c r="J32" i="21"/>
  <c r="J32" i="23" s="1"/>
  <c r="E32" i="21"/>
  <c r="H32" i="21"/>
  <c r="H32" i="23" s="1"/>
  <c r="I32" i="21"/>
  <c r="I32" i="23" s="1"/>
  <c r="P32" i="21"/>
  <c r="P32" i="23" s="1"/>
  <c r="N12" i="21"/>
  <c r="N12" i="23" s="1"/>
  <c r="J12" i="21"/>
  <c r="J12" i="23" s="1"/>
  <c r="I12" i="21"/>
  <c r="I12" i="23" s="1"/>
  <c r="L12" i="21"/>
  <c r="L12" i="23" s="1"/>
  <c r="G12" i="21"/>
  <c r="G12" i="23" s="1"/>
  <c r="H12" i="21"/>
  <c r="H12" i="23" s="1"/>
  <c r="E12" i="21"/>
  <c r="O12" i="21"/>
  <c r="O12" i="23" s="1"/>
  <c r="M12" i="21"/>
  <c r="M12" i="23" s="1"/>
  <c r="K12" i="21"/>
  <c r="P12" i="21"/>
  <c r="P12" i="23" s="1"/>
  <c r="F12" i="21"/>
  <c r="F12" i="23" s="1"/>
  <c r="E28" i="21"/>
  <c r="K28" i="21"/>
  <c r="L28" i="21"/>
  <c r="L28" i="23" s="1"/>
  <c r="I28" i="21"/>
  <c r="I28" i="23" s="1"/>
  <c r="G28" i="21"/>
  <c r="G28" i="23" s="1"/>
  <c r="M28" i="21"/>
  <c r="M28" i="23" s="1"/>
  <c r="O28" i="21"/>
  <c r="O28" i="23" s="1"/>
  <c r="J28" i="21"/>
  <c r="J28" i="23" s="1"/>
  <c r="F28" i="21"/>
  <c r="F28" i="23" s="1"/>
  <c r="N28" i="21"/>
  <c r="N28" i="23" s="1"/>
  <c r="H28" i="21"/>
  <c r="H28" i="23" s="1"/>
  <c r="P28" i="21"/>
  <c r="P28" i="23" s="1"/>
  <c r="G25" i="21"/>
  <c r="G25" i="23" s="1"/>
  <c r="P25" i="21"/>
  <c r="P25" i="23" s="1"/>
  <c r="L25" i="21"/>
  <c r="L25" i="23" s="1"/>
  <c r="O25" i="21"/>
  <c r="O25" i="23" s="1"/>
  <c r="F25" i="21"/>
  <c r="F25" i="23" s="1"/>
  <c r="K25" i="21"/>
  <c r="H25" i="21"/>
  <c r="H25" i="23" s="1"/>
  <c r="M25" i="21"/>
  <c r="M25" i="23" s="1"/>
  <c r="N25" i="21"/>
  <c r="N25" i="23" s="1"/>
  <c r="I25" i="21"/>
  <c r="I25" i="23" s="1"/>
  <c r="J25" i="21"/>
  <c r="J25" i="23" s="1"/>
  <c r="E25" i="21"/>
  <c r="S51" i="21"/>
  <c r="T51" i="21" s="1"/>
  <c r="K51" i="23"/>
  <c r="E42" i="1"/>
  <c r="N55" i="23" l="1"/>
  <c r="I55" i="23"/>
  <c r="S37" i="21"/>
  <c r="T37" i="21" s="1"/>
  <c r="L50" i="23"/>
  <c r="G55" i="23"/>
  <c r="H55" i="23"/>
  <c r="J20" i="26" s="1"/>
  <c r="M55" i="23"/>
  <c r="O20" i="26" s="1"/>
  <c r="N50" i="23"/>
  <c r="P19" i="26" s="1"/>
  <c r="J55" i="23"/>
  <c r="J64" i="23" s="1"/>
  <c r="F50" i="23"/>
  <c r="F62" i="23" s="1"/>
  <c r="G50" i="23"/>
  <c r="P50" i="23"/>
  <c r="J50" i="23"/>
  <c r="I50" i="23"/>
  <c r="I62" i="23" s="1"/>
  <c r="H50" i="23"/>
  <c r="H62" i="23" s="1"/>
  <c r="O50" i="23"/>
  <c r="Q19" i="26" s="1"/>
  <c r="P55" i="23"/>
  <c r="R20" i="26" s="1"/>
  <c r="M50" i="23"/>
  <c r="H19" i="26"/>
  <c r="J37" i="23"/>
  <c r="S21" i="21"/>
  <c r="T21" i="21" s="1"/>
  <c r="K21" i="23"/>
  <c r="K48" i="23"/>
  <c r="S48" i="21"/>
  <c r="T48" i="21" s="1"/>
  <c r="I19" i="21"/>
  <c r="K18" i="20" s="1"/>
  <c r="I7" i="23"/>
  <c r="I19" i="23" s="1"/>
  <c r="P7" i="23"/>
  <c r="P19" i="23" s="1"/>
  <c r="P19" i="21"/>
  <c r="R18" i="20" s="1"/>
  <c r="M20" i="20"/>
  <c r="S55" i="21"/>
  <c r="T55" i="21" s="1"/>
  <c r="I20" i="20"/>
  <c r="S31" i="21"/>
  <c r="T31" i="21" s="1"/>
  <c r="K31" i="23"/>
  <c r="E29" i="23"/>
  <c r="Q29" i="21"/>
  <c r="S9" i="21"/>
  <c r="T9" i="21" s="1"/>
  <c r="K9" i="23"/>
  <c r="N64" i="23"/>
  <c r="P20" i="26"/>
  <c r="S52" i="21"/>
  <c r="T52" i="21" s="1"/>
  <c r="K52" i="23"/>
  <c r="Q17" i="21"/>
  <c r="E17" i="23"/>
  <c r="K46" i="23"/>
  <c r="S46" i="21"/>
  <c r="T46" i="21" s="1"/>
  <c r="S15" i="21"/>
  <c r="T15" i="21" s="1"/>
  <c r="K15" i="23"/>
  <c r="E15" i="23"/>
  <c r="Q15" i="21"/>
  <c r="E25" i="23"/>
  <c r="Q25" i="21"/>
  <c r="I19" i="26"/>
  <c r="G62" i="23"/>
  <c r="R19" i="26"/>
  <c r="P62" i="23"/>
  <c r="N37" i="23"/>
  <c r="P37" i="23"/>
  <c r="Q45" i="21"/>
  <c r="E45" i="23"/>
  <c r="O19" i="21"/>
  <c r="Q18" i="20" s="1"/>
  <c r="O7" i="23"/>
  <c r="O19" i="23" s="1"/>
  <c r="J7" i="23"/>
  <c r="J19" i="23" s="1"/>
  <c r="J19" i="21"/>
  <c r="L18" i="20" s="1"/>
  <c r="N20" i="20"/>
  <c r="H20" i="20"/>
  <c r="E11" i="23"/>
  <c r="Q11" i="21"/>
  <c r="K11" i="23"/>
  <c r="S11" i="21"/>
  <c r="T11" i="21" s="1"/>
  <c r="Q44" i="21"/>
  <c r="E44" i="23"/>
  <c r="K34" i="23"/>
  <c r="S34" i="21"/>
  <c r="T34" i="21" s="1"/>
  <c r="E9" i="23"/>
  <c r="Q9" i="21"/>
  <c r="E35" i="23"/>
  <c r="Q35" i="21"/>
  <c r="E24" i="23"/>
  <c r="Q24" i="21"/>
  <c r="E36" i="23"/>
  <c r="Q36" i="21"/>
  <c r="K23" i="23"/>
  <c r="S23" i="21"/>
  <c r="T23" i="21" s="1"/>
  <c r="S54" i="21"/>
  <c r="T54" i="21" s="1"/>
  <c r="K54" i="23"/>
  <c r="K12" i="23"/>
  <c r="S12" i="21"/>
  <c r="T12" i="21" s="1"/>
  <c r="E22" i="23"/>
  <c r="Q22" i="21"/>
  <c r="J62" i="23"/>
  <c r="L19" i="26"/>
  <c r="H37" i="23"/>
  <c r="I37" i="23"/>
  <c r="S45" i="21"/>
  <c r="T45" i="21" s="1"/>
  <c r="K45" i="23"/>
  <c r="L19" i="21"/>
  <c r="N18" i="20" s="1"/>
  <c r="L7" i="23"/>
  <c r="L19" i="23" s="1"/>
  <c r="E40" i="23"/>
  <c r="Q40" i="21"/>
  <c r="K41" i="23"/>
  <c r="S41" i="21"/>
  <c r="T41" i="21" s="1"/>
  <c r="Q20" i="20"/>
  <c r="R51" i="21"/>
  <c r="U51" i="21"/>
  <c r="V51" i="21" s="1"/>
  <c r="W51" i="21" s="1"/>
  <c r="X51" i="21" s="1"/>
  <c r="Y51" i="21" s="1"/>
  <c r="Z51" i="21" s="1"/>
  <c r="K43" i="23"/>
  <c r="S43" i="21"/>
  <c r="T43" i="21" s="1"/>
  <c r="K29" i="23"/>
  <c r="S29" i="21"/>
  <c r="T29" i="21" s="1"/>
  <c r="I20" i="26"/>
  <c r="G64" i="23"/>
  <c r="Q50" i="21"/>
  <c r="G19" i="20"/>
  <c r="S24" i="21"/>
  <c r="T24" i="21" s="1"/>
  <c r="K24" i="23"/>
  <c r="K42" i="23"/>
  <c r="S42" i="21"/>
  <c r="T42" i="21" s="1"/>
  <c r="S36" i="21"/>
  <c r="T36" i="21" s="1"/>
  <c r="K36" i="23"/>
  <c r="E30" i="23"/>
  <c r="Q30" i="21"/>
  <c r="L37" i="23"/>
  <c r="O37" i="23"/>
  <c r="S47" i="21"/>
  <c r="T47" i="21" s="1"/>
  <c r="K47" i="23"/>
  <c r="K19" i="21"/>
  <c r="K7" i="23"/>
  <c r="K40" i="23"/>
  <c r="S40" i="21"/>
  <c r="T40" i="21" s="1"/>
  <c r="S14" i="21"/>
  <c r="T14" i="21" s="1"/>
  <c r="K14" i="23"/>
  <c r="O20" i="20"/>
  <c r="E10" i="23"/>
  <c r="Q10" i="21"/>
  <c r="E16" i="23"/>
  <c r="Q16" i="21"/>
  <c r="Q54" i="21"/>
  <c r="E54" i="23"/>
  <c r="J42" i="1"/>
  <c r="J42" i="2" s="1"/>
  <c r="I42" i="1"/>
  <c r="I42" i="2" s="1"/>
  <c r="O42" i="1"/>
  <c r="O42" i="2" s="1"/>
  <c r="O57" i="2" s="1"/>
  <c r="K42" i="1"/>
  <c r="K42" i="2" s="1"/>
  <c r="F42" i="1"/>
  <c r="N42" i="1"/>
  <c r="N42" i="2" s="1"/>
  <c r="N57" i="2" s="1"/>
  <c r="G42" i="1"/>
  <c r="G42" i="2" s="1"/>
  <c r="G57" i="2" s="1"/>
  <c r="H42" i="1"/>
  <c r="H42" i="2" s="1"/>
  <c r="H57" i="2" s="1"/>
  <c r="P42" i="1"/>
  <c r="P42" i="2" s="1"/>
  <c r="M42" i="1"/>
  <c r="M42" i="2" s="1"/>
  <c r="Q42" i="1"/>
  <c r="Q42" i="2" s="1"/>
  <c r="Q57" i="2" s="1"/>
  <c r="L42" i="1"/>
  <c r="K20" i="26"/>
  <c r="I64" i="23"/>
  <c r="S38" i="21"/>
  <c r="T38" i="21" s="1"/>
  <c r="K38" i="23"/>
  <c r="Q38" i="21"/>
  <c r="E38" i="23"/>
  <c r="K27" i="23"/>
  <c r="S27" i="21"/>
  <c r="T27" i="21" s="1"/>
  <c r="F37" i="23"/>
  <c r="M37" i="23"/>
  <c r="F19" i="21"/>
  <c r="H18" i="20" s="1"/>
  <c r="F7" i="23"/>
  <c r="F19" i="23" s="1"/>
  <c r="J20" i="20"/>
  <c r="K44" i="23"/>
  <c r="S44" i="21"/>
  <c r="T44" i="21" s="1"/>
  <c r="E33" i="23"/>
  <c r="Q33" i="21"/>
  <c r="E26" i="23"/>
  <c r="Q26" i="21"/>
  <c r="Q37" i="21"/>
  <c r="K8" i="23"/>
  <c r="S8" i="21"/>
  <c r="T8" i="21" s="1"/>
  <c r="E8" i="23"/>
  <c r="Q8" i="21"/>
  <c r="S49" i="21"/>
  <c r="T49" i="21" s="1"/>
  <c r="K49" i="23"/>
  <c r="Q12" i="21"/>
  <c r="E12" i="23"/>
  <c r="E13" i="23"/>
  <c r="Q13" i="21"/>
  <c r="O19" i="26"/>
  <c r="M62" i="23"/>
  <c r="E27" i="23"/>
  <c r="Q27" i="21"/>
  <c r="S20" i="21"/>
  <c r="T20" i="21" s="1"/>
  <c r="K20" i="23"/>
  <c r="E48" i="23"/>
  <c r="Q48" i="21"/>
  <c r="N20" i="26"/>
  <c r="L64" i="23"/>
  <c r="H7" i="23"/>
  <c r="H19" i="23" s="1"/>
  <c r="H19" i="21"/>
  <c r="J18" i="20" s="1"/>
  <c r="K20" i="20"/>
  <c r="K56" i="23"/>
  <c r="S56" i="21"/>
  <c r="T56" i="21" s="1"/>
  <c r="Q52" i="21"/>
  <c r="E52" i="23"/>
  <c r="H20" i="26"/>
  <c r="F64" i="23"/>
  <c r="K18" i="23"/>
  <c r="S18" i="21"/>
  <c r="T18" i="21" s="1"/>
  <c r="K26" i="23"/>
  <c r="S26" i="21"/>
  <c r="T26" i="21" s="1"/>
  <c r="S16" i="21"/>
  <c r="T16" i="21" s="1"/>
  <c r="K16" i="23"/>
  <c r="S28" i="21"/>
  <c r="T28" i="21" s="1"/>
  <c r="K28" i="23"/>
  <c r="K22" i="23"/>
  <c r="S22" i="21"/>
  <c r="T22" i="21" s="1"/>
  <c r="E20" i="23"/>
  <c r="Q20" i="21"/>
  <c r="E47" i="23"/>
  <c r="Q47" i="21"/>
  <c r="M19" i="21"/>
  <c r="O18" i="20" s="1"/>
  <c r="M7" i="23"/>
  <c r="M19" i="23" s="1"/>
  <c r="E7" i="23"/>
  <c r="E19" i="21"/>
  <c r="E57" i="21" s="1"/>
  <c r="Q55" i="21"/>
  <c r="G20" i="20"/>
  <c r="L20" i="20"/>
  <c r="E56" i="23"/>
  <c r="Q56" i="21"/>
  <c r="Q39" i="21"/>
  <c r="E39" i="23"/>
  <c r="S35" i="21"/>
  <c r="T35" i="21" s="1"/>
  <c r="K35" i="23"/>
  <c r="E49" i="23"/>
  <c r="Q49" i="21"/>
  <c r="S53" i="21"/>
  <c r="T53" i="21" s="1"/>
  <c r="K53" i="23"/>
  <c r="E46" i="23"/>
  <c r="Q46" i="21"/>
  <c r="E23" i="23"/>
  <c r="Q23" i="21"/>
  <c r="O64" i="23"/>
  <c r="Q20" i="26"/>
  <c r="S25" i="21"/>
  <c r="T25" i="21" s="1"/>
  <c r="K25" i="23"/>
  <c r="E28" i="23"/>
  <c r="Q28" i="21"/>
  <c r="E32" i="23"/>
  <c r="Q32" i="21"/>
  <c r="S32" i="21"/>
  <c r="T32" i="21" s="1"/>
  <c r="K32" i="23"/>
  <c r="K13" i="23"/>
  <c r="S13" i="21"/>
  <c r="T13" i="21" s="1"/>
  <c r="N19" i="26"/>
  <c r="L62" i="23"/>
  <c r="G37" i="23"/>
  <c r="E21" i="23"/>
  <c r="Q21" i="21"/>
  <c r="N19" i="21"/>
  <c r="P18" i="20" s="1"/>
  <c r="N7" i="23"/>
  <c r="N19" i="23" s="1"/>
  <c r="G7" i="23"/>
  <c r="G19" i="23" s="1"/>
  <c r="G19" i="21"/>
  <c r="I18" i="20" s="1"/>
  <c r="Q14" i="21"/>
  <c r="E14" i="23"/>
  <c r="E41" i="23"/>
  <c r="Q41" i="21"/>
  <c r="P20" i="20"/>
  <c r="R20" i="20"/>
  <c r="E31" i="23"/>
  <c r="Q31" i="21"/>
  <c r="E34" i="23"/>
  <c r="Q34" i="21"/>
  <c r="E43" i="23"/>
  <c r="Q43" i="21"/>
  <c r="K39" i="23"/>
  <c r="S39" i="21"/>
  <c r="T39" i="21" s="1"/>
  <c r="Q18" i="21"/>
  <c r="E18" i="23"/>
  <c r="S33" i="21"/>
  <c r="T33" i="21" s="1"/>
  <c r="K33" i="23"/>
  <c r="M19" i="20"/>
  <c r="S50" i="21"/>
  <c r="T50" i="21" s="1"/>
  <c r="E42" i="23"/>
  <c r="Q42" i="21"/>
  <c r="S17" i="21"/>
  <c r="T17" i="21" s="1"/>
  <c r="K17" i="23"/>
  <c r="S10" i="21"/>
  <c r="T10" i="21" s="1"/>
  <c r="K10" i="23"/>
  <c r="S59" i="23" s="1"/>
  <c r="Q53" i="21"/>
  <c r="E53" i="23"/>
  <c r="S30" i="21"/>
  <c r="T30" i="21" s="1"/>
  <c r="K30" i="23"/>
  <c r="N62" i="23" l="1"/>
  <c r="O62" i="23"/>
  <c r="J57" i="21"/>
  <c r="M64" i="23"/>
  <c r="J19" i="26"/>
  <c r="K55" i="23"/>
  <c r="L20" i="26"/>
  <c r="F57" i="23"/>
  <c r="L57" i="23"/>
  <c r="P64" i="23"/>
  <c r="N57" i="21"/>
  <c r="H64" i="23"/>
  <c r="O57" i="21"/>
  <c r="P57" i="21"/>
  <c r="E55" i="23"/>
  <c r="E64" i="23" s="1"/>
  <c r="M57" i="23"/>
  <c r="I57" i="23"/>
  <c r="H57" i="23"/>
  <c r="N57" i="23"/>
  <c r="K19" i="26"/>
  <c r="I57" i="21"/>
  <c r="H57" i="21"/>
  <c r="S20" i="20"/>
  <c r="U18" i="21"/>
  <c r="V18" i="21" s="1"/>
  <c r="W18" i="21" s="1"/>
  <c r="X18" i="21" s="1"/>
  <c r="Y18" i="21" s="1"/>
  <c r="Z18" i="21" s="1"/>
  <c r="R18" i="21"/>
  <c r="U14" i="21"/>
  <c r="V14" i="21" s="1"/>
  <c r="W14" i="21" s="1"/>
  <c r="X14" i="21" s="1"/>
  <c r="Y14" i="21" s="1"/>
  <c r="Z14" i="21" s="1"/>
  <c r="R14" i="21"/>
  <c r="R28" i="21"/>
  <c r="U28" i="21"/>
  <c r="V28" i="21" s="1"/>
  <c r="W28" i="21" s="1"/>
  <c r="X28" i="21" s="1"/>
  <c r="Y28" i="21" s="1"/>
  <c r="Z28" i="21" s="1"/>
  <c r="R46" i="21"/>
  <c r="U46" i="21"/>
  <c r="V46" i="21" s="1"/>
  <c r="W46" i="21" s="1"/>
  <c r="X46" i="21" s="1"/>
  <c r="Y46" i="21" s="1"/>
  <c r="Z46" i="21" s="1"/>
  <c r="U47" i="21"/>
  <c r="V47" i="21" s="1"/>
  <c r="W47" i="21" s="1"/>
  <c r="X47" i="21" s="1"/>
  <c r="Y47" i="21" s="1"/>
  <c r="Z47" i="21" s="1"/>
  <c r="R47" i="21"/>
  <c r="J40" i="20"/>
  <c r="J31" i="20" a="1"/>
  <c r="J31" i="20" s="1"/>
  <c r="J12" i="20" a="1"/>
  <c r="J12" i="20" s="1"/>
  <c r="J13" i="20" a="1"/>
  <c r="J13" i="20" s="1"/>
  <c r="J14" i="20" a="1"/>
  <c r="J14" i="20" s="1"/>
  <c r="J32" i="20" a="1"/>
  <c r="J32" i="20" s="1"/>
  <c r="J30" i="20" a="1"/>
  <c r="J30" i="20" s="1"/>
  <c r="U12" i="21"/>
  <c r="V12" i="21" s="1"/>
  <c r="W12" i="21" s="1"/>
  <c r="X12" i="21" s="1"/>
  <c r="Y12" i="21" s="1"/>
  <c r="Z12" i="21" s="1"/>
  <c r="R12" i="21"/>
  <c r="R26" i="21"/>
  <c r="U26" i="21"/>
  <c r="V26" i="21" s="1"/>
  <c r="W26" i="21" s="1"/>
  <c r="X26" i="21" s="1"/>
  <c r="Y26" i="21" s="1"/>
  <c r="Z26" i="21" s="1"/>
  <c r="H18" i="26"/>
  <c r="H45" i="26" s="1"/>
  <c r="F60" i="23"/>
  <c r="K50" i="23"/>
  <c r="P57" i="2"/>
  <c r="P60" i="2" s="1" a="1"/>
  <c r="P60" i="2" s="1"/>
  <c r="J57" i="2"/>
  <c r="J60" i="2" s="1" a="1"/>
  <c r="J60" i="2" s="1"/>
  <c r="M57" i="21"/>
  <c r="M18" i="20"/>
  <c r="S19" i="21"/>
  <c r="T19" i="21" s="1"/>
  <c r="L57" i="21"/>
  <c r="R15" i="21"/>
  <c r="U15" i="21"/>
  <c r="V15" i="21" s="1"/>
  <c r="W15" i="21" s="1"/>
  <c r="X15" i="21" s="1"/>
  <c r="Y15" i="21" s="1"/>
  <c r="Z15" i="21" s="1"/>
  <c r="R40" i="20"/>
  <c r="R32" i="20" a="1"/>
  <c r="R32" i="20" s="1"/>
  <c r="R31" i="20" a="1"/>
  <c r="R31" i="20" s="1"/>
  <c r="R30" i="20" a="1"/>
  <c r="R30" i="20" s="1"/>
  <c r="R13" i="20" a="1"/>
  <c r="R13" i="20" s="1"/>
  <c r="R14" i="20" a="1"/>
  <c r="R14" i="20" s="1"/>
  <c r="R12" i="20" a="1"/>
  <c r="R12" i="20" s="1"/>
  <c r="J57" i="23"/>
  <c r="I40" i="20"/>
  <c r="I13" i="20" a="1"/>
  <c r="I13" i="20" s="1"/>
  <c r="I32" i="20" a="1"/>
  <c r="I32" i="20" s="1"/>
  <c r="I30" i="20" a="1"/>
  <c r="I30" i="20" s="1"/>
  <c r="I14" i="20" a="1"/>
  <c r="I14" i="20" s="1"/>
  <c r="I31" i="20" a="1"/>
  <c r="I31" i="20" s="1"/>
  <c r="I12" i="20" a="1"/>
  <c r="I12" i="20" s="1"/>
  <c r="J18" i="26"/>
  <c r="J45" i="26" s="1"/>
  <c r="H60" i="23"/>
  <c r="R27" i="21"/>
  <c r="U27" i="21"/>
  <c r="V27" i="21" s="1"/>
  <c r="W27" i="21" s="1"/>
  <c r="X27" i="21" s="1"/>
  <c r="Y27" i="21" s="1"/>
  <c r="Z27" i="21" s="1"/>
  <c r="H40" i="20"/>
  <c r="H30" i="20" a="1"/>
  <c r="H30" i="20" s="1"/>
  <c r="H12" i="20" a="1"/>
  <c r="H12" i="20" s="1"/>
  <c r="H14" i="20" a="1"/>
  <c r="H14" i="20" s="1"/>
  <c r="H31" i="20" a="1"/>
  <c r="H31" i="20" s="1"/>
  <c r="H13" i="20" a="1"/>
  <c r="H13" i="20" s="1"/>
  <c r="H32" i="20" a="1"/>
  <c r="H32" i="20" s="1"/>
  <c r="H60" i="2" a="1"/>
  <c r="H60" i="2" s="1"/>
  <c r="H65" i="2"/>
  <c r="I16" i="26"/>
  <c r="U30" i="21"/>
  <c r="V30" i="21" s="1"/>
  <c r="W30" i="21" s="1"/>
  <c r="X30" i="21" s="1"/>
  <c r="Y30" i="21" s="1"/>
  <c r="Z30" i="21" s="1"/>
  <c r="R30" i="21"/>
  <c r="S19" i="20"/>
  <c r="L60" i="23"/>
  <c r="N18" i="26"/>
  <c r="N45" i="26" s="1"/>
  <c r="U44" i="21"/>
  <c r="V44" i="21" s="1"/>
  <c r="W44" i="21" s="1"/>
  <c r="X44" i="21" s="1"/>
  <c r="Y44" i="21" s="1"/>
  <c r="Z44" i="21" s="1"/>
  <c r="R44" i="21"/>
  <c r="P57" i="23"/>
  <c r="P60" i="23"/>
  <c r="R18" i="26"/>
  <c r="R45" i="26" s="1"/>
  <c r="U23" i="21"/>
  <c r="V23" i="21" s="1"/>
  <c r="W23" i="21" s="1"/>
  <c r="X23" i="21" s="1"/>
  <c r="Y23" i="21" s="1"/>
  <c r="Z23" i="21" s="1"/>
  <c r="R23" i="21"/>
  <c r="M20" i="26"/>
  <c r="K64" i="23"/>
  <c r="R55" i="21"/>
  <c r="U55" i="21"/>
  <c r="V55" i="21" s="1"/>
  <c r="W55" i="21" s="1"/>
  <c r="X55" i="21" s="1"/>
  <c r="Y55" i="21" s="1"/>
  <c r="U20" i="21"/>
  <c r="V20" i="21" s="1"/>
  <c r="W20" i="21" s="1"/>
  <c r="X20" i="21" s="1"/>
  <c r="Y20" i="21" s="1"/>
  <c r="Z20" i="21" s="1"/>
  <c r="R20" i="21"/>
  <c r="R33" i="21"/>
  <c r="U33" i="21"/>
  <c r="V33" i="21" s="1"/>
  <c r="W33" i="21" s="1"/>
  <c r="X33" i="21" s="1"/>
  <c r="Y33" i="21" s="1"/>
  <c r="Z33" i="21" s="1"/>
  <c r="G60" i="2" a="1"/>
  <c r="G60" i="2" s="1"/>
  <c r="H16" i="26"/>
  <c r="G65" i="2"/>
  <c r="R54" i="21"/>
  <c r="U54" i="21"/>
  <c r="V54" i="21" s="1"/>
  <c r="W54" i="21" s="1"/>
  <c r="X54" i="21" s="1"/>
  <c r="Y54" i="21" s="1"/>
  <c r="Z54" i="21" s="1"/>
  <c r="R50" i="21"/>
  <c r="U50" i="21"/>
  <c r="V50" i="21" s="1"/>
  <c r="W50" i="21" s="1"/>
  <c r="X50" i="21" s="1"/>
  <c r="Y50" i="21" s="1"/>
  <c r="N40" i="20"/>
  <c r="N12" i="20" a="1"/>
  <c r="N12" i="20" s="1"/>
  <c r="N13" i="20" a="1"/>
  <c r="N13" i="20" s="1"/>
  <c r="N14" i="20" a="1"/>
  <c r="N14" i="20" s="1"/>
  <c r="N31" i="20" a="1"/>
  <c r="N31" i="20" s="1"/>
  <c r="N30" i="20" a="1"/>
  <c r="N30" i="20" s="1"/>
  <c r="N32" i="20" a="1"/>
  <c r="N32" i="20" s="1"/>
  <c r="L40" i="20"/>
  <c r="L13" i="20" a="1"/>
  <c r="L13" i="20" s="1"/>
  <c r="L32" i="20" a="1"/>
  <c r="L32" i="20" s="1"/>
  <c r="L12" i="20" a="1"/>
  <c r="L12" i="20" s="1"/>
  <c r="L30" i="20" a="1"/>
  <c r="L30" i="20" s="1"/>
  <c r="L14" i="20" a="1"/>
  <c r="L14" i="20" s="1"/>
  <c r="L31" i="20" a="1"/>
  <c r="L31" i="20" s="1"/>
  <c r="K18" i="26"/>
  <c r="I60" i="23"/>
  <c r="O18" i="26"/>
  <c r="O45" i="26" s="1"/>
  <c r="M60" i="23"/>
  <c r="G18" i="20"/>
  <c r="Q19" i="21"/>
  <c r="E37" i="23"/>
  <c r="U52" i="21"/>
  <c r="V52" i="21" s="1"/>
  <c r="W52" i="21" s="1"/>
  <c r="X52" i="21" s="1"/>
  <c r="Y52" i="21" s="1"/>
  <c r="Z52" i="21" s="1"/>
  <c r="Z55" i="21" s="1"/>
  <c r="R52" i="21"/>
  <c r="R8" i="21"/>
  <c r="U8" i="21"/>
  <c r="V8" i="21" s="1"/>
  <c r="W8" i="21" s="1"/>
  <c r="X8" i="21" s="1"/>
  <c r="Y8" i="21" s="1"/>
  <c r="Z8" i="21" s="1"/>
  <c r="N60" i="2" a="1"/>
  <c r="N60" i="2" s="1"/>
  <c r="O16" i="26"/>
  <c r="N65" i="2"/>
  <c r="U16" i="21"/>
  <c r="V16" i="21" s="1"/>
  <c r="W16" i="21" s="1"/>
  <c r="X16" i="21" s="1"/>
  <c r="Y16" i="21" s="1"/>
  <c r="Z16" i="21" s="1"/>
  <c r="R16" i="21"/>
  <c r="R22" i="21"/>
  <c r="U22" i="21"/>
  <c r="V22" i="21" s="1"/>
  <c r="W22" i="21" s="1"/>
  <c r="X22" i="21" s="1"/>
  <c r="Y22" i="21" s="1"/>
  <c r="Z22" i="21" s="1"/>
  <c r="R36" i="21"/>
  <c r="U36" i="21"/>
  <c r="V36" i="21" s="1"/>
  <c r="W36" i="21" s="1"/>
  <c r="X36" i="21" s="1"/>
  <c r="Y36" i="21" s="1"/>
  <c r="Z36" i="21" s="1"/>
  <c r="J60" i="23"/>
  <c r="L18" i="26"/>
  <c r="G57" i="21"/>
  <c r="K40" i="20"/>
  <c r="K14" i="20" a="1"/>
  <c r="K14" i="20" s="1"/>
  <c r="K12" i="20" a="1"/>
  <c r="K12" i="20" s="1"/>
  <c r="K30" i="20" a="1"/>
  <c r="K30" i="20" s="1"/>
  <c r="K32" i="20" a="1"/>
  <c r="K32" i="20" s="1"/>
  <c r="K13" i="20" a="1"/>
  <c r="K13" i="20" s="1"/>
  <c r="K31" i="20" a="1"/>
  <c r="K31" i="20" s="1"/>
  <c r="R32" i="21"/>
  <c r="U32" i="21"/>
  <c r="V32" i="21" s="1"/>
  <c r="W32" i="21" s="1"/>
  <c r="X32" i="21" s="1"/>
  <c r="Y32" i="21" s="1"/>
  <c r="Z32" i="21" s="1"/>
  <c r="R42" i="21"/>
  <c r="U42" i="21"/>
  <c r="V42" i="21" s="1"/>
  <c r="W42" i="21" s="1"/>
  <c r="X42" i="21" s="1"/>
  <c r="Y42" i="21" s="1"/>
  <c r="Z42" i="21" s="1"/>
  <c r="I18" i="26"/>
  <c r="I45" i="26" s="1"/>
  <c r="G60" i="23"/>
  <c r="U43" i="21"/>
  <c r="V43" i="21" s="1"/>
  <c r="W43" i="21" s="1"/>
  <c r="X43" i="21" s="1"/>
  <c r="Y43" i="21" s="1"/>
  <c r="Z43" i="21" s="1"/>
  <c r="R43" i="21"/>
  <c r="P18" i="26"/>
  <c r="P45" i="26" s="1"/>
  <c r="N60" i="23"/>
  <c r="U53" i="21"/>
  <c r="V53" i="21" s="1"/>
  <c r="W53" i="21" s="1"/>
  <c r="X53" i="21" s="1"/>
  <c r="Y53" i="21" s="1"/>
  <c r="Z53" i="21" s="1"/>
  <c r="R53" i="21"/>
  <c r="P40" i="20"/>
  <c r="P14" i="20" a="1"/>
  <c r="P14" i="20" s="1"/>
  <c r="P31" i="20" a="1"/>
  <c r="P31" i="20" s="1"/>
  <c r="P13" i="20" a="1"/>
  <c r="P13" i="20" s="1"/>
  <c r="P32" i="20" a="1"/>
  <c r="P32" i="20" s="1"/>
  <c r="P12" i="20" a="1"/>
  <c r="P12" i="20" s="1"/>
  <c r="P30" i="20" a="1"/>
  <c r="P30" i="20" s="1"/>
  <c r="U49" i="21"/>
  <c r="V49" i="21" s="1"/>
  <c r="W49" i="21" s="1"/>
  <c r="X49" i="21" s="1"/>
  <c r="Y49" i="21" s="1"/>
  <c r="Z49" i="21" s="1"/>
  <c r="R49" i="21"/>
  <c r="U56" i="21"/>
  <c r="V56" i="21" s="1"/>
  <c r="W56" i="21" s="1"/>
  <c r="X56" i="21" s="1"/>
  <c r="Y56" i="21" s="1"/>
  <c r="Z56" i="21" s="1"/>
  <c r="R56" i="21"/>
  <c r="R42" i="1"/>
  <c r="F42" i="2"/>
  <c r="R9" i="21"/>
  <c r="U9" i="21"/>
  <c r="V9" i="21" s="1"/>
  <c r="W9" i="21" s="1"/>
  <c r="X9" i="21" s="1"/>
  <c r="Y9" i="21" s="1"/>
  <c r="Z9" i="21" s="1"/>
  <c r="U11" i="21"/>
  <c r="V11" i="21" s="1"/>
  <c r="W11" i="21" s="1"/>
  <c r="X11" i="21" s="1"/>
  <c r="Y11" i="21" s="1"/>
  <c r="Z11" i="21" s="1"/>
  <c r="R11" i="21"/>
  <c r="O57" i="23"/>
  <c r="O60" i="23"/>
  <c r="Q18" i="26"/>
  <c r="Q45" i="26" s="1"/>
  <c r="U39" i="21"/>
  <c r="V39" i="21" s="1"/>
  <c r="W39" i="21" s="1"/>
  <c r="X39" i="21" s="1"/>
  <c r="Y39" i="21" s="1"/>
  <c r="Z39" i="21" s="1"/>
  <c r="R39" i="21"/>
  <c r="U34" i="21"/>
  <c r="V34" i="21" s="1"/>
  <c r="W34" i="21" s="1"/>
  <c r="X34" i="21" s="1"/>
  <c r="Y34" i="21" s="1"/>
  <c r="Z34" i="21" s="1"/>
  <c r="R34" i="21"/>
  <c r="U41" i="21"/>
  <c r="V41" i="21" s="1"/>
  <c r="W41" i="21" s="1"/>
  <c r="X41" i="21" s="1"/>
  <c r="Y41" i="21" s="1"/>
  <c r="Z41" i="21" s="1"/>
  <c r="R41" i="21"/>
  <c r="R21" i="21"/>
  <c r="U21" i="21"/>
  <c r="V21" i="21" s="1"/>
  <c r="W21" i="21" s="1"/>
  <c r="X21" i="21" s="1"/>
  <c r="Y21" i="21" s="1"/>
  <c r="Z21" i="21" s="1"/>
  <c r="E19" i="23"/>
  <c r="U48" i="21"/>
  <c r="V48" i="21" s="1"/>
  <c r="W48" i="21" s="1"/>
  <c r="X48" i="21" s="1"/>
  <c r="Y48" i="21" s="1"/>
  <c r="Z48" i="21" s="1"/>
  <c r="R48" i="21"/>
  <c r="R13" i="21"/>
  <c r="U13" i="21"/>
  <c r="V13" i="21" s="1"/>
  <c r="W13" i="21" s="1"/>
  <c r="X13" i="21" s="1"/>
  <c r="Y13" i="21" s="1"/>
  <c r="Z13" i="21" s="1"/>
  <c r="L42" i="2"/>
  <c r="T42" i="1"/>
  <c r="U42" i="1" s="1"/>
  <c r="K57" i="2"/>
  <c r="K60" i="2" s="1" a="1"/>
  <c r="K60" i="2" s="1"/>
  <c r="R10" i="21"/>
  <c r="U10" i="21"/>
  <c r="V10" i="21" s="1"/>
  <c r="W10" i="21" s="1"/>
  <c r="X10" i="21" s="1"/>
  <c r="Y10" i="21" s="1"/>
  <c r="Z10" i="21" s="1"/>
  <c r="U24" i="21"/>
  <c r="V24" i="21" s="1"/>
  <c r="W24" i="21" s="1"/>
  <c r="X24" i="21" s="1"/>
  <c r="Y24" i="21" s="1"/>
  <c r="Z24" i="21" s="1"/>
  <c r="R24" i="21"/>
  <c r="Q40" i="20"/>
  <c r="Q30" i="20" a="1"/>
  <c r="Q30" i="20" s="1"/>
  <c r="Q12" i="20" a="1"/>
  <c r="Q12" i="20" s="1"/>
  <c r="Q14" i="20" a="1"/>
  <c r="Q14" i="20" s="1"/>
  <c r="Q13" i="20" a="1"/>
  <c r="Q13" i="20" s="1"/>
  <c r="Q31" i="20" a="1"/>
  <c r="Q31" i="20" s="1"/>
  <c r="Q32" i="20" a="1"/>
  <c r="Q32" i="20" s="1"/>
  <c r="K57" i="21"/>
  <c r="E50" i="23"/>
  <c r="Q60" i="2" a="1"/>
  <c r="Q60" i="2" s="1"/>
  <c r="Q65" i="2"/>
  <c r="R16" i="26"/>
  <c r="O60" i="2" a="1"/>
  <c r="O60" i="2" s="1"/>
  <c r="P16" i="26"/>
  <c r="O65" i="2"/>
  <c r="K19" i="23"/>
  <c r="F57" i="21"/>
  <c r="U25" i="21"/>
  <c r="V25" i="21" s="1"/>
  <c r="W25" i="21" s="1"/>
  <c r="X25" i="21" s="1"/>
  <c r="Y25" i="21" s="1"/>
  <c r="Z25" i="21" s="1"/>
  <c r="R25" i="21"/>
  <c r="R31" i="21"/>
  <c r="U31" i="21"/>
  <c r="V31" i="21" s="1"/>
  <c r="W31" i="21" s="1"/>
  <c r="X31" i="21" s="1"/>
  <c r="Y31" i="21" s="1"/>
  <c r="Z31" i="21" s="1"/>
  <c r="G57" i="23"/>
  <c r="O40" i="20"/>
  <c r="O30" i="20" a="1"/>
  <c r="O30" i="20" s="1"/>
  <c r="O14" i="20" a="1"/>
  <c r="O14" i="20" s="1"/>
  <c r="O13" i="20" a="1"/>
  <c r="O13" i="20" s="1"/>
  <c r="O32" i="20" a="1"/>
  <c r="O32" i="20" s="1"/>
  <c r="O12" i="20" a="1"/>
  <c r="O12" i="20" s="1"/>
  <c r="O31" i="20" a="1"/>
  <c r="O31" i="20" s="1"/>
  <c r="K37" i="23"/>
  <c r="U37" i="21"/>
  <c r="V37" i="21" s="1"/>
  <c r="W37" i="21" s="1"/>
  <c r="X37" i="21" s="1"/>
  <c r="Y37" i="21" s="1"/>
  <c r="R37" i="21"/>
  <c r="U38" i="21"/>
  <c r="V38" i="21" s="1"/>
  <c r="W38" i="21" s="1"/>
  <c r="X38" i="21" s="1"/>
  <c r="Y38" i="21" s="1"/>
  <c r="Z38" i="21" s="1"/>
  <c r="R38" i="21"/>
  <c r="M57" i="2"/>
  <c r="M60" i="2" s="1" a="1"/>
  <c r="M60" i="2" s="1"/>
  <c r="I57" i="2"/>
  <c r="I60" i="2" s="1" a="1"/>
  <c r="I60" i="2" s="1"/>
  <c r="R40" i="21"/>
  <c r="U40" i="21"/>
  <c r="V40" i="21" s="1"/>
  <c r="W40" i="21" s="1"/>
  <c r="X40" i="21" s="1"/>
  <c r="Y40" i="21" s="1"/>
  <c r="Z40" i="21" s="1"/>
  <c r="U35" i="21"/>
  <c r="V35" i="21" s="1"/>
  <c r="W35" i="21" s="1"/>
  <c r="X35" i="21" s="1"/>
  <c r="Y35" i="21" s="1"/>
  <c r="Z35" i="21" s="1"/>
  <c r="R35" i="21"/>
  <c r="R45" i="21"/>
  <c r="U45" i="21"/>
  <c r="V45" i="21" s="1"/>
  <c r="W45" i="21" s="1"/>
  <c r="X45" i="21" s="1"/>
  <c r="Y45" i="21" s="1"/>
  <c r="Z45" i="21" s="1"/>
  <c r="R17" i="21"/>
  <c r="U17" i="21"/>
  <c r="V17" i="21" s="1"/>
  <c r="W17" i="21" s="1"/>
  <c r="X17" i="21" s="1"/>
  <c r="Y17" i="21" s="1"/>
  <c r="Z17" i="21" s="1"/>
  <c r="U29" i="21"/>
  <c r="V29" i="21" s="1"/>
  <c r="W29" i="21" s="1"/>
  <c r="X29" i="21" s="1"/>
  <c r="Y29" i="21" s="1"/>
  <c r="Z29" i="21" s="1"/>
  <c r="R29" i="21"/>
  <c r="L45" i="26" l="1"/>
  <c r="K45" i="26"/>
  <c r="S57" i="21"/>
  <c r="T57" i="21" s="1"/>
  <c r="G20" i="26"/>
  <c r="Q57" i="21"/>
  <c r="R57" i="21" s="1"/>
  <c r="J33" i="20"/>
  <c r="J34" i="20" s="1"/>
  <c r="J36" i="20" s="1"/>
  <c r="K57" i="23"/>
  <c r="P33" i="20"/>
  <c r="P34" i="20" s="1"/>
  <c r="P36" i="20" s="1"/>
  <c r="E57" i="23"/>
  <c r="I33" i="20"/>
  <c r="I34" i="20" s="1"/>
  <c r="I36" i="20" s="1"/>
  <c r="P46" i="20"/>
  <c r="P51" i="20"/>
  <c r="K33" i="20"/>
  <c r="K34" i="20" s="1"/>
  <c r="K36" i="20" s="1"/>
  <c r="N46" i="20"/>
  <c r="N51" i="20"/>
  <c r="I65" i="23" a="1"/>
  <c r="I65" i="23" s="1"/>
  <c r="I66" i="23" a="1"/>
  <c r="I66" i="23" s="1"/>
  <c r="L46" i="20"/>
  <c r="L51" i="20"/>
  <c r="L65" i="23" a="1"/>
  <c r="L65" i="23" s="1"/>
  <c r="L66" i="23" a="1"/>
  <c r="L66" i="23" s="1"/>
  <c r="H66" i="23" a="1"/>
  <c r="H66" i="23" s="1"/>
  <c r="H65" i="23" a="1"/>
  <c r="H65" i="23" s="1"/>
  <c r="I46" i="20"/>
  <c r="I51" i="20"/>
  <c r="R46" i="20"/>
  <c r="R51" i="20"/>
  <c r="K16" i="26"/>
  <c r="J65" i="2"/>
  <c r="J46" i="20"/>
  <c r="J51" i="20"/>
  <c r="G18" i="26"/>
  <c r="E60" i="23"/>
  <c r="R42" i="2"/>
  <c r="F57" i="2"/>
  <c r="F60" i="2" s="1" a="1"/>
  <c r="F60" i="2" s="1"/>
  <c r="G61" i="2" s="1"/>
  <c r="L16" i="26"/>
  <c r="K65" i="2"/>
  <c r="S42" i="1"/>
  <c r="V42" i="1"/>
  <c r="W42" i="1" s="1"/>
  <c r="N65" i="23" a="1"/>
  <c r="N65" i="23" s="1"/>
  <c r="N66" i="23" a="1"/>
  <c r="N66" i="23" s="1"/>
  <c r="K46" i="20"/>
  <c r="K51" i="20"/>
  <c r="N33" i="20"/>
  <c r="N34" i="20" s="1"/>
  <c r="N36" i="20" s="1"/>
  <c r="Z37" i="21"/>
  <c r="P65" i="2"/>
  <c r="Q16" i="26"/>
  <c r="O46" i="20"/>
  <c r="O51" i="20"/>
  <c r="P13" i="26" a="1"/>
  <c r="P13" i="26" s="1"/>
  <c r="P44" i="26"/>
  <c r="P35" i="26" a="1"/>
  <c r="P35" i="26" s="1"/>
  <c r="P12" i="26" a="1"/>
  <c r="P12" i="26" s="1"/>
  <c r="P34" i="26" a="1"/>
  <c r="P34" i="26" s="1"/>
  <c r="P36" i="26" a="1"/>
  <c r="P36" i="26" s="1"/>
  <c r="P14" i="26" a="1"/>
  <c r="P14" i="26" s="1"/>
  <c r="Q33" i="20"/>
  <c r="Q34" i="20" s="1"/>
  <c r="Q36" i="20" s="1"/>
  <c r="O66" i="23" a="1"/>
  <c r="O66" i="23" s="1"/>
  <c r="O65" i="23" a="1"/>
  <c r="O65" i="23" s="1"/>
  <c r="Z19" i="21"/>
  <c r="P66" i="23" a="1"/>
  <c r="P66" i="23" s="1"/>
  <c r="P65" i="23" a="1"/>
  <c r="P65" i="23" s="1"/>
  <c r="K62" i="23"/>
  <c r="M19" i="26"/>
  <c r="J16" i="26"/>
  <c r="I65" i="2"/>
  <c r="M65" i="2"/>
  <c r="N16" i="26"/>
  <c r="Z50" i="21"/>
  <c r="E62" i="23"/>
  <c r="G19" i="26"/>
  <c r="Q46" i="20"/>
  <c r="Q51" i="20"/>
  <c r="S42" i="2"/>
  <c r="L57" i="2"/>
  <c r="U19" i="21"/>
  <c r="V19" i="21" s="1"/>
  <c r="W19" i="21" s="1"/>
  <c r="X19" i="21" s="1"/>
  <c r="Y19" i="21" s="1"/>
  <c r="R19" i="21"/>
  <c r="L33" i="20"/>
  <c r="L34" i="20" s="1"/>
  <c r="L36" i="20" s="1"/>
  <c r="I44" i="26"/>
  <c r="I57" i="26" s="1"/>
  <c r="I35" i="26" a="1"/>
  <c r="I35" i="26" s="1"/>
  <c r="I14" i="26" a="1"/>
  <c r="I14" i="26" s="1"/>
  <c r="I36" i="26" a="1"/>
  <c r="I36" i="26" s="1"/>
  <c r="I13" i="26" a="1"/>
  <c r="I13" i="26" s="1"/>
  <c r="I34" i="26" a="1"/>
  <c r="I34" i="26" s="1"/>
  <c r="I12" i="26" a="1"/>
  <c r="I12" i="26" s="1"/>
  <c r="H33" i="20"/>
  <c r="H34" i="20" s="1"/>
  <c r="H36" i="20" s="1"/>
  <c r="F65" i="23" a="1"/>
  <c r="F65" i="23" s="1"/>
  <c r="F66" i="23" a="1"/>
  <c r="F66" i="23" s="1"/>
  <c r="S64" i="23"/>
  <c r="G66" i="23" a="1"/>
  <c r="G66" i="23" s="1"/>
  <c r="G65" i="23" a="1"/>
  <c r="G65" i="23" s="1"/>
  <c r="R13" i="26" a="1"/>
  <c r="R13" i="26" s="1"/>
  <c r="R35" i="26" a="1"/>
  <c r="R35" i="26" s="1"/>
  <c r="R36" i="26" a="1"/>
  <c r="R36" i="26" s="1"/>
  <c r="R34" i="26" a="1"/>
  <c r="R34" i="26" s="1"/>
  <c r="R44" i="26"/>
  <c r="R12" i="26" a="1"/>
  <c r="R12" i="26" s="1"/>
  <c r="R14" i="26" a="1"/>
  <c r="R14" i="26" s="1"/>
  <c r="O33" i="20"/>
  <c r="O34" i="20" s="1"/>
  <c r="O36" i="20" s="1"/>
  <c r="K60" i="23"/>
  <c r="M18" i="26"/>
  <c r="J66" i="23" a="1"/>
  <c r="J66" i="23" s="1"/>
  <c r="J65" i="23" a="1"/>
  <c r="J65" i="23" s="1"/>
  <c r="O13" i="26" a="1"/>
  <c r="O13" i="26" s="1"/>
  <c r="O34" i="26" a="1"/>
  <c r="O34" i="26" s="1"/>
  <c r="O12" i="26" a="1"/>
  <c r="O12" i="26" s="1"/>
  <c r="O35" i="26" a="1"/>
  <c r="O35" i="26" s="1"/>
  <c r="O36" i="26" a="1"/>
  <c r="O36" i="26" s="1"/>
  <c r="O14" i="26" a="1"/>
  <c r="O14" i="26" s="1"/>
  <c r="O44" i="26"/>
  <c r="G40" i="20"/>
  <c r="S18" i="20"/>
  <c r="G30" i="20" a="1"/>
  <c r="G30" i="20" s="1"/>
  <c r="G13" i="20" a="1"/>
  <c r="G13" i="20" s="1"/>
  <c r="G31" i="20" a="1"/>
  <c r="G31" i="20" s="1"/>
  <c r="G32" i="20" a="1"/>
  <c r="G32" i="20" s="1"/>
  <c r="G12" i="20" a="1"/>
  <c r="G12" i="20" s="1"/>
  <c r="G14" i="20" a="1"/>
  <c r="G14" i="20" s="1"/>
  <c r="H12" i="26" a="1"/>
  <c r="H12" i="26" s="1"/>
  <c r="H35" i="26" a="1"/>
  <c r="H35" i="26" s="1"/>
  <c r="H44" i="26"/>
  <c r="H57" i="26" s="1"/>
  <c r="H34" i="26" a="1"/>
  <c r="H34" i="26" s="1"/>
  <c r="H14" i="26" a="1"/>
  <c r="H14" i="26" s="1"/>
  <c r="H36" i="26" a="1"/>
  <c r="H36" i="26" s="1"/>
  <c r="H13" i="26" a="1"/>
  <c r="H13" i="26" s="1"/>
  <c r="H46" i="20"/>
  <c r="H51" i="20"/>
  <c r="R33" i="20"/>
  <c r="R34" i="20" s="1"/>
  <c r="R36" i="20" s="1"/>
  <c r="M40" i="20"/>
  <c r="M13" i="20" a="1"/>
  <c r="M13" i="20" s="1"/>
  <c r="M12" i="20" a="1"/>
  <c r="M12" i="20" s="1"/>
  <c r="M32" i="20" a="1"/>
  <c r="M32" i="20" s="1"/>
  <c r="M30" i="20" a="1"/>
  <c r="M30" i="20" s="1"/>
  <c r="M14" i="20" a="1"/>
  <c r="M14" i="20" s="1"/>
  <c r="M31" i="20" a="1"/>
  <c r="M31" i="20" s="1"/>
  <c r="S20" i="26"/>
  <c r="M65" i="23" a="1"/>
  <c r="M65" i="23" s="1"/>
  <c r="M66" i="23" a="1"/>
  <c r="M66" i="23" s="1"/>
  <c r="H61" i="2"/>
  <c r="M45" i="26" l="1"/>
  <c r="U45" i="26" s="1"/>
  <c r="U57" i="21"/>
  <c r="V57" i="21" s="1"/>
  <c r="W57" i="21" s="1"/>
  <c r="X57" i="21" s="1"/>
  <c r="Y57" i="21" s="1"/>
  <c r="Z57" i="21" s="1"/>
  <c r="S62" i="23"/>
  <c r="M33" i="20"/>
  <c r="M34" i="20" s="1"/>
  <c r="M36" i="20" s="1"/>
  <c r="H37" i="26"/>
  <c r="H38" i="26" s="1"/>
  <c r="H40" i="26" s="1"/>
  <c r="P37" i="26"/>
  <c r="P38" i="26" s="1"/>
  <c r="P40" i="26" s="1"/>
  <c r="G46" i="20"/>
  <c r="S40" i="20"/>
  <c r="L53" i="20"/>
  <c r="G51" i="20"/>
  <c r="R37" i="26"/>
  <c r="R38" i="26" s="1"/>
  <c r="R40" i="26" s="1"/>
  <c r="S19" i="26"/>
  <c r="Q34" i="26" a="1"/>
  <c r="Q34" i="26" s="1"/>
  <c r="Q14" i="26" a="1"/>
  <c r="Q14" i="26" s="1"/>
  <c r="Q12" i="26" a="1"/>
  <c r="Q12" i="26" s="1"/>
  <c r="Q36" i="26" a="1"/>
  <c r="Q36" i="26" s="1"/>
  <c r="Q13" i="26" a="1"/>
  <c r="Q13" i="26" s="1"/>
  <c r="Q35" i="26" a="1"/>
  <c r="Q35" i="26" s="1"/>
  <c r="Q44" i="26"/>
  <c r="Y42" i="1"/>
  <c r="X42" i="1"/>
  <c r="G45" i="26"/>
  <c r="S18" i="26"/>
  <c r="S32" i="20"/>
  <c r="K66" i="23" a="1"/>
  <c r="K66" i="23" s="1"/>
  <c r="K65" i="23" a="1"/>
  <c r="K65" i="23" s="1"/>
  <c r="I37" i="26"/>
  <c r="I38" i="26" s="1"/>
  <c r="I40" i="26" s="1"/>
  <c r="N13" i="26" a="1"/>
  <c r="N13" i="26" s="1"/>
  <c r="N12" i="26" a="1"/>
  <c r="N12" i="26" s="1"/>
  <c r="N35" i="26" a="1"/>
  <c r="N35" i="26" s="1"/>
  <c r="N14" i="26" a="1"/>
  <c r="N14" i="26" s="1"/>
  <c r="N36" i="26" a="1"/>
  <c r="N36" i="26" s="1"/>
  <c r="N44" i="26"/>
  <c r="N34" i="26" a="1"/>
  <c r="N34" i="26" s="1"/>
  <c r="L13" i="26" a="1"/>
  <c r="L13" i="26" s="1"/>
  <c r="L14" i="26" a="1"/>
  <c r="L14" i="26" s="1"/>
  <c r="L35" i="26" a="1"/>
  <c r="L35" i="26" s="1"/>
  <c r="L34" i="26" a="1"/>
  <c r="L34" i="26" s="1"/>
  <c r="L44" i="26"/>
  <c r="L57" i="26" s="1"/>
  <c r="L12" i="26" a="1"/>
  <c r="L12" i="26" s="1"/>
  <c r="L36" i="26" a="1"/>
  <c r="L36" i="26" s="1"/>
  <c r="S31" i="20"/>
  <c r="L60" i="2" a="1"/>
  <c r="L60" i="2" s="1"/>
  <c r="L65" i="2"/>
  <c r="S57" i="2"/>
  <c r="S65" i="2" s="1"/>
  <c r="M16" i="26"/>
  <c r="G16" i="26"/>
  <c r="F65" i="2"/>
  <c r="R57" i="2"/>
  <c r="R60" i="2" s="1" a="1"/>
  <c r="R60" i="2" s="1"/>
  <c r="K36" i="26" a="1"/>
  <c r="K36" i="26" s="1"/>
  <c r="K13" i="26" a="1"/>
  <c r="K13" i="26" s="1"/>
  <c r="K14" i="26" a="1"/>
  <c r="K14" i="26" s="1"/>
  <c r="K35" i="26" a="1"/>
  <c r="K35" i="26" s="1"/>
  <c r="K44" i="26"/>
  <c r="K57" i="26" s="1"/>
  <c r="K12" i="26" a="1"/>
  <c r="K12" i="26" s="1"/>
  <c r="K34" i="26" a="1"/>
  <c r="K34" i="26" s="1"/>
  <c r="S60" i="2" a="1"/>
  <c r="S60" i="2" s="1"/>
  <c r="M46" i="20"/>
  <c r="R53" i="20"/>
  <c r="M51" i="20"/>
  <c r="G33" i="20"/>
  <c r="G34" i="20" s="1"/>
  <c r="G36" i="20" s="1"/>
  <c r="S30" i="20"/>
  <c r="O37" i="26"/>
  <c r="O38" i="26" s="1"/>
  <c r="O40" i="26" s="1"/>
  <c r="J34" i="26" a="1"/>
  <c r="J34" i="26" s="1"/>
  <c r="J12" i="26" a="1"/>
  <c r="J12" i="26" s="1"/>
  <c r="J44" i="26"/>
  <c r="J57" i="26" s="1"/>
  <c r="J35" i="26" a="1"/>
  <c r="J35" i="26" s="1"/>
  <c r="J36" i="26" a="1"/>
  <c r="J36" i="26" s="1"/>
  <c r="J13" i="26" a="1"/>
  <c r="J13" i="26" s="1"/>
  <c r="J14" i="26" a="1"/>
  <c r="J14" i="26" s="1"/>
  <c r="T42" i="2"/>
  <c r="S14" i="20" a="1"/>
  <c r="S14" i="20" s="1"/>
  <c r="S12" i="20" a="1"/>
  <c r="S12" i="20" s="1"/>
  <c r="S13" i="20" a="1"/>
  <c r="S13" i="20" s="1"/>
  <c r="S60" i="23"/>
  <c r="E65" i="23" a="1"/>
  <c r="E65" i="23" s="1"/>
  <c r="E66" i="23" a="1"/>
  <c r="E66" i="23" s="1"/>
  <c r="Z42" i="1" l="1"/>
  <c r="AA42" i="1" s="1"/>
  <c r="AA57" i="1" s="1"/>
  <c r="Q37" i="26"/>
  <c r="Q38" i="26" s="1"/>
  <c r="Q40" i="26" s="1"/>
  <c r="S33" i="20"/>
  <c r="S34" i="20" s="1"/>
  <c r="S36" i="20" s="1"/>
  <c r="M14" i="26" a="1"/>
  <c r="M14" i="26" s="1"/>
  <c r="M34" i="26" a="1"/>
  <c r="M34" i="26" s="1"/>
  <c r="M35" i="26" a="1"/>
  <c r="M35" i="26" s="1"/>
  <c r="M36" i="26" a="1"/>
  <c r="M36" i="26" s="1"/>
  <c r="M12" i="26" a="1"/>
  <c r="M12" i="26" s="1"/>
  <c r="M44" i="26"/>
  <c r="U44" i="26" s="1"/>
  <c r="M13" i="26" a="1"/>
  <c r="M13" i="26" s="1"/>
  <c r="L37" i="26"/>
  <c r="L38" i="26" s="1"/>
  <c r="L40" i="26" s="1"/>
  <c r="S45" i="26"/>
  <c r="W46" i="26" s="1"/>
  <c r="T45" i="26"/>
  <c r="V45" i="26"/>
  <c r="N37" i="26"/>
  <c r="N38" i="26" s="1"/>
  <c r="N40" i="26" s="1"/>
  <c r="T57" i="2"/>
  <c r="T60" i="2" s="1" a="1"/>
  <c r="T60" i="2" s="1"/>
  <c r="R65" i="2"/>
  <c r="J37" i="26"/>
  <c r="J38" i="26" s="1"/>
  <c r="J40" i="26" s="1"/>
  <c r="K37" i="26"/>
  <c r="K38" i="26" s="1"/>
  <c r="K40" i="26" s="1"/>
  <c r="T65" i="2"/>
  <c r="T40" i="20"/>
  <c r="V40" i="20" s="1"/>
  <c r="S46" i="20"/>
  <c r="T48" i="20"/>
  <c r="S53" i="20"/>
  <c r="S51" i="20"/>
  <c r="S16" i="26"/>
  <c r="G36" i="26" a="1"/>
  <c r="G36" i="26" s="1"/>
  <c r="G44" i="26"/>
  <c r="G34" i="26" a="1"/>
  <c r="G34" i="26" s="1"/>
  <c r="G35" i="26" a="1"/>
  <c r="G35" i="26" s="1"/>
  <c r="G12" i="26" a="1"/>
  <c r="G12" i="26" s="1"/>
  <c r="G14" i="26" a="1"/>
  <c r="G14" i="26" s="1"/>
  <c r="G13" i="26" a="1"/>
  <c r="G13" i="26" s="1"/>
  <c r="V20" i="26"/>
  <c r="T20" i="26"/>
  <c r="S35" i="26" l="1"/>
  <c r="S36" i="26"/>
  <c r="M37" i="26"/>
  <c r="M38" i="26" s="1"/>
  <c r="M40" i="26" s="1"/>
  <c r="S34" i="26"/>
  <c r="G37" i="26"/>
  <c r="G38" i="26" s="1"/>
  <c r="G40" i="26" s="1"/>
  <c r="W39" i="20"/>
  <c r="W41" i="20"/>
  <c r="X41" i="20" s="1"/>
  <c r="Y41" i="20" s="1"/>
  <c r="W43" i="20"/>
  <c r="X43" i="20" s="1"/>
  <c r="Y43" i="20" s="1"/>
  <c r="W42" i="20"/>
  <c r="X42" i="20" s="1"/>
  <c r="Y42" i="20" s="1"/>
  <c r="W40" i="20"/>
  <c r="X40" i="20" s="1"/>
  <c r="Y40" i="20" s="1"/>
  <c r="G57" i="26"/>
  <c r="T57" i="26" s="1"/>
  <c r="S44" i="26"/>
  <c r="T44" i="26"/>
  <c r="V44" i="26"/>
  <c r="V17" i="26"/>
  <c r="T17" i="26"/>
  <c r="S13" i="26" a="1"/>
  <c r="S13" i="26" s="1"/>
  <c r="S14" i="26" a="1"/>
  <c r="S14" i="26" s="1"/>
  <c r="S12" i="26" a="1"/>
  <c r="S12" i="26" s="1"/>
  <c r="S37" i="26" l="1"/>
  <c r="S38" i="26" s="1"/>
  <c r="S40" i="26" s="1"/>
  <c r="X39" i="20"/>
  <c r="Y39" i="20" s="1"/>
  <c r="Z39" i="20"/>
  <c r="Z40" i="20" l="1"/>
  <c r="Z41" i="20" l="1"/>
  <c r="Z42" i="20" s="1"/>
  <c r="Z43" i="20" l="1"/>
  <c r="AA42" i="20" s="1"/>
  <c r="AA41" i="20" l="1"/>
  <c r="AA43" i="20"/>
  <c r="AA39" i="20"/>
  <c r="AA40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Panasonic do Brasil Limitada</author>
  </authors>
  <commentList>
    <comment ref="Y23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Panasonic do Brasil Limitada:</t>
        </r>
        <r>
          <rPr>
            <sz val="8"/>
            <color indexed="81"/>
            <rFont val="Tahoma"/>
            <family val="2"/>
          </rPr>
          <t xml:space="preserve">
Consumo/1000 pilhas
</t>
        </r>
      </text>
    </comment>
  </commentList>
</comments>
</file>

<file path=xl/sharedStrings.xml><?xml version="1.0" encoding="utf-8"?>
<sst xmlns="http://schemas.openxmlformats.org/spreadsheetml/2006/main" count="1127" uniqueCount="265">
  <si>
    <t>T O T A L (pçs)</t>
  </si>
  <si>
    <t>Total</t>
  </si>
  <si>
    <t xml:space="preserve"> Voltagem</t>
  </si>
  <si>
    <t>GPER-360</t>
  </si>
  <si>
    <t>Shrink 2 pcs</t>
  </si>
  <si>
    <t>Bandeja</t>
  </si>
  <si>
    <t xml:space="preserve"> Outros acab.</t>
  </si>
  <si>
    <t>Embaladeira</t>
  </si>
  <si>
    <t>Empurrador</t>
  </si>
  <si>
    <t>Estrela</t>
  </si>
  <si>
    <t>Transf. De Correia</t>
  </si>
  <si>
    <t xml:space="preserve"> Shrink</t>
  </si>
  <si>
    <t>S/ Bottom Plate</t>
  </si>
  <si>
    <t>S/ Arruela</t>
  </si>
  <si>
    <t>Ch. Manchada</t>
  </si>
  <si>
    <t>Ch. Riscada</t>
  </si>
  <si>
    <t>S/ Cap</t>
  </si>
  <si>
    <t>S/ Anel vermelho</t>
  </si>
  <si>
    <t xml:space="preserve"> Encaixotadeira acab.</t>
  </si>
  <si>
    <t xml:space="preserve"> Testador</t>
  </si>
  <si>
    <t>NÃO RECUPERÁVEL</t>
  </si>
  <si>
    <t>ACABAMENTO</t>
  </si>
  <si>
    <t xml:space="preserve"> Encaixotadeira</t>
  </si>
  <si>
    <t xml:space="preserve"> S/ Bottom Plate</t>
  </si>
  <si>
    <t xml:space="preserve"> S/ Arruela</t>
  </si>
  <si>
    <t>Chapa manchada</t>
  </si>
  <si>
    <t>Chapa riscada</t>
  </si>
  <si>
    <t xml:space="preserve"> S/ CAP</t>
  </si>
  <si>
    <t xml:space="preserve"> S/ Anel Vermelho</t>
  </si>
  <si>
    <t xml:space="preserve"> LEAK</t>
  </si>
  <si>
    <t>RECUPERADO APÓS SHIMA</t>
  </si>
  <si>
    <t>CAP / Term. Inferior</t>
  </si>
  <si>
    <t>Anel Vermelho</t>
  </si>
  <si>
    <t>Arruela</t>
  </si>
  <si>
    <t xml:space="preserve">Tubo de Chapa </t>
  </si>
  <si>
    <t xml:space="preserve"> Não recuperado pvc</t>
  </si>
  <si>
    <t xml:space="preserve"> Recuperado pvc</t>
  </si>
  <si>
    <t>RECUPERÁVEL</t>
  </si>
  <si>
    <t xml:space="preserve"> Outros ñ recup.</t>
  </si>
  <si>
    <t xml:space="preserve"> CAP~SHIMA</t>
  </si>
  <si>
    <t xml:space="preserve"> Encolhimento</t>
  </si>
  <si>
    <t xml:space="preserve"> PVC</t>
  </si>
  <si>
    <t xml:space="preserve"> PY</t>
  </si>
  <si>
    <t xml:space="preserve"> Evertack</t>
  </si>
  <si>
    <t xml:space="preserve"> Carvão~Bobina Baixa</t>
  </si>
  <si>
    <t xml:space="preserve"> Isol. Superior</t>
  </si>
  <si>
    <t xml:space="preserve"> Tampão</t>
  </si>
  <si>
    <t>MONTAGEM</t>
  </si>
  <si>
    <t>ppm</t>
  </si>
  <si>
    <t>Qty</t>
  </si>
  <si>
    <t>Descrição</t>
  </si>
  <si>
    <t>Cód.</t>
  </si>
  <si>
    <t>Target</t>
  </si>
  <si>
    <t>Annual</t>
  </si>
  <si>
    <t>2nd Half</t>
  </si>
  <si>
    <t>1st Half</t>
  </si>
  <si>
    <t>Qtde de falhas</t>
  </si>
  <si>
    <t>Operações</t>
  </si>
  <si>
    <t>Resumo de falhas da Linha UM-1</t>
  </si>
  <si>
    <t>T O T A L</t>
  </si>
  <si>
    <t xml:space="preserve"> Amperagem</t>
  </si>
  <si>
    <t>Encaixotamento</t>
  </si>
  <si>
    <t>Encolhimento</t>
  </si>
  <si>
    <t>Total (ppm)</t>
  </si>
  <si>
    <t>A (ppm)</t>
  </si>
  <si>
    <t>V (ppm)</t>
  </si>
  <si>
    <t>Fração Defeituosa de VA</t>
  </si>
  <si>
    <t>Total (Qt)</t>
  </si>
  <si>
    <t>ACB</t>
  </si>
  <si>
    <t>MTG</t>
  </si>
  <si>
    <t>Fração Defeituosa de Aparência</t>
  </si>
  <si>
    <t>BLD</t>
  </si>
  <si>
    <t>Fração Defeituosa Total</t>
  </si>
  <si>
    <t>LINHA 1</t>
  </si>
  <si>
    <t>Dados Para Japão</t>
  </si>
  <si>
    <t>PVC Shrink</t>
  </si>
  <si>
    <t>Cartucho</t>
  </si>
  <si>
    <t>Defeito de Blindagem</t>
  </si>
  <si>
    <t>S/ CAP</t>
  </si>
  <si>
    <t>S/ anel vermelho</t>
  </si>
  <si>
    <t>Term.Inferior/arruela</t>
  </si>
  <si>
    <t>Tubo de Chapa</t>
  </si>
  <si>
    <t>Recuperado do PVC</t>
  </si>
  <si>
    <t xml:space="preserve"> CAP</t>
  </si>
  <si>
    <t>PY</t>
  </si>
  <si>
    <t>Evertack</t>
  </si>
  <si>
    <t>Tb. c/ Boca Amass.</t>
  </si>
  <si>
    <t xml:space="preserve"> Carvão</t>
  </si>
  <si>
    <t>Isol. Sup.</t>
  </si>
  <si>
    <t>Resumo de falhas da Linha UM-3</t>
  </si>
  <si>
    <t>R$</t>
  </si>
  <si>
    <t>Falhas</t>
  </si>
  <si>
    <t>Sub-Total</t>
  </si>
  <si>
    <t>PVC Blister  477 x 0,30</t>
  </si>
  <si>
    <t>PVC Blister  477 x 0,25</t>
  </si>
  <si>
    <t>PVC Blister  477 x 0,18</t>
  </si>
  <si>
    <t>Pilhas</t>
  </si>
  <si>
    <t>Cartela</t>
  </si>
  <si>
    <t>PVC</t>
  </si>
  <si>
    <t>OUTROS</t>
  </si>
  <si>
    <t>Alk</t>
  </si>
  <si>
    <t>SubTotal</t>
  </si>
  <si>
    <t>LR-6</t>
  </si>
  <si>
    <t>LR-14</t>
  </si>
  <si>
    <t>LR-20</t>
  </si>
  <si>
    <t>UM-3</t>
  </si>
  <si>
    <t>UM-2</t>
  </si>
  <si>
    <t>UM-1</t>
  </si>
  <si>
    <t>SUPERMERCADO</t>
  </si>
  <si>
    <t>PRENSA</t>
  </si>
  <si>
    <t>BLINDAGEM</t>
  </si>
  <si>
    <t>Cód</t>
  </si>
  <si>
    <t>Resumo de falhas de Blindagem e PVC</t>
  </si>
  <si>
    <t>VA</t>
  </si>
  <si>
    <t>%</t>
  </si>
  <si>
    <t>LR6</t>
  </si>
  <si>
    <t>Modelo</t>
  </si>
  <si>
    <t>Chapa Riscada</t>
  </si>
  <si>
    <t>Chapa Manchada</t>
  </si>
  <si>
    <t>Chapa Invertida</t>
  </si>
  <si>
    <t>Chapa Aberta</t>
  </si>
  <si>
    <t>Falha de Impressão</t>
  </si>
  <si>
    <t>Sem Arruela</t>
  </si>
  <si>
    <t>Fundo Amassado</t>
  </si>
  <si>
    <t>Sem Cap</t>
  </si>
  <si>
    <t>Outros</t>
  </si>
  <si>
    <t>Shrink 2 peças</t>
  </si>
  <si>
    <t>BLISTER 3</t>
  </si>
  <si>
    <t>UM-4</t>
  </si>
  <si>
    <t>Total recup.</t>
  </si>
  <si>
    <t>Amassado Superior</t>
  </si>
  <si>
    <t>Amassado Inferior</t>
  </si>
  <si>
    <t>Pank (MTG)</t>
  </si>
  <si>
    <t>Recuperadas</t>
  </si>
  <si>
    <t>Pank (ACB)</t>
  </si>
  <si>
    <t>Cap Amassado / Afundado</t>
  </si>
  <si>
    <t>Cap Rachado</t>
  </si>
  <si>
    <t>Sem Anel Vermelho</t>
  </si>
  <si>
    <t>Dois Anéis Vermelhos</t>
  </si>
  <si>
    <t>Sem Bottom Plate</t>
  </si>
  <si>
    <t>Bottom Plate Amassado</t>
  </si>
  <si>
    <t>Sem Arruela / Sem Bottom Plate</t>
  </si>
  <si>
    <t>Fundo Sujo</t>
  </si>
  <si>
    <t>Máq. 1</t>
  </si>
  <si>
    <t>Máq. 2</t>
  </si>
  <si>
    <t>Máq. 3</t>
  </si>
  <si>
    <t>UM-3 
BODY MAKER</t>
  </si>
  <si>
    <t>Máq. 4</t>
  </si>
  <si>
    <t>Máq. 5</t>
  </si>
  <si>
    <t>UM-3 
OTTO PRESS</t>
  </si>
  <si>
    <t>Resumo de falhas da Linha UM-4</t>
  </si>
  <si>
    <t>MONTAGEM - NÃO RECUPERÁVEL</t>
  </si>
  <si>
    <t>TAMPÃO</t>
  </si>
  <si>
    <t>ISOL. SUPERIOR</t>
  </si>
  <si>
    <t>CARVÃO</t>
  </si>
  <si>
    <t>EVERTACK</t>
  </si>
  <si>
    <t>CAP/PY</t>
  </si>
  <si>
    <t>FECHAMENTO</t>
  </si>
  <si>
    <t>BOTTOM PLATE</t>
  </si>
  <si>
    <t>TESTADOR VA</t>
  </si>
  <si>
    <t>ENCAXOTADEIRA</t>
  </si>
  <si>
    <t>Pilha deformada</t>
  </si>
  <si>
    <t>PVC Mal impresso</t>
  </si>
  <si>
    <t>PVC rasgado</t>
  </si>
  <si>
    <t>PVC deformado</t>
  </si>
  <si>
    <t>PVC IMPRESSO ATÈ TESTADOR -NÃO RECUPERÁVEL</t>
  </si>
  <si>
    <t>PY Deslocado</t>
  </si>
  <si>
    <t>Sem PY</t>
  </si>
  <si>
    <t>Fundo sujo</t>
  </si>
  <si>
    <t>Tubo de Zinco Trincado</t>
  </si>
  <si>
    <t>Pilha amassada</t>
  </si>
  <si>
    <t>ACABAMENTO - SHRINK - NÃO RECUPERÁVEL</t>
  </si>
  <si>
    <t>First Half</t>
  </si>
  <si>
    <t>Second Half</t>
  </si>
  <si>
    <t>SM</t>
  </si>
  <si>
    <t>Fisrt Half</t>
  </si>
  <si>
    <t>x Last Month</t>
  </si>
  <si>
    <t>vs Last Month</t>
  </si>
  <si>
    <t>vs. Last Month</t>
  </si>
  <si>
    <t>R03</t>
  </si>
  <si>
    <t>Montagem</t>
  </si>
  <si>
    <t>Acabamento</t>
  </si>
  <si>
    <t>UM-3-1</t>
  </si>
  <si>
    <t>UM-3-2</t>
  </si>
  <si>
    <t>ACABAMENTO - NÃO RECUPERÁVEL</t>
  </si>
  <si>
    <t>Linha -2</t>
  </si>
  <si>
    <t>Assembly</t>
  </si>
  <si>
    <t>Finishing</t>
  </si>
  <si>
    <t>Real</t>
  </si>
  <si>
    <t>BP</t>
  </si>
  <si>
    <t>Prensa</t>
  </si>
  <si>
    <t>Defect ratio</t>
  </si>
  <si>
    <t>Un.</t>
  </si>
  <si>
    <t>pçs</t>
  </si>
  <si>
    <t>FY-2017</t>
  </si>
  <si>
    <t>vs BP</t>
  </si>
  <si>
    <t>Total Manganês</t>
  </si>
  <si>
    <t>Total Panabras</t>
  </si>
  <si>
    <t>Taxa defeituosa (ppm)</t>
  </si>
  <si>
    <t>UM-3 - L1</t>
  </si>
  <si>
    <t>UM-3 - L2</t>
  </si>
  <si>
    <t>pcs</t>
  </si>
  <si>
    <t>Gestão de Produção e Quantidade de Falhas (pçs)</t>
  </si>
  <si>
    <t>Gestão de Custo de Produção e Falhas (R$)</t>
  </si>
  <si>
    <t>Anual</t>
  </si>
  <si>
    <t>Produção</t>
  </si>
  <si>
    <t>Forecast</t>
  </si>
  <si>
    <t>Objetivo</t>
  </si>
  <si>
    <t>Alloyd 1</t>
  </si>
  <si>
    <t>Blister</t>
  </si>
  <si>
    <t>Blister + Cartela</t>
  </si>
  <si>
    <t>Pilhas Amassadas</t>
  </si>
  <si>
    <t>Alloyd 2</t>
  </si>
  <si>
    <t>Taxa</t>
  </si>
  <si>
    <t>Alloyd2</t>
  </si>
  <si>
    <t>PRE</t>
  </si>
  <si>
    <t>COMPONENTES</t>
  </si>
  <si>
    <t>Objetivo (ppm)</t>
  </si>
  <si>
    <t>Custo por milheiro (R$)</t>
  </si>
  <si>
    <t>total</t>
  </si>
  <si>
    <t>Sulliter</t>
  </si>
  <si>
    <t>Pilha caida no prato</t>
  </si>
  <si>
    <t>Pilha Queimada</t>
  </si>
  <si>
    <t>Comp.</t>
  </si>
  <si>
    <t>Embalagem</t>
  </si>
  <si>
    <t>IMP</t>
  </si>
  <si>
    <t>Custo de Produção</t>
  </si>
  <si>
    <t>Body Maker</t>
  </si>
  <si>
    <t>Taxa defeituosoa</t>
  </si>
  <si>
    <t>ALC</t>
  </si>
  <si>
    <t>Mn</t>
  </si>
  <si>
    <t>Semestral</t>
  </si>
  <si>
    <t>Alc</t>
  </si>
  <si>
    <t>Alloyd 3</t>
  </si>
  <si>
    <t>TOTAL</t>
  </si>
  <si>
    <t>Outros - recup. Acb</t>
  </si>
  <si>
    <t>Outros - acabamento</t>
  </si>
  <si>
    <t>UM1</t>
  </si>
  <si>
    <t>UM3</t>
  </si>
  <si>
    <t>Total LR6</t>
  </si>
  <si>
    <t>FY2020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</si>
  <si>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</si>
  <si>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</si>
  <si>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</si>
  <si>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</si>
  <si>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</si>
  <si>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</si>
  <si>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</si>
  <si>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</si>
  <si>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</si>
  <si>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</t>
  </si>
  <si>
    <t>Fev</t>
  </si>
  <si>
    <t>Mar</t>
  </si>
  <si>
    <t>Falhas
2022</t>
  </si>
  <si>
    <t>Falhas
2021</t>
  </si>
  <si>
    <t>FY-2021</t>
  </si>
  <si>
    <t>Amassada na saída da encaixotadeira</t>
  </si>
  <si>
    <t>Amassada na faca</t>
  </si>
  <si>
    <t xml:space="preserve"> Voltagem - montagem</t>
  </si>
  <si>
    <t xml:space="preserve"> Voltagem - acabamento</t>
  </si>
  <si>
    <t>FY2021</t>
  </si>
  <si>
    <t>Amperagem</t>
  </si>
  <si>
    <t>Defeitos de V Internos</t>
  </si>
  <si>
    <t>Defeitos de A Internos</t>
  </si>
  <si>
    <t>Produção 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</si>
</sst>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"/>
    <numFmt numFmtId="165" formatCode="0.000"/>
    <numFmt numFmtId="166" formatCode="0.000%"/>
    <numFmt numFmtId="167" formatCode="0.0%"/>
    <numFmt numFmtId="168" formatCode="#,##0.000"/>
    <numFmt numFmtId="169" formatCode="_-* #,##0_-;\-* #,##0_-;_-* &quot;-&quot;??_-;_-@_-"/>
  </numFmts>
  <fonts count="21">
    <font>
      <sz val="10"/>
      <name val="Arial"/>
    </font>
    <font>
      <sz val="10"/>
      <name val="Arial"/>
      <family val="2"/>
    </font>
    <font>
      <sz val="10"/>
      <name val="New Century Schoolbook"/>
      <family val="1"/>
    </font>
    <font>
      <sz val="10"/>
      <name val="Century Schoolbook"/>
      <family val="1"/>
    </font>
    <font>
      <b/>
      <i/>
      <sz val="12"/>
      <name val="Century Schoolbook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Calibri"/>
      <family val="2"/>
      <scheme val="minor"/>
    </font>
    <font>
      <sz val="10"/>
      <color rgb="FF2C0DE3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2"/>
      <name val="Calibri"/>
      <family val="2"/>
      <scheme val="minor"/>
    </font>
    <font>
      <sz val="10"/>
      <name val="Arial"/>
      <family val="2"/>
    </font>
    <font>
      <sz val="10"/>
      <color rgb="FF0000FF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i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0" tint="-0.499984740745262"/>
      <name val="Arial"/>
      <family val="2"/>
    </font>
    <font>
      <i/>
      <sz val="10"/>
      <color theme="0" tint="-0.49998474074526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7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2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846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5" xfId="0" applyFont="1" applyFill="1" applyBorder="1"/>
    <xf numFmtId="0" fontId="2" fillId="2" borderId="6" xfId="0" applyFont="1" applyFill="1" applyBorder="1"/>
    <xf numFmtId="17" fontId="2" fillId="2" borderId="36" xfId="0" applyNumberFormat="1" applyFont="1" applyFill="1" applyBorder="1" applyAlignment="1">
      <alignment horizontal="left"/>
    </xf>
    <xf numFmtId="17" fontId="2" fillId="2" borderId="9" xfId="0" applyNumberFormat="1" applyFont="1" applyFill="1" applyBorder="1" applyAlignment="1">
      <alignment horizontal="left"/>
    </xf>
    <xf numFmtId="17" fontId="2" fillId="2" borderId="33" xfId="0" applyNumberFormat="1" applyFont="1" applyFill="1" applyBorder="1" applyAlignment="1">
      <alignment horizontal="left"/>
    </xf>
    <xf numFmtId="0" fontId="2" fillId="2" borderId="40" xfId="0" applyFont="1" applyFill="1" applyBorder="1"/>
    <xf numFmtId="0" fontId="2" fillId="2" borderId="24" xfId="0" applyFont="1" applyFill="1" applyBorder="1"/>
    <xf numFmtId="0" fontId="2" fillId="2" borderId="10" xfId="0" applyFont="1" applyFill="1" applyBorder="1"/>
    <xf numFmtId="0" fontId="2" fillId="2" borderId="41" xfId="0" applyFont="1" applyFill="1" applyBorder="1" applyAlignment="1">
      <alignment horizontal="centerContinuous"/>
    </xf>
    <xf numFmtId="0" fontId="2" fillId="2" borderId="42" xfId="0" applyFont="1" applyFill="1" applyBorder="1" applyAlignment="1">
      <alignment horizontal="centerContinuous"/>
    </xf>
    <xf numFmtId="0" fontId="2" fillId="2" borderId="43" xfId="0" applyFont="1" applyFill="1" applyBorder="1" applyAlignment="1">
      <alignment horizontal="centerContinuous"/>
    </xf>
    <xf numFmtId="0" fontId="2" fillId="2" borderId="44" xfId="0" applyFont="1" applyFill="1" applyBorder="1" applyAlignment="1">
      <alignment horizontal="centerContinuous"/>
    </xf>
    <xf numFmtId="0" fontId="2" fillId="2" borderId="46" xfId="0" applyFont="1" applyFill="1" applyBorder="1"/>
    <xf numFmtId="0" fontId="2" fillId="2" borderId="47" xfId="0" applyFont="1" applyFill="1" applyBorder="1"/>
    <xf numFmtId="0" fontId="3" fillId="0" borderId="0" xfId="0" applyFont="1"/>
    <xf numFmtId="17" fontId="2" fillId="2" borderId="32" xfId="0" applyNumberFormat="1" applyFont="1" applyFill="1" applyBorder="1" applyAlignment="1">
      <alignment horizontal="left"/>
    </xf>
    <xf numFmtId="17" fontId="2" fillId="2" borderId="24" xfId="0" applyNumberFormat="1" applyFont="1" applyFill="1" applyBorder="1" applyAlignment="1">
      <alignment horizontal="left"/>
    </xf>
    <xf numFmtId="0" fontId="2" fillId="2" borderId="52" xfId="0" applyFont="1" applyFill="1" applyBorder="1" applyAlignment="1">
      <alignment horizontal="centerContinuous"/>
    </xf>
    <xf numFmtId="0" fontId="3" fillId="2" borderId="39" xfId="0" applyFont="1" applyFill="1" applyBorder="1" applyAlignment="1">
      <alignment horizontal="center"/>
    </xf>
    <xf numFmtId="0" fontId="3" fillId="2" borderId="10" xfId="0" applyFont="1" applyFill="1" applyBorder="1"/>
    <xf numFmtId="0" fontId="3" fillId="2" borderId="47" xfId="0" applyFont="1" applyFill="1" applyBorder="1"/>
    <xf numFmtId="0" fontId="3" fillId="2" borderId="83" xfId="0" applyFont="1" applyFill="1" applyBorder="1" applyAlignment="1">
      <alignment horizontal="center"/>
    </xf>
    <xf numFmtId="0" fontId="2" fillId="2" borderId="89" xfId="0" applyFont="1" applyFill="1" applyBorder="1"/>
    <xf numFmtId="0" fontId="2" fillId="2" borderId="103" xfId="0" applyFont="1" applyFill="1" applyBorder="1" applyAlignment="1">
      <alignment horizontal="center"/>
    </xf>
    <xf numFmtId="2" fontId="1" fillId="0" borderId="0" xfId="0" applyNumberFormat="1" applyFont="1"/>
    <xf numFmtId="17" fontId="1" fillId="0" borderId="0" xfId="0" applyNumberFormat="1" applyFont="1"/>
    <xf numFmtId="17" fontId="3" fillId="2" borderId="39" xfId="0" applyNumberFormat="1" applyFont="1" applyFill="1" applyBorder="1" applyAlignment="1">
      <alignment horizontal="center"/>
    </xf>
    <xf numFmtId="0" fontId="8" fillId="2" borderId="26" xfId="0" applyFont="1" applyFill="1" applyBorder="1"/>
    <xf numFmtId="0" fontId="8" fillId="0" borderId="26" xfId="0" applyFont="1" applyBorder="1"/>
    <xf numFmtId="0" fontId="8" fillId="2" borderId="7" xfId="0" applyFont="1" applyFill="1" applyBorder="1"/>
    <xf numFmtId="0" fontId="8" fillId="3" borderId="7" xfId="0" applyFont="1" applyFill="1" applyBorder="1"/>
    <xf numFmtId="0" fontId="8" fillId="2" borderId="28" xfId="0" applyFont="1" applyFill="1" applyBorder="1"/>
    <xf numFmtId="0" fontId="8" fillId="0" borderId="28" xfId="0" applyFont="1" applyBorder="1"/>
    <xf numFmtId="0" fontId="8" fillId="2" borderId="34" xfId="0" applyFont="1" applyFill="1" applyBorder="1"/>
    <xf numFmtId="0" fontId="8" fillId="3" borderId="34" xfId="0" quotePrefix="1" applyFont="1" applyFill="1" applyBorder="1" applyAlignment="1">
      <alignment horizontal="left"/>
    </xf>
    <xf numFmtId="0" fontId="8" fillId="0" borderId="28" xfId="0" quotePrefix="1" applyFont="1" applyBorder="1" applyAlignment="1">
      <alignment horizontal="left"/>
    </xf>
    <xf numFmtId="0" fontId="8" fillId="2" borderId="58" xfId="0" applyFont="1" applyFill="1" applyBorder="1"/>
    <xf numFmtId="0" fontId="8" fillId="0" borderId="58" xfId="0" applyFont="1" applyBorder="1"/>
    <xf numFmtId="0" fontId="8" fillId="2" borderId="107" xfId="0" applyFont="1" applyFill="1" applyBorder="1"/>
    <xf numFmtId="0" fontId="8" fillId="0" borderId="107" xfId="0" applyFont="1" applyBorder="1"/>
    <xf numFmtId="0" fontId="8" fillId="2" borderId="8" xfId="0" applyFont="1" applyFill="1" applyBorder="1"/>
    <xf numFmtId="0" fontId="8" fillId="3" borderId="8" xfId="0" applyFont="1" applyFill="1" applyBorder="1"/>
    <xf numFmtId="0" fontId="8" fillId="2" borderId="18" xfId="0" applyFont="1" applyFill="1" applyBorder="1"/>
    <xf numFmtId="0" fontId="8" fillId="0" borderId="18" xfId="0" applyFont="1" applyBorder="1"/>
    <xf numFmtId="0" fontId="8" fillId="0" borderId="18" xfId="0" quotePrefix="1" applyFont="1" applyBorder="1" applyAlignment="1">
      <alignment horizontal="left"/>
    </xf>
    <xf numFmtId="0" fontId="8" fillId="0" borderId="17" xfId="0" applyFont="1" applyBorder="1"/>
    <xf numFmtId="0" fontId="8" fillId="2" borderId="13" xfId="0" applyFont="1" applyFill="1" applyBorder="1"/>
    <xf numFmtId="0" fontId="8" fillId="0" borderId="13" xfId="0" applyFont="1" applyBorder="1"/>
    <xf numFmtId="0" fontId="8" fillId="2" borderId="0" xfId="0" applyFont="1" applyFill="1"/>
    <xf numFmtId="3" fontId="8" fillId="0" borderId="28" xfId="0" applyNumberFormat="1" applyFont="1" applyBorder="1"/>
    <xf numFmtId="3" fontId="8" fillId="3" borderId="8" xfId="0" applyNumberFormat="1" applyFont="1" applyFill="1" applyBorder="1"/>
    <xf numFmtId="3" fontId="8" fillId="3" borderId="34" xfId="0" applyNumberFormat="1" applyFont="1" applyFill="1" applyBorder="1"/>
    <xf numFmtId="3" fontId="8" fillId="0" borderId="58" xfId="0" applyNumberFormat="1" applyFont="1" applyBorder="1"/>
    <xf numFmtId="3" fontId="8" fillId="0" borderId="107" xfId="0" applyNumberFormat="1" applyFont="1" applyBorder="1"/>
    <xf numFmtId="2" fontId="8" fillId="0" borderId="26" xfId="0" applyNumberFormat="1" applyFont="1" applyBorder="1"/>
    <xf numFmtId="2" fontId="8" fillId="3" borderId="7" xfId="0" applyNumberFormat="1" applyFont="1" applyFill="1" applyBorder="1"/>
    <xf numFmtId="2" fontId="8" fillId="0" borderId="28" xfId="0" applyNumberFormat="1" applyFont="1" applyBorder="1"/>
    <xf numFmtId="2" fontId="8" fillId="0" borderId="58" xfId="0" applyNumberFormat="1" applyFont="1" applyBorder="1"/>
    <xf numFmtId="2" fontId="8" fillId="0" borderId="107" xfId="0" applyNumberFormat="1" applyFont="1" applyBorder="1"/>
    <xf numFmtId="2" fontId="8" fillId="3" borderId="8" xfId="0" applyNumberFormat="1" applyFont="1" applyFill="1" applyBorder="1"/>
    <xf numFmtId="2" fontId="8" fillId="0" borderId="18" xfId="0" applyNumberFormat="1" applyFont="1" applyBorder="1"/>
    <xf numFmtId="2" fontId="8" fillId="0" borderId="17" xfId="0" applyNumberFormat="1" applyFont="1" applyBorder="1"/>
    <xf numFmtId="2" fontId="8" fillId="0" borderId="13" xfId="0" applyNumberFormat="1" applyFont="1" applyBorder="1"/>
    <xf numFmtId="1" fontId="8" fillId="0" borderId="26" xfId="0" applyNumberFormat="1" applyFont="1" applyBorder="1"/>
    <xf numFmtId="0" fontId="8" fillId="0" borderId="11" xfId="0" applyFont="1" applyBorder="1"/>
    <xf numFmtId="0" fontId="2" fillId="2" borderId="108" xfId="0" applyFont="1" applyFill="1" applyBorder="1" applyAlignment="1">
      <alignment horizontal="centerContinuous"/>
    </xf>
    <xf numFmtId="17" fontId="2" fillId="2" borderId="109" xfId="0" applyNumberFormat="1" applyFont="1" applyFill="1" applyBorder="1" applyAlignment="1">
      <alignment horizontal="left"/>
    </xf>
    <xf numFmtId="0" fontId="8" fillId="0" borderId="98" xfId="0" applyFont="1" applyBorder="1"/>
    <xf numFmtId="1" fontId="8" fillId="0" borderId="51" xfId="0" applyNumberFormat="1" applyFont="1" applyBorder="1"/>
    <xf numFmtId="0" fontId="8" fillId="2" borderId="0" xfId="0" applyFont="1" applyFill="1" applyAlignment="1">
      <alignment horizontal="center"/>
    </xf>
    <xf numFmtId="0" fontId="8" fillId="0" borderId="90" xfId="0" applyFont="1" applyBorder="1"/>
    <xf numFmtId="0" fontId="10" fillId="6" borderId="26" xfId="0" quotePrefix="1" applyFont="1" applyFill="1" applyBorder="1" applyAlignment="1">
      <alignment horizontal="left"/>
    </xf>
    <xf numFmtId="0" fontId="10" fillId="6" borderId="58" xfId="0" quotePrefix="1" applyFont="1" applyFill="1" applyBorder="1" applyAlignment="1">
      <alignment horizontal="left"/>
    </xf>
    <xf numFmtId="0" fontId="10" fillId="6" borderId="58" xfId="0" applyFont="1" applyFill="1" applyBorder="1"/>
    <xf numFmtId="0" fontId="8" fillId="2" borderId="9" xfId="0" applyFont="1" applyFill="1" applyBorder="1" applyAlignment="1">
      <alignment horizontal="center"/>
    </xf>
    <xf numFmtId="0" fontId="8" fillId="3" borderId="104" xfId="0" applyFont="1" applyFill="1" applyBorder="1"/>
    <xf numFmtId="0" fontId="8" fillId="3" borderId="125" xfId="0" applyFont="1" applyFill="1" applyBorder="1"/>
    <xf numFmtId="0" fontId="8" fillId="0" borderId="91" xfId="0" applyFont="1" applyBorder="1"/>
    <xf numFmtId="0" fontId="8" fillId="2" borderId="72" xfId="0" applyFont="1" applyFill="1" applyBorder="1" applyAlignment="1">
      <alignment horizontal="center"/>
    </xf>
    <xf numFmtId="0" fontId="8" fillId="0" borderId="0" xfId="1" applyFont="1"/>
    <xf numFmtId="0" fontId="8" fillId="2" borderId="47" xfId="1" applyFont="1" applyFill="1" applyBorder="1"/>
    <xf numFmtId="0" fontId="8" fillId="2" borderId="42" xfId="1" applyFont="1" applyFill="1" applyBorder="1" applyAlignment="1">
      <alignment horizontal="centerContinuous"/>
    </xf>
    <xf numFmtId="0" fontId="8" fillId="2" borderId="79" xfId="1" applyFont="1" applyFill="1" applyBorder="1"/>
    <xf numFmtId="0" fontId="8" fillId="0" borderId="73" xfId="1" applyFont="1" applyBorder="1"/>
    <xf numFmtId="3" fontId="9" fillId="0" borderId="57" xfId="1" applyNumberFormat="1" applyFont="1" applyBorder="1"/>
    <xf numFmtId="0" fontId="8" fillId="2" borderId="70" xfId="1" applyFont="1" applyFill="1" applyBorder="1"/>
    <xf numFmtId="0" fontId="8" fillId="0" borderId="28" xfId="1" applyFont="1" applyBorder="1"/>
    <xf numFmtId="3" fontId="9" fillId="0" borderId="27" xfId="1" applyNumberFormat="1" applyFont="1" applyBorder="1"/>
    <xf numFmtId="0" fontId="8" fillId="3" borderId="84" xfId="1" applyFont="1" applyFill="1" applyBorder="1"/>
    <xf numFmtId="0" fontId="8" fillId="3" borderId="37" xfId="1" applyFont="1" applyFill="1" applyBorder="1"/>
    <xf numFmtId="3" fontId="9" fillId="3" borderId="84" xfId="1" applyNumberFormat="1" applyFont="1" applyFill="1" applyBorder="1"/>
    <xf numFmtId="3" fontId="8" fillId="3" borderId="24" xfId="1" applyNumberFormat="1" applyFont="1" applyFill="1" applyBorder="1"/>
    <xf numFmtId="3" fontId="8" fillId="3" borderId="40" xfId="1" applyNumberFormat="1" applyFont="1" applyFill="1" applyBorder="1"/>
    <xf numFmtId="0" fontId="8" fillId="0" borderId="58" xfId="1" applyFont="1" applyBorder="1"/>
    <xf numFmtId="0" fontId="8" fillId="0" borderId="75" xfId="1" applyFont="1" applyBorder="1"/>
    <xf numFmtId="3" fontId="9" fillId="0" borderId="16" xfId="1" applyNumberFormat="1" applyFont="1" applyBorder="1"/>
    <xf numFmtId="0" fontId="8" fillId="0" borderId="107" xfId="1" applyFont="1" applyBorder="1"/>
    <xf numFmtId="3" fontId="9" fillId="0" borderId="77" xfId="1" applyNumberFormat="1" applyFont="1" applyBorder="1"/>
    <xf numFmtId="3" fontId="9" fillId="0" borderId="20" xfId="1" applyNumberFormat="1" applyFont="1" applyBorder="1"/>
    <xf numFmtId="0" fontId="8" fillId="2" borderId="25" xfId="1" applyFont="1" applyFill="1" applyBorder="1" applyAlignment="1">
      <alignment vertical="center" textRotation="90"/>
    </xf>
    <xf numFmtId="0" fontId="8" fillId="2" borderId="74" xfId="1" applyFont="1" applyFill="1" applyBorder="1"/>
    <xf numFmtId="0" fontId="8" fillId="3" borderId="54" xfId="1" applyFont="1" applyFill="1" applyBorder="1"/>
    <xf numFmtId="3" fontId="9" fillId="3" borderId="76" xfId="1" applyNumberFormat="1" applyFont="1" applyFill="1" applyBorder="1"/>
    <xf numFmtId="3" fontId="8" fillId="0" borderId="70" xfId="1" applyNumberFormat="1" applyFont="1" applyBorder="1"/>
    <xf numFmtId="0" fontId="8" fillId="0" borderId="54" xfId="1" applyFont="1" applyBorder="1"/>
    <xf numFmtId="0" fontId="8" fillId="2" borderId="57" xfId="1" applyFont="1" applyFill="1" applyBorder="1"/>
    <xf numFmtId="0" fontId="8" fillId="2" borderId="16" xfId="1" applyFont="1" applyFill="1" applyBorder="1"/>
    <xf numFmtId="0" fontId="8" fillId="2" borderId="72" xfId="1" applyFont="1" applyFill="1" applyBorder="1"/>
    <xf numFmtId="0" fontId="8" fillId="3" borderId="34" xfId="1" applyFont="1" applyFill="1" applyBorder="1"/>
    <xf numFmtId="0" fontId="8" fillId="2" borderId="71" xfId="1" applyFont="1" applyFill="1" applyBorder="1"/>
    <xf numFmtId="0" fontId="8" fillId="2" borderId="6" xfId="1" applyFont="1" applyFill="1" applyBorder="1"/>
    <xf numFmtId="0" fontId="8" fillId="2" borderId="69" xfId="1" applyFont="1" applyFill="1" applyBorder="1"/>
    <xf numFmtId="0" fontId="8" fillId="0" borderId="3" xfId="1" applyFont="1" applyBorder="1" applyAlignment="1">
      <alignment horizontal="centerContinuous"/>
    </xf>
    <xf numFmtId="3" fontId="8" fillId="0" borderId="69" xfId="1" applyNumberFormat="1" applyFont="1" applyBorder="1"/>
    <xf numFmtId="0" fontId="10" fillId="0" borderId="0" xfId="1" applyFont="1"/>
    <xf numFmtId="0" fontId="8" fillId="7" borderId="65" xfId="1" applyFont="1" applyFill="1" applyBorder="1" applyAlignment="1">
      <alignment horizontal="center"/>
    </xf>
    <xf numFmtId="0" fontId="8" fillId="7" borderId="14" xfId="1" applyFont="1" applyFill="1" applyBorder="1"/>
    <xf numFmtId="0" fontId="8" fillId="7" borderId="77" xfId="1" applyFont="1" applyFill="1" applyBorder="1"/>
    <xf numFmtId="0" fontId="8" fillId="7" borderId="107" xfId="1" applyFont="1" applyFill="1" applyBorder="1"/>
    <xf numFmtId="17" fontId="8" fillId="7" borderId="77" xfId="1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1" fillId="0" borderId="11" xfId="0" applyFont="1" applyBorder="1"/>
    <xf numFmtId="0" fontId="1" fillId="0" borderId="26" xfId="0" applyFont="1" applyBorder="1"/>
    <xf numFmtId="0" fontId="2" fillId="2" borderId="126" xfId="0" applyFont="1" applyFill="1" applyBorder="1" applyAlignment="1">
      <alignment horizontal="centerContinuous"/>
    </xf>
    <xf numFmtId="17" fontId="2" fillId="2" borderId="50" xfId="0" applyNumberFormat="1" applyFont="1" applyFill="1" applyBorder="1" applyAlignment="1">
      <alignment horizontal="left"/>
    </xf>
    <xf numFmtId="0" fontId="8" fillId="2" borderId="69" xfId="0" applyFont="1" applyFill="1" applyBorder="1" applyAlignment="1">
      <alignment horizontal="center"/>
    </xf>
    <xf numFmtId="0" fontId="8" fillId="3" borderId="100" xfId="0" applyFont="1" applyFill="1" applyBorder="1"/>
    <xf numFmtId="0" fontId="8" fillId="3" borderId="1" xfId="0" applyFont="1" applyFill="1" applyBorder="1"/>
    <xf numFmtId="3" fontId="8" fillId="0" borderId="58" xfId="0" applyNumberFormat="1" applyFont="1" applyBorder="1" applyAlignment="1">
      <alignment horizontal="right"/>
    </xf>
    <xf numFmtId="3" fontId="10" fillId="6" borderId="58" xfId="0" quotePrefix="1" applyNumberFormat="1" applyFont="1" applyFill="1" applyBorder="1" applyAlignment="1">
      <alignment horizontal="right"/>
    </xf>
    <xf numFmtId="3" fontId="10" fillId="6" borderId="58" xfId="0" applyNumberFormat="1" applyFont="1" applyFill="1" applyBorder="1" applyAlignment="1">
      <alignment horizontal="right"/>
    </xf>
    <xf numFmtId="3" fontId="8" fillId="3" borderId="125" xfId="0" applyNumberFormat="1" applyFont="1" applyFill="1" applyBorder="1" applyAlignment="1">
      <alignment horizontal="right"/>
    </xf>
    <xf numFmtId="2" fontId="8" fillId="0" borderId="90" xfId="0" applyNumberFormat="1" applyFont="1" applyBorder="1" applyAlignment="1">
      <alignment horizontal="right"/>
    </xf>
    <xf numFmtId="2" fontId="8" fillId="0" borderId="26" xfId="0" applyNumberFormat="1" applyFont="1" applyBorder="1" applyAlignment="1">
      <alignment horizontal="right"/>
    </xf>
    <xf numFmtId="2" fontId="10" fillId="6" borderId="26" xfId="0" quotePrefix="1" applyNumberFormat="1" applyFont="1" applyFill="1" applyBorder="1" applyAlignment="1">
      <alignment horizontal="right"/>
    </xf>
    <xf numFmtId="2" fontId="8" fillId="0" borderId="58" xfId="0" applyNumberFormat="1" applyFont="1" applyBorder="1" applyAlignment="1">
      <alignment horizontal="right"/>
    </xf>
    <xf numFmtId="2" fontId="10" fillId="6" borderId="58" xfId="0" quotePrefix="1" applyNumberFormat="1" applyFont="1" applyFill="1" applyBorder="1" applyAlignment="1">
      <alignment horizontal="right"/>
    </xf>
    <xf numFmtId="2" fontId="10" fillId="6" borderId="58" xfId="0" applyNumberFormat="1" applyFont="1" applyFill="1" applyBorder="1" applyAlignment="1">
      <alignment horizontal="right"/>
    </xf>
    <xf numFmtId="0" fontId="8" fillId="2" borderId="10" xfId="1" applyFont="1" applyFill="1" applyBorder="1"/>
    <xf numFmtId="0" fontId="8" fillId="2" borderId="39" xfId="1" applyFont="1" applyFill="1" applyBorder="1" applyAlignment="1">
      <alignment horizontal="center"/>
    </xf>
    <xf numFmtId="0" fontId="8" fillId="0" borderId="88" xfId="1" applyFont="1" applyBorder="1"/>
    <xf numFmtId="3" fontId="9" fillId="0" borderId="22" xfId="1" applyNumberFormat="1" applyFont="1" applyBorder="1"/>
    <xf numFmtId="0" fontId="8" fillId="0" borderId="55" xfId="1" applyFont="1" applyBorder="1"/>
    <xf numFmtId="0" fontId="8" fillId="4" borderId="55" xfId="1" applyFont="1" applyFill="1" applyBorder="1"/>
    <xf numFmtId="3" fontId="9" fillId="4" borderId="20" xfId="1" applyNumberFormat="1" applyFont="1" applyFill="1" applyBorder="1"/>
    <xf numFmtId="0" fontId="8" fillId="4" borderId="40" xfId="1" applyFont="1" applyFill="1" applyBorder="1"/>
    <xf numFmtId="3" fontId="9" fillId="4" borderId="9" xfId="1" applyNumberFormat="1" applyFont="1" applyFill="1" applyBorder="1"/>
    <xf numFmtId="0" fontId="9" fillId="0" borderId="88" xfId="1" applyFont="1" applyBorder="1"/>
    <xf numFmtId="0" fontId="9" fillId="0" borderId="86" xfId="1" applyFont="1" applyBorder="1"/>
    <xf numFmtId="0" fontId="8" fillId="4" borderId="86" xfId="1" applyFont="1" applyFill="1" applyBorder="1"/>
    <xf numFmtId="0" fontId="8" fillId="0" borderId="86" xfId="1" applyFont="1" applyBorder="1"/>
    <xf numFmtId="0" fontId="8" fillId="4" borderId="87" xfId="1" applyFont="1" applyFill="1" applyBorder="1"/>
    <xf numFmtId="0" fontId="8" fillId="4" borderId="83" xfId="1" applyFont="1" applyFill="1" applyBorder="1"/>
    <xf numFmtId="3" fontId="9" fillId="4" borderId="39" xfId="1" applyNumberFormat="1" applyFont="1" applyFill="1" applyBorder="1"/>
    <xf numFmtId="0" fontId="8" fillId="2" borderId="130" xfId="1" applyFont="1" applyFill="1" applyBorder="1" applyAlignment="1">
      <alignment horizontal="center" vertical="center"/>
    </xf>
    <xf numFmtId="0" fontId="8" fillId="5" borderId="88" xfId="1" applyFont="1" applyFill="1" applyBorder="1"/>
    <xf numFmtId="3" fontId="9" fillId="5" borderId="22" xfId="1" applyNumberFormat="1" applyFont="1" applyFill="1" applyBorder="1"/>
    <xf numFmtId="3" fontId="8" fillId="0" borderId="27" xfId="1" applyNumberFormat="1" applyFont="1" applyBorder="1"/>
    <xf numFmtId="3" fontId="9" fillId="4" borderId="70" xfId="1" applyNumberFormat="1" applyFont="1" applyFill="1" applyBorder="1"/>
    <xf numFmtId="0" fontId="8" fillId="3" borderId="83" xfId="1" applyFont="1" applyFill="1" applyBorder="1"/>
    <xf numFmtId="0" fontId="8" fillId="3" borderId="40" xfId="1" applyFont="1" applyFill="1" applyBorder="1"/>
    <xf numFmtId="3" fontId="9" fillId="3" borderId="39" xfId="1" applyNumberFormat="1" applyFont="1" applyFill="1" applyBorder="1"/>
    <xf numFmtId="0" fontId="8" fillId="0" borderId="6" xfId="1" applyFont="1" applyBorder="1"/>
    <xf numFmtId="0" fontId="8" fillId="0" borderId="4" xfId="1" applyFont="1" applyBorder="1"/>
    <xf numFmtId="0" fontId="8" fillId="0" borderId="4" xfId="1" applyFont="1" applyBorder="1" applyAlignment="1">
      <alignment horizontal="centerContinuous"/>
    </xf>
    <xf numFmtId="3" fontId="9" fillId="0" borderId="2" xfId="1" applyNumberFormat="1" applyFont="1" applyBorder="1"/>
    <xf numFmtId="17" fontId="8" fillId="2" borderId="39" xfId="1" applyNumberFormat="1" applyFont="1" applyFill="1" applyBorder="1" applyAlignment="1">
      <alignment horizontal="center"/>
    </xf>
    <xf numFmtId="4" fontId="9" fillId="0" borderId="22" xfId="1" applyNumberFormat="1" applyFont="1" applyBorder="1"/>
    <xf numFmtId="4" fontId="9" fillId="0" borderId="20" xfId="1" applyNumberFormat="1" applyFont="1" applyBorder="1"/>
    <xf numFmtId="4" fontId="9" fillId="4" borderId="20" xfId="1" applyNumberFormat="1" applyFont="1" applyFill="1" applyBorder="1"/>
    <xf numFmtId="4" fontId="9" fillId="0" borderId="27" xfId="1" applyNumberFormat="1" applyFont="1" applyBorder="1"/>
    <xf numFmtId="4" fontId="9" fillId="4" borderId="9" xfId="1" applyNumberFormat="1" applyFont="1" applyFill="1" applyBorder="1"/>
    <xf numFmtId="4" fontId="9" fillId="4" borderId="39" xfId="1" applyNumberFormat="1" applyFont="1" applyFill="1" applyBorder="1"/>
    <xf numFmtId="4" fontId="8" fillId="0" borderId="27" xfId="1" applyNumberFormat="1" applyFont="1" applyBorder="1"/>
    <xf numFmtId="4" fontId="9" fillId="3" borderId="39" xfId="1" applyNumberFormat="1" applyFont="1" applyFill="1" applyBorder="1"/>
    <xf numFmtId="4" fontId="9" fillId="0" borderId="2" xfId="1" applyNumberFormat="1" applyFont="1" applyBorder="1"/>
    <xf numFmtId="2" fontId="8" fillId="0" borderId="28" xfId="0" applyNumberFormat="1" applyFont="1" applyBorder="1" applyAlignment="1">
      <alignment horizontal="right"/>
    </xf>
    <xf numFmtId="2" fontId="8" fillId="0" borderId="107" xfId="0" applyNumberFormat="1" applyFont="1" applyBorder="1" applyAlignment="1">
      <alignment horizontal="right"/>
    </xf>
    <xf numFmtId="1" fontId="8" fillId="3" borderId="111" xfId="0" applyNumberFormat="1" applyFont="1" applyFill="1" applyBorder="1" applyAlignment="1">
      <alignment horizontal="right"/>
    </xf>
    <xf numFmtId="1" fontId="8" fillId="3" borderId="8" xfId="0" applyNumberFormat="1" applyFont="1" applyFill="1" applyBorder="1" applyAlignment="1">
      <alignment horizontal="right"/>
    </xf>
    <xf numFmtId="1" fontId="8" fillId="3" borderId="118" xfId="0" applyNumberFormat="1" applyFont="1" applyFill="1" applyBorder="1" applyAlignment="1">
      <alignment horizontal="right"/>
    </xf>
    <xf numFmtId="1" fontId="8" fillId="0" borderId="95" xfId="0" applyNumberFormat="1" applyFont="1" applyBorder="1" applyAlignment="1">
      <alignment horizontal="right"/>
    </xf>
    <xf numFmtId="1" fontId="8" fillId="0" borderId="3" xfId="0" applyNumberFormat="1" applyFont="1" applyBorder="1" applyAlignment="1">
      <alignment horizontal="right"/>
    </xf>
    <xf numFmtId="1" fontId="8" fillId="0" borderId="120" xfId="0" applyNumberFormat="1" applyFont="1" applyBorder="1" applyAlignment="1">
      <alignment horizontal="right"/>
    </xf>
    <xf numFmtId="1" fontId="8" fillId="0" borderId="1" xfId="0" applyNumberFormat="1" applyFont="1" applyBorder="1" applyAlignment="1">
      <alignment horizontal="right"/>
    </xf>
    <xf numFmtId="0" fontId="8" fillId="3" borderId="131" xfId="0" applyFont="1" applyFill="1" applyBorder="1"/>
    <xf numFmtId="3" fontId="8" fillId="3" borderId="131" xfId="0" applyNumberFormat="1" applyFont="1" applyFill="1" applyBorder="1"/>
    <xf numFmtId="0" fontId="8" fillId="0" borderId="65" xfId="0" applyFont="1" applyBorder="1" applyAlignment="1">
      <alignment horizontal="centerContinuous"/>
    </xf>
    <xf numFmtId="3" fontId="8" fillId="0" borderId="65" xfId="0" applyNumberFormat="1" applyFont="1" applyBorder="1"/>
    <xf numFmtId="2" fontId="8" fillId="3" borderId="7" xfId="0" applyNumberFormat="1" applyFont="1" applyFill="1" applyBorder="1" applyAlignment="1">
      <alignment horizontal="right"/>
    </xf>
    <xf numFmtId="2" fontId="8" fillId="0" borderId="28" xfId="0" quotePrefix="1" applyNumberFormat="1" applyFont="1" applyBorder="1" applyAlignment="1">
      <alignment horizontal="right"/>
    </xf>
    <xf numFmtId="2" fontId="8" fillId="0" borderId="18" xfId="0" applyNumberFormat="1" applyFont="1" applyBorder="1" applyAlignment="1">
      <alignment horizontal="right"/>
    </xf>
    <xf numFmtId="2" fontId="8" fillId="0" borderId="18" xfId="0" quotePrefix="1" applyNumberFormat="1" applyFont="1" applyBorder="1" applyAlignment="1">
      <alignment horizontal="right"/>
    </xf>
    <xf numFmtId="2" fontId="8" fillId="0" borderId="17" xfId="0" applyNumberFormat="1" applyFont="1" applyBorder="1" applyAlignment="1">
      <alignment horizontal="right"/>
    </xf>
    <xf numFmtId="2" fontId="8" fillId="0" borderId="13" xfId="0" applyNumberFormat="1" applyFont="1" applyBorder="1" applyAlignment="1">
      <alignment horizontal="right"/>
    </xf>
    <xf numFmtId="164" fontId="1" fillId="0" borderId="0" xfId="0" applyNumberFormat="1" applyFont="1"/>
    <xf numFmtId="164" fontId="8" fillId="0" borderId="0" xfId="1" applyNumberFormat="1" applyFont="1"/>
    <xf numFmtId="0" fontId="1" fillId="0" borderId="133" xfId="0" applyFont="1" applyBorder="1"/>
    <xf numFmtId="0" fontId="1" fillId="0" borderId="19" xfId="0" applyFont="1" applyBorder="1"/>
    <xf numFmtId="0" fontId="1" fillId="0" borderId="15" xfId="0" applyFont="1" applyBorder="1"/>
    <xf numFmtId="0" fontId="1" fillId="0" borderId="134" xfId="0" applyFont="1" applyBorder="1"/>
    <xf numFmtId="0" fontId="8" fillId="2" borderId="14" xfId="1" applyFont="1" applyFill="1" applyBorder="1"/>
    <xf numFmtId="0" fontId="8" fillId="2" borderId="77" xfId="1" applyFont="1" applyFill="1" applyBorder="1"/>
    <xf numFmtId="0" fontId="8" fillId="2" borderId="107" xfId="1" applyFont="1" applyFill="1" applyBorder="1"/>
    <xf numFmtId="0" fontId="8" fillId="2" borderId="77" xfId="1" applyFont="1" applyFill="1" applyBorder="1" applyAlignment="1">
      <alignment horizontal="center"/>
    </xf>
    <xf numFmtId="0" fontId="8" fillId="2" borderId="76" xfId="1" applyFont="1" applyFill="1" applyBorder="1"/>
    <xf numFmtId="0" fontId="8" fillId="2" borderId="81" xfId="1" applyFont="1" applyFill="1" applyBorder="1"/>
    <xf numFmtId="0" fontId="8" fillId="2" borderId="87" xfId="1" applyFont="1" applyFill="1" applyBorder="1"/>
    <xf numFmtId="3" fontId="9" fillId="0" borderId="135" xfId="1" applyNumberFormat="1" applyFont="1" applyBorder="1"/>
    <xf numFmtId="3" fontId="9" fillId="3" borderId="9" xfId="1" applyNumberFormat="1" applyFont="1" applyFill="1" applyBorder="1"/>
    <xf numFmtId="0" fontId="8" fillId="0" borderId="67" xfId="1" applyFont="1" applyBorder="1"/>
    <xf numFmtId="0" fontId="8" fillId="0" borderId="65" xfId="1" applyFont="1" applyBorder="1"/>
    <xf numFmtId="0" fontId="8" fillId="0" borderId="63" xfId="1" applyFont="1" applyBorder="1"/>
    <xf numFmtId="0" fontId="8" fillId="2" borderId="105" xfId="1" applyFont="1" applyFill="1" applyBorder="1" applyAlignment="1">
      <alignment horizontal="center"/>
    </xf>
    <xf numFmtId="0" fontId="8" fillId="0" borderId="4" xfId="1" applyFont="1" applyBorder="1" applyAlignment="1">
      <alignment horizontal="center"/>
    </xf>
    <xf numFmtId="17" fontId="8" fillId="2" borderId="42" xfId="1" applyNumberFormat="1" applyFont="1" applyFill="1" applyBorder="1" applyAlignment="1">
      <alignment horizontal="centerContinuous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4" fontId="13" fillId="0" borderId="0" xfId="1" applyNumberFormat="1" applyFont="1"/>
    <xf numFmtId="2" fontId="8" fillId="0" borderId="0" xfId="0" applyNumberFormat="1" applyFont="1" applyAlignment="1">
      <alignment horizontal="right"/>
    </xf>
    <xf numFmtId="2" fontId="8" fillId="3" borderId="131" xfId="0" applyNumberFormat="1" applyFont="1" applyFill="1" applyBorder="1" applyAlignment="1">
      <alignment horizontal="right"/>
    </xf>
    <xf numFmtId="2" fontId="8" fillId="3" borderId="131" xfId="0" applyNumberFormat="1" applyFont="1" applyFill="1" applyBorder="1"/>
    <xf numFmtId="2" fontId="8" fillId="0" borderId="65" xfId="0" applyNumberFormat="1" applyFont="1" applyBorder="1" applyAlignment="1">
      <alignment horizontal="right"/>
    </xf>
    <xf numFmtId="2" fontId="8" fillId="0" borderId="65" xfId="0" applyNumberFormat="1" applyFont="1" applyBorder="1" applyAlignment="1">
      <alignment horizontal="centerContinuous"/>
    </xf>
    <xf numFmtId="0" fontId="8" fillId="0" borderId="131" xfId="0" applyFont="1" applyBorder="1"/>
    <xf numFmtId="0" fontId="8" fillId="0" borderId="0" xfId="0" applyFont="1"/>
    <xf numFmtId="0" fontId="1" fillId="0" borderId="65" xfId="0" applyFont="1" applyBorder="1"/>
    <xf numFmtId="2" fontId="1" fillId="0" borderId="65" xfId="0" applyNumberFormat="1" applyFont="1" applyBorder="1"/>
    <xf numFmtId="0" fontId="8" fillId="0" borderId="59" xfId="0" applyFont="1" applyBorder="1"/>
    <xf numFmtId="0" fontId="8" fillId="0" borderId="59" xfId="0" applyFont="1" applyBorder="1" applyAlignment="1">
      <alignment horizontal="centerContinuous"/>
    </xf>
    <xf numFmtId="2" fontId="8" fillId="0" borderId="59" xfId="0" applyNumberFormat="1" applyFont="1" applyBorder="1" applyAlignment="1">
      <alignment horizontal="right"/>
    </xf>
    <xf numFmtId="1" fontId="8" fillId="0" borderId="65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0" fontId="2" fillId="2" borderId="44" xfId="0" applyFont="1" applyFill="1" applyBorder="1" applyAlignment="1">
      <alignment horizontal="right"/>
    </xf>
    <xf numFmtId="17" fontId="2" fillId="2" borderId="101" xfId="0" applyNumberFormat="1" applyFont="1" applyFill="1" applyBorder="1" applyAlignment="1">
      <alignment horizontal="right"/>
    </xf>
    <xf numFmtId="1" fontId="8" fillId="0" borderId="26" xfId="0" applyNumberFormat="1" applyFont="1" applyBorder="1" applyAlignment="1">
      <alignment horizontal="right"/>
    </xf>
    <xf numFmtId="1" fontId="8" fillId="3" borderId="7" xfId="0" applyNumberFormat="1" applyFont="1" applyFill="1" applyBorder="1" applyAlignment="1">
      <alignment horizontal="right"/>
    </xf>
    <xf numFmtId="1" fontId="8" fillId="0" borderId="28" xfId="0" applyNumberFormat="1" applyFont="1" applyBorder="1" applyAlignment="1">
      <alignment horizontal="right"/>
    </xf>
    <xf numFmtId="1" fontId="8" fillId="3" borderId="34" xfId="0" quotePrefix="1" applyNumberFormat="1" applyFont="1" applyFill="1" applyBorder="1" applyAlignment="1">
      <alignment horizontal="right"/>
    </xf>
    <xf numFmtId="1" fontId="8" fillId="0" borderId="28" xfId="0" quotePrefix="1" applyNumberFormat="1" applyFont="1" applyBorder="1" applyAlignment="1">
      <alignment horizontal="right"/>
    </xf>
    <xf numFmtId="1" fontId="8" fillId="0" borderId="58" xfId="0" applyNumberFormat="1" applyFont="1" applyBorder="1" applyAlignment="1">
      <alignment horizontal="right"/>
    </xf>
    <xf numFmtId="1" fontId="8" fillId="0" borderId="107" xfId="0" applyNumberFormat="1" applyFont="1" applyBorder="1" applyAlignment="1">
      <alignment horizontal="right"/>
    </xf>
    <xf numFmtId="1" fontId="8" fillId="0" borderId="18" xfId="0" applyNumberFormat="1" applyFont="1" applyBorder="1" applyAlignment="1">
      <alignment horizontal="right"/>
    </xf>
    <xf numFmtId="1" fontId="8" fillId="0" borderId="18" xfId="0" quotePrefix="1" applyNumberFormat="1" applyFont="1" applyBorder="1" applyAlignment="1">
      <alignment horizontal="right"/>
    </xf>
    <xf numFmtId="1" fontId="8" fillId="0" borderId="17" xfId="0" applyNumberFormat="1" applyFont="1" applyBorder="1" applyAlignment="1">
      <alignment horizontal="right"/>
    </xf>
    <xf numFmtId="2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65" xfId="0" applyFont="1" applyBorder="1" applyAlignment="1">
      <alignment horizontal="center"/>
    </xf>
    <xf numFmtId="0" fontId="8" fillId="0" borderId="26" xfId="0" applyFont="1" applyBorder="1" applyAlignment="1">
      <alignment horizontal="right"/>
    </xf>
    <xf numFmtId="0" fontId="8" fillId="0" borderId="55" xfId="0" applyFont="1" applyBorder="1" applyAlignment="1">
      <alignment horizontal="right"/>
    </xf>
    <xf numFmtId="0" fontId="8" fillId="3" borderId="7" xfId="0" applyFont="1" applyFill="1" applyBorder="1" applyAlignment="1">
      <alignment horizontal="right"/>
    </xf>
    <xf numFmtId="0" fontId="8" fillId="3" borderId="96" xfId="0" applyFont="1" applyFill="1" applyBorder="1" applyAlignment="1">
      <alignment horizontal="right"/>
    </xf>
    <xf numFmtId="0" fontId="8" fillId="0" borderId="28" xfId="0" applyFont="1" applyBorder="1" applyAlignment="1">
      <alignment horizontal="right"/>
    </xf>
    <xf numFmtId="0" fontId="8" fillId="0" borderId="18" xfId="0" applyFont="1" applyBorder="1" applyAlignment="1">
      <alignment horizontal="right"/>
    </xf>
    <xf numFmtId="0" fontId="8" fillId="3" borderId="34" xfId="0" quotePrefix="1" applyFont="1" applyFill="1" applyBorder="1" applyAlignment="1">
      <alignment horizontal="right"/>
    </xf>
    <xf numFmtId="0" fontId="8" fillId="3" borderId="89" xfId="0" quotePrefix="1" applyFont="1" applyFill="1" applyBorder="1" applyAlignment="1">
      <alignment horizontal="right"/>
    </xf>
    <xf numFmtId="0" fontId="8" fillId="0" borderId="28" xfId="0" quotePrefix="1" applyFont="1" applyBorder="1" applyAlignment="1">
      <alignment horizontal="right"/>
    </xf>
    <xf numFmtId="0" fontId="8" fillId="0" borderId="18" xfId="0" quotePrefix="1" applyFont="1" applyBorder="1" applyAlignment="1">
      <alignment horizontal="right"/>
    </xf>
    <xf numFmtId="0" fontId="8" fillId="0" borderId="58" xfId="0" applyFont="1" applyBorder="1" applyAlignment="1">
      <alignment horizontal="right"/>
    </xf>
    <xf numFmtId="0" fontId="8" fillId="0" borderId="105" xfId="0" applyFont="1" applyBorder="1" applyAlignment="1">
      <alignment horizontal="right"/>
    </xf>
    <xf numFmtId="0" fontId="8" fillId="0" borderId="107" xfId="0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8" fillId="3" borderId="8" xfId="0" applyFont="1" applyFill="1" applyBorder="1" applyAlignment="1">
      <alignment horizontal="right"/>
    </xf>
    <xf numFmtId="0" fontId="8" fillId="3" borderId="99" xfId="0" applyFont="1" applyFill="1" applyBorder="1" applyAlignment="1">
      <alignment horizontal="right"/>
    </xf>
    <xf numFmtId="0" fontId="8" fillId="0" borderId="13" xfId="0" applyFont="1" applyBorder="1" applyAlignment="1">
      <alignment horizontal="right"/>
    </xf>
    <xf numFmtId="164" fontId="1" fillId="0" borderId="0" xfId="0" applyNumberFormat="1" applyFont="1" applyAlignment="1">
      <alignment horizontal="right"/>
    </xf>
    <xf numFmtId="0" fontId="1" fillId="0" borderId="65" xfId="0" applyFont="1" applyBorder="1" applyAlignment="1">
      <alignment horizontal="right"/>
    </xf>
    <xf numFmtId="1" fontId="1" fillId="0" borderId="65" xfId="0" applyNumberFormat="1" applyFont="1" applyBorder="1" applyAlignment="1">
      <alignment horizontal="right"/>
    </xf>
    <xf numFmtId="1" fontId="8" fillId="3" borderId="113" xfId="0" quotePrefix="1" applyNumberFormat="1" applyFont="1" applyFill="1" applyBorder="1" applyAlignment="1">
      <alignment horizontal="right"/>
    </xf>
    <xf numFmtId="0" fontId="8" fillId="2" borderId="82" xfId="1" applyFont="1" applyFill="1" applyBorder="1"/>
    <xf numFmtId="0" fontId="8" fillId="0" borderId="13" xfId="1" applyFont="1" applyBorder="1" applyAlignment="1">
      <alignment horizontal="centerContinuous"/>
    </xf>
    <xf numFmtId="3" fontId="9" fillId="0" borderId="12" xfId="1" applyNumberFormat="1" applyFont="1" applyBorder="1"/>
    <xf numFmtId="0" fontId="8" fillId="0" borderId="0" xfId="1" applyFont="1" applyAlignment="1">
      <alignment horizontal="centerContinuous"/>
    </xf>
    <xf numFmtId="3" fontId="9" fillId="0" borderId="0" xfId="1" applyNumberFormat="1" applyFont="1"/>
    <xf numFmtId="0" fontId="8" fillId="0" borderId="65" xfId="0" applyFont="1" applyBorder="1"/>
    <xf numFmtId="3" fontId="8" fillId="0" borderId="0" xfId="1" applyNumberFormat="1" applyFont="1"/>
    <xf numFmtId="0" fontId="8" fillId="7" borderId="65" xfId="1" applyFont="1" applyFill="1" applyBorder="1"/>
    <xf numFmtId="0" fontId="8" fillId="3" borderId="98" xfId="0" applyFont="1" applyFill="1" applyBorder="1"/>
    <xf numFmtId="0" fontId="8" fillId="3" borderId="11" xfId="0" applyFont="1" applyFill="1" applyBorder="1"/>
    <xf numFmtId="0" fontId="8" fillId="2" borderId="31" xfId="0" applyFont="1" applyFill="1" applyBorder="1" applyAlignment="1">
      <alignment horizontal="center"/>
    </xf>
    <xf numFmtId="0" fontId="8" fillId="2" borderId="29" xfId="0" applyFont="1" applyFill="1" applyBorder="1" applyAlignment="1">
      <alignment horizontal="center"/>
    </xf>
    <xf numFmtId="2" fontId="8" fillId="3" borderId="50" xfId="0" applyNumberFormat="1" applyFont="1" applyFill="1" applyBorder="1"/>
    <xf numFmtId="0" fontId="1" fillId="0" borderId="65" xfId="0" applyFont="1" applyBorder="1" applyAlignment="1">
      <alignment horizontal="centerContinuous"/>
    </xf>
    <xf numFmtId="17" fontId="1" fillId="0" borderId="65" xfId="0" applyNumberFormat="1" applyFont="1" applyBorder="1" applyAlignment="1">
      <alignment horizontal="right"/>
    </xf>
    <xf numFmtId="0" fontId="1" fillId="0" borderId="133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4" xfId="0" applyFont="1" applyBorder="1" applyAlignment="1">
      <alignment horizontal="center"/>
    </xf>
    <xf numFmtId="0" fontId="7" fillId="0" borderId="0" xfId="0" applyFont="1" applyAlignment="1">
      <alignment horizontal="centerContinuous"/>
    </xf>
    <xf numFmtId="0" fontId="1" fillId="0" borderId="47" xfId="0" applyFont="1" applyBorder="1"/>
    <xf numFmtId="0" fontId="1" fillId="0" borderId="138" xfId="0" applyFont="1" applyBorder="1"/>
    <xf numFmtId="0" fontId="1" fillId="0" borderId="138" xfId="0" applyFont="1" applyBorder="1" applyAlignment="1">
      <alignment horizontal="center"/>
    </xf>
    <xf numFmtId="0" fontId="1" fillId="0" borderId="141" xfId="0" applyFont="1" applyBorder="1"/>
    <xf numFmtId="0" fontId="1" fillId="0" borderId="144" xfId="0" applyFont="1" applyBorder="1"/>
    <xf numFmtId="0" fontId="1" fillId="0" borderId="144" xfId="0" applyFont="1" applyBorder="1" applyAlignment="1">
      <alignment horizontal="center"/>
    </xf>
    <xf numFmtId="0" fontId="0" fillId="0" borderId="144" xfId="0" applyBorder="1" applyAlignment="1">
      <alignment horizontal="center"/>
    </xf>
    <xf numFmtId="4" fontId="1" fillId="0" borderId="139" xfId="0" applyNumberFormat="1" applyFont="1" applyBorder="1"/>
    <xf numFmtId="4" fontId="1" fillId="0" borderId="142" xfId="0" applyNumberFormat="1" applyFont="1" applyBorder="1"/>
    <xf numFmtId="4" fontId="1" fillId="0" borderId="143" xfId="0" applyNumberFormat="1" applyFont="1" applyBorder="1"/>
    <xf numFmtId="4" fontId="1" fillId="0" borderId="145" xfId="0" applyNumberFormat="1" applyFont="1" applyBorder="1"/>
    <xf numFmtId="4" fontId="1" fillId="0" borderId="65" xfId="0" applyNumberFormat="1" applyFont="1" applyBorder="1"/>
    <xf numFmtId="4" fontId="1" fillId="0" borderId="56" xfId="0" applyNumberFormat="1" applyFont="1" applyBorder="1"/>
    <xf numFmtId="4" fontId="1" fillId="0" borderId="65" xfId="0" applyNumberFormat="1" applyFont="1" applyBorder="1" applyAlignment="1">
      <alignment horizontal="right"/>
    </xf>
    <xf numFmtId="1" fontId="10" fillId="0" borderId="0" xfId="1" applyNumberFormat="1" applyFont="1"/>
    <xf numFmtId="0" fontId="0" fillId="0" borderId="147" xfId="0" applyBorder="1"/>
    <xf numFmtId="4" fontId="1" fillId="0" borderId="52" xfId="0" applyNumberFormat="1" applyFont="1" applyBorder="1"/>
    <xf numFmtId="0" fontId="0" fillId="0" borderId="114" xfId="0" applyBorder="1"/>
    <xf numFmtId="0" fontId="0" fillId="0" borderId="19" xfId="0" applyBorder="1" applyAlignment="1">
      <alignment horizontal="center"/>
    </xf>
    <xf numFmtId="0" fontId="0" fillId="0" borderId="148" xfId="0" applyBorder="1"/>
    <xf numFmtId="2" fontId="8" fillId="0" borderId="90" xfId="0" applyNumberFormat="1" applyFont="1" applyBorder="1"/>
    <xf numFmtId="1" fontId="8" fillId="0" borderId="90" xfId="0" applyNumberFormat="1" applyFont="1" applyBorder="1"/>
    <xf numFmtId="3" fontId="8" fillId="0" borderId="90" xfId="0" applyNumberFormat="1" applyFont="1" applyBorder="1"/>
    <xf numFmtId="1" fontId="8" fillId="0" borderId="128" xfId="0" applyNumberFormat="1" applyFont="1" applyBorder="1"/>
    <xf numFmtId="3" fontId="1" fillId="0" borderId="0" xfId="0" applyNumberFormat="1" applyFont="1"/>
    <xf numFmtId="4" fontId="1" fillId="0" borderId="0" xfId="0" applyNumberFormat="1" applyFont="1"/>
    <xf numFmtId="0" fontId="8" fillId="0" borderId="67" xfId="1" applyFont="1" applyBorder="1" applyAlignment="1">
      <alignment horizontal="center" vertical="center" wrapText="1"/>
    </xf>
    <xf numFmtId="0" fontId="8" fillId="0" borderId="65" xfId="1" applyFont="1" applyBorder="1" applyAlignment="1">
      <alignment horizontal="center" vertical="center" wrapText="1"/>
    </xf>
    <xf numFmtId="0" fontId="8" fillId="0" borderId="63" xfId="1" applyFont="1" applyBorder="1" applyAlignment="1">
      <alignment horizontal="center" vertical="center" wrapText="1"/>
    </xf>
    <xf numFmtId="1" fontId="8" fillId="0" borderId="110" xfId="0" applyNumberFormat="1" applyFont="1" applyBorder="1" applyAlignment="1">
      <alignment horizontal="right"/>
    </xf>
    <xf numFmtId="1" fontId="8" fillId="0" borderId="51" xfId="0" applyNumberFormat="1" applyFont="1" applyBorder="1" applyAlignment="1">
      <alignment horizontal="right"/>
    </xf>
    <xf numFmtId="1" fontId="8" fillId="3" borderId="49" xfId="0" applyNumberFormat="1" applyFont="1" applyFill="1" applyBorder="1" applyAlignment="1">
      <alignment horizontal="right"/>
    </xf>
    <xf numFmtId="1" fontId="8" fillId="0" borderId="112" xfId="0" applyNumberFormat="1" applyFont="1" applyBorder="1" applyAlignment="1">
      <alignment horizontal="right"/>
    </xf>
    <xf numFmtId="1" fontId="8" fillId="3" borderId="25" xfId="0" quotePrefix="1" applyNumberFormat="1" applyFont="1" applyFill="1" applyBorder="1" applyAlignment="1">
      <alignment horizontal="right"/>
    </xf>
    <xf numFmtId="1" fontId="8" fillId="0" borderId="110" xfId="0" quotePrefix="1" applyNumberFormat="1" applyFont="1" applyBorder="1" applyAlignment="1">
      <alignment horizontal="right"/>
    </xf>
    <xf numFmtId="1" fontId="8" fillId="0" borderId="112" xfId="0" quotePrefix="1" applyNumberFormat="1" applyFont="1" applyBorder="1" applyAlignment="1">
      <alignment horizontal="right"/>
    </xf>
    <xf numFmtId="1" fontId="8" fillId="0" borderId="114" xfId="0" applyNumberFormat="1" applyFont="1" applyBorder="1" applyAlignment="1">
      <alignment horizontal="right"/>
    </xf>
    <xf numFmtId="1" fontId="8" fillId="0" borderId="115" xfId="0" applyNumberFormat="1" applyFont="1" applyBorder="1" applyAlignment="1">
      <alignment horizontal="right"/>
    </xf>
    <xf numFmtId="1" fontId="8" fillId="0" borderId="116" xfId="0" applyNumberFormat="1" applyFont="1" applyBorder="1" applyAlignment="1">
      <alignment horizontal="right"/>
    </xf>
    <xf numFmtId="1" fontId="8" fillId="0" borderId="117" xfId="0" applyNumberFormat="1" applyFont="1" applyBorder="1" applyAlignment="1">
      <alignment horizontal="right"/>
    </xf>
    <xf numFmtId="1" fontId="8" fillId="0" borderId="71" xfId="0" applyNumberFormat="1" applyFont="1" applyBorder="1" applyAlignment="1">
      <alignment horizontal="right"/>
    </xf>
    <xf numFmtId="1" fontId="8" fillId="0" borderId="71" xfId="0" quotePrefix="1" applyNumberFormat="1" applyFont="1" applyBorder="1" applyAlignment="1">
      <alignment horizontal="right"/>
    </xf>
    <xf numFmtId="1" fontId="8" fillId="0" borderId="119" xfId="0" applyNumberFormat="1" applyFont="1" applyBorder="1" applyAlignment="1">
      <alignment horizontal="right"/>
    </xf>
    <xf numFmtId="0" fontId="8" fillId="0" borderId="110" xfId="0" applyFont="1" applyBorder="1" applyAlignment="1">
      <alignment horizontal="right"/>
    </xf>
    <xf numFmtId="0" fontId="8" fillId="0" borderId="51" xfId="0" applyFont="1" applyBorder="1" applyAlignment="1">
      <alignment horizontal="right"/>
    </xf>
    <xf numFmtId="0" fontId="8" fillId="3" borderId="111" xfId="0" applyFont="1" applyFill="1" applyBorder="1" applyAlignment="1">
      <alignment horizontal="right"/>
    </xf>
    <xf numFmtId="0" fontId="8" fillId="3" borderId="49" xfId="0" applyFont="1" applyFill="1" applyBorder="1" applyAlignment="1">
      <alignment horizontal="right"/>
    </xf>
    <xf numFmtId="0" fontId="8" fillId="0" borderId="112" xfId="0" applyFont="1" applyBorder="1" applyAlignment="1">
      <alignment horizontal="right"/>
    </xf>
    <xf numFmtId="0" fontId="8" fillId="3" borderId="25" xfId="0" quotePrefix="1" applyFont="1" applyFill="1" applyBorder="1" applyAlignment="1">
      <alignment horizontal="right"/>
    </xf>
    <xf numFmtId="0" fontId="8" fillId="3" borderId="113" xfId="0" quotePrefix="1" applyFont="1" applyFill="1" applyBorder="1" applyAlignment="1">
      <alignment horizontal="right"/>
    </xf>
    <xf numFmtId="0" fontId="8" fillId="0" borderId="110" xfId="0" quotePrefix="1" applyFont="1" applyBorder="1" applyAlignment="1">
      <alignment horizontal="right"/>
    </xf>
    <xf numFmtId="0" fontId="8" fillId="0" borderId="112" xfId="0" quotePrefix="1" applyFont="1" applyBorder="1" applyAlignment="1">
      <alignment horizontal="right"/>
    </xf>
    <xf numFmtId="0" fontId="8" fillId="0" borderId="114" xfId="0" applyFont="1" applyBorder="1" applyAlignment="1">
      <alignment horizontal="right"/>
    </xf>
    <xf numFmtId="0" fontId="8" fillId="0" borderId="115" xfId="0" applyFont="1" applyBorder="1" applyAlignment="1">
      <alignment horizontal="right"/>
    </xf>
    <xf numFmtId="0" fontId="8" fillId="0" borderId="116" xfId="0" applyFont="1" applyBorder="1" applyAlignment="1">
      <alignment horizontal="right"/>
    </xf>
    <xf numFmtId="0" fontId="8" fillId="0" borderId="117" xfId="0" applyFont="1" applyBorder="1" applyAlignment="1">
      <alignment horizontal="right"/>
    </xf>
    <xf numFmtId="0" fontId="8" fillId="3" borderId="118" xfId="0" applyFont="1" applyFill="1" applyBorder="1" applyAlignment="1">
      <alignment horizontal="right"/>
    </xf>
    <xf numFmtId="0" fontId="8" fillId="0" borderId="71" xfId="0" applyFont="1" applyBorder="1" applyAlignment="1">
      <alignment horizontal="right"/>
    </xf>
    <xf numFmtId="0" fontId="8" fillId="0" borderId="71" xfId="0" quotePrefix="1" applyFont="1" applyBorder="1" applyAlignment="1">
      <alignment horizontal="right"/>
    </xf>
    <xf numFmtId="0" fontId="8" fillId="2" borderId="44" xfId="1" applyFont="1" applyFill="1" applyBorder="1" applyAlignment="1">
      <alignment horizontal="center"/>
    </xf>
    <xf numFmtId="0" fontId="8" fillId="2" borderId="150" xfId="1" applyFont="1" applyFill="1" applyBorder="1" applyAlignment="1">
      <alignment horizontal="center"/>
    </xf>
    <xf numFmtId="0" fontId="8" fillId="0" borderId="151" xfId="1" applyFont="1" applyBorder="1"/>
    <xf numFmtId="0" fontId="8" fillId="0" borderId="150" xfId="1" applyFont="1" applyBorder="1"/>
    <xf numFmtId="0" fontId="8" fillId="0" borderId="152" xfId="1" applyFont="1" applyBorder="1"/>
    <xf numFmtId="0" fontId="8" fillId="3" borderId="149" xfId="1" applyFont="1" applyFill="1" applyBorder="1"/>
    <xf numFmtId="0" fontId="8" fillId="0" borderId="149" xfId="1" applyFont="1" applyBorder="1"/>
    <xf numFmtId="2" fontId="8" fillId="0" borderId="151" xfId="1" applyNumberFormat="1" applyFont="1" applyBorder="1"/>
    <xf numFmtId="2" fontId="8" fillId="0" borderId="55" xfId="1" applyNumberFormat="1" applyFont="1" applyBorder="1"/>
    <xf numFmtId="2" fontId="8" fillId="0" borderId="86" xfId="1" applyNumberFormat="1" applyFont="1" applyBorder="1"/>
    <xf numFmtId="2" fontId="8" fillId="0" borderId="150" xfId="1" applyNumberFormat="1" applyFont="1" applyBorder="1"/>
    <xf numFmtId="2" fontId="8" fillId="3" borderId="83" xfId="1" applyNumberFormat="1" applyFont="1" applyFill="1" applyBorder="1"/>
    <xf numFmtId="2" fontId="8" fillId="0" borderId="152" xfId="1" applyNumberFormat="1" applyFont="1" applyBorder="1"/>
    <xf numFmtId="2" fontId="8" fillId="3" borderId="40" xfId="1" applyNumberFormat="1" applyFont="1" applyFill="1" applyBorder="1"/>
    <xf numFmtId="2" fontId="8" fillId="3" borderId="149" xfId="1" applyNumberFormat="1" applyFont="1" applyFill="1" applyBorder="1"/>
    <xf numFmtId="2" fontId="8" fillId="0" borderId="149" xfId="1" applyNumberFormat="1" applyFont="1" applyBorder="1"/>
    <xf numFmtId="1" fontId="8" fillId="0" borderId="151" xfId="1" applyNumberFormat="1" applyFont="1" applyBorder="1"/>
    <xf numFmtId="1" fontId="8" fillId="0" borderId="55" xfId="1" applyNumberFormat="1" applyFont="1" applyBorder="1"/>
    <xf numFmtId="1" fontId="8" fillId="0" borderId="86" xfId="1" applyNumberFormat="1" applyFont="1" applyBorder="1"/>
    <xf numFmtId="1" fontId="8" fillId="0" borderId="150" xfId="1" applyNumberFormat="1" applyFont="1" applyBorder="1"/>
    <xf numFmtId="1" fontId="8" fillId="3" borderId="83" xfId="1" applyNumberFormat="1" applyFont="1" applyFill="1" applyBorder="1"/>
    <xf numFmtId="1" fontId="8" fillId="0" borderId="152" xfId="1" applyNumberFormat="1" applyFont="1" applyBorder="1"/>
    <xf numFmtId="1" fontId="8" fillId="3" borderId="40" xfId="1" applyNumberFormat="1" applyFont="1" applyFill="1" applyBorder="1"/>
    <xf numFmtId="1" fontId="8" fillId="3" borderId="149" xfId="1" applyNumberFormat="1" applyFont="1" applyFill="1" applyBorder="1"/>
    <xf numFmtId="1" fontId="8" fillId="0" borderId="149" xfId="1" applyNumberFormat="1" applyFont="1" applyBorder="1"/>
    <xf numFmtId="1" fontId="8" fillId="0" borderId="4" xfId="1" applyNumberFormat="1" applyFont="1" applyBorder="1" applyAlignment="1">
      <alignment horizontal="centerContinuous"/>
    </xf>
    <xf numFmtId="3" fontId="14" fillId="0" borderId="57" xfId="1" applyNumberFormat="1" applyFont="1" applyBorder="1"/>
    <xf numFmtId="3" fontId="14" fillId="0" borderId="27" xfId="1" applyNumberFormat="1" applyFont="1" applyBorder="1"/>
    <xf numFmtId="3" fontId="14" fillId="0" borderId="20" xfId="1" applyNumberFormat="1" applyFont="1" applyBorder="1"/>
    <xf numFmtId="3" fontId="14" fillId="0" borderId="77" xfId="1" applyNumberFormat="1" applyFont="1" applyBorder="1"/>
    <xf numFmtId="3" fontId="14" fillId="3" borderId="84" xfId="1" applyNumberFormat="1" applyFont="1" applyFill="1" applyBorder="1"/>
    <xf numFmtId="3" fontId="14" fillId="0" borderId="16" xfId="1" applyNumberFormat="1" applyFont="1" applyBorder="1"/>
    <xf numFmtId="3" fontId="14" fillId="3" borderId="76" xfId="1" applyNumberFormat="1" applyFont="1" applyFill="1" applyBorder="1"/>
    <xf numFmtId="3" fontId="14" fillId="0" borderId="135" xfId="1" applyNumberFormat="1" applyFont="1" applyBorder="1"/>
    <xf numFmtId="3" fontId="14" fillId="3" borderId="9" xfId="1" applyNumberFormat="1" applyFont="1" applyFill="1" applyBorder="1"/>
    <xf numFmtId="3" fontId="14" fillId="0" borderId="2" xfId="1" applyNumberFormat="1" applyFont="1" applyBorder="1"/>
    <xf numFmtId="4" fontId="14" fillId="0" borderId="57" xfId="1" applyNumberFormat="1" applyFont="1" applyBorder="1"/>
    <xf numFmtId="4" fontId="14" fillId="0" borderId="27" xfId="1" applyNumberFormat="1" applyFont="1" applyBorder="1"/>
    <xf numFmtId="4" fontId="14" fillId="0" borderId="20" xfId="1" applyNumberFormat="1" applyFont="1" applyBorder="1"/>
    <xf numFmtId="4" fontId="14" fillId="0" borderId="77" xfId="1" applyNumberFormat="1" applyFont="1" applyBorder="1"/>
    <xf numFmtId="4" fontId="14" fillId="3" borderId="84" xfId="1" applyNumberFormat="1" applyFont="1" applyFill="1" applyBorder="1"/>
    <xf numFmtId="4" fontId="14" fillId="0" borderId="16" xfId="1" applyNumberFormat="1" applyFont="1" applyBorder="1"/>
    <xf numFmtId="4" fontId="14" fillId="3" borderId="76" xfId="1" applyNumberFormat="1" applyFont="1" applyFill="1" applyBorder="1"/>
    <xf numFmtId="4" fontId="14" fillId="0" borderId="135" xfId="1" applyNumberFormat="1" applyFont="1" applyBorder="1"/>
    <xf numFmtId="4" fontId="14" fillId="3" borderId="9" xfId="1" applyNumberFormat="1" applyFont="1" applyFill="1" applyBorder="1"/>
    <xf numFmtId="3" fontId="8" fillId="0" borderId="151" xfId="1" applyNumberFormat="1" applyFont="1" applyBorder="1"/>
    <xf numFmtId="3" fontId="8" fillId="0" borderId="55" xfId="1" applyNumberFormat="1" applyFont="1" applyBorder="1"/>
    <xf numFmtId="3" fontId="8" fillId="0" borderId="86" xfId="1" applyNumberFormat="1" applyFont="1" applyBorder="1"/>
    <xf numFmtId="3" fontId="8" fillId="0" borderId="150" xfId="1" applyNumberFormat="1" applyFont="1" applyBorder="1"/>
    <xf numFmtId="3" fontId="8" fillId="3" borderId="83" xfId="1" applyNumberFormat="1" applyFont="1" applyFill="1" applyBorder="1"/>
    <xf numFmtId="3" fontId="8" fillId="0" borderId="152" xfId="1" applyNumberFormat="1" applyFont="1" applyBorder="1"/>
    <xf numFmtId="3" fontId="8" fillId="3" borderId="149" xfId="1" applyNumberFormat="1" applyFont="1" applyFill="1" applyBorder="1"/>
    <xf numFmtId="3" fontId="8" fillId="0" borderId="149" xfId="1" applyNumberFormat="1" applyFont="1" applyBorder="1"/>
    <xf numFmtId="3" fontId="8" fillId="0" borderId="4" xfId="1" applyNumberFormat="1" applyFont="1" applyBorder="1" applyAlignment="1">
      <alignment horizontal="centerContinuous"/>
    </xf>
    <xf numFmtId="4" fontId="14" fillId="0" borderId="2" xfId="1" applyNumberFormat="1" applyFont="1" applyBorder="1"/>
    <xf numFmtId="17" fontId="8" fillId="2" borderId="138" xfId="1" applyNumberFormat="1" applyFont="1" applyFill="1" applyBorder="1" applyAlignment="1">
      <alignment horizontal="centerContinuous"/>
    </xf>
    <xf numFmtId="0" fontId="8" fillId="2" borderId="58" xfId="1" applyFont="1" applyFill="1" applyBorder="1" applyAlignment="1">
      <alignment horizontal="center"/>
    </xf>
    <xf numFmtId="0" fontId="8" fillId="2" borderId="134" xfId="1" applyFont="1" applyFill="1" applyBorder="1" applyAlignment="1">
      <alignment horizontal="center"/>
    </xf>
    <xf numFmtId="4" fontId="14" fillId="0" borderId="133" xfId="1" applyNumberFormat="1" applyFont="1" applyBorder="1"/>
    <xf numFmtId="4" fontId="14" fillId="0" borderId="153" xfId="1" applyNumberFormat="1" applyFont="1" applyBorder="1"/>
    <xf numFmtId="4" fontId="14" fillId="0" borderId="19" xfId="1" applyNumberFormat="1" applyFont="1" applyBorder="1"/>
    <xf numFmtId="4" fontId="14" fillId="0" borderId="134" xfId="1" applyNumberFormat="1" applyFont="1" applyBorder="1"/>
    <xf numFmtId="4" fontId="14" fillId="3" borderId="85" xfId="1" applyNumberFormat="1" applyFont="1" applyFill="1" applyBorder="1"/>
    <xf numFmtId="4" fontId="14" fillId="0" borderId="15" xfId="1" applyNumberFormat="1" applyFont="1" applyBorder="1"/>
    <xf numFmtId="4" fontId="14" fillId="3" borderId="15" xfId="1" applyNumberFormat="1" applyFont="1" applyFill="1" applyBorder="1"/>
    <xf numFmtId="4" fontId="14" fillId="0" borderId="60" xfId="1" applyNumberFormat="1" applyFont="1" applyBorder="1"/>
    <xf numFmtId="4" fontId="14" fillId="3" borderId="154" xfId="1" applyNumberFormat="1" applyFont="1" applyFill="1" applyBorder="1"/>
    <xf numFmtId="4" fontId="14" fillId="0" borderId="94" xfId="1" applyNumberFormat="1" applyFont="1" applyBorder="1"/>
    <xf numFmtId="0" fontId="8" fillId="7" borderId="150" xfId="1" applyFont="1" applyFill="1" applyBorder="1"/>
    <xf numFmtId="3" fontId="14" fillId="0" borderId="70" xfId="1" applyNumberFormat="1" applyFont="1" applyBorder="1"/>
    <xf numFmtId="3" fontId="14" fillId="0" borderId="74" xfId="1" applyNumberFormat="1" applyFont="1" applyBorder="1"/>
    <xf numFmtId="3" fontId="14" fillId="0" borderId="79" xfId="1" applyNumberFormat="1" applyFont="1" applyBorder="1"/>
    <xf numFmtId="3" fontId="14" fillId="0" borderId="76" xfId="1" applyNumberFormat="1" applyFont="1" applyBorder="1"/>
    <xf numFmtId="3" fontId="14" fillId="3" borderId="72" xfId="1" applyNumberFormat="1" applyFont="1" applyFill="1" applyBorder="1"/>
    <xf numFmtId="3" fontId="14" fillId="0" borderId="69" xfId="1" applyNumberFormat="1" applyFont="1" applyBorder="1"/>
    <xf numFmtId="2" fontId="8" fillId="0" borderId="0" xfId="1" applyNumberFormat="1" applyFont="1" applyAlignment="1">
      <alignment horizontal="centerContinuous"/>
    </xf>
    <xf numFmtId="0" fontId="8" fillId="7" borderId="0" xfId="1" applyFont="1" applyFill="1" applyAlignment="1">
      <alignment horizontal="center" wrapText="1"/>
    </xf>
    <xf numFmtId="4" fontId="14" fillId="0" borderId="70" xfId="1" applyNumberFormat="1" applyFont="1" applyBorder="1"/>
    <xf numFmtId="4" fontId="14" fillId="0" borderId="74" xfId="1" applyNumberFormat="1" applyFont="1" applyBorder="1"/>
    <xf numFmtId="4" fontId="14" fillId="0" borderId="79" xfId="1" applyNumberFormat="1" applyFont="1" applyBorder="1"/>
    <xf numFmtId="4" fontId="14" fillId="0" borderId="76" xfId="1" applyNumberFormat="1" applyFont="1" applyBorder="1"/>
    <xf numFmtId="4" fontId="14" fillId="3" borderId="72" xfId="1" applyNumberFormat="1" applyFont="1" applyFill="1" applyBorder="1"/>
    <xf numFmtId="4" fontId="14" fillId="0" borderId="82" xfId="1" applyNumberFormat="1" applyFont="1" applyBorder="1"/>
    <xf numFmtId="1" fontId="14" fillId="0" borderId="90" xfId="0" applyNumberFormat="1" applyFont="1" applyBorder="1"/>
    <xf numFmtId="1" fontId="14" fillId="0" borderId="26" xfId="0" applyNumberFormat="1" applyFont="1" applyBorder="1"/>
    <xf numFmtId="1" fontId="15" fillId="6" borderId="26" xfId="0" quotePrefix="1" applyNumberFormat="1" applyFont="1" applyFill="1" applyBorder="1" applyAlignment="1">
      <alignment horizontal="right"/>
    </xf>
    <xf numFmtId="1" fontId="14" fillId="0" borderId="58" xfId="0" applyNumberFormat="1" applyFont="1" applyBorder="1"/>
    <xf numFmtId="1" fontId="15" fillId="6" borderId="58" xfId="0" quotePrefix="1" applyNumberFormat="1" applyFont="1" applyFill="1" applyBorder="1" applyAlignment="1">
      <alignment horizontal="right"/>
    </xf>
    <xf numFmtId="1" fontId="15" fillId="6" borderId="58" xfId="0" applyNumberFormat="1" applyFont="1" applyFill="1" applyBorder="1"/>
    <xf numFmtId="1" fontId="14" fillId="3" borderId="125" xfId="0" applyNumberFormat="1" applyFont="1" applyFill="1" applyBorder="1"/>
    <xf numFmtId="165" fontId="8" fillId="0" borderId="26" xfId="0" applyNumberFormat="1" applyFont="1" applyBorder="1"/>
    <xf numFmtId="0" fontId="8" fillId="3" borderId="125" xfId="0" applyFont="1" applyFill="1" applyBorder="1" applyAlignment="1">
      <alignment horizontal="right"/>
    </xf>
    <xf numFmtId="0" fontId="8" fillId="3" borderId="11" xfId="0" applyFont="1" applyFill="1" applyBorder="1" applyAlignment="1">
      <alignment horizontal="right"/>
    </xf>
    <xf numFmtId="0" fontId="8" fillId="0" borderId="11" xfId="0" applyFont="1" applyBorder="1" applyAlignment="1">
      <alignment horizontal="right"/>
    </xf>
    <xf numFmtId="2" fontId="8" fillId="3" borderId="125" xfId="0" applyNumberFormat="1" applyFont="1" applyFill="1" applyBorder="1"/>
    <xf numFmtId="3" fontId="14" fillId="0" borderId="90" xfId="0" applyNumberFormat="1" applyFont="1" applyBorder="1"/>
    <xf numFmtId="3" fontId="14" fillId="0" borderId="26" xfId="0" applyNumberFormat="1" applyFont="1" applyBorder="1"/>
    <xf numFmtId="3" fontId="15" fillId="6" borderId="26" xfId="0" quotePrefix="1" applyNumberFormat="1" applyFont="1" applyFill="1" applyBorder="1" applyAlignment="1">
      <alignment horizontal="right"/>
    </xf>
    <xf numFmtId="3" fontId="14" fillId="0" borderId="58" xfId="0" applyNumberFormat="1" applyFont="1" applyBorder="1"/>
    <xf numFmtId="3" fontId="15" fillId="6" borderId="58" xfId="0" quotePrefix="1" applyNumberFormat="1" applyFont="1" applyFill="1" applyBorder="1" applyAlignment="1">
      <alignment horizontal="right"/>
    </xf>
    <xf numFmtId="3" fontId="15" fillId="6" borderId="58" xfId="0" applyNumberFormat="1" applyFont="1" applyFill="1" applyBorder="1"/>
    <xf numFmtId="3" fontId="14" fillId="3" borderId="125" xfId="0" applyNumberFormat="1" applyFont="1" applyFill="1" applyBorder="1"/>
    <xf numFmtId="3" fontId="14" fillId="0" borderId="11" xfId="0" applyNumberFormat="1" applyFont="1" applyBorder="1"/>
    <xf numFmtId="0" fontId="14" fillId="3" borderId="1" xfId="0" applyFont="1" applyFill="1" applyBorder="1"/>
    <xf numFmtId="3" fontId="14" fillId="3" borderId="1" xfId="0" applyNumberFormat="1" applyFont="1" applyFill="1" applyBorder="1"/>
    <xf numFmtId="0" fontId="15" fillId="6" borderId="26" xfId="0" quotePrefix="1" applyFont="1" applyFill="1" applyBorder="1" applyAlignment="1">
      <alignment horizontal="right"/>
    </xf>
    <xf numFmtId="1" fontId="15" fillId="6" borderId="51" xfId="0" quotePrefix="1" applyNumberFormat="1" applyFont="1" applyFill="1" applyBorder="1" applyAlignment="1">
      <alignment horizontal="right"/>
    </xf>
    <xf numFmtId="1" fontId="14" fillId="0" borderId="115" xfId="0" applyNumberFormat="1" applyFont="1" applyBorder="1"/>
    <xf numFmtId="1" fontId="15" fillId="6" borderId="115" xfId="0" quotePrefix="1" applyNumberFormat="1" applyFont="1" applyFill="1" applyBorder="1" applyAlignment="1">
      <alignment horizontal="right"/>
    </xf>
    <xf numFmtId="0" fontId="15" fillId="6" borderId="58" xfId="0" applyFont="1" applyFill="1" applyBorder="1"/>
    <xf numFmtId="1" fontId="15" fillId="6" borderId="115" xfId="0" applyNumberFormat="1" applyFont="1" applyFill="1" applyBorder="1"/>
    <xf numFmtId="0" fontId="14" fillId="3" borderId="125" xfId="0" applyFont="1" applyFill="1" applyBorder="1"/>
    <xf numFmtId="0" fontId="14" fillId="3" borderId="129" xfId="0" applyFont="1" applyFill="1" applyBorder="1"/>
    <xf numFmtId="0" fontId="14" fillId="0" borderId="90" xfId="0" applyFont="1" applyBorder="1"/>
    <xf numFmtId="0" fontId="14" fillId="0" borderId="128" xfId="0" applyFont="1" applyBorder="1"/>
    <xf numFmtId="0" fontId="14" fillId="0" borderId="26" xfId="0" applyFont="1" applyBorder="1"/>
    <xf numFmtId="0" fontId="14" fillId="0" borderId="51" xfId="0" applyFont="1" applyBorder="1"/>
    <xf numFmtId="0" fontId="14" fillId="0" borderId="11" xfId="0" applyFont="1" applyBorder="1"/>
    <xf numFmtId="0" fontId="14" fillId="0" borderId="50" xfId="0" applyFont="1" applyBorder="1"/>
    <xf numFmtId="167" fontId="14" fillId="0" borderId="90" xfId="2" applyNumberFormat="1" applyFont="1" applyBorder="1"/>
    <xf numFmtId="167" fontId="14" fillId="0" borderId="128" xfId="2" applyNumberFormat="1" applyFont="1" applyBorder="1"/>
    <xf numFmtId="167" fontId="14" fillId="0" borderId="26" xfId="2" applyNumberFormat="1" applyFont="1" applyBorder="1"/>
    <xf numFmtId="167" fontId="14" fillId="0" borderId="51" xfId="2" applyNumberFormat="1" applyFont="1" applyBorder="1"/>
    <xf numFmtId="1" fontId="14" fillId="3" borderId="1" xfId="0" applyNumberFormat="1" applyFont="1" applyFill="1" applyBorder="1"/>
    <xf numFmtId="0" fontId="14" fillId="3" borderId="48" xfId="0" applyFont="1" applyFill="1" applyBorder="1"/>
    <xf numFmtId="1" fontId="14" fillId="0" borderId="11" xfId="0" applyNumberFormat="1" applyFont="1" applyBorder="1"/>
    <xf numFmtId="4" fontId="8" fillId="0" borderId="128" xfId="0" applyNumberFormat="1" applyFont="1" applyBorder="1"/>
    <xf numFmtId="4" fontId="8" fillId="0" borderId="51" xfId="0" applyNumberFormat="1" applyFont="1" applyBorder="1" applyAlignment="1">
      <alignment horizontal="right"/>
    </xf>
    <xf numFmtId="4" fontId="10" fillId="6" borderId="51" xfId="0" quotePrefix="1" applyNumberFormat="1" applyFont="1" applyFill="1" applyBorder="1" applyAlignment="1">
      <alignment horizontal="right"/>
    </xf>
    <xf numFmtId="4" fontId="8" fillId="0" borderId="115" xfId="0" applyNumberFormat="1" applyFont="1" applyBorder="1" applyAlignment="1">
      <alignment horizontal="right"/>
    </xf>
    <xf numFmtId="4" fontId="10" fillId="6" borderId="115" xfId="0" quotePrefix="1" applyNumberFormat="1" applyFont="1" applyFill="1" applyBorder="1" applyAlignment="1">
      <alignment horizontal="right"/>
    </xf>
    <xf numFmtId="4" fontId="10" fillId="6" borderId="115" xfId="0" applyNumberFormat="1" applyFont="1" applyFill="1" applyBorder="1" applyAlignment="1">
      <alignment horizontal="right"/>
    </xf>
    <xf numFmtId="4" fontId="8" fillId="3" borderId="129" xfId="0" applyNumberFormat="1" applyFont="1" applyFill="1" applyBorder="1" applyAlignment="1">
      <alignment horizontal="right"/>
    </xf>
    <xf numFmtId="165" fontId="8" fillId="0" borderId="90" xfId="0" applyNumberFormat="1" applyFont="1" applyBorder="1" applyAlignment="1">
      <alignment horizontal="right"/>
    </xf>
    <xf numFmtId="165" fontId="8" fillId="0" borderId="26" xfId="0" applyNumberFormat="1" applyFont="1" applyBorder="1" applyAlignment="1">
      <alignment horizontal="right"/>
    </xf>
    <xf numFmtId="165" fontId="10" fillId="6" borderId="26" xfId="0" quotePrefix="1" applyNumberFormat="1" applyFont="1" applyFill="1" applyBorder="1" applyAlignment="1">
      <alignment horizontal="right"/>
    </xf>
    <xf numFmtId="165" fontId="8" fillId="0" borderId="58" xfId="0" applyNumberFormat="1" applyFont="1" applyBorder="1" applyAlignment="1">
      <alignment horizontal="right"/>
    </xf>
    <xf numFmtId="165" fontId="10" fillId="6" borderId="58" xfId="0" quotePrefix="1" applyNumberFormat="1" applyFont="1" applyFill="1" applyBorder="1" applyAlignment="1">
      <alignment horizontal="right"/>
    </xf>
    <xf numFmtId="165" fontId="10" fillId="6" borderId="58" xfId="0" applyNumberFormat="1" applyFont="1" applyFill="1" applyBorder="1" applyAlignment="1">
      <alignment horizontal="right"/>
    </xf>
    <xf numFmtId="2" fontId="8" fillId="3" borderId="1" xfId="0" applyNumberFormat="1" applyFont="1" applyFill="1" applyBorder="1"/>
    <xf numFmtId="4" fontId="8" fillId="0" borderId="51" xfId="0" applyNumberFormat="1" applyFont="1" applyBorder="1"/>
    <xf numFmtId="4" fontId="8" fillId="0" borderId="50" xfId="0" applyNumberFormat="1" applyFont="1" applyBorder="1"/>
    <xf numFmtId="4" fontId="8" fillId="3" borderId="129" xfId="0" applyNumberFormat="1" applyFont="1" applyFill="1" applyBorder="1"/>
    <xf numFmtId="4" fontId="8" fillId="3" borderId="50" xfId="0" applyNumberFormat="1" applyFont="1" applyFill="1" applyBorder="1"/>
    <xf numFmtId="164" fontId="8" fillId="3" borderId="34" xfId="0" quotePrefix="1" applyNumberFormat="1" applyFont="1" applyFill="1" applyBorder="1" applyAlignment="1">
      <alignment horizontal="left"/>
    </xf>
    <xf numFmtId="4" fontId="1" fillId="0" borderId="146" xfId="0" applyNumberFormat="1" applyFont="1" applyBorder="1"/>
    <xf numFmtId="2" fontId="8" fillId="0" borderId="0" xfId="1" applyNumberFormat="1" applyFont="1"/>
    <xf numFmtId="9" fontId="8" fillId="0" borderId="0" xfId="2" applyFont="1"/>
    <xf numFmtId="4" fontId="8" fillId="0" borderId="0" xfId="1" applyNumberFormat="1" applyFont="1"/>
    <xf numFmtId="0" fontId="8" fillId="2" borderId="81" xfId="1" applyFont="1" applyFill="1" applyBorder="1" applyAlignment="1">
      <alignment horizontal="center"/>
    </xf>
    <xf numFmtId="4" fontId="16" fillId="0" borderId="65" xfId="0" applyNumberFormat="1" applyFont="1" applyBorder="1" applyAlignment="1">
      <alignment horizontal="right"/>
    </xf>
    <xf numFmtId="1" fontId="2" fillId="2" borderId="36" xfId="0" applyNumberFormat="1" applyFont="1" applyFill="1" applyBorder="1" applyAlignment="1">
      <alignment horizontal="center"/>
    </xf>
    <xf numFmtId="1" fontId="8" fillId="0" borderId="90" xfId="0" applyNumberFormat="1" applyFont="1" applyBorder="1" applyAlignment="1">
      <alignment horizontal="right"/>
    </xf>
    <xf numFmtId="1" fontId="10" fillId="6" borderId="26" xfId="0" quotePrefix="1" applyNumberFormat="1" applyFont="1" applyFill="1" applyBorder="1" applyAlignment="1">
      <alignment horizontal="right"/>
    </xf>
    <xf numFmtId="1" fontId="10" fillId="6" borderId="58" xfId="0" quotePrefix="1" applyNumberFormat="1" applyFont="1" applyFill="1" applyBorder="1" applyAlignment="1">
      <alignment horizontal="right"/>
    </xf>
    <xf numFmtId="1" fontId="10" fillId="6" borderId="58" xfId="0" applyNumberFormat="1" applyFont="1" applyFill="1" applyBorder="1" applyAlignment="1">
      <alignment horizontal="right"/>
    </xf>
    <xf numFmtId="1" fontId="8" fillId="3" borderId="125" xfId="0" applyNumberFormat="1" applyFont="1" applyFill="1" applyBorder="1" applyAlignment="1">
      <alignment horizontal="right"/>
    </xf>
    <xf numFmtId="1" fontId="8" fillId="0" borderId="11" xfId="0" applyNumberFormat="1" applyFont="1" applyBorder="1" applyAlignment="1">
      <alignment horizontal="right"/>
    </xf>
    <xf numFmtId="1" fontId="8" fillId="3" borderId="1" xfId="0" applyNumberFormat="1" applyFont="1" applyFill="1" applyBorder="1" applyAlignment="1">
      <alignment horizontal="right"/>
    </xf>
    <xf numFmtId="167" fontId="8" fillId="0" borderId="90" xfId="2" applyNumberFormat="1" applyFont="1" applyBorder="1" applyAlignment="1">
      <alignment horizontal="right"/>
    </xf>
    <xf numFmtId="167" fontId="8" fillId="0" borderId="26" xfId="2" applyNumberFormat="1" applyFont="1" applyBorder="1" applyAlignment="1">
      <alignment horizontal="right"/>
    </xf>
    <xf numFmtId="3" fontId="9" fillId="0" borderId="79" xfId="1" applyNumberFormat="1" applyFont="1" applyBorder="1"/>
    <xf numFmtId="3" fontId="9" fillId="0" borderId="70" xfId="1" applyNumberFormat="1" applyFont="1" applyBorder="1"/>
    <xf numFmtId="3" fontId="9" fillId="0" borderId="87" xfId="1" applyNumberFormat="1" applyFont="1" applyBorder="1"/>
    <xf numFmtId="3" fontId="9" fillId="0" borderId="81" xfId="1" applyNumberFormat="1" applyFont="1" applyBorder="1"/>
    <xf numFmtId="3" fontId="9" fillId="0" borderId="76" xfId="1" applyNumberFormat="1" applyFont="1" applyBorder="1"/>
    <xf numFmtId="3" fontId="9" fillId="0" borderId="74" xfId="1" applyNumberFormat="1" applyFont="1" applyBorder="1"/>
    <xf numFmtId="3" fontId="9" fillId="3" borderId="72" xfId="1" applyNumberFormat="1" applyFont="1" applyFill="1" applyBorder="1"/>
    <xf numFmtId="0" fontId="8" fillId="2" borderId="155" xfId="1" applyFont="1" applyFill="1" applyBorder="1" applyAlignment="1">
      <alignment horizontal="center"/>
    </xf>
    <xf numFmtId="0" fontId="8" fillId="2" borderId="146" xfId="1" applyFont="1" applyFill="1" applyBorder="1" applyAlignment="1">
      <alignment horizontal="center"/>
    </xf>
    <xf numFmtId="3" fontId="9" fillId="0" borderId="156" xfId="1" applyNumberFormat="1" applyFont="1" applyBorder="1"/>
    <xf numFmtId="3" fontId="9" fillId="0" borderId="139" xfId="1" applyNumberFormat="1" applyFont="1" applyBorder="1"/>
    <xf numFmtId="3" fontId="9" fillId="0" borderId="157" xfId="1" applyNumberFormat="1" applyFont="1" applyBorder="1"/>
    <xf numFmtId="3" fontId="9" fillId="0" borderId="158" xfId="1" applyNumberFormat="1" applyFont="1" applyBorder="1"/>
    <xf numFmtId="3" fontId="9" fillId="0" borderId="159" xfId="1" applyNumberFormat="1" applyFont="1" applyBorder="1"/>
    <xf numFmtId="3" fontId="9" fillId="0" borderId="142" xfId="1" applyNumberFormat="1" applyFont="1" applyBorder="1"/>
    <xf numFmtId="3" fontId="9" fillId="0" borderId="155" xfId="1" applyNumberFormat="1" applyFont="1" applyBorder="1"/>
    <xf numFmtId="3" fontId="9" fillId="0" borderId="146" xfId="1" applyNumberFormat="1" applyFont="1" applyBorder="1"/>
    <xf numFmtId="3" fontId="9" fillId="3" borderId="160" xfId="1" applyNumberFormat="1" applyFont="1" applyFill="1" applyBorder="1"/>
    <xf numFmtId="3" fontId="9" fillId="3" borderId="161" xfId="1" applyNumberFormat="1" applyFont="1" applyFill="1" applyBorder="1"/>
    <xf numFmtId="3" fontId="9" fillId="0" borderId="162" xfId="1" applyNumberFormat="1" applyFont="1" applyBorder="1"/>
    <xf numFmtId="3" fontId="9" fillId="0" borderId="143" xfId="1" applyNumberFormat="1" applyFont="1" applyBorder="1"/>
    <xf numFmtId="3" fontId="9" fillId="3" borderId="163" xfId="1" applyNumberFormat="1" applyFont="1" applyFill="1" applyBorder="1"/>
    <xf numFmtId="3" fontId="9" fillId="3" borderId="143" xfId="1" applyNumberFormat="1" applyFont="1" applyFill="1" applyBorder="1"/>
    <xf numFmtId="3" fontId="9" fillId="0" borderId="164" xfId="1" applyNumberFormat="1" applyFont="1" applyBorder="1"/>
    <xf numFmtId="3" fontId="9" fillId="0" borderId="53" xfId="1" applyNumberFormat="1" applyFont="1" applyBorder="1"/>
    <xf numFmtId="3" fontId="9" fillId="3" borderId="109" xfId="1" applyNumberFormat="1" applyFont="1" applyFill="1" applyBorder="1"/>
    <xf numFmtId="3" fontId="9" fillId="3" borderId="32" xfId="1" applyNumberFormat="1" applyFont="1" applyFill="1" applyBorder="1"/>
    <xf numFmtId="3" fontId="9" fillId="0" borderId="165" xfId="1" applyNumberFormat="1" applyFont="1" applyBorder="1"/>
    <xf numFmtId="3" fontId="9" fillId="0" borderId="136" xfId="1" applyNumberFormat="1" applyFont="1" applyBorder="1"/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1" fillId="0" borderId="78" xfId="0" applyFont="1" applyBorder="1"/>
    <xf numFmtId="4" fontId="1" fillId="0" borderId="138" xfId="0" applyNumberFormat="1" applyFont="1" applyBorder="1"/>
    <xf numFmtId="4" fontId="16" fillId="0" borderId="138" xfId="0" applyNumberFormat="1" applyFont="1" applyBorder="1"/>
    <xf numFmtId="0" fontId="1" fillId="0" borderId="14" xfId="0" applyFont="1" applyBorder="1"/>
    <xf numFmtId="4" fontId="1" fillId="0" borderId="19" xfId="0" applyNumberFormat="1" applyFont="1" applyBorder="1"/>
    <xf numFmtId="4" fontId="16" fillId="0" borderId="19" xfId="0" applyNumberFormat="1" applyFont="1" applyBorder="1"/>
    <xf numFmtId="0" fontId="1" fillId="0" borderId="140" xfId="0" applyFont="1" applyBorder="1"/>
    <xf numFmtId="0" fontId="1" fillId="0" borderId="97" xfId="0" applyFont="1" applyBorder="1"/>
    <xf numFmtId="4" fontId="1" fillId="0" borderId="15" xfId="0" applyNumberFormat="1" applyFont="1" applyBorder="1"/>
    <xf numFmtId="4" fontId="16" fillId="0" borderId="15" xfId="0" applyNumberFormat="1" applyFont="1" applyBorder="1"/>
    <xf numFmtId="0" fontId="1" fillId="0" borderId="132" xfId="0" applyFont="1" applyBorder="1"/>
    <xf numFmtId="4" fontId="1" fillId="0" borderId="133" xfId="0" applyNumberFormat="1" applyFont="1" applyBorder="1"/>
    <xf numFmtId="4" fontId="16" fillId="0" borderId="133" xfId="0" applyNumberFormat="1" applyFont="1" applyBorder="1"/>
    <xf numFmtId="0" fontId="1" fillId="0" borderId="6" xfId="0" applyFont="1" applyBorder="1"/>
    <xf numFmtId="0" fontId="1" fillId="0" borderId="1" xfId="0" applyFont="1" applyBorder="1"/>
    <xf numFmtId="4" fontId="1" fillId="0" borderId="144" xfId="0" applyNumberFormat="1" applyFont="1" applyBorder="1"/>
    <xf numFmtId="4" fontId="16" fillId="0" borderId="144" xfId="0" applyNumberFormat="1" applyFont="1" applyBorder="1"/>
    <xf numFmtId="166" fontId="1" fillId="0" borderId="65" xfId="2" applyNumberFormat="1" applyFont="1" applyBorder="1"/>
    <xf numFmtId="166" fontId="16" fillId="0" borderId="65" xfId="2" applyNumberFormat="1" applyFont="1" applyBorder="1"/>
    <xf numFmtId="166" fontId="1" fillId="0" borderId="56" xfId="2" applyNumberFormat="1" applyFont="1" applyBorder="1"/>
    <xf numFmtId="166" fontId="1" fillId="0" borderId="133" xfId="2" applyNumberFormat="1" applyFont="1" applyBorder="1"/>
    <xf numFmtId="166" fontId="16" fillId="0" borderId="133" xfId="2" applyNumberFormat="1" applyFont="1" applyBorder="1"/>
    <xf numFmtId="166" fontId="1" fillId="0" borderId="139" xfId="2" applyNumberFormat="1" applyFont="1" applyBorder="1"/>
    <xf numFmtId="166" fontId="1" fillId="0" borderId="144" xfId="2" applyNumberFormat="1" applyFont="1" applyBorder="1"/>
    <xf numFmtId="166" fontId="16" fillId="0" borderId="144" xfId="2" applyNumberFormat="1" applyFont="1" applyBorder="1"/>
    <xf numFmtId="166" fontId="1" fillId="0" borderId="145" xfId="2" applyNumberFormat="1" applyFont="1" applyBorder="1"/>
    <xf numFmtId="0" fontId="2" fillId="2" borderId="102" xfId="0" applyFont="1" applyFill="1" applyBorder="1" applyAlignment="1">
      <alignment horizontal="center" wrapText="1"/>
    </xf>
    <xf numFmtId="0" fontId="8" fillId="7" borderId="150" xfId="1" applyFont="1" applyFill="1" applyBorder="1" applyAlignment="1">
      <alignment horizontal="center"/>
    </xf>
    <xf numFmtId="0" fontId="3" fillId="2" borderId="61" xfId="0" applyFont="1" applyFill="1" applyBorder="1" applyAlignment="1">
      <alignment horizontal="center" wrapText="1"/>
    </xf>
    <xf numFmtId="0" fontId="8" fillId="2" borderId="42" xfId="1" applyFont="1" applyFill="1" applyBorder="1" applyAlignment="1">
      <alignment horizontal="centerContinuous" wrapText="1"/>
    </xf>
    <xf numFmtId="0" fontId="8" fillId="2" borderId="105" xfId="1" applyFont="1" applyFill="1" applyBorder="1" applyAlignment="1">
      <alignment horizontal="centerContinuous"/>
    </xf>
    <xf numFmtId="0" fontId="1" fillId="0" borderId="153" xfId="0" applyFont="1" applyBorder="1"/>
    <xf numFmtId="0" fontId="1" fillId="0" borderId="153" xfId="0" applyFont="1" applyBorder="1" applyAlignment="1">
      <alignment horizontal="center"/>
    </xf>
    <xf numFmtId="4" fontId="16" fillId="0" borderId="153" xfId="0" applyNumberFormat="1" applyFont="1" applyBorder="1"/>
    <xf numFmtId="4" fontId="1" fillId="0" borderId="166" xfId="0" applyNumberFormat="1" applyFont="1" applyBorder="1"/>
    <xf numFmtId="166" fontId="0" fillId="0" borderId="0" xfId="2" applyNumberFormat="1" applyFont="1"/>
    <xf numFmtId="3" fontId="8" fillId="3" borderId="7" xfId="0" applyNumberFormat="1" applyFont="1" applyFill="1" applyBorder="1" applyAlignment="1">
      <alignment horizontal="right"/>
    </xf>
    <xf numFmtId="3" fontId="8" fillId="3" borderId="34" xfId="0" quotePrefix="1" applyNumberFormat="1" applyFont="1" applyFill="1" applyBorder="1" applyAlignment="1">
      <alignment horizontal="right"/>
    </xf>
    <xf numFmtId="3" fontId="8" fillId="3" borderId="8" xfId="0" applyNumberFormat="1" applyFont="1" applyFill="1" applyBorder="1" applyAlignment="1">
      <alignment horizontal="right"/>
    </xf>
    <xf numFmtId="3" fontId="8" fillId="3" borderId="131" xfId="0" applyNumberFormat="1" applyFont="1" applyFill="1" applyBorder="1" applyAlignment="1">
      <alignment horizontal="right"/>
    </xf>
    <xf numFmtId="3" fontId="8" fillId="0" borderId="59" xfId="0" applyNumberFormat="1" applyFont="1" applyBorder="1" applyAlignment="1">
      <alignment horizontal="centerContinuous"/>
    </xf>
    <xf numFmtId="3" fontId="14" fillId="0" borderId="12" xfId="1" applyNumberFormat="1" applyFont="1" applyBorder="1"/>
    <xf numFmtId="4" fontId="1" fillId="0" borderId="65" xfId="0" applyNumberFormat="1" applyFont="1" applyBorder="1" applyAlignment="1">
      <alignment horizontal="center"/>
    </xf>
    <xf numFmtId="4" fontId="1" fillId="0" borderId="138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4" fontId="1" fillId="0" borderId="15" xfId="0" applyNumberFormat="1" applyFont="1" applyBorder="1" applyAlignment="1">
      <alignment horizontal="center"/>
    </xf>
    <xf numFmtId="4" fontId="1" fillId="0" borderId="133" xfId="0" applyNumberFormat="1" applyFont="1" applyBorder="1" applyAlignment="1">
      <alignment horizontal="center"/>
    </xf>
    <xf numFmtId="4" fontId="1" fillId="0" borderId="144" xfId="0" applyNumberFormat="1" applyFont="1" applyBorder="1" applyAlignment="1">
      <alignment horizontal="center"/>
    </xf>
    <xf numFmtId="4" fontId="1" fillId="0" borderId="153" xfId="0" applyNumberFormat="1" applyFont="1" applyBorder="1" applyAlignment="1">
      <alignment horizontal="center"/>
    </xf>
    <xf numFmtId="166" fontId="1" fillId="0" borderId="65" xfId="2" applyNumberFormat="1" applyFont="1" applyBorder="1" applyAlignment="1">
      <alignment horizontal="center"/>
    </xf>
    <xf numFmtId="166" fontId="1" fillId="0" borderId="133" xfId="2" applyNumberFormat="1" applyFont="1" applyBorder="1" applyAlignment="1">
      <alignment horizontal="center"/>
    </xf>
    <xf numFmtId="166" fontId="1" fillId="0" borderId="144" xfId="2" applyNumberFormat="1" applyFont="1" applyBorder="1" applyAlignment="1">
      <alignment horizontal="center"/>
    </xf>
    <xf numFmtId="0" fontId="0" fillId="0" borderId="138" xfId="0" applyBorder="1" applyAlignment="1">
      <alignment horizontal="center"/>
    </xf>
    <xf numFmtId="4" fontId="0" fillId="0" borderId="138" xfId="0" applyNumberFormat="1" applyBorder="1" applyAlignment="1">
      <alignment horizontal="center"/>
    </xf>
    <xf numFmtId="4" fontId="0" fillId="0" borderId="138" xfId="0" applyNumberFormat="1" applyBorder="1"/>
    <xf numFmtId="4" fontId="0" fillId="0" borderId="19" xfId="0" applyNumberFormat="1" applyBorder="1" applyAlignment="1">
      <alignment horizontal="center"/>
    </xf>
    <xf numFmtId="4" fontId="0" fillId="0" borderId="19" xfId="0" applyNumberFormat="1" applyBorder="1"/>
    <xf numFmtId="0" fontId="0" fillId="0" borderId="115" xfId="0" applyBorder="1" applyAlignment="1">
      <alignment horizontal="center"/>
    </xf>
    <xf numFmtId="0" fontId="0" fillId="0" borderId="116" xfId="0" applyBorder="1"/>
    <xf numFmtId="0" fontId="0" fillId="0" borderId="134" xfId="0" applyBorder="1" applyAlignment="1">
      <alignment horizontal="center"/>
    </xf>
    <xf numFmtId="4" fontId="0" fillId="0" borderId="134" xfId="0" applyNumberFormat="1" applyBorder="1" applyAlignment="1">
      <alignment horizontal="center"/>
    </xf>
    <xf numFmtId="4" fontId="0" fillId="0" borderId="134" xfId="0" applyNumberFormat="1" applyBorder="1"/>
    <xf numFmtId="0" fontId="0" fillId="0" borderId="117" xfId="0" applyBorder="1" applyAlignment="1">
      <alignment horizontal="center"/>
    </xf>
    <xf numFmtId="0" fontId="0" fillId="0" borderId="168" xfId="0" applyBorder="1" applyAlignment="1">
      <alignment horizontal="center"/>
    </xf>
    <xf numFmtId="4" fontId="0" fillId="0" borderId="144" xfId="0" applyNumberFormat="1" applyBorder="1" applyAlignment="1">
      <alignment horizontal="center"/>
    </xf>
    <xf numFmtId="4" fontId="0" fillId="0" borderId="144" xfId="0" applyNumberFormat="1" applyBorder="1"/>
    <xf numFmtId="4" fontId="0" fillId="0" borderId="0" xfId="0" applyNumberFormat="1"/>
    <xf numFmtId="4" fontId="0" fillId="0" borderId="0" xfId="0" applyNumberFormat="1" applyAlignment="1">
      <alignment horizontal="center"/>
    </xf>
    <xf numFmtId="2" fontId="1" fillId="0" borderId="138" xfId="0" applyNumberFormat="1" applyFont="1" applyBorder="1"/>
    <xf numFmtId="2" fontId="1" fillId="0" borderId="19" xfId="0" applyNumberFormat="1" applyFont="1" applyBorder="1"/>
    <xf numFmtId="2" fontId="1" fillId="0" borderId="144" xfId="0" applyNumberFormat="1" applyFont="1" applyBorder="1"/>
    <xf numFmtId="3" fontId="1" fillId="0" borderId="65" xfId="0" applyNumberFormat="1" applyFont="1" applyBorder="1" applyAlignment="1">
      <alignment horizontal="center"/>
    </xf>
    <xf numFmtId="3" fontId="1" fillId="0" borderId="138" xfId="0" applyNumberFormat="1" applyFont="1" applyBorder="1" applyAlignment="1">
      <alignment horizontal="center"/>
    </xf>
    <xf numFmtId="3" fontId="1" fillId="0" borderId="19" xfId="0" applyNumberFormat="1" applyFont="1" applyBorder="1" applyAlignment="1">
      <alignment horizontal="center"/>
    </xf>
    <xf numFmtId="3" fontId="1" fillId="0" borderId="15" xfId="0" applyNumberFormat="1" applyFont="1" applyBorder="1" applyAlignment="1">
      <alignment horizontal="center"/>
    </xf>
    <xf numFmtId="3" fontId="1" fillId="0" borderId="133" xfId="0" applyNumberFormat="1" applyFont="1" applyBorder="1" applyAlignment="1">
      <alignment horizontal="center"/>
    </xf>
    <xf numFmtId="3" fontId="1" fillId="0" borderId="144" xfId="0" applyNumberFormat="1" applyFont="1" applyBorder="1" applyAlignment="1">
      <alignment horizontal="center"/>
    </xf>
    <xf numFmtId="3" fontId="1" fillId="0" borderId="134" xfId="0" applyNumberFormat="1" applyFont="1" applyBorder="1" applyAlignment="1">
      <alignment horizontal="center"/>
    </xf>
    <xf numFmtId="9" fontId="3" fillId="0" borderId="0" xfId="2" applyFont="1"/>
    <xf numFmtId="166" fontId="1" fillId="0" borderId="0" xfId="2" applyNumberFormat="1" applyFont="1"/>
    <xf numFmtId="2" fontId="10" fillId="6" borderId="0" xfId="0" applyNumberFormat="1" applyFont="1" applyFill="1" applyAlignment="1">
      <alignment horizontal="right"/>
    </xf>
    <xf numFmtId="165" fontId="1" fillId="0" borderId="0" xfId="0" applyNumberFormat="1" applyFont="1"/>
    <xf numFmtId="168" fontId="1" fillId="0" borderId="0" xfId="0" applyNumberFormat="1" applyFont="1"/>
    <xf numFmtId="4" fontId="8" fillId="0" borderId="65" xfId="0" applyNumberFormat="1" applyFont="1" applyBorder="1" applyAlignment="1">
      <alignment horizontal="centerContinuous"/>
    </xf>
    <xf numFmtId="4" fontId="8" fillId="0" borderId="65" xfId="0" applyNumberFormat="1" applyFont="1" applyBorder="1"/>
    <xf numFmtId="2" fontId="10" fillId="0" borderId="0" xfId="1" applyNumberFormat="1" applyFont="1"/>
    <xf numFmtId="2" fontId="10" fillId="0" borderId="65" xfId="1" applyNumberFormat="1" applyFont="1" applyBorder="1"/>
    <xf numFmtId="4" fontId="1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63" xfId="0" applyFont="1" applyBorder="1" applyAlignment="1">
      <alignment horizontal="center"/>
    </xf>
    <xf numFmtId="0" fontId="8" fillId="0" borderId="87" xfId="1" applyFont="1" applyBorder="1"/>
    <xf numFmtId="0" fontId="8" fillId="0" borderId="170" xfId="1" applyFont="1" applyBorder="1"/>
    <xf numFmtId="169" fontId="8" fillId="0" borderId="19" xfId="3" applyNumberFormat="1" applyFont="1" applyBorder="1"/>
    <xf numFmtId="0" fontId="8" fillId="0" borderId="147" xfId="1" applyFont="1" applyBorder="1"/>
    <xf numFmtId="0" fontId="8" fillId="0" borderId="42" xfId="1" applyFont="1" applyBorder="1"/>
    <xf numFmtId="0" fontId="8" fillId="0" borderId="43" xfId="1" applyFont="1" applyBorder="1"/>
    <xf numFmtId="169" fontId="8" fillId="0" borderId="138" xfId="3" applyNumberFormat="1" applyFont="1" applyBorder="1"/>
    <xf numFmtId="169" fontId="8" fillId="0" borderId="52" xfId="3" applyNumberFormat="1" applyFont="1" applyBorder="1"/>
    <xf numFmtId="0" fontId="8" fillId="0" borderId="114" xfId="1" applyFont="1" applyBorder="1"/>
    <xf numFmtId="169" fontId="8" fillId="0" borderId="142" xfId="3" applyNumberFormat="1" applyFont="1" applyBorder="1"/>
    <xf numFmtId="0" fontId="8" fillId="0" borderId="148" xfId="1" applyFont="1" applyBorder="1"/>
    <xf numFmtId="0" fontId="8" fillId="0" borderId="171" xfId="1" applyFont="1" applyBorder="1"/>
    <xf numFmtId="0" fontId="8" fillId="0" borderId="172" xfId="1" applyFont="1" applyBorder="1"/>
    <xf numFmtId="169" fontId="8" fillId="0" borderId="144" xfId="3" applyNumberFormat="1" applyFont="1" applyBorder="1"/>
    <xf numFmtId="169" fontId="8" fillId="0" borderId="145" xfId="3" applyNumberFormat="1" applyFont="1" applyBorder="1"/>
    <xf numFmtId="3" fontId="16" fillId="0" borderId="65" xfId="0" applyNumberFormat="1" applyFont="1" applyBorder="1" applyAlignment="1">
      <alignment horizontal="right"/>
    </xf>
    <xf numFmtId="9" fontId="1" fillId="0" borderId="0" xfId="2" applyFont="1"/>
    <xf numFmtId="3" fontId="1" fillId="0" borderId="0" xfId="0" applyNumberFormat="1" applyFont="1" applyAlignment="1">
      <alignment horizontal="center"/>
    </xf>
    <xf numFmtId="3" fontId="16" fillId="0" borderId="52" xfId="0" applyNumberFormat="1" applyFont="1" applyBorder="1"/>
    <xf numFmtId="3" fontId="16" fillId="0" borderId="142" xfId="0" applyNumberFormat="1" applyFont="1" applyBorder="1"/>
    <xf numFmtId="3" fontId="16" fillId="0" borderId="143" xfId="0" applyNumberFormat="1" applyFont="1" applyBorder="1"/>
    <xf numFmtId="3" fontId="16" fillId="0" borderId="139" xfId="0" applyNumberFormat="1" applyFont="1" applyBorder="1"/>
    <xf numFmtId="3" fontId="16" fillId="0" borderId="145" xfId="0" applyNumberFormat="1" applyFont="1" applyBorder="1"/>
    <xf numFmtId="3" fontId="16" fillId="0" borderId="146" xfId="0" applyNumberFormat="1" applyFont="1" applyBorder="1"/>
    <xf numFmtId="3" fontId="16" fillId="0" borderId="56" xfId="0" applyNumberFormat="1" applyFont="1" applyBorder="1"/>
    <xf numFmtId="10" fontId="16" fillId="0" borderId="56" xfId="2" applyNumberFormat="1" applyFont="1" applyBorder="1"/>
    <xf numFmtId="10" fontId="16" fillId="0" borderId="139" xfId="2" applyNumberFormat="1" applyFont="1" applyBorder="1"/>
    <xf numFmtId="10" fontId="16" fillId="0" borderId="145" xfId="2" applyNumberFormat="1" applyFont="1" applyBorder="1"/>
    <xf numFmtId="0" fontId="1" fillId="0" borderId="147" xfId="0" applyFont="1" applyBorder="1"/>
    <xf numFmtId="1" fontId="1" fillId="0" borderId="138" xfId="0" applyNumberFormat="1" applyFont="1" applyBorder="1"/>
    <xf numFmtId="1" fontId="1" fillId="0" borderId="52" xfId="0" applyNumberFormat="1" applyFont="1" applyBorder="1"/>
    <xf numFmtId="1" fontId="1" fillId="0" borderId="0" xfId="0" applyNumberFormat="1" applyFont="1"/>
    <xf numFmtId="0" fontId="1" fillId="0" borderId="114" xfId="0" applyFont="1" applyBorder="1"/>
    <xf numFmtId="1" fontId="1" fillId="0" borderId="19" xfId="0" applyNumberFormat="1" applyFont="1" applyBorder="1"/>
    <xf numFmtId="1" fontId="1" fillId="0" borderId="142" xfId="0" applyNumberFormat="1" applyFont="1" applyBorder="1"/>
    <xf numFmtId="0" fontId="1" fillId="0" borderId="148" xfId="0" applyFont="1" applyBorder="1"/>
    <xf numFmtId="1" fontId="1" fillId="0" borderId="144" xfId="0" applyNumberFormat="1" applyFont="1" applyBorder="1"/>
    <xf numFmtId="1" fontId="1" fillId="0" borderId="145" xfId="0" applyNumberFormat="1" applyFont="1" applyBorder="1"/>
    <xf numFmtId="0" fontId="1" fillId="0" borderId="30" xfId="0" applyFont="1" applyBorder="1"/>
    <xf numFmtId="0" fontId="1" fillId="0" borderId="67" xfId="0" applyFont="1" applyBorder="1" applyAlignment="1">
      <alignment horizontal="center"/>
    </xf>
    <xf numFmtId="10" fontId="1" fillId="0" borderId="67" xfId="2" applyNumberFormat="1" applyFont="1" applyBorder="1" applyAlignment="1">
      <alignment horizontal="center"/>
    </xf>
    <xf numFmtId="10" fontId="1" fillId="0" borderId="93" xfId="2" applyNumberFormat="1" applyFont="1" applyBorder="1"/>
    <xf numFmtId="10" fontId="1" fillId="0" borderId="65" xfId="2" applyNumberFormat="1" applyFont="1" applyBorder="1" applyAlignment="1">
      <alignment horizontal="center"/>
    </xf>
    <xf numFmtId="10" fontId="1" fillId="0" borderId="56" xfId="2" applyNumberFormat="1" applyFont="1" applyBorder="1"/>
    <xf numFmtId="0" fontId="1" fillId="0" borderId="116" xfId="0" applyFont="1" applyBorder="1"/>
    <xf numFmtId="0" fontId="1" fillId="0" borderId="59" xfId="0" applyFont="1" applyBorder="1" applyAlignment="1">
      <alignment horizontal="center"/>
    </xf>
    <xf numFmtId="10" fontId="1" fillId="0" borderId="59" xfId="2" applyNumberFormat="1" applyFont="1" applyBorder="1" applyAlignment="1">
      <alignment horizontal="center"/>
    </xf>
    <xf numFmtId="10" fontId="1" fillId="0" borderId="169" xfId="2" applyNumberFormat="1" applyFont="1" applyBorder="1"/>
    <xf numFmtId="0" fontId="1" fillId="0" borderId="66" xfId="0" applyFont="1" applyBorder="1"/>
    <xf numFmtId="3" fontId="1" fillId="0" borderId="56" xfId="2" applyNumberFormat="1" applyFont="1" applyBorder="1"/>
    <xf numFmtId="0" fontId="1" fillId="0" borderId="64" xfId="0" applyFont="1" applyBorder="1"/>
    <xf numFmtId="3" fontId="1" fillId="0" borderId="63" xfId="0" applyNumberFormat="1" applyFont="1" applyBorder="1" applyAlignment="1">
      <alignment horizontal="center"/>
    </xf>
    <xf numFmtId="3" fontId="1" fillId="0" borderId="92" xfId="2" applyNumberFormat="1" applyFont="1" applyBorder="1"/>
    <xf numFmtId="0" fontId="19" fillId="0" borderId="65" xfId="0" applyFont="1" applyBorder="1" applyAlignment="1">
      <alignment horizontal="center"/>
    </xf>
    <xf numFmtId="3" fontId="19" fillId="0" borderId="65" xfId="0" applyNumberFormat="1" applyFont="1" applyBorder="1" applyAlignment="1">
      <alignment horizontal="center"/>
    </xf>
    <xf numFmtId="3" fontId="19" fillId="0" borderId="0" xfId="0" applyNumberFormat="1" applyFont="1" applyAlignment="1">
      <alignment horizontal="center"/>
    </xf>
    <xf numFmtId="3" fontId="19" fillId="0" borderId="138" xfId="0" applyNumberFormat="1" applyFont="1" applyBorder="1" applyAlignment="1">
      <alignment horizontal="center"/>
    </xf>
    <xf numFmtId="3" fontId="19" fillId="0" borderId="19" xfId="0" applyNumberFormat="1" applyFont="1" applyBorder="1" applyAlignment="1">
      <alignment horizontal="center"/>
    </xf>
    <xf numFmtId="3" fontId="19" fillId="0" borderId="15" xfId="0" applyNumberFormat="1" applyFont="1" applyBorder="1" applyAlignment="1">
      <alignment horizontal="center"/>
    </xf>
    <xf numFmtId="3" fontId="19" fillId="0" borderId="133" xfId="0" applyNumberFormat="1" applyFont="1" applyBorder="1" applyAlignment="1">
      <alignment horizontal="center"/>
    </xf>
    <xf numFmtId="3" fontId="19" fillId="0" borderId="144" xfId="0" applyNumberFormat="1" applyFont="1" applyBorder="1" applyAlignment="1">
      <alignment horizontal="center"/>
    </xf>
    <xf numFmtId="3" fontId="19" fillId="0" borderId="134" xfId="0" applyNumberFormat="1" applyFont="1" applyBorder="1" applyAlignment="1">
      <alignment horizontal="center"/>
    </xf>
    <xf numFmtId="166" fontId="19" fillId="0" borderId="65" xfId="2" applyNumberFormat="1" applyFont="1" applyBorder="1" applyAlignment="1">
      <alignment horizontal="center"/>
    </xf>
    <xf numFmtId="166" fontId="19" fillId="0" borderId="133" xfId="2" applyNumberFormat="1" applyFont="1" applyBorder="1" applyAlignment="1">
      <alignment horizontal="center"/>
    </xf>
    <xf numFmtId="166" fontId="19" fillId="0" borderId="144" xfId="2" applyNumberFormat="1" applyFont="1" applyBorder="1" applyAlignment="1">
      <alignment horizontal="center"/>
    </xf>
    <xf numFmtId="10" fontId="19" fillId="0" borderId="67" xfId="2" applyNumberFormat="1" applyFont="1" applyBorder="1" applyAlignment="1">
      <alignment horizontal="center"/>
    </xf>
    <xf numFmtId="10" fontId="19" fillId="0" borderId="65" xfId="2" applyNumberFormat="1" applyFont="1" applyBorder="1" applyAlignment="1">
      <alignment horizontal="center"/>
    </xf>
    <xf numFmtId="10" fontId="19" fillId="0" borderId="59" xfId="2" applyNumberFormat="1" applyFont="1" applyBorder="1" applyAlignment="1">
      <alignment horizontal="center"/>
    </xf>
    <xf numFmtId="3" fontId="19" fillId="0" borderId="63" xfId="0" applyNumberFormat="1" applyFont="1" applyBorder="1" applyAlignment="1">
      <alignment horizontal="center"/>
    </xf>
    <xf numFmtId="17" fontId="19" fillId="0" borderId="65" xfId="0" applyNumberFormat="1" applyFont="1" applyBorder="1" applyAlignment="1">
      <alignment horizontal="right"/>
    </xf>
    <xf numFmtId="3" fontId="20" fillId="0" borderId="65" xfId="0" applyNumberFormat="1" applyFont="1" applyBorder="1" applyAlignment="1">
      <alignment horizontal="right"/>
    </xf>
    <xf numFmtId="0" fontId="19" fillId="0" borderId="0" xfId="0" applyFont="1"/>
    <xf numFmtId="3" fontId="20" fillId="0" borderId="138" xfId="0" applyNumberFormat="1" applyFont="1" applyBorder="1"/>
    <xf numFmtId="3" fontId="20" fillId="0" borderId="19" xfId="0" applyNumberFormat="1" applyFont="1" applyBorder="1"/>
    <xf numFmtId="3" fontId="20" fillId="0" borderId="15" xfId="0" applyNumberFormat="1" applyFont="1" applyBorder="1"/>
    <xf numFmtId="3" fontId="20" fillId="0" borderId="133" xfId="0" applyNumberFormat="1" applyFont="1" applyBorder="1"/>
    <xf numFmtId="3" fontId="20" fillId="0" borderId="144" xfId="0" applyNumberFormat="1" applyFont="1" applyBorder="1"/>
    <xf numFmtId="3" fontId="20" fillId="0" borderId="134" xfId="0" applyNumberFormat="1" applyFont="1" applyBorder="1"/>
    <xf numFmtId="3" fontId="20" fillId="0" borderId="65" xfId="0" applyNumberFormat="1" applyFont="1" applyBorder="1"/>
    <xf numFmtId="10" fontId="20" fillId="0" borderId="65" xfId="2" applyNumberFormat="1" applyFont="1" applyBorder="1"/>
    <xf numFmtId="10" fontId="20" fillId="0" borderId="133" xfId="2" applyNumberFormat="1" applyFont="1" applyBorder="1"/>
    <xf numFmtId="10" fontId="20" fillId="0" borderId="144" xfId="2" applyNumberFormat="1" applyFont="1" applyBorder="1"/>
    <xf numFmtId="0" fontId="19" fillId="0" borderId="0" xfId="0" applyFont="1" applyAlignment="1">
      <alignment horizontal="center"/>
    </xf>
    <xf numFmtId="3" fontId="19" fillId="0" borderId="138" xfId="0" applyNumberFormat="1" applyFont="1" applyBorder="1"/>
    <xf numFmtId="3" fontId="19" fillId="0" borderId="19" xfId="0" applyNumberFormat="1" applyFont="1" applyBorder="1"/>
    <xf numFmtId="3" fontId="19" fillId="0" borderId="144" xfId="0" applyNumberFormat="1" applyFont="1" applyBorder="1"/>
    <xf numFmtId="10" fontId="19" fillId="0" borderId="67" xfId="2" applyNumberFormat="1" applyFont="1" applyBorder="1"/>
    <xf numFmtId="10" fontId="19" fillId="0" borderId="65" xfId="2" applyNumberFormat="1" applyFont="1" applyBorder="1"/>
    <xf numFmtId="10" fontId="19" fillId="0" borderId="59" xfId="2" applyNumberFormat="1" applyFont="1" applyBorder="1"/>
    <xf numFmtId="3" fontId="19" fillId="0" borderId="65" xfId="2" applyNumberFormat="1" applyFont="1" applyBorder="1"/>
    <xf numFmtId="0" fontId="19" fillId="0" borderId="65" xfId="0" applyFont="1" applyBorder="1"/>
    <xf numFmtId="0" fontId="19" fillId="0" borderId="63" xfId="0" applyFont="1" applyBorder="1"/>
    <xf numFmtId="3" fontId="19" fillId="0" borderId="63" xfId="2" applyNumberFormat="1" applyFont="1" applyBorder="1"/>
    <xf numFmtId="168" fontId="9" fillId="0" borderId="27" xfId="1" applyNumberFormat="1" applyFont="1" applyBorder="1"/>
    <xf numFmtId="0" fontId="8" fillId="0" borderId="88" xfId="1" applyFont="1" applyFill="1" applyBorder="1"/>
    <xf numFmtId="168" fontId="9" fillId="0" borderId="22" xfId="1" applyNumberFormat="1" applyFont="1" applyFill="1" applyBorder="1"/>
    <xf numFmtId="3" fontId="9" fillId="0" borderId="22" xfId="1" applyNumberFormat="1" applyFont="1" applyFill="1" applyBorder="1"/>
    <xf numFmtId="4" fontId="9" fillId="4" borderId="19" xfId="1" applyNumberFormat="1" applyFont="1" applyFill="1" applyBorder="1"/>
    <xf numFmtId="4" fontId="9" fillId="0" borderId="19" xfId="1" applyNumberFormat="1" applyFont="1" applyBorder="1"/>
    <xf numFmtId="0" fontId="8" fillId="2" borderId="30" xfId="1" applyFont="1" applyFill="1" applyBorder="1" applyAlignment="1">
      <alignment horizontal="center" vertical="center" textRotation="90"/>
    </xf>
    <xf numFmtId="2" fontId="8" fillId="0" borderId="0" xfId="1" applyNumberFormat="1" applyFont="1" applyBorder="1"/>
    <xf numFmtId="0" fontId="1" fillId="0" borderId="141" xfId="0" applyFont="1" applyBorder="1" applyAlignment="1">
      <alignment horizontal="center" vertical="center"/>
    </xf>
    <xf numFmtId="0" fontId="1" fillId="0" borderId="13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0" fillId="0" borderId="149" xfId="0" applyFont="1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6" fillId="0" borderId="149" xfId="0" applyFont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44" xfId="0" applyBorder="1" applyAlignment="1">
      <alignment horizontal="center"/>
    </xf>
    <xf numFmtId="0" fontId="2" fillId="2" borderId="1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 textRotation="90"/>
    </xf>
    <xf numFmtId="0" fontId="2" fillId="2" borderId="23" xfId="0" applyFont="1" applyFill="1" applyBorder="1" applyAlignment="1">
      <alignment horizontal="center" vertical="center" textRotation="90"/>
    </xf>
    <xf numFmtId="0" fontId="2" fillId="2" borderId="12" xfId="0" applyFont="1" applyFill="1" applyBorder="1" applyAlignment="1">
      <alignment horizontal="center" vertical="center" textRotation="90"/>
    </xf>
    <xf numFmtId="0" fontId="2" fillId="2" borderId="9" xfId="0" applyFont="1" applyFill="1" applyBorder="1" applyAlignment="1">
      <alignment horizontal="center" vertical="center" textRotation="90"/>
    </xf>
    <xf numFmtId="0" fontId="4" fillId="0" borderId="0" xfId="0" applyFont="1" applyAlignment="1">
      <alignment horizontal="center"/>
    </xf>
    <xf numFmtId="0" fontId="2" fillId="2" borderId="29" xfId="0" applyFont="1" applyFill="1" applyBorder="1" applyAlignment="1">
      <alignment horizontal="center" vertical="center" textRotation="90" shrinkToFit="1"/>
    </xf>
    <xf numFmtId="0" fontId="2" fillId="2" borderId="24" xfId="0" applyFont="1" applyFill="1" applyBorder="1" applyAlignment="1">
      <alignment horizontal="center" vertical="center" textRotation="90" shrinkToFit="1"/>
    </xf>
    <xf numFmtId="0" fontId="2" fillId="2" borderId="35" xfId="0" applyFont="1" applyFill="1" applyBorder="1" applyAlignment="1">
      <alignment horizontal="center" vertical="center" textRotation="90"/>
    </xf>
    <xf numFmtId="0" fontId="2" fillId="2" borderId="30" xfId="0" applyFont="1" applyFill="1" applyBorder="1" applyAlignment="1">
      <alignment horizontal="center" vertical="center" textRotation="90"/>
    </xf>
    <xf numFmtId="0" fontId="2" fillId="2" borderId="25" xfId="0" applyFont="1" applyFill="1" applyBorder="1" applyAlignment="1">
      <alignment horizontal="center" vertical="center" textRotation="90"/>
    </xf>
    <xf numFmtId="0" fontId="2" fillId="2" borderId="31" xfId="0" applyFont="1" applyFill="1" applyBorder="1" applyAlignment="1">
      <alignment horizontal="center" vertical="center" textRotation="90"/>
    </xf>
    <xf numFmtId="0" fontId="2" fillId="2" borderId="29" xfId="0" applyFont="1" applyFill="1" applyBorder="1" applyAlignment="1">
      <alignment horizontal="center" vertical="center" textRotation="90"/>
    </xf>
    <xf numFmtId="0" fontId="2" fillId="2" borderId="24" xfId="0" applyFont="1" applyFill="1" applyBorder="1" applyAlignment="1">
      <alignment horizontal="center" vertical="center" textRotation="90"/>
    </xf>
    <xf numFmtId="0" fontId="2" fillId="2" borderId="45" xfId="0" applyFont="1" applyFill="1" applyBorder="1" applyAlignment="1">
      <alignment horizontal="center"/>
    </xf>
    <xf numFmtId="0" fontId="2" fillId="2" borderId="44" xfId="0" applyFont="1" applyFill="1" applyBorder="1" applyAlignment="1">
      <alignment horizontal="center"/>
    </xf>
    <xf numFmtId="0" fontId="2" fillId="2" borderId="137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8" fillId="2" borderId="42" xfId="1" applyFont="1" applyFill="1" applyBorder="1" applyAlignment="1">
      <alignment horizontal="center"/>
    </xf>
    <xf numFmtId="0" fontId="8" fillId="2" borderId="43" xfId="1" applyFont="1" applyFill="1" applyBorder="1" applyAlignment="1">
      <alignment horizontal="center"/>
    </xf>
    <xf numFmtId="0" fontId="8" fillId="2" borderId="81" xfId="1" applyFont="1" applyFill="1" applyBorder="1" applyAlignment="1">
      <alignment horizontal="center"/>
    </xf>
    <xf numFmtId="0" fontId="8" fillId="2" borderId="80" xfId="1" applyFont="1" applyFill="1" applyBorder="1" applyAlignment="1">
      <alignment horizontal="center"/>
    </xf>
    <xf numFmtId="0" fontId="8" fillId="0" borderId="68" xfId="1" applyFont="1" applyBorder="1" applyAlignment="1">
      <alignment horizontal="center" vertical="center" wrapText="1"/>
    </xf>
    <xf numFmtId="0" fontId="8" fillId="0" borderId="67" xfId="1" applyFont="1" applyBorder="1" applyAlignment="1">
      <alignment horizontal="center" vertical="center" wrapText="1"/>
    </xf>
    <xf numFmtId="0" fontId="8" fillId="0" borderId="66" xfId="1" applyFont="1" applyBorder="1" applyAlignment="1">
      <alignment horizontal="center" vertical="center" wrapText="1"/>
    </xf>
    <xf numFmtId="0" fontId="8" fillId="0" borderId="65" xfId="1" applyFont="1" applyBorder="1" applyAlignment="1">
      <alignment horizontal="center" vertical="center" wrapText="1"/>
    </xf>
    <xf numFmtId="0" fontId="8" fillId="0" borderId="64" xfId="1" applyFont="1" applyBorder="1" applyAlignment="1">
      <alignment horizontal="center" vertical="center" wrapText="1"/>
    </xf>
    <xf numFmtId="0" fontId="8" fillId="0" borderId="63" xfId="1" applyFont="1" applyBorder="1" applyAlignment="1">
      <alignment horizontal="center" vertical="center" wrapText="1"/>
    </xf>
    <xf numFmtId="0" fontId="8" fillId="2" borderId="106" xfId="1" applyFont="1" applyFill="1" applyBorder="1" applyAlignment="1">
      <alignment horizontal="center" vertical="center" textRotation="90"/>
    </xf>
    <xf numFmtId="0" fontId="8" fillId="2" borderId="30" xfId="1" applyFont="1" applyFill="1" applyBorder="1" applyAlignment="1">
      <alignment horizontal="center" vertical="center" textRotation="90"/>
    </xf>
    <xf numFmtId="0" fontId="8" fillId="2" borderId="25" xfId="1" applyFont="1" applyFill="1" applyBorder="1" applyAlignment="1">
      <alignment horizontal="center" vertical="center" textRotation="90"/>
    </xf>
    <xf numFmtId="0" fontId="8" fillId="2" borderId="35" xfId="1" quotePrefix="1" applyFont="1" applyFill="1" applyBorder="1" applyAlignment="1">
      <alignment horizontal="center" vertical="center" textRotation="90"/>
    </xf>
    <xf numFmtId="0" fontId="8" fillId="2" borderId="62" xfId="1" applyFont="1" applyFill="1" applyBorder="1" applyAlignment="1">
      <alignment horizontal="center" wrapText="1"/>
    </xf>
    <xf numFmtId="0" fontId="8" fillId="2" borderId="70" xfId="1" applyFont="1" applyFill="1" applyBorder="1" applyAlignment="1">
      <alignment horizontal="center" wrapText="1"/>
    </xf>
    <xf numFmtId="0" fontId="8" fillId="7" borderId="81" xfId="1" applyFont="1" applyFill="1" applyBorder="1" applyAlignment="1">
      <alignment horizontal="center"/>
    </xf>
    <xf numFmtId="0" fontId="8" fillId="7" borderId="80" xfId="1" applyFont="1" applyFill="1" applyBorder="1" applyAlignment="1">
      <alignment horizontal="center"/>
    </xf>
    <xf numFmtId="0" fontId="8" fillId="7" borderId="65" xfId="1" applyFont="1" applyFill="1" applyBorder="1" applyAlignment="1">
      <alignment horizontal="center"/>
    </xf>
    <xf numFmtId="0" fontId="8" fillId="7" borderId="70" xfId="1" applyFont="1" applyFill="1" applyBorder="1" applyAlignment="1">
      <alignment horizontal="center"/>
    </xf>
    <xf numFmtId="0" fontId="8" fillId="7" borderId="55" xfId="1" applyFont="1" applyFill="1" applyBorder="1" applyAlignment="1">
      <alignment horizontal="center"/>
    </xf>
    <xf numFmtId="0" fontId="3" fillId="2" borderId="38" xfId="0" applyFont="1" applyFill="1" applyBorder="1" applyAlignment="1">
      <alignment horizontal="center"/>
    </xf>
    <xf numFmtId="0" fontId="3" fillId="2" borderId="37" xfId="0" applyFont="1" applyFill="1" applyBorder="1" applyAlignment="1">
      <alignment horizontal="center"/>
    </xf>
    <xf numFmtId="0" fontId="3" fillId="2" borderId="62" xfId="0" applyFont="1" applyFill="1" applyBorder="1" applyAlignment="1">
      <alignment horizontal="center"/>
    </xf>
    <xf numFmtId="0" fontId="3" fillId="2" borderId="61" xfId="0" applyFont="1" applyFill="1" applyBorder="1" applyAlignment="1">
      <alignment horizontal="center"/>
    </xf>
    <xf numFmtId="0" fontId="3" fillId="2" borderId="78" xfId="0" applyFont="1" applyFill="1" applyBorder="1" applyAlignment="1">
      <alignment horizontal="center"/>
    </xf>
    <xf numFmtId="0" fontId="3" fillId="2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3" fillId="2" borderId="127" xfId="0" applyFont="1" applyFill="1" applyBorder="1" applyAlignment="1">
      <alignment horizontal="center" vertical="center" textRotation="90"/>
    </xf>
    <xf numFmtId="0" fontId="3" fillId="2" borderId="14" xfId="0" applyFont="1" applyFill="1" applyBorder="1" applyAlignment="1">
      <alignment horizontal="center" vertical="center" textRotation="90"/>
    </xf>
    <xf numFmtId="0" fontId="3" fillId="2" borderId="10" xfId="0" applyFont="1" applyFill="1" applyBorder="1" applyAlignment="1">
      <alignment horizontal="center" vertical="center" textRotation="90"/>
    </xf>
    <xf numFmtId="0" fontId="8" fillId="0" borderId="124" xfId="0" applyFont="1" applyBorder="1" applyAlignment="1">
      <alignment horizontal="center" vertical="center" wrapText="1"/>
    </xf>
    <xf numFmtId="0" fontId="8" fillId="0" borderId="124" xfId="0" applyFont="1" applyBorder="1" applyAlignment="1">
      <alignment horizontal="center" vertical="center"/>
    </xf>
    <xf numFmtId="0" fontId="3" fillId="2" borderId="35" xfId="0" applyFont="1" applyFill="1" applyBorder="1" applyAlignment="1">
      <alignment horizontal="center" vertical="center" textRotation="90"/>
    </xf>
    <xf numFmtId="0" fontId="3" fillId="2" borderId="30" xfId="0" applyFont="1" applyFill="1" applyBorder="1" applyAlignment="1">
      <alignment horizontal="center" vertical="center" textRotation="90"/>
    </xf>
    <xf numFmtId="0" fontId="3" fillId="2" borderId="95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 vertical="center" textRotation="90"/>
    </xf>
    <xf numFmtId="0" fontId="8" fillId="0" borderId="121" xfId="0" applyFont="1" applyBorder="1" applyAlignment="1">
      <alignment horizontal="center" vertical="center"/>
    </xf>
    <xf numFmtId="0" fontId="8" fillId="0" borderId="122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8" fillId="2" borderId="12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19" xfId="1" applyFont="1" applyFill="1" applyBorder="1" applyAlignment="1">
      <alignment horizontal="center" vertical="center"/>
    </xf>
    <xf numFmtId="0" fontId="8" fillId="2" borderId="85" xfId="1" applyFont="1" applyFill="1" applyBorder="1" applyAlignment="1">
      <alignment horizontal="center" vertical="center"/>
    </xf>
    <xf numFmtId="0" fontId="8" fillId="2" borderId="62" xfId="1" applyFont="1" applyFill="1" applyBorder="1" applyAlignment="1">
      <alignment horizontal="center"/>
    </xf>
    <xf numFmtId="0" fontId="8" fillId="2" borderId="61" xfId="1" applyFont="1" applyFill="1" applyBorder="1" applyAlignment="1">
      <alignment horizontal="center"/>
    </xf>
    <xf numFmtId="0" fontId="8" fillId="2" borderId="78" xfId="1" applyFont="1" applyFill="1" applyBorder="1" applyAlignment="1">
      <alignment horizontal="center"/>
    </xf>
    <xf numFmtId="0" fontId="8" fillId="2" borderId="38" xfId="1" applyFont="1" applyFill="1" applyBorder="1" applyAlignment="1">
      <alignment horizontal="center"/>
    </xf>
    <xf numFmtId="0" fontId="8" fillId="2" borderId="37" xfId="1" applyFont="1" applyFill="1" applyBorder="1" applyAlignment="1">
      <alignment horizontal="center"/>
    </xf>
    <xf numFmtId="0" fontId="8" fillId="2" borderId="35" xfId="1" applyFont="1" applyFill="1" applyBorder="1" applyAlignment="1">
      <alignment horizontal="center" vertical="center" textRotation="90"/>
    </xf>
    <xf numFmtId="0" fontId="8" fillId="2" borderId="2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2" borderId="173" xfId="0" applyFont="1" applyFill="1" applyBorder="1"/>
    <xf numFmtId="0" fontId="8" fillId="0" borderId="173" xfId="0" applyFont="1" applyBorder="1"/>
    <xf numFmtId="3" fontId="8" fillId="0" borderId="173" xfId="0" applyNumberFormat="1" applyFont="1" applyBorder="1"/>
    <xf numFmtId="3" fontId="8" fillId="0" borderId="173" xfId="0" applyNumberFormat="1" applyFont="1" applyBorder="1" applyAlignment="1">
      <alignment horizontal="right"/>
    </xf>
    <xf numFmtId="1" fontId="8" fillId="0" borderId="174" xfId="0" applyNumberFormat="1" applyFont="1" applyBorder="1" applyAlignment="1">
      <alignment horizontal="right"/>
    </xf>
    <xf numFmtId="1" fontId="8" fillId="8" borderId="21" xfId="0" applyNumberFormat="1" applyFont="1" applyFill="1" applyBorder="1" applyAlignment="1">
      <alignment horizontal="right"/>
    </xf>
    <xf numFmtId="1" fontId="8" fillId="0" borderId="173" xfId="0" applyNumberFormat="1" applyFont="1" applyBorder="1" applyAlignment="1">
      <alignment horizontal="right"/>
    </xf>
    <xf numFmtId="1" fontId="8" fillId="0" borderId="175" xfId="0" quotePrefix="1" applyNumberFormat="1" applyFont="1" applyBorder="1" applyAlignment="1">
      <alignment horizontal="right"/>
    </xf>
    <xf numFmtId="1" fontId="8" fillId="0" borderId="175" xfId="0" applyNumberFormat="1" applyFont="1" applyBorder="1" applyAlignment="1">
      <alignment horizontal="right"/>
    </xf>
    <xf numFmtId="3" fontId="8" fillId="0" borderId="107" xfId="0" applyNumberFormat="1" applyFont="1" applyBorder="1" applyAlignment="1">
      <alignment horizontal="right"/>
    </xf>
    <xf numFmtId="1" fontId="8" fillId="0" borderId="176" xfId="0" applyNumberFormat="1" applyFont="1" applyBorder="1" applyAlignment="1">
      <alignment horizontal="right"/>
    </xf>
    <xf numFmtId="1" fontId="8" fillId="8" borderId="177" xfId="0" applyNumberFormat="1" applyFont="1" applyFill="1" applyBorder="1" applyAlignment="1">
      <alignment horizontal="right"/>
    </xf>
    <xf numFmtId="1" fontId="8" fillId="0" borderId="117" xfId="0" quotePrefix="1" applyNumberFormat="1" applyFont="1" applyBorder="1" applyAlignment="1">
      <alignment horizontal="right"/>
    </xf>
    <xf numFmtId="1" fontId="8" fillId="3" borderId="25" xfId="0" applyNumberFormat="1" applyFont="1" applyFill="1" applyBorder="1" applyAlignment="1">
      <alignment horizontal="right"/>
    </xf>
    <xf numFmtId="1" fontId="8" fillId="3" borderId="34" xfId="0" applyNumberFormat="1" applyFont="1" applyFill="1" applyBorder="1" applyAlignment="1">
      <alignment horizontal="right"/>
    </xf>
    <xf numFmtId="3" fontId="8" fillId="0" borderId="65" xfId="0" applyNumberFormat="1" applyFont="1" applyBorder="1" applyAlignment="1">
      <alignment horizontal="right"/>
    </xf>
    <xf numFmtId="1" fontId="8" fillId="0" borderId="0" xfId="0" applyNumberFormat="1" applyFont="1" applyAlignment="1">
      <alignment horizontal="right"/>
    </xf>
    <xf numFmtId="1" fontId="18" fillId="0" borderId="0" xfId="0" applyNumberFormat="1" applyFont="1" applyAlignment="1">
      <alignment horizontal="right"/>
    </xf>
    <xf numFmtId="0" fontId="8" fillId="0" borderId="0" xfId="0" applyFont="1" applyBorder="1" applyAlignment="1">
      <alignment horizontal="centerContinuous"/>
    </xf>
    <xf numFmtId="3" fontId="8" fillId="0" borderId="0" xfId="0" applyNumberFormat="1" applyFont="1" applyBorder="1"/>
    <xf numFmtId="0" fontId="8" fillId="0" borderId="0" xfId="0" applyFont="1" applyBorder="1" applyAlignment="1">
      <alignment horizontal="right"/>
    </xf>
    <xf numFmtId="1" fontId="8" fillId="0" borderId="0" xfId="0" applyNumberFormat="1" applyFont="1" applyBorder="1" applyAlignment="1">
      <alignment horizontal="right"/>
    </xf>
  </cellXfs>
  <cellStyles count="4">
    <cellStyle name="Normal" xfId="0" builtinId="0"/>
    <cellStyle name="Normal 2" xfId="1" xr:uid="{00000000-0005-0000-0000-000001000000}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Taxa Defeituosa da Linhas de Produção</a:t>
            </a:r>
          </a:p>
          <a:p>
            <a:pPr>
              <a:defRPr/>
            </a:pPr>
            <a:r>
              <a:rPr lang="pt-BR"/>
              <a:t>Período: Abr ~ Jul /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30000">
                  <a:schemeClr val="accent1">
                    <a:alpha val="50000"/>
                    <a:lumMod val="75000"/>
                    <a:lumOff val="25000"/>
                  </a:schemeClr>
                </a:gs>
                <a:gs pos="1000">
                  <a:schemeClr val="accent1">
                    <a:lumMod val="50000"/>
                  </a:schemeClr>
                </a:gs>
                <a:gs pos="100000">
                  <a:schemeClr val="accent1">
                    <a:lumMod val="50000"/>
                  </a:schemeClr>
                </a:gs>
                <a:gs pos="72000">
                  <a:schemeClr val="accent1">
                    <a:alpha val="50000"/>
                    <a:lumMod val="75000"/>
                    <a:lumOff val="25000"/>
                  </a:schemeClr>
                </a:gs>
              </a:gsLst>
              <a:lin ang="108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0070C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'Prod &amp; Defects - Qty'!$Y$39:$Y$43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cat>
          <c:val>
            <c:numRef>
              <c:f>'Prod &amp; Defects - Qty'!$W$39:$W$43</c:f>
              <c:numCache>
                <c:formatCode>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20-42C8-9265-A3DF401E31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97339384"/>
        <c:axId val="601312856"/>
      </c:barChart>
      <c:lineChart>
        <c:grouping val="standard"/>
        <c:varyColors val="0"/>
        <c:ser>
          <c:idx val="1"/>
          <c:order val="1"/>
          <c:tx>
            <c:v>Ac. (%)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'Prod &amp; Defects - Qty'!$AA$39:$AA$43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20-42C8-9265-A3DF401E31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01309720"/>
        <c:axId val="601313248"/>
      </c:lineChart>
      <c:catAx>
        <c:axId val="597339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Linhas de produção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601312856"/>
        <c:crosses val="autoZero"/>
        <c:auto val="1"/>
        <c:lblAlgn val="ctr"/>
        <c:lblOffset val="100"/>
        <c:noMultiLvlLbl val="0"/>
      </c:catAx>
      <c:valAx>
        <c:axId val="60131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Taxa defeituosa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597339384"/>
        <c:crosses val="autoZero"/>
        <c:crossBetween val="between"/>
      </c:valAx>
      <c:valAx>
        <c:axId val="60131324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/>
                  <a:t>Acumulado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601309720"/>
        <c:crosses val="max"/>
        <c:crossBetween val="between"/>
      </c:valAx>
      <c:catAx>
        <c:axId val="601309720"/>
        <c:scaling>
          <c:orientation val="minMax"/>
        </c:scaling>
        <c:delete val="1"/>
        <c:axPos val="b"/>
        <c:majorTickMark val="out"/>
        <c:minorTickMark val="none"/>
        <c:tickLblPos val="nextTo"/>
        <c:crossAx val="601313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</a:t>
            </a:r>
            <a:r>
              <a:rPr lang="pt-BR" baseline="0"/>
              <a:t> UM-4 - Taxa Defeituosa (ppm)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'Falhas UM-4 Qty'!$C$62</c:f>
              <c:strCache>
                <c:ptCount val="1"/>
                <c:pt idx="0">
                  <c:v>Taxa defeituosa (ppm)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'Falhas UM-4 Qty'!$E$5:$P$5</c:f>
              <c:numCache>
                <c:formatCode>mmm\-yy</c:formatCode>
                <c:ptCount val="12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  <c:pt idx="9">
                  <c:v>44197</c:v>
                </c:pt>
                <c:pt idx="10">
                  <c:v>44228</c:v>
                </c:pt>
                <c:pt idx="11">
                  <c:v>44256</c:v>
                </c:pt>
              </c:numCache>
            </c:numRef>
          </c:cat>
          <c:val>
            <c:numRef>
              <c:f>'Falhas UM-4 Qty'!$E$62:$J$62</c:f>
              <c:numCache>
                <c:formatCode>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28-4B9B-8EFE-3558CF607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149088"/>
        <c:axId val="694149872"/>
      </c:barChart>
      <c:dateAx>
        <c:axId val="694149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149872"/>
        <c:crosses val="autoZero"/>
        <c:auto val="1"/>
        <c:lblOffset val="100"/>
        <c:baseTimeUnit val="months"/>
      </c:dateAx>
      <c:valAx>
        <c:axId val="69414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Taxa</a:t>
                </a:r>
                <a:r>
                  <a:rPr lang="pt-BR" baseline="0"/>
                  <a:t> defeituosa (ppm)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14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</a:t>
            </a:r>
            <a:r>
              <a:rPr lang="pt-BR" baseline="0"/>
              <a:t> UM-4 - Quantidade de Falhas)</a:t>
            </a:r>
            <a:endParaRPr lang="pt-BR"/>
          </a:p>
        </c:rich>
      </c:tx>
      <c:layout>
        <c:manualLayout>
          <c:xMode val="edge"/>
          <c:yMode val="edge"/>
          <c:x val="0.18905555555555556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'Falhas UM-4 Qty'!$E$5:$P$5</c:f>
              <c:numCache>
                <c:formatCode>mmm\-yy</c:formatCode>
                <c:ptCount val="12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  <c:pt idx="9">
                  <c:v>44197</c:v>
                </c:pt>
                <c:pt idx="10">
                  <c:v>44228</c:v>
                </c:pt>
                <c:pt idx="11">
                  <c:v>44256</c:v>
                </c:pt>
              </c:numCache>
            </c:numRef>
          </c:cat>
          <c:val>
            <c:numRef>
              <c:f>'Falhas UM-4 Qty'!$E$61:$J$61</c:f>
              <c:numCache>
                <c:formatCode>#,##0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F-43DA-8112-D843BEE4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148696"/>
        <c:axId val="694149480"/>
      </c:barChart>
      <c:dateAx>
        <c:axId val="694148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149480"/>
        <c:crosses val="autoZero"/>
        <c:auto val="1"/>
        <c:lblOffset val="100"/>
        <c:baseTimeUnit val="months"/>
      </c:dateAx>
      <c:valAx>
        <c:axId val="69414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Quantidade</a:t>
                </a:r>
                <a:r>
                  <a:rPr lang="pt-BR" baseline="0"/>
                  <a:t> de Falhas (pçs)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414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Montagem</a:t>
            </a:r>
            <a:r>
              <a:rPr lang="pt-BR" baseline="0"/>
              <a:t> UM-4 - Custo de Falhas (R$)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'Falhas UM-4 Cost'!$E$5:$P$5</c:f>
              <c:numCache>
                <c:formatCode>mmm\-yy</c:formatCode>
                <c:ptCount val="12"/>
                <c:pt idx="0">
                  <c:v>43922</c:v>
                </c:pt>
                <c:pt idx="1">
                  <c:v>43952</c:v>
                </c:pt>
                <c:pt idx="2">
                  <c:v>43983</c:v>
                </c:pt>
                <c:pt idx="3">
                  <c:v>44013</c:v>
                </c:pt>
                <c:pt idx="4">
                  <c:v>44044</c:v>
                </c:pt>
                <c:pt idx="5">
                  <c:v>44075</c:v>
                </c:pt>
                <c:pt idx="6">
                  <c:v>44105</c:v>
                </c:pt>
                <c:pt idx="7">
                  <c:v>44136</c:v>
                </c:pt>
                <c:pt idx="8">
                  <c:v>44166</c:v>
                </c:pt>
                <c:pt idx="9">
                  <c:v>44197</c:v>
                </c:pt>
                <c:pt idx="10">
                  <c:v>44228</c:v>
                </c:pt>
                <c:pt idx="11">
                  <c:v>44256</c:v>
                </c:pt>
              </c:numCache>
            </c:numRef>
          </c:cat>
          <c:val>
            <c:numRef>
              <c:f>'Falhas UM-4 Cost'!$E$61:$P$61</c:f>
              <c:numCache>
                <c:formatCode>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7-4E45-B371-02DB54A3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241576"/>
        <c:axId val="847241968"/>
      </c:barChart>
      <c:dateAx>
        <c:axId val="84724157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7241968"/>
        <c:crosses val="autoZero"/>
        <c:auto val="1"/>
        <c:lblOffset val="100"/>
        <c:baseTimeUnit val="months"/>
      </c:dateAx>
      <c:valAx>
        <c:axId val="84724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Custo de Falhas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4724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466724</xdr:colOff>
      <xdr:row>10</xdr:row>
      <xdr:rowOff>166686</xdr:rowOff>
    </xdr:from>
    <xdr:to>
      <xdr:col>33</xdr:col>
      <xdr:colOff>723899</xdr:colOff>
      <xdr:row>37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158150</xdr:colOff>
      <xdr:row>64</xdr:row>
      <xdr:rowOff>7728</xdr:rowOff>
    </xdr:from>
    <xdr:to>
      <xdr:col>7</xdr:col>
      <xdr:colOff>201282</xdr:colOff>
      <xdr:row>81</xdr:row>
      <xdr:rowOff>1258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328882</xdr:colOff>
      <xdr:row>63</xdr:row>
      <xdr:rowOff>160486</xdr:rowOff>
    </xdr:from>
    <xdr:to>
      <xdr:col>13</xdr:col>
      <xdr:colOff>318099</xdr:colOff>
      <xdr:row>80</xdr:row>
      <xdr:rowOff>154017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209550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1714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3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20955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131193</xdr:colOff>
      <xdr:row>73</xdr:row>
      <xdr:rowOff>115556</xdr:rowOff>
    </xdr:from>
    <xdr:to>
      <xdr:col>6</xdr:col>
      <xdr:colOff>416943</xdr:colOff>
      <xdr:row>90</xdr:row>
      <xdr:rowOff>109086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457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953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457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4762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953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76200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0</xdr:col>
      <xdr:colOff>247650</xdr:colOff>
      <xdr:row>0</xdr:row>
      <xdr:rowOff>0</xdr:rowOff>
    </xdr:to>
    <xdr:sp macro="" textlink="">
      <xdr:nvSpPr>
        <xdr:cNvPr id="2" name="Texto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095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285750</xdr:colOff>
      <xdr:row>0</xdr:row>
      <xdr:rowOff>0</xdr:rowOff>
    </xdr:to>
    <xdr:sp macro="" textlink="">
      <xdr:nvSpPr>
        <xdr:cNvPr id="3" name="Texto 4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476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9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266700</xdr:colOff>
      <xdr:row>0</xdr:row>
      <xdr:rowOff>0</xdr:rowOff>
    </xdr:to>
    <xdr:sp macro="" textlink="">
      <xdr:nvSpPr>
        <xdr:cNvPr id="4" name="Texto 5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286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0</xdr:col>
      <xdr:colOff>38100</xdr:colOff>
      <xdr:row>0</xdr:row>
      <xdr:rowOff>0</xdr:rowOff>
    </xdr:from>
    <xdr:to>
      <xdr:col>0</xdr:col>
      <xdr:colOff>276225</xdr:colOff>
      <xdr:row>0</xdr:row>
      <xdr:rowOff>0</xdr:rowOff>
    </xdr:to>
    <xdr:sp macro="" textlink="">
      <xdr:nvSpPr>
        <xdr:cNvPr id="5" name="Texto 6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38100" y="0"/>
          <a:ext cx="2381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B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6" name="Texto 9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V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Century Schoolbook"/>
            </a:rPr>
            <a:t>L</a:t>
          </a: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304800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7" name="Texto 1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>
          <a:spLocks noChangeArrowheads="1"/>
        </xdr:cNvSpPr>
      </xdr:nvSpPr>
      <xdr:spPr bwMode="auto">
        <a:xfrm>
          <a:off x="304800" y="0"/>
          <a:ext cx="95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  <a:endParaRPr lang="pt-BR" sz="8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Texto 14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T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G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M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Texto 1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N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A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O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  <xdr:twoCellAnchor>
    <xdr:from>
      <xdr:col>0</xdr:col>
      <xdr:colOff>285750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Text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285750" y="0"/>
          <a:ext cx="285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APO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endParaRPr lang="pt-BR" sz="70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S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H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I</a:t>
          </a:r>
        </a:p>
        <a:p>
          <a:pPr algn="ctr" rtl="0">
            <a:defRPr sz="1000"/>
          </a:pPr>
          <a:r>
            <a:rPr lang="pt-BR" sz="700" b="0" i="0" u="none" strike="noStrike" baseline="0">
              <a:solidFill>
                <a:srgbClr val="000000"/>
              </a:solidFill>
              <a:latin typeface="Century Schoolbook"/>
            </a:rPr>
            <a:t>MA</a:t>
          </a:r>
        </a:p>
      </xdr:txBody>
    </xdr:sp>
    <xdr:clientData/>
  </xdr:twoCellAnchor>
  <xdr:twoCellAnchor>
    <xdr:from>
      <xdr:col>0</xdr:col>
      <xdr:colOff>266700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Text Box 12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266700" y="0"/>
          <a:ext cx="4762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PVC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FU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RA</a:t>
          </a:r>
        </a:p>
        <a:p>
          <a:pPr algn="l" rtl="0">
            <a:defRPr sz="1000"/>
          </a:pPr>
          <a:r>
            <a:rPr lang="pt-BR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DO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Texto 16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314325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C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U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P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E</a:t>
          </a:r>
        </a:p>
        <a:p>
          <a:pPr algn="ctr" rtl="0">
            <a:defRPr sz="1000"/>
          </a:pPr>
          <a:r>
            <a:rPr lang="pt-BR" sz="750" b="0" i="0" u="none" strike="noStrike" baseline="0">
              <a:solidFill>
                <a:srgbClr val="000000"/>
              </a:solidFill>
              <a:latin typeface="Century Schoolbook"/>
            </a:rPr>
            <a:t>R</a:t>
          </a: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  <a:p>
          <a:pPr algn="ctr" rtl="0">
            <a:defRPr sz="1000"/>
          </a:pPr>
          <a:endParaRPr lang="pt-BR" sz="750" b="0" i="0" u="none" strike="noStrike" baseline="0">
            <a:solidFill>
              <a:srgbClr val="000000"/>
            </a:solidFill>
            <a:latin typeface="Century Schoolbook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1%20-%20Plan/PSI/20201123%20-%20BP-FY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ALCALINA/05%20-%20RELATORIOS/2021-d/QC%20-%20Previs&#227;o%20FY202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0)%20CUSTOS/(3)%20TOTALIZA&#199;&#195;O/FY-2020%20-%20TOTALIZA&#199;&#195;O%20DE%20PRODU&#199;&#195;O%20E%20FALHAS-Foreca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0)%20CUSTOS/(1)%20PRODU&#199;&#195;O%20E%20FALHAS/SJCPIL-R%2017-202-04%20-%20RESUMO%20DE%20PRODU&#199;&#195;O%20E%20FALHAS%20-%20210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1)%20Quality%20Business%20Plan/1.4%20-%20Report%20to%20Japan/1.4.1%20-%20BP/1)%20FY19_Quality%20Business%20Plan(PANABRAS)_PLAN%20-%20TOTA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0)%20CUSTOS/(1)%20PRODU&#199;&#195;O%20E%20FALHAS/SJCPIL-R%2017-202-04%20-%20RESUMO%20DE%20PRODU&#199;&#195;O%20E%20FALHAS%20-%20201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0)%20CUSTOS/(3)%20TOTALIZA&#199;&#195;O/FY-2020%20-%20TOTALIZA&#199;&#195;O%20DE%20PRODU&#199;&#195;O%20E%20FALHAS-%20Forecas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19/(2)%20Resultados/2.2%20-%20FALHAS/Custos%20de%20Falhas/2.2.3%20-%20TOTALIZA&#199;&#195;O/FY-2019%20-%20TOTALIZA&#199;&#195;O%20DE%20PRODU&#199;&#195;O%20E%20FALHAS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FY-2021%20-%20TOTALIZA&#199;&#195;O%20DE%20PRODU&#199;&#195;O%20E%20FALHAS%20-%20Forecas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2)%20Resultados/2.2%20-%20FALHAS/(0)%20Custos/(3)%20TOTALIZA&#199;&#195;O/FY-2021%20-%20TOTALIZA&#199;&#195;O%20DE%20PRODU&#199;&#195;O%20E%20FALH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(Rev.1) (Ajuste Inv)"/>
      <sheetName val="PRODUCTION (Rev.1)"/>
      <sheetName val="PRODUCTION (Rev.0)"/>
      <sheetName val="Dif. Rev.1 vs Rev. 0 "/>
      <sheetName val="(Rev.0) PRD Sem inventário"/>
    </sheetNames>
    <sheetDataSet>
      <sheetData sheetId="0">
        <row r="5">
          <cell r="A5"/>
          <cell r="B5">
            <v>44287</v>
          </cell>
          <cell r="C5">
            <v>44317</v>
          </cell>
          <cell r="D5">
            <v>44348</v>
          </cell>
          <cell r="E5">
            <v>44378</v>
          </cell>
          <cell r="F5">
            <v>44409</v>
          </cell>
          <cell r="G5">
            <v>44440</v>
          </cell>
          <cell r="H5">
            <v>44470</v>
          </cell>
          <cell r="I5">
            <v>44501</v>
          </cell>
          <cell r="J5">
            <v>44531</v>
          </cell>
          <cell r="K5">
            <v>44562</v>
          </cell>
          <cell r="L5">
            <v>44593</v>
          </cell>
          <cell r="M5">
            <v>44621</v>
          </cell>
          <cell r="N5" t="str">
            <v>TTL</v>
          </cell>
        </row>
        <row r="112">
          <cell r="A112" t="str">
            <v>Total</v>
          </cell>
          <cell r="B112">
            <v>29791837.407975137</v>
          </cell>
          <cell r="C112">
            <v>34326471.050059319</v>
          </cell>
          <cell r="D112">
            <v>23423610.170271549</v>
          </cell>
          <cell r="E112">
            <v>30030821.373209625</v>
          </cell>
          <cell r="F112">
            <v>30035274.093119327</v>
          </cell>
          <cell r="G112">
            <v>35477755.36845465</v>
          </cell>
          <cell r="H112">
            <v>39824402.324572913</v>
          </cell>
          <cell r="I112">
            <v>39474764.089243703</v>
          </cell>
          <cell r="J112">
            <v>28515945.38358812</v>
          </cell>
          <cell r="K112">
            <v>25208415.894129515</v>
          </cell>
          <cell r="L112">
            <v>26641624.925855741</v>
          </cell>
          <cell r="M112">
            <v>30248471.1195204</v>
          </cell>
          <cell r="N112">
            <v>372999393.20000005</v>
          </cell>
        </row>
        <row r="113">
          <cell r="A113" t="str">
            <v>UM1</v>
          </cell>
          <cell r="B113">
            <v>2446464</v>
          </cell>
          <cell r="C113">
            <v>2441697</v>
          </cell>
          <cell r="D113">
            <v>927999</v>
          </cell>
          <cell r="E113">
            <v>1994085</v>
          </cell>
          <cell r="F113">
            <v>1994116</v>
          </cell>
          <cell r="G113">
            <v>2354855</v>
          </cell>
          <cell r="H113">
            <v>3405529</v>
          </cell>
          <cell r="I113">
            <v>2405833</v>
          </cell>
          <cell r="J113">
            <v>1357691</v>
          </cell>
          <cell r="K113">
            <v>1672102</v>
          </cell>
          <cell r="L113">
            <v>1701198</v>
          </cell>
          <cell r="M113">
            <v>2071066</v>
          </cell>
          <cell r="N113">
            <v>24772635</v>
          </cell>
        </row>
        <row r="114">
          <cell r="A114" t="str">
            <v>UM3</v>
          </cell>
          <cell r="B114">
            <v>12030589</v>
          </cell>
          <cell r="C114">
            <v>14001154</v>
          </cell>
          <cell r="D114">
            <v>9916561</v>
          </cell>
          <cell r="E114">
            <v>12324686</v>
          </cell>
          <cell r="F114">
            <v>12324874</v>
          </cell>
          <cell r="G114">
            <v>14552661</v>
          </cell>
          <cell r="H114">
            <v>16365596</v>
          </cell>
          <cell r="I114">
            <v>15867473</v>
          </cell>
          <cell r="J114">
            <v>12070173</v>
          </cell>
          <cell r="K114">
            <v>10336241</v>
          </cell>
          <cell r="L114">
            <v>11515931</v>
          </cell>
          <cell r="M114">
            <v>11800088</v>
          </cell>
          <cell r="N114">
            <v>153106027</v>
          </cell>
        </row>
        <row r="115">
          <cell r="A115" t="str">
            <v>R03</v>
          </cell>
          <cell r="B115">
            <v>8191081</v>
          </cell>
          <cell r="C115">
            <v>10172002</v>
          </cell>
          <cell r="D115">
            <v>6117176</v>
          </cell>
          <cell r="E115">
            <v>8381697</v>
          </cell>
          <cell r="F115">
            <v>8381820</v>
          </cell>
          <cell r="G115">
            <v>9925748</v>
          </cell>
          <cell r="H115">
            <v>10628574</v>
          </cell>
          <cell r="I115">
            <v>12029792</v>
          </cell>
          <cell r="J115">
            <v>7437097</v>
          </cell>
          <cell r="K115">
            <v>7092900</v>
          </cell>
          <cell r="L115">
            <v>7209362</v>
          </cell>
          <cell r="M115">
            <v>8789828</v>
          </cell>
          <cell r="N115">
            <v>104357077</v>
          </cell>
        </row>
        <row r="116">
          <cell r="A116" t="str">
            <v>LR6 Power</v>
          </cell>
          <cell r="B116">
            <v>2773374.3944710828</v>
          </cell>
          <cell r="C116">
            <v>3066461.0636226293</v>
          </cell>
          <cell r="D116">
            <v>2446591.844032038</v>
          </cell>
          <cell r="E116">
            <v>2842451.8082462149</v>
          </cell>
          <cell r="F116">
            <v>2842494.7350194058</v>
          </cell>
          <cell r="G116">
            <v>3365751.8923351699</v>
          </cell>
          <cell r="H116">
            <v>3739254.9189556101</v>
          </cell>
          <cell r="I116">
            <v>3639696.3167910199</v>
          </cell>
          <cell r="J116">
            <v>2869866.0563485539</v>
          </cell>
          <cell r="K116">
            <v>2375410.1896780259</v>
          </cell>
          <cell r="L116">
            <v>2417614.0442274879</v>
          </cell>
          <cell r="M116">
            <v>2954111.3362727612</v>
          </cell>
          <cell r="N116">
            <v>35333078.600000001</v>
          </cell>
        </row>
        <row r="117">
          <cell r="A117" t="str">
            <v>LR6 Alcalina Premium</v>
          </cell>
          <cell r="B117">
            <v>444719</v>
          </cell>
          <cell r="C117">
            <v>449221</v>
          </cell>
          <cell r="D117">
            <v>447165</v>
          </cell>
          <cell r="E117">
            <v>485584</v>
          </cell>
          <cell r="F117">
            <v>489589</v>
          </cell>
          <cell r="G117">
            <v>543816</v>
          </cell>
          <cell r="H117">
            <v>547628</v>
          </cell>
          <cell r="I117">
            <v>493533</v>
          </cell>
          <cell r="J117">
            <v>540440</v>
          </cell>
          <cell r="K117">
            <v>383286</v>
          </cell>
          <cell r="L117">
            <v>389956</v>
          </cell>
          <cell r="M117">
            <v>474739</v>
          </cell>
          <cell r="N117">
            <v>5689676</v>
          </cell>
        </row>
        <row r="118">
          <cell r="A118" t="str">
            <v>Total LR6</v>
          </cell>
          <cell r="B118">
            <v>3218093.3944710828</v>
          </cell>
          <cell r="C118">
            <v>3515682.0636226293</v>
          </cell>
          <cell r="D118">
            <v>2893756.844032038</v>
          </cell>
          <cell r="E118">
            <v>3328035.8082462149</v>
          </cell>
          <cell r="F118">
            <v>3332083.7350194058</v>
          </cell>
          <cell r="G118">
            <v>3909567.8923351699</v>
          </cell>
          <cell r="H118">
            <v>4286882.9189556101</v>
          </cell>
          <cell r="I118">
            <v>4133229.3167910199</v>
          </cell>
          <cell r="J118">
            <v>3410306.0563485539</v>
          </cell>
          <cell r="K118">
            <v>2758696.1896780259</v>
          </cell>
          <cell r="L118">
            <v>2807570.0442274879</v>
          </cell>
          <cell r="M118">
            <v>3428850.3362727612</v>
          </cell>
          <cell r="N118">
            <v>41022754.600000001</v>
          </cell>
        </row>
        <row r="119">
          <cell r="A119" t="str">
            <v xml:space="preserve">LR03 </v>
          </cell>
          <cell r="B119">
            <v>2628738.0135040549</v>
          </cell>
          <cell r="C119">
            <v>2922180.9864366879</v>
          </cell>
          <cell r="D119">
            <v>2303328.32623951</v>
          </cell>
          <cell r="E119">
            <v>2694278.5649634101</v>
          </cell>
          <cell r="F119">
            <v>2694320.3580999239</v>
          </cell>
          <cell r="G119">
            <v>3190776.4761194829</v>
          </cell>
          <cell r="H119">
            <v>3560510.4056173018</v>
          </cell>
          <cell r="I119">
            <v>3460927.7724526823</v>
          </cell>
          <cell r="J119">
            <v>2694677.3272395669</v>
          </cell>
          <cell r="K119">
            <v>2251162.7044514902</v>
          </cell>
          <cell r="L119">
            <v>2291204.881628253</v>
          </cell>
          <cell r="M119">
            <v>2800219.7832476371</v>
          </cell>
          <cell r="N119">
            <v>33492325.600000001</v>
          </cell>
        </row>
        <row r="120">
          <cell r="A120" t="str">
            <v xml:space="preserve">LR03 Alcalina Premium </v>
          </cell>
          <cell r="B120">
            <v>470614</v>
          </cell>
          <cell r="C120">
            <v>469462</v>
          </cell>
          <cell r="D120">
            <v>466151</v>
          </cell>
          <cell r="E120">
            <v>482130</v>
          </cell>
          <cell r="F120">
            <v>482137</v>
          </cell>
          <cell r="G120">
            <v>569356</v>
          </cell>
          <cell r="H120">
            <v>581607</v>
          </cell>
          <cell r="I120">
            <v>581680</v>
          </cell>
          <cell r="J120">
            <v>570042</v>
          </cell>
          <cell r="K120">
            <v>404280</v>
          </cell>
          <cell r="L120">
            <v>411314</v>
          </cell>
          <cell r="M120">
            <v>500740</v>
          </cell>
          <cell r="N120">
            <v>5989513</v>
          </cell>
        </row>
        <row r="121">
          <cell r="A121" t="str">
            <v>Total LR03</v>
          </cell>
          <cell r="B121">
            <v>3099352.0135040549</v>
          </cell>
          <cell r="C121">
            <v>3391642.9864366879</v>
          </cell>
          <cell r="D121">
            <v>2769479.32623951</v>
          </cell>
          <cell r="E121">
            <v>3176408.5649634101</v>
          </cell>
          <cell r="F121">
            <v>3176457.3580999239</v>
          </cell>
          <cell r="G121">
            <v>3760132.4761194829</v>
          </cell>
          <cell r="H121">
            <v>4142117.4056173018</v>
          </cell>
          <cell r="I121">
            <v>4042607.7724526823</v>
          </cell>
          <cell r="J121">
            <v>3264719.3272395669</v>
          </cell>
          <cell r="K121">
            <v>2655442.7044514902</v>
          </cell>
          <cell r="L121">
            <v>2702518.881628253</v>
          </cell>
          <cell r="M121">
            <v>3300959.7832476371</v>
          </cell>
          <cell r="N121">
            <v>39481838.600000001</v>
          </cell>
        </row>
        <row r="122">
          <cell r="A122" t="str">
            <v>Outros Imp. (Ext. Prem.)</v>
          </cell>
          <cell r="B122">
            <v>806258</v>
          </cell>
          <cell r="C122">
            <v>804293</v>
          </cell>
          <cell r="D122">
            <v>798638</v>
          </cell>
          <cell r="E122">
            <v>825909</v>
          </cell>
          <cell r="F122">
            <v>825923</v>
          </cell>
          <cell r="G122">
            <v>974791</v>
          </cell>
          <cell r="H122">
            <v>995703</v>
          </cell>
          <cell r="I122">
            <v>995829</v>
          </cell>
          <cell r="J122">
            <v>975959</v>
          </cell>
          <cell r="K122">
            <v>693034</v>
          </cell>
          <cell r="L122">
            <v>705045</v>
          </cell>
          <cell r="M122">
            <v>857679</v>
          </cell>
          <cell r="N122">
            <v>10259061</v>
          </cell>
        </row>
        <row r="123">
          <cell r="A123" t="str">
            <v>TOTAL MANUFATURADO</v>
          </cell>
          <cell r="B123">
            <v>25441508.394471083</v>
          </cell>
          <cell r="C123">
            <v>29681314.063622631</v>
          </cell>
          <cell r="D123">
            <v>19408327.844032038</v>
          </cell>
          <cell r="E123">
            <v>25542919.808246214</v>
          </cell>
          <cell r="F123">
            <v>25543304.735019404</v>
          </cell>
          <cell r="G123">
            <v>30199015.892335169</v>
          </cell>
          <cell r="H123">
            <v>34138953.918955609</v>
          </cell>
          <cell r="I123">
            <v>33942794.31679102</v>
          </cell>
          <cell r="J123">
            <v>23734827.056348555</v>
          </cell>
          <cell r="K123">
            <v>21476653.189678025</v>
          </cell>
          <cell r="L123">
            <v>22844105.044227488</v>
          </cell>
          <cell r="M123">
            <v>25615093.336272761</v>
          </cell>
          <cell r="N123">
            <v>317568817.60000002</v>
          </cell>
        </row>
        <row r="124">
          <cell r="A124" t="str">
            <v xml:space="preserve">TOTAL IMPORTADO </v>
          </cell>
          <cell r="B124">
            <v>4350329.0135040544</v>
          </cell>
          <cell r="C124">
            <v>4645156.9864366874</v>
          </cell>
          <cell r="D124">
            <v>4015282.32623951</v>
          </cell>
          <cell r="E124">
            <v>4487901.5649634097</v>
          </cell>
          <cell r="F124">
            <v>4491969.3580999244</v>
          </cell>
          <cell r="G124">
            <v>5278739.4761194829</v>
          </cell>
          <cell r="H124">
            <v>5685448.4056173023</v>
          </cell>
          <cell r="I124">
            <v>5531969.7724526823</v>
          </cell>
          <cell r="J124">
            <v>4781118.3272395674</v>
          </cell>
          <cell r="K124">
            <v>3731762.7044514902</v>
          </cell>
          <cell r="L124">
            <v>3797519.881628253</v>
          </cell>
          <cell r="M124">
            <v>4633377.7832476366</v>
          </cell>
          <cell r="N124">
            <v>55430575.600000001</v>
          </cell>
        </row>
        <row r="164">
          <cell r="B164">
            <v>143530</v>
          </cell>
          <cell r="C164">
            <v>143178</v>
          </cell>
          <cell r="D164">
            <v>142168</v>
          </cell>
          <cell r="E164">
            <v>147042</v>
          </cell>
          <cell r="F164">
            <v>147044</v>
          </cell>
          <cell r="G164">
            <v>173644</v>
          </cell>
          <cell r="H164">
            <v>177380</v>
          </cell>
          <cell r="I164">
            <v>177403</v>
          </cell>
          <cell r="J164">
            <v>173853</v>
          </cell>
          <cell r="K164">
            <v>123298</v>
          </cell>
          <cell r="L164">
            <v>125444</v>
          </cell>
          <cell r="M164">
            <v>152718</v>
          </cell>
        </row>
        <row r="169">
          <cell r="B169">
            <v>24431</v>
          </cell>
          <cell r="C169">
            <v>24379</v>
          </cell>
          <cell r="D169">
            <v>24228</v>
          </cell>
          <cell r="E169">
            <v>24955</v>
          </cell>
          <cell r="F169">
            <v>24956</v>
          </cell>
          <cell r="G169">
            <v>28927</v>
          </cell>
          <cell r="H169">
            <v>29486</v>
          </cell>
          <cell r="I169">
            <v>29490</v>
          </cell>
          <cell r="J169">
            <v>28959</v>
          </cell>
          <cell r="K169">
            <v>21410</v>
          </cell>
          <cell r="L169">
            <v>21731</v>
          </cell>
          <cell r="M169">
            <v>25803</v>
          </cell>
        </row>
        <row r="170">
          <cell r="B170">
            <v>79041</v>
          </cell>
          <cell r="C170">
            <v>78847</v>
          </cell>
          <cell r="D170">
            <v>78290</v>
          </cell>
          <cell r="E170">
            <v>80974</v>
          </cell>
          <cell r="F170">
            <v>80975</v>
          </cell>
          <cell r="G170">
            <v>95623</v>
          </cell>
          <cell r="H170">
            <v>97681</v>
          </cell>
          <cell r="I170">
            <v>97694</v>
          </cell>
          <cell r="J170">
            <v>95738</v>
          </cell>
          <cell r="K170">
            <v>67899</v>
          </cell>
          <cell r="L170">
            <v>69080</v>
          </cell>
          <cell r="M170">
            <v>84100</v>
          </cell>
        </row>
        <row r="174">
          <cell r="B174">
            <v>1354372</v>
          </cell>
          <cell r="C174">
            <v>1351055</v>
          </cell>
          <cell r="D174">
            <v>1341524</v>
          </cell>
          <cell r="E174">
            <v>1387508</v>
          </cell>
          <cell r="F174">
            <v>1387529</v>
          </cell>
          <cell r="G174">
            <v>1638536</v>
          </cell>
          <cell r="H174">
            <v>1673795</v>
          </cell>
          <cell r="I174">
            <v>1674006</v>
          </cell>
          <cell r="J174">
            <v>1640509</v>
          </cell>
          <cell r="K174">
            <v>1163468</v>
          </cell>
          <cell r="L174">
            <v>1183714</v>
          </cell>
          <cell r="M174">
            <v>1441072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P - ORIGINAL"/>
      <sheetName val="PROCSQUALIDADE"/>
      <sheetName val="CUSTO POR PROCESSO"/>
      <sheetName val="MONTAGEM"/>
      <sheetName val="ACABAMENTO"/>
      <sheetName val="COLETOR"/>
      <sheetName val="TOTAL"/>
      <sheetName val="Resumo de VA"/>
    </sheetNames>
    <sheetDataSet>
      <sheetData sheetId="0">
        <row r="15">
          <cell r="F15">
            <v>428.28046261011951</v>
          </cell>
          <cell r="G15">
            <v>22.517567790418312</v>
          </cell>
          <cell r="I15">
            <v>404.14159460583608</v>
          </cell>
          <cell r="J15">
            <v>21.248426085102594</v>
          </cell>
          <cell r="L15">
            <v>441.51402124024133</v>
          </cell>
          <cell r="M15">
            <v>23.213344459160528</v>
          </cell>
          <cell r="O15">
            <v>363.41005744517037</v>
          </cell>
          <cell r="P15">
            <v>27.730856097211472</v>
          </cell>
          <cell r="R15">
            <v>417.94862161575276</v>
          </cell>
          <cell r="S15">
            <v>31.892549049232034</v>
          </cell>
          <cell r="U15">
            <v>418.45697714818556</v>
          </cell>
          <cell r="V15">
            <v>31.931340309482842</v>
          </cell>
        </row>
        <row r="16">
          <cell r="F16">
            <v>503.88463455271966</v>
          </cell>
          <cell r="G16">
            <v>34.382418590189147</v>
          </cell>
          <cell r="I16">
            <v>475.48454221900215</v>
          </cell>
          <cell r="J16">
            <v>32.444546713058642</v>
          </cell>
          <cell r="L16">
            <v>519.45430778397622</v>
          </cell>
          <cell r="M16">
            <v>35.444810625272162</v>
          </cell>
          <cell r="O16">
            <v>427.56268374362185</v>
          </cell>
          <cell r="P16">
            <v>29.174612913265548</v>
          </cell>
          <cell r="R16">
            <v>491.72891796463296</v>
          </cell>
          <cell r="S16">
            <v>33.552976874098128</v>
          </cell>
          <cell r="U16">
            <v>492.32701328778103</v>
          </cell>
          <cell r="V16">
            <v>33.593787731082415</v>
          </cell>
        </row>
        <row r="17">
          <cell r="F17">
            <v>1.2990065340364003</v>
          </cell>
          <cell r="G17">
            <v>8.8637325574089057E-2</v>
          </cell>
          <cell r="I17">
            <v>1.2257915499329779</v>
          </cell>
          <cell r="J17">
            <v>8.3641522848823507E-2</v>
          </cell>
          <cell r="L17">
            <v>1.3391449027686935</v>
          </cell>
          <cell r="M17">
            <v>9.1376155259789024E-2</v>
          </cell>
          <cell r="O17">
            <v>1.1022497647425156</v>
          </cell>
          <cell r="P17">
            <v>7.5211685777946749E-2</v>
          </cell>
          <cell r="R17">
            <v>1.2676692909632197</v>
          </cell>
          <cell r="S17">
            <v>8.6499038087388833E-2</v>
          </cell>
          <cell r="U17">
            <v>1.2692111711466383</v>
          </cell>
          <cell r="V17">
            <v>8.6604247824393951E-2</v>
          </cell>
        </row>
        <row r="21">
          <cell r="F21">
            <v>3235.4355743244623</v>
          </cell>
          <cell r="G21">
            <v>45.008550202733588</v>
          </cell>
          <cell r="I21">
            <v>3053.0790134180679</v>
          </cell>
          <cell r="J21">
            <v>42.471765204915485</v>
          </cell>
          <cell r="L21">
            <v>3335.4082093259849</v>
          </cell>
          <cell r="M21">
            <v>46.399282071132809</v>
          </cell>
          <cell r="O21">
            <v>2745.3734890441838</v>
          </cell>
          <cell r="P21">
            <v>38.191235049611095</v>
          </cell>
          <cell r="R21">
            <v>3157.3839030020918</v>
          </cell>
          <cell r="S21">
            <v>43.922763610350678</v>
          </cell>
          <cell r="U21">
            <v>3161.2242639749315</v>
          </cell>
          <cell r="V21">
            <v>39.630103804442676</v>
          </cell>
        </row>
        <row r="26">
          <cell r="F26">
            <v>446.48011499877339</v>
          </cell>
          <cell r="G26">
            <v>3.9929300822354872</v>
          </cell>
          <cell r="I26">
            <v>421.31772074689121</v>
          </cell>
          <cell r="J26">
            <v>3.7678994983993279</v>
          </cell>
          <cell r="L26">
            <v>460.27848553465066</v>
          </cell>
          <cell r="M26">
            <v>4.1163307152036266</v>
          </cell>
          <cell r="O26">
            <v>378.85508233476185</v>
          </cell>
          <cell r="P26">
            <v>3.3881505676158259</v>
          </cell>
          <cell r="R26">
            <v>435.71155010707463</v>
          </cell>
          <cell r="S26">
            <v>3.8966253975381928</v>
          </cell>
          <cell r="U26">
            <v>436.24151088595113</v>
          </cell>
          <cell r="V26">
            <v>3.9013649061194129</v>
          </cell>
        </row>
        <row r="46">
          <cell r="F46">
            <v>538.87533691784927</v>
          </cell>
          <cell r="G46">
            <v>41.120145456238028</v>
          </cell>
          <cell r="I46">
            <v>519.560571807526</v>
          </cell>
          <cell r="J46">
            <v>39.646287039684367</v>
          </cell>
          <cell r="L46">
            <v>428.68673109353881</v>
          </cell>
          <cell r="M46">
            <v>22.538928041270641</v>
          </cell>
          <cell r="O46">
            <v>346.77721943217978</v>
          </cell>
          <cell r="P46">
            <v>18.232397292064498</v>
          </cell>
          <cell r="R46">
            <v>352.92082431589597</v>
          </cell>
          <cell r="S46">
            <v>18.555407682507081</v>
          </cell>
          <cell r="U46">
            <v>363.93670189761013</v>
          </cell>
          <cell r="V46">
            <v>22.317490155169995</v>
          </cell>
        </row>
        <row r="47">
          <cell r="F47">
            <v>633.40192853572705</v>
          </cell>
          <cell r="G47">
            <v>43.2199927312328</v>
          </cell>
          <cell r="I47">
            <v>610.69907198996816</v>
          </cell>
          <cell r="J47">
            <v>41.670870048334976</v>
          </cell>
          <cell r="L47">
            <v>503.88463455271966</v>
          </cell>
          <cell r="M47">
            <v>34.382418590189147</v>
          </cell>
          <cell r="O47">
            <v>407.60700019582617</v>
          </cell>
          <cell r="P47">
            <v>27.812942765092227</v>
          </cell>
          <cell r="R47">
            <v>414.82828295811487</v>
          </cell>
          <cell r="S47">
            <v>28.305684852597079</v>
          </cell>
          <cell r="U47">
            <v>427.77650609387678</v>
          </cell>
          <cell r="V47">
            <v>29.189203017917041</v>
          </cell>
        </row>
        <row r="48">
          <cell r="F48">
            <v>1.6329000477848079</v>
          </cell>
          <cell r="G48">
            <v>0.11142045045432533</v>
          </cell>
          <cell r="I48">
            <v>1.5743724464809699</v>
          </cell>
          <cell r="J48">
            <v>0.10742683693821856</v>
          </cell>
          <cell r="L48">
            <v>1.2990065340364003</v>
          </cell>
          <cell r="M48">
            <v>8.8637325574089057E-2</v>
          </cell>
          <cell r="O48">
            <v>1.0508043315179845</v>
          </cell>
          <cell r="P48">
            <v>7.1701321900211973E-2</v>
          </cell>
          <cell r="R48">
            <v>1.069420683057785</v>
          </cell>
          <cell r="S48">
            <v>7.2971603126055884E-2</v>
          </cell>
          <cell r="U48">
            <v>1.1028009953438433</v>
          </cell>
          <cell r="V48">
            <v>7.5249298834537362E-2</v>
          </cell>
        </row>
        <row r="49">
          <cell r="G49">
            <v>0.12256249549975787</v>
          </cell>
          <cell r="J49">
            <v>0.11816952063204042</v>
          </cell>
          <cell r="M49">
            <v>9.7501058131497967E-2</v>
          </cell>
          <cell r="P49">
            <v>7.8871454090233176E-2</v>
          </cell>
          <cell r="S49">
            <v>8.0268763438661461E-2</v>
          </cell>
          <cell r="V49">
            <v>8.2774228717991088E-2</v>
          </cell>
        </row>
        <row r="50">
          <cell r="G50">
            <v>7.5320224507123932</v>
          </cell>
          <cell r="J50">
            <v>7.2620541770235763</v>
          </cell>
          <cell r="M50">
            <v>5.9918832088084208</v>
          </cell>
          <cell r="P50">
            <v>4.8470093604543303</v>
          </cell>
          <cell r="S50">
            <v>4.932880371321378</v>
          </cell>
          <cell r="V50">
            <v>5.0868526012147255</v>
          </cell>
        </row>
        <row r="51">
          <cell r="G51">
            <v>5.5914415162258457</v>
          </cell>
          <cell r="J51">
            <v>5.3910289678770686</v>
          </cell>
          <cell r="M51">
            <v>4.4481100200304295</v>
          </cell>
          <cell r="P51">
            <v>3.5982061318758141</v>
          </cell>
          <cell r="S51">
            <v>3.6619529858375786</v>
          </cell>
          <cell r="V51">
            <v>3.7762551834485407</v>
          </cell>
        </row>
        <row r="52">
          <cell r="F52">
            <v>4067.0641490176208</v>
          </cell>
          <cell r="I52">
            <v>3921.2894524501517</v>
          </cell>
          <cell r="L52">
            <v>3235.4355743244623</v>
          </cell>
          <cell r="O52">
            <v>2617.2383485118439</v>
          </cell>
          <cell r="R52">
            <v>2663.6060952920252</v>
          </cell>
          <cell r="U52">
            <v>2746.7464391029102</v>
          </cell>
        </row>
        <row r="57">
          <cell r="F57">
            <v>561.7746859868065</v>
          </cell>
          <cell r="G57">
            <v>5.0240245147788425</v>
          </cell>
          <cell r="I57">
            <v>541.63914560965429</v>
          </cell>
          <cell r="J57">
            <v>4.8439497428167844</v>
          </cell>
          <cell r="L57">
            <v>446.90364774199497</v>
          </cell>
          <cell r="M57">
            <v>3.9967177909696732</v>
          </cell>
          <cell r="O57">
            <v>361.51341545547348</v>
          </cell>
          <cell r="P57">
            <v>3.2330617718726877</v>
          </cell>
          <cell r="R57">
            <v>367.91809102314164</v>
          </cell>
          <cell r="S57">
            <v>3.2903396234096394</v>
          </cell>
          <cell r="U57">
            <v>379.40208508516707</v>
          </cell>
          <cell r="V57">
            <v>3.3930424847780594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rio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  <sheetName val="Rascunho"/>
      <sheetName val="Resumo por Operação"/>
      <sheetName val="Dados do Pareto"/>
      <sheetName val="Gráfico1"/>
      <sheetName val="Gráfico2"/>
      <sheetName val="Gráfico3"/>
    </sheetNames>
    <sheetDataSet>
      <sheetData sheetId="0"/>
      <sheetData sheetId="1"/>
      <sheetData sheetId="2"/>
      <sheetData sheetId="3">
        <row r="6">
          <cell r="AA6">
            <v>31.765063558675696</v>
          </cell>
        </row>
        <row r="7">
          <cell r="AA7">
            <v>70.029266824269456</v>
          </cell>
        </row>
        <row r="8">
          <cell r="AA8">
            <v>486.62297133754288</v>
          </cell>
        </row>
        <row r="9">
          <cell r="AA9">
            <v>18.972395292903848</v>
          </cell>
        </row>
        <row r="10">
          <cell r="AA10">
            <v>2.5094699496649988</v>
          </cell>
        </row>
        <row r="11">
          <cell r="AA11">
            <v>28.164600623519732</v>
          </cell>
        </row>
        <row r="12">
          <cell r="AA12">
            <v>10.631534694164447</v>
          </cell>
        </row>
        <row r="13">
          <cell r="AA13">
            <v>1.4827088803816373</v>
          </cell>
        </row>
        <row r="14">
          <cell r="AA14">
            <v>41.871468840230541</v>
          </cell>
        </row>
        <row r="15">
          <cell r="AA15">
            <v>692.04948000135334</v>
          </cell>
        </row>
        <row r="16">
          <cell r="AA16">
            <v>10397.762251954675</v>
          </cell>
        </row>
        <row r="17">
          <cell r="AA17">
            <v>49.06349945863191</v>
          </cell>
        </row>
        <row r="18">
          <cell r="AA18">
            <v>6.0258816362994372</v>
          </cell>
        </row>
        <row r="19">
          <cell r="AA19">
            <v>1252.8788344514246</v>
          </cell>
        </row>
        <row r="20">
          <cell r="AA20">
            <v>0</v>
          </cell>
        </row>
        <row r="21">
          <cell r="AA21">
            <v>2669.9964608457481</v>
          </cell>
        </row>
        <row r="22">
          <cell r="AA22">
            <v>10446.825751413307</v>
          </cell>
        </row>
        <row r="23">
          <cell r="AA23">
            <v>6.0540966000138372</v>
          </cell>
        </row>
        <row r="24">
          <cell r="AA24">
            <v>57.160031907277805</v>
          </cell>
        </row>
        <row r="25">
          <cell r="AA25">
            <v>46.327515651395537</v>
          </cell>
        </row>
        <row r="26">
          <cell r="AA26">
            <v>9.4538598544269465</v>
          </cell>
        </row>
        <row r="27">
          <cell r="AA27">
            <v>11.064930615493566</v>
          </cell>
        </row>
        <row r="28">
          <cell r="AA28">
            <v>11.567071767043364</v>
          </cell>
        </row>
        <row r="29">
          <cell r="AA29">
            <v>8.6916347491794657</v>
          </cell>
        </row>
        <row r="30">
          <cell r="AA30">
            <v>10.330263896973428</v>
          </cell>
        </row>
        <row r="31">
          <cell r="AA31">
            <v>68.901749700114777</v>
          </cell>
        </row>
        <row r="32">
          <cell r="AA32">
            <v>15.304376682057791</v>
          </cell>
        </row>
        <row r="33">
          <cell r="AA33">
            <v>23.966788047755983</v>
          </cell>
        </row>
        <row r="34">
          <cell r="AA34">
            <v>45.021256383274824</v>
          </cell>
        </row>
        <row r="35">
          <cell r="AA35">
            <v>0.59308355215265496</v>
          </cell>
        </row>
        <row r="36">
          <cell r="AA36">
            <v>314.43665940715994</v>
          </cell>
        </row>
        <row r="37">
          <cell r="AA37">
            <v>16.046938179763458</v>
          </cell>
        </row>
        <row r="38">
          <cell r="AA38">
            <v>10.291224860831736</v>
          </cell>
        </row>
        <row r="39">
          <cell r="AA39">
            <v>5.3509483699634535</v>
          </cell>
        </row>
        <row r="40">
          <cell r="AA40">
            <v>0.85324784970837875</v>
          </cell>
        </row>
        <row r="41">
          <cell r="AA41">
            <v>16.944515025963355</v>
          </cell>
        </row>
        <row r="42">
          <cell r="AA42">
            <v>15.446374090890249</v>
          </cell>
        </row>
        <row r="43">
          <cell r="AA43">
            <v>11.680819553396297</v>
          </cell>
        </row>
        <row r="44">
          <cell r="AA44">
            <v>5.3766599318004289</v>
          </cell>
        </row>
        <row r="45">
          <cell r="AA45">
            <v>6.6211125349503082</v>
          </cell>
        </row>
        <row r="46">
          <cell r="AA46">
            <v>37.541573424929162</v>
          </cell>
        </row>
        <row r="47">
          <cell r="AA47">
            <v>2.8581863724049361</v>
          </cell>
        </row>
        <row r="48">
          <cell r="AA48">
            <v>93.701124717146584</v>
          </cell>
        </row>
        <row r="49">
          <cell r="AA49">
            <v>4.6820736169837138</v>
          </cell>
        </row>
        <row r="50">
          <cell r="AA50">
            <v>23.23185652095658</v>
          </cell>
        </row>
        <row r="51">
          <cell r="AA51">
            <v>39.796270887719018</v>
          </cell>
        </row>
        <row r="52">
          <cell r="AA52">
            <v>66.415621870536071</v>
          </cell>
        </row>
        <row r="53">
          <cell r="AA53">
            <v>162.95636523398375</v>
          </cell>
        </row>
        <row r="54">
          <cell r="AA54">
            <v>85.083252374951186</v>
          </cell>
        </row>
        <row r="55">
          <cell r="AA55">
            <v>8040.282480134917</v>
          </cell>
        </row>
        <row r="56">
          <cell r="AA56">
            <v>17656.195207749806</v>
          </cell>
        </row>
        <row r="57">
          <cell r="AA57">
            <v>528.02413936302457</v>
          </cell>
        </row>
      </sheetData>
      <sheetData sheetId="4"/>
      <sheetData sheetId="5">
        <row r="7">
          <cell r="Z7">
            <v>120.4453381819668</v>
          </cell>
        </row>
        <row r="8">
          <cell r="Z8">
            <v>46.771881225772653</v>
          </cell>
        </row>
        <row r="9">
          <cell r="Z9">
            <v>75.855340590732098</v>
          </cell>
        </row>
        <row r="10">
          <cell r="Z10">
            <v>364.61445707522142</v>
          </cell>
        </row>
        <row r="11">
          <cell r="Z11">
            <v>42.129064918751382</v>
          </cell>
        </row>
        <row r="12">
          <cell r="Z12">
            <v>41.370513101229243</v>
          </cell>
        </row>
        <row r="13">
          <cell r="Z13">
            <v>203.69740469852792</v>
          </cell>
        </row>
        <row r="14">
          <cell r="Z14">
            <v>96.699679686127624</v>
          </cell>
        </row>
        <row r="15">
          <cell r="Z15">
            <v>119.23785422441036</v>
          </cell>
        </row>
        <row r="16">
          <cell r="Z16">
            <v>3513.8399722732065</v>
          </cell>
        </row>
        <row r="17">
          <cell r="Z17">
            <v>8.3997950066061193</v>
          </cell>
        </row>
        <row r="18">
          <cell r="Z18">
            <v>4.5073011401083347</v>
          </cell>
        </row>
        <row r="19">
          <cell r="Z19">
            <v>1123.7286298494539</v>
          </cell>
        </row>
        <row r="20">
          <cell r="Z20">
            <v>23.340813285105408</v>
          </cell>
        </row>
        <row r="21">
          <cell r="Z21">
            <v>15.755720942169269</v>
          </cell>
        </row>
        <row r="22">
          <cell r="Z22">
            <v>3.4617926488724855</v>
          </cell>
        </row>
        <row r="23">
          <cell r="Z23">
            <v>27.351071870025176</v>
          </cell>
        </row>
        <row r="24">
          <cell r="Z24">
            <v>5.3988685396115139</v>
          </cell>
        </row>
        <row r="25">
          <cell r="Z25">
            <v>10.086568371690223</v>
          </cell>
        </row>
        <row r="26">
          <cell r="Z26">
            <v>11.543128159516954</v>
          </cell>
        </row>
        <row r="27">
          <cell r="Z27">
            <v>1.0121820226945339</v>
          </cell>
        </row>
        <row r="28">
          <cell r="Z28">
            <v>83.061400966429758</v>
          </cell>
        </row>
        <row r="29">
          <cell r="Z29">
            <v>18.739244037758208</v>
          </cell>
        </row>
        <row r="30">
          <cell r="Z30">
            <v>4.5090461805690252</v>
          </cell>
        </row>
        <row r="31">
          <cell r="Z31">
            <v>66.053235010473671</v>
          </cell>
        </row>
        <row r="32">
          <cell r="Z32">
            <v>48.073485918557736</v>
          </cell>
        </row>
        <row r="33">
          <cell r="Z33">
            <v>3.736183867204653</v>
          </cell>
        </row>
        <row r="34">
          <cell r="Z34">
            <v>23.871756979401738</v>
          </cell>
        </row>
        <row r="35">
          <cell r="Z35">
            <v>40.720723082108051</v>
          </cell>
        </row>
        <row r="36">
          <cell r="Z36">
            <v>41.364237457626082</v>
          </cell>
        </row>
        <row r="37">
          <cell r="Z37">
            <v>428.07945933981449</v>
          </cell>
        </row>
        <row r="38">
          <cell r="Z38">
            <v>3.9221738744569916</v>
          </cell>
        </row>
        <row r="39">
          <cell r="Z39">
            <v>1.7600620054565992</v>
          </cell>
        </row>
        <row r="40">
          <cell r="Z40">
            <v>28.164323067238588</v>
          </cell>
        </row>
        <row r="41">
          <cell r="Z41">
            <v>4.1531180942231725</v>
          </cell>
        </row>
        <row r="42">
          <cell r="Z42">
            <v>23.063325286637351</v>
          </cell>
        </row>
        <row r="43">
          <cell r="Z43">
            <v>19.058965055294717</v>
          </cell>
        </row>
        <row r="44">
          <cell r="Z44">
            <v>70.814898067912409</v>
          </cell>
        </row>
        <row r="45">
          <cell r="Z45">
            <v>20.727718979859791</v>
          </cell>
        </row>
        <row r="46">
          <cell r="Z46">
            <v>5.327460697065602</v>
          </cell>
        </row>
        <row r="47">
          <cell r="Z47">
            <v>97.951957531253711</v>
          </cell>
        </row>
        <row r="48">
          <cell r="Z48">
            <v>75.248250812775041</v>
          </cell>
        </row>
        <row r="49">
          <cell r="Z49">
            <v>81.015390580132575</v>
          </cell>
        </row>
        <row r="50">
          <cell r="Z50">
            <v>431.20764405230659</v>
          </cell>
        </row>
        <row r="51">
          <cell r="Z51">
            <v>600</v>
          </cell>
        </row>
        <row r="52">
          <cell r="Z52">
            <v>0</v>
          </cell>
        </row>
        <row r="53">
          <cell r="Z53">
            <v>0</v>
          </cell>
        </row>
        <row r="54">
          <cell r="Z54">
            <v>10264.961432198535</v>
          </cell>
        </row>
        <row r="56">
          <cell r="Z56">
            <v>0</v>
          </cell>
        </row>
        <row r="57">
          <cell r="Z57">
            <v>3965.3119707573996</v>
          </cell>
        </row>
      </sheetData>
      <sheetData sheetId="6"/>
      <sheetData sheetId="7">
        <row r="7">
          <cell r="Z7">
            <v>113.24676344802053</v>
          </cell>
        </row>
        <row r="8">
          <cell r="Z8">
            <v>44.857889826400616</v>
          </cell>
        </row>
        <row r="9">
          <cell r="Z9">
            <v>45.329453390955202</v>
          </cell>
        </row>
        <row r="10">
          <cell r="Z10">
            <v>246.01881677660302</v>
          </cell>
        </row>
        <row r="11">
          <cell r="Z11">
            <v>34.795554507499887</v>
          </cell>
        </row>
        <row r="12">
          <cell r="Z12">
            <v>29.432550225355229</v>
          </cell>
        </row>
        <row r="13">
          <cell r="Z13">
            <v>229.2851283239219</v>
          </cell>
        </row>
        <row r="14">
          <cell r="Z14">
            <v>64.806994035937933</v>
          </cell>
        </row>
        <row r="15">
          <cell r="Z15">
            <v>40.887908459248699</v>
          </cell>
        </row>
        <row r="16">
          <cell r="Z16">
            <v>3177.5205484438156</v>
          </cell>
        </row>
        <row r="17">
          <cell r="Z17">
            <v>18.373980684683854</v>
          </cell>
        </row>
        <row r="18">
          <cell r="Z18">
            <v>0</v>
          </cell>
        </row>
        <row r="19">
          <cell r="Z19">
            <v>867.03503967862696</v>
          </cell>
        </row>
        <row r="20">
          <cell r="Z20">
            <v>14.798091682975869</v>
          </cell>
        </row>
        <row r="21">
          <cell r="Z21">
            <v>7.9069794302229788</v>
          </cell>
        </row>
        <row r="22">
          <cell r="Z22">
            <v>10.415426200534394</v>
          </cell>
        </row>
        <row r="23">
          <cell r="Z23">
            <v>25.602502457457796</v>
          </cell>
        </row>
        <row r="24">
          <cell r="Z24">
            <v>5.8365136045060781</v>
          </cell>
        </row>
        <row r="25">
          <cell r="Z25">
            <v>10.735200256982235</v>
          </cell>
        </row>
        <row r="26">
          <cell r="Z26">
            <v>0.75562207399092995</v>
          </cell>
        </row>
        <row r="27">
          <cell r="Z27">
            <v>2.1140085766971184E-2</v>
          </cell>
        </row>
        <row r="28">
          <cell r="Z28">
            <v>76.698687636035956</v>
          </cell>
        </row>
        <row r="29">
          <cell r="Z29">
            <v>0.10606912492956626</v>
          </cell>
        </row>
        <row r="30">
          <cell r="Z30">
            <v>21.221374265562826</v>
          </cell>
        </row>
        <row r="31">
          <cell r="Z31">
            <v>36.779005353511891</v>
          </cell>
        </row>
        <row r="32">
          <cell r="Z32">
            <v>26.462024517167496</v>
          </cell>
        </row>
        <row r="33">
          <cell r="Z33">
            <v>2.6002305493374558</v>
          </cell>
        </row>
        <row r="34">
          <cell r="Z34">
            <v>10.11772780335631</v>
          </cell>
        </row>
        <row r="35">
          <cell r="Z35">
            <v>21.651663582104774</v>
          </cell>
        </row>
        <row r="36">
          <cell r="Z36">
            <v>60.391544703715418</v>
          </cell>
        </row>
        <row r="37">
          <cell r="Z37">
            <v>332.35554051766576</v>
          </cell>
        </row>
        <row r="38">
          <cell r="Z38">
            <v>4.0218777873519729</v>
          </cell>
        </row>
        <row r="39">
          <cell r="Z39">
            <v>4.4961020079390206</v>
          </cell>
        </row>
        <row r="40">
          <cell r="Z40">
            <v>48.007185993450108</v>
          </cell>
        </row>
        <row r="41">
          <cell r="Z41">
            <v>5.5627834308896285</v>
          </cell>
        </row>
        <row r="42">
          <cell r="Z42">
            <v>22.520493569818544</v>
          </cell>
        </row>
        <row r="43">
          <cell r="Z43">
            <v>16.702053715693701</v>
          </cell>
        </row>
        <row r="44">
          <cell r="Z44">
            <v>50.05779534490437</v>
          </cell>
        </row>
        <row r="45">
          <cell r="Z45">
            <v>17.441906056628287</v>
          </cell>
        </row>
        <row r="46">
          <cell r="Z46">
            <v>10.964829843470699</v>
          </cell>
        </row>
        <row r="47">
          <cell r="Z47">
            <v>148.82287498083187</v>
          </cell>
        </row>
        <row r="48">
          <cell r="Z48">
            <v>96.707269350907055</v>
          </cell>
        </row>
        <row r="49">
          <cell r="Z49">
            <v>68.806859116735282</v>
          </cell>
        </row>
        <row r="50">
          <cell r="Z50">
            <v>494.11203119862051</v>
          </cell>
        </row>
        <row r="51">
          <cell r="Z51">
            <v>600</v>
          </cell>
        </row>
        <row r="52">
          <cell r="Z52">
            <v>0</v>
          </cell>
        </row>
        <row r="53">
          <cell r="Z53">
            <v>0</v>
          </cell>
        </row>
        <row r="54">
          <cell r="Z54">
            <v>10738.494671471841</v>
          </cell>
        </row>
        <row r="55">
          <cell r="Z55">
            <v>1085.1892905553541</v>
          </cell>
        </row>
        <row r="56">
          <cell r="Z56">
            <v>0</v>
          </cell>
        </row>
        <row r="57">
          <cell r="Z57">
            <v>2821.0114861927946</v>
          </cell>
        </row>
      </sheetData>
      <sheetData sheetId="8"/>
      <sheetData sheetId="9">
        <row r="6">
          <cell r="Z6">
            <v>76.48377419309351</v>
          </cell>
        </row>
        <row r="7">
          <cell r="Z7">
            <v>31.512515660699314</v>
          </cell>
        </row>
        <row r="8">
          <cell r="Z8">
            <v>22.889907073877492</v>
          </cell>
        </row>
        <row r="9">
          <cell r="Z9">
            <v>142.32125741215003</v>
          </cell>
        </row>
        <row r="10">
          <cell r="Z10">
            <v>25.100670313675284</v>
          </cell>
        </row>
        <row r="11">
          <cell r="Z11">
            <v>7.9638176149461888</v>
          </cell>
        </row>
        <row r="12">
          <cell r="Z12">
            <v>14.122528016681617</v>
          </cell>
        </row>
        <row r="13">
          <cell r="Z13">
            <v>349.81460868935073</v>
          </cell>
        </row>
        <row r="14">
          <cell r="Z14">
            <v>7.6279073361928438</v>
          </cell>
        </row>
        <row r="15">
          <cell r="Z15">
            <v>677.83698631066716</v>
          </cell>
        </row>
        <row r="16">
          <cell r="Z16">
            <v>0</v>
          </cell>
        </row>
        <row r="17">
          <cell r="Z17">
            <v>788.55141812792681</v>
          </cell>
        </row>
        <row r="18">
          <cell r="Z18">
            <v>0</v>
          </cell>
        </row>
        <row r="19">
          <cell r="Z19">
            <v>0.53534980811856203</v>
          </cell>
        </row>
        <row r="20">
          <cell r="Z20">
            <v>0</v>
          </cell>
        </row>
        <row r="21">
          <cell r="Z21">
            <v>21.47117218886871</v>
          </cell>
        </row>
        <row r="22">
          <cell r="Z22">
            <v>241.32075807855901</v>
          </cell>
        </row>
        <row r="23">
          <cell r="Z23">
            <v>3.3459363007410127E-2</v>
          </cell>
        </row>
        <row r="24">
          <cell r="Z24">
            <v>1.6802315088921549</v>
          </cell>
        </row>
        <row r="25">
          <cell r="Z25">
            <v>0.58124342477537605</v>
          </cell>
        </row>
        <row r="26">
          <cell r="Z26">
            <v>0.96085520423283732</v>
          </cell>
        </row>
        <row r="27">
          <cell r="Z27">
            <v>0.81865291145134411</v>
          </cell>
        </row>
        <row r="28">
          <cell r="Z28">
            <v>9.4957845456321532</v>
          </cell>
        </row>
        <row r="29">
          <cell r="Z29">
            <v>20.952498313550453</v>
          </cell>
        </row>
        <row r="30">
          <cell r="Z30">
            <v>4.1807071544618637</v>
          </cell>
        </row>
        <row r="31">
          <cell r="Z31">
            <v>3.6686582877318838</v>
          </cell>
        </row>
        <row r="32">
          <cell r="Z32">
            <v>6.4158328566708915</v>
          </cell>
        </row>
        <row r="33">
          <cell r="Z33">
            <v>20.058888122942367</v>
          </cell>
        </row>
        <row r="34">
          <cell r="Z34">
            <v>650.21542565752998</v>
          </cell>
        </row>
        <row r="35">
          <cell r="Z35">
            <v>0</v>
          </cell>
        </row>
        <row r="36">
          <cell r="Z36">
            <v>0.16911741119191323</v>
          </cell>
        </row>
        <row r="37">
          <cell r="Z37">
            <v>4.2188770931677111E-2</v>
          </cell>
        </row>
        <row r="38">
          <cell r="Z38">
            <v>0.25447979289830241</v>
          </cell>
        </row>
        <row r="39">
          <cell r="Z39">
            <v>3.2556243803463416</v>
          </cell>
        </row>
        <row r="40">
          <cell r="Z40">
            <v>3.3311699804147499</v>
          </cell>
        </row>
        <row r="41">
          <cell r="Z41">
            <v>0</v>
          </cell>
        </row>
        <row r="42">
          <cell r="Z42">
            <v>0</v>
          </cell>
        </row>
        <row r="43">
          <cell r="Z43">
            <v>0</v>
          </cell>
        </row>
        <row r="44">
          <cell r="Z44">
            <v>0</v>
          </cell>
        </row>
        <row r="45">
          <cell r="Z45">
            <v>0</v>
          </cell>
        </row>
        <row r="46">
          <cell r="Z46">
            <v>0</v>
          </cell>
        </row>
        <row r="47">
          <cell r="Z47">
            <v>0</v>
          </cell>
        </row>
        <row r="48">
          <cell r="Z48">
            <v>0</v>
          </cell>
        </row>
        <row r="49">
          <cell r="Z49">
            <v>2.1330343917223957</v>
          </cell>
        </row>
        <row r="50">
          <cell r="Z50">
            <v>2.9615840587630675</v>
          </cell>
        </row>
        <row r="51">
          <cell r="Z51">
            <v>1.6729681503705063E-2</v>
          </cell>
        </row>
        <row r="52">
          <cell r="Z52">
            <v>0.43497171909633164</v>
          </cell>
        </row>
        <row r="53">
          <cell r="Z53">
            <v>0.28440458556298609</v>
          </cell>
        </row>
        <row r="54">
          <cell r="Z54">
            <v>11.7906745128265</v>
          </cell>
        </row>
        <row r="55">
          <cell r="Z55">
            <v>0</v>
          </cell>
        </row>
        <row r="56">
          <cell r="Z56">
            <v>1000</v>
          </cell>
        </row>
        <row r="57">
          <cell r="Z57">
            <v>0</v>
          </cell>
        </row>
        <row r="58">
          <cell r="Z58">
            <v>30.507718095264135</v>
          </cell>
        </row>
        <row r="61">
          <cell r="Z61">
            <v>2530.0804231503325</v>
          </cell>
        </row>
      </sheetData>
      <sheetData sheetId="10"/>
      <sheetData sheetId="11">
        <row r="6">
          <cell r="X6">
            <v>48.367157056994095</v>
          </cell>
        </row>
        <row r="7">
          <cell r="X7">
            <v>95.920465927850003</v>
          </cell>
        </row>
        <row r="8">
          <cell r="X8">
            <v>159.97985708255339</v>
          </cell>
        </row>
        <row r="9">
          <cell r="X9">
            <v>330.18781354764008</v>
          </cell>
        </row>
        <row r="10">
          <cell r="X10">
            <v>607.45719601439771</v>
          </cell>
        </row>
        <row r="11">
          <cell r="X11">
            <v>343.64936102870314</v>
          </cell>
        </row>
        <row r="12">
          <cell r="X12">
            <v>477.93801339917172</v>
          </cell>
        </row>
        <row r="13">
          <cell r="X13">
            <v>478.2297388606849</v>
          </cell>
        </row>
        <row r="14">
          <cell r="X14">
            <v>579.35121489738719</v>
          </cell>
        </row>
        <row r="15">
          <cell r="X15">
            <v>809.50176052362656</v>
          </cell>
        </row>
        <row r="16">
          <cell r="X16">
            <v>848.67109834902647</v>
          </cell>
        </row>
        <row r="17">
          <cell r="X17">
            <v>445.71558661925877</v>
          </cell>
        </row>
        <row r="18">
          <cell r="X18">
            <v>515.25426357340677</v>
          </cell>
        </row>
        <row r="19">
          <cell r="X19">
            <v>825.48275394596965</v>
          </cell>
        </row>
        <row r="20">
          <cell r="X20">
            <v>627.46908070674101</v>
          </cell>
        </row>
        <row r="21">
          <cell r="X21">
            <v>379.04091362279831</v>
          </cell>
        </row>
        <row r="22">
          <cell r="X22">
            <v>0</v>
          </cell>
        </row>
        <row r="23">
          <cell r="X23">
            <v>32264.689934765014</v>
          </cell>
        </row>
        <row r="24">
          <cell r="X24">
            <v>20317.358781986764</v>
          </cell>
        </row>
        <row r="25">
          <cell r="X25">
            <v>0</v>
          </cell>
        </row>
        <row r="26">
          <cell r="X26">
            <v>0</v>
          </cell>
        </row>
        <row r="27">
          <cell r="X27">
            <v>6.2607762327700683E-2</v>
          </cell>
        </row>
        <row r="28">
          <cell r="X28">
            <v>3.8070632346107323E-2</v>
          </cell>
        </row>
        <row r="29">
          <cell r="X29">
            <v>5.9116319350363197E-2</v>
          </cell>
        </row>
        <row r="30">
          <cell r="X30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"/>
      <sheetName val="Gráfico Cascata"/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Dados do Pareto"/>
      <sheetName val="Gráfico2"/>
      <sheetName val="Dados do Pareto 10"/>
      <sheetName val="Pareto 10"/>
      <sheetName val="Controle de Revisões"/>
      <sheetName val="SJCPIL-R 17-202-04 - RESUMO DE "/>
    </sheetNames>
    <sheetDataSet>
      <sheetData sheetId="0"/>
      <sheetData sheetId="1"/>
      <sheetData sheetId="2"/>
      <sheetData sheetId="3">
        <row r="6">
          <cell r="I6">
            <v>447.48109999999991</v>
          </cell>
        </row>
        <row r="7">
          <cell r="I7">
            <v>530.37289999999985</v>
          </cell>
        </row>
        <row r="8">
          <cell r="I8">
            <v>530.37289999999985</v>
          </cell>
        </row>
        <row r="9">
          <cell r="I9">
            <v>533.59179999999981</v>
          </cell>
        </row>
        <row r="10">
          <cell r="I10">
            <v>546.13579999999979</v>
          </cell>
        </row>
        <row r="11">
          <cell r="I11">
            <v>556.37839999999983</v>
          </cell>
        </row>
        <row r="12">
          <cell r="I12">
            <v>574.80404999999985</v>
          </cell>
        </row>
        <row r="13">
          <cell r="I13">
            <v>662.85928000000001</v>
          </cell>
        </row>
        <row r="14">
          <cell r="I14">
            <v>662.85928000000001</v>
          </cell>
        </row>
        <row r="16">
          <cell r="I16">
            <v>10.242599999999999</v>
          </cell>
        </row>
        <row r="17">
          <cell r="I17">
            <v>0</v>
          </cell>
        </row>
        <row r="18">
          <cell r="I18">
            <v>3.0820500000000002</v>
          </cell>
        </row>
        <row r="19">
          <cell r="I19">
            <v>14.145299999999999</v>
          </cell>
        </row>
        <row r="20">
          <cell r="I20">
            <v>0</v>
          </cell>
        </row>
        <row r="21">
          <cell r="I21">
            <v>0</v>
          </cell>
        </row>
        <row r="23">
          <cell r="I23">
            <v>662.85928000000001</v>
          </cell>
        </row>
        <row r="24">
          <cell r="I24">
            <v>662.85928000000001</v>
          </cell>
        </row>
        <row r="25">
          <cell r="I25">
            <v>662.85928000000001</v>
          </cell>
        </row>
        <row r="26">
          <cell r="I26">
            <v>662.85928000000001</v>
          </cell>
        </row>
        <row r="27">
          <cell r="I27">
            <v>662.85928000000001</v>
          </cell>
        </row>
        <row r="28">
          <cell r="I28">
            <v>662.85928000000001</v>
          </cell>
        </row>
        <row r="29">
          <cell r="I29">
            <v>662.85928000000001</v>
          </cell>
        </row>
        <row r="30">
          <cell r="I30">
            <v>662.85928000000001</v>
          </cell>
        </row>
        <row r="31">
          <cell r="I31">
            <v>662.85928000000001</v>
          </cell>
        </row>
        <row r="32">
          <cell r="I32">
            <v>662.85928000000001</v>
          </cell>
        </row>
        <row r="33">
          <cell r="I33">
            <v>662.85928000000001</v>
          </cell>
        </row>
        <row r="34">
          <cell r="I34">
            <v>662.85928000000001</v>
          </cell>
        </row>
        <row r="35">
          <cell r="I35">
            <v>0</v>
          </cell>
        </row>
        <row r="37">
          <cell r="I37">
            <v>662.85928000000001</v>
          </cell>
        </row>
        <row r="38">
          <cell r="I38">
            <v>662.85928000000001</v>
          </cell>
        </row>
        <row r="39">
          <cell r="I39">
            <v>662.85928000000001</v>
          </cell>
        </row>
        <row r="40">
          <cell r="I40">
            <v>662.85928000000001</v>
          </cell>
        </row>
        <row r="41">
          <cell r="I41">
            <v>662.85928000000001</v>
          </cell>
        </row>
        <row r="42">
          <cell r="I42">
            <v>662.85928000000001</v>
          </cell>
        </row>
        <row r="43">
          <cell r="I43">
            <v>662.85928000000001</v>
          </cell>
        </row>
        <row r="44">
          <cell r="I44">
            <v>662.85928000000001</v>
          </cell>
        </row>
        <row r="45">
          <cell r="I45">
            <v>662.85928000000001</v>
          </cell>
        </row>
        <row r="46">
          <cell r="I46">
            <v>662.85928000000001</v>
          </cell>
        </row>
        <row r="47">
          <cell r="I47">
            <v>662.85928000000001</v>
          </cell>
        </row>
        <row r="48">
          <cell r="I48">
            <v>662.85928000000001</v>
          </cell>
        </row>
        <row r="49">
          <cell r="I49">
            <v>662.85928000000001</v>
          </cell>
        </row>
        <row r="50">
          <cell r="I50">
            <v>662.85928000000001</v>
          </cell>
        </row>
        <row r="51">
          <cell r="I51">
            <v>662.85928000000001</v>
          </cell>
        </row>
        <row r="52">
          <cell r="I52">
            <v>662.85928000000001</v>
          </cell>
        </row>
        <row r="53">
          <cell r="I53">
            <v>662.85928000000001</v>
          </cell>
        </row>
        <row r="54">
          <cell r="I54">
            <v>113.31</v>
          </cell>
        </row>
        <row r="55">
          <cell r="I55">
            <v>4.5547000000000004</v>
          </cell>
        </row>
        <row r="56">
          <cell r="I56">
            <v>1.7598</v>
          </cell>
        </row>
      </sheetData>
      <sheetData sheetId="4">
        <row r="7">
          <cell r="P7">
            <v>101.51740000000001</v>
          </cell>
        </row>
        <row r="8">
          <cell r="P8">
            <v>102.11490000000001</v>
          </cell>
        </row>
        <row r="9">
          <cell r="P9">
            <v>112.11490000000001</v>
          </cell>
        </row>
        <row r="10">
          <cell r="P10">
            <v>112.11490000000001</v>
          </cell>
        </row>
        <row r="11">
          <cell r="P11">
            <v>112.91170000000001</v>
          </cell>
        </row>
        <row r="12">
          <cell r="P12">
            <v>115.26520000000001</v>
          </cell>
        </row>
        <row r="13">
          <cell r="P13">
            <v>123.17910000000001</v>
          </cell>
        </row>
        <row r="14">
          <cell r="P14">
            <v>123.17910000000001</v>
          </cell>
        </row>
        <row r="15">
          <cell r="P15">
            <v>164.52930000000001</v>
          </cell>
        </row>
        <row r="16">
          <cell r="P16">
            <v>11.667999999999999</v>
          </cell>
        </row>
        <row r="17">
          <cell r="P17">
            <v>3.7541000000000002</v>
          </cell>
        </row>
        <row r="18">
          <cell r="P18">
            <v>0.60060000000000002</v>
          </cell>
        </row>
        <row r="19">
          <cell r="P19">
            <v>1052.6507191104918</v>
          </cell>
        </row>
        <row r="20">
          <cell r="P20">
            <v>164.52930000000001</v>
          </cell>
        </row>
        <row r="21">
          <cell r="P21">
            <v>164.52930000000001</v>
          </cell>
        </row>
        <row r="22">
          <cell r="P22">
            <v>164.52930000000001</v>
          </cell>
        </row>
        <row r="23">
          <cell r="P23">
            <v>164.52930000000001</v>
          </cell>
        </row>
        <row r="24">
          <cell r="P24">
            <v>164.52930000000001</v>
          </cell>
        </row>
        <row r="25">
          <cell r="P25">
            <v>164.52930000000001</v>
          </cell>
        </row>
        <row r="26">
          <cell r="P26">
            <v>164.52930000000001</v>
          </cell>
        </row>
        <row r="27">
          <cell r="P27">
            <v>164.52930000000001</v>
          </cell>
        </row>
        <row r="28">
          <cell r="P28">
            <v>164.52930000000001</v>
          </cell>
        </row>
        <row r="29">
          <cell r="P29">
            <v>164.52930000000001</v>
          </cell>
        </row>
        <row r="30">
          <cell r="P30">
            <v>164.52930000000001</v>
          </cell>
        </row>
        <row r="31">
          <cell r="P31">
            <v>164.52930000000001</v>
          </cell>
        </row>
        <row r="32">
          <cell r="P32">
            <v>164.52930000000001</v>
          </cell>
        </row>
        <row r="33">
          <cell r="P33">
            <v>164.52930000000001</v>
          </cell>
        </row>
        <row r="34">
          <cell r="P34">
            <v>164.52930000000001</v>
          </cell>
        </row>
        <row r="35">
          <cell r="P35">
            <v>164.52930000000001</v>
          </cell>
        </row>
        <row r="36">
          <cell r="P36">
            <v>164.52930000000001</v>
          </cell>
        </row>
        <row r="37">
          <cell r="P37">
            <v>404.15702706331683</v>
          </cell>
        </row>
        <row r="38">
          <cell r="P38">
            <v>164.52930000000001</v>
          </cell>
        </row>
        <row r="39">
          <cell r="P39">
            <v>164.52930000000001</v>
          </cell>
        </row>
        <row r="40">
          <cell r="P40">
            <v>164.52930000000001</v>
          </cell>
        </row>
        <row r="41">
          <cell r="P41">
            <v>164.52930000000001</v>
          </cell>
        </row>
        <row r="42">
          <cell r="P42">
            <v>164.52930000000001</v>
          </cell>
        </row>
        <row r="43">
          <cell r="P43">
            <v>164.52930000000001</v>
          </cell>
        </row>
        <row r="44">
          <cell r="P44">
            <v>164.52930000000001</v>
          </cell>
        </row>
        <row r="45">
          <cell r="P45">
            <v>164.52930000000001</v>
          </cell>
        </row>
        <row r="46">
          <cell r="P46">
            <v>164.52930000000001</v>
          </cell>
        </row>
        <row r="47">
          <cell r="P47">
            <v>164.52930000000001</v>
          </cell>
        </row>
        <row r="48">
          <cell r="P48">
            <v>164.52930000000001</v>
          </cell>
        </row>
        <row r="49">
          <cell r="P49">
            <v>164.52930000000001</v>
          </cell>
        </row>
        <row r="50">
          <cell r="P50">
            <v>549.20617629762921</v>
          </cell>
        </row>
        <row r="51">
          <cell r="P51">
            <v>164.52930000000001</v>
          </cell>
        </row>
        <row r="52">
          <cell r="P52">
            <v>164.52930000000001</v>
          </cell>
        </row>
        <row r="53">
          <cell r="P53">
            <v>120</v>
          </cell>
        </row>
        <row r="54">
          <cell r="P54">
            <v>1.25579</v>
          </cell>
        </row>
        <row r="55">
          <cell r="P55">
            <v>706.83790233299032</v>
          </cell>
        </row>
        <row r="56">
          <cell r="P56"/>
        </row>
        <row r="57">
          <cell r="P57">
            <v>2712.8518248044279</v>
          </cell>
        </row>
      </sheetData>
      <sheetData sheetId="5">
        <row r="7">
          <cell r="I7">
            <v>73.466199999999986</v>
          </cell>
        </row>
        <row r="8">
          <cell r="I8">
            <v>73.466199999999986</v>
          </cell>
        </row>
        <row r="9">
          <cell r="I9">
            <v>84.877499999999998</v>
          </cell>
        </row>
        <row r="10">
          <cell r="I10">
            <v>84.877499999999998</v>
          </cell>
        </row>
        <row r="11">
          <cell r="I11">
            <v>104.8775</v>
          </cell>
        </row>
        <row r="12">
          <cell r="I12">
            <v>104.8775</v>
          </cell>
        </row>
        <row r="13">
          <cell r="I13">
            <v>104.8775</v>
          </cell>
        </row>
        <row r="14">
          <cell r="I14">
            <v>132.3897</v>
          </cell>
        </row>
        <row r="15">
          <cell r="I15">
            <v>132.3897</v>
          </cell>
        </row>
        <row r="16">
          <cell r="I16"/>
        </row>
        <row r="17">
          <cell r="I17">
            <v>132.3897</v>
          </cell>
        </row>
        <row r="18">
          <cell r="I18">
            <v>20.330200000000001</v>
          </cell>
        </row>
        <row r="19">
          <cell r="I19">
            <v>20.330200000000001</v>
          </cell>
        </row>
        <row r="20">
          <cell r="I20">
            <v>20.330200000000001</v>
          </cell>
        </row>
        <row r="21">
          <cell r="I21">
            <v>132.3897</v>
          </cell>
        </row>
        <row r="22">
          <cell r="I22">
            <v>132.3897</v>
          </cell>
        </row>
        <row r="23">
          <cell r="I23">
            <v>132.3897</v>
          </cell>
        </row>
        <row r="24">
          <cell r="I24">
            <v>132.3897</v>
          </cell>
        </row>
        <row r="25">
          <cell r="I25">
            <v>132.3897</v>
          </cell>
        </row>
        <row r="26">
          <cell r="I26">
            <v>132.3897</v>
          </cell>
        </row>
        <row r="27">
          <cell r="I27">
            <v>132.3897</v>
          </cell>
        </row>
        <row r="28">
          <cell r="I28">
            <v>132.3897</v>
          </cell>
        </row>
        <row r="29">
          <cell r="I29">
            <v>132.3897</v>
          </cell>
        </row>
        <row r="30">
          <cell r="I30">
            <v>132.3897</v>
          </cell>
        </row>
        <row r="31">
          <cell r="I31">
            <v>132.3897</v>
          </cell>
        </row>
        <row r="32">
          <cell r="I32">
            <v>132.3897</v>
          </cell>
        </row>
        <row r="33">
          <cell r="I33">
            <v>132.3897</v>
          </cell>
        </row>
        <row r="34">
          <cell r="I34">
            <v>132.3897</v>
          </cell>
        </row>
        <row r="35">
          <cell r="I35"/>
        </row>
        <row r="36">
          <cell r="I36">
            <v>132.3897</v>
          </cell>
        </row>
        <row r="37">
          <cell r="I37">
            <v>20.330200000000001</v>
          </cell>
        </row>
        <row r="38">
          <cell r="I38">
            <v>20.330200000000001</v>
          </cell>
        </row>
        <row r="39">
          <cell r="I39">
            <v>20.330200000000001</v>
          </cell>
        </row>
        <row r="40">
          <cell r="I40">
            <v>132.3897</v>
          </cell>
        </row>
        <row r="41">
          <cell r="I41">
            <v>132.3897</v>
          </cell>
        </row>
        <row r="42">
          <cell r="I42">
            <v>132.3897</v>
          </cell>
        </row>
        <row r="43">
          <cell r="I43">
            <v>132.3897</v>
          </cell>
        </row>
        <row r="44">
          <cell r="I44">
            <v>132.3897</v>
          </cell>
        </row>
        <row r="45">
          <cell r="I45">
            <v>132.3897</v>
          </cell>
        </row>
        <row r="46">
          <cell r="I46">
            <v>132.3897</v>
          </cell>
        </row>
        <row r="47">
          <cell r="I47">
            <v>132.3897</v>
          </cell>
        </row>
        <row r="48">
          <cell r="I48">
            <v>132.3897</v>
          </cell>
        </row>
        <row r="49">
          <cell r="I49">
            <v>132.3897</v>
          </cell>
        </row>
        <row r="50">
          <cell r="I50">
            <v>132.3897</v>
          </cell>
        </row>
        <row r="52">
          <cell r="I52">
            <v>132.3897</v>
          </cell>
        </row>
        <row r="53">
          <cell r="I53">
            <v>132.3897</v>
          </cell>
        </row>
        <row r="54">
          <cell r="I54">
            <v>132.3897</v>
          </cell>
        </row>
        <row r="55">
          <cell r="I55"/>
        </row>
        <row r="56">
          <cell r="I56">
            <v>0</v>
          </cell>
        </row>
        <row r="57">
          <cell r="I57">
            <v>132.3897</v>
          </cell>
        </row>
        <row r="58">
          <cell r="I58"/>
        </row>
        <row r="59">
          <cell r="I59">
            <v>5.8390659999999997E-2</v>
          </cell>
        </row>
      </sheetData>
      <sheetData sheetId="6">
        <row r="6">
          <cell r="N6">
            <v>105.8002</v>
          </cell>
        </row>
        <row r="7">
          <cell r="N7">
            <v>105.8002</v>
          </cell>
        </row>
        <row r="8">
          <cell r="N8">
            <v>105.8002</v>
          </cell>
        </row>
        <row r="9">
          <cell r="N9">
            <v>105.8002</v>
          </cell>
        </row>
        <row r="11">
          <cell r="N11">
            <v>36.169600000000003</v>
          </cell>
        </row>
        <row r="12">
          <cell r="N12">
            <v>36.169600000000003</v>
          </cell>
        </row>
        <row r="13">
          <cell r="N13">
            <v>36.169600000000003</v>
          </cell>
        </row>
        <row r="14">
          <cell r="N14">
            <v>36.169600000000003</v>
          </cell>
        </row>
        <row r="15">
          <cell r="N15">
            <v>36.169600000000003</v>
          </cell>
        </row>
        <row r="23">
          <cell r="N23">
            <v>12.9</v>
          </cell>
        </row>
        <row r="24">
          <cell r="N24">
            <v>12.9</v>
          </cell>
        </row>
        <row r="27">
          <cell r="N27">
            <v>1.2388225700000002</v>
          </cell>
        </row>
        <row r="28">
          <cell r="N28">
            <v>0.33810186999999997</v>
          </cell>
        </row>
        <row r="29">
          <cell r="N29">
            <v>0.49430151000000006</v>
          </cell>
        </row>
      </sheetData>
      <sheetData sheetId="7">
        <row r="6">
          <cell r="I6">
            <v>15</v>
          </cell>
        </row>
        <row r="7">
          <cell r="I7">
            <v>20.535</v>
          </cell>
        </row>
        <row r="8">
          <cell r="I8">
            <v>662.85928000000001</v>
          </cell>
        </row>
        <row r="10">
          <cell r="I10">
            <v>10</v>
          </cell>
        </row>
        <row r="11">
          <cell r="I11">
            <v>20.22</v>
          </cell>
        </row>
        <row r="12">
          <cell r="I12">
            <v>570</v>
          </cell>
        </row>
        <row r="14">
          <cell r="I14">
            <v>5</v>
          </cell>
        </row>
        <row r="15">
          <cell r="I15">
            <v>15.324999999999999</v>
          </cell>
        </row>
        <row r="16">
          <cell r="I16">
            <v>164.52930000000001</v>
          </cell>
        </row>
        <row r="18">
          <cell r="I18">
            <v>15</v>
          </cell>
        </row>
        <row r="19">
          <cell r="I19">
            <v>20.535</v>
          </cell>
        </row>
        <row r="20">
          <cell r="I20">
            <v>1763.52</v>
          </cell>
        </row>
        <row r="22">
          <cell r="I22">
            <v>10</v>
          </cell>
        </row>
        <row r="23">
          <cell r="I23">
            <v>20.22</v>
          </cell>
        </row>
        <row r="24">
          <cell r="I24">
            <v>1027.44</v>
          </cell>
        </row>
        <row r="26">
          <cell r="I26">
            <v>5</v>
          </cell>
        </row>
        <row r="27">
          <cell r="I27">
            <v>15.324999999999999</v>
          </cell>
        </row>
        <row r="28">
          <cell r="I28">
            <v>394.93250360000002</v>
          </cell>
        </row>
        <row r="31">
          <cell r="I31">
            <v>20</v>
          </cell>
        </row>
        <row r="32">
          <cell r="I32">
            <v>40.44</v>
          </cell>
        </row>
        <row r="33">
          <cell r="I33">
            <v>460</v>
          </cell>
        </row>
        <row r="35">
          <cell r="I35">
            <v>42.16</v>
          </cell>
        </row>
        <row r="36">
          <cell r="I36">
            <v>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Quarter Results"/>
      <sheetName val="Detail Table(Forecast)"/>
      <sheetName val="Detail Table(4Q-Forecast)"/>
      <sheetName val="Detail Table(Input this !)"/>
      <sheetName val="2019 Quality Business Plan"/>
      <sheetName val="Planilha1"/>
    </sheetNames>
    <sheetDataSet>
      <sheetData sheetId="0"/>
      <sheetData sheetId="1"/>
      <sheetData sheetId="2"/>
      <sheetData sheetId="3"/>
      <sheetData sheetId="4"/>
      <sheetData sheetId="5">
        <row r="13">
          <cell r="AO13">
            <v>149832</v>
          </cell>
        </row>
      </sheetData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"/>
      <sheetName val="Gráfico Cascata"/>
      <sheetName val="Prod 1 2 3"/>
      <sheetName val="Falhas UM-1"/>
      <sheetName val="Falhas UM-3"/>
      <sheetName val="Falhas UM-4"/>
      <sheetName val="Falhas BLIND-PVC"/>
      <sheetName val="Falhas SM"/>
      <sheetName val="Custo do Blister"/>
      <sheetName val="Rascunho"/>
      <sheetName val="Resumo por Operação"/>
      <sheetName val="Planilha1"/>
      <sheetName val="Dados do Pareto"/>
      <sheetName val="Gráfico2"/>
      <sheetName val="Controle de Revisões"/>
      <sheetName val="SJCPIL-R 17-202-04 - RESUMO DE "/>
    </sheetNames>
    <sheetDataSet>
      <sheetData sheetId="0"/>
      <sheetData sheetId="1"/>
      <sheetData sheetId="2"/>
      <sheetData sheetId="3"/>
      <sheetData sheetId="4"/>
      <sheetData sheetId="5">
        <row r="60">
          <cell r="I60"/>
        </row>
        <row r="61">
          <cell r="I61"/>
        </row>
        <row r="62">
          <cell r="I62"/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rio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  <sheetName val="Rascunho"/>
      <sheetName val="Resumo por Operação"/>
      <sheetName val="Dados do Pareto"/>
      <sheetName val="Gráfico1"/>
      <sheetName val="Gráfico2"/>
      <sheetName val="Gráfico3"/>
    </sheetNames>
    <sheetDataSet>
      <sheetData sheetId="0"/>
      <sheetData sheetId="1">
        <row r="5">
          <cell r="R5">
            <v>28348889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6">
          <cell r="X6">
            <v>59</v>
          </cell>
        </row>
        <row r="7">
          <cell r="X7">
            <v>53</v>
          </cell>
        </row>
        <row r="8">
          <cell r="X8">
            <v>8</v>
          </cell>
        </row>
        <row r="9">
          <cell r="X9"/>
        </row>
        <row r="10">
          <cell r="X10">
            <v>20</v>
          </cell>
        </row>
        <row r="11">
          <cell r="X11">
            <v>20</v>
          </cell>
        </row>
        <row r="12">
          <cell r="X12">
            <v>0</v>
          </cell>
        </row>
        <row r="13">
          <cell r="X13"/>
        </row>
        <row r="14">
          <cell r="X14">
            <v>388</v>
          </cell>
        </row>
        <row r="15">
          <cell r="X15">
            <v>388</v>
          </cell>
        </row>
        <row r="16">
          <cell r="X16">
            <v>21</v>
          </cell>
        </row>
        <row r="17">
          <cell r="X17"/>
        </row>
        <row r="18">
          <cell r="X18">
            <v>20</v>
          </cell>
        </row>
        <row r="19">
          <cell r="X19">
            <v>18</v>
          </cell>
        </row>
        <row r="20">
          <cell r="X20">
            <v>3</v>
          </cell>
        </row>
        <row r="21">
          <cell r="X21"/>
        </row>
        <row r="22">
          <cell r="X22">
            <v>18</v>
          </cell>
        </row>
        <row r="23">
          <cell r="X23">
            <v>14</v>
          </cell>
        </row>
        <row r="24">
          <cell r="X24">
            <v>0</v>
          </cell>
        </row>
        <row r="25">
          <cell r="X25"/>
        </row>
        <row r="26">
          <cell r="X26">
            <v>174</v>
          </cell>
        </row>
        <row r="27">
          <cell r="X27">
            <v>168</v>
          </cell>
        </row>
        <row r="28">
          <cell r="X28">
            <v>11</v>
          </cell>
        </row>
        <row r="29">
          <cell r="X29"/>
        </row>
        <row r="30">
          <cell r="X30"/>
        </row>
        <row r="31">
          <cell r="X31">
            <v>474</v>
          </cell>
        </row>
        <row r="32">
          <cell r="X32">
            <v>435</v>
          </cell>
        </row>
        <row r="33">
          <cell r="X33">
            <v>4</v>
          </cell>
        </row>
        <row r="34">
          <cell r="X34"/>
        </row>
        <row r="35">
          <cell r="X35">
            <v>2</v>
          </cell>
        </row>
        <row r="36">
          <cell r="X36">
            <v>275</v>
          </cell>
        </row>
        <row r="37">
          <cell r="X37">
            <v>0</v>
          </cell>
        </row>
        <row r="38">
          <cell r="X38"/>
        </row>
        <row r="39">
          <cell r="X39"/>
        </row>
        <row r="40">
          <cell r="X40"/>
        </row>
        <row r="41">
          <cell r="X41"/>
        </row>
        <row r="42">
          <cell r="X42"/>
        </row>
      </sheetData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ário"/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  <sheetName val="Rascunho"/>
      <sheetName val="Resumo por Operação"/>
      <sheetName val="Dados do Pareto"/>
      <sheetName val="Gráfico1"/>
      <sheetName val="Gráfico2"/>
      <sheetName val="Gráfico3"/>
      <sheetName val="SM-PROD"/>
    </sheetNames>
    <sheetDataSet>
      <sheetData sheetId="0"/>
      <sheetData sheetId="1">
        <row r="5">
          <cell r="R5">
            <v>26307636</v>
          </cell>
        </row>
      </sheetData>
      <sheetData sheetId="2">
        <row r="5">
          <cell r="S5">
            <v>14111967.095374199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5">
          <cell r="W45"/>
        </row>
        <row r="46">
          <cell r="W46">
            <v>1</v>
          </cell>
        </row>
        <row r="47">
          <cell r="W47">
            <v>0</v>
          </cell>
        </row>
        <row r="48">
          <cell r="W48">
            <v>1125</v>
          </cell>
        </row>
        <row r="49">
          <cell r="W49">
            <v>43</v>
          </cell>
        </row>
        <row r="50">
          <cell r="W50">
            <v>1169</v>
          </cell>
        </row>
        <row r="51">
          <cell r="W51">
            <v>1168.7999291418462</v>
          </cell>
        </row>
        <row r="52">
          <cell r="W52"/>
        </row>
        <row r="53">
          <cell r="W53">
            <v>8</v>
          </cell>
        </row>
        <row r="54">
          <cell r="W54">
            <v>156</v>
          </cell>
        </row>
        <row r="55">
          <cell r="W55">
            <v>770</v>
          </cell>
        </row>
        <row r="56">
          <cell r="W56">
            <v>24</v>
          </cell>
        </row>
        <row r="57">
          <cell r="W57">
            <v>958</v>
          </cell>
        </row>
        <row r="58">
          <cell r="W58">
            <v>957.79520971522311</v>
          </cell>
        </row>
        <row r="59">
          <cell r="W59"/>
        </row>
        <row r="60">
          <cell r="W60">
            <v>10</v>
          </cell>
        </row>
        <row r="61">
          <cell r="W61">
            <v>8</v>
          </cell>
        </row>
        <row r="62">
          <cell r="W62">
            <v>682</v>
          </cell>
        </row>
        <row r="63">
          <cell r="W63">
            <v>2</v>
          </cell>
        </row>
        <row r="64">
          <cell r="W64">
            <v>701</v>
          </cell>
        </row>
        <row r="65">
          <cell r="W65">
            <v>701.48115779006514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</sheetNames>
    <sheetDataSet>
      <sheetData sheetId="0">
        <row r="5">
          <cell r="F5">
            <v>2628434</v>
          </cell>
          <cell r="G5">
            <v>2698731</v>
          </cell>
          <cell r="H5">
            <v>1717945</v>
          </cell>
          <cell r="I5">
            <v>2226237</v>
          </cell>
          <cell r="J5">
            <v>2158357</v>
          </cell>
          <cell r="K5">
            <v>2286313</v>
          </cell>
          <cell r="L5">
            <v>761784</v>
          </cell>
          <cell r="M5">
            <v>268229</v>
          </cell>
          <cell r="N5">
            <v>0</v>
          </cell>
          <cell r="R5">
            <v>14746030</v>
          </cell>
        </row>
        <row r="6">
          <cell r="R6">
            <v>27208750</v>
          </cell>
        </row>
        <row r="7">
          <cell r="R7">
            <v>95687853</v>
          </cell>
        </row>
        <row r="8">
          <cell r="R8">
            <v>95076589</v>
          </cell>
        </row>
        <row r="9">
          <cell r="R9">
            <v>23175865</v>
          </cell>
        </row>
        <row r="10">
          <cell r="R10">
            <v>255895087</v>
          </cell>
        </row>
        <row r="12">
          <cell r="R12">
            <v>461000.43113456958</v>
          </cell>
        </row>
        <row r="13">
          <cell r="R13">
            <v>96092.178364317428</v>
          </cell>
        </row>
        <row r="14">
          <cell r="R14">
            <v>234651.17518853507</v>
          </cell>
        </row>
        <row r="15">
          <cell r="R15">
            <v>25755.701883701884</v>
          </cell>
        </row>
        <row r="16">
          <cell r="R16">
            <v>7532.1783643174258</v>
          </cell>
        </row>
        <row r="17">
          <cell r="R17">
            <v>6450</v>
          </cell>
        </row>
        <row r="18">
          <cell r="R18">
            <v>65059.647619047624</v>
          </cell>
        </row>
        <row r="19">
          <cell r="R19">
            <v>15987</v>
          </cell>
        </row>
        <row r="20">
          <cell r="R20">
            <v>24635.219642857144</v>
          </cell>
        </row>
        <row r="21">
          <cell r="R21">
            <v>166050.277826826</v>
          </cell>
        </row>
        <row r="22">
          <cell r="R22">
            <v>71945</v>
          </cell>
        </row>
        <row r="23">
          <cell r="R23">
            <v>74104.355231952431</v>
          </cell>
        </row>
        <row r="24">
          <cell r="R24">
            <v>204134.80380499407</v>
          </cell>
        </row>
        <row r="25">
          <cell r="R25">
            <v>628</v>
          </cell>
        </row>
        <row r="26">
          <cell r="R26">
            <v>129461.60031372549</v>
          </cell>
        </row>
        <row r="27">
          <cell r="R27">
            <v>2343</v>
          </cell>
        </row>
        <row r="28">
          <cell r="R28">
            <v>11728</v>
          </cell>
        </row>
        <row r="29">
          <cell r="R29">
            <v>8982</v>
          </cell>
        </row>
        <row r="30">
          <cell r="R30">
            <v>463343.43113456958</v>
          </cell>
        </row>
        <row r="31">
          <cell r="R31">
            <v>107820.17836431743</v>
          </cell>
        </row>
        <row r="32">
          <cell r="R32">
            <v>243633.1751885351</v>
          </cell>
        </row>
        <row r="33">
          <cell r="R33">
            <v>814796.7846874221</v>
          </cell>
        </row>
        <row r="34">
          <cell r="R34">
            <v>3.1841048385873156E-3</v>
          </cell>
        </row>
        <row r="35">
          <cell r="R35">
            <v>2.5999999999999999E-3</v>
          </cell>
        </row>
        <row r="36">
          <cell r="R36">
            <v>5.8410483858731569E-4</v>
          </cell>
        </row>
        <row r="39">
          <cell r="R39">
            <v>39737.880248019312</v>
          </cell>
        </row>
        <row r="40">
          <cell r="R40">
            <v>105681.86726190477</v>
          </cell>
        </row>
        <row r="41">
          <cell r="R41">
            <v>312099.63305877836</v>
          </cell>
        </row>
        <row r="42">
          <cell r="R42">
            <v>334224.40411871951</v>
          </cell>
        </row>
        <row r="43">
          <cell r="R43">
            <v>23053</v>
          </cell>
        </row>
        <row r="45">
          <cell r="R45">
            <v>2.6948188934933209E-3</v>
          </cell>
        </row>
        <row r="46">
          <cell r="R46">
            <v>3.8841132820105579E-3</v>
          </cell>
        </row>
        <row r="47">
          <cell r="R47">
            <v>3.2616431790854204E-3</v>
          </cell>
        </row>
        <row r="48">
          <cell r="R48">
            <v>3.5153175732747367E-3</v>
          </cell>
        </row>
        <row r="49">
          <cell r="R49">
            <v>9.946985797509608E-4</v>
          </cell>
        </row>
        <row r="50">
          <cell r="R50">
            <v>994.69857975096079</v>
          </cell>
        </row>
        <row r="51">
          <cell r="R51">
            <v>3402.1417650125263</v>
          </cell>
        </row>
        <row r="52">
          <cell r="R52">
            <v>994.69857975096079</v>
          </cell>
        </row>
        <row r="53">
          <cell r="R53">
            <v>3402.1417650125263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 &amp; Defects - Qty"/>
      <sheetName val="Prod &amp; Defects - Costs"/>
      <sheetName val="Falhas UM-1 - Qty"/>
      <sheetName val="Falhas UM-1 - Cost"/>
      <sheetName val="Falhas UM-3-1 Qty"/>
      <sheetName val="Falhas UM-3-1 Cost"/>
      <sheetName val="Falhas UM-3-2 Qty"/>
      <sheetName val="Falhas UM-3-2 Cost"/>
      <sheetName val="Falhas UM-4 Qty"/>
      <sheetName val="Falhas UM-4 Cost"/>
      <sheetName val="BLIND-PVC-PRE - Qty"/>
      <sheetName val="BLIND-PVC-PRE - Cost"/>
      <sheetName val="SM - Qty"/>
      <sheetName val="SM Cost"/>
      <sheetName val="RESUMO - QLOSS-BP"/>
    </sheetNames>
    <sheetDataSet>
      <sheetData sheetId="0"/>
      <sheetData sheetId="1">
        <row r="5">
          <cell r="S5">
            <v>11485532.43776756</v>
          </cell>
        </row>
        <row r="6">
          <cell r="S6">
            <v>4862914.5688830996</v>
          </cell>
        </row>
        <row r="7">
          <cell r="S7">
            <v>17405875.540932801</v>
          </cell>
        </row>
        <row r="8">
          <cell r="S8">
            <v>8259973.5300866002</v>
          </cell>
        </row>
        <row r="9">
          <cell r="S9">
            <v>9741364.0635003708</v>
          </cell>
        </row>
        <row r="10">
          <cell r="S10">
            <v>51755660.141170435</v>
          </cell>
        </row>
        <row r="12">
          <cell r="S12">
            <v>75292.07218631584</v>
          </cell>
        </row>
        <row r="13">
          <cell r="S13">
            <v>25487.920665268197</v>
          </cell>
        </row>
        <row r="14">
          <cell r="S14">
            <v>35363.983423193502</v>
          </cell>
        </row>
        <row r="15">
          <cell r="S15">
            <v>19901.848487893621</v>
          </cell>
        </row>
        <row r="16">
          <cell r="S16">
            <v>9163.592521168197</v>
          </cell>
        </row>
        <row r="17">
          <cell r="S17">
            <v>4694.5387060646672</v>
          </cell>
        </row>
        <row r="18">
          <cell r="S18">
            <v>12535.257763860056</v>
          </cell>
        </row>
        <row r="19">
          <cell r="S19">
            <v>2985.8002108000001</v>
          </cell>
        </row>
        <row r="20">
          <cell r="S20">
            <v>5445.2169340537503</v>
          </cell>
        </row>
        <row r="21">
          <cell r="S21">
            <v>34254.14487986215</v>
          </cell>
        </row>
        <row r="22">
          <cell r="S22">
            <v>13178.762219799999</v>
          </cell>
        </row>
        <row r="23">
          <cell r="S23">
            <v>17591.915465335085</v>
          </cell>
        </row>
        <row r="24">
          <cell r="S24">
            <v>8600.8210546999999</v>
          </cell>
        </row>
        <row r="25">
          <cell r="S25">
            <v>159.7657135</v>
          </cell>
        </row>
        <row r="26">
          <cell r="S26">
            <v>7632.3123177399993</v>
          </cell>
        </row>
        <row r="27">
          <cell r="S27">
            <v>2120.9699934587998</v>
          </cell>
        </row>
        <row r="28">
          <cell r="S28">
            <v>798.32027928240018</v>
          </cell>
        </row>
        <row r="29">
          <cell r="S29">
            <v>4087.9027557959994</v>
          </cell>
        </row>
        <row r="30">
          <cell r="S30">
            <v>4855.9033637000002</v>
          </cell>
        </row>
        <row r="31">
          <cell r="S31">
            <v>13845.926899999999</v>
          </cell>
        </row>
        <row r="32">
          <cell r="S32">
            <v>5761.8554298479112</v>
          </cell>
        </row>
        <row r="33">
          <cell r="S33">
            <v>2121.318262197</v>
          </cell>
        </row>
        <row r="34">
          <cell r="S34">
            <v>77413.042179774624</v>
          </cell>
        </row>
        <row r="35">
          <cell r="S35">
            <v>26286.240944550598</v>
          </cell>
        </row>
        <row r="36">
          <cell r="S36">
            <v>39451.886178989495</v>
          </cell>
        </row>
        <row r="37">
          <cell r="S37">
            <v>169736.17325905961</v>
          </cell>
        </row>
        <row r="38">
          <cell r="S38">
            <v>3.2795673515917229E-3</v>
          </cell>
        </row>
        <row r="39">
          <cell r="S39">
            <v>9.2000000000000003E-4</v>
          </cell>
        </row>
        <row r="40">
          <cell r="S40">
            <v>2.3595673515917227E-3</v>
          </cell>
        </row>
        <row r="44">
          <cell r="S44">
            <v>33759.979715126487</v>
          </cell>
        </row>
        <row r="45">
          <cell r="S45">
            <v>20966.274908713807</v>
          </cell>
        </row>
        <row r="46">
          <cell r="S46">
            <v>65024.822564997237</v>
          </cell>
        </row>
        <row r="47">
          <cell r="S47">
            <v>16392.89908594</v>
          </cell>
        </row>
        <row r="48">
          <cell r="S48">
            <v>7007.1930285372</v>
          </cell>
        </row>
        <row r="49">
          <cell r="S49">
            <v>8120.162911693199</v>
          </cell>
        </row>
        <row r="50">
          <cell r="S50">
            <v>23388.137766394648</v>
          </cell>
        </row>
        <row r="51">
          <cell r="S51">
            <v>2869.2472979353843</v>
          </cell>
        </row>
        <row r="52">
          <cell r="S52">
            <v>142.26864696000001</v>
          </cell>
        </row>
        <row r="53">
          <cell r="S53">
            <v>394.01348949999999</v>
          </cell>
        </row>
        <row r="54">
          <cell r="S54">
            <v>86.875810799999996</v>
          </cell>
        </row>
        <row r="55">
          <cell r="S55">
            <v>126.121125737</v>
          </cell>
        </row>
        <row r="56">
          <cell r="S56">
            <v>1416.3514</v>
          </cell>
        </row>
        <row r="57">
          <cell r="S57">
            <v>7007.1930285372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8">
    <tabColor indexed="42"/>
    <pageSetUpPr fitToPage="1"/>
  </sheetPr>
  <dimension ref="A2:AA53"/>
  <sheetViews>
    <sheetView showGridLines="0" topLeftCell="A13" zoomScale="110" zoomScaleNormal="110" workbookViewId="0">
      <selection activeCell="G27" sqref="G27"/>
    </sheetView>
  </sheetViews>
  <sheetFormatPr defaultColWidth="11.42578125" defaultRowHeight="12.75"/>
  <cols>
    <col min="1" max="1" width="10.7109375" style="1" customWidth="1"/>
    <col min="2" max="2" width="6.7109375" style="1" customWidth="1"/>
    <col min="3" max="3" width="15.42578125" style="1" customWidth="1"/>
    <col min="4" max="4" width="4.85546875" style="543" bestFit="1" customWidth="1"/>
    <col min="5" max="6" width="13.85546875" style="543" customWidth="1"/>
    <col min="7" max="14" width="11.7109375" style="1" customWidth="1"/>
    <col min="15" max="18" width="13.42578125" style="1" bestFit="1" customWidth="1"/>
    <col min="19" max="19" width="14.140625" style="1" bestFit="1" customWidth="1"/>
    <col min="20" max="16384" width="11.42578125" style="1"/>
  </cols>
  <sheetData>
    <row r="2" spans="1:21" ht="18">
      <c r="A2" s="292" t="s">
        <v>202</v>
      </c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542"/>
      <c r="N2" s="542"/>
      <c r="O2" s="542"/>
      <c r="P2" s="542"/>
      <c r="Q2" s="542"/>
      <c r="R2" s="542"/>
      <c r="S2" s="542" t="s">
        <v>234</v>
      </c>
    </row>
    <row r="3" spans="1:21" ht="18">
      <c r="A3" s="221" t="s">
        <v>255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741" t="s">
        <v>206</v>
      </c>
      <c r="P3" s="741"/>
      <c r="Q3" s="741"/>
      <c r="R3" s="741"/>
    </row>
    <row r="4" spans="1:21">
      <c r="A4" s="286" t="s">
        <v>116</v>
      </c>
      <c r="B4" s="286"/>
      <c r="C4" s="286"/>
      <c r="D4" s="251" t="s">
        <v>192</v>
      </c>
      <c r="E4" s="251" t="s">
        <v>240</v>
      </c>
      <c r="F4" s="687" t="s">
        <v>260</v>
      </c>
      <c r="G4" s="703">
        <v>44652</v>
      </c>
      <c r="H4" s="703">
        <v>44682</v>
      </c>
      <c r="I4" s="703">
        <v>44713</v>
      </c>
      <c r="J4" s="703">
        <v>44743</v>
      </c>
      <c r="K4" s="703">
        <v>44774</v>
      </c>
      <c r="L4" s="703">
        <v>44805</v>
      </c>
      <c r="M4" s="703">
        <v>44835</v>
      </c>
      <c r="N4" s="703">
        <v>44866</v>
      </c>
      <c r="O4" s="703">
        <v>44896</v>
      </c>
      <c r="P4" s="703">
        <v>44927</v>
      </c>
      <c r="Q4" s="703">
        <v>44958</v>
      </c>
      <c r="R4" s="703">
        <v>44986</v>
      </c>
      <c r="S4" s="270" t="s">
        <v>1</v>
      </c>
    </row>
    <row r="5" spans="1:21">
      <c r="A5" s="286" t="s">
        <v>237</v>
      </c>
      <c r="B5" s="286"/>
      <c r="C5" s="286"/>
      <c r="D5" s="251" t="s">
        <v>193</v>
      </c>
      <c r="E5" s="615">
        <v>28348889</v>
      </c>
      <c r="F5" s="688">
        <f>'[9]Prod &amp; Defects - Qty'!$R5</f>
        <v>14746030</v>
      </c>
      <c r="G5" s="704" t="e">
        <f>INDEX('[1]PRODUCTION (Rev.1) (Ajuste Inv)'!$A$112:$N$124,MATCH($A5,'[1]PRODUCTION (Rev.1) (Ajuste Inv)'!$A$112:$A$124,0),MATCH(G$4,'[1]PRODUCTION (Rev.1) (Ajuste Inv)'!$A$5:$N$5,0))</f>
        <v>#N/A</v>
      </c>
      <c r="H5" s="704" t="e">
        <f>INDEX('[1]PRODUCTION (Rev.1) (Ajuste Inv)'!$A$112:$N$124,MATCH($A5,'[1]PRODUCTION (Rev.1) (Ajuste Inv)'!$A$112:$A$124,0),MATCH(H$4,'[1]PRODUCTION (Rev.1) (Ajuste Inv)'!$A$5:$N$5,0))</f>
        <v>#N/A</v>
      </c>
      <c r="I5" s="704" t="e">
        <f>INDEX('[1]PRODUCTION (Rev.1) (Ajuste Inv)'!$A$112:$N$124,MATCH($A5,'[1]PRODUCTION (Rev.1) (Ajuste Inv)'!$A$112:$A$124,0),MATCH(I$4,'[1]PRODUCTION (Rev.1) (Ajuste Inv)'!$A$5:$N$5,0))</f>
        <v>#N/A</v>
      </c>
      <c r="J5" s="704" t="e">
        <f>INDEX('[1]PRODUCTION (Rev.1) (Ajuste Inv)'!$A$112:$N$124,MATCH($A5,'[1]PRODUCTION (Rev.1) (Ajuste Inv)'!$A$112:$A$124,0),MATCH(J$4,'[1]PRODUCTION (Rev.1) (Ajuste Inv)'!$A$5:$N$5,0))</f>
        <v>#N/A</v>
      </c>
      <c r="K5" s="704" t="e">
        <f>INDEX('[1]PRODUCTION (Rev.1) (Ajuste Inv)'!$A$112:$N$124,MATCH($A5,'[1]PRODUCTION (Rev.1) (Ajuste Inv)'!$A$112:$A$124,0),MATCH(K$4,'[1]PRODUCTION (Rev.1) (Ajuste Inv)'!$A$5:$N$5,0))</f>
        <v>#N/A</v>
      </c>
      <c r="L5" s="704" t="e">
        <f>INDEX('[1]PRODUCTION (Rev.1) (Ajuste Inv)'!$A$112:$N$124,MATCH($A5,'[1]PRODUCTION (Rev.1) (Ajuste Inv)'!$A$112:$A$124,0),MATCH(L$4,'[1]PRODUCTION (Rev.1) (Ajuste Inv)'!$A$5:$N$5,0))</f>
        <v>#N/A</v>
      </c>
      <c r="M5" s="704" t="e">
        <f>INDEX('[1]PRODUCTION (Rev.1) (Ajuste Inv)'!$A$112:$N$124,MATCH($A5,'[1]PRODUCTION (Rev.1) (Ajuste Inv)'!$A$112:$A$124,0),MATCH(M$4,'[1]PRODUCTION (Rev.1) (Ajuste Inv)'!$A$5:$N$5,0))</f>
        <v>#N/A</v>
      </c>
      <c r="N5" s="704" t="e">
        <f>INDEX('[1]PRODUCTION (Rev.1) (Ajuste Inv)'!$A$112:$N$124,MATCH($A5,'[1]PRODUCTION (Rev.1) (Ajuste Inv)'!$A$112:$A$124,0),MATCH(N$4,'[1]PRODUCTION (Rev.1) (Ajuste Inv)'!$A$5:$N$5,0))</f>
        <v>#N/A</v>
      </c>
      <c r="O5" s="704" t="e">
        <f>INDEX('[1]PRODUCTION (Rev.1) (Ajuste Inv)'!$A$112:$N$124,MATCH($A5,'[1]PRODUCTION (Rev.1) (Ajuste Inv)'!$A$112:$A$124,0),MATCH(O$4,'[1]PRODUCTION (Rev.1) (Ajuste Inv)'!$A$5:$N$5,0))</f>
        <v>#N/A</v>
      </c>
      <c r="P5" s="704" t="e">
        <f>INDEX('[1]PRODUCTION (Rev.1) (Ajuste Inv)'!$A$112:$N$124,MATCH($A5,'[1]PRODUCTION (Rev.1) (Ajuste Inv)'!$A$112:$A$124,0),MATCH(P$4,'[1]PRODUCTION (Rev.1) (Ajuste Inv)'!$A$5:$N$5,0))</f>
        <v>#N/A</v>
      </c>
      <c r="Q5" s="704" t="e">
        <f>INDEX('[1]PRODUCTION (Rev.1) (Ajuste Inv)'!$A$112:$N$124,MATCH($A5,'[1]PRODUCTION (Rev.1) (Ajuste Inv)'!$A$112:$A$124,0),MATCH(Q$4,'[1]PRODUCTION (Rev.1) (Ajuste Inv)'!$A$5:$N$5,0))</f>
        <v>#N/A</v>
      </c>
      <c r="R5" s="704" t="e">
        <f>INDEX('[1]PRODUCTION (Rev.1) (Ajuste Inv)'!$A$112:$N$124,MATCH($A5,'[1]PRODUCTION (Rev.1) (Ajuste Inv)'!$A$112:$A$124,0),MATCH(R$4,'[1]PRODUCTION (Rev.1) (Ajuste Inv)'!$A$5:$N$5,0))</f>
        <v>#N/A</v>
      </c>
      <c r="S5" s="649" t="e">
        <f t="shared" ref="S5:S10" si="0">SUM(G5:R5)</f>
        <v>#N/A</v>
      </c>
      <c r="T5" s="650" t="e">
        <f>(S5/E5-1)</f>
        <v>#N/A</v>
      </c>
    </row>
    <row r="6" spans="1:21">
      <c r="A6" s="286" t="s">
        <v>238</v>
      </c>
      <c r="B6" s="286"/>
      <c r="C6" s="286"/>
      <c r="D6" s="251" t="s">
        <v>193</v>
      </c>
      <c r="E6" s="615">
        <v>41320188.279999994</v>
      </c>
      <c r="F6" s="688">
        <f>'[9]Prod &amp; Defects - Qty'!$R6</f>
        <v>27208750</v>
      </c>
      <c r="G6" s="704" t="e">
        <f>INDEX('[1]PRODUCTION (Rev.1) (Ajuste Inv)'!$A$112:$N$124,MATCH($A6,'[1]PRODUCTION (Rev.1) (Ajuste Inv)'!$A$112:$A$124,0),MATCH(G$4,'[1]PRODUCTION (Rev.1) (Ajuste Inv)'!$A$5:$N$5,0))*0.25</f>
        <v>#N/A</v>
      </c>
      <c r="H6" s="704" t="e">
        <f>INDEX('[1]PRODUCTION (Rev.1) (Ajuste Inv)'!$A$112:$N$124,MATCH($A6,'[1]PRODUCTION (Rev.1) (Ajuste Inv)'!$A$112:$A$124,0),MATCH(H$4,'[1]PRODUCTION (Rev.1) (Ajuste Inv)'!$A$5:$N$5,0))*0.25</f>
        <v>#N/A</v>
      </c>
      <c r="I6" s="704" t="e">
        <f>INDEX('[1]PRODUCTION (Rev.1) (Ajuste Inv)'!$A$112:$N$124,MATCH($A6,'[1]PRODUCTION (Rev.1) (Ajuste Inv)'!$A$112:$A$124,0),MATCH(I$4,'[1]PRODUCTION (Rev.1) (Ajuste Inv)'!$A$5:$N$5,0))*0.25</f>
        <v>#N/A</v>
      </c>
      <c r="J6" s="704" t="e">
        <f>INDEX('[1]PRODUCTION (Rev.1) (Ajuste Inv)'!$A$112:$N$124,MATCH($A6,'[1]PRODUCTION (Rev.1) (Ajuste Inv)'!$A$112:$A$124,0),MATCH(J$4,'[1]PRODUCTION (Rev.1) (Ajuste Inv)'!$A$5:$N$5,0))*0.25</f>
        <v>#N/A</v>
      </c>
      <c r="K6" s="704" t="e">
        <f>INDEX('[1]PRODUCTION (Rev.1) (Ajuste Inv)'!$A$112:$N$124,MATCH($A6,'[1]PRODUCTION (Rev.1) (Ajuste Inv)'!$A$112:$A$124,0),MATCH(K$4,'[1]PRODUCTION (Rev.1) (Ajuste Inv)'!$A$5:$N$5,0))*0.25</f>
        <v>#N/A</v>
      </c>
      <c r="L6" s="704" t="e">
        <f>INDEX('[1]PRODUCTION (Rev.1) (Ajuste Inv)'!$A$112:$N$124,MATCH($A6,'[1]PRODUCTION (Rev.1) (Ajuste Inv)'!$A$112:$A$124,0),MATCH(L$4,'[1]PRODUCTION (Rev.1) (Ajuste Inv)'!$A$5:$N$5,0))*0.25</f>
        <v>#N/A</v>
      </c>
      <c r="M6" s="704" t="e">
        <f>INDEX('[1]PRODUCTION (Rev.1) (Ajuste Inv)'!$A$112:$N$124,MATCH($A6,'[1]PRODUCTION (Rev.1) (Ajuste Inv)'!$A$112:$A$124,0),MATCH(M$4,'[1]PRODUCTION (Rev.1) (Ajuste Inv)'!$A$5:$N$5,0))*0.25</f>
        <v>#N/A</v>
      </c>
      <c r="N6" s="704" t="e">
        <f>INDEX('[1]PRODUCTION (Rev.1) (Ajuste Inv)'!$A$112:$N$124,MATCH($A6,'[1]PRODUCTION (Rev.1) (Ajuste Inv)'!$A$112:$A$124,0),MATCH(N$4,'[1]PRODUCTION (Rev.1) (Ajuste Inv)'!$A$5:$N$5,0))*0.25</f>
        <v>#N/A</v>
      </c>
      <c r="O6" s="704" t="e">
        <f>INDEX('[1]PRODUCTION (Rev.1) (Ajuste Inv)'!$A$112:$N$124,MATCH($A6,'[1]PRODUCTION (Rev.1) (Ajuste Inv)'!$A$112:$A$124,0),MATCH(O$4,'[1]PRODUCTION (Rev.1) (Ajuste Inv)'!$A$5:$N$5,0))*0.25</f>
        <v>#N/A</v>
      </c>
      <c r="P6" s="704" t="e">
        <f>INDEX('[1]PRODUCTION (Rev.1) (Ajuste Inv)'!$A$112:$N$124,MATCH($A6,'[1]PRODUCTION (Rev.1) (Ajuste Inv)'!$A$112:$A$124,0),MATCH(P$4,'[1]PRODUCTION (Rev.1) (Ajuste Inv)'!$A$5:$N$5,0))*0.25</f>
        <v>#N/A</v>
      </c>
      <c r="Q6" s="704" t="e">
        <f>INDEX('[1]PRODUCTION (Rev.1) (Ajuste Inv)'!$A$112:$N$124,MATCH($A6,'[1]PRODUCTION (Rev.1) (Ajuste Inv)'!$A$112:$A$124,0),MATCH(Q$4,'[1]PRODUCTION (Rev.1) (Ajuste Inv)'!$A$5:$N$5,0))*0.25</f>
        <v>#N/A</v>
      </c>
      <c r="R6" s="704" t="e">
        <f>INDEX('[1]PRODUCTION (Rev.1) (Ajuste Inv)'!$A$112:$N$124,MATCH($A6,'[1]PRODUCTION (Rev.1) (Ajuste Inv)'!$A$112:$A$124,0),MATCH(R$4,'[1]PRODUCTION (Rev.1) (Ajuste Inv)'!$A$5:$N$5,0))*0.25</f>
        <v>#N/A</v>
      </c>
      <c r="S6" s="649" t="e">
        <f t="shared" si="0"/>
        <v>#N/A</v>
      </c>
      <c r="T6" s="650"/>
    </row>
    <row r="7" spans="1:21">
      <c r="A7" s="286" t="s">
        <v>238</v>
      </c>
      <c r="B7" s="286"/>
      <c r="C7" s="286"/>
      <c r="D7" s="251" t="s">
        <v>193</v>
      </c>
      <c r="E7" s="615">
        <v>129436382.72</v>
      </c>
      <c r="F7" s="688">
        <f>'[9]Prod &amp; Defects - Qty'!$R7</f>
        <v>95687853</v>
      </c>
      <c r="G7" s="704" t="e">
        <f>INDEX('[1]PRODUCTION (Rev.1) (Ajuste Inv)'!$A$112:$N$124,MATCH($A7,'[1]PRODUCTION (Rev.1) (Ajuste Inv)'!$A$112:$A$124,0),MATCH(G$4,'[1]PRODUCTION (Rev.1) (Ajuste Inv)'!$A$5:$N$5,0))*0.75</f>
        <v>#N/A</v>
      </c>
      <c r="H7" s="704" t="e">
        <f>INDEX('[1]PRODUCTION (Rev.1) (Ajuste Inv)'!$A$112:$N$124,MATCH($A7,'[1]PRODUCTION (Rev.1) (Ajuste Inv)'!$A$112:$A$124,0),MATCH(H$4,'[1]PRODUCTION (Rev.1) (Ajuste Inv)'!$A$5:$N$5,0))*0.75</f>
        <v>#N/A</v>
      </c>
      <c r="I7" s="704" t="e">
        <f>INDEX('[1]PRODUCTION (Rev.1) (Ajuste Inv)'!$A$112:$N$124,MATCH($A7,'[1]PRODUCTION (Rev.1) (Ajuste Inv)'!$A$112:$A$124,0),MATCH(I$4,'[1]PRODUCTION (Rev.1) (Ajuste Inv)'!$A$5:$N$5,0))*0.75</f>
        <v>#N/A</v>
      </c>
      <c r="J7" s="704" t="e">
        <f>INDEX('[1]PRODUCTION (Rev.1) (Ajuste Inv)'!$A$112:$N$124,MATCH($A7,'[1]PRODUCTION (Rev.1) (Ajuste Inv)'!$A$112:$A$124,0),MATCH(J$4,'[1]PRODUCTION (Rev.1) (Ajuste Inv)'!$A$5:$N$5,0))*0.75</f>
        <v>#N/A</v>
      </c>
      <c r="K7" s="704" t="e">
        <f>INDEX('[1]PRODUCTION (Rev.1) (Ajuste Inv)'!$A$112:$N$124,MATCH($A7,'[1]PRODUCTION (Rev.1) (Ajuste Inv)'!$A$112:$A$124,0),MATCH(K$4,'[1]PRODUCTION (Rev.1) (Ajuste Inv)'!$A$5:$N$5,0))*0.75</f>
        <v>#N/A</v>
      </c>
      <c r="L7" s="704" t="e">
        <f>INDEX('[1]PRODUCTION (Rev.1) (Ajuste Inv)'!$A$112:$N$124,MATCH($A7,'[1]PRODUCTION (Rev.1) (Ajuste Inv)'!$A$112:$A$124,0),MATCH(L$4,'[1]PRODUCTION (Rev.1) (Ajuste Inv)'!$A$5:$N$5,0))*0.75</f>
        <v>#N/A</v>
      </c>
      <c r="M7" s="704" t="e">
        <f>INDEX('[1]PRODUCTION (Rev.1) (Ajuste Inv)'!$A$112:$N$124,MATCH($A7,'[1]PRODUCTION (Rev.1) (Ajuste Inv)'!$A$112:$A$124,0),MATCH(M$4,'[1]PRODUCTION (Rev.1) (Ajuste Inv)'!$A$5:$N$5,0))*0.75</f>
        <v>#N/A</v>
      </c>
      <c r="N7" s="704" t="e">
        <f>INDEX('[1]PRODUCTION (Rev.1) (Ajuste Inv)'!$A$112:$N$124,MATCH($A7,'[1]PRODUCTION (Rev.1) (Ajuste Inv)'!$A$112:$A$124,0),MATCH(N$4,'[1]PRODUCTION (Rev.1) (Ajuste Inv)'!$A$5:$N$5,0))*0.75</f>
        <v>#N/A</v>
      </c>
      <c r="O7" s="704" t="e">
        <f>INDEX('[1]PRODUCTION (Rev.1) (Ajuste Inv)'!$A$112:$N$124,MATCH($A7,'[1]PRODUCTION (Rev.1) (Ajuste Inv)'!$A$112:$A$124,0),MATCH(O$4,'[1]PRODUCTION (Rev.1) (Ajuste Inv)'!$A$5:$N$5,0))*0.75</f>
        <v>#N/A</v>
      </c>
      <c r="P7" s="704" t="e">
        <f>INDEX('[1]PRODUCTION (Rev.1) (Ajuste Inv)'!$A$112:$N$124,MATCH($A7,'[1]PRODUCTION (Rev.1) (Ajuste Inv)'!$A$112:$A$124,0),MATCH(P$4,'[1]PRODUCTION (Rev.1) (Ajuste Inv)'!$A$5:$N$5,0))*0.75</f>
        <v>#N/A</v>
      </c>
      <c r="Q7" s="704" t="e">
        <f>INDEX('[1]PRODUCTION (Rev.1) (Ajuste Inv)'!$A$112:$N$124,MATCH($A7,'[1]PRODUCTION (Rev.1) (Ajuste Inv)'!$A$112:$A$124,0),MATCH(Q$4,'[1]PRODUCTION (Rev.1) (Ajuste Inv)'!$A$5:$N$5,0))*0.75</f>
        <v>#N/A</v>
      </c>
      <c r="R7" s="704" t="e">
        <f>INDEX('[1]PRODUCTION (Rev.1) (Ajuste Inv)'!$A$112:$N$124,MATCH($A7,'[1]PRODUCTION (Rev.1) (Ajuste Inv)'!$A$112:$A$124,0),MATCH(R$4,'[1]PRODUCTION (Rev.1) (Ajuste Inv)'!$A$5:$N$5,0))*0.75</f>
        <v>#N/A</v>
      </c>
      <c r="S7" s="649" t="e">
        <f t="shared" si="0"/>
        <v>#N/A</v>
      </c>
      <c r="T7" s="650" t="e">
        <f>((S7+S6)/(E7+E6)-1)</f>
        <v>#N/A</v>
      </c>
    </row>
    <row r="8" spans="1:21">
      <c r="A8" s="286" t="s">
        <v>179</v>
      </c>
      <c r="B8" s="286"/>
      <c r="C8" s="286"/>
      <c r="D8" s="251" t="s">
        <v>193</v>
      </c>
      <c r="E8" s="615">
        <v>110378626</v>
      </c>
      <c r="F8" s="688">
        <f>'[9]Prod &amp; Defects - Qty'!$R8</f>
        <v>95076589</v>
      </c>
      <c r="G8" s="704" t="e">
        <f>INDEX('[1]PRODUCTION (Rev.1) (Ajuste Inv)'!$A$112:$N$124,MATCH($A8,'[1]PRODUCTION (Rev.1) (Ajuste Inv)'!$A$112:$A$124,0),MATCH(G$4,'[1]PRODUCTION (Rev.1) (Ajuste Inv)'!$A$5:$N$5,0))</f>
        <v>#N/A</v>
      </c>
      <c r="H8" s="704" t="e">
        <f>INDEX('[1]PRODUCTION (Rev.1) (Ajuste Inv)'!$A$112:$N$124,MATCH($A8,'[1]PRODUCTION (Rev.1) (Ajuste Inv)'!$A$112:$A$124,0),MATCH(H$4,'[1]PRODUCTION (Rev.1) (Ajuste Inv)'!$A$5:$N$5,0))</f>
        <v>#N/A</v>
      </c>
      <c r="I8" s="704" t="e">
        <f>INDEX('[1]PRODUCTION (Rev.1) (Ajuste Inv)'!$A$112:$N$124,MATCH($A8,'[1]PRODUCTION (Rev.1) (Ajuste Inv)'!$A$112:$A$124,0),MATCH(I$4,'[1]PRODUCTION (Rev.1) (Ajuste Inv)'!$A$5:$N$5,0))</f>
        <v>#N/A</v>
      </c>
      <c r="J8" s="704" t="e">
        <f>INDEX('[1]PRODUCTION (Rev.1) (Ajuste Inv)'!$A$112:$N$124,MATCH($A8,'[1]PRODUCTION (Rev.1) (Ajuste Inv)'!$A$112:$A$124,0),MATCH(J$4,'[1]PRODUCTION (Rev.1) (Ajuste Inv)'!$A$5:$N$5,0))</f>
        <v>#N/A</v>
      </c>
      <c r="K8" s="704" t="e">
        <f>INDEX('[1]PRODUCTION (Rev.1) (Ajuste Inv)'!$A$112:$N$124,MATCH($A8,'[1]PRODUCTION (Rev.1) (Ajuste Inv)'!$A$112:$A$124,0),MATCH(K$4,'[1]PRODUCTION (Rev.1) (Ajuste Inv)'!$A$5:$N$5,0))</f>
        <v>#N/A</v>
      </c>
      <c r="L8" s="704" t="e">
        <f>INDEX('[1]PRODUCTION (Rev.1) (Ajuste Inv)'!$A$112:$N$124,MATCH($A8,'[1]PRODUCTION (Rev.1) (Ajuste Inv)'!$A$112:$A$124,0),MATCH(L$4,'[1]PRODUCTION (Rev.1) (Ajuste Inv)'!$A$5:$N$5,0))</f>
        <v>#N/A</v>
      </c>
      <c r="M8" s="704" t="e">
        <f>INDEX('[1]PRODUCTION (Rev.1) (Ajuste Inv)'!$A$112:$N$124,MATCH($A8,'[1]PRODUCTION (Rev.1) (Ajuste Inv)'!$A$112:$A$124,0),MATCH(M$4,'[1]PRODUCTION (Rev.1) (Ajuste Inv)'!$A$5:$N$5,0))</f>
        <v>#N/A</v>
      </c>
      <c r="N8" s="704" t="e">
        <f>INDEX('[1]PRODUCTION (Rev.1) (Ajuste Inv)'!$A$112:$N$124,MATCH($A8,'[1]PRODUCTION (Rev.1) (Ajuste Inv)'!$A$112:$A$124,0),MATCH(N$4,'[1]PRODUCTION (Rev.1) (Ajuste Inv)'!$A$5:$N$5,0))</f>
        <v>#N/A</v>
      </c>
      <c r="O8" s="704" t="e">
        <f>INDEX('[1]PRODUCTION (Rev.1) (Ajuste Inv)'!$A$112:$N$124,MATCH($A8,'[1]PRODUCTION (Rev.1) (Ajuste Inv)'!$A$112:$A$124,0),MATCH(O$4,'[1]PRODUCTION (Rev.1) (Ajuste Inv)'!$A$5:$N$5,0))</f>
        <v>#N/A</v>
      </c>
      <c r="P8" s="704" t="e">
        <f>INDEX('[1]PRODUCTION (Rev.1) (Ajuste Inv)'!$A$112:$N$124,MATCH($A8,'[1]PRODUCTION (Rev.1) (Ajuste Inv)'!$A$112:$A$124,0),MATCH(P$4,'[1]PRODUCTION (Rev.1) (Ajuste Inv)'!$A$5:$N$5,0))</f>
        <v>#N/A</v>
      </c>
      <c r="Q8" s="704" t="e">
        <f>INDEX('[1]PRODUCTION (Rev.1) (Ajuste Inv)'!$A$112:$N$124,MATCH($A8,'[1]PRODUCTION (Rev.1) (Ajuste Inv)'!$A$112:$A$124,0),MATCH(Q$4,'[1]PRODUCTION (Rev.1) (Ajuste Inv)'!$A$5:$N$5,0))</f>
        <v>#N/A</v>
      </c>
      <c r="R8" s="704" t="e">
        <f>INDEX('[1]PRODUCTION (Rev.1) (Ajuste Inv)'!$A$112:$N$124,MATCH($A8,'[1]PRODUCTION (Rev.1) (Ajuste Inv)'!$A$112:$A$124,0),MATCH(R$4,'[1]PRODUCTION (Rev.1) (Ajuste Inv)'!$A$5:$N$5,0))</f>
        <v>#N/A</v>
      </c>
      <c r="S8" s="649" t="e">
        <f t="shared" si="0"/>
        <v>#N/A</v>
      </c>
      <c r="T8" s="650" t="e">
        <f>(S8/E8-1)</f>
        <v>#N/A</v>
      </c>
    </row>
    <row r="9" spans="1:21">
      <c r="A9" s="286" t="s">
        <v>239</v>
      </c>
      <c r="B9" s="286"/>
      <c r="C9" s="286"/>
      <c r="D9" s="251" t="s">
        <v>193</v>
      </c>
      <c r="E9" s="615">
        <v>34157162</v>
      </c>
      <c r="F9" s="688">
        <f>'[9]Prod &amp; Defects - Qty'!$R9</f>
        <v>23175865</v>
      </c>
      <c r="G9" s="704" t="e">
        <f>INDEX('[1]PRODUCTION (Rev.1) (Ajuste Inv)'!$A$112:$N$124,MATCH($A9,'[1]PRODUCTION (Rev.1) (Ajuste Inv)'!$A$112:$A$124,0),MATCH(G$4,'[1]PRODUCTION (Rev.1) (Ajuste Inv)'!$A$5:$N$5,0))</f>
        <v>#N/A</v>
      </c>
      <c r="H9" s="704" t="e">
        <f>INDEX('[1]PRODUCTION (Rev.1) (Ajuste Inv)'!$A$112:$N$124,MATCH($A9,'[1]PRODUCTION (Rev.1) (Ajuste Inv)'!$A$112:$A$124,0),MATCH(H$4,'[1]PRODUCTION (Rev.1) (Ajuste Inv)'!$A$5:$N$5,0))</f>
        <v>#N/A</v>
      </c>
      <c r="I9" s="704" t="e">
        <f>INDEX('[1]PRODUCTION (Rev.1) (Ajuste Inv)'!$A$112:$N$124,MATCH($A9,'[1]PRODUCTION (Rev.1) (Ajuste Inv)'!$A$112:$A$124,0),MATCH(I$4,'[1]PRODUCTION (Rev.1) (Ajuste Inv)'!$A$5:$N$5,0))</f>
        <v>#N/A</v>
      </c>
      <c r="J9" s="704" t="e">
        <f>INDEX('[1]PRODUCTION (Rev.1) (Ajuste Inv)'!$A$112:$N$124,MATCH($A9,'[1]PRODUCTION (Rev.1) (Ajuste Inv)'!$A$112:$A$124,0),MATCH(J$4,'[1]PRODUCTION (Rev.1) (Ajuste Inv)'!$A$5:$N$5,0))</f>
        <v>#N/A</v>
      </c>
      <c r="K9" s="704" t="e">
        <f>INDEX('[1]PRODUCTION (Rev.1) (Ajuste Inv)'!$A$112:$N$124,MATCH($A9,'[1]PRODUCTION (Rev.1) (Ajuste Inv)'!$A$112:$A$124,0),MATCH(K$4,'[1]PRODUCTION (Rev.1) (Ajuste Inv)'!$A$5:$N$5,0))</f>
        <v>#N/A</v>
      </c>
      <c r="L9" s="704" t="e">
        <f>INDEX('[1]PRODUCTION (Rev.1) (Ajuste Inv)'!$A$112:$N$124,MATCH($A9,'[1]PRODUCTION (Rev.1) (Ajuste Inv)'!$A$112:$A$124,0),MATCH(L$4,'[1]PRODUCTION (Rev.1) (Ajuste Inv)'!$A$5:$N$5,0))</f>
        <v>#N/A</v>
      </c>
      <c r="M9" s="704" t="e">
        <f>INDEX('[1]PRODUCTION (Rev.1) (Ajuste Inv)'!$A$112:$N$124,MATCH($A9,'[1]PRODUCTION (Rev.1) (Ajuste Inv)'!$A$112:$A$124,0),MATCH(M$4,'[1]PRODUCTION (Rev.1) (Ajuste Inv)'!$A$5:$N$5,0))</f>
        <v>#N/A</v>
      </c>
      <c r="N9" s="704" t="e">
        <f>INDEX('[1]PRODUCTION (Rev.1) (Ajuste Inv)'!$A$112:$N$124,MATCH($A9,'[1]PRODUCTION (Rev.1) (Ajuste Inv)'!$A$112:$A$124,0),MATCH(N$4,'[1]PRODUCTION (Rev.1) (Ajuste Inv)'!$A$5:$N$5,0))</f>
        <v>#N/A</v>
      </c>
      <c r="O9" s="704" t="e">
        <f>INDEX('[1]PRODUCTION (Rev.1) (Ajuste Inv)'!$A$112:$N$124,MATCH($A9,'[1]PRODUCTION (Rev.1) (Ajuste Inv)'!$A$112:$A$124,0),MATCH(O$4,'[1]PRODUCTION (Rev.1) (Ajuste Inv)'!$A$5:$N$5,0))</f>
        <v>#N/A</v>
      </c>
      <c r="P9" s="704" t="e">
        <f>INDEX('[1]PRODUCTION (Rev.1) (Ajuste Inv)'!$A$112:$N$124,MATCH($A9,'[1]PRODUCTION (Rev.1) (Ajuste Inv)'!$A$112:$A$124,0),MATCH(P$4,'[1]PRODUCTION (Rev.1) (Ajuste Inv)'!$A$5:$N$5,0))</f>
        <v>#N/A</v>
      </c>
      <c r="Q9" s="704" t="e">
        <f>INDEX('[1]PRODUCTION (Rev.1) (Ajuste Inv)'!$A$112:$N$124,MATCH($A9,'[1]PRODUCTION (Rev.1) (Ajuste Inv)'!$A$112:$A$124,0),MATCH(Q$4,'[1]PRODUCTION (Rev.1) (Ajuste Inv)'!$A$5:$N$5,0))</f>
        <v>#N/A</v>
      </c>
      <c r="R9" s="704" t="e">
        <f>INDEX('[1]PRODUCTION (Rev.1) (Ajuste Inv)'!$A$112:$N$124,MATCH($A9,'[1]PRODUCTION (Rev.1) (Ajuste Inv)'!$A$112:$A$124,0),MATCH(R$4,'[1]PRODUCTION (Rev.1) (Ajuste Inv)'!$A$5:$N$5,0))</f>
        <v>#N/A</v>
      </c>
      <c r="S9" s="649" t="e">
        <f t="shared" si="0"/>
        <v>#N/A</v>
      </c>
      <c r="T9" s="650" t="e">
        <f>(S9/E9-1)</f>
        <v>#N/A</v>
      </c>
    </row>
    <row r="10" spans="1:21">
      <c r="A10" s="286" t="s">
        <v>1</v>
      </c>
      <c r="B10" s="286"/>
      <c r="C10" s="286"/>
      <c r="D10" s="251" t="s">
        <v>193</v>
      </c>
      <c r="E10" s="615">
        <v>343641248</v>
      </c>
      <c r="F10" s="688">
        <f>'[9]Prod &amp; Defects - Qty'!$R10</f>
        <v>255895087</v>
      </c>
      <c r="G10" s="704" t="e">
        <f>SUM(G5:G9)</f>
        <v>#N/A</v>
      </c>
      <c r="H10" s="704" t="e">
        <f t="shared" ref="H10:R10" si="1">SUM(H5:H9)</f>
        <v>#N/A</v>
      </c>
      <c r="I10" s="704" t="e">
        <f t="shared" si="1"/>
        <v>#N/A</v>
      </c>
      <c r="J10" s="704" t="e">
        <f>SUM(J5:J9)</f>
        <v>#N/A</v>
      </c>
      <c r="K10" s="704" t="e">
        <f t="shared" si="1"/>
        <v>#N/A</v>
      </c>
      <c r="L10" s="704" t="e">
        <f t="shared" si="1"/>
        <v>#N/A</v>
      </c>
      <c r="M10" s="704" t="e">
        <f t="shared" si="1"/>
        <v>#N/A</v>
      </c>
      <c r="N10" s="704" t="e">
        <f t="shared" si="1"/>
        <v>#N/A</v>
      </c>
      <c r="O10" s="704" t="e">
        <f t="shared" si="1"/>
        <v>#N/A</v>
      </c>
      <c r="P10" s="704" t="e">
        <f t="shared" si="1"/>
        <v>#N/A</v>
      </c>
      <c r="Q10" s="704" t="e">
        <f t="shared" si="1"/>
        <v>#N/A</v>
      </c>
      <c r="R10" s="704" t="e">
        <f t="shared" si="1"/>
        <v>#N/A</v>
      </c>
      <c r="S10" s="649" t="e">
        <f t="shared" si="0"/>
        <v>#N/A</v>
      </c>
      <c r="T10" s="650" t="e">
        <f>(S10/E10-1)</f>
        <v>#N/A</v>
      </c>
      <c r="U10" s="317" t="e">
        <f>AVERAGE(G10:R10)</f>
        <v>#N/A</v>
      </c>
    </row>
    <row r="11" spans="1:21" ht="13.5" thickBot="1">
      <c r="E11" s="651"/>
      <c r="F11" s="689"/>
      <c r="G11" s="705"/>
      <c r="H11" s="705"/>
      <c r="I11" s="705"/>
      <c r="J11" s="705"/>
      <c r="K11" s="705"/>
      <c r="L11" s="705"/>
      <c r="M11" s="705"/>
      <c r="N11" s="705"/>
      <c r="O11" s="705"/>
      <c r="P11" s="705"/>
      <c r="Q11" s="705"/>
      <c r="R11" s="705"/>
    </row>
    <row r="12" spans="1:21">
      <c r="A12" s="293" t="s">
        <v>196</v>
      </c>
      <c r="B12" s="544"/>
      <c r="C12" s="294" t="s">
        <v>180</v>
      </c>
      <c r="D12" s="295" t="s">
        <v>193</v>
      </c>
      <c r="E12" s="616">
        <v>426914.20490901265</v>
      </c>
      <c r="F12" s="690">
        <f>'[9]Prod &amp; Defects - Qty'!$R12</f>
        <v>461000.43113456958</v>
      </c>
      <c r="G12" s="706" t="e">
        <f t="array" ref="G12">SUM(IF($C$15:$C$26=$C12,G$15:G$26))</f>
        <v>#N/A</v>
      </c>
      <c r="H12" s="706" t="e">
        <f t="array" ref="H12">SUM(IF($C$15:$C$26=$C12,H$15:H$26))</f>
        <v>#N/A</v>
      </c>
      <c r="I12" s="706" t="e">
        <f t="array" ref="I12">SUM(IF($C$15:$C$26=$C12,I$15:I$26))</f>
        <v>#N/A</v>
      </c>
      <c r="J12" s="706" t="e">
        <f t="array" ref="J12">SUM(IF($C$15:$C$26=$C12,J$15:J$26))</f>
        <v>#N/A</v>
      </c>
      <c r="K12" s="706" t="e">
        <f t="array" ref="K12">SUM(IF($C$15:$C$26=$C12,K$15:K$26))</f>
        <v>#N/A</v>
      </c>
      <c r="L12" s="706" t="e">
        <f t="array" ref="L12">SUM(IF($C$15:$C$26=$C12,L$15:L$26))</f>
        <v>#N/A</v>
      </c>
      <c r="M12" s="706" t="e">
        <f t="array" ref="M12">SUM(IF($C$15:$C$26=$C12,M$15:M$26))</f>
        <v>#N/A</v>
      </c>
      <c r="N12" s="706" t="e">
        <f t="array" ref="N12">SUM(IF($C$15:$C$26=$C12,N$15:N$26))</f>
        <v>#N/A</v>
      </c>
      <c r="O12" s="706" t="e">
        <f t="array" ref="O12">SUM(IF($C$15:$C$26=$C12,O$15:O$26))</f>
        <v>#N/A</v>
      </c>
      <c r="P12" s="706" t="e">
        <f t="array" ref="P12">SUM(IF($C$15:$C$26=$C12,P$15:P$26))</f>
        <v>#N/A</v>
      </c>
      <c r="Q12" s="706" t="e">
        <f t="array" ref="Q12">SUM(IF($C$15:$C$26=$C12,Q$15:Q$26))</f>
        <v>#N/A</v>
      </c>
      <c r="R12" s="706" t="e">
        <f t="array" ref="R12">SUM(IF($C$15:$C$26=$C12,R$15:R$26))</f>
        <v>#N/A</v>
      </c>
      <c r="S12" s="652" t="e">
        <f t="array" ref="S12">SUM(IF($C$15:$C$26=$C12,S$15:S$26))</f>
        <v>#N/A</v>
      </c>
    </row>
    <row r="13" spans="1:21">
      <c r="A13" s="547"/>
      <c r="B13" s="125"/>
      <c r="C13" s="202" t="s">
        <v>181</v>
      </c>
      <c r="D13" s="289" t="s">
        <v>193</v>
      </c>
      <c r="E13" s="617">
        <v>119976.64545370163</v>
      </c>
      <c r="F13" s="691">
        <f>'[9]Prod &amp; Defects - Qty'!$R13</f>
        <v>96092.178364317428</v>
      </c>
      <c r="G13" s="707" t="e">
        <f t="array" ref="G13">SUM(IF($C$15:$C$26=$C13,G$15:G$26))</f>
        <v>#N/A</v>
      </c>
      <c r="H13" s="707" t="e">
        <f t="array" ref="H13">SUM(IF($C$15:$C$26=$C13,H$15:H$26))</f>
        <v>#N/A</v>
      </c>
      <c r="I13" s="707" t="e">
        <f t="array" ref="I13">SUM(IF($C$15:$C$26=$C13,I$15:I$26))</f>
        <v>#N/A</v>
      </c>
      <c r="J13" s="707" t="e">
        <f t="array" ref="J13">SUM(IF($C$15:$C$26=$C13,J$15:J$26))</f>
        <v>#N/A</v>
      </c>
      <c r="K13" s="707" t="e">
        <f t="array" ref="K13">SUM(IF($C$15:$C$26=$C13,K$15:K$26))</f>
        <v>#N/A</v>
      </c>
      <c r="L13" s="707" t="e">
        <f t="array" ref="L13">SUM(IF($C$15:$C$26=$C13,L$15:L$26))</f>
        <v>#N/A</v>
      </c>
      <c r="M13" s="707" t="e">
        <f t="array" ref="M13">SUM(IF($C$15:$C$26=$C13,M$15:M$26))</f>
        <v>#N/A</v>
      </c>
      <c r="N13" s="707" t="e">
        <f t="array" ref="N13">SUM(IF($C$15:$C$26=$C13,N$15:N$26))</f>
        <v>#N/A</v>
      </c>
      <c r="O13" s="707" t="e">
        <f t="array" ref="O13">SUM(IF($C$15:$C$26=$C13,O$15:O$26))</f>
        <v>#N/A</v>
      </c>
      <c r="P13" s="707" t="e">
        <f t="array" ref="P13">SUM(IF($C$15:$C$26=$C13,P$15:P$26))</f>
        <v>#N/A</v>
      </c>
      <c r="Q13" s="707" t="e">
        <f t="array" ref="Q13">SUM(IF($C$15:$C$26=$C13,Q$15:Q$26))</f>
        <v>#N/A</v>
      </c>
      <c r="R13" s="707" t="e">
        <f t="array" ref="R13">SUM(IF($C$15:$C$26=$C13,R$15:R$26))</f>
        <v>#N/A</v>
      </c>
      <c r="S13" s="653" t="e">
        <f t="array" ref="S13">SUM(IF($C$15:$C$26=$C13,S$15:S$26))</f>
        <v>#N/A</v>
      </c>
    </row>
    <row r="14" spans="1:21">
      <c r="A14" s="550"/>
      <c r="B14" s="551"/>
      <c r="C14" s="203" t="s">
        <v>113</v>
      </c>
      <c r="D14" s="290" t="s">
        <v>193</v>
      </c>
      <c r="E14" s="618">
        <v>408092.48124336172</v>
      </c>
      <c r="F14" s="692">
        <f>'[9]Prod &amp; Defects - Qty'!$R14</f>
        <v>234651.17518853507</v>
      </c>
      <c r="G14" s="708" t="e">
        <f t="array" ref="G14">SUM(IF($C$15:$C$26=$C14,G$15:G$26))</f>
        <v>#N/A</v>
      </c>
      <c r="H14" s="708" t="e">
        <f t="array" ref="H14">SUM(IF($C$15:$C$26=$C14,H$15:H$26))</f>
        <v>#N/A</v>
      </c>
      <c r="I14" s="708" t="e">
        <f t="array" ref="I14">SUM(IF($C$15:$C$26=$C14,I$15:I$26))</f>
        <v>#N/A</v>
      </c>
      <c r="J14" s="708" t="e">
        <f t="array" ref="J14">SUM(IF($C$15:$C$26=$C14,J$15:J$26))</f>
        <v>#N/A</v>
      </c>
      <c r="K14" s="708" t="e">
        <f t="array" ref="K14">SUM(IF($C$15:$C$26=$C14,K$15:K$26))</f>
        <v>#N/A</v>
      </c>
      <c r="L14" s="708" t="e">
        <f t="array" ref="L14">SUM(IF($C$15:$C$26=$C14,L$15:L$26))</f>
        <v>#N/A</v>
      </c>
      <c r="M14" s="708" t="e">
        <f t="array" ref="M14">SUM(IF($C$15:$C$26=$C14,M$15:M$26))</f>
        <v>#N/A</v>
      </c>
      <c r="N14" s="708" t="e">
        <f t="array" ref="N14">SUM(IF($C$15:$C$26=$C14,N$15:N$26))</f>
        <v>#N/A</v>
      </c>
      <c r="O14" s="708" t="e">
        <f t="array" ref="O14">SUM(IF($C$15:$C$26=$C14,O$15:O$26))</f>
        <v>#N/A</v>
      </c>
      <c r="P14" s="708" t="e">
        <f t="array" ref="P14">SUM(IF($C$15:$C$26=$C14,P$15:P$26))</f>
        <v>#N/A</v>
      </c>
      <c r="Q14" s="708" t="e">
        <f t="array" ref="Q14">SUM(IF($C$15:$C$26=$C14,Q$15:Q$26))</f>
        <v>#N/A</v>
      </c>
      <c r="R14" s="708" t="e">
        <f t="array" ref="R14">SUM(IF($C$15:$C$26=$C14,R$15:R$26))</f>
        <v>#N/A</v>
      </c>
      <c r="S14" s="654" t="e">
        <f t="array" ref="S14">SUM(IF($C$15:$C$26=$C14,S$15:S$26))</f>
        <v>#N/A</v>
      </c>
    </row>
    <row r="15" spans="1:21">
      <c r="A15" s="296" t="s">
        <v>107</v>
      </c>
      <c r="B15" s="554"/>
      <c r="C15" s="201" t="s">
        <v>180</v>
      </c>
      <c r="D15" s="288" t="s">
        <v>193</v>
      </c>
      <c r="E15" s="619">
        <v>28553.223394890556</v>
      </c>
      <c r="F15" s="693">
        <f>'[9]Prod &amp; Defects - Qty'!$R15</f>
        <v>25755.701883701884</v>
      </c>
      <c r="G15" s="709" t="e">
        <f>'Falhas UM-1 - Qty'!F15+'Falhas UM-1 - Qty'!F17+'Falhas UM-1 - Qty'!F36</f>
        <v>#N/A</v>
      </c>
      <c r="H15" s="709" t="e">
        <f>'Falhas UM-1 - Qty'!G15+'Falhas UM-1 - Qty'!G17+'Falhas UM-1 - Qty'!G36</f>
        <v>#N/A</v>
      </c>
      <c r="I15" s="709" t="e">
        <f>'Falhas UM-1 - Qty'!H15+'Falhas UM-1 - Qty'!H17+'Falhas UM-1 - Qty'!H36</f>
        <v>#N/A</v>
      </c>
      <c r="J15" s="709" t="e">
        <f>'Falhas UM-1 - Qty'!I15+'Falhas UM-1 - Qty'!I17+'Falhas UM-1 - Qty'!I36</f>
        <v>#N/A</v>
      </c>
      <c r="K15" s="709" t="e">
        <f>'Falhas UM-1 - Qty'!J15+'Falhas UM-1 - Qty'!J17+'Falhas UM-1 - Qty'!J36</f>
        <v>#N/A</v>
      </c>
      <c r="L15" s="709" t="e">
        <f>'Falhas UM-1 - Qty'!K15+'Falhas UM-1 - Qty'!K17+'Falhas UM-1 - Qty'!K36</f>
        <v>#N/A</v>
      </c>
      <c r="M15" s="709" t="e">
        <f>'Falhas UM-1 - Qty'!L15+'Falhas UM-1 - Qty'!L17+'Falhas UM-1 - Qty'!L36</f>
        <v>#N/A</v>
      </c>
      <c r="N15" s="709" t="e">
        <f>'Falhas UM-1 - Qty'!M15+'Falhas UM-1 - Qty'!M17+'Falhas UM-1 - Qty'!M36</f>
        <v>#N/A</v>
      </c>
      <c r="O15" s="709" t="e">
        <f>'Falhas UM-1 - Qty'!N15+'Falhas UM-1 - Qty'!N17+'Falhas UM-1 - Qty'!N36</f>
        <v>#N/A</v>
      </c>
      <c r="P15" s="709" t="e">
        <f>'Falhas UM-1 - Qty'!O15+'Falhas UM-1 - Qty'!O17+'Falhas UM-1 - Qty'!O36</f>
        <v>#N/A</v>
      </c>
      <c r="Q15" s="709" t="e">
        <f>'Falhas UM-1 - Qty'!P15+'Falhas UM-1 - Qty'!P17+'Falhas UM-1 - Qty'!P36</f>
        <v>#N/A</v>
      </c>
      <c r="R15" s="709" t="e">
        <f>'Falhas UM-1 - Qty'!Q15+'Falhas UM-1 - Qty'!Q17+'Falhas UM-1 - Qty'!Q36</f>
        <v>#N/A</v>
      </c>
      <c r="S15" s="655" t="e">
        <f>SUM(G15:R15)</f>
        <v>#N/A</v>
      </c>
    </row>
    <row r="16" spans="1:21">
      <c r="A16" s="547"/>
      <c r="B16" s="125"/>
      <c r="C16" s="202" t="s">
        <v>181</v>
      </c>
      <c r="D16" s="289" t="s">
        <v>193</v>
      </c>
      <c r="E16" s="617">
        <v>16295.828928211371</v>
      </c>
      <c r="F16" s="691">
        <f>'[9]Prod &amp; Defects - Qty'!$R16</f>
        <v>7532.1783643174258</v>
      </c>
      <c r="G16" s="707" t="e">
        <f>'Falhas UM-1 - Qty'!F57</f>
        <v>#N/A</v>
      </c>
      <c r="H16" s="707" t="e">
        <f>'Falhas UM-1 - Qty'!G57</f>
        <v>#N/A</v>
      </c>
      <c r="I16" s="707" t="e">
        <f>'Falhas UM-1 - Qty'!H57</f>
        <v>#N/A</v>
      </c>
      <c r="J16" s="707" t="e">
        <f>'Falhas UM-1 - Qty'!I57</f>
        <v>#N/A</v>
      </c>
      <c r="K16" s="707" t="e">
        <f>'Falhas UM-1 - Qty'!J57</f>
        <v>#N/A</v>
      </c>
      <c r="L16" s="707" t="e">
        <f>'Falhas UM-1 - Qty'!K57</f>
        <v>#N/A</v>
      </c>
      <c r="M16" s="707" t="e">
        <f>'Falhas UM-1 - Qty'!L57</f>
        <v>#N/A</v>
      </c>
      <c r="N16" s="707" t="e">
        <f>'Falhas UM-1 - Qty'!M57</f>
        <v>#N/A</v>
      </c>
      <c r="O16" s="707" t="e">
        <f>'Falhas UM-1 - Qty'!N57</f>
        <v>#N/A</v>
      </c>
      <c r="P16" s="707" t="e">
        <f>'Falhas UM-1 - Qty'!O57</f>
        <v>#N/A</v>
      </c>
      <c r="Q16" s="707" t="e">
        <f>'Falhas UM-1 - Qty'!P57</f>
        <v>#N/A</v>
      </c>
      <c r="R16" s="707" t="e">
        <f>'Falhas UM-1 - Qty'!Q57</f>
        <v>#N/A</v>
      </c>
      <c r="S16" s="653" t="e">
        <f t="shared" ref="S16:S29" si="2">SUM(G16:R16)</f>
        <v>#N/A</v>
      </c>
    </row>
    <row r="17" spans="1:19">
      <c r="A17" s="550"/>
      <c r="B17" s="551"/>
      <c r="C17" s="203" t="s">
        <v>113</v>
      </c>
      <c r="D17" s="290" t="s">
        <v>193</v>
      </c>
      <c r="E17" s="618">
        <v>7089.9081255107521</v>
      </c>
      <c r="F17" s="692">
        <f>'[9]Prod &amp; Defects - Qty'!$R17</f>
        <v>6450</v>
      </c>
      <c r="G17" s="708" t="e">
        <f>'Falhas UM-1 - Qty'!F59</f>
        <v>#N/A</v>
      </c>
      <c r="H17" s="708" t="e">
        <f>'Falhas UM-1 - Qty'!G59</f>
        <v>#N/A</v>
      </c>
      <c r="I17" s="708" t="e">
        <f>'Falhas UM-1 - Qty'!H59</f>
        <v>#N/A</v>
      </c>
      <c r="J17" s="708" t="e">
        <f>'Falhas UM-1 - Qty'!I59</f>
        <v>#N/A</v>
      </c>
      <c r="K17" s="708" t="e">
        <f>'Falhas UM-1 - Qty'!J59</f>
        <v>#N/A</v>
      </c>
      <c r="L17" s="708" t="e">
        <f>'Falhas UM-1 - Qty'!K59</f>
        <v>#N/A</v>
      </c>
      <c r="M17" s="708" t="e">
        <f>'Falhas UM-1 - Qty'!L59</f>
        <v>#N/A</v>
      </c>
      <c r="N17" s="708" t="e">
        <f>'Falhas UM-1 - Qty'!M59</f>
        <v>#N/A</v>
      </c>
      <c r="O17" s="708" t="e">
        <f>'Falhas UM-1 - Qty'!N59</f>
        <v>#N/A</v>
      </c>
      <c r="P17" s="708" t="e">
        <f>'Falhas UM-1 - Qty'!O59</f>
        <v>#N/A</v>
      </c>
      <c r="Q17" s="708" t="e">
        <f>'Falhas UM-1 - Qty'!P59</f>
        <v>#N/A</v>
      </c>
      <c r="R17" s="708" t="e">
        <f>'Falhas UM-1 - Qty'!Q59</f>
        <v>#N/A</v>
      </c>
      <c r="S17" s="654" t="e">
        <f t="shared" si="2"/>
        <v>#N/A</v>
      </c>
    </row>
    <row r="18" spans="1:19">
      <c r="A18" s="296" t="s">
        <v>182</v>
      </c>
      <c r="B18" s="554"/>
      <c r="C18" s="201" t="s">
        <v>180</v>
      </c>
      <c r="D18" s="288" t="s">
        <v>193</v>
      </c>
      <c r="E18" s="619">
        <v>65493.427145061258</v>
      </c>
      <c r="F18" s="693">
        <f>'[9]Prod &amp; Defects - Qty'!$R18</f>
        <v>65059.647619047624</v>
      </c>
      <c r="G18" s="709" t="e">
        <f>'Falhas UM-3-1 Qty'!E19+'Falhas UM-3-1 Qty'!E37</f>
        <v>#N/A</v>
      </c>
      <c r="H18" s="709" t="e">
        <f>'Falhas UM-3-1 Qty'!F19+'Falhas UM-3-1 Qty'!F37</f>
        <v>#N/A</v>
      </c>
      <c r="I18" s="709" t="e">
        <f>'Falhas UM-3-1 Qty'!G19+'Falhas UM-3-1 Qty'!G37</f>
        <v>#N/A</v>
      </c>
      <c r="J18" s="709" t="e">
        <f>'Falhas UM-3-1 Qty'!H19+'Falhas UM-3-1 Qty'!H37</f>
        <v>#N/A</v>
      </c>
      <c r="K18" s="709" t="e">
        <f>'Falhas UM-3-1 Qty'!I19+'Falhas UM-3-1 Qty'!I37</f>
        <v>#N/A</v>
      </c>
      <c r="L18" s="709" t="e">
        <f>'Falhas UM-3-1 Qty'!J19+'Falhas UM-3-1 Qty'!J37</f>
        <v>#N/A</v>
      </c>
      <c r="M18" s="709" t="e">
        <f>'Falhas UM-3-1 Qty'!K19+'Falhas UM-3-1 Qty'!K37</f>
        <v>#N/A</v>
      </c>
      <c r="N18" s="709" t="e">
        <f>'Falhas UM-3-1 Qty'!L19+'Falhas UM-3-1 Qty'!L37</f>
        <v>#N/A</v>
      </c>
      <c r="O18" s="709" t="e">
        <f>'Falhas UM-3-1 Qty'!M19+'Falhas UM-3-1 Qty'!M37</f>
        <v>#N/A</v>
      </c>
      <c r="P18" s="709" t="e">
        <f>'Falhas UM-3-1 Qty'!N19+'Falhas UM-3-1 Qty'!N37</f>
        <v>#N/A</v>
      </c>
      <c r="Q18" s="709" t="e">
        <f>'Falhas UM-3-1 Qty'!O19+'Falhas UM-3-1 Qty'!O37</f>
        <v>#N/A</v>
      </c>
      <c r="R18" s="709" t="e">
        <f>'Falhas UM-3-1 Qty'!P19+'Falhas UM-3-1 Qty'!P37</f>
        <v>#N/A</v>
      </c>
      <c r="S18" s="655" t="e">
        <f>SUM(G18:R18)</f>
        <v>#N/A</v>
      </c>
    </row>
    <row r="19" spans="1:19">
      <c r="A19" s="547"/>
      <c r="B19" s="125"/>
      <c r="C19" s="202" t="s">
        <v>181</v>
      </c>
      <c r="D19" s="289" t="s">
        <v>193</v>
      </c>
      <c r="E19" s="617">
        <v>18472.449751261691</v>
      </c>
      <c r="F19" s="691">
        <f>'[9]Prod &amp; Defects - Qty'!$R19</f>
        <v>15987</v>
      </c>
      <c r="G19" s="707" t="e">
        <f>'Falhas UM-3-1 Qty'!E50</f>
        <v>#N/A</v>
      </c>
      <c r="H19" s="707" t="e">
        <f>'Falhas UM-3-1 Qty'!F50</f>
        <v>#N/A</v>
      </c>
      <c r="I19" s="707" t="e">
        <f>'Falhas UM-3-1 Qty'!G50</f>
        <v>#N/A</v>
      </c>
      <c r="J19" s="707" t="e">
        <f>'Falhas UM-3-1 Qty'!H50</f>
        <v>#N/A</v>
      </c>
      <c r="K19" s="707" t="e">
        <f>'Falhas UM-3-1 Qty'!I50</f>
        <v>#N/A</v>
      </c>
      <c r="L19" s="707" t="e">
        <f>'Falhas UM-3-1 Qty'!J50</f>
        <v>#N/A</v>
      </c>
      <c r="M19" s="707" t="e">
        <f>'Falhas UM-3-1 Qty'!K50</f>
        <v>#N/A</v>
      </c>
      <c r="N19" s="707" t="e">
        <f>'Falhas UM-3-1 Qty'!L50</f>
        <v>#N/A</v>
      </c>
      <c r="O19" s="707" t="e">
        <f>'Falhas UM-3-1 Qty'!M50</f>
        <v>#N/A</v>
      </c>
      <c r="P19" s="707" t="e">
        <f>'Falhas UM-3-1 Qty'!N50</f>
        <v>#N/A</v>
      </c>
      <c r="Q19" s="707" t="e">
        <f>'Falhas UM-3-1 Qty'!O50</f>
        <v>#N/A</v>
      </c>
      <c r="R19" s="707" t="e">
        <f>'Falhas UM-3-1 Qty'!P50</f>
        <v>#N/A</v>
      </c>
      <c r="S19" s="653" t="e">
        <f t="shared" si="2"/>
        <v>#N/A</v>
      </c>
    </row>
    <row r="20" spans="1:19">
      <c r="A20" s="550"/>
      <c r="B20" s="551"/>
      <c r="C20" s="203" t="s">
        <v>113</v>
      </c>
      <c r="D20" s="290" t="s">
        <v>193</v>
      </c>
      <c r="E20" s="618">
        <v>67268.523985097854</v>
      </c>
      <c r="F20" s="692">
        <f>'[9]Prod &amp; Defects - Qty'!$R20</f>
        <v>24635.219642857144</v>
      </c>
      <c r="G20" s="708" t="e">
        <f>'Falhas UM-3-1 Qty'!E55</f>
        <v>#N/A</v>
      </c>
      <c r="H20" s="708" t="e">
        <f>'Falhas UM-3-1 Qty'!F55</f>
        <v>#N/A</v>
      </c>
      <c r="I20" s="708" t="e">
        <f>'Falhas UM-3-1 Qty'!G55</f>
        <v>#N/A</v>
      </c>
      <c r="J20" s="708" t="e">
        <f>'Falhas UM-3-1 Qty'!H55</f>
        <v>#N/A</v>
      </c>
      <c r="K20" s="708" t="e">
        <f>'Falhas UM-3-1 Qty'!I55</f>
        <v>#N/A</v>
      </c>
      <c r="L20" s="708" t="e">
        <f>'Falhas UM-3-1 Qty'!J55</f>
        <v>#N/A</v>
      </c>
      <c r="M20" s="708" t="e">
        <f>'Falhas UM-3-1 Qty'!K55</f>
        <v>#N/A</v>
      </c>
      <c r="N20" s="708" t="e">
        <f>'Falhas UM-3-1 Qty'!L55</f>
        <v>#N/A</v>
      </c>
      <c r="O20" s="708" t="e">
        <f>'Falhas UM-3-1 Qty'!M55</f>
        <v>#N/A</v>
      </c>
      <c r="P20" s="708" t="e">
        <f>'Falhas UM-3-1 Qty'!N55</f>
        <v>#N/A</v>
      </c>
      <c r="Q20" s="708" t="e">
        <f>'Falhas UM-3-1 Qty'!O55</f>
        <v>#N/A</v>
      </c>
      <c r="R20" s="708" t="e">
        <f>'Falhas UM-3-1 Qty'!P55</f>
        <v>#N/A</v>
      </c>
      <c r="S20" s="654" t="e">
        <f t="shared" si="2"/>
        <v>#N/A</v>
      </c>
    </row>
    <row r="21" spans="1:19">
      <c r="A21" s="296" t="s">
        <v>183</v>
      </c>
      <c r="B21" s="554"/>
      <c r="C21" s="201" t="s">
        <v>180</v>
      </c>
      <c r="D21" s="288" t="s">
        <v>193</v>
      </c>
      <c r="E21" s="619">
        <v>168297.02654080081</v>
      </c>
      <c r="F21" s="693">
        <f>'[9]Prod &amp; Defects - Qty'!$R21</f>
        <v>166050.277826826</v>
      </c>
      <c r="G21" s="709" t="e">
        <f>'Falhas UM-3-2 Qty'!E19+'Falhas UM-3-2 Qty'!E37</f>
        <v>#N/A</v>
      </c>
      <c r="H21" s="709" t="e">
        <f>'Falhas UM-3-2 Qty'!F19+'Falhas UM-3-2 Qty'!F37</f>
        <v>#N/A</v>
      </c>
      <c r="I21" s="709" t="e">
        <f>'Falhas UM-3-2 Qty'!G19+'Falhas UM-3-2 Qty'!G37</f>
        <v>#N/A</v>
      </c>
      <c r="J21" s="709" t="e">
        <f>'Falhas UM-3-2 Qty'!H19+'Falhas UM-3-2 Qty'!H37</f>
        <v>#N/A</v>
      </c>
      <c r="K21" s="709" t="e">
        <f>'Falhas UM-3-2 Qty'!I19+'Falhas UM-3-2 Qty'!I37</f>
        <v>#N/A</v>
      </c>
      <c r="L21" s="709" t="e">
        <f>'Falhas UM-3-2 Qty'!J19+'Falhas UM-3-2 Qty'!J37</f>
        <v>#N/A</v>
      </c>
      <c r="M21" s="709" t="e">
        <f>'Falhas UM-3-2 Qty'!K19+'Falhas UM-3-2 Qty'!K37</f>
        <v>#N/A</v>
      </c>
      <c r="N21" s="709" t="e">
        <f>'Falhas UM-3-2 Qty'!L19+'Falhas UM-3-2 Qty'!L37</f>
        <v>#N/A</v>
      </c>
      <c r="O21" s="709" t="e">
        <f>'Falhas UM-3-2 Qty'!M19+'Falhas UM-3-2 Qty'!M37</f>
        <v>#N/A</v>
      </c>
      <c r="P21" s="709" t="e">
        <f>'Falhas UM-3-2 Qty'!N19+'Falhas UM-3-2 Qty'!N37</f>
        <v>#N/A</v>
      </c>
      <c r="Q21" s="709" t="e">
        <f>'Falhas UM-3-2 Qty'!O19+'Falhas UM-3-2 Qty'!O37</f>
        <v>#N/A</v>
      </c>
      <c r="R21" s="709" t="e">
        <f>'Falhas UM-3-2 Qty'!P19+'Falhas UM-3-2 Qty'!P37</f>
        <v>#N/A</v>
      </c>
      <c r="S21" s="655" t="e">
        <f>SUM(G21:R21)</f>
        <v>#N/A</v>
      </c>
    </row>
    <row r="22" spans="1:19">
      <c r="A22" s="547"/>
      <c r="B22" s="125"/>
      <c r="C22" s="202" t="s">
        <v>181</v>
      </c>
      <c r="D22" s="289" t="s">
        <v>193</v>
      </c>
      <c r="E22" s="617">
        <v>68332.361656773937</v>
      </c>
      <c r="F22" s="691">
        <f>'[9]Prod &amp; Defects - Qty'!$R22</f>
        <v>71945</v>
      </c>
      <c r="G22" s="707" t="e">
        <f>'Falhas UM-3-2 Qty'!E50</f>
        <v>#N/A</v>
      </c>
      <c r="H22" s="707" t="e">
        <f>'Falhas UM-3-2 Qty'!F50</f>
        <v>#N/A</v>
      </c>
      <c r="I22" s="707" t="e">
        <f>'Falhas UM-3-2 Qty'!G50</f>
        <v>#N/A</v>
      </c>
      <c r="J22" s="707" t="e">
        <f>'Falhas UM-3-2 Qty'!H50</f>
        <v>#N/A</v>
      </c>
      <c r="K22" s="707" t="e">
        <f>'Falhas UM-3-2 Qty'!I50</f>
        <v>#N/A</v>
      </c>
      <c r="L22" s="707" t="e">
        <f>'Falhas UM-3-2 Qty'!J50</f>
        <v>#N/A</v>
      </c>
      <c r="M22" s="707" t="e">
        <f>'Falhas UM-3-2 Qty'!K50</f>
        <v>#N/A</v>
      </c>
      <c r="N22" s="707" t="e">
        <f>'Falhas UM-3-2 Qty'!L50</f>
        <v>#N/A</v>
      </c>
      <c r="O22" s="707" t="e">
        <f>'Falhas UM-3-2 Qty'!M50</f>
        <v>#N/A</v>
      </c>
      <c r="P22" s="707" t="e">
        <f>'Falhas UM-3-2 Qty'!N50</f>
        <v>#N/A</v>
      </c>
      <c r="Q22" s="707" t="e">
        <f>'Falhas UM-3-2 Qty'!O50</f>
        <v>#N/A</v>
      </c>
      <c r="R22" s="707" t="e">
        <f>'Falhas UM-3-2 Qty'!P50</f>
        <v>#N/A</v>
      </c>
      <c r="S22" s="653" t="e">
        <f t="shared" si="2"/>
        <v>#N/A</v>
      </c>
    </row>
    <row r="23" spans="1:19">
      <c r="A23" s="550"/>
      <c r="B23" s="551"/>
      <c r="C23" s="203" t="s">
        <v>113</v>
      </c>
      <c r="D23" s="290" t="s">
        <v>193</v>
      </c>
      <c r="E23" s="618">
        <v>177120.66508299802</v>
      </c>
      <c r="F23" s="692">
        <f>'[9]Prod &amp; Defects - Qty'!$R23</f>
        <v>74104.355231952431</v>
      </c>
      <c r="G23" s="708" t="e">
        <f>'Falhas UM-3-2 Qty'!E55</f>
        <v>#N/A</v>
      </c>
      <c r="H23" s="708" t="e">
        <f>'Falhas UM-3-2 Qty'!F55</f>
        <v>#N/A</v>
      </c>
      <c r="I23" s="708" t="e">
        <f>'Falhas UM-3-2 Qty'!G55</f>
        <v>#N/A</v>
      </c>
      <c r="J23" s="708" t="e">
        <f>'Falhas UM-3-2 Qty'!H55</f>
        <v>#N/A</v>
      </c>
      <c r="K23" s="708" t="e">
        <f>'Falhas UM-3-2 Qty'!I55</f>
        <v>#N/A</v>
      </c>
      <c r="L23" s="708" t="e">
        <f>'Falhas UM-3-2 Qty'!J55</f>
        <v>#N/A</v>
      </c>
      <c r="M23" s="708" t="e">
        <f>'Falhas UM-3-2 Qty'!K55</f>
        <v>#N/A</v>
      </c>
      <c r="N23" s="708" t="e">
        <f>'Falhas UM-3-2 Qty'!L55</f>
        <v>#N/A</v>
      </c>
      <c r="O23" s="708" t="e">
        <f>'Falhas UM-3-2 Qty'!M55</f>
        <v>#N/A</v>
      </c>
      <c r="P23" s="708" t="e">
        <f>'Falhas UM-3-2 Qty'!N55</f>
        <v>#N/A</v>
      </c>
      <c r="Q23" s="708" t="e">
        <f>'Falhas UM-3-2 Qty'!O55</f>
        <v>#N/A</v>
      </c>
      <c r="R23" s="708" t="e">
        <f>'Falhas UM-3-2 Qty'!P55</f>
        <v>#N/A</v>
      </c>
      <c r="S23" s="654" t="e">
        <f t="shared" si="2"/>
        <v>#N/A</v>
      </c>
    </row>
    <row r="24" spans="1:19">
      <c r="A24" s="296" t="s">
        <v>128</v>
      </c>
      <c r="B24" s="554"/>
      <c r="C24" s="201" t="s">
        <v>180</v>
      </c>
      <c r="D24" s="288" t="s">
        <v>193</v>
      </c>
      <c r="E24" s="619">
        <v>164570.52782826006</v>
      </c>
      <c r="F24" s="693">
        <f>'[9]Prod &amp; Defects - Qty'!$R24</f>
        <v>204134.80380499407</v>
      </c>
      <c r="G24" s="709" t="e">
        <f>'Falhas UM-4 Qty'!E15+'Falhas UM-4 Qty'!E34</f>
        <v>#N/A</v>
      </c>
      <c r="H24" s="709" t="e">
        <f>'Falhas UM-4 Qty'!F15+'Falhas UM-4 Qty'!F34</f>
        <v>#N/A</v>
      </c>
      <c r="I24" s="709" t="e">
        <f>'Falhas UM-4 Qty'!G15+'Falhas UM-4 Qty'!G34</f>
        <v>#N/A</v>
      </c>
      <c r="J24" s="709" t="e">
        <f>'Falhas UM-4 Qty'!H15+'Falhas UM-4 Qty'!H34</f>
        <v>#N/A</v>
      </c>
      <c r="K24" s="709" t="e">
        <f>'Falhas UM-4 Qty'!I15+'Falhas UM-4 Qty'!I34</f>
        <v>#N/A</v>
      </c>
      <c r="L24" s="709" t="e">
        <f>'Falhas UM-4 Qty'!J15+'Falhas UM-4 Qty'!J34</f>
        <v>#N/A</v>
      </c>
      <c r="M24" s="709" t="e">
        <f>'Falhas UM-4 Qty'!K15+'Falhas UM-4 Qty'!K34</f>
        <v>#N/A</v>
      </c>
      <c r="N24" s="709" t="e">
        <f>'Falhas UM-4 Qty'!L15+'Falhas UM-4 Qty'!L34</f>
        <v>#N/A</v>
      </c>
      <c r="O24" s="709" t="e">
        <f>'Falhas UM-4 Qty'!M15+'Falhas UM-4 Qty'!M34</f>
        <v>#N/A</v>
      </c>
      <c r="P24" s="709" t="e">
        <f>'Falhas UM-4 Qty'!N15+'Falhas UM-4 Qty'!N34</f>
        <v>#N/A</v>
      </c>
      <c r="Q24" s="709" t="e">
        <f>'Falhas UM-4 Qty'!O15+'Falhas UM-4 Qty'!O34</f>
        <v>#N/A</v>
      </c>
      <c r="R24" s="709" t="e">
        <f>'Falhas UM-4 Qty'!P15+'Falhas UM-4 Qty'!P34</f>
        <v>#N/A</v>
      </c>
      <c r="S24" s="655" t="e">
        <f>SUM(G24:R24)</f>
        <v>#N/A</v>
      </c>
    </row>
    <row r="25" spans="1:19">
      <c r="A25" s="547"/>
      <c r="B25" s="125"/>
      <c r="C25" s="202" t="s">
        <v>181</v>
      </c>
      <c r="D25" s="289" t="s">
        <v>193</v>
      </c>
      <c r="E25" s="617">
        <v>16876.005117454624</v>
      </c>
      <c r="F25" s="691">
        <f>'[9]Prod &amp; Defects - Qty'!$R25</f>
        <v>628</v>
      </c>
      <c r="G25" s="707" t="e">
        <f>'Falhas UM-4 Qty'!E54</f>
        <v>#N/A</v>
      </c>
      <c r="H25" s="707" t="e">
        <f>'Falhas UM-4 Qty'!F54</f>
        <v>#N/A</v>
      </c>
      <c r="I25" s="707" t="e">
        <f>'Falhas UM-4 Qty'!G54</f>
        <v>#N/A</v>
      </c>
      <c r="J25" s="707" t="e">
        <f>'Falhas UM-4 Qty'!H54</f>
        <v>#N/A</v>
      </c>
      <c r="K25" s="707" t="e">
        <f>'Falhas UM-4 Qty'!I54</f>
        <v>#N/A</v>
      </c>
      <c r="L25" s="707" t="e">
        <f>'Falhas UM-4 Qty'!J54</f>
        <v>#N/A</v>
      </c>
      <c r="M25" s="707" t="e">
        <f>'Falhas UM-4 Qty'!K54</f>
        <v>#N/A</v>
      </c>
      <c r="N25" s="707" t="e">
        <f>'Falhas UM-4 Qty'!L54</f>
        <v>#N/A</v>
      </c>
      <c r="O25" s="707" t="e">
        <f>'Falhas UM-4 Qty'!M54</f>
        <v>#N/A</v>
      </c>
      <c r="P25" s="707" t="e">
        <f>'Falhas UM-4 Qty'!N54</f>
        <v>#N/A</v>
      </c>
      <c r="Q25" s="707" t="e">
        <f>'Falhas UM-4 Qty'!O54</f>
        <v>#N/A</v>
      </c>
      <c r="R25" s="707" t="e">
        <f>'Falhas UM-4 Qty'!P54</f>
        <v>#N/A</v>
      </c>
      <c r="S25" s="653" t="e">
        <f>SUM(G25:R25)</f>
        <v>#N/A</v>
      </c>
    </row>
    <row r="26" spans="1:19" ht="13.5" thickBot="1">
      <c r="A26" s="557"/>
      <c r="B26" s="558"/>
      <c r="C26" s="297" t="s">
        <v>113</v>
      </c>
      <c r="D26" s="298" t="s">
        <v>193</v>
      </c>
      <c r="E26" s="620">
        <v>156613.38404975508</v>
      </c>
      <c r="F26" s="694">
        <f>'[9]Prod &amp; Defects - Qty'!$R26</f>
        <v>129461.60031372549</v>
      </c>
      <c r="G26" s="710" t="e">
        <f>'Falhas UM-4 Qty'!E59</f>
        <v>#N/A</v>
      </c>
      <c r="H26" s="710" t="e">
        <f>'Falhas UM-4 Qty'!F59</f>
        <v>#N/A</v>
      </c>
      <c r="I26" s="710" t="e">
        <f>'Falhas UM-4 Qty'!G59</f>
        <v>#N/A</v>
      </c>
      <c r="J26" s="710" t="e">
        <f>'Falhas UM-4 Qty'!H59</f>
        <v>#N/A</v>
      </c>
      <c r="K26" s="710" t="e">
        <f>'Falhas UM-4 Qty'!I59</f>
        <v>#N/A</v>
      </c>
      <c r="L26" s="710" t="e">
        <f>'Falhas UM-4 Qty'!J59</f>
        <v>#N/A</v>
      </c>
      <c r="M26" s="710" t="e">
        <f>'Falhas UM-4 Qty'!K59</f>
        <v>#N/A</v>
      </c>
      <c r="N26" s="710" t="e">
        <f>'Falhas UM-4 Qty'!L59</f>
        <v>#N/A</v>
      </c>
      <c r="O26" s="710" t="e">
        <f>'Falhas UM-4 Qty'!M59</f>
        <v>#N/A</v>
      </c>
      <c r="P26" s="710" t="e">
        <f>'Falhas UM-4 Qty'!N59</f>
        <v>#N/A</v>
      </c>
      <c r="Q26" s="710" t="e">
        <f>'Falhas UM-4 Qty'!O59</f>
        <v>#N/A</v>
      </c>
      <c r="R26" s="710" t="e">
        <f>'Falhas UM-4 Qty'!P59</f>
        <v>#N/A</v>
      </c>
      <c r="S26" s="656" t="e">
        <f>SUM(G26:R26)</f>
        <v>#N/A</v>
      </c>
    </row>
    <row r="27" spans="1:19">
      <c r="A27" s="293" t="s">
        <v>102</v>
      </c>
      <c r="B27" s="544"/>
      <c r="C27" s="294" t="s">
        <v>180</v>
      </c>
      <c r="D27" s="295" t="s">
        <v>193</v>
      </c>
      <c r="E27" s="616">
        <v>5891</v>
      </c>
      <c r="F27" s="690">
        <f>'[9]Prod &amp; Defects - Qty'!$R27</f>
        <v>2343</v>
      </c>
      <c r="G27" s="706">
        <f>'[2]BP - ORIGINAL'!$F$15+'[2]BP - ORIGINAL'!$F$26</f>
        <v>874.76057760889285</v>
      </c>
      <c r="H27" s="706">
        <f>'[2]BP - ORIGINAL'!$I$15+'[2]BP - ORIGINAL'!$I$26</f>
        <v>825.45931535272734</v>
      </c>
      <c r="I27" s="706">
        <f>'[2]BP - ORIGINAL'!$L$15+'[2]BP - ORIGINAL'!$L$26</f>
        <v>901.79250677489199</v>
      </c>
      <c r="J27" s="706">
        <f>'[2]BP - ORIGINAL'!$O$15+'[2]BP - ORIGINAL'!$O$26</f>
        <v>742.26513977993227</v>
      </c>
      <c r="K27" s="706">
        <f>'[2]BP - ORIGINAL'!$R$15+'[2]BP - ORIGINAL'!$R$26</f>
        <v>853.66017172282739</v>
      </c>
      <c r="L27" s="706">
        <f>'[2]BP - ORIGINAL'!$U$15+'[2]BP - ORIGINAL'!$U$26</f>
        <v>854.69848803413674</v>
      </c>
      <c r="M27" s="706">
        <f>'[2]BP - ORIGINAL'!$F$46+'[2]BP - ORIGINAL'!$F$57</f>
        <v>1100.6500229046558</v>
      </c>
      <c r="N27" s="706">
        <f>'[2]BP - ORIGINAL'!$I$46+'[2]BP - ORIGINAL'!$I$57</f>
        <v>1061.1997174171802</v>
      </c>
      <c r="O27" s="706">
        <f>'[2]BP - ORIGINAL'!$L$46+'[2]BP - ORIGINAL'!$L$57</f>
        <v>875.59037883553378</v>
      </c>
      <c r="P27" s="706">
        <f>'[2]BP - ORIGINAL'!$O$46+'[2]BP - ORIGINAL'!$O$57</f>
        <v>708.29063488765325</v>
      </c>
      <c r="Q27" s="706">
        <f>'[2]BP - ORIGINAL'!$R$46+'[2]BP - ORIGINAL'!$R$57</f>
        <v>720.83891533903761</v>
      </c>
      <c r="R27" s="706">
        <f>'[2]BP - ORIGINAL'!$U$46+'[2]BP - ORIGINAL'!$U$57</f>
        <v>743.33878698277726</v>
      </c>
      <c r="S27" s="652">
        <f>SUM(G27:R27)</f>
        <v>10262.544655640248</v>
      </c>
    </row>
    <row r="28" spans="1:19">
      <c r="A28" s="547"/>
      <c r="B28" s="125"/>
      <c r="C28" s="202" t="s">
        <v>181</v>
      </c>
      <c r="D28" s="289" t="s">
        <v>193</v>
      </c>
      <c r="E28" s="617">
        <v>21018</v>
      </c>
      <c r="F28" s="691">
        <f>'[9]Prod &amp; Defects - Qty'!$R28</f>
        <v>11728</v>
      </c>
      <c r="G28" s="707">
        <f>'[2]BP - ORIGINAL'!$F$21-'[2]BP - ORIGINAL'!$F$16-'[2]BP - ORIGINAL'!$F$17</f>
        <v>2730.2519332377065</v>
      </c>
      <c r="H28" s="707">
        <f>'[2]BP - ORIGINAL'!$I$21-'[2]BP - ORIGINAL'!$I$16-'[2]BP - ORIGINAL'!$I$17</f>
        <v>2576.3686796491329</v>
      </c>
      <c r="I28" s="707">
        <f>'[2]BP - ORIGINAL'!$L$21-'[2]BP - ORIGINAL'!$L$16-'[2]BP - ORIGINAL'!$L$17</f>
        <v>2814.6147566392401</v>
      </c>
      <c r="J28" s="707">
        <f>'[2]BP - ORIGINAL'!$O$21-'[2]BP - ORIGINAL'!$O$16-'[2]BP - ORIGINAL'!$O$17</f>
        <v>2316.708555535819</v>
      </c>
      <c r="K28" s="707">
        <f>'[2]BP - ORIGINAL'!$R$21-'[2]BP - ORIGINAL'!$R$16-'[2]BP - ORIGINAL'!$R$17</f>
        <v>2664.3873157464955</v>
      </c>
      <c r="L28" s="707">
        <f>'[2]BP - ORIGINAL'!$U$21-'[2]BP - ORIGINAL'!$U$16-'[2]BP - ORIGINAL'!$U$17</f>
        <v>2667.6280395160038</v>
      </c>
      <c r="M28" s="707">
        <f>'[2]BP - ORIGINAL'!$F$52-'[2]BP - ORIGINAL'!$F$47-'[2]BP - ORIGINAL'!$F$48</f>
        <v>3432.0293204341087</v>
      </c>
      <c r="N28" s="707">
        <f>'[2]BP - ORIGINAL'!$I$52-'[2]BP - ORIGINAL'!$I$47-'[2]BP - ORIGINAL'!$I$48</f>
        <v>3309.0160080137025</v>
      </c>
      <c r="O28" s="707">
        <f>'[2]BP - ORIGINAL'!$L$52-'[2]BP - ORIGINAL'!$L$47-'[2]BP - ORIGINAL'!$L$48</f>
        <v>2730.2519332377065</v>
      </c>
      <c r="P28" s="707">
        <f>'[2]BP - ORIGINAL'!$O$52-'[2]BP - ORIGINAL'!$O$47-'[2]BP - ORIGINAL'!$O$48</f>
        <v>2208.5805439844999</v>
      </c>
      <c r="Q28" s="707">
        <f>'[2]BP - ORIGINAL'!$R$52-'[2]BP - ORIGINAL'!$R$47-'[2]BP - ORIGINAL'!$R$48</f>
        <v>2247.7083916508527</v>
      </c>
      <c r="R28" s="707">
        <f>'[2]BP - ORIGINAL'!$U$52-'[2]BP - ORIGINAL'!$U$47-'[2]BP - ORIGINAL'!$U$48</f>
        <v>2317.8671320136896</v>
      </c>
      <c r="S28" s="653">
        <f t="shared" si="2"/>
        <v>32015.412609658957</v>
      </c>
    </row>
    <row r="29" spans="1:19">
      <c r="A29" s="547"/>
      <c r="B29" s="125"/>
      <c r="C29" s="204" t="s">
        <v>113</v>
      </c>
      <c r="D29" s="291" t="s">
        <v>193</v>
      </c>
      <c r="E29" s="621">
        <v>3889</v>
      </c>
      <c r="F29" s="695">
        <f>'[9]Prod &amp; Defects - Qty'!$R29</f>
        <v>8982</v>
      </c>
      <c r="G29" s="711">
        <f>'[2]BP - ORIGINAL'!$F$16+'[2]BP - ORIGINAL'!$F$17</f>
        <v>505.18364108675604</v>
      </c>
      <c r="H29" s="711">
        <f>'[2]BP - ORIGINAL'!$I$16+'[2]BP - ORIGINAL'!$I$17</f>
        <v>476.71033376893513</v>
      </c>
      <c r="I29" s="711">
        <f>'[2]BP - ORIGINAL'!$L$16+'[2]BP - ORIGINAL'!$L$17</f>
        <v>520.7934526867449</v>
      </c>
      <c r="J29" s="711">
        <f>'[2]BP - ORIGINAL'!$O$16+'[2]BP - ORIGINAL'!$O$17</f>
        <v>428.66493350836436</v>
      </c>
      <c r="K29" s="711">
        <f>'[2]BP - ORIGINAL'!$R$16+'[2]BP - ORIGINAL'!$R$17</f>
        <v>492.99658725559618</v>
      </c>
      <c r="L29" s="711">
        <f>'[2]BP - ORIGINAL'!$U$16+'[2]BP - ORIGINAL'!$U$17</f>
        <v>493.59622445892768</v>
      </c>
      <c r="M29" s="711">
        <f>'[2]BP - ORIGINAL'!$F$47+'[2]BP - ORIGINAL'!$F$48</f>
        <v>635.03482858351185</v>
      </c>
      <c r="N29" s="711">
        <f>'[2]BP - ORIGINAL'!$I$47+'[2]BP - ORIGINAL'!$I$48</f>
        <v>612.27344443644915</v>
      </c>
      <c r="O29" s="711">
        <f>'[2]BP - ORIGINAL'!$L$47+'[2]BP - ORIGINAL'!$L$48</f>
        <v>505.18364108675604</v>
      </c>
      <c r="P29" s="711">
        <f>'[2]BP - ORIGINAL'!$O$47+'[2]BP - ORIGINAL'!$O$48</f>
        <v>408.65780452734418</v>
      </c>
      <c r="Q29" s="711">
        <f>'[2]BP - ORIGINAL'!$R$47+'[2]BP - ORIGINAL'!$R$48</f>
        <v>415.89770364117265</v>
      </c>
      <c r="R29" s="711">
        <f>'[2]BP - ORIGINAL'!$U$47+'[2]BP - ORIGINAL'!$U$48</f>
        <v>428.87930708922062</v>
      </c>
      <c r="S29" s="657">
        <f t="shared" si="2"/>
        <v>5923.8719021297793</v>
      </c>
    </row>
    <row r="30" spans="1:19">
      <c r="A30" s="735" t="s">
        <v>197</v>
      </c>
      <c r="B30" s="736"/>
      <c r="C30" s="201" t="s">
        <v>180</v>
      </c>
      <c r="D30" s="288" t="s">
        <v>193</v>
      </c>
      <c r="E30" s="619">
        <v>432805.20490901271</v>
      </c>
      <c r="F30" s="693">
        <f>'[9]Prod &amp; Defects - Qty'!$R30</f>
        <v>463343.43113456958</v>
      </c>
      <c r="G30" s="709" t="e">
        <f t="array" ref="G30">SUM(IF($C$15:$C$29=$C30,G$15:G$29))</f>
        <v>#N/A</v>
      </c>
      <c r="H30" s="709" t="e">
        <f t="array" ref="H30">SUM(IF($C$15:$C$29=$C30,H$15:H$29))</f>
        <v>#N/A</v>
      </c>
      <c r="I30" s="709" t="e">
        <f t="array" ref="I30">SUM(IF($C$15:$C$29=$C30,I$15:I$29))</f>
        <v>#N/A</v>
      </c>
      <c r="J30" s="709" t="e">
        <f t="array" ref="J30">SUM(IF($C$15:$C$29=$C30,J$15:J$29))</f>
        <v>#N/A</v>
      </c>
      <c r="K30" s="709" t="e">
        <f t="array" ref="K30">SUM(IF($C$15:$C$29=$C30,K$15:K$29))</f>
        <v>#N/A</v>
      </c>
      <c r="L30" s="709" t="e">
        <f t="array" ref="L30">SUM(IF($C$15:$C$29=$C30,L$15:L$29))</f>
        <v>#N/A</v>
      </c>
      <c r="M30" s="709" t="e">
        <f t="array" ref="M30">SUM(IF($C$15:$C$29=$C30,M$15:M$29))</f>
        <v>#N/A</v>
      </c>
      <c r="N30" s="709" t="e">
        <f t="array" ref="N30">SUM(IF($C$15:$C$29=$C30,N$15:N$29))</f>
        <v>#N/A</v>
      </c>
      <c r="O30" s="709" t="e">
        <f t="array" ref="O30">SUM(IF($C$15:$C$29=$C30,O$15:O$29))</f>
        <v>#N/A</v>
      </c>
      <c r="P30" s="709" t="e">
        <f t="array" ref="P30">SUM(IF($C$15:$C$29=$C30,P$15:P$29))</f>
        <v>#N/A</v>
      </c>
      <c r="Q30" s="709" t="e">
        <f t="array" ref="Q30">SUM(IF($C$15:$C$29=$C30,Q$15:Q$29))</f>
        <v>#N/A</v>
      </c>
      <c r="R30" s="709" t="e">
        <f t="array" ref="R30">SUM(IF($C$15:$C$29=$C30,R$15:R$29))</f>
        <v>#N/A</v>
      </c>
      <c r="S30" s="655" t="e">
        <f>SUM(G30:R30)</f>
        <v>#N/A</v>
      </c>
    </row>
    <row r="31" spans="1:19">
      <c r="A31" s="737"/>
      <c r="B31" s="738"/>
      <c r="C31" s="202" t="s">
        <v>181</v>
      </c>
      <c r="D31" s="289" t="s">
        <v>193</v>
      </c>
      <c r="E31" s="617">
        <v>140994.64545370164</v>
      </c>
      <c r="F31" s="691">
        <f>'[9]Prod &amp; Defects - Qty'!$R31</f>
        <v>107820.17836431743</v>
      </c>
      <c r="G31" s="707" t="e">
        <f t="array" ref="G31">SUM(IF($C$15:$C$29=$C31,G$15:G$29))</f>
        <v>#N/A</v>
      </c>
      <c r="H31" s="707" t="e">
        <f t="array" ref="H31">SUM(IF($C$15:$C$29=$C31,H$15:H$29))</f>
        <v>#N/A</v>
      </c>
      <c r="I31" s="707" t="e">
        <f t="array" ref="I31">SUM(IF($C$15:$C$29=$C31,I$15:I$29))</f>
        <v>#N/A</v>
      </c>
      <c r="J31" s="707" t="e">
        <f t="array" ref="J31">SUM(IF($C$15:$C$29=$C31,J$15:J$29))</f>
        <v>#N/A</v>
      </c>
      <c r="K31" s="707" t="e">
        <f t="array" ref="K31">SUM(IF($C$15:$C$29=$C31,K$15:K$29))</f>
        <v>#N/A</v>
      </c>
      <c r="L31" s="707" t="e">
        <f t="array" ref="L31">SUM(IF($C$15:$C$29=$C31,L$15:L$29))</f>
        <v>#N/A</v>
      </c>
      <c r="M31" s="707" t="e">
        <f t="array" ref="M31">SUM(IF($C$15:$C$29=$C31,M$15:M$29))</f>
        <v>#N/A</v>
      </c>
      <c r="N31" s="707" t="e">
        <f t="array" ref="N31">SUM(IF($C$15:$C$29=$C31,N$15:N$29))</f>
        <v>#N/A</v>
      </c>
      <c r="O31" s="707" t="e">
        <f t="array" ref="O31">SUM(IF($C$15:$C$29=$C31,O$15:O$29))</f>
        <v>#N/A</v>
      </c>
      <c r="P31" s="707" t="e">
        <f t="array" ref="P31">SUM(IF($C$15:$C$29=$C31,P$15:P$29))</f>
        <v>#N/A</v>
      </c>
      <c r="Q31" s="707" t="e">
        <f t="array" ref="Q31">SUM(IF($C$15:$C$29=$C31,Q$15:Q$29))</f>
        <v>#N/A</v>
      </c>
      <c r="R31" s="707" t="e">
        <f t="array" ref="R31">SUM(IF($C$15:$C$29=$C31,R$15:R$29))</f>
        <v>#N/A</v>
      </c>
      <c r="S31" s="653" t="e">
        <f>SUM(G31:R31)</f>
        <v>#N/A</v>
      </c>
    </row>
    <row r="32" spans="1:19">
      <c r="A32" s="737"/>
      <c r="B32" s="738"/>
      <c r="C32" s="203" t="s">
        <v>113</v>
      </c>
      <c r="D32" s="290" t="s">
        <v>193</v>
      </c>
      <c r="E32" s="618">
        <v>411981.48124336172</v>
      </c>
      <c r="F32" s="692">
        <f>'[9]Prod &amp; Defects - Qty'!$R32</f>
        <v>243633.1751885351</v>
      </c>
      <c r="G32" s="708" t="e">
        <f t="array" ref="G32">SUM(IF($C$15:$C$29=$C32,G$15:G$29))</f>
        <v>#N/A</v>
      </c>
      <c r="H32" s="708" t="e">
        <f t="array" ref="H32">SUM(IF($C$15:$C$29=$C32,H$15:H$29))</f>
        <v>#N/A</v>
      </c>
      <c r="I32" s="708" t="e">
        <f t="array" ref="I32">SUM(IF($C$15:$C$29=$C32,I$15:I$29))</f>
        <v>#N/A</v>
      </c>
      <c r="J32" s="708" t="e">
        <f t="array" ref="J32">SUM(IF($C$15:$C$29=$C32,J$15:J$29))</f>
        <v>#N/A</v>
      </c>
      <c r="K32" s="708" t="e">
        <f t="array" ref="K32">SUM(IF($C$15:$C$29=$C32,K$15:K$29))</f>
        <v>#N/A</v>
      </c>
      <c r="L32" s="708" t="e">
        <f t="array" ref="L32">SUM(IF($C$15:$C$29=$C32,L$15:L$29))</f>
        <v>#N/A</v>
      </c>
      <c r="M32" s="708" t="e">
        <f t="array" ref="M32">SUM(IF($C$15:$C$29=$C32,M$15:M$29))</f>
        <v>#N/A</v>
      </c>
      <c r="N32" s="708" t="e">
        <f t="array" ref="N32">SUM(IF($C$15:$C$29=$C32,N$15:N$29))</f>
        <v>#N/A</v>
      </c>
      <c r="O32" s="708" t="e">
        <f t="array" ref="O32">SUM(IF($C$15:$C$29=$C32,O$15:O$29))</f>
        <v>#N/A</v>
      </c>
      <c r="P32" s="708" t="e">
        <f t="array" ref="P32">SUM(IF($C$15:$C$29=$C32,P$15:P$29))</f>
        <v>#N/A</v>
      </c>
      <c r="Q32" s="708" t="e">
        <f t="array" ref="Q32">SUM(IF($C$15:$C$29=$C32,Q$15:Q$29))</f>
        <v>#N/A</v>
      </c>
      <c r="R32" s="708" t="e">
        <f t="array" ref="R32">SUM(IF($C$15:$C$29=$C32,R$15:R$29))</f>
        <v>#N/A</v>
      </c>
      <c r="S32" s="654" t="e">
        <f>SUM(G32:R32)</f>
        <v>#N/A</v>
      </c>
    </row>
    <row r="33" spans="1:27">
      <c r="A33" s="737"/>
      <c r="B33" s="738"/>
      <c r="C33" s="230" t="s">
        <v>1</v>
      </c>
      <c r="D33" s="251" t="s">
        <v>193</v>
      </c>
      <c r="E33" s="615">
        <v>985781.3316060761</v>
      </c>
      <c r="F33" s="688">
        <f>'[9]Prod &amp; Defects - Qty'!$R33</f>
        <v>814796.7846874221</v>
      </c>
      <c r="G33" s="712" t="e">
        <f t="shared" ref="G33:N33" si="3">SUM(G30:G32)</f>
        <v>#N/A</v>
      </c>
      <c r="H33" s="712" t="e">
        <f t="shared" si="3"/>
        <v>#N/A</v>
      </c>
      <c r="I33" s="712" t="e">
        <f t="shared" si="3"/>
        <v>#N/A</v>
      </c>
      <c r="J33" s="712" t="e">
        <f t="shared" si="3"/>
        <v>#N/A</v>
      </c>
      <c r="K33" s="712" t="e">
        <f t="shared" si="3"/>
        <v>#N/A</v>
      </c>
      <c r="L33" s="712" t="e">
        <f t="shared" si="3"/>
        <v>#N/A</v>
      </c>
      <c r="M33" s="712" t="e">
        <f t="shared" si="3"/>
        <v>#N/A</v>
      </c>
      <c r="N33" s="712" t="e">
        <f t="shared" si="3"/>
        <v>#N/A</v>
      </c>
      <c r="O33" s="712" t="e">
        <f>SUM(O30:O32)</f>
        <v>#N/A</v>
      </c>
      <c r="P33" s="712" t="e">
        <f>SUM(P30:P32)</f>
        <v>#N/A</v>
      </c>
      <c r="Q33" s="712" t="e">
        <f>SUM(Q30:Q32)</f>
        <v>#N/A</v>
      </c>
      <c r="R33" s="712" t="e">
        <f>SUM(R30:R32)</f>
        <v>#N/A</v>
      </c>
      <c r="S33" s="658" t="e">
        <f>SUM(S30:S32)</f>
        <v>#N/A</v>
      </c>
    </row>
    <row r="34" spans="1:27">
      <c r="A34" s="737"/>
      <c r="B34" s="738"/>
      <c r="C34" s="230" t="s">
        <v>191</v>
      </c>
      <c r="D34" s="251" t="s">
        <v>114</v>
      </c>
      <c r="E34" s="593">
        <v>2.8686350586355574E-3</v>
      </c>
      <c r="F34" s="696">
        <f>'[9]Prod &amp; Defects - Qty'!$R34</f>
        <v>3.1841048385873156E-3</v>
      </c>
      <c r="G34" s="713" t="e">
        <f t="shared" ref="G34:N34" si="4">IF(G10&gt;0,G33/G10,0)</f>
        <v>#N/A</v>
      </c>
      <c r="H34" s="713" t="e">
        <f t="shared" si="4"/>
        <v>#N/A</v>
      </c>
      <c r="I34" s="713" t="e">
        <f t="shared" si="4"/>
        <v>#N/A</v>
      </c>
      <c r="J34" s="713" t="e">
        <f t="shared" si="4"/>
        <v>#N/A</v>
      </c>
      <c r="K34" s="713" t="e">
        <f t="shared" si="4"/>
        <v>#N/A</v>
      </c>
      <c r="L34" s="713" t="e">
        <f t="shared" si="4"/>
        <v>#N/A</v>
      </c>
      <c r="M34" s="713" t="e">
        <f t="shared" si="4"/>
        <v>#N/A</v>
      </c>
      <c r="N34" s="713" t="e">
        <f t="shared" si="4"/>
        <v>#N/A</v>
      </c>
      <c r="O34" s="713" t="e">
        <f>IF(O10&gt;0,O33/O10,0)</f>
        <v>#N/A</v>
      </c>
      <c r="P34" s="713" t="e">
        <f>IF(P10&gt;0,P33/P10,0)</f>
        <v>#N/A</v>
      </c>
      <c r="Q34" s="713" t="e">
        <f>IF(Q10&gt;0,Q33/Q10,0)</f>
        <v>#N/A</v>
      </c>
      <c r="R34" s="713" t="e">
        <f>IF(R10&gt;0,R33/R10,0)</f>
        <v>#N/A</v>
      </c>
      <c r="S34" s="659" t="e">
        <f>S33/S10</f>
        <v>#N/A</v>
      </c>
    </row>
    <row r="35" spans="1:27">
      <c r="A35" s="737"/>
      <c r="B35" s="738"/>
      <c r="C35" s="201" t="s">
        <v>189</v>
      </c>
      <c r="D35" s="288" t="s">
        <v>114</v>
      </c>
      <c r="E35" s="594">
        <v>2.5999999999999999E-3</v>
      </c>
      <c r="F35" s="697">
        <f>'[9]Prod &amp; Defects - Qty'!$R35</f>
        <v>2.5999999999999999E-3</v>
      </c>
      <c r="G35" s="714">
        <v>2.5999999999999999E-3</v>
      </c>
      <c r="H35" s="714">
        <v>2.5999999999999999E-3</v>
      </c>
      <c r="I35" s="714">
        <v>2.5999999999999999E-3</v>
      </c>
      <c r="J35" s="714">
        <v>2.5999999999999999E-3</v>
      </c>
      <c r="K35" s="714">
        <v>2.5999999999999999E-3</v>
      </c>
      <c r="L35" s="714">
        <v>2.5999999999999999E-3</v>
      </c>
      <c r="M35" s="714">
        <v>2.5999999999999999E-3</v>
      </c>
      <c r="N35" s="714">
        <v>2.5999999999999999E-3</v>
      </c>
      <c r="O35" s="714">
        <v>2.5999999999999999E-3</v>
      </c>
      <c r="P35" s="714">
        <v>2.5999999999999999E-3</v>
      </c>
      <c r="Q35" s="714">
        <v>2.5999999999999999E-3</v>
      </c>
      <c r="R35" s="714">
        <v>2.5999999999999999E-3</v>
      </c>
      <c r="S35" s="660">
        <v>2.5999999999999999E-3</v>
      </c>
    </row>
    <row r="36" spans="1:27" ht="13.5" thickBot="1">
      <c r="A36" s="739"/>
      <c r="B36" s="740"/>
      <c r="C36" s="297" t="s">
        <v>195</v>
      </c>
      <c r="D36" s="298" t="s">
        <v>114</v>
      </c>
      <c r="E36" s="595">
        <v>2.6863505863555749E-4</v>
      </c>
      <c r="F36" s="698">
        <f>'[9]Prod &amp; Defects - Qty'!$R36</f>
        <v>5.8410483858731569E-4</v>
      </c>
      <c r="G36" s="715" t="e">
        <f t="shared" ref="G36:N36" si="5">G34-G35</f>
        <v>#N/A</v>
      </c>
      <c r="H36" s="715" t="e">
        <f t="shared" si="5"/>
        <v>#N/A</v>
      </c>
      <c r="I36" s="715" t="e">
        <f t="shared" si="5"/>
        <v>#N/A</v>
      </c>
      <c r="J36" s="715" t="e">
        <f t="shared" si="5"/>
        <v>#N/A</v>
      </c>
      <c r="K36" s="715" t="e">
        <f t="shared" si="5"/>
        <v>#N/A</v>
      </c>
      <c r="L36" s="715" t="e">
        <f t="shared" si="5"/>
        <v>#N/A</v>
      </c>
      <c r="M36" s="715" t="e">
        <f t="shared" si="5"/>
        <v>#N/A</v>
      </c>
      <c r="N36" s="715" t="e">
        <f t="shared" si="5"/>
        <v>#N/A</v>
      </c>
      <c r="O36" s="715" t="e">
        <f>O34-O35</f>
        <v>#N/A</v>
      </c>
      <c r="P36" s="715" t="e">
        <f>P34-P35</f>
        <v>#N/A</v>
      </c>
      <c r="Q36" s="715" t="e">
        <f>Q34-Q35</f>
        <v>#N/A</v>
      </c>
      <c r="R36" s="715" t="e">
        <f>R34-R35</f>
        <v>#N/A</v>
      </c>
      <c r="S36" s="661" t="e">
        <f>S34-S35</f>
        <v>#N/A</v>
      </c>
    </row>
    <row r="37" spans="1:27">
      <c r="E37" s="651"/>
      <c r="F37" s="689"/>
      <c r="G37" s="705"/>
      <c r="H37" s="705"/>
      <c r="I37" s="705"/>
      <c r="J37" s="705"/>
      <c r="K37" s="705"/>
      <c r="L37" s="705"/>
      <c r="M37" s="705"/>
      <c r="N37" s="705"/>
      <c r="O37" s="705"/>
      <c r="P37" s="705"/>
      <c r="Q37" s="705"/>
      <c r="R37" s="705"/>
    </row>
    <row r="38" spans="1:27" ht="13.5" thickBot="1">
      <c r="C38" s="1" t="s">
        <v>1</v>
      </c>
      <c r="E38" s="651"/>
      <c r="F38" s="689"/>
      <c r="G38" s="716"/>
      <c r="H38" s="716"/>
      <c r="I38" s="705"/>
      <c r="J38" s="705"/>
      <c r="K38" s="705"/>
      <c r="L38" s="705"/>
      <c r="M38" s="705"/>
      <c r="N38" s="705"/>
      <c r="O38" s="705"/>
      <c r="P38" s="705"/>
      <c r="Q38" s="705"/>
      <c r="R38" s="705"/>
      <c r="T38" s="1" t="s">
        <v>48</v>
      </c>
    </row>
    <row r="39" spans="1:27">
      <c r="A39" s="662"/>
      <c r="B39" s="294">
        <v>1</v>
      </c>
      <c r="C39" s="662" t="s">
        <v>107</v>
      </c>
      <c r="D39" s="295" t="s">
        <v>201</v>
      </c>
      <c r="E39" s="616">
        <v>51938.960448612692</v>
      </c>
      <c r="F39" s="690">
        <f>'[9]Prod &amp; Defects - Qty'!$R39</f>
        <v>39737.880248019312</v>
      </c>
      <c r="G39" s="717" t="e">
        <f>SUM(G15:G17)</f>
        <v>#N/A</v>
      </c>
      <c r="H39" s="717" t="e">
        <f t="shared" ref="H39:R39" si="6">SUM(H15:H17)</f>
        <v>#N/A</v>
      </c>
      <c r="I39" s="717" t="e">
        <f t="shared" si="6"/>
        <v>#N/A</v>
      </c>
      <c r="J39" s="717" t="e">
        <f t="shared" si="6"/>
        <v>#N/A</v>
      </c>
      <c r="K39" s="717" t="e">
        <f t="shared" si="6"/>
        <v>#N/A</v>
      </c>
      <c r="L39" s="717" t="e">
        <f t="shared" si="6"/>
        <v>#N/A</v>
      </c>
      <c r="M39" s="717" t="e">
        <f t="shared" si="6"/>
        <v>#N/A</v>
      </c>
      <c r="N39" s="717" t="e">
        <f t="shared" si="6"/>
        <v>#N/A</v>
      </c>
      <c r="O39" s="717" t="e">
        <f t="shared" si="6"/>
        <v>#N/A</v>
      </c>
      <c r="P39" s="717" t="e">
        <f t="shared" si="6"/>
        <v>#N/A</v>
      </c>
      <c r="Q39" s="717" t="e">
        <f t="shared" si="6"/>
        <v>#N/A</v>
      </c>
      <c r="R39" s="717" t="e">
        <f t="shared" si="6"/>
        <v>#N/A</v>
      </c>
      <c r="S39" s="663" t="e">
        <f>SUM(G39:R39)</f>
        <v>#N/A</v>
      </c>
      <c r="T39" s="664" t="e">
        <f>S39/S5*1000000</f>
        <v>#N/A</v>
      </c>
      <c r="U39" s="1">
        <v>1</v>
      </c>
      <c r="V39" s="665" t="e">
        <f>T39</f>
        <v>#N/A</v>
      </c>
      <c r="W39" s="665" t="e">
        <f>LARGE($V$39:$V$43,U39)</f>
        <v>#N/A</v>
      </c>
      <c r="X39" s="1" t="e">
        <f>MATCH(W39,$V$39:$V$43,0)</f>
        <v>#N/A</v>
      </c>
      <c r="Y39" s="1" t="e">
        <f>VLOOKUP(X39,$B$39:$C$43,2,)</f>
        <v>#N/A</v>
      </c>
      <c r="Z39" s="665" t="e">
        <f>W39</f>
        <v>#N/A</v>
      </c>
      <c r="AA39" s="650" t="e">
        <f>Z39/$Z$43</f>
        <v>#N/A</v>
      </c>
    </row>
    <row r="40" spans="1:27">
      <c r="A40" s="666"/>
      <c r="B40" s="202">
        <v>2</v>
      </c>
      <c r="C40" s="666" t="s">
        <v>199</v>
      </c>
      <c r="D40" s="289" t="s">
        <v>201</v>
      </c>
      <c r="E40" s="617">
        <v>151234.40088142079</v>
      </c>
      <c r="F40" s="691">
        <f>'[9]Prod &amp; Defects - Qty'!$R40</f>
        <v>105681.86726190477</v>
      </c>
      <c r="G40" s="718" t="e">
        <f>SUM(G18:G20)</f>
        <v>#N/A</v>
      </c>
      <c r="H40" s="718" t="e">
        <f t="shared" ref="H40:R40" si="7">SUM(H18:H20)</f>
        <v>#N/A</v>
      </c>
      <c r="I40" s="718" t="e">
        <f t="shared" si="7"/>
        <v>#N/A</v>
      </c>
      <c r="J40" s="718" t="e">
        <f t="shared" si="7"/>
        <v>#N/A</v>
      </c>
      <c r="K40" s="718" t="e">
        <f t="shared" si="7"/>
        <v>#N/A</v>
      </c>
      <c r="L40" s="718" t="e">
        <f t="shared" si="7"/>
        <v>#N/A</v>
      </c>
      <c r="M40" s="718" t="e">
        <f t="shared" si="7"/>
        <v>#N/A</v>
      </c>
      <c r="N40" s="718" t="e">
        <f t="shared" si="7"/>
        <v>#N/A</v>
      </c>
      <c r="O40" s="718" t="e">
        <f t="shared" si="7"/>
        <v>#N/A</v>
      </c>
      <c r="P40" s="718" t="e">
        <f t="shared" si="7"/>
        <v>#N/A</v>
      </c>
      <c r="Q40" s="718" t="e">
        <f t="shared" si="7"/>
        <v>#N/A</v>
      </c>
      <c r="R40" s="718" t="e">
        <f t="shared" si="7"/>
        <v>#N/A</v>
      </c>
      <c r="S40" s="667" t="e">
        <f>SUM(G40:R40)</f>
        <v>#N/A</v>
      </c>
      <c r="T40" s="668" t="e">
        <f>S40/S6*1000000</f>
        <v>#N/A</v>
      </c>
      <c r="U40" s="1">
        <v>2</v>
      </c>
      <c r="V40" s="665" t="e">
        <f>T40</f>
        <v>#N/A</v>
      </c>
      <c r="W40" s="665" t="e">
        <f>LARGE($V$39:$V$43,U40)</f>
        <v>#N/A</v>
      </c>
      <c r="X40" s="1" t="e">
        <f>MATCH(W40,$V$39:$V$43,0)</f>
        <v>#N/A</v>
      </c>
      <c r="Y40" s="1" t="e">
        <f>VLOOKUP(X40,$B$39:$C$43,2,)</f>
        <v>#N/A</v>
      </c>
      <c r="Z40" s="665" t="e">
        <f>Z39+W40</f>
        <v>#N/A</v>
      </c>
      <c r="AA40" s="650" t="e">
        <f>Z40/$Z$43</f>
        <v>#N/A</v>
      </c>
    </row>
    <row r="41" spans="1:27">
      <c r="A41" s="666"/>
      <c r="B41" s="202">
        <v>3</v>
      </c>
      <c r="C41" s="666" t="s">
        <v>200</v>
      </c>
      <c r="D41" s="289" t="s">
        <v>201</v>
      </c>
      <c r="E41" s="617">
        <v>413750.05328057281</v>
      </c>
      <c r="F41" s="691">
        <f>'[9]Prod &amp; Defects - Qty'!$R41</f>
        <v>312099.63305877836</v>
      </c>
      <c r="G41" s="718" t="e">
        <f>SUM(G21:G23)</f>
        <v>#N/A</v>
      </c>
      <c r="H41" s="718" t="e">
        <f t="shared" ref="H41:R41" si="8">SUM(H21:H23)</f>
        <v>#N/A</v>
      </c>
      <c r="I41" s="718" t="e">
        <f t="shared" si="8"/>
        <v>#N/A</v>
      </c>
      <c r="J41" s="718" t="e">
        <f t="shared" si="8"/>
        <v>#N/A</v>
      </c>
      <c r="K41" s="718" t="e">
        <f t="shared" si="8"/>
        <v>#N/A</v>
      </c>
      <c r="L41" s="718" t="e">
        <f t="shared" si="8"/>
        <v>#N/A</v>
      </c>
      <c r="M41" s="718" t="e">
        <f t="shared" si="8"/>
        <v>#N/A</v>
      </c>
      <c r="N41" s="718" t="e">
        <f t="shared" si="8"/>
        <v>#N/A</v>
      </c>
      <c r="O41" s="718" t="e">
        <f t="shared" si="8"/>
        <v>#N/A</v>
      </c>
      <c r="P41" s="718" t="e">
        <f t="shared" si="8"/>
        <v>#N/A</v>
      </c>
      <c r="Q41" s="718" t="e">
        <f t="shared" si="8"/>
        <v>#N/A</v>
      </c>
      <c r="R41" s="718" t="e">
        <f t="shared" si="8"/>
        <v>#N/A</v>
      </c>
      <c r="S41" s="667" t="e">
        <f>SUM(G41:R41)</f>
        <v>#N/A</v>
      </c>
      <c r="T41" s="668" t="e">
        <f>S41/S7*1000000</f>
        <v>#N/A</v>
      </c>
      <c r="U41" s="1">
        <v>3</v>
      </c>
      <c r="V41" s="665" t="e">
        <f>T41</f>
        <v>#N/A</v>
      </c>
      <c r="W41" s="665" t="e">
        <f>LARGE($V$39:$V$43,U41)</f>
        <v>#N/A</v>
      </c>
      <c r="X41" s="1" t="e">
        <f>MATCH(W41,$V$39:$V$43,0)</f>
        <v>#N/A</v>
      </c>
      <c r="Y41" s="1" t="e">
        <f>VLOOKUP(X41,$B$39:$C$43,2,)</f>
        <v>#N/A</v>
      </c>
      <c r="Z41" s="665" t="e">
        <f>Z40+W41</f>
        <v>#N/A</v>
      </c>
      <c r="AA41" s="650" t="e">
        <f>Z41/$Z$43</f>
        <v>#N/A</v>
      </c>
    </row>
    <row r="42" spans="1:27">
      <c r="A42" s="666"/>
      <c r="B42" s="202">
        <v>4</v>
      </c>
      <c r="C42" s="666" t="s">
        <v>128</v>
      </c>
      <c r="D42" s="289" t="s">
        <v>201</v>
      </c>
      <c r="E42" s="617">
        <v>338059.91699546977</v>
      </c>
      <c r="F42" s="691">
        <f>'[9]Prod &amp; Defects - Qty'!$R42</f>
        <v>334224.40411871951</v>
      </c>
      <c r="G42" s="718" t="e">
        <f>SUM(G24:G26)</f>
        <v>#N/A</v>
      </c>
      <c r="H42" s="718" t="e">
        <f t="shared" ref="H42:R42" si="9">SUM(H24:H26)</f>
        <v>#N/A</v>
      </c>
      <c r="I42" s="718" t="e">
        <f t="shared" si="9"/>
        <v>#N/A</v>
      </c>
      <c r="J42" s="718" t="e">
        <f t="shared" si="9"/>
        <v>#N/A</v>
      </c>
      <c r="K42" s="718" t="e">
        <f t="shared" si="9"/>
        <v>#N/A</v>
      </c>
      <c r="L42" s="718" t="e">
        <f t="shared" si="9"/>
        <v>#N/A</v>
      </c>
      <c r="M42" s="718" t="e">
        <f t="shared" si="9"/>
        <v>#N/A</v>
      </c>
      <c r="N42" s="718" t="e">
        <f t="shared" si="9"/>
        <v>#N/A</v>
      </c>
      <c r="O42" s="718" t="e">
        <f t="shared" si="9"/>
        <v>#N/A</v>
      </c>
      <c r="P42" s="718" t="e">
        <f t="shared" si="9"/>
        <v>#N/A</v>
      </c>
      <c r="Q42" s="718" t="e">
        <f t="shared" si="9"/>
        <v>#N/A</v>
      </c>
      <c r="R42" s="718" t="e">
        <f t="shared" si="9"/>
        <v>#N/A</v>
      </c>
      <c r="S42" s="667" t="e">
        <f>SUM(G42:R42)</f>
        <v>#N/A</v>
      </c>
      <c r="T42" s="668" t="e">
        <f>S42/S8*1000000</f>
        <v>#N/A</v>
      </c>
      <c r="U42" s="1">
        <v>4</v>
      </c>
      <c r="V42" s="665" t="e">
        <f>T42</f>
        <v>#N/A</v>
      </c>
      <c r="W42" s="665" t="e">
        <f>LARGE($V$39:$V$43,U42)</f>
        <v>#N/A</v>
      </c>
      <c r="X42" s="1" t="e">
        <f>MATCH(W42,$V$39:$V$43,0)</f>
        <v>#N/A</v>
      </c>
      <c r="Y42" s="1" t="e">
        <f>VLOOKUP(X42,$B$39:$C$43,2,)</f>
        <v>#N/A</v>
      </c>
      <c r="Z42" s="665" t="e">
        <f>Z41+W42</f>
        <v>#N/A</v>
      </c>
      <c r="AA42" s="650" t="e">
        <f>Z42/$Z$43</f>
        <v>#N/A</v>
      </c>
    </row>
    <row r="43" spans="1:27" ht="13.5" thickBot="1">
      <c r="A43" s="669"/>
      <c r="B43" s="297">
        <v>5</v>
      </c>
      <c r="C43" s="669" t="s">
        <v>115</v>
      </c>
      <c r="D43" s="298" t="s">
        <v>201</v>
      </c>
      <c r="E43" s="620">
        <v>30798</v>
      </c>
      <c r="F43" s="694">
        <f>'[9]Prod &amp; Defects - Qty'!$R43</f>
        <v>23053</v>
      </c>
      <c r="G43" s="719">
        <f>SUM(G27:G29)</f>
        <v>4110.1961519333554</v>
      </c>
      <c r="H43" s="719">
        <f t="shared" ref="H43:R43" si="10">SUM(H27:H29)</f>
        <v>3878.5383287707955</v>
      </c>
      <c r="I43" s="719">
        <f t="shared" si="10"/>
        <v>4237.2007161008769</v>
      </c>
      <c r="J43" s="719">
        <f t="shared" si="10"/>
        <v>3487.6386288241156</v>
      </c>
      <c r="K43" s="719">
        <f t="shared" si="10"/>
        <v>4011.044074724919</v>
      </c>
      <c r="L43" s="719">
        <f t="shared" si="10"/>
        <v>4015.9227520090685</v>
      </c>
      <c r="M43" s="719">
        <f t="shared" si="10"/>
        <v>5167.7141719222764</v>
      </c>
      <c r="N43" s="719">
        <f t="shared" si="10"/>
        <v>4982.4891698673309</v>
      </c>
      <c r="O43" s="719">
        <f t="shared" si="10"/>
        <v>4111.0259531599968</v>
      </c>
      <c r="P43" s="719">
        <f t="shared" si="10"/>
        <v>3325.5289833994971</v>
      </c>
      <c r="Q43" s="719">
        <f t="shared" si="10"/>
        <v>3384.4450106310628</v>
      </c>
      <c r="R43" s="719">
        <f t="shared" si="10"/>
        <v>3490.0852260856873</v>
      </c>
      <c r="S43" s="670">
        <f>SUM(G43:R43)</f>
        <v>48201.829167428979</v>
      </c>
      <c r="T43" s="671" t="e">
        <f>S43/S9*1000000</f>
        <v>#N/A</v>
      </c>
      <c r="U43" s="1">
        <v>5</v>
      </c>
      <c r="V43" s="665" t="e">
        <f>T43</f>
        <v>#N/A</v>
      </c>
      <c r="W43" s="665" t="e">
        <f>LARGE($V$39:$V$43,U43)</f>
        <v>#N/A</v>
      </c>
      <c r="X43" s="1" t="e">
        <f>MATCH(W43,$V$39:$V$43,0)</f>
        <v>#N/A</v>
      </c>
      <c r="Y43" s="1" t="e">
        <f>VLOOKUP(X43,$B$39:$C$43,2,)</f>
        <v>#N/A</v>
      </c>
      <c r="Z43" s="665" t="e">
        <f>Z42+W43</f>
        <v>#N/A</v>
      </c>
      <c r="AA43" s="650" t="e">
        <f>Z43/$Z$43</f>
        <v>#N/A</v>
      </c>
    </row>
    <row r="44" spans="1:27" ht="13.5" thickBot="1">
      <c r="C44" s="672" t="s">
        <v>189</v>
      </c>
      <c r="E44" s="651"/>
      <c r="F44" s="689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</row>
    <row r="45" spans="1:27">
      <c r="C45" s="662" t="s">
        <v>107</v>
      </c>
      <c r="D45" s="673" t="s">
        <v>114</v>
      </c>
      <c r="E45" s="674">
        <v>1.8321338959213778E-3</v>
      </c>
      <c r="F45" s="699">
        <f>'[9]Prod &amp; Defects - Qty'!$R45</f>
        <v>2.6948188934933209E-3</v>
      </c>
      <c r="G45" s="720" t="e">
        <f>G39/G5</f>
        <v>#N/A</v>
      </c>
      <c r="H45" s="720" t="e">
        <f t="shared" ref="H45:R45" si="11">H39/H5</f>
        <v>#N/A</v>
      </c>
      <c r="I45" s="720" t="e">
        <f t="shared" si="11"/>
        <v>#N/A</v>
      </c>
      <c r="J45" s="720" t="e">
        <f t="shared" si="11"/>
        <v>#N/A</v>
      </c>
      <c r="K45" s="720" t="e">
        <f t="shared" si="11"/>
        <v>#N/A</v>
      </c>
      <c r="L45" s="720" t="e">
        <f t="shared" si="11"/>
        <v>#N/A</v>
      </c>
      <c r="M45" s="720" t="e">
        <f t="shared" si="11"/>
        <v>#N/A</v>
      </c>
      <c r="N45" s="720" t="e">
        <f t="shared" si="11"/>
        <v>#N/A</v>
      </c>
      <c r="O45" s="720" t="e">
        <f t="shared" si="11"/>
        <v>#N/A</v>
      </c>
      <c r="P45" s="720" t="e">
        <f t="shared" si="11"/>
        <v>#N/A</v>
      </c>
      <c r="Q45" s="720" t="e">
        <f t="shared" si="11"/>
        <v>#N/A</v>
      </c>
      <c r="R45" s="720" t="e">
        <f t="shared" si="11"/>
        <v>#N/A</v>
      </c>
      <c r="S45" s="675" t="e">
        <f>S39/S5</f>
        <v>#N/A</v>
      </c>
    </row>
    <row r="46" spans="1:27">
      <c r="C46" s="666" t="s">
        <v>199</v>
      </c>
      <c r="D46" s="251" t="s">
        <v>114</v>
      </c>
      <c r="E46" s="676">
        <v>3.6600607881213851E-3</v>
      </c>
      <c r="F46" s="700">
        <f>'[9]Prod &amp; Defects - Qty'!$R46</f>
        <v>3.8841132820105579E-3</v>
      </c>
      <c r="G46" s="721" t="e">
        <f>G40/G6</f>
        <v>#N/A</v>
      </c>
      <c r="H46" s="721" t="e">
        <f t="shared" ref="H46:R46" si="12">H40/H6</f>
        <v>#N/A</v>
      </c>
      <c r="I46" s="721" t="e">
        <f t="shared" si="12"/>
        <v>#N/A</v>
      </c>
      <c r="J46" s="721" t="e">
        <f t="shared" si="12"/>
        <v>#N/A</v>
      </c>
      <c r="K46" s="721" t="e">
        <f t="shared" si="12"/>
        <v>#N/A</v>
      </c>
      <c r="L46" s="721" t="e">
        <f t="shared" si="12"/>
        <v>#N/A</v>
      </c>
      <c r="M46" s="721" t="e">
        <f t="shared" si="12"/>
        <v>#N/A</v>
      </c>
      <c r="N46" s="721" t="e">
        <f t="shared" si="12"/>
        <v>#N/A</v>
      </c>
      <c r="O46" s="721" t="e">
        <f t="shared" si="12"/>
        <v>#N/A</v>
      </c>
      <c r="P46" s="721" t="e">
        <f t="shared" si="12"/>
        <v>#N/A</v>
      </c>
      <c r="Q46" s="721" t="e">
        <f t="shared" si="12"/>
        <v>#N/A</v>
      </c>
      <c r="R46" s="721" t="e">
        <f t="shared" si="12"/>
        <v>#N/A</v>
      </c>
      <c r="S46" s="677" t="e">
        <f>S40/S6</f>
        <v>#N/A</v>
      </c>
    </row>
    <row r="47" spans="1:27">
      <c r="C47" s="666" t="s">
        <v>200</v>
      </c>
      <c r="D47" s="251" t="s">
        <v>114</v>
      </c>
      <c r="E47" s="676">
        <v>3.1965514222968301E-3</v>
      </c>
      <c r="F47" s="700">
        <f>'[9]Prod &amp; Defects - Qty'!$R47</f>
        <v>3.2616431790854204E-3</v>
      </c>
      <c r="G47" s="721" t="e">
        <f>G41/G7</f>
        <v>#N/A</v>
      </c>
      <c r="H47" s="721" t="e">
        <f t="shared" ref="H47:R47" si="13">H41/H7</f>
        <v>#N/A</v>
      </c>
      <c r="I47" s="721" t="e">
        <f t="shared" si="13"/>
        <v>#N/A</v>
      </c>
      <c r="J47" s="721" t="e">
        <f t="shared" si="13"/>
        <v>#N/A</v>
      </c>
      <c r="K47" s="721" t="e">
        <f t="shared" si="13"/>
        <v>#N/A</v>
      </c>
      <c r="L47" s="721" t="e">
        <f t="shared" si="13"/>
        <v>#N/A</v>
      </c>
      <c r="M47" s="721" t="e">
        <f t="shared" si="13"/>
        <v>#N/A</v>
      </c>
      <c r="N47" s="721" t="e">
        <f t="shared" si="13"/>
        <v>#N/A</v>
      </c>
      <c r="O47" s="721" t="e">
        <f t="shared" si="13"/>
        <v>#N/A</v>
      </c>
      <c r="P47" s="721" t="e">
        <f t="shared" si="13"/>
        <v>#N/A</v>
      </c>
      <c r="Q47" s="721" t="e">
        <f t="shared" si="13"/>
        <v>#N/A</v>
      </c>
      <c r="R47" s="721" t="e">
        <f t="shared" si="13"/>
        <v>#N/A</v>
      </c>
      <c r="S47" s="677" t="e">
        <f>S41/S7</f>
        <v>#N/A</v>
      </c>
    </row>
    <row r="48" spans="1:27">
      <c r="C48" s="666" t="s">
        <v>128</v>
      </c>
      <c r="D48" s="251" t="s">
        <v>114</v>
      </c>
      <c r="E48" s="676">
        <v>3.0627298893489557E-3</v>
      </c>
      <c r="F48" s="700">
        <f>'[9]Prod &amp; Defects - Qty'!$R48</f>
        <v>3.5153175732747367E-3</v>
      </c>
      <c r="G48" s="721" t="e">
        <f>G42/G8</f>
        <v>#N/A</v>
      </c>
      <c r="H48" s="721" t="e">
        <f t="shared" ref="H48:R48" si="14">H42/H8</f>
        <v>#N/A</v>
      </c>
      <c r="I48" s="721" t="e">
        <f t="shared" si="14"/>
        <v>#N/A</v>
      </c>
      <c r="J48" s="721" t="e">
        <f t="shared" si="14"/>
        <v>#N/A</v>
      </c>
      <c r="K48" s="721" t="e">
        <f t="shared" si="14"/>
        <v>#N/A</v>
      </c>
      <c r="L48" s="721" t="e">
        <f t="shared" si="14"/>
        <v>#N/A</v>
      </c>
      <c r="M48" s="721" t="e">
        <f t="shared" si="14"/>
        <v>#N/A</v>
      </c>
      <c r="N48" s="721" t="e">
        <f t="shared" si="14"/>
        <v>#N/A</v>
      </c>
      <c r="O48" s="721" t="e">
        <f t="shared" si="14"/>
        <v>#N/A</v>
      </c>
      <c r="P48" s="721" t="e">
        <f t="shared" si="14"/>
        <v>#N/A</v>
      </c>
      <c r="Q48" s="721" t="e">
        <f t="shared" si="14"/>
        <v>#N/A</v>
      </c>
      <c r="R48" s="721" t="e">
        <f t="shared" si="14"/>
        <v>#N/A</v>
      </c>
      <c r="S48" s="677" t="e">
        <f>S42/S8</f>
        <v>#N/A</v>
      </c>
      <c r="T48" s="665" t="e">
        <f>SUM(S39:S42)/SUM(S5:S8)*1000000</f>
        <v>#N/A</v>
      </c>
    </row>
    <row r="49" spans="1:19">
      <c r="C49" s="678" t="s">
        <v>115</v>
      </c>
      <c r="D49" s="679" t="s">
        <v>114</v>
      </c>
      <c r="E49" s="680">
        <v>9.0165570547108098E-4</v>
      </c>
      <c r="F49" s="701">
        <f>'[9]Prod &amp; Defects - Qty'!$R49</f>
        <v>9.946985797509608E-4</v>
      </c>
      <c r="G49" s="722" t="e">
        <f>G43/G9</f>
        <v>#N/A</v>
      </c>
      <c r="H49" s="722" t="e">
        <f t="shared" ref="H49:R49" si="15">H43/H9</f>
        <v>#N/A</v>
      </c>
      <c r="I49" s="722" t="e">
        <f t="shared" si="15"/>
        <v>#N/A</v>
      </c>
      <c r="J49" s="722" t="e">
        <f t="shared" si="15"/>
        <v>#N/A</v>
      </c>
      <c r="K49" s="722" t="e">
        <f t="shared" si="15"/>
        <v>#N/A</v>
      </c>
      <c r="L49" s="722" t="e">
        <f t="shared" si="15"/>
        <v>#N/A</v>
      </c>
      <c r="M49" s="722" t="e">
        <f t="shared" si="15"/>
        <v>#N/A</v>
      </c>
      <c r="N49" s="722" t="e">
        <f t="shared" si="15"/>
        <v>#N/A</v>
      </c>
      <c r="O49" s="722" t="e">
        <f t="shared" si="15"/>
        <v>#N/A</v>
      </c>
      <c r="P49" s="722" t="e">
        <f t="shared" si="15"/>
        <v>#N/A</v>
      </c>
      <c r="Q49" s="722" t="e">
        <f t="shared" si="15"/>
        <v>#N/A</v>
      </c>
      <c r="R49" s="722" t="e">
        <f t="shared" si="15"/>
        <v>#N/A</v>
      </c>
      <c r="S49" s="681" t="e">
        <f>S43/S9</f>
        <v>#N/A</v>
      </c>
    </row>
    <row r="50" spans="1:19">
      <c r="A50" s="1" t="s">
        <v>228</v>
      </c>
      <c r="C50" s="682" t="s">
        <v>229</v>
      </c>
      <c r="D50" s="251" t="s">
        <v>48</v>
      </c>
      <c r="E50" s="615">
        <v>901.65570547108098</v>
      </c>
      <c r="F50" s="688">
        <f>'[9]Prod &amp; Defects - Qty'!$R50</f>
        <v>994.69857975096079</v>
      </c>
      <c r="G50" s="723" t="e">
        <f>G43/G9*1000000</f>
        <v>#N/A</v>
      </c>
      <c r="H50" s="723" t="e">
        <f t="shared" ref="H50:R50" si="16">H43/H9*1000000</f>
        <v>#N/A</v>
      </c>
      <c r="I50" s="723" t="e">
        <f t="shared" si="16"/>
        <v>#N/A</v>
      </c>
      <c r="J50" s="723" t="e">
        <f t="shared" si="16"/>
        <v>#N/A</v>
      </c>
      <c r="K50" s="723" t="e">
        <f t="shared" si="16"/>
        <v>#N/A</v>
      </c>
      <c r="L50" s="723" t="e">
        <f t="shared" si="16"/>
        <v>#N/A</v>
      </c>
      <c r="M50" s="723" t="e">
        <f t="shared" si="16"/>
        <v>#N/A</v>
      </c>
      <c r="N50" s="723" t="e">
        <f t="shared" si="16"/>
        <v>#N/A</v>
      </c>
      <c r="O50" s="723" t="e">
        <f t="shared" si="16"/>
        <v>#N/A</v>
      </c>
      <c r="P50" s="723" t="e">
        <f t="shared" si="16"/>
        <v>#N/A</v>
      </c>
      <c r="Q50" s="723" t="e">
        <f t="shared" si="16"/>
        <v>#N/A</v>
      </c>
      <c r="R50" s="723" t="e">
        <f t="shared" si="16"/>
        <v>#N/A</v>
      </c>
      <c r="S50" s="683" t="e">
        <f>SUM($S$27:$S$29)/$S$9*1000000</f>
        <v>#N/A</v>
      </c>
    </row>
    <row r="51" spans="1:19">
      <c r="C51" s="682" t="s">
        <v>230</v>
      </c>
      <c r="D51" s="251" t="s">
        <v>48</v>
      </c>
      <c r="E51" s="615">
        <v>3085.7267782294825</v>
      </c>
      <c r="F51" s="688">
        <f>'[9]Prod &amp; Defects - Qty'!$R51</f>
        <v>3402.1417650125263</v>
      </c>
      <c r="G51" s="723" t="e">
        <f>SUM(G39:G42)/SUM(G5:G8)*1000000</f>
        <v>#N/A</v>
      </c>
      <c r="H51" s="723" t="e">
        <f t="shared" ref="H51:R51" si="17">SUM(H39:H42)/SUM(H5:H8)*1000000</f>
        <v>#N/A</v>
      </c>
      <c r="I51" s="723" t="e">
        <f t="shared" si="17"/>
        <v>#N/A</v>
      </c>
      <c r="J51" s="723" t="e">
        <f t="shared" si="17"/>
        <v>#N/A</v>
      </c>
      <c r="K51" s="723" t="e">
        <f t="shared" si="17"/>
        <v>#N/A</v>
      </c>
      <c r="L51" s="723" t="e">
        <f t="shared" si="17"/>
        <v>#N/A</v>
      </c>
      <c r="M51" s="723" t="e">
        <f t="shared" si="17"/>
        <v>#N/A</v>
      </c>
      <c r="N51" s="723" t="e">
        <f t="shared" si="17"/>
        <v>#N/A</v>
      </c>
      <c r="O51" s="723" t="e">
        <f t="shared" si="17"/>
        <v>#N/A</v>
      </c>
      <c r="P51" s="723" t="e">
        <f t="shared" si="17"/>
        <v>#N/A</v>
      </c>
      <c r="Q51" s="723" t="e">
        <f t="shared" si="17"/>
        <v>#N/A</v>
      </c>
      <c r="R51" s="723" t="e">
        <f t="shared" si="17"/>
        <v>#N/A</v>
      </c>
      <c r="S51" s="683" t="e">
        <f>SUM($S$39:$S$42)/SUM($S$5:$S$8)*1000000</f>
        <v>#N/A</v>
      </c>
    </row>
    <row r="52" spans="1:19">
      <c r="A52" s="1" t="s">
        <v>231</v>
      </c>
      <c r="C52" s="682" t="s">
        <v>232</v>
      </c>
      <c r="D52" s="251" t="s">
        <v>48</v>
      </c>
      <c r="E52" s="615">
        <v>901.65570547108098</v>
      </c>
      <c r="F52" s="688">
        <f>'[9]Prod &amp; Defects - Qty'!$R52</f>
        <v>994.69857975096079</v>
      </c>
      <c r="G52" s="724"/>
      <c r="H52" s="724"/>
      <c r="I52" s="724"/>
      <c r="J52" s="724"/>
      <c r="K52" s="724"/>
      <c r="L52" s="724" t="e">
        <f>SUM(G27:L29)/SUM(G9:L9)*1000000</f>
        <v>#N/A</v>
      </c>
      <c r="M52" s="724"/>
      <c r="N52" s="724"/>
      <c r="O52" s="724"/>
      <c r="P52" s="724"/>
      <c r="Q52" s="724"/>
      <c r="R52" s="724" t="e">
        <f>SUM(M27:R29)/SUM(M9:R9)*1000000</f>
        <v>#N/A</v>
      </c>
      <c r="S52" s="683" t="e">
        <f>SUM($S$27:$S$29)/$S$9*1000000</f>
        <v>#N/A</v>
      </c>
    </row>
    <row r="53" spans="1:19" ht="13.5" thickBot="1">
      <c r="C53" s="684" t="s">
        <v>230</v>
      </c>
      <c r="D53" s="633" t="s">
        <v>48</v>
      </c>
      <c r="E53" s="685">
        <v>3085.7267782294825</v>
      </c>
      <c r="F53" s="702">
        <f>'[9]Prod &amp; Defects - Qty'!$R53</f>
        <v>3402.1417650125263</v>
      </c>
      <c r="G53" s="725"/>
      <c r="H53" s="725"/>
      <c r="I53" s="725"/>
      <c r="J53" s="725"/>
      <c r="K53" s="725"/>
      <c r="L53" s="726" t="e">
        <f>SUM(G39:L42)/SUM(G5:L8)*1000000</f>
        <v>#N/A</v>
      </c>
      <c r="M53" s="725"/>
      <c r="N53" s="725"/>
      <c r="O53" s="725"/>
      <c r="P53" s="725"/>
      <c r="Q53" s="725"/>
      <c r="R53" s="726" t="e">
        <f>SUM(M39:R42)/SUM(M5:R8)*1000000</f>
        <v>#N/A</v>
      </c>
      <c r="S53" s="686" t="e">
        <f>SUM($S$39:$S$42)/SUM($S$5:$S$8)*1000000</f>
        <v>#N/A</v>
      </c>
    </row>
  </sheetData>
  <sheetProtection formatCells="0"/>
  <mergeCells count="2">
    <mergeCell ref="A30:B36"/>
    <mergeCell ref="O3:R3"/>
  </mergeCells>
  <printOptions horizontalCentered="1" gridLinesSet="0"/>
  <pageMargins left="0.39370078740157483" right="0.39370078740157483" top="0.78740157480314965" bottom="0.39370078740157483" header="0.51181102362204722" footer="0.51181102362204722"/>
  <pageSetup paperSize="9" scale="47" orientation="landscape" r:id="rId1"/>
  <headerFooter alignWithMargins="0">
    <oddFooter>&amp;L&amp;A&amp;R&amp;F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indexed="42"/>
    <pageSetUpPr fitToPage="1"/>
  </sheetPr>
  <dimension ref="A2:W57"/>
  <sheetViews>
    <sheetView showGridLines="0" zoomScaleNormal="100" workbookViewId="0">
      <pane xSplit="6" ySplit="11" topLeftCell="K12" activePane="bottomRight" state="frozen"/>
      <selection pane="topRight" activeCell="G1" sqref="G1"/>
      <selection pane="bottomLeft" activeCell="A12" sqref="A12"/>
      <selection pane="bottomRight" activeCell="G4" sqref="G4:R4"/>
    </sheetView>
  </sheetViews>
  <sheetFormatPr defaultColWidth="11.42578125" defaultRowHeight="12.75"/>
  <cols>
    <col min="1" max="1" width="10.7109375" style="1" customWidth="1"/>
    <col min="2" max="2" width="6.7109375" style="1" customWidth="1"/>
    <col min="3" max="3" width="15.42578125" style="1" customWidth="1"/>
    <col min="4" max="4" width="4" style="543" bestFit="1" customWidth="1"/>
    <col min="5" max="6" width="12.7109375" style="543" bestFit="1" customWidth="1"/>
    <col min="7" max="7" width="15.42578125" style="1" customWidth="1"/>
    <col min="8" max="12" width="12.7109375" style="1" customWidth="1"/>
    <col min="13" max="14" width="11.7109375" style="1" customWidth="1"/>
    <col min="15" max="18" width="12.28515625" style="1" customWidth="1"/>
    <col min="19" max="19" width="12.7109375" style="1" bestFit="1" customWidth="1"/>
    <col min="20" max="16384" width="11.42578125" style="1"/>
  </cols>
  <sheetData>
    <row r="2" spans="1:22" ht="18">
      <c r="A2" s="292" t="s">
        <v>203</v>
      </c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  <c r="M2" s="542"/>
      <c r="N2" s="542"/>
      <c r="O2" s="542"/>
      <c r="P2" s="542"/>
      <c r="Q2" s="542"/>
      <c r="R2" s="542"/>
      <c r="S2" s="542"/>
    </row>
    <row r="3" spans="1:22" ht="18">
      <c r="A3" s="221" t="s">
        <v>194</v>
      </c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O3" s="748" t="s">
        <v>206</v>
      </c>
      <c r="P3" s="748"/>
      <c r="Q3" s="748"/>
      <c r="R3" s="748"/>
    </row>
    <row r="4" spans="1:22">
      <c r="A4" s="286" t="s">
        <v>116</v>
      </c>
      <c r="B4" s="286"/>
      <c r="C4" s="286"/>
      <c r="D4" s="251" t="s">
        <v>192</v>
      </c>
      <c r="E4" s="251" t="s">
        <v>240</v>
      </c>
      <c r="F4" s="251" t="s">
        <v>260</v>
      </c>
      <c r="G4" s="287">
        <v>44652</v>
      </c>
      <c r="H4" s="287">
        <v>44682</v>
      </c>
      <c r="I4" s="287">
        <v>44713</v>
      </c>
      <c r="J4" s="287">
        <v>44743</v>
      </c>
      <c r="K4" s="287">
        <v>44774</v>
      </c>
      <c r="L4" s="287">
        <v>44805</v>
      </c>
      <c r="M4" s="287">
        <v>44835</v>
      </c>
      <c r="N4" s="287">
        <v>44866</v>
      </c>
      <c r="O4" s="287">
        <v>44896</v>
      </c>
      <c r="P4" s="287">
        <v>44927</v>
      </c>
      <c r="Q4" s="287">
        <v>44958</v>
      </c>
      <c r="R4" s="287">
        <v>44986</v>
      </c>
      <c r="S4" s="270" t="s">
        <v>1</v>
      </c>
    </row>
    <row r="5" spans="1:22">
      <c r="A5" s="286" t="s">
        <v>107</v>
      </c>
      <c r="B5" s="286"/>
      <c r="C5" s="286"/>
      <c r="D5" s="251" t="s">
        <v>90</v>
      </c>
      <c r="E5" s="586">
        <v>14111967.095374199</v>
      </c>
      <c r="F5" s="586">
        <f>'[10]Prod &amp; Defects - Costs'!S5</f>
        <v>11485532.43776756</v>
      </c>
      <c r="G5" s="306" t="e">
        <f>'Prod &amp; Defects - Qty'!G5*'Falhas UM-1 - Cost'!$E$58/1000</f>
        <v>#N/A</v>
      </c>
      <c r="H5" s="306" t="e">
        <f>'Prod &amp; Defects - Qty'!H5*'Falhas UM-1 - Cost'!$E$58/1000</f>
        <v>#N/A</v>
      </c>
      <c r="I5" s="306" t="e">
        <f>'Prod &amp; Defects - Qty'!I5*'Falhas UM-1 - Cost'!$E$58/1000</f>
        <v>#N/A</v>
      </c>
      <c r="J5" s="306" t="e">
        <f>'Prod &amp; Defects - Qty'!J5*'Falhas UM-1 - Cost'!$E$58/1000</f>
        <v>#N/A</v>
      </c>
      <c r="K5" s="306" t="e">
        <f>'Prod &amp; Defects - Qty'!K5*'Falhas UM-1 - Cost'!$E$58/1000</f>
        <v>#N/A</v>
      </c>
      <c r="L5" s="306" t="e">
        <f>'Prod &amp; Defects - Qty'!L5*'Falhas UM-1 - Cost'!$E$58/1000</f>
        <v>#N/A</v>
      </c>
      <c r="M5" s="306" t="e">
        <f>'Prod &amp; Defects - Qty'!M5*'Falhas UM-1 - Cost'!$E$58/1000</f>
        <v>#N/A</v>
      </c>
      <c r="N5" s="306" t="e">
        <f>'Prod &amp; Defects - Qty'!N5*'Falhas UM-1 - Cost'!$E$58/1000</f>
        <v>#N/A</v>
      </c>
      <c r="O5" s="306" t="e">
        <f>'Prod &amp; Defects - Qty'!O5*'Falhas UM-1 - Cost'!$E$58/1000</f>
        <v>#N/A</v>
      </c>
      <c r="P5" s="306" t="e">
        <f>'Prod &amp; Defects - Qty'!P5*'Falhas UM-1 - Cost'!$E$58/1000</f>
        <v>#N/A</v>
      </c>
      <c r="Q5" s="306" t="e">
        <f>'Prod &amp; Defects - Qty'!Q5*'Falhas UM-1 - Cost'!$E$58/1000</f>
        <v>#N/A</v>
      </c>
      <c r="R5" s="306" t="e">
        <f>'Prod &amp; Defects - Qty'!R5*'Falhas UM-1 - Cost'!$E$58/1000</f>
        <v>#N/A</v>
      </c>
      <c r="S5" s="306" t="e">
        <f t="shared" ref="S5:S10" si="0">SUM(G5:R5)</f>
        <v>#N/A</v>
      </c>
    </row>
    <row r="6" spans="1:22">
      <c r="A6" s="286" t="s">
        <v>182</v>
      </c>
      <c r="B6" s="286"/>
      <c r="C6" s="286"/>
      <c r="D6" s="251" t="s">
        <v>90</v>
      </c>
      <c r="E6" s="586">
        <v>6357082.3037208002</v>
      </c>
      <c r="F6" s="586">
        <f>'[10]Prod &amp; Defects - Costs'!S6</f>
        <v>4862914.5688830996</v>
      </c>
      <c r="G6" s="306" t="e">
        <f>'Prod &amp; Defects - Qty'!G6*'Falhas UM-3-1 Cost'!$D$51/1000</f>
        <v>#N/A</v>
      </c>
      <c r="H6" s="306" t="e">
        <f>'Prod &amp; Defects - Qty'!H6*'Falhas UM-3-1 Cost'!$D$51/1000</f>
        <v>#N/A</v>
      </c>
      <c r="I6" s="306" t="e">
        <f>'Prod &amp; Defects - Qty'!I6*'Falhas UM-3-1 Cost'!$D$51/1000</f>
        <v>#N/A</v>
      </c>
      <c r="J6" s="306" t="e">
        <f>'Prod &amp; Defects - Qty'!J6*'Falhas UM-3-1 Cost'!$D$51/1000</f>
        <v>#N/A</v>
      </c>
      <c r="K6" s="306" t="e">
        <f>'Prod &amp; Defects - Qty'!K6*'Falhas UM-3-1 Cost'!$D$51/1000</f>
        <v>#N/A</v>
      </c>
      <c r="L6" s="306" t="e">
        <f>'Prod &amp; Defects - Qty'!L6*'Falhas UM-3-1 Cost'!$D$51/1000</f>
        <v>#N/A</v>
      </c>
      <c r="M6" s="306" t="e">
        <f>'Prod &amp; Defects - Qty'!M6*'Falhas UM-3-1 Cost'!$D$51/1000</f>
        <v>#N/A</v>
      </c>
      <c r="N6" s="306" t="e">
        <f>'Prod &amp; Defects - Qty'!N6*'Falhas UM-3-1 Cost'!$D$51/1000</f>
        <v>#N/A</v>
      </c>
      <c r="O6" s="306" t="e">
        <f>'Prod &amp; Defects - Qty'!O6*'Falhas UM-3-1 Cost'!$D$51/1000</f>
        <v>#N/A</v>
      </c>
      <c r="P6" s="306" t="e">
        <f>'Prod &amp; Defects - Qty'!P6*'Falhas UM-3-1 Cost'!$D$51/1000</f>
        <v>#N/A</v>
      </c>
      <c r="Q6" s="306" t="e">
        <f>'Prod &amp; Defects - Qty'!Q6*'Falhas UM-3-1 Cost'!$D$51/1000</f>
        <v>#N/A</v>
      </c>
      <c r="R6" s="306" t="e">
        <f>'Prod &amp; Defects - Qty'!R6*'Falhas UM-3-1 Cost'!$D$51/1000</f>
        <v>#N/A</v>
      </c>
      <c r="S6" s="306" t="e">
        <f t="shared" si="0"/>
        <v>#N/A</v>
      </c>
    </row>
    <row r="7" spans="1:22">
      <c r="A7" s="286" t="s">
        <v>183</v>
      </c>
      <c r="B7" s="286"/>
      <c r="C7" s="286"/>
      <c r="D7" s="251" t="s">
        <v>90</v>
      </c>
      <c r="E7" s="586">
        <v>20334643.1942284</v>
      </c>
      <c r="F7" s="586">
        <f>'[10]Prod &amp; Defects - Costs'!S7</f>
        <v>17405875.540932801</v>
      </c>
      <c r="G7" s="306" t="e">
        <f>'Prod &amp; Defects - Qty'!G7*'Falhas UM-3-1 Cost'!$D$51/1000</f>
        <v>#N/A</v>
      </c>
      <c r="H7" s="306" t="e">
        <f>'Prod &amp; Defects - Qty'!H7*'Falhas UM-3-1 Cost'!$D$51/1000</f>
        <v>#N/A</v>
      </c>
      <c r="I7" s="306" t="e">
        <f>'Prod &amp; Defects - Qty'!I7*'Falhas UM-3-1 Cost'!$D$51/1000</f>
        <v>#N/A</v>
      </c>
      <c r="J7" s="306" t="e">
        <f>'Prod &amp; Defects - Qty'!J7*'Falhas UM-3-1 Cost'!$D$51/1000</f>
        <v>#N/A</v>
      </c>
      <c r="K7" s="306" t="e">
        <f>'Prod &amp; Defects - Qty'!K7*'Falhas UM-3-1 Cost'!$D$51/1000</f>
        <v>#N/A</v>
      </c>
      <c r="L7" s="306" t="e">
        <f>'Prod &amp; Defects - Qty'!L7*'Falhas UM-3-1 Cost'!$D$51/1000</f>
        <v>#N/A</v>
      </c>
      <c r="M7" s="306" t="e">
        <f>'Prod &amp; Defects - Qty'!M7*'Falhas UM-3-1 Cost'!$D$51/1000</f>
        <v>#N/A</v>
      </c>
      <c r="N7" s="306" t="e">
        <f>'Prod &amp; Defects - Qty'!N7*'Falhas UM-3-1 Cost'!$D$51/1000</f>
        <v>#N/A</v>
      </c>
      <c r="O7" s="306" t="e">
        <f>'Prod &amp; Defects - Qty'!O7*'Falhas UM-3-1 Cost'!$D$51/1000</f>
        <v>#N/A</v>
      </c>
      <c r="P7" s="306" t="e">
        <f>'Prod &amp; Defects - Qty'!P7*'Falhas UM-3-1 Cost'!$D$51/1000</f>
        <v>#N/A</v>
      </c>
      <c r="Q7" s="306" t="e">
        <f>'Prod &amp; Defects - Qty'!Q7*'Falhas UM-3-1 Cost'!$D$51/1000</f>
        <v>#N/A</v>
      </c>
      <c r="R7" s="306" t="e">
        <f>'Prod &amp; Defects - Qty'!R7*'Falhas UM-3-1 Cost'!$D$51/1000</f>
        <v>#N/A</v>
      </c>
      <c r="S7" s="306" t="e">
        <f t="shared" si="0"/>
        <v>#N/A</v>
      </c>
    </row>
    <row r="8" spans="1:22">
      <c r="A8" s="286" t="s">
        <v>128</v>
      </c>
      <c r="B8" s="286"/>
      <c r="C8" s="286"/>
      <c r="D8" s="251" t="s">
        <v>90</v>
      </c>
      <c r="E8" s="586">
        <v>11433519.352065999</v>
      </c>
      <c r="F8" s="586">
        <f>'[10]Prod &amp; Defects - Costs'!S8</f>
        <v>8259973.5300866002</v>
      </c>
      <c r="G8" s="306" t="e">
        <f>'Prod &amp; Defects - Qty'!G8*'Falhas UM-4 Cost'!$D$56/1000</f>
        <v>#N/A</v>
      </c>
      <c r="H8" s="306" t="e">
        <f>'Prod &amp; Defects - Qty'!H8*'Falhas UM-4 Cost'!$D$56/1000</f>
        <v>#N/A</v>
      </c>
      <c r="I8" s="306" t="e">
        <f>'Prod &amp; Defects - Qty'!I8*'Falhas UM-4 Cost'!$D$56/1000</f>
        <v>#N/A</v>
      </c>
      <c r="J8" s="306" t="e">
        <f>'Prod &amp; Defects - Qty'!J8*'Falhas UM-4 Cost'!$D$56/1000</f>
        <v>#N/A</v>
      </c>
      <c r="K8" s="306" t="e">
        <f>'Prod &amp; Defects - Qty'!K8*'Falhas UM-4 Cost'!$D$56/1000</f>
        <v>#N/A</v>
      </c>
      <c r="L8" s="306" t="e">
        <f>'Prod &amp; Defects - Qty'!L8*'Falhas UM-4 Cost'!$D$56/1000</f>
        <v>#N/A</v>
      </c>
      <c r="M8" s="306" t="e">
        <f>'Prod &amp; Defects - Qty'!M8*'Falhas UM-4 Cost'!$D$56/1000</f>
        <v>#N/A</v>
      </c>
      <c r="N8" s="306" t="e">
        <f>'Prod &amp; Defects - Qty'!N8*'Falhas UM-4 Cost'!$D$56/1000</f>
        <v>#N/A</v>
      </c>
      <c r="O8" s="306" t="e">
        <f>'Prod &amp; Defects - Qty'!O8*'Falhas UM-4 Cost'!$D$56/1000</f>
        <v>#N/A</v>
      </c>
      <c r="P8" s="306" t="e">
        <f>'Prod &amp; Defects - Qty'!P8*'Falhas UM-4 Cost'!$D$56/1000</f>
        <v>#N/A</v>
      </c>
      <c r="Q8" s="306" t="e">
        <f>'Prod &amp; Defects - Qty'!Q8*'Falhas UM-4 Cost'!$D$56/1000</f>
        <v>#N/A</v>
      </c>
      <c r="R8" s="306" t="e">
        <f>'Prod &amp; Defects - Qty'!R8*'Falhas UM-4 Cost'!$D$56/1000</f>
        <v>#N/A</v>
      </c>
      <c r="S8" s="306" t="e">
        <f t="shared" si="0"/>
        <v>#N/A</v>
      </c>
    </row>
    <row r="9" spans="1:22">
      <c r="A9" s="286" t="s">
        <v>115</v>
      </c>
      <c r="B9" s="286"/>
      <c r="C9" s="286"/>
      <c r="D9" s="251" t="s">
        <v>90</v>
      </c>
      <c r="E9" s="586">
        <v>6820376.1311047003</v>
      </c>
      <c r="F9" s="586">
        <f>'[10]Prod &amp; Defects - Costs'!S9</f>
        <v>9741364.0635003708</v>
      </c>
      <c r="G9" s="502" t="e">
        <f>0.0081*3.253*'Prod &amp; Defects - Qty'!G9</f>
        <v>#N/A</v>
      </c>
      <c r="H9" s="502" t="e">
        <f>0.0081*3.253*'Prod &amp; Defects - Qty'!H9</f>
        <v>#N/A</v>
      </c>
      <c r="I9" s="502" t="e">
        <f>0.0081*3.253*'Prod &amp; Defects - Qty'!I9</f>
        <v>#N/A</v>
      </c>
      <c r="J9" s="502" t="e">
        <f>0.0081*3.253*'Prod &amp; Defects - Qty'!J9</f>
        <v>#N/A</v>
      </c>
      <c r="K9" s="502" t="e">
        <f>0.0081*3.253*'Prod &amp; Defects - Qty'!K9</f>
        <v>#N/A</v>
      </c>
      <c r="L9" s="502" t="e">
        <f>0.0081*3.253*'Prod &amp; Defects - Qty'!L9</f>
        <v>#N/A</v>
      </c>
      <c r="M9" s="502" t="e">
        <f>0.0081*3.253*'Prod &amp; Defects - Qty'!M9</f>
        <v>#N/A</v>
      </c>
      <c r="N9" s="502" t="e">
        <f>0.0081*3.253*'Prod &amp; Defects - Qty'!N9</f>
        <v>#N/A</v>
      </c>
      <c r="O9" s="502" t="e">
        <f>0.0081*3.253*'Prod &amp; Defects - Qty'!O9</f>
        <v>#N/A</v>
      </c>
      <c r="P9" s="502" t="e">
        <f>0.0081*3.253*'Prod &amp; Defects - Qty'!P9</f>
        <v>#N/A</v>
      </c>
      <c r="Q9" s="502" t="e">
        <f>0.0081*3.253*'Prod &amp; Defects - Qty'!Q9</f>
        <v>#N/A</v>
      </c>
      <c r="R9" s="502" t="e">
        <f>0.0081*3.253*'Prod &amp; Defects - Qty'!R9</f>
        <v>#N/A</v>
      </c>
      <c r="S9" s="306" t="e">
        <f t="shared" si="0"/>
        <v>#N/A</v>
      </c>
    </row>
    <row r="10" spans="1:22">
      <c r="A10" s="286" t="s">
        <v>1</v>
      </c>
      <c r="B10" s="286"/>
      <c r="C10" s="286"/>
      <c r="D10" s="251" t="s">
        <v>90</v>
      </c>
      <c r="E10" s="586">
        <v>59057588.076494105</v>
      </c>
      <c r="F10" s="586">
        <f>'[10]Prod &amp; Defects - Costs'!S10</f>
        <v>51755660.141170435</v>
      </c>
      <c r="G10" s="502" t="e">
        <f t="shared" ref="G10:N10" si="1">SUM(G5:G9)</f>
        <v>#N/A</v>
      </c>
      <c r="H10" s="502" t="e">
        <f t="shared" si="1"/>
        <v>#N/A</v>
      </c>
      <c r="I10" s="502" t="e">
        <f t="shared" si="1"/>
        <v>#N/A</v>
      </c>
      <c r="J10" s="502" t="e">
        <f t="shared" si="1"/>
        <v>#N/A</v>
      </c>
      <c r="K10" s="502" t="e">
        <f t="shared" si="1"/>
        <v>#N/A</v>
      </c>
      <c r="L10" s="502" t="e">
        <f t="shared" si="1"/>
        <v>#N/A</v>
      </c>
      <c r="M10" s="502" t="e">
        <f t="shared" si="1"/>
        <v>#N/A</v>
      </c>
      <c r="N10" s="502" t="e">
        <f t="shared" si="1"/>
        <v>#N/A</v>
      </c>
      <c r="O10" s="502" t="e">
        <f>SUM(O5:O9)</f>
        <v>#N/A</v>
      </c>
      <c r="P10" s="502" t="e">
        <f>SUM(P5:P9)</f>
        <v>#N/A</v>
      </c>
      <c r="Q10" s="502" t="e">
        <f>SUM(Q5:Q9)</f>
        <v>#N/A</v>
      </c>
      <c r="R10" s="502" t="e">
        <f>SUM(R5:R9)</f>
        <v>#N/A</v>
      </c>
      <c r="S10" s="306" t="e">
        <f t="shared" si="0"/>
        <v>#N/A</v>
      </c>
    </row>
    <row r="11" spans="1:22" ht="13.5" thickBot="1">
      <c r="F11" s="631"/>
    </row>
    <row r="12" spans="1:22">
      <c r="A12" s="293" t="s">
        <v>196</v>
      </c>
      <c r="B12" s="544"/>
      <c r="C12" s="294" t="s">
        <v>180</v>
      </c>
      <c r="D12" s="295" t="s">
        <v>90</v>
      </c>
      <c r="E12" s="587">
        <v>59124.945735254907</v>
      </c>
      <c r="F12" s="587">
        <f>'[10]Prod &amp; Defects - Costs'!S12</f>
        <v>75292.07218631584</v>
      </c>
      <c r="G12" s="545" t="e">
        <f t="array" ref="G12">SUM(IF($C$15:$C$26=$C12,G$15:G$26))</f>
        <v>#N/A</v>
      </c>
      <c r="H12" s="545" t="e">
        <f t="array" ref="H12">SUM(IF($C$15:$C$26=$C12,H$15:H$26))</f>
        <v>#N/A</v>
      </c>
      <c r="I12" s="545" t="e">
        <f t="array" ref="I12">SUM(IF($C$15:$C$26=$C12,I$15:I$26))</f>
        <v>#N/A</v>
      </c>
      <c r="J12" s="545" t="e">
        <f t="array" ref="J12">SUM(IF($C$15:$C$26=$C12,J$15:J$26))</f>
        <v>#N/A</v>
      </c>
      <c r="K12" s="545" t="e">
        <f t="array" ref="K12">SUM(IF($C$15:$C$26=$C12,K$15:K$26))</f>
        <v>#N/A</v>
      </c>
      <c r="L12" s="545" t="e">
        <f t="array" ref="L12">SUM(IF($C$15:$C$26=$C12,L$15:L$26))</f>
        <v>#N/A</v>
      </c>
      <c r="M12" s="545" t="e">
        <f t="array" ref="M12">SUM(IF($C$15:$C$26=$C12,M$15:M$26))</f>
        <v>#N/A</v>
      </c>
      <c r="N12" s="545" t="e">
        <f t="array" ref="N12">SUM(IF($C$15:$C$26=$C12,N$15:N$26))</f>
        <v>#N/A</v>
      </c>
      <c r="O12" s="546" t="e">
        <f t="array" ref="O12">SUM(IF($C$15:$C$26=$C12,O$15:O$26))</f>
        <v>#N/A</v>
      </c>
      <c r="P12" s="546" t="e">
        <f t="array" ref="P12">SUM(IF($C$15:$C$26=$C12,P$15:P$26))</f>
        <v>#N/A</v>
      </c>
      <c r="Q12" s="546" t="e">
        <f t="array" ref="Q12">SUM(IF($C$15:$C$26=$C12,Q$15:Q$26))</f>
        <v>#N/A</v>
      </c>
      <c r="R12" s="546" t="e">
        <f t="array" ref="R12">SUM(IF($C$15:$C$26=$C12,R$15:R$26))</f>
        <v>#N/A</v>
      </c>
      <c r="S12" s="309" t="e">
        <f t="array" ref="S12">SUM(IF($C$15:$C$26=$C12,S$15:S$26))</f>
        <v>#N/A</v>
      </c>
      <c r="V12" s="1">
        <f>2197*1.1</f>
        <v>2416.7000000000003</v>
      </c>
    </row>
    <row r="13" spans="1:22">
      <c r="A13" s="547"/>
      <c r="B13" s="125"/>
      <c r="C13" s="202" t="s">
        <v>181</v>
      </c>
      <c r="D13" s="289" t="s">
        <v>90</v>
      </c>
      <c r="E13" s="588">
        <v>29929.717785302499</v>
      </c>
      <c r="F13" s="588">
        <f>'[10]Prod &amp; Defects - Costs'!S13</f>
        <v>25487.920665268197</v>
      </c>
      <c r="G13" s="548" t="e">
        <f t="array" ref="G13">SUM(IF($C$15:$C$26=$C13,G$15:G$26))</f>
        <v>#N/A</v>
      </c>
      <c r="H13" s="548" t="e">
        <f t="array" ref="H13">SUM(IF($C$15:$C$26=$C13,H$15:H$26))</f>
        <v>#N/A</v>
      </c>
      <c r="I13" s="548" t="e">
        <f t="array" ref="I13">SUM(IF($C$15:$C$26=$C13,I$15:I$26))</f>
        <v>#N/A</v>
      </c>
      <c r="J13" s="548" t="e">
        <f t="array" ref="J13">SUM(IF($C$15:$C$26=$C13,J$15:J$26))</f>
        <v>#N/A</v>
      </c>
      <c r="K13" s="548" t="e">
        <f t="array" ref="K13">SUM(IF($C$15:$C$26=$C13,K$15:K$26))</f>
        <v>#N/A</v>
      </c>
      <c r="L13" s="548" t="e">
        <f t="array" ref="L13">SUM(IF($C$15:$C$26=$C13,L$15:L$26))</f>
        <v>#N/A</v>
      </c>
      <c r="M13" s="548" t="e">
        <f t="array" ref="M13">SUM(IF($C$15:$C$26=$C13,M$15:M$26))</f>
        <v>#N/A</v>
      </c>
      <c r="N13" s="548" t="e">
        <f t="array" ref="N13">SUM(IF($C$15:$C$26=$C13,N$15:N$26))</f>
        <v>#N/A</v>
      </c>
      <c r="O13" s="549" t="e">
        <f t="array" ref="O13">SUM(IF($C$15:$C$26=$C13,O$15:O$26))</f>
        <v>#N/A</v>
      </c>
      <c r="P13" s="549" t="e">
        <f t="array" ref="P13">SUM(IF($C$15:$C$26=$C13,P$15:P$26))</f>
        <v>#N/A</v>
      </c>
      <c r="Q13" s="549" t="e">
        <f t="array" ref="Q13">SUM(IF($C$15:$C$26=$C13,Q$15:Q$26))</f>
        <v>#N/A</v>
      </c>
      <c r="R13" s="549" t="e">
        <f t="array" ref="R13">SUM(IF($C$15:$C$26=$C13,R$15:R$26))</f>
        <v>#N/A</v>
      </c>
      <c r="S13" s="301" t="e">
        <f t="array" ref="S13">SUM(IF($C$15:$C$26=$C13,S$15:S$26))</f>
        <v>#N/A</v>
      </c>
      <c r="V13" s="1">
        <f>17768*1.1</f>
        <v>19544.800000000003</v>
      </c>
    </row>
    <row r="14" spans="1:22">
      <c r="A14" s="550"/>
      <c r="B14" s="551"/>
      <c r="C14" s="203" t="s">
        <v>113</v>
      </c>
      <c r="D14" s="290" t="s">
        <v>90</v>
      </c>
      <c r="E14" s="589">
        <v>35301.829806050002</v>
      </c>
      <c r="F14" s="589">
        <f>'[10]Prod &amp; Defects - Costs'!S14</f>
        <v>35363.983423193502</v>
      </c>
      <c r="G14" s="552" t="e">
        <f t="array" ref="G14">SUM(IF($C$15:$C$26=$C14,G$15:G$26))</f>
        <v>#N/A</v>
      </c>
      <c r="H14" s="552" t="e">
        <f t="array" ref="H14">SUM(IF($C$15:$C$26=$C14,H$15:H$26))</f>
        <v>#N/A</v>
      </c>
      <c r="I14" s="552" t="e">
        <f t="array" ref="I14">SUM(IF($C$15:$C$26=$C14,I$15:I$26))</f>
        <v>#N/A</v>
      </c>
      <c r="J14" s="552" t="e">
        <f t="array" ref="J14">SUM(IF($C$15:$C$26=$C14,J$15:J$26))</f>
        <v>#N/A</v>
      </c>
      <c r="K14" s="552" t="e">
        <f t="array" ref="K14">SUM(IF($C$15:$C$26=$C14,K$15:K$26))</f>
        <v>#N/A</v>
      </c>
      <c r="L14" s="552" t="e">
        <f t="array" ref="L14">SUM(IF($C$15:$C$26=$C14,L$15:L$26))</f>
        <v>#N/A</v>
      </c>
      <c r="M14" s="552" t="e">
        <f t="array" ref="M14">SUM(IF($C$15:$C$26=$C14,M$15:M$26))</f>
        <v>#N/A</v>
      </c>
      <c r="N14" s="552" t="e">
        <f t="array" ref="N14">SUM(IF($C$15:$C$26=$C14,N$15:N$26))</f>
        <v>#N/A</v>
      </c>
      <c r="O14" s="553" t="e">
        <f t="array" ref="O14">SUM(IF($C$15:$C$26=$C14,O$15:O$26))</f>
        <v>#N/A</v>
      </c>
      <c r="P14" s="553" t="e">
        <f t="array" ref="P14">SUM(IF($C$15:$C$26=$C14,P$15:P$26))</f>
        <v>#N/A</v>
      </c>
      <c r="Q14" s="553" t="e">
        <f t="array" ref="Q14">SUM(IF($C$15:$C$26=$C14,Q$15:Q$26))</f>
        <v>#N/A</v>
      </c>
      <c r="R14" s="553" t="e">
        <f t="array" ref="R14">SUM(IF($C$15:$C$26=$C14,R$15:R$26))</f>
        <v>#N/A</v>
      </c>
      <c r="S14" s="302" t="e">
        <f t="array" ref="S14">SUM(IF($C$15:$C$26=$C14,S$15:S$26))</f>
        <v>#N/A</v>
      </c>
    </row>
    <row r="15" spans="1:22">
      <c r="A15" s="296" t="s">
        <v>107</v>
      </c>
      <c r="B15" s="554"/>
      <c r="C15" s="201" t="s">
        <v>180</v>
      </c>
      <c r="D15" s="288" t="s">
        <v>90</v>
      </c>
      <c r="E15" s="590">
        <v>14090.330171495461</v>
      </c>
      <c r="F15" s="590">
        <f>'[10]Prod &amp; Defects - Costs'!S15</f>
        <v>19901.848487893621</v>
      </c>
      <c r="G15" s="555" t="e">
        <f>'Falhas UM-1 - Cost'!F15+'Falhas UM-1 - Cost'!F22+'Falhas UM-1 - Cost'!F36</f>
        <v>#N/A</v>
      </c>
      <c r="H15" s="555" t="e">
        <f>'Falhas UM-1 - Cost'!G15+'Falhas UM-1 - Cost'!G22+'Falhas UM-1 - Cost'!G36</f>
        <v>#N/A</v>
      </c>
      <c r="I15" s="555" t="e">
        <f>'Falhas UM-1 - Cost'!H15+'Falhas UM-1 - Cost'!H22+'Falhas UM-1 - Cost'!H36</f>
        <v>#N/A</v>
      </c>
      <c r="J15" s="555" t="e">
        <f>'Falhas UM-1 - Cost'!I15+'Falhas UM-1 - Cost'!I22+'Falhas UM-1 - Cost'!I36</f>
        <v>#N/A</v>
      </c>
      <c r="K15" s="555" t="e">
        <f>'Falhas UM-1 - Cost'!J15+'Falhas UM-1 - Cost'!J22+'Falhas UM-1 - Cost'!J36</f>
        <v>#N/A</v>
      </c>
      <c r="L15" s="555" t="e">
        <f>'Falhas UM-1 - Cost'!K15+'Falhas UM-1 - Cost'!K22+'Falhas UM-1 - Cost'!K36</f>
        <v>#N/A</v>
      </c>
      <c r="M15" s="555" t="e">
        <f>'Falhas UM-1 - Cost'!L15+'Falhas UM-1 - Cost'!L22+'Falhas UM-1 - Cost'!L36</f>
        <v>#N/A</v>
      </c>
      <c r="N15" s="555" t="e">
        <f>'Falhas UM-1 - Cost'!M15+'Falhas UM-1 - Cost'!M22+'Falhas UM-1 - Cost'!M36</f>
        <v>#N/A</v>
      </c>
      <c r="O15" s="556" t="e">
        <f>'Falhas UM-1 - Cost'!N15+'Falhas UM-1 - Cost'!N22+'Falhas UM-1 - Cost'!N36</f>
        <v>#N/A</v>
      </c>
      <c r="P15" s="556" t="e">
        <f>'Falhas UM-1 - Cost'!O15+'Falhas UM-1 - Cost'!O22+'Falhas UM-1 - Cost'!O36</f>
        <v>#N/A</v>
      </c>
      <c r="Q15" s="556" t="e">
        <f>'Falhas UM-1 - Cost'!P15+'Falhas UM-1 - Cost'!P22+'Falhas UM-1 - Cost'!P36</f>
        <v>#N/A</v>
      </c>
      <c r="R15" s="556" t="e">
        <f>'Falhas UM-1 - Cost'!Q15+'Falhas UM-1 - Cost'!Q22+'Falhas UM-1 - Cost'!Q36</f>
        <v>#N/A</v>
      </c>
      <c r="S15" s="300" t="e">
        <f>SUM(G15:R15)</f>
        <v>#N/A</v>
      </c>
    </row>
    <row r="16" spans="1:22">
      <c r="A16" s="547"/>
      <c r="B16" s="125"/>
      <c r="C16" s="202" t="s">
        <v>181</v>
      </c>
      <c r="D16" s="289" t="s">
        <v>90</v>
      </c>
      <c r="E16" s="588">
        <v>9663.3088965024963</v>
      </c>
      <c r="F16" s="588">
        <f>'[10]Prod &amp; Defects - Costs'!S16</f>
        <v>9163.592521168197</v>
      </c>
      <c r="G16" s="548" t="e">
        <f>'Falhas UM-1 - Cost'!F57</f>
        <v>#N/A</v>
      </c>
      <c r="H16" s="548" t="e">
        <f>'Falhas UM-1 - Cost'!G57</f>
        <v>#N/A</v>
      </c>
      <c r="I16" s="548" t="e">
        <f>'Falhas UM-1 - Cost'!H57</f>
        <v>#N/A</v>
      </c>
      <c r="J16" s="548" t="e">
        <f>'Falhas UM-1 - Cost'!I57</f>
        <v>#N/A</v>
      </c>
      <c r="K16" s="548" t="e">
        <f>'Falhas UM-1 - Cost'!J57</f>
        <v>#N/A</v>
      </c>
      <c r="L16" s="548" t="e">
        <f>'Falhas UM-1 - Cost'!K57</f>
        <v>#N/A</v>
      </c>
      <c r="M16" s="548" t="e">
        <f>'Falhas UM-1 - Cost'!L57</f>
        <v>#N/A</v>
      </c>
      <c r="N16" s="548" t="e">
        <f>'Falhas UM-1 - Cost'!M57</f>
        <v>#N/A</v>
      </c>
      <c r="O16" s="549" t="e">
        <f>'Falhas UM-1 - Cost'!N57</f>
        <v>#N/A</v>
      </c>
      <c r="P16" s="549" t="e">
        <f>'Falhas UM-1 - Cost'!O57</f>
        <v>#N/A</v>
      </c>
      <c r="Q16" s="549" t="e">
        <f>'Falhas UM-1 - Cost'!P57</f>
        <v>#N/A</v>
      </c>
      <c r="R16" s="549" t="e">
        <f>'Falhas UM-1 - Cost'!Q57</f>
        <v>#N/A</v>
      </c>
      <c r="S16" s="301" t="e">
        <f t="shared" ref="S16:S33" si="2">SUM(G16:R16)</f>
        <v>#N/A</v>
      </c>
    </row>
    <row r="17" spans="1:22">
      <c r="A17" s="550"/>
      <c r="B17" s="551"/>
      <c r="C17" s="203" t="s">
        <v>113</v>
      </c>
      <c r="D17" s="290" t="s">
        <v>90</v>
      </c>
      <c r="E17" s="589">
        <v>5118.9938353400003</v>
      </c>
      <c r="F17" s="589">
        <f>'[10]Prod &amp; Defects - Costs'!S17</f>
        <v>4694.5387060646672</v>
      </c>
      <c r="G17" s="552" t="e">
        <f>'Falhas UM-1 - Cost'!F59</f>
        <v>#N/A</v>
      </c>
      <c r="H17" s="552" t="e">
        <f>'Falhas UM-1 - Cost'!G59</f>
        <v>#N/A</v>
      </c>
      <c r="I17" s="552" t="e">
        <f>'Falhas UM-1 - Cost'!H59</f>
        <v>#N/A</v>
      </c>
      <c r="J17" s="552" t="e">
        <f>'Falhas UM-1 - Cost'!I59</f>
        <v>#N/A</v>
      </c>
      <c r="K17" s="552" t="e">
        <f>'Falhas UM-1 - Cost'!J59</f>
        <v>#N/A</v>
      </c>
      <c r="L17" s="552" t="e">
        <f>'Falhas UM-1 - Cost'!K59</f>
        <v>#N/A</v>
      </c>
      <c r="M17" s="552" t="e">
        <f>'Falhas UM-1 - Cost'!L59</f>
        <v>#N/A</v>
      </c>
      <c r="N17" s="552" t="e">
        <f>'Falhas UM-1 - Cost'!M59</f>
        <v>#N/A</v>
      </c>
      <c r="O17" s="553" t="e">
        <f>'Falhas UM-1 - Cost'!N59</f>
        <v>#N/A</v>
      </c>
      <c r="P17" s="553" t="e">
        <f>'Falhas UM-1 - Cost'!O59</f>
        <v>#N/A</v>
      </c>
      <c r="Q17" s="553" t="e">
        <f>'Falhas UM-1 - Cost'!P59</f>
        <v>#N/A</v>
      </c>
      <c r="R17" s="553" t="e">
        <f>'Falhas UM-1 - Cost'!Q59</f>
        <v>#N/A</v>
      </c>
      <c r="S17" s="302" t="e">
        <f t="shared" si="2"/>
        <v>#N/A</v>
      </c>
      <c r="T17" s="1" t="e">
        <f>SUM(S15:S17)/12*1.1</f>
        <v>#N/A</v>
      </c>
      <c r="U17" s="318">
        <f>SUM(F15:F17)/9*12</f>
        <v>45013.306286835315</v>
      </c>
      <c r="V17" s="318" t="e">
        <f>SUM(S15:S17)</f>
        <v>#N/A</v>
      </c>
    </row>
    <row r="18" spans="1:22">
      <c r="A18" s="296" t="s">
        <v>182</v>
      </c>
      <c r="B18" s="554"/>
      <c r="C18" s="201" t="s">
        <v>180</v>
      </c>
      <c r="D18" s="288" t="s">
        <v>90</v>
      </c>
      <c r="E18" s="590">
        <v>9406.704496822611</v>
      </c>
      <c r="F18" s="590">
        <f>'[10]Prod &amp; Defects - Costs'!S18</f>
        <v>12535.257763860056</v>
      </c>
      <c r="G18" s="555" t="e">
        <f>'Falhas UM-3-1 Cost'!E19+'Falhas UM-3-1 Cost'!E37</f>
        <v>#N/A</v>
      </c>
      <c r="H18" s="555" t="e">
        <f>'Falhas UM-3-1 Cost'!F19+'Falhas UM-3-1 Cost'!F37</f>
        <v>#N/A</v>
      </c>
      <c r="I18" s="555" t="e">
        <f>'Falhas UM-3-1 Cost'!G19+'Falhas UM-3-1 Cost'!G37</f>
        <v>#N/A</v>
      </c>
      <c r="J18" s="555" t="e">
        <f>'Falhas UM-3-1 Cost'!H19+'Falhas UM-3-1 Cost'!H37</f>
        <v>#N/A</v>
      </c>
      <c r="K18" s="555" t="e">
        <f>'Falhas UM-3-1 Cost'!I19+'Falhas UM-3-1 Cost'!I37</f>
        <v>#N/A</v>
      </c>
      <c r="L18" s="555" t="e">
        <f>'Falhas UM-3-1 Cost'!J19+'Falhas UM-3-1 Cost'!J37</f>
        <v>#N/A</v>
      </c>
      <c r="M18" s="555" t="e">
        <f>'Falhas UM-3-1 Cost'!K19+'Falhas UM-3-1 Cost'!K37</f>
        <v>#N/A</v>
      </c>
      <c r="N18" s="555" t="e">
        <f>'Falhas UM-3-1 Cost'!L19+'Falhas UM-3-1 Cost'!L37</f>
        <v>#N/A</v>
      </c>
      <c r="O18" s="556" t="e">
        <f>'Falhas UM-3-1 Cost'!M19+'Falhas UM-3-1 Cost'!M37</f>
        <v>#N/A</v>
      </c>
      <c r="P18" s="556" t="e">
        <f>'Falhas UM-3-1 Cost'!N19+'Falhas UM-3-1 Cost'!N37</f>
        <v>#N/A</v>
      </c>
      <c r="Q18" s="556" t="e">
        <f>'Falhas UM-3-1 Cost'!O19+'Falhas UM-3-1 Cost'!O37</f>
        <v>#N/A</v>
      </c>
      <c r="R18" s="556" t="e">
        <f>'Falhas UM-3-1 Cost'!P19+'Falhas UM-3-1 Cost'!P37</f>
        <v>#N/A</v>
      </c>
      <c r="S18" s="300" t="e">
        <f>SUM(G18:R18)</f>
        <v>#N/A</v>
      </c>
    </row>
    <row r="19" spans="1:22">
      <c r="A19" s="547"/>
      <c r="B19" s="125"/>
      <c r="C19" s="202" t="s">
        <v>181</v>
      </c>
      <c r="D19" s="289" t="s">
        <v>90</v>
      </c>
      <c r="E19" s="588">
        <v>3761.2394794000002</v>
      </c>
      <c r="F19" s="588">
        <f>'[10]Prod &amp; Defects - Costs'!S19</f>
        <v>2985.8002108000001</v>
      </c>
      <c r="G19" s="548" t="e">
        <f>'Falhas UM-3-1 Cost'!E50</f>
        <v>#N/A</v>
      </c>
      <c r="H19" s="548" t="e">
        <f>'Falhas UM-3-1 Cost'!F50</f>
        <v>#N/A</v>
      </c>
      <c r="I19" s="548" t="e">
        <f>'Falhas UM-3-1 Cost'!G50</f>
        <v>#N/A</v>
      </c>
      <c r="J19" s="548" t="e">
        <f>'Falhas UM-3-1 Cost'!H50</f>
        <v>#N/A</v>
      </c>
      <c r="K19" s="548" t="e">
        <f>'Falhas UM-3-1 Cost'!I50</f>
        <v>#N/A</v>
      </c>
      <c r="L19" s="548" t="e">
        <f>'Falhas UM-3-1 Cost'!J50</f>
        <v>#N/A</v>
      </c>
      <c r="M19" s="548" t="e">
        <f>'Falhas UM-3-1 Cost'!K50</f>
        <v>#N/A</v>
      </c>
      <c r="N19" s="548" t="e">
        <f>'Falhas UM-3-1 Cost'!L50</f>
        <v>#N/A</v>
      </c>
      <c r="O19" s="549" t="e">
        <f>'Falhas UM-3-1 Cost'!M50</f>
        <v>#N/A</v>
      </c>
      <c r="P19" s="549" t="e">
        <f>'Falhas UM-3-1 Cost'!N50</f>
        <v>#N/A</v>
      </c>
      <c r="Q19" s="549" t="e">
        <f>'Falhas UM-3-1 Cost'!O50</f>
        <v>#N/A</v>
      </c>
      <c r="R19" s="549" t="e">
        <f>'Falhas UM-3-1 Cost'!P50</f>
        <v>#N/A</v>
      </c>
      <c r="S19" s="301" t="e">
        <f t="shared" si="2"/>
        <v>#N/A</v>
      </c>
    </row>
    <row r="20" spans="1:22">
      <c r="A20" s="550"/>
      <c r="B20" s="551"/>
      <c r="C20" s="203" t="s">
        <v>113</v>
      </c>
      <c r="D20" s="290" t="s">
        <v>90</v>
      </c>
      <c r="E20" s="589">
        <v>4930.6637839900004</v>
      </c>
      <c r="F20" s="589">
        <f>'[10]Prod &amp; Defects - Costs'!S20</f>
        <v>5445.2169340537503</v>
      </c>
      <c r="G20" s="552" t="e">
        <f>'Falhas UM-3-1 Cost'!E55</f>
        <v>#N/A</v>
      </c>
      <c r="H20" s="552" t="e">
        <f>'Falhas UM-3-1 Cost'!F55</f>
        <v>#N/A</v>
      </c>
      <c r="I20" s="552" t="e">
        <f>'Falhas UM-3-1 Cost'!G55</f>
        <v>#N/A</v>
      </c>
      <c r="J20" s="552" t="e">
        <f>'Falhas UM-3-1 Cost'!H55</f>
        <v>#N/A</v>
      </c>
      <c r="K20" s="552" t="e">
        <f>'Falhas UM-3-1 Cost'!I55</f>
        <v>#N/A</v>
      </c>
      <c r="L20" s="552" t="e">
        <f>'Falhas UM-3-1 Cost'!J55</f>
        <v>#N/A</v>
      </c>
      <c r="M20" s="552" t="e">
        <f>'Falhas UM-3-1 Cost'!K55</f>
        <v>#N/A</v>
      </c>
      <c r="N20" s="552" t="e">
        <f>'Falhas UM-3-1 Cost'!L55</f>
        <v>#N/A</v>
      </c>
      <c r="O20" s="553" t="e">
        <f>'Falhas UM-3-1 Cost'!M55</f>
        <v>#N/A</v>
      </c>
      <c r="P20" s="553" t="e">
        <f>'Falhas UM-3-1 Cost'!N55</f>
        <v>#N/A</v>
      </c>
      <c r="Q20" s="553" t="e">
        <f>'Falhas UM-3-1 Cost'!O55</f>
        <v>#N/A</v>
      </c>
      <c r="R20" s="553" t="e">
        <f>'Falhas UM-3-1 Cost'!P55</f>
        <v>#N/A</v>
      </c>
      <c r="S20" s="302" t="e">
        <f t="shared" si="2"/>
        <v>#N/A</v>
      </c>
      <c r="T20" s="1" t="e">
        <f>SUM(S18:S20)/12*1.1</f>
        <v>#N/A</v>
      </c>
      <c r="U20" s="318">
        <f>SUM(F18:F20)/9*12</f>
        <v>27955.033211618407</v>
      </c>
      <c r="V20" s="318" t="e">
        <f>SUM(S18:S20)</f>
        <v>#N/A</v>
      </c>
    </row>
    <row r="21" spans="1:22">
      <c r="A21" s="296" t="s">
        <v>183</v>
      </c>
      <c r="B21" s="554"/>
      <c r="C21" s="201" t="s">
        <v>180</v>
      </c>
      <c r="D21" s="288" t="s">
        <v>90</v>
      </c>
      <c r="E21" s="590">
        <v>25584.163214236836</v>
      </c>
      <c r="F21" s="590">
        <f>'[10]Prod &amp; Defects - Costs'!S21</f>
        <v>34254.14487986215</v>
      </c>
      <c r="G21" s="555" t="e">
        <f>'Falhas UM-3-2 Cost'!E19+'Falhas UM-3-2 Cost'!E37</f>
        <v>#N/A</v>
      </c>
      <c r="H21" s="555" t="e">
        <f>'Falhas UM-3-2 Cost'!F19+'Falhas UM-3-2 Cost'!F37</f>
        <v>#N/A</v>
      </c>
      <c r="I21" s="555" t="e">
        <f>'Falhas UM-3-2 Cost'!G19+'Falhas UM-3-2 Cost'!G37</f>
        <v>#N/A</v>
      </c>
      <c r="J21" s="555" t="e">
        <f>'Falhas UM-3-2 Cost'!H19+'Falhas UM-3-2 Cost'!H37</f>
        <v>#N/A</v>
      </c>
      <c r="K21" s="555" t="e">
        <f>'Falhas UM-3-2 Cost'!I19+'Falhas UM-3-2 Cost'!I37</f>
        <v>#N/A</v>
      </c>
      <c r="L21" s="555" t="e">
        <f>'Falhas UM-3-2 Cost'!J19+'Falhas UM-3-2 Cost'!J37</f>
        <v>#N/A</v>
      </c>
      <c r="M21" s="555" t="e">
        <f>'Falhas UM-3-2 Cost'!K19+'Falhas UM-3-2 Cost'!K37</f>
        <v>#N/A</v>
      </c>
      <c r="N21" s="555" t="e">
        <f>'Falhas UM-3-2 Cost'!L19+'Falhas UM-3-2 Cost'!L37</f>
        <v>#N/A</v>
      </c>
      <c r="O21" s="556" t="e">
        <f>'Falhas UM-3-2 Cost'!M19+'Falhas UM-3-2 Cost'!M37</f>
        <v>#N/A</v>
      </c>
      <c r="P21" s="556" t="e">
        <f>'Falhas UM-3-2 Cost'!N19+'Falhas UM-3-2 Cost'!N37</f>
        <v>#N/A</v>
      </c>
      <c r="Q21" s="556" t="e">
        <f>'Falhas UM-3-2 Cost'!O19+'Falhas UM-3-2 Cost'!O37</f>
        <v>#N/A</v>
      </c>
      <c r="R21" s="556" t="e">
        <f>'Falhas UM-3-2 Cost'!P19+'Falhas UM-3-2 Cost'!P37</f>
        <v>#N/A</v>
      </c>
      <c r="S21" s="300" t="e">
        <f>SUM(G21:R21)</f>
        <v>#N/A</v>
      </c>
    </row>
    <row r="22" spans="1:22">
      <c r="A22" s="547"/>
      <c r="B22" s="125"/>
      <c r="C22" s="202" t="s">
        <v>181</v>
      </c>
      <c r="D22" s="289" t="s">
        <v>90</v>
      </c>
      <c r="E22" s="588">
        <v>15819.589212800001</v>
      </c>
      <c r="F22" s="588">
        <f>'[10]Prod &amp; Defects - Costs'!S22</f>
        <v>13178.762219799999</v>
      </c>
      <c r="G22" s="548" t="e">
        <f>'Falhas UM-3-2 Cost'!E50</f>
        <v>#N/A</v>
      </c>
      <c r="H22" s="548" t="e">
        <f>'Falhas UM-3-2 Cost'!F50</f>
        <v>#N/A</v>
      </c>
      <c r="I22" s="548" t="e">
        <f>'Falhas UM-3-2 Cost'!G50</f>
        <v>#N/A</v>
      </c>
      <c r="J22" s="548" t="e">
        <f>'Falhas UM-3-2 Cost'!H50</f>
        <v>#N/A</v>
      </c>
      <c r="K22" s="548" t="e">
        <f>'Falhas UM-3-2 Cost'!I50</f>
        <v>#N/A</v>
      </c>
      <c r="L22" s="548" t="e">
        <f>'Falhas UM-3-2 Cost'!J50</f>
        <v>#N/A</v>
      </c>
      <c r="M22" s="548" t="e">
        <f>'Falhas UM-3-2 Cost'!K50</f>
        <v>#N/A</v>
      </c>
      <c r="N22" s="548" t="e">
        <f>'Falhas UM-3-2 Cost'!L50</f>
        <v>#N/A</v>
      </c>
      <c r="O22" s="549" t="e">
        <f>'Falhas UM-3-2 Cost'!M50</f>
        <v>#N/A</v>
      </c>
      <c r="P22" s="549" t="e">
        <f>'Falhas UM-3-2 Cost'!N50</f>
        <v>#N/A</v>
      </c>
      <c r="Q22" s="549" t="e">
        <f>'Falhas UM-3-2 Cost'!O50</f>
        <v>#N/A</v>
      </c>
      <c r="R22" s="549" t="e">
        <f>'Falhas UM-3-2 Cost'!P50</f>
        <v>#N/A</v>
      </c>
      <c r="S22" s="301" t="e">
        <f t="shared" si="2"/>
        <v>#N/A</v>
      </c>
    </row>
    <row r="23" spans="1:22">
      <c r="A23" s="550"/>
      <c r="B23" s="551"/>
      <c r="C23" s="203" t="s">
        <v>113</v>
      </c>
      <c r="D23" s="290" t="s">
        <v>90</v>
      </c>
      <c r="E23" s="589">
        <v>14685.74878098</v>
      </c>
      <c r="F23" s="589">
        <f>'[10]Prod &amp; Defects - Costs'!S23</f>
        <v>17591.915465335085</v>
      </c>
      <c r="G23" s="552" t="e">
        <f>'Falhas UM-3-2 Cost'!E55</f>
        <v>#N/A</v>
      </c>
      <c r="H23" s="552" t="e">
        <f>'Falhas UM-3-2 Cost'!F55</f>
        <v>#N/A</v>
      </c>
      <c r="I23" s="552" t="e">
        <f>'Falhas UM-3-2 Cost'!G55</f>
        <v>#N/A</v>
      </c>
      <c r="J23" s="552" t="e">
        <f>'Falhas UM-3-2 Cost'!H55</f>
        <v>#N/A</v>
      </c>
      <c r="K23" s="552" t="e">
        <f>'Falhas UM-3-2 Cost'!I55</f>
        <v>#N/A</v>
      </c>
      <c r="L23" s="552" t="e">
        <f>'Falhas UM-3-2 Cost'!J55</f>
        <v>#N/A</v>
      </c>
      <c r="M23" s="552" t="e">
        <f>'Falhas UM-3-2 Cost'!K55</f>
        <v>#N/A</v>
      </c>
      <c r="N23" s="552" t="e">
        <f>'Falhas UM-3-2 Cost'!L55</f>
        <v>#N/A</v>
      </c>
      <c r="O23" s="553" t="e">
        <f>'Falhas UM-3-2 Cost'!M55</f>
        <v>#N/A</v>
      </c>
      <c r="P23" s="553" t="e">
        <f>'Falhas UM-3-2 Cost'!N55</f>
        <v>#N/A</v>
      </c>
      <c r="Q23" s="553" t="e">
        <f>'Falhas UM-3-2 Cost'!O55</f>
        <v>#N/A</v>
      </c>
      <c r="R23" s="553" t="e">
        <f>'Falhas UM-3-2 Cost'!P55</f>
        <v>#N/A</v>
      </c>
      <c r="S23" s="302" t="e">
        <f t="shared" si="2"/>
        <v>#N/A</v>
      </c>
      <c r="U23" s="318"/>
      <c r="V23" s="318"/>
    </row>
    <row r="24" spans="1:22">
      <c r="A24" s="296" t="s">
        <v>128</v>
      </c>
      <c r="B24" s="554"/>
      <c r="C24" s="201" t="s">
        <v>180</v>
      </c>
      <c r="D24" s="288" t="s">
        <v>90</v>
      </c>
      <c r="E24" s="590">
        <v>10043.747852699998</v>
      </c>
      <c r="F24" s="590">
        <f>'[10]Prod &amp; Defects - Costs'!S24</f>
        <v>8600.8210546999999</v>
      </c>
      <c r="G24" s="555" t="e">
        <f>'Falhas UM-4 Cost'!E15</f>
        <v>#N/A</v>
      </c>
      <c r="H24" s="555" t="e">
        <f>'Falhas UM-4 Cost'!F15</f>
        <v>#N/A</v>
      </c>
      <c r="I24" s="555" t="e">
        <f>'Falhas UM-4 Cost'!G15</f>
        <v>#N/A</v>
      </c>
      <c r="J24" s="555" t="e">
        <f>'Falhas UM-4 Cost'!H15</f>
        <v>#N/A</v>
      </c>
      <c r="K24" s="555" t="e">
        <f>'Falhas UM-4 Cost'!I15</f>
        <v>#N/A</v>
      </c>
      <c r="L24" s="555" t="e">
        <f>'Falhas UM-4 Cost'!J15</f>
        <v>#N/A</v>
      </c>
      <c r="M24" s="555" t="e">
        <f>'Falhas UM-4 Cost'!K15</f>
        <v>#N/A</v>
      </c>
      <c r="N24" s="555" t="e">
        <f>'Falhas UM-4 Cost'!L15</f>
        <v>#N/A</v>
      </c>
      <c r="O24" s="556" t="e">
        <f>'Falhas UM-4 Cost'!M15</f>
        <v>#N/A</v>
      </c>
      <c r="P24" s="556" t="e">
        <f>'Falhas UM-4 Cost'!N15</f>
        <v>#N/A</v>
      </c>
      <c r="Q24" s="556" t="e">
        <f>'Falhas UM-4 Cost'!O15</f>
        <v>#N/A</v>
      </c>
      <c r="R24" s="556" t="e">
        <f>'Falhas UM-4 Cost'!P15</f>
        <v>#N/A</v>
      </c>
      <c r="S24" s="300" t="e">
        <f>SUM(G24:R24)</f>
        <v>#N/A</v>
      </c>
    </row>
    <row r="25" spans="1:22">
      <c r="A25" s="547"/>
      <c r="B25" s="125"/>
      <c r="C25" s="202" t="s">
        <v>181</v>
      </c>
      <c r="D25" s="289" t="s">
        <v>90</v>
      </c>
      <c r="E25" s="588">
        <v>685.58019660000002</v>
      </c>
      <c r="F25" s="588">
        <f>'[10]Prod &amp; Defects - Costs'!S25</f>
        <v>159.7657135</v>
      </c>
      <c r="G25" s="548" t="e">
        <f>'Falhas UM-4 Cost'!E34+'Falhas UM-4 Cost'!E54</f>
        <v>#N/A</v>
      </c>
      <c r="H25" s="548" t="e">
        <f>'Falhas UM-4 Cost'!F34+'Falhas UM-4 Cost'!F54</f>
        <v>#N/A</v>
      </c>
      <c r="I25" s="548" t="e">
        <f>'Falhas UM-4 Cost'!G34+'Falhas UM-4 Cost'!G54</f>
        <v>#N/A</v>
      </c>
      <c r="J25" s="548" t="e">
        <f>'Falhas UM-4 Cost'!H34+'Falhas UM-4 Cost'!H54</f>
        <v>#N/A</v>
      </c>
      <c r="K25" s="548" t="e">
        <f>'Falhas UM-4 Cost'!I34+'Falhas UM-4 Cost'!I54</f>
        <v>#N/A</v>
      </c>
      <c r="L25" s="548" t="e">
        <f>'Falhas UM-4 Cost'!J34+'Falhas UM-4 Cost'!J54</f>
        <v>#N/A</v>
      </c>
      <c r="M25" s="548" t="e">
        <f>'Falhas UM-4 Cost'!K34+'Falhas UM-4 Cost'!K54</f>
        <v>#N/A</v>
      </c>
      <c r="N25" s="548" t="e">
        <f>'Falhas UM-4 Cost'!L34+'Falhas UM-4 Cost'!L54</f>
        <v>#N/A</v>
      </c>
      <c r="O25" s="549" t="e">
        <f>'Falhas UM-4 Cost'!M34+'Falhas UM-4 Cost'!M54</f>
        <v>#N/A</v>
      </c>
      <c r="P25" s="549" t="e">
        <f>'Falhas UM-4 Cost'!N34+'Falhas UM-4 Cost'!N54</f>
        <v>#N/A</v>
      </c>
      <c r="Q25" s="549" t="e">
        <f>'Falhas UM-4 Cost'!O34+'Falhas UM-4 Cost'!O54</f>
        <v>#N/A</v>
      </c>
      <c r="R25" s="549" t="e">
        <f>'Falhas UM-4 Cost'!P34+'Falhas UM-4 Cost'!P54</f>
        <v>#N/A</v>
      </c>
      <c r="S25" s="301" t="e">
        <f>SUM(G25:R25)</f>
        <v>#N/A</v>
      </c>
    </row>
    <row r="26" spans="1:22" ht="13.5" thickBot="1">
      <c r="A26" s="557"/>
      <c r="B26" s="558"/>
      <c r="C26" s="297" t="s">
        <v>113</v>
      </c>
      <c r="D26" s="298" t="s">
        <v>90</v>
      </c>
      <c r="E26" s="591">
        <v>10566.423405740001</v>
      </c>
      <c r="F26" s="591">
        <f>'[10]Prod &amp; Defects - Costs'!S26</f>
        <v>7632.3123177399993</v>
      </c>
      <c r="G26" s="559" t="e">
        <f>'Falhas UM-4 Cost'!E59</f>
        <v>#N/A</v>
      </c>
      <c r="H26" s="559" t="e">
        <f>'Falhas UM-4 Cost'!F59</f>
        <v>#N/A</v>
      </c>
      <c r="I26" s="559" t="e">
        <f>'Falhas UM-4 Cost'!G59</f>
        <v>#N/A</v>
      </c>
      <c r="J26" s="559" t="e">
        <f>'Falhas UM-4 Cost'!H59</f>
        <v>#N/A</v>
      </c>
      <c r="K26" s="559" t="e">
        <f>'Falhas UM-4 Cost'!I59</f>
        <v>#N/A</v>
      </c>
      <c r="L26" s="559" t="e">
        <f>'Falhas UM-4 Cost'!J59</f>
        <v>#N/A</v>
      </c>
      <c r="M26" s="559" t="e">
        <f>'Falhas UM-4 Cost'!K59</f>
        <v>#N/A</v>
      </c>
      <c r="N26" s="559" t="e">
        <f>'Falhas UM-4 Cost'!L59</f>
        <v>#N/A</v>
      </c>
      <c r="O26" s="560" t="e">
        <f>'Falhas UM-4 Cost'!M59</f>
        <v>#N/A</v>
      </c>
      <c r="P26" s="560" t="e">
        <f>'Falhas UM-4 Cost'!N59</f>
        <v>#N/A</v>
      </c>
      <c r="Q26" s="560" t="e">
        <f>'Falhas UM-4 Cost'!O59</f>
        <v>#N/A</v>
      </c>
      <c r="R26" s="560" t="e">
        <f>'Falhas UM-4 Cost'!P59</f>
        <v>#N/A</v>
      </c>
      <c r="S26" s="303" t="e">
        <f>SUM(G26:R26)</f>
        <v>#N/A</v>
      </c>
      <c r="U26" s="318"/>
      <c r="V26" s="318"/>
    </row>
    <row r="27" spans="1:22">
      <c r="A27" s="293" t="s">
        <v>102</v>
      </c>
      <c r="B27" s="544"/>
      <c r="C27" s="294" t="s">
        <v>180</v>
      </c>
      <c r="D27" s="295" t="s">
        <v>90</v>
      </c>
      <c r="E27" s="587">
        <v>677.96587749719993</v>
      </c>
      <c r="F27" s="587">
        <f>'[10]Prod &amp; Defects - Costs'!S27</f>
        <v>2120.9699934587998</v>
      </c>
      <c r="G27" s="612">
        <f>('[2]BP - ORIGINAL'!$G$15+'[2]BP - ORIGINAL'!$G$26)*4.2</f>
        <v>111.34409106514597</v>
      </c>
      <c r="H27" s="612">
        <f>('[2]BP - ORIGINAL'!$J$15+'[2]BP - ORIGINAL'!$J$26)*4.2</f>
        <v>105.06856745070807</v>
      </c>
      <c r="I27" s="612">
        <f>('[2]BP - ORIGINAL'!$M$15+'[2]BP - ORIGINAL'!$M$26)*4.2</f>
        <v>114.78463573232946</v>
      </c>
      <c r="J27" s="612">
        <f>('[2]BP - ORIGINAL'!$P$15+'[2]BP - ORIGINAL'!$P$26)*4.2</f>
        <v>130.69982799227463</v>
      </c>
      <c r="K27" s="612">
        <f>('[2]BP - ORIGINAL'!$S$15+'[2]BP - ORIGINAL'!$S$26)*4.2</f>
        <v>150.31453267643496</v>
      </c>
      <c r="L27" s="612">
        <f>('[2]BP - ORIGINAL'!$V$15+'[2]BP - ORIGINAL'!$V$26)*4.2</f>
        <v>150.49736190552946</v>
      </c>
      <c r="M27" s="612">
        <f>('[2]BP - ORIGINAL'!$G$46+'[2]BP - ORIGINAL'!$G$57)*4.2</f>
        <v>193.80551387827086</v>
      </c>
      <c r="N27" s="612">
        <f>('[2]BP - ORIGINAL'!$J$46+'[2]BP - ORIGINAL'!$J$57)*4.2</f>
        <v>186.85899448650483</v>
      </c>
      <c r="O27" s="612">
        <f>('[2]BP - ORIGINAL'!$M$46+'[2]BP - ORIGINAL'!$M$57)*4.2</f>
        <v>111.44971249540932</v>
      </c>
      <c r="P27" s="612">
        <f>('[2]BP - ORIGINAL'!$P$46+'[2]BP - ORIGINAL'!$P$57)*4.2</f>
        <v>90.154928068536179</v>
      </c>
      <c r="Q27" s="612">
        <f>('[2]BP - ORIGINAL'!$S$46+'[2]BP - ORIGINAL'!$S$57)*4.2</f>
        <v>91.752138684850237</v>
      </c>
      <c r="R27" s="612">
        <f>('[2]BP - ORIGINAL'!$V$46+'[2]BP - ORIGINAL'!$V$57)*4.2</f>
        <v>107.98423708778184</v>
      </c>
      <c r="S27" s="309">
        <f>SUM(G27:R27)</f>
        <v>1544.714541523776</v>
      </c>
    </row>
    <row r="28" spans="1:22">
      <c r="A28" s="547"/>
      <c r="B28" s="125"/>
      <c r="C28" s="202" t="s">
        <v>181</v>
      </c>
      <c r="D28" s="289" t="s">
        <v>90</v>
      </c>
      <c r="E28" s="588">
        <v>1296.3182770140002</v>
      </c>
      <c r="F28" s="588">
        <f>'[10]Prod &amp; Defects - Costs'!S28</f>
        <v>798.32027928240018</v>
      </c>
      <c r="G28" s="613">
        <f>('[2]BP - ORIGINAL'!$G$21-'[2]BP - ORIGINAL'!$G$16-'[2]BP - ORIGINAL'!$G$17)*4.2</f>
        <v>44.257476005275478</v>
      </c>
      <c r="H28" s="613">
        <f>('[2]BP - ORIGINAL'!$J$21-'[2]BP - ORIGINAL'!$J$16-'[2]BP - ORIGINAL'!$J$17)*4.2</f>
        <v>41.763023269833681</v>
      </c>
      <c r="I28" s="613">
        <f>('[2]BP - ORIGINAL'!$M$21-'[2]BP - ORIGINAL'!$M$16-'[2]BP - ORIGINAL'!$M$17)*4.2</f>
        <v>45.62500022052361</v>
      </c>
      <c r="J28" s="613">
        <f>('[2]BP - ORIGINAL'!$P$21-'[2]BP - ORIGINAL'!$P$16-'[2]BP - ORIGINAL'!$P$17)*4.2</f>
        <v>37.553923892383921</v>
      </c>
      <c r="K28" s="613">
        <f>('[2]BP - ORIGINAL'!$S$21-'[2]BP - ORIGINAL'!$S$16-'[2]BP - ORIGINAL'!$S$17)*4.2</f>
        <v>43.18980833229368</v>
      </c>
      <c r="L28" s="613">
        <f>('[2]BP - ORIGINAL'!$V$21-'[2]BP - ORIGINAL'!$V$16-'[2]BP - ORIGINAL'!$V$17)*4.2</f>
        <v>24.988789667250643</v>
      </c>
      <c r="M28" s="613">
        <f>SUM('[2]BP - ORIGINAL'!$G$49:$G$51)*4.2</f>
        <v>55.633311142239585</v>
      </c>
      <c r="N28" s="613">
        <f>SUM('[2]BP - ORIGINAL'!$J$49:$J$51)*4.2</f>
        <v>53.639261195237282</v>
      </c>
      <c r="O28" s="613">
        <f>SUM('[2]BP - ORIGINAL'!$M$49:$M$51)*4.2</f>
        <v>44.257476005275464</v>
      </c>
      <c r="P28" s="613">
        <f>SUM('[2]BP - ORIGINAL'!$P$49:$P$51)*4.2</f>
        <v>35.801165174965583</v>
      </c>
      <c r="Q28" s="613">
        <f>SUM('[2]BP - ORIGINAL'!$S$49:$S$51)*4.2</f>
        <v>36.435428906509998</v>
      </c>
      <c r="R28" s="613">
        <f>SUM('[2]BP - ORIGINAL'!$V$49:$V$51)*4.2</f>
        <v>37.572704456201286</v>
      </c>
      <c r="S28" s="301">
        <f t="shared" si="2"/>
        <v>500.71736826799025</v>
      </c>
    </row>
    <row r="29" spans="1:22" ht="13.5" thickBot="1">
      <c r="A29" s="557"/>
      <c r="B29" s="558"/>
      <c r="C29" s="297" t="s">
        <v>113</v>
      </c>
      <c r="D29" s="298" t="s">
        <v>90</v>
      </c>
      <c r="E29" s="591">
        <v>814.23047405599993</v>
      </c>
      <c r="F29" s="591">
        <f>'[10]Prod &amp; Defects - Costs'!S29</f>
        <v>4087.9027557959994</v>
      </c>
      <c r="G29" s="614">
        <f>('[2]BP - ORIGINAL'!$G$16+'[2]BP - ORIGINAL'!$G$17)*4.2</f>
        <v>144.77843484620561</v>
      </c>
      <c r="H29" s="614">
        <f>('[2]BP - ORIGINAL'!$J$16+'[2]BP - ORIGINAL'!$J$17)*4.2</f>
        <v>136.61839059081134</v>
      </c>
      <c r="I29" s="614">
        <f>('[2]BP - ORIGINAL'!$M$16+'[2]BP - ORIGINAL'!$M$17)*4.2</f>
        <v>149.25198447823419</v>
      </c>
      <c r="J29" s="614">
        <f>('[2]BP - ORIGINAL'!$P$16+'[2]BP - ORIGINAL'!$P$17)*4.2</f>
        <v>122.84926331598268</v>
      </c>
      <c r="K29" s="614">
        <f>('[2]BP - ORIGINAL'!$S$16+'[2]BP - ORIGINAL'!$S$17)*4.2</f>
        <v>141.28579883117919</v>
      </c>
      <c r="L29" s="614">
        <f>('[2]BP - ORIGINAL'!$V$16+'[2]BP - ORIGINAL'!$V$17)*4.2</f>
        <v>141.45764631140861</v>
      </c>
      <c r="M29" s="614">
        <f>SUM('[2]BP - ORIGINAL'!$G$47:$G$48)*4.2</f>
        <v>181.99193536308593</v>
      </c>
      <c r="N29" s="614">
        <f>SUM('[2]BP - ORIGINAL'!$J$47:$J$48)*4.2</f>
        <v>175.46884691814742</v>
      </c>
      <c r="O29" s="614">
        <f>SUM('[2]BP - ORIGINAL'!$M$47:$M$48)*4.2</f>
        <v>144.77843484620561</v>
      </c>
      <c r="P29" s="614">
        <f>SUM('[2]BP - ORIGINAL'!$P$47:$P$48)*4.2</f>
        <v>117.11550516536825</v>
      </c>
      <c r="Q29" s="614">
        <f>SUM('[2]BP - ORIGINAL'!$S$47:$S$48)*4.2</f>
        <v>119.19035711403717</v>
      </c>
      <c r="R29" s="614">
        <f>SUM('[2]BP - ORIGINAL'!$V$47:$V$48)*4.2</f>
        <v>122.91069973035664</v>
      </c>
      <c r="S29" s="303">
        <f t="shared" si="2"/>
        <v>1697.6972975110223</v>
      </c>
      <c r="U29" s="318"/>
      <c r="V29" s="318"/>
    </row>
    <row r="30" spans="1:22">
      <c r="A30" s="547" t="s">
        <v>216</v>
      </c>
      <c r="B30" s="125"/>
      <c r="C30" s="575" t="s">
        <v>71</v>
      </c>
      <c r="D30" s="576" t="s">
        <v>90</v>
      </c>
      <c r="E30" s="592">
        <v>9654.3627428</v>
      </c>
      <c r="F30" s="592">
        <f>'[10]Prod &amp; Defects - Costs'!S30</f>
        <v>4855.9033637000002</v>
      </c>
      <c r="G30" s="577" t="e">
        <f>'BLIND-PVC-PRE - Cost'!F21</f>
        <v>#N/A</v>
      </c>
      <c r="H30" s="577" t="e">
        <f>'BLIND-PVC-PRE - Cost'!G21</f>
        <v>#N/A</v>
      </c>
      <c r="I30" s="577" t="e">
        <f>'BLIND-PVC-PRE - Cost'!H21</f>
        <v>#N/A</v>
      </c>
      <c r="J30" s="577" t="e">
        <f>'BLIND-PVC-PRE - Cost'!I21</f>
        <v>#N/A</v>
      </c>
      <c r="K30" s="577" t="e">
        <f>'BLIND-PVC-PRE - Cost'!J21</f>
        <v>#N/A</v>
      </c>
      <c r="L30" s="577" t="e">
        <f>'BLIND-PVC-PRE - Cost'!K21</f>
        <v>#N/A</v>
      </c>
      <c r="M30" s="577" t="e">
        <f>'BLIND-PVC-PRE - Cost'!L21</f>
        <v>#N/A</v>
      </c>
      <c r="N30" s="577" t="e">
        <f>'BLIND-PVC-PRE - Cost'!M21</f>
        <v>#N/A</v>
      </c>
      <c r="O30" s="577" t="e">
        <f>'BLIND-PVC-PRE - Cost'!N21</f>
        <v>#N/A</v>
      </c>
      <c r="P30" s="577" t="e">
        <f>'BLIND-PVC-PRE - Cost'!O21</f>
        <v>#N/A</v>
      </c>
      <c r="Q30" s="577" t="e">
        <f>'BLIND-PVC-PRE - Cost'!P21</f>
        <v>#N/A</v>
      </c>
      <c r="R30" s="577" t="e">
        <f>'BLIND-PVC-PRE - Cost'!Q21</f>
        <v>#N/A</v>
      </c>
      <c r="S30" s="578" t="e">
        <f t="shared" si="2"/>
        <v>#N/A</v>
      </c>
      <c r="U30" s="318"/>
      <c r="V30" s="318"/>
    </row>
    <row r="31" spans="1:22">
      <c r="A31" s="547"/>
      <c r="B31" s="125"/>
      <c r="C31" s="202" t="s">
        <v>98</v>
      </c>
      <c r="D31" s="289" t="s">
        <v>90</v>
      </c>
      <c r="E31" s="588">
        <v>12788.382600000001</v>
      </c>
      <c r="F31" s="588">
        <f>'[10]Prod &amp; Defects - Costs'!S31</f>
        <v>13845.926899999999</v>
      </c>
      <c r="G31" s="549" t="e">
        <f>'BLIND-PVC-PRE - Cost'!F26</f>
        <v>#N/A</v>
      </c>
      <c r="H31" s="549" t="e">
        <f>'BLIND-PVC-PRE - Cost'!G26</f>
        <v>#N/A</v>
      </c>
      <c r="I31" s="549" t="e">
        <f>'BLIND-PVC-PRE - Cost'!H26</f>
        <v>#N/A</v>
      </c>
      <c r="J31" s="549" t="e">
        <f>'BLIND-PVC-PRE - Cost'!I26</f>
        <v>#N/A</v>
      </c>
      <c r="K31" s="549" t="e">
        <f>'BLIND-PVC-PRE - Cost'!J26</f>
        <v>#N/A</v>
      </c>
      <c r="L31" s="549" t="e">
        <f>'BLIND-PVC-PRE - Cost'!K26</f>
        <v>#N/A</v>
      </c>
      <c r="M31" s="549" t="e">
        <f>'BLIND-PVC-PRE - Cost'!L26</f>
        <v>#N/A</v>
      </c>
      <c r="N31" s="549" t="e">
        <f>'BLIND-PVC-PRE - Cost'!M26</f>
        <v>#N/A</v>
      </c>
      <c r="O31" s="549" t="e">
        <f>'BLIND-PVC-PRE - Cost'!N26</f>
        <v>#N/A</v>
      </c>
      <c r="P31" s="549" t="e">
        <f>'BLIND-PVC-PRE - Cost'!O26</f>
        <v>#N/A</v>
      </c>
      <c r="Q31" s="549" t="e">
        <f>'BLIND-PVC-PRE - Cost'!P26</f>
        <v>#N/A</v>
      </c>
      <c r="R31" s="549" t="e">
        <f>'BLIND-PVC-PRE - Cost'!Q26</f>
        <v>#N/A</v>
      </c>
      <c r="S31" s="497" t="e">
        <f t="shared" si="2"/>
        <v>#N/A</v>
      </c>
      <c r="U31" s="318"/>
      <c r="V31" s="318"/>
    </row>
    <row r="32" spans="1:22">
      <c r="A32" s="547"/>
      <c r="B32" s="125"/>
      <c r="C32" s="202" t="s">
        <v>215</v>
      </c>
      <c r="D32" s="289" t="s">
        <v>90</v>
      </c>
      <c r="E32" s="588">
        <v>9124.4676441350475</v>
      </c>
      <c r="F32" s="588">
        <f>'[10]Prod &amp; Defects - Costs'!S32</f>
        <v>5761.8554298479112</v>
      </c>
      <c r="G32" s="549" t="e">
        <f>'BLIND-PVC-PRE - Cost'!F31</f>
        <v>#N/A</v>
      </c>
      <c r="H32" s="549" t="e">
        <f>'BLIND-PVC-PRE - Cost'!G31</f>
        <v>#N/A</v>
      </c>
      <c r="I32" s="549" t="e">
        <f>'BLIND-PVC-PRE - Cost'!H31</f>
        <v>#N/A</v>
      </c>
      <c r="J32" s="549" t="e">
        <f>'BLIND-PVC-PRE - Cost'!I31</f>
        <v>#N/A</v>
      </c>
      <c r="K32" s="549" t="e">
        <f>'BLIND-PVC-PRE - Cost'!J31</f>
        <v>#N/A</v>
      </c>
      <c r="L32" s="549" t="e">
        <f>'BLIND-PVC-PRE - Cost'!K31</f>
        <v>#N/A</v>
      </c>
      <c r="M32" s="549" t="e">
        <f>'BLIND-PVC-PRE - Cost'!L31</f>
        <v>#N/A</v>
      </c>
      <c r="N32" s="549" t="e">
        <f>'BLIND-PVC-PRE - Cost'!M31</f>
        <v>#N/A</v>
      </c>
      <c r="O32" s="549" t="e">
        <f>'BLIND-PVC-PRE - Cost'!N31</f>
        <v>#N/A</v>
      </c>
      <c r="P32" s="549" t="e">
        <f>'BLIND-PVC-PRE - Cost'!O31</f>
        <v>#N/A</v>
      </c>
      <c r="Q32" s="549" t="e">
        <f>'BLIND-PVC-PRE - Cost'!P31</f>
        <v>#N/A</v>
      </c>
      <c r="R32" s="549" t="e">
        <f>'BLIND-PVC-PRE - Cost'!Q31</f>
        <v>#N/A</v>
      </c>
      <c r="S32" s="497" t="e">
        <f t="shared" si="2"/>
        <v>#N/A</v>
      </c>
      <c r="U32" s="318"/>
      <c r="V32" s="318"/>
    </row>
    <row r="33" spans="1:23">
      <c r="A33" s="547"/>
      <c r="B33" s="125"/>
      <c r="C33" s="202" t="s">
        <v>174</v>
      </c>
      <c r="D33" s="289" t="s">
        <v>90</v>
      </c>
      <c r="E33" s="588">
        <v>1307.0154303166778</v>
      </c>
      <c r="F33" s="588">
        <f>'[10]Prod &amp; Defects - Costs'!S33</f>
        <v>2121.318262197</v>
      </c>
      <c r="G33" s="549" t="e">
        <f>'SM Cost'!F41</f>
        <v>#N/A</v>
      </c>
      <c r="H33" s="549" t="e">
        <f>'SM Cost'!G41</f>
        <v>#N/A</v>
      </c>
      <c r="I33" s="549" t="e">
        <f>'SM Cost'!H41</f>
        <v>#N/A</v>
      </c>
      <c r="J33" s="549" t="e">
        <f>'SM Cost'!I41</f>
        <v>#N/A</v>
      </c>
      <c r="K33" s="549" t="e">
        <f>'SM Cost'!J41</f>
        <v>#N/A</v>
      </c>
      <c r="L33" s="549" t="e">
        <f>'SM Cost'!K41</f>
        <v>#N/A</v>
      </c>
      <c r="M33" s="549" t="e">
        <f>'SM Cost'!L41</f>
        <v>#N/A</v>
      </c>
      <c r="N33" s="549" t="e">
        <f>'SM Cost'!M41</f>
        <v>#N/A</v>
      </c>
      <c r="O33" s="549" t="e">
        <f>'SM Cost'!N41</f>
        <v>#N/A</v>
      </c>
      <c r="P33" s="549" t="e">
        <f>'SM Cost'!O41</f>
        <v>#N/A</v>
      </c>
      <c r="Q33" s="549" t="e">
        <f>'SM Cost'!P41</f>
        <v>#N/A</v>
      </c>
      <c r="R33" s="549" t="e">
        <f>'SM Cost'!Q41</f>
        <v>#N/A</v>
      </c>
      <c r="S33" s="497" t="e">
        <f t="shared" si="2"/>
        <v>#N/A</v>
      </c>
      <c r="U33" s="318"/>
      <c r="V33" s="318"/>
    </row>
    <row r="34" spans="1:23">
      <c r="A34" s="735" t="s">
        <v>197</v>
      </c>
      <c r="B34" s="736"/>
      <c r="C34" s="201" t="s">
        <v>180</v>
      </c>
      <c r="D34" s="288" t="s">
        <v>90</v>
      </c>
      <c r="E34" s="590">
        <v>59802.911612752105</v>
      </c>
      <c r="F34" s="590">
        <f>'[10]Prod &amp; Defects - Costs'!S34</f>
        <v>77413.042179774624</v>
      </c>
      <c r="G34" s="555" t="e">
        <f t="array" ref="G34">SUM(IF($C$15:$C$29=$C34,G$15:G$29))</f>
        <v>#N/A</v>
      </c>
      <c r="H34" s="555" t="e">
        <f t="array" ref="H34">SUM(IF($C$15:$C$29=$C34,H$15:H$29))</f>
        <v>#N/A</v>
      </c>
      <c r="I34" s="555" t="e">
        <f t="array" ref="I34">SUM(IF($C$15:$C$29=$C34,I$15:I$29))</f>
        <v>#N/A</v>
      </c>
      <c r="J34" s="555" t="e">
        <f t="array" ref="J34">SUM(IF($C$15:$C$29=$C34,J$15:J$29))</f>
        <v>#N/A</v>
      </c>
      <c r="K34" s="555" t="e">
        <f t="array" ref="K34">SUM(IF($C$15:$C$29=$C34,K$15:K$29))</f>
        <v>#N/A</v>
      </c>
      <c r="L34" s="555" t="e">
        <f t="array" ref="L34">SUM(IF($C$15:$C$29=$C34,L$15:L$29))</f>
        <v>#N/A</v>
      </c>
      <c r="M34" s="555" t="e">
        <f t="array" ref="M34">SUM(IF($C$15:$C$29=$C34,M$15:M$29))</f>
        <v>#N/A</v>
      </c>
      <c r="N34" s="555" t="e">
        <f t="array" ref="N34">SUM(IF($C$15:$C$29=$C34,N$15:N$29))</f>
        <v>#N/A</v>
      </c>
      <c r="O34" s="556" t="e">
        <f t="array" ref="O34">SUM(IF($C$15:$C$29=$C34,O$15:O$29))</f>
        <v>#N/A</v>
      </c>
      <c r="P34" s="556" t="e">
        <f t="array" ref="P34">SUM(IF($C$15:$C$29=$C34,P$15:P$29))</f>
        <v>#N/A</v>
      </c>
      <c r="Q34" s="556" t="e">
        <f t="array" ref="Q34">SUM(IF($C$15:$C$29=$C34,Q$15:Q$29))</f>
        <v>#N/A</v>
      </c>
      <c r="R34" s="556" t="e">
        <f t="array" ref="R34">SUM(IF($C$15:$C$29=$C34,R$15:R$29))</f>
        <v>#N/A</v>
      </c>
      <c r="S34" s="300" t="e">
        <f>SUM(G34:R34)</f>
        <v>#N/A</v>
      </c>
      <c r="U34" s="318"/>
      <c r="V34" s="318"/>
    </row>
    <row r="35" spans="1:23">
      <c r="A35" s="737"/>
      <c r="B35" s="738"/>
      <c r="C35" s="202" t="s">
        <v>181</v>
      </c>
      <c r="D35" s="289" t="s">
        <v>90</v>
      </c>
      <c r="E35" s="588">
        <v>31226.036062316496</v>
      </c>
      <c r="F35" s="588">
        <f>'[10]Prod &amp; Defects - Costs'!S35</f>
        <v>26286.240944550598</v>
      </c>
      <c r="G35" s="548" t="e">
        <f t="array" ref="G35">SUM(IF($C$15:$C$29=$C35,G$15:G$29))</f>
        <v>#N/A</v>
      </c>
      <c r="H35" s="548" t="e">
        <f t="array" ref="H35">SUM(IF($C$15:$C$29=$C35,H$15:H$29))</f>
        <v>#N/A</v>
      </c>
      <c r="I35" s="548" t="e">
        <f t="array" ref="I35">SUM(IF($C$15:$C$29=$C35,I$15:I$29))</f>
        <v>#N/A</v>
      </c>
      <c r="J35" s="548" t="e">
        <f t="array" ref="J35">SUM(IF($C$15:$C$29=$C35,J$15:J$29))</f>
        <v>#N/A</v>
      </c>
      <c r="K35" s="548" t="e">
        <f t="array" ref="K35">SUM(IF($C$15:$C$29=$C35,K$15:K$29))</f>
        <v>#N/A</v>
      </c>
      <c r="L35" s="548" t="e">
        <f t="array" ref="L35">SUM(IF($C$15:$C$29=$C35,L$15:L$29))</f>
        <v>#N/A</v>
      </c>
      <c r="M35" s="548" t="e">
        <f t="array" ref="M35">SUM(IF($C$15:$C$29=$C35,M$15:M$29))</f>
        <v>#N/A</v>
      </c>
      <c r="N35" s="548" t="e">
        <f t="array" ref="N35">SUM(IF($C$15:$C$29=$C35,N$15:N$29))</f>
        <v>#N/A</v>
      </c>
      <c r="O35" s="549" t="e">
        <f t="array" ref="O35">SUM(IF($C$15:$C$29=$C35,O$15:O$29))</f>
        <v>#N/A</v>
      </c>
      <c r="P35" s="549" t="e">
        <f t="array" ref="P35">SUM(IF($C$15:$C$29=$C35,P$15:P$29))</f>
        <v>#N/A</v>
      </c>
      <c r="Q35" s="549" t="e">
        <f t="array" ref="Q35">SUM(IF($C$15:$C$29=$C35,Q$15:Q$29))</f>
        <v>#N/A</v>
      </c>
      <c r="R35" s="549" t="e">
        <f t="array" ref="R35">SUM(IF($C$15:$C$29=$C35,R$15:R$29))</f>
        <v>#N/A</v>
      </c>
      <c r="S35" s="301" t="e">
        <f>SUM(G35:R35)</f>
        <v>#N/A</v>
      </c>
    </row>
    <row r="36" spans="1:23">
      <c r="A36" s="737"/>
      <c r="B36" s="738"/>
      <c r="C36" s="203" t="s">
        <v>113</v>
      </c>
      <c r="D36" s="290" t="s">
        <v>90</v>
      </c>
      <c r="E36" s="589">
        <v>36116.060280106009</v>
      </c>
      <c r="F36" s="589">
        <f>'[10]Prod &amp; Defects - Costs'!S36</f>
        <v>39451.886178989495</v>
      </c>
      <c r="G36" s="552" t="e">
        <f t="array" ref="G36">SUM(IF($C$15:$C$29=$C36,G$15:G$29))</f>
        <v>#N/A</v>
      </c>
      <c r="H36" s="552" t="e">
        <f t="array" ref="H36">SUM(IF($C$15:$C$29=$C36,H$15:H$29))</f>
        <v>#N/A</v>
      </c>
      <c r="I36" s="552" t="e">
        <f t="array" ref="I36">SUM(IF($C$15:$C$29=$C36,I$15:I$29))</f>
        <v>#N/A</v>
      </c>
      <c r="J36" s="552" t="e">
        <f t="array" ref="J36">SUM(IF($C$15:$C$29=$C36,J$15:J$29))</f>
        <v>#N/A</v>
      </c>
      <c r="K36" s="552" t="e">
        <f t="array" ref="K36">SUM(IF($C$15:$C$29=$C36,K$15:K$29))</f>
        <v>#N/A</v>
      </c>
      <c r="L36" s="552" t="e">
        <f t="array" ref="L36">SUM(IF($C$15:$C$29=$C36,L$15:L$29))</f>
        <v>#N/A</v>
      </c>
      <c r="M36" s="552" t="e">
        <f t="array" ref="M36">SUM(IF($C$15:$C$29=$C36,M$15:M$29))</f>
        <v>#N/A</v>
      </c>
      <c r="N36" s="552" t="e">
        <f t="array" ref="N36">SUM(IF($C$15:$C$29=$C36,N$15:N$29))</f>
        <v>#N/A</v>
      </c>
      <c r="O36" s="553" t="e">
        <f t="array" ref="O36">SUM(IF($C$15:$C$29=$C36,O$15:O$29))</f>
        <v>#N/A</v>
      </c>
      <c r="P36" s="553" t="e">
        <f t="array" ref="P36">SUM(IF($C$15:$C$29=$C36,P$15:P$29))</f>
        <v>#N/A</v>
      </c>
      <c r="Q36" s="553" t="e">
        <f t="array" ref="Q36">SUM(IF($C$15:$C$29=$C36,Q$15:Q$29))</f>
        <v>#N/A</v>
      </c>
      <c r="R36" s="553" t="e">
        <f t="array" ref="R36">SUM(IF($C$15:$C$29=$C36,R$15:R$29))</f>
        <v>#N/A</v>
      </c>
      <c r="S36" s="302" t="e">
        <f>SUM(G36:R36)</f>
        <v>#N/A</v>
      </c>
    </row>
    <row r="37" spans="1:23">
      <c r="A37" s="737"/>
      <c r="B37" s="738"/>
      <c r="C37" s="230" t="s">
        <v>1</v>
      </c>
      <c r="D37" s="251" t="s">
        <v>90</v>
      </c>
      <c r="E37" s="586">
        <v>160019.23637242633</v>
      </c>
      <c r="F37" s="586">
        <f>'[10]Prod &amp; Defects - Costs'!S37</f>
        <v>169736.17325905961</v>
      </c>
      <c r="G37" s="304" t="e">
        <f>SUM(G30:G36)</f>
        <v>#N/A</v>
      </c>
      <c r="H37" s="304" t="e">
        <f t="shared" ref="H37:R37" si="3">SUM(H30:H36)</f>
        <v>#N/A</v>
      </c>
      <c r="I37" s="304" t="e">
        <f t="shared" si="3"/>
        <v>#N/A</v>
      </c>
      <c r="J37" s="304" t="e">
        <f t="shared" si="3"/>
        <v>#N/A</v>
      </c>
      <c r="K37" s="304" t="e">
        <f t="shared" si="3"/>
        <v>#N/A</v>
      </c>
      <c r="L37" s="304" t="e">
        <f t="shared" si="3"/>
        <v>#N/A</v>
      </c>
      <c r="M37" s="304" t="e">
        <f t="shared" si="3"/>
        <v>#N/A</v>
      </c>
      <c r="N37" s="304" t="e">
        <f t="shared" si="3"/>
        <v>#N/A</v>
      </c>
      <c r="O37" s="304" t="e">
        <f t="shared" si="3"/>
        <v>#N/A</v>
      </c>
      <c r="P37" s="304" t="e">
        <f t="shared" si="3"/>
        <v>#N/A</v>
      </c>
      <c r="Q37" s="304" t="e">
        <f t="shared" si="3"/>
        <v>#N/A</v>
      </c>
      <c r="R37" s="304" t="e">
        <f t="shared" si="3"/>
        <v>#N/A</v>
      </c>
      <c r="S37" s="305" t="e">
        <f>SUM(S30:S36)</f>
        <v>#N/A</v>
      </c>
      <c r="T37" s="318"/>
    </row>
    <row r="38" spans="1:23">
      <c r="A38" s="737"/>
      <c r="B38" s="738"/>
      <c r="C38" s="230" t="s">
        <v>191</v>
      </c>
      <c r="D38" s="251" t="s">
        <v>114</v>
      </c>
      <c r="E38" s="593">
        <v>2.7095457431340077E-3</v>
      </c>
      <c r="F38" s="593">
        <f>'[10]Prod &amp; Defects - Costs'!S38</f>
        <v>3.2795673515917229E-3</v>
      </c>
      <c r="G38" s="561" t="e">
        <f t="shared" ref="G38:L38" si="4">G37/G10</f>
        <v>#N/A</v>
      </c>
      <c r="H38" s="561" t="e">
        <f t="shared" si="4"/>
        <v>#N/A</v>
      </c>
      <c r="I38" s="561" t="e">
        <f t="shared" si="4"/>
        <v>#N/A</v>
      </c>
      <c r="J38" s="561" t="e">
        <f t="shared" si="4"/>
        <v>#N/A</v>
      </c>
      <c r="K38" s="561" t="e">
        <f t="shared" si="4"/>
        <v>#N/A</v>
      </c>
      <c r="L38" s="561" t="e">
        <f t="shared" si="4"/>
        <v>#N/A</v>
      </c>
      <c r="M38" s="561" t="e">
        <f t="shared" ref="M38:R38" si="5">IF(M10&gt;0,M37/M10,0)</f>
        <v>#N/A</v>
      </c>
      <c r="N38" s="561" t="e">
        <f t="shared" si="5"/>
        <v>#N/A</v>
      </c>
      <c r="O38" s="562" t="e">
        <f t="shared" si="5"/>
        <v>#N/A</v>
      </c>
      <c r="P38" s="562" t="e">
        <f t="shared" si="5"/>
        <v>#N/A</v>
      </c>
      <c r="Q38" s="562" t="e">
        <f t="shared" si="5"/>
        <v>#N/A</v>
      </c>
      <c r="R38" s="562" t="e">
        <f t="shared" si="5"/>
        <v>#N/A</v>
      </c>
      <c r="S38" s="563" t="e">
        <f>S37/S10</f>
        <v>#N/A</v>
      </c>
    </row>
    <row r="39" spans="1:23">
      <c r="A39" s="737"/>
      <c r="B39" s="738"/>
      <c r="C39" s="201" t="s">
        <v>189</v>
      </c>
      <c r="D39" s="288" t="s">
        <v>114</v>
      </c>
      <c r="E39" s="594">
        <v>1.2099999999999999E-3</v>
      </c>
      <c r="F39" s="594">
        <f>'[10]Prod &amp; Defects - Costs'!S39</f>
        <v>9.2000000000000003E-4</v>
      </c>
      <c r="G39" s="564">
        <v>1.23E-3</v>
      </c>
      <c r="H39" s="564">
        <v>1.23E-3</v>
      </c>
      <c r="I39" s="564">
        <v>1.23E-3</v>
      </c>
      <c r="J39" s="564">
        <v>1.23E-3</v>
      </c>
      <c r="K39" s="564">
        <v>1.23E-3</v>
      </c>
      <c r="L39" s="564">
        <v>1.23E-3</v>
      </c>
      <c r="M39" s="564">
        <v>1.23E-3</v>
      </c>
      <c r="N39" s="564">
        <v>1.23E-3</v>
      </c>
      <c r="O39" s="565">
        <v>1.23E-3</v>
      </c>
      <c r="P39" s="565">
        <v>1.23E-3</v>
      </c>
      <c r="Q39" s="565">
        <v>1.23E-3</v>
      </c>
      <c r="R39" s="565">
        <v>1.23E-3</v>
      </c>
      <c r="S39" s="566">
        <f>R39</f>
        <v>1.23E-3</v>
      </c>
    </row>
    <row r="40" spans="1:23" ht="13.5" thickBot="1">
      <c r="A40" s="739"/>
      <c r="B40" s="740"/>
      <c r="C40" s="297" t="s">
        <v>195</v>
      </c>
      <c r="D40" s="298"/>
      <c r="E40" s="595">
        <v>1.4995457431340078E-3</v>
      </c>
      <c r="F40" s="595">
        <f>'[10]Prod &amp; Defects - Costs'!S40</f>
        <v>2.3595673515917227E-3</v>
      </c>
      <c r="G40" s="567" t="e">
        <f>G38-G39</f>
        <v>#N/A</v>
      </c>
      <c r="H40" s="567" t="e">
        <f t="shared" ref="H40:S40" si="6">H38-H39</f>
        <v>#N/A</v>
      </c>
      <c r="I40" s="567" t="e">
        <f t="shared" si="6"/>
        <v>#N/A</v>
      </c>
      <c r="J40" s="567" t="e">
        <f t="shared" si="6"/>
        <v>#N/A</v>
      </c>
      <c r="K40" s="567" t="e">
        <f t="shared" si="6"/>
        <v>#N/A</v>
      </c>
      <c r="L40" s="567" t="e">
        <f t="shared" si="6"/>
        <v>#N/A</v>
      </c>
      <c r="M40" s="567" t="e">
        <f t="shared" si="6"/>
        <v>#N/A</v>
      </c>
      <c r="N40" s="567" t="e">
        <f t="shared" si="6"/>
        <v>#N/A</v>
      </c>
      <c r="O40" s="568" t="e">
        <f t="shared" si="6"/>
        <v>#N/A</v>
      </c>
      <c r="P40" s="568" t="e">
        <f t="shared" si="6"/>
        <v>#N/A</v>
      </c>
      <c r="Q40" s="568" t="e">
        <f t="shared" si="6"/>
        <v>#N/A</v>
      </c>
      <c r="R40" s="568" t="e">
        <f t="shared" si="6"/>
        <v>#N/A</v>
      </c>
      <c r="S40" s="569" t="e">
        <f t="shared" si="6"/>
        <v>#N/A</v>
      </c>
    </row>
    <row r="41" spans="1:23">
      <c r="F41" s="631"/>
    </row>
    <row r="42" spans="1:23">
      <c r="F42" s="631"/>
    </row>
    <row r="43" spans="1:23" ht="13.5" thickBot="1">
      <c r="A43" s="1" t="s">
        <v>1</v>
      </c>
      <c r="F43" s="631"/>
      <c r="T43" s="1" t="s">
        <v>55</v>
      </c>
      <c r="U43" s="1" t="s">
        <v>54</v>
      </c>
      <c r="V43" s="1" t="s">
        <v>219</v>
      </c>
    </row>
    <row r="44" spans="1:23">
      <c r="A44" s="749" t="s">
        <v>107</v>
      </c>
      <c r="B44" s="750"/>
      <c r="C44" s="308"/>
      <c r="D44" s="596"/>
      <c r="E44" s="597">
        <v>28872.632903337962</v>
      </c>
      <c r="F44" s="597">
        <f>'[10]Prod &amp; Defects - Costs'!S44</f>
        <v>33759.979715126487</v>
      </c>
      <c r="G44" s="598" t="e">
        <f t="shared" ref="G44:R44" si="7">SUM(G15:G17)</f>
        <v>#N/A</v>
      </c>
      <c r="H44" s="598" t="e">
        <f t="shared" si="7"/>
        <v>#N/A</v>
      </c>
      <c r="I44" s="598" t="e">
        <f>SUM(I15:I17)</f>
        <v>#N/A</v>
      </c>
      <c r="J44" s="598" t="e">
        <f>SUM(J15:J17)</f>
        <v>#N/A</v>
      </c>
      <c r="K44" s="598" t="e">
        <f t="shared" si="7"/>
        <v>#N/A</v>
      </c>
      <c r="L44" s="598" t="e">
        <f t="shared" si="7"/>
        <v>#N/A</v>
      </c>
      <c r="M44" s="598" t="e">
        <f t="shared" si="7"/>
        <v>#N/A</v>
      </c>
      <c r="N44" s="598" t="e">
        <f t="shared" si="7"/>
        <v>#N/A</v>
      </c>
      <c r="O44" s="598" t="e">
        <f t="shared" si="7"/>
        <v>#N/A</v>
      </c>
      <c r="P44" s="598" t="e">
        <f t="shared" si="7"/>
        <v>#N/A</v>
      </c>
      <c r="Q44" s="598" t="e">
        <f t="shared" si="7"/>
        <v>#N/A</v>
      </c>
      <c r="R44" s="598" t="e">
        <f t="shared" si="7"/>
        <v>#N/A</v>
      </c>
      <c r="S44" s="309" t="e">
        <f>SUM(G44:R44)</f>
        <v>#N/A</v>
      </c>
      <c r="T44" s="579" t="e">
        <f>SUM(G44:L44)/SUM(G5:L5)</f>
        <v>#N/A</v>
      </c>
      <c r="U44" s="579" t="e">
        <f>SUM(M44:R44)/SUM(M5:R5)</f>
        <v>#N/A</v>
      </c>
      <c r="V44" s="579" t="e">
        <f>SUM(G44:R44)/SUM(G5:R5)</f>
        <v>#N/A</v>
      </c>
    </row>
    <row r="45" spans="1:23">
      <c r="A45" s="742" t="s">
        <v>199</v>
      </c>
      <c r="B45" s="743"/>
      <c r="C45" s="310"/>
      <c r="D45" s="311"/>
      <c r="E45" s="599">
        <v>18098.607760212606</v>
      </c>
      <c r="F45" s="599">
        <f>'[10]Prod &amp; Defects - Costs'!S45</f>
        <v>20966.274908713807</v>
      </c>
      <c r="G45" s="600" t="e">
        <f t="shared" ref="G45:R45" si="8">SUM(G18:G20)</f>
        <v>#N/A</v>
      </c>
      <c r="H45" s="600" t="e">
        <f t="shared" si="8"/>
        <v>#N/A</v>
      </c>
      <c r="I45" s="600" t="e">
        <f>SUM(I18:I20)</f>
        <v>#N/A</v>
      </c>
      <c r="J45" s="600" t="e">
        <f>SUM(J18:J20)</f>
        <v>#N/A</v>
      </c>
      <c r="K45" s="600" t="e">
        <f t="shared" si="8"/>
        <v>#N/A</v>
      </c>
      <c r="L45" s="600" t="e">
        <f t="shared" si="8"/>
        <v>#N/A</v>
      </c>
      <c r="M45" s="600" t="e">
        <f t="shared" si="8"/>
        <v>#N/A</v>
      </c>
      <c r="N45" s="600" t="e">
        <f t="shared" si="8"/>
        <v>#N/A</v>
      </c>
      <c r="O45" s="600" t="e">
        <f t="shared" si="8"/>
        <v>#N/A</v>
      </c>
      <c r="P45" s="600" t="e">
        <f t="shared" si="8"/>
        <v>#N/A</v>
      </c>
      <c r="Q45" s="600" t="e">
        <f t="shared" si="8"/>
        <v>#N/A</v>
      </c>
      <c r="R45" s="600" t="e">
        <f t="shared" si="8"/>
        <v>#N/A</v>
      </c>
      <c r="S45" s="301" t="e">
        <f>SUM(G45:R45)</f>
        <v>#N/A</v>
      </c>
      <c r="T45" s="579" t="e">
        <f>SUM(G45:L45)/SUM(G6:L6)</f>
        <v>#N/A</v>
      </c>
      <c r="U45" s="579" t="e">
        <f>SUM(M45:R45)/SUM(M6:R6)</f>
        <v>#N/A</v>
      </c>
      <c r="V45" s="579" t="e">
        <f>SUM(G45:R45)/SUM(G6:R6)</f>
        <v>#N/A</v>
      </c>
    </row>
    <row r="46" spans="1:23">
      <c r="A46" s="742" t="s">
        <v>200</v>
      </c>
      <c r="B46" s="743"/>
      <c r="C46" s="310"/>
      <c r="D46" s="311"/>
      <c r="E46" s="599">
        <v>56089.501208016838</v>
      </c>
      <c r="F46" s="599">
        <f>'[10]Prod &amp; Defects - Costs'!S46</f>
        <v>65024.822564997237</v>
      </c>
      <c r="G46" s="600" t="e">
        <f t="shared" ref="G46:R46" si="9">SUM(G21:G23)</f>
        <v>#N/A</v>
      </c>
      <c r="H46" s="600" t="e">
        <f t="shared" si="9"/>
        <v>#N/A</v>
      </c>
      <c r="I46" s="600" t="e">
        <f t="shared" si="9"/>
        <v>#N/A</v>
      </c>
      <c r="J46" s="600" t="e">
        <f t="shared" si="9"/>
        <v>#N/A</v>
      </c>
      <c r="K46" s="600" t="e">
        <f t="shared" si="9"/>
        <v>#N/A</v>
      </c>
      <c r="L46" s="600" t="e">
        <f t="shared" si="9"/>
        <v>#N/A</v>
      </c>
      <c r="M46" s="600" t="e">
        <f t="shared" si="9"/>
        <v>#N/A</v>
      </c>
      <c r="N46" s="600" t="e">
        <f t="shared" si="9"/>
        <v>#N/A</v>
      </c>
      <c r="O46" s="600" t="e">
        <f t="shared" si="9"/>
        <v>#N/A</v>
      </c>
      <c r="P46" s="600" t="e">
        <f t="shared" si="9"/>
        <v>#N/A</v>
      </c>
      <c r="Q46" s="600" t="e">
        <f t="shared" si="9"/>
        <v>#N/A</v>
      </c>
      <c r="R46" s="600" t="e">
        <f t="shared" si="9"/>
        <v>#N/A</v>
      </c>
      <c r="S46" s="301" t="e">
        <f>SUM(G46:R46)</f>
        <v>#N/A</v>
      </c>
      <c r="T46" s="579" t="e">
        <f>SUM(G46:L46)/SUM(G7:L7)</f>
        <v>#N/A</v>
      </c>
      <c r="U46" s="579" t="e">
        <f>SUM(M46:R46)/SUM(M7:R7)</f>
        <v>#N/A</v>
      </c>
      <c r="V46" s="579" t="e">
        <f>SUM(G46:R46)/SUM(G7:R7)</f>
        <v>#N/A</v>
      </c>
      <c r="W46" s="623" t="e">
        <f>(S45+S46)/(S6+S7)</f>
        <v>#N/A</v>
      </c>
    </row>
    <row r="47" spans="1:23">
      <c r="A47" s="742" t="s">
        <v>128</v>
      </c>
      <c r="B47" s="743"/>
      <c r="C47" s="310"/>
      <c r="D47" s="311"/>
      <c r="E47" s="599">
        <v>21295.751455039994</v>
      </c>
      <c r="F47" s="599">
        <f>'[10]Prod &amp; Defects - Costs'!S47</f>
        <v>16392.89908594</v>
      </c>
      <c r="G47" s="600" t="e">
        <f t="shared" ref="G47:R47" si="10">SUM(G24:G26)</f>
        <v>#N/A</v>
      </c>
      <c r="H47" s="600" t="e">
        <f t="shared" si="10"/>
        <v>#N/A</v>
      </c>
      <c r="I47" s="600" t="e">
        <f t="shared" si="10"/>
        <v>#N/A</v>
      </c>
      <c r="J47" s="600" t="e">
        <f t="shared" si="10"/>
        <v>#N/A</v>
      </c>
      <c r="K47" s="600" t="e">
        <f t="shared" si="10"/>
        <v>#N/A</v>
      </c>
      <c r="L47" s="600" t="e">
        <f t="shared" si="10"/>
        <v>#N/A</v>
      </c>
      <c r="M47" s="600" t="e">
        <f t="shared" si="10"/>
        <v>#N/A</v>
      </c>
      <c r="N47" s="600" t="e">
        <f t="shared" si="10"/>
        <v>#N/A</v>
      </c>
      <c r="O47" s="600" t="e">
        <f t="shared" si="10"/>
        <v>#N/A</v>
      </c>
      <c r="P47" s="600" t="e">
        <f t="shared" si="10"/>
        <v>#N/A</v>
      </c>
      <c r="Q47" s="600" t="e">
        <f t="shared" si="10"/>
        <v>#N/A</v>
      </c>
      <c r="R47" s="600" t="e">
        <f t="shared" si="10"/>
        <v>#N/A</v>
      </c>
      <c r="S47" s="301" t="e">
        <f>SUM(G47:R47)</f>
        <v>#N/A</v>
      </c>
      <c r="T47" s="579" t="e">
        <f>SUM(G47:L47)/SUM(G8:L8)</f>
        <v>#N/A</v>
      </c>
      <c r="U47" s="579" t="e">
        <f>SUM(M47:R47)/SUM(M8:R8)</f>
        <v>#N/A</v>
      </c>
      <c r="V47" s="579" t="e">
        <f>SUM(G47:R47)/SUM(G8:R8)</f>
        <v>#N/A</v>
      </c>
    </row>
    <row r="48" spans="1:23">
      <c r="A48" s="742" t="s">
        <v>115</v>
      </c>
      <c r="B48" s="743"/>
      <c r="C48" s="310"/>
      <c r="D48" s="311"/>
      <c r="E48" s="599">
        <v>2788.5146285671999</v>
      </c>
      <c r="F48" s="599">
        <f>'[10]Prod &amp; Defects - Costs'!S48</f>
        <v>7007.1930285372</v>
      </c>
      <c r="G48" s="600">
        <f t="shared" ref="G48:R48" si="11">SUM(G27:G29)</f>
        <v>300.38000191662707</v>
      </c>
      <c r="H48" s="600">
        <f t="shared" si="11"/>
        <v>283.4499813113531</v>
      </c>
      <c r="I48" s="600">
        <f t="shared" si="11"/>
        <v>309.66162043108727</v>
      </c>
      <c r="J48" s="600">
        <f t="shared" si="11"/>
        <v>291.10301520064127</v>
      </c>
      <c r="K48" s="600">
        <f t="shared" si="11"/>
        <v>334.79013983990785</v>
      </c>
      <c r="L48" s="600">
        <f t="shared" si="11"/>
        <v>316.94379788418871</v>
      </c>
      <c r="M48" s="600">
        <f t="shared" si="11"/>
        <v>431.43076038359641</v>
      </c>
      <c r="N48" s="600">
        <f t="shared" si="11"/>
        <v>415.96710259988953</v>
      </c>
      <c r="O48" s="600">
        <f t="shared" si="11"/>
        <v>300.48562334689041</v>
      </c>
      <c r="P48" s="600">
        <f t="shared" si="11"/>
        <v>243.07159840886999</v>
      </c>
      <c r="Q48" s="600">
        <f t="shared" si="11"/>
        <v>247.37792470539739</v>
      </c>
      <c r="R48" s="600">
        <f t="shared" si="11"/>
        <v>268.46764127433977</v>
      </c>
      <c r="S48" s="301">
        <f>SUM(G48:R48)</f>
        <v>3743.1292073027885</v>
      </c>
      <c r="T48" s="579" t="e">
        <f>SUM(G48:L48)/SUM(G9:L9)</f>
        <v>#N/A</v>
      </c>
      <c r="U48" s="579" t="e">
        <f>SUM(M48:R48)/SUM(M9:R9)</f>
        <v>#N/A</v>
      </c>
      <c r="V48" s="579" t="e">
        <f>SUM(G48:R48)/SUM(G9:R9)</f>
        <v>#N/A</v>
      </c>
    </row>
    <row r="49" spans="1:22">
      <c r="A49" s="744" t="s">
        <v>223</v>
      </c>
      <c r="B49" s="601" t="s">
        <v>107</v>
      </c>
      <c r="C49" s="602"/>
      <c r="D49" s="603"/>
      <c r="E49" s="604">
        <v>8219.5993149394908</v>
      </c>
      <c r="F49" s="604">
        <f>'[10]Prod &amp; Defects - Costs'!S49</f>
        <v>8120.162911693199</v>
      </c>
      <c r="G49" s="605">
        <v>270.79141379360385</v>
      </c>
      <c r="H49" s="605">
        <v>413.59844758183607</v>
      </c>
      <c r="I49" s="605">
        <v>381.68047232978319</v>
      </c>
      <c r="J49" s="605">
        <v>317.01315314740407</v>
      </c>
      <c r="K49" s="605">
        <v>243.41513407161946</v>
      </c>
      <c r="L49" s="605">
        <v>240.63261234291937</v>
      </c>
      <c r="M49" s="605">
        <v>288.1497316804905</v>
      </c>
      <c r="N49" s="605">
        <v>335.08308870678388</v>
      </c>
      <c r="O49" s="605">
        <v>195.34336249366581</v>
      </c>
      <c r="P49" s="605">
        <v>191.17674941163983</v>
      </c>
      <c r="Q49" s="605">
        <v>238.4045673383095</v>
      </c>
      <c r="R49" s="605">
        <v>128.33895914598304</v>
      </c>
      <c r="S49" s="497">
        <f t="shared" ref="S49:S56" si="12">SUM(G49:R49)</f>
        <v>3243.6276920440387</v>
      </c>
      <c r="T49" s="579"/>
      <c r="U49" s="579"/>
      <c r="V49" s="579"/>
    </row>
    <row r="50" spans="1:22">
      <c r="A50" s="745"/>
      <c r="B50" s="601" t="s">
        <v>105</v>
      </c>
      <c r="C50" s="602"/>
      <c r="D50" s="603"/>
      <c r="E50" s="604">
        <v>19092.566245119131</v>
      </c>
      <c r="F50" s="604">
        <f>'[10]Prod &amp; Defects - Costs'!S50</f>
        <v>23388.137766394648</v>
      </c>
      <c r="G50" s="605">
        <v>1632.0671696209097</v>
      </c>
      <c r="H50" s="605">
        <v>2492.7690219121473</v>
      </c>
      <c r="I50" s="605">
        <v>2300.3985224200446</v>
      </c>
      <c r="J50" s="605">
        <v>1910.6468419424625</v>
      </c>
      <c r="K50" s="605">
        <v>1467.0695918370579</v>
      </c>
      <c r="L50" s="605">
        <v>1450.2992581748924</v>
      </c>
      <c r="M50" s="605">
        <v>1736.6862206689023</v>
      </c>
      <c r="N50" s="605">
        <v>2019.5548319354812</v>
      </c>
      <c r="O50" s="605">
        <v>1177.3397252996615</v>
      </c>
      <c r="P50" s="605">
        <v>1152.2274356431267</v>
      </c>
      <c r="Q50" s="605">
        <v>1436.8707707146762</v>
      </c>
      <c r="R50" s="605">
        <v>773.50237539335728</v>
      </c>
      <c r="S50" s="497">
        <f t="shared" si="12"/>
        <v>19549.431765562716</v>
      </c>
      <c r="T50" s="579"/>
      <c r="U50" s="579"/>
      <c r="V50" s="579"/>
    </row>
    <row r="51" spans="1:22">
      <c r="A51" s="746"/>
      <c r="B51" s="606" t="s">
        <v>128</v>
      </c>
      <c r="C51" s="602"/>
      <c r="D51" s="603"/>
      <c r="E51" s="604">
        <v>4255.0474268764328</v>
      </c>
      <c r="F51" s="604">
        <f>'[10]Prod &amp; Defects - Costs'!S51</f>
        <v>2869.2472979353843</v>
      </c>
      <c r="G51" s="605">
        <v>536.70370301434991</v>
      </c>
      <c r="H51" s="605">
        <v>819.7446708829184</v>
      </c>
      <c r="I51" s="605">
        <v>756.48381903200266</v>
      </c>
      <c r="J51" s="605">
        <v>628.31435758944951</v>
      </c>
      <c r="K51" s="605">
        <v>482.4444098716782</v>
      </c>
      <c r="L51" s="605">
        <v>476.92950194092128</v>
      </c>
      <c r="M51" s="605">
        <v>571.10757630367482</v>
      </c>
      <c r="N51" s="605">
        <v>664.12864428371574</v>
      </c>
      <c r="O51" s="605">
        <v>387.16702476222054</v>
      </c>
      <c r="P51" s="605">
        <v>378.90887270775465</v>
      </c>
      <c r="Q51" s="605">
        <v>472.51355688673954</v>
      </c>
      <c r="R51" s="605">
        <v>254.36550461366008</v>
      </c>
      <c r="S51" s="497">
        <f t="shared" si="12"/>
        <v>6428.8116418890859</v>
      </c>
      <c r="T51" s="579"/>
      <c r="U51" s="579"/>
      <c r="V51" s="579"/>
    </row>
    <row r="52" spans="1:22">
      <c r="A52" s="744" t="s">
        <v>224</v>
      </c>
      <c r="B52" s="606" t="s">
        <v>107</v>
      </c>
      <c r="C52" s="602"/>
      <c r="D52" s="603"/>
      <c r="E52" s="604">
        <v>135.42929565357497</v>
      </c>
      <c r="F52" s="604">
        <f>'[10]Prod &amp; Defects - Costs'!S52</f>
        <v>142.26864696000001</v>
      </c>
      <c r="G52" s="605">
        <v>5.2724510764481254</v>
      </c>
      <c r="H52" s="605">
        <v>7.8546384988066622</v>
      </c>
      <c r="I52" s="605">
        <v>6.6559761316566979</v>
      </c>
      <c r="J52" s="605">
        <v>4.3805762506800008</v>
      </c>
      <c r="K52" s="605">
        <v>12.035676021782947</v>
      </c>
      <c r="L52" s="605">
        <v>10.515166103405557</v>
      </c>
      <c r="M52" s="605">
        <v>15.867130772080447</v>
      </c>
      <c r="N52" s="605">
        <v>10.224217257451379</v>
      </c>
      <c r="O52" s="605">
        <v>3.4137902969429463</v>
      </c>
      <c r="P52" s="605">
        <v>8.970988113692302</v>
      </c>
      <c r="Q52" s="605">
        <v>18.261645721015984</v>
      </c>
      <c r="R52" s="605">
        <v>0</v>
      </c>
      <c r="S52" s="497">
        <f t="shared" si="12"/>
        <v>103.45225624396303</v>
      </c>
      <c r="T52" s="579"/>
      <c r="U52" s="579"/>
      <c r="V52" s="579"/>
    </row>
    <row r="53" spans="1:22">
      <c r="A53" s="745"/>
      <c r="B53" s="606" t="s">
        <v>105</v>
      </c>
      <c r="C53" s="602"/>
      <c r="D53" s="603"/>
      <c r="E53" s="604">
        <v>324.13854639378576</v>
      </c>
      <c r="F53" s="604">
        <f>'[10]Prod &amp; Defects - Costs'!S53</f>
        <v>394.01348949999999</v>
      </c>
      <c r="G53" s="605">
        <v>31.439430492894374</v>
      </c>
      <c r="H53" s="605">
        <v>46.836918455847133</v>
      </c>
      <c r="I53" s="605">
        <v>39.689339155434382</v>
      </c>
      <c r="J53" s="605">
        <v>26.121213939240004</v>
      </c>
      <c r="K53" s="605">
        <v>71.768290352113127</v>
      </c>
      <c r="L53" s="605">
        <v>62.701546024010909</v>
      </c>
      <c r="M53" s="605">
        <v>94.615113122405617</v>
      </c>
      <c r="N53" s="605">
        <v>60.966628831469329</v>
      </c>
      <c r="O53" s="605">
        <v>20.356305103993126</v>
      </c>
      <c r="P53" s="605">
        <v>53.493669863128169</v>
      </c>
      <c r="Q53" s="605">
        <v>108.89351707716938</v>
      </c>
      <c r="R53" s="605">
        <v>0</v>
      </c>
      <c r="S53" s="497">
        <f t="shared" si="12"/>
        <v>616.88197241770558</v>
      </c>
      <c r="T53" s="579"/>
      <c r="U53" s="579"/>
      <c r="V53" s="579"/>
    </row>
    <row r="54" spans="1:22">
      <c r="A54" s="745"/>
      <c r="B54" s="606" t="s">
        <v>128</v>
      </c>
      <c r="C54" s="602"/>
      <c r="D54" s="603"/>
      <c r="E54" s="604">
        <v>282.98039449999999</v>
      </c>
      <c r="F54" s="604">
        <f>'[10]Prod &amp; Defects - Costs'!S54</f>
        <v>86.875810799999996</v>
      </c>
      <c r="G54" s="605">
        <v>10.349626187101874</v>
      </c>
      <c r="H54" s="605">
        <v>15.418364460620484</v>
      </c>
      <c r="I54" s="605">
        <v>13.065434628807592</v>
      </c>
      <c r="J54" s="605">
        <v>8.5989089365200009</v>
      </c>
      <c r="K54" s="605">
        <v>23.62558626498134</v>
      </c>
      <c r="L54" s="605">
        <v>20.640881610388686</v>
      </c>
      <c r="M54" s="605">
        <v>31.14659003408384</v>
      </c>
      <c r="N54" s="605">
        <v>20.069759801663817</v>
      </c>
      <c r="O54" s="605">
        <v>6.7011439162213398</v>
      </c>
      <c r="P54" s="605">
        <v>17.609717408358961</v>
      </c>
      <c r="Q54" s="605">
        <v>35.846934193105447</v>
      </c>
      <c r="R54" s="605">
        <v>0</v>
      </c>
      <c r="S54" s="497">
        <f t="shared" si="12"/>
        <v>203.07294744185339</v>
      </c>
      <c r="T54" s="579"/>
      <c r="U54" s="579"/>
      <c r="V54" s="579"/>
    </row>
    <row r="55" spans="1:22">
      <c r="A55" s="745"/>
      <c r="B55" s="606" t="s">
        <v>115</v>
      </c>
      <c r="C55" s="602"/>
      <c r="D55" s="603"/>
      <c r="E55" s="604">
        <v>85.744332111448244</v>
      </c>
      <c r="F55" s="604">
        <f>'[10]Prod &amp; Defects - Costs'!S55</f>
        <v>126.121125737</v>
      </c>
      <c r="G55" s="605">
        <v>4.8818991448593749</v>
      </c>
      <c r="H55" s="605">
        <v>7.272813424820983</v>
      </c>
      <c r="I55" s="605">
        <v>6.1629408626450903</v>
      </c>
      <c r="J55" s="605">
        <v>4.0560891210000003</v>
      </c>
      <c r="K55" s="605">
        <v>11.14414446461384</v>
      </c>
      <c r="L55" s="605">
        <v>9.7362649105607009</v>
      </c>
      <c r="M55" s="605">
        <v>14.691787751926338</v>
      </c>
      <c r="N55" s="605">
        <v>9.4668678309734986</v>
      </c>
      <c r="O55" s="605">
        <v>3.1609169416138392</v>
      </c>
      <c r="P55" s="605">
        <v>8.306470475641019</v>
      </c>
      <c r="Q55" s="605">
        <v>16.908931223162948</v>
      </c>
      <c r="R55" s="605">
        <v>0</v>
      </c>
      <c r="S55" s="497">
        <f t="shared" si="12"/>
        <v>95.789126151817626</v>
      </c>
      <c r="T55" s="579"/>
      <c r="U55" s="579"/>
      <c r="V55" s="579"/>
    </row>
    <row r="56" spans="1:22" ht="13.5" thickBot="1">
      <c r="A56" s="747"/>
      <c r="B56" s="607" t="s">
        <v>225</v>
      </c>
      <c r="C56" s="312"/>
      <c r="D56" s="299"/>
      <c r="E56" s="608">
        <v>617.60189713392504</v>
      </c>
      <c r="F56" s="608">
        <f>'[10]Prod &amp; Defects - Costs'!S56</f>
        <v>1416.3514</v>
      </c>
      <c r="G56" s="609">
        <v>13.148581696821251</v>
      </c>
      <c r="H56" s="609">
        <v>19.588110824184515</v>
      </c>
      <c r="I56" s="609">
        <v>16.598854056724111</v>
      </c>
      <c r="J56" s="609">
        <v>10.924400032560001</v>
      </c>
      <c r="K56" s="609">
        <v>30.014895758026611</v>
      </c>
      <c r="L56" s="609">
        <v>26.223006825776821</v>
      </c>
      <c r="M56" s="609">
        <v>39.569881678521611</v>
      </c>
      <c r="N56" s="609">
        <v>25.497430691421958</v>
      </c>
      <c r="O56" s="609">
        <v>8.513402962746607</v>
      </c>
      <c r="P56" s="609">
        <v>22.372093814393146</v>
      </c>
      <c r="Q56" s="609">
        <v>45.541388094385539</v>
      </c>
      <c r="R56" s="609">
        <v>0</v>
      </c>
      <c r="S56" s="303">
        <f t="shared" si="12"/>
        <v>257.99204643556214</v>
      </c>
      <c r="T56" s="579"/>
      <c r="U56" s="579"/>
      <c r="V56" s="579"/>
    </row>
    <row r="57" spans="1:22">
      <c r="A57"/>
      <c r="B57"/>
      <c r="C57"/>
      <c r="D57" s="220"/>
      <c r="E57" s="632">
        <v>2788.5146285671999</v>
      </c>
      <c r="F57" s="611">
        <f>'[10]Prod &amp; Defects - Costs'!S57</f>
        <v>7007.1930285372</v>
      </c>
      <c r="G57" s="610" t="e">
        <f t="shared" ref="G57:L57" si="13">SUM(G44:G56)</f>
        <v>#N/A</v>
      </c>
      <c r="H57" s="610" t="e">
        <f t="shared" si="13"/>
        <v>#N/A</v>
      </c>
      <c r="I57" s="610" t="e">
        <f t="shared" si="13"/>
        <v>#N/A</v>
      </c>
      <c r="J57" s="610" t="e">
        <f t="shared" si="13"/>
        <v>#N/A</v>
      </c>
      <c r="K57" s="610" t="e">
        <f t="shared" si="13"/>
        <v>#N/A</v>
      </c>
      <c r="L57" s="610" t="e">
        <f t="shared" si="13"/>
        <v>#N/A</v>
      </c>
      <c r="M57" s="610">
        <f t="shared" ref="M57:S57" si="14">SUM(M48)</f>
        <v>431.43076038359641</v>
      </c>
      <c r="N57" s="610">
        <f t="shared" si="14"/>
        <v>415.96710259988953</v>
      </c>
      <c r="O57" s="610">
        <f t="shared" si="14"/>
        <v>300.48562334689041</v>
      </c>
      <c r="P57" s="610">
        <f t="shared" si="14"/>
        <v>243.07159840886999</v>
      </c>
      <c r="Q57" s="610">
        <f t="shared" si="14"/>
        <v>247.37792470539739</v>
      </c>
      <c r="R57" s="610">
        <f t="shared" si="14"/>
        <v>268.46764127433977</v>
      </c>
      <c r="S57" s="610">
        <f t="shared" si="14"/>
        <v>3743.1292073027885</v>
      </c>
      <c r="T57" s="579" t="e">
        <f>SUM(G57:L57)/SUM(G10:L10)</f>
        <v>#N/A</v>
      </c>
      <c r="U57" s="579" t="e">
        <f>SUM(M57:R57)/SUM(M10:R10)</f>
        <v>#N/A</v>
      </c>
      <c r="V57" s="579" t="e">
        <f>S57/S10</f>
        <v>#N/A</v>
      </c>
    </row>
  </sheetData>
  <sheetProtection formatCells="0"/>
  <mergeCells count="9">
    <mergeCell ref="A48:B48"/>
    <mergeCell ref="A49:A51"/>
    <mergeCell ref="A52:A56"/>
    <mergeCell ref="A34:B40"/>
    <mergeCell ref="O3:R3"/>
    <mergeCell ref="A44:B44"/>
    <mergeCell ref="A45:B45"/>
    <mergeCell ref="A46:B46"/>
    <mergeCell ref="A47:B47"/>
  </mergeCells>
  <printOptions horizontalCentered="1" gridLinesSet="0"/>
  <pageMargins left="0.39370078740157483" right="0.39370078740157483" top="0.78740157480314965" bottom="0.39370078740157483" header="0.51181102362204722" footer="0.51181102362204722"/>
  <pageSetup paperSize="9" scale="57" orientation="landscape" r:id="rId1"/>
  <headerFooter alignWithMargins="0">
    <oddFooter>&amp;L&amp;A&amp;R&amp;F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indexed="56"/>
    <pageSetUpPr fitToPage="1"/>
  </sheetPr>
  <dimension ref="A1:AB74"/>
  <sheetViews>
    <sheetView showGridLines="0" zoomScaleNormal="100" zoomScaleSheetLayoutView="100" workbookViewId="0">
      <pane xSplit="4" ySplit="5" topLeftCell="E55" activePane="bottomRight" state="frozen"/>
      <selection activeCell="H25" sqref="H25"/>
      <selection pane="topRight" activeCell="H25" sqref="H25"/>
      <selection pane="bottomLeft" activeCell="H25" sqref="H25"/>
      <selection pane="bottomRight" activeCell="E58" sqref="E58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8.7109375" style="1" bestFit="1" customWidth="1"/>
    <col min="6" max="6" width="9.7109375" style="250" customWidth="1"/>
    <col min="7" max="17" width="11.42578125" style="250"/>
    <col min="18" max="16384" width="11.42578125" style="1"/>
  </cols>
  <sheetData>
    <row r="1" spans="1:28" ht="18" customHeight="1">
      <c r="A1" s="756" t="s">
        <v>58</v>
      </c>
      <c r="B1" s="756"/>
      <c r="C1" s="756"/>
      <c r="D1" s="756"/>
      <c r="E1" s="756"/>
      <c r="F1" s="756"/>
    </row>
    <row r="2" spans="1:28" ht="18" customHeight="1">
      <c r="A2" s="17"/>
      <c r="B2" s="17"/>
      <c r="C2" s="17"/>
      <c r="D2" s="17"/>
      <c r="E2" s="17"/>
      <c r="F2" s="236"/>
    </row>
    <row r="3" spans="1:28" ht="9.9499999999999993" customHeight="1" thickBot="1">
      <c r="A3" s="17"/>
      <c r="B3" s="17"/>
      <c r="C3" s="17"/>
      <c r="D3" s="17"/>
      <c r="E3" s="17"/>
      <c r="F3" s="236"/>
    </row>
    <row r="4" spans="1:28" ht="25.5">
      <c r="A4" s="16"/>
      <c r="B4" s="15"/>
      <c r="C4" s="765" t="s">
        <v>57</v>
      </c>
      <c r="D4" s="766"/>
      <c r="E4" s="570" t="s">
        <v>217</v>
      </c>
      <c r="F4" s="237" t="s">
        <v>56</v>
      </c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68" t="s">
        <v>55</v>
      </c>
      <c r="S4" s="13"/>
      <c r="T4" s="12" t="s">
        <v>54</v>
      </c>
      <c r="U4" s="13"/>
      <c r="V4" s="12" t="s">
        <v>1</v>
      </c>
      <c r="W4" s="11"/>
      <c r="X4" s="68" t="s">
        <v>55</v>
      </c>
      <c r="Y4" s="11" t="s">
        <v>54</v>
      </c>
      <c r="Z4" s="68" t="s">
        <v>53</v>
      </c>
      <c r="AA4" s="11" t="s">
        <v>52</v>
      </c>
    </row>
    <row r="5" spans="1:28" ht="18" customHeight="1" thickBot="1">
      <c r="A5" s="10"/>
      <c r="B5" s="9"/>
      <c r="C5" s="8" t="s">
        <v>51</v>
      </c>
      <c r="D5" s="25" t="s">
        <v>50</v>
      </c>
      <c r="E5" s="26">
        <v>2022</v>
      </c>
      <c r="F5" s="238">
        <v>43922</v>
      </c>
      <c r="G5" s="238">
        <v>43952</v>
      </c>
      <c r="H5" s="238">
        <v>43983</v>
      </c>
      <c r="I5" s="238">
        <v>44013</v>
      </c>
      <c r="J5" s="238">
        <v>44044</v>
      </c>
      <c r="K5" s="238">
        <v>44075</v>
      </c>
      <c r="L5" s="238">
        <v>44105</v>
      </c>
      <c r="M5" s="238">
        <v>44136</v>
      </c>
      <c r="N5" s="238">
        <v>44166</v>
      </c>
      <c r="O5" s="238">
        <v>44197</v>
      </c>
      <c r="P5" s="238">
        <v>44228</v>
      </c>
      <c r="Q5" s="238">
        <v>44256</v>
      </c>
      <c r="R5" s="69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5" t="s">
        <v>48</v>
      </c>
      <c r="X5" s="69"/>
      <c r="Y5" s="5"/>
      <c r="Z5" s="69"/>
      <c r="AA5" s="503">
        <v>2021</v>
      </c>
    </row>
    <row r="6" spans="1:28" ht="18" customHeight="1" thickTop="1">
      <c r="A6" s="759" t="s">
        <v>47</v>
      </c>
      <c r="B6" s="754" t="s">
        <v>20</v>
      </c>
      <c r="C6" s="30">
        <v>1010</v>
      </c>
      <c r="D6" s="31" t="s">
        <v>46</v>
      </c>
      <c r="E6" s="52">
        <f>'[3]Falhas UM-1 - Qty'!AA6</f>
        <v>31.765063558675696</v>
      </c>
      <c r="F6" s="252" t="e">
        <f>INT($E6/1000000*'Prod &amp; Defects - Qty'!G$5)</f>
        <v>#N/A</v>
      </c>
      <c r="G6" s="252" t="e">
        <f>INT($E6/1000000*'Prod &amp; Defects - Qty'!H$5)</f>
        <v>#N/A</v>
      </c>
      <c r="H6" s="252" t="e">
        <f>INT($E6/1000000*'Prod &amp; Defects - Qty'!I$5)</f>
        <v>#N/A</v>
      </c>
      <c r="I6" s="252" t="e">
        <f>INT($E6/1000000*'Prod &amp; Defects - Qty'!J$5)</f>
        <v>#N/A</v>
      </c>
      <c r="J6" s="252" t="e">
        <f>INT($E6/1000000*'Prod &amp; Defects - Qty'!K$5)</f>
        <v>#N/A</v>
      </c>
      <c r="K6" s="252" t="e">
        <f>INT($E6/1000000*'Prod &amp; Defects - Qty'!L$5)</f>
        <v>#N/A</v>
      </c>
      <c r="L6" s="252" t="e">
        <f>INT($E6/1000000*'Prod &amp; Defects - Qty'!M$5)</f>
        <v>#N/A</v>
      </c>
      <c r="M6" s="252" t="e">
        <f>INT($E6/1000000*'Prod &amp; Defects - Qty'!N$5)</f>
        <v>#N/A</v>
      </c>
      <c r="N6" s="252" t="e">
        <f>INT($E6/1000000*'Prod &amp; Defects - Qty'!O$5)</f>
        <v>#N/A</v>
      </c>
      <c r="O6" s="252" t="e">
        <f>INT($E6/1000000*'Prod &amp; Defects - Qty'!P$5)</f>
        <v>#N/A</v>
      </c>
      <c r="P6" s="252" t="e">
        <f>INT($E6/1000000*'Prod &amp; Defects - Qty'!Q$5)</f>
        <v>#N/A</v>
      </c>
      <c r="Q6" s="253" t="e">
        <f>INT($E6/1000000*'Prod &amp; Defects - Qty'!R$5)</f>
        <v>#N/A</v>
      </c>
      <c r="R6" s="322" t="e">
        <f>SUM(F6:K6)</f>
        <v>#N/A</v>
      </c>
      <c r="S6" s="239" t="e">
        <f>R6/SUM('Prod &amp; Defects - Qty'!$G$5:$L$5)*1000000</f>
        <v>#N/A</v>
      </c>
      <c r="T6" s="239" t="e">
        <f>SUM(L6:Q6)</f>
        <v>#N/A</v>
      </c>
      <c r="U6" s="239" t="e">
        <f>T6/SUM('Prod &amp; Defects - Qty'!$M$5:$R$5)*1000000</f>
        <v>#N/A</v>
      </c>
      <c r="V6" s="239" t="e">
        <f>R6+T6</f>
        <v>#N/A</v>
      </c>
      <c r="W6" s="323" t="e">
        <f>V6/'Prod &amp; Defects - Qty'!$S$5*1000000</f>
        <v>#N/A</v>
      </c>
      <c r="X6" s="336" t="e">
        <f t="shared" ref="X6:X37" si="0">INT(W6*$AB$6)</f>
        <v>#N/A</v>
      </c>
      <c r="Y6" s="337" t="e">
        <f t="shared" ref="Y6:Y37" si="1">INT(W6*$AB$6)</f>
        <v>#N/A</v>
      </c>
      <c r="Z6" s="322" t="e">
        <f t="shared" ref="Z6:Z37" si="2">(X6+Y6)/2</f>
        <v>#N/A</v>
      </c>
      <c r="AA6" s="323" t="e">
        <f>Z6*$AB$6</f>
        <v>#N/A</v>
      </c>
      <c r="AB6" s="27">
        <v>0.98499999999999999</v>
      </c>
    </row>
    <row r="7" spans="1:28" ht="18" customHeight="1">
      <c r="A7" s="760"/>
      <c r="B7" s="754"/>
      <c r="C7" s="30">
        <v>1020</v>
      </c>
      <c r="D7" s="31" t="s">
        <v>45</v>
      </c>
      <c r="E7" s="52">
        <f>'[3]Falhas UM-1 - Qty'!AA7</f>
        <v>70.029266824269456</v>
      </c>
      <c r="F7" s="252" t="e">
        <f>INT($E7/1000000*'Prod &amp; Defects - Qty'!G$5)</f>
        <v>#N/A</v>
      </c>
      <c r="G7" s="252" t="e">
        <f>INT($E7/1000000*'Prod &amp; Defects - Qty'!H$5)</f>
        <v>#N/A</v>
      </c>
      <c r="H7" s="252" t="e">
        <f>INT($E7/1000000*'Prod &amp; Defects - Qty'!I$5)</f>
        <v>#N/A</v>
      </c>
      <c r="I7" s="252" t="e">
        <f>INT($E7/1000000*'Prod &amp; Defects - Qty'!J$5)</f>
        <v>#N/A</v>
      </c>
      <c r="J7" s="252" t="e">
        <f>INT($E7/1000000*'Prod &amp; Defects - Qty'!K$5)</f>
        <v>#N/A</v>
      </c>
      <c r="K7" s="252" t="e">
        <f>INT($E7/1000000*'Prod &amp; Defects - Qty'!L$5)</f>
        <v>#N/A</v>
      </c>
      <c r="L7" s="252" t="e">
        <f>INT($E7/1000000*'Prod &amp; Defects - Qty'!M$5)</f>
        <v>#N/A</v>
      </c>
      <c r="M7" s="252" t="e">
        <f>INT($E7/1000000*'Prod &amp; Defects - Qty'!N$5)</f>
        <v>#N/A</v>
      </c>
      <c r="N7" s="252" t="e">
        <f>INT($E7/1000000*'Prod &amp; Defects - Qty'!O$5)</f>
        <v>#N/A</v>
      </c>
      <c r="O7" s="252" t="e">
        <f>INT($E7/1000000*'Prod &amp; Defects - Qty'!P$5)</f>
        <v>#N/A</v>
      </c>
      <c r="P7" s="252" t="e">
        <f>INT($E7/1000000*'Prod &amp; Defects - Qty'!Q$5)</f>
        <v>#N/A</v>
      </c>
      <c r="Q7" s="253" t="e">
        <f>INT($E7/1000000*'Prod &amp; Defects - Qty'!R$5)</f>
        <v>#N/A</v>
      </c>
      <c r="R7" s="322" t="e">
        <f t="shared" ref="R7:R57" si="3">SUM(F7:K7)</f>
        <v>#N/A</v>
      </c>
      <c r="S7" s="239" t="e">
        <f>R7/SUM('Prod &amp; Defects - Qty'!$G$5:$L$5)*1000000</f>
        <v>#N/A</v>
      </c>
      <c r="T7" s="239" t="e">
        <f t="shared" ref="T7:T61" si="4">SUM(L7:Q7)</f>
        <v>#N/A</v>
      </c>
      <c r="U7" s="239" t="e">
        <f>T7/SUM('Prod &amp; Defects - Qty'!$M$5:$R$5)*1000000</f>
        <v>#N/A</v>
      </c>
      <c r="V7" s="239" t="e">
        <f t="shared" ref="V7:V61" si="5">R7+T7</f>
        <v>#N/A</v>
      </c>
      <c r="W7" s="323" t="e">
        <f>V7/'Prod &amp; Defects - Qty'!$S$5*1000000</f>
        <v>#N/A</v>
      </c>
      <c r="X7" s="336" t="e">
        <f t="shared" si="0"/>
        <v>#N/A</v>
      </c>
      <c r="Y7" s="337" t="e">
        <f t="shared" si="1"/>
        <v>#N/A</v>
      </c>
      <c r="Z7" s="322" t="e">
        <f t="shared" si="2"/>
        <v>#N/A</v>
      </c>
      <c r="AA7" s="323" t="e">
        <f t="shared" ref="AA7:AA60" si="6">Z7*$AB$6</f>
        <v>#N/A</v>
      </c>
    </row>
    <row r="8" spans="1:28" ht="18" customHeight="1">
      <c r="A8" s="760"/>
      <c r="B8" s="754"/>
      <c r="C8" s="30">
        <v>1030</v>
      </c>
      <c r="D8" s="31" t="s">
        <v>44</v>
      </c>
      <c r="E8" s="52">
        <f>'[3]Falhas UM-1 - Qty'!AA8</f>
        <v>486.62297133754288</v>
      </c>
      <c r="F8" s="252" t="e">
        <f>INT($E8/1000000*'Prod &amp; Defects - Qty'!G$5)</f>
        <v>#N/A</v>
      </c>
      <c r="G8" s="252" t="e">
        <f>INT($E8/1000000*'Prod &amp; Defects - Qty'!H$5)</f>
        <v>#N/A</v>
      </c>
      <c r="H8" s="252" t="e">
        <f>INT($E8/1000000*'Prod &amp; Defects - Qty'!I$5)</f>
        <v>#N/A</v>
      </c>
      <c r="I8" s="252" t="e">
        <f>INT($E8/1000000*'Prod &amp; Defects - Qty'!J$5)</f>
        <v>#N/A</v>
      </c>
      <c r="J8" s="252" t="e">
        <f>INT($E8/1000000*'Prod &amp; Defects - Qty'!K$5)</f>
        <v>#N/A</v>
      </c>
      <c r="K8" s="252" t="e">
        <f>INT($E8/1000000*'Prod &amp; Defects - Qty'!L$5)</f>
        <v>#N/A</v>
      </c>
      <c r="L8" s="252" t="e">
        <f>INT($E8/1000000*'Prod &amp; Defects - Qty'!M$5)</f>
        <v>#N/A</v>
      </c>
      <c r="M8" s="252" t="e">
        <f>INT($E8/1000000*'Prod &amp; Defects - Qty'!N$5)</f>
        <v>#N/A</v>
      </c>
      <c r="N8" s="252" t="e">
        <f>INT($E8/1000000*'Prod &amp; Defects - Qty'!O$5)</f>
        <v>#N/A</v>
      </c>
      <c r="O8" s="252" t="e">
        <f>INT($E8/1000000*'Prod &amp; Defects - Qty'!P$5)</f>
        <v>#N/A</v>
      </c>
      <c r="P8" s="252" t="e">
        <f>INT($E8/1000000*'Prod &amp; Defects - Qty'!Q$5)</f>
        <v>#N/A</v>
      </c>
      <c r="Q8" s="253" t="e">
        <f>INT($E8/1000000*'Prod &amp; Defects - Qty'!R$5)</f>
        <v>#N/A</v>
      </c>
      <c r="R8" s="322" t="e">
        <f t="shared" si="3"/>
        <v>#N/A</v>
      </c>
      <c r="S8" s="239" t="e">
        <f>R8/SUM('Prod &amp; Defects - Qty'!$G$5:$L$5)*1000000</f>
        <v>#N/A</v>
      </c>
      <c r="T8" s="239" t="e">
        <f t="shared" si="4"/>
        <v>#N/A</v>
      </c>
      <c r="U8" s="239" t="e">
        <f>T8/SUM('Prod &amp; Defects - Qty'!$M$5:$R$5)*1000000</f>
        <v>#N/A</v>
      </c>
      <c r="V8" s="239" t="e">
        <f t="shared" si="5"/>
        <v>#N/A</v>
      </c>
      <c r="W8" s="323" t="e">
        <f>V8/'Prod &amp; Defects - Qty'!$S$5*1000000</f>
        <v>#N/A</v>
      </c>
      <c r="X8" s="336" t="e">
        <f t="shared" si="0"/>
        <v>#N/A</v>
      </c>
      <c r="Y8" s="337" t="e">
        <f t="shared" si="1"/>
        <v>#N/A</v>
      </c>
      <c r="Z8" s="322" t="e">
        <f t="shared" si="2"/>
        <v>#N/A</v>
      </c>
      <c r="AA8" s="323" t="e">
        <f t="shared" si="6"/>
        <v>#N/A</v>
      </c>
    </row>
    <row r="9" spans="1:28" ht="18" customHeight="1">
      <c r="A9" s="760"/>
      <c r="B9" s="754"/>
      <c r="C9" s="30">
        <v>1040</v>
      </c>
      <c r="D9" s="31" t="s">
        <v>43</v>
      </c>
      <c r="E9" s="52">
        <f>'[3]Falhas UM-1 - Qty'!AA9</f>
        <v>18.972395292903848</v>
      </c>
      <c r="F9" s="252" t="e">
        <f>INT($E9/1000000*'Prod &amp; Defects - Qty'!G$5)</f>
        <v>#N/A</v>
      </c>
      <c r="G9" s="252" t="e">
        <f>INT($E9/1000000*'Prod &amp; Defects - Qty'!H$5)</f>
        <v>#N/A</v>
      </c>
      <c r="H9" s="252" t="e">
        <f>INT($E9/1000000*'Prod &amp; Defects - Qty'!I$5)</f>
        <v>#N/A</v>
      </c>
      <c r="I9" s="252" t="e">
        <f>INT($E9/1000000*'Prod &amp; Defects - Qty'!J$5)</f>
        <v>#N/A</v>
      </c>
      <c r="J9" s="252" t="e">
        <f>INT($E9/1000000*'Prod &amp; Defects - Qty'!K$5)</f>
        <v>#N/A</v>
      </c>
      <c r="K9" s="252" t="e">
        <f>INT($E9/1000000*'Prod &amp; Defects - Qty'!L$5)</f>
        <v>#N/A</v>
      </c>
      <c r="L9" s="252" t="e">
        <f>INT($E9/1000000*'Prod &amp; Defects - Qty'!M$5)</f>
        <v>#N/A</v>
      </c>
      <c r="M9" s="252" t="e">
        <f>INT($E9/1000000*'Prod &amp; Defects - Qty'!N$5)</f>
        <v>#N/A</v>
      </c>
      <c r="N9" s="252" t="e">
        <f>INT($E9/1000000*'Prod &amp; Defects - Qty'!O$5)</f>
        <v>#N/A</v>
      </c>
      <c r="O9" s="252" t="e">
        <f>INT($E9/1000000*'Prod &amp; Defects - Qty'!P$5)</f>
        <v>#N/A</v>
      </c>
      <c r="P9" s="252" t="e">
        <f>INT($E9/1000000*'Prod &amp; Defects - Qty'!Q$5)</f>
        <v>#N/A</v>
      </c>
      <c r="Q9" s="253" t="e">
        <f>INT($E9/1000000*'Prod &amp; Defects - Qty'!R$5)</f>
        <v>#N/A</v>
      </c>
      <c r="R9" s="322" t="e">
        <f t="shared" si="3"/>
        <v>#N/A</v>
      </c>
      <c r="S9" s="239" t="e">
        <f>R9/SUM('Prod &amp; Defects - Qty'!$G$5:$L$5)*1000000</f>
        <v>#N/A</v>
      </c>
      <c r="T9" s="239" t="e">
        <f t="shared" si="4"/>
        <v>#N/A</v>
      </c>
      <c r="U9" s="239" t="e">
        <f>T9/SUM('Prod &amp; Defects - Qty'!$M$5:$R$5)*1000000</f>
        <v>#N/A</v>
      </c>
      <c r="V9" s="239" t="e">
        <f t="shared" si="5"/>
        <v>#N/A</v>
      </c>
      <c r="W9" s="323" t="e">
        <f>V9/'Prod &amp; Defects - Qty'!$S$5*1000000</f>
        <v>#N/A</v>
      </c>
      <c r="X9" s="336" t="e">
        <f t="shared" si="0"/>
        <v>#N/A</v>
      </c>
      <c r="Y9" s="337" t="e">
        <f t="shared" si="1"/>
        <v>#N/A</v>
      </c>
      <c r="Z9" s="322" t="e">
        <f t="shared" si="2"/>
        <v>#N/A</v>
      </c>
      <c r="AA9" s="323" t="e">
        <f t="shared" si="6"/>
        <v>#N/A</v>
      </c>
    </row>
    <row r="10" spans="1:28" ht="18" customHeight="1">
      <c r="A10" s="760"/>
      <c r="B10" s="754"/>
      <c r="C10" s="30">
        <v>1050</v>
      </c>
      <c r="D10" s="31" t="s">
        <v>42</v>
      </c>
      <c r="E10" s="52">
        <f>'[3]Falhas UM-1 - Qty'!AA10</f>
        <v>2.5094699496649988</v>
      </c>
      <c r="F10" s="252" t="e">
        <f>INT($E10/1000000*'Prod &amp; Defects - Qty'!G$5)</f>
        <v>#N/A</v>
      </c>
      <c r="G10" s="252" t="e">
        <f>INT($E10/1000000*'Prod &amp; Defects - Qty'!H$5)</f>
        <v>#N/A</v>
      </c>
      <c r="H10" s="252" t="e">
        <f>INT($E10/1000000*'Prod &amp; Defects - Qty'!I$5)</f>
        <v>#N/A</v>
      </c>
      <c r="I10" s="252" t="e">
        <f>INT($E10/1000000*'Prod &amp; Defects - Qty'!J$5)</f>
        <v>#N/A</v>
      </c>
      <c r="J10" s="252" t="e">
        <f>INT($E10/1000000*'Prod &amp; Defects - Qty'!K$5)</f>
        <v>#N/A</v>
      </c>
      <c r="K10" s="252" t="e">
        <f>INT($E10/1000000*'Prod &amp; Defects - Qty'!L$5)</f>
        <v>#N/A</v>
      </c>
      <c r="L10" s="252" t="e">
        <f>INT($E10/1000000*'Prod &amp; Defects - Qty'!M$5)</f>
        <v>#N/A</v>
      </c>
      <c r="M10" s="252" t="e">
        <f>INT($E10/1000000*'Prod &amp; Defects - Qty'!N$5)</f>
        <v>#N/A</v>
      </c>
      <c r="N10" s="252" t="e">
        <f>INT($E10/1000000*'Prod &amp; Defects - Qty'!O$5)</f>
        <v>#N/A</v>
      </c>
      <c r="O10" s="252" t="e">
        <f>INT($E10/1000000*'Prod &amp; Defects - Qty'!P$5)</f>
        <v>#N/A</v>
      </c>
      <c r="P10" s="252" t="e">
        <f>INT($E10/1000000*'Prod &amp; Defects - Qty'!Q$5)</f>
        <v>#N/A</v>
      </c>
      <c r="Q10" s="253" t="e">
        <f>INT($E10/1000000*'Prod &amp; Defects - Qty'!R$5)</f>
        <v>#N/A</v>
      </c>
      <c r="R10" s="322" t="e">
        <f t="shared" si="3"/>
        <v>#N/A</v>
      </c>
      <c r="S10" s="239" t="e">
        <f>R10/SUM('Prod &amp; Defects - Qty'!$G$5:$L$5)*1000000</f>
        <v>#N/A</v>
      </c>
      <c r="T10" s="239" t="e">
        <f t="shared" si="4"/>
        <v>#N/A</v>
      </c>
      <c r="U10" s="239" t="e">
        <f>T10/SUM('Prod &amp; Defects - Qty'!$M$5:$R$5)*1000000</f>
        <v>#N/A</v>
      </c>
      <c r="V10" s="239" t="e">
        <f t="shared" si="5"/>
        <v>#N/A</v>
      </c>
      <c r="W10" s="323" t="e">
        <f>V10/'Prod &amp; Defects - Qty'!$S$5*1000000</f>
        <v>#N/A</v>
      </c>
      <c r="X10" s="336" t="e">
        <f t="shared" si="0"/>
        <v>#N/A</v>
      </c>
      <c r="Y10" s="337" t="e">
        <f t="shared" si="1"/>
        <v>#N/A</v>
      </c>
      <c r="Z10" s="322" t="e">
        <f t="shared" si="2"/>
        <v>#N/A</v>
      </c>
      <c r="AA10" s="323" t="e">
        <f t="shared" si="6"/>
        <v>#N/A</v>
      </c>
    </row>
    <row r="11" spans="1:28" ht="18" customHeight="1">
      <c r="A11" s="760"/>
      <c r="B11" s="754"/>
      <c r="C11" s="30">
        <v>1060</v>
      </c>
      <c r="D11" s="31" t="s">
        <v>41</v>
      </c>
      <c r="E11" s="52">
        <f>'[3]Falhas UM-1 - Qty'!AA11</f>
        <v>28.164600623519732</v>
      </c>
      <c r="F11" s="252" t="e">
        <f>INT($E11/1000000*'Prod &amp; Defects - Qty'!G$5)</f>
        <v>#N/A</v>
      </c>
      <c r="G11" s="252" t="e">
        <f>INT($E11/1000000*'Prod &amp; Defects - Qty'!H$5)</f>
        <v>#N/A</v>
      </c>
      <c r="H11" s="252" t="e">
        <f>INT($E11/1000000*'Prod &amp; Defects - Qty'!I$5)</f>
        <v>#N/A</v>
      </c>
      <c r="I11" s="252" t="e">
        <f>INT($E11/1000000*'Prod &amp; Defects - Qty'!J$5)</f>
        <v>#N/A</v>
      </c>
      <c r="J11" s="252" t="e">
        <f>INT($E11/1000000*'Prod &amp; Defects - Qty'!K$5)</f>
        <v>#N/A</v>
      </c>
      <c r="K11" s="252" t="e">
        <f>INT($E11/1000000*'Prod &amp; Defects - Qty'!L$5)</f>
        <v>#N/A</v>
      </c>
      <c r="L11" s="252" t="e">
        <f>INT($E11/1000000*'Prod &amp; Defects - Qty'!M$5)</f>
        <v>#N/A</v>
      </c>
      <c r="M11" s="252" t="e">
        <f>INT($E11/1000000*'Prod &amp; Defects - Qty'!N$5)</f>
        <v>#N/A</v>
      </c>
      <c r="N11" s="252" t="e">
        <f>INT($E11/1000000*'Prod &amp; Defects - Qty'!O$5)</f>
        <v>#N/A</v>
      </c>
      <c r="O11" s="252" t="e">
        <f>INT($E11/1000000*'Prod &amp; Defects - Qty'!P$5)</f>
        <v>#N/A</v>
      </c>
      <c r="P11" s="252" t="e">
        <f>INT($E11/1000000*'Prod &amp; Defects - Qty'!Q$5)</f>
        <v>#N/A</v>
      </c>
      <c r="Q11" s="253" t="e">
        <f>INT($E11/1000000*'Prod &amp; Defects - Qty'!R$5)</f>
        <v>#N/A</v>
      </c>
      <c r="R11" s="322" t="e">
        <f t="shared" si="3"/>
        <v>#N/A</v>
      </c>
      <c r="S11" s="239" t="e">
        <f>R11/SUM('Prod &amp; Defects - Qty'!$G$5:$L$5)*1000000</f>
        <v>#N/A</v>
      </c>
      <c r="T11" s="239" t="e">
        <f t="shared" si="4"/>
        <v>#N/A</v>
      </c>
      <c r="U11" s="239" t="e">
        <f>T11/SUM('Prod &amp; Defects - Qty'!$M$5:$R$5)*1000000</f>
        <v>#N/A</v>
      </c>
      <c r="V11" s="239" t="e">
        <f t="shared" si="5"/>
        <v>#N/A</v>
      </c>
      <c r="W11" s="323" t="e">
        <f>V11/'Prod &amp; Defects - Qty'!$S$5*1000000</f>
        <v>#N/A</v>
      </c>
      <c r="X11" s="336" t="e">
        <f t="shared" si="0"/>
        <v>#N/A</v>
      </c>
      <c r="Y11" s="337" t="e">
        <f t="shared" si="1"/>
        <v>#N/A</v>
      </c>
      <c r="Z11" s="322" t="e">
        <f t="shared" si="2"/>
        <v>#N/A</v>
      </c>
      <c r="AA11" s="323" t="e">
        <f t="shared" si="6"/>
        <v>#N/A</v>
      </c>
    </row>
    <row r="12" spans="1:28" ht="18" customHeight="1">
      <c r="A12" s="760"/>
      <c r="B12" s="754"/>
      <c r="C12" s="30">
        <v>1070</v>
      </c>
      <c r="D12" s="31" t="s">
        <v>40</v>
      </c>
      <c r="E12" s="52">
        <f>'[3]Falhas UM-1 - Qty'!AA12</f>
        <v>10.631534694164447</v>
      </c>
      <c r="F12" s="252" t="e">
        <f>INT($E12/1000000*'Prod &amp; Defects - Qty'!G$5)</f>
        <v>#N/A</v>
      </c>
      <c r="G12" s="252" t="e">
        <f>INT($E12/1000000*'Prod &amp; Defects - Qty'!H$5)</f>
        <v>#N/A</v>
      </c>
      <c r="H12" s="252" t="e">
        <f>INT($E12/1000000*'Prod &amp; Defects - Qty'!I$5)</f>
        <v>#N/A</v>
      </c>
      <c r="I12" s="252" t="e">
        <f>INT($E12/1000000*'Prod &amp; Defects - Qty'!J$5)</f>
        <v>#N/A</v>
      </c>
      <c r="J12" s="252" t="e">
        <f>INT($E12/1000000*'Prod &amp; Defects - Qty'!K$5)</f>
        <v>#N/A</v>
      </c>
      <c r="K12" s="252" t="e">
        <f>INT($E12/1000000*'Prod &amp; Defects - Qty'!L$5)</f>
        <v>#N/A</v>
      </c>
      <c r="L12" s="252" t="e">
        <f>INT($E12/1000000*'Prod &amp; Defects - Qty'!M$5)</f>
        <v>#N/A</v>
      </c>
      <c r="M12" s="252" t="e">
        <f>INT($E12/1000000*'Prod &amp; Defects - Qty'!N$5)</f>
        <v>#N/A</v>
      </c>
      <c r="N12" s="252" t="e">
        <f>INT($E12/1000000*'Prod &amp; Defects - Qty'!O$5)</f>
        <v>#N/A</v>
      </c>
      <c r="O12" s="252" t="e">
        <f>INT($E12/1000000*'Prod &amp; Defects - Qty'!P$5)</f>
        <v>#N/A</v>
      </c>
      <c r="P12" s="252" t="e">
        <f>INT($E12/1000000*'Prod &amp; Defects - Qty'!Q$5)</f>
        <v>#N/A</v>
      </c>
      <c r="Q12" s="253" t="e">
        <f>INT($E12/1000000*'Prod &amp; Defects - Qty'!R$5)</f>
        <v>#N/A</v>
      </c>
      <c r="R12" s="322" t="e">
        <f t="shared" si="3"/>
        <v>#N/A</v>
      </c>
      <c r="S12" s="239" t="e">
        <f>R12/SUM('Prod &amp; Defects - Qty'!$G$5:$L$5)*1000000</f>
        <v>#N/A</v>
      </c>
      <c r="T12" s="239" t="e">
        <f t="shared" si="4"/>
        <v>#N/A</v>
      </c>
      <c r="U12" s="239" t="e">
        <f>T12/SUM('Prod &amp; Defects - Qty'!$M$5:$R$5)*1000000</f>
        <v>#N/A</v>
      </c>
      <c r="V12" s="239" t="e">
        <f t="shared" si="5"/>
        <v>#N/A</v>
      </c>
      <c r="W12" s="323" t="e">
        <f>V12/'Prod &amp; Defects - Qty'!$S$5*1000000</f>
        <v>#N/A</v>
      </c>
      <c r="X12" s="336" t="e">
        <f t="shared" si="0"/>
        <v>#N/A</v>
      </c>
      <c r="Y12" s="337" t="e">
        <f t="shared" si="1"/>
        <v>#N/A</v>
      </c>
      <c r="Z12" s="322" t="e">
        <f t="shared" si="2"/>
        <v>#N/A</v>
      </c>
      <c r="AA12" s="323" t="e">
        <f t="shared" si="6"/>
        <v>#N/A</v>
      </c>
    </row>
    <row r="13" spans="1:28" ht="18" customHeight="1">
      <c r="A13" s="760"/>
      <c r="B13" s="754"/>
      <c r="C13" s="30">
        <v>1080</v>
      </c>
      <c r="D13" s="31" t="s">
        <v>39</v>
      </c>
      <c r="E13" s="52">
        <f>'[3]Falhas UM-1 - Qty'!AA13</f>
        <v>1.4827088803816373</v>
      </c>
      <c r="F13" s="252" t="e">
        <f>INT($E13/1000000*'Prod &amp; Defects - Qty'!G$5)</f>
        <v>#N/A</v>
      </c>
      <c r="G13" s="252" t="e">
        <f>INT($E13/1000000*'Prod &amp; Defects - Qty'!H$5)</f>
        <v>#N/A</v>
      </c>
      <c r="H13" s="252" t="e">
        <f>INT($E13/1000000*'Prod &amp; Defects - Qty'!I$5)</f>
        <v>#N/A</v>
      </c>
      <c r="I13" s="252" t="e">
        <f>INT($E13/1000000*'Prod &amp; Defects - Qty'!J$5)</f>
        <v>#N/A</v>
      </c>
      <c r="J13" s="252" t="e">
        <f>INT($E13/1000000*'Prod &amp; Defects - Qty'!K$5)</f>
        <v>#N/A</v>
      </c>
      <c r="K13" s="252" t="e">
        <f>INT($E13/1000000*'Prod &amp; Defects - Qty'!L$5)</f>
        <v>#N/A</v>
      </c>
      <c r="L13" s="252" t="e">
        <f>INT($E13/1000000*'Prod &amp; Defects - Qty'!M$5)</f>
        <v>#N/A</v>
      </c>
      <c r="M13" s="252" t="e">
        <f>INT($E13/1000000*'Prod &amp; Defects - Qty'!N$5)</f>
        <v>#N/A</v>
      </c>
      <c r="N13" s="252" t="e">
        <f>INT($E13/1000000*'Prod &amp; Defects - Qty'!O$5)</f>
        <v>#N/A</v>
      </c>
      <c r="O13" s="252" t="e">
        <f>INT($E13/1000000*'Prod &amp; Defects - Qty'!P$5)</f>
        <v>#N/A</v>
      </c>
      <c r="P13" s="252" t="e">
        <f>INT($E13/1000000*'Prod &amp; Defects - Qty'!Q$5)</f>
        <v>#N/A</v>
      </c>
      <c r="Q13" s="253" t="e">
        <f>INT($E13/1000000*'Prod &amp; Defects - Qty'!R$5)</f>
        <v>#N/A</v>
      </c>
      <c r="R13" s="322" t="e">
        <f t="shared" si="3"/>
        <v>#N/A</v>
      </c>
      <c r="S13" s="239" t="e">
        <f>R13/SUM('Prod &amp; Defects - Qty'!$G$5:$L$5)*1000000</f>
        <v>#N/A</v>
      </c>
      <c r="T13" s="239" t="e">
        <f t="shared" si="4"/>
        <v>#N/A</v>
      </c>
      <c r="U13" s="239" t="e">
        <f>T13/SUM('Prod &amp; Defects - Qty'!$M$5:$R$5)*1000000</f>
        <v>#N/A</v>
      </c>
      <c r="V13" s="239" t="e">
        <f t="shared" si="5"/>
        <v>#N/A</v>
      </c>
      <c r="W13" s="323" t="e">
        <f>V13/'Prod &amp; Defects - Qty'!$S$5*1000000</f>
        <v>#N/A</v>
      </c>
      <c r="X13" s="336" t="e">
        <f t="shared" si="0"/>
        <v>#N/A</v>
      </c>
      <c r="Y13" s="337" t="e">
        <f t="shared" si="1"/>
        <v>#N/A</v>
      </c>
      <c r="Z13" s="322" t="e">
        <f t="shared" si="2"/>
        <v>#N/A</v>
      </c>
      <c r="AA13" s="323" t="e">
        <f t="shared" si="6"/>
        <v>#N/A</v>
      </c>
    </row>
    <row r="14" spans="1:28" ht="18" customHeight="1">
      <c r="A14" s="760"/>
      <c r="B14" s="754"/>
      <c r="C14" s="30">
        <v>1090</v>
      </c>
      <c r="D14" s="31" t="s">
        <v>38</v>
      </c>
      <c r="E14" s="52">
        <f>'[3]Falhas UM-1 - Qty'!AA14</f>
        <v>41.871468840230541</v>
      </c>
      <c r="F14" s="252" t="e">
        <f>INT($E14/1000000*'Prod &amp; Defects - Qty'!G$5)</f>
        <v>#N/A</v>
      </c>
      <c r="G14" s="252" t="e">
        <f>INT($E14/1000000*'Prod &amp; Defects - Qty'!H$5)</f>
        <v>#N/A</v>
      </c>
      <c r="H14" s="252" t="e">
        <f>INT($E14/1000000*'Prod &amp; Defects - Qty'!I$5)</f>
        <v>#N/A</v>
      </c>
      <c r="I14" s="252" t="e">
        <f>INT($E14/1000000*'Prod &amp; Defects - Qty'!J$5)</f>
        <v>#N/A</v>
      </c>
      <c r="J14" s="252" t="e">
        <f>INT($E14/1000000*'Prod &amp; Defects - Qty'!K$5)</f>
        <v>#N/A</v>
      </c>
      <c r="K14" s="252" t="e">
        <f>INT($E14/1000000*'Prod &amp; Defects - Qty'!L$5)</f>
        <v>#N/A</v>
      </c>
      <c r="L14" s="252" t="e">
        <f>INT($E14/1000000*'Prod &amp; Defects - Qty'!M$5)</f>
        <v>#N/A</v>
      </c>
      <c r="M14" s="252" t="e">
        <f>INT($E14/1000000*'Prod &amp; Defects - Qty'!N$5)</f>
        <v>#N/A</v>
      </c>
      <c r="N14" s="252" t="e">
        <f>INT($E14/1000000*'Prod &amp; Defects - Qty'!O$5)</f>
        <v>#N/A</v>
      </c>
      <c r="O14" s="252" t="e">
        <f>INT($E14/1000000*'Prod &amp; Defects - Qty'!P$5)</f>
        <v>#N/A</v>
      </c>
      <c r="P14" s="252" t="e">
        <f>INT($E14/1000000*'Prod &amp; Defects - Qty'!Q$5)</f>
        <v>#N/A</v>
      </c>
      <c r="Q14" s="253" t="e">
        <f>INT($E14/1000000*'Prod &amp; Defects - Qty'!R$5)</f>
        <v>#N/A</v>
      </c>
      <c r="R14" s="322" t="e">
        <f t="shared" si="3"/>
        <v>#N/A</v>
      </c>
      <c r="S14" s="239" t="e">
        <f>R14/SUM('Prod &amp; Defects - Qty'!$G$5:$L$5)*1000000</f>
        <v>#N/A</v>
      </c>
      <c r="T14" s="239" t="e">
        <f t="shared" si="4"/>
        <v>#N/A</v>
      </c>
      <c r="U14" s="239" t="e">
        <f>T14/SUM('Prod &amp; Defects - Qty'!$M$5:$R$5)*1000000</f>
        <v>#N/A</v>
      </c>
      <c r="V14" s="239" t="e">
        <f t="shared" si="5"/>
        <v>#N/A</v>
      </c>
      <c r="W14" s="323" t="e">
        <f>V14/'Prod &amp; Defects - Qty'!$S$5*1000000</f>
        <v>#N/A</v>
      </c>
      <c r="X14" s="336" t="e">
        <f t="shared" si="0"/>
        <v>#N/A</v>
      </c>
      <c r="Y14" s="337" t="e">
        <f t="shared" si="1"/>
        <v>#N/A</v>
      </c>
      <c r="Z14" s="322" t="e">
        <f t="shared" si="2"/>
        <v>#N/A</v>
      </c>
      <c r="AA14" s="323" t="e">
        <f t="shared" si="6"/>
        <v>#N/A</v>
      </c>
    </row>
    <row r="15" spans="1:28" ht="18" customHeight="1" thickBot="1">
      <c r="A15" s="760"/>
      <c r="B15" s="755"/>
      <c r="C15" s="32"/>
      <c r="D15" s="33" t="s">
        <v>1</v>
      </c>
      <c r="E15" s="53">
        <f>'[3]Falhas UM-1 - Qty'!AA15</f>
        <v>692.04948000135334</v>
      </c>
      <c r="F15" s="254" t="e">
        <f>INT($E15/1000000*'Prod &amp; Defects - Qty'!G$5)</f>
        <v>#N/A</v>
      </c>
      <c r="G15" s="254" t="e">
        <f>INT($E15/1000000*'Prod &amp; Defects - Qty'!H$5)</f>
        <v>#N/A</v>
      </c>
      <c r="H15" s="254" t="e">
        <f>INT($E15/1000000*'Prod &amp; Defects - Qty'!I$5)</f>
        <v>#N/A</v>
      </c>
      <c r="I15" s="254" t="e">
        <f>INT($E15/1000000*'Prod &amp; Defects - Qty'!J$5)</f>
        <v>#N/A</v>
      </c>
      <c r="J15" s="254" t="e">
        <f>INT($E15/1000000*'Prod &amp; Defects - Qty'!K$5)</f>
        <v>#N/A</v>
      </c>
      <c r="K15" s="254" t="e">
        <f>INT($E15/1000000*'Prod &amp; Defects - Qty'!L$5)</f>
        <v>#N/A</v>
      </c>
      <c r="L15" s="254" t="e">
        <f>INT($E15/1000000*'Prod &amp; Defects - Qty'!M$5)</f>
        <v>#N/A</v>
      </c>
      <c r="M15" s="254" t="e">
        <f>INT($E15/1000000*'Prod &amp; Defects - Qty'!N$5)</f>
        <v>#N/A</v>
      </c>
      <c r="N15" s="254" t="e">
        <f>INT($E15/1000000*'Prod &amp; Defects - Qty'!O$5)</f>
        <v>#N/A</v>
      </c>
      <c r="O15" s="254" t="e">
        <f>INT($E15/1000000*'Prod &amp; Defects - Qty'!P$5)</f>
        <v>#N/A</v>
      </c>
      <c r="P15" s="254" t="e">
        <f>INT($E15/1000000*'Prod &amp; Defects - Qty'!Q$5)</f>
        <v>#N/A</v>
      </c>
      <c r="Q15" s="255" t="e">
        <f>INT($E15/1000000*'Prod &amp; Defects - Qty'!R$5)</f>
        <v>#N/A</v>
      </c>
      <c r="R15" s="182" t="e">
        <f t="shared" si="3"/>
        <v>#N/A</v>
      </c>
      <c r="S15" s="240" t="e">
        <f>R15/SUM('Prod &amp; Defects - Qty'!$G$5:$L$5)*1000000</f>
        <v>#N/A</v>
      </c>
      <c r="T15" s="240" t="e">
        <f t="shared" si="4"/>
        <v>#N/A</v>
      </c>
      <c r="U15" s="240" t="e">
        <f>T15/SUM('Prod &amp; Defects - Qty'!$M$5:$R$5)*1000000</f>
        <v>#N/A</v>
      </c>
      <c r="V15" s="240" t="e">
        <f t="shared" si="5"/>
        <v>#N/A</v>
      </c>
      <c r="W15" s="324" t="e">
        <f>V15/'Prod &amp; Defects - Qty'!$S$5*1000000</f>
        <v>#N/A</v>
      </c>
      <c r="X15" s="338" t="e">
        <f t="shared" si="0"/>
        <v>#N/A</v>
      </c>
      <c r="Y15" s="339" t="e">
        <f t="shared" si="1"/>
        <v>#N/A</v>
      </c>
      <c r="Z15" s="182" t="e">
        <f t="shared" si="2"/>
        <v>#N/A</v>
      </c>
      <c r="AA15" s="324" t="e">
        <f>SUM(AA6:AA14)</f>
        <v>#N/A</v>
      </c>
    </row>
    <row r="16" spans="1:28" ht="18" customHeight="1" thickTop="1">
      <c r="A16" s="760"/>
      <c r="B16" s="757" t="s">
        <v>37</v>
      </c>
      <c r="C16" s="34">
        <v>1100</v>
      </c>
      <c r="D16" s="35" t="s">
        <v>36</v>
      </c>
      <c r="E16" s="52">
        <f>'[3]Falhas UM-1 - Qty'!AA16</f>
        <v>10397.762251954675</v>
      </c>
      <c r="F16" s="256" t="e">
        <f>INT($E16/1000000*'Prod &amp; Defects - Qty'!G$5)</f>
        <v>#N/A</v>
      </c>
      <c r="G16" s="256" t="e">
        <f>INT($E16/1000000*'Prod &amp; Defects - Qty'!H$5)</f>
        <v>#N/A</v>
      </c>
      <c r="H16" s="256" t="e">
        <f>INT($E16/1000000*'Prod &amp; Defects - Qty'!I$5)</f>
        <v>#N/A</v>
      </c>
      <c r="I16" s="256" t="e">
        <f>INT($E16/1000000*'Prod &amp; Defects - Qty'!J$5)</f>
        <v>#N/A</v>
      </c>
      <c r="J16" s="256" t="e">
        <f>INT($E16/1000000*'Prod &amp; Defects - Qty'!K$5)</f>
        <v>#N/A</v>
      </c>
      <c r="K16" s="256" t="e">
        <f>INT($E16/1000000*'Prod &amp; Defects - Qty'!L$5)</f>
        <v>#N/A</v>
      </c>
      <c r="L16" s="256" t="e">
        <f>INT($E16/1000000*'Prod &amp; Defects - Qty'!M$5)</f>
        <v>#N/A</v>
      </c>
      <c r="M16" s="256" t="e">
        <f>INT($E16/1000000*'Prod &amp; Defects - Qty'!N$5)</f>
        <v>#N/A</v>
      </c>
      <c r="N16" s="256" t="e">
        <f>INT($E16/1000000*'Prod &amp; Defects - Qty'!O$5)</f>
        <v>#N/A</v>
      </c>
      <c r="O16" s="256" t="e">
        <f>INT($E16/1000000*'Prod &amp; Defects - Qty'!P$5)</f>
        <v>#N/A</v>
      </c>
      <c r="P16" s="256" t="e">
        <f>INT($E16/1000000*'Prod &amp; Defects - Qty'!Q$5)</f>
        <v>#N/A</v>
      </c>
      <c r="Q16" s="257" t="e">
        <f>INT($E16/1000000*'Prod &amp; Defects - Qty'!R$5)</f>
        <v>#N/A</v>
      </c>
      <c r="R16" s="322" t="e">
        <f t="shared" si="3"/>
        <v>#N/A</v>
      </c>
      <c r="S16" s="241" t="e">
        <f>R16/SUM('Prod &amp; Defects - Qty'!$G$5:$L$5)*1000000</f>
        <v>#N/A</v>
      </c>
      <c r="T16" s="241" t="e">
        <f t="shared" si="4"/>
        <v>#N/A</v>
      </c>
      <c r="U16" s="241" t="e">
        <f>T16/SUM('Prod &amp; Defects - Qty'!$M$5:$R$5)*1000000</f>
        <v>#N/A</v>
      </c>
      <c r="V16" s="241" t="e">
        <f t="shared" si="5"/>
        <v>#N/A</v>
      </c>
      <c r="W16" s="325" t="e">
        <f>V16/'Prod &amp; Defects - Qty'!$S$5*1000000</f>
        <v>#N/A</v>
      </c>
      <c r="X16" s="336" t="e">
        <f t="shared" si="0"/>
        <v>#N/A</v>
      </c>
      <c r="Y16" s="340" t="e">
        <f t="shared" si="1"/>
        <v>#N/A</v>
      </c>
      <c r="Z16" s="322" t="e">
        <f t="shared" si="2"/>
        <v>#N/A</v>
      </c>
      <c r="AA16" s="325" t="e">
        <f t="shared" si="6"/>
        <v>#N/A</v>
      </c>
    </row>
    <row r="17" spans="1:27" ht="18" customHeight="1">
      <c r="A17" s="760"/>
      <c r="B17" s="757"/>
      <c r="C17" s="34">
        <v>1110</v>
      </c>
      <c r="D17" s="35" t="s">
        <v>35</v>
      </c>
      <c r="E17" s="52">
        <f>'[3]Falhas UM-1 - Qty'!AA17</f>
        <v>49.06349945863191</v>
      </c>
      <c r="F17" s="256" t="e">
        <f>INT($E17/1000000*'Prod &amp; Defects - Qty'!G$5)</f>
        <v>#N/A</v>
      </c>
      <c r="G17" s="256" t="e">
        <f>INT($E17/1000000*'Prod &amp; Defects - Qty'!H$5)</f>
        <v>#N/A</v>
      </c>
      <c r="H17" s="256" t="e">
        <f>INT($E17/1000000*'Prod &amp; Defects - Qty'!I$5)</f>
        <v>#N/A</v>
      </c>
      <c r="I17" s="256" t="e">
        <f>INT($E17/1000000*'Prod &amp; Defects - Qty'!J$5)</f>
        <v>#N/A</v>
      </c>
      <c r="J17" s="256" t="e">
        <f>INT($E17/1000000*'Prod &amp; Defects - Qty'!K$5)</f>
        <v>#N/A</v>
      </c>
      <c r="K17" s="256" t="e">
        <f>INT($E17/1000000*'Prod &amp; Defects - Qty'!L$5)</f>
        <v>#N/A</v>
      </c>
      <c r="L17" s="256" t="e">
        <f>INT($E17/1000000*'Prod &amp; Defects - Qty'!M$5)</f>
        <v>#N/A</v>
      </c>
      <c r="M17" s="256" t="e">
        <f>INT($E17/1000000*'Prod &amp; Defects - Qty'!N$5)</f>
        <v>#N/A</v>
      </c>
      <c r="N17" s="256" t="e">
        <f>INT($E17/1000000*'Prod &amp; Defects - Qty'!O$5)</f>
        <v>#N/A</v>
      </c>
      <c r="O17" s="256" t="e">
        <f>INT($E17/1000000*'Prod &amp; Defects - Qty'!P$5)</f>
        <v>#N/A</v>
      </c>
      <c r="P17" s="256" t="e">
        <f>INT($E17/1000000*'Prod &amp; Defects - Qty'!Q$5)</f>
        <v>#N/A</v>
      </c>
      <c r="Q17" s="257" t="e">
        <f>INT($E17/1000000*'Prod &amp; Defects - Qty'!R$5)</f>
        <v>#N/A</v>
      </c>
      <c r="R17" s="322" t="e">
        <f t="shared" si="3"/>
        <v>#N/A</v>
      </c>
      <c r="S17" s="241" t="e">
        <f>R17/SUM('Prod &amp; Defects - Qty'!$G$5:$L$5)*1000000</f>
        <v>#N/A</v>
      </c>
      <c r="T17" s="241" t="e">
        <f t="shared" si="4"/>
        <v>#N/A</v>
      </c>
      <c r="U17" s="241" t="e">
        <f>T17/SUM('Prod &amp; Defects - Qty'!$M$5:$R$5)*1000000</f>
        <v>#N/A</v>
      </c>
      <c r="V17" s="241" t="e">
        <f t="shared" si="5"/>
        <v>#N/A</v>
      </c>
      <c r="W17" s="325" t="e">
        <f>V17/'Prod &amp; Defects - Qty'!$S$5*1000000</f>
        <v>#N/A</v>
      </c>
      <c r="X17" s="336" t="e">
        <f t="shared" si="0"/>
        <v>#N/A</v>
      </c>
      <c r="Y17" s="340" t="e">
        <f t="shared" si="1"/>
        <v>#N/A</v>
      </c>
      <c r="Z17" s="322" t="e">
        <f t="shared" si="2"/>
        <v>#N/A</v>
      </c>
      <c r="AA17" s="325" t="e">
        <f t="shared" si="6"/>
        <v>#N/A</v>
      </c>
    </row>
    <row r="18" spans="1:27" ht="18" customHeight="1">
      <c r="A18" s="760"/>
      <c r="B18" s="757"/>
      <c r="C18" s="34">
        <f>C17+10</f>
        <v>1120</v>
      </c>
      <c r="D18" s="35" t="s">
        <v>34</v>
      </c>
      <c r="E18" s="52">
        <f>'[3]Falhas UM-1 - Qty'!AA18</f>
        <v>6.0258816362994372</v>
      </c>
      <c r="F18" s="256" t="e">
        <f>INT($E18/1000000*'Prod &amp; Defects - Qty'!G$5)</f>
        <v>#N/A</v>
      </c>
      <c r="G18" s="256" t="e">
        <f>INT($E18/1000000*'Prod &amp; Defects - Qty'!H$5)</f>
        <v>#N/A</v>
      </c>
      <c r="H18" s="256" t="e">
        <f>INT($E18/1000000*'Prod &amp; Defects - Qty'!I$5)</f>
        <v>#N/A</v>
      </c>
      <c r="I18" s="256" t="e">
        <f>INT($E18/1000000*'Prod &amp; Defects - Qty'!J$5)</f>
        <v>#N/A</v>
      </c>
      <c r="J18" s="256" t="e">
        <f>INT($E18/1000000*'Prod &amp; Defects - Qty'!K$5)</f>
        <v>#N/A</v>
      </c>
      <c r="K18" s="256" t="e">
        <f>INT($E18/1000000*'Prod &amp; Defects - Qty'!L$5)</f>
        <v>#N/A</v>
      </c>
      <c r="L18" s="256" t="e">
        <f>INT($E18/1000000*'Prod &amp; Defects - Qty'!M$5)</f>
        <v>#N/A</v>
      </c>
      <c r="M18" s="256" t="e">
        <f>INT($E18/1000000*'Prod &amp; Defects - Qty'!N$5)</f>
        <v>#N/A</v>
      </c>
      <c r="N18" s="256" t="e">
        <f>INT($E18/1000000*'Prod &amp; Defects - Qty'!O$5)</f>
        <v>#N/A</v>
      </c>
      <c r="O18" s="256" t="e">
        <f>INT($E18/1000000*'Prod &amp; Defects - Qty'!P$5)</f>
        <v>#N/A</v>
      </c>
      <c r="P18" s="256" t="e">
        <f>INT($E18/1000000*'Prod &amp; Defects - Qty'!Q$5)</f>
        <v>#N/A</v>
      </c>
      <c r="Q18" s="257" t="e">
        <f>INT($E18/1000000*'Prod &amp; Defects - Qty'!R$5)</f>
        <v>#N/A</v>
      </c>
      <c r="R18" s="322" t="e">
        <f t="shared" si="3"/>
        <v>#N/A</v>
      </c>
      <c r="S18" s="241" t="e">
        <f>R18/SUM('Prod &amp; Defects - Qty'!$G$5:$L$5)*1000000</f>
        <v>#N/A</v>
      </c>
      <c r="T18" s="241" t="e">
        <f t="shared" si="4"/>
        <v>#N/A</v>
      </c>
      <c r="U18" s="241" t="e">
        <f>T18/SUM('Prod &amp; Defects - Qty'!$M$5:$R$5)*1000000</f>
        <v>#N/A</v>
      </c>
      <c r="V18" s="241" t="e">
        <f t="shared" si="5"/>
        <v>#N/A</v>
      </c>
      <c r="W18" s="325" t="e">
        <f>V18/'Prod &amp; Defects - Qty'!$S$5*1000000</f>
        <v>#N/A</v>
      </c>
      <c r="X18" s="336" t="e">
        <f t="shared" si="0"/>
        <v>#N/A</v>
      </c>
      <c r="Y18" s="340" t="e">
        <f t="shared" si="1"/>
        <v>#N/A</v>
      </c>
      <c r="Z18" s="322" t="e">
        <f t="shared" si="2"/>
        <v>#N/A</v>
      </c>
      <c r="AA18" s="325" t="e">
        <f t="shared" si="6"/>
        <v>#N/A</v>
      </c>
    </row>
    <row r="19" spans="1:27" ht="18" customHeight="1">
      <c r="A19" s="760"/>
      <c r="B19" s="757"/>
      <c r="C19" s="34">
        <f>C18+10</f>
        <v>1130</v>
      </c>
      <c r="D19" s="35" t="s">
        <v>33</v>
      </c>
      <c r="E19" s="52">
        <f>'[3]Falhas UM-1 - Qty'!AA19</f>
        <v>1252.8788344514246</v>
      </c>
      <c r="F19" s="256" t="e">
        <f>INT($E19/1000000*'Prod &amp; Defects - Qty'!G$5)</f>
        <v>#N/A</v>
      </c>
      <c r="G19" s="256" t="e">
        <f>INT($E19/1000000*'Prod &amp; Defects - Qty'!H$5)</f>
        <v>#N/A</v>
      </c>
      <c r="H19" s="256" t="e">
        <f>INT($E19/1000000*'Prod &amp; Defects - Qty'!I$5)</f>
        <v>#N/A</v>
      </c>
      <c r="I19" s="256" t="e">
        <f>INT($E19/1000000*'Prod &amp; Defects - Qty'!J$5)</f>
        <v>#N/A</v>
      </c>
      <c r="J19" s="256" t="e">
        <f>INT($E19/1000000*'Prod &amp; Defects - Qty'!K$5)</f>
        <v>#N/A</v>
      </c>
      <c r="K19" s="256" t="e">
        <f>INT($E19/1000000*'Prod &amp; Defects - Qty'!L$5)</f>
        <v>#N/A</v>
      </c>
      <c r="L19" s="256" t="e">
        <f>INT($E19/1000000*'Prod &amp; Defects - Qty'!M$5)</f>
        <v>#N/A</v>
      </c>
      <c r="M19" s="256" t="e">
        <f>INT($E19/1000000*'Prod &amp; Defects - Qty'!N$5)</f>
        <v>#N/A</v>
      </c>
      <c r="N19" s="256" t="e">
        <f>INT($E19/1000000*'Prod &amp; Defects - Qty'!O$5)</f>
        <v>#N/A</v>
      </c>
      <c r="O19" s="256" t="e">
        <f>INT($E19/1000000*'Prod &amp; Defects - Qty'!P$5)</f>
        <v>#N/A</v>
      </c>
      <c r="P19" s="256" t="e">
        <f>INT($E19/1000000*'Prod &amp; Defects - Qty'!Q$5)</f>
        <v>#N/A</v>
      </c>
      <c r="Q19" s="257" t="e">
        <f>INT($E19/1000000*'Prod &amp; Defects - Qty'!R$5)</f>
        <v>#N/A</v>
      </c>
      <c r="R19" s="322" t="e">
        <f t="shared" si="3"/>
        <v>#N/A</v>
      </c>
      <c r="S19" s="241" t="e">
        <f>R19/SUM('Prod &amp; Defects - Qty'!$G$5:$L$5)*1000000</f>
        <v>#N/A</v>
      </c>
      <c r="T19" s="241" t="e">
        <f t="shared" si="4"/>
        <v>#N/A</v>
      </c>
      <c r="U19" s="241" t="e">
        <f>T19/SUM('Prod &amp; Defects - Qty'!$M$5:$R$5)*1000000</f>
        <v>#N/A</v>
      </c>
      <c r="V19" s="241" t="e">
        <f t="shared" si="5"/>
        <v>#N/A</v>
      </c>
      <c r="W19" s="325" t="e">
        <f>V19/'Prod &amp; Defects - Qty'!$S$5*1000000</f>
        <v>#N/A</v>
      </c>
      <c r="X19" s="336" t="e">
        <f t="shared" si="0"/>
        <v>#N/A</v>
      </c>
      <c r="Y19" s="340" t="e">
        <f t="shared" si="1"/>
        <v>#N/A</v>
      </c>
      <c r="Z19" s="322" t="e">
        <f t="shared" si="2"/>
        <v>#N/A</v>
      </c>
      <c r="AA19" s="325" t="e">
        <f t="shared" si="6"/>
        <v>#N/A</v>
      </c>
    </row>
    <row r="20" spans="1:27" ht="18" customHeight="1">
      <c r="A20" s="760"/>
      <c r="B20" s="757"/>
      <c r="C20" s="34">
        <f>C19+10</f>
        <v>1140</v>
      </c>
      <c r="D20" s="35" t="s">
        <v>32</v>
      </c>
      <c r="E20" s="52">
        <f>'[3]Falhas UM-1 - Qty'!AA20</f>
        <v>0</v>
      </c>
      <c r="F20" s="256" t="e">
        <f>INT($E20/1000000*'Prod &amp; Defects - Qty'!G$5)</f>
        <v>#N/A</v>
      </c>
      <c r="G20" s="256" t="e">
        <f>INT($E20/1000000*'Prod &amp; Defects - Qty'!H$5)</f>
        <v>#N/A</v>
      </c>
      <c r="H20" s="256" t="e">
        <f>INT($E20/1000000*'Prod &amp; Defects - Qty'!I$5)</f>
        <v>#N/A</v>
      </c>
      <c r="I20" s="256" t="e">
        <f>INT($E20/1000000*'Prod &amp; Defects - Qty'!J$5)</f>
        <v>#N/A</v>
      </c>
      <c r="J20" s="256" t="e">
        <f>INT($E20/1000000*'Prod &amp; Defects - Qty'!K$5)</f>
        <v>#N/A</v>
      </c>
      <c r="K20" s="256" t="e">
        <f>INT($E20/1000000*'Prod &amp; Defects - Qty'!L$5)</f>
        <v>#N/A</v>
      </c>
      <c r="L20" s="256" t="e">
        <f>INT($E20/1000000*'Prod &amp; Defects - Qty'!M$5)</f>
        <v>#N/A</v>
      </c>
      <c r="M20" s="256" t="e">
        <f>INT($E20/1000000*'Prod &amp; Defects - Qty'!N$5)</f>
        <v>#N/A</v>
      </c>
      <c r="N20" s="256" t="e">
        <f>INT($E20/1000000*'Prod &amp; Defects - Qty'!O$5)</f>
        <v>#N/A</v>
      </c>
      <c r="O20" s="256" t="e">
        <f>INT($E20/1000000*'Prod &amp; Defects - Qty'!P$5)</f>
        <v>#N/A</v>
      </c>
      <c r="P20" s="256" t="e">
        <f>INT($E20/1000000*'Prod &amp; Defects - Qty'!Q$5)</f>
        <v>#N/A</v>
      </c>
      <c r="Q20" s="257" t="e">
        <f>INT($E20/1000000*'Prod &amp; Defects - Qty'!R$5)</f>
        <v>#N/A</v>
      </c>
      <c r="R20" s="322" t="e">
        <f t="shared" si="3"/>
        <v>#N/A</v>
      </c>
      <c r="S20" s="241" t="e">
        <f>R20/SUM('Prod &amp; Defects - Qty'!$G$5:$L$5)*1000000</f>
        <v>#N/A</v>
      </c>
      <c r="T20" s="241" t="e">
        <f t="shared" si="4"/>
        <v>#N/A</v>
      </c>
      <c r="U20" s="241" t="e">
        <f>T20/SUM('Prod &amp; Defects - Qty'!$M$5:$R$5)*1000000</f>
        <v>#N/A</v>
      </c>
      <c r="V20" s="241" t="e">
        <f t="shared" si="5"/>
        <v>#N/A</v>
      </c>
      <c r="W20" s="325" t="e">
        <f>V20/'Prod &amp; Defects - Qty'!$S$5*1000000</f>
        <v>#N/A</v>
      </c>
      <c r="X20" s="336" t="e">
        <f t="shared" si="0"/>
        <v>#N/A</v>
      </c>
      <c r="Y20" s="340" t="e">
        <f t="shared" si="1"/>
        <v>#N/A</v>
      </c>
      <c r="Z20" s="322" t="e">
        <f t="shared" si="2"/>
        <v>#N/A</v>
      </c>
      <c r="AA20" s="325" t="e">
        <f t="shared" si="6"/>
        <v>#N/A</v>
      </c>
    </row>
    <row r="21" spans="1:27" ht="18" customHeight="1">
      <c r="A21" s="760"/>
      <c r="B21" s="757"/>
      <c r="C21" s="34">
        <f>C20+10</f>
        <v>1150</v>
      </c>
      <c r="D21" s="35" t="s">
        <v>31</v>
      </c>
      <c r="E21" s="52">
        <f>'[3]Falhas UM-1 - Qty'!AA21</f>
        <v>2669.9964608457481</v>
      </c>
      <c r="F21" s="256" t="e">
        <f>INT($E21/1000000*'Prod &amp; Defects - Qty'!G$5)</f>
        <v>#N/A</v>
      </c>
      <c r="G21" s="256" t="e">
        <f>INT($E21/1000000*'Prod &amp; Defects - Qty'!H$5)</f>
        <v>#N/A</v>
      </c>
      <c r="H21" s="256" t="e">
        <f>INT($E21/1000000*'Prod &amp; Defects - Qty'!I$5)</f>
        <v>#N/A</v>
      </c>
      <c r="I21" s="256" t="e">
        <f>INT($E21/1000000*'Prod &amp; Defects - Qty'!J$5)</f>
        <v>#N/A</v>
      </c>
      <c r="J21" s="256" t="e">
        <f>INT($E21/1000000*'Prod &amp; Defects - Qty'!K$5)</f>
        <v>#N/A</v>
      </c>
      <c r="K21" s="256" t="e">
        <f>INT($E21/1000000*'Prod &amp; Defects - Qty'!L$5)</f>
        <v>#N/A</v>
      </c>
      <c r="L21" s="256" t="e">
        <f>INT($E21/1000000*'Prod &amp; Defects - Qty'!M$5)</f>
        <v>#N/A</v>
      </c>
      <c r="M21" s="256" t="e">
        <f>INT($E21/1000000*'Prod &amp; Defects - Qty'!N$5)</f>
        <v>#N/A</v>
      </c>
      <c r="N21" s="256" t="e">
        <f>INT($E21/1000000*'Prod &amp; Defects - Qty'!O$5)</f>
        <v>#N/A</v>
      </c>
      <c r="O21" s="256" t="e">
        <f>INT($E21/1000000*'Prod &amp; Defects - Qty'!P$5)</f>
        <v>#N/A</v>
      </c>
      <c r="P21" s="256" t="e">
        <f>INT($E21/1000000*'Prod &amp; Defects - Qty'!Q$5)</f>
        <v>#N/A</v>
      </c>
      <c r="Q21" s="257" t="e">
        <f>INT($E21/1000000*'Prod &amp; Defects - Qty'!R$5)</f>
        <v>#N/A</v>
      </c>
      <c r="R21" s="322" t="e">
        <f t="shared" si="3"/>
        <v>#N/A</v>
      </c>
      <c r="S21" s="241" t="e">
        <f>R21/SUM('Prod &amp; Defects - Qty'!$G$5:$L$5)*1000000</f>
        <v>#N/A</v>
      </c>
      <c r="T21" s="241" t="e">
        <f t="shared" si="4"/>
        <v>#N/A</v>
      </c>
      <c r="U21" s="241" t="e">
        <f>T21/SUM('Prod &amp; Defects - Qty'!$M$5:$R$5)*1000000</f>
        <v>#N/A</v>
      </c>
      <c r="V21" s="241" t="e">
        <f t="shared" si="5"/>
        <v>#N/A</v>
      </c>
      <c r="W21" s="325" t="e">
        <f>V21/'Prod &amp; Defects - Qty'!$S$5*1000000</f>
        <v>#N/A</v>
      </c>
      <c r="X21" s="336" t="e">
        <f t="shared" si="0"/>
        <v>#N/A</v>
      </c>
      <c r="Y21" s="340" t="e">
        <f t="shared" si="1"/>
        <v>#N/A</v>
      </c>
      <c r="Z21" s="322" t="e">
        <f t="shared" si="2"/>
        <v>#N/A</v>
      </c>
      <c r="AA21" s="325" t="e">
        <f t="shared" si="6"/>
        <v>#N/A</v>
      </c>
    </row>
    <row r="22" spans="1:27" ht="18" customHeight="1" thickBot="1">
      <c r="A22" s="760"/>
      <c r="B22" s="758"/>
      <c r="C22" s="36"/>
      <c r="D22" s="37" t="s">
        <v>129</v>
      </c>
      <c r="E22" s="54">
        <f>'[3]Falhas UM-1 - Qty'!AA22</f>
        <v>10446.825751413307</v>
      </c>
      <c r="F22" s="258" t="e">
        <f>INT($E22/1000000*'Prod &amp; Defects - Qty'!G$5)</f>
        <v>#N/A</v>
      </c>
      <c r="G22" s="258" t="e">
        <f>INT($E22/1000000*'Prod &amp; Defects - Qty'!H$5)</f>
        <v>#N/A</v>
      </c>
      <c r="H22" s="258" t="e">
        <f>INT($E22/1000000*'Prod &amp; Defects - Qty'!I$5)</f>
        <v>#N/A</v>
      </c>
      <c r="I22" s="258" t="e">
        <f>INT($E22/1000000*'Prod &amp; Defects - Qty'!J$5)</f>
        <v>#N/A</v>
      </c>
      <c r="J22" s="258" t="e">
        <f>INT($E22/1000000*'Prod &amp; Defects - Qty'!K$5)</f>
        <v>#N/A</v>
      </c>
      <c r="K22" s="258" t="e">
        <f>INT($E22/1000000*'Prod &amp; Defects - Qty'!L$5)</f>
        <v>#N/A</v>
      </c>
      <c r="L22" s="258" t="e">
        <f>INT($E22/1000000*'Prod &amp; Defects - Qty'!M$5)</f>
        <v>#N/A</v>
      </c>
      <c r="M22" s="258" t="e">
        <f>INT($E22/1000000*'Prod &amp; Defects - Qty'!N$5)</f>
        <v>#N/A</v>
      </c>
      <c r="N22" s="258" t="e">
        <f>INT($E22/1000000*'Prod &amp; Defects - Qty'!O$5)</f>
        <v>#N/A</v>
      </c>
      <c r="O22" s="258" t="e">
        <f>INT($E22/1000000*'Prod &amp; Defects - Qty'!P$5)</f>
        <v>#N/A</v>
      </c>
      <c r="P22" s="258" t="e">
        <f>INT($E22/1000000*'Prod &amp; Defects - Qty'!Q$5)</f>
        <v>#N/A</v>
      </c>
      <c r="Q22" s="259" t="e">
        <f>INT($E22/1000000*'Prod &amp; Defects - Qty'!R$5)</f>
        <v>#N/A</v>
      </c>
      <c r="R22" s="326" t="e">
        <f t="shared" si="3"/>
        <v>#N/A</v>
      </c>
      <c r="S22" s="242" t="e">
        <f>R22/SUM('Prod &amp; Defects - Qty'!$G$5:$L$5)*1000000</f>
        <v>#N/A</v>
      </c>
      <c r="T22" s="242" t="e">
        <f t="shared" si="4"/>
        <v>#N/A</v>
      </c>
      <c r="U22" s="242" t="e">
        <f>T22/SUM('Prod &amp; Defects - Qty'!$M$5:$R$5)*1000000</f>
        <v>#N/A</v>
      </c>
      <c r="V22" s="242" t="e">
        <f t="shared" si="5"/>
        <v>#N/A</v>
      </c>
      <c r="W22" s="272" t="e">
        <f>V22/'Prod &amp; Defects - Qty'!$S$5*1000000</f>
        <v>#N/A</v>
      </c>
      <c r="X22" s="341" t="e">
        <f t="shared" si="0"/>
        <v>#N/A</v>
      </c>
      <c r="Y22" s="342" t="e">
        <f t="shared" si="1"/>
        <v>#N/A</v>
      </c>
      <c r="Z22" s="326" t="e">
        <f t="shared" si="2"/>
        <v>#N/A</v>
      </c>
      <c r="AA22" s="272" t="e">
        <f>SUM(AA16:AA17)</f>
        <v>#N/A</v>
      </c>
    </row>
    <row r="23" spans="1:27" ht="18" customHeight="1" thickTop="1">
      <c r="A23" s="760"/>
      <c r="B23" s="762" t="s">
        <v>30</v>
      </c>
      <c r="C23" s="34">
        <f>C21+10</f>
        <v>1160</v>
      </c>
      <c r="D23" s="35" t="s">
        <v>29</v>
      </c>
      <c r="E23" s="52">
        <f>'[3]Falhas UM-1 - Qty'!AA23</f>
        <v>6.0540966000138372</v>
      </c>
      <c r="F23" s="256" t="e">
        <f>INT($E23/1000000*'Prod &amp; Defects - Qty'!G$5)</f>
        <v>#N/A</v>
      </c>
      <c r="G23" s="256" t="e">
        <f>INT($E23/1000000*'Prod &amp; Defects - Qty'!H$5)</f>
        <v>#N/A</v>
      </c>
      <c r="H23" s="256" t="e">
        <f>INT($E23/1000000*'Prod &amp; Defects - Qty'!I$5)</f>
        <v>#N/A</v>
      </c>
      <c r="I23" s="256" t="e">
        <f>INT($E23/1000000*'Prod &amp; Defects - Qty'!J$5)</f>
        <v>#N/A</v>
      </c>
      <c r="J23" s="256" t="e">
        <f>INT($E23/1000000*'Prod &amp; Defects - Qty'!K$5)</f>
        <v>#N/A</v>
      </c>
      <c r="K23" s="256" t="e">
        <f>INT($E23/1000000*'Prod &amp; Defects - Qty'!L$5)</f>
        <v>#N/A</v>
      </c>
      <c r="L23" s="256" t="e">
        <f>INT($E23/1000000*'Prod &amp; Defects - Qty'!M$5)</f>
        <v>#N/A</v>
      </c>
      <c r="M23" s="256" t="e">
        <f>INT($E23/1000000*'Prod &amp; Defects - Qty'!N$5)</f>
        <v>#N/A</v>
      </c>
      <c r="N23" s="256" t="e">
        <f>INT($E23/1000000*'Prod &amp; Defects - Qty'!O$5)</f>
        <v>#N/A</v>
      </c>
      <c r="O23" s="256" t="e">
        <f>INT($E23/1000000*'Prod &amp; Defects - Qty'!P$5)</f>
        <v>#N/A</v>
      </c>
      <c r="P23" s="256" t="e">
        <f>INT($E23/1000000*'Prod &amp; Defects - Qty'!Q$5)</f>
        <v>#N/A</v>
      </c>
      <c r="Q23" s="257" t="e">
        <f>INT($E23/1000000*'Prod &amp; Defects - Qty'!R$5)</f>
        <v>#N/A</v>
      </c>
      <c r="R23" s="322" t="e">
        <f t="shared" si="3"/>
        <v>#N/A</v>
      </c>
      <c r="S23" s="241" t="e">
        <f>R23/SUM('Prod &amp; Defects - Qty'!$G$5:$L$5)*1000000</f>
        <v>#N/A</v>
      </c>
      <c r="T23" s="241" t="e">
        <f t="shared" si="4"/>
        <v>#N/A</v>
      </c>
      <c r="U23" s="241" t="e">
        <f>T23/SUM('Prod &amp; Defects - Qty'!$M$5:$R$5)*1000000</f>
        <v>#N/A</v>
      </c>
      <c r="V23" s="241" t="e">
        <f t="shared" si="5"/>
        <v>#N/A</v>
      </c>
      <c r="W23" s="325" t="e">
        <f>V23/'Prod &amp; Defects - Qty'!$S$5*1000000</f>
        <v>#N/A</v>
      </c>
      <c r="X23" s="336" t="e">
        <f t="shared" si="0"/>
        <v>#N/A</v>
      </c>
      <c r="Y23" s="340" t="e">
        <f t="shared" si="1"/>
        <v>#N/A</v>
      </c>
      <c r="Z23" s="322" t="e">
        <f t="shared" si="2"/>
        <v>#N/A</v>
      </c>
      <c r="AA23" s="325" t="e">
        <f t="shared" si="6"/>
        <v>#N/A</v>
      </c>
    </row>
    <row r="24" spans="1:27" ht="18" customHeight="1">
      <c r="A24" s="760"/>
      <c r="B24" s="763"/>
      <c r="C24" s="34">
        <f>C23+10</f>
        <v>1170</v>
      </c>
      <c r="D24" s="35" t="s">
        <v>28</v>
      </c>
      <c r="E24" s="52">
        <f>'[3]Falhas UM-1 - Qty'!AA24</f>
        <v>57.160031907277805</v>
      </c>
      <c r="F24" s="256" t="e">
        <f>INT($E24/1000000*'Prod &amp; Defects - Qty'!G$5)</f>
        <v>#N/A</v>
      </c>
      <c r="G24" s="256" t="e">
        <f>INT($E24/1000000*'Prod &amp; Defects - Qty'!H$5)</f>
        <v>#N/A</v>
      </c>
      <c r="H24" s="256" t="e">
        <f>INT($E24/1000000*'Prod &amp; Defects - Qty'!I$5)</f>
        <v>#N/A</v>
      </c>
      <c r="I24" s="256" t="e">
        <f>INT($E24/1000000*'Prod &amp; Defects - Qty'!J$5)</f>
        <v>#N/A</v>
      </c>
      <c r="J24" s="256" t="e">
        <f>INT($E24/1000000*'Prod &amp; Defects - Qty'!K$5)</f>
        <v>#N/A</v>
      </c>
      <c r="K24" s="256" t="e">
        <f>INT($E24/1000000*'Prod &amp; Defects - Qty'!L$5)</f>
        <v>#N/A</v>
      </c>
      <c r="L24" s="256" t="e">
        <f>INT($E24/1000000*'Prod &amp; Defects - Qty'!M$5)</f>
        <v>#N/A</v>
      </c>
      <c r="M24" s="256" t="e">
        <f>INT($E24/1000000*'Prod &amp; Defects - Qty'!N$5)</f>
        <v>#N/A</v>
      </c>
      <c r="N24" s="256" t="e">
        <f>INT($E24/1000000*'Prod &amp; Defects - Qty'!O$5)</f>
        <v>#N/A</v>
      </c>
      <c r="O24" s="256" t="e">
        <f>INT($E24/1000000*'Prod &amp; Defects - Qty'!P$5)</f>
        <v>#N/A</v>
      </c>
      <c r="P24" s="256" t="e">
        <f>INT($E24/1000000*'Prod &amp; Defects - Qty'!Q$5)</f>
        <v>#N/A</v>
      </c>
      <c r="Q24" s="257" t="e">
        <f>INT($E24/1000000*'Prod &amp; Defects - Qty'!R$5)</f>
        <v>#N/A</v>
      </c>
      <c r="R24" s="322" t="e">
        <f t="shared" si="3"/>
        <v>#N/A</v>
      </c>
      <c r="S24" s="241" t="e">
        <f>R24/SUM('Prod &amp; Defects - Qty'!$G$5:$L$5)*1000000</f>
        <v>#N/A</v>
      </c>
      <c r="T24" s="241" t="e">
        <f t="shared" si="4"/>
        <v>#N/A</v>
      </c>
      <c r="U24" s="241" t="e">
        <f>T24/SUM('Prod &amp; Defects - Qty'!$M$5:$R$5)*1000000</f>
        <v>#N/A</v>
      </c>
      <c r="V24" s="241" t="e">
        <f t="shared" si="5"/>
        <v>#N/A</v>
      </c>
      <c r="W24" s="325" t="e">
        <f>V24/'Prod &amp; Defects - Qty'!$S$5*1000000</f>
        <v>#N/A</v>
      </c>
      <c r="X24" s="336" t="e">
        <f t="shared" si="0"/>
        <v>#N/A</v>
      </c>
      <c r="Y24" s="340" t="e">
        <f t="shared" si="1"/>
        <v>#N/A</v>
      </c>
      <c r="Z24" s="322" t="e">
        <f t="shared" si="2"/>
        <v>#N/A</v>
      </c>
      <c r="AA24" s="325" t="e">
        <f t="shared" si="6"/>
        <v>#N/A</v>
      </c>
    </row>
    <row r="25" spans="1:27" ht="18" customHeight="1">
      <c r="A25" s="760"/>
      <c r="B25" s="763"/>
      <c r="C25" s="34">
        <f t="shared" ref="C25:C33" si="7">C24+10</f>
        <v>1180</v>
      </c>
      <c r="D25" s="35" t="s">
        <v>27</v>
      </c>
      <c r="E25" s="52">
        <f>'[3]Falhas UM-1 - Qty'!AA25</f>
        <v>46.327515651395537</v>
      </c>
      <c r="F25" s="256" t="e">
        <f>INT($E25/1000000*'Prod &amp; Defects - Qty'!G$5)</f>
        <v>#N/A</v>
      </c>
      <c r="G25" s="256" t="e">
        <f>INT($E25/1000000*'Prod &amp; Defects - Qty'!H$5)</f>
        <v>#N/A</v>
      </c>
      <c r="H25" s="256" t="e">
        <f>INT($E25/1000000*'Prod &amp; Defects - Qty'!I$5)</f>
        <v>#N/A</v>
      </c>
      <c r="I25" s="256" t="e">
        <f>INT($E25/1000000*'Prod &amp; Defects - Qty'!J$5)</f>
        <v>#N/A</v>
      </c>
      <c r="J25" s="256" t="e">
        <f>INT($E25/1000000*'Prod &amp; Defects - Qty'!K$5)</f>
        <v>#N/A</v>
      </c>
      <c r="K25" s="256" t="e">
        <f>INT($E25/1000000*'Prod &amp; Defects - Qty'!L$5)</f>
        <v>#N/A</v>
      </c>
      <c r="L25" s="256" t="e">
        <f>INT($E25/1000000*'Prod &amp; Defects - Qty'!M$5)</f>
        <v>#N/A</v>
      </c>
      <c r="M25" s="256" t="e">
        <f>INT($E25/1000000*'Prod &amp; Defects - Qty'!N$5)</f>
        <v>#N/A</v>
      </c>
      <c r="N25" s="256" t="e">
        <f>INT($E25/1000000*'Prod &amp; Defects - Qty'!O$5)</f>
        <v>#N/A</v>
      </c>
      <c r="O25" s="256" t="e">
        <f>INT($E25/1000000*'Prod &amp; Defects - Qty'!P$5)</f>
        <v>#N/A</v>
      </c>
      <c r="P25" s="256" t="e">
        <f>INT($E25/1000000*'Prod &amp; Defects - Qty'!Q$5)</f>
        <v>#N/A</v>
      </c>
      <c r="Q25" s="257" t="e">
        <f>INT($E25/1000000*'Prod &amp; Defects - Qty'!R$5)</f>
        <v>#N/A</v>
      </c>
      <c r="R25" s="322" t="e">
        <f t="shared" si="3"/>
        <v>#N/A</v>
      </c>
      <c r="S25" s="241" t="e">
        <f>R25/SUM('Prod &amp; Defects - Qty'!$G$5:$L$5)*1000000</f>
        <v>#N/A</v>
      </c>
      <c r="T25" s="241" t="e">
        <f t="shared" si="4"/>
        <v>#N/A</v>
      </c>
      <c r="U25" s="241" t="e">
        <f>T25/SUM('Prod &amp; Defects - Qty'!$M$5:$R$5)*1000000</f>
        <v>#N/A</v>
      </c>
      <c r="V25" s="241" t="e">
        <f t="shared" si="5"/>
        <v>#N/A</v>
      </c>
      <c r="W25" s="325" t="e">
        <f>V25/'Prod &amp; Defects - Qty'!$S$5*1000000</f>
        <v>#N/A</v>
      </c>
      <c r="X25" s="336" t="e">
        <f t="shared" si="0"/>
        <v>#N/A</v>
      </c>
      <c r="Y25" s="340" t="e">
        <f t="shared" si="1"/>
        <v>#N/A</v>
      </c>
      <c r="Z25" s="322" t="e">
        <f t="shared" si="2"/>
        <v>#N/A</v>
      </c>
      <c r="AA25" s="325" t="e">
        <f t="shared" si="6"/>
        <v>#N/A</v>
      </c>
    </row>
    <row r="26" spans="1:27" ht="18" customHeight="1">
      <c r="A26" s="760"/>
      <c r="B26" s="763"/>
      <c r="C26" s="34">
        <f t="shared" si="7"/>
        <v>1190</v>
      </c>
      <c r="D26" s="35" t="s">
        <v>26</v>
      </c>
      <c r="E26" s="52">
        <f>'[3]Falhas UM-1 - Qty'!AA26</f>
        <v>9.4538598544269465</v>
      </c>
      <c r="F26" s="256" t="e">
        <f>INT($E26/1000000*'Prod &amp; Defects - Qty'!G$5)</f>
        <v>#N/A</v>
      </c>
      <c r="G26" s="256" t="e">
        <f>INT($E26/1000000*'Prod &amp; Defects - Qty'!H$5)</f>
        <v>#N/A</v>
      </c>
      <c r="H26" s="256" t="e">
        <f>INT($E26/1000000*'Prod &amp; Defects - Qty'!I$5)</f>
        <v>#N/A</v>
      </c>
      <c r="I26" s="256" t="e">
        <f>INT($E26/1000000*'Prod &amp; Defects - Qty'!J$5)</f>
        <v>#N/A</v>
      </c>
      <c r="J26" s="256" t="e">
        <f>INT($E26/1000000*'Prod &amp; Defects - Qty'!K$5)</f>
        <v>#N/A</v>
      </c>
      <c r="K26" s="256" t="e">
        <f>INT($E26/1000000*'Prod &amp; Defects - Qty'!L$5)</f>
        <v>#N/A</v>
      </c>
      <c r="L26" s="256" t="e">
        <f>INT($E26/1000000*'Prod &amp; Defects - Qty'!M$5)</f>
        <v>#N/A</v>
      </c>
      <c r="M26" s="256" t="e">
        <f>INT($E26/1000000*'Prod &amp; Defects - Qty'!N$5)</f>
        <v>#N/A</v>
      </c>
      <c r="N26" s="256" t="e">
        <f>INT($E26/1000000*'Prod &amp; Defects - Qty'!O$5)</f>
        <v>#N/A</v>
      </c>
      <c r="O26" s="256" t="e">
        <f>INT($E26/1000000*'Prod &amp; Defects - Qty'!P$5)</f>
        <v>#N/A</v>
      </c>
      <c r="P26" s="256" t="e">
        <f>INT($E26/1000000*'Prod &amp; Defects - Qty'!Q$5)</f>
        <v>#N/A</v>
      </c>
      <c r="Q26" s="257" t="e">
        <f>INT($E26/1000000*'Prod &amp; Defects - Qty'!R$5)</f>
        <v>#N/A</v>
      </c>
      <c r="R26" s="322" t="e">
        <f t="shared" si="3"/>
        <v>#N/A</v>
      </c>
      <c r="S26" s="241" t="e">
        <f>R26/SUM('Prod &amp; Defects - Qty'!$G$5:$L$5)*1000000</f>
        <v>#N/A</v>
      </c>
      <c r="T26" s="241" t="e">
        <f t="shared" si="4"/>
        <v>#N/A</v>
      </c>
      <c r="U26" s="241" t="e">
        <f>T26/SUM('Prod &amp; Defects - Qty'!$M$5:$R$5)*1000000</f>
        <v>#N/A</v>
      </c>
      <c r="V26" s="241" t="e">
        <f t="shared" si="5"/>
        <v>#N/A</v>
      </c>
      <c r="W26" s="325" t="e">
        <f>V26/'Prod &amp; Defects - Qty'!$S$5*1000000</f>
        <v>#N/A</v>
      </c>
      <c r="X26" s="336" t="e">
        <f t="shared" si="0"/>
        <v>#N/A</v>
      </c>
      <c r="Y26" s="340" t="e">
        <f t="shared" si="1"/>
        <v>#N/A</v>
      </c>
      <c r="Z26" s="322" t="e">
        <f t="shared" si="2"/>
        <v>#N/A</v>
      </c>
      <c r="AA26" s="325" t="e">
        <f t="shared" si="6"/>
        <v>#N/A</v>
      </c>
    </row>
    <row r="27" spans="1:27" ht="18" customHeight="1">
      <c r="A27" s="760"/>
      <c r="B27" s="763"/>
      <c r="C27" s="34">
        <f t="shared" si="7"/>
        <v>1200</v>
      </c>
      <c r="D27" s="35" t="s">
        <v>25</v>
      </c>
      <c r="E27" s="52">
        <f>'[3]Falhas UM-1 - Qty'!AA27</f>
        <v>11.064930615493566</v>
      </c>
      <c r="F27" s="256" t="e">
        <f>INT($E27/1000000*'Prod &amp; Defects - Qty'!G$5)</f>
        <v>#N/A</v>
      </c>
      <c r="G27" s="256" t="e">
        <f>INT($E27/1000000*'Prod &amp; Defects - Qty'!H$5)</f>
        <v>#N/A</v>
      </c>
      <c r="H27" s="256" t="e">
        <f>INT($E27/1000000*'Prod &amp; Defects - Qty'!I$5)</f>
        <v>#N/A</v>
      </c>
      <c r="I27" s="256" t="e">
        <f>INT($E27/1000000*'Prod &amp; Defects - Qty'!J$5)</f>
        <v>#N/A</v>
      </c>
      <c r="J27" s="256" t="e">
        <f>INT($E27/1000000*'Prod &amp; Defects - Qty'!K$5)</f>
        <v>#N/A</v>
      </c>
      <c r="K27" s="256" t="e">
        <f>INT($E27/1000000*'Prod &amp; Defects - Qty'!L$5)</f>
        <v>#N/A</v>
      </c>
      <c r="L27" s="256" t="e">
        <f>INT($E27/1000000*'Prod &amp; Defects - Qty'!M$5)</f>
        <v>#N/A</v>
      </c>
      <c r="M27" s="256" t="e">
        <f>INT($E27/1000000*'Prod &amp; Defects - Qty'!N$5)</f>
        <v>#N/A</v>
      </c>
      <c r="N27" s="256" t="e">
        <f>INT($E27/1000000*'Prod &amp; Defects - Qty'!O$5)</f>
        <v>#N/A</v>
      </c>
      <c r="O27" s="256" t="e">
        <f>INT($E27/1000000*'Prod &amp; Defects - Qty'!P$5)</f>
        <v>#N/A</v>
      </c>
      <c r="P27" s="256" t="e">
        <f>INT($E27/1000000*'Prod &amp; Defects - Qty'!Q$5)</f>
        <v>#N/A</v>
      </c>
      <c r="Q27" s="257" t="e">
        <f>INT($E27/1000000*'Prod &amp; Defects - Qty'!R$5)</f>
        <v>#N/A</v>
      </c>
      <c r="R27" s="322" t="e">
        <f t="shared" si="3"/>
        <v>#N/A</v>
      </c>
      <c r="S27" s="241" t="e">
        <f>R27/SUM('Prod &amp; Defects - Qty'!$G$5:$L$5)*1000000</f>
        <v>#N/A</v>
      </c>
      <c r="T27" s="241" t="e">
        <f t="shared" si="4"/>
        <v>#N/A</v>
      </c>
      <c r="U27" s="241" t="e">
        <f>T27/SUM('Prod &amp; Defects - Qty'!$M$5:$R$5)*1000000</f>
        <v>#N/A</v>
      </c>
      <c r="V27" s="241" t="e">
        <f t="shared" si="5"/>
        <v>#N/A</v>
      </c>
      <c r="W27" s="325" t="e">
        <f>V27/'Prod &amp; Defects - Qty'!$S$5*1000000</f>
        <v>#N/A</v>
      </c>
      <c r="X27" s="336" t="e">
        <f t="shared" si="0"/>
        <v>#N/A</v>
      </c>
      <c r="Y27" s="340" t="e">
        <f t="shared" si="1"/>
        <v>#N/A</v>
      </c>
      <c r="Z27" s="322" t="e">
        <f t="shared" si="2"/>
        <v>#N/A</v>
      </c>
      <c r="AA27" s="325" t="e">
        <f t="shared" si="6"/>
        <v>#N/A</v>
      </c>
    </row>
    <row r="28" spans="1:27" ht="18" customHeight="1">
      <c r="A28" s="760"/>
      <c r="B28" s="763"/>
      <c r="C28" s="34">
        <f t="shared" si="7"/>
        <v>1210</v>
      </c>
      <c r="D28" s="35" t="s">
        <v>130</v>
      </c>
      <c r="E28" s="52">
        <f>'[3]Falhas UM-1 - Qty'!AA28</f>
        <v>11.567071767043364</v>
      </c>
      <c r="F28" s="256" t="e">
        <f>INT($E28/1000000*'Prod &amp; Defects - Qty'!G$5)</f>
        <v>#N/A</v>
      </c>
      <c r="G28" s="256" t="e">
        <f>INT($E28/1000000*'Prod &amp; Defects - Qty'!H$5)</f>
        <v>#N/A</v>
      </c>
      <c r="H28" s="256" t="e">
        <f>INT($E28/1000000*'Prod &amp; Defects - Qty'!I$5)</f>
        <v>#N/A</v>
      </c>
      <c r="I28" s="256" t="e">
        <f>INT($E28/1000000*'Prod &amp; Defects - Qty'!J$5)</f>
        <v>#N/A</v>
      </c>
      <c r="J28" s="256" t="e">
        <f>INT($E28/1000000*'Prod &amp; Defects - Qty'!K$5)</f>
        <v>#N/A</v>
      </c>
      <c r="K28" s="256" t="e">
        <f>INT($E28/1000000*'Prod &amp; Defects - Qty'!L$5)</f>
        <v>#N/A</v>
      </c>
      <c r="L28" s="256" t="e">
        <f>INT($E28/1000000*'Prod &amp; Defects - Qty'!M$5)</f>
        <v>#N/A</v>
      </c>
      <c r="M28" s="256" t="e">
        <f>INT($E28/1000000*'Prod &amp; Defects - Qty'!N$5)</f>
        <v>#N/A</v>
      </c>
      <c r="N28" s="256" t="e">
        <f>INT($E28/1000000*'Prod &amp; Defects - Qty'!O$5)</f>
        <v>#N/A</v>
      </c>
      <c r="O28" s="256" t="e">
        <f>INT($E28/1000000*'Prod &amp; Defects - Qty'!P$5)</f>
        <v>#N/A</v>
      </c>
      <c r="P28" s="256" t="e">
        <f>INT($E28/1000000*'Prod &amp; Defects - Qty'!Q$5)</f>
        <v>#N/A</v>
      </c>
      <c r="Q28" s="257" t="e">
        <f>INT($E28/1000000*'Prod &amp; Defects - Qty'!R$5)</f>
        <v>#N/A</v>
      </c>
      <c r="R28" s="322" t="e">
        <f t="shared" si="3"/>
        <v>#N/A</v>
      </c>
      <c r="S28" s="241" t="e">
        <f>R28/SUM('Prod &amp; Defects - Qty'!$G$5:$L$5)*1000000</f>
        <v>#N/A</v>
      </c>
      <c r="T28" s="241" t="e">
        <f t="shared" si="4"/>
        <v>#N/A</v>
      </c>
      <c r="U28" s="241" t="e">
        <f>T28/SUM('Prod &amp; Defects - Qty'!$M$5:$R$5)*1000000</f>
        <v>#N/A</v>
      </c>
      <c r="V28" s="241" t="e">
        <f t="shared" si="5"/>
        <v>#N/A</v>
      </c>
      <c r="W28" s="325" t="e">
        <f>V28/'Prod &amp; Defects - Qty'!$S$5*1000000</f>
        <v>#N/A</v>
      </c>
      <c r="X28" s="336" t="e">
        <f t="shared" si="0"/>
        <v>#N/A</v>
      </c>
      <c r="Y28" s="340" t="e">
        <f t="shared" si="1"/>
        <v>#N/A</v>
      </c>
      <c r="Z28" s="322" t="e">
        <f t="shared" si="2"/>
        <v>#N/A</v>
      </c>
      <c r="AA28" s="325" t="e">
        <f t="shared" si="6"/>
        <v>#N/A</v>
      </c>
    </row>
    <row r="29" spans="1:27" ht="18" customHeight="1">
      <c r="A29" s="760"/>
      <c r="B29" s="763"/>
      <c r="C29" s="34">
        <v>1212</v>
      </c>
      <c r="D29" s="38" t="s">
        <v>131</v>
      </c>
      <c r="E29" s="52">
        <f>'[3]Falhas UM-1 - Qty'!AA29</f>
        <v>8.6916347491794657</v>
      </c>
      <c r="F29" s="260" t="e">
        <f>INT($E29/1000000*'Prod &amp; Defects - Qty'!G$5)</f>
        <v>#N/A</v>
      </c>
      <c r="G29" s="260" t="e">
        <f>INT($E29/1000000*'Prod &amp; Defects - Qty'!H$5)</f>
        <v>#N/A</v>
      </c>
      <c r="H29" s="260" t="e">
        <f>INT($E29/1000000*'Prod &amp; Defects - Qty'!I$5)</f>
        <v>#N/A</v>
      </c>
      <c r="I29" s="260" t="e">
        <f>INT($E29/1000000*'Prod &amp; Defects - Qty'!J$5)</f>
        <v>#N/A</v>
      </c>
      <c r="J29" s="260" t="e">
        <f>INT($E29/1000000*'Prod &amp; Defects - Qty'!K$5)</f>
        <v>#N/A</v>
      </c>
      <c r="K29" s="260" t="e">
        <f>INT($E29/1000000*'Prod &amp; Defects - Qty'!L$5)</f>
        <v>#N/A</v>
      </c>
      <c r="L29" s="260" t="e">
        <f>INT($E29/1000000*'Prod &amp; Defects - Qty'!M$5)</f>
        <v>#N/A</v>
      </c>
      <c r="M29" s="260" t="e">
        <f>INT($E29/1000000*'Prod &amp; Defects - Qty'!N$5)</f>
        <v>#N/A</v>
      </c>
      <c r="N29" s="260" t="e">
        <f>INT($E29/1000000*'Prod &amp; Defects - Qty'!O$5)</f>
        <v>#N/A</v>
      </c>
      <c r="O29" s="260" t="e">
        <f>INT($E29/1000000*'Prod &amp; Defects - Qty'!P$5)</f>
        <v>#N/A</v>
      </c>
      <c r="P29" s="260" t="e">
        <f>INT($E29/1000000*'Prod &amp; Defects - Qty'!Q$5)</f>
        <v>#N/A</v>
      </c>
      <c r="Q29" s="261" t="e">
        <f>INT($E29/1000000*'Prod &amp; Defects - Qty'!R$5)</f>
        <v>#N/A</v>
      </c>
      <c r="R29" s="327" t="e">
        <f t="shared" si="3"/>
        <v>#N/A</v>
      </c>
      <c r="S29" s="243" t="e">
        <f>R29/SUM('Prod &amp; Defects - Qty'!$G$5:$L$5)*1000000</f>
        <v>#N/A</v>
      </c>
      <c r="T29" s="243" t="e">
        <f t="shared" si="4"/>
        <v>#N/A</v>
      </c>
      <c r="U29" s="243" t="e">
        <f>T29/SUM('Prod &amp; Defects - Qty'!$M$5:$R$5)*1000000</f>
        <v>#N/A</v>
      </c>
      <c r="V29" s="243" t="e">
        <f t="shared" si="5"/>
        <v>#N/A</v>
      </c>
      <c r="W29" s="328" t="e">
        <f>V29/'Prod &amp; Defects - Qty'!$S$5*1000000</f>
        <v>#N/A</v>
      </c>
      <c r="X29" s="343" t="e">
        <f t="shared" si="0"/>
        <v>#N/A</v>
      </c>
      <c r="Y29" s="344" t="e">
        <f t="shared" si="1"/>
        <v>#N/A</v>
      </c>
      <c r="Z29" s="327" t="e">
        <f t="shared" si="2"/>
        <v>#N/A</v>
      </c>
      <c r="AA29" s="328" t="e">
        <f t="shared" si="6"/>
        <v>#N/A</v>
      </c>
    </row>
    <row r="30" spans="1:27" ht="18" customHeight="1">
      <c r="A30" s="760"/>
      <c r="B30" s="763"/>
      <c r="C30" s="34">
        <v>1214</v>
      </c>
      <c r="D30" s="35" t="s">
        <v>132</v>
      </c>
      <c r="E30" s="52">
        <f>'[3]Falhas UM-1 - Qty'!AA30</f>
        <v>10.330263896973428</v>
      </c>
      <c r="F30" s="256" t="e">
        <f>INT($E30/1000000*'Prod &amp; Defects - Qty'!G$5)</f>
        <v>#N/A</v>
      </c>
      <c r="G30" s="256" t="e">
        <f>INT($E30/1000000*'Prod &amp; Defects - Qty'!H$5)</f>
        <v>#N/A</v>
      </c>
      <c r="H30" s="256" t="e">
        <f>INT($E30/1000000*'Prod &amp; Defects - Qty'!I$5)</f>
        <v>#N/A</v>
      </c>
      <c r="I30" s="256" t="e">
        <f>INT($E30/1000000*'Prod &amp; Defects - Qty'!J$5)</f>
        <v>#N/A</v>
      </c>
      <c r="J30" s="256" t="e">
        <f>INT($E30/1000000*'Prod &amp; Defects - Qty'!K$5)</f>
        <v>#N/A</v>
      </c>
      <c r="K30" s="256" t="e">
        <f>INT($E30/1000000*'Prod &amp; Defects - Qty'!L$5)</f>
        <v>#N/A</v>
      </c>
      <c r="L30" s="256" t="e">
        <f>INT($E30/1000000*'Prod &amp; Defects - Qty'!M$5)</f>
        <v>#N/A</v>
      </c>
      <c r="M30" s="256" t="e">
        <f>INT($E30/1000000*'Prod &amp; Defects - Qty'!N$5)</f>
        <v>#N/A</v>
      </c>
      <c r="N30" s="256" t="e">
        <f>INT($E30/1000000*'Prod &amp; Defects - Qty'!O$5)</f>
        <v>#N/A</v>
      </c>
      <c r="O30" s="256" t="e">
        <f>INT($E30/1000000*'Prod &amp; Defects - Qty'!P$5)</f>
        <v>#N/A</v>
      </c>
      <c r="P30" s="256" t="e">
        <f>INT($E30/1000000*'Prod &amp; Defects - Qty'!Q$5)</f>
        <v>#N/A</v>
      </c>
      <c r="Q30" s="257" t="e">
        <f>INT($E30/1000000*'Prod &amp; Defects - Qty'!R$5)</f>
        <v>#N/A</v>
      </c>
      <c r="R30" s="322" t="e">
        <f t="shared" si="3"/>
        <v>#N/A</v>
      </c>
      <c r="S30" s="241" t="e">
        <f>R30/SUM('Prod &amp; Defects - Qty'!$G$5:$L$5)*1000000</f>
        <v>#N/A</v>
      </c>
      <c r="T30" s="241" t="e">
        <f t="shared" si="4"/>
        <v>#N/A</v>
      </c>
      <c r="U30" s="241" t="e">
        <f>T30/SUM('Prod &amp; Defects - Qty'!$M$5:$R$5)*1000000</f>
        <v>#N/A</v>
      </c>
      <c r="V30" s="241" t="e">
        <f t="shared" si="5"/>
        <v>#N/A</v>
      </c>
      <c r="W30" s="325" t="e">
        <f>V30/'Prod &amp; Defects - Qty'!$S$5*1000000</f>
        <v>#N/A</v>
      </c>
      <c r="X30" s="336" t="e">
        <f t="shared" si="0"/>
        <v>#N/A</v>
      </c>
      <c r="Y30" s="340" t="e">
        <f t="shared" si="1"/>
        <v>#N/A</v>
      </c>
      <c r="Z30" s="322" t="e">
        <f t="shared" si="2"/>
        <v>#N/A</v>
      </c>
      <c r="AA30" s="325" t="e">
        <f t="shared" si="6"/>
        <v>#N/A</v>
      </c>
    </row>
    <row r="31" spans="1:27" ht="18" customHeight="1">
      <c r="A31" s="760"/>
      <c r="B31" s="763"/>
      <c r="C31" s="34">
        <f>C28+10</f>
        <v>1220</v>
      </c>
      <c r="D31" s="35" t="s">
        <v>24</v>
      </c>
      <c r="E31" s="52">
        <f>'[3]Falhas UM-1 - Qty'!AA31</f>
        <v>68.901749700114777</v>
      </c>
      <c r="F31" s="256" t="e">
        <f>INT($E31/1000000*'Prod &amp; Defects - Qty'!G$5)</f>
        <v>#N/A</v>
      </c>
      <c r="G31" s="256" t="e">
        <f>INT($E31/1000000*'Prod &amp; Defects - Qty'!H$5)</f>
        <v>#N/A</v>
      </c>
      <c r="H31" s="256" t="e">
        <f>INT($E31/1000000*'Prod &amp; Defects - Qty'!I$5)</f>
        <v>#N/A</v>
      </c>
      <c r="I31" s="256" t="e">
        <f>INT($E31/1000000*'Prod &amp; Defects - Qty'!J$5)</f>
        <v>#N/A</v>
      </c>
      <c r="J31" s="256" t="e">
        <f>INT($E31/1000000*'Prod &amp; Defects - Qty'!K$5)</f>
        <v>#N/A</v>
      </c>
      <c r="K31" s="256" t="e">
        <f>INT($E31/1000000*'Prod &amp; Defects - Qty'!L$5)</f>
        <v>#N/A</v>
      </c>
      <c r="L31" s="256" t="e">
        <f>INT($E31/1000000*'Prod &amp; Defects - Qty'!M$5)</f>
        <v>#N/A</v>
      </c>
      <c r="M31" s="256" t="e">
        <f>INT($E31/1000000*'Prod &amp; Defects - Qty'!N$5)</f>
        <v>#N/A</v>
      </c>
      <c r="N31" s="256" t="e">
        <f>INT($E31/1000000*'Prod &amp; Defects - Qty'!O$5)</f>
        <v>#N/A</v>
      </c>
      <c r="O31" s="256" t="e">
        <f>INT($E31/1000000*'Prod &amp; Defects - Qty'!P$5)</f>
        <v>#N/A</v>
      </c>
      <c r="P31" s="256" t="e">
        <f>INT($E31/1000000*'Prod &amp; Defects - Qty'!Q$5)</f>
        <v>#N/A</v>
      </c>
      <c r="Q31" s="257" t="e">
        <f>INT($E31/1000000*'Prod &amp; Defects - Qty'!R$5)</f>
        <v>#N/A</v>
      </c>
      <c r="R31" s="322" t="e">
        <f t="shared" si="3"/>
        <v>#N/A</v>
      </c>
      <c r="S31" s="241" t="e">
        <f>R31/SUM('Prod &amp; Defects - Qty'!$G$5:$L$5)*1000000</f>
        <v>#N/A</v>
      </c>
      <c r="T31" s="241" t="e">
        <f t="shared" si="4"/>
        <v>#N/A</v>
      </c>
      <c r="U31" s="241" t="e">
        <f>T31/SUM('Prod &amp; Defects - Qty'!$M$5:$R$5)*1000000</f>
        <v>#N/A</v>
      </c>
      <c r="V31" s="241" t="e">
        <f t="shared" si="5"/>
        <v>#N/A</v>
      </c>
      <c r="W31" s="325" t="e">
        <f>V31/'Prod &amp; Defects - Qty'!$S$5*1000000</f>
        <v>#N/A</v>
      </c>
      <c r="X31" s="336" t="e">
        <f t="shared" si="0"/>
        <v>#N/A</v>
      </c>
      <c r="Y31" s="340" t="e">
        <f t="shared" si="1"/>
        <v>#N/A</v>
      </c>
      <c r="Z31" s="322" t="e">
        <f t="shared" si="2"/>
        <v>#N/A</v>
      </c>
      <c r="AA31" s="325" t="e">
        <f t="shared" si="6"/>
        <v>#N/A</v>
      </c>
    </row>
    <row r="32" spans="1:27" ht="18" customHeight="1">
      <c r="A32" s="760"/>
      <c r="B32" s="763"/>
      <c r="C32" s="34">
        <f t="shared" si="7"/>
        <v>1230</v>
      </c>
      <c r="D32" s="35" t="s">
        <v>23</v>
      </c>
      <c r="E32" s="52">
        <f>'[3]Falhas UM-1 - Qty'!AA32</f>
        <v>15.304376682057791</v>
      </c>
      <c r="F32" s="256" t="e">
        <f>INT($E32/1000000*'Prod &amp; Defects - Qty'!G$5)</f>
        <v>#N/A</v>
      </c>
      <c r="G32" s="256" t="e">
        <f>INT($E32/1000000*'Prod &amp; Defects - Qty'!H$5)</f>
        <v>#N/A</v>
      </c>
      <c r="H32" s="256" t="e">
        <f>INT($E32/1000000*'Prod &amp; Defects - Qty'!I$5)</f>
        <v>#N/A</v>
      </c>
      <c r="I32" s="256" t="e">
        <f>INT($E32/1000000*'Prod &amp; Defects - Qty'!J$5)</f>
        <v>#N/A</v>
      </c>
      <c r="J32" s="256" t="e">
        <f>INT($E32/1000000*'Prod &amp; Defects - Qty'!K$5)</f>
        <v>#N/A</v>
      </c>
      <c r="K32" s="256" t="e">
        <f>INT($E32/1000000*'Prod &amp; Defects - Qty'!L$5)</f>
        <v>#N/A</v>
      </c>
      <c r="L32" s="256" t="e">
        <f>INT($E32/1000000*'Prod &amp; Defects - Qty'!M$5)</f>
        <v>#N/A</v>
      </c>
      <c r="M32" s="256" t="e">
        <f>INT($E32/1000000*'Prod &amp; Defects - Qty'!N$5)</f>
        <v>#N/A</v>
      </c>
      <c r="N32" s="256" t="e">
        <f>INT($E32/1000000*'Prod &amp; Defects - Qty'!O$5)</f>
        <v>#N/A</v>
      </c>
      <c r="O32" s="256" t="e">
        <f>INT($E32/1000000*'Prod &amp; Defects - Qty'!P$5)</f>
        <v>#N/A</v>
      </c>
      <c r="P32" s="256" t="e">
        <f>INT($E32/1000000*'Prod &amp; Defects - Qty'!Q$5)</f>
        <v>#N/A</v>
      </c>
      <c r="Q32" s="257" t="e">
        <f>INT($E32/1000000*'Prod &amp; Defects - Qty'!R$5)</f>
        <v>#N/A</v>
      </c>
      <c r="R32" s="322" t="e">
        <f t="shared" si="3"/>
        <v>#N/A</v>
      </c>
      <c r="S32" s="241" t="e">
        <f>R32/SUM('Prod &amp; Defects - Qty'!$G$5:$L$5)*1000000</f>
        <v>#N/A</v>
      </c>
      <c r="T32" s="241" t="e">
        <f t="shared" si="4"/>
        <v>#N/A</v>
      </c>
      <c r="U32" s="241" t="e">
        <f>T32/SUM('Prod &amp; Defects - Qty'!$M$5:$R$5)*1000000</f>
        <v>#N/A</v>
      </c>
      <c r="V32" s="241" t="e">
        <f t="shared" si="5"/>
        <v>#N/A</v>
      </c>
      <c r="W32" s="325" t="e">
        <f>V32/'Prod &amp; Defects - Qty'!$S$5*1000000</f>
        <v>#N/A</v>
      </c>
      <c r="X32" s="336" t="e">
        <f t="shared" si="0"/>
        <v>#N/A</v>
      </c>
      <c r="Y32" s="340" t="e">
        <f t="shared" si="1"/>
        <v>#N/A</v>
      </c>
      <c r="Z32" s="322" t="e">
        <f t="shared" si="2"/>
        <v>#N/A</v>
      </c>
      <c r="AA32" s="325" t="e">
        <f t="shared" si="6"/>
        <v>#N/A</v>
      </c>
    </row>
    <row r="33" spans="1:27" ht="18" customHeight="1">
      <c r="A33" s="760"/>
      <c r="B33" s="763"/>
      <c r="C33" s="34">
        <f t="shared" si="7"/>
        <v>1240</v>
      </c>
      <c r="D33" s="35" t="s">
        <v>22</v>
      </c>
      <c r="E33" s="52">
        <f>'[3]Falhas UM-1 - Qty'!AA33</f>
        <v>23.966788047755983</v>
      </c>
      <c r="F33" s="256" t="e">
        <f>INT($E33/1000000*'Prod &amp; Defects - Qty'!G$5)</f>
        <v>#N/A</v>
      </c>
      <c r="G33" s="256" t="e">
        <f>INT($E33/1000000*'Prod &amp; Defects - Qty'!H$5)</f>
        <v>#N/A</v>
      </c>
      <c r="H33" s="256" t="e">
        <f>INT($E33/1000000*'Prod &amp; Defects - Qty'!I$5)</f>
        <v>#N/A</v>
      </c>
      <c r="I33" s="256" t="e">
        <f>INT($E33/1000000*'Prod &amp; Defects - Qty'!J$5)</f>
        <v>#N/A</v>
      </c>
      <c r="J33" s="256" t="e">
        <f>INT($E33/1000000*'Prod &amp; Defects - Qty'!K$5)</f>
        <v>#N/A</v>
      </c>
      <c r="K33" s="256" t="e">
        <f>INT($E33/1000000*'Prod &amp; Defects - Qty'!L$5)</f>
        <v>#N/A</v>
      </c>
      <c r="L33" s="256" t="e">
        <f>INT($E33/1000000*'Prod &amp; Defects - Qty'!M$5)</f>
        <v>#N/A</v>
      </c>
      <c r="M33" s="256" t="e">
        <f>INT($E33/1000000*'Prod &amp; Defects - Qty'!N$5)</f>
        <v>#N/A</v>
      </c>
      <c r="N33" s="256" t="e">
        <f>INT($E33/1000000*'Prod &amp; Defects - Qty'!O$5)</f>
        <v>#N/A</v>
      </c>
      <c r="O33" s="256" t="e">
        <f>INT($E33/1000000*'Prod &amp; Defects - Qty'!P$5)</f>
        <v>#N/A</v>
      </c>
      <c r="P33" s="256" t="e">
        <f>INT($E33/1000000*'Prod &amp; Defects - Qty'!Q$5)</f>
        <v>#N/A</v>
      </c>
      <c r="Q33" s="257" t="e">
        <f>INT($E33/1000000*'Prod &amp; Defects - Qty'!R$5)</f>
        <v>#N/A</v>
      </c>
      <c r="R33" s="322" t="e">
        <f t="shared" si="3"/>
        <v>#N/A</v>
      </c>
      <c r="S33" s="241" t="e">
        <f>R33/SUM('Prod &amp; Defects - Qty'!$G$5:$L$5)*1000000</f>
        <v>#N/A</v>
      </c>
      <c r="T33" s="241" t="e">
        <f t="shared" si="4"/>
        <v>#N/A</v>
      </c>
      <c r="U33" s="241" t="e">
        <f>T33/SUM('Prod &amp; Defects - Qty'!$M$5:$R$5)*1000000</f>
        <v>#N/A</v>
      </c>
      <c r="V33" s="241" t="e">
        <f t="shared" si="5"/>
        <v>#N/A</v>
      </c>
      <c r="W33" s="325" t="e">
        <f>V33/'Prod &amp; Defects - Qty'!$S$5*1000000</f>
        <v>#N/A</v>
      </c>
      <c r="X33" s="336" t="e">
        <f t="shared" si="0"/>
        <v>#N/A</v>
      </c>
      <c r="Y33" s="340" t="e">
        <f t="shared" si="1"/>
        <v>#N/A</v>
      </c>
      <c r="Z33" s="322" t="e">
        <f t="shared" si="2"/>
        <v>#N/A</v>
      </c>
      <c r="AA33" s="325" t="e">
        <f t="shared" si="6"/>
        <v>#N/A</v>
      </c>
    </row>
    <row r="34" spans="1:27" ht="18" customHeight="1">
      <c r="A34" s="760"/>
      <c r="B34" s="763"/>
      <c r="C34" s="39">
        <v>1250</v>
      </c>
      <c r="D34" s="40" t="s">
        <v>125</v>
      </c>
      <c r="E34" s="55">
        <f>'[3]Falhas UM-1 - Qty'!AA34</f>
        <v>45.021256383274824</v>
      </c>
      <c r="F34" s="262" t="e">
        <f>INT($E34/1000000*'Prod &amp; Defects - Qty'!G$5)</f>
        <v>#N/A</v>
      </c>
      <c r="G34" s="262" t="e">
        <f>INT($E34/1000000*'Prod &amp; Defects - Qty'!H$5)</f>
        <v>#N/A</v>
      </c>
      <c r="H34" s="262" t="e">
        <f>INT($E34/1000000*'Prod &amp; Defects - Qty'!I$5)</f>
        <v>#N/A</v>
      </c>
      <c r="I34" s="262" t="e">
        <f>INT($E34/1000000*'Prod &amp; Defects - Qty'!J$5)</f>
        <v>#N/A</v>
      </c>
      <c r="J34" s="262" t="e">
        <f>INT($E34/1000000*'Prod &amp; Defects - Qty'!K$5)</f>
        <v>#N/A</v>
      </c>
      <c r="K34" s="262" t="e">
        <f>INT($E34/1000000*'Prod &amp; Defects - Qty'!L$5)</f>
        <v>#N/A</v>
      </c>
      <c r="L34" s="262" t="e">
        <f>INT($E34/1000000*'Prod &amp; Defects - Qty'!M$5)</f>
        <v>#N/A</v>
      </c>
      <c r="M34" s="262" t="e">
        <f>INT($E34/1000000*'Prod &amp; Defects - Qty'!N$5)</f>
        <v>#N/A</v>
      </c>
      <c r="N34" s="262" t="e">
        <f>INT($E34/1000000*'Prod &amp; Defects - Qty'!O$5)</f>
        <v>#N/A</v>
      </c>
      <c r="O34" s="262" t="e">
        <f>INT($E34/1000000*'Prod &amp; Defects - Qty'!P$5)</f>
        <v>#N/A</v>
      </c>
      <c r="P34" s="262" t="e">
        <f>INT($E34/1000000*'Prod &amp; Defects - Qty'!Q$5)</f>
        <v>#N/A</v>
      </c>
      <c r="Q34" s="263" t="e">
        <f>INT($E34/1000000*'Prod &amp; Defects - Qty'!R$5)</f>
        <v>#N/A</v>
      </c>
      <c r="R34" s="329" t="e">
        <f t="shared" si="3"/>
        <v>#N/A</v>
      </c>
      <c r="S34" s="244" t="e">
        <f>R34/SUM('Prod &amp; Defects - Qty'!$G$5:$L$5)*1000000</f>
        <v>#N/A</v>
      </c>
      <c r="T34" s="244" t="e">
        <f t="shared" si="4"/>
        <v>#N/A</v>
      </c>
      <c r="U34" s="244" t="e">
        <f>T34/SUM('Prod &amp; Defects - Qty'!$M$5:$R$5)*1000000</f>
        <v>#N/A</v>
      </c>
      <c r="V34" s="244" t="e">
        <f t="shared" si="5"/>
        <v>#N/A</v>
      </c>
      <c r="W34" s="330" t="e">
        <f>V34/'Prod &amp; Defects - Qty'!$S$5*1000000</f>
        <v>#N/A</v>
      </c>
      <c r="X34" s="345" t="e">
        <f t="shared" si="0"/>
        <v>#N/A</v>
      </c>
      <c r="Y34" s="346" t="e">
        <f t="shared" si="1"/>
        <v>#N/A</v>
      </c>
      <c r="Z34" s="329" t="e">
        <f t="shared" si="2"/>
        <v>#N/A</v>
      </c>
      <c r="AA34" s="330" t="e">
        <f t="shared" si="6"/>
        <v>#N/A</v>
      </c>
    </row>
    <row r="35" spans="1:27" ht="18" customHeight="1" thickBot="1">
      <c r="A35" s="761"/>
      <c r="B35" s="764"/>
      <c r="C35" s="41">
        <v>1260</v>
      </c>
      <c r="D35" s="42" t="s">
        <v>133</v>
      </c>
      <c r="E35" s="56">
        <f>'[3]Falhas UM-1 - Qty'!AA35</f>
        <v>0.59308355215265496</v>
      </c>
      <c r="F35" s="264" t="e">
        <f>INT($E35/1000000*'Prod &amp; Defects - Qty'!G$5)</f>
        <v>#N/A</v>
      </c>
      <c r="G35" s="264" t="e">
        <f>INT($E35/1000000*'Prod &amp; Defects - Qty'!H$5)</f>
        <v>#N/A</v>
      </c>
      <c r="H35" s="264" t="e">
        <f>INT($E35/1000000*'Prod &amp; Defects - Qty'!I$5)</f>
        <v>#N/A</v>
      </c>
      <c r="I35" s="264" t="e">
        <f>INT($E35/1000000*'Prod &amp; Defects - Qty'!J$5)</f>
        <v>#N/A</v>
      </c>
      <c r="J35" s="264" t="e">
        <f>INT($E35/1000000*'Prod &amp; Defects - Qty'!K$5)</f>
        <v>#N/A</v>
      </c>
      <c r="K35" s="264" t="e">
        <f>INT($E35/1000000*'Prod &amp; Defects - Qty'!L$5)</f>
        <v>#N/A</v>
      </c>
      <c r="L35" s="264" t="e">
        <f>INT($E35/1000000*'Prod &amp; Defects - Qty'!M$5)</f>
        <v>#N/A</v>
      </c>
      <c r="M35" s="264" t="e">
        <f>INT($E35/1000000*'Prod &amp; Defects - Qty'!N$5)</f>
        <v>#N/A</v>
      </c>
      <c r="N35" s="264" t="e">
        <f>INT($E35/1000000*'Prod &amp; Defects - Qty'!O$5)</f>
        <v>#N/A</v>
      </c>
      <c r="O35" s="264" t="e">
        <f>INT($E35/1000000*'Prod &amp; Defects - Qty'!P$5)</f>
        <v>#N/A</v>
      </c>
      <c r="P35" s="264" t="e">
        <f>INT($E35/1000000*'Prod &amp; Defects - Qty'!Q$5)</f>
        <v>#N/A</v>
      </c>
      <c r="Q35" s="265" t="e">
        <f>INT($E35/1000000*'Prod &amp; Defects - Qty'!R$5)</f>
        <v>#N/A</v>
      </c>
      <c r="R35" s="331" t="e">
        <f t="shared" si="3"/>
        <v>#N/A</v>
      </c>
      <c r="S35" s="245" t="e">
        <f>R35/SUM('Prod &amp; Defects - Qty'!$G$5:$L$5)*1000000</f>
        <v>#N/A</v>
      </c>
      <c r="T35" s="245" t="e">
        <f t="shared" si="4"/>
        <v>#N/A</v>
      </c>
      <c r="U35" s="245" t="e">
        <f>T35/SUM('Prod &amp; Defects - Qty'!$M$5:$R$5)*1000000</f>
        <v>#N/A</v>
      </c>
      <c r="V35" s="245" t="e">
        <f t="shared" si="5"/>
        <v>#N/A</v>
      </c>
      <c r="W35" s="332" t="e">
        <f>V35/'Prod &amp; Defects - Qty'!$S$5*1000000</f>
        <v>#N/A</v>
      </c>
      <c r="X35" s="347" t="e">
        <f t="shared" si="0"/>
        <v>#N/A</v>
      </c>
      <c r="Y35" s="348" t="e">
        <f t="shared" si="1"/>
        <v>#N/A</v>
      </c>
      <c r="Z35" s="331" t="e">
        <f t="shared" si="2"/>
        <v>#N/A</v>
      </c>
      <c r="AA35" s="332" t="e">
        <f t="shared" si="6"/>
        <v>#N/A</v>
      </c>
    </row>
    <row r="36" spans="1:27" ht="18" customHeight="1" thickTop="1" thickBot="1">
      <c r="A36" s="751" t="s">
        <v>21</v>
      </c>
      <c r="B36" s="753" t="s">
        <v>20</v>
      </c>
      <c r="C36" s="43"/>
      <c r="D36" s="44" t="s">
        <v>1</v>
      </c>
      <c r="E36" s="53">
        <f>'[3]Falhas UM-1 - Qty'!AA36</f>
        <v>314.43665940715994</v>
      </c>
      <c r="F36" s="266" t="e">
        <f>INT($E36/1000000*'Prod &amp; Defects - Qty'!G$5)</f>
        <v>#N/A</v>
      </c>
      <c r="G36" s="266" t="e">
        <f>INT($E36/1000000*'Prod &amp; Defects - Qty'!H$5)</f>
        <v>#N/A</v>
      </c>
      <c r="H36" s="266" t="e">
        <f>INT($E36/1000000*'Prod &amp; Defects - Qty'!I$5)</f>
        <v>#N/A</v>
      </c>
      <c r="I36" s="266" t="e">
        <f>INT($E36/1000000*'Prod &amp; Defects - Qty'!J$5)</f>
        <v>#N/A</v>
      </c>
      <c r="J36" s="266" t="e">
        <f>INT($E36/1000000*'Prod &amp; Defects - Qty'!K$5)</f>
        <v>#N/A</v>
      </c>
      <c r="K36" s="266" t="e">
        <f>INT($E36/1000000*'Prod &amp; Defects - Qty'!L$5)</f>
        <v>#N/A</v>
      </c>
      <c r="L36" s="266" t="e">
        <f>INT($E36/1000000*'Prod &amp; Defects - Qty'!M$5)</f>
        <v>#N/A</v>
      </c>
      <c r="M36" s="266" t="e">
        <f>INT($E36/1000000*'Prod &amp; Defects - Qty'!N$5)</f>
        <v>#N/A</v>
      </c>
      <c r="N36" s="266" t="e">
        <f>INT($E36/1000000*'Prod &amp; Defects - Qty'!O$5)</f>
        <v>#N/A</v>
      </c>
      <c r="O36" s="266" t="e">
        <f>INT($E36/1000000*'Prod &amp; Defects - Qty'!P$5)</f>
        <v>#N/A</v>
      </c>
      <c r="P36" s="266" t="e">
        <f>INT($E36/1000000*'Prod &amp; Defects - Qty'!Q$5)</f>
        <v>#N/A</v>
      </c>
      <c r="Q36" s="267" t="e">
        <f>INT($E36/1000000*'Prod &amp; Defects - Qty'!R$5)</f>
        <v>#N/A</v>
      </c>
      <c r="R36" s="182" t="e">
        <f t="shared" si="3"/>
        <v>#N/A</v>
      </c>
      <c r="S36" s="183" t="e">
        <f>R36/SUM('Prod &amp; Defects - Qty'!$G$5:$L$5)*1000000</f>
        <v>#N/A</v>
      </c>
      <c r="T36" s="183" t="e">
        <f t="shared" si="4"/>
        <v>#N/A</v>
      </c>
      <c r="U36" s="183" t="e">
        <f>T36/SUM('Prod &amp; Defects - Qty'!$M$5:$R$5)*1000000</f>
        <v>#N/A</v>
      </c>
      <c r="V36" s="183" t="e">
        <f t="shared" si="5"/>
        <v>#N/A</v>
      </c>
      <c r="W36" s="184" t="e">
        <f>V36/'Prod &amp; Defects - Qty'!$S$5*1000000</f>
        <v>#N/A</v>
      </c>
      <c r="X36" s="338" t="e">
        <f t="shared" si="0"/>
        <v>#N/A</v>
      </c>
      <c r="Y36" s="349" t="e">
        <f t="shared" si="1"/>
        <v>#N/A</v>
      </c>
      <c r="Z36" s="182" t="e">
        <f t="shared" si="2"/>
        <v>#N/A</v>
      </c>
      <c r="AA36" s="184" t="e">
        <f>SUM(AA23:AA35)</f>
        <v>#N/A</v>
      </c>
    </row>
    <row r="37" spans="1:27" ht="18" customHeight="1" thickTop="1">
      <c r="A37" s="751"/>
      <c r="B37" s="754"/>
      <c r="C37" s="45">
        <v>1280</v>
      </c>
      <c r="D37" s="46" t="s">
        <v>19</v>
      </c>
      <c r="E37" s="52">
        <f>'[3]Falhas UM-1 - Qty'!AA37</f>
        <v>16.046938179763458</v>
      </c>
      <c r="F37" s="257" t="e">
        <f>INT($E37/1000000*'Prod &amp; Defects - Qty'!G$5)</f>
        <v>#N/A</v>
      </c>
      <c r="G37" s="257" t="e">
        <f>INT($E37/1000000*'Prod &amp; Defects - Qty'!H$5)</f>
        <v>#N/A</v>
      </c>
      <c r="H37" s="257" t="e">
        <f>INT($E37/1000000*'Prod &amp; Defects - Qty'!I$5)</f>
        <v>#N/A</v>
      </c>
      <c r="I37" s="257" t="e">
        <f>INT($E37/1000000*'Prod &amp; Defects - Qty'!J$5)</f>
        <v>#N/A</v>
      </c>
      <c r="J37" s="257" t="e">
        <f>INT($E37/1000000*'Prod &amp; Defects - Qty'!K$5)</f>
        <v>#N/A</v>
      </c>
      <c r="K37" s="257" t="e">
        <f>INT($E37/1000000*'Prod &amp; Defects - Qty'!L$5)</f>
        <v>#N/A</v>
      </c>
      <c r="L37" s="257" t="e">
        <f>INT($E37/1000000*'Prod &amp; Defects - Qty'!M$5)</f>
        <v>#N/A</v>
      </c>
      <c r="M37" s="257" t="e">
        <f>INT($E37/1000000*'Prod &amp; Defects - Qty'!N$5)</f>
        <v>#N/A</v>
      </c>
      <c r="N37" s="257" t="e">
        <f>INT($E37/1000000*'Prod &amp; Defects - Qty'!O$5)</f>
        <v>#N/A</v>
      </c>
      <c r="O37" s="257" t="e">
        <f>INT($E37/1000000*'Prod &amp; Defects - Qty'!P$5)</f>
        <v>#N/A</v>
      </c>
      <c r="P37" s="257" t="e">
        <f>INT($E37/1000000*'Prod &amp; Defects - Qty'!Q$5)</f>
        <v>#N/A</v>
      </c>
      <c r="Q37" s="257" t="e">
        <f>INT($E37/1000000*'Prod &amp; Defects - Qty'!R$5)</f>
        <v>#N/A</v>
      </c>
      <c r="R37" s="333" t="e">
        <f t="shared" si="3"/>
        <v>#N/A</v>
      </c>
      <c r="S37" s="246" t="e">
        <f>R37/SUM('Prod &amp; Defects - Qty'!$G$5:$L$5)*1000000</f>
        <v>#N/A</v>
      </c>
      <c r="T37" s="246" t="e">
        <f t="shared" si="4"/>
        <v>#N/A</v>
      </c>
      <c r="U37" s="246" t="e">
        <f>T37/SUM('Prod &amp; Defects - Qty'!$M$5:$R$5)*1000000</f>
        <v>#N/A</v>
      </c>
      <c r="V37" s="246" t="e">
        <f t="shared" si="5"/>
        <v>#N/A</v>
      </c>
      <c r="W37" s="325" t="e">
        <f>V37/'Prod &amp; Defects - Qty'!$S$5*1000000</f>
        <v>#N/A</v>
      </c>
      <c r="X37" s="350" t="e">
        <f t="shared" si="0"/>
        <v>#N/A</v>
      </c>
      <c r="Y37" s="340" t="e">
        <f t="shared" si="1"/>
        <v>#N/A</v>
      </c>
      <c r="Z37" s="333" t="e">
        <f t="shared" si="2"/>
        <v>#N/A</v>
      </c>
      <c r="AA37" s="325" t="e">
        <f t="shared" si="6"/>
        <v>#N/A</v>
      </c>
    </row>
    <row r="38" spans="1:27" ht="18" customHeight="1">
      <c r="A38" s="751"/>
      <c r="B38" s="754"/>
      <c r="C38" s="45">
        <f>C37+10</f>
        <v>1290</v>
      </c>
      <c r="D38" s="46" t="s">
        <v>18</v>
      </c>
      <c r="E38" s="52">
        <f>'[3]Falhas UM-1 - Qty'!AA38</f>
        <v>10.291224860831736</v>
      </c>
      <c r="F38" s="257" t="e">
        <f>INT($E38/1000000*'Prod &amp; Defects - Qty'!G$5)</f>
        <v>#N/A</v>
      </c>
      <c r="G38" s="257" t="e">
        <f>INT($E38/1000000*'Prod &amp; Defects - Qty'!H$5)</f>
        <v>#N/A</v>
      </c>
      <c r="H38" s="257" t="e">
        <f>INT($E38/1000000*'Prod &amp; Defects - Qty'!I$5)</f>
        <v>#N/A</v>
      </c>
      <c r="I38" s="257" t="e">
        <f>INT($E38/1000000*'Prod &amp; Defects - Qty'!J$5)</f>
        <v>#N/A</v>
      </c>
      <c r="J38" s="257" t="e">
        <f>INT($E38/1000000*'Prod &amp; Defects - Qty'!K$5)</f>
        <v>#N/A</v>
      </c>
      <c r="K38" s="257" t="e">
        <f>INT($E38/1000000*'Prod &amp; Defects - Qty'!L$5)</f>
        <v>#N/A</v>
      </c>
      <c r="L38" s="257" t="e">
        <f>INT($E38/1000000*'Prod &amp; Defects - Qty'!M$5)</f>
        <v>#N/A</v>
      </c>
      <c r="M38" s="257" t="e">
        <f>INT($E38/1000000*'Prod &amp; Defects - Qty'!N$5)</f>
        <v>#N/A</v>
      </c>
      <c r="N38" s="257" t="e">
        <f>INT($E38/1000000*'Prod &amp; Defects - Qty'!O$5)</f>
        <v>#N/A</v>
      </c>
      <c r="O38" s="257" t="e">
        <f>INT($E38/1000000*'Prod &amp; Defects - Qty'!P$5)</f>
        <v>#N/A</v>
      </c>
      <c r="P38" s="257" t="e">
        <f>INT($E38/1000000*'Prod &amp; Defects - Qty'!Q$5)</f>
        <v>#N/A</v>
      </c>
      <c r="Q38" s="257" t="e">
        <f>INT($E38/1000000*'Prod &amp; Defects - Qty'!R$5)</f>
        <v>#N/A</v>
      </c>
      <c r="R38" s="333" t="e">
        <f t="shared" si="3"/>
        <v>#N/A</v>
      </c>
      <c r="S38" s="246" t="e">
        <f>R38/SUM('Prod &amp; Defects - Qty'!$G$5:$L$5)*1000000</f>
        <v>#N/A</v>
      </c>
      <c r="T38" s="246" t="e">
        <f t="shared" si="4"/>
        <v>#N/A</v>
      </c>
      <c r="U38" s="246" t="e">
        <f>T38/SUM('Prod &amp; Defects - Qty'!$M$5:$R$5)*1000000</f>
        <v>#N/A</v>
      </c>
      <c r="V38" s="246" t="e">
        <f t="shared" si="5"/>
        <v>#N/A</v>
      </c>
      <c r="W38" s="325" t="e">
        <f>V38/'Prod &amp; Defects - Qty'!$S$5*1000000</f>
        <v>#N/A</v>
      </c>
      <c r="X38" s="350" t="e">
        <f t="shared" ref="X38:X56" si="8">INT(W38*$AB$6)</f>
        <v>#N/A</v>
      </c>
      <c r="Y38" s="340" t="e">
        <f t="shared" ref="Y38:Y60" si="9">INT(W38*$AB$6)</f>
        <v>#N/A</v>
      </c>
      <c r="Z38" s="333" t="e">
        <f t="shared" ref="Z38:Z61" si="10">(X38+Y38)/2</f>
        <v>#N/A</v>
      </c>
      <c r="AA38" s="325" t="e">
        <f t="shared" si="6"/>
        <v>#N/A</v>
      </c>
    </row>
    <row r="39" spans="1:27" ht="18" customHeight="1">
      <c r="A39" s="751"/>
      <c r="B39" s="754"/>
      <c r="C39" s="45">
        <f t="shared" ref="C39:C56" si="11">C38+10</f>
        <v>1300</v>
      </c>
      <c r="D39" s="46" t="s">
        <v>17</v>
      </c>
      <c r="E39" s="52">
        <f>'[3]Falhas UM-1 - Qty'!AA39</f>
        <v>5.3509483699634535</v>
      </c>
      <c r="F39" s="257" t="e">
        <f>INT($E39/1000000*'Prod &amp; Defects - Qty'!G$5)</f>
        <v>#N/A</v>
      </c>
      <c r="G39" s="257" t="e">
        <f>INT($E39/1000000*'Prod &amp; Defects - Qty'!H$5)</f>
        <v>#N/A</v>
      </c>
      <c r="H39" s="257" t="e">
        <f>INT($E39/1000000*'Prod &amp; Defects - Qty'!I$5)</f>
        <v>#N/A</v>
      </c>
      <c r="I39" s="257" t="e">
        <f>INT($E39/1000000*'Prod &amp; Defects - Qty'!J$5)</f>
        <v>#N/A</v>
      </c>
      <c r="J39" s="257" t="e">
        <f>INT($E39/1000000*'Prod &amp; Defects - Qty'!K$5)</f>
        <v>#N/A</v>
      </c>
      <c r="K39" s="257" t="e">
        <f>INT($E39/1000000*'Prod &amp; Defects - Qty'!L$5)</f>
        <v>#N/A</v>
      </c>
      <c r="L39" s="257" t="e">
        <f>INT($E39/1000000*'Prod &amp; Defects - Qty'!M$5)</f>
        <v>#N/A</v>
      </c>
      <c r="M39" s="257" t="e">
        <f>INT($E39/1000000*'Prod &amp; Defects - Qty'!N$5)</f>
        <v>#N/A</v>
      </c>
      <c r="N39" s="257" t="e">
        <f>INT($E39/1000000*'Prod &amp; Defects - Qty'!O$5)</f>
        <v>#N/A</v>
      </c>
      <c r="O39" s="257" t="e">
        <f>INT($E39/1000000*'Prod &amp; Defects - Qty'!P$5)</f>
        <v>#N/A</v>
      </c>
      <c r="P39" s="257" t="e">
        <f>INT($E39/1000000*'Prod &amp; Defects - Qty'!Q$5)</f>
        <v>#N/A</v>
      </c>
      <c r="Q39" s="257" t="e">
        <f>INT($E39/1000000*'Prod &amp; Defects - Qty'!R$5)</f>
        <v>#N/A</v>
      </c>
      <c r="R39" s="333" t="e">
        <f t="shared" si="3"/>
        <v>#N/A</v>
      </c>
      <c r="S39" s="246" t="e">
        <f>R39/SUM('Prod &amp; Defects - Qty'!$G$5:$L$5)*1000000</f>
        <v>#N/A</v>
      </c>
      <c r="T39" s="246" t="e">
        <f t="shared" si="4"/>
        <v>#N/A</v>
      </c>
      <c r="U39" s="246" t="e">
        <f>T39/SUM('Prod &amp; Defects - Qty'!$M$5:$R$5)*1000000</f>
        <v>#N/A</v>
      </c>
      <c r="V39" s="246" t="e">
        <f t="shared" si="5"/>
        <v>#N/A</v>
      </c>
      <c r="W39" s="325" t="e">
        <f>V39/'Prod &amp; Defects - Qty'!$S$5*1000000</f>
        <v>#N/A</v>
      </c>
      <c r="X39" s="350" t="e">
        <f t="shared" si="8"/>
        <v>#N/A</v>
      </c>
      <c r="Y39" s="340" t="e">
        <f t="shared" si="9"/>
        <v>#N/A</v>
      </c>
      <c r="Z39" s="333" t="e">
        <f t="shared" si="10"/>
        <v>#N/A</v>
      </c>
      <c r="AA39" s="325" t="e">
        <f t="shared" si="6"/>
        <v>#N/A</v>
      </c>
    </row>
    <row r="40" spans="1:27" ht="18" customHeight="1">
      <c r="A40" s="751"/>
      <c r="B40" s="754"/>
      <c r="C40" s="45">
        <f t="shared" si="11"/>
        <v>1310</v>
      </c>
      <c r="D40" s="46" t="s">
        <v>16</v>
      </c>
      <c r="E40" s="52">
        <f>'[3]Falhas UM-1 - Qty'!AA40</f>
        <v>0.85324784970837875</v>
      </c>
      <c r="F40" s="257" t="e">
        <f>INT($E40/1000000*'Prod &amp; Defects - Qty'!G$5)</f>
        <v>#N/A</v>
      </c>
      <c r="G40" s="257" t="e">
        <f>INT($E40/1000000*'Prod &amp; Defects - Qty'!H$5)</f>
        <v>#N/A</v>
      </c>
      <c r="H40" s="257" t="e">
        <f>INT($E40/1000000*'Prod &amp; Defects - Qty'!I$5)</f>
        <v>#N/A</v>
      </c>
      <c r="I40" s="257" t="e">
        <f>INT($E40/1000000*'Prod &amp; Defects - Qty'!J$5)</f>
        <v>#N/A</v>
      </c>
      <c r="J40" s="257" t="e">
        <f>INT($E40/1000000*'Prod &amp; Defects - Qty'!K$5)</f>
        <v>#N/A</v>
      </c>
      <c r="K40" s="257" t="e">
        <f>INT($E40/1000000*'Prod &amp; Defects - Qty'!L$5)</f>
        <v>#N/A</v>
      </c>
      <c r="L40" s="257" t="e">
        <f>INT($E40/1000000*'Prod &amp; Defects - Qty'!M$5)</f>
        <v>#N/A</v>
      </c>
      <c r="M40" s="257" t="e">
        <f>INT($E40/1000000*'Prod &amp; Defects - Qty'!N$5)</f>
        <v>#N/A</v>
      </c>
      <c r="N40" s="257" t="e">
        <f>INT($E40/1000000*'Prod &amp; Defects - Qty'!O$5)</f>
        <v>#N/A</v>
      </c>
      <c r="O40" s="257" t="e">
        <f>INT($E40/1000000*'Prod &amp; Defects - Qty'!P$5)</f>
        <v>#N/A</v>
      </c>
      <c r="P40" s="257" t="e">
        <f>INT($E40/1000000*'Prod &amp; Defects - Qty'!Q$5)</f>
        <v>#N/A</v>
      </c>
      <c r="Q40" s="257" t="e">
        <f>INT($E40/1000000*'Prod &amp; Defects - Qty'!R$5)</f>
        <v>#N/A</v>
      </c>
      <c r="R40" s="333" t="e">
        <f t="shared" si="3"/>
        <v>#N/A</v>
      </c>
      <c r="S40" s="246" t="e">
        <f>R40/SUM('Prod &amp; Defects - Qty'!$G$5:$L$5)*1000000</f>
        <v>#N/A</v>
      </c>
      <c r="T40" s="246" t="e">
        <f t="shared" si="4"/>
        <v>#N/A</v>
      </c>
      <c r="U40" s="246" t="e">
        <f>T40/SUM('Prod &amp; Defects - Qty'!$M$5:$R$5)*1000000</f>
        <v>#N/A</v>
      </c>
      <c r="V40" s="246" t="e">
        <f t="shared" si="5"/>
        <v>#N/A</v>
      </c>
      <c r="W40" s="325" t="e">
        <f>V40/'Prod &amp; Defects - Qty'!$S$5*1000000</f>
        <v>#N/A</v>
      </c>
      <c r="X40" s="350" t="e">
        <f t="shared" si="8"/>
        <v>#N/A</v>
      </c>
      <c r="Y40" s="340" t="e">
        <f t="shared" si="9"/>
        <v>#N/A</v>
      </c>
      <c r="Z40" s="333" t="e">
        <f t="shared" si="10"/>
        <v>#N/A</v>
      </c>
      <c r="AA40" s="325" t="e">
        <f t="shared" si="6"/>
        <v>#N/A</v>
      </c>
    </row>
    <row r="41" spans="1:27" ht="18" customHeight="1">
      <c r="A41" s="751"/>
      <c r="B41" s="754"/>
      <c r="C41" s="45">
        <f t="shared" si="11"/>
        <v>1320</v>
      </c>
      <c r="D41" s="46" t="s">
        <v>15</v>
      </c>
      <c r="E41" s="52">
        <f>'[3]Falhas UM-1 - Qty'!AA41</f>
        <v>16.944515025963355</v>
      </c>
      <c r="F41" s="257" t="e">
        <f>INT($E41/1000000*'Prod &amp; Defects - Qty'!G$5)</f>
        <v>#N/A</v>
      </c>
      <c r="G41" s="257" t="e">
        <f>INT($E41/1000000*'Prod &amp; Defects - Qty'!H$5)</f>
        <v>#N/A</v>
      </c>
      <c r="H41" s="257" t="e">
        <f>INT($E41/1000000*'Prod &amp; Defects - Qty'!I$5)</f>
        <v>#N/A</v>
      </c>
      <c r="I41" s="257" t="e">
        <f>INT($E41/1000000*'Prod &amp; Defects - Qty'!J$5)</f>
        <v>#N/A</v>
      </c>
      <c r="J41" s="257" t="e">
        <f>INT($E41/1000000*'Prod &amp; Defects - Qty'!K$5)</f>
        <v>#N/A</v>
      </c>
      <c r="K41" s="257" t="e">
        <f>INT($E41/1000000*'Prod &amp; Defects - Qty'!L$5)</f>
        <v>#N/A</v>
      </c>
      <c r="L41" s="257" t="e">
        <f>INT($E41/1000000*'Prod &amp; Defects - Qty'!M$5)</f>
        <v>#N/A</v>
      </c>
      <c r="M41" s="257" t="e">
        <f>INT($E41/1000000*'Prod &amp; Defects - Qty'!N$5)</f>
        <v>#N/A</v>
      </c>
      <c r="N41" s="257" t="e">
        <f>INT($E41/1000000*'Prod &amp; Defects - Qty'!O$5)</f>
        <v>#N/A</v>
      </c>
      <c r="O41" s="257" t="e">
        <f>INT($E41/1000000*'Prod &amp; Defects - Qty'!P$5)</f>
        <v>#N/A</v>
      </c>
      <c r="P41" s="257" t="e">
        <f>INT($E41/1000000*'Prod &amp; Defects - Qty'!Q$5)</f>
        <v>#N/A</v>
      </c>
      <c r="Q41" s="257" t="e">
        <f>INT($E41/1000000*'Prod &amp; Defects - Qty'!R$5)</f>
        <v>#N/A</v>
      </c>
      <c r="R41" s="333" t="e">
        <f t="shared" si="3"/>
        <v>#N/A</v>
      </c>
      <c r="S41" s="246" t="e">
        <f>R41/SUM('Prod &amp; Defects - Qty'!$G$5:$L$5)*1000000</f>
        <v>#N/A</v>
      </c>
      <c r="T41" s="246" t="e">
        <f t="shared" si="4"/>
        <v>#N/A</v>
      </c>
      <c r="U41" s="246" t="e">
        <f>T41/SUM('Prod &amp; Defects - Qty'!$M$5:$R$5)*1000000</f>
        <v>#N/A</v>
      </c>
      <c r="V41" s="246" t="e">
        <f t="shared" si="5"/>
        <v>#N/A</v>
      </c>
      <c r="W41" s="325" t="e">
        <f>V41/'Prod &amp; Defects - Qty'!$S$5*1000000</f>
        <v>#N/A</v>
      </c>
      <c r="X41" s="350" t="e">
        <f t="shared" si="8"/>
        <v>#N/A</v>
      </c>
      <c r="Y41" s="340" t="e">
        <f t="shared" si="9"/>
        <v>#N/A</v>
      </c>
      <c r="Z41" s="333" t="e">
        <f t="shared" si="10"/>
        <v>#N/A</v>
      </c>
      <c r="AA41" s="325" t="e">
        <f t="shared" si="6"/>
        <v>#N/A</v>
      </c>
    </row>
    <row r="42" spans="1:27" ht="18" customHeight="1">
      <c r="A42" s="751"/>
      <c r="B42" s="754"/>
      <c r="C42" s="45">
        <f t="shared" si="11"/>
        <v>1330</v>
      </c>
      <c r="D42" s="46" t="s">
        <v>14</v>
      </c>
      <c r="E42" s="52">
        <f>'[3]Falhas UM-1 - Qty'!AA42</f>
        <v>15.446374090890249</v>
      </c>
      <c r="F42" s="257" t="e">
        <f>INT($E42/1000000*'Prod &amp; Defects - Qty'!G$5)</f>
        <v>#N/A</v>
      </c>
      <c r="G42" s="257" t="e">
        <f>INT($E42/1000000*'Prod &amp; Defects - Qty'!H$5)</f>
        <v>#N/A</v>
      </c>
      <c r="H42" s="257" t="e">
        <f>INT($E42/1000000*'Prod &amp; Defects - Qty'!I$5)</f>
        <v>#N/A</v>
      </c>
      <c r="I42" s="257" t="e">
        <f>INT($E42/1000000*'Prod &amp; Defects - Qty'!J$5)</f>
        <v>#N/A</v>
      </c>
      <c r="J42" s="257" t="e">
        <f>INT($E42/1000000*'Prod &amp; Defects - Qty'!K$5)</f>
        <v>#N/A</v>
      </c>
      <c r="K42" s="257" t="e">
        <f>INT($E42/1000000*'Prod &amp; Defects - Qty'!L$5)</f>
        <v>#N/A</v>
      </c>
      <c r="L42" s="257" t="e">
        <f>INT($E42/1000000*'Prod &amp; Defects - Qty'!M$5)</f>
        <v>#N/A</v>
      </c>
      <c r="M42" s="257" t="e">
        <f>INT($E42/1000000*'Prod &amp; Defects - Qty'!N$5)</f>
        <v>#N/A</v>
      </c>
      <c r="N42" s="257" t="e">
        <f>INT($E42/1000000*'Prod &amp; Defects - Qty'!O$5)</f>
        <v>#N/A</v>
      </c>
      <c r="O42" s="257" t="e">
        <f>INT($E42/1000000*'Prod &amp; Defects - Qty'!P$5)</f>
        <v>#N/A</v>
      </c>
      <c r="P42" s="257" t="e">
        <f>INT($E42/1000000*'Prod &amp; Defects - Qty'!Q$5)</f>
        <v>#N/A</v>
      </c>
      <c r="Q42" s="257" t="e">
        <f>INT($E42/1000000*'Prod &amp; Defects - Qty'!R$5)</f>
        <v>#N/A</v>
      </c>
      <c r="R42" s="333" t="e">
        <f t="shared" si="3"/>
        <v>#N/A</v>
      </c>
      <c r="S42" s="246" t="e">
        <f>R42/SUM('Prod &amp; Defects - Qty'!$G$5:$L$5)*1000000</f>
        <v>#N/A</v>
      </c>
      <c r="T42" s="246" t="e">
        <f t="shared" si="4"/>
        <v>#N/A</v>
      </c>
      <c r="U42" s="246" t="e">
        <f>T42/SUM('Prod &amp; Defects - Qty'!$M$5:$R$5)*1000000</f>
        <v>#N/A</v>
      </c>
      <c r="V42" s="246" t="e">
        <f t="shared" si="5"/>
        <v>#N/A</v>
      </c>
      <c r="W42" s="325" t="e">
        <f>V42/'Prod &amp; Defects - Qty'!$S$5*1000000</f>
        <v>#N/A</v>
      </c>
      <c r="X42" s="350" t="e">
        <f t="shared" si="8"/>
        <v>#N/A</v>
      </c>
      <c r="Y42" s="340" t="e">
        <f t="shared" si="9"/>
        <v>#N/A</v>
      </c>
      <c r="Z42" s="333" t="e">
        <f t="shared" si="10"/>
        <v>#N/A</v>
      </c>
      <c r="AA42" s="325" t="e">
        <f t="shared" si="6"/>
        <v>#N/A</v>
      </c>
    </row>
    <row r="43" spans="1:27" ht="18" customHeight="1">
      <c r="A43" s="751"/>
      <c r="B43" s="754"/>
      <c r="C43" s="45">
        <f t="shared" si="11"/>
        <v>1340</v>
      </c>
      <c r="D43" s="46" t="s">
        <v>130</v>
      </c>
      <c r="E43" s="52">
        <f>'[3]Falhas UM-1 - Qty'!AA43</f>
        <v>11.680819553396297</v>
      </c>
      <c r="F43" s="257" t="e">
        <f>INT($E43/1000000*'Prod &amp; Defects - Qty'!G$5)</f>
        <v>#N/A</v>
      </c>
      <c r="G43" s="257" t="e">
        <f>INT($E43/1000000*'Prod &amp; Defects - Qty'!H$5)</f>
        <v>#N/A</v>
      </c>
      <c r="H43" s="257" t="e">
        <f>INT($E43/1000000*'Prod &amp; Defects - Qty'!I$5)</f>
        <v>#N/A</v>
      </c>
      <c r="I43" s="257" t="e">
        <f>INT($E43/1000000*'Prod &amp; Defects - Qty'!J$5)</f>
        <v>#N/A</v>
      </c>
      <c r="J43" s="257" t="e">
        <f>INT($E43/1000000*'Prod &amp; Defects - Qty'!K$5)</f>
        <v>#N/A</v>
      </c>
      <c r="K43" s="257" t="e">
        <f>INT($E43/1000000*'Prod &amp; Defects - Qty'!L$5)</f>
        <v>#N/A</v>
      </c>
      <c r="L43" s="257" t="e">
        <f>INT($E43/1000000*'Prod &amp; Defects - Qty'!M$5)</f>
        <v>#N/A</v>
      </c>
      <c r="M43" s="257" t="e">
        <f>INT($E43/1000000*'Prod &amp; Defects - Qty'!N$5)</f>
        <v>#N/A</v>
      </c>
      <c r="N43" s="257" t="e">
        <f>INT($E43/1000000*'Prod &amp; Defects - Qty'!O$5)</f>
        <v>#N/A</v>
      </c>
      <c r="O43" s="257" t="e">
        <f>INT($E43/1000000*'Prod &amp; Defects - Qty'!P$5)</f>
        <v>#N/A</v>
      </c>
      <c r="P43" s="257" t="e">
        <f>INT($E43/1000000*'Prod &amp; Defects - Qty'!Q$5)</f>
        <v>#N/A</v>
      </c>
      <c r="Q43" s="257" t="e">
        <f>INT($E43/1000000*'Prod &amp; Defects - Qty'!R$5)</f>
        <v>#N/A</v>
      </c>
      <c r="R43" s="333" t="e">
        <f t="shared" si="3"/>
        <v>#N/A</v>
      </c>
      <c r="S43" s="246" t="e">
        <f>R43/SUM('Prod &amp; Defects - Qty'!$G$5:$L$5)*1000000</f>
        <v>#N/A</v>
      </c>
      <c r="T43" s="246" t="e">
        <f t="shared" si="4"/>
        <v>#N/A</v>
      </c>
      <c r="U43" s="246" t="e">
        <f>T43/SUM('Prod &amp; Defects - Qty'!$M$5:$R$5)*1000000</f>
        <v>#N/A</v>
      </c>
      <c r="V43" s="246" t="e">
        <f t="shared" si="5"/>
        <v>#N/A</v>
      </c>
      <c r="W43" s="325" t="e">
        <f>V43/'Prod &amp; Defects - Qty'!$S$5*1000000</f>
        <v>#N/A</v>
      </c>
      <c r="X43" s="350" t="e">
        <f t="shared" si="8"/>
        <v>#N/A</v>
      </c>
      <c r="Y43" s="340" t="e">
        <f t="shared" si="9"/>
        <v>#N/A</v>
      </c>
      <c r="Z43" s="333" t="e">
        <f t="shared" si="10"/>
        <v>#N/A</v>
      </c>
      <c r="AA43" s="325" t="e">
        <f t="shared" si="6"/>
        <v>#N/A</v>
      </c>
    </row>
    <row r="44" spans="1:27" ht="18" customHeight="1">
      <c r="A44" s="751"/>
      <c r="B44" s="754"/>
      <c r="C44" s="45">
        <v>1342</v>
      </c>
      <c r="D44" s="47" t="s">
        <v>131</v>
      </c>
      <c r="E44" s="52">
        <f>'[3]Falhas UM-1 - Qty'!AA44</f>
        <v>5.3766599318004289</v>
      </c>
      <c r="F44" s="261" t="e">
        <f>INT($E44/1000000*'Prod &amp; Defects - Qty'!G$5)</f>
        <v>#N/A</v>
      </c>
      <c r="G44" s="261" t="e">
        <f>INT($E44/1000000*'Prod &amp; Defects - Qty'!H$5)</f>
        <v>#N/A</v>
      </c>
      <c r="H44" s="261" t="e">
        <f>INT($E44/1000000*'Prod &amp; Defects - Qty'!I$5)</f>
        <v>#N/A</v>
      </c>
      <c r="I44" s="261" t="e">
        <f>INT($E44/1000000*'Prod &amp; Defects - Qty'!J$5)</f>
        <v>#N/A</v>
      </c>
      <c r="J44" s="261" t="e">
        <f>INT($E44/1000000*'Prod &amp; Defects - Qty'!K$5)</f>
        <v>#N/A</v>
      </c>
      <c r="K44" s="261" t="e">
        <f>INT($E44/1000000*'Prod &amp; Defects - Qty'!L$5)</f>
        <v>#N/A</v>
      </c>
      <c r="L44" s="261" t="e">
        <f>INT($E44/1000000*'Prod &amp; Defects - Qty'!M$5)</f>
        <v>#N/A</v>
      </c>
      <c r="M44" s="261" t="e">
        <f>INT($E44/1000000*'Prod &amp; Defects - Qty'!N$5)</f>
        <v>#N/A</v>
      </c>
      <c r="N44" s="261" t="e">
        <f>INT($E44/1000000*'Prod &amp; Defects - Qty'!O$5)</f>
        <v>#N/A</v>
      </c>
      <c r="O44" s="261" t="e">
        <f>INT($E44/1000000*'Prod &amp; Defects - Qty'!P$5)</f>
        <v>#N/A</v>
      </c>
      <c r="P44" s="261" t="e">
        <f>INT($E44/1000000*'Prod &amp; Defects - Qty'!Q$5)</f>
        <v>#N/A</v>
      </c>
      <c r="Q44" s="261" t="e">
        <f>INT($E44/1000000*'Prod &amp; Defects - Qty'!R$5)</f>
        <v>#N/A</v>
      </c>
      <c r="R44" s="334" t="e">
        <f t="shared" si="3"/>
        <v>#N/A</v>
      </c>
      <c r="S44" s="247" t="e">
        <f>R44/SUM('Prod &amp; Defects - Qty'!$G$5:$L$5)*1000000</f>
        <v>#N/A</v>
      </c>
      <c r="T44" s="247" t="e">
        <f t="shared" si="4"/>
        <v>#N/A</v>
      </c>
      <c r="U44" s="247" t="e">
        <f>T44/SUM('Prod &amp; Defects - Qty'!$M$5:$R$5)*1000000</f>
        <v>#N/A</v>
      </c>
      <c r="V44" s="247" t="e">
        <f t="shared" si="5"/>
        <v>#N/A</v>
      </c>
      <c r="W44" s="328" t="e">
        <f>V44/'Prod &amp; Defects - Qty'!$S$5*1000000</f>
        <v>#N/A</v>
      </c>
      <c r="X44" s="351" t="e">
        <f t="shared" si="8"/>
        <v>#N/A</v>
      </c>
      <c r="Y44" s="344" t="e">
        <f t="shared" si="9"/>
        <v>#N/A</v>
      </c>
      <c r="Z44" s="334" t="e">
        <f t="shared" si="10"/>
        <v>#N/A</v>
      </c>
      <c r="AA44" s="328" t="e">
        <f t="shared" si="6"/>
        <v>#N/A</v>
      </c>
    </row>
    <row r="45" spans="1:27" ht="18" customHeight="1">
      <c r="A45" s="751"/>
      <c r="B45" s="754"/>
      <c r="C45" s="45">
        <v>1344</v>
      </c>
      <c r="D45" s="46" t="s">
        <v>134</v>
      </c>
      <c r="E45" s="52">
        <f>'[3]Falhas UM-1 - Qty'!AA45</f>
        <v>6.6211125349503082</v>
      </c>
      <c r="F45" s="257" t="e">
        <f>INT($E45/1000000*'Prod &amp; Defects - Qty'!G$5)</f>
        <v>#N/A</v>
      </c>
      <c r="G45" s="257" t="e">
        <f>INT($E45/1000000*'Prod &amp; Defects - Qty'!H$5)</f>
        <v>#N/A</v>
      </c>
      <c r="H45" s="257" t="e">
        <f>INT($E45/1000000*'Prod &amp; Defects - Qty'!I$5)</f>
        <v>#N/A</v>
      </c>
      <c r="I45" s="257" t="e">
        <f>INT($E45/1000000*'Prod &amp; Defects - Qty'!J$5)</f>
        <v>#N/A</v>
      </c>
      <c r="J45" s="257" t="e">
        <f>INT($E45/1000000*'Prod &amp; Defects - Qty'!K$5)</f>
        <v>#N/A</v>
      </c>
      <c r="K45" s="257" t="e">
        <f>INT($E45/1000000*'Prod &amp; Defects - Qty'!L$5)</f>
        <v>#N/A</v>
      </c>
      <c r="L45" s="257" t="e">
        <f>INT($E45/1000000*'Prod &amp; Defects - Qty'!M$5)</f>
        <v>#N/A</v>
      </c>
      <c r="M45" s="257" t="e">
        <f>INT($E45/1000000*'Prod &amp; Defects - Qty'!N$5)</f>
        <v>#N/A</v>
      </c>
      <c r="N45" s="257" t="e">
        <f>INT($E45/1000000*'Prod &amp; Defects - Qty'!O$5)</f>
        <v>#N/A</v>
      </c>
      <c r="O45" s="257" t="e">
        <f>INT($E45/1000000*'Prod &amp; Defects - Qty'!P$5)</f>
        <v>#N/A</v>
      </c>
      <c r="P45" s="257" t="e">
        <f>INT($E45/1000000*'Prod &amp; Defects - Qty'!Q$5)</f>
        <v>#N/A</v>
      </c>
      <c r="Q45" s="257" t="e">
        <f>INT($E45/1000000*'Prod &amp; Defects - Qty'!R$5)</f>
        <v>#N/A</v>
      </c>
      <c r="R45" s="333" t="e">
        <f t="shared" si="3"/>
        <v>#N/A</v>
      </c>
      <c r="S45" s="246" t="e">
        <f>R45/SUM('Prod &amp; Defects - Qty'!$G$5:$L$5)*1000000</f>
        <v>#N/A</v>
      </c>
      <c r="T45" s="246" t="e">
        <f t="shared" si="4"/>
        <v>#N/A</v>
      </c>
      <c r="U45" s="246" t="e">
        <f>T45/SUM('Prod &amp; Defects - Qty'!$M$5:$R$5)*1000000</f>
        <v>#N/A</v>
      </c>
      <c r="V45" s="246" t="e">
        <f t="shared" si="5"/>
        <v>#N/A</v>
      </c>
      <c r="W45" s="325" t="e">
        <f>V45/'Prod &amp; Defects - Qty'!$S$5*1000000</f>
        <v>#N/A</v>
      </c>
      <c r="X45" s="350" t="e">
        <f t="shared" si="8"/>
        <v>#N/A</v>
      </c>
      <c r="Y45" s="340" t="e">
        <f t="shared" si="9"/>
        <v>#N/A</v>
      </c>
      <c r="Z45" s="333" t="e">
        <f t="shared" si="10"/>
        <v>#N/A</v>
      </c>
      <c r="AA45" s="325" t="e">
        <f t="shared" si="6"/>
        <v>#N/A</v>
      </c>
    </row>
    <row r="46" spans="1:27" ht="18" customHeight="1">
      <c r="A46" s="751"/>
      <c r="B46" s="754"/>
      <c r="C46" s="45">
        <f>C43+10</f>
        <v>1350</v>
      </c>
      <c r="D46" s="46" t="s">
        <v>13</v>
      </c>
      <c r="E46" s="52">
        <f>'[3]Falhas UM-1 - Qty'!AA46</f>
        <v>37.541573424929162</v>
      </c>
      <c r="F46" s="257" t="e">
        <f>INT($E46/1000000*'Prod &amp; Defects - Qty'!G$5)</f>
        <v>#N/A</v>
      </c>
      <c r="G46" s="257" t="e">
        <f>INT($E46/1000000*'Prod &amp; Defects - Qty'!H$5)</f>
        <v>#N/A</v>
      </c>
      <c r="H46" s="257" t="e">
        <f>INT($E46/1000000*'Prod &amp; Defects - Qty'!I$5)</f>
        <v>#N/A</v>
      </c>
      <c r="I46" s="257" t="e">
        <f>INT($E46/1000000*'Prod &amp; Defects - Qty'!J$5)</f>
        <v>#N/A</v>
      </c>
      <c r="J46" s="257" t="e">
        <f>INT($E46/1000000*'Prod &amp; Defects - Qty'!K$5)</f>
        <v>#N/A</v>
      </c>
      <c r="K46" s="257" t="e">
        <f>INT($E46/1000000*'Prod &amp; Defects - Qty'!L$5)</f>
        <v>#N/A</v>
      </c>
      <c r="L46" s="257" t="e">
        <f>INT($E46/1000000*'Prod &amp; Defects - Qty'!M$5)</f>
        <v>#N/A</v>
      </c>
      <c r="M46" s="257" t="e">
        <f>INT($E46/1000000*'Prod &amp; Defects - Qty'!N$5)</f>
        <v>#N/A</v>
      </c>
      <c r="N46" s="257" t="e">
        <f>INT($E46/1000000*'Prod &amp; Defects - Qty'!O$5)</f>
        <v>#N/A</v>
      </c>
      <c r="O46" s="257" t="e">
        <f>INT($E46/1000000*'Prod &amp; Defects - Qty'!P$5)</f>
        <v>#N/A</v>
      </c>
      <c r="P46" s="257" t="e">
        <f>INT($E46/1000000*'Prod &amp; Defects - Qty'!Q$5)</f>
        <v>#N/A</v>
      </c>
      <c r="Q46" s="257" t="e">
        <f>INT($E46/1000000*'Prod &amp; Defects - Qty'!R$5)</f>
        <v>#N/A</v>
      </c>
      <c r="R46" s="333" t="e">
        <f t="shared" si="3"/>
        <v>#N/A</v>
      </c>
      <c r="S46" s="246" t="e">
        <f>R46/SUM('Prod &amp; Defects - Qty'!$G$5:$L$5)*1000000</f>
        <v>#N/A</v>
      </c>
      <c r="T46" s="246" t="e">
        <f t="shared" si="4"/>
        <v>#N/A</v>
      </c>
      <c r="U46" s="246" t="e">
        <f>T46/SUM('Prod &amp; Defects - Qty'!$M$5:$R$5)*1000000</f>
        <v>#N/A</v>
      </c>
      <c r="V46" s="246" t="e">
        <f t="shared" si="5"/>
        <v>#N/A</v>
      </c>
      <c r="W46" s="325" t="e">
        <f>V46/'Prod &amp; Defects - Qty'!$S$5*1000000</f>
        <v>#N/A</v>
      </c>
      <c r="X46" s="350" t="e">
        <f t="shared" si="8"/>
        <v>#N/A</v>
      </c>
      <c r="Y46" s="340" t="e">
        <f t="shared" si="9"/>
        <v>#N/A</v>
      </c>
      <c r="Z46" s="333" t="e">
        <f t="shared" si="10"/>
        <v>#N/A</v>
      </c>
      <c r="AA46" s="325" t="e">
        <f t="shared" si="6"/>
        <v>#N/A</v>
      </c>
    </row>
    <row r="47" spans="1:27" ht="18" customHeight="1">
      <c r="A47" s="751"/>
      <c r="B47" s="754"/>
      <c r="C47" s="45">
        <f t="shared" si="11"/>
        <v>1360</v>
      </c>
      <c r="D47" s="46" t="s">
        <v>12</v>
      </c>
      <c r="E47" s="52">
        <f>'[3]Falhas UM-1 - Qty'!AA47</f>
        <v>2.8581863724049361</v>
      </c>
      <c r="F47" s="257" t="e">
        <f>INT($E47/1000000*'Prod &amp; Defects - Qty'!G$5)</f>
        <v>#N/A</v>
      </c>
      <c r="G47" s="257" t="e">
        <f>INT($E47/1000000*'Prod &amp; Defects - Qty'!H$5)</f>
        <v>#N/A</v>
      </c>
      <c r="H47" s="257" t="e">
        <f>INT($E47/1000000*'Prod &amp; Defects - Qty'!I$5)</f>
        <v>#N/A</v>
      </c>
      <c r="I47" s="257" t="e">
        <f>INT($E47/1000000*'Prod &amp; Defects - Qty'!J$5)</f>
        <v>#N/A</v>
      </c>
      <c r="J47" s="257" t="e">
        <f>INT($E47/1000000*'Prod &amp; Defects - Qty'!K$5)</f>
        <v>#N/A</v>
      </c>
      <c r="K47" s="257" t="e">
        <f>INT($E47/1000000*'Prod &amp; Defects - Qty'!L$5)</f>
        <v>#N/A</v>
      </c>
      <c r="L47" s="257" t="e">
        <f>INT($E47/1000000*'Prod &amp; Defects - Qty'!M$5)</f>
        <v>#N/A</v>
      </c>
      <c r="M47" s="257" t="e">
        <f>INT($E47/1000000*'Prod &amp; Defects - Qty'!N$5)</f>
        <v>#N/A</v>
      </c>
      <c r="N47" s="257" t="e">
        <f>INT($E47/1000000*'Prod &amp; Defects - Qty'!O$5)</f>
        <v>#N/A</v>
      </c>
      <c r="O47" s="257" t="e">
        <f>INT($E47/1000000*'Prod &amp; Defects - Qty'!P$5)</f>
        <v>#N/A</v>
      </c>
      <c r="P47" s="257" t="e">
        <f>INT($E47/1000000*'Prod &amp; Defects - Qty'!Q$5)</f>
        <v>#N/A</v>
      </c>
      <c r="Q47" s="257" t="e">
        <f>INT($E47/1000000*'Prod &amp; Defects - Qty'!R$5)</f>
        <v>#N/A</v>
      </c>
      <c r="R47" s="333" t="e">
        <f t="shared" si="3"/>
        <v>#N/A</v>
      </c>
      <c r="S47" s="246" t="e">
        <f>R47/SUM('Prod &amp; Defects - Qty'!$G$5:$L$5)*1000000</f>
        <v>#N/A</v>
      </c>
      <c r="T47" s="246" t="e">
        <f t="shared" si="4"/>
        <v>#N/A</v>
      </c>
      <c r="U47" s="246" t="e">
        <f>T47/SUM('Prod &amp; Defects - Qty'!$M$5:$R$5)*1000000</f>
        <v>#N/A</v>
      </c>
      <c r="V47" s="246" t="e">
        <f t="shared" si="5"/>
        <v>#N/A</v>
      </c>
      <c r="W47" s="325" t="e">
        <f>V47/'Prod &amp; Defects - Qty'!$S$5*1000000</f>
        <v>#N/A</v>
      </c>
      <c r="X47" s="350" t="e">
        <f t="shared" si="8"/>
        <v>#N/A</v>
      </c>
      <c r="Y47" s="340" t="e">
        <f t="shared" si="9"/>
        <v>#N/A</v>
      </c>
      <c r="Z47" s="333" t="e">
        <f t="shared" si="10"/>
        <v>#N/A</v>
      </c>
      <c r="AA47" s="325" t="e">
        <f t="shared" si="6"/>
        <v>#N/A</v>
      </c>
    </row>
    <row r="48" spans="1:27" ht="18" customHeight="1">
      <c r="A48" s="751"/>
      <c r="B48" s="754"/>
      <c r="C48" s="45">
        <f t="shared" si="11"/>
        <v>1370</v>
      </c>
      <c r="D48" s="46" t="s">
        <v>11</v>
      </c>
      <c r="E48" s="52">
        <f>'[3]Falhas UM-1 - Qty'!AA48</f>
        <v>93.701124717146584</v>
      </c>
      <c r="F48" s="257" t="e">
        <f>INT($E48/1000000*'Prod &amp; Defects - Qty'!G$5)</f>
        <v>#N/A</v>
      </c>
      <c r="G48" s="257" t="e">
        <f>INT($E48/1000000*'Prod &amp; Defects - Qty'!H$5)</f>
        <v>#N/A</v>
      </c>
      <c r="H48" s="257" t="e">
        <f>INT($E48/1000000*'Prod &amp; Defects - Qty'!I$5)</f>
        <v>#N/A</v>
      </c>
      <c r="I48" s="257" t="e">
        <f>INT($E48/1000000*'Prod &amp; Defects - Qty'!J$5)</f>
        <v>#N/A</v>
      </c>
      <c r="J48" s="257" t="e">
        <f>INT($E48/1000000*'Prod &amp; Defects - Qty'!K$5)</f>
        <v>#N/A</v>
      </c>
      <c r="K48" s="257" t="e">
        <f>INT($E48/1000000*'Prod &amp; Defects - Qty'!L$5)</f>
        <v>#N/A</v>
      </c>
      <c r="L48" s="257" t="e">
        <f>INT($E48/1000000*'Prod &amp; Defects - Qty'!M$5)</f>
        <v>#N/A</v>
      </c>
      <c r="M48" s="257" t="e">
        <f>INT($E48/1000000*'Prod &amp; Defects - Qty'!N$5)</f>
        <v>#N/A</v>
      </c>
      <c r="N48" s="257" t="e">
        <f>INT($E48/1000000*'Prod &amp; Defects - Qty'!O$5)</f>
        <v>#N/A</v>
      </c>
      <c r="O48" s="257" t="e">
        <f>INT($E48/1000000*'Prod &amp; Defects - Qty'!P$5)</f>
        <v>#N/A</v>
      </c>
      <c r="P48" s="257" t="e">
        <f>INT($E48/1000000*'Prod &amp; Defects - Qty'!Q$5)</f>
        <v>#N/A</v>
      </c>
      <c r="Q48" s="257" t="e">
        <f>INT($E48/1000000*'Prod &amp; Defects - Qty'!R$5)</f>
        <v>#N/A</v>
      </c>
      <c r="R48" s="333" t="e">
        <f t="shared" si="3"/>
        <v>#N/A</v>
      </c>
      <c r="S48" s="246" t="e">
        <f>R48/SUM('Prod &amp; Defects - Qty'!$G$5:$L$5)*1000000</f>
        <v>#N/A</v>
      </c>
      <c r="T48" s="246" t="e">
        <f t="shared" si="4"/>
        <v>#N/A</v>
      </c>
      <c r="U48" s="246" t="e">
        <f>T48/SUM('Prod &amp; Defects - Qty'!$M$5:$R$5)*1000000</f>
        <v>#N/A</v>
      </c>
      <c r="V48" s="246" t="e">
        <f t="shared" si="5"/>
        <v>#N/A</v>
      </c>
      <c r="W48" s="325" t="e">
        <f>V48/'Prod &amp; Defects - Qty'!$S$5*1000000</f>
        <v>#N/A</v>
      </c>
      <c r="X48" s="350" t="e">
        <f t="shared" si="8"/>
        <v>#N/A</v>
      </c>
      <c r="Y48" s="340" t="e">
        <f t="shared" si="9"/>
        <v>#N/A</v>
      </c>
      <c r="Z48" s="333" t="e">
        <f t="shared" si="10"/>
        <v>#N/A</v>
      </c>
      <c r="AA48" s="325" t="e">
        <f t="shared" si="6"/>
        <v>#N/A</v>
      </c>
    </row>
    <row r="49" spans="1:27" ht="18" customHeight="1">
      <c r="A49" s="751"/>
      <c r="B49" s="754"/>
      <c r="C49" s="45">
        <f t="shared" si="11"/>
        <v>1380</v>
      </c>
      <c r="D49" s="46" t="s">
        <v>10</v>
      </c>
      <c r="E49" s="52">
        <f>'[3]Falhas UM-1 - Qty'!AA49</f>
        <v>4.6820736169837138</v>
      </c>
      <c r="F49" s="257" t="e">
        <f>INT($E49/1000000*'Prod &amp; Defects - Qty'!G$5)</f>
        <v>#N/A</v>
      </c>
      <c r="G49" s="257" t="e">
        <f>INT($E49/1000000*'Prod &amp; Defects - Qty'!H$5)</f>
        <v>#N/A</v>
      </c>
      <c r="H49" s="257" t="e">
        <f>INT($E49/1000000*'Prod &amp; Defects - Qty'!I$5)</f>
        <v>#N/A</v>
      </c>
      <c r="I49" s="257" t="e">
        <f>INT($E49/1000000*'Prod &amp; Defects - Qty'!J$5)</f>
        <v>#N/A</v>
      </c>
      <c r="J49" s="257" t="e">
        <f>INT($E49/1000000*'Prod &amp; Defects - Qty'!K$5)</f>
        <v>#N/A</v>
      </c>
      <c r="K49" s="257" t="e">
        <f>INT($E49/1000000*'Prod &amp; Defects - Qty'!L$5)</f>
        <v>#N/A</v>
      </c>
      <c r="L49" s="257" t="e">
        <f>INT($E49/1000000*'Prod &amp; Defects - Qty'!M$5)</f>
        <v>#N/A</v>
      </c>
      <c r="M49" s="257" t="e">
        <f>INT($E49/1000000*'Prod &amp; Defects - Qty'!N$5)</f>
        <v>#N/A</v>
      </c>
      <c r="N49" s="257" t="e">
        <f>INT($E49/1000000*'Prod &amp; Defects - Qty'!O$5)</f>
        <v>#N/A</v>
      </c>
      <c r="O49" s="257" t="e">
        <f>INT($E49/1000000*'Prod &amp; Defects - Qty'!P$5)</f>
        <v>#N/A</v>
      </c>
      <c r="P49" s="257" t="e">
        <f>INT($E49/1000000*'Prod &amp; Defects - Qty'!Q$5)</f>
        <v>#N/A</v>
      </c>
      <c r="Q49" s="257" t="e">
        <f>INT($E49/1000000*'Prod &amp; Defects - Qty'!R$5)</f>
        <v>#N/A</v>
      </c>
      <c r="R49" s="333" t="e">
        <f t="shared" si="3"/>
        <v>#N/A</v>
      </c>
      <c r="S49" s="246" t="e">
        <f>R49/SUM('Prod &amp; Defects - Qty'!$G$5:$L$5)*1000000</f>
        <v>#N/A</v>
      </c>
      <c r="T49" s="246" t="e">
        <f t="shared" si="4"/>
        <v>#N/A</v>
      </c>
      <c r="U49" s="246" t="e">
        <f>T49/SUM('Prod &amp; Defects - Qty'!$M$5:$R$5)*1000000</f>
        <v>#N/A</v>
      </c>
      <c r="V49" s="246" t="e">
        <f t="shared" si="5"/>
        <v>#N/A</v>
      </c>
      <c r="W49" s="325" t="e">
        <f>V49/'Prod &amp; Defects - Qty'!$S$5*1000000</f>
        <v>#N/A</v>
      </c>
      <c r="X49" s="350" t="e">
        <f t="shared" si="8"/>
        <v>#N/A</v>
      </c>
      <c r="Y49" s="340" t="e">
        <f t="shared" si="9"/>
        <v>#N/A</v>
      </c>
      <c r="Z49" s="333" t="e">
        <f t="shared" si="10"/>
        <v>#N/A</v>
      </c>
      <c r="AA49" s="325" t="e">
        <f t="shared" si="6"/>
        <v>#N/A</v>
      </c>
    </row>
    <row r="50" spans="1:27" ht="18" customHeight="1">
      <c r="A50" s="751"/>
      <c r="B50" s="754"/>
      <c r="C50" s="45">
        <f t="shared" si="11"/>
        <v>1390</v>
      </c>
      <c r="D50" s="46" t="s">
        <v>9</v>
      </c>
      <c r="E50" s="52">
        <f>'[3]Falhas UM-1 - Qty'!AA50</f>
        <v>23.23185652095658</v>
      </c>
      <c r="F50" s="257" t="e">
        <f>INT($E50/1000000*'Prod &amp; Defects - Qty'!G$5)</f>
        <v>#N/A</v>
      </c>
      <c r="G50" s="257" t="e">
        <f>INT($E50/1000000*'Prod &amp; Defects - Qty'!H$5)</f>
        <v>#N/A</v>
      </c>
      <c r="H50" s="257" t="e">
        <f>INT($E50/1000000*'Prod &amp; Defects - Qty'!I$5)</f>
        <v>#N/A</v>
      </c>
      <c r="I50" s="257" t="e">
        <f>INT($E50/1000000*'Prod &amp; Defects - Qty'!J$5)</f>
        <v>#N/A</v>
      </c>
      <c r="J50" s="257" t="e">
        <f>INT($E50/1000000*'Prod &amp; Defects - Qty'!K$5)</f>
        <v>#N/A</v>
      </c>
      <c r="K50" s="257" t="e">
        <f>INT($E50/1000000*'Prod &amp; Defects - Qty'!L$5)</f>
        <v>#N/A</v>
      </c>
      <c r="L50" s="257" t="e">
        <f>INT($E50/1000000*'Prod &amp; Defects - Qty'!M$5)</f>
        <v>#N/A</v>
      </c>
      <c r="M50" s="257" t="e">
        <f>INT($E50/1000000*'Prod &amp; Defects - Qty'!N$5)</f>
        <v>#N/A</v>
      </c>
      <c r="N50" s="257" t="e">
        <f>INT($E50/1000000*'Prod &amp; Defects - Qty'!O$5)</f>
        <v>#N/A</v>
      </c>
      <c r="O50" s="257" t="e">
        <f>INT($E50/1000000*'Prod &amp; Defects - Qty'!P$5)</f>
        <v>#N/A</v>
      </c>
      <c r="P50" s="257" t="e">
        <f>INT($E50/1000000*'Prod &amp; Defects - Qty'!Q$5)</f>
        <v>#N/A</v>
      </c>
      <c r="Q50" s="257" t="e">
        <f>INT($E50/1000000*'Prod &amp; Defects - Qty'!R$5)</f>
        <v>#N/A</v>
      </c>
      <c r="R50" s="333" t="e">
        <f t="shared" si="3"/>
        <v>#N/A</v>
      </c>
      <c r="S50" s="246" t="e">
        <f>R50/SUM('Prod &amp; Defects - Qty'!$G$5:$L$5)*1000000</f>
        <v>#N/A</v>
      </c>
      <c r="T50" s="246" t="e">
        <f t="shared" si="4"/>
        <v>#N/A</v>
      </c>
      <c r="U50" s="246" t="e">
        <f>T50/SUM('Prod &amp; Defects - Qty'!$M$5:$R$5)*1000000</f>
        <v>#N/A</v>
      </c>
      <c r="V50" s="246" t="e">
        <f t="shared" si="5"/>
        <v>#N/A</v>
      </c>
      <c r="W50" s="325" t="e">
        <f>V50/'Prod &amp; Defects - Qty'!$S$5*1000000</f>
        <v>#N/A</v>
      </c>
      <c r="X50" s="350" t="e">
        <f t="shared" si="8"/>
        <v>#N/A</v>
      </c>
      <c r="Y50" s="340" t="e">
        <f t="shared" si="9"/>
        <v>#N/A</v>
      </c>
      <c r="Z50" s="333" t="e">
        <f t="shared" si="10"/>
        <v>#N/A</v>
      </c>
      <c r="AA50" s="325" t="e">
        <f t="shared" si="6"/>
        <v>#N/A</v>
      </c>
    </row>
    <row r="51" spans="1:27" ht="18" customHeight="1">
      <c r="A51" s="751"/>
      <c r="B51" s="754"/>
      <c r="C51" s="45">
        <f t="shared" si="11"/>
        <v>1400</v>
      </c>
      <c r="D51" s="46" t="s">
        <v>8</v>
      </c>
      <c r="E51" s="52">
        <f>'[3]Falhas UM-1 - Qty'!AA51</f>
        <v>39.796270887719018</v>
      </c>
      <c r="F51" s="257" t="e">
        <f>INT($E51/1000000*'Prod &amp; Defects - Qty'!G$5)</f>
        <v>#N/A</v>
      </c>
      <c r="G51" s="257" t="e">
        <f>INT($E51/1000000*'Prod &amp; Defects - Qty'!H$5)</f>
        <v>#N/A</v>
      </c>
      <c r="H51" s="257" t="e">
        <f>INT($E51/1000000*'Prod &amp; Defects - Qty'!I$5)</f>
        <v>#N/A</v>
      </c>
      <c r="I51" s="257" t="e">
        <f>INT($E51/1000000*'Prod &amp; Defects - Qty'!J$5)</f>
        <v>#N/A</v>
      </c>
      <c r="J51" s="257" t="e">
        <f>INT($E51/1000000*'Prod &amp; Defects - Qty'!K$5)</f>
        <v>#N/A</v>
      </c>
      <c r="K51" s="257" t="e">
        <f>INT($E51/1000000*'Prod &amp; Defects - Qty'!L$5)</f>
        <v>#N/A</v>
      </c>
      <c r="L51" s="257" t="e">
        <f>INT($E51/1000000*'Prod &amp; Defects - Qty'!M$5)</f>
        <v>#N/A</v>
      </c>
      <c r="M51" s="257" t="e">
        <f>INT($E51/1000000*'Prod &amp; Defects - Qty'!N$5)</f>
        <v>#N/A</v>
      </c>
      <c r="N51" s="257" t="e">
        <f>INT($E51/1000000*'Prod &amp; Defects - Qty'!O$5)</f>
        <v>#N/A</v>
      </c>
      <c r="O51" s="257" t="e">
        <f>INT($E51/1000000*'Prod &amp; Defects - Qty'!P$5)</f>
        <v>#N/A</v>
      </c>
      <c r="P51" s="257" t="e">
        <f>INT($E51/1000000*'Prod &amp; Defects - Qty'!Q$5)</f>
        <v>#N/A</v>
      </c>
      <c r="Q51" s="257" t="e">
        <f>INT($E51/1000000*'Prod &amp; Defects - Qty'!R$5)</f>
        <v>#N/A</v>
      </c>
      <c r="R51" s="333" t="e">
        <f t="shared" si="3"/>
        <v>#N/A</v>
      </c>
      <c r="S51" s="246" t="e">
        <f>R51/SUM('Prod &amp; Defects - Qty'!$G$5:$L$5)*1000000</f>
        <v>#N/A</v>
      </c>
      <c r="T51" s="246" t="e">
        <f t="shared" si="4"/>
        <v>#N/A</v>
      </c>
      <c r="U51" s="246" t="e">
        <f>T51/SUM('Prod &amp; Defects - Qty'!$M$5:$R$5)*1000000</f>
        <v>#N/A</v>
      </c>
      <c r="V51" s="246" t="e">
        <f t="shared" si="5"/>
        <v>#N/A</v>
      </c>
      <c r="W51" s="325" t="e">
        <f>V51/'Prod &amp; Defects - Qty'!$S$5*1000000</f>
        <v>#N/A</v>
      </c>
      <c r="X51" s="350" t="e">
        <f t="shared" si="8"/>
        <v>#N/A</v>
      </c>
      <c r="Y51" s="340" t="e">
        <f t="shared" si="9"/>
        <v>#N/A</v>
      </c>
      <c r="Z51" s="333" t="e">
        <f t="shared" si="10"/>
        <v>#N/A</v>
      </c>
      <c r="AA51" s="325" t="e">
        <f t="shared" si="6"/>
        <v>#N/A</v>
      </c>
    </row>
    <row r="52" spans="1:27" ht="18" customHeight="1">
      <c r="A52" s="751"/>
      <c r="B52" s="754"/>
      <c r="C52" s="45">
        <f t="shared" si="11"/>
        <v>1410</v>
      </c>
      <c r="D52" s="46" t="s">
        <v>7</v>
      </c>
      <c r="E52" s="52">
        <f>'[3]Falhas UM-1 - Qty'!AA52</f>
        <v>66.415621870536071</v>
      </c>
      <c r="F52" s="257" t="e">
        <f>INT($E52/1000000*'Prod &amp; Defects - Qty'!G$5)</f>
        <v>#N/A</v>
      </c>
      <c r="G52" s="257" t="e">
        <f>INT($E52/1000000*'Prod &amp; Defects - Qty'!H$5)</f>
        <v>#N/A</v>
      </c>
      <c r="H52" s="257" t="e">
        <f>INT($E52/1000000*'Prod &amp; Defects - Qty'!I$5)</f>
        <v>#N/A</v>
      </c>
      <c r="I52" s="257" t="e">
        <f>INT($E52/1000000*'Prod &amp; Defects - Qty'!J$5)</f>
        <v>#N/A</v>
      </c>
      <c r="J52" s="257" t="e">
        <f>INT($E52/1000000*'Prod &amp; Defects - Qty'!K$5)</f>
        <v>#N/A</v>
      </c>
      <c r="K52" s="257" t="e">
        <f>INT($E52/1000000*'Prod &amp; Defects - Qty'!L$5)</f>
        <v>#N/A</v>
      </c>
      <c r="L52" s="257" t="e">
        <f>INT($E52/1000000*'Prod &amp; Defects - Qty'!M$5)</f>
        <v>#N/A</v>
      </c>
      <c r="M52" s="257" t="e">
        <f>INT($E52/1000000*'Prod &amp; Defects - Qty'!N$5)</f>
        <v>#N/A</v>
      </c>
      <c r="N52" s="257" t="e">
        <f>INT($E52/1000000*'Prod &amp; Defects - Qty'!O$5)</f>
        <v>#N/A</v>
      </c>
      <c r="O52" s="257" t="e">
        <f>INT($E52/1000000*'Prod &amp; Defects - Qty'!P$5)</f>
        <v>#N/A</v>
      </c>
      <c r="P52" s="257" t="e">
        <f>INT($E52/1000000*'Prod &amp; Defects - Qty'!Q$5)</f>
        <v>#N/A</v>
      </c>
      <c r="Q52" s="257" t="e">
        <f>INT($E52/1000000*'Prod &amp; Defects - Qty'!R$5)</f>
        <v>#N/A</v>
      </c>
      <c r="R52" s="333" t="e">
        <f t="shared" si="3"/>
        <v>#N/A</v>
      </c>
      <c r="S52" s="246" t="e">
        <f>R52/SUM('Prod &amp; Defects - Qty'!$G$5:$L$5)*1000000</f>
        <v>#N/A</v>
      </c>
      <c r="T52" s="246" t="e">
        <f t="shared" si="4"/>
        <v>#N/A</v>
      </c>
      <c r="U52" s="246" t="e">
        <f>T52/SUM('Prod &amp; Defects - Qty'!$M$5:$R$5)*1000000</f>
        <v>#N/A</v>
      </c>
      <c r="V52" s="246" t="e">
        <f t="shared" si="5"/>
        <v>#N/A</v>
      </c>
      <c r="W52" s="325" t="e">
        <f>V52/'Prod &amp; Defects - Qty'!$S$5*1000000</f>
        <v>#N/A</v>
      </c>
      <c r="X52" s="350" t="e">
        <f t="shared" si="8"/>
        <v>#N/A</v>
      </c>
      <c r="Y52" s="340" t="e">
        <f t="shared" si="9"/>
        <v>#N/A</v>
      </c>
      <c r="Z52" s="333" t="e">
        <f t="shared" si="10"/>
        <v>#N/A</v>
      </c>
      <c r="AA52" s="325" t="e">
        <f t="shared" si="6"/>
        <v>#N/A</v>
      </c>
    </row>
    <row r="53" spans="1:27" ht="18" customHeight="1">
      <c r="A53" s="751"/>
      <c r="B53" s="754"/>
      <c r="C53" s="45">
        <f t="shared" si="11"/>
        <v>1420</v>
      </c>
      <c r="D53" s="46" t="s">
        <v>6</v>
      </c>
      <c r="E53" s="52">
        <f>'[3]Falhas UM-1 - Qty'!AA53</f>
        <v>162.95636523398375</v>
      </c>
      <c r="F53" s="257" t="e">
        <f>INT($E53/1000000*'Prod &amp; Defects - Qty'!G$5)</f>
        <v>#N/A</v>
      </c>
      <c r="G53" s="257" t="e">
        <f>INT($E53/1000000*'Prod &amp; Defects - Qty'!H$5)</f>
        <v>#N/A</v>
      </c>
      <c r="H53" s="257" t="e">
        <f>INT($E53/1000000*'Prod &amp; Defects - Qty'!I$5)</f>
        <v>#N/A</v>
      </c>
      <c r="I53" s="257" t="e">
        <f>INT($E53/1000000*'Prod &amp; Defects - Qty'!J$5)</f>
        <v>#N/A</v>
      </c>
      <c r="J53" s="257" t="e">
        <f>INT($E53/1000000*'Prod &amp; Defects - Qty'!K$5)</f>
        <v>#N/A</v>
      </c>
      <c r="K53" s="257" t="e">
        <f>INT($E53/1000000*'Prod &amp; Defects - Qty'!L$5)</f>
        <v>#N/A</v>
      </c>
      <c r="L53" s="257" t="e">
        <f>INT($E53/1000000*'Prod &amp; Defects - Qty'!M$5)</f>
        <v>#N/A</v>
      </c>
      <c r="M53" s="257" t="e">
        <f>INT($E53/1000000*'Prod &amp; Defects - Qty'!N$5)</f>
        <v>#N/A</v>
      </c>
      <c r="N53" s="257" t="e">
        <f>INT($E53/1000000*'Prod &amp; Defects - Qty'!O$5)</f>
        <v>#N/A</v>
      </c>
      <c r="O53" s="257" t="e">
        <f>INT($E53/1000000*'Prod &amp; Defects - Qty'!P$5)</f>
        <v>#N/A</v>
      </c>
      <c r="P53" s="257" t="e">
        <f>INT($E53/1000000*'Prod &amp; Defects - Qty'!Q$5)</f>
        <v>#N/A</v>
      </c>
      <c r="Q53" s="257" t="e">
        <f>INT($E53/1000000*'Prod &amp; Defects - Qty'!R$5)</f>
        <v>#N/A</v>
      </c>
      <c r="R53" s="333" t="e">
        <f t="shared" si="3"/>
        <v>#N/A</v>
      </c>
      <c r="S53" s="246" t="e">
        <f>R53/SUM('Prod &amp; Defects - Qty'!$G$5:$L$5)*1000000</f>
        <v>#N/A</v>
      </c>
      <c r="T53" s="246" t="e">
        <f t="shared" si="4"/>
        <v>#N/A</v>
      </c>
      <c r="U53" s="246" t="e">
        <f>T53/SUM('Prod &amp; Defects - Qty'!$M$5:$R$5)*1000000</f>
        <v>#N/A</v>
      </c>
      <c r="V53" s="246" t="e">
        <f t="shared" si="5"/>
        <v>#N/A</v>
      </c>
      <c r="W53" s="325" t="e">
        <f>V53/'Prod &amp; Defects - Qty'!$S$5*1000000</f>
        <v>#N/A</v>
      </c>
      <c r="X53" s="350" t="e">
        <f t="shared" si="8"/>
        <v>#N/A</v>
      </c>
      <c r="Y53" s="340" t="e">
        <f t="shared" si="9"/>
        <v>#N/A</v>
      </c>
      <c r="Z53" s="333" t="e">
        <f t="shared" si="10"/>
        <v>#N/A</v>
      </c>
      <c r="AA53" s="325" t="e">
        <f t="shared" si="6"/>
        <v>#N/A</v>
      </c>
    </row>
    <row r="54" spans="1:27" ht="19.5" customHeight="1">
      <c r="A54" s="751"/>
      <c r="B54" s="754"/>
      <c r="C54" s="45">
        <f t="shared" si="11"/>
        <v>1430</v>
      </c>
      <c r="D54" s="46" t="s">
        <v>5</v>
      </c>
      <c r="E54" s="55">
        <f>'[3]Falhas UM-1 - Qty'!AA54</f>
        <v>85.083252374951186</v>
      </c>
      <c r="F54" s="257" t="e">
        <f>INT($E54/1000000*'Prod &amp; Defects - Qty'!G$5)</f>
        <v>#N/A</v>
      </c>
      <c r="G54" s="257" t="e">
        <f>INT($E54/1000000*'Prod &amp; Defects - Qty'!H$5)</f>
        <v>#N/A</v>
      </c>
      <c r="H54" s="257" t="e">
        <f>INT($E54/1000000*'Prod &amp; Defects - Qty'!I$5)</f>
        <v>#N/A</v>
      </c>
      <c r="I54" s="257" t="e">
        <f>INT($E54/1000000*'Prod &amp; Defects - Qty'!J$5)</f>
        <v>#N/A</v>
      </c>
      <c r="J54" s="257" t="e">
        <f>INT($E54/1000000*'Prod &amp; Defects - Qty'!K$5)</f>
        <v>#N/A</v>
      </c>
      <c r="K54" s="257" t="e">
        <f>INT($E54/1000000*'Prod &amp; Defects - Qty'!L$5)</f>
        <v>#N/A</v>
      </c>
      <c r="L54" s="257" t="e">
        <f>INT($E54/1000000*'Prod &amp; Defects - Qty'!M$5)</f>
        <v>#N/A</v>
      </c>
      <c r="M54" s="257" t="e">
        <f>INT($E54/1000000*'Prod &amp; Defects - Qty'!N$5)</f>
        <v>#N/A</v>
      </c>
      <c r="N54" s="257" t="e">
        <f>INT($E54/1000000*'Prod &amp; Defects - Qty'!O$5)</f>
        <v>#N/A</v>
      </c>
      <c r="O54" s="257" t="e">
        <f>INT($E54/1000000*'Prod &amp; Defects - Qty'!P$5)</f>
        <v>#N/A</v>
      </c>
      <c r="P54" s="257" t="e">
        <f>INT($E54/1000000*'Prod &amp; Defects - Qty'!Q$5)</f>
        <v>#N/A</v>
      </c>
      <c r="Q54" s="257" t="e">
        <f>INT($E54/1000000*'Prod &amp; Defects - Qty'!R$5)</f>
        <v>#N/A</v>
      </c>
      <c r="R54" s="333" t="e">
        <f t="shared" si="3"/>
        <v>#N/A</v>
      </c>
      <c r="S54" s="246" t="e">
        <f>R54/SUM('Prod &amp; Defects - Qty'!$G$5:$L$5)*1000000</f>
        <v>#N/A</v>
      </c>
      <c r="T54" s="246" t="e">
        <f t="shared" si="4"/>
        <v>#N/A</v>
      </c>
      <c r="U54" s="246" t="e">
        <f>T54/SUM('Prod &amp; Defects - Qty'!$M$5:$R$5)*1000000</f>
        <v>#N/A</v>
      </c>
      <c r="V54" s="246" t="e">
        <f t="shared" si="5"/>
        <v>#N/A</v>
      </c>
      <c r="W54" s="325" t="e">
        <f>V54/'Prod &amp; Defects - Qty'!$S$5*1000000</f>
        <v>#N/A</v>
      </c>
      <c r="X54" s="350" t="e">
        <f t="shared" si="8"/>
        <v>#N/A</v>
      </c>
      <c r="Y54" s="340" t="e">
        <f t="shared" si="9"/>
        <v>#N/A</v>
      </c>
      <c r="Z54" s="333" t="e">
        <f t="shared" si="10"/>
        <v>#N/A</v>
      </c>
      <c r="AA54" s="325" t="e">
        <f t="shared" si="6"/>
        <v>#N/A</v>
      </c>
    </row>
    <row r="55" spans="1:27" ht="18" customHeight="1">
      <c r="A55" s="751"/>
      <c r="B55" s="754"/>
      <c r="C55" s="45">
        <f t="shared" si="11"/>
        <v>1440</v>
      </c>
      <c r="D55" s="46" t="s">
        <v>4</v>
      </c>
      <c r="E55" s="55">
        <f>'[3]Falhas UM-1 - Qty'!AA55</f>
        <v>8040.282480134917</v>
      </c>
      <c r="F55" s="257" t="e">
        <f>INT($E55/1000000*'Prod &amp; Defects - Qty'!G$5)</f>
        <v>#N/A</v>
      </c>
      <c r="G55" s="257" t="e">
        <f>INT($E55/1000000*'Prod &amp; Defects - Qty'!H$5)</f>
        <v>#N/A</v>
      </c>
      <c r="H55" s="257" t="e">
        <f>INT($E55/1000000*'Prod &amp; Defects - Qty'!I$5)</f>
        <v>#N/A</v>
      </c>
      <c r="I55" s="257" t="e">
        <f>INT($E55/1000000*'Prod &amp; Defects - Qty'!J$5)</f>
        <v>#N/A</v>
      </c>
      <c r="J55" s="257" t="e">
        <f>INT($E55/1000000*'Prod &amp; Defects - Qty'!K$5)</f>
        <v>#N/A</v>
      </c>
      <c r="K55" s="257" t="e">
        <f>INT($E55/1000000*'Prod &amp; Defects - Qty'!L$5)</f>
        <v>#N/A</v>
      </c>
      <c r="L55" s="257" t="e">
        <f>INT($E55/1000000*'Prod &amp; Defects - Qty'!M$5)</f>
        <v>#N/A</v>
      </c>
      <c r="M55" s="257" t="e">
        <f>INT($E55/1000000*'Prod &amp; Defects - Qty'!N$5)</f>
        <v>#N/A</v>
      </c>
      <c r="N55" s="257" t="e">
        <f>INT($E55/1000000*'Prod &amp; Defects - Qty'!O$5)</f>
        <v>#N/A</v>
      </c>
      <c r="O55" s="257" t="e">
        <f>INT($E55/1000000*'Prod &amp; Defects - Qty'!P$5)</f>
        <v>#N/A</v>
      </c>
      <c r="P55" s="257" t="e">
        <f>INT($E55/1000000*'Prod &amp; Defects - Qty'!Q$5)</f>
        <v>#N/A</v>
      </c>
      <c r="Q55" s="257" t="e">
        <f>INT($E55/1000000*'Prod &amp; Defects - Qty'!R$5)</f>
        <v>#N/A</v>
      </c>
      <c r="R55" s="333" t="e">
        <f t="shared" si="3"/>
        <v>#N/A</v>
      </c>
      <c r="S55" s="246" t="e">
        <f>R55/SUM('Prod &amp; Defects - Qty'!$G$5:$L$5)*1000000</f>
        <v>#N/A</v>
      </c>
      <c r="T55" s="246" t="e">
        <f t="shared" si="4"/>
        <v>#N/A</v>
      </c>
      <c r="U55" s="246" t="e">
        <f>T55/SUM('Prod &amp; Defects - Qty'!$M$5:$R$5)*1000000</f>
        <v>#N/A</v>
      </c>
      <c r="V55" s="246" t="e">
        <f t="shared" si="5"/>
        <v>#N/A</v>
      </c>
      <c r="W55" s="325" t="e">
        <f>V55/'Prod &amp; Defects - Qty'!$S$5*1000000</f>
        <v>#N/A</v>
      </c>
      <c r="X55" s="350" t="e">
        <f t="shared" si="8"/>
        <v>#N/A</v>
      </c>
      <c r="Y55" s="340" t="e">
        <f t="shared" si="9"/>
        <v>#N/A</v>
      </c>
      <c r="Z55" s="333" t="e">
        <f t="shared" si="10"/>
        <v>#N/A</v>
      </c>
      <c r="AA55" s="325" t="e">
        <f t="shared" si="6"/>
        <v>#N/A</v>
      </c>
    </row>
    <row r="56" spans="1:27" ht="18" customHeight="1" thickBot="1">
      <c r="A56" s="752"/>
      <c r="B56" s="755"/>
      <c r="C56" s="45">
        <f t="shared" si="11"/>
        <v>1450</v>
      </c>
      <c r="D56" s="48" t="s">
        <v>3</v>
      </c>
      <c r="E56" s="55">
        <f>'[3]Falhas UM-1 - Qty'!AA56</f>
        <v>17656.195207749806</v>
      </c>
      <c r="F56" s="265" t="e">
        <f>INT($E56/1000000*'Prod &amp; Defects - Qty'!G$5)</f>
        <v>#N/A</v>
      </c>
      <c r="G56" s="265" t="e">
        <f>INT($E56/1000000*'Prod &amp; Defects - Qty'!H$5)</f>
        <v>#N/A</v>
      </c>
      <c r="H56" s="265" t="e">
        <f>INT($E56/1000000*'Prod &amp; Defects - Qty'!I$5)</f>
        <v>#N/A</v>
      </c>
      <c r="I56" s="265" t="e">
        <f>INT($E56/1000000*'Prod &amp; Defects - Qty'!J$5)</f>
        <v>#N/A</v>
      </c>
      <c r="J56" s="265" t="e">
        <f>INT($E56/1000000*'Prod &amp; Defects - Qty'!K$5)</f>
        <v>#N/A</v>
      </c>
      <c r="K56" s="265" t="e">
        <f>INT($E56/1000000*'Prod &amp; Defects - Qty'!L$5)</f>
        <v>#N/A</v>
      </c>
      <c r="L56" s="265" t="e">
        <f>INT($E56/1000000*'Prod &amp; Defects - Qty'!M$5)</f>
        <v>#N/A</v>
      </c>
      <c r="M56" s="265" t="e">
        <f>INT($E56/1000000*'Prod &amp; Defects - Qty'!N$5)</f>
        <v>#N/A</v>
      </c>
      <c r="N56" s="265" t="e">
        <f>INT($E56/1000000*'Prod &amp; Defects - Qty'!O$5)</f>
        <v>#N/A</v>
      </c>
      <c r="O56" s="265" t="e">
        <f>INT($E56/1000000*'Prod &amp; Defects - Qty'!P$5)</f>
        <v>#N/A</v>
      </c>
      <c r="P56" s="265" t="e">
        <f>INT($E56/1000000*'Prod &amp; Defects - Qty'!Q$5)</f>
        <v>#N/A</v>
      </c>
      <c r="Q56" s="265" t="e">
        <f>INT($E56/1000000*'Prod &amp; Defects - Qty'!R$5)</f>
        <v>#N/A</v>
      </c>
      <c r="R56" s="335" t="e">
        <f t="shared" si="3"/>
        <v>#N/A</v>
      </c>
      <c r="S56" s="248" t="e">
        <f>R56/SUM('Prod &amp; Defects - Qty'!$G$5:$L$5)*1000000</f>
        <v>#N/A</v>
      </c>
      <c r="T56" s="248" t="e">
        <f t="shared" si="4"/>
        <v>#N/A</v>
      </c>
      <c r="U56" s="248" t="e">
        <f>T56/SUM('Prod &amp; Defects - Qty'!$M$5:$R$5)*1000000</f>
        <v>#N/A</v>
      </c>
      <c r="V56" s="248" t="e">
        <f t="shared" si="5"/>
        <v>#N/A</v>
      </c>
      <c r="W56" s="332" t="e">
        <f>V56/'Prod &amp; Defects - Qty'!$S$5*1000000</f>
        <v>#N/A</v>
      </c>
      <c r="X56" s="350" t="e">
        <f t="shared" si="8"/>
        <v>#N/A</v>
      </c>
      <c r="Y56" s="340" t="e">
        <f t="shared" si="9"/>
        <v>#N/A</v>
      </c>
      <c r="Z56" s="333" t="e">
        <f t="shared" si="10"/>
        <v>#N/A</v>
      </c>
      <c r="AA56" s="325" t="e">
        <f t="shared" si="6"/>
        <v>#N/A</v>
      </c>
    </row>
    <row r="57" spans="1:27" ht="20.100000000000001" customHeight="1" thickTop="1" thickBot="1">
      <c r="A57" s="4"/>
      <c r="B57" s="3"/>
      <c r="C57" s="43"/>
      <c r="D57" s="44" t="s">
        <v>1</v>
      </c>
      <c r="E57" s="53">
        <f>'[3]Falhas UM-1 - Qty'!AA57</f>
        <v>528.02413936302457</v>
      </c>
      <c r="F57" s="266" t="e">
        <f>INT($E57/1000000*'Prod &amp; Defects - Qty'!G$5)</f>
        <v>#N/A</v>
      </c>
      <c r="G57" s="266" t="e">
        <f>INT($E57/1000000*'Prod &amp; Defects - Qty'!H$5)</f>
        <v>#N/A</v>
      </c>
      <c r="H57" s="266" t="e">
        <f>INT($E57/1000000*'Prod &amp; Defects - Qty'!I$5)</f>
        <v>#N/A</v>
      </c>
      <c r="I57" s="266" t="e">
        <f>INT($E57/1000000*'Prod &amp; Defects - Qty'!J$5)</f>
        <v>#N/A</v>
      </c>
      <c r="J57" s="266" t="e">
        <f>INT($E57/1000000*'Prod &amp; Defects - Qty'!K$5)</f>
        <v>#N/A</v>
      </c>
      <c r="K57" s="266" t="e">
        <f>INT($E57/1000000*'Prod &amp; Defects - Qty'!L$5)</f>
        <v>#N/A</v>
      </c>
      <c r="L57" s="266" t="e">
        <f>INT($E57/1000000*'Prod &amp; Defects - Qty'!M$5)</f>
        <v>#N/A</v>
      </c>
      <c r="M57" s="266" t="e">
        <f>INT($E57/1000000*'Prod &amp; Defects - Qty'!N$5)</f>
        <v>#N/A</v>
      </c>
      <c r="N57" s="266" t="e">
        <f>INT($E57/1000000*'Prod &amp; Defects - Qty'!O$5)</f>
        <v>#N/A</v>
      </c>
      <c r="O57" s="266" t="e">
        <f>INT($E57/1000000*'Prod &amp; Defects - Qty'!P$5)</f>
        <v>#N/A</v>
      </c>
      <c r="P57" s="266" t="e">
        <f>INT($E57/1000000*'Prod &amp; Defects - Qty'!Q$5)</f>
        <v>#N/A</v>
      </c>
      <c r="Q57" s="267" t="e">
        <f>INT($E57/1000000*'Prod &amp; Defects - Qty'!R$5)</f>
        <v>#N/A</v>
      </c>
      <c r="R57" s="182" t="e">
        <f t="shared" si="3"/>
        <v>#N/A</v>
      </c>
      <c r="S57" s="183" t="e">
        <f>R57/SUM('Prod &amp; Defects - Qty'!$G$5:$L$5)*1000000</f>
        <v>#N/A</v>
      </c>
      <c r="T57" s="183" t="e">
        <f t="shared" si="4"/>
        <v>#N/A</v>
      </c>
      <c r="U57" s="183" t="e">
        <f>T57/SUM('Prod &amp; Defects - Qty'!$M$5:$R$5)*1000000</f>
        <v>#N/A</v>
      </c>
      <c r="V57" s="183" t="e">
        <f t="shared" si="5"/>
        <v>#N/A</v>
      </c>
      <c r="W57" s="184" t="e">
        <f>V57/'Prod &amp; Defects - Qty'!$S$5*1000000</f>
        <v>#N/A</v>
      </c>
      <c r="X57" s="182">
        <v>2704.034910857702</v>
      </c>
      <c r="Y57" s="184" t="e">
        <f t="shared" si="9"/>
        <v>#N/A</v>
      </c>
      <c r="Z57" s="182" t="e">
        <f t="shared" si="10"/>
        <v>#N/A</v>
      </c>
      <c r="AA57" s="184" t="e">
        <f>SUM(AA37:AA53)</f>
        <v>#N/A</v>
      </c>
    </row>
    <row r="58" spans="1:27" ht="12.75" customHeight="1" thickTop="1">
      <c r="A58" s="2"/>
      <c r="B58" s="2"/>
      <c r="C58" s="824">
        <v>1460</v>
      </c>
      <c r="D58" s="825" t="s">
        <v>2</v>
      </c>
      <c r="E58" s="826"/>
      <c r="F58" s="827" t="e">
        <f>INT($E58/1000000*'Prod &amp; Defects - Qty'!G$5)</f>
        <v>#N/A</v>
      </c>
      <c r="G58" s="827" t="e">
        <f>INT($E58/1000000*'Prod &amp; Defects - Qty'!H$5)</f>
        <v>#N/A</v>
      </c>
      <c r="H58" s="827" t="e">
        <f>INT($E58/1000000*'Prod &amp; Defects - Qty'!I$5)</f>
        <v>#N/A</v>
      </c>
      <c r="I58" s="827" t="e">
        <f>INT($E58/1000000*'Prod &amp; Defects - Qty'!J$5)</f>
        <v>#N/A</v>
      </c>
      <c r="J58" s="827" t="e">
        <f>INT($E58/1000000*'Prod &amp; Defects - Qty'!K$5)</f>
        <v>#N/A</v>
      </c>
      <c r="K58" s="827" t="e">
        <f>INT($E58/1000000*'Prod &amp; Defects - Qty'!L$5)</f>
        <v>#N/A</v>
      </c>
      <c r="L58" s="827" t="e">
        <f>INT($E58/1000000*'Prod &amp; Defects - Qty'!M$5)</f>
        <v>#N/A</v>
      </c>
      <c r="M58" s="827" t="e">
        <f>INT($E58/1000000*'Prod &amp; Defects - Qty'!N$5)</f>
        <v>#N/A</v>
      </c>
      <c r="N58" s="827" t="e">
        <f>INT($E58/1000000*'Prod &amp; Defects - Qty'!O$5)</f>
        <v>#N/A</v>
      </c>
      <c r="O58" s="827" t="e">
        <f>INT($E58/1000000*'Prod &amp; Defects - Qty'!P$5)</f>
        <v>#N/A</v>
      </c>
      <c r="P58" s="827" t="e">
        <f>INT($E58/1000000*'Prod &amp; Defects - Qty'!Q$5)</f>
        <v>#N/A</v>
      </c>
      <c r="Q58" s="827" t="e">
        <f>INT($E58/1000000*'Prod &amp; Defects - Qty'!R$5)</f>
        <v>#N/A</v>
      </c>
      <c r="R58" s="828" t="e">
        <f t="shared" ref="R58:R60" si="12">SUM(F58:K58)</f>
        <v>#N/A</v>
      </c>
      <c r="S58" s="829" t="e">
        <f>R58/SUM('[9]Prod &amp; Defects - Qty'!F5:K5)*1000000</f>
        <v>#N/A</v>
      </c>
      <c r="T58" s="830" t="e">
        <f t="shared" si="4"/>
        <v>#N/A</v>
      </c>
      <c r="U58" s="830" t="e">
        <f>T58/SUM('[9]Prod &amp; Defects - Qty'!$L$5:$Q$5)*1000000</f>
        <v>#N/A</v>
      </c>
      <c r="V58" s="830" t="e">
        <f t="shared" si="5"/>
        <v>#N/A</v>
      </c>
      <c r="W58" s="831" t="e">
        <f>V58/'[9]Prod &amp; Defects - Qty'!$R$5*1000000</f>
        <v>#N/A</v>
      </c>
      <c r="X58" s="828">
        <v>2704.034910857702</v>
      </c>
      <c r="Y58" s="832" t="e">
        <f t="shared" ref="Y58:Y64" si="13">INT(W58*0.8)</f>
        <v>#N/A</v>
      </c>
      <c r="Z58" s="828" t="e">
        <f t="shared" si="10"/>
        <v>#N/A</v>
      </c>
      <c r="AA58" s="832" t="e">
        <f t="shared" ref="AA58:AA64" si="14">Z58*$AB$6</f>
        <v>#N/A</v>
      </c>
    </row>
    <row r="59" spans="1:27">
      <c r="C59" s="41">
        <v>1465</v>
      </c>
      <c r="D59" s="42" t="s">
        <v>261</v>
      </c>
      <c r="E59" s="56"/>
      <c r="F59" s="833" t="e">
        <f>INT($E59/1000000*'Prod &amp; Defects - Qty'!G$5)</f>
        <v>#N/A</v>
      </c>
      <c r="G59" s="833" t="e">
        <f>INT($E59/1000000*'Prod &amp; Defects - Qty'!H$5)</f>
        <v>#N/A</v>
      </c>
      <c r="H59" s="833" t="e">
        <f>INT($E59/1000000*'Prod &amp; Defects - Qty'!I$5)</f>
        <v>#N/A</v>
      </c>
      <c r="I59" s="833" t="e">
        <f>INT($E59/1000000*'Prod &amp; Defects - Qty'!J$5)</f>
        <v>#N/A</v>
      </c>
      <c r="J59" s="833" t="e">
        <f>INT($E59/1000000*'Prod &amp; Defects - Qty'!K$5)</f>
        <v>#N/A</v>
      </c>
      <c r="K59" s="833" t="e">
        <f>INT($E59/1000000*'Prod &amp; Defects - Qty'!L$5)</f>
        <v>#N/A</v>
      </c>
      <c r="L59" s="833" t="e">
        <f>INT($E59/1000000*'Prod &amp; Defects - Qty'!M$5)</f>
        <v>#N/A</v>
      </c>
      <c r="M59" s="833" t="e">
        <f>INT($E59/1000000*'Prod &amp; Defects - Qty'!N$5)</f>
        <v>#N/A</v>
      </c>
      <c r="N59" s="833" t="e">
        <f>INT($E59/1000000*'Prod &amp; Defects - Qty'!O$5)</f>
        <v>#N/A</v>
      </c>
      <c r="O59" s="833" t="e">
        <f>INT($E59/1000000*'Prod &amp; Defects - Qty'!P$5)</f>
        <v>#N/A</v>
      </c>
      <c r="P59" s="833" t="e">
        <f>INT($E59/1000000*'Prod &amp; Defects - Qty'!Q$5)</f>
        <v>#N/A</v>
      </c>
      <c r="Q59" s="833" t="e">
        <f>INT($E59/1000000*'Prod &amp; Defects - Qty'!R$5)</f>
        <v>#N/A</v>
      </c>
      <c r="R59" s="834" t="e">
        <f t="shared" ref="R59" si="15">SUM(F59:K59)</f>
        <v>#N/A</v>
      </c>
      <c r="S59" s="835" t="e">
        <f>R59/SUM('[9]Prod &amp; Defects - Qty'!F5:K5)*1000000</f>
        <v>#N/A</v>
      </c>
      <c r="T59" s="245" t="e">
        <f t="shared" si="4"/>
        <v>#N/A</v>
      </c>
      <c r="U59" s="245" t="e">
        <f>T59/SUM('[9]Prod &amp; Defects - Qty'!$L$5:$Q$5)*1000000</f>
        <v>#N/A</v>
      </c>
      <c r="V59" s="245" t="e">
        <f t="shared" si="5"/>
        <v>#N/A</v>
      </c>
      <c r="W59" s="836" t="e">
        <f>V59/'[9]Prod &amp; Defects - Qty'!$R$5*1000000</f>
        <v>#N/A</v>
      </c>
      <c r="X59" s="331">
        <v>2704.034910857702</v>
      </c>
      <c r="Y59" s="332" t="e">
        <f t="shared" si="13"/>
        <v>#N/A</v>
      </c>
      <c r="Z59" s="331" t="e">
        <f t="shared" si="10"/>
        <v>#N/A</v>
      </c>
      <c r="AA59" s="332" t="e">
        <f t="shared" si="14"/>
        <v>#N/A</v>
      </c>
    </row>
    <row r="60" spans="1:27" ht="13.5" thickBot="1">
      <c r="C60" s="43"/>
      <c r="D60" s="189" t="s">
        <v>1</v>
      </c>
      <c r="E60" s="190">
        <v>201.94424317425177</v>
      </c>
      <c r="F60" s="583"/>
      <c r="G60" s="583"/>
      <c r="H60" s="583"/>
      <c r="I60" s="583"/>
      <c r="J60" s="583"/>
      <c r="K60" s="583"/>
      <c r="L60" s="583"/>
      <c r="M60" s="583"/>
      <c r="N60" s="583"/>
      <c r="O60" s="583"/>
      <c r="P60" s="583"/>
      <c r="Q60" s="583"/>
      <c r="R60" s="837">
        <f t="shared" si="12"/>
        <v>0</v>
      </c>
      <c r="S60" s="838">
        <f>R60/SUM('[9]Prod &amp; Defects - Qty'!$F$5:$K$5)*1000000</f>
        <v>0</v>
      </c>
      <c r="T60" s="183">
        <f t="shared" si="4"/>
        <v>0</v>
      </c>
      <c r="U60" s="183">
        <f>T60/SUM('[9]Prod &amp; Defects - Qty'!$L$5:$Q$5)*1000000</f>
        <v>0</v>
      </c>
      <c r="V60" s="183">
        <f t="shared" si="5"/>
        <v>0</v>
      </c>
      <c r="W60" s="184">
        <f>V60/'[9]Prod &amp; Defects - Qty'!$R$5*1000000</f>
        <v>0</v>
      </c>
      <c r="X60" s="182">
        <v>2704.034910857702</v>
      </c>
      <c r="Y60" s="184">
        <f t="shared" si="13"/>
        <v>0</v>
      </c>
      <c r="Z60" s="182">
        <f t="shared" si="10"/>
        <v>1352.017455428851</v>
      </c>
      <c r="AA60" s="184">
        <f t="shared" si="14"/>
        <v>1331.7371935974181</v>
      </c>
    </row>
    <row r="61" spans="1:27" ht="14.25" thickTop="1" thickBot="1">
      <c r="C61" s="51"/>
      <c r="D61" s="191" t="s">
        <v>0</v>
      </c>
      <c r="E61" s="192">
        <v>1426.8652476635425</v>
      </c>
      <c r="F61" s="839"/>
      <c r="G61" s="839"/>
      <c r="H61" s="839"/>
      <c r="I61" s="839"/>
      <c r="J61" s="839"/>
      <c r="K61" s="839"/>
      <c r="L61" s="839"/>
      <c r="M61" s="839"/>
      <c r="N61" s="839"/>
      <c r="O61" s="839"/>
      <c r="P61" s="839"/>
      <c r="Q61" s="839"/>
      <c r="R61" s="188">
        <f>SUM(F61:K61)</f>
        <v>0</v>
      </c>
      <c r="S61" s="186">
        <f>R61/SUM('[9]Prod &amp; Defects - Qty'!$F$5:$K$5)*1000000</f>
        <v>0</v>
      </c>
      <c r="T61" s="186">
        <f t="shared" si="4"/>
        <v>0</v>
      </c>
      <c r="U61" s="186">
        <f>T61/SUM('[9]Prod &amp; Defects - Qty'!$L$5:$Q$5)*1000000</f>
        <v>0</v>
      </c>
      <c r="V61" s="186">
        <f t="shared" si="5"/>
        <v>0</v>
      </c>
      <c r="W61" s="187">
        <f>V61/'[9]Prod &amp; Defects - Qty'!$R$5*1000000</f>
        <v>0</v>
      </c>
      <c r="X61" s="185">
        <v>2704.034910857702</v>
      </c>
      <c r="Y61" s="187">
        <f t="shared" si="13"/>
        <v>0</v>
      </c>
      <c r="Z61" s="185">
        <f t="shared" si="10"/>
        <v>1352.017455428851</v>
      </c>
      <c r="AA61" s="187">
        <f t="shared" si="14"/>
        <v>1331.7371935974181</v>
      </c>
    </row>
    <row r="62" spans="1:27" ht="13.5" thickTop="1">
      <c r="C62" s="51"/>
      <c r="D62" s="825" t="s">
        <v>262</v>
      </c>
      <c r="E62" s="826"/>
      <c r="F62" s="827"/>
      <c r="G62" s="827"/>
      <c r="H62" s="827"/>
      <c r="I62" s="827"/>
      <c r="J62" s="827"/>
      <c r="K62" s="827"/>
      <c r="L62" s="827"/>
      <c r="M62" s="827"/>
      <c r="N62" s="827"/>
      <c r="O62" s="827"/>
      <c r="P62" s="827"/>
      <c r="Q62" s="827"/>
      <c r="R62" s="840"/>
      <c r="S62" s="840"/>
      <c r="T62" s="840"/>
      <c r="U62" s="840"/>
      <c r="V62" s="840"/>
      <c r="W62" s="840"/>
      <c r="X62" s="840"/>
      <c r="Y62" s="840"/>
      <c r="Z62" s="840"/>
      <c r="AA62" s="840"/>
    </row>
    <row r="63" spans="1:27">
      <c r="C63" s="51"/>
      <c r="D63" s="42" t="s">
        <v>263</v>
      </c>
      <c r="E63" s="56"/>
      <c r="F63" s="833"/>
      <c r="G63" s="833"/>
      <c r="H63" s="833"/>
      <c r="I63" s="833"/>
      <c r="J63" s="833"/>
      <c r="K63" s="833"/>
      <c r="L63" s="833"/>
      <c r="M63" s="833"/>
      <c r="N63" s="833"/>
      <c r="O63" s="833"/>
      <c r="P63" s="833"/>
      <c r="Q63" s="833"/>
      <c r="R63" s="840"/>
      <c r="S63" s="840"/>
      <c r="T63" s="840"/>
      <c r="U63" s="840"/>
      <c r="V63" s="840"/>
      <c r="W63" s="840"/>
      <c r="X63" s="840"/>
      <c r="Y63" s="840"/>
      <c r="Z63" s="840"/>
      <c r="AA63" s="840"/>
    </row>
    <row r="64" spans="1:27">
      <c r="D64" s="67" t="s">
        <v>264</v>
      </c>
      <c r="F64" s="841"/>
      <c r="G64" s="841"/>
      <c r="H64" s="841"/>
      <c r="I64" s="841"/>
      <c r="J64" s="841"/>
      <c r="K64" s="841"/>
      <c r="L64" s="841"/>
      <c r="M64" s="841"/>
      <c r="N64" s="841"/>
    </row>
    <row r="65" spans="3:27">
      <c r="C65" s="51"/>
      <c r="D65" s="842"/>
      <c r="E65" s="843"/>
      <c r="F65" s="844"/>
      <c r="G65" s="844"/>
      <c r="H65" s="844"/>
      <c r="I65" s="844"/>
      <c r="J65" s="844"/>
      <c r="K65" s="844"/>
      <c r="L65" s="844"/>
      <c r="M65" s="844"/>
      <c r="N65" s="844"/>
      <c r="O65" s="844"/>
      <c r="P65" s="844"/>
      <c r="Q65" s="844"/>
      <c r="R65" s="845"/>
      <c r="S65" s="845"/>
      <c r="T65" s="845"/>
      <c r="U65" s="845"/>
      <c r="V65" s="845"/>
      <c r="W65" s="845"/>
      <c r="X65" s="845"/>
      <c r="Y65" s="845"/>
      <c r="Z65" s="845"/>
      <c r="AA65" s="845"/>
    </row>
    <row r="66" spans="3:27">
      <c r="F66" s="249"/>
    </row>
    <row r="67" spans="3:27">
      <c r="D67" s="1" t="s">
        <v>176</v>
      </c>
      <c r="G67" s="269" t="e">
        <f>(G60-F60)/F60*100</f>
        <v>#DIV/0!</v>
      </c>
    </row>
    <row r="69" spans="3:27">
      <c r="D69" s="191" t="s">
        <v>186</v>
      </c>
      <c r="E69" s="227" t="s">
        <v>188</v>
      </c>
      <c r="F69" s="235" t="e">
        <f t="shared" ref="F69:Q69" si="16">F15+F22+F36</f>
        <v>#N/A</v>
      </c>
      <c r="G69" s="235" t="e">
        <f t="shared" si="16"/>
        <v>#N/A</v>
      </c>
      <c r="H69" s="235" t="e">
        <f t="shared" si="16"/>
        <v>#N/A</v>
      </c>
      <c r="I69" s="235" t="e">
        <f t="shared" si="16"/>
        <v>#N/A</v>
      </c>
      <c r="J69" s="235" t="e">
        <f t="shared" si="16"/>
        <v>#N/A</v>
      </c>
      <c r="K69" s="235" t="e">
        <f t="shared" si="16"/>
        <v>#N/A</v>
      </c>
      <c r="L69" s="235" t="e">
        <f t="shared" si="16"/>
        <v>#N/A</v>
      </c>
      <c r="M69" s="235" t="e">
        <f t="shared" si="16"/>
        <v>#N/A</v>
      </c>
      <c r="N69" s="235" t="e">
        <f t="shared" si="16"/>
        <v>#N/A</v>
      </c>
      <c r="O69" s="235" t="e">
        <f t="shared" si="16"/>
        <v>#N/A</v>
      </c>
      <c r="P69" s="235" t="e">
        <f t="shared" si="16"/>
        <v>#N/A</v>
      </c>
      <c r="Q69" s="235" t="e">
        <f t="shared" si="16"/>
        <v>#N/A</v>
      </c>
      <c r="R69" s="226" t="e">
        <f>R16+R23</f>
        <v>#N/A</v>
      </c>
      <c r="S69" s="226" t="e">
        <f>S16+S23</f>
        <v>#N/A</v>
      </c>
      <c r="T69" s="226" t="e">
        <f t="shared" ref="T69:T74" si="17">SUM(F69:Q69)</f>
        <v>#N/A</v>
      </c>
    </row>
    <row r="70" spans="3:27">
      <c r="D70" s="191"/>
      <c r="E70" s="191" t="s">
        <v>189</v>
      </c>
      <c r="F70" s="235"/>
      <c r="G70" s="235"/>
      <c r="H70" s="235"/>
      <c r="I70" s="235"/>
      <c r="J70" s="235"/>
      <c r="K70" s="235"/>
      <c r="L70" s="235"/>
      <c r="M70" s="235"/>
      <c r="N70" s="235"/>
      <c r="O70" s="235"/>
      <c r="P70" s="235"/>
      <c r="Q70" s="235"/>
      <c r="R70" s="227"/>
      <c r="S70" s="227"/>
      <c r="T70" s="226">
        <f t="shared" si="17"/>
        <v>0</v>
      </c>
    </row>
    <row r="71" spans="3:27">
      <c r="D71" s="191" t="s">
        <v>187</v>
      </c>
      <c r="E71" s="191" t="s">
        <v>188</v>
      </c>
      <c r="F71" s="235" t="e">
        <f t="shared" ref="F71:Q71" si="18">F57</f>
        <v>#N/A</v>
      </c>
      <c r="G71" s="235" t="e">
        <f t="shared" si="18"/>
        <v>#N/A</v>
      </c>
      <c r="H71" s="235" t="e">
        <f t="shared" si="18"/>
        <v>#N/A</v>
      </c>
      <c r="I71" s="235" t="e">
        <f t="shared" si="18"/>
        <v>#N/A</v>
      </c>
      <c r="J71" s="235" t="e">
        <f t="shared" si="18"/>
        <v>#N/A</v>
      </c>
      <c r="K71" s="235" t="e">
        <f t="shared" si="18"/>
        <v>#N/A</v>
      </c>
      <c r="L71" s="235" t="e">
        <f t="shared" si="18"/>
        <v>#N/A</v>
      </c>
      <c r="M71" s="235" t="e">
        <f t="shared" si="18"/>
        <v>#N/A</v>
      </c>
      <c r="N71" s="235" t="e">
        <f t="shared" si="18"/>
        <v>#N/A</v>
      </c>
      <c r="O71" s="235" t="e">
        <f t="shared" si="18"/>
        <v>#N/A</v>
      </c>
      <c r="P71" s="235" t="e">
        <f t="shared" si="18"/>
        <v>#N/A</v>
      </c>
      <c r="Q71" s="235" t="e">
        <f t="shared" si="18"/>
        <v>#N/A</v>
      </c>
      <c r="R71" s="226" t="e">
        <f>R58</f>
        <v>#N/A</v>
      </c>
      <c r="S71" s="226" t="e">
        <f>S58</f>
        <v>#N/A</v>
      </c>
      <c r="T71" s="226" t="e">
        <f t="shared" si="17"/>
        <v>#N/A</v>
      </c>
    </row>
    <row r="72" spans="3:27">
      <c r="D72" s="191"/>
      <c r="E72" s="191" t="s">
        <v>189</v>
      </c>
      <c r="F72" s="235"/>
      <c r="G72" s="235"/>
      <c r="H72" s="235"/>
      <c r="I72" s="235"/>
      <c r="J72" s="235"/>
      <c r="K72" s="235"/>
      <c r="L72" s="235"/>
      <c r="M72" s="235"/>
      <c r="N72" s="235"/>
      <c r="O72" s="235"/>
      <c r="P72" s="235"/>
      <c r="Q72" s="235"/>
      <c r="R72" s="227"/>
      <c r="S72" s="227"/>
      <c r="T72" s="226">
        <f t="shared" si="17"/>
        <v>0</v>
      </c>
    </row>
    <row r="73" spans="3:27">
      <c r="D73" s="191" t="s">
        <v>113</v>
      </c>
      <c r="E73" s="191" t="s">
        <v>188</v>
      </c>
      <c r="F73" s="235" t="e">
        <f t="shared" ref="F73:Q73" si="19">F59</f>
        <v>#N/A</v>
      </c>
      <c r="G73" s="235" t="e">
        <f t="shared" si="19"/>
        <v>#N/A</v>
      </c>
      <c r="H73" s="235" t="e">
        <f t="shared" si="19"/>
        <v>#N/A</v>
      </c>
      <c r="I73" s="235" t="e">
        <f t="shared" si="19"/>
        <v>#N/A</v>
      </c>
      <c r="J73" s="235" t="e">
        <f t="shared" si="19"/>
        <v>#N/A</v>
      </c>
      <c r="K73" s="235" t="e">
        <f t="shared" si="19"/>
        <v>#N/A</v>
      </c>
      <c r="L73" s="235" t="e">
        <f t="shared" si="19"/>
        <v>#N/A</v>
      </c>
      <c r="M73" s="235" t="e">
        <f t="shared" si="19"/>
        <v>#N/A</v>
      </c>
      <c r="N73" s="235" t="e">
        <f t="shared" si="19"/>
        <v>#N/A</v>
      </c>
      <c r="O73" s="235" t="e">
        <f t="shared" si="19"/>
        <v>#N/A</v>
      </c>
      <c r="P73" s="235" t="e">
        <f t="shared" si="19"/>
        <v>#N/A</v>
      </c>
      <c r="Q73" s="235" t="e">
        <f t="shared" si="19"/>
        <v>#N/A</v>
      </c>
      <c r="R73" s="226">
        <f>R60</f>
        <v>0</v>
      </c>
      <c r="S73" s="226">
        <f>S60</f>
        <v>0</v>
      </c>
      <c r="T73" s="226" t="e">
        <f t="shared" si="17"/>
        <v>#N/A</v>
      </c>
    </row>
    <row r="74" spans="3:27">
      <c r="D74" s="230"/>
      <c r="E74" s="191" t="s">
        <v>189</v>
      </c>
      <c r="F74" s="271"/>
      <c r="G74" s="271"/>
      <c r="H74" s="271"/>
      <c r="I74" s="271"/>
      <c r="J74" s="271"/>
      <c r="K74" s="271"/>
      <c r="L74" s="271"/>
      <c r="M74" s="271"/>
      <c r="N74" s="271"/>
      <c r="O74" s="271"/>
      <c r="P74" s="271"/>
      <c r="Q74" s="271"/>
      <c r="R74" s="230"/>
      <c r="S74" s="230"/>
      <c r="T74" s="226">
        <f t="shared" si="17"/>
        <v>0</v>
      </c>
    </row>
  </sheetData>
  <mergeCells count="8">
    <mergeCell ref="A36:A56"/>
    <mergeCell ref="B36:B56"/>
    <mergeCell ref="A1:F1"/>
    <mergeCell ref="B6:B15"/>
    <mergeCell ref="B16:B22"/>
    <mergeCell ref="A6:A35"/>
    <mergeCell ref="B23:B35"/>
    <mergeCell ref="C4:D4"/>
  </mergeCells>
  <printOptions horizontalCentered="1" gridLinesSet="0"/>
  <pageMargins left="0.98425196850393704" right="0.39370078740157483" top="0.39370078740157483" bottom="0.39370078740157483" header="0.51181102362204722" footer="0.31496062992125984"/>
  <pageSetup paperSize="9" scale="54" orientation="landscape" horizontalDpi="4294967292" r:id="rId1"/>
  <headerFooter alignWithMargins="0">
    <oddFooter>&amp;L&amp;A&amp;R&amp;F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>
    <tabColor indexed="56"/>
    <pageSetUpPr fitToPage="1"/>
  </sheetPr>
  <dimension ref="A1:T68"/>
  <sheetViews>
    <sheetView showGridLines="0" tabSelected="1" topLeftCell="A46" zoomScaleNormal="100" zoomScaleSheetLayoutView="100" workbookViewId="0">
      <selection activeCell="F49" sqref="F49"/>
    </sheetView>
  </sheetViews>
  <sheetFormatPr defaultColWidth="11.42578125" defaultRowHeight="12.75"/>
  <cols>
    <col min="1" max="1" width="3.28515625" style="1" bestFit="1" customWidth="1"/>
    <col min="2" max="2" width="2.7109375" style="1" customWidth="1"/>
    <col min="3" max="3" width="5" style="1" customWidth="1"/>
    <col min="4" max="4" width="18" style="1" bestFit="1" customWidth="1"/>
    <col min="5" max="5" width="9.5703125" style="1" customWidth="1"/>
    <col min="6" max="6" width="9.7109375" style="1" customWidth="1"/>
    <col min="7" max="16384" width="11.42578125" style="1"/>
  </cols>
  <sheetData>
    <row r="1" spans="1:20" ht="18" customHeight="1">
      <c r="A1" s="756" t="s">
        <v>58</v>
      </c>
      <c r="B1" s="756"/>
      <c r="C1" s="756"/>
      <c r="D1" s="756"/>
      <c r="E1" s="756"/>
      <c r="F1" s="756"/>
    </row>
    <row r="2" spans="1:20" ht="18" customHeight="1">
      <c r="A2" s="17"/>
      <c r="B2" s="17"/>
      <c r="C2" s="17"/>
      <c r="D2" s="17"/>
      <c r="E2" s="17"/>
      <c r="F2" s="17"/>
    </row>
    <row r="3" spans="1:20" ht="9.9499999999999993" customHeight="1" thickBot="1">
      <c r="A3" s="17"/>
      <c r="B3" s="17"/>
      <c r="C3" s="17"/>
      <c r="D3" s="17"/>
      <c r="E3" s="17"/>
      <c r="F3" s="17"/>
    </row>
    <row r="4" spans="1:20" ht="38.25">
      <c r="A4" s="16"/>
      <c r="B4" s="15"/>
      <c r="C4" s="765" t="s">
        <v>57</v>
      </c>
      <c r="D4" s="766"/>
      <c r="E4" s="570" t="s">
        <v>218</v>
      </c>
      <c r="F4" s="14" t="s">
        <v>56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2" t="s">
        <v>55</v>
      </c>
      <c r="S4" s="12" t="s">
        <v>54</v>
      </c>
      <c r="T4" s="20" t="s">
        <v>1</v>
      </c>
    </row>
    <row r="5" spans="1:20" ht="18" customHeight="1" thickBot="1">
      <c r="A5" s="10"/>
      <c r="B5" s="9"/>
      <c r="C5" s="8" t="s">
        <v>51</v>
      </c>
      <c r="D5" s="25" t="s">
        <v>50</v>
      </c>
      <c r="E5" s="26">
        <v>2020</v>
      </c>
      <c r="F5" s="19">
        <f>'Falhas UM-1 - Qty'!F5</f>
        <v>43922</v>
      </c>
      <c r="G5" s="19">
        <f>'Falhas UM-1 - Qty'!G5</f>
        <v>43952</v>
      </c>
      <c r="H5" s="19">
        <f>'Falhas UM-1 - Qty'!H5</f>
        <v>43983</v>
      </c>
      <c r="I5" s="19">
        <f>'Falhas UM-1 - Qty'!I5</f>
        <v>44013</v>
      </c>
      <c r="J5" s="19">
        <f>'Falhas UM-1 - Qty'!J5</f>
        <v>44044</v>
      </c>
      <c r="K5" s="19">
        <f>'Falhas UM-1 - Qty'!K5</f>
        <v>44075</v>
      </c>
      <c r="L5" s="19">
        <f>'Falhas UM-1 - Qty'!L5</f>
        <v>44105</v>
      </c>
      <c r="M5" s="19">
        <f>'Falhas UM-1 - Qty'!M5</f>
        <v>44136</v>
      </c>
      <c r="N5" s="19">
        <f>'Falhas UM-1 - Qty'!N5</f>
        <v>44166</v>
      </c>
      <c r="O5" s="19">
        <f>'Falhas UM-1 - Qty'!O5</f>
        <v>44197</v>
      </c>
      <c r="P5" s="19">
        <f>'Falhas UM-1 - Qty'!P5</f>
        <v>44228</v>
      </c>
      <c r="Q5" s="19">
        <f>'Falhas UM-1 - Qty'!Q5</f>
        <v>44256</v>
      </c>
      <c r="R5" s="6" t="s">
        <v>49</v>
      </c>
      <c r="S5" s="6" t="s">
        <v>49</v>
      </c>
      <c r="T5" s="18" t="s">
        <v>49</v>
      </c>
    </row>
    <row r="6" spans="1:20" ht="18" customHeight="1" thickTop="1">
      <c r="A6" s="759" t="s">
        <v>47</v>
      </c>
      <c r="B6" s="754" t="s">
        <v>20</v>
      </c>
      <c r="C6" s="30">
        <v>1010</v>
      </c>
      <c r="D6" s="31" t="s">
        <v>46</v>
      </c>
      <c r="E6" s="137">
        <f>'[4]Falhas UM-1'!I6</f>
        <v>447.48109999999991</v>
      </c>
      <c r="F6" s="137" t="e">
        <f>$E6*'Falhas UM-1 - Qty'!F6/1000</f>
        <v>#N/A</v>
      </c>
      <c r="G6" s="137" t="e">
        <f>$E6*'Falhas UM-1 - Qty'!G6/1000</f>
        <v>#N/A</v>
      </c>
      <c r="H6" s="137" t="e">
        <f>$E6*'Falhas UM-1 - Qty'!H6/1000</f>
        <v>#N/A</v>
      </c>
      <c r="I6" s="137" t="e">
        <f>$E6*'Falhas UM-1 - Qty'!I6/1000</f>
        <v>#N/A</v>
      </c>
      <c r="J6" s="137" t="e">
        <f>$E6*'Falhas UM-1 - Qty'!J6/1000</f>
        <v>#N/A</v>
      </c>
      <c r="K6" s="137" t="e">
        <f>$E6*'Falhas UM-1 - Qty'!K6/1000</f>
        <v>#N/A</v>
      </c>
      <c r="L6" s="137" t="e">
        <f>$E6*'Falhas UM-1 - Qty'!L6/1000</f>
        <v>#N/A</v>
      </c>
      <c r="M6" s="137" t="e">
        <f>$E6*'Falhas UM-1 - Qty'!M6/1000</f>
        <v>#N/A</v>
      </c>
      <c r="N6" s="137" t="e">
        <f>$E6*'Falhas UM-1 - Qty'!N6/1000</f>
        <v>#N/A</v>
      </c>
      <c r="O6" s="137" t="e">
        <f>$E6*'Falhas UM-1 - Qty'!O6/1000</f>
        <v>#N/A</v>
      </c>
      <c r="P6" s="137" t="e">
        <f>$E6*'Falhas UM-1 - Qty'!P6/1000</f>
        <v>#N/A</v>
      </c>
      <c r="Q6" s="137" t="e">
        <f>$E6*'Falhas UM-1 - Qty'!Q6/1000</f>
        <v>#N/A</v>
      </c>
      <c r="R6" s="57" t="e">
        <f t="shared" ref="R6:R37" si="0">SUM(F6:K6)</f>
        <v>#N/A</v>
      </c>
      <c r="S6" s="57" t="e">
        <f t="shared" ref="S6:S37" si="1">SUM(L6:Q6)</f>
        <v>#N/A</v>
      </c>
      <c r="T6" s="57" t="e">
        <f t="shared" ref="T6:T37" si="2">R6+S6</f>
        <v>#N/A</v>
      </c>
    </row>
    <row r="7" spans="1:20" ht="18" customHeight="1">
      <c r="A7" s="760"/>
      <c r="B7" s="754"/>
      <c r="C7" s="30">
        <v>1020</v>
      </c>
      <c r="D7" s="31" t="s">
        <v>45</v>
      </c>
      <c r="E7" s="137">
        <f>'[4]Falhas UM-1'!I7</f>
        <v>530.37289999999985</v>
      </c>
      <c r="F7" s="137" t="e">
        <f>$E7*'Falhas UM-1 - Qty'!F7/1000</f>
        <v>#N/A</v>
      </c>
      <c r="G7" s="137" t="e">
        <f>$E7*'Falhas UM-1 - Qty'!G7/1000</f>
        <v>#N/A</v>
      </c>
      <c r="H7" s="137" t="e">
        <f>$E7*'Falhas UM-1 - Qty'!H7/1000</f>
        <v>#N/A</v>
      </c>
      <c r="I7" s="137" t="e">
        <f>$E7*'Falhas UM-1 - Qty'!I7/1000</f>
        <v>#N/A</v>
      </c>
      <c r="J7" s="137" t="e">
        <f>$E7*'Falhas UM-1 - Qty'!J7/1000</f>
        <v>#N/A</v>
      </c>
      <c r="K7" s="137" t="e">
        <f>$E7*'Falhas UM-1 - Qty'!K7/1000</f>
        <v>#N/A</v>
      </c>
      <c r="L7" s="137" t="e">
        <f>$E7*'Falhas UM-1 - Qty'!L7/1000</f>
        <v>#N/A</v>
      </c>
      <c r="M7" s="137" t="e">
        <f>$E7*'Falhas UM-1 - Qty'!M7/1000</f>
        <v>#N/A</v>
      </c>
      <c r="N7" s="137" t="e">
        <f>$E7*'Falhas UM-1 - Qty'!N7/1000</f>
        <v>#N/A</v>
      </c>
      <c r="O7" s="137" t="e">
        <f>$E7*'Falhas UM-1 - Qty'!O7/1000</f>
        <v>#N/A</v>
      </c>
      <c r="P7" s="137" t="e">
        <f>$E7*'Falhas UM-1 - Qty'!P7/1000</f>
        <v>#N/A</v>
      </c>
      <c r="Q7" s="137" t="e">
        <f>$E7*'Falhas UM-1 - Qty'!Q7/1000</f>
        <v>#N/A</v>
      </c>
      <c r="R7" s="57" t="e">
        <f t="shared" si="0"/>
        <v>#N/A</v>
      </c>
      <c r="S7" s="57" t="e">
        <f t="shared" si="1"/>
        <v>#N/A</v>
      </c>
      <c r="T7" s="57" t="e">
        <f t="shared" si="2"/>
        <v>#N/A</v>
      </c>
    </row>
    <row r="8" spans="1:20" ht="18" customHeight="1">
      <c r="A8" s="760"/>
      <c r="B8" s="754"/>
      <c r="C8" s="30">
        <v>1030</v>
      </c>
      <c r="D8" s="31" t="s">
        <v>44</v>
      </c>
      <c r="E8" s="137">
        <f>'[4]Falhas UM-1'!I8</f>
        <v>530.37289999999985</v>
      </c>
      <c r="F8" s="137" t="e">
        <f>$E8*'Falhas UM-1 - Qty'!F8/1000</f>
        <v>#N/A</v>
      </c>
      <c r="G8" s="137" t="e">
        <f>$E8*'Falhas UM-1 - Qty'!G8/1000</f>
        <v>#N/A</v>
      </c>
      <c r="H8" s="137" t="e">
        <f>$E8*'Falhas UM-1 - Qty'!H8/1000</f>
        <v>#N/A</v>
      </c>
      <c r="I8" s="137" t="e">
        <f>$E8*'Falhas UM-1 - Qty'!I8/1000</f>
        <v>#N/A</v>
      </c>
      <c r="J8" s="137" t="e">
        <f>$E8*'Falhas UM-1 - Qty'!J8/1000</f>
        <v>#N/A</v>
      </c>
      <c r="K8" s="137" t="e">
        <f>$E8*'Falhas UM-1 - Qty'!K8/1000</f>
        <v>#N/A</v>
      </c>
      <c r="L8" s="137" t="e">
        <f>$E8*'Falhas UM-1 - Qty'!L8/1000</f>
        <v>#N/A</v>
      </c>
      <c r="M8" s="137" t="e">
        <f>$E8*'Falhas UM-1 - Qty'!M8/1000</f>
        <v>#N/A</v>
      </c>
      <c r="N8" s="137" t="e">
        <f>$E8*'Falhas UM-1 - Qty'!N8/1000</f>
        <v>#N/A</v>
      </c>
      <c r="O8" s="137" t="e">
        <f>$E8*'Falhas UM-1 - Qty'!O8/1000</f>
        <v>#N/A</v>
      </c>
      <c r="P8" s="137" t="e">
        <f>$E8*'Falhas UM-1 - Qty'!P8/1000</f>
        <v>#N/A</v>
      </c>
      <c r="Q8" s="137" t="e">
        <f>$E8*'Falhas UM-1 - Qty'!Q8/1000</f>
        <v>#N/A</v>
      </c>
      <c r="R8" s="57" t="e">
        <f t="shared" si="0"/>
        <v>#N/A</v>
      </c>
      <c r="S8" s="57" t="e">
        <f t="shared" si="1"/>
        <v>#N/A</v>
      </c>
      <c r="T8" s="57" t="e">
        <f t="shared" si="2"/>
        <v>#N/A</v>
      </c>
    </row>
    <row r="9" spans="1:20" ht="18" customHeight="1">
      <c r="A9" s="760"/>
      <c r="B9" s="754"/>
      <c r="C9" s="30">
        <v>1040</v>
      </c>
      <c r="D9" s="31" t="s">
        <v>43</v>
      </c>
      <c r="E9" s="137">
        <f>'[4]Falhas UM-1'!I9</f>
        <v>533.59179999999981</v>
      </c>
      <c r="F9" s="137" t="e">
        <f>$E9*'Falhas UM-1 - Qty'!F9/1000</f>
        <v>#N/A</v>
      </c>
      <c r="G9" s="137" t="e">
        <f>$E9*'Falhas UM-1 - Qty'!G9/1000</f>
        <v>#N/A</v>
      </c>
      <c r="H9" s="137" t="e">
        <f>$E9*'Falhas UM-1 - Qty'!H9/1000</f>
        <v>#N/A</v>
      </c>
      <c r="I9" s="137" t="e">
        <f>$E9*'Falhas UM-1 - Qty'!I9/1000</f>
        <v>#N/A</v>
      </c>
      <c r="J9" s="137" t="e">
        <f>$E9*'Falhas UM-1 - Qty'!J9/1000</f>
        <v>#N/A</v>
      </c>
      <c r="K9" s="137" t="e">
        <f>$E9*'Falhas UM-1 - Qty'!K9/1000</f>
        <v>#N/A</v>
      </c>
      <c r="L9" s="137" t="e">
        <f>$E9*'Falhas UM-1 - Qty'!L9/1000</f>
        <v>#N/A</v>
      </c>
      <c r="M9" s="137" t="e">
        <f>$E9*'Falhas UM-1 - Qty'!M9/1000</f>
        <v>#N/A</v>
      </c>
      <c r="N9" s="137" t="e">
        <f>$E9*'Falhas UM-1 - Qty'!N9/1000</f>
        <v>#N/A</v>
      </c>
      <c r="O9" s="137" t="e">
        <f>$E9*'Falhas UM-1 - Qty'!O9/1000</f>
        <v>#N/A</v>
      </c>
      <c r="P9" s="137" t="e">
        <f>$E9*'Falhas UM-1 - Qty'!P9/1000</f>
        <v>#N/A</v>
      </c>
      <c r="Q9" s="137" t="e">
        <f>$E9*'Falhas UM-1 - Qty'!Q9/1000</f>
        <v>#N/A</v>
      </c>
      <c r="R9" s="57" t="e">
        <f t="shared" si="0"/>
        <v>#N/A</v>
      </c>
      <c r="S9" s="57" t="e">
        <f t="shared" si="1"/>
        <v>#N/A</v>
      </c>
      <c r="T9" s="57" t="e">
        <f t="shared" si="2"/>
        <v>#N/A</v>
      </c>
    </row>
    <row r="10" spans="1:20" ht="18" customHeight="1">
      <c r="A10" s="760"/>
      <c r="B10" s="754"/>
      <c r="C10" s="30">
        <v>1050</v>
      </c>
      <c r="D10" s="31" t="s">
        <v>42</v>
      </c>
      <c r="E10" s="137">
        <f>'[4]Falhas UM-1'!I10</f>
        <v>546.13579999999979</v>
      </c>
      <c r="F10" s="137" t="e">
        <f>$E10*'Falhas UM-1 - Qty'!F10/1000</f>
        <v>#N/A</v>
      </c>
      <c r="G10" s="137" t="e">
        <f>$E10*'Falhas UM-1 - Qty'!G10/1000</f>
        <v>#N/A</v>
      </c>
      <c r="H10" s="137" t="e">
        <f>$E10*'Falhas UM-1 - Qty'!H10/1000</f>
        <v>#N/A</v>
      </c>
      <c r="I10" s="137" t="e">
        <f>$E10*'Falhas UM-1 - Qty'!I10/1000</f>
        <v>#N/A</v>
      </c>
      <c r="J10" s="137" t="e">
        <f>$E10*'Falhas UM-1 - Qty'!J10/1000</f>
        <v>#N/A</v>
      </c>
      <c r="K10" s="137" t="e">
        <f>$E10*'Falhas UM-1 - Qty'!K10/1000</f>
        <v>#N/A</v>
      </c>
      <c r="L10" s="137" t="e">
        <f>$E10*'Falhas UM-1 - Qty'!L10/1000</f>
        <v>#N/A</v>
      </c>
      <c r="M10" s="137" t="e">
        <f>$E10*'Falhas UM-1 - Qty'!M10/1000</f>
        <v>#N/A</v>
      </c>
      <c r="N10" s="137" t="e">
        <f>$E10*'Falhas UM-1 - Qty'!N10/1000</f>
        <v>#N/A</v>
      </c>
      <c r="O10" s="137" t="e">
        <f>$E10*'Falhas UM-1 - Qty'!O10/1000</f>
        <v>#N/A</v>
      </c>
      <c r="P10" s="137" t="e">
        <f>$E10*'Falhas UM-1 - Qty'!P10/1000</f>
        <v>#N/A</v>
      </c>
      <c r="Q10" s="137" t="e">
        <f>$E10*'Falhas UM-1 - Qty'!Q10/1000</f>
        <v>#N/A</v>
      </c>
      <c r="R10" s="57" t="e">
        <f t="shared" si="0"/>
        <v>#N/A</v>
      </c>
      <c r="S10" s="57" t="e">
        <f t="shared" si="1"/>
        <v>#N/A</v>
      </c>
      <c r="T10" s="57" t="e">
        <f t="shared" si="2"/>
        <v>#N/A</v>
      </c>
    </row>
    <row r="11" spans="1:20" ht="18" customHeight="1">
      <c r="A11" s="760"/>
      <c r="B11" s="754"/>
      <c r="C11" s="30">
        <v>1060</v>
      </c>
      <c r="D11" s="31" t="s">
        <v>41</v>
      </c>
      <c r="E11" s="137">
        <f>'[4]Falhas UM-1'!I11</f>
        <v>556.37839999999983</v>
      </c>
      <c r="F11" s="137" t="e">
        <f>$E11*'Falhas UM-1 - Qty'!F11/1000</f>
        <v>#N/A</v>
      </c>
      <c r="G11" s="137" t="e">
        <f>$E11*'Falhas UM-1 - Qty'!G11/1000</f>
        <v>#N/A</v>
      </c>
      <c r="H11" s="137" t="e">
        <f>$E11*'Falhas UM-1 - Qty'!H11/1000</f>
        <v>#N/A</v>
      </c>
      <c r="I11" s="137" t="e">
        <f>$E11*'Falhas UM-1 - Qty'!I11/1000</f>
        <v>#N/A</v>
      </c>
      <c r="J11" s="137" t="e">
        <f>$E11*'Falhas UM-1 - Qty'!J11/1000</f>
        <v>#N/A</v>
      </c>
      <c r="K11" s="137" t="e">
        <f>$E11*'Falhas UM-1 - Qty'!K11/1000</f>
        <v>#N/A</v>
      </c>
      <c r="L11" s="137" t="e">
        <f>$E11*'Falhas UM-1 - Qty'!L11/1000</f>
        <v>#N/A</v>
      </c>
      <c r="M11" s="137" t="e">
        <f>$E11*'Falhas UM-1 - Qty'!M11/1000</f>
        <v>#N/A</v>
      </c>
      <c r="N11" s="137" t="e">
        <f>$E11*'Falhas UM-1 - Qty'!N11/1000</f>
        <v>#N/A</v>
      </c>
      <c r="O11" s="137" t="e">
        <f>$E11*'Falhas UM-1 - Qty'!O11/1000</f>
        <v>#N/A</v>
      </c>
      <c r="P11" s="137" t="e">
        <f>$E11*'Falhas UM-1 - Qty'!P11/1000</f>
        <v>#N/A</v>
      </c>
      <c r="Q11" s="137" t="e">
        <f>$E11*'Falhas UM-1 - Qty'!Q11/1000</f>
        <v>#N/A</v>
      </c>
      <c r="R11" s="57" t="e">
        <f t="shared" si="0"/>
        <v>#N/A</v>
      </c>
      <c r="S11" s="57" t="e">
        <f t="shared" si="1"/>
        <v>#N/A</v>
      </c>
      <c r="T11" s="57" t="e">
        <f t="shared" si="2"/>
        <v>#N/A</v>
      </c>
    </row>
    <row r="12" spans="1:20" ht="18" customHeight="1">
      <c r="A12" s="760"/>
      <c r="B12" s="754"/>
      <c r="C12" s="30">
        <v>1070</v>
      </c>
      <c r="D12" s="31" t="s">
        <v>40</v>
      </c>
      <c r="E12" s="137">
        <f>'[4]Falhas UM-1'!I12</f>
        <v>574.80404999999985</v>
      </c>
      <c r="F12" s="137" t="e">
        <f>$E12*'Falhas UM-1 - Qty'!F12/1000</f>
        <v>#N/A</v>
      </c>
      <c r="G12" s="137" t="e">
        <f>$E12*'Falhas UM-1 - Qty'!G12/1000</f>
        <v>#N/A</v>
      </c>
      <c r="H12" s="137" t="e">
        <f>$E12*'Falhas UM-1 - Qty'!H12/1000</f>
        <v>#N/A</v>
      </c>
      <c r="I12" s="137" t="e">
        <f>$E12*'Falhas UM-1 - Qty'!I12/1000</f>
        <v>#N/A</v>
      </c>
      <c r="J12" s="137" t="e">
        <f>$E12*'Falhas UM-1 - Qty'!J12/1000</f>
        <v>#N/A</v>
      </c>
      <c r="K12" s="137" t="e">
        <f>$E12*'Falhas UM-1 - Qty'!K12/1000</f>
        <v>#N/A</v>
      </c>
      <c r="L12" s="137" t="e">
        <f>$E12*'Falhas UM-1 - Qty'!L12/1000</f>
        <v>#N/A</v>
      </c>
      <c r="M12" s="137" t="e">
        <f>$E12*'Falhas UM-1 - Qty'!M12/1000</f>
        <v>#N/A</v>
      </c>
      <c r="N12" s="137" t="e">
        <f>$E12*'Falhas UM-1 - Qty'!N12/1000</f>
        <v>#N/A</v>
      </c>
      <c r="O12" s="137" t="e">
        <f>$E12*'Falhas UM-1 - Qty'!O12/1000</f>
        <v>#N/A</v>
      </c>
      <c r="P12" s="137" t="e">
        <f>$E12*'Falhas UM-1 - Qty'!P12/1000</f>
        <v>#N/A</v>
      </c>
      <c r="Q12" s="137" t="e">
        <f>$E12*'Falhas UM-1 - Qty'!Q12/1000</f>
        <v>#N/A</v>
      </c>
      <c r="R12" s="57" t="e">
        <f t="shared" si="0"/>
        <v>#N/A</v>
      </c>
      <c r="S12" s="57" t="e">
        <f t="shared" si="1"/>
        <v>#N/A</v>
      </c>
      <c r="T12" s="57" t="e">
        <f t="shared" si="2"/>
        <v>#N/A</v>
      </c>
    </row>
    <row r="13" spans="1:20" ht="18" customHeight="1">
      <c r="A13" s="760"/>
      <c r="B13" s="754"/>
      <c r="C13" s="30">
        <v>1080</v>
      </c>
      <c r="D13" s="31" t="s">
        <v>39</v>
      </c>
      <c r="E13" s="137">
        <f>'[4]Falhas UM-1'!I13</f>
        <v>662.85928000000001</v>
      </c>
      <c r="F13" s="137" t="e">
        <f>$E13*'Falhas UM-1 - Qty'!F13/1000</f>
        <v>#N/A</v>
      </c>
      <c r="G13" s="137" t="e">
        <f>$E13*'Falhas UM-1 - Qty'!G13/1000</f>
        <v>#N/A</v>
      </c>
      <c r="H13" s="137" t="e">
        <f>$E13*'Falhas UM-1 - Qty'!H13/1000</f>
        <v>#N/A</v>
      </c>
      <c r="I13" s="137" t="e">
        <f>$E13*'Falhas UM-1 - Qty'!I13/1000</f>
        <v>#N/A</v>
      </c>
      <c r="J13" s="137" t="e">
        <f>$E13*'Falhas UM-1 - Qty'!J13/1000</f>
        <v>#N/A</v>
      </c>
      <c r="K13" s="137" t="e">
        <f>$E13*'Falhas UM-1 - Qty'!K13/1000</f>
        <v>#N/A</v>
      </c>
      <c r="L13" s="137" t="e">
        <f>$E13*'Falhas UM-1 - Qty'!L13/1000</f>
        <v>#N/A</v>
      </c>
      <c r="M13" s="137" t="e">
        <f>$E13*'Falhas UM-1 - Qty'!M13/1000</f>
        <v>#N/A</v>
      </c>
      <c r="N13" s="137" t="e">
        <f>$E13*'Falhas UM-1 - Qty'!N13/1000</f>
        <v>#N/A</v>
      </c>
      <c r="O13" s="137" t="e">
        <f>$E13*'Falhas UM-1 - Qty'!O13/1000</f>
        <v>#N/A</v>
      </c>
      <c r="P13" s="137" t="e">
        <f>$E13*'Falhas UM-1 - Qty'!P13/1000</f>
        <v>#N/A</v>
      </c>
      <c r="Q13" s="137" t="e">
        <f>$E13*'Falhas UM-1 - Qty'!Q13/1000</f>
        <v>#N/A</v>
      </c>
      <c r="R13" s="57" t="e">
        <f t="shared" si="0"/>
        <v>#N/A</v>
      </c>
      <c r="S13" s="57" t="e">
        <f t="shared" si="1"/>
        <v>#N/A</v>
      </c>
      <c r="T13" s="57" t="e">
        <f t="shared" si="2"/>
        <v>#N/A</v>
      </c>
    </row>
    <row r="14" spans="1:20" ht="18" customHeight="1">
      <c r="A14" s="760"/>
      <c r="B14" s="754"/>
      <c r="C14" s="30">
        <v>1090</v>
      </c>
      <c r="D14" s="31" t="s">
        <v>38</v>
      </c>
      <c r="E14" s="137">
        <f>'[4]Falhas UM-1'!I14</f>
        <v>662.85928000000001</v>
      </c>
      <c r="F14" s="137" t="e">
        <f>$E14*'Falhas UM-1 - Qty'!F14/1000</f>
        <v>#N/A</v>
      </c>
      <c r="G14" s="137" t="e">
        <f>$E14*'Falhas UM-1 - Qty'!G14/1000</f>
        <v>#N/A</v>
      </c>
      <c r="H14" s="137" t="e">
        <f>$E14*'Falhas UM-1 - Qty'!H14/1000</f>
        <v>#N/A</v>
      </c>
      <c r="I14" s="137" t="e">
        <f>$E14*'Falhas UM-1 - Qty'!I14/1000</f>
        <v>#N/A</v>
      </c>
      <c r="J14" s="137" t="e">
        <f>$E14*'Falhas UM-1 - Qty'!J14/1000</f>
        <v>#N/A</v>
      </c>
      <c r="K14" s="137" t="e">
        <f>$E14*'Falhas UM-1 - Qty'!K14/1000</f>
        <v>#N/A</v>
      </c>
      <c r="L14" s="137" t="e">
        <f>$E14*'Falhas UM-1 - Qty'!L14/1000</f>
        <v>#N/A</v>
      </c>
      <c r="M14" s="137" t="e">
        <f>$E14*'Falhas UM-1 - Qty'!M14/1000</f>
        <v>#N/A</v>
      </c>
      <c r="N14" s="137" t="e">
        <f>$E14*'Falhas UM-1 - Qty'!N14/1000</f>
        <v>#N/A</v>
      </c>
      <c r="O14" s="137" t="e">
        <f>$E14*'Falhas UM-1 - Qty'!O14/1000</f>
        <v>#N/A</v>
      </c>
      <c r="P14" s="137" t="e">
        <f>$E14*'Falhas UM-1 - Qty'!P14/1000</f>
        <v>#N/A</v>
      </c>
      <c r="Q14" s="137" t="e">
        <f>$E14*'Falhas UM-1 - Qty'!Q14/1000</f>
        <v>#N/A</v>
      </c>
      <c r="R14" s="57" t="e">
        <f t="shared" si="0"/>
        <v>#N/A</v>
      </c>
      <c r="S14" s="57" t="e">
        <f t="shared" si="1"/>
        <v>#N/A</v>
      </c>
      <c r="T14" s="57" t="e">
        <f t="shared" si="2"/>
        <v>#N/A</v>
      </c>
    </row>
    <row r="15" spans="1:20" ht="18" customHeight="1" thickBot="1">
      <c r="A15" s="760"/>
      <c r="B15" s="755"/>
      <c r="C15" s="32"/>
      <c r="D15" s="33" t="s">
        <v>1</v>
      </c>
      <c r="E15" s="580"/>
      <c r="F15" s="193" t="e">
        <f>SUM(F6:F14)</f>
        <v>#N/A</v>
      </c>
      <c r="G15" s="193" t="e">
        <f t="shared" ref="G15:Q15" si="3">SUM(G6:G14)</f>
        <v>#N/A</v>
      </c>
      <c r="H15" s="193" t="e">
        <f t="shared" si="3"/>
        <v>#N/A</v>
      </c>
      <c r="I15" s="193" t="e">
        <f t="shared" si="3"/>
        <v>#N/A</v>
      </c>
      <c r="J15" s="193" t="e">
        <f t="shared" si="3"/>
        <v>#N/A</v>
      </c>
      <c r="K15" s="193" t="e">
        <f t="shared" si="3"/>
        <v>#N/A</v>
      </c>
      <c r="L15" s="193" t="e">
        <f t="shared" si="3"/>
        <v>#N/A</v>
      </c>
      <c r="M15" s="193" t="e">
        <f t="shared" si="3"/>
        <v>#N/A</v>
      </c>
      <c r="N15" s="193" t="e">
        <f t="shared" si="3"/>
        <v>#N/A</v>
      </c>
      <c r="O15" s="193" t="e">
        <f t="shared" si="3"/>
        <v>#N/A</v>
      </c>
      <c r="P15" s="193" t="e">
        <f t="shared" si="3"/>
        <v>#N/A</v>
      </c>
      <c r="Q15" s="193" t="e">
        <f t="shared" si="3"/>
        <v>#N/A</v>
      </c>
      <c r="R15" s="58" t="e">
        <f t="shared" si="0"/>
        <v>#N/A</v>
      </c>
      <c r="S15" s="58" t="e">
        <f t="shared" si="1"/>
        <v>#N/A</v>
      </c>
      <c r="T15" s="58" t="e">
        <f t="shared" si="2"/>
        <v>#N/A</v>
      </c>
    </row>
    <row r="16" spans="1:20" ht="18" customHeight="1" thickTop="1">
      <c r="A16" s="760"/>
      <c r="B16" s="757" t="s">
        <v>37</v>
      </c>
      <c r="C16" s="34">
        <v>1100</v>
      </c>
      <c r="D16" s="35" t="s">
        <v>36</v>
      </c>
      <c r="E16" s="180">
        <f>'[4]Falhas UM-1'!I16</f>
        <v>10.242599999999999</v>
      </c>
      <c r="F16" s="180" t="e">
        <f>$E16*'Falhas UM-1 - Qty'!F16/1000</f>
        <v>#N/A</v>
      </c>
      <c r="G16" s="180" t="e">
        <f>$E16*'Falhas UM-1 - Qty'!G16/1000</f>
        <v>#N/A</v>
      </c>
      <c r="H16" s="180" t="e">
        <f>$E16*'Falhas UM-1 - Qty'!H16/1000</f>
        <v>#N/A</v>
      </c>
      <c r="I16" s="180" t="e">
        <f>$E16*'Falhas UM-1 - Qty'!I16/1000</f>
        <v>#N/A</v>
      </c>
      <c r="J16" s="180" t="e">
        <f>$E16*'Falhas UM-1 - Qty'!J16/1000</f>
        <v>#N/A</v>
      </c>
      <c r="K16" s="180" t="e">
        <f>$E16*'Falhas UM-1 - Qty'!K16/1000</f>
        <v>#N/A</v>
      </c>
      <c r="L16" s="180" t="e">
        <f>$E16*'Falhas UM-1 - Qty'!L16/1000</f>
        <v>#N/A</v>
      </c>
      <c r="M16" s="180" t="e">
        <f>$E16*'Falhas UM-1 - Qty'!M16/1000</f>
        <v>#N/A</v>
      </c>
      <c r="N16" s="180" t="e">
        <f>$E16*'Falhas UM-1 - Qty'!N16/1000</f>
        <v>#N/A</v>
      </c>
      <c r="O16" s="180" t="e">
        <f>$E16*'Falhas UM-1 - Qty'!O16/1000</f>
        <v>#N/A</v>
      </c>
      <c r="P16" s="180" t="e">
        <f>$E16*'Falhas UM-1 - Qty'!P16/1000</f>
        <v>#N/A</v>
      </c>
      <c r="Q16" s="180" t="e">
        <f>$E16*'Falhas UM-1 - Qty'!Q16/1000</f>
        <v>#N/A</v>
      </c>
      <c r="R16" s="59" t="e">
        <f t="shared" si="0"/>
        <v>#N/A</v>
      </c>
      <c r="S16" s="59" t="e">
        <f t="shared" si="1"/>
        <v>#N/A</v>
      </c>
      <c r="T16" s="59" t="e">
        <f t="shared" si="2"/>
        <v>#N/A</v>
      </c>
    </row>
    <row r="17" spans="1:20" ht="18" customHeight="1">
      <c r="A17" s="760"/>
      <c r="B17" s="757"/>
      <c r="C17" s="34">
        <v>1110</v>
      </c>
      <c r="D17" s="35" t="s">
        <v>35</v>
      </c>
      <c r="E17" s="180">
        <f>'[4]Falhas UM-1'!I17</f>
        <v>0</v>
      </c>
      <c r="F17" s="180" t="e">
        <f>$E17*'Falhas UM-1 - Qty'!F17/1000</f>
        <v>#N/A</v>
      </c>
      <c r="G17" s="180" t="e">
        <f>$E17*'Falhas UM-1 - Qty'!G17/1000</f>
        <v>#N/A</v>
      </c>
      <c r="H17" s="180" t="e">
        <f>$E17*'Falhas UM-1 - Qty'!H17/1000</f>
        <v>#N/A</v>
      </c>
      <c r="I17" s="180" t="e">
        <f>$E17*'Falhas UM-1 - Qty'!I17/1000</f>
        <v>#N/A</v>
      </c>
      <c r="J17" s="180" t="e">
        <f>$E17*'Falhas UM-1 - Qty'!J17/1000</f>
        <v>#N/A</v>
      </c>
      <c r="K17" s="180" t="e">
        <f>$E17*'Falhas UM-1 - Qty'!K17/1000</f>
        <v>#N/A</v>
      </c>
      <c r="L17" s="180" t="e">
        <f>$E17*'Falhas UM-1 - Qty'!L17/1000</f>
        <v>#N/A</v>
      </c>
      <c r="M17" s="180" t="e">
        <f>$E17*'Falhas UM-1 - Qty'!M17/1000</f>
        <v>#N/A</v>
      </c>
      <c r="N17" s="180" t="e">
        <f>$E17*'Falhas UM-1 - Qty'!N17/1000</f>
        <v>#N/A</v>
      </c>
      <c r="O17" s="180" t="e">
        <f>$E17*'Falhas UM-1 - Qty'!O17/1000</f>
        <v>#N/A</v>
      </c>
      <c r="P17" s="180" t="e">
        <f>$E17*'Falhas UM-1 - Qty'!P17/1000</f>
        <v>#N/A</v>
      </c>
      <c r="Q17" s="180" t="e">
        <f>$E17*'Falhas UM-1 - Qty'!Q17/1000</f>
        <v>#N/A</v>
      </c>
      <c r="R17" s="59" t="e">
        <f t="shared" si="0"/>
        <v>#N/A</v>
      </c>
      <c r="S17" s="59" t="e">
        <f t="shared" si="1"/>
        <v>#N/A</v>
      </c>
      <c r="T17" s="59" t="e">
        <f t="shared" si="2"/>
        <v>#N/A</v>
      </c>
    </row>
    <row r="18" spans="1:20" ht="18" customHeight="1">
      <c r="A18" s="760"/>
      <c r="B18" s="757"/>
      <c r="C18" s="34">
        <f>C17+10</f>
        <v>1120</v>
      </c>
      <c r="D18" s="35" t="s">
        <v>34</v>
      </c>
      <c r="E18" s="180">
        <f>'[4]Falhas UM-1'!I18</f>
        <v>3.0820500000000002</v>
      </c>
      <c r="F18" s="180" t="e">
        <f>$E18*'Falhas UM-1 - Qty'!F18/1000</f>
        <v>#N/A</v>
      </c>
      <c r="G18" s="180" t="e">
        <f>$E18*'Falhas UM-1 - Qty'!G18/1000</f>
        <v>#N/A</v>
      </c>
      <c r="H18" s="180" t="e">
        <f>$E18*'Falhas UM-1 - Qty'!H18/1000</f>
        <v>#N/A</v>
      </c>
      <c r="I18" s="180" t="e">
        <f>$E18*'Falhas UM-1 - Qty'!I18/1000</f>
        <v>#N/A</v>
      </c>
      <c r="J18" s="180" t="e">
        <f>$E18*'Falhas UM-1 - Qty'!J18/1000</f>
        <v>#N/A</v>
      </c>
      <c r="K18" s="180" t="e">
        <f>$E18*'Falhas UM-1 - Qty'!K18/1000</f>
        <v>#N/A</v>
      </c>
      <c r="L18" s="180" t="e">
        <f>$E18*'Falhas UM-1 - Qty'!L18/1000</f>
        <v>#N/A</v>
      </c>
      <c r="M18" s="180" t="e">
        <f>$E18*'Falhas UM-1 - Qty'!M18/1000</f>
        <v>#N/A</v>
      </c>
      <c r="N18" s="180" t="e">
        <f>$E18*'Falhas UM-1 - Qty'!N18/1000</f>
        <v>#N/A</v>
      </c>
      <c r="O18" s="180" t="e">
        <f>$E18*'Falhas UM-1 - Qty'!O18/1000</f>
        <v>#N/A</v>
      </c>
      <c r="P18" s="180" t="e">
        <f>$E18*'Falhas UM-1 - Qty'!P18/1000</f>
        <v>#N/A</v>
      </c>
      <c r="Q18" s="180" t="e">
        <f>$E18*'Falhas UM-1 - Qty'!Q18/1000</f>
        <v>#N/A</v>
      </c>
      <c r="R18" s="59" t="e">
        <f t="shared" si="0"/>
        <v>#N/A</v>
      </c>
      <c r="S18" s="59" t="e">
        <f t="shared" si="1"/>
        <v>#N/A</v>
      </c>
      <c r="T18" s="59" t="e">
        <f t="shared" si="2"/>
        <v>#N/A</v>
      </c>
    </row>
    <row r="19" spans="1:20" ht="18" customHeight="1">
      <c r="A19" s="760"/>
      <c r="B19" s="757"/>
      <c r="C19" s="34">
        <f>C18+10</f>
        <v>1130</v>
      </c>
      <c r="D19" s="35" t="s">
        <v>33</v>
      </c>
      <c r="E19" s="180">
        <f>'[4]Falhas UM-1'!I19</f>
        <v>14.145299999999999</v>
      </c>
      <c r="F19" s="180" t="e">
        <f>$E19*'Falhas UM-1 - Qty'!F19/1000</f>
        <v>#N/A</v>
      </c>
      <c r="G19" s="180" t="e">
        <f>$E19*'Falhas UM-1 - Qty'!G19/1000</f>
        <v>#N/A</v>
      </c>
      <c r="H19" s="180" t="e">
        <f>$E19*'Falhas UM-1 - Qty'!H19/1000</f>
        <v>#N/A</v>
      </c>
      <c r="I19" s="180" t="e">
        <f>$E19*'Falhas UM-1 - Qty'!I19/1000</f>
        <v>#N/A</v>
      </c>
      <c r="J19" s="180" t="e">
        <f>$E19*'Falhas UM-1 - Qty'!J19/1000</f>
        <v>#N/A</v>
      </c>
      <c r="K19" s="180" t="e">
        <f>$E19*'Falhas UM-1 - Qty'!K19/1000</f>
        <v>#N/A</v>
      </c>
      <c r="L19" s="180" t="e">
        <f>$E19*'Falhas UM-1 - Qty'!L19/1000</f>
        <v>#N/A</v>
      </c>
      <c r="M19" s="180" t="e">
        <f>$E19*'Falhas UM-1 - Qty'!M19/1000</f>
        <v>#N/A</v>
      </c>
      <c r="N19" s="180" t="e">
        <f>$E19*'Falhas UM-1 - Qty'!N19/1000</f>
        <v>#N/A</v>
      </c>
      <c r="O19" s="180" t="e">
        <f>$E19*'Falhas UM-1 - Qty'!O19/1000</f>
        <v>#N/A</v>
      </c>
      <c r="P19" s="180" t="e">
        <f>$E19*'Falhas UM-1 - Qty'!P19/1000</f>
        <v>#N/A</v>
      </c>
      <c r="Q19" s="180" t="e">
        <f>$E19*'Falhas UM-1 - Qty'!Q19/1000</f>
        <v>#N/A</v>
      </c>
      <c r="R19" s="59" t="e">
        <f t="shared" si="0"/>
        <v>#N/A</v>
      </c>
      <c r="S19" s="59" t="e">
        <f t="shared" si="1"/>
        <v>#N/A</v>
      </c>
      <c r="T19" s="59" t="e">
        <f t="shared" si="2"/>
        <v>#N/A</v>
      </c>
    </row>
    <row r="20" spans="1:20" ht="18" customHeight="1">
      <c r="A20" s="760"/>
      <c r="B20" s="757"/>
      <c r="C20" s="34">
        <f>C19+10</f>
        <v>1140</v>
      </c>
      <c r="D20" s="35" t="s">
        <v>32</v>
      </c>
      <c r="E20" s="180">
        <f>'[4]Falhas UM-1'!I20</f>
        <v>0</v>
      </c>
      <c r="F20" s="180" t="e">
        <f>$E20*'Falhas UM-1 - Qty'!F20/1000</f>
        <v>#N/A</v>
      </c>
      <c r="G20" s="180" t="e">
        <f>$E20*'Falhas UM-1 - Qty'!G20/1000</f>
        <v>#N/A</v>
      </c>
      <c r="H20" s="180" t="e">
        <f>$E20*'Falhas UM-1 - Qty'!H20/1000</f>
        <v>#N/A</v>
      </c>
      <c r="I20" s="180" t="e">
        <f>$E20*'Falhas UM-1 - Qty'!I20/1000</f>
        <v>#N/A</v>
      </c>
      <c r="J20" s="180" t="e">
        <f>$E20*'Falhas UM-1 - Qty'!J20/1000</f>
        <v>#N/A</v>
      </c>
      <c r="K20" s="180" t="e">
        <f>$E20*'Falhas UM-1 - Qty'!K20/1000</f>
        <v>#N/A</v>
      </c>
      <c r="L20" s="180" t="e">
        <f>$E20*'Falhas UM-1 - Qty'!L20/1000</f>
        <v>#N/A</v>
      </c>
      <c r="M20" s="180" t="e">
        <f>$E20*'Falhas UM-1 - Qty'!M20/1000</f>
        <v>#N/A</v>
      </c>
      <c r="N20" s="180" t="e">
        <f>$E20*'Falhas UM-1 - Qty'!N20/1000</f>
        <v>#N/A</v>
      </c>
      <c r="O20" s="180" t="e">
        <f>$E20*'Falhas UM-1 - Qty'!O20/1000</f>
        <v>#N/A</v>
      </c>
      <c r="P20" s="180" t="e">
        <f>$E20*'Falhas UM-1 - Qty'!P20/1000</f>
        <v>#N/A</v>
      </c>
      <c r="Q20" s="180" t="e">
        <f>$E20*'Falhas UM-1 - Qty'!Q20/1000</f>
        <v>#N/A</v>
      </c>
      <c r="R20" s="59" t="e">
        <f t="shared" si="0"/>
        <v>#N/A</v>
      </c>
      <c r="S20" s="59" t="e">
        <f t="shared" si="1"/>
        <v>#N/A</v>
      </c>
      <c r="T20" s="59" t="e">
        <f t="shared" si="2"/>
        <v>#N/A</v>
      </c>
    </row>
    <row r="21" spans="1:20" ht="18" customHeight="1">
      <c r="A21" s="760"/>
      <c r="B21" s="757"/>
      <c r="C21" s="34">
        <f>C20+10</f>
        <v>1150</v>
      </c>
      <c r="D21" s="35" t="s">
        <v>31</v>
      </c>
      <c r="E21" s="180">
        <f>'[4]Falhas UM-1'!I21</f>
        <v>0</v>
      </c>
      <c r="F21" s="180" t="e">
        <f>$E21*'Falhas UM-1 - Qty'!F21/1000</f>
        <v>#N/A</v>
      </c>
      <c r="G21" s="180" t="e">
        <f>$E21*'Falhas UM-1 - Qty'!G21/1000</f>
        <v>#N/A</v>
      </c>
      <c r="H21" s="180" t="e">
        <f>$E21*'Falhas UM-1 - Qty'!H21/1000</f>
        <v>#N/A</v>
      </c>
      <c r="I21" s="180" t="e">
        <f>$E21*'Falhas UM-1 - Qty'!I21/1000</f>
        <v>#N/A</v>
      </c>
      <c r="J21" s="180" t="e">
        <f>$E21*'Falhas UM-1 - Qty'!J21/1000</f>
        <v>#N/A</v>
      </c>
      <c r="K21" s="180" t="e">
        <f>$E21*'Falhas UM-1 - Qty'!K21/1000</f>
        <v>#N/A</v>
      </c>
      <c r="L21" s="180" t="e">
        <f>$E21*'Falhas UM-1 - Qty'!L21/1000</f>
        <v>#N/A</v>
      </c>
      <c r="M21" s="180" t="e">
        <f>$E21*'Falhas UM-1 - Qty'!M21/1000</f>
        <v>#N/A</v>
      </c>
      <c r="N21" s="180" t="e">
        <f>$E21*'Falhas UM-1 - Qty'!N21/1000</f>
        <v>#N/A</v>
      </c>
      <c r="O21" s="180" t="e">
        <f>$E21*'Falhas UM-1 - Qty'!O21/1000</f>
        <v>#N/A</v>
      </c>
      <c r="P21" s="180" t="e">
        <f>$E21*'Falhas UM-1 - Qty'!P21/1000</f>
        <v>#N/A</v>
      </c>
      <c r="Q21" s="180" t="e">
        <f>$E21*'Falhas UM-1 - Qty'!Q21/1000</f>
        <v>#N/A</v>
      </c>
      <c r="R21" s="59" t="e">
        <f t="shared" si="0"/>
        <v>#N/A</v>
      </c>
      <c r="S21" s="59" t="e">
        <f t="shared" si="1"/>
        <v>#N/A</v>
      </c>
      <c r="T21" s="59" t="e">
        <f t="shared" si="2"/>
        <v>#N/A</v>
      </c>
    </row>
    <row r="22" spans="1:20" ht="18" customHeight="1" thickBot="1">
      <c r="A22" s="760"/>
      <c r="B22" s="758"/>
      <c r="C22" s="36"/>
      <c r="D22" s="37" t="s">
        <v>129</v>
      </c>
      <c r="E22" s="581"/>
      <c r="F22" s="193" t="e">
        <f>SUM(F16:F21)</f>
        <v>#N/A</v>
      </c>
      <c r="G22" s="193" t="e">
        <f t="shared" ref="G22:Q22" si="4">SUM(G16:G21)</f>
        <v>#N/A</v>
      </c>
      <c r="H22" s="193" t="e">
        <f t="shared" si="4"/>
        <v>#N/A</v>
      </c>
      <c r="I22" s="193" t="e">
        <f t="shared" si="4"/>
        <v>#N/A</v>
      </c>
      <c r="J22" s="193" t="e">
        <f t="shared" si="4"/>
        <v>#N/A</v>
      </c>
      <c r="K22" s="193" t="e">
        <f t="shared" si="4"/>
        <v>#N/A</v>
      </c>
      <c r="L22" s="193" t="e">
        <f t="shared" si="4"/>
        <v>#N/A</v>
      </c>
      <c r="M22" s="193" t="e">
        <f t="shared" si="4"/>
        <v>#N/A</v>
      </c>
      <c r="N22" s="193" t="e">
        <f t="shared" si="4"/>
        <v>#N/A</v>
      </c>
      <c r="O22" s="193" t="e">
        <f t="shared" si="4"/>
        <v>#N/A</v>
      </c>
      <c r="P22" s="193" t="e">
        <f t="shared" si="4"/>
        <v>#N/A</v>
      </c>
      <c r="Q22" s="193" t="e">
        <f t="shared" si="4"/>
        <v>#N/A</v>
      </c>
      <c r="R22" s="496" t="e">
        <f t="shared" si="0"/>
        <v>#N/A</v>
      </c>
      <c r="S22" s="496" t="e">
        <f t="shared" si="1"/>
        <v>#N/A</v>
      </c>
      <c r="T22" s="496" t="e">
        <f t="shared" si="2"/>
        <v>#N/A</v>
      </c>
    </row>
    <row r="23" spans="1:20" ht="18" customHeight="1" thickTop="1">
      <c r="A23" s="760"/>
      <c r="B23" s="762" t="s">
        <v>30</v>
      </c>
      <c r="C23" s="34">
        <f>C21+10</f>
        <v>1160</v>
      </c>
      <c r="D23" s="35" t="s">
        <v>29</v>
      </c>
      <c r="E23" s="256">
        <f>'[4]Falhas UM-1'!I23</f>
        <v>662.85928000000001</v>
      </c>
      <c r="F23" s="180" t="e">
        <f>$E23*'Falhas UM-1 - Qty'!F23/1000</f>
        <v>#N/A</v>
      </c>
      <c r="G23" s="180" t="e">
        <f>$E23*'Falhas UM-1 - Qty'!G23/1000</f>
        <v>#N/A</v>
      </c>
      <c r="H23" s="180" t="e">
        <f>$E23*'Falhas UM-1 - Qty'!H23/1000</f>
        <v>#N/A</v>
      </c>
      <c r="I23" s="180" t="e">
        <f>$E23*'Falhas UM-1 - Qty'!I23/1000</f>
        <v>#N/A</v>
      </c>
      <c r="J23" s="180" t="e">
        <f>$E23*'Falhas UM-1 - Qty'!J23/1000</f>
        <v>#N/A</v>
      </c>
      <c r="K23" s="180" t="e">
        <f>$E23*'Falhas UM-1 - Qty'!K23/1000</f>
        <v>#N/A</v>
      </c>
      <c r="L23" s="180" t="e">
        <f>$E23*'Falhas UM-1 - Qty'!L23/1000</f>
        <v>#N/A</v>
      </c>
      <c r="M23" s="180" t="e">
        <f>$E23*'Falhas UM-1 - Qty'!M23/1000</f>
        <v>#N/A</v>
      </c>
      <c r="N23" s="180" t="e">
        <f>$E23*'Falhas UM-1 - Qty'!N23/1000</f>
        <v>#N/A</v>
      </c>
      <c r="O23" s="180" t="e">
        <f>$E23*'Falhas UM-1 - Qty'!O23/1000</f>
        <v>#N/A</v>
      </c>
      <c r="P23" s="180" t="e">
        <f>$E23*'Falhas UM-1 - Qty'!P23/1000</f>
        <v>#N/A</v>
      </c>
      <c r="Q23" s="180" t="e">
        <f>$E23*'Falhas UM-1 - Qty'!Q23/1000</f>
        <v>#N/A</v>
      </c>
      <c r="R23" s="59" t="e">
        <f t="shared" si="0"/>
        <v>#N/A</v>
      </c>
      <c r="S23" s="59" t="e">
        <f t="shared" si="1"/>
        <v>#N/A</v>
      </c>
      <c r="T23" s="59" t="e">
        <f t="shared" si="2"/>
        <v>#N/A</v>
      </c>
    </row>
    <row r="24" spans="1:20" ht="18" customHeight="1">
      <c r="A24" s="760"/>
      <c r="B24" s="763"/>
      <c r="C24" s="34">
        <f>C23+10</f>
        <v>1170</v>
      </c>
      <c r="D24" s="35" t="s">
        <v>28</v>
      </c>
      <c r="E24" s="256">
        <f>'[4]Falhas UM-1'!I24</f>
        <v>662.85928000000001</v>
      </c>
      <c r="F24" s="180" t="e">
        <f>$E24*'Falhas UM-1 - Qty'!F24/1000</f>
        <v>#N/A</v>
      </c>
      <c r="G24" s="180" t="e">
        <f>$E24*'Falhas UM-1 - Qty'!G24/1000</f>
        <v>#N/A</v>
      </c>
      <c r="H24" s="180" t="e">
        <f>$E24*'Falhas UM-1 - Qty'!H24/1000</f>
        <v>#N/A</v>
      </c>
      <c r="I24" s="180" t="e">
        <f>$E24*'Falhas UM-1 - Qty'!I24/1000</f>
        <v>#N/A</v>
      </c>
      <c r="J24" s="180" t="e">
        <f>$E24*'Falhas UM-1 - Qty'!J24/1000</f>
        <v>#N/A</v>
      </c>
      <c r="K24" s="180" t="e">
        <f>$E24*'Falhas UM-1 - Qty'!K24/1000</f>
        <v>#N/A</v>
      </c>
      <c r="L24" s="180" t="e">
        <f>$E24*'Falhas UM-1 - Qty'!L24/1000</f>
        <v>#N/A</v>
      </c>
      <c r="M24" s="180" t="e">
        <f>$E24*'Falhas UM-1 - Qty'!M24/1000</f>
        <v>#N/A</v>
      </c>
      <c r="N24" s="180" t="e">
        <f>$E24*'Falhas UM-1 - Qty'!N24/1000</f>
        <v>#N/A</v>
      </c>
      <c r="O24" s="180" t="e">
        <f>$E24*'Falhas UM-1 - Qty'!O24/1000</f>
        <v>#N/A</v>
      </c>
      <c r="P24" s="180" t="e">
        <f>$E24*'Falhas UM-1 - Qty'!P24/1000</f>
        <v>#N/A</v>
      </c>
      <c r="Q24" s="180" t="e">
        <f>$E24*'Falhas UM-1 - Qty'!Q24/1000</f>
        <v>#N/A</v>
      </c>
      <c r="R24" s="59" t="e">
        <f t="shared" si="0"/>
        <v>#N/A</v>
      </c>
      <c r="S24" s="59" t="e">
        <f t="shared" si="1"/>
        <v>#N/A</v>
      </c>
      <c r="T24" s="59" t="e">
        <f t="shared" si="2"/>
        <v>#N/A</v>
      </c>
    </row>
    <row r="25" spans="1:20" ht="18" customHeight="1">
      <c r="A25" s="760"/>
      <c r="B25" s="763"/>
      <c r="C25" s="34">
        <f t="shared" ref="C25:C33" si="5">C24+10</f>
        <v>1180</v>
      </c>
      <c r="D25" s="35" t="s">
        <v>27</v>
      </c>
      <c r="E25" s="256">
        <f>'[4]Falhas UM-1'!I25</f>
        <v>662.85928000000001</v>
      </c>
      <c r="F25" s="180" t="e">
        <f>$E25*'Falhas UM-1 - Qty'!F25/1000</f>
        <v>#N/A</v>
      </c>
      <c r="G25" s="180" t="e">
        <f>$E25*'Falhas UM-1 - Qty'!G25/1000</f>
        <v>#N/A</v>
      </c>
      <c r="H25" s="180" t="e">
        <f>$E25*'Falhas UM-1 - Qty'!H25/1000</f>
        <v>#N/A</v>
      </c>
      <c r="I25" s="180" t="e">
        <f>$E25*'Falhas UM-1 - Qty'!I25/1000</f>
        <v>#N/A</v>
      </c>
      <c r="J25" s="180" t="e">
        <f>$E25*'Falhas UM-1 - Qty'!J25/1000</f>
        <v>#N/A</v>
      </c>
      <c r="K25" s="180" t="e">
        <f>$E25*'Falhas UM-1 - Qty'!K25/1000</f>
        <v>#N/A</v>
      </c>
      <c r="L25" s="180" t="e">
        <f>$E25*'Falhas UM-1 - Qty'!L25/1000</f>
        <v>#N/A</v>
      </c>
      <c r="M25" s="180" t="e">
        <f>$E25*'Falhas UM-1 - Qty'!M25/1000</f>
        <v>#N/A</v>
      </c>
      <c r="N25" s="180" t="e">
        <f>$E25*'Falhas UM-1 - Qty'!N25/1000</f>
        <v>#N/A</v>
      </c>
      <c r="O25" s="180" t="e">
        <f>$E25*'Falhas UM-1 - Qty'!O25/1000</f>
        <v>#N/A</v>
      </c>
      <c r="P25" s="180" t="e">
        <f>$E25*'Falhas UM-1 - Qty'!P25/1000</f>
        <v>#N/A</v>
      </c>
      <c r="Q25" s="180" t="e">
        <f>$E25*'Falhas UM-1 - Qty'!Q25/1000</f>
        <v>#N/A</v>
      </c>
      <c r="R25" s="59" t="e">
        <f t="shared" si="0"/>
        <v>#N/A</v>
      </c>
      <c r="S25" s="59" t="e">
        <f t="shared" si="1"/>
        <v>#N/A</v>
      </c>
      <c r="T25" s="59" t="e">
        <f t="shared" si="2"/>
        <v>#N/A</v>
      </c>
    </row>
    <row r="26" spans="1:20" ht="18" customHeight="1">
      <c r="A26" s="760"/>
      <c r="B26" s="763"/>
      <c r="C26" s="34">
        <f t="shared" si="5"/>
        <v>1190</v>
      </c>
      <c r="D26" s="35" t="s">
        <v>26</v>
      </c>
      <c r="E26" s="256">
        <f>'[4]Falhas UM-1'!I26</f>
        <v>662.85928000000001</v>
      </c>
      <c r="F26" s="180" t="e">
        <f>$E26*'Falhas UM-1 - Qty'!F26/1000</f>
        <v>#N/A</v>
      </c>
      <c r="G26" s="180" t="e">
        <f>$E26*'Falhas UM-1 - Qty'!G26/1000</f>
        <v>#N/A</v>
      </c>
      <c r="H26" s="180" t="e">
        <f>$E26*'Falhas UM-1 - Qty'!H26/1000</f>
        <v>#N/A</v>
      </c>
      <c r="I26" s="180" t="e">
        <f>$E26*'Falhas UM-1 - Qty'!I26/1000</f>
        <v>#N/A</v>
      </c>
      <c r="J26" s="180" t="e">
        <f>$E26*'Falhas UM-1 - Qty'!J26/1000</f>
        <v>#N/A</v>
      </c>
      <c r="K26" s="180" t="e">
        <f>$E26*'Falhas UM-1 - Qty'!K26/1000</f>
        <v>#N/A</v>
      </c>
      <c r="L26" s="180" t="e">
        <f>$E26*'Falhas UM-1 - Qty'!L26/1000</f>
        <v>#N/A</v>
      </c>
      <c r="M26" s="180" t="e">
        <f>$E26*'Falhas UM-1 - Qty'!M26/1000</f>
        <v>#N/A</v>
      </c>
      <c r="N26" s="180" t="e">
        <f>$E26*'Falhas UM-1 - Qty'!N26/1000</f>
        <v>#N/A</v>
      </c>
      <c r="O26" s="180" t="e">
        <f>$E26*'Falhas UM-1 - Qty'!O26/1000</f>
        <v>#N/A</v>
      </c>
      <c r="P26" s="180" t="e">
        <f>$E26*'Falhas UM-1 - Qty'!P26/1000</f>
        <v>#N/A</v>
      </c>
      <c r="Q26" s="180" t="e">
        <f>$E26*'Falhas UM-1 - Qty'!Q26/1000</f>
        <v>#N/A</v>
      </c>
      <c r="R26" s="59" t="e">
        <f t="shared" si="0"/>
        <v>#N/A</v>
      </c>
      <c r="S26" s="59" t="e">
        <f t="shared" si="1"/>
        <v>#N/A</v>
      </c>
      <c r="T26" s="59" t="e">
        <f t="shared" si="2"/>
        <v>#N/A</v>
      </c>
    </row>
    <row r="27" spans="1:20" ht="18" customHeight="1">
      <c r="A27" s="760"/>
      <c r="B27" s="763"/>
      <c r="C27" s="34">
        <f t="shared" si="5"/>
        <v>1200</v>
      </c>
      <c r="D27" s="35" t="s">
        <v>25</v>
      </c>
      <c r="E27" s="256">
        <f>'[4]Falhas UM-1'!I27</f>
        <v>662.85928000000001</v>
      </c>
      <c r="F27" s="180" t="e">
        <f>$E27*'Falhas UM-1 - Qty'!F27/1000</f>
        <v>#N/A</v>
      </c>
      <c r="G27" s="180" t="e">
        <f>$E27*'Falhas UM-1 - Qty'!G27/1000</f>
        <v>#N/A</v>
      </c>
      <c r="H27" s="180" t="e">
        <f>$E27*'Falhas UM-1 - Qty'!H27/1000</f>
        <v>#N/A</v>
      </c>
      <c r="I27" s="180" t="e">
        <f>$E27*'Falhas UM-1 - Qty'!I27/1000</f>
        <v>#N/A</v>
      </c>
      <c r="J27" s="180" t="e">
        <f>$E27*'Falhas UM-1 - Qty'!J27/1000</f>
        <v>#N/A</v>
      </c>
      <c r="K27" s="180" t="e">
        <f>$E27*'Falhas UM-1 - Qty'!K27/1000</f>
        <v>#N/A</v>
      </c>
      <c r="L27" s="180" t="e">
        <f>$E27*'Falhas UM-1 - Qty'!L27/1000</f>
        <v>#N/A</v>
      </c>
      <c r="M27" s="180" t="e">
        <f>$E27*'Falhas UM-1 - Qty'!M27/1000</f>
        <v>#N/A</v>
      </c>
      <c r="N27" s="180" t="e">
        <f>$E27*'Falhas UM-1 - Qty'!N27/1000</f>
        <v>#N/A</v>
      </c>
      <c r="O27" s="180" t="e">
        <f>$E27*'Falhas UM-1 - Qty'!O27/1000</f>
        <v>#N/A</v>
      </c>
      <c r="P27" s="180" t="e">
        <f>$E27*'Falhas UM-1 - Qty'!P27/1000</f>
        <v>#N/A</v>
      </c>
      <c r="Q27" s="180" t="e">
        <f>$E27*'Falhas UM-1 - Qty'!Q27/1000</f>
        <v>#N/A</v>
      </c>
      <c r="R27" s="59" t="e">
        <f t="shared" si="0"/>
        <v>#N/A</v>
      </c>
      <c r="S27" s="59" t="e">
        <f t="shared" si="1"/>
        <v>#N/A</v>
      </c>
      <c r="T27" s="59" t="e">
        <f t="shared" si="2"/>
        <v>#N/A</v>
      </c>
    </row>
    <row r="28" spans="1:20" ht="18" customHeight="1">
      <c r="A28" s="760"/>
      <c r="B28" s="763"/>
      <c r="C28" s="34">
        <f t="shared" si="5"/>
        <v>1210</v>
      </c>
      <c r="D28" s="35" t="s">
        <v>130</v>
      </c>
      <c r="E28" s="256">
        <f>'[4]Falhas UM-1'!I28</f>
        <v>662.85928000000001</v>
      </c>
      <c r="F28" s="180" t="e">
        <f>$E28*'Falhas UM-1 - Qty'!F28/1000</f>
        <v>#N/A</v>
      </c>
      <c r="G28" s="180" t="e">
        <f>$E28*'Falhas UM-1 - Qty'!G28/1000</f>
        <v>#N/A</v>
      </c>
      <c r="H28" s="180" t="e">
        <f>$E28*'Falhas UM-1 - Qty'!H28/1000</f>
        <v>#N/A</v>
      </c>
      <c r="I28" s="180" t="e">
        <f>$E28*'Falhas UM-1 - Qty'!I28/1000</f>
        <v>#N/A</v>
      </c>
      <c r="J28" s="180" t="e">
        <f>$E28*'Falhas UM-1 - Qty'!J28/1000</f>
        <v>#N/A</v>
      </c>
      <c r="K28" s="180" t="e">
        <f>$E28*'Falhas UM-1 - Qty'!K28/1000</f>
        <v>#N/A</v>
      </c>
      <c r="L28" s="180" t="e">
        <f>$E28*'Falhas UM-1 - Qty'!L28/1000</f>
        <v>#N/A</v>
      </c>
      <c r="M28" s="180" t="e">
        <f>$E28*'Falhas UM-1 - Qty'!M28/1000</f>
        <v>#N/A</v>
      </c>
      <c r="N28" s="180" t="e">
        <f>$E28*'Falhas UM-1 - Qty'!N28/1000</f>
        <v>#N/A</v>
      </c>
      <c r="O28" s="180" t="e">
        <f>$E28*'Falhas UM-1 - Qty'!O28/1000</f>
        <v>#N/A</v>
      </c>
      <c r="P28" s="180" t="e">
        <f>$E28*'Falhas UM-1 - Qty'!P28/1000</f>
        <v>#N/A</v>
      </c>
      <c r="Q28" s="180" t="e">
        <f>$E28*'Falhas UM-1 - Qty'!Q28/1000</f>
        <v>#N/A</v>
      </c>
      <c r="R28" s="59" t="e">
        <f t="shared" si="0"/>
        <v>#N/A</v>
      </c>
      <c r="S28" s="59" t="e">
        <f t="shared" si="1"/>
        <v>#N/A</v>
      </c>
      <c r="T28" s="59" t="e">
        <f t="shared" si="2"/>
        <v>#N/A</v>
      </c>
    </row>
    <row r="29" spans="1:20" ht="18" customHeight="1">
      <c r="A29" s="760"/>
      <c r="B29" s="763"/>
      <c r="C29" s="34">
        <v>1212</v>
      </c>
      <c r="D29" s="38" t="s">
        <v>131</v>
      </c>
      <c r="E29" s="260">
        <f>'[4]Falhas UM-1'!I29</f>
        <v>662.85928000000001</v>
      </c>
      <c r="F29" s="194" t="e">
        <f>$E29*'Falhas UM-1 - Qty'!F29/1000</f>
        <v>#N/A</v>
      </c>
      <c r="G29" s="194" t="e">
        <f>$E29*'Falhas UM-1 - Qty'!G29/1000</f>
        <v>#N/A</v>
      </c>
      <c r="H29" s="194" t="e">
        <f>$E29*'Falhas UM-1 - Qty'!H29/1000</f>
        <v>#N/A</v>
      </c>
      <c r="I29" s="194" t="e">
        <f>$E29*'Falhas UM-1 - Qty'!I29/1000</f>
        <v>#N/A</v>
      </c>
      <c r="J29" s="194" t="e">
        <f>$E29*'Falhas UM-1 - Qty'!J29/1000</f>
        <v>#N/A</v>
      </c>
      <c r="K29" s="194" t="e">
        <f>$E29*'Falhas UM-1 - Qty'!K29/1000</f>
        <v>#N/A</v>
      </c>
      <c r="L29" s="194" t="e">
        <f>$E29*'Falhas UM-1 - Qty'!L29/1000</f>
        <v>#N/A</v>
      </c>
      <c r="M29" s="194" t="e">
        <f>$E29*'Falhas UM-1 - Qty'!M29/1000</f>
        <v>#N/A</v>
      </c>
      <c r="N29" s="194" t="e">
        <f>$E29*'Falhas UM-1 - Qty'!N29/1000</f>
        <v>#N/A</v>
      </c>
      <c r="O29" s="194" t="e">
        <f>$E29*'Falhas UM-1 - Qty'!O29/1000</f>
        <v>#N/A</v>
      </c>
      <c r="P29" s="194" t="e">
        <f>$E29*'Falhas UM-1 - Qty'!P29/1000</f>
        <v>#N/A</v>
      </c>
      <c r="Q29" s="194" t="e">
        <f>$E29*'Falhas UM-1 - Qty'!Q29/1000</f>
        <v>#N/A</v>
      </c>
      <c r="R29" s="194" t="e">
        <f t="shared" si="0"/>
        <v>#N/A</v>
      </c>
      <c r="S29" s="194" t="e">
        <f t="shared" si="1"/>
        <v>#N/A</v>
      </c>
      <c r="T29" s="194" t="e">
        <f t="shared" si="2"/>
        <v>#N/A</v>
      </c>
    </row>
    <row r="30" spans="1:20" ht="18" customHeight="1">
      <c r="A30" s="760"/>
      <c r="B30" s="763"/>
      <c r="C30" s="34">
        <v>1214</v>
      </c>
      <c r="D30" s="35" t="s">
        <v>132</v>
      </c>
      <c r="E30" s="256">
        <f>'[4]Falhas UM-1'!I30</f>
        <v>662.85928000000001</v>
      </c>
      <c r="F30" s="180" t="e">
        <f>$E30*'Falhas UM-1 - Qty'!F30/1000</f>
        <v>#N/A</v>
      </c>
      <c r="G30" s="180" t="e">
        <f>$E30*'Falhas UM-1 - Qty'!G30/1000</f>
        <v>#N/A</v>
      </c>
      <c r="H30" s="180" t="e">
        <f>$E30*'Falhas UM-1 - Qty'!H30/1000</f>
        <v>#N/A</v>
      </c>
      <c r="I30" s="180" t="e">
        <f>$E30*'Falhas UM-1 - Qty'!I30/1000</f>
        <v>#N/A</v>
      </c>
      <c r="J30" s="180" t="e">
        <f>$E30*'Falhas UM-1 - Qty'!J30/1000</f>
        <v>#N/A</v>
      </c>
      <c r="K30" s="180" t="e">
        <f>$E30*'Falhas UM-1 - Qty'!K30/1000</f>
        <v>#N/A</v>
      </c>
      <c r="L30" s="180" t="e">
        <f>$E30*'Falhas UM-1 - Qty'!L30/1000</f>
        <v>#N/A</v>
      </c>
      <c r="M30" s="180" t="e">
        <f>$E30*'Falhas UM-1 - Qty'!M30/1000</f>
        <v>#N/A</v>
      </c>
      <c r="N30" s="180" t="e">
        <f>$E30*'Falhas UM-1 - Qty'!N30/1000</f>
        <v>#N/A</v>
      </c>
      <c r="O30" s="180" t="e">
        <f>$E30*'Falhas UM-1 - Qty'!O30/1000</f>
        <v>#N/A</v>
      </c>
      <c r="P30" s="180" t="e">
        <f>$E30*'Falhas UM-1 - Qty'!P30/1000</f>
        <v>#N/A</v>
      </c>
      <c r="Q30" s="180" t="e">
        <f>$E30*'Falhas UM-1 - Qty'!Q30/1000</f>
        <v>#N/A</v>
      </c>
      <c r="R30" s="59" t="e">
        <f t="shared" si="0"/>
        <v>#N/A</v>
      </c>
      <c r="S30" s="59" t="e">
        <f t="shared" si="1"/>
        <v>#N/A</v>
      </c>
      <c r="T30" s="59" t="e">
        <f t="shared" si="2"/>
        <v>#N/A</v>
      </c>
    </row>
    <row r="31" spans="1:20" ht="18" customHeight="1">
      <c r="A31" s="760"/>
      <c r="B31" s="763"/>
      <c r="C31" s="34">
        <f>C28+10</f>
        <v>1220</v>
      </c>
      <c r="D31" s="35" t="s">
        <v>24</v>
      </c>
      <c r="E31" s="256">
        <f>'[4]Falhas UM-1'!I31</f>
        <v>662.85928000000001</v>
      </c>
      <c r="F31" s="180" t="e">
        <f>$E31*'Falhas UM-1 - Qty'!F31/1000</f>
        <v>#N/A</v>
      </c>
      <c r="G31" s="180" t="e">
        <f>$E31*'Falhas UM-1 - Qty'!G31/1000</f>
        <v>#N/A</v>
      </c>
      <c r="H31" s="180" t="e">
        <f>$E31*'Falhas UM-1 - Qty'!H31/1000</f>
        <v>#N/A</v>
      </c>
      <c r="I31" s="180" t="e">
        <f>$E31*'Falhas UM-1 - Qty'!I31/1000</f>
        <v>#N/A</v>
      </c>
      <c r="J31" s="180" t="e">
        <f>$E31*'Falhas UM-1 - Qty'!J31/1000</f>
        <v>#N/A</v>
      </c>
      <c r="K31" s="180" t="e">
        <f>$E31*'Falhas UM-1 - Qty'!K31/1000</f>
        <v>#N/A</v>
      </c>
      <c r="L31" s="180" t="e">
        <f>$E31*'Falhas UM-1 - Qty'!L31/1000</f>
        <v>#N/A</v>
      </c>
      <c r="M31" s="180" t="e">
        <f>$E31*'Falhas UM-1 - Qty'!M31/1000</f>
        <v>#N/A</v>
      </c>
      <c r="N31" s="180" t="e">
        <f>$E31*'Falhas UM-1 - Qty'!N31/1000</f>
        <v>#N/A</v>
      </c>
      <c r="O31" s="180" t="e">
        <f>$E31*'Falhas UM-1 - Qty'!O31/1000</f>
        <v>#N/A</v>
      </c>
      <c r="P31" s="180" t="e">
        <f>$E31*'Falhas UM-1 - Qty'!P31/1000</f>
        <v>#N/A</v>
      </c>
      <c r="Q31" s="180" t="e">
        <f>$E31*'Falhas UM-1 - Qty'!Q31/1000</f>
        <v>#N/A</v>
      </c>
      <c r="R31" s="59" t="e">
        <f t="shared" si="0"/>
        <v>#N/A</v>
      </c>
      <c r="S31" s="59" t="e">
        <f t="shared" si="1"/>
        <v>#N/A</v>
      </c>
      <c r="T31" s="59" t="e">
        <f t="shared" si="2"/>
        <v>#N/A</v>
      </c>
    </row>
    <row r="32" spans="1:20" ht="18" customHeight="1">
      <c r="A32" s="760"/>
      <c r="B32" s="763"/>
      <c r="C32" s="34">
        <f t="shared" si="5"/>
        <v>1230</v>
      </c>
      <c r="D32" s="35" t="s">
        <v>23</v>
      </c>
      <c r="E32" s="256">
        <f>'[4]Falhas UM-1'!I32</f>
        <v>662.85928000000001</v>
      </c>
      <c r="F32" s="180" t="e">
        <f>$E32*'Falhas UM-1 - Qty'!F32/1000</f>
        <v>#N/A</v>
      </c>
      <c r="G32" s="180" t="e">
        <f>$E32*'Falhas UM-1 - Qty'!G32/1000</f>
        <v>#N/A</v>
      </c>
      <c r="H32" s="180" t="e">
        <f>$E32*'Falhas UM-1 - Qty'!H32/1000</f>
        <v>#N/A</v>
      </c>
      <c r="I32" s="180" t="e">
        <f>$E32*'Falhas UM-1 - Qty'!I32/1000</f>
        <v>#N/A</v>
      </c>
      <c r="J32" s="180" t="e">
        <f>$E32*'Falhas UM-1 - Qty'!J32/1000</f>
        <v>#N/A</v>
      </c>
      <c r="K32" s="180" t="e">
        <f>$E32*'Falhas UM-1 - Qty'!K32/1000</f>
        <v>#N/A</v>
      </c>
      <c r="L32" s="180" t="e">
        <f>$E32*'Falhas UM-1 - Qty'!L32/1000</f>
        <v>#N/A</v>
      </c>
      <c r="M32" s="180" t="e">
        <f>$E32*'Falhas UM-1 - Qty'!M32/1000</f>
        <v>#N/A</v>
      </c>
      <c r="N32" s="180" t="e">
        <f>$E32*'Falhas UM-1 - Qty'!N32/1000</f>
        <v>#N/A</v>
      </c>
      <c r="O32" s="180" t="e">
        <f>$E32*'Falhas UM-1 - Qty'!O32/1000</f>
        <v>#N/A</v>
      </c>
      <c r="P32" s="180" t="e">
        <f>$E32*'Falhas UM-1 - Qty'!P32/1000</f>
        <v>#N/A</v>
      </c>
      <c r="Q32" s="180" t="e">
        <f>$E32*'Falhas UM-1 - Qty'!Q32/1000</f>
        <v>#N/A</v>
      </c>
      <c r="R32" s="59" t="e">
        <f t="shared" si="0"/>
        <v>#N/A</v>
      </c>
      <c r="S32" s="59" t="e">
        <f t="shared" si="1"/>
        <v>#N/A</v>
      </c>
      <c r="T32" s="59" t="e">
        <f t="shared" si="2"/>
        <v>#N/A</v>
      </c>
    </row>
    <row r="33" spans="1:20" ht="18" customHeight="1">
      <c r="A33" s="760"/>
      <c r="B33" s="763"/>
      <c r="C33" s="34">
        <f t="shared" si="5"/>
        <v>1240</v>
      </c>
      <c r="D33" s="35" t="s">
        <v>22</v>
      </c>
      <c r="E33" s="256">
        <f>'[4]Falhas UM-1'!I33</f>
        <v>662.85928000000001</v>
      </c>
      <c r="F33" s="180" t="e">
        <f>$E33*'Falhas UM-1 - Qty'!F33/1000</f>
        <v>#N/A</v>
      </c>
      <c r="G33" s="180" t="e">
        <f>$E33*'Falhas UM-1 - Qty'!G33/1000</f>
        <v>#N/A</v>
      </c>
      <c r="H33" s="180" t="e">
        <f>$E33*'Falhas UM-1 - Qty'!H33/1000</f>
        <v>#N/A</v>
      </c>
      <c r="I33" s="180" t="e">
        <f>$E33*'Falhas UM-1 - Qty'!I33/1000</f>
        <v>#N/A</v>
      </c>
      <c r="J33" s="180" t="e">
        <f>$E33*'Falhas UM-1 - Qty'!J33/1000</f>
        <v>#N/A</v>
      </c>
      <c r="K33" s="180" t="e">
        <f>$E33*'Falhas UM-1 - Qty'!K33/1000</f>
        <v>#N/A</v>
      </c>
      <c r="L33" s="180" t="e">
        <f>$E33*'Falhas UM-1 - Qty'!L33/1000</f>
        <v>#N/A</v>
      </c>
      <c r="M33" s="180" t="e">
        <f>$E33*'Falhas UM-1 - Qty'!M33/1000</f>
        <v>#N/A</v>
      </c>
      <c r="N33" s="180" t="e">
        <f>$E33*'Falhas UM-1 - Qty'!N33/1000</f>
        <v>#N/A</v>
      </c>
      <c r="O33" s="180" t="e">
        <f>$E33*'Falhas UM-1 - Qty'!O33/1000</f>
        <v>#N/A</v>
      </c>
      <c r="P33" s="180" t="e">
        <f>$E33*'Falhas UM-1 - Qty'!P33/1000</f>
        <v>#N/A</v>
      </c>
      <c r="Q33" s="180" t="e">
        <f>$E33*'Falhas UM-1 - Qty'!Q33/1000</f>
        <v>#N/A</v>
      </c>
      <c r="R33" s="59" t="e">
        <f t="shared" si="0"/>
        <v>#N/A</v>
      </c>
      <c r="S33" s="59" t="e">
        <f t="shared" si="1"/>
        <v>#N/A</v>
      </c>
      <c r="T33" s="59" t="e">
        <f t="shared" si="2"/>
        <v>#N/A</v>
      </c>
    </row>
    <row r="34" spans="1:20" ht="18" customHeight="1">
      <c r="A34" s="760"/>
      <c r="B34" s="763"/>
      <c r="C34" s="39">
        <v>1250</v>
      </c>
      <c r="D34" s="40" t="s">
        <v>125</v>
      </c>
      <c r="E34" s="262">
        <f>'[4]Falhas UM-1'!I34</f>
        <v>662.85928000000001</v>
      </c>
      <c r="F34" s="139" t="e">
        <f>$E34*'Falhas UM-1 - Qty'!F34/1000</f>
        <v>#N/A</v>
      </c>
      <c r="G34" s="139" t="e">
        <f>$E34*'Falhas UM-1 - Qty'!G34/1000</f>
        <v>#N/A</v>
      </c>
      <c r="H34" s="139" t="e">
        <f>$E34*'Falhas UM-1 - Qty'!H34/1000</f>
        <v>#N/A</v>
      </c>
      <c r="I34" s="139" t="e">
        <f>$E34*'Falhas UM-1 - Qty'!I34/1000</f>
        <v>#N/A</v>
      </c>
      <c r="J34" s="139" t="e">
        <f>$E34*'Falhas UM-1 - Qty'!J34/1000</f>
        <v>#N/A</v>
      </c>
      <c r="K34" s="139" t="e">
        <f>$E34*'Falhas UM-1 - Qty'!K34/1000</f>
        <v>#N/A</v>
      </c>
      <c r="L34" s="139" t="e">
        <f>$E34*'Falhas UM-1 - Qty'!L34/1000</f>
        <v>#N/A</v>
      </c>
      <c r="M34" s="139" t="e">
        <f>$E34*'Falhas UM-1 - Qty'!M34/1000</f>
        <v>#N/A</v>
      </c>
      <c r="N34" s="139" t="e">
        <f>$E34*'Falhas UM-1 - Qty'!N34/1000</f>
        <v>#N/A</v>
      </c>
      <c r="O34" s="139" t="e">
        <f>$E34*'Falhas UM-1 - Qty'!O34/1000</f>
        <v>#N/A</v>
      </c>
      <c r="P34" s="139" t="e">
        <f>$E34*'Falhas UM-1 - Qty'!P34/1000</f>
        <v>#N/A</v>
      </c>
      <c r="Q34" s="139" t="e">
        <f>$E34*'Falhas UM-1 - Qty'!Q34/1000</f>
        <v>#N/A</v>
      </c>
      <c r="R34" s="60" t="e">
        <f t="shared" si="0"/>
        <v>#N/A</v>
      </c>
      <c r="S34" s="60" t="e">
        <f t="shared" si="1"/>
        <v>#N/A</v>
      </c>
      <c r="T34" s="60" t="e">
        <f t="shared" si="2"/>
        <v>#N/A</v>
      </c>
    </row>
    <row r="35" spans="1:20" ht="18" customHeight="1" thickBot="1">
      <c r="A35" s="761"/>
      <c r="B35" s="764"/>
      <c r="C35" s="41">
        <v>1260</v>
      </c>
      <c r="D35" s="42" t="s">
        <v>133</v>
      </c>
      <c r="E35" s="264">
        <f>'[4]Falhas UM-1'!I35</f>
        <v>0</v>
      </c>
      <c r="F35" s="181" t="e">
        <f>$E35*'Falhas UM-1 - Qty'!F35/1000</f>
        <v>#N/A</v>
      </c>
      <c r="G35" s="181" t="e">
        <f>$E35*'Falhas UM-1 - Qty'!G35/1000</f>
        <v>#N/A</v>
      </c>
      <c r="H35" s="181" t="e">
        <f>$E35*'Falhas UM-1 - Qty'!H35/1000</f>
        <v>#N/A</v>
      </c>
      <c r="I35" s="181" t="e">
        <f>$E35*'Falhas UM-1 - Qty'!I35/1000</f>
        <v>#N/A</v>
      </c>
      <c r="J35" s="181" t="e">
        <f>$E35*'Falhas UM-1 - Qty'!J35/1000</f>
        <v>#N/A</v>
      </c>
      <c r="K35" s="181" t="e">
        <f>$E35*'Falhas UM-1 - Qty'!K35/1000</f>
        <v>#N/A</v>
      </c>
      <c r="L35" s="181" t="e">
        <f>$E35*'Falhas UM-1 - Qty'!L35/1000</f>
        <v>#N/A</v>
      </c>
      <c r="M35" s="181" t="e">
        <f>$E35*'Falhas UM-1 - Qty'!M35/1000</f>
        <v>#N/A</v>
      </c>
      <c r="N35" s="181" t="e">
        <f>$E35*'Falhas UM-1 - Qty'!N35/1000</f>
        <v>#N/A</v>
      </c>
      <c r="O35" s="181" t="e">
        <f>$E35*'Falhas UM-1 - Qty'!O35/1000</f>
        <v>#N/A</v>
      </c>
      <c r="P35" s="181" t="e">
        <f>$E35*'Falhas UM-1 - Qty'!P35/1000</f>
        <v>#N/A</v>
      </c>
      <c r="Q35" s="181" t="e">
        <f>$E35*'Falhas UM-1 - Qty'!Q35/1000</f>
        <v>#N/A</v>
      </c>
      <c r="R35" s="61" t="e">
        <f t="shared" si="0"/>
        <v>#N/A</v>
      </c>
      <c r="S35" s="61" t="e">
        <f t="shared" si="1"/>
        <v>#N/A</v>
      </c>
      <c r="T35" s="61" t="e">
        <f t="shared" si="2"/>
        <v>#N/A</v>
      </c>
    </row>
    <row r="36" spans="1:20" ht="18" customHeight="1" thickTop="1" thickBot="1">
      <c r="A36" s="751" t="s">
        <v>21</v>
      </c>
      <c r="B36" s="753" t="s">
        <v>20</v>
      </c>
      <c r="C36" s="43"/>
      <c r="D36" s="44" t="s">
        <v>1</v>
      </c>
      <c r="E36" s="582"/>
      <c r="F36" s="193" t="e">
        <f>SUM(F23:F35)</f>
        <v>#N/A</v>
      </c>
      <c r="G36" s="193" t="e">
        <f t="shared" ref="G36:Q36" si="6">SUM(G23:G35)</f>
        <v>#N/A</v>
      </c>
      <c r="H36" s="193" t="e">
        <f t="shared" si="6"/>
        <v>#N/A</v>
      </c>
      <c r="I36" s="193" t="e">
        <f t="shared" si="6"/>
        <v>#N/A</v>
      </c>
      <c r="J36" s="193" t="e">
        <f t="shared" si="6"/>
        <v>#N/A</v>
      </c>
      <c r="K36" s="193" t="e">
        <f t="shared" si="6"/>
        <v>#N/A</v>
      </c>
      <c r="L36" s="193" t="e">
        <f t="shared" si="6"/>
        <v>#N/A</v>
      </c>
      <c r="M36" s="193" t="e">
        <f t="shared" si="6"/>
        <v>#N/A</v>
      </c>
      <c r="N36" s="193" t="e">
        <f t="shared" si="6"/>
        <v>#N/A</v>
      </c>
      <c r="O36" s="193" t="e">
        <f t="shared" si="6"/>
        <v>#N/A</v>
      </c>
      <c r="P36" s="193" t="e">
        <f t="shared" si="6"/>
        <v>#N/A</v>
      </c>
      <c r="Q36" s="193" t="e">
        <f t="shared" si="6"/>
        <v>#N/A</v>
      </c>
      <c r="R36" s="62" t="e">
        <f t="shared" si="0"/>
        <v>#N/A</v>
      </c>
      <c r="S36" s="62" t="e">
        <f t="shared" si="1"/>
        <v>#N/A</v>
      </c>
      <c r="T36" s="62" t="e">
        <f t="shared" si="2"/>
        <v>#N/A</v>
      </c>
    </row>
    <row r="37" spans="1:20" ht="18" customHeight="1" thickTop="1">
      <c r="A37" s="751"/>
      <c r="B37" s="754"/>
      <c r="C37" s="45">
        <v>1280</v>
      </c>
      <c r="D37" s="46" t="s">
        <v>19</v>
      </c>
      <c r="E37" s="257">
        <f>'[4]Falhas UM-1'!I37</f>
        <v>662.85928000000001</v>
      </c>
      <c r="F37" s="195" t="e">
        <f>$E37*'Falhas UM-1 - Qty'!F37/1000</f>
        <v>#N/A</v>
      </c>
      <c r="G37" s="195" t="e">
        <f>$E37*'Falhas UM-1 - Qty'!G37/1000</f>
        <v>#N/A</v>
      </c>
      <c r="H37" s="195" t="e">
        <f>$E37*'Falhas UM-1 - Qty'!H37/1000</f>
        <v>#N/A</v>
      </c>
      <c r="I37" s="195" t="e">
        <f>$E37*'Falhas UM-1 - Qty'!I37/1000</f>
        <v>#N/A</v>
      </c>
      <c r="J37" s="195" t="e">
        <f>$E37*'Falhas UM-1 - Qty'!J37/1000</f>
        <v>#N/A</v>
      </c>
      <c r="K37" s="195" t="e">
        <f>$E37*'Falhas UM-1 - Qty'!K37/1000</f>
        <v>#N/A</v>
      </c>
      <c r="L37" s="195" t="e">
        <f>$E37*'Falhas UM-1 - Qty'!L37/1000</f>
        <v>#N/A</v>
      </c>
      <c r="M37" s="195" t="e">
        <f>$E37*'Falhas UM-1 - Qty'!M37/1000</f>
        <v>#N/A</v>
      </c>
      <c r="N37" s="195" t="e">
        <f>$E37*'Falhas UM-1 - Qty'!N37/1000</f>
        <v>#N/A</v>
      </c>
      <c r="O37" s="195" t="e">
        <f>$E37*'Falhas UM-1 - Qty'!O37/1000</f>
        <v>#N/A</v>
      </c>
      <c r="P37" s="195" t="e">
        <f>$E37*'Falhas UM-1 - Qty'!P37/1000</f>
        <v>#N/A</v>
      </c>
      <c r="Q37" s="195" t="e">
        <f>$E37*'Falhas UM-1 - Qty'!Q37/1000</f>
        <v>#N/A</v>
      </c>
      <c r="R37" s="63" t="e">
        <f t="shared" si="0"/>
        <v>#N/A</v>
      </c>
      <c r="S37" s="63" t="e">
        <f t="shared" si="1"/>
        <v>#N/A</v>
      </c>
      <c r="T37" s="63" t="e">
        <f t="shared" si="2"/>
        <v>#N/A</v>
      </c>
    </row>
    <row r="38" spans="1:20" ht="18" customHeight="1">
      <c r="A38" s="751"/>
      <c r="B38" s="754"/>
      <c r="C38" s="45">
        <f>C37+10</f>
        <v>1290</v>
      </c>
      <c r="D38" s="46" t="s">
        <v>18</v>
      </c>
      <c r="E38" s="257">
        <f>'[4]Falhas UM-1'!I38</f>
        <v>662.85928000000001</v>
      </c>
      <c r="F38" s="195" t="e">
        <f>$E38*'Falhas UM-1 - Qty'!F38/1000</f>
        <v>#N/A</v>
      </c>
      <c r="G38" s="195" t="e">
        <f>$E38*'Falhas UM-1 - Qty'!G38/1000</f>
        <v>#N/A</v>
      </c>
      <c r="H38" s="195" t="e">
        <f>$E38*'Falhas UM-1 - Qty'!H38/1000</f>
        <v>#N/A</v>
      </c>
      <c r="I38" s="195" t="e">
        <f>$E38*'Falhas UM-1 - Qty'!I38/1000</f>
        <v>#N/A</v>
      </c>
      <c r="J38" s="195" t="e">
        <f>$E38*'Falhas UM-1 - Qty'!J38/1000</f>
        <v>#N/A</v>
      </c>
      <c r="K38" s="195" t="e">
        <f>$E38*'Falhas UM-1 - Qty'!K38/1000</f>
        <v>#N/A</v>
      </c>
      <c r="L38" s="195" t="e">
        <f>$E38*'Falhas UM-1 - Qty'!L38/1000</f>
        <v>#N/A</v>
      </c>
      <c r="M38" s="195" t="e">
        <f>$E38*'Falhas UM-1 - Qty'!M38/1000</f>
        <v>#N/A</v>
      </c>
      <c r="N38" s="195" t="e">
        <f>$E38*'Falhas UM-1 - Qty'!N38/1000</f>
        <v>#N/A</v>
      </c>
      <c r="O38" s="195" t="e">
        <f>$E38*'Falhas UM-1 - Qty'!O38/1000</f>
        <v>#N/A</v>
      </c>
      <c r="P38" s="195" t="e">
        <f>$E38*'Falhas UM-1 - Qty'!P38/1000</f>
        <v>#N/A</v>
      </c>
      <c r="Q38" s="195" t="e">
        <f>$E38*'Falhas UM-1 - Qty'!Q38/1000</f>
        <v>#N/A</v>
      </c>
      <c r="R38" s="63" t="e">
        <f t="shared" ref="R38:R57" si="7">SUM(F38:K38)</f>
        <v>#N/A</v>
      </c>
      <c r="S38" s="63" t="e">
        <f t="shared" ref="S38:S57" si="8">SUM(L38:Q38)</f>
        <v>#N/A</v>
      </c>
      <c r="T38" s="63" t="e">
        <f t="shared" ref="T38:T57" si="9">R38+S38</f>
        <v>#N/A</v>
      </c>
    </row>
    <row r="39" spans="1:20" ht="18" customHeight="1">
      <c r="A39" s="751"/>
      <c r="B39" s="754"/>
      <c r="C39" s="45">
        <f t="shared" ref="C39:C56" si="10">C38+10</f>
        <v>1300</v>
      </c>
      <c r="D39" s="46" t="s">
        <v>17</v>
      </c>
      <c r="E39" s="257">
        <f>'[4]Falhas UM-1'!I39</f>
        <v>662.85928000000001</v>
      </c>
      <c r="F39" s="195" t="e">
        <f>$E39*'Falhas UM-1 - Qty'!F39/1000</f>
        <v>#N/A</v>
      </c>
      <c r="G39" s="195" t="e">
        <f>$E39*'Falhas UM-1 - Qty'!G39/1000</f>
        <v>#N/A</v>
      </c>
      <c r="H39" s="195" t="e">
        <f>$E39*'Falhas UM-1 - Qty'!H39/1000</f>
        <v>#N/A</v>
      </c>
      <c r="I39" s="195" t="e">
        <f>$E39*'Falhas UM-1 - Qty'!I39/1000</f>
        <v>#N/A</v>
      </c>
      <c r="J39" s="195" t="e">
        <f>$E39*'Falhas UM-1 - Qty'!J39/1000</f>
        <v>#N/A</v>
      </c>
      <c r="K39" s="195" t="e">
        <f>$E39*'Falhas UM-1 - Qty'!K39/1000</f>
        <v>#N/A</v>
      </c>
      <c r="L39" s="195" t="e">
        <f>$E39*'Falhas UM-1 - Qty'!L39/1000</f>
        <v>#N/A</v>
      </c>
      <c r="M39" s="195" t="e">
        <f>$E39*'Falhas UM-1 - Qty'!M39/1000</f>
        <v>#N/A</v>
      </c>
      <c r="N39" s="195" t="e">
        <f>$E39*'Falhas UM-1 - Qty'!N39/1000</f>
        <v>#N/A</v>
      </c>
      <c r="O39" s="195" t="e">
        <f>$E39*'Falhas UM-1 - Qty'!O39/1000</f>
        <v>#N/A</v>
      </c>
      <c r="P39" s="195" t="e">
        <f>$E39*'Falhas UM-1 - Qty'!P39/1000</f>
        <v>#N/A</v>
      </c>
      <c r="Q39" s="195" t="e">
        <f>$E39*'Falhas UM-1 - Qty'!Q39/1000</f>
        <v>#N/A</v>
      </c>
      <c r="R39" s="63" t="e">
        <f t="shared" si="7"/>
        <v>#N/A</v>
      </c>
      <c r="S39" s="63" t="e">
        <f t="shared" si="8"/>
        <v>#N/A</v>
      </c>
      <c r="T39" s="63" t="e">
        <f t="shared" si="9"/>
        <v>#N/A</v>
      </c>
    </row>
    <row r="40" spans="1:20" ht="18" customHeight="1">
      <c r="A40" s="751"/>
      <c r="B40" s="754"/>
      <c r="C40" s="45">
        <f t="shared" si="10"/>
        <v>1310</v>
      </c>
      <c r="D40" s="46" t="s">
        <v>16</v>
      </c>
      <c r="E40" s="257">
        <f>'[4]Falhas UM-1'!I40</f>
        <v>662.85928000000001</v>
      </c>
      <c r="F40" s="195" t="e">
        <f>$E40*'Falhas UM-1 - Qty'!F40/1000</f>
        <v>#N/A</v>
      </c>
      <c r="G40" s="195" t="e">
        <f>$E40*'Falhas UM-1 - Qty'!G40/1000</f>
        <v>#N/A</v>
      </c>
      <c r="H40" s="195" t="e">
        <f>$E40*'Falhas UM-1 - Qty'!H40/1000</f>
        <v>#N/A</v>
      </c>
      <c r="I40" s="195" t="e">
        <f>$E40*'Falhas UM-1 - Qty'!I40/1000</f>
        <v>#N/A</v>
      </c>
      <c r="J40" s="195" t="e">
        <f>$E40*'Falhas UM-1 - Qty'!J40/1000</f>
        <v>#N/A</v>
      </c>
      <c r="K40" s="195" t="e">
        <f>$E40*'Falhas UM-1 - Qty'!K40/1000</f>
        <v>#N/A</v>
      </c>
      <c r="L40" s="195" t="e">
        <f>$E40*'Falhas UM-1 - Qty'!L40/1000</f>
        <v>#N/A</v>
      </c>
      <c r="M40" s="195" t="e">
        <f>$E40*'Falhas UM-1 - Qty'!M40/1000</f>
        <v>#N/A</v>
      </c>
      <c r="N40" s="195" t="e">
        <f>$E40*'Falhas UM-1 - Qty'!N40/1000</f>
        <v>#N/A</v>
      </c>
      <c r="O40" s="195" t="e">
        <f>$E40*'Falhas UM-1 - Qty'!O40/1000</f>
        <v>#N/A</v>
      </c>
      <c r="P40" s="195" t="e">
        <f>$E40*'Falhas UM-1 - Qty'!P40/1000</f>
        <v>#N/A</v>
      </c>
      <c r="Q40" s="195" t="e">
        <f>$E40*'Falhas UM-1 - Qty'!Q40/1000</f>
        <v>#N/A</v>
      </c>
      <c r="R40" s="63" t="e">
        <f t="shared" si="7"/>
        <v>#N/A</v>
      </c>
      <c r="S40" s="63" t="e">
        <f t="shared" si="8"/>
        <v>#N/A</v>
      </c>
      <c r="T40" s="63" t="e">
        <f t="shared" si="9"/>
        <v>#N/A</v>
      </c>
    </row>
    <row r="41" spans="1:20" ht="18" customHeight="1">
      <c r="A41" s="751"/>
      <c r="B41" s="754"/>
      <c r="C41" s="45">
        <f t="shared" si="10"/>
        <v>1320</v>
      </c>
      <c r="D41" s="46" t="s">
        <v>15</v>
      </c>
      <c r="E41" s="257">
        <f>'[4]Falhas UM-1'!I41</f>
        <v>662.85928000000001</v>
      </c>
      <c r="F41" s="195" t="e">
        <f>$E41*'Falhas UM-1 - Qty'!F41/1000</f>
        <v>#N/A</v>
      </c>
      <c r="G41" s="195" t="e">
        <f>$E41*'Falhas UM-1 - Qty'!G41/1000</f>
        <v>#N/A</v>
      </c>
      <c r="H41" s="195" t="e">
        <f>$E41*'Falhas UM-1 - Qty'!H41/1000</f>
        <v>#N/A</v>
      </c>
      <c r="I41" s="195" t="e">
        <f>$E41*'Falhas UM-1 - Qty'!I41/1000</f>
        <v>#N/A</v>
      </c>
      <c r="J41" s="195" t="e">
        <f>$E41*'Falhas UM-1 - Qty'!J41/1000</f>
        <v>#N/A</v>
      </c>
      <c r="K41" s="195" t="e">
        <f>$E41*'Falhas UM-1 - Qty'!K41/1000</f>
        <v>#N/A</v>
      </c>
      <c r="L41" s="195" t="e">
        <f>$E41*'Falhas UM-1 - Qty'!L41/1000</f>
        <v>#N/A</v>
      </c>
      <c r="M41" s="195" t="e">
        <f>$E41*'Falhas UM-1 - Qty'!M41/1000</f>
        <v>#N/A</v>
      </c>
      <c r="N41" s="195" t="e">
        <f>$E41*'Falhas UM-1 - Qty'!N41/1000</f>
        <v>#N/A</v>
      </c>
      <c r="O41" s="195" t="e">
        <f>$E41*'Falhas UM-1 - Qty'!O41/1000</f>
        <v>#N/A</v>
      </c>
      <c r="P41" s="195" t="e">
        <f>$E41*'Falhas UM-1 - Qty'!P41/1000</f>
        <v>#N/A</v>
      </c>
      <c r="Q41" s="195" t="e">
        <f>$E41*'Falhas UM-1 - Qty'!Q41/1000</f>
        <v>#N/A</v>
      </c>
      <c r="R41" s="63" t="e">
        <f t="shared" si="7"/>
        <v>#N/A</v>
      </c>
      <c r="S41" s="63" t="e">
        <f t="shared" si="8"/>
        <v>#N/A</v>
      </c>
      <c r="T41" s="63" t="e">
        <f t="shared" si="9"/>
        <v>#N/A</v>
      </c>
    </row>
    <row r="42" spans="1:20" ht="18" customHeight="1">
      <c r="A42" s="751"/>
      <c r="B42" s="754"/>
      <c r="C42" s="45">
        <f t="shared" si="10"/>
        <v>1330</v>
      </c>
      <c r="D42" s="46" t="s">
        <v>14</v>
      </c>
      <c r="E42" s="257">
        <f>'[4]Falhas UM-1'!I42</f>
        <v>662.85928000000001</v>
      </c>
      <c r="F42" s="195" t="e">
        <f>$E42*'Falhas UM-1 - Qty'!F42/1000</f>
        <v>#N/A</v>
      </c>
      <c r="G42" s="195" t="e">
        <f>$E42*'Falhas UM-1 - Qty'!G42/1000</f>
        <v>#N/A</v>
      </c>
      <c r="H42" s="195" t="e">
        <f>$E42*'Falhas UM-1 - Qty'!H42/1000</f>
        <v>#N/A</v>
      </c>
      <c r="I42" s="195" t="e">
        <f>$E42*'Falhas UM-1 - Qty'!I42/1000</f>
        <v>#N/A</v>
      </c>
      <c r="J42" s="195" t="e">
        <f>$E42*'Falhas UM-1 - Qty'!J42/1000</f>
        <v>#N/A</v>
      </c>
      <c r="K42" s="195" t="e">
        <f>$E42*'Falhas UM-1 - Qty'!K42/1000</f>
        <v>#N/A</v>
      </c>
      <c r="L42" s="195" t="e">
        <f>$E42*'Falhas UM-1 - Qty'!L42/1000</f>
        <v>#N/A</v>
      </c>
      <c r="M42" s="195" t="e">
        <f>$E42*'Falhas UM-1 - Qty'!M42/1000</f>
        <v>#N/A</v>
      </c>
      <c r="N42" s="195" t="e">
        <f>$E42*'Falhas UM-1 - Qty'!N42/1000</f>
        <v>#N/A</v>
      </c>
      <c r="O42" s="195" t="e">
        <f>$E42*'Falhas UM-1 - Qty'!O42/1000</f>
        <v>#N/A</v>
      </c>
      <c r="P42" s="195" t="e">
        <f>$E42*'Falhas UM-1 - Qty'!P42/1000</f>
        <v>#N/A</v>
      </c>
      <c r="Q42" s="195" t="e">
        <f>$E42*'Falhas UM-1 - Qty'!Q42/1000</f>
        <v>#N/A</v>
      </c>
      <c r="R42" s="63" t="e">
        <f t="shared" si="7"/>
        <v>#N/A</v>
      </c>
      <c r="S42" s="63" t="e">
        <f t="shared" si="8"/>
        <v>#N/A</v>
      </c>
      <c r="T42" s="63" t="e">
        <f t="shared" si="9"/>
        <v>#N/A</v>
      </c>
    </row>
    <row r="43" spans="1:20" ht="18" customHeight="1">
      <c r="A43" s="751"/>
      <c r="B43" s="754"/>
      <c r="C43" s="45">
        <f t="shared" si="10"/>
        <v>1340</v>
      </c>
      <c r="D43" s="46" t="s">
        <v>130</v>
      </c>
      <c r="E43" s="257">
        <f>'[4]Falhas UM-1'!I43</f>
        <v>662.85928000000001</v>
      </c>
      <c r="F43" s="195" t="e">
        <f>$E43*'Falhas UM-1 - Qty'!F43/1000</f>
        <v>#N/A</v>
      </c>
      <c r="G43" s="195" t="e">
        <f>$E43*'Falhas UM-1 - Qty'!G43/1000</f>
        <v>#N/A</v>
      </c>
      <c r="H43" s="195" t="e">
        <f>$E43*'Falhas UM-1 - Qty'!H43/1000</f>
        <v>#N/A</v>
      </c>
      <c r="I43" s="195" t="e">
        <f>$E43*'Falhas UM-1 - Qty'!I43/1000</f>
        <v>#N/A</v>
      </c>
      <c r="J43" s="195" t="e">
        <f>$E43*'Falhas UM-1 - Qty'!J43/1000</f>
        <v>#N/A</v>
      </c>
      <c r="K43" s="195" t="e">
        <f>$E43*'Falhas UM-1 - Qty'!K43/1000</f>
        <v>#N/A</v>
      </c>
      <c r="L43" s="195" t="e">
        <f>$E43*'Falhas UM-1 - Qty'!L43/1000</f>
        <v>#N/A</v>
      </c>
      <c r="M43" s="195" t="e">
        <f>$E43*'Falhas UM-1 - Qty'!M43/1000</f>
        <v>#N/A</v>
      </c>
      <c r="N43" s="195" t="e">
        <f>$E43*'Falhas UM-1 - Qty'!N43/1000</f>
        <v>#N/A</v>
      </c>
      <c r="O43" s="195" t="e">
        <f>$E43*'Falhas UM-1 - Qty'!O43/1000</f>
        <v>#N/A</v>
      </c>
      <c r="P43" s="195" t="e">
        <f>$E43*'Falhas UM-1 - Qty'!P43/1000</f>
        <v>#N/A</v>
      </c>
      <c r="Q43" s="195" t="e">
        <f>$E43*'Falhas UM-1 - Qty'!Q43/1000</f>
        <v>#N/A</v>
      </c>
      <c r="R43" s="63" t="e">
        <f t="shared" si="7"/>
        <v>#N/A</v>
      </c>
      <c r="S43" s="63" t="e">
        <f t="shared" si="8"/>
        <v>#N/A</v>
      </c>
      <c r="T43" s="63" t="e">
        <f t="shared" si="9"/>
        <v>#N/A</v>
      </c>
    </row>
    <row r="44" spans="1:20" ht="18" customHeight="1">
      <c r="A44" s="751"/>
      <c r="B44" s="754"/>
      <c r="C44" s="45">
        <v>1342</v>
      </c>
      <c r="D44" s="47" t="s">
        <v>131</v>
      </c>
      <c r="E44" s="261">
        <f>'[4]Falhas UM-1'!I44</f>
        <v>662.85928000000001</v>
      </c>
      <c r="F44" s="196" t="e">
        <f>$E44*'Falhas UM-1 - Qty'!F44/1000</f>
        <v>#N/A</v>
      </c>
      <c r="G44" s="196" t="e">
        <f>$E44*'Falhas UM-1 - Qty'!G44/1000</f>
        <v>#N/A</v>
      </c>
      <c r="H44" s="196" t="e">
        <f>$E44*'Falhas UM-1 - Qty'!H44/1000</f>
        <v>#N/A</v>
      </c>
      <c r="I44" s="196" t="e">
        <f>$E44*'Falhas UM-1 - Qty'!I44/1000</f>
        <v>#N/A</v>
      </c>
      <c r="J44" s="196" t="e">
        <f>$E44*'Falhas UM-1 - Qty'!J44/1000</f>
        <v>#N/A</v>
      </c>
      <c r="K44" s="196" t="e">
        <f>$E44*'Falhas UM-1 - Qty'!K44/1000</f>
        <v>#N/A</v>
      </c>
      <c r="L44" s="196" t="e">
        <f>$E44*'Falhas UM-1 - Qty'!L44/1000</f>
        <v>#N/A</v>
      </c>
      <c r="M44" s="196" t="e">
        <f>$E44*'Falhas UM-1 - Qty'!M44/1000</f>
        <v>#N/A</v>
      </c>
      <c r="N44" s="196" t="e">
        <f>$E44*'Falhas UM-1 - Qty'!N44/1000</f>
        <v>#N/A</v>
      </c>
      <c r="O44" s="196" t="e">
        <f>$E44*'Falhas UM-1 - Qty'!O44/1000</f>
        <v>#N/A</v>
      </c>
      <c r="P44" s="196" t="e">
        <f>$E44*'Falhas UM-1 - Qty'!P44/1000</f>
        <v>#N/A</v>
      </c>
      <c r="Q44" s="196" t="e">
        <f>$E44*'Falhas UM-1 - Qty'!Q44/1000</f>
        <v>#N/A</v>
      </c>
      <c r="R44" s="196" t="e">
        <f t="shared" si="7"/>
        <v>#N/A</v>
      </c>
      <c r="S44" s="196" t="e">
        <f t="shared" si="8"/>
        <v>#N/A</v>
      </c>
      <c r="T44" s="196" t="e">
        <f t="shared" si="9"/>
        <v>#N/A</v>
      </c>
    </row>
    <row r="45" spans="1:20" ht="18" customHeight="1">
      <c r="A45" s="751"/>
      <c r="B45" s="754"/>
      <c r="C45" s="45">
        <v>1344</v>
      </c>
      <c r="D45" s="46" t="s">
        <v>134</v>
      </c>
      <c r="E45" s="257">
        <f>'[4]Falhas UM-1'!I45</f>
        <v>662.85928000000001</v>
      </c>
      <c r="F45" s="195" t="e">
        <f>$E45*'Falhas UM-1 - Qty'!F45/1000</f>
        <v>#N/A</v>
      </c>
      <c r="G45" s="195" t="e">
        <f>$E45*'Falhas UM-1 - Qty'!G45/1000</f>
        <v>#N/A</v>
      </c>
      <c r="H45" s="195" t="e">
        <f>$E45*'Falhas UM-1 - Qty'!H45/1000</f>
        <v>#N/A</v>
      </c>
      <c r="I45" s="195" t="e">
        <f>$E45*'Falhas UM-1 - Qty'!I45/1000</f>
        <v>#N/A</v>
      </c>
      <c r="J45" s="195" t="e">
        <f>$E45*'Falhas UM-1 - Qty'!J45/1000</f>
        <v>#N/A</v>
      </c>
      <c r="K45" s="195" t="e">
        <f>$E45*'Falhas UM-1 - Qty'!K45/1000</f>
        <v>#N/A</v>
      </c>
      <c r="L45" s="195" t="e">
        <f>$E45*'Falhas UM-1 - Qty'!L45/1000</f>
        <v>#N/A</v>
      </c>
      <c r="M45" s="195" t="e">
        <f>$E45*'Falhas UM-1 - Qty'!M45/1000</f>
        <v>#N/A</v>
      </c>
      <c r="N45" s="195" t="e">
        <f>$E45*'Falhas UM-1 - Qty'!N45/1000</f>
        <v>#N/A</v>
      </c>
      <c r="O45" s="195" t="e">
        <f>$E45*'Falhas UM-1 - Qty'!O45/1000</f>
        <v>#N/A</v>
      </c>
      <c r="P45" s="195" t="e">
        <f>$E45*'Falhas UM-1 - Qty'!P45/1000</f>
        <v>#N/A</v>
      </c>
      <c r="Q45" s="195" t="e">
        <f>$E45*'Falhas UM-1 - Qty'!Q45/1000</f>
        <v>#N/A</v>
      </c>
      <c r="R45" s="63" t="e">
        <f t="shared" si="7"/>
        <v>#N/A</v>
      </c>
      <c r="S45" s="63" t="e">
        <f t="shared" si="8"/>
        <v>#N/A</v>
      </c>
      <c r="T45" s="63" t="e">
        <f t="shared" si="9"/>
        <v>#N/A</v>
      </c>
    </row>
    <row r="46" spans="1:20" ht="18" customHeight="1">
      <c r="A46" s="751"/>
      <c r="B46" s="754"/>
      <c r="C46" s="45">
        <f>C43+10</f>
        <v>1350</v>
      </c>
      <c r="D46" s="46" t="s">
        <v>13</v>
      </c>
      <c r="E46" s="257">
        <f>'[4]Falhas UM-1'!I46</f>
        <v>662.85928000000001</v>
      </c>
      <c r="F46" s="195" t="e">
        <f>$E46*'Falhas UM-1 - Qty'!F46/1000</f>
        <v>#N/A</v>
      </c>
      <c r="G46" s="195" t="e">
        <f>$E46*'Falhas UM-1 - Qty'!G46/1000</f>
        <v>#N/A</v>
      </c>
      <c r="H46" s="195" t="e">
        <f>$E46*'Falhas UM-1 - Qty'!H46/1000</f>
        <v>#N/A</v>
      </c>
      <c r="I46" s="195" t="e">
        <f>$E46*'Falhas UM-1 - Qty'!I46/1000</f>
        <v>#N/A</v>
      </c>
      <c r="J46" s="195" t="e">
        <f>$E46*'Falhas UM-1 - Qty'!J46/1000</f>
        <v>#N/A</v>
      </c>
      <c r="K46" s="195" t="e">
        <f>$E46*'Falhas UM-1 - Qty'!K46/1000</f>
        <v>#N/A</v>
      </c>
      <c r="L46" s="195" t="e">
        <f>$E46*'Falhas UM-1 - Qty'!L46/1000</f>
        <v>#N/A</v>
      </c>
      <c r="M46" s="195" t="e">
        <f>$E46*'Falhas UM-1 - Qty'!M46/1000</f>
        <v>#N/A</v>
      </c>
      <c r="N46" s="195" t="e">
        <f>$E46*'Falhas UM-1 - Qty'!N46/1000</f>
        <v>#N/A</v>
      </c>
      <c r="O46" s="195" t="e">
        <f>$E46*'Falhas UM-1 - Qty'!O46/1000</f>
        <v>#N/A</v>
      </c>
      <c r="P46" s="195" t="e">
        <f>$E46*'Falhas UM-1 - Qty'!P46/1000</f>
        <v>#N/A</v>
      </c>
      <c r="Q46" s="195" t="e">
        <f>$E46*'Falhas UM-1 - Qty'!Q46/1000</f>
        <v>#N/A</v>
      </c>
      <c r="R46" s="63" t="e">
        <f t="shared" si="7"/>
        <v>#N/A</v>
      </c>
      <c r="S46" s="63" t="e">
        <f t="shared" si="8"/>
        <v>#N/A</v>
      </c>
      <c r="T46" s="63" t="e">
        <f t="shared" si="9"/>
        <v>#N/A</v>
      </c>
    </row>
    <row r="47" spans="1:20" ht="18" customHeight="1">
      <c r="A47" s="751"/>
      <c r="B47" s="754"/>
      <c r="C47" s="45">
        <f t="shared" si="10"/>
        <v>1360</v>
      </c>
      <c r="D47" s="46" t="s">
        <v>12</v>
      </c>
      <c r="E47" s="257">
        <f>'[4]Falhas UM-1'!I47</f>
        <v>662.85928000000001</v>
      </c>
      <c r="F47" s="195" t="e">
        <f>$E47*'Falhas UM-1 - Qty'!F47/1000</f>
        <v>#N/A</v>
      </c>
      <c r="G47" s="195" t="e">
        <f>$E47*'Falhas UM-1 - Qty'!G47/1000</f>
        <v>#N/A</v>
      </c>
      <c r="H47" s="195" t="e">
        <f>$E47*'Falhas UM-1 - Qty'!H47/1000</f>
        <v>#N/A</v>
      </c>
      <c r="I47" s="195" t="e">
        <f>$E47*'Falhas UM-1 - Qty'!I47/1000</f>
        <v>#N/A</v>
      </c>
      <c r="J47" s="195" t="e">
        <f>$E47*'Falhas UM-1 - Qty'!J47/1000</f>
        <v>#N/A</v>
      </c>
      <c r="K47" s="195" t="e">
        <f>$E47*'Falhas UM-1 - Qty'!K47/1000</f>
        <v>#N/A</v>
      </c>
      <c r="L47" s="195" t="e">
        <f>$E47*'Falhas UM-1 - Qty'!L47/1000</f>
        <v>#N/A</v>
      </c>
      <c r="M47" s="195" t="e">
        <f>$E47*'Falhas UM-1 - Qty'!M47/1000</f>
        <v>#N/A</v>
      </c>
      <c r="N47" s="195" t="e">
        <f>$E47*'Falhas UM-1 - Qty'!N47/1000</f>
        <v>#N/A</v>
      </c>
      <c r="O47" s="195" t="e">
        <f>$E47*'Falhas UM-1 - Qty'!O47/1000</f>
        <v>#N/A</v>
      </c>
      <c r="P47" s="195" t="e">
        <f>$E47*'Falhas UM-1 - Qty'!P47/1000</f>
        <v>#N/A</v>
      </c>
      <c r="Q47" s="195" t="e">
        <f>$E47*'Falhas UM-1 - Qty'!Q47/1000</f>
        <v>#N/A</v>
      </c>
      <c r="R47" s="63" t="e">
        <f t="shared" si="7"/>
        <v>#N/A</v>
      </c>
      <c r="S47" s="63" t="e">
        <f t="shared" si="8"/>
        <v>#N/A</v>
      </c>
      <c r="T47" s="63" t="e">
        <f t="shared" si="9"/>
        <v>#N/A</v>
      </c>
    </row>
    <row r="48" spans="1:20" ht="18" customHeight="1">
      <c r="A48" s="751"/>
      <c r="B48" s="754"/>
      <c r="C48" s="45">
        <f t="shared" si="10"/>
        <v>1370</v>
      </c>
      <c r="D48" s="46" t="s">
        <v>11</v>
      </c>
      <c r="E48" s="257">
        <f>'[4]Falhas UM-1'!I48</f>
        <v>662.85928000000001</v>
      </c>
      <c r="F48" s="195" t="e">
        <f>$E48*'Falhas UM-1 - Qty'!F48/1000</f>
        <v>#N/A</v>
      </c>
      <c r="G48" s="195" t="e">
        <f>$E48*'Falhas UM-1 - Qty'!G48/1000</f>
        <v>#N/A</v>
      </c>
      <c r="H48" s="195" t="e">
        <f>$E48*'Falhas UM-1 - Qty'!H48/1000</f>
        <v>#N/A</v>
      </c>
      <c r="I48" s="195" t="e">
        <f>$E48*'Falhas UM-1 - Qty'!I48/1000</f>
        <v>#N/A</v>
      </c>
      <c r="J48" s="195" t="e">
        <f>$E48*'Falhas UM-1 - Qty'!J48/1000</f>
        <v>#N/A</v>
      </c>
      <c r="K48" s="195" t="e">
        <f>$E48*'Falhas UM-1 - Qty'!K48/1000</f>
        <v>#N/A</v>
      </c>
      <c r="L48" s="195" t="e">
        <f>$E48*'Falhas UM-1 - Qty'!L48/1000</f>
        <v>#N/A</v>
      </c>
      <c r="M48" s="195" t="e">
        <f>$E48*'Falhas UM-1 - Qty'!M48/1000</f>
        <v>#N/A</v>
      </c>
      <c r="N48" s="195" t="e">
        <f>$E48*'Falhas UM-1 - Qty'!N48/1000</f>
        <v>#N/A</v>
      </c>
      <c r="O48" s="195" t="e">
        <f>$E48*'Falhas UM-1 - Qty'!O48/1000</f>
        <v>#N/A</v>
      </c>
      <c r="P48" s="195" t="e">
        <f>$E48*'Falhas UM-1 - Qty'!P48/1000</f>
        <v>#N/A</v>
      </c>
      <c r="Q48" s="195" t="e">
        <f>$E48*'Falhas UM-1 - Qty'!Q48/1000</f>
        <v>#N/A</v>
      </c>
      <c r="R48" s="63" t="e">
        <f t="shared" si="7"/>
        <v>#N/A</v>
      </c>
      <c r="S48" s="63" t="e">
        <f t="shared" si="8"/>
        <v>#N/A</v>
      </c>
      <c r="T48" s="63" t="e">
        <f t="shared" si="9"/>
        <v>#N/A</v>
      </c>
    </row>
    <row r="49" spans="1:20" ht="18" customHeight="1">
      <c r="A49" s="751"/>
      <c r="B49" s="754"/>
      <c r="C49" s="45">
        <f t="shared" si="10"/>
        <v>1380</v>
      </c>
      <c r="D49" s="46" t="s">
        <v>10</v>
      </c>
      <c r="E49" s="257">
        <f>'[4]Falhas UM-1'!I49</f>
        <v>662.85928000000001</v>
      </c>
      <c r="F49" s="195" t="e">
        <f>$E49*'Falhas UM-1 - Qty'!F49/1000</f>
        <v>#N/A</v>
      </c>
      <c r="G49" s="195" t="e">
        <f>$E49*'Falhas UM-1 - Qty'!G49/1000</f>
        <v>#N/A</v>
      </c>
      <c r="H49" s="195" t="e">
        <f>$E49*'Falhas UM-1 - Qty'!H49/1000</f>
        <v>#N/A</v>
      </c>
      <c r="I49" s="195" t="e">
        <f>$E49*'Falhas UM-1 - Qty'!I49/1000</f>
        <v>#N/A</v>
      </c>
      <c r="J49" s="195" t="e">
        <f>$E49*'Falhas UM-1 - Qty'!J49/1000</f>
        <v>#N/A</v>
      </c>
      <c r="K49" s="195" t="e">
        <f>$E49*'Falhas UM-1 - Qty'!K49/1000</f>
        <v>#N/A</v>
      </c>
      <c r="L49" s="195" t="e">
        <f>$E49*'Falhas UM-1 - Qty'!L49/1000</f>
        <v>#N/A</v>
      </c>
      <c r="M49" s="195" t="e">
        <f>$E49*'Falhas UM-1 - Qty'!M49/1000</f>
        <v>#N/A</v>
      </c>
      <c r="N49" s="195" t="e">
        <f>$E49*'Falhas UM-1 - Qty'!N49/1000</f>
        <v>#N/A</v>
      </c>
      <c r="O49" s="195" t="e">
        <f>$E49*'Falhas UM-1 - Qty'!O49/1000</f>
        <v>#N/A</v>
      </c>
      <c r="P49" s="195" t="e">
        <f>$E49*'Falhas UM-1 - Qty'!P49/1000</f>
        <v>#N/A</v>
      </c>
      <c r="Q49" s="195" t="e">
        <f>$E49*'Falhas UM-1 - Qty'!Q49/1000</f>
        <v>#N/A</v>
      </c>
      <c r="R49" s="63" t="e">
        <f t="shared" si="7"/>
        <v>#N/A</v>
      </c>
      <c r="S49" s="63" t="e">
        <f t="shared" si="8"/>
        <v>#N/A</v>
      </c>
      <c r="T49" s="63" t="e">
        <f t="shared" si="9"/>
        <v>#N/A</v>
      </c>
    </row>
    <row r="50" spans="1:20" ht="18" customHeight="1">
      <c r="A50" s="751"/>
      <c r="B50" s="754"/>
      <c r="C50" s="45">
        <f t="shared" si="10"/>
        <v>1390</v>
      </c>
      <c r="D50" s="46" t="s">
        <v>9</v>
      </c>
      <c r="E50" s="257">
        <f>'[4]Falhas UM-1'!I50</f>
        <v>662.85928000000001</v>
      </c>
      <c r="F50" s="195" t="e">
        <f>$E50*'Falhas UM-1 - Qty'!F50/1000</f>
        <v>#N/A</v>
      </c>
      <c r="G50" s="195" t="e">
        <f>$E50*'Falhas UM-1 - Qty'!G50/1000</f>
        <v>#N/A</v>
      </c>
      <c r="H50" s="195" t="e">
        <f>$E50*'Falhas UM-1 - Qty'!H50/1000</f>
        <v>#N/A</v>
      </c>
      <c r="I50" s="195" t="e">
        <f>$E50*'Falhas UM-1 - Qty'!I50/1000</f>
        <v>#N/A</v>
      </c>
      <c r="J50" s="195" t="e">
        <f>$E50*'Falhas UM-1 - Qty'!J50/1000</f>
        <v>#N/A</v>
      </c>
      <c r="K50" s="195" t="e">
        <f>$E50*'Falhas UM-1 - Qty'!K50/1000</f>
        <v>#N/A</v>
      </c>
      <c r="L50" s="195" t="e">
        <f>$E50*'Falhas UM-1 - Qty'!L50/1000</f>
        <v>#N/A</v>
      </c>
      <c r="M50" s="195" t="e">
        <f>$E50*'Falhas UM-1 - Qty'!M50/1000</f>
        <v>#N/A</v>
      </c>
      <c r="N50" s="195" t="e">
        <f>$E50*'Falhas UM-1 - Qty'!N50/1000</f>
        <v>#N/A</v>
      </c>
      <c r="O50" s="195" t="e">
        <f>$E50*'Falhas UM-1 - Qty'!O50/1000</f>
        <v>#N/A</v>
      </c>
      <c r="P50" s="195" t="e">
        <f>$E50*'Falhas UM-1 - Qty'!P50/1000</f>
        <v>#N/A</v>
      </c>
      <c r="Q50" s="195" t="e">
        <f>$E50*'Falhas UM-1 - Qty'!Q50/1000</f>
        <v>#N/A</v>
      </c>
      <c r="R50" s="63" t="e">
        <f t="shared" si="7"/>
        <v>#N/A</v>
      </c>
      <c r="S50" s="63" t="e">
        <f t="shared" si="8"/>
        <v>#N/A</v>
      </c>
      <c r="T50" s="63" t="e">
        <f t="shared" si="9"/>
        <v>#N/A</v>
      </c>
    </row>
    <row r="51" spans="1:20" ht="18" customHeight="1">
      <c r="A51" s="751"/>
      <c r="B51" s="754"/>
      <c r="C51" s="45">
        <f t="shared" si="10"/>
        <v>1400</v>
      </c>
      <c r="D51" s="46" t="s">
        <v>8</v>
      </c>
      <c r="E51" s="257">
        <f>'[4]Falhas UM-1'!I51</f>
        <v>662.85928000000001</v>
      </c>
      <c r="F51" s="195" t="e">
        <f>$E51*'Falhas UM-1 - Qty'!F51/1000</f>
        <v>#N/A</v>
      </c>
      <c r="G51" s="195" t="e">
        <f>$E51*'Falhas UM-1 - Qty'!G51/1000</f>
        <v>#N/A</v>
      </c>
      <c r="H51" s="195" t="e">
        <f>$E51*'Falhas UM-1 - Qty'!H51/1000</f>
        <v>#N/A</v>
      </c>
      <c r="I51" s="195" t="e">
        <f>$E51*'Falhas UM-1 - Qty'!I51/1000</f>
        <v>#N/A</v>
      </c>
      <c r="J51" s="195" t="e">
        <f>$E51*'Falhas UM-1 - Qty'!J51/1000</f>
        <v>#N/A</v>
      </c>
      <c r="K51" s="195" t="e">
        <f>$E51*'Falhas UM-1 - Qty'!K51/1000</f>
        <v>#N/A</v>
      </c>
      <c r="L51" s="195" t="e">
        <f>$E51*'Falhas UM-1 - Qty'!L51/1000</f>
        <v>#N/A</v>
      </c>
      <c r="M51" s="195" t="e">
        <f>$E51*'Falhas UM-1 - Qty'!M51/1000</f>
        <v>#N/A</v>
      </c>
      <c r="N51" s="195" t="e">
        <f>$E51*'Falhas UM-1 - Qty'!N51/1000</f>
        <v>#N/A</v>
      </c>
      <c r="O51" s="195" t="e">
        <f>$E51*'Falhas UM-1 - Qty'!O51/1000</f>
        <v>#N/A</v>
      </c>
      <c r="P51" s="195" t="e">
        <f>$E51*'Falhas UM-1 - Qty'!P51/1000</f>
        <v>#N/A</v>
      </c>
      <c r="Q51" s="195" t="e">
        <f>$E51*'Falhas UM-1 - Qty'!Q51/1000</f>
        <v>#N/A</v>
      </c>
      <c r="R51" s="63" t="e">
        <f t="shared" si="7"/>
        <v>#N/A</v>
      </c>
      <c r="S51" s="63" t="e">
        <f t="shared" si="8"/>
        <v>#N/A</v>
      </c>
      <c r="T51" s="63" t="e">
        <f t="shared" si="9"/>
        <v>#N/A</v>
      </c>
    </row>
    <row r="52" spans="1:20" ht="18" customHeight="1">
      <c r="A52" s="751"/>
      <c r="B52" s="754"/>
      <c r="C52" s="45">
        <f t="shared" si="10"/>
        <v>1410</v>
      </c>
      <c r="D52" s="46" t="s">
        <v>7</v>
      </c>
      <c r="E52" s="257">
        <f>'[4]Falhas UM-1'!I52</f>
        <v>662.85928000000001</v>
      </c>
      <c r="F52" s="195" t="e">
        <f>$E52*'Falhas UM-1 - Qty'!F52/1000</f>
        <v>#N/A</v>
      </c>
      <c r="G52" s="195" t="e">
        <f>$E52*'Falhas UM-1 - Qty'!G52/1000</f>
        <v>#N/A</v>
      </c>
      <c r="H52" s="195" t="e">
        <f>$E52*'Falhas UM-1 - Qty'!H52/1000</f>
        <v>#N/A</v>
      </c>
      <c r="I52" s="195" t="e">
        <f>$E52*'Falhas UM-1 - Qty'!I52/1000</f>
        <v>#N/A</v>
      </c>
      <c r="J52" s="195" t="e">
        <f>$E52*'Falhas UM-1 - Qty'!J52/1000</f>
        <v>#N/A</v>
      </c>
      <c r="K52" s="195" t="e">
        <f>$E52*'Falhas UM-1 - Qty'!K52/1000</f>
        <v>#N/A</v>
      </c>
      <c r="L52" s="195" t="e">
        <f>$E52*'Falhas UM-1 - Qty'!L52/1000</f>
        <v>#N/A</v>
      </c>
      <c r="M52" s="195" t="e">
        <f>$E52*'Falhas UM-1 - Qty'!M52/1000</f>
        <v>#N/A</v>
      </c>
      <c r="N52" s="195" t="e">
        <f>$E52*'Falhas UM-1 - Qty'!N52/1000</f>
        <v>#N/A</v>
      </c>
      <c r="O52" s="195" t="e">
        <f>$E52*'Falhas UM-1 - Qty'!O52/1000</f>
        <v>#N/A</v>
      </c>
      <c r="P52" s="195" t="e">
        <f>$E52*'Falhas UM-1 - Qty'!P52/1000</f>
        <v>#N/A</v>
      </c>
      <c r="Q52" s="195" t="e">
        <f>$E52*'Falhas UM-1 - Qty'!Q52/1000</f>
        <v>#N/A</v>
      </c>
      <c r="R52" s="63" t="e">
        <f t="shared" si="7"/>
        <v>#N/A</v>
      </c>
      <c r="S52" s="63" t="e">
        <f t="shared" si="8"/>
        <v>#N/A</v>
      </c>
      <c r="T52" s="63" t="e">
        <f t="shared" si="9"/>
        <v>#N/A</v>
      </c>
    </row>
    <row r="53" spans="1:20" ht="18" customHeight="1">
      <c r="A53" s="751"/>
      <c r="B53" s="754"/>
      <c r="C53" s="45">
        <f t="shared" si="10"/>
        <v>1420</v>
      </c>
      <c r="D53" s="46" t="s">
        <v>6</v>
      </c>
      <c r="E53" s="257">
        <f>'[4]Falhas UM-1'!I53</f>
        <v>662.85928000000001</v>
      </c>
      <c r="F53" s="195" t="e">
        <f>$E53*'Falhas UM-1 - Qty'!F53/1000</f>
        <v>#N/A</v>
      </c>
      <c r="G53" s="195" t="e">
        <f>$E53*'Falhas UM-1 - Qty'!G53/1000</f>
        <v>#N/A</v>
      </c>
      <c r="H53" s="195" t="e">
        <f>$E53*'Falhas UM-1 - Qty'!H53/1000</f>
        <v>#N/A</v>
      </c>
      <c r="I53" s="195" t="e">
        <f>$E53*'Falhas UM-1 - Qty'!I53/1000</f>
        <v>#N/A</v>
      </c>
      <c r="J53" s="195" t="e">
        <f>$E53*'Falhas UM-1 - Qty'!J53/1000</f>
        <v>#N/A</v>
      </c>
      <c r="K53" s="195" t="e">
        <f>$E53*'Falhas UM-1 - Qty'!K53/1000</f>
        <v>#N/A</v>
      </c>
      <c r="L53" s="195" t="e">
        <f>$E53*'Falhas UM-1 - Qty'!L53/1000</f>
        <v>#N/A</v>
      </c>
      <c r="M53" s="195" t="e">
        <f>$E53*'Falhas UM-1 - Qty'!M53/1000</f>
        <v>#N/A</v>
      </c>
      <c r="N53" s="195" t="e">
        <f>$E53*'Falhas UM-1 - Qty'!N53/1000</f>
        <v>#N/A</v>
      </c>
      <c r="O53" s="195" t="e">
        <f>$E53*'Falhas UM-1 - Qty'!O53/1000</f>
        <v>#N/A</v>
      </c>
      <c r="P53" s="195" t="e">
        <f>$E53*'Falhas UM-1 - Qty'!P53/1000</f>
        <v>#N/A</v>
      </c>
      <c r="Q53" s="195" t="e">
        <f>$E53*'Falhas UM-1 - Qty'!Q53/1000</f>
        <v>#N/A</v>
      </c>
      <c r="R53" s="63" t="e">
        <f t="shared" si="7"/>
        <v>#N/A</v>
      </c>
      <c r="S53" s="63" t="e">
        <f t="shared" si="8"/>
        <v>#N/A</v>
      </c>
      <c r="T53" s="63" t="e">
        <f t="shared" si="9"/>
        <v>#N/A</v>
      </c>
    </row>
    <row r="54" spans="1:20" ht="19.5" customHeight="1">
      <c r="A54" s="751"/>
      <c r="B54" s="754"/>
      <c r="C54" s="45">
        <f t="shared" si="10"/>
        <v>1430</v>
      </c>
      <c r="D54" s="46" t="s">
        <v>5</v>
      </c>
      <c r="E54" s="257">
        <f>'[4]Falhas UM-1'!I54</f>
        <v>113.31</v>
      </c>
      <c r="F54" s="195" t="e">
        <f>$E54*'Falhas UM-1 - Qty'!F54/1000</f>
        <v>#N/A</v>
      </c>
      <c r="G54" s="195" t="e">
        <f>$E54*'Falhas UM-1 - Qty'!G54/1000</f>
        <v>#N/A</v>
      </c>
      <c r="H54" s="195" t="e">
        <f>$E54*'Falhas UM-1 - Qty'!H54/1000</f>
        <v>#N/A</v>
      </c>
      <c r="I54" s="195" t="e">
        <f>$E54*'Falhas UM-1 - Qty'!I54/1000</f>
        <v>#N/A</v>
      </c>
      <c r="J54" s="195" t="e">
        <f>$E54*'Falhas UM-1 - Qty'!J54/1000</f>
        <v>#N/A</v>
      </c>
      <c r="K54" s="195" t="e">
        <f>$E54*'Falhas UM-1 - Qty'!K54/1000</f>
        <v>#N/A</v>
      </c>
      <c r="L54" s="195" t="e">
        <f>$E54*'Falhas UM-1 - Qty'!L54/1000</f>
        <v>#N/A</v>
      </c>
      <c r="M54" s="195" t="e">
        <f>$E54*'Falhas UM-1 - Qty'!M54/1000</f>
        <v>#N/A</v>
      </c>
      <c r="N54" s="195" t="e">
        <f>$E54*'Falhas UM-1 - Qty'!N54/1000</f>
        <v>#N/A</v>
      </c>
      <c r="O54" s="195" t="e">
        <f>$E54*'Falhas UM-1 - Qty'!O54/1000</f>
        <v>#N/A</v>
      </c>
      <c r="P54" s="195" t="e">
        <f>$E54*'Falhas UM-1 - Qty'!P54/1000</f>
        <v>#N/A</v>
      </c>
      <c r="Q54" s="195" t="e">
        <f>$E54*'Falhas UM-1 - Qty'!Q54/1000</f>
        <v>#N/A</v>
      </c>
      <c r="R54" s="63" t="e">
        <f t="shared" si="7"/>
        <v>#N/A</v>
      </c>
      <c r="S54" s="63" t="e">
        <f t="shared" si="8"/>
        <v>#N/A</v>
      </c>
      <c r="T54" s="63" t="e">
        <f t="shared" si="9"/>
        <v>#N/A</v>
      </c>
    </row>
    <row r="55" spans="1:20" ht="18" customHeight="1">
      <c r="A55" s="751"/>
      <c r="B55" s="754"/>
      <c r="C55" s="45">
        <f t="shared" si="10"/>
        <v>1440</v>
      </c>
      <c r="D55" s="46" t="s">
        <v>4</v>
      </c>
      <c r="E55" s="257">
        <f>'[4]Falhas UM-1'!I55</f>
        <v>4.5547000000000004</v>
      </c>
      <c r="F55" s="195" t="e">
        <f>$E55*'Falhas UM-1 - Qty'!F55/1000</f>
        <v>#N/A</v>
      </c>
      <c r="G55" s="195" t="e">
        <f>$E55*'Falhas UM-1 - Qty'!G55/1000</f>
        <v>#N/A</v>
      </c>
      <c r="H55" s="195" t="e">
        <f>$E55*'Falhas UM-1 - Qty'!H55/1000</f>
        <v>#N/A</v>
      </c>
      <c r="I55" s="195" t="e">
        <f>$E55*'Falhas UM-1 - Qty'!I55/1000</f>
        <v>#N/A</v>
      </c>
      <c r="J55" s="195" t="e">
        <f>$E55*'Falhas UM-1 - Qty'!J55/1000</f>
        <v>#N/A</v>
      </c>
      <c r="K55" s="195" t="e">
        <f>$E55*'Falhas UM-1 - Qty'!K55/1000</f>
        <v>#N/A</v>
      </c>
      <c r="L55" s="195" t="e">
        <f>$E55*'Falhas UM-1 - Qty'!L55/1000</f>
        <v>#N/A</v>
      </c>
      <c r="M55" s="195" t="e">
        <f>$E55*'Falhas UM-1 - Qty'!M55/1000</f>
        <v>#N/A</v>
      </c>
      <c r="N55" s="195" t="e">
        <f>$E55*'Falhas UM-1 - Qty'!N55/1000</f>
        <v>#N/A</v>
      </c>
      <c r="O55" s="195" t="e">
        <f>$E55*'Falhas UM-1 - Qty'!O55/1000</f>
        <v>#N/A</v>
      </c>
      <c r="P55" s="195" t="e">
        <f>$E55*'Falhas UM-1 - Qty'!P55/1000</f>
        <v>#N/A</v>
      </c>
      <c r="Q55" s="195" t="e">
        <f>$E55*'Falhas UM-1 - Qty'!Q55/1000</f>
        <v>#N/A</v>
      </c>
      <c r="R55" s="63" t="e">
        <f t="shared" si="7"/>
        <v>#N/A</v>
      </c>
      <c r="S55" s="63" t="e">
        <f t="shared" si="8"/>
        <v>#N/A</v>
      </c>
      <c r="T55" s="63" t="e">
        <f t="shared" si="9"/>
        <v>#N/A</v>
      </c>
    </row>
    <row r="56" spans="1:20" ht="18" customHeight="1" thickBot="1">
      <c r="A56" s="752"/>
      <c r="B56" s="755"/>
      <c r="C56" s="45">
        <f t="shared" si="10"/>
        <v>1450</v>
      </c>
      <c r="D56" s="48" t="s">
        <v>3</v>
      </c>
      <c r="E56" s="265">
        <f>'[4]Falhas UM-1'!I56</f>
        <v>1.7598</v>
      </c>
      <c r="F56" s="197" t="e">
        <f>$E56*'Falhas UM-1 - Qty'!F56/1000</f>
        <v>#N/A</v>
      </c>
      <c r="G56" s="197" t="e">
        <f>$E56*'Falhas UM-1 - Qty'!G56/1000</f>
        <v>#N/A</v>
      </c>
      <c r="H56" s="197" t="e">
        <f>$E56*'Falhas UM-1 - Qty'!H56/1000</f>
        <v>#N/A</v>
      </c>
      <c r="I56" s="197" t="e">
        <f>$E56*'Falhas UM-1 - Qty'!I56/1000</f>
        <v>#N/A</v>
      </c>
      <c r="J56" s="197" t="e">
        <f>$E56*'Falhas UM-1 - Qty'!J56/1000</f>
        <v>#N/A</v>
      </c>
      <c r="K56" s="197" t="e">
        <f>$E56*'Falhas UM-1 - Qty'!K56/1000</f>
        <v>#N/A</v>
      </c>
      <c r="L56" s="197" t="e">
        <f>$E56*'Falhas UM-1 - Qty'!L56/1000</f>
        <v>#N/A</v>
      </c>
      <c r="M56" s="197" t="e">
        <f>$E56*'Falhas UM-1 - Qty'!M56/1000</f>
        <v>#N/A</v>
      </c>
      <c r="N56" s="197" t="e">
        <f>$E56*'Falhas UM-1 - Qty'!N56/1000</f>
        <v>#N/A</v>
      </c>
      <c r="O56" s="197" t="e">
        <f>$E56*'Falhas UM-1 - Qty'!O56/1000</f>
        <v>#N/A</v>
      </c>
      <c r="P56" s="197" t="e">
        <f>$E56*'Falhas UM-1 - Qty'!P56/1000</f>
        <v>#N/A</v>
      </c>
      <c r="Q56" s="197" t="e">
        <f>$E56*'Falhas UM-1 - Qty'!Q56/1000</f>
        <v>#N/A</v>
      </c>
      <c r="R56" s="64" t="e">
        <f t="shared" si="7"/>
        <v>#N/A</v>
      </c>
      <c r="S56" s="64" t="e">
        <f t="shared" si="8"/>
        <v>#N/A</v>
      </c>
      <c r="T56" s="64" t="e">
        <f t="shared" si="9"/>
        <v>#N/A</v>
      </c>
    </row>
    <row r="57" spans="1:20" ht="20.100000000000001" customHeight="1" thickTop="1" thickBot="1">
      <c r="A57" s="767"/>
      <c r="B57" s="768"/>
      <c r="C57" s="43"/>
      <c r="D57" s="44" t="s">
        <v>1</v>
      </c>
      <c r="E57" s="582"/>
      <c r="F57" s="193" t="e">
        <f>SUM(F37:F56)</f>
        <v>#N/A</v>
      </c>
      <c r="G57" s="193" t="e">
        <f t="shared" ref="G57:Q57" si="11">SUM(G37:G56)</f>
        <v>#N/A</v>
      </c>
      <c r="H57" s="193" t="e">
        <f t="shared" si="11"/>
        <v>#N/A</v>
      </c>
      <c r="I57" s="193" t="e">
        <f t="shared" si="11"/>
        <v>#N/A</v>
      </c>
      <c r="J57" s="193" t="e">
        <f t="shared" si="11"/>
        <v>#N/A</v>
      </c>
      <c r="K57" s="193" t="e">
        <f t="shared" si="11"/>
        <v>#N/A</v>
      </c>
      <c r="L57" s="193" t="e">
        <f t="shared" si="11"/>
        <v>#N/A</v>
      </c>
      <c r="M57" s="193" t="e">
        <f t="shared" si="11"/>
        <v>#N/A</v>
      </c>
      <c r="N57" s="193" t="e">
        <f t="shared" si="11"/>
        <v>#N/A</v>
      </c>
      <c r="O57" s="193" t="e">
        <f t="shared" si="11"/>
        <v>#N/A</v>
      </c>
      <c r="P57" s="193" t="e">
        <f t="shared" si="11"/>
        <v>#N/A</v>
      </c>
      <c r="Q57" s="193" t="e">
        <f t="shared" si="11"/>
        <v>#N/A</v>
      </c>
      <c r="R57" s="62" t="e">
        <f t="shared" si="7"/>
        <v>#N/A</v>
      </c>
      <c r="S57" s="62" t="e">
        <f t="shared" si="8"/>
        <v>#N/A</v>
      </c>
      <c r="T57" s="62" t="e">
        <f t="shared" si="9"/>
        <v>#N/A</v>
      </c>
    </row>
    <row r="58" spans="1:20" ht="12.75" customHeight="1" thickTop="1">
      <c r="A58" s="769"/>
      <c r="B58" s="770"/>
      <c r="C58" s="49">
        <v>1460</v>
      </c>
      <c r="D58" s="50" t="s">
        <v>2</v>
      </c>
      <c r="E58" s="268">
        <f>E53</f>
        <v>662.85928000000001</v>
      </c>
      <c r="F58" s="198" t="e">
        <f>$E58*'Falhas UM-1 - Qty'!F58/1000</f>
        <v>#N/A</v>
      </c>
      <c r="G58" s="198" t="e">
        <f>$E58*'Falhas UM-1 - Qty'!G58/1000</f>
        <v>#N/A</v>
      </c>
      <c r="H58" s="198" t="e">
        <f>$E58*'Falhas UM-1 - Qty'!H58/1000</f>
        <v>#N/A</v>
      </c>
      <c r="I58" s="198" t="e">
        <f>$E58*'Falhas UM-1 - Qty'!I58/1000</f>
        <v>#N/A</v>
      </c>
      <c r="J58" s="198" t="e">
        <f>$E58*'Falhas UM-1 - Qty'!J58/1000</f>
        <v>#N/A</v>
      </c>
      <c r="K58" s="198" t="e">
        <f>$E58*'Falhas UM-1 - Qty'!K58/1000</f>
        <v>#N/A</v>
      </c>
      <c r="L58" s="198" t="e">
        <f>$E58*'Falhas UM-1 - Qty'!L58/1000</f>
        <v>#N/A</v>
      </c>
      <c r="M58" s="198" t="e">
        <f>$E58*'Falhas UM-1 - Qty'!M58/1000</f>
        <v>#N/A</v>
      </c>
      <c r="N58" s="198" t="e">
        <f>$E58*'Falhas UM-1 - Qty'!N58/1000</f>
        <v>#N/A</v>
      </c>
      <c r="O58" s="198" t="e">
        <f>$E58*'Falhas UM-1 - Qty'!O58/1000</f>
        <v>#N/A</v>
      </c>
      <c r="P58" s="198" t="e">
        <f>$E58*'Falhas UM-1 - Qty'!P58/1000</f>
        <v>#N/A</v>
      </c>
      <c r="Q58" s="198" t="e">
        <f>$E58*'Falhas UM-1 - Qty'!Q58/1000</f>
        <v>#N/A</v>
      </c>
      <c r="R58" s="198" t="e">
        <f>$E58/1000*'Falhas UM-1 - Qty'!R58</f>
        <v>#N/A</v>
      </c>
      <c r="S58" s="65"/>
      <c r="T58" s="65"/>
    </row>
    <row r="59" spans="1:20">
      <c r="C59" s="228"/>
      <c r="D59" s="189" t="s">
        <v>1</v>
      </c>
      <c r="E59" s="583"/>
      <c r="F59" s="224" t="e">
        <f>F58</f>
        <v>#N/A</v>
      </c>
      <c r="G59" s="224" t="e">
        <f t="shared" ref="G59:Q59" si="12">G58</f>
        <v>#N/A</v>
      </c>
      <c r="H59" s="224" t="e">
        <f t="shared" si="12"/>
        <v>#N/A</v>
      </c>
      <c r="I59" s="224" t="e">
        <f t="shared" si="12"/>
        <v>#N/A</v>
      </c>
      <c r="J59" s="224" t="e">
        <f t="shared" si="12"/>
        <v>#N/A</v>
      </c>
      <c r="K59" s="224" t="e">
        <f t="shared" si="12"/>
        <v>#N/A</v>
      </c>
      <c r="L59" s="224" t="e">
        <f t="shared" si="12"/>
        <v>#N/A</v>
      </c>
      <c r="M59" s="224" t="e">
        <f t="shared" si="12"/>
        <v>#N/A</v>
      </c>
      <c r="N59" s="224" t="e">
        <f t="shared" si="12"/>
        <v>#N/A</v>
      </c>
      <c r="O59" s="224" t="e">
        <f t="shared" si="12"/>
        <v>#N/A</v>
      </c>
      <c r="P59" s="224" t="e">
        <f t="shared" si="12"/>
        <v>#N/A</v>
      </c>
      <c r="Q59" s="224" t="e">
        <f t="shared" si="12"/>
        <v>#N/A</v>
      </c>
      <c r="R59" s="224" t="e">
        <f>R58</f>
        <v>#N/A</v>
      </c>
      <c r="S59" s="225"/>
      <c r="T59" s="225"/>
    </row>
    <row r="60" spans="1:20">
      <c r="C60" s="232"/>
      <c r="D60" s="233" t="s">
        <v>0</v>
      </c>
      <c r="E60" s="584"/>
      <c r="F60" s="234" t="e">
        <f t="array" ref="F60">SUM(IF($D$6:$D$59="Total",F6:F59))</f>
        <v>#N/A</v>
      </c>
      <c r="G60" s="234" t="e">
        <f t="array" ref="G60">SUM(IF($D$6:$D$59="Total",G6:G59))</f>
        <v>#N/A</v>
      </c>
      <c r="H60" s="234" t="e">
        <f t="array" ref="H60">SUM(IF($D$6:$D$59="Total",H6:H59))</f>
        <v>#N/A</v>
      </c>
      <c r="I60" s="234" t="e">
        <f t="array" ref="I60">SUM(IF($D$6:$D$59="Total",I6:I59))</f>
        <v>#N/A</v>
      </c>
      <c r="J60" s="234" t="e">
        <f t="array" ref="J60">SUM(IF($D$6:$D$59="Total",J6:J59))</f>
        <v>#N/A</v>
      </c>
      <c r="K60" s="234" t="e">
        <f t="array" ref="K60">SUM(IF($D$6:$D$59="Total",K6:K59))</f>
        <v>#N/A</v>
      </c>
      <c r="L60" s="234" t="e">
        <f t="array" ref="L60">SUM(IF($D$6:$D$59="Total",L6:L59))</f>
        <v>#N/A</v>
      </c>
      <c r="M60" s="234" t="e">
        <f t="array" ref="M60">SUM(IF($D$6:$D$59="Total",M6:M59))</f>
        <v>#N/A</v>
      </c>
      <c r="N60" s="234" t="e">
        <f t="array" ref="N60">SUM(IF($D$6:$D$59="Total",N6:N59))</f>
        <v>#N/A</v>
      </c>
      <c r="O60" s="234" t="e">
        <f t="array" ref="O60">SUM(IF($D$6:$D$59="Total",O6:O59))</f>
        <v>#N/A</v>
      </c>
      <c r="P60" s="234" t="e">
        <f t="array" ref="P60">SUM(IF($D$6:$D$59="Total",P6:P59))</f>
        <v>#N/A</v>
      </c>
      <c r="Q60" s="234" t="e">
        <f t="array" ref="Q60">SUM(IF($D$6:$D$59="Total",Q6:Q59))</f>
        <v>#N/A</v>
      </c>
      <c r="R60" s="234" t="e">
        <f t="array" ref="R60">SUM(IF($D$6:$D$59="Total",R6:R59))</f>
        <v>#N/A</v>
      </c>
      <c r="S60" s="234" t="e">
        <f t="array" ref="S60">SUM(IF($D$6:$D$59="Total",S6:S59))</f>
        <v>#N/A</v>
      </c>
      <c r="T60" s="234" t="e">
        <f t="array" ref="T60">SUM(IF($D$6:$D$59="Total",T6:T59))</f>
        <v>#N/A</v>
      </c>
    </row>
    <row r="61" spans="1:20">
      <c r="C61" s="229"/>
      <c r="D61" s="1" t="s">
        <v>176</v>
      </c>
      <c r="G61" s="199" t="e">
        <f>(G60-F60)/F60*100</f>
        <v>#N/A</v>
      </c>
      <c r="H61" s="199" t="e">
        <f>(H60-G60)/G60*100</f>
        <v>#N/A</v>
      </c>
      <c r="I61" s="223"/>
      <c r="J61" s="223"/>
      <c r="K61" s="223"/>
      <c r="L61" s="223"/>
      <c r="M61" s="223"/>
      <c r="N61" s="223"/>
      <c r="O61" s="223"/>
      <c r="P61" s="223"/>
      <c r="Q61" s="223"/>
      <c r="R61" s="223"/>
      <c r="S61" s="223"/>
      <c r="T61" s="223"/>
    </row>
    <row r="62" spans="1:20">
      <c r="C62" s="229"/>
      <c r="G62" s="199"/>
      <c r="H62" s="199"/>
      <c r="I62" s="223"/>
      <c r="J62" s="223"/>
      <c r="K62" s="223"/>
      <c r="L62" s="223"/>
      <c r="M62" s="223"/>
      <c r="N62" s="223"/>
      <c r="O62" s="223"/>
      <c r="P62" s="223"/>
      <c r="Q62" s="223"/>
      <c r="R62" s="223"/>
      <c r="S62" s="223"/>
      <c r="T62" s="223"/>
    </row>
    <row r="63" spans="1:20">
      <c r="C63" s="229"/>
      <c r="D63" s="191" t="s">
        <v>186</v>
      </c>
      <c r="E63" s="227" t="s">
        <v>188</v>
      </c>
      <c r="F63" s="226" t="e">
        <f>F15+F22</f>
        <v>#N/A</v>
      </c>
      <c r="G63" s="226" t="e">
        <f t="shared" ref="G63:S63" si="13">G15+G22</f>
        <v>#N/A</v>
      </c>
      <c r="H63" s="226" t="e">
        <f t="shared" si="13"/>
        <v>#N/A</v>
      </c>
      <c r="I63" s="226" t="e">
        <f t="shared" si="13"/>
        <v>#N/A</v>
      </c>
      <c r="J63" s="226" t="e">
        <f t="shared" si="13"/>
        <v>#N/A</v>
      </c>
      <c r="K63" s="226" t="e">
        <f t="shared" si="13"/>
        <v>#N/A</v>
      </c>
      <c r="L63" s="226" t="e">
        <f>L15+L22</f>
        <v>#N/A</v>
      </c>
      <c r="M63" s="226" t="e">
        <f>M15+M22</f>
        <v>#N/A</v>
      </c>
      <c r="N63" s="226" t="e">
        <f t="shared" si="13"/>
        <v>#N/A</v>
      </c>
      <c r="O63" s="226" t="e">
        <f t="shared" si="13"/>
        <v>#N/A</v>
      </c>
      <c r="P63" s="226" t="e">
        <f t="shared" si="13"/>
        <v>#N/A</v>
      </c>
      <c r="Q63" s="226" t="e">
        <f t="shared" si="13"/>
        <v>#N/A</v>
      </c>
      <c r="R63" s="226" t="e">
        <f t="shared" si="13"/>
        <v>#N/A</v>
      </c>
      <c r="S63" s="226" t="e">
        <f t="shared" si="13"/>
        <v>#N/A</v>
      </c>
      <c r="T63" s="226" t="e">
        <f t="shared" ref="T63:T68" si="14">SUM(F63:Q63)</f>
        <v>#N/A</v>
      </c>
    </row>
    <row r="64" spans="1:20">
      <c r="C64" s="229"/>
      <c r="D64" s="191"/>
      <c r="E64" s="191" t="s">
        <v>189</v>
      </c>
      <c r="F64" s="226"/>
      <c r="G64" s="226"/>
      <c r="H64" s="226"/>
      <c r="I64" s="226"/>
      <c r="J64" s="226"/>
      <c r="K64" s="226"/>
      <c r="L64" s="226"/>
      <c r="M64" s="226"/>
      <c r="N64" s="191"/>
      <c r="O64" s="191"/>
      <c r="P64" s="191"/>
      <c r="Q64" s="191"/>
      <c r="R64" s="227"/>
      <c r="S64" s="227"/>
      <c r="T64" s="226">
        <f t="shared" si="14"/>
        <v>0</v>
      </c>
    </row>
    <row r="65" spans="3:20">
      <c r="C65" s="229"/>
      <c r="D65" s="191" t="s">
        <v>187</v>
      </c>
      <c r="E65" s="191" t="s">
        <v>188</v>
      </c>
      <c r="F65" s="226" t="e">
        <f>F57</f>
        <v>#N/A</v>
      </c>
      <c r="G65" s="226" t="e">
        <f t="shared" ref="G65:S65" si="15">G57</f>
        <v>#N/A</v>
      </c>
      <c r="H65" s="226" t="e">
        <f t="shared" si="15"/>
        <v>#N/A</v>
      </c>
      <c r="I65" s="226" t="e">
        <f t="shared" si="15"/>
        <v>#N/A</v>
      </c>
      <c r="J65" s="226" t="e">
        <f t="shared" si="15"/>
        <v>#N/A</v>
      </c>
      <c r="K65" s="226" t="e">
        <f t="shared" si="15"/>
        <v>#N/A</v>
      </c>
      <c r="L65" s="226" t="e">
        <f>L57</f>
        <v>#N/A</v>
      </c>
      <c r="M65" s="226" t="e">
        <f>M57</f>
        <v>#N/A</v>
      </c>
      <c r="N65" s="226" t="e">
        <f t="shared" si="15"/>
        <v>#N/A</v>
      </c>
      <c r="O65" s="226" t="e">
        <f t="shared" si="15"/>
        <v>#N/A</v>
      </c>
      <c r="P65" s="226" t="e">
        <f t="shared" si="15"/>
        <v>#N/A</v>
      </c>
      <c r="Q65" s="226" t="e">
        <f t="shared" si="15"/>
        <v>#N/A</v>
      </c>
      <c r="R65" s="226" t="e">
        <f t="shared" si="15"/>
        <v>#N/A</v>
      </c>
      <c r="S65" s="226" t="e">
        <f t="shared" si="15"/>
        <v>#N/A</v>
      </c>
      <c r="T65" s="226" t="e">
        <f t="shared" si="14"/>
        <v>#N/A</v>
      </c>
    </row>
    <row r="66" spans="3:20">
      <c r="C66" s="229"/>
      <c r="D66" s="191"/>
      <c r="E66" s="191" t="s">
        <v>189</v>
      </c>
      <c r="F66" s="226"/>
      <c r="G66" s="226"/>
      <c r="H66" s="226"/>
      <c r="I66" s="226"/>
      <c r="J66" s="226"/>
      <c r="K66" s="226"/>
      <c r="L66" s="226"/>
      <c r="M66" s="226"/>
      <c r="N66" s="191"/>
      <c r="O66" s="191"/>
      <c r="P66" s="191"/>
      <c r="Q66" s="191"/>
      <c r="R66" s="227"/>
      <c r="S66" s="227"/>
      <c r="T66" s="226">
        <f t="shared" si="14"/>
        <v>0</v>
      </c>
    </row>
    <row r="67" spans="3:20">
      <c r="C67" s="229"/>
      <c r="D67" s="191" t="s">
        <v>113</v>
      </c>
      <c r="E67" s="191" t="s">
        <v>188</v>
      </c>
      <c r="F67" s="226" t="e">
        <f>F59</f>
        <v>#N/A</v>
      </c>
      <c r="G67" s="226" t="e">
        <f t="shared" ref="G67:S67" si="16">G59</f>
        <v>#N/A</v>
      </c>
      <c r="H67" s="226" t="e">
        <f t="shared" si="16"/>
        <v>#N/A</v>
      </c>
      <c r="I67" s="226" t="e">
        <f t="shared" si="16"/>
        <v>#N/A</v>
      </c>
      <c r="J67" s="226" t="e">
        <f t="shared" si="16"/>
        <v>#N/A</v>
      </c>
      <c r="K67" s="226" t="e">
        <f t="shared" si="16"/>
        <v>#N/A</v>
      </c>
      <c r="L67" s="226" t="e">
        <f>L59</f>
        <v>#N/A</v>
      </c>
      <c r="M67" s="226" t="e">
        <f>M59</f>
        <v>#N/A</v>
      </c>
      <c r="N67" s="226" t="e">
        <f t="shared" si="16"/>
        <v>#N/A</v>
      </c>
      <c r="O67" s="226" t="e">
        <f t="shared" si="16"/>
        <v>#N/A</v>
      </c>
      <c r="P67" s="226" t="e">
        <f t="shared" si="16"/>
        <v>#N/A</v>
      </c>
      <c r="Q67" s="226" t="e">
        <f t="shared" si="16"/>
        <v>#N/A</v>
      </c>
      <c r="R67" s="226" t="e">
        <f t="shared" si="16"/>
        <v>#N/A</v>
      </c>
      <c r="S67" s="226">
        <f t="shared" si="16"/>
        <v>0</v>
      </c>
      <c r="T67" s="226" t="e">
        <f t="shared" si="14"/>
        <v>#N/A</v>
      </c>
    </row>
    <row r="68" spans="3:20">
      <c r="D68" s="230"/>
      <c r="E68" s="191" t="s">
        <v>189</v>
      </c>
      <c r="F68" s="231"/>
      <c r="G68" s="231"/>
      <c r="H68" s="231"/>
      <c r="I68" s="231"/>
      <c r="J68" s="231"/>
      <c r="K68" s="231"/>
      <c r="L68" s="231"/>
      <c r="M68" s="231"/>
      <c r="N68" s="230"/>
      <c r="O68" s="230"/>
      <c r="P68" s="230"/>
      <c r="Q68" s="230"/>
      <c r="R68" s="230"/>
      <c r="S68" s="230"/>
      <c r="T68" s="226">
        <f t="shared" si="14"/>
        <v>0</v>
      </c>
    </row>
  </sheetData>
  <mergeCells count="9">
    <mergeCell ref="A57:B58"/>
    <mergeCell ref="A36:A56"/>
    <mergeCell ref="B36:B56"/>
    <mergeCell ref="A1:F1"/>
    <mergeCell ref="B6:B15"/>
    <mergeCell ref="B16:B22"/>
    <mergeCell ref="A6:A35"/>
    <mergeCell ref="B23:B35"/>
    <mergeCell ref="C4:D4"/>
  </mergeCells>
  <printOptions horizontalCentered="1" gridLinesSet="0"/>
  <pageMargins left="0.98425196850393704" right="0.39370078740157483" top="0.39370078740157483" bottom="0.39370078740157483" header="0.51181102362204722" footer="0.31496062992125984"/>
  <pageSetup paperSize="9" scale="53" orientation="landscape" horizontalDpi="4294967292" r:id="rId1"/>
  <headerFooter alignWithMargins="0">
    <oddFooter>&amp;L&amp;A&amp;R&amp;F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>
    <tabColor indexed="56"/>
    <pageSetUpPr fitToPage="1"/>
  </sheetPr>
  <dimension ref="A1:AA71"/>
  <sheetViews>
    <sheetView showGridLines="0" topLeftCell="A18" zoomScale="106" zoomScaleNormal="106" zoomScaleSheetLayoutView="53" workbookViewId="0">
      <selection activeCell="D57" sqref="D57"/>
    </sheetView>
  </sheetViews>
  <sheetFormatPr defaultColWidth="11.42578125" defaultRowHeight="12.75"/>
  <cols>
    <col min="1" max="1" width="3.140625" style="82" bestFit="1" customWidth="1"/>
    <col min="2" max="2" width="6.42578125" style="82" bestFit="1" customWidth="1"/>
    <col min="3" max="3" width="25.140625" style="82" bestFit="1" customWidth="1"/>
    <col min="4" max="4" width="8.140625" style="82" customWidth="1"/>
    <col min="5" max="5" width="10.28515625" style="82" bestFit="1" customWidth="1"/>
    <col min="6" max="16384" width="11.42578125" style="82"/>
  </cols>
  <sheetData>
    <row r="1" spans="1:27" ht="18" customHeight="1">
      <c r="A1" s="771" t="s">
        <v>89</v>
      </c>
      <c r="B1" s="771"/>
      <c r="C1" s="771"/>
      <c r="D1" s="771"/>
      <c r="E1" s="771"/>
    </row>
    <row r="2" spans="1:27" ht="18" customHeight="1"/>
    <row r="3" spans="1:27" ht="9.9499999999999993" customHeight="1" thickBot="1"/>
    <row r="4" spans="1:27" ht="18" customHeight="1">
      <c r="A4" s="83"/>
      <c r="B4" s="772"/>
      <c r="C4" s="773"/>
      <c r="D4" s="352" t="s">
        <v>207</v>
      </c>
      <c r="E4" s="219">
        <f>'Falhas UM-1 - Qty'!F5</f>
        <v>43922</v>
      </c>
      <c r="F4" s="219">
        <f>'Falhas UM-1 - Qty'!G5</f>
        <v>43952</v>
      </c>
      <c r="G4" s="219">
        <f>'Falhas UM-1 - Qty'!H5</f>
        <v>43983</v>
      </c>
      <c r="H4" s="219">
        <f>'Falhas UM-1 - Qty'!I5</f>
        <v>44013</v>
      </c>
      <c r="I4" s="219">
        <f>'Falhas UM-1 - Qty'!J5</f>
        <v>44044</v>
      </c>
      <c r="J4" s="219">
        <f>'Falhas UM-1 - Qty'!K5</f>
        <v>44075</v>
      </c>
      <c r="K4" s="219">
        <f>'Falhas UM-1 - Qty'!L5</f>
        <v>44105</v>
      </c>
      <c r="L4" s="219">
        <f>'Falhas UM-1 - Qty'!M5</f>
        <v>44136</v>
      </c>
      <c r="M4" s="219">
        <f>'Falhas UM-1 - Qty'!N5</f>
        <v>44166</v>
      </c>
      <c r="N4" s="219">
        <f>'Falhas UM-1 - Qty'!O5</f>
        <v>44197</v>
      </c>
      <c r="O4" s="219">
        <f>'Falhas UM-1 - Qty'!P5</f>
        <v>44228</v>
      </c>
      <c r="P4" s="219">
        <f>'Falhas UM-1 - Qty'!Q5</f>
        <v>44256</v>
      </c>
      <c r="Q4" s="68" t="s">
        <v>55</v>
      </c>
      <c r="R4" s="13"/>
      <c r="S4" s="12" t="s">
        <v>54</v>
      </c>
      <c r="T4" s="13"/>
      <c r="U4" s="12" t="s">
        <v>1</v>
      </c>
      <c r="V4" s="11"/>
      <c r="W4" s="68" t="s">
        <v>55</v>
      </c>
      <c r="X4" s="11" t="s">
        <v>54</v>
      </c>
      <c r="Y4" s="68" t="s">
        <v>53</v>
      </c>
      <c r="Z4" s="11" t="s">
        <v>52</v>
      </c>
    </row>
    <row r="5" spans="1:27" ht="18" customHeight="1" thickBot="1">
      <c r="A5" s="205"/>
      <c r="B5" s="774" t="s">
        <v>57</v>
      </c>
      <c r="C5" s="775"/>
      <c r="D5" s="353" t="s">
        <v>48</v>
      </c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69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9"/>
      <c r="X5" s="5"/>
      <c r="Y5" s="69"/>
      <c r="Z5" s="5"/>
    </row>
    <row r="6" spans="1:27" ht="35.25" customHeight="1" thickTop="1">
      <c r="A6" s="205"/>
      <c r="B6" s="206" t="s">
        <v>51</v>
      </c>
      <c r="C6" s="207" t="s">
        <v>50</v>
      </c>
      <c r="D6" s="353">
        <f>'Falhas UM-1 - Qty'!E5</f>
        <v>2022</v>
      </c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</row>
    <row r="7" spans="1:27" ht="18" customHeight="1">
      <c r="A7" s="782" t="s">
        <v>151</v>
      </c>
      <c r="B7" s="85">
        <v>3010</v>
      </c>
      <c r="C7" s="86" t="s">
        <v>46</v>
      </c>
      <c r="D7" s="368">
        <f>'[3]Falhas UM-3-1 Qty'!Z7</f>
        <v>120.4453381819668</v>
      </c>
      <c r="E7" s="378" t="e">
        <f>$D7/1000000*'Prod &amp; Defects - Qty'!G$6</f>
        <v>#N/A</v>
      </c>
      <c r="F7" s="378" t="e">
        <f>$D7/1000000*'Prod &amp; Defects - Qty'!H$6</f>
        <v>#N/A</v>
      </c>
      <c r="G7" s="378" t="e">
        <f>$D7/1000000*'Prod &amp; Defects - Qty'!I$6</f>
        <v>#N/A</v>
      </c>
      <c r="H7" s="378" t="e">
        <f>$D7/1000000*'Prod &amp; Defects - Qty'!J$6</f>
        <v>#N/A</v>
      </c>
      <c r="I7" s="378" t="e">
        <f>$D7/1000000*'Prod &amp; Defects - Qty'!K$6</f>
        <v>#N/A</v>
      </c>
      <c r="J7" s="378" t="e">
        <f>$D7/1000000*'Prod &amp; Defects - Qty'!L$6</f>
        <v>#N/A</v>
      </c>
      <c r="K7" s="378" t="e">
        <f>$D7/1000000*'Prod &amp; Defects - Qty'!M$6</f>
        <v>#N/A</v>
      </c>
      <c r="L7" s="378" t="e">
        <f>$D7/1000000*'Prod &amp; Defects - Qty'!N$6</f>
        <v>#N/A</v>
      </c>
      <c r="M7" s="378" t="e">
        <f>$D7/1000000*'Prod &amp; Defects - Qty'!O$6</f>
        <v>#N/A</v>
      </c>
      <c r="N7" s="378" t="e">
        <f>$D7/1000000*'Prod &amp; Defects - Qty'!P$6</f>
        <v>#N/A</v>
      </c>
      <c r="O7" s="378" t="e">
        <f>$D7/1000000*'Prod &amp; Defects - Qty'!Q$6</f>
        <v>#N/A</v>
      </c>
      <c r="P7" s="378" t="e">
        <f>$D7/1000000*'Prod &amp; Defects - Qty'!R$6</f>
        <v>#N/A</v>
      </c>
      <c r="Q7" s="87" t="e">
        <f>SUM(E7:J7)</f>
        <v>#N/A</v>
      </c>
      <c r="R7" s="87" t="e">
        <f>Q7/SUM('Prod &amp; Defects - Qty'!$G$6:$L$6)*1000000</f>
        <v>#N/A</v>
      </c>
      <c r="S7" s="87" t="e">
        <f>SUM(K7:P7)</f>
        <v>#N/A</v>
      </c>
      <c r="T7" s="87" t="e">
        <f>S7/SUM('Prod &amp; Defects - Qty'!$M$6:$R$6)*1000000</f>
        <v>#N/A</v>
      </c>
      <c r="U7" s="87" t="e">
        <f>Q7+S7</f>
        <v>#N/A</v>
      </c>
      <c r="V7" s="87" t="e">
        <f>U7/'Prod &amp; Defects - Qty'!$S$6*1000000</f>
        <v>#N/A</v>
      </c>
      <c r="W7" s="87" t="e">
        <f t="shared" ref="W7:X26" si="0">V7*$AA$7</f>
        <v>#N/A</v>
      </c>
      <c r="X7" s="87" t="e">
        <f t="shared" si="0"/>
        <v>#N/A</v>
      </c>
      <c r="Y7" s="87" t="e">
        <f>(W7+X7)/2</f>
        <v>#N/A</v>
      </c>
      <c r="Z7" s="87" t="e">
        <f>Y7*$AA$7</f>
        <v>#N/A</v>
      </c>
      <c r="AA7" s="82">
        <v>1</v>
      </c>
    </row>
    <row r="8" spans="1:27" ht="18" customHeight="1">
      <c r="A8" s="783"/>
      <c r="B8" s="88">
        <f>B7+10</f>
        <v>3020</v>
      </c>
      <c r="C8" s="89" t="s">
        <v>88</v>
      </c>
      <c r="D8" s="369">
        <f>'[3]Falhas UM-3-1 Qty'!Z8</f>
        <v>46.771881225772653</v>
      </c>
      <c r="E8" s="379" t="e">
        <f>$D8/1000000*'Prod &amp; Defects - Qty'!G$6</f>
        <v>#N/A</v>
      </c>
      <c r="F8" s="379" t="e">
        <f>$D8/1000000*'Prod &amp; Defects - Qty'!H$6</f>
        <v>#N/A</v>
      </c>
      <c r="G8" s="379" t="e">
        <f>$D8/1000000*'Prod &amp; Defects - Qty'!I$6</f>
        <v>#N/A</v>
      </c>
      <c r="H8" s="379" t="e">
        <f>$D8/1000000*'Prod &amp; Defects - Qty'!J$6</f>
        <v>#N/A</v>
      </c>
      <c r="I8" s="379" t="e">
        <f>$D8/1000000*'Prod &amp; Defects - Qty'!K$6</f>
        <v>#N/A</v>
      </c>
      <c r="J8" s="379" t="e">
        <f>$D8/1000000*'Prod &amp; Defects - Qty'!L$6</f>
        <v>#N/A</v>
      </c>
      <c r="K8" s="379" t="e">
        <f>$D8/1000000*'Prod &amp; Defects - Qty'!M$6</f>
        <v>#N/A</v>
      </c>
      <c r="L8" s="379" t="e">
        <f>$D8/1000000*'Prod &amp; Defects - Qty'!N$6</f>
        <v>#N/A</v>
      </c>
      <c r="M8" s="379" t="e">
        <f>$D8/1000000*'Prod &amp; Defects - Qty'!O$6</f>
        <v>#N/A</v>
      </c>
      <c r="N8" s="379" t="e">
        <f>$D8/1000000*'Prod &amp; Defects - Qty'!P$6</f>
        <v>#N/A</v>
      </c>
      <c r="O8" s="379" t="e">
        <f>$D8/1000000*'Prod &amp; Defects - Qty'!Q$6</f>
        <v>#N/A</v>
      </c>
      <c r="P8" s="379" t="e">
        <f>$D8/1000000*'Prod &amp; Defects - Qty'!R$6</f>
        <v>#N/A</v>
      </c>
      <c r="Q8" s="90" t="e">
        <f t="shared" ref="Q8:Q57" si="1">SUM(E8:J8)</f>
        <v>#N/A</v>
      </c>
      <c r="R8" s="90" t="e">
        <f>Q8/SUM('Prod &amp; Defects - Qty'!$G$6:$L$6)*1000000</f>
        <v>#N/A</v>
      </c>
      <c r="S8" s="90" t="e">
        <f t="shared" ref="S8:S57" si="2">SUM(K8:P8)</f>
        <v>#N/A</v>
      </c>
      <c r="T8" s="90" t="e">
        <f>S8/SUM('Prod &amp; Defects - Qty'!$M$6:$R$6)*1000000</f>
        <v>#N/A</v>
      </c>
      <c r="U8" s="90" t="e">
        <f t="shared" ref="U8:U57" si="3">Q8+S8</f>
        <v>#N/A</v>
      </c>
      <c r="V8" s="90" t="e">
        <f>U8/'Prod &amp; Defects - Qty'!$S$6*1000000</f>
        <v>#N/A</v>
      </c>
      <c r="W8" s="90" t="e">
        <f t="shared" si="0"/>
        <v>#N/A</v>
      </c>
      <c r="X8" s="90" t="e">
        <f t="shared" si="0"/>
        <v>#N/A</v>
      </c>
      <c r="Y8" s="90" t="e">
        <f t="shared" ref="Y8:Y57" si="4">(W8+X8)/2</f>
        <v>#N/A</v>
      </c>
      <c r="Z8" s="90" t="e">
        <f t="shared" ref="Z8:Z18" si="5">Y8*$AA$7</f>
        <v>#N/A</v>
      </c>
    </row>
    <row r="9" spans="1:27" ht="18" customHeight="1">
      <c r="A9" s="783"/>
      <c r="B9" s="88">
        <f t="shared" ref="B9:B18" si="6">B8+10</f>
        <v>3030</v>
      </c>
      <c r="C9" s="89" t="s">
        <v>87</v>
      </c>
      <c r="D9" s="369">
        <f>'[3]Falhas UM-3-1 Qty'!Z9</f>
        <v>75.855340590732098</v>
      </c>
      <c r="E9" s="379" t="e">
        <f>$D9/1000000*'Prod &amp; Defects - Qty'!G$6</f>
        <v>#N/A</v>
      </c>
      <c r="F9" s="379" t="e">
        <f>$D9/1000000*'Prod &amp; Defects - Qty'!H$6</f>
        <v>#N/A</v>
      </c>
      <c r="G9" s="379" t="e">
        <f>$D9/1000000*'Prod &amp; Defects - Qty'!I$6</f>
        <v>#N/A</v>
      </c>
      <c r="H9" s="379" t="e">
        <f>$D9/1000000*'Prod &amp; Defects - Qty'!J$6</f>
        <v>#N/A</v>
      </c>
      <c r="I9" s="379" t="e">
        <f>$D9/1000000*'Prod &amp; Defects - Qty'!K$6</f>
        <v>#N/A</v>
      </c>
      <c r="J9" s="379" t="e">
        <f>$D9/1000000*'Prod &amp; Defects - Qty'!L$6</f>
        <v>#N/A</v>
      </c>
      <c r="K9" s="379" t="e">
        <f>$D9/1000000*'Prod &amp; Defects - Qty'!M$6</f>
        <v>#N/A</v>
      </c>
      <c r="L9" s="379" t="e">
        <f>$D9/1000000*'Prod &amp; Defects - Qty'!N$6</f>
        <v>#N/A</v>
      </c>
      <c r="M9" s="379" t="e">
        <f>$D9/1000000*'Prod &amp; Defects - Qty'!O$6</f>
        <v>#N/A</v>
      </c>
      <c r="N9" s="379" t="e">
        <f>$D9/1000000*'Prod &amp; Defects - Qty'!P$6</f>
        <v>#N/A</v>
      </c>
      <c r="O9" s="379" t="e">
        <f>$D9/1000000*'Prod &amp; Defects - Qty'!Q$6</f>
        <v>#N/A</v>
      </c>
      <c r="P9" s="379" t="e">
        <f>$D9/1000000*'Prod &amp; Defects - Qty'!R$6</f>
        <v>#N/A</v>
      </c>
      <c r="Q9" s="90" t="e">
        <f t="shared" si="1"/>
        <v>#N/A</v>
      </c>
      <c r="R9" s="90" t="e">
        <f>Q9/SUM('Prod &amp; Defects - Qty'!$G$6:$L$6)*1000000</f>
        <v>#N/A</v>
      </c>
      <c r="S9" s="90" t="e">
        <f t="shared" si="2"/>
        <v>#N/A</v>
      </c>
      <c r="T9" s="90" t="e">
        <f>S9/SUM('Prod &amp; Defects - Qty'!$M$6:$R$6)*1000000</f>
        <v>#N/A</v>
      </c>
      <c r="U9" s="90" t="e">
        <f t="shared" si="3"/>
        <v>#N/A</v>
      </c>
      <c r="V9" s="90" t="e">
        <f>U9/'Prod &amp; Defects - Qty'!$S$6*1000000</f>
        <v>#N/A</v>
      </c>
      <c r="W9" s="90" t="e">
        <f t="shared" si="0"/>
        <v>#N/A</v>
      </c>
      <c r="X9" s="90" t="e">
        <f t="shared" si="0"/>
        <v>#N/A</v>
      </c>
      <c r="Y9" s="90" t="e">
        <f t="shared" si="4"/>
        <v>#N/A</v>
      </c>
      <c r="Z9" s="90" t="e">
        <f t="shared" si="5"/>
        <v>#N/A</v>
      </c>
    </row>
    <row r="10" spans="1:27" ht="18" customHeight="1">
      <c r="A10" s="783"/>
      <c r="B10" s="88">
        <f t="shared" si="6"/>
        <v>3040</v>
      </c>
      <c r="C10" s="89" t="s">
        <v>86</v>
      </c>
      <c r="D10" s="369">
        <f>'[3]Falhas UM-3-1 Qty'!Z10</f>
        <v>364.61445707522142</v>
      </c>
      <c r="E10" s="379" t="e">
        <f>$D10/1000000*'Prod &amp; Defects - Qty'!G$6</f>
        <v>#N/A</v>
      </c>
      <c r="F10" s="379" t="e">
        <f>$D10/1000000*'Prod &amp; Defects - Qty'!H$6</f>
        <v>#N/A</v>
      </c>
      <c r="G10" s="379" t="e">
        <f>$D10/1000000*'Prod &amp; Defects - Qty'!I$6</f>
        <v>#N/A</v>
      </c>
      <c r="H10" s="379" t="e">
        <f>$D10/1000000*'Prod &amp; Defects - Qty'!J$6</f>
        <v>#N/A</v>
      </c>
      <c r="I10" s="379" t="e">
        <f>$D10/1000000*'Prod &amp; Defects - Qty'!K$6</f>
        <v>#N/A</v>
      </c>
      <c r="J10" s="379" t="e">
        <f>$D10/1000000*'Prod &amp; Defects - Qty'!L$6</f>
        <v>#N/A</v>
      </c>
      <c r="K10" s="379" t="e">
        <f>$D10/1000000*'Prod &amp; Defects - Qty'!M$6</f>
        <v>#N/A</v>
      </c>
      <c r="L10" s="379" t="e">
        <f>$D10/1000000*'Prod &amp; Defects - Qty'!N$6</f>
        <v>#N/A</v>
      </c>
      <c r="M10" s="379" t="e">
        <f>$D10/1000000*'Prod &amp; Defects - Qty'!O$6</f>
        <v>#N/A</v>
      </c>
      <c r="N10" s="379" t="e">
        <f>$D10/1000000*'Prod &amp; Defects - Qty'!P$6</f>
        <v>#N/A</v>
      </c>
      <c r="O10" s="379" t="e">
        <f>$D10/1000000*'Prod &amp; Defects - Qty'!Q$6</f>
        <v>#N/A</v>
      </c>
      <c r="P10" s="379" t="e">
        <f>$D10/1000000*'Prod &amp; Defects - Qty'!R$6</f>
        <v>#N/A</v>
      </c>
      <c r="Q10" s="90" t="e">
        <f t="shared" si="1"/>
        <v>#N/A</v>
      </c>
      <c r="R10" s="90" t="e">
        <f>Q10/SUM('Prod &amp; Defects - Qty'!$G$6:$L$6)*1000000</f>
        <v>#N/A</v>
      </c>
      <c r="S10" s="90" t="e">
        <f t="shared" si="2"/>
        <v>#N/A</v>
      </c>
      <c r="T10" s="90" t="e">
        <f>S10/SUM('Prod &amp; Defects - Qty'!$M$6:$R$6)*1000000</f>
        <v>#N/A</v>
      </c>
      <c r="U10" s="90" t="e">
        <f t="shared" si="3"/>
        <v>#N/A</v>
      </c>
      <c r="V10" s="90" t="e">
        <f>U10/'Prod &amp; Defects - Qty'!$S$6*1000000</f>
        <v>#N/A</v>
      </c>
      <c r="W10" s="90" t="e">
        <f t="shared" si="0"/>
        <v>#N/A</v>
      </c>
      <c r="X10" s="90" t="e">
        <f t="shared" si="0"/>
        <v>#N/A</v>
      </c>
      <c r="Y10" s="90" t="e">
        <f t="shared" si="4"/>
        <v>#N/A</v>
      </c>
      <c r="Z10" s="90" t="e">
        <f t="shared" si="5"/>
        <v>#N/A</v>
      </c>
    </row>
    <row r="11" spans="1:27" ht="18" customHeight="1">
      <c r="A11" s="783"/>
      <c r="B11" s="88">
        <f t="shared" si="6"/>
        <v>3050</v>
      </c>
      <c r="C11" s="89" t="s">
        <v>85</v>
      </c>
      <c r="D11" s="369">
        <f>'[3]Falhas UM-3-1 Qty'!Z11</f>
        <v>42.129064918751382</v>
      </c>
      <c r="E11" s="379" t="e">
        <f>$D11/1000000*'Prod &amp; Defects - Qty'!G$6</f>
        <v>#N/A</v>
      </c>
      <c r="F11" s="379" t="e">
        <f>$D11/1000000*'Prod &amp; Defects - Qty'!H$6</f>
        <v>#N/A</v>
      </c>
      <c r="G11" s="379" t="e">
        <f>$D11/1000000*'Prod &amp; Defects - Qty'!I$6</f>
        <v>#N/A</v>
      </c>
      <c r="H11" s="379" t="e">
        <f>$D11/1000000*'Prod &amp; Defects - Qty'!J$6</f>
        <v>#N/A</v>
      </c>
      <c r="I11" s="379" t="e">
        <f>$D11/1000000*'Prod &amp; Defects - Qty'!K$6</f>
        <v>#N/A</v>
      </c>
      <c r="J11" s="379" t="e">
        <f>$D11/1000000*'Prod &amp; Defects - Qty'!L$6</f>
        <v>#N/A</v>
      </c>
      <c r="K11" s="379" t="e">
        <f>$D11/1000000*'Prod &amp; Defects - Qty'!M$6</f>
        <v>#N/A</v>
      </c>
      <c r="L11" s="379" t="e">
        <f>$D11/1000000*'Prod &amp; Defects - Qty'!N$6</f>
        <v>#N/A</v>
      </c>
      <c r="M11" s="379" t="e">
        <f>$D11/1000000*'Prod &amp; Defects - Qty'!O$6</f>
        <v>#N/A</v>
      </c>
      <c r="N11" s="379" t="e">
        <f>$D11/1000000*'Prod &amp; Defects - Qty'!P$6</f>
        <v>#N/A</v>
      </c>
      <c r="O11" s="379" t="e">
        <f>$D11/1000000*'Prod &amp; Defects - Qty'!Q$6</f>
        <v>#N/A</v>
      </c>
      <c r="P11" s="379" t="e">
        <f>$D11/1000000*'Prod &amp; Defects - Qty'!R$6</f>
        <v>#N/A</v>
      </c>
      <c r="Q11" s="90" t="e">
        <f t="shared" si="1"/>
        <v>#N/A</v>
      </c>
      <c r="R11" s="90" t="e">
        <f>Q11/SUM('Prod &amp; Defects - Qty'!$G$6:$L$6)*1000000</f>
        <v>#N/A</v>
      </c>
      <c r="S11" s="90" t="e">
        <f t="shared" si="2"/>
        <v>#N/A</v>
      </c>
      <c r="T11" s="90" t="e">
        <f>S11/SUM('Prod &amp; Defects - Qty'!$M$6:$R$6)*1000000</f>
        <v>#N/A</v>
      </c>
      <c r="U11" s="90" t="e">
        <f t="shared" si="3"/>
        <v>#N/A</v>
      </c>
      <c r="V11" s="90" t="e">
        <f>U11/'Prod &amp; Defects - Qty'!$S$6*1000000</f>
        <v>#N/A</v>
      </c>
      <c r="W11" s="90" t="e">
        <f t="shared" si="0"/>
        <v>#N/A</v>
      </c>
      <c r="X11" s="90" t="e">
        <f t="shared" si="0"/>
        <v>#N/A</v>
      </c>
      <c r="Y11" s="90" t="e">
        <f t="shared" si="4"/>
        <v>#N/A</v>
      </c>
      <c r="Z11" s="90" t="e">
        <f t="shared" si="5"/>
        <v>#N/A</v>
      </c>
    </row>
    <row r="12" spans="1:27" ht="18" customHeight="1">
      <c r="A12" s="783"/>
      <c r="B12" s="88">
        <f t="shared" si="6"/>
        <v>3060</v>
      </c>
      <c r="C12" s="89" t="s">
        <v>84</v>
      </c>
      <c r="D12" s="369">
        <f>'[3]Falhas UM-3-1 Qty'!Z12</f>
        <v>41.370513101229243</v>
      </c>
      <c r="E12" s="379" t="e">
        <f>$D12/1000000*'Prod &amp; Defects - Qty'!G$6</f>
        <v>#N/A</v>
      </c>
      <c r="F12" s="379" t="e">
        <f>$D12/1000000*'Prod &amp; Defects - Qty'!H$6</f>
        <v>#N/A</v>
      </c>
      <c r="G12" s="379" t="e">
        <f>$D12/1000000*'Prod &amp; Defects - Qty'!I$6</f>
        <v>#N/A</v>
      </c>
      <c r="H12" s="379" t="e">
        <f>$D12/1000000*'Prod &amp; Defects - Qty'!J$6</f>
        <v>#N/A</v>
      </c>
      <c r="I12" s="379" t="e">
        <f>$D12/1000000*'Prod &amp; Defects - Qty'!K$6</f>
        <v>#N/A</v>
      </c>
      <c r="J12" s="379" t="e">
        <f>$D12/1000000*'Prod &amp; Defects - Qty'!L$6</f>
        <v>#N/A</v>
      </c>
      <c r="K12" s="379" t="e">
        <f>$D12/1000000*'Prod &amp; Defects - Qty'!M$6</f>
        <v>#N/A</v>
      </c>
      <c r="L12" s="379" t="e">
        <f>$D12/1000000*'Prod &amp; Defects - Qty'!N$6</f>
        <v>#N/A</v>
      </c>
      <c r="M12" s="379" t="e">
        <f>$D12/1000000*'Prod &amp; Defects - Qty'!O$6</f>
        <v>#N/A</v>
      </c>
      <c r="N12" s="379" t="e">
        <f>$D12/1000000*'Prod &amp; Defects - Qty'!P$6</f>
        <v>#N/A</v>
      </c>
      <c r="O12" s="379" t="e">
        <f>$D12/1000000*'Prod &amp; Defects - Qty'!Q$6</f>
        <v>#N/A</v>
      </c>
      <c r="P12" s="379" t="e">
        <f>$D12/1000000*'Prod &amp; Defects - Qty'!R$6</f>
        <v>#N/A</v>
      </c>
      <c r="Q12" s="90" t="e">
        <f t="shared" si="1"/>
        <v>#N/A</v>
      </c>
      <c r="R12" s="90" t="e">
        <f>Q12/SUM('Prod &amp; Defects - Qty'!$G$6:$L$6)*1000000</f>
        <v>#N/A</v>
      </c>
      <c r="S12" s="90" t="e">
        <f t="shared" si="2"/>
        <v>#N/A</v>
      </c>
      <c r="T12" s="90" t="e">
        <f>S12/SUM('Prod &amp; Defects - Qty'!$M$6:$R$6)*1000000</f>
        <v>#N/A</v>
      </c>
      <c r="U12" s="90" t="e">
        <f t="shared" si="3"/>
        <v>#N/A</v>
      </c>
      <c r="V12" s="90" t="e">
        <f>U12/'Prod &amp; Defects - Qty'!$S$6*1000000</f>
        <v>#N/A</v>
      </c>
      <c r="W12" s="90" t="e">
        <f t="shared" si="0"/>
        <v>#N/A</v>
      </c>
      <c r="X12" s="90" t="e">
        <f t="shared" si="0"/>
        <v>#N/A</v>
      </c>
      <c r="Y12" s="90" t="e">
        <f t="shared" si="4"/>
        <v>#N/A</v>
      </c>
      <c r="Z12" s="90" t="e">
        <f t="shared" si="5"/>
        <v>#N/A</v>
      </c>
    </row>
    <row r="13" spans="1:27" ht="18" customHeight="1">
      <c r="A13" s="783"/>
      <c r="B13" s="88">
        <f t="shared" si="6"/>
        <v>3070</v>
      </c>
      <c r="C13" s="89" t="s">
        <v>41</v>
      </c>
      <c r="D13" s="369">
        <f>'[3]Falhas UM-3-1 Qty'!Z13</f>
        <v>203.69740469852792</v>
      </c>
      <c r="E13" s="379" t="e">
        <f>$D13/1000000*'Prod &amp; Defects - Qty'!G$6</f>
        <v>#N/A</v>
      </c>
      <c r="F13" s="379" t="e">
        <f>$D13/1000000*'Prod &amp; Defects - Qty'!H$6</f>
        <v>#N/A</v>
      </c>
      <c r="G13" s="379" t="e">
        <f>$D13/1000000*'Prod &amp; Defects - Qty'!I$6</f>
        <v>#N/A</v>
      </c>
      <c r="H13" s="379" t="e">
        <f>$D13/1000000*'Prod &amp; Defects - Qty'!J$6</f>
        <v>#N/A</v>
      </c>
      <c r="I13" s="379" t="e">
        <f>$D13/1000000*'Prod &amp; Defects - Qty'!K$6</f>
        <v>#N/A</v>
      </c>
      <c r="J13" s="379" t="e">
        <f>$D13/1000000*'Prod &amp; Defects - Qty'!L$6</f>
        <v>#N/A</v>
      </c>
      <c r="K13" s="379" t="e">
        <f>$D13/1000000*'Prod &amp; Defects - Qty'!M$6</f>
        <v>#N/A</v>
      </c>
      <c r="L13" s="379" t="e">
        <f>$D13/1000000*'Prod &amp; Defects - Qty'!N$6</f>
        <v>#N/A</v>
      </c>
      <c r="M13" s="379" t="e">
        <f>$D13/1000000*'Prod &amp; Defects - Qty'!O$6</f>
        <v>#N/A</v>
      </c>
      <c r="N13" s="379" t="e">
        <f>$D13/1000000*'Prod &amp; Defects - Qty'!P$6</f>
        <v>#N/A</v>
      </c>
      <c r="O13" s="379" t="e">
        <f>$D13/1000000*'Prod &amp; Defects - Qty'!Q$6</f>
        <v>#N/A</v>
      </c>
      <c r="P13" s="379" t="e">
        <f>$D13/1000000*'Prod &amp; Defects - Qty'!R$6</f>
        <v>#N/A</v>
      </c>
      <c r="Q13" s="90" t="e">
        <f t="shared" si="1"/>
        <v>#N/A</v>
      </c>
      <c r="R13" s="90" t="e">
        <f>Q13/SUM('Prod &amp; Defects - Qty'!$G$6:$L$6)*1000000</f>
        <v>#N/A</v>
      </c>
      <c r="S13" s="90" t="e">
        <f t="shared" si="2"/>
        <v>#N/A</v>
      </c>
      <c r="T13" s="90" t="e">
        <f>S13/SUM('Prod &amp; Defects - Qty'!$M$6:$R$6)*1000000</f>
        <v>#N/A</v>
      </c>
      <c r="U13" s="90" t="e">
        <f t="shared" si="3"/>
        <v>#N/A</v>
      </c>
      <c r="V13" s="90" t="e">
        <f>U13/'Prod &amp; Defects - Qty'!$S$6*1000000</f>
        <v>#N/A</v>
      </c>
      <c r="W13" s="90" t="e">
        <f t="shared" si="0"/>
        <v>#N/A</v>
      </c>
      <c r="X13" s="90" t="e">
        <f t="shared" si="0"/>
        <v>#N/A</v>
      </c>
      <c r="Y13" s="90" t="e">
        <f t="shared" si="4"/>
        <v>#N/A</v>
      </c>
      <c r="Z13" s="90" t="e">
        <f t="shared" si="5"/>
        <v>#N/A</v>
      </c>
    </row>
    <row r="14" spans="1:27" ht="18" customHeight="1">
      <c r="A14" s="783"/>
      <c r="B14" s="88">
        <f t="shared" si="6"/>
        <v>3080</v>
      </c>
      <c r="C14" s="89" t="s">
        <v>62</v>
      </c>
      <c r="D14" s="369">
        <f>'[3]Falhas UM-3-1 Qty'!Z14</f>
        <v>96.699679686127624</v>
      </c>
      <c r="E14" s="379" t="e">
        <f>$D14/1000000*'Prod &amp; Defects - Qty'!G$6</f>
        <v>#N/A</v>
      </c>
      <c r="F14" s="379" t="e">
        <f>$D14/1000000*'Prod &amp; Defects - Qty'!H$6</f>
        <v>#N/A</v>
      </c>
      <c r="G14" s="379" t="e">
        <f>$D14/1000000*'Prod &amp; Defects - Qty'!I$6</f>
        <v>#N/A</v>
      </c>
      <c r="H14" s="379" t="e">
        <f>$D14/1000000*'Prod &amp; Defects - Qty'!J$6</f>
        <v>#N/A</v>
      </c>
      <c r="I14" s="379" t="e">
        <f>$D14/1000000*'Prod &amp; Defects - Qty'!K$6</f>
        <v>#N/A</v>
      </c>
      <c r="J14" s="379" t="e">
        <f>$D14/1000000*'Prod &amp; Defects - Qty'!L$6</f>
        <v>#N/A</v>
      </c>
      <c r="K14" s="379" t="e">
        <f>$D14/1000000*'Prod &amp; Defects - Qty'!M$6</f>
        <v>#N/A</v>
      </c>
      <c r="L14" s="379" t="e">
        <f>$D14/1000000*'Prod &amp; Defects - Qty'!N$6</f>
        <v>#N/A</v>
      </c>
      <c r="M14" s="379" t="e">
        <f>$D14/1000000*'Prod &amp; Defects - Qty'!O$6</f>
        <v>#N/A</v>
      </c>
      <c r="N14" s="379" t="e">
        <f>$D14/1000000*'Prod &amp; Defects - Qty'!P$6</f>
        <v>#N/A</v>
      </c>
      <c r="O14" s="379" t="e">
        <f>$D14/1000000*'Prod &amp; Defects - Qty'!Q$6</f>
        <v>#N/A</v>
      </c>
      <c r="P14" s="379" t="e">
        <f>$D14/1000000*'Prod &amp; Defects - Qty'!R$6</f>
        <v>#N/A</v>
      </c>
      <c r="Q14" s="90" t="e">
        <f t="shared" si="1"/>
        <v>#N/A</v>
      </c>
      <c r="R14" s="90" t="e">
        <f>Q14/SUM('Prod &amp; Defects - Qty'!$G$6:$L$6)*1000000</f>
        <v>#N/A</v>
      </c>
      <c r="S14" s="90" t="e">
        <f t="shared" si="2"/>
        <v>#N/A</v>
      </c>
      <c r="T14" s="90" t="e">
        <f>S14/SUM('Prod &amp; Defects - Qty'!$M$6:$R$6)*1000000</f>
        <v>#N/A</v>
      </c>
      <c r="U14" s="90" t="e">
        <f t="shared" si="3"/>
        <v>#N/A</v>
      </c>
      <c r="V14" s="90" t="e">
        <f>U14/'Prod &amp; Defects - Qty'!$S$6*1000000</f>
        <v>#N/A</v>
      </c>
      <c r="W14" s="90" t="e">
        <f t="shared" si="0"/>
        <v>#N/A</v>
      </c>
      <c r="X14" s="90" t="e">
        <f t="shared" si="0"/>
        <v>#N/A</v>
      </c>
      <c r="Y14" s="90" t="e">
        <f t="shared" si="4"/>
        <v>#N/A</v>
      </c>
      <c r="Z14" s="90" t="e">
        <f t="shared" si="5"/>
        <v>#N/A</v>
      </c>
    </row>
    <row r="15" spans="1:27" ht="18" customHeight="1">
      <c r="A15" s="783"/>
      <c r="B15" s="88">
        <f t="shared" si="6"/>
        <v>3090</v>
      </c>
      <c r="C15" s="89" t="s">
        <v>83</v>
      </c>
      <c r="D15" s="369">
        <f>'[3]Falhas UM-3-1 Qty'!Z15</f>
        <v>119.23785422441036</v>
      </c>
      <c r="E15" s="379" t="e">
        <f>$D15/1000000*'Prod &amp; Defects - Qty'!G$6</f>
        <v>#N/A</v>
      </c>
      <c r="F15" s="379" t="e">
        <f>$D15/1000000*'Prod &amp; Defects - Qty'!H$6</f>
        <v>#N/A</v>
      </c>
      <c r="G15" s="379" t="e">
        <f>$D15/1000000*'Prod &amp; Defects - Qty'!I$6</f>
        <v>#N/A</v>
      </c>
      <c r="H15" s="379" t="e">
        <f>$D15/1000000*'Prod &amp; Defects - Qty'!J$6</f>
        <v>#N/A</v>
      </c>
      <c r="I15" s="379" t="e">
        <f>$D15/1000000*'Prod &amp; Defects - Qty'!K$6</f>
        <v>#N/A</v>
      </c>
      <c r="J15" s="379" t="e">
        <f>$D15/1000000*'Prod &amp; Defects - Qty'!L$6</f>
        <v>#N/A</v>
      </c>
      <c r="K15" s="379" t="e">
        <f>$D15/1000000*'Prod &amp; Defects - Qty'!M$6</f>
        <v>#N/A</v>
      </c>
      <c r="L15" s="379" t="e">
        <f>$D15/1000000*'Prod &amp; Defects - Qty'!N$6</f>
        <v>#N/A</v>
      </c>
      <c r="M15" s="379" t="e">
        <f>$D15/1000000*'Prod &amp; Defects - Qty'!O$6</f>
        <v>#N/A</v>
      </c>
      <c r="N15" s="379" t="e">
        <f>$D15/1000000*'Prod &amp; Defects - Qty'!P$6</f>
        <v>#N/A</v>
      </c>
      <c r="O15" s="379" t="e">
        <f>$D15/1000000*'Prod &amp; Defects - Qty'!Q$6</f>
        <v>#N/A</v>
      </c>
      <c r="P15" s="379" t="e">
        <f>$D15/1000000*'Prod &amp; Defects - Qty'!R$6</f>
        <v>#N/A</v>
      </c>
      <c r="Q15" s="90" t="e">
        <f t="shared" si="1"/>
        <v>#N/A</v>
      </c>
      <c r="R15" s="90" t="e">
        <f>Q15/SUM('Prod &amp; Defects - Qty'!$G$6:$L$6)*1000000</f>
        <v>#N/A</v>
      </c>
      <c r="S15" s="90" t="e">
        <f t="shared" si="2"/>
        <v>#N/A</v>
      </c>
      <c r="T15" s="90" t="e">
        <f>S15/SUM('Prod &amp; Defects - Qty'!$M$6:$R$6)*1000000</f>
        <v>#N/A</v>
      </c>
      <c r="U15" s="90" t="e">
        <f t="shared" si="3"/>
        <v>#N/A</v>
      </c>
      <c r="V15" s="90" t="e">
        <f>U15/'Prod &amp; Defects - Qty'!$S$6*1000000</f>
        <v>#N/A</v>
      </c>
      <c r="W15" s="90" t="e">
        <f t="shared" si="0"/>
        <v>#N/A</v>
      </c>
      <c r="X15" s="90" t="e">
        <f t="shared" si="0"/>
        <v>#N/A</v>
      </c>
      <c r="Y15" s="90" t="e">
        <f t="shared" si="4"/>
        <v>#N/A</v>
      </c>
      <c r="Z15" s="90" t="e">
        <f t="shared" si="5"/>
        <v>#N/A</v>
      </c>
    </row>
    <row r="16" spans="1:27" ht="18" customHeight="1">
      <c r="A16" s="783"/>
      <c r="B16" s="88">
        <f t="shared" si="6"/>
        <v>3100</v>
      </c>
      <c r="C16" s="96" t="s">
        <v>82</v>
      </c>
      <c r="D16" s="369">
        <f>'[3]Falhas UM-3-1 Qty'!Z16</f>
        <v>3513.8399722732065</v>
      </c>
      <c r="E16" s="379" t="e">
        <f>$D16/1000000*'Prod &amp; Defects - Qty'!G$6</f>
        <v>#N/A</v>
      </c>
      <c r="F16" s="379" t="e">
        <f>$D16/1000000*'Prod &amp; Defects - Qty'!H$6</f>
        <v>#N/A</v>
      </c>
      <c r="G16" s="379" t="e">
        <f>$D16/1000000*'Prod &amp; Defects - Qty'!I$6</f>
        <v>#N/A</v>
      </c>
      <c r="H16" s="379" t="e">
        <f>$D16/1000000*'Prod &amp; Defects - Qty'!J$6</f>
        <v>#N/A</v>
      </c>
      <c r="I16" s="379" t="e">
        <f>$D16/1000000*'Prod &amp; Defects - Qty'!K$6</f>
        <v>#N/A</v>
      </c>
      <c r="J16" s="379" t="e">
        <f>$D16/1000000*'Prod &amp; Defects - Qty'!L$6</f>
        <v>#N/A</v>
      </c>
      <c r="K16" s="379" t="e">
        <f>$D16/1000000*'Prod &amp; Defects - Qty'!M$6</f>
        <v>#N/A</v>
      </c>
      <c r="L16" s="379" t="e">
        <f>$D16/1000000*'Prod &amp; Defects - Qty'!N$6</f>
        <v>#N/A</v>
      </c>
      <c r="M16" s="379" t="e">
        <f>$D16/1000000*'Prod &amp; Defects - Qty'!O$6</f>
        <v>#N/A</v>
      </c>
      <c r="N16" s="379" t="e">
        <f>$D16/1000000*'Prod &amp; Defects - Qty'!P$6</f>
        <v>#N/A</v>
      </c>
      <c r="O16" s="379" t="e">
        <f>$D16/1000000*'Prod &amp; Defects - Qty'!Q$6</f>
        <v>#N/A</v>
      </c>
      <c r="P16" s="379" t="e">
        <f>$D16/1000000*'Prod &amp; Defects - Qty'!R$6</f>
        <v>#N/A</v>
      </c>
      <c r="Q16" s="90" t="e">
        <f t="shared" si="1"/>
        <v>#N/A</v>
      </c>
      <c r="R16" s="90" t="e">
        <f>Q16/SUM('Prod &amp; Defects - Qty'!$G$6:$L$6)*1000000</f>
        <v>#N/A</v>
      </c>
      <c r="S16" s="90" t="e">
        <f t="shared" si="2"/>
        <v>#N/A</v>
      </c>
      <c r="T16" s="90" t="e">
        <f>S16/SUM('Prod &amp; Defects - Qty'!$M$6:$R$6)*1000000</f>
        <v>#N/A</v>
      </c>
      <c r="U16" s="90" t="e">
        <f t="shared" si="3"/>
        <v>#N/A</v>
      </c>
      <c r="V16" s="90" t="e">
        <f>U16/'Prod &amp; Defects - Qty'!$S$6*1000000</f>
        <v>#N/A</v>
      </c>
      <c r="W16" s="90" t="e">
        <f t="shared" si="0"/>
        <v>#N/A</v>
      </c>
      <c r="X16" s="90" t="e">
        <f t="shared" si="0"/>
        <v>#N/A</v>
      </c>
      <c r="Y16" s="90" t="e">
        <f t="shared" si="4"/>
        <v>#N/A</v>
      </c>
      <c r="Z16" s="90" t="e">
        <f t="shared" si="5"/>
        <v>#N/A</v>
      </c>
    </row>
    <row r="17" spans="1:26" ht="18" customHeight="1">
      <c r="A17" s="783"/>
      <c r="B17" s="88">
        <f t="shared" si="6"/>
        <v>3110</v>
      </c>
      <c r="C17" s="96" t="s">
        <v>81</v>
      </c>
      <c r="D17" s="370">
        <f>'[3]Falhas UM-3-1 Qty'!Z17</f>
        <v>8.3997950066061193</v>
      </c>
      <c r="E17" s="380" t="e">
        <f>$D17/1000000*'Prod &amp; Defects - Qty'!G$6</f>
        <v>#N/A</v>
      </c>
      <c r="F17" s="380" t="e">
        <f>$D17/1000000*'Prod &amp; Defects - Qty'!H$6</f>
        <v>#N/A</v>
      </c>
      <c r="G17" s="380" t="e">
        <f>$D17/1000000*'Prod &amp; Defects - Qty'!I$6</f>
        <v>#N/A</v>
      </c>
      <c r="H17" s="380" t="e">
        <f>$D17/1000000*'Prod &amp; Defects - Qty'!J$6</f>
        <v>#N/A</v>
      </c>
      <c r="I17" s="380" t="e">
        <f>$D17/1000000*'Prod &amp; Defects - Qty'!K$6</f>
        <v>#N/A</v>
      </c>
      <c r="J17" s="380" t="e">
        <f>$D17/1000000*'Prod &amp; Defects - Qty'!L$6</f>
        <v>#N/A</v>
      </c>
      <c r="K17" s="380" t="e">
        <f>$D17/1000000*'Prod &amp; Defects - Qty'!M$6</f>
        <v>#N/A</v>
      </c>
      <c r="L17" s="380" t="e">
        <f>$D17/1000000*'Prod &amp; Defects - Qty'!N$6</f>
        <v>#N/A</v>
      </c>
      <c r="M17" s="380" t="e">
        <f>$D17/1000000*'Prod &amp; Defects - Qty'!O$6</f>
        <v>#N/A</v>
      </c>
      <c r="N17" s="380" t="e">
        <f>$D17/1000000*'Prod &amp; Defects - Qty'!P$6</f>
        <v>#N/A</v>
      </c>
      <c r="O17" s="380" t="e">
        <f>$D17/1000000*'Prod &amp; Defects - Qty'!Q$6</f>
        <v>#N/A</v>
      </c>
      <c r="P17" s="380" t="e">
        <f>$D17/1000000*'Prod &amp; Defects - Qty'!R$6</f>
        <v>#N/A</v>
      </c>
      <c r="Q17" s="101" t="e">
        <f t="shared" si="1"/>
        <v>#N/A</v>
      </c>
      <c r="R17" s="101" t="e">
        <f>Q17/SUM('Prod &amp; Defects - Qty'!$G$6:$L$6)*1000000</f>
        <v>#N/A</v>
      </c>
      <c r="S17" s="101" t="e">
        <f t="shared" si="2"/>
        <v>#N/A</v>
      </c>
      <c r="T17" s="101" t="e">
        <f>S17/SUM('Prod &amp; Defects - Qty'!$M$6:$R$6)*1000000</f>
        <v>#N/A</v>
      </c>
      <c r="U17" s="101" t="e">
        <f t="shared" si="3"/>
        <v>#N/A</v>
      </c>
      <c r="V17" s="101" t="e">
        <f>U17/'Prod &amp; Defects - Qty'!$S$6*1000000</f>
        <v>#N/A</v>
      </c>
      <c r="W17" s="101" t="e">
        <f t="shared" si="0"/>
        <v>#N/A</v>
      </c>
      <c r="X17" s="101" t="e">
        <f t="shared" si="0"/>
        <v>#N/A</v>
      </c>
      <c r="Y17" s="101" t="e">
        <f t="shared" si="4"/>
        <v>#N/A</v>
      </c>
      <c r="Z17" s="101" t="e">
        <f t="shared" si="5"/>
        <v>#N/A</v>
      </c>
    </row>
    <row r="18" spans="1:26" ht="18" customHeight="1">
      <c r="A18" s="783"/>
      <c r="B18" s="88">
        <f t="shared" si="6"/>
        <v>3120</v>
      </c>
      <c r="C18" s="96" t="s">
        <v>80</v>
      </c>
      <c r="D18" s="371">
        <f>'[3]Falhas UM-3-1 Qty'!Z18</f>
        <v>4.5073011401083347</v>
      </c>
      <c r="E18" s="381" t="e">
        <f>$D18/1000000*'Prod &amp; Defects - Qty'!G$6</f>
        <v>#N/A</v>
      </c>
      <c r="F18" s="381" t="e">
        <f>$D18/1000000*'Prod &amp; Defects - Qty'!H$6</f>
        <v>#N/A</v>
      </c>
      <c r="G18" s="381" t="e">
        <f>$D18/1000000*'Prod &amp; Defects - Qty'!I$6</f>
        <v>#N/A</v>
      </c>
      <c r="H18" s="381" t="e">
        <f>$D18/1000000*'Prod &amp; Defects - Qty'!J$6</f>
        <v>#N/A</v>
      </c>
      <c r="I18" s="381" t="e">
        <f>$D18/1000000*'Prod &amp; Defects - Qty'!K$6</f>
        <v>#N/A</v>
      </c>
      <c r="J18" s="381" t="e">
        <f>$D18/1000000*'Prod &amp; Defects - Qty'!L$6</f>
        <v>#N/A</v>
      </c>
      <c r="K18" s="381" t="e">
        <f>$D18/1000000*'Prod &amp; Defects - Qty'!M$6</f>
        <v>#N/A</v>
      </c>
      <c r="L18" s="381" t="e">
        <f>$D18/1000000*'Prod &amp; Defects - Qty'!N$6</f>
        <v>#N/A</v>
      </c>
      <c r="M18" s="381" t="e">
        <f>$D18/1000000*'Prod &amp; Defects - Qty'!O$6</f>
        <v>#N/A</v>
      </c>
      <c r="N18" s="381" t="e">
        <f>$D18/1000000*'Prod &amp; Defects - Qty'!P$6</f>
        <v>#N/A</v>
      </c>
      <c r="O18" s="381" t="e">
        <f>$D18/1000000*'Prod &amp; Defects - Qty'!Q$6</f>
        <v>#N/A</v>
      </c>
      <c r="P18" s="381" t="e">
        <f>$D18/1000000*'Prod &amp; Defects - Qty'!R$6</f>
        <v>#N/A</v>
      </c>
      <c r="Q18" s="100" t="e">
        <f t="shared" si="1"/>
        <v>#N/A</v>
      </c>
      <c r="R18" s="100" t="e">
        <f>Q18/SUM('Prod &amp; Defects - Qty'!$G$6:$L$6)*1000000</f>
        <v>#N/A</v>
      </c>
      <c r="S18" s="100" t="e">
        <f t="shared" si="2"/>
        <v>#N/A</v>
      </c>
      <c r="T18" s="100" t="e">
        <f>S18/SUM('Prod &amp; Defects - Qty'!$M$6:$R$6)*1000000</f>
        <v>#N/A</v>
      </c>
      <c r="U18" s="100" t="e">
        <f t="shared" si="3"/>
        <v>#N/A</v>
      </c>
      <c r="V18" s="100" t="e">
        <f>U18/'Prod &amp; Defects - Qty'!$S$6*1000000</f>
        <v>#N/A</v>
      </c>
      <c r="W18" s="100" t="e">
        <f t="shared" si="0"/>
        <v>#N/A</v>
      </c>
      <c r="X18" s="100" t="e">
        <f t="shared" si="0"/>
        <v>#N/A</v>
      </c>
      <c r="Y18" s="100" t="e">
        <f t="shared" si="4"/>
        <v>#N/A</v>
      </c>
      <c r="Z18" s="100" t="e">
        <f t="shared" si="5"/>
        <v>#N/A</v>
      </c>
    </row>
    <row r="19" spans="1:26" ht="18" customHeight="1" thickBot="1">
      <c r="A19" s="783"/>
      <c r="B19" s="91"/>
      <c r="C19" s="92" t="s">
        <v>1</v>
      </c>
      <c r="D19" s="372">
        <f>'[3]Falhas UM-3-1 Qty'!Z19</f>
        <v>1123.7286298494539</v>
      </c>
      <c r="E19" s="382" t="e">
        <f>SUM(E7:E15,E17:E18)</f>
        <v>#N/A</v>
      </c>
      <c r="F19" s="382" t="e">
        <f t="shared" ref="F19:P19" si="7">SUM(F7:F15,F17:F18)</f>
        <v>#N/A</v>
      </c>
      <c r="G19" s="382" t="e">
        <f t="shared" si="7"/>
        <v>#N/A</v>
      </c>
      <c r="H19" s="382" t="e">
        <f t="shared" si="7"/>
        <v>#N/A</v>
      </c>
      <c r="I19" s="382" t="e">
        <f t="shared" si="7"/>
        <v>#N/A</v>
      </c>
      <c r="J19" s="382" t="e">
        <f t="shared" si="7"/>
        <v>#N/A</v>
      </c>
      <c r="K19" s="382" t="e">
        <f t="shared" si="7"/>
        <v>#N/A</v>
      </c>
      <c r="L19" s="382" t="e">
        <f t="shared" si="7"/>
        <v>#N/A</v>
      </c>
      <c r="M19" s="382" t="e">
        <f t="shared" si="7"/>
        <v>#N/A</v>
      </c>
      <c r="N19" s="382" t="e">
        <f t="shared" si="7"/>
        <v>#N/A</v>
      </c>
      <c r="O19" s="382" t="e">
        <f t="shared" si="7"/>
        <v>#N/A</v>
      </c>
      <c r="P19" s="382" t="e">
        <f t="shared" si="7"/>
        <v>#N/A</v>
      </c>
      <c r="Q19" s="93" t="e">
        <f t="shared" si="1"/>
        <v>#N/A</v>
      </c>
      <c r="R19" s="93" t="e">
        <f>Q19/SUM('Prod &amp; Defects - Qty'!$G$6:$L$6)*1000000</f>
        <v>#N/A</v>
      </c>
      <c r="S19" s="93" t="e">
        <f t="shared" si="2"/>
        <v>#N/A</v>
      </c>
      <c r="T19" s="93" t="e">
        <f>S19/SUM('Prod &amp; Defects - Qty'!$M$6:$R$6)*1000000</f>
        <v>#N/A</v>
      </c>
      <c r="U19" s="93" t="e">
        <f t="shared" si="3"/>
        <v>#N/A</v>
      </c>
      <c r="V19" s="93" t="e">
        <f>U19/'Prod &amp; Defects - Qty'!$S$6*1000000</f>
        <v>#N/A</v>
      </c>
      <c r="W19" s="93" t="e">
        <f t="shared" si="0"/>
        <v>#N/A</v>
      </c>
      <c r="X19" s="93" t="e">
        <f t="shared" si="0"/>
        <v>#N/A</v>
      </c>
      <c r="Y19" s="93" t="e">
        <f t="shared" si="4"/>
        <v>#N/A</v>
      </c>
      <c r="Z19" s="93" t="e">
        <f>SUM(Z7:Z15)</f>
        <v>#N/A</v>
      </c>
    </row>
    <row r="20" spans="1:26" ht="18" customHeight="1" thickTop="1">
      <c r="A20" s="783"/>
      <c r="B20" s="88">
        <v>3130</v>
      </c>
      <c r="C20" s="89" t="s">
        <v>117</v>
      </c>
      <c r="D20" s="369">
        <f>'[3]Falhas UM-3-1 Qty'!Z20</f>
        <v>23.340813285105408</v>
      </c>
      <c r="E20" s="379" t="e">
        <f>$D20/1000000*'Prod &amp; Defects - Qty'!G$6</f>
        <v>#N/A</v>
      </c>
      <c r="F20" s="379" t="e">
        <f>$D20/1000000*'Prod &amp; Defects - Qty'!H$6</f>
        <v>#N/A</v>
      </c>
      <c r="G20" s="379" t="e">
        <f>$D20/1000000*'Prod &amp; Defects - Qty'!I$6</f>
        <v>#N/A</v>
      </c>
      <c r="H20" s="379" t="e">
        <f>$D20/1000000*'Prod &amp; Defects - Qty'!J$6</f>
        <v>#N/A</v>
      </c>
      <c r="I20" s="379" t="e">
        <f>$D20/1000000*'Prod &amp; Defects - Qty'!K$6</f>
        <v>#N/A</v>
      </c>
      <c r="J20" s="379" t="e">
        <f>$D20/1000000*'Prod &amp; Defects - Qty'!L$6</f>
        <v>#N/A</v>
      </c>
      <c r="K20" s="379" t="e">
        <f>$D20/1000000*'Prod &amp; Defects - Qty'!M$6</f>
        <v>#N/A</v>
      </c>
      <c r="L20" s="379" t="e">
        <f>$D20/1000000*'Prod &amp; Defects - Qty'!N$6</f>
        <v>#N/A</v>
      </c>
      <c r="M20" s="379" t="e">
        <f>$D20/1000000*'Prod &amp; Defects - Qty'!O$6</f>
        <v>#N/A</v>
      </c>
      <c r="N20" s="379" t="e">
        <f>$D20/1000000*'Prod &amp; Defects - Qty'!P$6</f>
        <v>#N/A</v>
      </c>
      <c r="O20" s="379" t="e">
        <f>$D20/1000000*'Prod &amp; Defects - Qty'!Q$6</f>
        <v>#N/A</v>
      </c>
      <c r="P20" s="379" t="e">
        <f>$D20/1000000*'Prod &amp; Defects - Qty'!R$6</f>
        <v>#N/A</v>
      </c>
      <c r="Q20" s="90" t="e">
        <f t="shared" si="1"/>
        <v>#N/A</v>
      </c>
      <c r="R20" s="90" t="e">
        <f>Q20/SUM('Prod &amp; Defects - Qty'!$G$6:$L$6)*1000000</f>
        <v>#N/A</v>
      </c>
      <c r="S20" s="90" t="e">
        <f t="shared" si="2"/>
        <v>#N/A</v>
      </c>
      <c r="T20" s="90" t="e">
        <f>S20/SUM('Prod &amp; Defects - Qty'!$M$6:$R$6)*1000000</f>
        <v>#N/A</v>
      </c>
      <c r="U20" s="90" t="e">
        <f t="shared" si="3"/>
        <v>#N/A</v>
      </c>
      <c r="V20" s="90" t="e">
        <f>U20/'Prod &amp; Defects - Qty'!$S$6*1000000</f>
        <v>#N/A</v>
      </c>
      <c r="W20" s="90" t="e">
        <f t="shared" si="0"/>
        <v>#N/A</v>
      </c>
      <c r="X20" s="90" t="e">
        <f t="shared" si="0"/>
        <v>#N/A</v>
      </c>
      <c r="Y20" s="90" t="e">
        <f t="shared" si="4"/>
        <v>#N/A</v>
      </c>
      <c r="Z20" s="90" t="e">
        <f t="shared" ref="Z20:Z36" si="8">Y20*$AA$7</f>
        <v>#N/A</v>
      </c>
    </row>
    <row r="21" spans="1:26" ht="18" customHeight="1">
      <c r="A21" s="783"/>
      <c r="B21" s="88">
        <v>3135</v>
      </c>
      <c r="C21" s="96" t="s">
        <v>118</v>
      </c>
      <c r="D21" s="369">
        <f>'[3]Falhas UM-3-1 Qty'!Z21</f>
        <v>15.755720942169269</v>
      </c>
      <c r="E21" s="379" t="e">
        <f>$D21/1000000*'Prod &amp; Defects - Qty'!G$6</f>
        <v>#N/A</v>
      </c>
      <c r="F21" s="379" t="e">
        <f>$D21/1000000*'Prod &amp; Defects - Qty'!H$6</f>
        <v>#N/A</v>
      </c>
      <c r="G21" s="379" t="e">
        <f>$D21/1000000*'Prod &amp; Defects - Qty'!I$6</f>
        <v>#N/A</v>
      </c>
      <c r="H21" s="379" t="e">
        <f>$D21/1000000*'Prod &amp; Defects - Qty'!J$6</f>
        <v>#N/A</v>
      </c>
      <c r="I21" s="379" t="e">
        <f>$D21/1000000*'Prod &amp; Defects - Qty'!K$6</f>
        <v>#N/A</v>
      </c>
      <c r="J21" s="379" t="e">
        <f>$D21/1000000*'Prod &amp; Defects - Qty'!L$6</f>
        <v>#N/A</v>
      </c>
      <c r="K21" s="379" t="e">
        <f>$D21/1000000*'Prod &amp; Defects - Qty'!M$6</f>
        <v>#N/A</v>
      </c>
      <c r="L21" s="379" t="e">
        <f>$D21/1000000*'Prod &amp; Defects - Qty'!N$6</f>
        <v>#N/A</v>
      </c>
      <c r="M21" s="379" t="e">
        <f>$D21/1000000*'Prod &amp; Defects - Qty'!O$6</f>
        <v>#N/A</v>
      </c>
      <c r="N21" s="379" t="e">
        <f>$D21/1000000*'Prod &amp; Defects - Qty'!P$6</f>
        <v>#N/A</v>
      </c>
      <c r="O21" s="379" t="e">
        <f>$D21/1000000*'Prod &amp; Defects - Qty'!Q$6</f>
        <v>#N/A</v>
      </c>
      <c r="P21" s="379" t="e">
        <f>$D21/1000000*'Prod &amp; Defects - Qty'!R$6</f>
        <v>#N/A</v>
      </c>
      <c r="Q21" s="90" t="e">
        <f t="shared" si="1"/>
        <v>#N/A</v>
      </c>
      <c r="R21" s="90" t="e">
        <f>Q21/SUM('Prod &amp; Defects - Qty'!$G$6:$L$6)*1000000</f>
        <v>#N/A</v>
      </c>
      <c r="S21" s="90" t="e">
        <f t="shared" si="2"/>
        <v>#N/A</v>
      </c>
      <c r="T21" s="90" t="e">
        <f>S21/SUM('Prod &amp; Defects - Qty'!$M$6:$R$6)*1000000</f>
        <v>#N/A</v>
      </c>
      <c r="U21" s="90" t="e">
        <f t="shared" si="3"/>
        <v>#N/A</v>
      </c>
      <c r="V21" s="90" t="e">
        <f>U21/'Prod &amp; Defects - Qty'!$S$6*1000000</f>
        <v>#N/A</v>
      </c>
      <c r="W21" s="90" t="e">
        <f t="shared" si="0"/>
        <v>#N/A</v>
      </c>
      <c r="X21" s="90" t="e">
        <f t="shared" si="0"/>
        <v>#N/A</v>
      </c>
      <c r="Y21" s="90" t="e">
        <f t="shared" si="4"/>
        <v>#N/A</v>
      </c>
      <c r="Z21" s="90" t="e">
        <f t="shared" si="8"/>
        <v>#N/A</v>
      </c>
    </row>
    <row r="22" spans="1:26" ht="18" customHeight="1">
      <c r="A22" s="783"/>
      <c r="B22" s="88">
        <v>3140</v>
      </c>
      <c r="C22" s="96" t="s">
        <v>119</v>
      </c>
      <c r="D22" s="369">
        <f>'[3]Falhas UM-3-1 Qty'!Z22</f>
        <v>3.4617926488724855</v>
      </c>
      <c r="E22" s="379" t="e">
        <f>$D22/1000000*'Prod &amp; Defects - Qty'!G$6</f>
        <v>#N/A</v>
      </c>
      <c r="F22" s="379" t="e">
        <f>$D22/1000000*'Prod &amp; Defects - Qty'!H$6</f>
        <v>#N/A</v>
      </c>
      <c r="G22" s="379" t="e">
        <f>$D22/1000000*'Prod &amp; Defects - Qty'!I$6</f>
        <v>#N/A</v>
      </c>
      <c r="H22" s="379" t="e">
        <f>$D22/1000000*'Prod &amp; Defects - Qty'!J$6</f>
        <v>#N/A</v>
      </c>
      <c r="I22" s="379" t="e">
        <f>$D22/1000000*'Prod &amp; Defects - Qty'!K$6</f>
        <v>#N/A</v>
      </c>
      <c r="J22" s="379" t="e">
        <f>$D22/1000000*'Prod &amp; Defects - Qty'!L$6</f>
        <v>#N/A</v>
      </c>
      <c r="K22" s="379" t="e">
        <f>$D22/1000000*'Prod &amp; Defects - Qty'!M$6</f>
        <v>#N/A</v>
      </c>
      <c r="L22" s="379" t="e">
        <f>$D22/1000000*'Prod &amp; Defects - Qty'!N$6</f>
        <v>#N/A</v>
      </c>
      <c r="M22" s="379" t="e">
        <f>$D22/1000000*'Prod &amp; Defects - Qty'!O$6</f>
        <v>#N/A</v>
      </c>
      <c r="N22" s="379" t="e">
        <f>$D22/1000000*'Prod &amp; Defects - Qty'!P$6</f>
        <v>#N/A</v>
      </c>
      <c r="O22" s="379" t="e">
        <f>$D22/1000000*'Prod &amp; Defects - Qty'!Q$6</f>
        <v>#N/A</v>
      </c>
      <c r="P22" s="379" t="e">
        <f>$D22/1000000*'Prod &amp; Defects - Qty'!R$6</f>
        <v>#N/A</v>
      </c>
      <c r="Q22" s="90" t="e">
        <f t="shared" si="1"/>
        <v>#N/A</v>
      </c>
      <c r="R22" s="90" t="e">
        <f>Q22/SUM('Prod &amp; Defects - Qty'!$G$6:$L$6)*1000000</f>
        <v>#N/A</v>
      </c>
      <c r="S22" s="90" t="e">
        <f t="shared" si="2"/>
        <v>#N/A</v>
      </c>
      <c r="T22" s="90" t="e">
        <f>S22/SUM('Prod &amp; Defects - Qty'!$M$6:$R$6)*1000000</f>
        <v>#N/A</v>
      </c>
      <c r="U22" s="90" t="e">
        <f t="shared" si="3"/>
        <v>#N/A</v>
      </c>
      <c r="V22" s="90" t="e">
        <f>U22/'Prod &amp; Defects - Qty'!$S$6*1000000</f>
        <v>#N/A</v>
      </c>
      <c r="W22" s="90" t="e">
        <f t="shared" si="0"/>
        <v>#N/A</v>
      </c>
      <c r="X22" s="90" t="e">
        <f t="shared" si="0"/>
        <v>#N/A</v>
      </c>
      <c r="Y22" s="90" t="e">
        <f t="shared" si="4"/>
        <v>#N/A</v>
      </c>
      <c r="Z22" s="90" t="e">
        <f t="shared" si="8"/>
        <v>#N/A</v>
      </c>
    </row>
    <row r="23" spans="1:26" ht="18" customHeight="1">
      <c r="A23" s="783"/>
      <c r="B23" s="88">
        <f>B22+5</f>
        <v>3145</v>
      </c>
      <c r="C23" s="96" t="s">
        <v>120</v>
      </c>
      <c r="D23" s="369">
        <f>'[3]Falhas UM-3-1 Qty'!Z23</f>
        <v>27.351071870025176</v>
      </c>
      <c r="E23" s="379" t="e">
        <f>$D23/1000000*'Prod &amp; Defects - Qty'!G$6</f>
        <v>#N/A</v>
      </c>
      <c r="F23" s="379" t="e">
        <f>$D23/1000000*'Prod &amp; Defects - Qty'!H$6</f>
        <v>#N/A</v>
      </c>
      <c r="G23" s="379" t="e">
        <f>$D23/1000000*'Prod &amp; Defects - Qty'!I$6</f>
        <v>#N/A</v>
      </c>
      <c r="H23" s="379" t="e">
        <f>$D23/1000000*'Prod &amp; Defects - Qty'!J$6</f>
        <v>#N/A</v>
      </c>
      <c r="I23" s="379" t="e">
        <f>$D23/1000000*'Prod &amp; Defects - Qty'!K$6</f>
        <v>#N/A</v>
      </c>
      <c r="J23" s="379" t="e">
        <f>$D23/1000000*'Prod &amp; Defects - Qty'!L$6</f>
        <v>#N/A</v>
      </c>
      <c r="K23" s="379" t="e">
        <f>$D23/1000000*'Prod &amp; Defects - Qty'!M$6</f>
        <v>#N/A</v>
      </c>
      <c r="L23" s="379" t="e">
        <f>$D23/1000000*'Prod &amp; Defects - Qty'!N$6</f>
        <v>#N/A</v>
      </c>
      <c r="M23" s="379" t="e">
        <f>$D23/1000000*'Prod &amp; Defects - Qty'!O$6</f>
        <v>#N/A</v>
      </c>
      <c r="N23" s="379" t="e">
        <f>$D23/1000000*'Prod &amp; Defects - Qty'!P$6</f>
        <v>#N/A</v>
      </c>
      <c r="O23" s="379" t="e">
        <f>$D23/1000000*'Prod &amp; Defects - Qty'!Q$6</f>
        <v>#N/A</v>
      </c>
      <c r="P23" s="379" t="e">
        <f>$D23/1000000*'Prod &amp; Defects - Qty'!R$6</f>
        <v>#N/A</v>
      </c>
      <c r="Q23" s="90" t="e">
        <f t="shared" si="1"/>
        <v>#N/A</v>
      </c>
      <c r="R23" s="90" t="e">
        <f>Q23/SUM('Prod &amp; Defects - Qty'!$G$6:$L$6)*1000000</f>
        <v>#N/A</v>
      </c>
      <c r="S23" s="90" t="e">
        <f t="shared" si="2"/>
        <v>#N/A</v>
      </c>
      <c r="T23" s="90" t="e">
        <f>S23/SUM('Prod &amp; Defects - Qty'!$M$6:$R$6)*1000000</f>
        <v>#N/A</v>
      </c>
      <c r="U23" s="90" t="e">
        <f t="shared" si="3"/>
        <v>#N/A</v>
      </c>
      <c r="V23" s="90" t="e">
        <f>U23/'Prod &amp; Defects - Qty'!$S$6*1000000</f>
        <v>#N/A</v>
      </c>
      <c r="W23" s="90" t="e">
        <f t="shared" si="0"/>
        <v>#N/A</v>
      </c>
      <c r="X23" s="90" t="e">
        <f t="shared" si="0"/>
        <v>#N/A</v>
      </c>
      <c r="Y23" s="90" t="e">
        <f t="shared" si="4"/>
        <v>#N/A</v>
      </c>
      <c r="Z23" s="90" t="e">
        <f t="shared" si="8"/>
        <v>#N/A</v>
      </c>
    </row>
    <row r="24" spans="1:26" ht="18" customHeight="1">
      <c r="A24" s="783"/>
      <c r="B24" s="209">
        <f t="shared" ref="B24:B36" si="9">B23+5</f>
        <v>3150</v>
      </c>
      <c r="C24" s="97" t="s">
        <v>121</v>
      </c>
      <c r="D24" s="373">
        <f>'[3]Falhas UM-3-1 Qty'!Z24</f>
        <v>5.3988685396115139</v>
      </c>
      <c r="E24" s="383" t="e">
        <f>$D24/1000000*'Prod &amp; Defects - Qty'!G$6</f>
        <v>#N/A</v>
      </c>
      <c r="F24" s="383" t="e">
        <f>$D24/1000000*'Prod &amp; Defects - Qty'!H$6</f>
        <v>#N/A</v>
      </c>
      <c r="G24" s="383" t="e">
        <f>$D24/1000000*'Prod &amp; Defects - Qty'!I$6</f>
        <v>#N/A</v>
      </c>
      <c r="H24" s="383" t="e">
        <f>$D24/1000000*'Prod &amp; Defects - Qty'!J$6</f>
        <v>#N/A</v>
      </c>
      <c r="I24" s="383" t="e">
        <f>$D24/1000000*'Prod &amp; Defects - Qty'!K$6</f>
        <v>#N/A</v>
      </c>
      <c r="J24" s="383" t="e">
        <f>$D24/1000000*'Prod &amp; Defects - Qty'!L$6</f>
        <v>#N/A</v>
      </c>
      <c r="K24" s="383" t="e">
        <f>$D24/1000000*'Prod &amp; Defects - Qty'!M$6</f>
        <v>#N/A</v>
      </c>
      <c r="L24" s="383" t="e">
        <f>$D24/1000000*'Prod &amp; Defects - Qty'!N$6</f>
        <v>#N/A</v>
      </c>
      <c r="M24" s="383" t="e">
        <f>$D24/1000000*'Prod &amp; Defects - Qty'!O$6</f>
        <v>#N/A</v>
      </c>
      <c r="N24" s="383" t="e">
        <f>$D24/1000000*'Prod &amp; Defects - Qty'!P$6</f>
        <v>#N/A</v>
      </c>
      <c r="O24" s="383" t="e">
        <f>$D24/1000000*'Prod &amp; Defects - Qty'!Q$6</f>
        <v>#N/A</v>
      </c>
      <c r="P24" s="383" t="e">
        <f>$D24/1000000*'Prod &amp; Defects - Qty'!R$6</f>
        <v>#N/A</v>
      </c>
      <c r="Q24" s="98" t="e">
        <f t="shared" si="1"/>
        <v>#N/A</v>
      </c>
      <c r="R24" s="98" t="e">
        <f>Q24/SUM('Prod &amp; Defects - Qty'!$G$6:$L$6)*1000000</f>
        <v>#N/A</v>
      </c>
      <c r="S24" s="98" t="e">
        <f t="shared" si="2"/>
        <v>#N/A</v>
      </c>
      <c r="T24" s="98" t="e">
        <f>S24/SUM('Prod &amp; Defects - Qty'!$M$6:$R$6)*1000000</f>
        <v>#N/A</v>
      </c>
      <c r="U24" s="98" t="e">
        <f t="shared" si="3"/>
        <v>#N/A</v>
      </c>
      <c r="V24" s="98" t="e">
        <f>U24/'Prod &amp; Defects - Qty'!$S$6*1000000</f>
        <v>#N/A</v>
      </c>
      <c r="W24" s="98" t="e">
        <f t="shared" si="0"/>
        <v>#N/A</v>
      </c>
      <c r="X24" s="98" t="e">
        <f t="shared" si="0"/>
        <v>#N/A</v>
      </c>
      <c r="Y24" s="98" t="e">
        <f t="shared" si="4"/>
        <v>#N/A</v>
      </c>
      <c r="Z24" s="98" t="e">
        <f t="shared" si="8"/>
        <v>#N/A</v>
      </c>
    </row>
    <row r="25" spans="1:26" ht="18" customHeight="1">
      <c r="A25" s="783"/>
      <c r="B25" s="88">
        <f t="shared" si="9"/>
        <v>3155</v>
      </c>
      <c r="C25" s="89" t="s">
        <v>124</v>
      </c>
      <c r="D25" s="369">
        <f>'[3]Falhas UM-3-1 Qty'!Z25</f>
        <v>10.086568371690223</v>
      </c>
      <c r="E25" s="379" t="e">
        <f>$D25/1000000*'Prod &amp; Defects - Qty'!G$6</f>
        <v>#N/A</v>
      </c>
      <c r="F25" s="379" t="e">
        <f>$D25/1000000*'Prod &amp; Defects - Qty'!H$6</f>
        <v>#N/A</v>
      </c>
      <c r="G25" s="379" t="e">
        <f>$D25/1000000*'Prod &amp; Defects - Qty'!I$6</f>
        <v>#N/A</v>
      </c>
      <c r="H25" s="379" t="e">
        <f>$D25/1000000*'Prod &amp; Defects - Qty'!J$6</f>
        <v>#N/A</v>
      </c>
      <c r="I25" s="379" t="e">
        <f>$D25/1000000*'Prod &amp; Defects - Qty'!K$6</f>
        <v>#N/A</v>
      </c>
      <c r="J25" s="379" t="e">
        <f>$D25/1000000*'Prod &amp; Defects - Qty'!L$6</f>
        <v>#N/A</v>
      </c>
      <c r="K25" s="379" t="e">
        <f>$D25/1000000*'Prod &amp; Defects - Qty'!M$6</f>
        <v>#N/A</v>
      </c>
      <c r="L25" s="379" t="e">
        <f>$D25/1000000*'Prod &amp; Defects - Qty'!N$6</f>
        <v>#N/A</v>
      </c>
      <c r="M25" s="379" t="e">
        <f>$D25/1000000*'Prod &amp; Defects - Qty'!O$6</f>
        <v>#N/A</v>
      </c>
      <c r="N25" s="379" t="e">
        <f>$D25/1000000*'Prod &amp; Defects - Qty'!P$6</f>
        <v>#N/A</v>
      </c>
      <c r="O25" s="379" t="e">
        <f>$D25/1000000*'Prod &amp; Defects - Qty'!Q$6</f>
        <v>#N/A</v>
      </c>
      <c r="P25" s="379" t="e">
        <f>$D25/1000000*'Prod &amp; Defects - Qty'!R$6</f>
        <v>#N/A</v>
      </c>
      <c r="Q25" s="90" t="e">
        <f t="shared" si="1"/>
        <v>#N/A</v>
      </c>
      <c r="R25" s="90" t="e">
        <f>Q25/SUM('Prod &amp; Defects - Qty'!$G$6:$L$6)*1000000</f>
        <v>#N/A</v>
      </c>
      <c r="S25" s="90" t="e">
        <f t="shared" si="2"/>
        <v>#N/A</v>
      </c>
      <c r="T25" s="90" t="e">
        <f>S25/SUM('Prod &amp; Defects - Qty'!$M$6:$R$6)*1000000</f>
        <v>#N/A</v>
      </c>
      <c r="U25" s="90" t="e">
        <f t="shared" si="3"/>
        <v>#N/A</v>
      </c>
      <c r="V25" s="90" t="e">
        <f>U25/'Prod &amp; Defects - Qty'!$S$6*1000000</f>
        <v>#N/A</v>
      </c>
      <c r="W25" s="90" t="e">
        <f t="shared" si="0"/>
        <v>#N/A</v>
      </c>
      <c r="X25" s="90" t="e">
        <f t="shared" si="0"/>
        <v>#N/A</v>
      </c>
      <c r="Y25" s="90" t="e">
        <f t="shared" si="4"/>
        <v>#N/A</v>
      </c>
      <c r="Z25" s="90" t="e">
        <f t="shared" si="8"/>
        <v>#N/A</v>
      </c>
    </row>
    <row r="26" spans="1:26" ht="18" customHeight="1">
      <c r="A26" s="783"/>
      <c r="B26" s="88">
        <f t="shared" si="9"/>
        <v>3160</v>
      </c>
      <c r="C26" s="96" t="s">
        <v>135</v>
      </c>
      <c r="D26" s="369">
        <f>'[3]Falhas UM-3-1 Qty'!Z26</f>
        <v>11.543128159516954</v>
      </c>
      <c r="E26" s="379" t="e">
        <f>$D26/1000000*'Prod &amp; Defects - Qty'!G$6</f>
        <v>#N/A</v>
      </c>
      <c r="F26" s="379" t="e">
        <f>$D26/1000000*'Prod &amp; Defects - Qty'!H$6</f>
        <v>#N/A</v>
      </c>
      <c r="G26" s="379" t="e">
        <f>$D26/1000000*'Prod &amp; Defects - Qty'!I$6</f>
        <v>#N/A</v>
      </c>
      <c r="H26" s="379" t="e">
        <f>$D26/1000000*'Prod &amp; Defects - Qty'!J$6</f>
        <v>#N/A</v>
      </c>
      <c r="I26" s="379" t="e">
        <f>$D26/1000000*'Prod &amp; Defects - Qty'!K$6</f>
        <v>#N/A</v>
      </c>
      <c r="J26" s="379" t="e">
        <f>$D26/1000000*'Prod &amp; Defects - Qty'!L$6</f>
        <v>#N/A</v>
      </c>
      <c r="K26" s="379" t="e">
        <f>$D26/1000000*'Prod &amp; Defects - Qty'!M$6</f>
        <v>#N/A</v>
      </c>
      <c r="L26" s="379" t="e">
        <f>$D26/1000000*'Prod &amp; Defects - Qty'!N$6</f>
        <v>#N/A</v>
      </c>
      <c r="M26" s="379" t="e">
        <f>$D26/1000000*'Prod &amp; Defects - Qty'!O$6</f>
        <v>#N/A</v>
      </c>
      <c r="N26" s="379" t="e">
        <f>$D26/1000000*'Prod &amp; Defects - Qty'!P$6</f>
        <v>#N/A</v>
      </c>
      <c r="O26" s="379" t="e">
        <f>$D26/1000000*'Prod &amp; Defects - Qty'!Q$6</f>
        <v>#N/A</v>
      </c>
      <c r="P26" s="379" t="e">
        <f>$D26/1000000*'Prod &amp; Defects - Qty'!R$6</f>
        <v>#N/A</v>
      </c>
      <c r="Q26" s="90" t="e">
        <f t="shared" si="1"/>
        <v>#N/A</v>
      </c>
      <c r="R26" s="90" t="e">
        <f>Q26/SUM('Prod &amp; Defects - Qty'!$G$6:$L$6)*1000000</f>
        <v>#N/A</v>
      </c>
      <c r="S26" s="90" t="e">
        <f t="shared" si="2"/>
        <v>#N/A</v>
      </c>
      <c r="T26" s="90" t="e">
        <f>S26/SUM('Prod &amp; Defects - Qty'!$M$6:$R$6)*1000000</f>
        <v>#N/A</v>
      </c>
      <c r="U26" s="90" t="e">
        <f t="shared" si="3"/>
        <v>#N/A</v>
      </c>
      <c r="V26" s="90" t="e">
        <f>U26/'Prod &amp; Defects - Qty'!$S$6*1000000</f>
        <v>#N/A</v>
      </c>
      <c r="W26" s="90" t="e">
        <f t="shared" si="0"/>
        <v>#N/A</v>
      </c>
      <c r="X26" s="90" t="e">
        <f t="shared" si="0"/>
        <v>#N/A</v>
      </c>
      <c r="Y26" s="90" t="e">
        <f t="shared" si="4"/>
        <v>#N/A</v>
      </c>
      <c r="Z26" s="90" t="e">
        <f t="shared" si="8"/>
        <v>#N/A</v>
      </c>
    </row>
    <row r="27" spans="1:26" ht="18" customHeight="1">
      <c r="A27" s="783"/>
      <c r="B27" s="88">
        <f t="shared" si="9"/>
        <v>3165</v>
      </c>
      <c r="C27" s="96" t="s">
        <v>136</v>
      </c>
      <c r="D27" s="369">
        <f>'[3]Falhas UM-3-1 Qty'!Z27</f>
        <v>1.0121820226945339</v>
      </c>
      <c r="E27" s="379" t="e">
        <f>$D27/1000000*'Prod &amp; Defects - Qty'!G$6</f>
        <v>#N/A</v>
      </c>
      <c r="F27" s="379" t="e">
        <f>$D27/1000000*'Prod &amp; Defects - Qty'!H$6</f>
        <v>#N/A</v>
      </c>
      <c r="G27" s="379" t="e">
        <f>$D27/1000000*'Prod &amp; Defects - Qty'!I$6</f>
        <v>#N/A</v>
      </c>
      <c r="H27" s="379" t="e">
        <f>$D27/1000000*'Prod &amp; Defects - Qty'!J$6</f>
        <v>#N/A</v>
      </c>
      <c r="I27" s="379" t="e">
        <f>$D27/1000000*'Prod &amp; Defects - Qty'!K$6</f>
        <v>#N/A</v>
      </c>
      <c r="J27" s="379" t="e">
        <f>$D27/1000000*'Prod &amp; Defects - Qty'!L$6</f>
        <v>#N/A</v>
      </c>
      <c r="K27" s="379" t="e">
        <f>$D27/1000000*'Prod &amp; Defects - Qty'!M$6</f>
        <v>#N/A</v>
      </c>
      <c r="L27" s="379" t="e">
        <f>$D27/1000000*'Prod &amp; Defects - Qty'!N$6</f>
        <v>#N/A</v>
      </c>
      <c r="M27" s="379" t="e">
        <f>$D27/1000000*'Prod &amp; Defects - Qty'!O$6</f>
        <v>#N/A</v>
      </c>
      <c r="N27" s="379" t="e">
        <f>$D27/1000000*'Prod &amp; Defects - Qty'!P$6</f>
        <v>#N/A</v>
      </c>
      <c r="O27" s="379" t="e">
        <f>$D27/1000000*'Prod &amp; Defects - Qty'!Q$6</f>
        <v>#N/A</v>
      </c>
      <c r="P27" s="379" t="e">
        <f>$D27/1000000*'Prod &amp; Defects - Qty'!R$6</f>
        <v>#N/A</v>
      </c>
      <c r="Q27" s="90" t="e">
        <f t="shared" si="1"/>
        <v>#N/A</v>
      </c>
      <c r="R27" s="90" t="e">
        <f>Q27/SUM('Prod &amp; Defects - Qty'!$G$6:$L$6)*1000000</f>
        <v>#N/A</v>
      </c>
      <c r="S27" s="90" t="e">
        <f t="shared" si="2"/>
        <v>#N/A</v>
      </c>
      <c r="T27" s="90" t="e">
        <f>S27/SUM('Prod &amp; Defects - Qty'!$M$6:$R$6)*1000000</f>
        <v>#N/A</v>
      </c>
      <c r="U27" s="90" t="e">
        <f t="shared" si="3"/>
        <v>#N/A</v>
      </c>
      <c r="V27" s="90" t="e">
        <f>U27/'Prod &amp; Defects - Qty'!$S$6*1000000</f>
        <v>#N/A</v>
      </c>
      <c r="W27" s="90" t="e">
        <f t="shared" ref="W27:X46" si="10">V27*$AA$7</f>
        <v>#N/A</v>
      </c>
      <c r="X27" s="90" t="e">
        <f t="shared" si="10"/>
        <v>#N/A</v>
      </c>
      <c r="Y27" s="90" t="e">
        <f t="shared" si="4"/>
        <v>#N/A</v>
      </c>
      <c r="Z27" s="90" t="e">
        <f t="shared" si="8"/>
        <v>#N/A</v>
      </c>
    </row>
    <row r="28" spans="1:26" ht="18" customHeight="1">
      <c r="A28" s="783"/>
      <c r="B28" s="88">
        <f t="shared" si="9"/>
        <v>3170</v>
      </c>
      <c r="C28" s="96" t="s">
        <v>137</v>
      </c>
      <c r="D28" s="369">
        <f>'[3]Falhas UM-3-1 Qty'!Z28</f>
        <v>83.061400966429758</v>
      </c>
      <c r="E28" s="379" t="e">
        <f>$D28/1000000*'Prod &amp; Defects - Qty'!G$6</f>
        <v>#N/A</v>
      </c>
      <c r="F28" s="379" t="e">
        <f>$D28/1000000*'Prod &amp; Defects - Qty'!H$6</f>
        <v>#N/A</v>
      </c>
      <c r="G28" s="379" t="e">
        <f>$D28/1000000*'Prod &amp; Defects - Qty'!I$6</f>
        <v>#N/A</v>
      </c>
      <c r="H28" s="379" t="e">
        <f>$D28/1000000*'Prod &amp; Defects - Qty'!J$6</f>
        <v>#N/A</v>
      </c>
      <c r="I28" s="379" t="e">
        <f>$D28/1000000*'Prod &amp; Defects - Qty'!K$6</f>
        <v>#N/A</v>
      </c>
      <c r="J28" s="379" t="e">
        <f>$D28/1000000*'Prod &amp; Defects - Qty'!L$6</f>
        <v>#N/A</v>
      </c>
      <c r="K28" s="379" t="e">
        <f>$D28/1000000*'Prod &amp; Defects - Qty'!M$6</f>
        <v>#N/A</v>
      </c>
      <c r="L28" s="379" t="e">
        <f>$D28/1000000*'Prod &amp; Defects - Qty'!N$6</f>
        <v>#N/A</v>
      </c>
      <c r="M28" s="379" t="e">
        <f>$D28/1000000*'Prod &amp; Defects - Qty'!O$6</f>
        <v>#N/A</v>
      </c>
      <c r="N28" s="379" t="e">
        <f>$D28/1000000*'Prod &amp; Defects - Qty'!P$6</f>
        <v>#N/A</v>
      </c>
      <c r="O28" s="379" t="e">
        <f>$D28/1000000*'Prod &amp; Defects - Qty'!Q$6</f>
        <v>#N/A</v>
      </c>
      <c r="P28" s="379" t="e">
        <f>$D28/1000000*'Prod &amp; Defects - Qty'!R$6</f>
        <v>#N/A</v>
      </c>
      <c r="Q28" s="90" t="e">
        <f t="shared" si="1"/>
        <v>#N/A</v>
      </c>
      <c r="R28" s="90" t="e">
        <f>Q28/SUM('Prod &amp; Defects - Qty'!$G$6:$L$6)*1000000</f>
        <v>#N/A</v>
      </c>
      <c r="S28" s="90" t="e">
        <f t="shared" si="2"/>
        <v>#N/A</v>
      </c>
      <c r="T28" s="90" t="e">
        <f>S28/SUM('Prod &amp; Defects - Qty'!$M$6:$R$6)*1000000</f>
        <v>#N/A</v>
      </c>
      <c r="U28" s="90" t="e">
        <f t="shared" si="3"/>
        <v>#N/A</v>
      </c>
      <c r="V28" s="90" t="e">
        <f>U28/'Prod &amp; Defects - Qty'!$S$6*1000000</f>
        <v>#N/A</v>
      </c>
      <c r="W28" s="90" t="e">
        <f t="shared" si="10"/>
        <v>#N/A</v>
      </c>
      <c r="X28" s="90" t="e">
        <f t="shared" si="10"/>
        <v>#N/A</v>
      </c>
      <c r="Y28" s="90" t="e">
        <f t="shared" si="4"/>
        <v>#N/A</v>
      </c>
      <c r="Z28" s="90" t="e">
        <f t="shared" si="8"/>
        <v>#N/A</v>
      </c>
    </row>
    <row r="29" spans="1:26" ht="18" customHeight="1">
      <c r="A29" s="783"/>
      <c r="B29" s="88">
        <f t="shared" si="9"/>
        <v>3175</v>
      </c>
      <c r="C29" s="96" t="s">
        <v>138</v>
      </c>
      <c r="D29" s="369">
        <f>'[3]Falhas UM-3-1 Qty'!Z29</f>
        <v>18.739244037758208</v>
      </c>
      <c r="E29" s="379" t="e">
        <f>$D29/1000000*'Prod &amp; Defects - Qty'!G$6</f>
        <v>#N/A</v>
      </c>
      <c r="F29" s="379" t="e">
        <f>$D29/1000000*'Prod &amp; Defects - Qty'!H$6</f>
        <v>#N/A</v>
      </c>
      <c r="G29" s="379" t="e">
        <f>$D29/1000000*'Prod &amp; Defects - Qty'!I$6</f>
        <v>#N/A</v>
      </c>
      <c r="H29" s="379" t="e">
        <f>$D29/1000000*'Prod &amp; Defects - Qty'!J$6</f>
        <v>#N/A</v>
      </c>
      <c r="I29" s="379" t="e">
        <f>$D29/1000000*'Prod &amp; Defects - Qty'!K$6</f>
        <v>#N/A</v>
      </c>
      <c r="J29" s="379" t="e">
        <f>$D29/1000000*'Prod &amp; Defects - Qty'!L$6</f>
        <v>#N/A</v>
      </c>
      <c r="K29" s="379" t="e">
        <f>$D29/1000000*'Prod &amp; Defects - Qty'!M$6</f>
        <v>#N/A</v>
      </c>
      <c r="L29" s="379" t="e">
        <f>$D29/1000000*'Prod &amp; Defects - Qty'!N$6</f>
        <v>#N/A</v>
      </c>
      <c r="M29" s="379" t="e">
        <f>$D29/1000000*'Prod &amp; Defects - Qty'!O$6</f>
        <v>#N/A</v>
      </c>
      <c r="N29" s="379" t="e">
        <f>$D29/1000000*'Prod &amp; Defects - Qty'!P$6</f>
        <v>#N/A</v>
      </c>
      <c r="O29" s="379" t="e">
        <f>$D29/1000000*'Prod &amp; Defects - Qty'!Q$6</f>
        <v>#N/A</v>
      </c>
      <c r="P29" s="379" t="e">
        <f>$D29/1000000*'Prod &amp; Defects - Qty'!R$6</f>
        <v>#N/A</v>
      </c>
      <c r="Q29" s="90" t="e">
        <f t="shared" si="1"/>
        <v>#N/A</v>
      </c>
      <c r="R29" s="90" t="e">
        <f>Q29/SUM('Prod &amp; Defects - Qty'!$G$6:$L$6)*1000000</f>
        <v>#N/A</v>
      </c>
      <c r="S29" s="90" t="e">
        <f t="shared" si="2"/>
        <v>#N/A</v>
      </c>
      <c r="T29" s="90" t="e">
        <f>S29/SUM('Prod &amp; Defects - Qty'!$M$6:$R$6)*1000000</f>
        <v>#N/A</v>
      </c>
      <c r="U29" s="90" t="e">
        <f t="shared" si="3"/>
        <v>#N/A</v>
      </c>
      <c r="V29" s="90" t="e">
        <f>U29/'Prod &amp; Defects - Qty'!$S$6*1000000</f>
        <v>#N/A</v>
      </c>
      <c r="W29" s="90" t="e">
        <f t="shared" si="10"/>
        <v>#N/A</v>
      </c>
      <c r="X29" s="90" t="e">
        <f t="shared" si="10"/>
        <v>#N/A</v>
      </c>
      <c r="Y29" s="90" t="e">
        <f t="shared" si="4"/>
        <v>#N/A</v>
      </c>
      <c r="Z29" s="90" t="e">
        <f t="shared" si="8"/>
        <v>#N/A</v>
      </c>
    </row>
    <row r="30" spans="1:26" ht="18" customHeight="1">
      <c r="A30" s="783"/>
      <c r="B30" s="210">
        <f t="shared" si="9"/>
        <v>3180</v>
      </c>
      <c r="C30" s="99" t="s">
        <v>139</v>
      </c>
      <c r="D30" s="371">
        <f>'[3]Falhas UM-3-1 Qty'!Z30</f>
        <v>4.5090461805690252</v>
      </c>
      <c r="E30" s="381" t="e">
        <f>$D30/1000000*'Prod &amp; Defects - Qty'!G$6</f>
        <v>#N/A</v>
      </c>
      <c r="F30" s="381" t="e">
        <f>$D30/1000000*'Prod &amp; Defects - Qty'!H$6</f>
        <v>#N/A</v>
      </c>
      <c r="G30" s="381" t="e">
        <f>$D30/1000000*'Prod &amp; Defects - Qty'!I$6</f>
        <v>#N/A</v>
      </c>
      <c r="H30" s="381" t="e">
        <f>$D30/1000000*'Prod &amp; Defects - Qty'!J$6</f>
        <v>#N/A</v>
      </c>
      <c r="I30" s="381" t="e">
        <f>$D30/1000000*'Prod &amp; Defects - Qty'!K$6</f>
        <v>#N/A</v>
      </c>
      <c r="J30" s="381" t="e">
        <f>$D30/1000000*'Prod &amp; Defects - Qty'!L$6</f>
        <v>#N/A</v>
      </c>
      <c r="K30" s="381" t="e">
        <f>$D30/1000000*'Prod &amp; Defects - Qty'!M$6</f>
        <v>#N/A</v>
      </c>
      <c r="L30" s="381" t="e">
        <f>$D30/1000000*'Prod &amp; Defects - Qty'!N$6</f>
        <v>#N/A</v>
      </c>
      <c r="M30" s="381" t="e">
        <f>$D30/1000000*'Prod &amp; Defects - Qty'!O$6</f>
        <v>#N/A</v>
      </c>
      <c r="N30" s="381" t="e">
        <f>$D30/1000000*'Prod &amp; Defects - Qty'!P$6</f>
        <v>#N/A</v>
      </c>
      <c r="O30" s="381" t="e">
        <f>$D30/1000000*'Prod &amp; Defects - Qty'!Q$6</f>
        <v>#N/A</v>
      </c>
      <c r="P30" s="381" t="e">
        <f>$D30/1000000*'Prod &amp; Defects - Qty'!R$6</f>
        <v>#N/A</v>
      </c>
      <c r="Q30" s="100" t="e">
        <f t="shared" si="1"/>
        <v>#N/A</v>
      </c>
      <c r="R30" s="100" t="e">
        <f>Q30/SUM('Prod &amp; Defects - Qty'!$G$6:$L$6)*1000000</f>
        <v>#N/A</v>
      </c>
      <c r="S30" s="100" t="e">
        <f t="shared" si="2"/>
        <v>#N/A</v>
      </c>
      <c r="T30" s="100" t="e">
        <f>S30/SUM('Prod &amp; Defects - Qty'!$M$6:$R$6)*1000000</f>
        <v>#N/A</v>
      </c>
      <c r="U30" s="100" t="e">
        <f t="shared" si="3"/>
        <v>#N/A</v>
      </c>
      <c r="V30" s="100" t="e">
        <f>U30/'Prod &amp; Defects - Qty'!$S$6*1000000</f>
        <v>#N/A</v>
      </c>
      <c r="W30" s="100" t="e">
        <f t="shared" si="10"/>
        <v>#N/A</v>
      </c>
      <c r="X30" s="100" t="e">
        <f t="shared" si="10"/>
        <v>#N/A</v>
      </c>
      <c r="Y30" s="100" t="e">
        <f t="shared" si="4"/>
        <v>#N/A</v>
      </c>
      <c r="Z30" s="100" t="e">
        <f t="shared" si="8"/>
        <v>#N/A</v>
      </c>
    </row>
    <row r="31" spans="1:26" ht="18" customHeight="1">
      <c r="A31" s="783"/>
      <c r="B31" s="211">
        <f t="shared" si="9"/>
        <v>3185</v>
      </c>
      <c r="C31" s="96" t="s">
        <v>140</v>
      </c>
      <c r="D31" s="370">
        <f>'[3]Falhas UM-3-1 Qty'!Z31</f>
        <v>66.053235010473671</v>
      </c>
      <c r="E31" s="380" t="e">
        <f>$D31/1000000*'Prod &amp; Defects - Qty'!G$6</f>
        <v>#N/A</v>
      </c>
      <c r="F31" s="380" t="e">
        <f>$D31/1000000*'Prod &amp; Defects - Qty'!H$6</f>
        <v>#N/A</v>
      </c>
      <c r="G31" s="380" t="e">
        <f>$D31/1000000*'Prod &amp; Defects - Qty'!I$6</f>
        <v>#N/A</v>
      </c>
      <c r="H31" s="380" t="e">
        <f>$D31/1000000*'Prod &amp; Defects - Qty'!J$6</f>
        <v>#N/A</v>
      </c>
      <c r="I31" s="380" t="e">
        <f>$D31/1000000*'Prod &amp; Defects - Qty'!K$6</f>
        <v>#N/A</v>
      </c>
      <c r="J31" s="380" t="e">
        <f>$D31/1000000*'Prod &amp; Defects - Qty'!L$6</f>
        <v>#N/A</v>
      </c>
      <c r="K31" s="380" t="e">
        <f>$D31/1000000*'Prod &amp; Defects - Qty'!M$6</f>
        <v>#N/A</v>
      </c>
      <c r="L31" s="380" t="e">
        <f>$D31/1000000*'Prod &amp; Defects - Qty'!N$6</f>
        <v>#N/A</v>
      </c>
      <c r="M31" s="380" t="e">
        <f>$D31/1000000*'Prod &amp; Defects - Qty'!O$6</f>
        <v>#N/A</v>
      </c>
      <c r="N31" s="380" t="e">
        <f>$D31/1000000*'Prod &amp; Defects - Qty'!P$6</f>
        <v>#N/A</v>
      </c>
      <c r="O31" s="380" t="e">
        <f>$D31/1000000*'Prod &amp; Defects - Qty'!Q$6</f>
        <v>#N/A</v>
      </c>
      <c r="P31" s="380" t="e">
        <f>$D31/1000000*'Prod &amp; Defects - Qty'!R$6</f>
        <v>#N/A</v>
      </c>
      <c r="Q31" s="101" t="e">
        <f t="shared" si="1"/>
        <v>#N/A</v>
      </c>
      <c r="R31" s="101" t="e">
        <f>Q31/SUM('Prod &amp; Defects - Qty'!$G$6:$L$6)*1000000</f>
        <v>#N/A</v>
      </c>
      <c r="S31" s="101" t="e">
        <f t="shared" si="2"/>
        <v>#N/A</v>
      </c>
      <c r="T31" s="101" t="e">
        <f>S31/SUM('Prod &amp; Defects - Qty'!$M$6:$R$6)*1000000</f>
        <v>#N/A</v>
      </c>
      <c r="U31" s="101" t="e">
        <f t="shared" si="3"/>
        <v>#N/A</v>
      </c>
      <c r="V31" s="101" t="e">
        <f>U31/'Prod &amp; Defects - Qty'!$S$6*1000000</f>
        <v>#N/A</v>
      </c>
      <c r="W31" s="101" t="e">
        <f t="shared" si="10"/>
        <v>#N/A</v>
      </c>
      <c r="X31" s="101" t="e">
        <f t="shared" si="10"/>
        <v>#N/A</v>
      </c>
      <c r="Y31" s="101" t="e">
        <f t="shared" si="4"/>
        <v>#N/A</v>
      </c>
      <c r="Z31" s="101" t="e">
        <f t="shared" si="8"/>
        <v>#N/A</v>
      </c>
    </row>
    <row r="32" spans="1:26" ht="18" customHeight="1">
      <c r="A32" s="783"/>
      <c r="B32" s="88">
        <f t="shared" si="9"/>
        <v>3190</v>
      </c>
      <c r="C32" s="96" t="s">
        <v>122</v>
      </c>
      <c r="D32" s="369">
        <f>'[3]Falhas UM-3-1 Qty'!Z32</f>
        <v>48.073485918557736</v>
      </c>
      <c r="E32" s="379" t="e">
        <f>$D32/1000000*'Prod &amp; Defects - Qty'!G$6</f>
        <v>#N/A</v>
      </c>
      <c r="F32" s="379" t="e">
        <f>$D32/1000000*'Prod &amp; Defects - Qty'!H$6</f>
        <v>#N/A</v>
      </c>
      <c r="G32" s="379" t="e">
        <f>$D32/1000000*'Prod &amp; Defects - Qty'!I$6</f>
        <v>#N/A</v>
      </c>
      <c r="H32" s="379" t="e">
        <f>$D32/1000000*'Prod &amp; Defects - Qty'!J$6</f>
        <v>#N/A</v>
      </c>
      <c r="I32" s="379" t="e">
        <f>$D32/1000000*'Prod &amp; Defects - Qty'!K$6</f>
        <v>#N/A</v>
      </c>
      <c r="J32" s="379" t="e">
        <f>$D32/1000000*'Prod &amp; Defects - Qty'!L$6</f>
        <v>#N/A</v>
      </c>
      <c r="K32" s="379" t="e">
        <f>$D32/1000000*'Prod &amp; Defects - Qty'!M$6</f>
        <v>#N/A</v>
      </c>
      <c r="L32" s="379" t="e">
        <f>$D32/1000000*'Prod &amp; Defects - Qty'!N$6</f>
        <v>#N/A</v>
      </c>
      <c r="M32" s="379" t="e">
        <f>$D32/1000000*'Prod &amp; Defects - Qty'!O$6</f>
        <v>#N/A</v>
      </c>
      <c r="N32" s="379" t="e">
        <f>$D32/1000000*'Prod &amp; Defects - Qty'!P$6</f>
        <v>#N/A</v>
      </c>
      <c r="O32" s="379" t="e">
        <f>$D32/1000000*'Prod &amp; Defects - Qty'!Q$6</f>
        <v>#N/A</v>
      </c>
      <c r="P32" s="379" t="e">
        <f>$D32/1000000*'Prod &amp; Defects - Qty'!R$6</f>
        <v>#N/A</v>
      </c>
      <c r="Q32" s="90" t="e">
        <f t="shared" si="1"/>
        <v>#N/A</v>
      </c>
      <c r="R32" s="90" t="e">
        <f>Q32/SUM('Prod &amp; Defects - Qty'!$G$6:$L$6)*1000000</f>
        <v>#N/A</v>
      </c>
      <c r="S32" s="90" t="e">
        <f t="shared" si="2"/>
        <v>#N/A</v>
      </c>
      <c r="T32" s="90" t="e">
        <f>S32/SUM('Prod &amp; Defects - Qty'!$M$6:$R$6)*1000000</f>
        <v>#N/A</v>
      </c>
      <c r="U32" s="90" t="e">
        <f t="shared" si="3"/>
        <v>#N/A</v>
      </c>
      <c r="V32" s="90" t="e">
        <f>U32/'Prod &amp; Defects - Qty'!$S$6*1000000</f>
        <v>#N/A</v>
      </c>
      <c r="W32" s="90" t="e">
        <f t="shared" si="10"/>
        <v>#N/A</v>
      </c>
      <c r="X32" s="90" t="e">
        <f t="shared" si="10"/>
        <v>#N/A</v>
      </c>
      <c r="Y32" s="90" t="e">
        <f t="shared" si="4"/>
        <v>#N/A</v>
      </c>
      <c r="Z32" s="90" t="e">
        <f t="shared" si="8"/>
        <v>#N/A</v>
      </c>
    </row>
    <row r="33" spans="1:26" ht="18" customHeight="1">
      <c r="A33" s="783"/>
      <c r="B33" s="88">
        <f t="shared" si="9"/>
        <v>3195</v>
      </c>
      <c r="C33" s="96" t="s">
        <v>141</v>
      </c>
      <c r="D33" s="369">
        <f>'[3]Falhas UM-3-1 Qty'!Z33</f>
        <v>3.736183867204653</v>
      </c>
      <c r="E33" s="379" t="e">
        <f>$D33/1000000*'Prod &amp; Defects - Qty'!G$6</f>
        <v>#N/A</v>
      </c>
      <c r="F33" s="379" t="e">
        <f>$D33/1000000*'Prod &amp; Defects - Qty'!H$6</f>
        <v>#N/A</v>
      </c>
      <c r="G33" s="379" t="e">
        <f>$D33/1000000*'Prod &amp; Defects - Qty'!I$6</f>
        <v>#N/A</v>
      </c>
      <c r="H33" s="379" t="e">
        <f>$D33/1000000*'Prod &amp; Defects - Qty'!J$6</f>
        <v>#N/A</v>
      </c>
      <c r="I33" s="379" t="e">
        <f>$D33/1000000*'Prod &amp; Defects - Qty'!K$6</f>
        <v>#N/A</v>
      </c>
      <c r="J33" s="379" t="e">
        <f>$D33/1000000*'Prod &amp; Defects - Qty'!L$6</f>
        <v>#N/A</v>
      </c>
      <c r="K33" s="379" t="e">
        <f>$D33/1000000*'Prod &amp; Defects - Qty'!M$6</f>
        <v>#N/A</v>
      </c>
      <c r="L33" s="379" t="e">
        <f>$D33/1000000*'Prod &amp; Defects - Qty'!N$6</f>
        <v>#N/A</v>
      </c>
      <c r="M33" s="379" t="e">
        <f>$D33/1000000*'Prod &amp; Defects - Qty'!O$6</f>
        <v>#N/A</v>
      </c>
      <c r="N33" s="379" t="e">
        <f>$D33/1000000*'Prod &amp; Defects - Qty'!P$6</f>
        <v>#N/A</v>
      </c>
      <c r="O33" s="379" t="e">
        <f>$D33/1000000*'Prod &amp; Defects - Qty'!Q$6</f>
        <v>#N/A</v>
      </c>
      <c r="P33" s="379" t="e">
        <f>$D33/1000000*'Prod &amp; Defects - Qty'!R$6</f>
        <v>#N/A</v>
      </c>
      <c r="Q33" s="90" t="e">
        <f t="shared" si="1"/>
        <v>#N/A</v>
      </c>
      <c r="R33" s="90" t="e">
        <f>Q33/SUM('Prod &amp; Defects - Qty'!$G$6:$L$6)*1000000</f>
        <v>#N/A</v>
      </c>
      <c r="S33" s="90" t="e">
        <f t="shared" si="2"/>
        <v>#N/A</v>
      </c>
      <c r="T33" s="90" t="e">
        <f>S33/SUM('Prod &amp; Defects - Qty'!$M$6:$R$6)*1000000</f>
        <v>#N/A</v>
      </c>
      <c r="U33" s="90" t="e">
        <f t="shared" si="3"/>
        <v>#N/A</v>
      </c>
      <c r="V33" s="90" t="e">
        <f>U33/'Prod &amp; Defects - Qty'!$S$6*1000000</f>
        <v>#N/A</v>
      </c>
      <c r="W33" s="90" t="e">
        <f t="shared" si="10"/>
        <v>#N/A</v>
      </c>
      <c r="X33" s="90" t="e">
        <f t="shared" si="10"/>
        <v>#N/A</v>
      </c>
      <c r="Y33" s="90" t="e">
        <f t="shared" si="4"/>
        <v>#N/A</v>
      </c>
      <c r="Z33" s="90" t="e">
        <f t="shared" si="8"/>
        <v>#N/A</v>
      </c>
    </row>
    <row r="34" spans="1:26" ht="18" customHeight="1">
      <c r="A34" s="783"/>
      <c r="B34" s="88">
        <f t="shared" si="9"/>
        <v>3200</v>
      </c>
      <c r="C34" s="96" t="s">
        <v>123</v>
      </c>
      <c r="D34" s="369">
        <f>'[3]Falhas UM-3-1 Qty'!Z34</f>
        <v>23.871756979401738</v>
      </c>
      <c r="E34" s="379" t="e">
        <f>$D34/1000000*'Prod &amp; Defects - Qty'!G$6</f>
        <v>#N/A</v>
      </c>
      <c r="F34" s="379" t="e">
        <f>$D34/1000000*'Prod &amp; Defects - Qty'!H$6</f>
        <v>#N/A</v>
      </c>
      <c r="G34" s="379" t="e">
        <f>$D34/1000000*'Prod &amp; Defects - Qty'!I$6</f>
        <v>#N/A</v>
      </c>
      <c r="H34" s="379" t="e">
        <f>$D34/1000000*'Prod &amp; Defects - Qty'!J$6</f>
        <v>#N/A</v>
      </c>
      <c r="I34" s="379" t="e">
        <f>$D34/1000000*'Prod &amp; Defects - Qty'!K$6</f>
        <v>#N/A</v>
      </c>
      <c r="J34" s="379" t="e">
        <f>$D34/1000000*'Prod &amp; Defects - Qty'!L$6</f>
        <v>#N/A</v>
      </c>
      <c r="K34" s="379" t="e">
        <f>$D34/1000000*'Prod &amp; Defects - Qty'!M$6</f>
        <v>#N/A</v>
      </c>
      <c r="L34" s="379" t="e">
        <f>$D34/1000000*'Prod &amp; Defects - Qty'!N$6</f>
        <v>#N/A</v>
      </c>
      <c r="M34" s="379" t="e">
        <f>$D34/1000000*'Prod &amp; Defects - Qty'!O$6</f>
        <v>#N/A</v>
      </c>
      <c r="N34" s="379" t="e">
        <f>$D34/1000000*'Prod &amp; Defects - Qty'!P$6</f>
        <v>#N/A</v>
      </c>
      <c r="O34" s="379" t="e">
        <f>$D34/1000000*'Prod &amp; Defects - Qty'!Q$6</f>
        <v>#N/A</v>
      </c>
      <c r="P34" s="379" t="e">
        <f>$D34/1000000*'Prod &amp; Defects - Qty'!R$6</f>
        <v>#N/A</v>
      </c>
      <c r="Q34" s="90" t="e">
        <f t="shared" si="1"/>
        <v>#N/A</v>
      </c>
      <c r="R34" s="90" t="e">
        <f>Q34/SUM('Prod &amp; Defects - Qty'!$G$6:$L$6)*1000000</f>
        <v>#N/A</v>
      </c>
      <c r="S34" s="90" t="e">
        <f t="shared" si="2"/>
        <v>#N/A</v>
      </c>
      <c r="T34" s="90" t="e">
        <f>S34/SUM('Prod &amp; Defects - Qty'!$M$6:$R$6)*1000000</f>
        <v>#N/A</v>
      </c>
      <c r="U34" s="90" t="e">
        <f t="shared" si="3"/>
        <v>#N/A</v>
      </c>
      <c r="V34" s="90" t="e">
        <f>U34/'Prod &amp; Defects - Qty'!$S$6*1000000</f>
        <v>#N/A</v>
      </c>
      <c r="W34" s="90" t="e">
        <f t="shared" si="10"/>
        <v>#N/A</v>
      </c>
      <c r="X34" s="90" t="e">
        <f t="shared" si="10"/>
        <v>#N/A</v>
      </c>
      <c r="Y34" s="90" t="e">
        <f t="shared" si="4"/>
        <v>#N/A</v>
      </c>
      <c r="Z34" s="90" t="e">
        <f t="shared" si="8"/>
        <v>#N/A</v>
      </c>
    </row>
    <row r="35" spans="1:26" ht="18" customHeight="1">
      <c r="A35" s="783"/>
      <c r="B35" s="88">
        <f t="shared" si="9"/>
        <v>3205</v>
      </c>
      <c r="C35" s="96" t="s">
        <v>142</v>
      </c>
      <c r="D35" s="369">
        <f>'[3]Falhas UM-3-1 Qty'!Z35</f>
        <v>40.720723082108051</v>
      </c>
      <c r="E35" s="379" t="e">
        <f>$D35/1000000*'Prod &amp; Defects - Qty'!G$6</f>
        <v>#N/A</v>
      </c>
      <c r="F35" s="379" t="e">
        <f>$D35/1000000*'Prod &amp; Defects - Qty'!H$6</f>
        <v>#N/A</v>
      </c>
      <c r="G35" s="379" t="e">
        <f>$D35/1000000*'Prod &amp; Defects - Qty'!I$6</f>
        <v>#N/A</v>
      </c>
      <c r="H35" s="379" t="e">
        <f>$D35/1000000*'Prod &amp; Defects - Qty'!J$6</f>
        <v>#N/A</v>
      </c>
      <c r="I35" s="379" t="e">
        <f>$D35/1000000*'Prod &amp; Defects - Qty'!K$6</f>
        <v>#N/A</v>
      </c>
      <c r="J35" s="379" t="e">
        <f>$D35/1000000*'Prod &amp; Defects - Qty'!L$6</f>
        <v>#N/A</v>
      </c>
      <c r="K35" s="379" t="e">
        <f>$D35/1000000*'Prod &amp; Defects - Qty'!M$6</f>
        <v>#N/A</v>
      </c>
      <c r="L35" s="379" t="e">
        <f>$D35/1000000*'Prod &amp; Defects - Qty'!N$6</f>
        <v>#N/A</v>
      </c>
      <c r="M35" s="379" t="e">
        <f>$D35/1000000*'Prod &amp; Defects - Qty'!O$6</f>
        <v>#N/A</v>
      </c>
      <c r="N35" s="379" t="e">
        <f>$D35/1000000*'Prod &amp; Defects - Qty'!P$6</f>
        <v>#N/A</v>
      </c>
      <c r="O35" s="379" t="e">
        <f>$D35/1000000*'Prod &amp; Defects - Qty'!Q$6</f>
        <v>#N/A</v>
      </c>
      <c r="P35" s="379" t="e">
        <f>$D35/1000000*'Prod &amp; Defects - Qty'!R$6</f>
        <v>#N/A</v>
      </c>
      <c r="Q35" s="90" t="e">
        <f t="shared" si="1"/>
        <v>#N/A</v>
      </c>
      <c r="R35" s="90" t="e">
        <f>Q35/SUM('Prod &amp; Defects - Qty'!$G$6:$L$6)*1000000</f>
        <v>#N/A</v>
      </c>
      <c r="S35" s="90" t="e">
        <f t="shared" si="2"/>
        <v>#N/A</v>
      </c>
      <c r="T35" s="90" t="e">
        <f>S35/SUM('Prod &amp; Defects - Qty'!$M$6:$R$6)*1000000</f>
        <v>#N/A</v>
      </c>
      <c r="U35" s="90" t="e">
        <f t="shared" si="3"/>
        <v>#N/A</v>
      </c>
      <c r="V35" s="90" t="e">
        <f>U35/'Prod &amp; Defects - Qty'!$S$6*1000000</f>
        <v>#N/A</v>
      </c>
      <c r="W35" s="90" t="e">
        <f t="shared" si="10"/>
        <v>#N/A</v>
      </c>
      <c r="X35" s="90" t="e">
        <f t="shared" si="10"/>
        <v>#N/A</v>
      </c>
      <c r="Y35" s="90" t="e">
        <f t="shared" si="4"/>
        <v>#N/A</v>
      </c>
      <c r="Z35" s="90" t="e">
        <f t="shared" si="8"/>
        <v>#N/A</v>
      </c>
    </row>
    <row r="36" spans="1:26" ht="18" customHeight="1">
      <c r="A36" s="783"/>
      <c r="B36" s="88">
        <f t="shared" si="9"/>
        <v>3210</v>
      </c>
      <c r="C36" s="96" t="s">
        <v>125</v>
      </c>
      <c r="D36" s="369">
        <f>'[3]Falhas UM-3-1 Qty'!Z36</f>
        <v>41.364237457626082</v>
      </c>
      <c r="E36" s="379" t="e">
        <f>$D36/1000000*'Prod &amp; Defects - Qty'!G$6</f>
        <v>#N/A</v>
      </c>
      <c r="F36" s="379" t="e">
        <f>$D36/1000000*'Prod &amp; Defects - Qty'!H$6</f>
        <v>#N/A</v>
      </c>
      <c r="G36" s="379" t="e">
        <f>$D36/1000000*'Prod &amp; Defects - Qty'!I$6</f>
        <v>#N/A</v>
      </c>
      <c r="H36" s="379" t="e">
        <f>$D36/1000000*'Prod &amp; Defects - Qty'!J$6</f>
        <v>#N/A</v>
      </c>
      <c r="I36" s="379" t="e">
        <f>$D36/1000000*'Prod &amp; Defects - Qty'!K$6</f>
        <v>#N/A</v>
      </c>
      <c r="J36" s="379" t="e">
        <f>$D36/1000000*'Prod &amp; Defects - Qty'!L$6</f>
        <v>#N/A</v>
      </c>
      <c r="K36" s="379" t="e">
        <f>$D36/1000000*'Prod &amp; Defects - Qty'!M$6</f>
        <v>#N/A</v>
      </c>
      <c r="L36" s="379" t="e">
        <f>$D36/1000000*'Prod &amp; Defects - Qty'!N$6</f>
        <v>#N/A</v>
      </c>
      <c r="M36" s="379" t="e">
        <f>$D36/1000000*'Prod &amp; Defects - Qty'!O$6</f>
        <v>#N/A</v>
      </c>
      <c r="N36" s="379" t="e">
        <f>$D36/1000000*'Prod &amp; Defects - Qty'!P$6</f>
        <v>#N/A</v>
      </c>
      <c r="O36" s="379" t="e">
        <f>$D36/1000000*'Prod &amp; Defects - Qty'!Q$6</f>
        <v>#N/A</v>
      </c>
      <c r="P36" s="379" t="e">
        <f>$D36/1000000*'Prod &amp; Defects - Qty'!R$6</f>
        <v>#N/A</v>
      </c>
      <c r="Q36" s="90" t="e">
        <f t="shared" si="1"/>
        <v>#N/A</v>
      </c>
      <c r="R36" s="90" t="e">
        <f>Q36/SUM('Prod &amp; Defects - Qty'!$G$6:$L$6)*1000000</f>
        <v>#N/A</v>
      </c>
      <c r="S36" s="90" t="e">
        <f t="shared" si="2"/>
        <v>#N/A</v>
      </c>
      <c r="T36" s="90" t="e">
        <f>S36/SUM('Prod &amp; Defects - Qty'!$M$6:$R$6)*1000000</f>
        <v>#N/A</v>
      </c>
      <c r="U36" s="90" t="e">
        <f t="shared" si="3"/>
        <v>#N/A</v>
      </c>
      <c r="V36" s="90" t="e">
        <f>U36/'Prod &amp; Defects - Qty'!$S$6*1000000</f>
        <v>#N/A</v>
      </c>
      <c r="W36" s="90" t="e">
        <f t="shared" si="10"/>
        <v>#N/A</v>
      </c>
      <c r="X36" s="90" t="e">
        <f t="shared" si="10"/>
        <v>#N/A</v>
      </c>
      <c r="Y36" s="90" t="e">
        <f t="shared" si="4"/>
        <v>#N/A</v>
      </c>
      <c r="Z36" s="90" t="e">
        <f t="shared" si="8"/>
        <v>#N/A</v>
      </c>
    </row>
    <row r="37" spans="1:26" ht="18" customHeight="1" thickBot="1">
      <c r="A37" s="784"/>
      <c r="B37" s="94"/>
      <c r="C37" s="95" t="s">
        <v>1</v>
      </c>
      <c r="D37" s="374">
        <f>'[3]Falhas UM-3-1 Qty'!Z37</f>
        <v>428.07945933981449</v>
      </c>
      <c r="E37" s="382" t="e">
        <f>$D37/1000000*'Prod &amp; Defects - Qty'!G$6</f>
        <v>#N/A</v>
      </c>
      <c r="F37" s="382" t="e">
        <f>$D37/1000000*'Prod &amp; Defects - Qty'!H$6</f>
        <v>#N/A</v>
      </c>
      <c r="G37" s="382" t="e">
        <f>$D37/1000000*'Prod &amp; Defects - Qty'!I$6</f>
        <v>#N/A</v>
      </c>
      <c r="H37" s="382" t="e">
        <f>$D37/1000000*'Prod &amp; Defects - Qty'!J$6</f>
        <v>#N/A</v>
      </c>
      <c r="I37" s="382" t="e">
        <f>$D37/1000000*'Prod &amp; Defects - Qty'!K$6</f>
        <v>#N/A</v>
      </c>
      <c r="J37" s="382" t="e">
        <f>$D37/1000000*'Prod &amp; Defects - Qty'!L$6</f>
        <v>#N/A</v>
      </c>
      <c r="K37" s="382" t="e">
        <f>$D37/1000000*'Prod &amp; Defects - Qty'!M$6</f>
        <v>#N/A</v>
      </c>
      <c r="L37" s="382" t="e">
        <f>$D37/1000000*'Prod &amp; Defects - Qty'!N$6</f>
        <v>#N/A</v>
      </c>
      <c r="M37" s="382" t="e">
        <f>$D37/1000000*'Prod &amp; Defects - Qty'!O$6</f>
        <v>#N/A</v>
      </c>
      <c r="N37" s="382" t="e">
        <f>$D37/1000000*'Prod &amp; Defects - Qty'!P$6</f>
        <v>#N/A</v>
      </c>
      <c r="O37" s="382" t="e">
        <f>$D37/1000000*'Prod &amp; Defects - Qty'!Q$6</f>
        <v>#N/A</v>
      </c>
      <c r="P37" s="382" t="e">
        <f>$D37/1000000*'Prod &amp; Defects - Qty'!R$6</f>
        <v>#N/A</v>
      </c>
      <c r="Q37" s="93" t="e">
        <f t="shared" si="1"/>
        <v>#N/A</v>
      </c>
      <c r="R37" s="93" t="e">
        <f>Q37/SUM('Prod &amp; Defects - Qty'!$G$6:$L$6)*1000000</f>
        <v>#N/A</v>
      </c>
      <c r="S37" s="93" t="e">
        <f t="shared" si="2"/>
        <v>#N/A</v>
      </c>
      <c r="T37" s="93" t="e">
        <f>S37/SUM('Prod &amp; Defects - Qty'!$M$6:$R$6)*1000000</f>
        <v>#N/A</v>
      </c>
      <c r="U37" s="93" t="e">
        <f t="shared" si="3"/>
        <v>#N/A</v>
      </c>
      <c r="V37" s="93" t="e">
        <f>U37/'Prod &amp; Defects - Qty'!$S$6*1000000</f>
        <v>#N/A</v>
      </c>
      <c r="W37" s="93" t="e">
        <f t="shared" si="10"/>
        <v>#N/A</v>
      </c>
      <c r="X37" s="93" t="e">
        <f t="shared" si="10"/>
        <v>#N/A</v>
      </c>
      <c r="Y37" s="93" t="e">
        <f t="shared" si="4"/>
        <v>#N/A</v>
      </c>
      <c r="Z37" s="93" t="e">
        <f>SUM(Z20:Z36)</f>
        <v>#N/A</v>
      </c>
    </row>
    <row r="38" spans="1:26" ht="18" customHeight="1" thickTop="1">
      <c r="A38" s="785" t="s">
        <v>184</v>
      </c>
      <c r="B38" s="88">
        <f>B36+10</f>
        <v>3220</v>
      </c>
      <c r="C38" s="89" t="s">
        <v>19</v>
      </c>
      <c r="D38" s="369">
        <f>'[3]Falhas UM-3-1 Qty'!Z38</f>
        <v>3.9221738744569916</v>
      </c>
      <c r="E38" s="380" t="e">
        <f>$D38/1000000*'Prod &amp; Defects - Qty'!G$6</f>
        <v>#N/A</v>
      </c>
      <c r="F38" s="380" t="e">
        <f>$D38/1000000*'Prod &amp; Defects - Qty'!H$6</f>
        <v>#N/A</v>
      </c>
      <c r="G38" s="380" t="e">
        <f>$D38/1000000*'Prod &amp; Defects - Qty'!I$6</f>
        <v>#N/A</v>
      </c>
      <c r="H38" s="380" t="e">
        <f>$D38/1000000*'Prod &amp; Defects - Qty'!J$6</f>
        <v>#N/A</v>
      </c>
      <c r="I38" s="380" t="e">
        <f>$D38/1000000*'Prod &amp; Defects - Qty'!K$6</f>
        <v>#N/A</v>
      </c>
      <c r="J38" s="380" t="e">
        <f>$D38/1000000*'Prod &amp; Defects - Qty'!L$6</f>
        <v>#N/A</v>
      </c>
      <c r="K38" s="380" t="e">
        <f>$D38/1000000*'Prod &amp; Defects - Qty'!M$6</f>
        <v>#N/A</v>
      </c>
      <c r="L38" s="380" t="e">
        <f>$D38/1000000*'Prod &amp; Defects - Qty'!N$6</f>
        <v>#N/A</v>
      </c>
      <c r="M38" s="380" t="e">
        <f>$D38/1000000*'Prod &amp; Defects - Qty'!O$6</f>
        <v>#N/A</v>
      </c>
      <c r="N38" s="380" t="e">
        <f>$D38/1000000*'Prod &amp; Defects - Qty'!P$6</f>
        <v>#N/A</v>
      </c>
      <c r="O38" s="380" t="e">
        <f>$D38/1000000*'Prod &amp; Defects - Qty'!Q$6</f>
        <v>#N/A</v>
      </c>
      <c r="P38" s="380" t="e">
        <f>$D38/1000000*'Prod &amp; Defects - Qty'!R$6</f>
        <v>#N/A</v>
      </c>
      <c r="Q38" s="101" t="e">
        <f t="shared" si="1"/>
        <v>#N/A</v>
      </c>
      <c r="R38" s="101" t="e">
        <f>Q38/SUM('Prod &amp; Defects - Qty'!$G$6:$L$6)*1000000</f>
        <v>#N/A</v>
      </c>
      <c r="S38" s="101" t="e">
        <f t="shared" si="2"/>
        <v>#N/A</v>
      </c>
      <c r="T38" s="101" t="e">
        <f>S38/SUM('Prod &amp; Defects - Qty'!$M$6:$R$6)*1000000</f>
        <v>#N/A</v>
      </c>
      <c r="U38" s="101" t="e">
        <f t="shared" si="3"/>
        <v>#N/A</v>
      </c>
      <c r="V38" s="101" t="e">
        <f>U38/'Prod &amp; Defects - Qty'!$S$6*1000000</f>
        <v>#N/A</v>
      </c>
      <c r="W38" s="101" t="e">
        <f t="shared" si="10"/>
        <v>#N/A</v>
      </c>
      <c r="X38" s="101" t="e">
        <f t="shared" si="10"/>
        <v>#N/A</v>
      </c>
      <c r="Y38" s="101" t="e">
        <f t="shared" si="4"/>
        <v>#N/A</v>
      </c>
      <c r="Z38" s="101" t="e">
        <f t="shared" ref="Z38:Z49" si="11">Y38*$AA$7</f>
        <v>#N/A</v>
      </c>
    </row>
    <row r="39" spans="1:26" ht="18" customHeight="1">
      <c r="A39" s="783"/>
      <c r="B39" s="88">
        <f>B38+10</f>
        <v>3230</v>
      </c>
      <c r="C39" s="89" t="s">
        <v>61</v>
      </c>
      <c r="D39" s="369">
        <f>'[3]Falhas UM-3-1 Qty'!Z39</f>
        <v>1.7600620054565992</v>
      </c>
      <c r="E39" s="380" t="e">
        <f>$D39/1000000*'Prod &amp; Defects - Qty'!G$6</f>
        <v>#N/A</v>
      </c>
      <c r="F39" s="380" t="e">
        <f>$D39/1000000*'Prod &amp; Defects - Qty'!H$6</f>
        <v>#N/A</v>
      </c>
      <c r="G39" s="380" t="e">
        <f>$D39/1000000*'Prod &amp; Defects - Qty'!I$6</f>
        <v>#N/A</v>
      </c>
      <c r="H39" s="380" t="e">
        <f>$D39/1000000*'Prod &amp; Defects - Qty'!J$6</f>
        <v>#N/A</v>
      </c>
      <c r="I39" s="380" t="e">
        <f>$D39/1000000*'Prod &amp; Defects - Qty'!K$6</f>
        <v>#N/A</v>
      </c>
      <c r="J39" s="380" t="e">
        <f>$D39/1000000*'Prod &amp; Defects - Qty'!L$6</f>
        <v>#N/A</v>
      </c>
      <c r="K39" s="380" t="e">
        <f>$D39/1000000*'Prod &amp; Defects - Qty'!M$6</f>
        <v>#N/A</v>
      </c>
      <c r="L39" s="380" t="e">
        <f>$D39/1000000*'Prod &amp; Defects - Qty'!N$6</f>
        <v>#N/A</v>
      </c>
      <c r="M39" s="380" t="e">
        <f>$D39/1000000*'Prod &amp; Defects - Qty'!O$6</f>
        <v>#N/A</v>
      </c>
      <c r="N39" s="380" t="e">
        <f>$D39/1000000*'Prod &amp; Defects - Qty'!P$6</f>
        <v>#N/A</v>
      </c>
      <c r="O39" s="380" t="e">
        <f>$D39/1000000*'Prod &amp; Defects - Qty'!Q$6</f>
        <v>#N/A</v>
      </c>
      <c r="P39" s="380" t="e">
        <f>$D39/1000000*'Prod &amp; Defects - Qty'!R$6</f>
        <v>#N/A</v>
      </c>
      <c r="Q39" s="101" t="e">
        <f t="shared" si="1"/>
        <v>#N/A</v>
      </c>
      <c r="R39" s="101" t="e">
        <f>Q39/SUM('Prod &amp; Defects - Qty'!$G$6:$L$6)*1000000</f>
        <v>#N/A</v>
      </c>
      <c r="S39" s="101" t="e">
        <f t="shared" si="2"/>
        <v>#N/A</v>
      </c>
      <c r="T39" s="101" t="e">
        <f>S39/SUM('Prod &amp; Defects - Qty'!$M$6:$R$6)*1000000</f>
        <v>#N/A</v>
      </c>
      <c r="U39" s="101" t="e">
        <f t="shared" si="3"/>
        <v>#N/A</v>
      </c>
      <c r="V39" s="101" t="e">
        <f>U39/'Prod &amp; Defects - Qty'!$S$6*1000000</f>
        <v>#N/A</v>
      </c>
      <c r="W39" s="101" t="e">
        <f t="shared" si="10"/>
        <v>#N/A</v>
      </c>
      <c r="X39" s="101" t="e">
        <f t="shared" si="10"/>
        <v>#N/A</v>
      </c>
      <c r="Y39" s="101" t="e">
        <f t="shared" si="4"/>
        <v>#N/A</v>
      </c>
      <c r="Z39" s="101" t="e">
        <f t="shared" si="11"/>
        <v>#N/A</v>
      </c>
    </row>
    <row r="40" spans="1:26" ht="18" customHeight="1">
      <c r="A40" s="783"/>
      <c r="B40" s="88">
        <f t="shared" ref="B40:B49" si="12">B39+10</f>
        <v>3240</v>
      </c>
      <c r="C40" s="89" t="s">
        <v>79</v>
      </c>
      <c r="D40" s="369">
        <f>'[3]Falhas UM-3-1 Qty'!Z40</f>
        <v>28.164323067238588</v>
      </c>
      <c r="E40" s="380" t="e">
        <f>$D40/1000000*'Prod &amp; Defects - Qty'!G$6</f>
        <v>#N/A</v>
      </c>
      <c r="F40" s="380" t="e">
        <f>$D40/1000000*'Prod &amp; Defects - Qty'!H$6</f>
        <v>#N/A</v>
      </c>
      <c r="G40" s="380" t="e">
        <f>$D40/1000000*'Prod &amp; Defects - Qty'!I$6</f>
        <v>#N/A</v>
      </c>
      <c r="H40" s="380" t="e">
        <f>$D40/1000000*'Prod &amp; Defects - Qty'!J$6</f>
        <v>#N/A</v>
      </c>
      <c r="I40" s="380" t="e">
        <f>$D40/1000000*'Prod &amp; Defects - Qty'!K$6</f>
        <v>#N/A</v>
      </c>
      <c r="J40" s="380" t="e">
        <f>$D40/1000000*'Prod &amp; Defects - Qty'!L$6</f>
        <v>#N/A</v>
      </c>
      <c r="K40" s="380" t="e">
        <f>$D40/1000000*'Prod &amp; Defects - Qty'!M$6</f>
        <v>#N/A</v>
      </c>
      <c r="L40" s="380" t="e">
        <f>$D40/1000000*'Prod &amp; Defects - Qty'!N$6</f>
        <v>#N/A</v>
      </c>
      <c r="M40" s="380" t="e">
        <f>$D40/1000000*'Prod &amp; Defects - Qty'!O$6</f>
        <v>#N/A</v>
      </c>
      <c r="N40" s="380" t="e">
        <f>$D40/1000000*'Prod &amp; Defects - Qty'!P$6</f>
        <v>#N/A</v>
      </c>
      <c r="O40" s="380" t="e">
        <f>$D40/1000000*'Prod &amp; Defects - Qty'!Q$6</f>
        <v>#N/A</v>
      </c>
      <c r="P40" s="380" t="e">
        <f>$D40/1000000*'Prod &amp; Defects - Qty'!R$6</f>
        <v>#N/A</v>
      </c>
      <c r="Q40" s="101" t="e">
        <f t="shared" si="1"/>
        <v>#N/A</v>
      </c>
      <c r="R40" s="101" t="e">
        <f>Q40/SUM('Prod &amp; Defects - Qty'!$G$6:$L$6)*1000000</f>
        <v>#N/A</v>
      </c>
      <c r="S40" s="101" t="e">
        <f t="shared" si="2"/>
        <v>#N/A</v>
      </c>
      <c r="T40" s="101" t="e">
        <f>S40/SUM('Prod &amp; Defects - Qty'!$M$6:$R$6)*1000000</f>
        <v>#N/A</v>
      </c>
      <c r="U40" s="101" t="e">
        <f t="shared" si="3"/>
        <v>#N/A</v>
      </c>
      <c r="V40" s="101" t="e">
        <f>U40/'Prod &amp; Defects - Qty'!$S$6*1000000</f>
        <v>#N/A</v>
      </c>
      <c r="W40" s="101" t="e">
        <f t="shared" si="10"/>
        <v>#N/A</v>
      </c>
      <c r="X40" s="101" t="e">
        <f t="shared" si="10"/>
        <v>#N/A</v>
      </c>
      <c r="Y40" s="101" t="e">
        <f t="shared" si="4"/>
        <v>#N/A</v>
      </c>
      <c r="Z40" s="101" t="e">
        <f t="shared" si="11"/>
        <v>#N/A</v>
      </c>
    </row>
    <row r="41" spans="1:26" ht="18" customHeight="1">
      <c r="A41" s="783"/>
      <c r="B41" s="88">
        <f t="shared" si="12"/>
        <v>3250</v>
      </c>
      <c r="C41" s="89" t="s">
        <v>78</v>
      </c>
      <c r="D41" s="369">
        <f>'[3]Falhas UM-3-1 Qty'!Z41</f>
        <v>4.1531180942231725</v>
      </c>
      <c r="E41" s="380" t="e">
        <f>$D41/1000000*'Prod &amp; Defects - Qty'!G$6</f>
        <v>#N/A</v>
      </c>
      <c r="F41" s="380" t="e">
        <f>$D41/1000000*'Prod &amp; Defects - Qty'!H$6</f>
        <v>#N/A</v>
      </c>
      <c r="G41" s="380" t="e">
        <f>$D41/1000000*'Prod &amp; Defects - Qty'!I$6</f>
        <v>#N/A</v>
      </c>
      <c r="H41" s="380" t="e">
        <f>$D41/1000000*'Prod &amp; Defects - Qty'!J$6</f>
        <v>#N/A</v>
      </c>
      <c r="I41" s="380" t="e">
        <f>$D41/1000000*'Prod &amp; Defects - Qty'!K$6</f>
        <v>#N/A</v>
      </c>
      <c r="J41" s="380" t="e">
        <f>$D41/1000000*'Prod &amp; Defects - Qty'!L$6</f>
        <v>#N/A</v>
      </c>
      <c r="K41" s="380" t="e">
        <f>$D41/1000000*'Prod &amp; Defects - Qty'!M$6</f>
        <v>#N/A</v>
      </c>
      <c r="L41" s="380" t="e">
        <f>$D41/1000000*'Prod &amp; Defects - Qty'!N$6</f>
        <v>#N/A</v>
      </c>
      <c r="M41" s="380" t="e">
        <f>$D41/1000000*'Prod &amp; Defects - Qty'!O$6</f>
        <v>#N/A</v>
      </c>
      <c r="N41" s="380" t="e">
        <f>$D41/1000000*'Prod &amp; Defects - Qty'!P$6</f>
        <v>#N/A</v>
      </c>
      <c r="O41" s="380" t="e">
        <f>$D41/1000000*'Prod &amp; Defects - Qty'!Q$6</f>
        <v>#N/A</v>
      </c>
      <c r="P41" s="380" t="e">
        <f>$D41/1000000*'Prod &amp; Defects - Qty'!R$6</f>
        <v>#N/A</v>
      </c>
      <c r="Q41" s="101" t="e">
        <f t="shared" si="1"/>
        <v>#N/A</v>
      </c>
      <c r="R41" s="101" t="e">
        <f>Q41/SUM('Prod &amp; Defects - Qty'!$G$6:$L$6)*1000000</f>
        <v>#N/A</v>
      </c>
      <c r="S41" s="101" t="e">
        <f t="shared" si="2"/>
        <v>#N/A</v>
      </c>
      <c r="T41" s="101" t="e">
        <f>S41/SUM('Prod &amp; Defects - Qty'!$M$6:$R$6)*1000000</f>
        <v>#N/A</v>
      </c>
      <c r="U41" s="101" t="e">
        <f t="shared" si="3"/>
        <v>#N/A</v>
      </c>
      <c r="V41" s="101" t="e">
        <f>U41/'Prod &amp; Defects - Qty'!$S$6*1000000</f>
        <v>#N/A</v>
      </c>
      <c r="W41" s="101" t="e">
        <f t="shared" si="10"/>
        <v>#N/A</v>
      </c>
      <c r="X41" s="101" t="e">
        <f t="shared" si="10"/>
        <v>#N/A</v>
      </c>
      <c r="Y41" s="101" t="e">
        <f t="shared" si="4"/>
        <v>#N/A</v>
      </c>
      <c r="Z41" s="101" t="e">
        <f t="shared" si="11"/>
        <v>#N/A</v>
      </c>
    </row>
    <row r="42" spans="1:26" ht="18" customHeight="1">
      <c r="A42" s="783"/>
      <c r="B42" s="88">
        <f t="shared" si="12"/>
        <v>3260</v>
      </c>
      <c r="C42" s="89" t="s">
        <v>15</v>
      </c>
      <c r="D42" s="369">
        <f>'[3]Falhas UM-3-1 Qty'!Z42</f>
        <v>23.063325286637351</v>
      </c>
      <c r="E42" s="380" t="e">
        <f>$D42/1000000*'Prod &amp; Defects - Qty'!G$6</f>
        <v>#N/A</v>
      </c>
      <c r="F42" s="380" t="e">
        <f>$D42/1000000*'Prod &amp; Defects - Qty'!H$6</f>
        <v>#N/A</v>
      </c>
      <c r="G42" s="380" t="e">
        <f>$D42/1000000*'Prod &amp; Defects - Qty'!I$6</f>
        <v>#N/A</v>
      </c>
      <c r="H42" s="380" t="e">
        <f>$D42/1000000*'Prod &amp; Defects - Qty'!J$6</f>
        <v>#N/A</v>
      </c>
      <c r="I42" s="380" t="e">
        <f>$D42/1000000*'Prod &amp; Defects - Qty'!K$6</f>
        <v>#N/A</v>
      </c>
      <c r="J42" s="380" t="e">
        <f>$D42/1000000*'Prod &amp; Defects - Qty'!L$6</f>
        <v>#N/A</v>
      </c>
      <c r="K42" s="380" t="e">
        <f>$D42/1000000*'Prod &amp; Defects - Qty'!M$6</f>
        <v>#N/A</v>
      </c>
      <c r="L42" s="380" t="e">
        <f>$D42/1000000*'Prod &amp; Defects - Qty'!N$6</f>
        <v>#N/A</v>
      </c>
      <c r="M42" s="380" t="e">
        <f>$D42/1000000*'Prod &amp; Defects - Qty'!O$6</f>
        <v>#N/A</v>
      </c>
      <c r="N42" s="380" t="e">
        <f>$D42/1000000*'Prod &amp; Defects - Qty'!P$6</f>
        <v>#N/A</v>
      </c>
      <c r="O42" s="380" t="e">
        <f>$D42/1000000*'Prod &amp; Defects - Qty'!Q$6</f>
        <v>#N/A</v>
      </c>
      <c r="P42" s="380" t="e">
        <f>$D42/1000000*'Prod &amp; Defects - Qty'!R$6</f>
        <v>#N/A</v>
      </c>
      <c r="Q42" s="101" t="e">
        <f t="shared" si="1"/>
        <v>#N/A</v>
      </c>
      <c r="R42" s="101" t="e">
        <f>Q42/SUM('Prod &amp; Defects - Qty'!$G$6:$L$6)*1000000</f>
        <v>#N/A</v>
      </c>
      <c r="S42" s="101" t="e">
        <f t="shared" si="2"/>
        <v>#N/A</v>
      </c>
      <c r="T42" s="101" t="e">
        <f>S42/SUM('Prod &amp; Defects - Qty'!$M$6:$R$6)*1000000</f>
        <v>#N/A</v>
      </c>
      <c r="U42" s="101" t="e">
        <f t="shared" si="3"/>
        <v>#N/A</v>
      </c>
      <c r="V42" s="101" t="e">
        <f>U42/'Prod &amp; Defects - Qty'!$S$6*1000000</f>
        <v>#N/A</v>
      </c>
      <c r="W42" s="101" t="e">
        <f t="shared" si="10"/>
        <v>#N/A</v>
      </c>
      <c r="X42" s="101" t="e">
        <f t="shared" si="10"/>
        <v>#N/A</v>
      </c>
      <c r="Y42" s="101" t="e">
        <f t="shared" si="4"/>
        <v>#N/A</v>
      </c>
      <c r="Z42" s="101" t="e">
        <f t="shared" si="11"/>
        <v>#N/A</v>
      </c>
    </row>
    <row r="43" spans="1:26" ht="18" customHeight="1">
      <c r="A43" s="783"/>
      <c r="B43" s="88">
        <f t="shared" si="12"/>
        <v>3270</v>
      </c>
      <c r="C43" s="89" t="s">
        <v>14</v>
      </c>
      <c r="D43" s="369">
        <f>'[3]Falhas UM-3-1 Qty'!Z43</f>
        <v>19.058965055294717</v>
      </c>
      <c r="E43" s="380" t="e">
        <f>$D43/1000000*'Prod &amp; Defects - Qty'!G$6</f>
        <v>#N/A</v>
      </c>
      <c r="F43" s="380" t="e">
        <f>$D43/1000000*'Prod &amp; Defects - Qty'!H$6</f>
        <v>#N/A</v>
      </c>
      <c r="G43" s="380" t="e">
        <f>$D43/1000000*'Prod &amp; Defects - Qty'!I$6</f>
        <v>#N/A</v>
      </c>
      <c r="H43" s="380" t="e">
        <f>$D43/1000000*'Prod &amp; Defects - Qty'!J$6</f>
        <v>#N/A</v>
      </c>
      <c r="I43" s="380" t="e">
        <f>$D43/1000000*'Prod &amp; Defects - Qty'!K$6</f>
        <v>#N/A</v>
      </c>
      <c r="J43" s="380" t="e">
        <f>$D43/1000000*'Prod &amp; Defects - Qty'!L$6</f>
        <v>#N/A</v>
      </c>
      <c r="K43" s="380" t="e">
        <f>$D43/1000000*'Prod &amp; Defects - Qty'!M$6</f>
        <v>#N/A</v>
      </c>
      <c r="L43" s="380" t="e">
        <f>$D43/1000000*'Prod &amp; Defects - Qty'!N$6</f>
        <v>#N/A</v>
      </c>
      <c r="M43" s="380" t="e">
        <f>$D43/1000000*'Prod &amp; Defects - Qty'!O$6</f>
        <v>#N/A</v>
      </c>
      <c r="N43" s="380" t="e">
        <f>$D43/1000000*'Prod &amp; Defects - Qty'!P$6</f>
        <v>#N/A</v>
      </c>
      <c r="O43" s="380" t="e">
        <f>$D43/1000000*'Prod &amp; Defects - Qty'!Q$6</f>
        <v>#N/A</v>
      </c>
      <c r="P43" s="380" t="e">
        <f>$D43/1000000*'Prod &amp; Defects - Qty'!R$6</f>
        <v>#N/A</v>
      </c>
      <c r="Q43" s="101" t="e">
        <f t="shared" si="1"/>
        <v>#N/A</v>
      </c>
      <c r="R43" s="101" t="e">
        <f>Q43/SUM('Prod &amp; Defects - Qty'!$G$6:$L$6)*1000000</f>
        <v>#N/A</v>
      </c>
      <c r="S43" s="101" t="e">
        <f t="shared" si="2"/>
        <v>#N/A</v>
      </c>
      <c r="T43" s="101" t="e">
        <f>S43/SUM('Prod &amp; Defects - Qty'!$M$6:$R$6)*1000000</f>
        <v>#N/A</v>
      </c>
      <c r="U43" s="101" t="e">
        <f t="shared" si="3"/>
        <v>#N/A</v>
      </c>
      <c r="V43" s="101" t="e">
        <f>U43/'Prod &amp; Defects - Qty'!$S$6*1000000</f>
        <v>#N/A</v>
      </c>
      <c r="W43" s="101" t="e">
        <f t="shared" si="10"/>
        <v>#N/A</v>
      </c>
      <c r="X43" s="101" t="e">
        <f t="shared" si="10"/>
        <v>#N/A</v>
      </c>
      <c r="Y43" s="101" t="e">
        <f t="shared" si="4"/>
        <v>#N/A</v>
      </c>
      <c r="Z43" s="101" t="e">
        <f t="shared" si="11"/>
        <v>#N/A</v>
      </c>
    </row>
    <row r="44" spans="1:26" ht="18" customHeight="1">
      <c r="A44" s="783"/>
      <c r="B44" s="88">
        <f t="shared" si="12"/>
        <v>3280</v>
      </c>
      <c r="C44" s="89" t="s">
        <v>77</v>
      </c>
      <c r="D44" s="369">
        <f>'[3]Falhas UM-3-1 Qty'!Z44</f>
        <v>70.814898067912409</v>
      </c>
      <c r="E44" s="380" t="e">
        <f>$D44/1000000*'Prod &amp; Defects - Qty'!G$6</f>
        <v>#N/A</v>
      </c>
      <c r="F44" s="380" t="e">
        <f>$D44/1000000*'Prod &amp; Defects - Qty'!H$6</f>
        <v>#N/A</v>
      </c>
      <c r="G44" s="380" t="e">
        <f>$D44/1000000*'Prod &amp; Defects - Qty'!I$6</f>
        <v>#N/A</v>
      </c>
      <c r="H44" s="380" t="e">
        <f>$D44/1000000*'Prod &amp; Defects - Qty'!J$6</f>
        <v>#N/A</v>
      </c>
      <c r="I44" s="380" t="e">
        <f>$D44/1000000*'Prod &amp; Defects - Qty'!K$6</f>
        <v>#N/A</v>
      </c>
      <c r="J44" s="380" t="e">
        <f>$D44/1000000*'Prod &amp; Defects - Qty'!L$6</f>
        <v>#N/A</v>
      </c>
      <c r="K44" s="380" t="e">
        <f>$D44/1000000*'Prod &amp; Defects - Qty'!M$6</f>
        <v>#N/A</v>
      </c>
      <c r="L44" s="380" t="e">
        <f>$D44/1000000*'Prod &amp; Defects - Qty'!N$6</f>
        <v>#N/A</v>
      </c>
      <c r="M44" s="380" t="e">
        <f>$D44/1000000*'Prod &amp; Defects - Qty'!O$6</f>
        <v>#N/A</v>
      </c>
      <c r="N44" s="380" t="e">
        <f>$D44/1000000*'Prod &amp; Defects - Qty'!P$6</f>
        <v>#N/A</v>
      </c>
      <c r="O44" s="380" t="e">
        <f>$D44/1000000*'Prod &amp; Defects - Qty'!Q$6</f>
        <v>#N/A</v>
      </c>
      <c r="P44" s="380" t="e">
        <f>$D44/1000000*'Prod &amp; Defects - Qty'!R$6</f>
        <v>#N/A</v>
      </c>
      <c r="Q44" s="101" t="e">
        <f t="shared" si="1"/>
        <v>#N/A</v>
      </c>
      <c r="R44" s="101" t="e">
        <f>Q44/SUM('Prod &amp; Defects - Qty'!$G$6:$L$6)*1000000</f>
        <v>#N/A</v>
      </c>
      <c r="S44" s="101" t="e">
        <f t="shared" si="2"/>
        <v>#N/A</v>
      </c>
      <c r="T44" s="101" t="e">
        <f>S44/SUM('Prod &amp; Defects - Qty'!$M$6:$R$6)*1000000</f>
        <v>#N/A</v>
      </c>
      <c r="U44" s="101" t="e">
        <f t="shared" si="3"/>
        <v>#N/A</v>
      </c>
      <c r="V44" s="101" t="e">
        <f>U44/'Prod &amp; Defects - Qty'!$S$6*1000000</f>
        <v>#N/A</v>
      </c>
      <c r="W44" s="101" t="e">
        <f t="shared" si="10"/>
        <v>#N/A</v>
      </c>
      <c r="X44" s="101" t="e">
        <f t="shared" si="10"/>
        <v>#N/A</v>
      </c>
      <c r="Y44" s="101" t="e">
        <f t="shared" si="4"/>
        <v>#N/A</v>
      </c>
      <c r="Z44" s="101" t="e">
        <f t="shared" si="11"/>
        <v>#N/A</v>
      </c>
    </row>
    <row r="45" spans="1:26" ht="18" customHeight="1">
      <c r="A45" s="783"/>
      <c r="B45" s="88">
        <f t="shared" si="12"/>
        <v>3290</v>
      </c>
      <c r="C45" s="89" t="s">
        <v>13</v>
      </c>
      <c r="D45" s="369">
        <f>'[3]Falhas UM-3-1 Qty'!Z45</f>
        <v>20.727718979859791</v>
      </c>
      <c r="E45" s="380" t="e">
        <f>$D45/1000000*'Prod &amp; Defects - Qty'!G$6</f>
        <v>#N/A</v>
      </c>
      <c r="F45" s="380" t="e">
        <f>$D45/1000000*'Prod &amp; Defects - Qty'!H$6</f>
        <v>#N/A</v>
      </c>
      <c r="G45" s="380" t="e">
        <f>$D45/1000000*'Prod &amp; Defects - Qty'!I$6</f>
        <v>#N/A</v>
      </c>
      <c r="H45" s="380" t="e">
        <f>$D45/1000000*'Prod &amp; Defects - Qty'!J$6</f>
        <v>#N/A</v>
      </c>
      <c r="I45" s="380" t="e">
        <f>$D45/1000000*'Prod &amp; Defects - Qty'!K$6</f>
        <v>#N/A</v>
      </c>
      <c r="J45" s="380" t="e">
        <f>$D45/1000000*'Prod &amp; Defects - Qty'!L$6</f>
        <v>#N/A</v>
      </c>
      <c r="K45" s="380" t="e">
        <f>$D45/1000000*'Prod &amp; Defects - Qty'!M$6</f>
        <v>#N/A</v>
      </c>
      <c r="L45" s="380" t="e">
        <f>$D45/1000000*'Prod &amp; Defects - Qty'!N$6</f>
        <v>#N/A</v>
      </c>
      <c r="M45" s="380" t="e">
        <f>$D45/1000000*'Prod &amp; Defects - Qty'!O$6</f>
        <v>#N/A</v>
      </c>
      <c r="N45" s="380" t="e">
        <f>$D45/1000000*'Prod &amp; Defects - Qty'!P$6</f>
        <v>#N/A</v>
      </c>
      <c r="O45" s="380" t="e">
        <f>$D45/1000000*'Prod &amp; Defects - Qty'!Q$6</f>
        <v>#N/A</v>
      </c>
      <c r="P45" s="380" t="e">
        <f>$D45/1000000*'Prod &amp; Defects - Qty'!R$6</f>
        <v>#N/A</v>
      </c>
      <c r="Q45" s="101" t="e">
        <f t="shared" si="1"/>
        <v>#N/A</v>
      </c>
      <c r="R45" s="101" t="e">
        <f>Q45/SUM('Prod &amp; Defects - Qty'!$G$6:$L$6)*1000000</f>
        <v>#N/A</v>
      </c>
      <c r="S45" s="101" t="e">
        <f t="shared" si="2"/>
        <v>#N/A</v>
      </c>
      <c r="T45" s="101" t="e">
        <f>S45/SUM('Prod &amp; Defects - Qty'!$M$6:$R$6)*1000000</f>
        <v>#N/A</v>
      </c>
      <c r="U45" s="101" t="e">
        <f t="shared" si="3"/>
        <v>#N/A</v>
      </c>
      <c r="V45" s="101" t="e">
        <f>U45/'Prod &amp; Defects - Qty'!$S$6*1000000</f>
        <v>#N/A</v>
      </c>
      <c r="W45" s="101" t="e">
        <f t="shared" si="10"/>
        <v>#N/A</v>
      </c>
      <c r="X45" s="101" t="e">
        <f t="shared" si="10"/>
        <v>#N/A</v>
      </c>
      <c r="Y45" s="101" t="e">
        <f t="shared" si="4"/>
        <v>#N/A</v>
      </c>
      <c r="Z45" s="101" t="e">
        <f t="shared" si="11"/>
        <v>#N/A</v>
      </c>
    </row>
    <row r="46" spans="1:26" ht="18" customHeight="1">
      <c r="A46" s="783"/>
      <c r="B46" s="88">
        <f t="shared" si="12"/>
        <v>3300</v>
      </c>
      <c r="C46" s="89" t="s">
        <v>12</v>
      </c>
      <c r="D46" s="369">
        <f>'[3]Falhas UM-3-1 Qty'!Z46</f>
        <v>5.327460697065602</v>
      </c>
      <c r="E46" s="380" t="e">
        <f>$D46/1000000*'Prod &amp; Defects - Qty'!G$6</f>
        <v>#N/A</v>
      </c>
      <c r="F46" s="380" t="e">
        <f>$D46/1000000*'Prod &amp; Defects - Qty'!H$6</f>
        <v>#N/A</v>
      </c>
      <c r="G46" s="380" t="e">
        <f>$D46/1000000*'Prod &amp; Defects - Qty'!I$6</f>
        <v>#N/A</v>
      </c>
      <c r="H46" s="380" t="e">
        <f>$D46/1000000*'Prod &amp; Defects - Qty'!J$6</f>
        <v>#N/A</v>
      </c>
      <c r="I46" s="380" t="e">
        <f>$D46/1000000*'Prod &amp; Defects - Qty'!K$6</f>
        <v>#N/A</v>
      </c>
      <c r="J46" s="380" t="e">
        <f>$D46/1000000*'Prod &amp; Defects - Qty'!L$6</f>
        <v>#N/A</v>
      </c>
      <c r="K46" s="380" t="e">
        <f>$D46/1000000*'Prod &amp; Defects - Qty'!M$6</f>
        <v>#N/A</v>
      </c>
      <c r="L46" s="380" t="e">
        <f>$D46/1000000*'Prod &amp; Defects - Qty'!N$6</f>
        <v>#N/A</v>
      </c>
      <c r="M46" s="380" t="e">
        <f>$D46/1000000*'Prod &amp; Defects - Qty'!O$6</f>
        <v>#N/A</v>
      </c>
      <c r="N46" s="380" t="e">
        <f>$D46/1000000*'Prod &amp; Defects - Qty'!P$6</f>
        <v>#N/A</v>
      </c>
      <c r="O46" s="380" t="e">
        <f>$D46/1000000*'Prod &amp; Defects - Qty'!Q$6</f>
        <v>#N/A</v>
      </c>
      <c r="P46" s="380" t="e">
        <f>$D46/1000000*'Prod &amp; Defects - Qty'!R$6</f>
        <v>#N/A</v>
      </c>
      <c r="Q46" s="101" t="e">
        <f t="shared" si="1"/>
        <v>#N/A</v>
      </c>
      <c r="R46" s="101" t="e">
        <f>Q46/SUM('Prod &amp; Defects - Qty'!$G$6:$L$6)*1000000</f>
        <v>#N/A</v>
      </c>
      <c r="S46" s="101" t="e">
        <f t="shared" si="2"/>
        <v>#N/A</v>
      </c>
      <c r="T46" s="101" t="e">
        <f>S46/SUM('Prod &amp; Defects - Qty'!$M$6:$R$6)*1000000</f>
        <v>#N/A</v>
      </c>
      <c r="U46" s="101" t="e">
        <f t="shared" si="3"/>
        <v>#N/A</v>
      </c>
      <c r="V46" s="101" t="e">
        <f>U46/'Prod &amp; Defects - Qty'!$S$6*1000000</f>
        <v>#N/A</v>
      </c>
      <c r="W46" s="101" t="e">
        <f t="shared" si="10"/>
        <v>#N/A</v>
      </c>
      <c r="X46" s="101" t="e">
        <f t="shared" si="10"/>
        <v>#N/A</v>
      </c>
      <c r="Y46" s="101" t="e">
        <f t="shared" si="4"/>
        <v>#N/A</v>
      </c>
      <c r="Z46" s="101" t="e">
        <f t="shared" si="11"/>
        <v>#N/A</v>
      </c>
    </row>
    <row r="47" spans="1:26" ht="18" customHeight="1">
      <c r="A47" s="783"/>
      <c r="B47" s="88">
        <f t="shared" si="12"/>
        <v>3310</v>
      </c>
      <c r="C47" s="89" t="s">
        <v>142</v>
      </c>
      <c r="D47" s="369">
        <f>'[3]Falhas UM-3-1 Qty'!Z47</f>
        <v>97.951957531253711</v>
      </c>
      <c r="E47" s="380" t="e">
        <f>$D47/1000000*'Prod &amp; Defects - Qty'!G$6</f>
        <v>#N/A</v>
      </c>
      <c r="F47" s="380" t="e">
        <f>$D47/1000000*'Prod &amp; Defects - Qty'!H$6</f>
        <v>#N/A</v>
      </c>
      <c r="G47" s="380" t="e">
        <f>$D47/1000000*'Prod &amp; Defects - Qty'!I$6</f>
        <v>#N/A</v>
      </c>
      <c r="H47" s="380" t="e">
        <f>$D47/1000000*'Prod &amp; Defects - Qty'!J$6</f>
        <v>#N/A</v>
      </c>
      <c r="I47" s="380" t="e">
        <f>$D47/1000000*'Prod &amp; Defects - Qty'!K$6</f>
        <v>#N/A</v>
      </c>
      <c r="J47" s="380" t="e">
        <f>$D47/1000000*'Prod &amp; Defects - Qty'!L$6</f>
        <v>#N/A</v>
      </c>
      <c r="K47" s="380" t="e">
        <f>$D47/1000000*'Prod &amp; Defects - Qty'!M$6</f>
        <v>#N/A</v>
      </c>
      <c r="L47" s="380" t="e">
        <f>$D47/1000000*'Prod &amp; Defects - Qty'!N$6</f>
        <v>#N/A</v>
      </c>
      <c r="M47" s="380" t="e">
        <f>$D47/1000000*'Prod &amp; Defects - Qty'!O$6</f>
        <v>#N/A</v>
      </c>
      <c r="N47" s="380" t="e">
        <f>$D47/1000000*'Prod &amp; Defects - Qty'!P$6</f>
        <v>#N/A</v>
      </c>
      <c r="O47" s="380" t="e">
        <f>$D47/1000000*'Prod &amp; Defects - Qty'!Q$6</f>
        <v>#N/A</v>
      </c>
      <c r="P47" s="380" t="e">
        <f>$D47/1000000*'Prod &amp; Defects - Qty'!R$6</f>
        <v>#N/A</v>
      </c>
      <c r="Q47" s="101" t="e">
        <f t="shared" si="1"/>
        <v>#N/A</v>
      </c>
      <c r="R47" s="101" t="e">
        <f>Q47/SUM('Prod &amp; Defects - Qty'!$G$6:$L$6)*1000000</f>
        <v>#N/A</v>
      </c>
      <c r="S47" s="101" t="e">
        <f t="shared" si="2"/>
        <v>#N/A</v>
      </c>
      <c r="T47" s="101" t="e">
        <f>S47/SUM('Prod &amp; Defects - Qty'!$M$6:$R$6)*1000000</f>
        <v>#N/A</v>
      </c>
      <c r="U47" s="101" t="e">
        <f t="shared" si="3"/>
        <v>#N/A</v>
      </c>
      <c r="V47" s="101" t="e">
        <f>U47/'Prod &amp; Defects - Qty'!$S$6*1000000</f>
        <v>#N/A</v>
      </c>
      <c r="W47" s="101" t="e">
        <f t="shared" ref="W47:X57" si="13">V47*$AA$7</f>
        <v>#N/A</v>
      </c>
      <c r="X47" s="101" t="e">
        <f t="shared" si="13"/>
        <v>#N/A</v>
      </c>
      <c r="Y47" s="101" t="e">
        <f t="shared" si="4"/>
        <v>#N/A</v>
      </c>
      <c r="Z47" s="101" t="e">
        <f t="shared" si="11"/>
        <v>#N/A</v>
      </c>
    </row>
    <row r="48" spans="1:26" ht="18" customHeight="1">
      <c r="A48" s="783"/>
      <c r="B48" s="88">
        <f t="shared" si="12"/>
        <v>3320</v>
      </c>
      <c r="C48" s="89" t="s">
        <v>11</v>
      </c>
      <c r="D48" s="369">
        <f>'[3]Falhas UM-3-1 Qty'!Z48</f>
        <v>75.248250812775041</v>
      </c>
      <c r="E48" s="380" t="e">
        <f>$D48/1000000*'Prod &amp; Defects - Qty'!G$6</f>
        <v>#N/A</v>
      </c>
      <c r="F48" s="380" t="e">
        <f>$D48/1000000*'Prod &amp; Defects - Qty'!H$6</f>
        <v>#N/A</v>
      </c>
      <c r="G48" s="380" t="e">
        <f>$D48/1000000*'Prod &amp; Defects - Qty'!I$6</f>
        <v>#N/A</v>
      </c>
      <c r="H48" s="380" t="e">
        <f>$D48/1000000*'Prod &amp; Defects - Qty'!J$6</f>
        <v>#N/A</v>
      </c>
      <c r="I48" s="380" t="e">
        <f>$D48/1000000*'Prod &amp; Defects - Qty'!K$6</f>
        <v>#N/A</v>
      </c>
      <c r="J48" s="380" t="e">
        <f>$D48/1000000*'Prod &amp; Defects - Qty'!L$6</f>
        <v>#N/A</v>
      </c>
      <c r="K48" s="380" t="e">
        <f>$D48/1000000*'Prod &amp; Defects - Qty'!M$6</f>
        <v>#N/A</v>
      </c>
      <c r="L48" s="380" t="e">
        <f>$D48/1000000*'Prod &amp; Defects - Qty'!N$6</f>
        <v>#N/A</v>
      </c>
      <c r="M48" s="380" t="e">
        <f>$D48/1000000*'Prod &amp; Defects - Qty'!O$6</f>
        <v>#N/A</v>
      </c>
      <c r="N48" s="380" t="e">
        <f>$D48/1000000*'Prod &amp; Defects - Qty'!P$6</f>
        <v>#N/A</v>
      </c>
      <c r="O48" s="380" t="e">
        <f>$D48/1000000*'Prod &amp; Defects - Qty'!Q$6</f>
        <v>#N/A</v>
      </c>
      <c r="P48" s="380" t="e">
        <f>$D48/1000000*'Prod &amp; Defects - Qty'!R$6</f>
        <v>#N/A</v>
      </c>
      <c r="Q48" s="101" t="e">
        <f t="shared" si="1"/>
        <v>#N/A</v>
      </c>
      <c r="R48" s="101" t="e">
        <f>Q48/SUM('Prod &amp; Defects - Qty'!$G$6:$L$6)*1000000</f>
        <v>#N/A</v>
      </c>
      <c r="S48" s="101" t="e">
        <f t="shared" si="2"/>
        <v>#N/A</v>
      </c>
      <c r="T48" s="101" t="e">
        <f>S48/SUM('Prod &amp; Defects - Qty'!$M$6:$R$6)*1000000</f>
        <v>#N/A</v>
      </c>
      <c r="U48" s="101" t="e">
        <f t="shared" si="3"/>
        <v>#N/A</v>
      </c>
      <c r="V48" s="101" t="e">
        <f>U48/'Prod &amp; Defects - Qty'!$S$6*1000000</f>
        <v>#N/A</v>
      </c>
      <c r="W48" s="101" t="e">
        <f t="shared" si="13"/>
        <v>#N/A</v>
      </c>
      <c r="X48" s="101" t="e">
        <f t="shared" si="13"/>
        <v>#N/A</v>
      </c>
      <c r="Y48" s="101" t="e">
        <f t="shared" si="4"/>
        <v>#N/A</v>
      </c>
      <c r="Z48" s="101" t="e">
        <f t="shared" si="11"/>
        <v>#N/A</v>
      </c>
    </row>
    <row r="49" spans="1:26" ht="18" customHeight="1">
      <c r="A49" s="783"/>
      <c r="B49" s="88">
        <f t="shared" si="12"/>
        <v>3330</v>
      </c>
      <c r="C49" s="89" t="s">
        <v>6</v>
      </c>
      <c r="D49" s="369">
        <f>'[3]Falhas UM-3-1 Qty'!Z49</f>
        <v>81.015390580132575</v>
      </c>
      <c r="E49" s="380" t="e">
        <f>$D49/1000000*'Prod &amp; Defects - Qty'!G$6</f>
        <v>#N/A</v>
      </c>
      <c r="F49" s="380" t="e">
        <f>$D49/1000000*'Prod &amp; Defects - Qty'!H$6</f>
        <v>#N/A</v>
      </c>
      <c r="G49" s="380" t="e">
        <f>$D49/1000000*'Prod &amp; Defects - Qty'!I$6</f>
        <v>#N/A</v>
      </c>
      <c r="H49" s="380" t="e">
        <f>$D49/1000000*'Prod &amp; Defects - Qty'!J$6</f>
        <v>#N/A</v>
      </c>
      <c r="I49" s="380" t="e">
        <f>$D49/1000000*'Prod &amp; Defects - Qty'!K$6</f>
        <v>#N/A</v>
      </c>
      <c r="J49" s="380" t="e">
        <f>$D49/1000000*'Prod &amp; Defects - Qty'!L$6</f>
        <v>#N/A</v>
      </c>
      <c r="K49" s="380" t="e">
        <f>$D49/1000000*'Prod &amp; Defects - Qty'!M$6</f>
        <v>#N/A</v>
      </c>
      <c r="L49" s="380" t="e">
        <f>$D49/1000000*'Prod &amp; Defects - Qty'!N$6</f>
        <v>#N/A</v>
      </c>
      <c r="M49" s="380" t="e">
        <f>$D49/1000000*'Prod &amp; Defects - Qty'!O$6</f>
        <v>#N/A</v>
      </c>
      <c r="N49" s="380" t="e">
        <f>$D49/1000000*'Prod &amp; Defects - Qty'!P$6</f>
        <v>#N/A</v>
      </c>
      <c r="O49" s="380" t="e">
        <f>$D49/1000000*'Prod &amp; Defects - Qty'!Q$6</f>
        <v>#N/A</v>
      </c>
      <c r="P49" s="380" t="e">
        <f>$D49/1000000*'Prod &amp; Defects - Qty'!R$6</f>
        <v>#N/A</v>
      </c>
      <c r="Q49" s="101" t="e">
        <f t="shared" si="1"/>
        <v>#N/A</v>
      </c>
      <c r="R49" s="101" t="e">
        <f>Q49/SUM('Prod &amp; Defects - Qty'!$G$6:$L$6)*1000000</f>
        <v>#N/A</v>
      </c>
      <c r="S49" s="101" t="e">
        <f t="shared" si="2"/>
        <v>#N/A</v>
      </c>
      <c r="T49" s="101" t="e">
        <f>S49/SUM('Prod &amp; Defects - Qty'!$M$6:$R$6)*1000000</f>
        <v>#N/A</v>
      </c>
      <c r="U49" s="101" t="e">
        <f t="shared" si="3"/>
        <v>#N/A</v>
      </c>
      <c r="V49" s="101" t="e">
        <f>U49/'Prod &amp; Defects - Qty'!$S$6*1000000</f>
        <v>#N/A</v>
      </c>
      <c r="W49" s="101" t="e">
        <f t="shared" si="13"/>
        <v>#N/A</v>
      </c>
      <c r="X49" s="101" t="e">
        <f t="shared" si="13"/>
        <v>#N/A</v>
      </c>
      <c r="Y49" s="101" t="e">
        <f t="shared" si="4"/>
        <v>#N/A</v>
      </c>
      <c r="Z49" s="101" t="e">
        <f t="shared" si="11"/>
        <v>#N/A</v>
      </c>
    </row>
    <row r="50" spans="1:26" ht="18" customHeight="1">
      <c r="A50" s="783"/>
      <c r="B50" s="103"/>
      <c r="C50" s="104" t="s">
        <v>1</v>
      </c>
      <c r="D50" s="375">
        <f>'[3]Falhas UM-3-1 Qty'!Z50</f>
        <v>431.20764405230659</v>
      </c>
      <c r="E50" s="384" t="e">
        <f>$D50/1000000*'Prod &amp; Defects - Qty'!G$6</f>
        <v>#N/A</v>
      </c>
      <c r="F50" s="384" t="e">
        <f>$D50/1000000*'Prod &amp; Defects - Qty'!H$6</f>
        <v>#N/A</v>
      </c>
      <c r="G50" s="384" t="e">
        <f>$D50/1000000*'Prod &amp; Defects - Qty'!I$6</f>
        <v>#N/A</v>
      </c>
      <c r="H50" s="384" t="e">
        <f>$D50/1000000*'Prod &amp; Defects - Qty'!J$6</f>
        <v>#N/A</v>
      </c>
      <c r="I50" s="384" t="e">
        <f>$D50/1000000*'Prod &amp; Defects - Qty'!K$6</f>
        <v>#N/A</v>
      </c>
      <c r="J50" s="384" t="e">
        <f>$D50/1000000*'Prod &amp; Defects - Qty'!L$6</f>
        <v>#N/A</v>
      </c>
      <c r="K50" s="384" t="e">
        <f>$D50/1000000*'Prod &amp; Defects - Qty'!M$6</f>
        <v>#N/A</v>
      </c>
      <c r="L50" s="384" t="e">
        <f>$D50/1000000*'Prod &amp; Defects - Qty'!N$6</f>
        <v>#N/A</v>
      </c>
      <c r="M50" s="384" t="e">
        <f>$D50/1000000*'Prod &amp; Defects - Qty'!O$6</f>
        <v>#N/A</v>
      </c>
      <c r="N50" s="384" t="e">
        <f>$D50/1000000*'Prod &amp; Defects - Qty'!P$6</f>
        <v>#N/A</v>
      </c>
      <c r="O50" s="384" t="e">
        <f>$D50/1000000*'Prod &amp; Defects - Qty'!Q$6</f>
        <v>#N/A</v>
      </c>
      <c r="P50" s="384" t="e">
        <f>$D50/1000000*'Prod &amp; Defects - Qty'!R$6</f>
        <v>#N/A</v>
      </c>
      <c r="Q50" s="105" t="e">
        <f t="shared" si="1"/>
        <v>#N/A</v>
      </c>
      <c r="R50" s="105" t="e">
        <f>Q50/SUM('Prod &amp; Defects - Qty'!$G$6:$L$6)*1000000</f>
        <v>#N/A</v>
      </c>
      <c r="S50" s="105" t="e">
        <f t="shared" si="2"/>
        <v>#N/A</v>
      </c>
      <c r="T50" s="105" t="e">
        <f>S50/SUM('Prod &amp; Defects - Qty'!$M$6:$R$6)*1000000</f>
        <v>#N/A</v>
      </c>
      <c r="U50" s="105" t="e">
        <f t="shared" si="3"/>
        <v>#N/A</v>
      </c>
      <c r="V50" s="105" t="e">
        <f>U50/'Prod &amp; Defects - Qty'!$S$6*1000000</f>
        <v>#N/A</v>
      </c>
      <c r="W50" s="105" t="e">
        <f t="shared" si="13"/>
        <v>#N/A</v>
      </c>
      <c r="X50" s="105" t="e">
        <f t="shared" si="13"/>
        <v>#N/A</v>
      </c>
      <c r="Y50" s="105" t="e">
        <f t="shared" si="4"/>
        <v>#N/A</v>
      </c>
      <c r="Z50" s="105" t="e">
        <f>SUM(Z38:Z49)</f>
        <v>#N/A</v>
      </c>
    </row>
    <row r="51" spans="1:26" ht="18" customHeight="1">
      <c r="A51" s="783"/>
      <c r="B51" s="88">
        <f>B49+10</f>
        <v>3340</v>
      </c>
      <c r="C51" s="89" t="s">
        <v>2</v>
      </c>
      <c r="D51" s="369">
        <f>'[3]Falhas UM-3-1 Qty'!$Z$51</f>
        <v>600</v>
      </c>
      <c r="E51" s="379" t="e">
        <f>$D51/1000000*'Prod &amp; Defects - Qty'!G$6</f>
        <v>#N/A</v>
      </c>
      <c r="F51" s="379" t="e">
        <f>$D51/1000000*'Prod &amp; Defects - Qty'!H$6</f>
        <v>#N/A</v>
      </c>
      <c r="G51" s="379" t="e">
        <f>$D51/1000000*'Prod &amp; Defects - Qty'!I$6</f>
        <v>#N/A</v>
      </c>
      <c r="H51" s="379" t="e">
        <f>$D51/1000000*'Prod &amp; Defects - Qty'!J$6</f>
        <v>#N/A</v>
      </c>
      <c r="I51" s="379" t="e">
        <f>$D51/1000000*'Prod &amp; Defects - Qty'!K$6</f>
        <v>#N/A</v>
      </c>
      <c r="J51" s="379" t="e">
        <f>$D51/1000000*'Prod &amp; Defects - Qty'!L$6</f>
        <v>#N/A</v>
      </c>
      <c r="K51" s="379" t="e">
        <f>$D51/1000000*'Prod &amp; Defects - Qty'!M$6</f>
        <v>#N/A</v>
      </c>
      <c r="L51" s="379" t="e">
        <f>$D51/1000000*'Prod &amp; Defects - Qty'!N$6</f>
        <v>#N/A</v>
      </c>
      <c r="M51" s="379" t="e">
        <f>$D51/1000000*'Prod &amp; Defects - Qty'!O$6</f>
        <v>#N/A</v>
      </c>
      <c r="N51" s="379" t="e">
        <f>$D51/1000000*'Prod &amp; Defects - Qty'!P$6</f>
        <v>#N/A</v>
      </c>
      <c r="O51" s="379" t="e">
        <f>$D51/1000000*'Prod &amp; Defects - Qty'!Q$6</f>
        <v>#N/A</v>
      </c>
      <c r="P51" s="379" t="e">
        <f>$D51/1000000*'Prod &amp; Defects - Qty'!R$6</f>
        <v>#N/A</v>
      </c>
      <c r="Q51" s="90" t="e">
        <f t="shared" si="1"/>
        <v>#N/A</v>
      </c>
      <c r="R51" s="90" t="e">
        <f>Q51/SUM('Prod &amp; Defects - Qty'!$G$6:$L$6)*1000000</f>
        <v>#N/A</v>
      </c>
      <c r="S51" s="90" t="e">
        <f t="shared" si="2"/>
        <v>#N/A</v>
      </c>
      <c r="T51" s="90" t="e">
        <f>S51/SUM('Prod &amp; Defects - Qty'!$M$6:$R$6)*1000000</f>
        <v>#N/A</v>
      </c>
      <c r="U51" s="90" t="e">
        <f t="shared" si="3"/>
        <v>#N/A</v>
      </c>
      <c r="V51" s="90" t="e">
        <f>U51/'Prod &amp; Defects - Qty'!$S$6*1000000</f>
        <v>#N/A</v>
      </c>
      <c r="W51" s="90" t="e">
        <f t="shared" si="13"/>
        <v>#N/A</v>
      </c>
      <c r="X51" s="90" t="e">
        <f t="shared" si="13"/>
        <v>#N/A</v>
      </c>
      <c r="Y51" s="90" t="e">
        <f t="shared" si="4"/>
        <v>#N/A</v>
      </c>
      <c r="Z51" s="90" t="e">
        <f>Y51*$AA$7</f>
        <v>#N/A</v>
      </c>
    </row>
    <row r="52" spans="1:26" ht="18" customHeight="1">
      <c r="A52" s="783"/>
      <c r="B52" s="103">
        <f>B51+10</f>
        <v>3350</v>
      </c>
      <c r="C52" s="107" t="s">
        <v>60</v>
      </c>
      <c r="D52" s="376">
        <f>'[3]Falhas UM-3-1 Qty'!Z52</f>
        <v>0</v>
      </c>
      <c r="E52" s="385" t="e">
        <f>$D52/1000000*'Prod &amp; Defects - Qty'!G$6</f>
        <v>#N/A</v>
      </c>
      <c r="F52" s="385" t="e">
        <f>$D52/1000000*'Prod &amp; Defects - Qty'!H$6</f>
        <v>#N/A</v>
      </c>
      <c r="G52" s="385" t="e">
        <f>$D52/1000000*'Prod &amp; Defects - Qty'!I$6</f>
        <v>#N/A</v>
      </c>
      <c r="H52" s="385" t="e">
        <f>$D52/1000000*'Prod &amp; Defects - Qty'!J$6</f>
        <v>#N/A</v>
      </c>
      <c r="I52" s="385" t="e">
        <f>$D52/1000000*'Prod &amp; Defects - Qty'!K$6</f>
        <v>#N/A</v>
      </c>
      <c r="J52" s="385" t="e">
        <f>$D52/1000000*'Prod &amp; Defects - Qty'!L$6</f>
        <v>#N/A</v>
      </c>
      <c r="K52" s="385" t="e">
        <f>$D52/1000000*'Prod &amp; Defects - Qty'!M$6</f>
        <v>#N/A</v>
      </c>
      <c r="L52" s="385" t="e">
        <f>$D52/1000000*'Prod &amp; Defects - Qty'!N$6</f>
        <v>#N/A</v>
      </c>
      <c r="M52" s="385" t="e">
        <f>$D52/1000000*'Prod &amp; Defects - Qty'!O$6</f>
        <v>#N/A</v>
      </c>
      <c r="N52" s="385" t="e">
        <f>$D52/1000000*'Prod &amp; Defects - Qty'!P$6</f>
        <v>#N/A</v>
      </c>
      <c r="O52" s="385" t="e">
        <f>$D52/1000000*'Prod &amp; Defects - Qty'!Q$6</f>
        <v>#N/A</v>
      </c>
      <c r="P52" s="385" t="e">
        <f>$D52/1000000*'Prod &amp; Defects - Qty'!R$6</f>
        <v>#N/A</v>
      </c>
      <c r="Q52" s="212" t="e">
        <f t="shared" si="1"/>
        <v>#N/A</v>
      </c>
      <c r="R52" s="212" t="e">
        <f>Q52/SUM('Prod &amp; Defects - Qty'!$G$6:$L$6)*1000000</f>
        <v>#N/A</v>
      </c>
      <c r="S52" s="212" t="e">
        <f t="shared" si="2"/>
        <v>#N/A</v>
      </c>
      <c r="T52" s="212" t="e">
        <f>S52/SUM('Prod &amp; Defects - Qty'!$M$6:$R$6)*1000000</f>
        <v>#N/A</v>
      </c>
      <c r="U52" s="212" t="e">
        <f t="shared" si="3"/>
        <v>#N/A</v>
      </c>
      <c r="V52" s="212" t="e">
        <f>U52/'Prod &amp; Defects - Qty'!$S$6*1000000</f>
        <v>#N/A</v>
      </c>
      <c r="W52" s="212" t="e">
        <f t="shared" si="13"/>
        <v>#N/A</v>
      </c>
      <c r="X52" s="212" t="e">
        <f t="shared" si="13"/>
        <v>#N/A</v>
      </c>
      <c r="Y52" s="212" t="e">
        <f t="shared" si="4"/>
        <v>#N/A</v>
      </c>
      <c r="Z52" s="212" t="e">
        <f>Y52*$AA$7</f>
        <v>#N/A</v>
      </c>
    </row>
    <row r="53" spans="1:26" ht="18" customHeight="1">
      <c r="A53" s="783"/>
      <c r="B53" s="108">
        <f>B52+10</f>
        <v>3360</v>
      </c>
      <c r="C53" s="86" t="s">
        <v>76</v>
      </c>
      <c r="D53" s="368">
        <f>'[3]Falhas UM-3-1 Qty'!Z53</f>
        <v>0</v>
      </c>
      <c r="E53" s="378" t="e">
        <f>$D53/1000000*'Prod &amp; Defects - Qty'!G$6</f>
        <v>#N/A</v>
      </c>
      <c r="F53" s="378" t="e">
        <f>$D53/1000000*'Prod &amp; Defects - Qty'!H$6</f>
        <v>#N/A</v>
      </c>
      <c r="G53" s="378" t="e">
        <f>$D53/1000000*'Prod &amp; Defects - Qty'!I$6</f>
        <v>#N/A</v>
      </c>
      <c r="H53" s="378" t="e">
        <f>$D53/1000000*'Prod &amp; Defects - Qty'!J$6</f>
        <v>#N/A</v>
      </c>
      <c r="I53" s="378" t="e">
        <f>$D53/1000000*'Prod &amp; Defects - Qty'!K$6</f>
        <v>#N/A</v>
      </c>
      <c r="J53" s="378" t="e">
        <f>$D53/1000000*'Prod &amp; Defects - Qty'!L$6</f>
        <v>#N/A</v>
      </c>
      <c r="K53" s="378" t="e">
        <f>$D53/1000000*'Prod &amp; Defects - Qty'!M$6</f>
        <v>#N/A</v>
      </c>
      <c r="L53" s="378" t="e">
        <f>$D53/1000000*'Prod &amp; Defects - Qty'!N$6</f>
        <v>#N/A</v>
      </c>
      <c r="M53" s="378" t="e">
        <f>$D53/1000000*'Prod &amp; Defects - Qty'!O$6</f>
        <v>#N/A</v>
      </c>
      <c r="N53" s="378" t="e">
        <f>$D53/1000000*'Prod &amp; Defects - Qty'!P$6</f>
        <v>#N/A</v>
      </c>
      <c r="O53" s="378" t="e">
        <f>$D53/1000000*'Prod &amp; Defects - Qty'!Q$6</f>
        <v>#N/A</v>
      </c>
      <c r="P53" s="378" t="e">
        <f>$D53/1000000*'Prod &amp; Defects - Qty'!R$6</f>
        <v>#N/A</v>
      </c>
      <c r="Q53" s="87" t="e">
        <f t="shared" si="1"/>
        <v>#N/A</v>
      </c>
      <c r="R53" s="87" t="e">
        <f>Q53/SUM('Prod &amp; Defects - Qty'!$G$6:$L$6)*1000000</f>
        <v>#N/A</v>
      </c>
      <c r="S53" s="87" t="e">
        <f t="shared" si="2"/>
        <v>#N/A</v>
      </c>
      <c r="T53" s="87" t="e">
        <f>S53/SUM('Prod &amp; Defects - Qty'!$M$6:$R$6)*1000000</f>
        <v>#N/A</v>
      </c>
      <c r="U53" s="87" t="e">
        <f t="shared" si="3"/>
        <v>#N/A</v>
      </c>
      <c r="V53" s="87" t="e">
        <f>U53/'Prod &amp; Defects - Qty'!$S$6*1000000</f>
        <v>#N/A</v>
      </c>
      <c r="W53" s="87" t="e">
        <f t="shared" si="13"/>
        <v>#N/A</v>
      </c>
      <c r="X53" s="87" t="e">
        <f t="shared" si="13"/>
        <v>#N/A</v>
      </c>
      <c r="Y53" s="87" t="e">
        <f t="shared" si="4"/>
        <v>#N/A</v>
      </c>
      <c r="Z53" s="87" t="e">
        <f>Y53*$AA$7</f>
        <v>#N/A</v>
      </c>
    </row>
    <row r="54" spans="1:26" ht="18" customHeight="1">
      <c r="A54" s="783"/>
      <c r="B54" s="109">
        <f>B53+10</f>
        <v>3370</v>
      </c>
      <c r="C54" s="97" t="s">
        <v>75</v>
      </c>
      <c r="D54" s="373">
        <f>'[3]Falhas UM-3-1 Qty'!Z54</f>
        <v>10264.961432198535</v>
      </c>
      <c r="E54" s="383" t="e">
        <f>$D54/1000000*'Prod &amp; Defects - Qty'!G$6</f>
        <v>#N/A</v>
      </c>
      <c r="F54" s="383" t="e">
        <f>$D54/1000000*'Prod &amp; Defects - Qty'!H$6</f>
        <v>#N/A</v>
      </c>
      <c r="G54" s="383" t="e">
        <f>$D54/1000000*'Prod &amp; Defects - Qty'!I$6</f>
        <v>#N/A</v>
      </c>
      <c r="H54" s="383" t="e">
        <f>$D54/1000000*'Prod &amp; Defects - Qty'!J$6</f>
        <v>#N/A</v>
      </c>
      <c r="I54" s="383" t="e">
        <f>$D54/1000000*'Prod &amp; Defects - Qty'!K$6</f>
        <v>#N/A</v>
      </c>
      <c r="J54" s="383" t="e">
        <f>$D54/1000000*'Prod &amp; Defects - Qty'!L$6</f>
        <v>#N/A</v>
      </c>
      <c r="K54" s="383" t="e">
        <f>$D54/1000000*'Prod &amp; Defects - Qty'!M$6</f>
        <v>#N/A</v>
      </c>
      <c r="L54" s="383" t="e">
        <f>$D54/1000000*'Prod &amp; Defects - Qty'!N$6</f>
        <v>#N/A</v>
      </c>
      <c r="M54" s="383" t="e">
        <f>$D54/1000000*'Prod &amp; Defects - Qty'!O$6</f>
        <v>#N/A</v>
      </c>
      <c r="N54" s="383" t="e">
        <f>$D54/1000000*'Prod &amp; Defects - Qty'!P$6</f>
        <v>#N/A</v>
      </c>
      <c r="O54" s="383" t="e">
        <f>$D54/1000000*'Prod &amp; Defects - Qty'!Q$6</f>
        <v>#N/A</v>
      </c>
      <c r="P54" s="383" t="e">
        <f>$D54/1000000*'Prod &amp; Defects - Qty'!R$6</f>
        <v>#N/A</v>
      </c>
      <c r="Q54" s="98" t="e">
        <f t="shared" si="1"/>
        <v>#N/A</v>
      </c>
      <c r="R54" s="98" t="e">
        <f>Q54/SUM('Prod &amp; Defects - Qty'!$G$6:$L$6)*1000000</f>
        <v>#N/A</v>
      </c>
      <c r="S54" s="98" t="e">
        <f t="shared" si="2"/>
        <v>#N/A</v>
      </c>
      <c r="T54" s="98" t="e">
        <f>S54/SUM('Prod &amp; Defects - Qty'!$M$6:$R$6)*1000000</f>
        <v>#N/A</v>
      </c>
      <c r="U54" s="98" t="e">
        <f t="shared" si="3"/>
        <v>#N/A</v>
      </c>
      <c r="V54" s="98" t="e">
        <f>U54/'Prod &amp; Defects - Qty'!$S$6*1000000</f>
        <v>#N/A</v>
      </c>
      <c r="W54" s="98" t="e">
        <f t="shared" si="13"/>
        <v>#N/A</v>
      </c>
      <c r="X54" s="98" t="e">
        <f t="shared" si="13"/>
        <v>#N/A</v>
      </c>
      <c r="Y54" s="98" t="e">
        <f t="shared" si="4"/>
        <v>#N/A</v>
      </c>
      <c r="Z54" s="98" t="e">
        <f>Y54*$AA$7</f>
        <v>#N/A</v>
      </c>
    </row>
    <row r="55" spans="1:26" ht="18" customHeight="1" thickBot="1">
      <c r="A55" s="784"/>
      <c r="B55" s="110"/>
      <c r="C55" s="111" t="s">
        <v>1</v>
      </c>
      <c r="D55" s="374">
        <f>D51</f>
        <v>600</v>
      </c>
      <c r="E55" s="386" t="e">
        <f>$D55/1000000*'Prod &amp; Defects - Qty'!G$6</f>
        <v>#N/A</v>
      </c>
      <c r="F55" s="386" t="e">
        <f>$D55/1000000*'Prod &amp; Defects - Qty'!H$6</f>
        <v>#N/A</v>
      </c>
      <c r="G55" s="386" t="e">
        <f>$D55/1000000*'Prod &amp; Defects - Qty'!I$6</f>
        <v>#N/A</v>
      </c>
      <c r="H55" s="386" t="e">
        <f>$D55/1000000*'Prod &amp; Defects - Qty'!J$6</f>
        <v>#N/A</v>
      </c>
      <c r="I55" s="386" t="e">
        <f>$D55/1000000*'Prod &amp; Defects - Qty'!K$6</f>
        <v>#N/A</v>
      </c>
      <c r="J55" s="386" t="e">
        <f>$D55/1000000*'Prod &amp; Defects - Qty'!L$6</f>
        <v>#N/A</v>
      </c>
      <c r="K55" s="386" t="e">
        <f>$D55/1000000*'Prod &amp; Defects - Qty'!M$6</f>
        <v>#N/A</v>
      </c>
      <c r="L55" s="386" t="e">
        <f>$D55/1000000*'Prod &amp; Defects - Qty'!N$6</f>
        <v>#N/A</v>
      </c>
      <c r="M55" s="386" t="e">
        <f>$D55/1000000*'Prod &amp; Defects - Qty'!O$6</f>
        <v>#N/A</v>
      </c>
      <c r="N55" s="386" t="e">
        <f>$D55/1000000*'Prod &amp; Defects - Qty'!P$6</f>
        <v>#N/A</v>
      </c>
      <c r="O55" s="386" t="e">
        <f>$D55/1000000*'Prod &amp; Defects - Qty'!Q$6</f>
        <v>#N/A</v>
      </c>
      <c r="P55" s="386" t="e">
        <f>$D55/1000000*'Prod &amp; Defects - Qty'!R$6</f>
        <v>#N/A</v>
      </c>
      <c r="Q55" s="213" t="e">
        <f t="shared" si="1"/>
        <v>#N/A</v>
      </c>
      <c r="R55" s="213" t="e">
        <f>Q55/SUM('Prod &amp; Defects - Qty'!$G$6:$L$6)*1000000</f>
        <v>#N/A</v>
      </c>
      <c r="S55" s="213" t="e">
        <f t="shared" si="2"/>
        <v>#N/A</v>
      </c>
      <c r="T55" s="213" t="e">
        <f>S55/SUM('Prod &amp; Defects - Qty'!$M$6:$R$6)*1000000</f>
        <v>#N/A</v>
      </c>
      <c r="U55" s="213" t="e">
        <f t="shared" si="3"/>
        <v>#N/A</v>
      </c>
      <c r="V55" s="213" t="e">
        <f>U55/'Prod &amp; Defects - Qty'!$S$6*1000000</f>
        <v>#N/A</v>
      </c>
      <c r="W55" s="213" t="e">
        <f t="shared" si="13"/>
        <v>#N/A</v>
      </c>
      <c r="X55" s="213" t="e">
        <f t="shared" si="13"/>
        <v>#N/A</v>
      </c>
      <c r="Y55" s="213" t="e">
        <f t="shared" si="4"/>
        <v>#N/A</v>
      </c>
      <c r="Z55" s="213" t="e">
        <f>SUM(Z51:Z52)</f>
        <v>#N/A</v>
      </c>
    </row>
    <row r="56" spans="1:26" ht="20.100000000000001" customHeight="1" thickTop="1">
      <c r="A56" s="112"/>
      <c r="B56" s="88"/>
      <c r="C56" s="89"/>
      <c r="D56" s="369">
        <f>'[3]Falhas UM-3-1 Qty'!Z56</f>
        <v>0</v>
      </c>
      <c r="E56" s="379" t="e">
        <f>$D56/1000000*'Prod &amp; Defects - Qty'!G$6</f>
        <v>#N/A</v>
      </c>
      <c r="F56" s="379" t="e">
        <f>$D56/1000000*'Prod &amp; Defects - Qty'!H$6</f>
        <v>#N/A</v>
      </c>
      <c r="G56" s="379" t="e">
        <f>$D56/1000000*'Prod &amp; Defects - Qty'!I$6</f>
        <v>#N/A</v>
      </c>
      <c r="H56" s="379" t="e">
        <f>$D56/1000000*'Prod &amp; Defects - Qty'!J$6</f>
        <v>#N/A</v>
      </c>
      <c r="I56" s="379" t="e">
        <f>$D56/1000000*'Prod &amp; Defects - Qty'!K$6</f>
        <v>#N/A</v>
      </c>
      <c r="J56" s="379" t="e">
        <f>$D56/1000000*'Prod &amp; Defects - Qty'!L$6</f>
        <v>#N/A</v>
      </c>
      <c r="K56" s="379" t="e">
        <f>$D56/1000000*'Prod &amp; Defects - Qty'!M$6</f>
        <v>#N/A</v>
      </c>
      <c r="L56" s="379" t="e">
        <f>$D56/1000000*'Prod &amp; Defects - Qty'!N$6</f>
        <v>#N/A</v>
      </c>
      <c r="M56" s="379" t="e">
        <f>$D56/1000000*'Prod &amp; Defects - Qty'!O$6</f>
        <v>#N/A</v>
      </c>
      <c r="N56" s="379" t="e">
        <f>$D56/1000000*'Prod &amp; Defects - Qty'!P$6</f>
        <v>#N/A</v>
      </c>
      <c r="O56" s="379" t="e">
        <f>$D56/1000000*'Prod &amp; Defects - Qty'!Q$6</f>
        <v>#N/A</v>
      </c>
      <c r="P56" s="379" t="e">
        <f>$D56/1000000*'Prod &amp; Defects - Qty'!R$6</f>
        <v>#N/A</v>
      </c>
      <c r="Q56" s="90" t="e">
        <f t="shared" si="1"/>
        <v>#N/A</v>
      </c>
      <c r="R56" s="90" t="e">
        <f>Q56/SUM('Prod &amp; Defects - Qty'!$G$6:$L$6)*1000000</f>
        <v>#N/A</v>
      </c>
      <c r="S56" s="90" t="e">
        <f t="shared" si="2"/>
        <v>#N/A</v>
      </c>
      <c r="T56" s="90" t="e">
        <f>S56/SUM('Prod &amp; Defects - Qty'!$M$6:$R$6)*1000000</f>
        <v>#N/A</v>
      </c>
      <c r="U56" s="90" t="e">
        <f t="shared" si="3"/>
        <v>#N/A</v>
      </c>
      <c r="V56" s="90" t="e">
        <f>U56/'Prod &amp; Defects - Qty'!$S$6*1000000</f>
        <v>#N/A</v>
      </c>
      <c r="W56" s="90" t="e">
        <f t="shared" si="13"/>
        <v>#N/A</v>
      </c>
      <c r="X56" s="90" t="e">
        <f t="shared" si="13"/>
        <v>#N/A</v>
      </c>
      <c r="Y56" s="90" t="e">
        <f t="shared" si="4"/>
        <v>#N/A</v>
      </c>
      <c r="Z56" s="90" t="e">
        <f>Y56*0.9</f>
        <v>#N/A</v>
      </c>
    </row>
    <row r="57" spans="1:26" ht="20.100000000000001" customHeight="1" thickBot="1">
      <c r="A57" s="113"/>
      <c r="B57" s="114"/>
      <c r="C57" s="115" t="s">
        <v>59</v>
      </c>
      <c r="D57" s="377">
        <f>'[3]Falhas UM-3-1 Qty'!Z57</f>
        <v>3965.3119707573996</v>
      </c>
      <c r="E57" s="387" t="e">
        <f t="shared" ref="E57:L57" si="14">E55+E50+E37+E19</f>
        <v>#N/A</v>
      </c>
      <c r="F57" s="387" t="e">
        <f t="shared" si="14"/>
        <v>#N/A</v>
      </c>
      <c r="G57" s="387" t="e">
        <f t="shared" si="14"/>
        <v>#N/A</v>
      </c>
      <c r="H57" s="387" t="e">
        <f t="shared" si="14"/>
        <v>#N/A</v>
      </c>
      <c r="I57" s="387" t="e">
        <f t="shared" si="14"/>
        <v>#N/A</v>
      </c>
      <c r="J57" s="387" t="e">
        <f t="shared" si="14"/>
        <v>#N/A</v>
      </c>
      <c r="K57" s="387" t="e">
        <f t="shared" si="14"/>
        <v>#N/A</v>
      </c>
      <c r="L57" s="387" t="e">
        <f t="shared" si="14"/>
        <v>#N/A</v>
      </c>
      <c r="M57" s="387" t="e">
        <f>M55+M50+M37+M19</f>
        <v>#N/A</v>
      </c>
      <c r="N57" s="387" t="e">
        <f>N55+N50+N37+N19</f>
        <v>#N/A</v>
      </c>
      <c r="O57" s="387" t="e">
        <f>O55+O50+O37+O19</f>
        <v>#N/A</v>
      </c>
      <c r="P57" s="387" t="e">
        <f>P55+P50+P37+P19</f>
        <v>#N/A</v>
      </c>
      <c r="Q57" s="169" t="e">
        <f t="shared" si="1"/>
        <v>#N/A</v>
      </c>
      <c r="R57" s="169" t="e">
        <f>Q57/SUM('Prod &amp; Defects - Qty'!$G$6:$L$6)*1000000</f>
        <v>#N/A</v>
      </c>
      <c r="S57" s="169" t="e">
        <f t="shared" si="2"/>
        <v>#N/A</v>
      </c>
      <c r="T57" s="169" t="e">
        <f>S57/SUM('Prod &amp; Defects - Qty'!$M$6:$R$6)*1000000</f>
        <v>#N/A</v>
      </c>
      <c r="U57" s="169" t="e">
        <f t="shared" si="3"/>
        <v>#N/A</v>
      </c>
      <c r="V57" s="169" t="e">
        <f>U57/'Prod &amp; Defects - Qty'!$S$6*1000000</f>
        <v>#N/A</v>
      </c>
      <c r="W57" s="169" t="e">
        <f t="shared" si="13"/>
        <v>#N/A</v>
      </c>
      <c r="X57" s="169" t="e">
        <f t="shared" si="13"/>
        <v>#N/A</v>
      </c>
      <c r="Y57" s="169" t="e">
        <f t="shared" si="4"/>
        <v>#N/A</v>
      </c>
      <c r="Z57" s="169" t="e">
        <f>Y57*0.9</f>
        <v>#N/A</v>
      </c>
    </row>
    <row r="58" spans="1:26">
      <c r="C58" s="117"/>
      <c r="D58" s="117"/>
      <c r="E58" s="117"/>
    </row>
    <row r="59" spans="1:26" ht="13.5" thickBot="1">
      <c r="A59" s="82" t="s">
        <v>74</v>
      </c>
      <c r="E59" s="218" t="s">
        <v>73</v>
      </c>
    </row>
    <row r="60" spans="1:26" ht="12.75" customHeight="1">
      <c r="A60" s="776" t="s">
        <v>72</v>
      </c>
      <c r="B60" s="777"/>
      <c r="C60" s="777"/>
      <c r="D60" s="319"/>
      <c r="E60" s="214" t="s">
        <v>71</v>
      </c>
    </row>
    <row r="61" spans="1:26">
      <c r="A61" s="778"/>
      <c r="B61" s="779"/>
      <c r="C61" s="779"/>
      <c r="D61" s="320"/>
      <c r="E61" s="215" t="s">
        <v>69</v>
      </c>
    </row>
    <row r="62" spans="1:26">
      <c r="A62" s="778"/>
      <c r="B62" s="779"/>
      <c r="C62" s="779"/>
      <c r="D62" s="320"/>
      <c r="E62" s="215" t="s">
        <v>68</v>
      </c>
    </row>
    <row r="63" spans="1:26">
      <c r="A63" s="778"/>
      <c r="B63" s="779"/>
      <c r="C63" s="779"/>
      <c r="D63" s="320"/>
      <c r="E63" s="215" t="s">
        <v>67</v>
      </c>
    </row>
    <row r="64" spans="1:26" ht="13.5" thickBot="1">
      <c r="A64" s="780"/>
      <c r="B64" s="781"/>
      <c r="C64" s="781"/>
      <c r="D64" s="321"/>
      <c r="E64" s="216" t="s">
        <v>63</v>
      </c>
    </row>
    <row r="65" spans="1:5" ht="12.75" customHeight="1">
      <c r="A65" s="776" t="s">
        <v>70</v>
      </c>
      <c r="B65" s="777"/>
      <c r="C65" s="777"/>
      <c r="D65" s="319"/>
      <c r="E65" s="214" t="s">
        <v>69</v>
      </c>
    </row>
    <row r="66" spans="1:5">
      <c r="A66" s="778"/>
      <c r="B66" s="779"/>
      <c r="C66" s="779"/>
      <c r="D66" s="320"/>
      <c r="E66" s="215" t="s">
        <v>68</v>
      </c>
    </row>
    <row r="67" spans="1:5">
      <c r="A67" s="778"/>
      <c r="B67" s="779"/>
      <c r="C67" s="779"/>
      <c r="D67" s="320"/>
      <c r="E67" s="215" t="s">
        <v>67</v>
      </c>
    </row>
    <row r="68" spans="1:5" ht="13.5" thickBot="1">
      <c r="A68" s="780"/>
      <c r="B68" s="781"/>
      <c r="C68" s="781"/>
      <c r="D68" s="321"/>
      <c r="E68" s="216" t="s">
        <v>63</v>
      </c>
    </row>
    <row r="69" spans="1:5" ht="12.75" customHeight="1">
      <c r="A69" s="776" t="s">
        <v>66</v>
      </c>
      <c r="B69" s="777"/>
      <c r="C69" s="777"/>
      <c r="D69" s="319"/>
      <c r="E69" s="214" t="s">
        <v>65</v>
      </c>
    </row>
    <row r="70" spans="1:5">
      <c r="A70" s="778"/>
      <c r="B70" s="779"/>
      <c r="C70" s="779"/>
      <c r="D70" s="320"/>
      <c r="E70" s="215" t="s">
        <v>64</v>
      </c>
    </row>
    <row r="71" spans="1:5" ht="13.5" thickBot="1">
      <c r="A71" s="780"/>
      <c r="B71" s="781"/>
      <c r="C71" s="781"/>
      <c r="D71" s="321"/>
      <c r="E71" s="216" t="s">
        <v>63</v>
      </c>
    </row>
  </sheetData>
  <mergeCells count="8">
    <mergeCell ref="A1:E1"/>
    <mergeCell ref="B4:C4"/>
    <mergeCell ref="B5:C5"/>
    <mergeCell ref="A69:C71"/>
    <mergeCell ref="A60:C64"/>
    <mergeCell ref="A65:C68"/>
    <mergeCell ref="A7:A37"/>
    <mergeCell ref="A38:A55"/>
  </mergeCells>
  <printOptions gridLinesSet="0"/>
  <pageMargins left="0.78740157480314965" right="0.19685039370078741" top="0.59055118110236227" bottom="0.59055118110236227" header="0.51181102362204722" footer="0.31496062992125984"/>
  <pageSetup paperSize="9" scale="43" orientation="landscape" r:id="rId1"/>
  <headerFooter alignWithMargins="0">
    <oddFooter>&amp;L&amp;A&amp;R&amp;F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1">
    <tabColor indexed="56"/>
    <pageSetUpPr fitToPage="1"/>
  </sheetPr>
  <dimension ref="A1:S66"/>
  <sheetViews>
    <sheetView showGridLines="0" topLeftCell="A48" zoomScale="106" zoomScaleNormal="106" zoomScaleSheetLayoutView="53" workbookViewId="0">
      <selection activeCell="E66" sqref="E66"/>
    </sheetView>
  </sheetViews>
  <sheetFormatPr defaultColWidth="11.42578125" defaultRowHeight="12.75"/>
  <cols>
    <col min="1" max="1" width="3.140625" style="82" bestFit="1" customWidth="1"/>
    <col min="2" max="2" width="10.85546875" style="82" customWidth="1"/>
    <col min="3" max="3" width="25.140625" style="82" bestFit="1" customWidth="1"/>
    <col min="4" max="4" width="8.5703125" style="82" customWidth="1"/>
    <col min="5" max="5" width="10.28515625" style="82" bestFit="1" customWidth="1"/>
    <col min="6" max="16384" width="11.42578125" style="82"/>
  </cols>
  <sheetData>
    <row r="1" spans="1:16" ht="18" customHeight="1">
      <c r="A1" s="771" t="s">
        <v>89</v>
      </c>
      <c r="B1" s="771"/>
      <c r="C1" s="771"/>
      <c r="D1" s="771"/>
      <c r="E1" s="771"/>
    </row>
    <row r="2" spans="1:16" ht="18" customHeight="1"/>
    <row r="3" spans="1:16" ht="9.9499999999999993" customHeight="1" thickBot="1"/>
    <row r="4" spans="1:16" ht="18" customHeight="1">
      <c r="A4" s="83"/>
      <c r="B4" s="772"/>
      <c r="C4" s="773"/>
      <c r="D4" s="786" t="s">
        <v>218</v>
      </c>
      <c r="E4" s="219">
        <f>'Falhas UM-1 - Qty'!F5</f>
        <v>43922</v>
      </c>
      <c r="F4" s="219">
        <f>'Falhas UM-1 - Qty'!G5</f>
        <v>43952</v>
      </c>
      <c r="G4" s="219">
        <f>'Falhas UM-1 - Qty'!H5</f>
        <v>43983</v>
      </c>
      <c r="H4" s="219">
        <f>'Falhas UM-1 - Qty'!I5</f>
        <v>44013</v>
      </c>
      <c r="I4" s="219">
        <f>'Falhas UM-1 - Qty'!J5</f>
        <v>44044</v>
      </c>
      <c r="J4" s="219">
        <f>'Falhas UM-1 - Qty'!K5</f>
        <v>44075</v>
      </c>
      <c r="K4" s="219">
        <f>'Falhas UM-1 - Qty'!L5</f>
        <v>44105</v>
      </c>
      <c r="L4" s="219">
        <f>'Falhas UM-1 - Qty'!M5</f>
        <v>44136</v>
      </c>
      <c r="M4" s="219">
        <f>'Falhas UM-1 - Qty'!N5</f>
        <v>44166</v>
      </c>
      <c r="N4" s="219">
        <f>'Falhas UM-1 - Qty'!O5</f>
        <v>44197</v>
      </c>
      <c r="O4" s="219">
        <f>'Falhas UM-1 - Qty'!P5</f>
        <v>44228</v>
      </c>
      <c r="P4" s="219">
        <f>'Falhas UM-1 - Qty'!Q5</f>
        <v>44256</v>
      </c>
    </row>
    <row r="5" spans="1:16" ht="21.75" customHeight="1">
      <c r="A5" s="205"/>
      <c r="B5" s="774" t="s">
        <v>57</v>
      </c>
      <c r="C5" s="775"/>
      <c r="D5" s="78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</row>
    <row r="6" spans="1:16" ht="35.25" customHeight="1">
      <c r="A6" s="205"/>
      <c r="B6" s="206" t="s">
        <v>51</v>
      </c>
      <c r="C6" s="207" t="s">
        <v>50</v>
      </c>
      <c r="D6" s="353">
        <f>'Falhas UM-1 - Cost'!E5</f>
        <v>2020</v>
      </c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</row>
    <row r="7" spans="1:16" ht="18" customHeight="1">
      <c r="A7" s="782" t="s">
        <v>151</v>
      </c>
      <c r="B7" s="85">
        <v>3010</v>
      </c>
      <c r="C7" s="86" t="s">
        <v>46</v>
      </c>
      <c r="D7" s="359">
        <f>'[4]Falhas UM-3'!P7</f>
        <v>101.51740000000001</v>
      </c>
      <c r="E7" s="388" t="e">
        <f>$D7/1000*'Falhas UM-3-1 Qty'!E7</f>
        <v>#N/A</v>
      </c>
      <c r="F7" s="388" t="e">
        <f>$D7/1000*'Falhas UM-3-1 Qty'!F7</f>
        <v>#N/A</v>
      </c>
      <c r="G7" s="388" t="e">
        <f>$D7/1000*'Falhas UM-3-1 Qty'!G7</f>
        <v>#N/A</v>
      </c>
      <c r="H7" s="388" t="e">
        <f>$D7/1000*'Falhas UM-3-1 Qty'!H7</f>
        <v>#N/A</v>
      </c>
      <c r="I7" s="388" t="e">
        <f>$D7/1000*'Falhas UM-3-1 Qty'!I7</f>
        <v>#N/A</v>
      </c>
      <c r="J7" s="388" t="e">
        <f>$D7/1000*'Falhas UM-3-1 Qty'!J7</f>
        <v>#N/A</v>
      </c>
      <c r="K7" s="388" t="e">
        <f>$D7/1000*'Falhas UM-3-1 Qty'!K7</f>
        <v>#N/A</v>
      </c>
      <c r="L7" s="388" t="e">
        <f>$D7/1000*'Falhas UM-3-1 Qty'!L7</f>
        <v>#N/A</v>
      </c>
      <c r="M7" s="388" t="e">
        <f>$D7/1000*'Falhas UM-3-1 Qty'!M7</f>
        <v>#N/A</v>
      </c>
      <c r="N7" s="388" t="e">
        <f>$D7/1000*'Falhas UM-3-1 Qty'!N7</f>
        <v>#N/A</v>
      </c>
      <c r="O7" s="388" t="e">
        <f>$D7/1000*'Falhas UM-3-1 Qty'!O7</f>
        <v>#N/A</v>
      </c>
      <c r="P7" s="388" t="e">
        <f>$D7/1000*'Falhas UM-3-1 Qty'!P7</f>
        <v>#N/A</v>
      </c>
    </row>
    <row r="8" spans="1:16" ht="18" customHeight="1">
      <c r="A8" s="783"/>
      <c r="B8" s="88">
        <f>B7+10</f>
        <v>3020</v>
      </c>
      <c r="C8" s="89" t="s">
        <v>88</v>
      </c>
      <c r="D8" s="360">
        <f>'[4]Falhas UM-3'!P8</f>
        <v>102.11490000000001</v>
      </c>
      <c r="E8" s="389" t="e">
        <f>$D8/1000*'Falhas UM-3-1 Qty'!E8</f>
        <v>#N/A</v>
      </c>
      <c r="F8" s="389" t="e">
        <f>$D8/1000*'Falhas UM-3-1 Qty'!F8</f>
        <v>#N/A</v>
      </c>
      <c r="G8" s="389" t="e">
        <f>$D8/1000*'Falhas UM-3-1 Qty'!G8</f>
        <v>#N/A</v>
      </c>
      <c r="H8" s="389" t="e">
        <f>$D8/1000*'Falhas UM-3-1 Qty'!H8</f>
        <v>#N/A</v>
      </c>
      <c r="I8" s="389" t="e">
        <f>$D8/1000*'Falhas UM-3-1 Qty'!I8</f>
        <v>#N/A</v>
      </c>
      <c r="J8" s="389" t="e">
        <f>$D8/1000*'Falhas UM-3-1 Qty'!J8</f>
        <v>#N/A</v>
      </c>
      <c r="K8" s="389" t="e">
        <f>$D8/1000*'Falhas UM-3-1 Qty'!K8</f>
        <v>#N/A</v>
      </c>
      <c r="L8" s="389" t="e">
        <f>$D8/1000*'Falhas UM-3-1 Qty'!L8</f>
        <v>#N/A</v>
      </c>
      <c r="M8" s="389" t="e">
        <f>$D8/1000*'Falhas UM-3-1 Qty'!M8</f>
        <v>#N/A</v>
      </c>
      <c r="N8" s="389" t="e">
        <f>$D8/1000*'Falhas UM-3-1 Qty'!N8</f>
        <v>#N/A</v>
      </c>
      <c r="O8" s="389" t="e">
        <f>$D8/1000*'Falhas UM-3-1 Qty'!O8</f>
        <v>#N/A</v>
      </c>
      <c r="P8" s="389" t="e">
        <f>$D8/1000*'Falhas UM-3-1 Qty'!P8</f>
        <v>#N/A</v>
      </c>
    </row>
    <row r="9" spans="1:16" ht="18" customHeight="1">
      <c r="A9" s="783"/>
      <c r="B9" s="88">
        <f t="shared" ref="B9:B18" si="0">B8+10</f>
        <v>3030</v>
      </c>
      <c r="C9" s="89" t="s">
        <v>87</v>
      </c>
      <c r="D9" s="360">
        <f>'[4]Falhas UM-3'!P9</f>
        <v>112.11490000000001</v>
      </c>
      <c r="E9" s="389" t="e">
        <f>$D9/1000*'Falhas UM-3-1 Qty'!E9</f>
        <v>#N/A</v>
      </c>
      <c r="F9" s="389" t="e">
        <f>$D9/1000*'Falhas UM-3-1 Qty'!F9</f>
        <v>#N/A</v>
      </c>
      <c r="G9" s="389" t="e">
        <f>$D9/1000*'Falhas UM-3-1 Qty'!G9</f>
        <v>#N/A</v>
      </c>
      <c r="H9" s="389" t="e">
        <f>$D9/1000*'Falhas UM-3-1 Qty'!H9</f>
        <v>#N/A</v>
      </c>
      <c r="I9" s="389" t="e">
        <f>$D9/1000*'Falhas UM-3-1 Qty'!I9</f>
        <v>#N/A</v>
      </c>
      <c r="J9" s="389" t="e">
        <f>$D9/1000*'Falhas UM-3-1 Qty'!J9</f>
        <v>#N/A</v>
      </c>
      <c r="K9" s="389" t="e">
        <f>$D9/1000*'Falhas UM-3-1 Qty'!K9</f>
        <v>#N/A</v>
      </c>
      <c r="L9" s="389" t="e">
        <f>$D9/1000*'Falhas UM-3-1 Qty'!L9</f>
        <v>#N/A</v>
      </c>
      <c r="M9" s="389" t="e">
        <f>$D9/1000*'Falhas UM-3-1 Qty'!M9</f>
        <v>#N/A</v>
      </c>
      <c r="N9" s="389" t="e">
        <f>$D9/1000*'Falhas UM-3-1 Qty'!N9</f>
        <v>#N/A</v>
      </c>
      <c r="O9" s="389" t="e">
        <f>$D9/1000*'Falhas UM-3-1 Qty'!O9</f>
        <v>#N/A</v>
      </c>
      <c r="P9" s="389" t="e">
        <f>$D9/1000*'Falhas UM-3-1 Qty'!P9</f>
        <v>#N/A</v>
      </c>
    </row>
    <row r="10" spans="1:16" ht="18" customHeight="1">
      <c r="A10" s="783"/>
      <c r="B10" s="88">
        <f t="shared" si="0"/>
        <v>3040</v>
      </c>
      <c r="C10" s="89" t="s">
        <v>86</v>
      </c>
      <c r="D10" s="360">
        <f>'[4]Falhas UM-3'!P10</f>
        <v>112.11490000000001</v>
      </c>
      <c r="E10" s="389" t="e">
        <f>$D10/1000*'Falhas UM-3-1 Qty'!E10</f>
        <v>#N/A</v>
      </c>
      <c r="F10" s="389" t="e">
        <f>$D10/1000*'Falhas UM-3-1 Qty'!F10</f>
        <v>#N/A</v>
      </c>
      <c r="G10" s="389" t="e">
        <f>$D10/1000*'Falhas UM-3-1 Qty'!G10</f>
        <v>#N/A</v>
      </c>
      <c r="H10" s="389" t="e">
        <f>$D10/1000*'Falhas UM-3-1 Qty'!H10</f>
        <v>#N/A</v>
      </c>
      <c r="I10" s="389" t="e">
        <f>$D10/1000*'Falhas UM-3-1 Qty'!I10</f>
        <v>#N/A</v>
      </c>
      <c r="J10" s="389" t="e">
        <f>$D10/1000*'Falhas UM-3-1 Qty'!J10</f>
        <v>#N/A</v>
      </c>
      <c r="K10" s="389" t="e">
        <f>$D10/1000*'Falhas UM-3-1 Qty'!K10</f>
        <v>#N/A</v>
      </c>
      <c r="L10" s="389" t="e">
        <f>$D10/1000*'Falhas UM-3-1 Qty'!L10</f>
        <v>#N/A</v>
      </c>
      <c r="M10" s="389" t="e">
        <f>$D10/1000*'Falhas UM-3-1 Qty'!M10</f>
        <v>#N/A</v>
      </c>
      <c r="N10" s="389" t="e">
        <f>$D10/1000*'Falhas UM-3-1 Qty'!N10</f>
        <v>#N/A</v>
      </c>
      <c r="O10" s="389" t="e">
        <f>$D10/1000*'Falhas UM-3-1 Qty'!O10</f>
        <v>#N/A</v>
      </c>
      <c r="P10" s="389" t="e">
        <f>$D10/1000*'Falhas UM-3-1 Qty'!P10</f>
        <v>#N/A</v>
      </c>
    </row>
    <row r="11" spans="1:16" ht="18" customHeight="1">
      <c r="A11" s="783"/>
      <c r="B11" s="88">
        <f t="shared" si="0"/>
        <v>3050</v>
      </c>
      <c r="C11" s="89" t="s">
        <v>85</v>
      </c>
      <c r="D11" s="360">
        <f>'[4]Falhas UM-3'!P11</f>
        <v>112.91170000000001</v>
      </c>
      <c r="E11" s="389" t="e">
        <f>$D11/1000*'Falhas UM-3-1 Qty'!E11</f>
        <v>#N/A</v>
      </c>
      <c r="F11" s="389" t="e">
        <f>$D11/1000*'Falhas UM-3-1 Qty'!F11</f>
        <v>#N/A</v>
      </c>
      <c r="G11" s="389" t="e">
        <f>$D11/1000*'Falhas UM-3-1 Qty'!G11</f>
        <v>#N/A</v>
      </c>
      <c r="H11" s="389" t="e">
        <f>$D11/1000*'Falhas UM-3-1 Qty'!H11</f>
        <v>#N/A</v>
      </c>
      <c r="I11" s="389" t="e">
        <f>$D11/1000*'Falhas UM-3-1 Qty'!I11</f>
        <v>#N/A</v>
      </c>
      <c r="J11" s="389" t="e">
        <f>$D11/1000*'Falhas UM-3-1 Qty'!J11</f>
        <v>#N/A</v>
      </c>
      <c r="K11" s="389" t="e">
        <f>$D11/1000*'Falhas UM-3-1 Qty'!K11</f>
        <v>#N/A</v>
      </c>
      <c r="L11" s="389" t="e">
        <f>$D11/1000*'Falhas UM-3-1 Qty'!L11</f>
        <v>#N/A</v>
      </c>
      <c r="M11" s="389" t="e">
        <f>$D11/1000*'Falhas UM-3-1 Qty'!M11</f>
        <v>#N/A</v>
      </c>
      <c r="N11" s="389" t="e">
        <f>$D11/1000*'Falhas UM-3-1 Qty'!N11</f>
        <v>#N/A</v>
      </c>
      <c r="O11" s="389" t="e">
        <f>$D11/1000*'Falhas UM-3-1 Qty'!O11</f>
        <v>#N/A</v>
      </c>
      <c r="P11" s="389" t="e">
        <f>$D11/1000*'Falhas UM-3-1 Qty'!P11</f>
        <v>#N/A</v>
      </c>
    </row>
    <row r="12" spans="1:16" ht="18" customHeight="1">
      <c r="A12" s="783"/>
      <c r="B12" s="88">
        <f t="shared" si="0"/>
        <v>3060</v>
      </c>
      <c r="C12" s="89" t="s">
        <v>84</v>
      </c>
      <c r="D12" s="360">
        <f>'[4]Falhas UM-3'!P12</f>
        <v>115.26520000000001</v>
      </c>
      <c r="E12" s="389" t="e">
        <f>$D12/1000*'Falhas UM-3-1 Qty'!E12</f>
        <v>#N/A</v>
      </c>
      <c r="F12" s="389" t="e">
        <f>$D12/1000*'Falhas UM-3-1 Qty'!F12</f>
        <v>#N/A</v>
      </c>
      <c r="G12" s="389" t="e">
        <f>$D12/1000*'Falhas UM-3-1 Qty'!G12</f>
        <v>#N/A</v>
      </c>
      <c r="H12" s="389" t="e">
        <f>$D12/1000*'Falhas UM-3-1 Qty'!H12</f>
        <v>#N/A</v>
      </c>
      <c r="I12" s="389" t="e">
        <f>$D12/1000*'Falhas UM-3-1 Qty'!I12</f>
        <v>#N/A</v>
      </c>
      <c r="J12" s="389" t="e">
        <f>$D12/1000*'Falhas UM-3-1 Qty'!J12</f>
        <v>#N/A</v>
      </c>
      <c r="K12" s="389" t="e">
        <f>$D12/1000*'Falhas UM-3-1 Qty'!K12</f>
        <v>#N/A</v>
      </c>
      <c r="L12" s="389" t="e">
        <f>$D12/1000*'Falhas UM-3-1 Qty'!L12</f>
        <v>#N/A</v>
      </c>
      <c r="M12" s="389" t="e">
        <f>$D12/1000*'Falhas UM-3-1 Qty'!M12</f>
        <v>#N/A</v>
      </c>
      <c r="N12" s="389" t="e">
        <f>$D12/1000*'Falhas UM-3-1 Qty'!N12</f>
        <v>#N/A</v>
      </c>
      <c r="O12" s="389" t="e">
        <f>$D12/1000*'Falhas UM-3-1 Qty'!O12</f>
        <v>#N/A</v>
      </c>
      <c r="P12" s="389" t="e">
        <f>$D12/1000*'Falhas UM-3-1 Qty'!P12</f>
        <v>#N/A</v>
      </c>
    </row>
    <row r="13" spans="1:16" ht="18" customHeight="1">
      <c r="A13" s="783"/>
      <c r="B13" s="88">
        <f t="shared" si="0"/>
        <v>3070</v>
      </c>
      <c r="C13" s="89" t="s">
        <v>41</v>
      </c>
      <c r="D13" s="360">
        <f>'[4]Falhas UM-3'!P13</f>
        <v>123.17910000000001</v>
      </c>
      <c r="E13" s="389" t="e">
        <f>$D13/1000*'Falhas UM-3-1 Qty'!E13</f>
        <v>#N/A</v>
      </c>
      <c r="F13" s="389" t="e">
        <f>$D13/1000*'Falhas UM-3-1 Qty'!F13</f>
        <v>#N/A</v>
      </c>
      <c r="G13" s="389" t="e">
        <f>$D13/1000*'Falhas UM-3-1 Qty'!G13</f>
        <v>#N/A</v>
      </c>
      <c r="H13" s="389" t="e">
        <f>$D13/1000*'Falhas UM-3-1 Qty'!H13</f>
        <v>#N/A</v>
      </c>
      <c r="I13" s="389" t="e">
        <f>$D13/1000*'Falhas UM-3-1 Qty'!I13</f>
        <v>#N/A</v>
      </c>
      <c r="J13" s="389" t="e">
        <f>$D13/1000*'Falhas UM-3-1 Qty'!J13</f>
        <v>#N/A</v>
      </c>
      <c r="K13" s="389" t="e">
        <f>$D13/1000*'Falhas UM-3-1 Qty'!K13</f>
        <v>#N/A</v>
      </c>
      <c r="L13" s="389" t="e">
        <f>$D13/1000*'Falhas UM-3-1 Qty'!L13</f>
        <v>#N/A</v>
      </c>
      <c r="M13" s="389" t="e">
        <f>$D13/1000*'Falhas UM-3-1 Qty'!M13</f>
        <v>#N/A</v>
      </c>
      <c r="N13" s="389" t="e">
        <f>$D13/1000*'Falhas UM-3-1 Qty'!N13</f>
        <v>#N/A</v>
      </c>
      <c r="O13" s="389" t="e">
        <f>$D13/1000*'Falhas UM-3-1 Qty'!O13</f>
        <v>#N/A</v>
      </c>
      <c r="P13" s="389" t="e">
        <f>$D13/1000*'Falhas UM-3-1 Qty'!P13</f>
        <v>#N/A</v>
      </c>
    </row>
    <row r="14" spans="1:16" ht="18" customHeight="1">
      <c r="A14" s="783"/>
      <c r="B14" s="88">
        <f t="shared" si="0"/>
        <v>3080</v>
      </c>
      <c r="C14" s="89" t="s">
        <v>62</v>
      </c>
      <c r="D14" s="360">
        <f>'[4]Falhas UM-3'!P14</f>
        <v>123.17910000000001</v>
      </c>
      <c r="E14" s="389" t="e">
        <f>$D14/1000*'Falhas UM-3-1 Qty'!E14</f>
        <v>#N/A</v>
      </c>
      <c r="F14" s="389" t="e">
        <f>$D14/1000*'Falhas UM-3-1 Qty'!F14</f>
        <v>#N/A</v>
      </c>
      <c r="G14" s="389" t="e">
        <f>$D14/1000*'Falhas UM-3-1 Qty'!G14</f>
        <v>#N/A</v>
      </c>
      <c r="H14" s="389" t="e">
        <f>$D14/1000*'Falhas UM-3-1 Qty'!H14</f>
        <v>#N/A</v>
      </c>
      <c r="I14" s="389" t="e">
        <f>$D14/1000*'Falhas UM-3-1 Qty'!I14</f>
        <v>#N/A</v>
      </c>
      <c r="J14" s="389" t="e">
        <f>$D14/1000*'Falhas UM-3-1 Qty'!J14</f>
        <v>#N/A</v>
      </c>
      <c r="K14" s="389" t="e">
        <f>$D14/1000*'Falhas UM-3-1 Qty'!K14</f>
        <v>#N/A</v>
      </c>
      <c r="L14" s="389" t="e">
        <f>$D14/1000*'Falhas UM-3-1 Qty'!L14</f>
        <v>#N/A</v>
      </c>
      <c r="M14" s="389" t="e">
        <f>$D14/1000*'Falhas UM-3-1 Qty'!M14</f>
        <v>#N/A</v>
      </c>
      <c r="N14" s="389" t="e">
        <f>$D14/1000*'Falhas UM-3-1 Qty'!N14</f>
        <v>#N/A</v>
      </c>
      <c r="O14" s="389" t="e">
        <f>$D14/1000*'Falhas UM-3-1 Qty'!O14</f>
        <v>#N/A</v>
      </c>
      <c r="P14" s="389" t="e">
        <f>$D14/1000*'Falhas UM-3-1 Qty'!P14</f>
        <v>#N/A</v>
      </c>
    </row>
    <row r="15" spans="1:16" ht="18" customHeight="1">
      <c r="A15" s="783"/>
      <c r="B15" s="88">
        <f t="shared" si="0"/>
        <v>3090</v>
      </c>
      <c r="C15" s="89" t="s">
        <v>83</v>
      </c>
      <c r="D15" s="360">
        <f>'[4]Falhas UM-3'!P15</f>
        <v>164.52930000000001</v>
      </c>
      <c r="E15" s="389" t="e">
        <f>$D15/1000*'Falhas UM-3-1 Qty'!E15</f>
        <v>#N/A</v>
      </c>
      <c r="F15" s="389" t="e">
        <f>$D15/1000*'Falhas UM-3-1 Qty'!F15</f>
        <v>#N/A</v>
      </c>
      <c r="G15" s="389" t="e">
        <f>$D15/1000*'Falhas UM-3-1 Qty'!G15</f>
        <v>#N/A</v>
      </c>
      <c r="H15" s="389" t="e">
        <f>$D15/1000*'Falhas UM-3-1 Qty'!H15</f>
        <v>#N/A</v>
      </c>
      <c r="I15" s="389" t="e">
        <f>$D15/1000*'Falhas UM-3-1 Qty'!I15</f>
        <v>#N/A</v>
      </c>
      <c r="J15" s="389" t="e">
        <f>$D15/1000*'Falhas UM-3-1 Qty'!J15</f>
        <v>#N/A</v>
      </c>
      <c r="K15" s="389" t="e">
        <f>$D15/1000*'Falhas UM-3-1 Qty'!K15</f>
        <v>#N/A</v>
      </c>
      <c r="L15" s="389" t="e">
        <f>$D15/1000*'Falhas UM-3-1 Qty'!L15</f>
        <v>#N/A</v>
      </c>
      <c r="M15" s="389" t="e">
        <f>$D15/1000*'Falhas UM-3-1 Qty'!M15</f>
        <v>#N/A</v>
      </c>
      <c r="N15" s="389" t="e">
        <f>$D15/1000*'Falhas UM-3-1 Qty'!N15</f>
        <v>#N/A</v>
      </c>
      <c r="O15" s="389" t="e">
        <f>$D15/1000*'Falhas UM-3-1 Qty'!O15</f>
        <v>#N/A</v>
      </c>
      <c r="P15" s="389" t="e">
        <f>$D15/1000*'Falhas UM-3-1 Qty'!P15</f>
        <v>#N/A</v>
      </c>
    </row>
    <row r="16" spans="1:16" ht="18" customHeight="1">
      <c r="A16" s="783"/>
      <c r="B16" s="88">
        <f t="shared" si="0"/>
        <v>3100</v>
      </c>
      <c r="C16" s="96" t="s">
        <v>82</v>
      </c>
      <c r="D16" s="360">
        <f>'[4]Falhas UM-3'!P16</f>
        <v>11.667999999999999</v>
      </c>
      <c r="E16" s="389" t="e">
        <f>$D16/1000*'Falhas UM-3-1 Qty'!E16</f>
        <v>#N/A</v>
      </c>
      <c r="F16" s="389" t="e">
        <f>$D16/1000*'Falhas UM-3-1 Qty'!F16</f>
        <v>#N/A</v>
      </c>
      <c r="G16" s="389" t="e">
        <f>$D16/1000*'Falhas UM-3-1 Qty'!G16</f>
        <v>#N/A</v>
      </c>
      <c r="H16" s="389" t="e">
        <f>$D16/1000*'Falhas UM-3-1 Qty'!H16</f>
        <v>#N/A</v>
      </c>
      <c r="I16" s="389" t="e">
        <f>$D16/1000*'Falhas UM-3-1 Qty'!I16</f>
        <v>#N/A</v>
      </c>
      <c r="J16" s="389" t="e">
        <f>$D16/1000*'Falhas UM-3-1 Qty'!J16</f>
        <v>#N/A</v>
      </c>
      <c r="K16" s="389" t="e">
        <f>$D16/1000*'Falhas UM-3-1 Qty'!K16</f>
        <v>#N/A</v>
      </c>
      <c r="L16" s="389" t="e">
        <f>$D16/1000*'Falhas UM-3-1 Qty'!L16</f>
        <v>#N/A</v>
      </c>
      <c r="M16" s="389" t="e">
        <f>$D16/1000*'Falhas UM-3-1 Qty'!M16</f>
        <v>#N/A</v>
      </c>
      <c r="N16" s="389" t="e">
        <f>$D16/1000*'Falhas UM-3-1 Qty'!N16</f>
        <v>#N/A</v>
      </c>
      <c r="O16" s="389" t="e">
        <f>$D16/1000*'Falhas UM-3-1 Qty'!O16</f>
        <v>#N/A</v>
      </c>
      <c r="P16" s="389" t="e">
        <f>$D16/1000*'Falhas UM-3-1 Qty'!P16</f>
        <v>#N/A</v>
      </c>
    </row>
    <row r="17" spans="1:16" ht="18" customHeight="1">
      <c r="A17" s="783"/>
      <c r="B17" s="88">
        <f t="shared" si="0"/>
        <v>3110</v>
      </c>
      <c r="C17" s="96" t="s">
        <v>81</v>
      </c>
      <c r="D17" s="361">
        <f>'[4]Falhas UM-3'!P17</f>
        <v>3.7541000000000002</v>
      </c>
      <c r="E17" s="390" t="e">
        <f>$D17/1000*'Falhas UM-3-1 Qty'!E17</f>
        <v>#N/A</v>
      </c>
      <c r="F17" s="390" t="e">
        <f>$D17/1000*'Falhas UM-3-1 Qty'!F17</f>
        <v>#N/A</v>
      </c>
      <c r="G17" s="390" t="e">
        <f>$D17/1000*'Falhas UM-3-1 Qty'!G17</f>
        <v>#N/A</v>
      </c>
      <c r="H17" s="390" t="e">
        <f>$D17/1000*'Falhas UM-3-1 Qty'!H17</f>
        <v>#N/A</v>
      </c>
      <c r="I17" s="390" t="e">
        <f>$D17/1000*'Falhas UM-3-1 Qty'!I17</f>
        <v>#N/A</v>
      </c>
      <c r="J17" s="390" t="e">
        <f>$D17/1000*'Falhas UM-3-1 Qty'!J17</f>
        <v>#N/A</v>
      </c>
      <c r="K17" s="390" t="e">
        <f>$D17/1000*'Falhas UM-3-1 Qty'!K17</f>
        <v>#N/A</v>
      </c>
      <c r="L17" s="390" t="e">
        <f>$D17/1000*'Falhas UM-3-1 Qty'!L17</f>
        <v>#N/A</v>
      </c>
      <c r="M17" s="390" t="e">
        <f>$D17/1000*'Falhas UM-3-1 Qty'!M17</f>
        <v>#N/A</v>
      </c>
      <c r="N17" s="390" t="e">
        <f>$D17/1000*'Falhas UM-3-1 Qty'!N17</f>
        <v>#N/A</v>
      </c>
      <c r="O17" s="390" t="e">
        <f>$D17/1000*'Falhas UM-3-1 Qty'!O17</f>
        <v>#N/A</v>
      </c>
      <c r="P17" s="390" t="e">
        <f>$D17/1000*'Falhas UM-3-1 Qty'!P17</f>
        <v>#N/A</v>
      </c>
    </row>
    <row r="18" spans="1:16" ht="18" customHeight="1">
      <c r="A18" s="783"/>
      <c r="B18" s="88">
        <f t="shared" si="0"/>
        <v>3120</v>
      </c>
      <c r="C18" s="96" t="s">
        <v>80</v>
      </c>
      <c r="D18" s="362">
        <f>'[4]Falhas UM-3'!P18</f>
        <v>0.60060000000000002</v>
      </c>
      <c r="E18" s="391" t="e">
        <f>$D18/1000*'Falhas UM-3-1 Qty'!E18</f>
        <v>#N/A</v>
      </c>
      <c r="F18" s="391" t="e">
        <f>$D18/1000*'Falhas UM-3-1 Qty'!F18</f>
        <v>#N/A</v>
      </c>
      <c r="G18" s="391" t="e">
        <f>$D18/1000*'Falhas UM-3-1 Qty'!G18</f>
        <v>#N/A</v>
      </c>
      <c r="H18" s="391" t="e">
        <f>$D18/1000*'Falhas UM-3-1 Qty'!H18</f>
        <v>#N/A</v>
      </c>
      <c r="I18" s="391" t="e">
        <f>$D18/1000*'Falhas UM-3-1 Qty'!I18</f>
        <v>#N/A</v>
      </c>
      <c r="J18" s="391" t="e">
        <f>$D18/1000*'Falhas UM-3-1 Qty'!J18</f>
        <v>#N/A</v>
      </c>
      <c r="K18" s="391" t="e">
        <f>$D18/1000*'Falhas UM-3-1 Qty'!K18</f>
        <v>#N/A</v>
      </c>
      <c r="L18" s="391" t="e">
        <f>$D18/1000*'Falhas UM-3-1 Qty'!L18</f>
        <v>#N/A</v>
      </c>
      <c r="M18" s="391" t="e">
        <f>$D18/1000*'Falhas UM-3-1 Qty'!M18</f>
        <v>#N/A</v>
      </c>
      <c r="N18" s="391" t="e">
        <f>$D18/1000*'Falhas UM-3-1 Qty'!N18</f>
        <v>#N/A</v>
      </c>
      <c r="O18" s="391" t="e">
        <f>$D18/1000*'Falhas UM-3-1 Qty'!O18</f>
        <v>#N/A</v>
      </c>
      <c r="P18" s="391" t="e">
        <f>$D18/1000*'Falhas UM-3-1 Qty'!P18</f>
        <v>#N/A</v>
      </c>
    </row>
    <row r="19" spans="1:16" ht="18" customHeight="1" thickBot="1">
      <c r="A19" s="783"/>
      <c r="B19" s="91"/>
      <c r="C19" s="92" t="s">
        <v>1</v>
      </c>
      <c r="D19" s="363">
        <f>'[4]Falhas UM-3'!P19</f>
        <v>1052.6507191104918</v>
      </c>
      <c r="E19" s="392" t="e">
        <f t="shared" ref="E19:L19" si="1">SUM(E7:E18)</f>
        <v>#N/A</v>
      </c>
      <c r="F19" s="392" t="e">
        <f t="shared" si="1"/>
        <v>#N/A</v>
      </c>
      <c r="G19" s="392" t="e">
        <f t="shared" si="1"/>
        <v>#N/A</v>
      </c>
      <c r="H19" s="392" t="e">
        <f t="shared" si="1"/>
        <v>#N/A</v>
      </c>
      <c r="I19" s="392" t="e">
        <f t="shared" si="1"/>
        <v>#N/A</v>
      </c>
      <c r="J19" s="392" t="e">
        <f t="shared" si="1"/>
        <v>#N/A</v>
      </c>
      <c r="K19" s="392" t="e">
        <f t="shared" si="1"/>
        <v>#N/A</v>
      </c>
      <c r="L19" s="392" t="e">
        <f t="shared" si="1"/>
        <v>#N/A</v>
      </c>
      <c r="M19" s="392" t="e">
        <f>SUM(M7:M18)</f>
        <v>#N/A</v>
      </c>
      <c r="N19" s="392" t="e">
        <f>SUM(N7:N18)</f>
        <v>#N/A</v>
      </c>
      <c r="O19" s="392" t="e">
        <f>SUM(O7:O18)</f>
        <v>#N/A</v>
      </c>
      <c r="P19" s="392" t="e">
        <f>SUM(P7:P18)</f>
        <v>#N/A</v>
      </c>
    </row>
    <row r="20" spans="1:16" ht="18" customHeight="1" thickTop="1">
      <c r="A20" s="783"/>
      <c r="B20" s="88">
        <v>3130</v>
      </c>
      <c r="C20" s="89" t="s">
        <v>117</v>
      </c>
      <c r="D20" s="360">
        <f>'[4]Falhas UM-3'!P20</f>
        <v>164.52930000000001</v>
      </c>
      <c r="E20" s="389" t="e">
        <f>$D20/1000*'Falhas UM-3-1 Qty'!E20</f>
        <v>#N/A</v>
      </c>
      <c r="F20" s="389" t="e">
        <f>$D20/1000*'Falhas UM-3-1 Qty'!F20</f>
        <v>#N/A</v>
      </c>
      <c r="G20" s="389" t="e">
        <f>$D20/1000*'Falhas UM-3-1 Qty'!G20</f>
        <v>#N/A</v>
      </c>
      <c r="H20" s="389" t="e">
        <f>$D20/1000*'Falhas UM-3-1 Qty'!H20</f>
        <v>#N/A</v>
      </c>
      <c r="I20" s="389" t="e">
        <f>$D20/1000*'Falhas UM-3-1 Qty'!I20</f>
        <v>#N/A</v>
      </c>
      <c r="J20" s="389" t="e">
        <f>$D20/1000*'Falhas UM-3-1 Qty'!J20</f>
        <v>#N/A</v>
      </c>
      <c r="K20" s="389" t="e">
        <f>$D20/1000*'Falhas UM-3-1 Qty'!K20</f>
        <v>#N/A</v>
      </c>
      <c r="L20" s="389" t="e">
        <f>$D20/1000*'Falhas UM-3-1 Qty'!L20</f>
        <v>#N/A</v>
      </c>
      <c r="M20" s="389" t="e">
        <f>$D20/1000*'Falhas UM-3-1 Qty'!M20</f>
        <v>#N/A</v>
      </c>
      <c r="N20" s="389" t="e">
        <f>$D20/1000*'Falhas UM-3-1 Qty'!N20</f>
        <v>#N/A</v>
      </c>
      <c r="O20" s="389" t="e">
        <f>$D20/1000*'Falhas UM-3-1 Qty'!O20</f>
        <v>#N/A</v>
      </c>
      <c r="P20" s="389" t="e">
        <f>$D20/1000*'Falhas UM-3-1 Qty'!P20</f>
        <v>#N/A</v>
      </c>
    </row>
    <row r="21" spans="1:16" ht="18" customHeight="1">
      <c r="A21" s="783"/>
      <c r="B21" s="88">
        <v>3135</v>
      </c>
      <c r="C21" s="96" t="s">
        <v>118</v>
      </c>
      <c r="D21" s="360">
        <f>'[4]Falhas UM-3'!P21</f>
        <v>164.52930000000001</v>
      </c>
      <c r="E21" s="389" t="e">
        <f>$D21/1000*'Falhas UM-3-1 Qty'!E21</f>
        <v>#N/A</v>
      </c>
      <c r="F21" s="389" t="e">
        <f>$D21/1000*'Falhas UM-3-1 Qty'!F21</f>
        <v>#N/A</v>
      </c>
      <c r="G21" s="389" t="e">
        <f>$D21/1000*'Falhas UM-3-1 Qty'!G21</f>
        <v>#N/A</v>
      </c>
      <c r="H21" s="389" t="e">
        <f>$D21/1000*'Falhas UM-3-1 Qty'!H21</f>
        <v>#N/A</v>
      </c>
      <c r="I21" s="389" t="e">
        <f>$D21/1000*'Falhas UM-3-1 Qty'!I21</f>
        <v>#N/A</v>
      </c>
      <c r="J21" s="389" t="e">
        <f>$D21/1000*'Falhas UM-3-1 Qty'!J21</f>
        <v>#N/A</v>
      </c>
      <c r="K21" s="389" t="e">
        <f>$D21/1000*'Falhas UM-3-1 Qty'!K21</f>
        <v>#N/A</v>
      </c>
      <c r="L21" s="389" t="e">
        <f>$D21/1000*'Falhas UM-3-1 Qty'!L21</f>
        <v>#N/A</v>
      </c>
      <c r="M21" s="389" t="e">
        <f>$D21/1000*'Falhas UM-3-1 Qty'!M21</f>
        <v>#N/A</v>
      </c>
      <c r="N21" s="389" t="e">
        <f>$D21/1000*'Falhas UM-3-1 Qty'!N21</f>
        <v>#N/A</v>
      </c>
      <c r="O21" s="389" t="e">
        <f>$D21/1000*'Falhas UM-3-1 Qty'!O21</f>
        <v>#N/A</v>
      </c>
      <c r="P21" s="389" t="e">
        <f>$D21/1000*'Falhas UM-3-1 Qty'!P21</f>
        <v>#N/A</v>
      </c>
    </row>
    <row r="22" spans="1:16" ht="18" customHeight="1">
      <c r="A22" s="783"/>
      <c r="B22" s="88">
        <v>3140</v>
      </c>
      <c r="C22" s="96" t="s">
        <v>119</v>
      </c>
      <c r="D22" s="360">
        <f>'[4]Falhas UM-3'!P22</f>
        <v>164.52930000000001</v>
      </c>
      <c r="E22" s="389" t="e">
        <f>$D22/1000*'Falhas UM-3-1 Qty'!E22</f>
        <v>#N/A</v>
      </c>
      <c r="F22" s="389" t="e">
        <f>$D22/1000*'Falhas UM-3-1 Qty'!F22</f>
        <v>#N/A</v>
      </c>
      <c r="G22" s="389" t="e">
        <f>$D22/1000*'Falhas UM-3-1 Qty'!G22</f>
        <v>#N/A</v>
      </c>
      <c r="H22" s="389" t="e">
        <f>$D22/1000*'Falhas UM-3-1 Qty'!H22</f>
        <v>#N/A</v>
      </c>
      <c r="I22" s="389" t="e">
        <f>$D22/1000*'Falhas UM-3-1 Qty'!I22</f>
        <v>#N/A</v>
      </c>
      <c r="J22" s="389" t="e">
        <f>$D22/1000*'Falhas UM-3-1 Qty'!J22</f>
        <v>#N/A</v>
      </c>
      <c r="K22" s="389" t="e">
        <f>$D22/1000*'Falhas UM-3-1 Qty'!K22</f>
        <v>#N/A</v>
      </c>
      <c r="L22" s="389" t="e">
        <f>$D22/1000*'Falhas UM-3-1 Qty'!L22</f>
        <v>#N/A</v>
      </c>
      <c r="M22" s="389" t="e">
        <f>$D22/1000*'Falhas UM-3-1 Qty'!M22</f>
        <v>#N/A</v>
      </c>
      <c r="N22" s="389" t="e">
        <f>$D22/1000*'Falhas UM-3-1 Qty'!N22</f>
        <v>#N/A</v>
      </c>
      <c r="O22" s="389" t="e">
        <f>$D22/1000*'Falhas UM-3-1 Qty'!O22</f>
        <v>#N/A</v>
      </c>
      <c r="P22" s="389" t="e">
        <f>$D22/1000*'Falhas UM-3-1 Qty'!P22</f>
        <v>#N/A</v>
      </c>
    </row>
    <row r="23" spans="1:16" ht="18" customHeight="1">
      <c r="A23" s="783"/>
      <c r="B23" s="88">
        <f>B22+5</f>
        <v>3145</v>
      </c>
      <c r="C23" s="96" t="s">
        <v>120</v>
      </c>
      <c r="D23" s="360">
        <f>'[4]Falhas UM-3'!P23</f>
        <v>164.52930000000001</v>
      </c>
      <c r="E23" s="389" t="e">
        <f>$D23/1000*'Falhas UM-3-1 Qty'!E23</f>
        <v>#N/A</v>
      </c>
      <c r="F23" s="389" t="e">
        <f>$D23/1000*'Falhas UM-3-1 Qty'!F23</f>
        <v>#N/A</v>
      </c>
      <c r="G23" s="389" t="e">
        <f>$D23/1000*'Falhas UM-3-1 Qty'!G23</f>
        <v>#N/A</v>
      </c>
      <c r="H23" s="389" t="e">
        <f>$D23/1000*'Falhas UM-3-1 Qty'!H23</f>
        <v>#N/A</v>
      </c>
      <c r="I23" s="389" t="e">
        <f>$D23/1000*'Falhas UM-3-1 Qty'!I23</f>
        <v>#N/A</v>
      </c>
      <c r="J23" s="389" t="e">
        <f>$D23/1000*'Falhas UM-3-1 Qty'!J23</f>
        <v>#N/A</v>
      </c>
      <c r="K23" s="389" t="e">
        <f>$D23/1000*'Falhas UM-3-1 Qty'!K23</f>
        <v>#N/A</v>
      </c>
      <c r="L23" s="389" t="e">
        <f>$D23/1000*'Falhas UM-3-1 Qty'!L23</f>
        <v>#N/A</v>
      </c>
      <c r="M23" s="389" t="e">
        <f>$D23/1000*'Falhas UM-3-1 Qty'!M23</f>
        <v>#N/A</v>
      </c>
      <c r="N23" s="389" t="e">
        <f>$D23/1000*'Falhas UM-3-1 Qty'!N23</f>
        <v>#N/A</v>
      </c>
      <c r="O23" s="389" t="e">
        <f>$D23/1000*'Falhas UM-3-1 Qty'!O23</f>
        <v>#N/A</v>
      </c>
      <c r="P23" s="389" t="e">
        <f>$D23/1000*'Falhas UM-3-1 Qty'!P23</f>
        <v>#N/A</v>
      </c>
    </row>
    <row r="24" spans="1:16" ht="18" customHeight="1">
      <c r="A24" s="783"/>
      <c r="B24" s="209">
        <f t="shared" ref="B24:B36" si="2">B23+5</f>
        <v>3150</v>
      </c>
      <c r="C24" s="97" t="s">
        <v>121</v>
      </c>
      <c r="D24" s="364">
        <f>'[4]Falhas UM-3'!P24</f>
        <v>164.52930000000001</v>
      </c>
      <c r="E24" s="393" t="e">
        <f>$D24/1000*'Falhas UM-3-1 Qty'!E24</f>
        <v>#N/A</v>
      </c>
      <c r="F24" s="393" t="e">
        <f>$D24/1000*'Falhas UM-3-1 Qty'!F24</f>
        <v>#N/A</v>
      </c>
      <c r="G24" s="393" t="e">
        <f>$D24/1000*'Falhas UM-3-1 Qty'!G24</f>
        <v>#N/A</v>
      </c>
      <c r="H24" s="393" t="e">
        <f>$D24/1000*'Falhas UM-3-1 Qty'!H24</f>
        <v>#N/A</v>
      </c>
      <c r="I24" s="393" t="e">
        <f>$D24/1000*'Falhas UM-3-1 Qty'!I24</f>
        <v>#N/A</v>
      </c>
      <c r="J24" s="393" t="e">
        <f>$D24/1000*'Falhas UM-3-1 Qty'!J24</f>
        <v>#N/A</v>
      </c>
      <c r="K24" s="393" t="e">
        <f>$D24/1000*'Falhas UM-3-1 Qty'!K24</f>
        <v>#N/A</v>
      </c>
      <c r="L24" s="393" t="e">
        <f>$D24/1000*'Falhas UM-3-1 Qty'!L24</f>
        <v>#N/A</v>
      </c>
      <c r="M24" s="393" t="e">
        <f>$D24/1000*'Falhas UM-3-1 Qty'!M24</f>
        <v>#N/A</v>
      </c>
      <c r="N24" s="393" t="e">
        <f>$D24/1000*'Falhas UM-3-1 Qty'!N24</f>
        <v>#N/A</v>
      </c>
      <c r="O24" s="393" t="e">
        <f>$D24/1000*'Falhas UM-3-1 Qty'!O24</f>
        <v>#N/A</v>
      </c>
      <c r="P24" s="393" t="e">
        <f>$D24/1000*'Falhas UM-3-1 Qty'!P24</f>
        <v>#N/A</v>
      </c>
    </row>
    <row r="25" spans="1:16" ht="18" customHeight="1">
      <c r="A25" s="783"/>
      <c r="B25" s="88">
        <f t="shared" si="2"/>
        <v>3155</v>
      </c>
      <c r="C25" s="89" t="s">
        <v>124</v>
      </c>
      <c r="D25" s="360">
        <f>'[4]Falhas UM-3'!P25</f>
        <v>164.52930000000001</v>
      </c>
      <c r="E25" s="389" t="e">
        <f>$D25/1000*'Falhas UM-3-1 Qty'!E25</f>
        <v>#N/A</v>
      </c>
      <c r="F25" s="389" t="e">
        <f>$D25/1000*'Falhas UM-3-1 Qty'!F25</f>
        <v>#N/A</v>
      </c>
      <c r="G25" s="389" t="e">
        <f>$D25/1000*'Falhas UM-3-1 Qty'!G25</f>
        <v>#N/A</v>
      </c>
      <c r="H25" s="389" t="e">
        <f>$D25/1000*'Falhas UM-3-1 Qty'!H25</f>
        <v>#N/A</v>
      </c>
      <c r="I25" s="389" t="e">
        <f>$D25/1000*'Falhas UM-3-1 Qty'!I25</f>
        <v>#N/A</v>
      </c>
      <c r="J25" s="389" t="e">
        <f>$D25/1000*'Falhas UM-3-1 Qty'!J25</f>
        <v>#N/A</v>
      </c>
      <c r="K25" s="389" t="e">
        <f>$D25/1000*'Falhas UM-3-1 Qty'!K25</f>
        <v>#N/A</v>
      </c>
      <c r="L25" s="389" t="e">
        <f>$D25/1000*'Falhas UM-3-1 Qty'!L25</f>
        <v>#N/A</v>
      </c>
      <c r="M25" s="389" t="e">
        <f>$D25/1000*'Falhas UM-3-1 Qty'!M25</f>
        <v>#N/A</v>
      </c>
      <c r="N25" s="389" t="e">
        <f>$D25/1000*'Falhas UM-3-1 Qty'!N25</f>
        <v>#N/A</v>
      </c>
      <c r="O25" s="389" t="e">
        <f>$D25/1000*'Falhas UM-3-1 Qty'!O25</f>
        <v>#N/A</v>
      </c>
      <c r="P25" s="389" t="e">
        <f>$D25/1000*'Falhas UM-3-1 Qty'!P25</f>
        <v>#N/A</v>
      </c>
    </row>
    <row r="26" spans="1:16" ht="18" customHeight="1">
      <c r="A26" s="783"/>
      <c r="B26" s="88">
        <f t="shared" si="2"/>
        <v>3160</v>
      </c>
      <c r="C26" s="96" t="s">
        <v>135</v>
      </c>
      <c r="D26" s="360">
        <f>'[4]Falhas UM-3'!P26</f>
        <v>164.52930000000001</v>
      </c>
      <c r="E26" s="389" t="e">
        <f>$D26/1000*'Falhas UM-3-1 Qty'!E26</f>
        <v>#N/A</v>
      </c>
      <c r="F26" s="389" t="e">
        <f>$D26/1000*'Falhas UM-3-1 Qty'!F26</f>
        <v>#N/A</v>
      </c>
      <c r="G26" s="389" t="e">
        <f>$D26/1000*'Falhas UM-3-1 Qty'!G26</f>
        <v>#N/A</v>
      </c>
      <c r="H26" s="389" t="e">
        <f>$D26/1000*'Falhas UM-3-1 Qty'!H26</f>
        <v>#N/A</v>
      </c>
      <c r="I26" s="389" t="e">
        <f>$D26/1000*'Falhas UM-3-1 Qty'!I26</f>
        <v>#N/A</v>
      </c>
      <c r="J26" s="389" t="e">
        <f>$D26/1000*'Falhas UM-3-1 Qty'!J26</f>
        <v>#N/A</v>
      </c>
      <c r="K26" s="389" t="e">
        <f>$D26/1000*'Falhas UM-3-1 Qty'!K26</f>
        <v>#N/A</v>
      </c>
      <c r="L26" s="389" t="e">
        <f>$D26/1000*'Falhas UM-3-1 Qty'!L26</f>
        <v>#N/A</v>
      </c>
      <c r="M26" s="389" t="e">
        <f>$D26/1000*'Falhas UM-3-1 Qty'!M26</f>
        <v>#N/A</v>
      </c>
      <c r="N26" s="389" t="e">
        <f>$D26/1000*'Falhas UM-3-1 Qty'!N26</f>
        <v>#N/A</v>
      </c>
      <c r="O26" s="389" t="e">
        <f>$D26/1000*'Falhas UM-3-1 Qty'!O26</f>
        <v>#N/A</v>
      </c>
      <c r="P26" s="389" t="e">
        <f>$D26/1000*'Falhas UM-3-1 Qty'!P26</f>
        <v>#N/A</v>
      </c>
    </row>
    <row r="27" spans="1:16" ht="18" customHeight="1">
      <c r="A27" s="783"/>
      <c r="B27" s="88">
        <f t="shared" si="2"/>
        <v>3165</v>
      </c>
      <c r="C27" s="96" t="s">
        <v>136</v>
      </c>
      <c r="D27" s="360">
        <f>'[4]Falhas UM-3'!P27</f>
        <v>164.52930000000001</v>
      </c>
      <c r="E27" s="389" t="e">
        <f>$D27/1000*'Falhas UM-3-1 Qty'!E27</f>
        <v>#N/A</v>
      </c>
      <c r="F27" s="389" t="e">
        <f>$D27/1000*'Falhas UM-3-1 Qty'!F27</f>
        <v>#N/A</v>
      </c>
      <c r="G27" s="389" t="e">
        <f>$D27/1000*'Falhas UM-3-1 Qty'!G27</f>
        <v>#N/A</v>
      </c>
      <c r="H27" s="389" t="e">
        <f>$D27/1000*'Falhas UM-3-1 Qty'!H27</f>
        <v>#N/A</v>
      </c>
      <c r="I27" s="389" t="e">
        <f>$D27/1000*'Falhas UM-3-1 Qty'!I27</f>
        <v>#N/A</v>
      </c>
      <c r="J27" s="389" t="e">
        <f>$D27/1000*'Falhas UM-3-1 Qty'!J27</f>
        <v>#N/A</v>
      </c>
      <c r="K27" s="389" t="e">
        <f>$D27/1000*'Falhas UM-3-1 Qty'!K27</f>
        <v>#N/A</v>
      </c>
      <c r="L27" s="389" t="e">
        <f>$D27/1000*'Falhas UM-3-1 Qty'!L27</f>
        <v>#N/A</v>
      </c>
      <c r="M27" s="389" t="e">
        <f>$D27/1000*'Falhas UM-3-1 Qty'!M27</f>
        <v>#N/A</v>
      </c>
      <c r="N27" s="389" t="e">
        <f>$D27/1000*'Falhas UM-3-1 Qty'!N27</f>
        <v>#N/A</v>
      </c>
      <c r="O27" s="389" t="e">
        <f>$D27/1000*'Falhas UM-3-1 Qty'!O27</f>
        <v>#N/A</v>
      </c>
      <c r="P27" s="389" t="e">
        <f>$D27/1000*'Falhas UM-3-1 Qty'!P27</f>
        <v>#N/A</v>
      </c>
    </row>
    <row r="28" spans="1:16" ht="18" customHeight="1">
      <c r="A28" s="783"/>
      <c r="B28" s="88">
        <f t="shared" si="2"/>
        <v>3170</v>
      </c>
      <c r="C28" s="96" t="s">
        <v>137</v>
      </c>
      <c r="D28" s="360">
        <f>'[4]Falhas UM-3'!P28</f>
        <v>164.52930000000001</v>
      </c>
      <c r="E28" s="389" t="e">
        <f>$D28/1000*'Falhas UM-3-1 Qty'!E28</f>
        <v>#N/A</v>
      </c>
      <c r="F28" s="389" t="e">
        <f>$D28/1000*'Falhas UM-3-1 Qty'!F28</f>
        <v>#N/A</v>
      </c>
      <c r="G28" s="389" t="e">
        <f>$D28/1000*'Falhas UM-3-1 Qty'!G28</f>
        <v>#N/A</v>
      </c>
      <c r="H28" s="389" t="e">
        <f>$D28/1000*'Falhas UM-3-1 Qty'!H28</f>
        <v>#N/A</v>
      </c>
      <c r="I28" s="389" t="e">
        <f>$D28/1000*'Falhas UM-3-1 Qty'!I28</f>
        <v>#N/A</v>
      </c>
      <c r="J28" s="389" t="e">
        <f>$D28/1000*'Falhas UM-3-1 Qty'!J28</f>
        <v>#N/A</v>
      </c>
      <c r="K28" s="389" t="e">
        <f>$D28/1000*'Falhas UM-3-1 Qty'!K28</f>
        <v>#N/A</v>
      </c>
      <c r="L28" s="389" t="e">
        <f>$D28/1000*'Falhas UM-3-1 Qty'!L28</f>
        <v>#N/A</v>
      </c>
      <c r="M28" s="389" t="e">
        <f>$D28/1000*'Falhas UM-3-1 Qty'!M28</f>
        <v>#N/A</v>
      </c>
      <c r="N28" s="389" t="e">
        <f>$D28/1000*'Falhas UM-3-1 Qty'!N28</f>
        <v>#N/A</v>
      </c>
      <c r="O28" s="389" t="e">
        <f>$D28/1000*'Falhas UM-3-1 Qty'!O28</f>
        <v>#N/A</v>
      </c>
      <c r="P28" s="389" t="e">
        <f>$D28/1000*'Falhas UM-3-1 Qty'!P28</f>
        <v>#N/A</v>
      </c>
    </row>
    <row r="29" spans="1:16" ht="18" customHeight="1">
      <c r="A29" s="783"/>
      <c r="B29" s="88">
        <f t="shared" si="2"/>
        <v>3175</v>
      </c>
      <c r="C29" s="96" t="s">
        <v>138</v>
      </c>
      <c r="D29" s="360">
        <f>'[4]Falhas UM-3'!P29</f>
        <v>164.52930000000001</v>
      </c>
      <c r="E29" s="389" t="e">
        <f>$D29/1000*'Falhas UM-3-1 Qty'!E29</f>
        <v>#N/A</v>
      </c>
      <c r="F29" s="389" t="e">
        <f>$D29/1000*'Falhas UM-3-1 Qty'!F29</f>
        <v>#N/A</v>
      </c>
      <c r="G29" s="389" t="e">
        <f>$D29/1000*'Falhas UM-3-1 Qty'!G29</f>
        <v>#N/A</v>
      </c>
      <c r="H29" s="389" t="e">
        <f>$D29/1000*'Falhas UM-3-1 Qty'!H29</f>
        <v>#N/A</v>
      </c>
      <c r="I29" s="389" t="e">
        <f>$D29/1000*'Falhas UM-3-1 Qty'!I29</f>
        <v>#N/A</v>
      </c>
      <c r="J29" s="389" t="e">
        <f>$D29/1000*'Falhas UM-3-1 Qty'!J29</f>
        <v>#N/A</v>
      </c>
      <c r="K29" s="389" t="e">
        <f>$D29/1000*'Falhas UM-3-1 Qty'!K29</f>
        <v>#N/A</v>
      </c>
      <c r="L29" s="389" t="e">
        <f>$D29/1000*'Falhas UM-3-1 Qty'!L29</f>
        <v>#N/A</v>
      </c>
      <c r="M29" s="389" t="e">
        <f>$D29/1000*'Falhas UM-3-1 Qty'!M29</f>
        <v>#N/A</v>
      </c>
      <c r="N29" s="389" t="e">
        <f>$D29/1000*'Falhas UM-3-1 Qty'!N29</f>
        <v>#N/A</v>
      </c>
      <c r="O29" s="389" t="e">
        <f>$D29/1000*'Falhas UM-3-1 Qty'!O29</f>
        <v>#N/A</v>
      </c>
      <c r="P29" s="389" t="e">
        <f>$D29/1000*'Falhas UM-3-1 Qty'!P29</f>
        <v>#N/A</v>
      </c>
    </row>
    <row r="30" spans="1:16" ht="18" customHeight="1">
      <c r="A30" s="783"/>
      <c r="B30" s="210">
        <f t="shared" si="2"/>
        <v>3180</v>
      </c>
      <c r="C30" s="99" t="s">
        <v>139</v>
      </c>
      <c r="D30" s="362">
        <f>'[4]Falhas UM-3'!P30</f>
        <v>164.52930000000001</v>
      </c>
      <c r="E30" s="391" t="e">
        <f>$D30/1000*'Falhas UM-3-1 Qty'!E30</f>
        <v>#N/A</v>
      </c>
      <c r="F30" s="391" t="e">
        <f>$D30/1000*'Falhas UM-3-1 Qty'!F30</f>
        <v>#N/A</v>
      </c>
      <c r="G30" s="391" t="e">
        <f>$D30/1000*'Falhas UM-3-1 Qty'!G30</f>
        <v>#N/A</v>
      </c>
      <c r="H30" s="391" t="e">
        <f>$D30/1000*'Falhas UM-3-1 Qty'!H30</f>
        <v>#N/A</v>
      </c>
      <c r="I30" s="391" t="e">
        <f>$D30/1000*'Falhas UM-3-1 Qty'!I30</f>
        <v>#N/A</v>
      </c>
      <c r="J30" s="391" t="e">
        <f>$D30/1000*'Falhas UM-3-1 Qty'!J30</f>
        <v>#N/A</v>
      </c>
      <c r="K30" s="391" t="e">
        <f>$D30/1000*'Falhas UM-3-1 Qty'!K30</f>
        <v>#N/A</v>
      </c>
      <c r="L30" s="391" t="e">
        <f>$D30/1000*'Falhas UM-3-1 Qty'!L30</f>
        <v>#N/A</v>
      </c>
      <c r="M30" s="391" t="e">
        <f>$D30/1000*'Falhas UM-3-1 Qty'!M30</f>
        <v>#N/A</v>
      </c>
      <c r="N30" s="391" t="e">
        <f>$D30/1000*'Falhas UM-3-1 Qty'!N30</f>
        <v>#N/A</v>
      </c>
      <c r="O30" s="391" t="e">
        <f>$D30/1000*'Falhas UM-3-1 Qty'!O30</f>
        <v>#N/A</v>
      </c>
      <c r="P30" s="391" t="e">
        <f>$D30/1000*'Falhas UM-3-1 Qty'!P30</f>
        <v>#N/A</v>
      </c>
    </row>
    <row r="31" spans="1:16" ht="18" customHeight="1">
      <c r="A31" s="783"/>
      <c r="B31" s="211">
        <f t="shared" si="2"/>
        <v>3185</v>
      </c>
      <c r="C31" s="96" t="s">
        <v>140</v>
      </c>
      <c r="D31" s="361">
        <f>'[4]Falhas UM-3'!P31</f>
        <v>164.52930000000001</v>
      </c>
      <c r="E31" s="390" t="e">
        <f>$D31/1000*'Falhas UM-3-1 Qty'!E31</f>
        <v>#N/A</v>
      </c>
      <c r="F31" s="390" t="e">
        <f>$D31/1000*'Falhas UM-3-1 Qty'!F31</f>
        <v>#N/A</v>
      </c>
      <c r="G31" s="390" t="e">
        <f>$D31/1000*'Falhas UM-3-1 Qty'!G31</f>
        <v>#N/A</v>
      </c>
      <c r="H31" s="390" t="e">
        <f>$D31/1000*'Falhas UM-3-1 Qty'!H31</f>
        <v>#N/A</v>
      </c>
      <c r="I31" s="390" t="e">
        <f>$D31/1000*'Falhas UM-3-1 Qty'!I31</f>
        <v>#N/A</v>
      </c>
      <c r="J31" s="390" t="e">
        <f>$D31/1000*'Falhas UM-3-1 Qty'!J31</f>
        <v>#N/A</v>
      </c>
      <c r="K31" s="390" t="e">
        <f>$D31/1000*'Falhas UM-3-1 Qty'!K31</f>
        <v>#N/A</v>
      </c>
      <c r="L31" s="390" t="e">
        <f>$D31/1000*'Falhas UM-3-1 Qty'!L31</f>
        <v>#N/A</v>
      </c>
      <c r="M31" s="390" t="e">
        <f>$D31/1000*'Falhas UM-3-1 Qty'!M31</f>
        <v>#N/A</v>
      </c>
      <c r="N31" s="390" t="e">
        <f>$D31/1000*'Falhas UM-3-1 Qty'!N31</f>
        <v>#N/A</v>
      </c>
      <c r="O31" s="390" t="e">
        <f>$D31/1000*'Falhas UM-3-1 Qty'!O31</f>
        <v>#N/A</v>
      </c>
      <c r="P31" s="390" t="e">
        <f>$D31/1000*'Falhas UM-3-1 Qty'!P31</f>
        <v>#N/A</v>
      </c>
    </row>
    <row r="32" spans="1:16" ht="18" customHeight="1">
      <c r="A32" s="783"/>
      <c r="B32" s="88">
        <f t="shared" si="2"/>
        <v>3190</v>
      </c>
      <c r="C32" s="96" t="s">
        <v>122</v>
      </c>
      <c r="D32" s="360">
        <f>'[4]Falhas UM-3'!P32</f>
        <v>164.52930000000001</v>
      </c>
      <c r="E32" s="389" t="e">
        <f>$D32/1000*'Falhas UM-3-1 Qty'!E32</f>
        <v>#N/A</v>
      </c>
      <c r="F32" s="389" t="e">
        <f>$D32/1000*'Falhas UM-3-1 Qty'!F32</f>
        <v>#N/A</v>
      </c>
      <c r="G32" s="389" t="e">
        <f>$D32/1000*'Falhas UM-3-1 Qty'!G32</f>
        <v>#N/A</v>
      </c>
      <c r="H32" s="389" t="e">
        <f>$D32/1000*'Falhas UM-3-1 Qty'!H32</f>
        <v>#N/A</v>
      </c>
      <c r="I32" s="389" t="e">
        <f>$D32/1000*'Falhas UM-3-1 Qty'!I32</f>
        <v>#N/A</v>
      </c>
      <c r="J32" s="389" t="e">
        <f>$D32/1000*'Falhas UM-3-1 Qty'!J32</f>
        <v>#N/A</v>
      </c>
      <c r="K32" s="389" t="e">
        <f>$D32/1000*'Falhas UM-3-1 Qty'!K32</f>
        <v>#N/A</v>
      </c>
      <c r="L32" s="389" t="e">
        <f>$D32/1000*'Falhas UM-3-1 Qty'!L32</f>
        <v>#N/A</v>
      </c>
      <c r="M32" s="389" t="e">
        <f>$D32/1000*'Falhas UM-3-1 Qty'!M32</f>
        <v>#N/A</v>
      </c>
      <c r="N32" s="389" t="e">
        <f>$D32/1000*'Falhas UM-3-1 Qty'!N32</f>
        <v>#N/A</v>
      </c>
      <c r="O32" s="389" t="e">
        <f>$D32/1000*'Falhas UM-3-1 Qty'!O32</f>
        <v>#N/A</v>
      </c>
      <c r="P32" s="389" t="e">
        <f>$D32/1000*'Falhas UM-3-1 Qty'!P32</f>
        <v>#N/A</v>
      </c>
    </row>
    <row r="33" spans="1:16" ht="18" customHeight="1">
      <c r="A33" s="783"/>
      <c r="B33" s="88">
        <f t="shared" si="2"/>
        <v>3195</v>
      </c>
      <c r="C33" s="96" t="s">
        <v>141</v>
      </c>
      <c r="D33" s="360">
        <f>'[4]Falhas UM-3'!P33</f>
        <v>164.52930000000001</v>
      </c>
      <c r="E33" s="389" t="e">
        <f>$D33/1000*'Falhas UM-3-1 Qty'!E33</f>
        <v>#N/A</v>
      </c>
      <c r="F33" s="389" t="e">
        <f>$D33/1000*'Falhas UM-3-1 Qty'!F33</f>
        <v>#N/A</v>
      </c>
      <c r="G33" s="389" t="e">
        <f>$D33/1000*'Falhas UM-3-1 Qty'!G33</f>
        <v>#N/A</v>
      </c>
      <c r="H33" s="389" t="e">
        <f>$D33/1000*'Falhas UM-3-1 Qty'!H33</f>
        <v>#N/A</v>
      </c>
      <c r="I33" s="389" t="e">
        <f>$D33/1000*'Falhas UM-3-1 Qty'!I33</f>
        <v>#N/A</v>
      </c>
      <c r="J33" s="389" t="e">
        <f>$D33/1000*'Falhas UM-3-1 Qty'!J33</f>
        <v>#N/A</v>
      </c>
      <c r="K33" s="389" t="e">
        <f>$D33/1000*'Falhas UM-3-1 Qty'!K33</f>
        <v>#N/A</v>
      </c>
      <c r="L33" s="389" t="e">
        <f>$D33/1000*'Falhas UM-3-1 Qty'!L33</f>
        <v>#N/A</v>
      </c>
      <c r="M33" s="389" t="e">
        <f>$D33/1000*'Falhas UM-3-1 Qty'!M33</f>
        <v>#N/A</v>
      </c>
      <c r="N33" s="389" t="e">
        <f>$D33/1000*'Falhas UM-3-1 Qty'!N33</f>
        <v>#N/A</v>
      </c>
      <c r="O33" s="389" t="e">
        <f>$D33/1000*'Falhas UM-3-1 Qty'!O33</f>
        <v>#N/A</v>
      </c>
      <c r="P33" s="389" t="e">
        <f>$D33/1000*'Falhas UM-3-1 Qty'!P33</f>
        <v>#N/A</v>
      </c>
    </row>
    <row r="34" spans="1:16" ht="18" customHeight="1">
      <c r="A34" s="783"/>
      <c r="B34" s="88">
        <f t="shared" si="2"/>
        <v>3200</v>
      </c>
      <c r="C34" s="96" t="s">
        <v>123</v>
      </c>
      <c r="D34" s="360">
        <f>'[4]Falhas UM-3'!P34</f>
        <v>164.52930000000001</v>
      </c>
      <c r="E34" s="389" t="e">
        <f>$D34/1000*'Falhas UM-3-1 Qty'!E34</f>
        <v>#N/A</v>
      </c>
      <c r="F34" s="389" t="e">
        <f>$D34/1000*'Falhas UM-3-1 Qty'!F34</f>
        <v>#N/A</v>
      </c>
      <c r="G34" s="389" t="e">
        <f>$D34/1000*'Falhas UM-3-1 Qty'!G34</f>
        <v>#N/A</v>
      </c>
      <c r="H34" s="389" t="e">
        <f>$D34/1000*'Falhas UM-3-1 Qty'!H34</f>
        <v>#N/A</v>
      </c>
      <c r="I34" s="389" t="e">
        <f>$D34/1000*'Falhas UM-3-1 Qty'!I34</f>
        <v>#N/A</v>
      </c>
      <c r="J34" s="389" t="e">
        <f>$D34/1000*'Falhas UM-3-1 Qty'!J34</f>
        <v>#N/A</v>
      </c>
      <c r="K34" s="389" t="e">
        <f>$D34/1000*'Falhas UM-3-1 Qty'!K34</f>
        <v>#N/A</v>
      </c>
      <c r="L34" s="389" t="e">
        <f>$D34/1000*'Falhas UM-3-1 Qty'!L34</f>
        <v>#N/A</v>
      </c>
      <c r="M34" s="389" t="e">
        <f>$D34/1000*'Falhas UM-3-1 Qty'!M34</f>
        <v>#N/A</v>
      </c>
      <c r="N34" s="389" t="e">
        <f>$D34/1000*'Falhas UM-3-1 Qty'!N34</f>
        <v>#N/A</v>
      </c>
      <c r="O34" s="389" t="e">
        <f>$D34/1000*'Falhas UM-3-1 Qty'!O34</f>
        <v>#N/A</v>
      </c>
      <c r="P34" s="389" t="e">
        <f>$D34/1000*'Falhas UM-3-1 Qty'!P34</f>
        <v>#N/A</v>
      </c>
    </row>
    <row r="35" spans="1:16" ht="18" customHeight="1">
      <c r="A35" s="783"/>
      <c r="B35" s="88">
        <f t="shared" si="2"/>
        <v>3205</v>
      </c>
      <c r="C35" s="96" t="s">
        <v>142</v>
      </c>
      <c r="D35" s="360">
        <f>'[4]Falhas UM-3'!P35</f>
        <v>164.52930000000001</v>
      </c>
      <c r="E35" s="389" t="e">
        <f>$D35/1000*'Falhas UM-3-1 Qty'!E35</f>
        <v>#N/A</v>
      </c>
      <c r="F35" s="389" t="e">
        <f>$D35/1000*'Falhas UM-3-1 Qty'!F35</f>
        <v>#N/A</v>
      </c>
      <c r="G35" s="389" t="e">
        <f>$D35/1000*'Falhas UM-3-1 Qty'!G35</f>
        <v>#N/A</v>
      </c>
      <c r="H35" s="389" t="e">
        <f>$D35/1000*'Falhas UM-3-1 Qty'!H35</f>
        <v>#N/A</v>
      </c>
      <c r="I35" s="389" t="e">
        <f>$D35/1000*'Falhas UM-3-1 Qty'!I35</f>
        <v>#N/A</v>
      </c>
      <c r="J35" s="389" t="e">
        <f>$D35/1000*'Falhas UM-3-1 Qty'!J35</f>
        <v>#N/A</v>
      </c>
      <c r="K35" s="389" t="e">
        <f>$D35/1000*'Falhas UM-3-1 Qty'!K35</f>
        <v>#N/A</v>
      </c>
      <c r="L35" s="389" t="e">
        <f>$D35/1000*'Falhas UM-3-1 Qty'!L35</f>
        <v>#N/A</v>
      </c>
      <c r="M35" s="389" t="e">
        <f>$D35/1000*'Falhas UM-3-1 Qty'!M35</f>
        <v>#N/A</v>
      </c>
      <c r="N35" s="389" t="e">
        <f>$D35/1000*'Falhas UM-3-1 Qty'!N35</f>
        <v>#N/A</v>
      </c>
      <c r="O35" s="389" t="e">
        <f>$D35/1000*'Falhas UM-3-1 Qty'!O35</f>
        <v>#N/A</v>
      </c>
      <c r="P35" s="389" t="e">
        <f>$D35/1000*'Falhas UM-3-1 Qty'!P35</f>
        <v>#N/A</v>
      </c>
    </row>
    <row r="36" spans="1:16" ht="18" customHeight="1">
      <c r="A36" s="783"/>
      <c r="B36" s="88">
        <f t="shared" si="2"/>
        <v>3210</v>
      </c>
      <c r="C36" s="96" t="s">
        <v>125</v>
      </c>
      <c r="D36" s="360">
        <f>'[4]Falhas UM-3'!P36</f>
        <v>164.52930000000001</v>
      </c>
      <c r="E36" s="389" t="e">
        <f>$D36/1000*'Falhas UM-3-1 Qty'!E36</f>
        <v>#N/A</v>
      </c>
      <c r="F36" s="389" t="e">
        <f>$D36/1000*'Falhas UM-3-1 Qty'!F36</f>
        <v>#N/A</v>
      </c>
      <c r="G36" s="389" t="e">
        <f>$D36/1000*'Falhas UM-3-1 Qty'!G36</f>
        <v>#N/A</v>
      </c>
      <c r="H36" s="389" t="e">
        <f>$D36/1000*'Falhas UM-3-1 Qty'!H36</f>
        <v>#N/A</v>
      </c>
      <c r="I36" s="389" t="e">
        <f>$D36/1000*'Falhas UM-3-1 Qty'!I36</f>
        <v>#N/A</v>
      </c>
      <c r="J36" s="389" t="e">
        <f>$D36/1000*'Falhas UM-3-1 Qty'!J36</f>
        <v>#N/A</v>
      </c>
      <c r="K36" s="389" t="e">
        <f>$D36/1000*'Falhas UM-3-1 Qty'!K36</f>
        <v>#N/A</v>
      </c>
      <c r="L36" s="389" t="e">
        <f>$D36/1000*'Falhas UM-3-1 Qty'!L36</f>
        <v>#N/A</v>
      </c>
      <c r="M36" s="389" t="e">
        <f>$D36/1000*'Falhas UM-3-1 Qty'!M36</f>
        <v>#N/A</v>
      </c>
      <c r="N36" s="389" t="e">
        <f>$D36/1000*'Falhas UM-3-1 Qty'!N36</f>
        <v>#N/A</v>
      </c>
      <c r="O36" s="389" t="e">
        <f>$D36/1000*'Falhas UM-3-1 Qty'!O36</f>
        <v>#N/A</v>
      </c>
      <c r="P36" s="389" t="e">
        <f>$D36/1000*'Falhas UM-3-1 Qty'!P36</f>
        <v>#N/A</v>
      </c>
    </row>
    <row r="37" spans="1:16" ht="18" customHeight="1" thickBot="1">
      <c r="A37" s="784"/>
      <c r="B37" s="94"/>
      <c r="C37" s="95" t="s">
        <v>1</v>
      </c>
      <c r="D37" s="365">
        <f>'[4]Falhas UM-3'!P37</f>
        <v>404.15702706331683</v>
      </c>
      <c r="E37" s="392" t="e">
        <f t="shared" ref="E37:L37" si="3">SUM(E20:E36)</f>
        <v>#N/A</v>
      </c>
      <c r="F37" s="392" t="e">
        <f t="shared" si="3"/>
        <v>#N/A</v>
      </c>
      <c r="G37" s="392" t="e">
        <f t="shared" si="3"/>
        <v>#N/A</v>
      </c>
      <c r="H37" s="392" t="e">
        <f t="shared" si="3"/>
        <v>#N/A</v>
      </c>
      <c r="I37" s="392" t="e">
        <f t="shared" si="3"/>
        <v>#N/A</v>
      </c>
      <c r="J37" s="392" t="e">
        <f t="shared" si="3"/>
        <v>#N/A</v>
      </c>
      <c r="K37" s="392" t="e">
        <f t="shared" si="3"/>
        <v>#N/A</v>
      </c>
      <c r="L37" s="392" t="e">
        <f t="shared" si="3"/>
        <v>#N/A</v>
      </c>
      <c r="M37" s="392" t="e">
        <f>SUM(M20:M36)</f>
        <v>#N/A</v>
      </c>
      <c r="N37" s="392" t="e">
        <f>SUM(N20:N36)</f>
        <v>#N/A</v>
      </c>
      <c r="O37" s="392" t="e">
        <f>SUM(O20:O36)</f>
        <v>#N/A</v>
      </c>
      <c r="P37" s="392" t="e">
        <f>SUM(P20:P36)</f>
        <v>#N/A</v>
      </c>
    </row>
    <row r="38" spans="1:16" ht="18" customHeight="1" thickTop="1">
      <c r="A38" s="785" t="s">
        <v>184</v>
      </c>
      <c r="B38" s="88">
        <f>B36+10</f>
        <v>3220</v>
      </c>
      <c r="C38" s="89" t="s">
        <v>19</v>
      </c>
      <c r="D38" s="360">
        <f>'[4]Falhas UM-3'!P38</f>
        <v>164.52930000000001</v>
      </c>
      <c r="E38" s="390" t="e">
        <f>$D38/1000*'Falhas UM-3-1 Qty'!E38</f>
        <v>#N/A</v>
      </c>
      <c r="F38" s="390" t="e">
        <f>$D38/1000*'Falhas UM-3-1 Qty'!F38</f>
        <v>#N/A</v>
      </c>
      <c r="G38" s="390" t="e">
        <f>$D38/1000*'Falhas UM-3-1 Qty'!G38</f>
        <v>#N/A</v>
      </c>
      <c r="H38" s="390" t="e">
        <f>$D38/1000*'Falhas UM-3-1 Qty'!H38</f>
        <v>#N/A</v>
      </c>
      <c r="I38" s="390" t="e">
        <f>$D38/1000*'Falhas UM-3-1 Qty'!I38</f>
        <v>#N/A</v>
      </c>
      <c r="J38" s="390" t="e">
        <f>$D38/1000*'Falhas UM-3-1 Qty'!J38</f>
        <v>#N/A</v>
      </c>
      <c r="K38" s="390" t="e">
        <f>$D38/1000*'Falhas UM-3-1 Qty'!K38</f>
        <v>#N/A</v>
      </c>
      <c r="L38" s="390" t="e">
        <f>$D38/1000*'Falhas UM-3-1 Qty'!L38</f>
        <v>#N/A</v>
      </c>
      <c r="M38" s="390" t="e">
        <f>$D38/1000*'Falhas UM-3-1 Qty'!M38</f>
        <v>#N/A</v>
      </c>
      <c r="N38" s="390" t="e">
        <f>$D38/1000*'Falhas UM-3-1 Qty'!N38</f>
        <v>#N/A</v>
      </c>
      <c r="O38" s="390" t="e">
        <f>$D38/1000*'Falhas UM-3-1 Qty'!O38</f>
        <v>#N/A</v>
      </c>
      <c r="P38" s="390" t="e">
        <f>$D38/1000*'Falhas UM-3-1 Qty'!P38</f>
        <v>#N/A</v>
      </c>
    </row>
    <row r="39" spans="1:16" ht="18" customHeight="1">
      <c r="A39" s="783"/>
      <c r="B39" s="88">
        <f>B38+10</f>
        <v>3230</v>
      </c>
      <c r="C39" s="89" t="s">
        <v>61</v>
      </c>
      <c r="D39" s="360">
        <f>'[4]Falhas UM-3'!P39</f>
        <v>164.52930000000001</v>
      </c>
      <c r="E39" s="390" t="e">
        <f>$D39/1000*'Falhas UM-3-1 Qty'!E39</f>
        <v>#N/A</v>
      </c>
      <c r="F39" s="390" t="e">
        <f>$D39/1000*'Falhas UM-3-1 Qty'!F39</f>
        <v>#N/A</v>
      </c>
      <c r="G39" s="390" t="e">
        <f>$D39/1000*'Falhas UM-3-1 Qty'!G39</f>
        <v>#N/A</v>
      </c>
      <c r="H39" s="390" t="e">
        <f>$D39/1000*'Falhas UM-3-1 Qty'!H39</f>
        <v>#N/A</v>
      </c>
      <c r="I39" s="390" t="e">
        <f>$D39/1000*'Falhas UM-3-1 Qty'!I39</f>
        <v>#N/A</v>
      </c>
      <c r="J39" s="390" t="e">
        <f>$D39/1000*'Falhas UM-3-1 Qty'!J39</f>
        <v>#N/A</v>
      </c>
      <c r="K39" s="390" t="e">
        <f>$D39/1000*'Falhas UM-3-1 Qty'!K39</f>
        <v>#N/A</v>
      </c>
      <c r="L39" s="390" t="e">
        <f>$D39/1000*'Falhas UM-3-1 Qty'!L39</f>
        <v>#N/A</v>
      </c>
      <c r="M39" s="390" t="e">
        <f>$D39/1000*'Falhas UM-3-1 Qty'!M39</f>
        <v>#N/A</v>
      </c>
      <c r="N39" s="390" t="e">
        <f>$D39/1000*'Falhas UM-3-1 Qty'!N39</f>
        <v>#N/A</v>
      </c>
      <c r="O39" s="390" t="e">
        <f>$D39/1000*'Falhas UM-3-1 Qty'!O39</f>
        <v>#N/A</v>
      </c>
      <c r="P39" s="390" t="e">
        <f>$D39/1000*'Falhas UM-3-1 Qty'!P39</f>
        <v>#N/A</v>
      </c>
    </row>
    <row r="40" spans="1:16" ht="18" customHeight="1">
      <c r="A40" s="783"/>
      <c r="B40" s="88">
        <f t="shared" ref="B40:B49" si="4">B39+10</f>
        <v>3240</v>
      </c>
      <c r="C40" s="89" t="s">
        <v>79</v>
      </c>
      <c r="D40" s="360">
        <f>'[4]Falhas UM-3'!P40</f>
        <v>164.52930000000001</v>
      </c>
      <c r="E40" s="390" t="e">
        <f>$D40/1000*'Falhas UM-3-1 Qty'!E40</f>
        <v>#N/A</v>
      </c>
      <c r="F40" s="390" t="e">
        <f>$D40/1000*'Falhas UM-3-1 Qty'!F40</f>
        <v>#N/A</v>
      </c>
      <c r="G40" s="390" t="e">
        <f>$D40/1000*'Falhas UM-3-1 Qty'!G40</f>
        <v>#N/A</v>
      </c>
      <c r="H40" s="390" t="e">
        <f>$D40/1000*'Falhas UM-3-1 Qty'!H40</f>
        <v>#N/A</v>
      </c>
      <c r="I40" s="390" t="e">
        <f>$D40/1000*'Falhas UM-3-1 Qty'!I40</f>
        <v>#N/A</v>
      </c>
      <c r="J40" s="390" t="e">
        <f>$D40/1000*'Falhas UM-3-1 Qty'!J40</f>
        <v>#N/A</v>
      </c>
      <c r="K40" s="390" t="e">
        <f>$D40/1000*'Falhas UM-3-1 Qty'!K40</f>
        <v>#N/A</v>
      </c>
      <c r="L40" s="390" t="e">
        <f>$D40/1000*'Falhas UM-3-1 Qty'!L40</f>
        <v>#N/A</v>
      </c>
      <c r="M40" s="390" t="e">
        <f>$D40/1000*'Falhas UM-3-1 Qty'!M40</f>
        <v>#N/A</v>
      </c>
      <c r="N40" s="390" t="e">
        <f>$D40/1000*'Falhas UM-3-1 Qty'!N40</f>
        <v>#N/A</v>
      </c>
      <c r="O40" s="390" t="e">
        <f>$D40/1000*'Falhas UM-3-1 Qty'!O40</f>
        <v>#N/A</v>
      </c>
      <c r="P40" s="390" t="e">
        <f>$D40/1000*'Falhas UM-3-1 Qty'!P40</f>
        <v>#N/A</v>
      </c>
    </row>
    <row r="41" spans="1:16" ht="18" customHeight="1">
      <c r="A41" s="783"/>
      <c r="B41" s="88">
        <f t="shared" si="4"/>
        <v>3250</v>
      </c>
      <c r="C41" s="89" t="s">
        <v>78</v>
      </c>
      <c r="D41" s="360">
        <f>'[4]Falhas UM-3'!P41</f>
        <v>164.52930000000001</v>
      </c>
      <c r="E41" s="390" t="e">
        <f>$D41/1000*'Falhas UM-3-1 Qty'!E41</f>
        <v>#N/A</v>
      </c>
      <c r="F41" s="390" t="e">
        <f>$D41/1000*'Falhas UM-3-1 Qty'!F41</f>
        <v>#N/A</v>
      </c>
      <c r="G41" s="390" t="e">
        <f>$D41/1000*'Falhas UM-3-1 Qty'!G41</f>
        <v>#N/A</v>
      </c>
      <c r="H41" s="390" t="e">
        <f>$D41/1000*'Falhas UM-3-1 Qty'!H41</f>
        <v>#N/A</v>
      </c>
      <c r="I41" s="390" t="e">
        <f>$D41/1000*'Falhas UM-3-1 Qty'!I41</f>
        <v>#N/A</v>
      </c>
      <c r="J41" s="390" t="e">
        <f>$D41/1000*'Falhas UM-3-1 Qty'!J41</f>
        <v>#N/A</v>
      </c>
      <c r="K41" s="390" t="e">
        <f>$D41/1000*'Falhas UM-3-1 Qty'!K41</f>
        <v>#N/A</v>
      </c>
      <c r="L41" s="390" t="e">
        <f>$D41/1000*'Falhas UM-3-1 Qty'!L41</f>
        <v>#N/A</v>
      </c>
      <c r="M41" s="390" t="e">
        <f>$D41/1000*'Falhas UM-3-1 Qty'!M41</f>
        <v>#N/A</v>
      </c>
      <c r="N41" s="390" t="e">
        <f>$D41/1000*'Falhas UM-3-1 Qty'!N41</f>
        <v>#N/A</v>
      </c>
      <c r="O41" s="390" t="e">
        <f>$D41/1000*'Falhas UM-3-1 Qty'!O41</f>
        <v>#N/A</v>
      </c>
      <c r="P41" s="390" t="e">
        <f>$D41/1000*'Falhas UM-3-1 Qty'!P41</f>
        <v>#N/A</v>
      </c>
    </row>
    <row r="42" spans="1:16" ht="18" customHeight="1">
      <c r="A42" s="783"/>
      <c r="B42" s="88">
        <f t="shared" si="4"/>
        <v>3260</v>
      </c>
      <c r="C42" s="89" t="s">
        <v>15</v>
      </c>
      <c r="D42" s="360">
        <f>'[4]Falhas UM-3'!P42</f>
        <v>164.52930000000001</v>
      </c>
      <c r="E42" s="390" t="e">
        <f>$D42/1000*'Falhas UM-3-1 Qty'!E42</f>
        <v>#N/A</v>
      </c>
      <c r="F42" s="390" t="e">
        <f>$D42/1000*'Falhas UM-3-1 Qty'!F42</f>
        <v>#N/A</v>
      </c>
      <c r="G42" s="390" t="e">
        <f>$D42/1000*'Falhas UM-3-1 Qty'!G42</f>
        <v>#N/A</v>
      </c>
      <c r="H42" s="390" t="e">
        <f>$D42/1000*'Falhas UM-3-1 Qty'!H42</f>
        <v>#N/A</v>
      </c>
      <c r="I42" s="390" t="e">
        <f>$D42/1000*'Falhas UM-3-1 Qty'!I42</f>
        <v>#N/A</v>
      </c>
      <c r="J42" s="390" t="e">
        <f>$D42/1000*'Falhas UM-3-1 Qty'!J42</f>
        <v>#N/A</v>
      </c>
      <c r="K42" s="390" t="e">
        <f>$D42/1000*'Falhas UM-3-1 Qty'!K42</f>
        <v>#N/A</v>
      </c>
      <c r="L42" s="390" t="e">
        <f>$D42/1000*'Falhas UM-3-1 Qty'!L42</f>
        <v>#N/A</v>
      </c>
      <c r="M42" s="390" t="e">
        <f>$D42/1000*'Falhas UM-3-1 Qty'!M42</f>
        <v>#N/A</v>
      </c>
      <c r="N42" s="390" t="e">
        <f>$D42/1000*'Falhas UM-3-1 Qty'!N42</f>
        <v>#N/A</v>
      </c>
      <c r="O42" s="390" t="e">
        <f>$D42/1000*'Falhas UM-3-1 Qty'!O42</f>
        <v>#N/A</v>
      </c>
      <c r="P42" s="390" t="e">
        <f>$D42/1000*'Falhas UM-3-1 Qty'!P42</f>
        <v>#N/A</v>
      </c>
    </row>
    <row r="43" spans="1:16" ht="18" customHeight="1">
      <c r="A43" s="783"/>
      <c r="B43" s="88">
        <f t="shared" si="4"/>
        <v>3270</v>
      </c>
      <c r="C43" s="89" t="s">
        <v>14</v>
      </c>
      <c r="D43" s="360">
        <f>'[4]Falhas UM-3'!P43</f>
        <v>164.52930000000001</v>
      </c>
      <c r="E43" s="390" t="e">
        <f>$D43/1000*'Falhas UM-3-1 Qty'!E43</f>
        <v>#N/A</v>
      </c>
      <c r="F43" s="390" t="e">
        <f>$D43/1000*'Falhas UM-3-1 Qty'!F43</f>
        <v>#N/A</v>
      </c>
      <c r="G43" s="390" t="e">
        <f>$D43/1000*'Falhas UM-3-1 Qty'!G43</f>
        <v>#N/A</v>
      </c>
      <c r="H43" s="390" t="e">
        <f>$D43/1000*'Falhas UM-3-1 Qty'!H43</f>
        <v>#N/A</v>
      </c>
      <c r="I43" s="390" t="e">
        <f>$D43/1000*'Falhas UM-3-1 Qty'!I43</f>
        <v>#N/A</v>
      </c>
      <c r="J43" s="390" t="e">
        <f>$D43/1000*'Falhas UM-3-1 Qty'!J43</f>
        <v>#N/A</v>
      </c>
      <c r="K43" s="390" t="e">
        <f>$D43/1000*'Falhas UM-3-1 Qty'!K43</f>
        <v>#N/A</v>
      </c>
      <c r="L43" s="390" t="e">
        <f>$D43/1000*'Falhas UM-3-1 Qty'!L43</f>
        <v>#N/A</v>
      </c>
      <c r="M43" s="390" t="e">
        <f>$D43/1000*'Falhas UM-3-1 Qty'!M43</f>
        <v>#N/A</v>
      </c>
      <c r="N43" s="390" t="e">
        <f>$D43/1000*'Falhas UM-3-1 Qty'!N43</f>
        <v>#N/A</v>
      </c>
      <c r="O43" s="390" t="e">
        <f>$D43/1000*'Falhas UM-3-1 Qty'!O43</f>
        <v>#N/A</v>
      </c>
      <c r="P43" s="390" t="e">
        <f>$D43/1000*'Falhas UM-3-1 Qty'!P43</f>
        <v>#N/A</v>
      </c>
    </row>
    <row r="44" spans="1:16" ht="18" customHeight="1">
      <c r="A44" s="783"/>
      <c r="B44" s="88">
        <f t="shared" si="4"/>
        <v>3280</v>
      </c>
      <c r="C44" s="89" t="s">
        <v>77</v>
      </c>
      <c r="D44" s="360">
        <f>'[4]Falhas UM-3'!P44</f>
        <v>164.52930000000001</v>
      </c>
      <c r="E44" s="390" t="e">
        <f>$D44/1000*'Falhas UM-3-1 Qty'!E44</f>
        <v>#N/A</v>
      </c>
      <c r="F44" s="390" t="e">
        <f>$D44/1000*'Falhas UM-3-1 Qty'!F44</f>
        <v>#N/A</v>
      </c>
      <c r="G44" s="390" t="e">
        <f>$D44/1000*'Falhas UM-3-1 Qty'!G44</f>
        <v>#N/A</v>
      </c>
      <c r="H44" s="390" t="e">
        <f>$D44/1000*'Falhas UM-3-1 Qty'!H44</f>
        <v>#N/A</v>
      </c>
      <c r="I44" s="390" t="e">
        <f>$D44/1000*'Falhas UM-3-1 Qty'!I44</f>
        <v>#N/A</v>
      </c>
      <c r="J44" s="390" t="e">
        <f>$D44/1000*'Falhas UM-3-1 Qty'!J44</f>
        <v>#N/A</v>
      </c>
      <c r="K44" s="390" t="e">
        <f>$D44/1000*'Falhas UM-3-1 Qty'!K44</f>
        <v>#N/A</v>
      </c>
      <c r="L44" s="390" t="e">
        <f>$D44/1000*'Falhas UM-3-1 Qty'!L44</f>
        <v>#N/A</v>
      </c>
      <c r="M44" s="390" t="e">
        <f>$D44/1000*'Falhas UM-3-1 Qty'!M44</f>
        <v>#N/A</v>
      </c>
      <c r="N44" s="390" t="e">
        <f>$D44/1000*'Falhas UM-3-1 Qty'!N44</f>
        <v>#N/A</v>
      </c>
      <c r="O44" s="390" t="e">
        <f>$D44/1000*'Falhas UM-3-1 Qty'!O44</f>
        <v>#N/A</v>
      </c>
      <c r="P44" s="390" t="e">
        <f>$D44/1000*'Falhas UM-3-1 Qty'!P44</f>
        <v>#N/A</v>
      </c>
    </row>
    <row r="45" spans="1:16" ht="18" customHeight="1">
      <c r="A45" s="783"/>
      <c r="B45" s="88">
        <f t="shared" si="4"/>
        <v>3290</v>
      </c>
      <c r="C45" s="89" t="s">
        <v>13</v>
      </c>
      <c r="D45" s="360">
        <f>'[4]Falhas UM-3'!P45</f>
        <v>164.52930000000001</v>
      </c>
      <c r="E45" s="390" t="e">
        <f>$D45/1000*'Falhas UM-3-1 Qty'!E45</f>
        <v>#N/A</v>
      </c>
      <c r="F45" s="390" t="e">
        <f>$D45/1000*'Falhas UM-3-1 Qty'!F45</f>
        <v>#N/A</v>
      </c>
      <c r="G45" s="390" t="e">
        <f>$D45/1000*'Falhas UM-3-1 Qty'!G45</f>
        <v>#N/A</v>
      </c>
      <c r="H45" s="390" t="e">
        <f>$D45/1000*'Falhas UM-3-1 Qty'!H45</f>
        <v>#N/A</v>
      </c>
      <c r="I45" s="390" t="e">
        <f>$D45/1000*'Falhas UM-3-1 Qty'!I45</f>
        <v>#N/A</v>
      </c>
      <c r="J45" s="390" t="e">
        <f>$D45/1000*'Falhas UM-3-1 Qty'!J45</f>
        <v>#N/A</v>
      </c>
      <c r="K45" s="390" t="e">
        <f>$D45/1000*'Falhas UM-3-1 Qty'!K45</f>
        <v>#N/A</v>
      </c>
      <c r="L45" s="390" t="e">
        <f>$D45/1000*'Falhas UM-3-1 Qty'!L45</f>
        <v>#N/A</v>
      </c>
      <c r="M45" s="390" t="e">
        <f>$D45/1000*'Falhas UM-3-1 Qty'!M45</f>
        <v>#N/A</v>
      </c>
      <c r="N45" s="390" t="e">
        <f>$D45/1000*'Falhas UM-3-1 Qty'!N45</f>
        <v>#N/A</v>
      </c>
      <c r="O45" s="390" t="e">
        <f>$D45/1000*'Falhas UM-3-1 Qty'!O45</f>
        <v>#N/A</v>
      </c>
      <c r="P45" s="390" t="e">
        <f>$D45/1000*'Falhas UM-3-1 Qty'!P45</f>
        <v>#N/A</v>
      </c>
    </row>
    <row r="46" spans="1:16" ht="18" customHeight="1">
      <c r="A46" s="783"/>
      <c r="B46" s="88">
        <f t="shared" si="4"/>
        <v>3300</v>
      </c>
      <c r="C46" s="89" t="s">
        <v>12</v>
      </c>
      <c r="D46" s="360">
        <f>'[4]Falhas UM-3'!P46</f>
        <v>164.52930000000001</v>
      </c>
      <c r="E46" s="390" t="e">
        <f>$D46/1000*'Falhas UM-3-1 Qty'!E46</f>
        <v>#N/A</v>
      </c>
      <c r="F46" s="390" t="e">
        <f>$D46/1000*'Falhas UM-3-1 Qty'!F46</f>
        <v>#N/A</v>
      </c>
      <c r="G46" s="390" t="e">
        <f>$D46/1000*'Falhas UM-3-1 Qty'!G46</f>
        <v>#N/A</v>
      </c>
      <c r="H46" s="390" t="e">
        <f>$D46/1000*'Falhas UM-3-1 Qty'!H46</f>
        <v>#N/A</v>
      </c>
      <c r="I46" s="390" t="e">
        <f>$D46/1000*'Falhas UM-3-1 Qty'!I46</f>
        <v>#N/A</v>
      </c>
      <c r="J46" s="390" t="e">
        <f>$D46/1000*'Falhas UM-3-1 Qty'!J46</f>
        <v>#N/A</v>
      </c>
      <c r="K46" s="390" t="e">
        <f>$D46/1000*'Falhas UM-3-1 Qty'!K46</f>
        <v>#N/A</v>
      </c>
      <c r="L46" s="390" t="e">
        <f>$D46/1000*'Falhas UM-3-1 Qty'!L46</f>
        <v>#N/A</v>
      </c>
      <c r="M46" s="390" t="e">
        <f>$D46/1000*'Falhas UM-3-1 Qty'!M46</f>
        <v>#N/A</v>
      </c>
      <c r="N46" s="390" t="e">
        <f>$D46/1000*'Falhas UM-3-1 Qty'!N46</f>
        <v>#N/A</v>
      </c>
      <c r="O46" s="390" t="e">
        <f>$D46/1000*'Falhas UM-3-1 Qty'!O46</f>
        <v>#N/A</v>
      </c>
      <c r="P46" s="390" t="e">
        <f>$D46/1000*'Falhas UM-3-1 Qty'!P46</f>
        <v>#N/A</v>
      </c>
    </row>
    <row r="47" spans="1:16" ht="18" customHeight="1">
      <c r="A47" s="783"/>
      <c r="B47" s="88">
        <f t="shared" si="4"/>
        <v>3310</v>
      </c>
      <c r="C47" s="89" t="s">
        <v>142</v>
      </c>
      <c r="D47" s="360">
        <f>'[4]Falhas UM-3'!P47</f>
        <v>164.52930000000001</v>
      </c>
      <c r="E47" s="390" t="e">
        <f>$D47/1000*'Falhas UM-3-1 Qty'!E47</f>
        <v>#N/A</v>
      </c>
      <c r="F47" s="390" t="e">
        <f>$D47/1000*'Falhas UM-3-1 Qty'!F47</f>
        <v>#N/A</v>
      </c>
      <c r="G47" s="390" t="e">
        <f>$D47/1000*'Falhas UM-3-1 Qty'!G47</f>
        <v>#N/A</v>
      </c>
      <c r="H47" s="390" t="e">
        <f>$D47/1000*'Falhas UM-3-1 Qty'!H47</f>
        <v>#N/A</v>
      </c>
      <c r="I47" s="390" t="e">
        <f>$D47/1000*'Falhas UM-3-1 Qty'!I47</f>
        <v>#N/A</v>
      </c>
      <c r="J47" s="390" t="e">
        <f>$D47/1000*'Falhas UM-3-1 Qty'!J47</f>
        <v>#N/A</v>
      </c>
      <c r="K47" s="390" t="e">
        <f>$D47/1000*'Falhas UM-3-1 Qty'!K47</f>
        <v>#N/A</v>
      </c>
      <c r="L47" s="390" t="e">
        <f>$D47/1000*'Falhas UM-3-1 Qty'!L47</f>
        <v>#N/A</v>
      </c>
      <c r="M47" s="390" t="e">
        <f>$D47/1000*'Falhas UM-3-1 Qty'!M47</f>
        <v>#N/A</v>
      </c>
      <c r="N47" s="390" t="e">
        <f>$D47/1000*'Falhas UM-3-1 Qty'!N47</f>
        <v>#N/A</v>
      </c>
      <c r="O47" s="390" t="e">
        <f>$D47/1000*'Falhas UM-3-1 Qty'!O47</f>
        <v>#N/A</v>
      </c>
      <c r="P47" s="390" t="e">
        <f>$D47/1000*'Falhas UM-3-1 Qty'!P47</f>
        <v>#N/A</v>
      </c>
    </row>
    <row r="48" spans="1:16" ht="18" customHeight="1">
      <c r="A48" s="783"/>
      <c r="B48" s="88">
        <f t="shared" si="4"/>
        <v>3320</v>
      </c>
      <c r="C48" s="89" t="s">
        <v>11</v>
      </c>
      <c r="D48" s="360">
        <f>'[4]Falhas UM-3'!P48</f>
        <v>164.52930000000001</v>
      </c>
      <c r="E48" s="390" t="e">
        <f>$D48/1000*'Falhas UM-3-1 Qty'!E48</f>
        <v>#N/A</v>
      </c>
      <c r="F48" s="390" t="e">
        <f>$D48/1000*'Falhas UM-3-1 Qty'!F48</f>
        <v>#N/A</v>
      </c>
      <c r="G48" s="390" t="e">
        <f>$D48/1000*'Falhas UM-3-1 Qty'!G48</f>
        <v>#N/A</v>
      </c>
      <c r="H48" s="390" t="e">
        <f>$D48/1000*'Falhas UM-3-1 Qty'!H48</f>
        <v>#N/A</v>
      </c>
      <c r="I48" s="390" t="e">
        <f>$D48/1000*'Falhas UM-3-1 Qty'!I48</f>
        <v>#N/A</v>
      </c>
      <c r="J48" s="390" t="e">
        <f>$D48/1000*'Falhas UM-3-1 Qty'!J48</f>
        <v>#N/A</v>
      </c>
      <c r="K48" s="390" t="e">
        <f>$D48/1000*'Falhas UM-3-1 Qty'!K48</f>
        <v>#N/A</v>
      </c>
      <c r="L48" s="390" t="e">
        <f>$D48/1000*'Falhas UM-3-1 Qty'!L48</f>
        <v>#N/A</v>
      </c>
      <c r="M48" s="390" t="e">
        <f>$D48/1000*'Falhas UM-3-1 Qty'!M48</f>
        <v>#N/A</v>
      </c>
      <c r="N48" s="390" t="e">
        <f>$D48/1000*'Falhas UM-3-1 Qty'!N48</f>
        <v>#N/A</v>
      </c>
      <c r="O48" s="390" t="e">
        <f>$D48/1000*'Falhas UM-3-1 Qty'!O48</f>
        <v>#N/A</v>
      </c>
      <c r="P48" s="390" t="e">
        <f>$D48/1000*'Falhas UM-3-1 Qty'!P48</f>
        <v>#N/A</v>
      </c>
    </row>
    <row r="49" spans="1:19" ht="18" customHeight="1">
      <c r="A49" s="783"/>
      <c r="B49" s="88">
        <f t="shared" si="4"/>
        <v>3330</v>
      </c>
      <c r="C49" s="89" t="s">
        <v>6</v>
      </c>
      <c r="D49" s="360">
        <f>'[4]Falhas UM-3'!P49</f>
        <v>164.52930000000001</v>
      </c>
      <c r="E49" s="390" t="e">
        <f>$D49/1000*'Falhas UM-3-1 Qty'!E49</f>
        <v>#N/A</v>
      </c>
      <c r="F49" s="390" t="e">
        <f>$D49/1000*'Falhas UM-3-1 Qty'!F49</f>
        <v>#N/A</v>
      </c>
      <c r="G49" s="390" t="e">
        <f>$D49/1000*'Falhas UM-3-1 Qty'!G49</f>
        <v>#N/A</v>
      </c>
      <c r="H49" s="390" t="e">
        <f>$D49/1000*'Falhas UM-3-1 Qty'!H49</f>
        <v>#N/A</v>
      </c>
      <c r="I49" s="390" t="e">
        <f>$D49/1000*'Falhas UM-3-1 Qty'!I49</f>
        <v>#N/A</v>
      </c>
      <c r="J49" s="390" t="e">
        <f>$D49/1000*'Falhas UM-3-1 Qty'!J49</f>
        <v>#N/A</v>
      </c>
      <c r="K49" s="390" t="e">
        <f>$D49/1000*'Falhas UM-3-1 Qty'!K49</f>
        <v>#N/A</v>
      </c>
      <c r="L49" s="390" t="e">
        <f>$D49/1000*'Falhas UM-3-1 Qty'!L49</f>
        <v>#N/A</v>
      </c>
      <c r="M49" s="390" t="e">
        <f>$D49/1000*'Falhas UM-3-1 Qty'!M49</f>
        <v>#N/A</v>
      </c>
      <c r="N49" s="390" t="e">
        <f>$D49/1000*'Falhas UM-3-1 Qty'!N49</f>
        <v>#N/A</v>
      </c>
      <c r="O49" s="390" t="e">
        <f>$D49/1000*'Falhas UM-3-1 Qty'!O49</f>
        <v>#N/A</v>
      </c>
      <c r="P49" s="390" t="e">
        <f>$D49/1000*'Falhas UM-3-1 Qty'!P49</f>
        <v>#N/A</v>
      </c>
    </row>
    <row r="50" spans="1:19" ht="18" customHeight="1">
      <c r="A50" s="783"/>
      <c r="B50" s="103"/>
      <c r="C50" s="104" t="s">
        <v>1</v>
      </c>
      <c r="D50" s="366">
        <f>'[4]Falhas UM-3'!P50</f>
        <v>549.20617629762921</v>
      </c>
      <c r="E50" s="394" t="e">
        <f t="shared" ref="E50:L50" si="5">SUM(E38:E49)</f>
        <v>#N/A</v>
      </c>
      <c r="F50" s="394" t="e">
        <f t="shared" si="5"/>
        <v>#N/A</v>
      </c>
      <c r="G50" s="394" t="e">
        <f t="shared" si="5"/>
        <v>#N/A</v>
      </c>
      <c r="H50" s="394" t="e">
        <f t="shared" si="5"/>
        <v>#N/A</v>
      </c>
      <c r="I50" s="394" t="e">
        <f t="shared" si="5"/>
        <v>#N/A</v>
      </c>
      <c r="J50" s="394" t="e">
        <f t="shared" si="5"/>
        <v>#N/A</v>
      </c>
      <c r="K50" s="394" t="e">
        <f t="shared" si="5"/>
        <v>#N/A</v>
      </c>
      <c r="L50" s="394" t="e">
        <f t="shared" si="5"/>
        <v>#N/A</v>
      </c>
      <c r="M50" s="394" t="e">
        <f>SUM(M38:M49)</f>
        <v>#N/A</v>
      </c>
      <c r="N50" s="394" t="e">
        <f>SUM(N38:N49)</f>
        <v>#N/A</v>
      </c>
      <c r="O50" s="394" t="e">
        <f>SUM(O38:O49)</f>
        <v>#N/A</v>
      </c>
      <c r="P50" s="394" t="e">
        <f>SUM(P38:P49)</f>
        <v>#N/A</v>
      </c>
    </row>
    <row r="51" spans="1:19" ht="18" customHeight="1">
      <c r="A51" s="783"/>
      <c r="B51" s="88">
        <f>B49+10</f>
        <v>3340</v>
      </c>
      <c r="C51" s="89" t="s">
        <v>2</v>
      </c>
      <c r="D51" s="360">
        <f>'[4]Falhas UM-3'!P51</f>
        <v>164.52930000000001</v>
      </c>
      <c r="E51" s="389" t="e">
        <f>$D51/1000*'Falhas UM-3-1 Qty'!E51</f>
        <v>#N/A</v>
      </c>
      <c r="F51" s="389" t="e">
        <f>$D51/1000*'Falhas UM-3-1 Qty'!F51</f>
        <v>#N/A</v>
      </c>
      <c r="G51" s="389" t="e">
        <f>$D51/1000*'Falhas UM-3-1 Qty'!G51</f>
        <v>#N/A</v>
      </c>
      <c r="H51" s="389" t="e">
        <f>$D51/1000*'Falhas UM-3-1 Qty'!H51</f>
        <v>#N/A</v>
      </c>
      <c r="I51" s="389" t="e">
        <f>$D51/1000*'Falhas UM-3-1 Qty'!I51</f>
        <v>#N/A</v>
      </c>
      <c r="J51" s="389" t="e">
        <f>$D51/1000*'Falhas UM-3-1 Qty'!J51</f>
        <v>#N/A</v>
      </c>
      <c r="K51" s="389" t="e">
        <f>$D51/1000*'Falhas UM-3-1 Qty'!K51</f>
        <v>#N/A</v>
      </c>
      <c r="L51" s="389" t="e">
        <f>$D51/1000*'Falhas UM-3-1 Qty'!L51</f>
        <v>#N/A</v>
      </c>
      <c r="M51" s="389" t="e">
        <f>$D51/1000*'Falhas UM-3-1 Qty'!M51</f>
        <v>#N/A</v>
      </c>
      <c r="N51" s="389" t="e">
        <f>$D51/1000*'Falhas UM-3-1 Qty'!N51</f>
        <v>#N/A</v>
      </c>
      <c r="O51" s="389" t="e">
        <f>$D51/1000*'Falhas UM-3-1 Qty'!O51</f>
        <v>#N/A</v>
      </c>
      <c r="P51" s="389" t="e">
        <f>$D51/1000*'Falhas UM-3-1 Qty'!P51</f>
        <v>#N/A</v>
      </c>
    </row>
    <row r="52" spans="1:19" ht="18" customHeight="1">
      <c r="A52" s="783"/>
      <c r="B52" s="103">
        <f>B51+10</f>
        <v>3350</v>
      </c>
      <c r="C52" s="107" t="s">
        <v>60</v>
      </c>
      <c r="D52" s="367">
        <f>'[4]Falhas UM-3'!P52</f>
        <v>164.52930000000001</v>
      </c>
      <c r="E52" s="395" t="e">
        <f>$D52/1000*'Falhas UM-3-1 Qty'!E52</f>
        <v>#N/A</v>
      </c>
      <c r="F52" s="395" t="e">
        <f>$D52/1000*'Falhas UM-3-1 Qty'!F52</f>
        <v>#N/A</v>
      </c>
      <c r="G52" s="395" t="e">
        <f>$D52/1000*'Falhas UM-3-1 Qty'!G52</f>
        <v>#N/A</v>
      </c>
      <c r="H52" s="395" t="e">
        <f>$D52/1000*'Falhas UM-3-1 Qty'!H52</f>
        <v>#N/A</v>
      </c>
      <c r="I52" s="395" t="e">
        <f>$D52/1000*'Falhas UM-3-1 Qty'!I52</f>
        <v>#N/A</v>
      </c>
      <c r="J52" s="395" t="e">
        <f>$D52/1000*'Falhas UM-3-1 Qty'!J52</f>
        <v>#N/A</v>
      </c>
      <c r="K52" s="395" t="e">
        <f>$D52/1000*'Falhas UM-3-1 Qty'!K52</f>
        <v>#N/A</v>
      </c>
      <c r="L52" s="395" t="e">
        <f>$D52/1000*'Falhas UM-3-1 Qty'!L52</f>
        <v>#N/A</v>
      </c>
      <c r="M52" s="395" t="e">
        <f>$D52/1000*'Falhas UM-3-1 Qty'!M52</f>
        <v>#N/A</v>
      </c>
      <c r="N52" s="395" t="e">
        <f>$D52/1000*'Falhas UM-3-1 Qty'!N52</f>
        <v>#N/A</v>
      </c>
      <c r="O52" s="395" t="e">
        <f>$D52/1000*'Falhas UM-3-1 Qty'!O52</f>
        <v>#N/A</v>
      </c>
      <c r="P52" s="395" t="e">
        <f>$D52/1000*'Falhas UM-3-1 Qty'!P52</f>
        <v>#N/A</v>
      </c>
    </row>
    <row r="53" spans="1:19" ht="18" customHeight="1">
      <c r="A53" s="783"/>
      <c r="B53" s="108">
        <f>B52+10</f>
        <v>3360</v>
      </c>
      <c r="C53" s="86" t="s">
        <v>76</v>
      </c>
      <c r="D53" s="359">
        <f>'[4]Falhas UM-3'!P53</f>
        <v>120</v>
      </c>
      <c r="E53" s="388" t="e">
        <f>$D53/1000*'Falhas UM-3-1 Qty'!E53</f>
        <v>#N/A</v>
      </c>
      <c r="F53" s="388" t="e">
        <f>$D53/1000*'Falhas UM-3-1 Qty'!F53</f>
        <v>#N/A</v>
      </c>
      <c r="G53" s="388" t="e">
        <f>$D53/1000*'Falhas UM-3-1 Qty'!G53</f>
        <v>#N/A</v>
      </c>
      <c r="H53" s="388" t="e">
        <f>$D53/1000*'Falhas UM-3-1 Qty'!H53</f>
        <v>#N/A</v>
      </c>
      <c r="I53" s="388" t="e">
        <f>$D53/1000*'Falhas UM-3-1 Qty'!I53</f>
        <v>#N/A</v>
      </c>
      <c r="J53" s="388" t="e">
        <f>$D53/1000*'Falhas UM-3-1 Qty'!J53</f>
        <v>#N/A</v>
      </c>
      <c r="K53" s="388" t="e">
        <f>$D53/1000*'Falhas UM-3-1 Qty'!K53</f>
        <v>#N/A</v>
      </c>
      <c r="L53" s="388" t="e">
        <f>$D53/1000*'Falhas UM-3-1 Qty'!L53</f>
        <v>#N/A</v>
      </c>
      <c r="M53" s="388" t="e">
        <f>$D53/1000*'Falhas UM-3-1 Qty'!M53</f>
        <v>#N/A</v>
      </c>
      <c r="N53" s="388" t="e">
        <f>$D53/1000*'Falhas UM-3-1 Qty'!N53</f>
        <v>#N/A</v>
      </c>
      <c r="O53" s="388" t="e">
        <f>$D53/1000*'Falhas UM-3-1 Qty'!O53</f>
        <v>#N/A</v>
      </c>
      <c r="P53" s="388" t="e">
        <f>$D53/1000*'Falhas UM-3-1 Qty'!P53</f>
        <v>#N/A</v>
      </c>
    </row>
    <row r="54" spans="1:19" ht="18" customHeight="1">
      <c r="A54" s="783"/>
      <c r="B54" s="109">
        <f>B53+10</f>
        <v>3370</v>
      </c>
      <c r="C54" s="97" t="s">
        <v>75</v>
      </c>
      <c r="D54" s="364">
        <f>'[4]Falhas UM-3'!P54</f>
        <v>1.25579</v>
      </c>
      <c r="E54" s="393" t="e">
        <f>$D54/1000*'Falhas UM-3-1 Qty'!E54</f>
        <v>#N/A</v>
      </c>
      <c r="F54" s="393" t="e">
        <f>$D54/1000*'Falhas UM-3-1 Qty'!F54</f>
        <v>#N/A</v>
      </c>
      <c r="G54" s="393" t="e">
        <f>$D54/1000*'Falhas UM-3-1 Qty'!G54</f>
        <v>#N/A</v>
      </c>
      <c r="H54" s="393" t="e">
        <f>$D54/1000*'Falhas UM-3-1 Qty'!H54</f>
        <v>#N/A</v>
      </c>
      <c r="I54" s="393" t="e">
        <f>$D54/1000*'Falhas UM-3-1 Qty'!I54</f>
        <v>#N/A</v>
      </c>
      <c r="J54" s="393" t="e">
        <f>$D54/1000*'Falhas UM-3-1 Qty'!J54</f>
        <v>#N/A</v>
      </c>
      <c r="K54" s="393" t="e">
        <f>$D54/1000*'Falhas UM-3-1 Qty'!K54</f>
        <v>#N/A</v>
      </c>
      <c r="L54" s="393" t="e">
        <f>$D54/1000*'Falhas UM-3-1 Qty'!L54</f>
        <v>#N/A</v>
      </c>
      <c r="M54" s="393" t="e">
        <f>$D54/1000*'Falhas UM-3-1 Qty'!M54</f>
        <v>#N/A</v>
      </c>
      <c r="N54" s="393" t="e">
        <f>$D54/1000*'Falhas UM-3-1 Qty'!N54</f>
        <v>#N/A</v>
      </c>
      <c r="O54" s="393" t="e">
        <f>$D54/1000*'Falhas UM-3-1 Qty'!O54</f>
        <v>#N/A</v>
      </c>
      <c r="P54" s="393" t="e">
        <f>$D54/1000*'Falhas UM-3-1 Qty'!P54</f>
        <v>#N/A</v>
      </c>
    </row>
    <row r="55" spans="1:19" ht="18" customHeight="1" thickBot="1">
      <c r="A55" s="784"/>
      <c r="B55" s="110"/>
      <c r="C55" s="111" t="s">
        <v>1</v>
      </c>
      <c r="D55" s="365">
        <f>'[4]Falhas UM-3'!P55</f>
        <v>706.83790233299032</v>
      </c>
      <c r="E55" s="396" t="e">
        <f t="shared" ref="E55:L55" si="6">SUM(E51:E54)</f>
        <v>#N/A</v>
      </c>
      <c r="F55" s="396" t="e">
        <f t="shared" si="6"/>
        <v>#N/A</v>
      </c>
      <c r="G55" s="396" t="e">
        <f t="shared" si="6"/>
        <v>#N/A</v>
      </c>
      <c r="H55" s="396" t="e">
        <f t="shared" si="6"/>
        <v>#N/A</v>
      </c>
      <c r="I55" s="396" t="e">
        <f t="shared" si="6"/>
        <v>#N/A</v>
      </c>
      <c r="J55" s="396" t="e">
        <f t="shared" si="6"/>
        <v>#N/A</v>
      </c>
      <c r="K55" s="396" t="e">
        <f t="shared" si="6"/>
        <v>#N/A</v>
      </c>
      <c r="L55" s="396" t="e">
        <f t="shared" si="6"/>
        <v>#N/A</v>
      </c>
      <c r="M55" s="396" t="e">
        <f>SUM(M51:M54)</f>
        <v>#N/A</v>
      </c>
      <c r="N55" s="396" t="e">
        <f>SUM(N51:N54)</f>
        <v>#N/A</v>
      </c>
      <c r="O55" s="396" t="e">
        <f>SUM(O51:O54)</f>
        <v>#N/A</v>
      </c>
      <c r="P55" s="396" t="e">
        <f>SUM(P51:P54)</f>
        <v>#N/A</v>
      </c>
    </row>
    <row r="56" spans="1:19" ht="20.100000000000001" customHeight="1" thickTop="1">
      <c r="A56" s="112"/>
      <c r="B56" s="88"/>
      <c r="C56" s="89"/>
      <c r="D56" s="360">
        <f>'[4]Falhas UM-3'!P56</f>
        <v>0</v>
      </c>
      <c r="E56" s="389" t="e">
        <f>$D56/1000*'Falhas UM-3-1 Qty'!E56</f>
        <v>#N/A</v>
      </c>
      <c r="F56" s="389" t="e">
        <f>$D56/1000*'Falhas UM-3-1 Qty'!F56</f>
        <v>#N/A</v>
      </c>
      <c r="G56" s="389" t="e">
        <f>$D56/1000*'Falhas UM-3-1 Qty'!G56</f>
        <v>#N/A</v>
      </c>
      <c r="H56" s="389" t="e">
        <f>$D56/1000*'Falhas UM-3-1 Qty'!H56</f>
        <v>#N/A</v>
      </c>
      <c r="I56" s="389" t="e">
        <f>$D56/1000*'Falhas UM-3-1 Qty'!I56</f>
        <v>#N/A</v>
      </c>
      <c r="J56" s="389" t="e">
        <f>$D56/1000*'Falhas UM-3-1 Qty'!J56</f>
        <v>#N/A</v>
      </c>
      <c r="K56" s="389" t="e">
        <f>$D56/1000*'Falhas UM-3-1 Qty'!K56</f>
        <v>#N/A</v>
      </c>
      <c r="L56" s="389" t="e">
        <f>$D56/1000*'Falhas UM-3-1 Qty'!L56</f>
        <v>#N/A</v>
      </c>
      <c r="M56" s="389" t="e">
        <f>$D56/1000*'Falhas UM-3-1 Qty'!M56</f>
        <v>#N/A</v>
      </c>
      <c r="N56" s="389" t="e">
        <f>$D56/1000*'Falhas UM-3-1 Qty'!N56</f>
        <v>#N/A</v>
      </c>
      <c r="O56" s="389" t="e">
        <f>$D56/1000*'Falhas UM-3-1 Qty'!O56</f>
        <v>#N/A</v>
      </c>
      <c r="P56" s="389" t="e">
        <f>$D56/1000*'Falhas UM-3-1 Qty'!P56</f>
        <v>#N/A</v>
      </c>
    </row>
    <row r="57" spans="1:19" ht="20.100000000000001" customHeight="1">
      <c r="A57" s="205"/>
      <c r="B57" s="273"/>
      <c r="C57" s="274" t="s">
        <v>59</v>
      </c>
      <c r="D57" s="276">
        <f>'[4]Falhas UM-3'!P57</f>
        <v>2712.8518248044279</v>
      </c>
      <c r="E57" s="275" t="e">
        <f t="shared" ref="E57:L57" si="7">E55+E50+E37+E19</f>
        <v>#N/A</v>
      </c>
      <c r="F57" s="275" t="e">
        <f t="shared" si="7"/>
        <v>#N/A</v>
      </c>
      <c r="G57" s="275" t="e">
        <f t="shared" si="7"/>
        <v>#N/A</v>
      </c>
      <c r="H57" s="275" t="e">
        <f t="shared" si="7"/>
        <v>#N/A</v>
      </c>
      <c r="I57" s="275" t="e">
        <f t="shared" si="7"/>
        <v>#N/A</v>
      </c>
      <c r="J57" s="275" t="e">
        <f t="shared" si="7"/>
        <v>#N/A</v>
      </c>
      <c r="K57" s="275" t="e">
        <f t="shared" si="7"/>
        <v>#N/A</v>
      </c>
      <c r="L57" s="275" t="e">
        <f t="shared" si="7"/>
        <v>#N/A</v>
      </c>
      <c r="M57" s="275" t="e">
        <f>M55+M50+M37+M19</f>
        <v>#N/A</v>
      </c>
      <c r="N57" s="275" t="e">
        <f>N55+N50+N37+N19</f>
        <v>#N/A</v>
      </c>
      <c r="O57" s="275" t="e">
        <f>O55+O50+O37+O19</f>
        <v>#N/A</v>
      </c>
      <c r="P57" s="275" t="e">
        <f>P55+P50+P37+P19</f>
        <v>#N/A</v>
      </c>
    </row>
    <row r="58" spans="1:19" ht="20.100000000000001" customHeight="1">
      <c r="C58" s="276"/>
      <c r="D58" s="276"/>
      <c r="E58" s="277"/>
      <c r="F58" s="277"/>
      <c r="G58" s="277"/>
      <c r="H58" s="277"/>
      <c r="I58" s="277"/>
      <c r="J58" s="277"/>
      <c r="K58" s="277"/>
      <c r="L58" s="277"/>
      <c r="M58" s="277"/>
      <c r="N58" s="277"/>
      <c r="O58" s="277"/>
      <c r="P58" s="277"/>
    </row>
    <row r="59" spans="1:19" ht="20.100000000000001" customHeight="1">
      <c r="B59" s="191" t="s">
        <v>186</v>
      </c>
      <c r="C59" s="227" t="s">
        <v>188</v>
      </c>
      <c r="D59" s="227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>
        <f>R10+R17</f>
        <v>0</v>
      </c>
      <c r="R59" s="226">
        <f>S10+S17</f>
        <v>0</v>
      </c>
      <c r="S59" s="226">
        <f t="shared" ref="S59:S64" si="8">SUM(E59:P59)</f>
        <v>0</v>
      </c>
    </row>
    <row r="60" spans="1:19" ht="20.100000000000001" customHeight="1">
      <c r="B60" s="191"/>
      <c r="C60" s="191" t="s">
        <v>189</v>
      </c>
      <c r="D60" s="191"/>
      <c r="E60" s="627" t="e">
        <f>E19+E37</f>
        <v>#N/A</v>
      </c>
      <c r="F60" s="627" t="e">
        <f t="shared" ref="F60:P60" si="9">F19+F37</f>
        <v>#N/A</v>
      </c>
      <c r="G60" s="627" t="e">
        <f t="shared" si="9"/>
        <v>#N/A</v>
      </c>
      <c r="H60" s="627" t="e">
        <f t="shared" si="9"/>
        <v>#N/A</v>
      </c>
      <c r="I60" s="627" t="e">
        <f t="shared" si="9"/>
        <v>#N/A</v>
      </c>
      <c r="J60" s="627" t="e">
        <f t="shared" si="9"/>
        <v>#N/A</v>
      </c>
      <c r="K60" s="627" t="e">
        <f t="shared" si="9"/>
        <v>#N/A</v>
      </c>
      <c r="L60" s="627" t="e">
        <f t="shared" si="9"/>
        <v>#N/A</v>
      </c>
      <c r="M60" s="627" t="e">
        <f t="shared" si="9"/>
        <v>#N/A</v>
      </c>
      <c r="N60" s="627" t="e">
        <f t="shared" si="9"/>
        <v>#N/A</v>
      </c>
      <c r="O60" s="627" t="e">
        <f t="shared" si="9"/>
        <v>#N/A</v>
      </c>
      <c r="P60" s="226" t="e">
        <f t="shared" si="9"/>
        <v>#N/A</v>
      </c>
      <c r="Q60" s="227"/>
      <c r="R60" s="227"/>
      <c r="S60" s="226" t="e">
        <f t="shared" si="8"/>
        <v>#N/A</v>
      </c>
    </row>
    <row r="61" spans="1:19" ht="20.100000000000001" customHeight="1">
      <c r="B61" s="191" t="s">
        <v>187</v>
      </c>
      <c r="C61" s="191" t="s">
        <v>188</v>
      </c>
      <c r="D61" s="191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>
        <f>R52</f>
        <v>0</v>
      </c>
      <c r="R61" s="226">
        <f>S52</f>
        <v>0</v>
      </c>
      <c r="S61" s="226">
        <f t="shared" si="8"/>
        <v>0</v>
      </c>
    </row>
    <row r="62" spans="1:19" ht="20.100000000000001" customHeight="1">
      <c r="B62" s="191"/>
      <c r="C62" s="191" t="s">
        <v>189</v>
      </c>
      <c r="D62" s="191"/>
      <c r="E62" s="627" t="e">
        <f>E50</f>
        <v>#N/A</v>
      </c>
      <c r="F62" s="627" t="e">
        <f t="shared" ref="F62:P62" si="10">F50</f>
        <v>#N/A</v>
      </c>
      <c r="G62" s="627" t="e">
        <f t="shared" si="10"/>
        <v>#N/A</v>
      </c>
      <c r="H62" s="627" t="e">
        <f t="shared" si="10"/>
        <v>#N/A</v>
      </c>
      <c r="I62" s="627" t="e">
        <f t="shared" si="10"/>
        <v>#N/A</v>
      </c>
      <c r="J62" s="627" t="e">
        <f t="shared" si="10"/>
        <v>#N/A</v>
      </c>
      <c r="K62" s="627" t="e">
        <f t="shared" si="10"/>
        <v>#N/A</v>
      </c>
      <c r="L62" s="627" t="e">
        <f t="shared" si="10"/>
        <v>#N/A</v>
      </c>
      <c r="M62" s="627" t="e">
        <f t="shared" si="10"/>
        <v>#N/A</v>
      </c>
      <c r="N62" s="627" t="e">
        <f t="shared" si="10"/>
        <v>#N/A</v>
      </c>
      <c r="O62" s="627" t="e">
        <f t="shared" si="10"/>
        <v>#N/A</v>
      </c>
      <c r="P62" s="226" t="e">
        <f t="shared" si="10"/>
        <v>#N/A</v>
      </c>
      <c r="Q62" s="227"/>
      <c r="R62" s="227"/>
      <c r="S62" s="226" t="e">
        <f t="shared" si="8"/>
        <v>#N/A</v>
      </c>
    </row>
    <row r="63" spans="1:19" ht="20.100000000000001" customHeight="1">
      <c r="B63" s="191" t="s">
        <v>113</v>
      </c>
      <c r="C63" s="191" t="s">
        <v>188</v>
      </c>
      <c r="D63" s="191"/>
      <c r="E63" s="226"/>
      <c r="F63" s="226"/>
      <c r="G63" s="226"/>
      <c r="H63" s="226"/>
      <c r="I63" s="226"/>
      <c r="J63" s="226"/>
      <c r="K63" s="226"/>
      <c r="L63" s="226"/>
      <c r="M63" s="226"/>
      <c r="N63" s="226"/>
      <c r="O63" s="226"/>
      <c r="P63" s="226"/>
      <c r="Q63" s="226"/>
      <c r="R63" s="226">
        <f>S54</f>
        <v>0</v>
      </c>
      <c r="S63" s="226">
        <f t="shared" si="8"/>
        <v>0</v>
      </c>
    </row>
    <row r="64" spans="1:19" ht="20.100000000000001" customHeight="1">
      <c r="B64" s="278"/>
      <c r="C64" s="191" t="s">
        <v>189</v>
      </c>
      <c r="D64" s="191"/>
      <c r="E64" s="628" t="e">
        <f>E55</f>
        <v>#N/A</v>
      </c>
      <c r="F64" s="628" t="e">
        <f t="shared" ref="F64:P64" si="11">F55</f>
        <v>#N/A</v>
      </c>
      <c r="G64" s="628" t="e">
        <f t="shared" si="11"/>
        <v>#N/A</v>
      </c>
      <c r="H64" s="628" t="e">
        <f t="shared" si="11"/>
        <v>#N/A</v>
      </c>
      <c r="I64" s="628" t="e">
        <f t="shared" si="11"/>
        <v>#N/A</v>
      </c>
      <c r="J64" s="628" t="e">
        <f t="shared" si="11"/>
        <v>#N/A</v>
      </c>
      <c r="K64" s="628" t="e">
        <f t="shared" si="11"/>
        <v>#N/A</v>
      </c>
      <c r="L64" s="628" t="e">
        <f t="shared" si="11"/>
        <v>#N/A</v>
      </c>
      <c r="M64" s="628" t="e">
        <f t="shared" si="11"/>
        <v>#N/A</v>
      </c>
      <c r="N64" s="628" t="e">
        <f t="shared" si="11"/>
        <v>#N/A</v>
      </c>
      <c r="O64" s="628" t="e">
        <f t="shared" si="11"/>
        <v>#N/A</v>
      </c>
      <c r="P64" s="226" t="e">
        <f t="shared" si="11"/>
        <v>#N/A</v>
      </c>
      <c r="Q64" s="278"/>
      <c r="R64" s="278"/>
      <c r="S64" s="226" t="e">
        <f t="shared" si="8"/>
        <v>#N/A</v>
      </c>
    </row>
    <row r="65" spans="2:16">
      <c r="B65" s="82" t="s">
        <v>1</v>
      </c>
      <c r="C65" s="191" t="s">
        <v>188</v>
      </c>
      <c r="D65" s="191"/>
      <c r="E65" s="629">
        <f t="array" ref="E65">SUM(IF($C$59:$C$64=$C$65,E59:E64))</f>
        <v>0</v>
      </c>
      <c r="F65" s="629">
        <f t="array" ref="F65">SUM(IF($C$59:$C$64=$C$65,F59:F64))</f>
        <v>0</v>
      </c>
      <c r="G65" s="629">
        <f t="array" ref="G65">SUM(IF($C$59:$C$64=$C$65,G59:G64))</f>
        <v>0</v>
      </c>
      <c r="H65" s="629">
        <f t="array" ref="H65">SUM(IF($C$59:$C$64=$C$65,H59:H64))</f>
        <v>0</v>
      </c>
      <c r="I65" s="629">
        <f t="array" ref="I65">SUM(IF($C$59:$C$64=$C$65,I59:I64))</f>
        <v>0</v>
      </c>
      <c r="J65" s="629">
        <f t="array" ref="J65">SUM(IF($C$59:$C$64=$C$65,J59:J64))</f>
        <v>0</v>
      </c>
      <c r="K65" s="629">
        <f t="array" ref="K65">SUM(IF($C$59:$C$64=$C$65,K59:K64))</f>
        <v>0</v>
      </c>
      <c r="L65" s="629">
        <f t="array" ref="L65">SUM(IF($C$59:$C$64=$C$65,L59:L64))</f>
        <v>0</v>
      </c>
      <c r="M65" s="629">
        <f t="array" ref="M65">SUM(IF($C$59:$C$64=$C$65,M59:M64))</f>
        <v>0</v>
      </c>
      <c r="N65" s="629">
        <f t="array" ref="N65">SUM(IF($C$59:$C$64=$C$65,N59:N64))</f>
        <v>0</v>
      </c>
      <c r="O65" s="629">
        <f t="array" ref="O65">SUM(IF($C$59:$C$64=$C$65,O59:O64))</f>
        <v>0</v>
      </c>
      <c r="P65" s="629">
        <f t="array" ref="P65">SUM(IF($C$59:$C$64=$C$65,P59:P64))</f>
        <v>0</v>
      </c>
    </row>
    <row r="66" spans="2:16">
      <c r="C66" s="191" t="s">
        <v>189</v>
      </c>
      <c r="D66" s="191"/>
      <c r="E66" s="629" t="e">
        <f t="array" ref="E66">SUM(IF($C$59:$C$64=$C$66,E59:E64))</f>
        <v>#N/A</v>
      </c>
      <c r="F66" s="629" t="e">
        <f t="array" ref="F66">SUM(IF($C$59:$C$64=$C$66,F59:F64))</f>
        <v>#N/A</v>
      </c>
      <c r="G66" s="629" t="e">
        <f t="array" ref="G66">SUM(IF($C$59:$C$64=$C$66,G59:G64))</f>
        <v>#N/A</v>
      </c>
      <c r="H66" s="629" t="e">
        <f t="array" ref="H66">SUM(IF($C$59:$C$64=$C$66,H59:H64))</f>
        <v>#N/A</v>
      </c>
      <c r="I66" s="629" t="e">
        <f t="array" ref="I66">SUM(IF($C$59:$C$64=$C$66,I59:I64))</f>
        <v>#N/A</v>
      </c>
      <c r="J66" s="629" t="e">
        <f t="array" ref="J66">SUM(IF($C$59:$C$64=$C$66,J59:J64))</f>
        <v>#N/A</v>
      </c>
      <c r="K66" s="629" t="e">
        <f t="array" ref="K66">SUM(IF($C$59:$C$64=$C$66,K59:K64))</f>
        <v>#N/A</v>
      </c>
      <c r="L66" s="629" t="e">
        <f t="array" ref="L66">SUM(IF($C$59:$C$64=$C$66,L59:L64))</f>
        <v>#N/A</v>
      </c>
      <c r="M66" s="629" t="e">
        <f t="array" ref="M66">SUM(IF($C$59:$C$64=$C$66,M59:M64))</f>
        <v>#N/A</v>
      </c>
      <c r="N66" s="629" t="e">
        <f t="array" ref="N66">SUM(IF($C$59:$C$64=$C$66,N59:N64))</f>
        <v>#N/A</v>
      </c>
      <c r="O66" s="629" t="e">
        <f t="array" ref="O66">SUM(IF($C$59:$C$64=$C$66,O59:O64))</f>
        <v>#N/A</v>
      </c>
      <c r="P66" s="629" t="e">
        <f t="array" ref="P66">SUM(IF($C$59:$C$64=$C$66,P59:P64))</f>
        <v>#N/A</v>
      </c>
    </row>
  </sheetData>
  <mergeCells count="6">
    <mergeCell ref="A1:E1"/>
    <mergeCell ref="B4:C4"/>
    <mergeCell ref="B5:C5"/>
    <mergeCell ref="A7:A37"/>
    <mergeCell ref="A38:A55"/>
    <mergeCell ref="D4:D5"/>
  </mergeCells>
  <printOptions gridLinesSet="0"/>
  <pageMargins left="0.78740157480314965" right="0.19685039370078741" top="0.59055118110236227" bottom="0.59055118110236227" header="0.51181102362204722" footer="0.31496062992125984"/>
  <pageSetup paperSize="9" scale="43" orientation="landscape" r:id="rId1"/>
  <headerFooter alignWithMargins="0">
    <oddFooter>&amp;L&amp;A&amp;R&amp;F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>
    <tabColor indexed="56"/>
    <pageSetUpPr fitToPage="1"/>
  </sheetPr>
  <dimension ref="A1:AA71"/>
  <sheetViews>
    <sheetView showGridLines="0" zoomScale="106" zoomScaleNormal="106" zoomScaleSheetLayoutView="53" workbookViewId="0">
      <selection activeCell="D7" sqref="D7:D57"/>
    </sheetView>
  </sheetViews>
  <sheetFormatPr defaultColWidth="11.42578125" defaultRowHeight="12.75"/>
  <cols>
    <col min="1" max="1" width="3.140625" style="82" bestFit="1" customWidth="1"/>
    <col min="2" max="2" width="6.42578125" style="82" bestFit="1" customWidth="1"/>
    <col min="3" max="3" width="25.140625" style="82" bestFit="1" customWidth="1"/>
    <col min="4" max="4" width="7.7109375" style="82" bestFit="1" customWidth="1"/>
    <col min="5" max="5" width="10.28515625" style="82" bestFit="1" customWidth="1"/>
    <col min="6" max="16384" width="11.42578125" style="82"/>
  </cols>
  <sheetData>
    <row r="1" spans="1:27" ht="18" customHeight="1">
      <c r="A1" s="771" t="s">
        <v>89</v>
      </c>
      <c r="B1" s="771"/>
      <c r="C1" s="771"/>
      <c r="D1" s="771"/>
      <c r="E1" s="771"/>
    </row>
    <row r="2" spans="1:27" ht="18" customHeight="1"/>
    <row r="3" spans="1:27" ht="9.9499999999999993" customHeight="1" thickBot="1"/>
    <row r="4" spans="1:27" ht="18" customHeight="1">
      <c r="A4" s="83"/>
      <c r="B4" s="772"/>
      <c r="C4" s="773"/>
      <c r="D4" s="352" t="str">
        <f>'Falhas UM-3-1 Qty'!D4</f>
        <v>Objetivo</v>
      </c>
      <c r="E4" s="219">
        <f>'Falhas UM-1 - Qty'!F5</f>
        <v>43922</v>
      </c>
      <c r="F4" s="219">
        <f>'Falhas UM-1 - Qty'!G5</f>
        <v>43952</v>
      </c>
      <c r="G4" s="219">
        <f>'Falhas UM-1 - Qty'!H5</f>
        <v>43983</v>
      </c>
      <c r="H4" s="219">
        <f>'Falhas UM-1 - Qty'!I5</f>
        <v>44013</v>
      </c>
      <c r="I4" s="219">
        <f>'Falhas UM-1 - Qty'!J5</f>
        <v>44044</v>
      </c>
      <c r="J4" s="219">
        <f>'Falhas UM-1 - Qty'!K5</f>
        <v>44075</v>
      </c>
      <c r="K4" s="219">
        <f>'Falhas UM-1 - Qty'!L5</f>
        <v>44105</v>
      </c>
      <c r="L4" s="219">
        <f>'Falhas UM-1 - Qty'!M5</f>
        <v>44136</v>
      </c>
      <c r="M4" s="219">
        <f>'Falhas UM-1 - Qty'!N5</f>
        <v>44166</v>
      </c>
      <c r="N4" s="219">
        <f>'Falhas UM-1 - Qty'!O5</f>
        <v>44197</v>
      </c>
      <c r="O4" s="219">
        <f>'Falhas UM-1 - Qty'!P5</f>
        <v>44228</v>
      </c>
      <c r="P4" s="219">
        <f>'Falhas UM-1 - Qty'!Q5</f>
        <v>44256</v>
      </c>
      <c r="Q4" s="68" t="s">
        <v>55</v>
      </c>
      <c r="R4" s="13"/>
      <c r="S4" s="12" t="s">
        <v>54</v>
      </c>
      <c r="T4" s="13"/>
      <c r="U4" s="12" t="s">
        <v>1</v>
      </c>
      <c r="V4" s="11"/>
      <c r="W4" s="68" t="s">
        <v>55</v>
      </c>
      <c r="X4" s="11" t="s">
        <v>54</v>
      </c>
      <c r="Y4" s="68" t="s">
        <v>53</v>
      </c>
      <c r="Z4" s="11" t="s">
        <v>52</v>
      </c>
    </row>
    <row r="5" spans="1:27" ht="18" customHeight="1" thickBot="1">
      <c r="A5" s="205"/>
      <c r="B5" s="774" t="s">
        <v>57</v>
      </c>
      <c r="C5" s="775"/>
      <c r="D5" s="353" t="s">
        <v>48</v>
      </c>
      <c r="E5" s="574" t="s">
        <v>185</v>
      </c>
      <c r="F5" s="574"/>
      <c r="G5" s="574"/>
      <c r="H5" s="574"/>
      <c r="I5" s="574"/>
      <c r="J5" s="574"/>
      <c r="K5" s="574"/>
      <c r="L5" s="574"/>
      <c r="M5" s="574"/>
      <c r="N5" s="574"/>
      <c r="O5" s="574"/>
      <c r="P5" s="574"/>
      <c r="Q5" s="69" t="s">
        <v>49</v>
      </c>
      <c r="R5" s="7" t="s">
        <v>48</v>
      </c>
      <c r="S5" s="6" t="s">
        <v>49</v>
      </c>
      <c r="T5" s="7" t="s">
        <v>48</v>
      </c>
      <c r="U5" s="6" t="s">
        <v>49</v>
      </c>
      <c r="V5" s="5" t="s">
        <v>48</v>
      </c>
      <c r="W5" s="69"/>
      <c r="X5" s="5"/>
      <c r="Y5" s="69"/>
      <c r="Z5" s="5"/>
    </row>
    <row r="6" spans="1:27" ht="35.25" customHeight="1" thickTop="1">
      <c r="A6" s="205"/>
      <c r="B6" s="206" t="s">
        <v>51</v>
      </c>
      <c r="C6" s="207" t="s">
        <v>50</v>
      </c>
      <c r="D6" s="353">
        <f>'Falhas UM-3-1 Qty'!D6</f>
        <v>2022</v>
      </c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501"/>
      <c r="Q6" s="520"/>
      <c r="R6" s="208"/>
      <c r="S6" s="208"/>
      <c r="T6" s="208"/>
      <c r="U6" s="208"/>
      <c r="V6" s="208"/>
      <c r="W6" s="208"/>
      <c r="X6" s="208"/>
      <c r="Y6" s="208"/>
      <c r="Z6" s="521"/>
    </row>
    <row r="7" spans="1:27" ht="18" customHeight="1">
      <c r="A7" s="782" t="s">
        <v>151</v>
      </c>
      <c r="B7" s="85">
        <v>3010</v>
      </c>
      <c r="C7" s="86" t="s">
        <v>46</v>
      </c>
      <c r="D7" s="397">
        <f>'[3]Falhas UM-3-2 Qty'!Z7</f>
        <v>113.24676344802053</v>
      </c>
      <c r="E7" s="87" t="e">
        <f>$D7/1000000*'Prod &amp; Defects - Qty'!G$7</f>
        <v>#N/A</v>
      </c>
      <c r="F7" s="87" t="e">
        <f>$D7/1000000*'Prod &amp; Defects - Qty'!H$7</f>
        <v>#N/A</v>
      </c>
      <c r="G7" s="87" t="e">
        <f>$D7/1000000*'Prod &amp; Defects - Qty'!I$7</f>
        <v>#N/A</v>
      </c>
      <c r="H7" s="87" t="e">
        <f>$D7/1000000*'Prod &amp; Defects - Qty'!J$7</f>
        <v>#N/A</v>
      </c>
      <c r="I7" s="87" t="e">
        <f>$D7/1000000*'Prod &amp; Defects - Qty'!K$7</f>
        <v>#N/A</v>
      </c>
      <c r="J7" s="87" t="e">
        <f>$D7/1000000*'Prod &amp; Defects - Qty'!L$7</f>
        <v>#N/A</v>
      </c>
      <c r="K7" s="87" t="e">
        <f>$D7/1000000*'Prod &amp; Defects - Qty'!M$7</f>
        <v>#N/A</v>
      </c>
      <c r="L7" s="87" t="e">
        <f>$D7/1000000*'Prod &amp; Defects - Qty'!N$7</f>
        <v>#N/A</v>
      </c>
      <c r="M7" s="87" t="e">
        <f>$D7/1000000*'Prod &amp; Defects - Qty'!O$7</f>
        <v>#N/A</v>
      </c>
      <c r="N7" s="87" t="e">
        <f>$D7/1000000*'Prod &amp; Defects - Qty'!P$7</f>
        <v>#N/A</v>
      </c>
      <c r="O7" s="87" t="e">
        <f>$D7/1000000*'Prod &amp; Defects - Qty'!Q$7</f>
        <v>#N/A</v>
      </c>
      <c r="P7" s="513" t="e">
        <f>$D7/1000000*'Prod &amp; Defects - Qty'!R$7</f>
        <v>#N/A</v>
      </c>
      <c r="Q7" s="522" t="e">
        <f>SUM(E7:J7)</f>
        <v>#N/A</v>
      </c>
      <c r="R7" s="87" t="e">
        <f>Q7/SUM('Prod &amp; Defects - Qty'!$G$7:$L$7)*1000000</f>
        <v>#N/A</v>
      </c>
      <c r="S7" s="87" t="e">
        <f>SUM(K7:P7)</f>
        <v>#N/A</v>
      </c>
      <c r="T7" s="87" t="e">
        <f>S7/SUM('Prod &amp; Defects - Qty'!$M$7:$R$7)*1000000</f>
        <v>#N/A</v>
      </c>
      <c r="U7" s="87" t="e">
        <f>Q7+S7</f>
        <v>#N/A</v>
      </c>
      <c r="V7" s="87" t="e">
        <f>U7/'Prod &amp; Defects - Qty'!$S$7*1000000</f>
        <v>#N/A</v>
      </c>
      <c r="W7" s="87" t="e">
        <f t="shared" ref="W7:X26" si="0">V7*$AA$7</f>
        <v>#N/A</v>
      </c>
      <c r="X7" s="87" t="e">
        <f t="shared" si="0"/>
        <v>#N/A</v>
      </c>
      <c r="Y7" s="87" t="e">
        <f>(W7+X7)/2</f>
        <v>#N/A</v>
      </c>
      <c r="Z7" s="523" t="e">
        <f>Y7*$AA$7</f>
        <v>#N/A</v>
      </c>
      <c r="AA7" s="82">
        <f>'Falhas UM-3-1 Qty'!AA7</f>
        <v>1</v>
      </c>
    </row>
    <row r="8" spans="1:27" ht="18" customHeight="1">
      <c r="A8" s="783"/>
      <c r="B8" s="88">
        <f>B7+10</f>
        <v>3020</v>
      </c>
      <c r="C8" s="89" t="s">
        <v>88</v>
      </c>
      <c r="D8" s="398">
        <f>'[3]Falhas UM-3-2 Qty'!Z8</f>
        <v>44.857889826400616</v>
      </c>
      <c r="E8" s="90" t="e">
        <f>$D8/1000000*'Prod &amp; Defects - Qty'!G$7</f>
        <v>#N/A</v>
      </c>
      <c r="F8" s="90" t="e">
        <f>$D8/1000000*'Prod &amp; Defects - Qty'!H$7</f>
        <v>#N/A</v>
      </c>
      <c r="G8" s="90" t="e">
        <f>$D8/1000000*'Prod &amp; Defects - Qty'!I$7</f>
        <v>#N/A</v>
      </c>
      <c r="H8" s="90" t="e">
        <f>$D8/1000000*'Prod &amp; Defects - Qty'!J$7</f>
        <v>#N/A</v>
      </c>
      <c r="I8" s="90" t="e">
        <f>$D8/1000000*'Prod &amp; Defects - Qty'!K$7</f>
        <v>#N/A</v>
      </c>
      <c r="J8" s="90" t="e">
        <f>$D8/1000000*'Prod &amp; Defects - Qty'!L$7</f>
        <v>#N/A</v>
      </c>
      <c r="K8" s="90" t="e">
        <f>$D8/1000000*'Prod &amp; Defects - Qty'!M$7</f>
        <v>#N/A</v>
      </c>
      <c r="L8" s="90" t="e">
        <f>$D8/1000000*'Prod &amp; Defects - Qty'!N$7</f>
        <v>#N/A</v>
      </c>
      <c r="M8" s="90" t="e">
        <f>$D8/1000000*'Prod &amp; Defects - Qty'!O$7</f>
        <v>#N/A</v>
      </c>
      <c r="N8" s="90" t="e">
        <f>$D8/1000000*'Prod &amp; Defects - Qty'!P$7</f>
        <v>#N/A</v>
      </c>
      <c r="O8" s="90" t="e">
        <f>$D8/1000000*'Prod &amp; Defects - Qty'!Q$7</f>
        <v>#N/A</v>
      </c>
      <c r="P8" s="514" t="e">
        <f>$D8/1000000*'Prod &amp; Defects - Qty'!R$7</f>
        <v>#N/A</v>
      </c>
      <c r="Q8" s="524" t="e">
        <f t="shared" ref="Q8:Q57" si="1">SUM(E8:J8)</f>
        <v>#N/A</v>
      </c>
      <c r="R8" s="90" t="e">
        <f>Q8/SUM('Prod &amp; Defects - Qty'!$G$7:$L$7)*1000000</f>
        <v>#N/A</v>
      </c>
      <c r="S8" s="90" t="e">
        <f t="shared" ref="S8:S57" si="2">SUM(K8:P8)</f>
        <v>#N/A</v>
      </c>
      <c r="T8" s="90" t="e">
        <f>S8/SUM('Prod &amp; Defects - Qty'!$M$7:$R$7)*1000000</f>
        <v>#N/A</v>
      </c>
      <c r="U8" s="90" t="e">
        <f t="shared" ref="U8:U57" si="3">Q8+S8</f>
        <v>#N/A</v>
      </c>
      <c r="V8" s="90" t="e">
        <f>U8/'Prod &amp; Defects - Qty'!$S$7*1000000</f>
        <v>#N/A</v>
      </c>
      <c r="W8" s="90" t="e">
        <f t="shared" si="0"/>
        <v>#N/A</v>
      </c>
      <c r="X8" s="90" t="e">
        <f t="shared" si="0"/>
        <v>#N/A</v>
      </c>
      <c r="Y8" s="90" t="e">
        <f t="shared" ref="Y8:Y57" si="4">(W8+X8)/2</f>
        <v>#N/A</v>
      </c>
      <c r="Z8" s="525" t="e">
        <f t="shared" ref="Z8:Z18" si="5">Y8*$AA$7</f>
        <v>#N/A</v>
      </c>
    </row>
    <row r="9" spans="1:27" ht="18" customHeight="1">
      <c r="A9" s="783"/>
      <c r="B9" s="88">
        <f t="shared" ref="B9:B18" si="6">B8+10</f>
        <v>3030</v>
      </c>
      <c r="C9" s="89" t="s">
        <v>87</v>
      </c>
      <c r="D9" s="398">
        <f>'[3]Falhas UM-3-2 Qty'!Z9</f>
        <v>45.329453390955202</v>
      </c>
      <c r="E9" s="90" t="e">
        <f>$D9/1000000*'Prod &amp; Defects - Qty'!G$7</f>
        <v>#N/A</v>
      </c>
      <c r="F9" s="90" t="e">
        <f>$D9/1000000*'Prod &amp; Defects - Qty'!H$7</f>
        <v>#N/A</v>
      </c>
      <c r="G9" s="90" t="e">
        <f>$D9/1000000*'Prod &amp; Defects - Qty'!I$7</f>
        <v>#N/A</v>
      </c>
      <c r="H9" s="90" t="e">
        <f>$D9/1000000*'Prod &amp; Defects - Qty'!J$7</f>
        <v>#N/A</v>
      </c>
      <c r="I9" s="90" t="e">
        <f>$D9/1000000*'Prod &amp; Defects - Qty'!K$7</f>
        <v>#N/A</v>
      </c>
      <c r="J9" s="90" t="e">
        <f>$D9/1000000*'Prod &amp; Defects - Qty'!L$7</f>
        <v>#N/A</v>
      </c>
      <c r="K9" s="90" t="e">
        <f>$D9/1000000*'Prod &amp; Defects - Qty'!M$7</f>
        <v>#N/A</v>
      </c>
      <c r="L9" s="90" t="e">
        <f>$D9/1000000*'Prod &amp; Defects - Qty'!N$7</f>
        <v>#N/A</v>
      </c>
      <c r="M9" s="90" t="e">
        <f>$D9/1000000*'Prod &amp; Defects - Qty'!O$7</f>
        <v>#N/A</v>
      </c>
      <c r="N9" s="90" t="e">
        <f>$D9/1000000*'Prod &amp; Defects - Qty'!P$7</f>
        <v>#N/A</v>
      </c>
      <c r="O9" s="90" t="e">
        <f>$D9/1000000*'Prod &amp; Defects - Qty'!Q$7</f>
        <v>#N/A</v>
      </c>
      <c r="P9" s="514" t="e">
        <f>$D9/1000000*'Prod &amp; Defects - Qty'!R$7</f>
        <v>#N/A</v>
      </c>
      <c r="Q9" s="524" t="e">
        <f t="shared" si="1"/>
        <v>#N/A</v>
      </c>
      <c r="R9" s="90" t="e">
        <f>Q9/SUM('Prod &amp; Defects - Qty'!$G$7:$L$7)*1000000</f>
        <v>#N/A</v>
      </c>
      <c r="S9" s="90" t="e">
        <f t="shared" si="2"/>
        <v>#N/A</v>
      </c>
      <c r="T9" s="90" t="e">
        <f>S9/SUM('Prod &amp; Defects - Qty'!$M$7:$R$7)*1000000</f>
        <v>#N/A</v>
      </c>
      <c r="U9" s="90" t="e">
        <f t="shared" si="3"/>
        <v>#N/A</v>
      </c>
      <c r="V9" s="90" t="e">
        <f>U9/'Prod &amp; Defects - Qty'!$S$7*1000000</f>
        <v>#N/A</v>
      </c>
      <c r="W9" s="90" t="e">
        <f t="shared" si="0"/>
        <v>#N/A</v>
      </c>
      <c r="X9" s="90" t="e">
        <f t="shared" si="0"/>
        <v>#N/A</v>
      </c>
      <c r="Y9" s="90" t="e">
        <f t="shared" si="4"/>
        <v>#N/A</v>
      </c>
      <c r="Z9" s="525" t="e">
        <f t="shared" si="5"/>
        <v>#N/A</v>
      </c>
    </row>
    <row r="10" spans="1:27" ht="18" customHeight="1">
      <c r="A10" s="783"/>
      <c r="B10" s="88">
        <f t="shared" si="6"/>
        <v>3040</v>
      </c>
      <c r="C10" s="89" t="s">
        <v>86</v>
      </c>
      <c r="D10" s="398">
        <f>'[3]Falhas UM-3-2 Qty'!Z10</f>
        <v>246.01881677660302</v>
      </c>
      <c r="E10" s="90" t="e">
        <f>$D10/1000000*'Prod &amp; Defects - Qty'!G$7</f>
        <v>#N/A</v>
      </c>
      <c r="F10" s="90" t="e">
        <f>$D10/1000000*'Prod &amp; Defects - Qty'!H$7</f>
        <v>#N/A</v>
      </c>
      <c r="G10" s="90" t="e">
        <f>$D10/1000000*'Prod &amp; Defects - Qty'!I$7</f>
        <v>#N/A</v>
      </c>
      <c r="H10" s="90" t="e">
        <f>$D10/1000000*'Prod &amp; Defects - Qty'!J$7</f>
        <v>#N/A</v>
      </c>
      <c r="I10" s="90" t="e">
        <f>$D10/1000000*'Prod &amp; Defects - Qty'!K$7</f>
        <v>#N/A</v>
      </c>
      <c r="J10" s="90" t="e">
        <f>$D10/1000000*'Prod &amp; Defects - Qty'!L$7</f>
        <v>#N/A</v>
      </c>
      <c r="K10" s="90" t="e">
        <f>$D10/1000000*'Prod &amp; Defects - Qty'!M$7</f>
        <v>#N/A</v>
      </c>
      <c r="L10" s="90" t="e">
        <f>$D10/1000000*'Prod &amp; Defects - Qty'!N$7</f>
        <v>#N/A</v>
      </c>
      <c r="M10" s="90" t="e">
        <f>$D10/1000000*'Prod &amp; Defects - Qty'!O$7</f>
        <v>#N/A</v>
      </c>
      <c r="N10" s="90" t="e">
        <f>$D10/1000000*'Prod &amp; Defects - Qty'!P$7</f>
        <v>#N/A</v>
      </c>
      <c r="O10" s="90" t="e">
        <f>$D10/1000000*'Prod &amp; Defects - Qty'!Q$7</f>
        <v>#N/A</v>
      </c>
      <c r="P10" s="514" t="e">
        <f>$D10/1000000*'Prod &amp; Defects - Qty'!R$7</f>
        <v>#N/A</v>
      </c>
      <c r="Q10" s="524" t="e">
        <f t="shared" si="1"/>
        <v>#N/A</v>
      </c>
      <c r="R10" s="90" t="e">
        <f>Q10/SUM('Prod &amp; Defects - Qty'!$G$7:$L$7)*1000000</f>
        <v>#N/A</v>
      </c>
      <c r="S10" s="90" t="e">
        <f t="shared" si="2"/>
        <v>#N/A</v>
      </c>
      <c r="T10" s="90" t="e">
        <f>S10/SUM('Prod &amp; Defects - Qty'!$M$7:$R$7)*1000000</f>
        <v>#N/A</v>
      </c>
      <c r="U10" s="90" t="e">
        <f t="shared" si="3"/>
        <v>#N/A</v>
      </c>
      <c r="V10" s="90" t="e">
        <f>U10/'Prod &amp; Defects - Qty'!$S$7*1000000</f>
        <v>#N/A</v>
      </c>
      <c r="W10" s="90" t="e">
        <f t="shared" si="0"/>
        <v>#N/A</v>
      </c>
      <c r="X10" s="90" t="e">
        <f t="shared" si="0"/>
        <v>#N/A</v>
      </c>
      <c r="Y10" s="90" t="e">
        <f t="shared" si="4"/>
        <v>#N/A</v>
      </c>
      <c r="Z10" s="525" t="e">
        <f t="shared" si="5"/>
        <v>#N/A</v>
      </c>
    </row>
    <row r="11" spans="1:27" ht="18" customHeight="1">
      <c r="A11" s="783"/>
      <c r="B11" s="88">
        <f t="shared" si="6"/>
        <v>3050</v>
      </c>
      <c r="C11" s="89" t="s">
        <v>85</v>
      </c>
      <c r="D11" s="398">
        <f>'[3]Falhas UM-3-2 Qty'!Z11</f>
        <v>34.795554507499887</v>
      </c>
      <c r="E11" s="90" t="e">
        <f>$D11/1000000*'Prod &amp; Defects - Qty'!G$7</f>
        <v>#N/A</v>
      </c>
      <c r="F11" s="90" t="e">
        <f>$D11/1000000*'Prod &amp; Defects - Qty'!H$7</f>
        <v>#N/A</v>
      </c>
      <c r="G11" s="90" t="e">
        <f>$D11/1000000*'Prod &amp; Defects - Qty'!I$7</f>
        <v>#N/A</v>
      </c>
      <c r="H11" s="90" t="e">
        <f>$D11/1000000*'Prod &amp; Defects - Qty'!J$7</f>
        <v>#N/A</v>
      </c>
      <c r="I11" s="90" t="e">
        <f>$D11/1000000*'Prod &amp; Defects - Qty'!K$7</f>
        <v>#N/A</v>
      </c>
      <c r="J11" s="90" t="e">
        <f>$D11/1000000*'Prod &amp; Defects - Qty'!L$7</f>
        <v>#N/A</v>
      </c>
      <c r="K11" s="90" t="e">
        <f>$D11/1000000*'Prod &amp; Defects - Qty'!M$7</f>
        <v>#N/A</v>
      </c>
      <c r="L11" s="90" t="e">
        <f>$D11/1000000*'Prod &amp; Defects - Qty'!N$7</f>
        <v>#N/A</v>
      </c>
      <c r="M11" s="90" t="e">
        <f>$D11/1000000*'Prod &amp; Defects - Qty'!O$7</f>
        <v>#N/A</v>
      </c>
      <c r="N11" s="90" t="e">
        <f>$D11/1000000*'Prod &amp; Defects - Qty'!P$7</f>
        <v>#N/A</v>
      </c>
      <c r="O11" s="90" t="e">
        <f>$D11/1000000*'Prod &amp; Defects - Qty'!Q$7</f>
        <v>#N/A</v>
      </c>
      <c r="P11" s="514" t="e">
        <f>$D11/1000000*'Prod &amp; Defects - Qty'!R$7</f>
        <v>#N/A</v>
      </c>
      <c r="Q11" s="524" t="e">
        <f t="shared" si="1"/>
        <v>#N/A</v>
      </c>
      <c r="R11" s="90" t="e">
        <f>Q11/SUM('Prod &amp; Defects - Qty'!$G$7:$L$7)*1000000</f>
        <v>#N/A</v>
      </c>
      <c r="S11" s="90" t="e">
        <f t="shared" si="2"/>
        <v>#N/A</v>
      </c>
      <c r="T11" s="90" t="e">
        <f>S11/SUM('Prod &amp; Defects - Qty'!$M$7:$R$7)*1000000</f>
        <v>#N/A</v>
      </c>
      <c r="U11" s="90" t="e">
        <f t="shared" si="3"/>
        <v>#N/A</v>
      </c>
      <c r="V11" s="90" t="e">
        <f>U11/'Prod &amp; Defects - Qty'!$S$7*1000000</f>
        <v>#N/A</v>
      </c>
      <c r="W11" s="90" t="e">
        <f t="shared" si="0"/>
        <v>#N/A</v>
      </c>
      <c r="X11" s="90" t="e">
        <f t="shared" si="0"/>
        <v>#N/A</v>
      </c>
      <c r="Y11" s="90" t="e">
        <f t="shared" si="4"/>
        <v>#N/A</v>
      </c>
      <c r="Z11" s="525" t="e">
        <f t="shared" si="5"/>
        <v>#N/A</v>
      </c>
    </row>
    <row r="12" spans="1:27" ht="18" customHeight="1">
      <c r="A12" s="783"/>
      <c r="B12" s="88">
        <f t="shared" si="6"/>
        <v>3060</v>
      </c>
      <c r="C12" s="89" t="s">
        <v>84</v>
      </c>
      <c r="D12" s="398">
        <f>'[3]Falhas UM-3-2 Qty'!Z12</f>
        <v>29.432550225355229</v>
      </c>
      <c r="E12" s="90" t="e">
        <f>$D12/1000000*'Prod &amp; Defects - Qty'!G$7</f>
        <v>#N/A</v>
      </c>
      <c r="F12" s="90" t="e">
        <f>$D12/1000000*'Prod &amp; Defects - Qty'!H$7</f>
        <v>#N/A</v>
      </c>
      <c r="G12" s="90" t="e">
        <f>$D12/1000000*'Prod &amp; Defects - Qty'!I$7</f>
        <v>#N/A</v>
      </c>
      <c r="H12" s="90" t="e">
        <f>$D12/1000000*'Prod &amp; Defects - Qty'!J$7</f>
        <v>#N/A</v>
      </c>
      <c r="I12" s="90" t="e">
        <f>$D12/1000000*'Prod &amp; Defects - Qty'!K$7</f>
        <v>#N/A</v>
      </c>
      <c r="J12" s="90" t="e">
        <f>$D12/1000000*'Prod &amp; Defects - Qty'!L$7</f>
        <v>#N/A</v>
      </c>
      <c r="K12" s="90" t="e">
        <f>$D12/1000000*'Prod &amp; Defects - Qty'!M$7</f>
        <v>#N/A</v>
      </c>
      <c r="L12" s="90" t="e">
        <f>$D12/1000000*'Prod &amp; Defects - Qty'!N$7</f>
        <v>#N/A</v>
      </c>
      <c r="M12" s="90" t="e">
        <f>$D12/1000000*'Prod &amp; Defects - Qty'!O$7</f>
        <v>#N/A</v>
      </c>
      <c r="N12" s="90" t="e">
        <f>$D12/1000000*'Prod &amp; Defects - Qty'!P$7</f>
        <v>#N/A</v>
      </c>
      <c r="O12" s="90" t="e">
        <f>$D12/1000000*'Prod &amp; Defects - Qty'!Q$7</f>
        <v>#N/A</v>
      </c>
      <c r="P12" s="514" t="e">
        <f>$D12/1000000*'Prod &amp; Defects - Qty'!R$7</f>
        <v>#N/A</v>
      </c>
      <c r="Q12" s="524" t="e">
        <f t="shared" si="1"/>
        <v>#N/A</v>
      </c>
      <c r="R12" s="90" t="e">
        <f>Q12/SUM('Prod &amp; Defects - Qty'!$G$7:$L$7)*1000000</f>
        <v>#N/A</v>
      </c>
      <c r="S12" s="90" t="e">
        <f t="shared" si="2"/>
        <v>#N/A</v>
      </c>
      <c r="T12" s="90" t="e">
        <f>S12/SUM('Prod &amp; Defects - Qty'!$M$7:$R$7)*1000000</f>
        <v>#N/A</v>
      </c>
      <c r="U12" s="90" t="e">
        <f t="shared" si="3"/>
        <v>#N/A</v>
      </c>
      <c r="V12" s="90" t="e">
        <f>U12/'Prod &amp; Defects - Qty'!$S$7*1000000</f>
        <v>#N/A</v>
      </c>
      <c r="W12" s="90" t="e">
        <f t="shared" si="0"/>
        <v>#N/A</v>
      </c>
      <c r="X12" s="90" t="e">
        <f t="shared" si="0"/>
        <v>#N/A</v>
      </c>
      <c r="Y12" s="90" t="e">
        <f t="shared" si="4"/>
        <v>#N/A</v>
      </c>
      <c r="Z12" s="525" t="e">
        <f t="shared" si="5"/>
        <v>#N/A</v>
      </c>
    </row>
    <row r="13" spans="1:27" ht="18" customHeight="1">
      <c r="A13" s="783"/>
      <c r="B13" s="88">
        <f t="shared" si="6"/>
        <v>3070</v>
      </c>
      <c r="C13" s="89" t="s">
        <v>41</v>
      </c>
      <c r="D13" s="398">
        <f>'[3]Falhas UM-3-2 Qty'!Z13</f>
        <v>229.2851283239219</v>
      </c>
      <c r="E13" s="90" t="e">
        <f>$D13/1000000*'Prod &amp; Defects - Qty'!G$7</f>
        <v>#N/A</v>
      </c>
      <c r="F13" s="90" t="e">
        <f>$D13/1000000*'Prod &amp; Defects - Qty'!H$7</f>
        <v>#N/A</v>
      </c>
      <c r="G13" s="90" t="e">
        <f>$D13/1000000*'Prod &amp; Defects - Qty'!I$7</f>
        <v>#N/A</v>
      </c>
      <c r="H13" s="90" t="e">
        <f>$D13/1000000*'Prod &amp; Defects - Qty'!J$7</f>
        <v>#N/A</v>
      </c>
      <c r="I13" s="90" t="e">
        <f>$D13/1000000*'Prod &amp; Defects - Qty'!K$7</f>
        <v>#N/A</v>
      </c>
      <c r="J13" s="90" t="e">
        <f>$D13/1000000*'Prod &amp; Defects - Qty'!L$7</f>
        <v>#N/A</v>
      </c>
      <c r="K13" s="90" t="e">
        <f>$D13/1000000*'Prod &amp; Defects - Qty'!M$7</f>
        <v>#N/A</v>
      </c>
      <c r="L13" s="90" t="e">
        <f>$D13/1000000*'Prod &amp; Defects - Qty'!N$7</f>
        <v>#N/A</v>
      </c>
      <c r="M13" s="90" t="e">
        <f>$D13/1000000*'Prod &amp; Defects - Qty'!O$7</f>
        <v>#N/A</v>
      </c>
      <c r="N13" s="90" t="e">
        <f>$D13/1000000*'Prod &amp; Defects - Qty'!P$7</f>
        <v>#N/A</v>
      </c>
      <c r="O13" s="90" t="e">
        <f>$D13/1000000*'Prod &amp; Defects - Qty'!Q$7</f>
        <v>#N/A</v>
      </c>
      <c r="P13" s="514" t="e">
        <f>$D13/1000000*'Prod &amp; Defects - Qty'!R$7</f>
        <v>#N/A</v>
      </c>
      <c r="Q13" s="524" t="e">
        <f t="shared" si="1"/>
        <v>#N/A</v>
      </c>
      <c r="R13" s="90" t="e">
        <f>Q13/SUM('Prod &amp; Defects - Qty'!$G$7:$L$7)*1000000</f>
        <v>#N/A</v>
      </c>
      <c r="S13" s="90" t="e">
        <f t="shared" si="2"/>
        <v>#N/A</v>
      </c>
      <c r="T13" s="90" t="e">
        <f>S13/SUM('Prod &amp; Defects - Qty'!$M$7:$R$7)*1000000</f>
        <v>#N/A</v>
      </c>
      <c r="U13" s="90" t="e">
        <f t="shared" si="3"/>
        <v>#N/A</v>
      </c>
      <c r="V13" s="90" t="e">
        <f>U13/'Prod &amp; Defects - Qty'!$S$7*1000000</f>
        <v>#N/A</v>
      </c>
      <c r="W13" s="90" t="e">
        <f t="shared" si="0"/>
        <v>#N/A</v>
      </c>
      <c r="X13" s="90" t="e">
        <f t="shared" si="0"/>
        <v>#N/A</v>
      </c>
      <c r="Y13" s="90" t="e">
        <f t="shared" si="4"/>
        <v>#N/A</v>
      </c>
      <c r="Z13" s="525" t="e">
        <f t="shared" si="5"/>
        <v>#N/A</v>
      </c>
    </row>
    <row r="14" spans="1:27" ht="18" customHeight="1">
      <c r="A14" s="783"/>
      <c r="B14" s="88">
        <f t="shared" si="6"/>
        <v>3080</v>
      </c>
      <c r="C14" s="89" t="s">
        <v>62</v>
      </c>
      <c r="D14" s="398">
        <f>'[3]Falhas UM-3-2 Qty'!Z14</f>
        <v>64.806994035937933</v>
      </c>
      <c r="E14" s="90" t="e">
        <f>$D14/1000000*'Prod &amp; Defects - Qty'!G$7</f>
        <v>#N/A</v>
      </c>
      <c r="F14" s="90" t="e">
        <f>$D14/1000000*'Prod &amp; Defects - Qty'!H$7</f>
        <v>#N/A</v>
      </c>
      <c r="G14" s="90" t="e">
        <f>$D14/1000000*'Prod &amp; Defects - Qty'!I$7</f>
        <v>#N/A</v>
      </c>
      <c r="H14" s="90" t="e">
        <f>$D14/1000000*'Prod &amp; Defects - Qty'!J$7</f>
        <v>#N/A</v>
      </c>
      <c r="I14" s="90" t="e">
        <f>$D14/1000000*'Prod &amp; Defects - Qty'!K$7</f>
        <v>#N/A</v>
      </c>
      <c r="J14" s="90" t="e">
        <f>$D14/1000000*'Prod &amp; Defects - Qty'!L$7</f>
        <v>#N/A</v>
      </c>
      <c r="K14" s="90" t="e">
        <f>$D14/1000000*'Prod &amp; Defects - Qty'!M$7</f>
        <v>#N/A</v>
      </c>
      <c r="L14" s="90" t="e">
        <f>$D14/1000000*'Prod &amp; Defects - Qty'!N$7</f>
        <v>#N/A</v>
      </c>
      <c r="M14" s="90" t="e">
        <f>$D14/1000000*'Prod &amp; Defects - Qty'!O$7</f>
        <v>#N/A</v>
      </c>
      <c r="N14" s="90" t="e">
        <f>$D14/1000000*'Prod &amp; Defects - Qty'!P$7</f>
        <v>#N/A</v>
      </c>
      <c r="O14" s="90" t="e">
        <f>$D14/1000000*'Prod &amp; Defects - Qty'!Q$7</f>
        <v>#N/A</v>
      </c>
      <c r="P14" s="514" t="e">
        <f>$D14/1000000*'Prod &amp; Defects - Qty'!R$7</f>
        <v>#N/A</v>
      </c>
      <c r="Q14" s="524" t="e">
        <f t="shared" si="1"/>
        <v>#N/A</v>
      </c>
      <c r="R14" s="90" t="e">
        <f>Q14/SUM('Prod &amp; Defects - Qty'!$G$7:$L$7)*1000000</f>
        <v>#N/A</v>
      </c>
      <c r="S14" s="90" t="e">
        <f t="shared" si="2"/>
        <v>#N/A</v>
      </c>
      <c r="T14" s="90" t="e">
        <f>S14/SUM('Prod &amp; Defects - Qty'!$M$7:$R$7)*1000000</f>
        <v>#N/A</v>
      </c>
      <c r="U14" s="90" t="e">
        <f t="shared" si="3"/>
        <v>#N/A</v>
      </c>
      <c r="V14" s="90" t="e">
        <f>U14/'Prod &amp; Defects - Qty'!$S$7*1000000</f>
        <v>#N/A</v>
      </c>
      <c r="W14" s="90" t="e">
        <f t="shared" si="0"/>
        <v>#N/A</v>
      </c>
      <c r="X14" s="90" t="e">
        <f t="shared" si="0"/>
        <v>#N/A</v>
      </c>
      <c r="Y14" s="90" t="e">
        <f t="shared" si="4"/>
        <v>#N/A</v>
      </c>
      <c r="Z14" s="525" t="e">
        <f t="shared" si="5"/>
        <v>#N/A</v>
      </c>
    </row>
    <row r="15" spans="1:27" ht="18" customHeight="1">
      <c r="A15" s="783"/>
      <c r="B15" s="88">
        <f t="shared" si="6"/>
        <v>3090</v>
      </c>
      <c r="C15" s="89" t="s">
        <v>83</v>
      </c>
      <c r="D15" s="398">
        <f>'[3]Falhas UM-3-2 Qty'!Z15</f>
        <v>40.887908459248699</v>
      </c>
      <c r="E15" s="90" t="e">
        <f>$D15/1000000*'Prod &amp; Defects - Qty'!G$7</f>
        <v>#N/A</v>
      </c>
      <c r="F15" s="90" t="e">
        <f>$D15/1000000*'Prod &amp; Defects - Qty'!H$7</f>
        <v>#N/A</v>
      </c>
      <c r="G15" s="90" t="e">
        <f>$D15/1000000*'Prod &amp; Defects - Qty'!I$7</f>
        <v>#N/A</v>
      </c>
      <c r="H15" s="90" t="e">
        <f>$D15/1000000*'Prod &amp; Defects - Qty'!J$7</f>
        <v>#N/A</v>
      </c>
      <c r="I15" s="90" t="e">
        <f>$D15/1000000*'Prod &amp; Defects - Qty'!K$7</f>
        <v>#N/A</v>
      </c>
      <c r="J15" s="90" t="e">
        <f>$D15/1000000*'Prod &amp; Defects - Qty'!L$7</f>
        <v>#N/A</v>
      </c>
      <c r="K15" s="90" t="e">
        <f>$D15/1000000*'Prod &amp; Defects - Qty'!M$7</f>
        <v>#N/A</v>
      </c>
      <c r="L15" s="90" t="e">
        <f>$D15/1000000*'Prod &amp; Defects - Qty'!N$7</f>
        <v>#N/A</v>
      </c>
      <c r="M15" s="90" t="e">
        <f>$D15/1000000*'Prod &amp; Defects - Qty'!O$7</f>
        <v>#N/A</v>
      </c>
      <c r="N15" s="90" t="e">
        <f>$D15/1000000*'Prod &amp; Defects - Qty'!P$7</f>
        <v>#N/A</v>
      </c>
      <c r="O15" s="90" t="e">
        <f>$D15/1000000*'Prod &amp; Defects - Qty'!Q$7</f>
        <v>#N/A</v>
      </c>
      <c r="P15" s="514" t="e">
        <f>$D15/1000000*'Prod &amp; Defects - Qty'!R$7</f>
        <v>#N/A</v>
      </c>
      <c r="Q15" s="524" t="e">
        <f t="shared" si="1"/>
        <v>#N/A</v>
      </c>
      <c r="R15" s="90" t="e">
        <f>Q15/SUM('Prod &amp; Defects - Qty'!$G$7:$L$7)*1000000</f>
        <v>#N/A</v>
      </c>
      <c r="S15" s="90" t="e">
        <f t="shared" si="2"/>
        <v>#N/A</v>
      </c>
      <c r="T15" s="90" t="e">
        <f>S15/SUM('Prod &amp; Defects - Qty'!$M$7:$R$7)*1000000</f>
        <v>#N/A</v>
      </c>
      <c r="U15" s="90" t="e">
        <f t="shared" si="3"/>
        <v>#N/A</v>
      </c>
      <c r="V15" s="90" t="e">
        <f>U15/'Prod &amp; Defects - Qty'!$S$7*1000000</f>
        <v>#N/A</v>
      </c>
      <c r="W15" s="90" t="e">
        <f t="shared" si="0"/>
        <v>#N/A</v>
      </c>
      <c r="X15" s="90" t="e">
        <f t="shared" si="0"/>
        <v>#N/A</v>
      </c>
      <c r="Y15" s="90" t="e">
        <f t="shared" si="4"/>
        <v>#N/A</v>
      </c>
      <c r="Z15" s="525" t="e">
        <f t="shared" si="5"/>
        <v>#N/A</v>
      </c>
    </row>
    <row r="16" spans="1:27" ht="18" customHeight="1">
      <c r="A16" s="783"/>
      <c r="B16" s="88">
        <f t="shared" si="6"/>
        <v>3100</v>
      </c>
      <c r="C16" s="96" t="s">
        <v>82</v>
      </c>
      <c r="D16" s="398">
        <f>'[3]Falhas UM-3-2 Qty'!Z16</f>
        <v>3177.5205484438156</v>
      </c>
      <c r="E16" s="90" t="e">
        <f>$D16/1000000*'Prod &amp; Defects - Qty'!G$7</f>
        <v>#N/A</v>
      </c>
      <c r="F16" s="90" t="e">
        <f>$D16/1000000*'Prod &amp; Defects - Qty'!H$7</f>
        <v>#N/A</v>
      </c>
      <c r="G16" s="90" t="e">
        <f>$D16/1000000*'Prod &amp; Defects - Qty'!I$7</f>
        <v>#N/A</v>
      </c>
      <c r="H16" s="90" t="e">
        <f>$D16/1000000*'Prod &amp; Defects - Qty'!J$7</f>
        <v>#N/A</v>
      </c>
      <c r="I16" s="90" t="e">
        <f>$D16/1000000*'Prod &amp; Defects - Qty'!K$7</f>
        <v>#N/A</v>
      </c>
      <c r="J16" s="90" t="e">
        <f>$D16/1000000*'Prod &amp; Defects - Qty'!L$7</f>
        <v>#N/A</v>
      </c>
      <c r="K16" s="90" t="e">
        <f>$D16/1000000*'Prod &amp; Defects - Qty'!M$7</f>
        <v>#N/A</v>
      </c>
      <c r="L16" s="90" t="e">
        <f>$D16/1000000*'Prod &amp; Defects - Qty'!N$7</f>
        <v>#N/A</v>
      </c>
      <c r="M16" s="90" t="e">
        <f>$D16/1000000*'Prod &amp; Defects - Qty'!O$7</f>
        <v>#N/A</v>
      </c>
      <c r="N16" s="90" t="e">
        <f>$D16/1000000*'Prod &amp; Defects - Qty'!P$7</f>
        <v>#N/A</v>
      </c>
      <c r="O16" s="90" t="e">
        <f>$D16/1000000*'Prod &amp; Defects - Qty'!Q$7</f>
        <v>#N/A</v>
      </c>
      <c r="P16" s="514" t="e">
        <f>$D16/1000000*'Prod &amp; Defects - Qty'!R$7</f>
        <v>#N/A</v>
      </c>
      <c r="Q16" s="524" t="e">
        <f t="shared" si="1"/>
        <v>#N/A</v>
      </c>
      <c r="R16" s="90" t="e">
        <f>Q16/SUM('Prod &amp; Defects - Qty'!$G$7:$L$7)*1000000</f>
        <v>#N/A</v>
      </c>
      <c r="S16" s="90" t="e">
        <f t="shared" si="2"/>
        <v>#N/A</v>
      </c>
      <c r="T16" s="90" t="e">
        <f>S16/SUM('Prod &amp; Defects - Qty'!$M$7:$R$7)*1000000</f>
        <v>#N/A</v>
      </c>
      <c r="U16" s="90" t="e">
        <f t="shared" si="3"/>
        <v>#N/A</v>
      </c>
      <c r="V16" s="90" t="e">
        <f>U16/'Prod &amp; Defects - Qty'!$S$7*1000000</f>
        <v>#N/A</v>
      </c>
      <c r="W16" s="90" t="e">
        <f t="shared" si="0"/>
        <v>#N/A</v>
      </c>
      <c r="X16" s="90" t="e">
        <f t="shared" si="0"/>
        <v>#N/A</v>
      </c>
      <c r="Y16" s="90" t="e">
        <f t="shared" si="4"/>
        <v>#N/A</v>
      </c>
      <c r="Z16" s="525" t="e">
        <f t="shared" si="5"/>
        <v>#N/A</v>
      </c>
    </row>
    <row r="17" spans="1:26" ht="18" customHeight="1">
      <c r="A17" s="783"/>
      <c r="B17" s="88">
        <f t="shared" si="6"/>
        <v>3110</v>
      </c>
      <c r="C17" s="96" t="s">
        <v>81</v>
      </c>
      <c r="D17" s="399">
        <f>'[3]Falhas UM-3-2 Qty'!Z17</f>
        <v>18.373980684683854</v>
      </c>
      <c r="E17" s="101" t="e">
        <f>$D17/1000000*'Prod &amp; Defects - Qty'!G$7</f>
        <v>#N/A</v>
      </c>
      <c r="F17" s="101" t="e">
        <f>$D17/1000000*'Prod &amp; Defects - Qty'!H$7</f>
        <v>#N/A</v>
      </c>
      <c r="G17" s="101" t="e">
        <f>$D17/1000000*'Prod &amp; Defects - Qty'!I$7</f>
        <v>#N/A</v>
      </c>
      <c r="H17" s="101" t="e">
        <f>$D17/1000000*'Prod &amp; Defects - Qty'!J$7</f>
        <v>#N/A</v>
      </c>
      <c r="I17" s="101" t="e">
        <f>$D17/1000000*'Prod &amp; Defects - Qty'!K$7</f>
        <v>#N/A</v>
      </c>
      <c r="J17" s="101" t="e">
        <f>$D17/1000000*'Prod &amp; Defects - Qty'!L$7</f>
        <v>#N/A</v>
      </c>
      <c r="K17" s="101" t="e">
        <f>$D17/1000000*'Prod &amp; Defects - Qty'!M$7</f>
        <v>#N/A</v>
      </c>
      <c r="L17" s="101" t="e">
        <f>$D17/1000000*'Prod &amp; Defects - Qty'!N$7</f>
        <v>#N/A</v>
      </c>
      <c r="M17" s="101" t="e">
        <f>$D17/1000000*'Prod &amp; Defects - Qty'!O$7</f>
        <v>#N/A</v>
      </c>
      <c r="N17" s="101" t="e">
        <f>$D17/1000000*'Prod &amp; Defects - Qty'!P$7</f>
        <v>#N/A</v>
      </c>
      <c r="O17" s="101" t="e">
        <f>$D17/1000000*'Prod &amp; Defects - Qty'!Q$7</f>
        <v>#N/A</v>
      </c>
      <c r="P17" s="515" t="e">
        <f>$D17/1000000*'Prod &amp; Defects - Qty'!R$7</f>
        <v>#N/A</v>
      </c>
      <c r="Q17" s="526" t="e">
        <f t="shared" si="1"/>
        <v>#N/A</v>
      </c>
      <c r="R17" s="101" t="e">
        <f>Q17/SUM('Prod &amp; Defects - Qty'!$G$7:$L$7)*1000000</f>
        <v>#N/A</v>
      </c>
      <c r="S17" s="101" t="e">
        <f t="shared" si="2"/>
        <v>#N/A</v>
      </c>
      <c r="T17" s="101" t="e">
        <f>S17/SUM('Prod &amp; Defects - Qty'!$M$7:$R$7)*1000000</f>
        <v>#N/A</v>
      </c>
      <c r="U17" s="101" t="e">
        <f t="shared" si="3"/>
        <v>#N/A</v>
      </c>
      <c r="V17" s="101" t="e">
        <f>U17/'Prod &amp; Defects - Qty'!$S$7*1000000</f>
        <v>#N/A</v>
      </c>
      <c r="W17" s="101" t="e">
        <f t="shared" si="0"/>
        <v>#N/A</v>
      </c>
      <c r="X17" s="101" t="e">
        <f t="shared" si="0"/>
        <v>#N/A</v>
      </c>
      <c r="Y17" s="101" t="e">
        <f t="shared" si="4"/>
        <v>#N/A</v>
      </c>
      <c r="Z17" s="527" t="e">
        <f t="shared" si="5"/>
        <v>#N/A</v>
      </c>
    </row>
    <row r="18" spans="1:26" ht="18" customHeight="1">
      <c r="A18" s="783"/>
      <c r="B18" s="88">
        <f t="shared" si="6"/>
        <v>3120</v>
      </c>
      <c r="C18" s="96" t="s">
        <v>80</v>
      </c>
      <c r="D18" s="400">
        <f>'[3]Falhas UM-3-2 Qty'!Z18</f>
        <v>0</v>
      </c>
      <c r="E18" s="100" t="e">
        <f>$D18/1000000*'Prod &amp; Defects - Qty'!G$7</f>
        <v>#N/A</v>
      </c>
      <c r="F18" s="100" t="e">
        <f>$D18/1000000*'Prod &amp; Defects - Qty'!H$7</f>
        <v>#N/A</v>
      </c>
      <c r="G18" s="100" t="e">
        <f>$D18/1000000*'Prod &amp; Defects - Qty'!I$7</f>
        <v>#N/A</v>
      </c>
      <c r="H18" s="100" t="e">
        <f>$D18/1000000*'Prod &amp; Defects - Qty'!J$7</f>
        <v>#N/A</v>
      </c>
      <c r="I18" s="100" t="e">
        <f>$D18/1000000*'Prod &amp; Defects - Qty'!K$7</f>
        <v>#N/A</v>
      </c>
      <c r="J18" s="100" t="e">
        <f>$D18/1000000*'Prod &amp; Defects - Qty'!L$7</f>
        <v>#N/A</v>
      </c>
      <c r="K18" s="100" t="e">
        <f>$D18/1000000*'Prod &amp; Defects - Qty'!M$7</f>
        <v>#N/A</v>
      </c>
      <c r="L18" s="100" t="e">
        <f>$D18/1000000*'Prod &amp; Defects - Qty'!N$7</f>
        <v>#N/A</v>
      </c>
      <c r="M18" s="100" t="e">
        <f>$D18/1000000*'Prod &amp; Defects - Qty'!O$7</f>
        <v>#N/A</v>
      </c>
      <c r="N18" s="100" t="e">
        <f>$D18/1000000*'Prod &amp; Defects - Qty'!P$7</f>
        <v>#N/A</v>
      </c>
      <c r="O18" s="100" t="e">
        <f>$D18/1000000*'Prod &amp; Defects - Qty'!Q$7</f>
        <v>#N/A</v>
      </c>
      <c r="P18" s="516" t="e">
        <f>$D18/1000000*'Prod &amp; Defects - Qty'!R$7</f>
        <v>#N/A</v>
      </c>
      <c r="Q18" s="528" t="e">
        <f t="shared" si="1"/>
        <v>#N/A</v>
      </c>
      <c r="R18" s="100" t="e">
        <f>Q18/SUM('Prod &amp; Defects - Qty'!$G$7:$L$7)*1000000</f>
        <v>#N/A</v>
      </c>
      <c r="S18" s="100" t="e">
        <f t="shared" si="2"/>
        <v>#N/A</v>
      </c>
      <c r="T18" s="100" t="e">
        <f>S18/SUM('Prod &amp; Defects - Qty'!$M$7:$R$7)*1000000</f>
        <v>#N/A</v>
      </c>
      <c r="U18" s="100" t="e">
        <f t="shared" si="3"/>
        <v>#N/A</v>
      </c>
      <c r="V18" s="100" t="e">
        <f>U18/'Prod &amp; Defects - Qty'!$S$7*1000000</f>
        <v>#N/A</v>
      </c>
      <c r="W18" s="100" t="e">
        <f t="shared" si="0"/>
        <v>#N/A</v>
      </c>
      <c r="X18" s="100" t="e">
        <f t="shared" si="0"/>
        <v>#N/A</v>
      </c>
      <c r="Y18" s="100" t="e">
        <f t="shared" si="4"/>
        <v>#N/A</v>
      </c>
      <c r="Z18" s="529" t="e">
        <f t="shared" si="5"/>
        <v>#N/A</v>
      </c>
    </row>
    <row r="19" spans="1:26" ht="18" customHeight="1" thickBot="1">
      <c r="A19" s="783"/>
      <c r="B19" s="91"/>
      <c r="C19" s="92" t="s">
        <v>1</v>
      </c>
      <c r="D19" s="401">
        <f>'[3]Falhas UM-3-2 Qty'!Z19</f>
        <v>867.03503967862696</v>
      </c>
      <c r="E19" s="93" t="e">
        <f t="shared" ref="E19:L19" si="7">SUM(E7:E15,E17:E18)</f>
        <v>#N/A</v>
      </c>
      <c r="F19" s="93" t="e">
        <f t="shared" si="7"/>
        <v>#N/A</v>
      </c>
      <c r="G19" s="93" t="e">
        <f t="shared" si="7"/>
        <v>#N/A</v>
      </c>
      <c r="H19" s="93" t="e">
        <f t="shared" si="7"/>
        <v>#N/A</v>
      </c>
      <c r="I19" s="93" t="e">
        <f t="shared" si="7"/>
        <v>#N/A</v>
      </c>
      <c r="J19" s="93" t="e">
        <f t="shared" si="7"/>
        <v>#N/A</v>
      </c>
      <c r="K19" s="93" t="e">
        <f t="shared" si="7"/>
        <v>#N/A</v>
      </c>
      <c r="L19" s="93" t="e">
        <f t="shared" si="7"/>
        <v>#N/A</v>
      </c>
      <c r="M19" s="93" t="e">
        <f>SUM(M7:M15,M17:M18)</f>
        <v>#N/A</v>
      </c>
      <c r="N19" s="93" t="e">
        <f>SUM(N7:N15,N17:N18)</f>
        <v>#N/A</v>
      </c>
      <c r="O19" s="93" t="e">
        <f>SUM(O7:O15,O17:O18)</f>
        <v>#N/A</v>
      </c>
      <c r="P19" s="93" t="e">
        <f>SUM(P7:P15,P17:P18)</f>
        <v>#N/A</v>
      </c>
      <c r="Q19" s="530" t="e">
        <f t="shared" si="1"/>
        <v>#N/A</v>
      </c>
      <c r="R19" s="93" t="e">
        <f>Q19/SUM('Prod &amp; Defects - Qty'!$G$7:$L$7)*1000000</f>
        <v>#N/A</v>
      </c>
      <c r="S19" s="93" t="e">
        <f t="shared" si="2"/>
        <v>#N/A</v>
      </c>
      <c r="T19" s="93" t="e">
        <f>S19/SUM('Prod &amp; Defects - Qty'!$M$7:$R$7)*1000000</f>
        <v>#N/A</v>
      </c>
      <c r="U19" s="93" t="e">
        <f t="shared" si="3"/>
        <v>#N/A</v>
      </c>
      <c r="V19" s="93" t="e">
        <f>U19/'Prod &amp; Defects - Qty'!$S$7*1000000</f>
        <v>#N/A</v>
      </c>
      <c r="W19" s="93" t="e">
        <f t="shared" si="0"/>
        <v>#N/A</v>
      </c>
      <c r="X19" s="93" t="e">
        <f t="shared" si="0"/>
        <v>#N/A</v>
      </c>
      <c r="Y19" s="93" t="e">
        <f t="shared" si="4"/>
        <v>#N/A</v>
      </c>
      <c r="Z19" s="531" t="e">
        <f>Y19*0.9</f>
        <v>#N/A</v>
      </c>
    </row>
    <row r="20" spans="1:26" ht="18" customHeight="1" thickTop="1">
      <c r="A20" s="783"/>
      <c r="B20" s="88">
        <v>3130</v>
      </c>
      <c r="C20" s="89" t="s">
        <v>117</v>
      </c>
      <c r="D20" s="398">
        <f>'[3]Falhas UM-3-2 Qty'!Z20</f>
        <v>14.798091682975869</v>
      </c>
      <c r="E20" s="90" t="e">
        <f>$D20/1000000*'Prod &amp; Defects - Qty'!G$7</f>
        <v>#N/A</v>
      </c>
      <c r="F20" s="90" t="e">
        <f>$D20/1000000*'Prod &amp; Defects - Qty'!H$7</f>
        <v>#N/A</v>
      </c>
      <c r="G20" s="90" t="e">
        <f>$D20/1000000*'Prod &amp; Defects - Qty'!I$7</f>
        <v>#N/A</v>
      </c>
      <c r="H20" s="90" t="e">
        <f>$D20/1000000*'Prod &amp; Defects - Qty'!J$7</f>
        <v>#N/A</v>
      </c>
      <c r="I20" s="90" t="e">
        <f>$D20/1000000*'Prod &amp; Defects - Qty'!K$7</f>
        <v>#N/A</v>
      </c>
      <c r="J20" s="90" t="e">
        <f>$D20/1000000*'Prod &amp; Defects - Qty'!L$7</f>
        <v>#N/A</v>
      </c>
      <c r="K20" s="90" t="e">
        <f>$D20/1000000*'Prod &amp; Defects - Qty'!M$7</f>
        <v>#N/A</v>
      </c>
      <c r="L20" s="90" t="e">
        <f>$D20/1000000*'Prod &amp; Defects - Qty'!N$7</f>
        <v>#N/A</v>
      </c>
      <c r="M20" s="90" t="e">
        <f>$D20/1000000*'Prod &amp; Defects - Qty'!O$7</f>
        <v>#N/A</v>
      </c>
      <c r="N20" s="90" t="e">
        <f>$D20/1000000*'Prod &amp; Defects - Qty'!P$7</f>
        <v>#N/A</v>
      </c>
      <c r="O20" s="90" t="e">
        <f>$D20/1000000*'Prod &amp; Defects - Qty'!Q$7</f>
        <v>#N/A</v>
      </c>
      <c r="P20" s="514" t="e">
        <f>$D20/1000000*'Prod &amp; Defects - Qty'!R$7</f>
        <v>#N/A</v>
      </c>
      <c r="Q20" s="524" t="e">
        <f t="shared" si="1"/>
        <v>#N/A</v>
      </c>
      <c r="R20" s="90" t="e">
        <f>Q20/SUM('Prod &amp; Defects - Qty'!$G$7:$L$7)*1000000</f>
        <v>#N/A</v>
      </c>
      <c r="S20" s="90" t="e">
        <f t="shared" si="2"/>
        <v>#N/A</v>
      </c>
      <c r="T20" s="90" t="e">
        <f>S20/SUM('Prod &amp; Defects - Qty'!$M$7:$R$7)*1000000</f>
        <v>#N/A</v>
      </c>
      <c r="U20" s="90" t="e">
        <f t="shared" si="3"/>
        <v>#N/A</v>
      </c>
      <c r="V20" s="90" t="e">
        <f>U20/'Prod &amp; Defects - Qty'!$S$7*1000000</f>
        <v>#N/A</v>
      </c>
      <c r="W20" s="90" t="e">
        <f t="shared" si="0"/>
        <v>#N/A</v>
      </c>
      <c r="X20" s="90" t="e">
        <f t="shared" si="0"/>
        <v>#N/A</v>
      </c>
      <c r="Y20" s="90" t="e">
        <f t="shared" si="4"/>
        <v>#N/A</v>
      </c>
      <c r="Z20" s="525" t="e">
        <f t="shared" ref="Z20:Z36" si="8">Y20*$AA$7</f>
        <v>#N/A</v>
      </c>
    </row>
    <row r="21" spans="1:26" ht="18" customHeight="1">
      <c r="A21" s="783"/>
      <c r="B21" s="88">
        <v>3135</v>
      </c>
      <c r="C21" s="96" t="s">
        <v>118</v>
      </c>
      <c r="D21" s="398">
        <f>'[3]Falhas UM-3-2 Qty'!Z21</f>
        <v>7.9069794302229788</v>
      </c>
      <c r="E21" s="90" t="e">
        <f>$D21/1000000*'Prod &amp; Defects - Qty'!G$7</f>
        <v>#N/A</v>
      </c>
      <c r="F21" s="90" t="e">
        <f>$D21/1000000*'Prod &amp; Defects - Qty'!H$7</f>
        <v>#N/A</v>
      </c>
      <c r="G21" s="90" t="e">
        <f>$D21/1000000*'Prod &amp; Defects - Qty'!I$7</f>
        <v>#N/A</v>
      </c>
      <c r="H21" s="90" t="e">
        <f>$D21/1000000*'Prod &amp; Defects - Qty'!J$7</f>
        <v>#N/A</v>
      </c>
      <c r="I21" s="90" t="e">
        <f>$D21/1000000*'Prod &amp; Defects - Qty'!K$7</f>
        <v>#N/A</v>
      </c>
      <c r="J21" s="90" t="e">
        <f>$D21/1000000*'Prod &amp; Defects - Qty'!L$7</f>
        <v>#N/A</v>
      </c>
      <c r="K21" s="90" t="e">
        <f>$D21/1000000*'Prod &amp; Defects - Qty'!M$7</f>
        <v>#N/A</v>
      </c>
      <c r="L21" s="90" t="e">
        <f>$D21/1000000*'Prod &amp; Defects - Qty'!N$7</f>
        <v>#N/A</v>
      </c>
      <c r="M21" s="90" t="e">
        <f>$D21/1000000*'Prod &amp; Defects - Qty'!O$7</f>
        <v>#N/A</v>
      </c>
      <c r="N21" s="90" t="e">
        <f>$D21/1000000*'Prod &amp; Defects - Qty'!P$7</f>
        <v>#N/A</v>
      </c>
      <c r="O21" s="90" t="e">
        <f>$D21/1000000*'Prod &amp; Defects - Qty'!Q$7</f>
        <v>#N/A</v>
      </c>
      <c r="P21" s="514" t="e">
        <f>$D21/1000000*'Prod &amp; Defects - Qty'!R$7</f>
        <v>#N/A</v>
      </c>
      <c r="Q21" s="524" t="e">
        <f t="shared" si="1"/>
        <v>#N/A</v>
      </c>
      <c r="R21" s="90" t="e">
        <f>Q21/SUM('Prod &amp; Defects - Qty'!$G$7:$L$7)*1000000</f>
        <v>#N/A</v>
      </c>
      <c r="S21" s="90" t="e">
        <f t="shared" si="2"/>
        <v>#N/A</v>
      </c>
      <c r="T21" s="90" t="e">
        <f>S21/SUM('Prod &amp; Defects - Qty'!$M$7:$R$7)*1000000</f>
        <v>#N/A</v>
      </c>
      <c r="U21" s="90" t="e">
        <f t="shared" si="3"/>
        <v>#N/A</v>
      </c>
      <c r="V21" s="90" t="e">
        <f>U21/'Prod &amp; Defects - Qty'!$S$7*1000000</f>
        <v>#N/A</v>
      </c>
      <c r="W21" s="90" t="e">
        <f t="shared" si="0"/>
        <v>#N/A</v>
      </c>
      <c r="X21" s="90" t="e">
        <f t="shared" si="0"/>
        <v>#N/A</v>
      </c>
      <c r="Y21" s="90" t="e">
        <f t="shared" si="4"/>
        <v>#N/A</v>
      </c>
      <c r="Z21" s="525" t="e">
        <f t="shared" si="8"/>
        <v>#N/A</v>
      </c>
    </row>
    <row r="22" spans="1:26" ht="18" customHeight="1">
      <c r="A22" s="783"/>
      <c r="B22" s="88">
        <v>3140</v>
      </c>
      <c r="C22" s="96" t="s">
        <v>119</v>
      </c>
      <c r="D22" s="398">
        <f>'[3]Falhas UM-3-2 Qty'!Z22</f>
        <v>10.415426200534394</v>
      </c>
      <c r="E22" s="90" t="e">
        <f>$D22/1000000*'Prod &amp; Defects - Qty'!G$7</f>
        <v>#N/A</v>
      </c>
      <c r="F22" s="90" t="e">
        <f>$D22/1000000*'Prod &amp; Defects - Qty'!H$7</f>
        <v>#N/A</v>
      </c>
      <c r="G22" s="90" t="e">
        <f>$D22/1000000*'Prod &amp; Defects - Qty'!I$7</f>
        <v>#N/A</v>
      </c>
      <c r="H22" s="90" t="e">
        <f>$D22/1000000*'Prod &amp; Defects - Qty'!J$7</f>
        <v>#N/A</v>
      </c>
      <c r="I22" s="90" t="e">
        <f>$D22/1000000*'Prod &amp; Defects - Qty'!K$7</f>
        <v>#N/A</v>
      </c>
      <c r="J22" s="90" t="e">
        <f>$D22/1000000*'Prod &amp; Defects - Qty'!L$7</f>
        <v>#N/A</v>
      </c>
      <c r="K22" s="90" t="e">
        <f>$D22/1000000*'Prod &amp; Defects - Qty'!M$7</f>
        <v>#N/A</v>
      </c>
      <c r="L22" s="90" t="e">
        <f>$D22/1000000*'Prod &amp; Defects - Qty'!N$7</f>
        <v>#N/A</v>
      </c>
      <c r="M22" s="90" t="e">
        <f>$D22/1000000*'Prod &amp; Defects - Qty'!O$7</f>
        <v>#N/A</v>
      </c>
      <c r="N22" s="90" t="e">
        <f>$D22/1000000*'Prod &amp; Defects - Qty'!P$7</f>
        <v>#N/A</v>
      </c>
      <c r="O22" s="90" t="e">
        <f>$D22/1000000*'Prod &amp; Defects - Qty'!Q$7</f>
        <v>#N/A</v>
      </c>
      <c r="P22" s="514" t="e">
        <f>$D22/1000000*'Prod &amp; Defects - Qty'!R$7</f>
        <v>#N/A</v>
      </c>
      <c r="Q22" s="524" t="e">
        <f t="shared" si="1"/>
        <v>#N/A</v>
      </c>
      <c r="R22" s="90" t="e">
        <f>Q22/SUM('Prod &amp; Defects - Qty'!$G$7:$L$7)*1000000</f>
        <v>#N/A</v>
      </c>
      <c r="S22" s="90" t="e">
        <f t="shared" si="2"/>
        <v>#N/A</v>
      </c>
      <c r="T22" s="90" t="e">
        <f>S22/SUM('Prod &amp; Defects - Qty'!$M$7:$R$7)*1000000</f>
        <v>#N/A</v>
      </c>
      <c r="U22" s="90" t="e">
        <f t="shared" si="3"/>
        <v>#N/A</v>
      </c>
      <c r="V22" s="90" t="e">
        <f>U22/'Prod &amp; Defects - Qty'!$S$7*1000000</f>
        <v>#N/A</v>
      </c>
      <c r="W22" s="90" t="e">
        <f t="shared" si="0"/>
        <v>#N/A</v>
      </c>
      <c r="X22" s="90" t="e">
        <f t="shared" si="0"/>
        <v>#N/A</v>
      </c>
      <c r="Y22" s="90" t="e">
        <f t="shared" si="4"/>
        <v>#N/A</v>
      </c>
      <c r="Z22" s="525" t="e">
        <f t="shared" si="8"/>
        <v>#N/A</v>
      </c>
    </row>
    <row r="23" spans="1:26" ht="18" customHeight="1">
      <c r="A23" s="783"/>
      <c r="B23" s="88">
        <f>B22+5</f>
        <v>3145</v>
      </c>
      <c r="C23" s="96" t="s">
        <v>120</v>
      </c>
      <c r="D23" s="398">
        <f>'[3]Falhas UM-3-2 Qty'!Z23</f>
        <v>25.602502457457796</v>
      </c>
      <c r="E23" s="90" t="e">
        <f>$D23/1000000*'Prod &amp; Defects - Qty'!G$7</f>
        <v>#N/A</v>
      </c>
      <c r="F23" s="90" t="e">
        <f>$D23/1000000*'Prod &amp; Defects - Qty'!H$7</f>
        <v>#N/A</v>
      </c>
      <c r="G23" s="90" t="e">
        <f>$D23/1000000*'Prod &amp; Defects - Qty'!I$7</f>
        <v>#N/A</v>
      </c>
      <c r="H23" s="90" t="e">
        <f>$D23/1000000*'Prod &amp; Defects - Qty'!J$7</f>
        <v>#N/A</v>
      </c>
      <c r="I23" s="90" t="e">
        <f>$D23/1000000*'Prod &amp; Defects - Qty'!K$7</f>
        <v>#N/A</v>
      </c>
      <c r="J23" s="90" t="e">
        <f>$D23/1000000*'Prod &amp; Defects - Qty'!L$7</f>
        <v>#N/A</v>
      </c>
      <c r="K23" s="90" t="e">
        <f>$D23/1000000*'Prod &amp; Defects - Qty'!M$7</f>
        <v>#N/A</v>
      </c>
      <c r="L23" s="90" t="e">
        <f>$D23/1000000*'Prod &amp; Defects - Qty'!N$7</f>
        <v>#N/A</v>
      </c>
      <c r="M23" s="90" t="e">
        <f>$D23/1000000*'Prod &amp; Defects - Qty'!O$7</f>
        <v>#N/A</v>
      </c>
      <c r="N23" s="90" t="e">
        <f>$D23/1000000*'Prod &amp; Defects - Qty'!P$7</f>
        <v>#N/A</v>
      </c>
      <c r="O23" s="90" t="e">
        <f>$D23/1000000*'Prod &amp; Defects - Qty'!Q$7</f>
        <v>#N/A</v>
      </c>
      <c r="P23" s="514" t="e">
        <f>$D23/1000000*'Prod &amp; Defects - Qty'!R$7</f>
        <v>#N/A</v>
      </c>
      <c r="Q23" s="524" t="e">
        <f t="shared" si="1"/>
        <v>#N/A</v>
      </c>
      <c r="R23" s="90" t="e">
        <f>Q23/SUM('Prod &amp; Defects - Qty'!$G$7:$L$7)*1000000</f>
        <v>#N/A</v>
      </c>
      <c r="S23" s="90" t="e">
        <f t="shared" si="2"/>
        <v>#N/A</v>
      </c>
      <c r="T23" s="90" t="e">
        <f>S23/SUM('Prod &amp; Defects - Qty'!$M$7:$R$7)*1000000</f>
        <v>#N/A</v>
      </c>
      <c r="U23" s="90" t="e">
        <f t="shared" si="3"/>
        <v>#N/A</v>
      </c>
      <c r="V23" s="90" t="e">
        <f>U23/'Prod &amp; Defects - Qty'!$S$7*1000000</f>
        <v>#N/A</v>
      </c>
      <c r="W23" s="90" t="e">
        <f t="shared" si="0"/>
        <v>#N/A</v>
      </c>
      <c r="X23" s="90" t="e">
        <f t="shared" si="0"/>
        <v>#N/A</v>
      </c>
      <c r="Y23" s="90" t="e">
        <f t="shared" si="4"/>
        <v>#N/A</v>
      </c>
      <c r="Z23" s="525" t="e">
        <f t="shared" si="8"/>
        <v>#N/A</v>
      </c>
    </row>
    <row r="24" spans="1:26" ht="18" customHeight="1">
      <c r="A24" s="783"/>
      <c r="B24" s="209">
        <f t="shared" ref="B24:B36" si="9">B23+5</f>
        <v>3150</v>
      </c>
      <c r="C24" s="97" t="s">
        <v>121</v>
      </c>
      <c r="D24" s="402">
        <f>'[3]Falhas UM-3-2 Qty'!Z24</f>
        <v>5.8365136045060781</v>
      </c>
      <c r="E24" s="98" t="e">
        <f>$D24/1000000*'Prod &amp; Defects - Qty'!G$7</f>
        <v>#N/A</v>
      </c>
      <c r="F24" s="98" t="e">
        <f>$D24/1000000*'Prod &amp; Defects - Qty'!H$7</f>
        <v>#N/A</v>
      </c>
      <c r="G24" s="98" t="e">
        <f>$D24/1000000*'Prod &amp; Defects - Qty'!I$7</f>
        <v>#N/A</v>
      </c>
      <c r="H24" s="98" t="e">
        <f>$D24/1000000*'Prod &amp; Defects - Qty'!J$7</f>
        <v>#N/A</v>
      </c>
      <c r="I24" s="98" t="e">
        <f>$D24/1000000*'Prod &amp; Defects - Qty'!K$7</f>
        <v>#N/A</v>
      </c>
      <c r="J24" s="98" t="e">
        <f>$D24/1000000*'Prod &amp; Defects - Qty'!L$7</f>
        <v>#N/A</v>
      </c>
      <c r="K24" s="98" t="e">
        <f>$D24/1000000*'Prod &amp; Defects - Qty'!M$7</f>
        <v>#N/A</v>
      </c>
      <c r="L24" s="98" t="e">
        <f>$D24/1000000*'Prod &amp; Defects - Qty'!N$7</f>
        <v>#N/A</v>
      </c>
      <c r="M24" s="98" t="e">
        <f>$D24/1000000*'Prod &amp; Defects - Qty'!O$7</f>
        <v>#N/A</v>
      </c>
      <c r="N24" s="98" t="e">
        <f>$D24/1000000*'Prod &amp; Defects - Qty'!P$7</f>
        <v>#N/A</v>
      </c>
      <c r="O24" s="98" t="e">
        <f>$D24/1000000*'Prod &amp; Defects - Qty'!Q$7</f>
        <v>#N/A</v>
      </c>
      <c r="P24" s="517" t="e">
        <f>$D24/1000000*'Prod &amp; Defects - Qty'!R$7</f>
        <v>#N/A</v>
      </c>
      <c r="Q24" s="532" t="e">
        <f t="shared" si="1"/>
        <v>#N/A</v>
      </c>
      <c r="R24" s="98" t="e">
        <f>Q24/SUM('Prod &amp; Defects - Qty'!$G$7:$L$7)*1000000</f>
        <v>#N/A</v>
      </c>
      <c r="S24" s="98" t="e">
        <f t="shared" si="2"/>
        <v>#N/A</v>
      </c>
      <c r="T24" s="98" t="e">
        <f>S24/SUM('Prod &amp; Defects - Qty'!$M$7:$R$7)*1000000</f>
        <v>#N/A</v>
      </c>
      <c r="U24" s="98" t="e">
        <f t="shared" si="3"/>
        <v>#N/A</v>
      </c>
      <c r="V24" s="98" t="e">
        <f>U24/'Prod &amp; Defects - Qty'!$S$7*1000000</f>
        <v>#N/A</v>
      </c>
      <c r="W24" s="98" t="e">
        <f t="shared" si="0"/>
        <v>#N/A</v>
      </c>
      <c r="X24" s="98" t="e">
        <f t="shared" si="0"/>
        <v>#N/A</v>
      </c>
      <c r="Y24" s="98" t="e">
        <f t="shared" si="4"/>
        <v>#N/A</v>
      </c>
      <c r="Z24" s="533" t="e">
        <f t="shared" si="8"/>
        <v>#N/A</v>
      </c>
    </row>
    <row r="25" spans="1:26" ht="18" customHeight="1">
      <c r="A25" s="783"/>
      <c r="B25" s="88">
        <f t="shared" si="9"/>
        <v>3155</v>
      </c>
      <c r="C25" s="89" t="s">
        <v>124</v>
      </c>
      <c r="D25" s="398">
        <f>'[3]Falhas UM-3-2 Qty'!Z25</f>
        <v>10.735200256982235</v>
      </c>
      <c r="E25" s="90" t="e">
        <f>$D25/1000000*'Prod &amp; Defects - Qty'!G$7</f>
        <v>#N/A</v>
      </c>
      <c r="F25" s="90" t="e">
        <f>$D25/1000000*'Prod &amp; Defects - Qty'!H$7</f>
        <v>#N/A</v>
      </c>
      <c r="G25" s="90" t="e">
        <f>$D25/1000000*'Prod &amp; Defects - Qty'!I$7</f>
        <v>#N/A</v>
      </c>
      <c r="H25" s="90" t="e">
        <f>$D25/1000000*'Prod &amp; Defects - Qty'!J$7</f>
        <v>#N/A</v>
      </c>
      <c r="I25" s="90" t="e">
        <f>$D25/1000000*'Prod &amp; Defects - Qty'!K$7</f>
        <v>#N/A</v>
      </c>
      <c r="J25" s="90" t="e">
        <f>$D25/1000000*'Prod &amp; Defects - Qty'!L$7</f>
        <v>#N/A</v>
      </c>
      <c r="K25" s="90" t="e">
        <f>$D25/1000000*'Prod &amp; Defects - Qty'!M$7</f>
        <v>#N/A</v>
      </c>
      <c r="L25" s="90" t="e">
        <f>$D25/1000000*'Prod &amp; Defects - Qty'!N$7</f>
        <v>#N/A</v>
      </c>
      <c r="M25" s="90" t="e">
        <f>$D25/1000000*'Prod &amp; Defects - Qty'!O$7</f>
        <v>#N/A</v>
      </c>
      <c r="N25" s="90" t="e">
        <f>$D25/1000000*'Prod &amp; Defects - Qty'!P$7</f>
        <v>#N/A</v>
      </c>
      <c r="O25" s="90" t="e">
        <f>$D25/1000000*'Prod &amp; Defects - Qty'!Q$7</f>
        <v>#N/A</v>
      </c>
      <c r="P25" s="514" t="e">
        <f>$D25/1000000*'Prod &amp; Defects - Qty'!R$7</f>
        <v>#N/A</v>
      </c>
      <c r="Q25" s="524" t="e">
        <f t="shared" si="1"/>
        <v>#N/A</v>
      </c>
      <c r="R25" s="90" t="e">
        <f>Q25/SUM('Prod &amp; Defects - Qty'!$G$7:$L$7)*1000000</f>
        <v>#N/A</v>
      </c>
      <c r="S25" s="90" t="e">
        <f t="shared" si="2"/>
        <v>#N/A</v>
      </c>
      <c r="T25" s="90" t="e">
        <f>S25/SUM('Prod &amp; Defects - Qty'!$M$7:$R$7)*1000000</f>
        <v>#N/A</v>
      </c>
      <c r="U25" s="90" t="e">
        <f t="shared" si="3"/>
        <v>#N/A</v>
      </c>
      <c r="V25" s="90" t="e">
        <f>U25/'Prod &amp; Defects - Qty'!$S$7*1000000</f>
        <v>#N/A</v>
      </c>
      <c r="W25" s="90" t="e">
        <f t="shared" si="0"/>
        <v>#N/A</v>
      </c>
      <c r="X25" s="90" t="e">
        <f t="shared" si="0"/>
        <v>#N/A</v>
      </c>
      <c r="Y25" s="90" t="e">
        <f t="shared" si="4"/>
        <v>#N/A</v>
      </c>
      <c r="Z25" s="525" t="e">
        <f t="shared" si="8"/>
        <v>#N/A</v>
      </c>
    </row>
    <row r="26" spans="1:26" ht="18" customHeight="1">
      <c r="A26" s="783"/>
      <c r="B26" s="88">
        <f t="shared" si="9"/>
        <v>3160</v>
      </c>
      <c r="C26" s="96" t="s">
        <v>135</v>
      </c>
      <c r="D26" s="398">
        <f>'[3]Falhas UM-3-2 Qty'!Z26</f>
        <v>0.75562207399092995</v>
      </c>
      <c r="E26" s="90" t="e">
        <f>$D26/1000000*'Prod &amp; Defects - Qty'!G$7</f>
        <v>#N/A</v>
      </c>
      <c r="F26" s="90" t="e">
        <f>$D26/1000000*'Prod &amp; Defects - Qty'!H$7</f>
        <v>#N/A</v>
      </c>
      <c r="G26" s="90" t="e">
        <f>$D26/1000000*'Prod &amp; Defects - Qty'!I$7</f>
        <v>#N/A</v>
      </c>
      <c r="H26" s="90" t="e">
        <f>$D26/1000000*'Prod &amp; Defects - Qty'!J$7</f>
        <v>#N/A</v>
      </c>
      <c r="I26" s="90" t="e">
        <f>$D26/1000000*'Prod &amp; Defects - Qty'!K$7</f>
        <v>#N/A</v>
      </c>
      <c r="J26" s="90" t="e">
        <f>$D26/1000000*'Prod &amp; Defects - Qty'!L$7</f>
        <v>#N/A</v>
      </c>
      <c r="K26" s="90" t="e">
        <f>$D26/1000000*'Prod &amp; Defects - Qty'!M$7</f>
        <v>#N/A</v>
      </c>
      <c r="L26" s="90" t="e">
        <f>$D26/1000000*'Prod &amp; Defects - Qty'!N$7</f>
        <v>#N/A</v>
      </c>
      <c r="M26" s="90" t="e">
        <f>$D26/1000000*'Prod &amp; Defects - Qty'!O$7</f>
        <v>#N/A</v>
      </c>
      <c r="N26" s="90" t="e">
        <f>$D26/1000000*'Prod &amp; Defects - Qty'!P$7</f>
        <v>#N/A</v>
      </c>
      <c r="O26" s="90" t="e">
        <f>$D26/1000000*'Prod &amp; Defects - Qty'!Q$7</f>
        <v>#N/A</v>
      </c>
      <c r="P26" s="514" t="e">
        <f>$D26/1000000*'Prod &amp; Defects - Qty'!R$7</f>
        <v>#N/A</v>
      </c>
      <c r="Q26" s="524" t="e">
        <f t="shared" si="1"/>
        <v>#N/A</v>
      </c>
      <c r="R26" s="90" t="e">
        <f>Q26/SUM('Prod &amp; Defects - Qty'!$G$7:$L$7)*1000000</f>
        <v>#N/A</v>
      </c>
      <c r="S26" s="90" t="e">
        <f t="shared" si="2"/>
        <v>#N/A</v>
      </c>
      <c r="T26" s="90" t="e">
        <f>S26/SUM('Prod &amp; Defects - Qty'!$M$7:$R$7)*1000000</f>
        <v>#N/A</v>
      </c>
      <c r="U26" s="90" t="e">
        <f t="shared" si="3"/>
        <v>#N/A</v>
      </c>
      <c r="V26" s="90" t="e">
        <f>U26/'Prod &amp; Defects - Qty'!$S$7*1000000</f>
        <v>#N/A</v>
      </c>
      <c r="W26" s="90" t="e">
        <f t="shared" si="0"/>
        <v>#N/A</v>
      </c>
      <c r="X26" s="90" t="e">
        <f t="shared" si="0"/>
        <v>#N/A</v>
      </c>
      <c r="Y26" s="90" t="e">
        <f t="shared" si="4"/>
        <v>#N/A</v>
      </c>
      <c r="Z26" s="525" t="e">
        <f t="shared" si="8"/>
        <v>#N/A</v>
      </c>
    </row>
    <row r="27" spans="1:26" ht="18" customHeight="1">
      <c r="A27" s="783"/>
      <c r="B27" s="88">
        <f t="shared" si="9"/>
        <v>3165</v>
      </c>
      <c r="C27" s="96" t="s">
        <v>136</v>
      </c>
      <c r="D27" s="398">
        <f>'[3]Falhas UM-3-2 Qty'!Z27</f>
        <v>2.1140085766971184E-2</v>
      </c>
      <c r="E27" s="90" t="e">
        <f>$D27/1000000*'Prod &amp; Defects - Qty'!G$7</f>
        <v>#N/A</v>
      </c>
      <c r="F27" s="90" t="e">
        <f>$D27/1000000*'Prod &amp; Defects - Qty'!H$7</f>
        <v>#N/A</v>
      </c>
      <c r="G27" s="90" t="e">
        <f>$D27/1000000*'Prod &amp; Defects - Qty'!I$7</f>
        <v>#N/A</v>
      </c>
      <c r="H27" s="90" t="e">
        <f>$D27/1000000*'Prod &amp; Defects - Qty'!J$7</f>
        <v>#N/A</v>
      </c>
      <c r="I27" s="90" t="e">
        <f>$D27/1000000*'Prod &amp; Defects - Qty'!K$7</f>
        <v>#N/A</v>
      </c>
      <c r="J27" s="90" t="e">
        <f>$D27/1000000*'Prod &amp; Defects - Qty'!L$7</f>
        <v>#N/A</v>
      </c>
      <c r="K27" s="90" t="e">
        <f>$D27/1000000*'Prod &amp; Defects - Qty'!M$7</f>
        <v>#N/A</v>
      </c>
      <c r="L27" s="90" t="e">
        <f>$D27/1000000*'Prod &amp; Defects - Qty'!N$7</f>
        <v>#N/A</v>
      </c>
      <c r="M27" s="90" t="e">
        <f>$D27/1000000*'Prod &amp; Defects - Qty'!O$7</f>
        <v>#N/A</v>
      </c>
      <c r="N27" s="90" t="e">
        <f>$D27/1000000*'Prod &amp; Defects - Qty'!P$7</f>
        <v>#N/A</v>
      </c>
      <c r="O27" s="90" t="e">
        <f>$D27/1000000*'Prod &amp; Defects - Qty'!Q$7</f>
        <v>#N/A</v>
      </c>
      <c r="P27" s="514" t="e">
        <f>$D27/1000000*'Prod &amp; Defects - Qty'!R$7</f>
        <v>#N/A</v>
      </c>
      <c r="Q27" s="524" t="e">
        <f t="shared" si="1"/>
        <v>#N/A</v>
      </c>
      <c r="R27" s="90" t="e">
        <f>Q27/SUM('Prod &amp; Defects - Qty'!$G$7:$L$7)*1000000</f>
        <v>#N/A</v>
      </c>
      <c r="S27" s="90" t="e">
        <f t="shared" si="2"/>
        <v>#N/A</v>
      </c>
      <c r="T27" s="90" t="e">
        <f>S27/SUM('Prod &amp; Defects - Qty'!$M$7:$R$7)*1000000</f>
        <v>#N/A</v>
      </c>
      <c r="U27" s="90" t="e">
        <f t="shared" si="3"/>
        <v>#N/A</v>
      </c>
      <c r="V27" s="90" t="e">
        <f>U27/'Prod &amp; Defects - Qty'!$S$7*1000000</f>
        <v>#N/A</v>
      </c>
      <c r="W27" s="90" t="e">
        <f t="shared" ref="W27:X46" si="10">V27*$AA$7</f>
        <v>#N/A</v>
      </c>
      <c r="X27" s="90" t="e">
        <f t="shared" si="10"/>
        <v>#N/A</v>
      </c>
      <c r="Y27" s="90" t="e">
        <f t="shared" si="4"/>
        <v>#N/A</v>
      </c>
      <c r="Z27" s="525" t="e">
        <f t="shared" si="8"/>
        <v>#N/A</v>
      </c>
    </row>
    <row r="28" spans="1:26" ht="18" customHeight="1">
      <c r="A28" s="783"/>
      <c r="B28" s="88">
        <f t="shared" si="9"/>
        <v>3170</v>
      </c>
      <c r="C28" s="96" t="s">
        <v>137</v>
      </c>
      <c r="D28" s="398">
        <f>'[3]Falhas UM-3-2 Qty'!Z28</f>
        <v>76.698687636035956</v>
      </c>
      <c r="E28" s="90" t="e">
        <f>$D28/1000000*'Prod &amp; Defects - Qty'!G$7</f>
        <v>#N/A</v>
      </c>
      <c r="F28" s="90" t="e">
        <f>$D28/1000000*'Prod &amp; Defects - Qty'!H$7</f>
        <v>#N/A</v>
      </c>
      <c r="G28" s="90" t="e">
        <f>$D28/1000000*'Prod &amp; Defects - Qty'!I$7</f>
        <v>#N/A</v>
      </c>
      <c r="H28" s="90" t="e">
        <f>$D28/1000000*'Prod &amp; Defects - Qty'!J$7</f>
        <v>#N/A</v>
      </c>
      <c r="I28" s="90" t="e">
        <f>$D28/1000000*'Prod &amp; Defects - Qty'!K$7</f>
        <v>#N/A</v>
      </c>
      <c r="J28" s="90" t="e">
        <f>$D28/1000000*'Prod &amp; Defects - Qty'!L$7</f>
        <v>#N/A</v>
      </c>
      <c r="K28" s="90" t="e">
        <f>$D28/1000000*'Prod &amp; Defects - Qty'!M$7</f>
        <v>#N/A</v>
      </c>
      <c r="L28" s="90" t="e">
        <f>$D28/1000000*'Prod &amp; Defects - Qty'!N$7</f>
        <v>#N/A</v>
      </c>
      <c r="M28" s="90" t="e">
        <f>$D28/1000000*'Prod &amp; Defects - Qty'!O$7</f>
        <v>#N/A</v>
      </c>
      <c r="N28" s="90" t="e">
        <f>$D28/1000000*'Prod &amp; Defects - Qty'!P$7</f>
        <v>#N/A</v>
      </c>
      <c r="O28" s="90" t="e">
        <f>$D28/1000000*'Prod &amp; Defects - Qty'!Q$7</f>
        <v>#N/A</v>
      </c>
      <c r="P28" s="514" t="e">
        <f>$D28/1000000*'Prod &amp; Defects - Qty'!R$7</f>
        <v>#N/A</v>
      </c>
      <c r="Q28" s="524" t="e">
        <f t="shared" si="1"/>
        <v>#N/A</v>
      </c>
      <c r="R28" s="90" t="e">
        <f>Q28/SUM('Prod &amp; Defects - Qty'!$G$7:$L$7)*1000000</f>
        <v>#N/A</v>
      </c>
      <c r="S28" s="90" t="e">
        <f t="shared" si="2"/>
        <v>#N/A</v>
      </c>
      <c r="T28" s="90" t="e">
        <f>S28/SUM('Prod &amp; Defects - Qty'!$M$7:$R$7)*1000000</f>
        <v>#N/A</v>
      </c>
      <c r="U28" s="90" t="e">
        <f t="shared" si="3"/>
        <v>#N/A</v>
      </c>
      <c r="V28" s="90" t="e">
        <f>U28/'Prod &amp; Defects - Qty'!$S$7*1000000</f>
        <v>#N/A</v>
      </c>
      <c r="W28" s="90" t="e">
        <f t="shared" si="10"/>
        <v>#N/A</v>
      </c>
      <c r="X28" s="90" t="e">
        <f t="shared" si="10"/>
        <v>#N/A</v>
      </c>
      <c r="Y28" s="90" t="e">
        <f t="shared" si="4"/>
        <v>#N/A</v>
      </c>
      <c r="Z28" s="525" t="e">
        <f t="shared" si="8"/>
        <v>#N/A</v>
      </c>
    </row>
    <row r="29" spans="1:26" ht="18" customHeight="1">
      <c r="A29" s="783"/>
      <c r="B29" s="88">
        <f t="shared" si="9"/>
        <v>3175</v>
      </c>
      <c r="C29" s="96" t="s">
        <v>138</v>
      </c>
      <c r="D29" s="398">
        <f>'[3]Falhas UM-3-2 Qty'!Z29</f>
        <v>0.10606912492956626</v>
      </c>
      <c r="E29" s="90" t="e">
        <f>$D29/1000000*'Prod &amp; Defects - Qty'!G$7</f>
        <v>#N/A</v>
      </c>
      <c r="F29" s="90" t="e">
        <f>$D29/1000000*'Prod &amp; Defects - Qty'!H$7</f>
        <v>#N/A</v>
      </c>
      <c r="G29" s="90" t="e">
        <f>$D29/1000000*'Prod &amp; Defects - Qty'!I$7</f>
        <v>#N/A</v>
      </c>
      <c r="H29" s="90" t="e">
        <f>$D29/1000000*'Prod &amp; Defects - Qty'!J$7</f>
        <v>#N/A</v>
      </c>
      <c r="I29" s="90" t="e">
        <f>$D29/1000000*'Prod &amp; Defects - Qty'!K$7</f>
        <v>#N/A</v>
      </c>
      <c r="J29" s="90" t="e">
        <f>$D29/1000000*'Prod &amp; Defects - Qty'!L$7</f>
        <v>#N/A</v>
      </c>
      <c r="K29" s="90" t="e">
        <f>$D29/1000000*'Prod &amp; Defects - Qty'!M$7</f>
        <v>#N/A</v>
      </c>
      <c r="L29" s="90" t="e">
        <f>$D29/1000000*'Prod &amp; Defects - Qty'!N$7</f>
        <v>#N/A</v>
      </c>
      <c r="M29" s="90" t="e">
        <f>$D29/1000000*'Prod &amp; Defects - Qty'!O$7</f>
        <v>#N/A</v>
      </c>
      <c r="N29" s="90" t="e">
        <f>$D29/1000000*'Prod &amp; Defects - Qty'!P$7</f>
        <v>#N/A</v>
      </c>
      <c r="O29" s="90" t="e">
        <f>$D29/1000000*'Prod &amp; Defects - Qty'!Q$7</f>
        <v>#N/A</v>
      </c>
      <c r="P29" s="514" t="e">
        <f>$D29/1000000*'Prod &amp; Defects - Qty'!R$7</f>
        <v>#N/A</v>
      </c>
      <c r="Q29" s="524" t="e">
        <f t="shared" si="1"/>
        <v>#N/A</v>
      </c>
      <c r="R29" s="90" t="e">
        <f>Q29/SUM('Prod &amp; Defects - Qty'!$G$7:$L$7)*1000000</f>
        <v>#N/A</v>
      </c>
      <c r="S29" s="90" t="e">
        <f t="shared" si="2"/>
        <v>#N/A</v>
      </c>
      <c r="T29" s="90" t="e">
        <f>S29/SUM('Prod &amp; Defects - Qty'!$M$7:$R$7)*1000000</f>
        <v>#N/A</v>
      </c>
      <c r="U29" s="90" t="e">
        <f t="shared" si="3"/>
        <v>#N/A</v>
      </c>
      <c r="V29" s="90" t="e">
        <f>U29/'Prod &amp; Defects - Qty'!$S$7*1000000</f>
        <v>#N/A</v>
      </c>
      <c r="W29" s="90" t="e">
        <f t="shared" si="10"/>
        <v>#N/A</v>
      </c>
      <c r="X29" s="90" t="e">
        <f t="shared" si="10"/>
        <v>#N/A</v>
      </c>
      <c r="Y29" s="90" t="e">
        <f t="shared" si="4"/>
        <v>#N/A</v>
      </c>
      <c r="Z29" s="525" t="e">
        <f t="shared" si="8"/>
        <v>#N/A</v>
      </c>
    </row>
    <row r="30" spans="1:26" ht="18" customHeight="1">
      <c r="A30" s="783"/>
      <c r="B30" s="210">
        <f t="shared" si="9"/>
        <v>3180</v>
      </c>
      <c r="C30" s="99" t="s">
        <v>139</v>
      </c>
      <c r="D30" s="400">
        <f>'[3]Falhas UM-3-2 Qty'!Z30</f>
        <v>21.221374265562826</v>
      </c>
      <c r="E30" s="100" t="e">
        <f>$D30/1000000*'Prod &amp; Defects - Qty'!G$7</f>
        <v>#N/A</v>
      </c>
      <c r="F30" s="100" t="e">
        <f>$D30/1000000*'Prod &amp; Defects - Qty'!H$7</f>
        <v>#N/A</v>
      </c>
      <c r="G30" s="100" t="e">
        <f>$D30/1000000*'Prod &amp; Defects - Qty'!I$7</f>
        <v>#N/A</v>
      </c>
      <c r="H30" s="100" t="e">
        <f>$D30/1000000*'Prod &amp; Defects - Qty'!J$7</f>
        <v>#N/A</v>
      </c>
      <c r="I30" s="100" t="e">
        <f>$D30/1000000*'Prod &amp; Defects - Qty'!K$7</f>
        <v>#N/A</v>
      </c>
      <c r="J30" s="100" t="e">
        <f>$D30/1000000*'Prod &amp; Defects - Qty'!L$7</f>
        <v>#N/A</v>
      </c>
      <c r="K30" s="100" t="e">
        <f>$D30/1000000*'Prod &amp; Defects - Qty'!M$7</f>
        <v>#N/A</v>
      </c>
      <c r="L30" s="100" t="e">
        <f>$D30/1000000*'Prod &amp; Defects - Qty'!N$7</f>
        <v>#N/A</v>
      </c>
      <c r="M30" s="100" t="e">
        <f>$D30/1000000*'Prod &amp; Defects - Qty'!O$7</f>
        <v>#N/A</v>
      </c>
      <c r="N30" s="100" t="e">
        <f>$D30/1000000*'Prod &amp; Defects - Qty'!P$7</f>
        <v>#N/A</v>
      </c>
      <c r="O30" s="100" t="e">
        <f>$D30/1000000*'Prod &amp; Defects - Qty'!Q$7</f>
        <v>#N/A</v>
      </c>
      <c r="P30" s="516" t="e">
        <f>$D30/1000000*'Prod &amp; Defects - Qty'!R$7</f>
        <v>#N/A</v>
      </c>
      <c r="Q30" s="528" t="e">
        <f t="shared" si="1"/>
        <v>#N/A</v>
      </c>
      <c r="R30" s="100" t="e">
        <f>Q30/SUM('Prod &amp; Defects - Qty'!$G$7:$L$7)*1000000</f>
        <v>#N/A</v>
      </c>
      <c r="S30" s="100" t="e">
        <f t="shared" si="2"/>
        <v>#N/A</v>
      </c>
      <c r="T30" s="100" t="e">
        <f>S30/SUM('Prod &amp; Defects - Qty'!$M$7:$R$7)*1000000</f>
        <v>#N/A</v>
      </c>
      <c r="U30" s="100" t="e">
        <f t="shared" si="3"/>
        <v>#N/A</v>
      </c>
      <c r="V30" s="100" t="e">
        <f>U30/'Prod &amp; Defects - Qty'!$S$7*1000000</f>
        <v>#N/A</v>
      </c>
      <c r="W30" s="100" t="e">
        <f t="shared" si="10"/>
        <v>#N/A</v>
      </c>
      <c r="X30" s="100" t="e">
        <f t="shared" si="10"/>
        <v>#N/A</v>
      </c>
      <c r="Y30" s="100" t="e">
        <f t="shared" si="4"/>
        <v>#N/A</v>
      </c>
      <c r="Z30" s="529" t="e">
        <f t="shared" si="8"/>
        <v>#N/A</v>
      </c>
    </row>
    <row r="31" spans="1:26" ht="18" customHeight="1">
      <c r="A31" s="783"/>
      <c r="B31" s="211">
        <f t="shared" si="9"/>
        <v>3185</v>
      </c>
      <c r="C31" s="96" t="s">
        <v>140</v>
      </c>
      <c r="D31" s="399">
        <f>'[3]Falhas UM-3-2 Qty'!Z31</f>
        <v>36.779005353511891</v>
      </c>
      <c r="E31" s="101" t="e">
        <f>$D31/1000000*'Prod &amp; Defects - Qty'!G$7</f>
        <v>#N/A</v>
      </c>
      <c r="F31" s="101" t="e">
        <f>$D31/1000000*'Prod &amp; Defects - Qty'!H$7</f>
        <v>#N/A</v>
      </c>
      <c r="G31" s="101" t="e">
        <f>$D31/1000000*'Prod &amp; Defects - Qty'!I$7</f>
        <v>#N/A</v>
      </c>
      <c r="H31" s="101" t="e">
        <f>$D31/1000000*'Prod &amp; Defects - Qty'!J$7</f>
        <v>#N/A</v>
      </c>
      <c r="I31" s="101" t="e">
        <f>$D31/1000000*'Prod &amp; Defects - Qty'!K$7</f>
        <v>#N/A</v>
      </c>
      <c r="J31" s="101" t="e">
        <f>$D31/1000000*'Prod &amp; Defects - Qty'!L$7</f>
        <v>#N/A</v>
      </c>
      <c r="K31" s="101" t="e">
        <f>$D31/1000000*'Prod &amp; Defects - Qty'!M$7</f>
        <v>#N/A</v>
      </c>
      <c r="L31" s="101" t="e">
        <f>$D31/1000000*'Prod &amp; Defects - Qty'!N$7</f>
        <v>#N/A</v>
      </c>
      <c r="M31" s="101" t="e">
        <f>$D31/1000000*'Prod &amp; Defects - Qty'!O$7</f>
        <v>#N/A</v>
      </c>
      <c r="N31" s="101" t="e">
        <f>$D31/1000000*'Prod &amp; Defects - Qty'!P$7</f>
        <v>#N/A</v>
      </c>
      <c r="O31" s="101" t="e">
        <f>$D31/1000000*'Prod &amp; Defects - Qty'!Q$7</f>
        <v>#N/A</v>
      </c>
      <c r="P31" s="515" t="e">
        <f>$D31/1000000*'Prod &amp; Defects - Qty'!R$7</f>
        <v>#N/A</v>
      </c>
      <c r="Q31" s="526" t="e">
        <f t="shared" si="1"/>
        <v>#N/A</v>
      </c>
      <c r="R31" s="101" t="e">
        <f>Q31/SUM('Prod &amp; Defects - Qty'!$G$7:$L$7)*1000000</f>
        <v>#N/A</v>
      </c>
      <c r="S31" s="101" t="e">
        <f t="shared" si="2"/>
        <v>#N/A</v>
      </c>
      <c r="T31" s="101" t="e">
        <f>S31/SUM('Prod &amp; Defects - Qty'!$M$7:$R$7)*1000000</f>
        <v>#N/A</v>
      </c>
      <c r="U31" s="101" t="e">
        <f t="shared" si="3"/>
        <v>#N/A</v>
      </c>
      <c r="V31" s="101" t="e">
        <f>U31/'Prod &amp; Defects - Qty'!$S$7*1000000</f>
        <v>#N/A</v>
      </c>
      <c r="W31" s="101" t="e">
        <f t="shared" si="10"/>
        <v>#N/A</v>
      </c>
      <c r="X31" s="101" t="e">
        <f t="shared" si="10"/>
        <v>#N/A</v>
      </c>
      <c r="Y31" s="101" t="e">
        <f t="shared" si="4"/>
        <v>#N/A</v>
      </c>
      <c r="Z31" s="527" t="e">
        <f t="shared" si="8"/>
        <v>#N/A</v>
      </c>
    </row>
    <row r="32" spans="1:26" ht="18" customHeight="1">
      <c r="A32" s="783"/>
      <c r="B32" s="88">
        <f t="shared" si="9"/>
        <v>3190</v>
      </c>
      <c r="C32" s="96" t="s">
        <v>122</v>
      </c>
      <c r="D32" s="398">
        <f>'[3]Falhas UM-3-2 Qty'!Z32</f>
        <v>26.462024517167496</v>
      </c>
      <c r="E32" s="90" t="e">
        <f>$D32/1000000*'Prod &amp; Defects - Qty'!G$7</f>
        <v>#N/A</v>
      </c>
      <c r="F32" s="90" t="e">
        <f>$D32/1000000*'Prod &amp; Defects - Qty'!H$7</f>
        <v>#N/A</v>
      </c>
      <c r="G32" s="90" t="e">
        <f>$D32/1000000*'Prod &amp; Defects - Qty'!I$7</f>
        <v>#N/A</v>
      </c>
      <c r="H32" s="90" t="e">
        <f>$D32/1000000*'Prod &amp; Defects - Qty'!J$7</f>
        <v>#N/A</v>
      </c>
      <c r="I32" s="90" t="e">
        <f>$D32/1000000*'Prod &amp; Defects - Qty'!K$7</f>
        <v>#N/A</v>
      </c>
      <c r="J32" s="90" t="e">
        <f>$D32/1000000*'Prod &amp; Defects - Qty'!L$7</f>
        <v>#N/A</v>
      </c>
      <c r="K32" s="90" t="e">
        <f>$D32/1000000*'Prod &amp; Defects - Qty'!M$7</f>
        <v>#N/A</v>
      </c>
      <c r="L32" s="90" t="e">
        <f>$D32/1000000*'Prod &amp; Defects - Qty'!N$7</f>
        <v>#N/A</v>
      </c>
      <c r="M32" s="90" t="e">
        <f>$D32/1000000*'Prod &amp; Defects - Qty'!O$7</f>
        <v>#N/A</v>
      </c>
      <c r="N32" s="90" t="e">
        <f>$D32/1000000*'Prod &amp; Defects - Qty'!P$7</f>
        <v>#N/A</v>
      </c>
      <c r="O32" s="90" t="e">
        <f>$D32/1000000*'Prod &amp; Defects - Qty'!Q$7</f>
        <v>#N/A</v>
      </c>
      <c r="P32" s="514" t="e">
        <f>$D32/1000000*'Prod &amp; Defects - Qty'!R$7</f>
        <v>#N/A</v>
      </c>
      <c r="Q32" s="524" t="e">
        <f t="shared" si="1"/>
        <v>#N/A</v>
      </c>
      <c r="R32" s="90" t="e">
        <f>Q32/SUM('Prod &amp; Defects - Qty'!$G$7:$L$7)*1000000</f>
        <v>#N/A</v>
      </c>
      <c r="S32" s="90" t="e">
        <f t="shared" si="2"/>
        <v>#N/A</v>
      </c>
      <c r="T32" s="90" t="e">
        <f>S32/SUM('Prod &amp; Defects - Qty'!$M$7:$R$7)*1000000</f>
        <v>#N/A</v>
      </c>
      <c r="U32" s="90" t="e">
        <f t="shared" si="3"/>
        <v>#N/A</v>
      </c>
      <c r="V32" s="90" t="e">
        <f>U32/'Prod &amp; Defects - Qty'!$S$7*1000000</f>
        <v>#N/A</v>
      </c>
      <c r="W32" s="90" t="e">
        <f t="shared" si="10"/>
        <v>#N/A</v>
      </c>
      <c r="X32" s="90" t="e">
        <f t="shared" si="10"/>
        <v>#N/A</v>
      </c>
      <c r="Y32" s="90" t="e">
        <f t="shared" si="4"/>
        <v>#N/A</v>
      </c>
      <c r="Z32" s="525" t="e">
        <f t="shared" si="8"/>
        <v>#N/A</v>
      </c>
    </row>
    <row r="33" spans="1:26" ht="18" customHeight="1">
      <c r="A33" s="783"/>
      <c r="B33" s="88">
        <f t="shared" si="9"/>
        <v>3195</v>
      </c>
      <c r="C33" s="96" t="s">
        <v>141</v>
      </c>
      <c r="D33" s="398">
        <f>'[3]Falhas UM-3-2 Qty'!Z33</f>
        <v>2.6002305493374558</v>
      </c>
      <c r="E33" s="90" t="e">
        <f>$D33/1000000*'Prod &amp; Defects - Qty'!G$7</f>
        <v>#N/A</v>
      </c>
      <c r="F33" s="90" t="e">
        <f>$D33/1000000*'Prod &amp; Defects - Qty'!H$7</f>
        <v>#N/A</v>
      </c>
      <c r="G33" s="90" t="e">
        <f>$D33/1000000*'Prod &amp; Defects - Qty'!I$7</f>
        <v>#N/A</v>
      </c>
      <c r="H33" s="90" t="e">
        <f>$D33/1000000*'Prod &amp; Defects - Qty'!J$7</f>
        <v>#N/A</v>
      </c>
      <c r="I33" s="90" t="e">
        <f>$D33/1000000*'Prod &amp; Defects - Qty'!K$7</f>
        <v>#N/A</v>
      </c>
      <c r="J33" s="90" t="e">
        <f>$D33/1000000*'Prod &amp; Defects - Qty'!L$7</f>
        <v>#N/A</v>
      </c>
      <c r="K33" s="90" t="e">
        <f>$D33/1000000*'Prod &amp; Defects - Qty'!M$7</f>
        <v>#N/A</v>
      </c>
      <c r="L33" s="90" t="e">
        <f>$D33/1000000*'Prod &amp; Defects - Qty'!N$7</f>
        <v>#N/A</v>
      </c>
      <c r="M33" s="90" t="e">
        <f>$D33/1000000*'Prod &amp; Defects - Qty'!O$7</f>
        <v>#N/A</v>
      </c>
      <c r="N33" s="90" t="e">
        <f>$D33/1000000*'Prod &amp; Defects - Qty'!P$7</f>
        <v>#N/A</v>
      </c>
      <c r="O33" s="90" t="e">
        <f>$D33/1000000*'Prod &amp; Defects - Qty'!Q$7</f>
        <v>#N/A</v>
      </c>
      <c r="P33" s="514" t="e">
        <f>$D33/1000000*'Prod &amp; Defects - Qty'!R$7</f>
        <v>#N/A</v>
      </c>
      <c r="Q33" s="524" t="e">
        <f t="shared" si="1"/>
        <v>#N/A</v>
      </c>
      <c r="R33" s="90" t="e">
        <f>Q33/SUM('Prod &amp; Defects - Qty'!$G$7:$L$7)*1000000</f>
        <v>#N/A</v>
      </c>
      <c r="S33" s="90" t="e">
        <f t="shared" si="2"/>
        <v>#N/A</v>
      </c>
      <c r="T33" s="90" t="e">
        <f>S33/SUM('Prod &amp; Defects - Qty'!$M$7:$R$7)*1000000</f>
        <v>#N/A</v>
      </c>
      <c r="U33" s="90" t="e">
        <f t="shared" si="3"/>
        <v>#N/A</v>
      </c>
      <c r="V33" s="90" t="e">
        <f>U33/'Prod &amp; Defects - Qty'!$S$7*1000000</f>
        <v>#N/A</v>
      </c>
      <c r="W33" s="90" t="e">
        <f t="shared" si="10"/>
        <v>#N/A</v>
      </c>
      <c r="X33" s="90" t="e">
        <f t="shared" si="10"/>
        <v>#N/A</v>
      </c>
      <c r="Y33" s="90" t="e">
        <f t="shared" si="4"/>
        <v>#N/A</v>
      </c>
      <c r="Z33" s="525" t="e">
        <f t="shared" si="8"/>
        <v>#N/A</v>
      </c>
    </row>
    <row r="34" spans="1:26" ht="18" customHeight="1">
      <c r="A34" s="783"/>
      <c r="B34" s="88">
        <f t="shared" si="9"/>
        <v>3200</v>
      </c>
      <c r="C34" s="96" t="s">
        <v>123</v>
      </c>
      <c r="D34" s="398">
        <f>'[3]Falhas UM-3-2 Qty'!Z34</f>
        <v>10.11772780335631</v>
      </c>
      <c r="E34" s="90" t="e">
        <f>$D34/1000000*'Prod &amp; Defects - Qty'!G$7</f>
        <v>#N/A</v>
      </c>
      <c r="F34" s="90" t="e">
        <f>$D34/1000000*'Prod &amp; Defects - Qty'!H$7</f>
        <v>#N/A</v>
      </c>
      <c r="G34" s="90" t="e">
        <f>$D34/1000000*'Prod &amp; Defects - Qty'!I$7</f>
        <v>#N/A</v>
      </c>
      <c r="H34" s="90" t="e">
        <f>$D34/1000000*'Prod &amp; Defects - Qty'!J$7</f>
        <v>#N/A</v>
      </c>
      <c r="I34" s="90" t="e">
        <f>$D34/1000000*'Prod &amp; Defects - Qty'!K$7</f>
        <v>#N/A</v>
      </c>
      <c r="J34" s="90" t="e">
        <f>$D34/1000000*'Prod &amp; Defects - Qty'!L$7</f>
        <v>#N/A</v>
      </c>
      <c r="K34" s="90" t="e">
        <f>$D34/1000000*'Prod &amp; Defects - Qty'!M$7</f>
        <v>#N/A</v>
      </c>
      <c r="L34" s="90" t="e">
        <f>$D34/1000000*'Prod &amp; Defects - Qty'!N$7</f>
        <v>#N/A</v>
      </c>
      <c r="M34" s="90" t="e">
        <f>$D34/1000000*'Prod &amp; Defects - Qty'!O$7</f>
        <v>#N/A</v>
      </c>
      <c r="N34" s="90" t="e">
        <f>$D34/1000000*'Prod &amp; Defects - Qty'!P$7</f>
        <v>#N/A</v>
      </c>
      <c r="O34" s="90" t="e">
        <f>$D34/1000000*'Prod &amp; Defects - Qty'!Q$7</f>
        <v>#N/A</v>
      </c>
      <c r="P34" s="514" t="e">
        <f>$D34/1000000*'Prod &amp; Defects - Qty'!R$7</f>
        <v>#N/A</v>
      </c>
      <c r="Q34" s="524" t="e">
        <f t="shared" si="1"/>
        <v>#N/A</v>
      </c>
      <c r="R34" s="90" t="e">
        <f>Q34/SUM('Prod &amp; Defects - Qty'!$G$7:$L$7)*1000000</f>
        <v>#N/A</v>
      </c>
      <c r="S34" s="90" t="e">
        <f t="shared" si="2"/>
        <v>#N/A</v>
      </c>
      <c r="T34" s="90" t="e">
        <f>S34/SUM('Prod &amp; Defects - Qty'!$M$7:$R$7)*1000000</f>
        <v>#N/A</v>
      </c>
      <c r="U34" s="90" t="e">
        <f t="shared" si="3"/>
        <v>#N/A</v>
      </c>
      <c r="V34" s="90" t="e">
        <f>U34/'Prod &amp; Defects - Qty'!$S$7*1000000</f>
        <v>#N/A</v>
      </c>
      <c r="W34" s="90" t="e">
        <f t="shared" si="10"/>
        <v>#N/A</v>
      </c>
      <c r="X34" s="90" t="e">
        <f t="shared" si="10"/>
        <v>#N/A</v>
      </c>
      <c r="Y34" s="90" t="e">
        <f t="shared" si="4"/>
        <v>#N/A</v>
      </c>
      <c r="Z34" s="525" t="e">
        <f t="shared" si="8"/>
        <v>#N/A</v>
      </c>
    </row>
    <row r="35" spans="1:26" ht="18" customHeight="1">
      <c r="A35" s="783"/>
      <c r="B35" s="88">
        <f t="shared" si="9"/>
        <v>3205</v>
      </c>
      <c r="C35" s="96" t="s">
        <v>142</v>
      </c>
      <c r="D35" s="398">
        <f>'[3]Falhas UM-3-2 Qty'!Z35</f>
        <v>21.651663582104774</v>
      </c>
      <c r="E35" s="90" t="e">
        <f>$D35/1000000*'Prod &amp; Defects - Qty'!G$7</f>
        <v>#N/A</v>
      </c>
      <c r="F35" s="90" t="e">
        <f>$D35/1000000*'Prod &amp; Defects - Qty'!H$7</f>
        <v>#N/A</v>
      </c>
      <c r="G35" s="90" t="e">
        <f>$D35/1000000*'Prod &amp; Defects - Qty'!I$7</f>
        <v>#N/A</v>
      </c>
      <c r="H35" s="90" t="e">
        <f>$D35/1000000*'Prod &amp; Defects - Qty'!J$7</f>
        <v>#N/A</v>
      </c>
      <c r="I35" s="90" t="e">
        <f>$D35/1000000*'Prod &amp; Defects - Qty'!K$7</f>
        <v>#N/A</v>
      </c>
      <c r="J35" s="90" t="e">
        <f>$D35/1000000*'Prod &amp; Defects - Qty'!L$7</f>
        <v>#N/A</v>
      </c>
      <c r="K35" s="90" t="e">
        <f>$D35/1000000*'Prod &amp; Defects - Qty'!M$7</f>
        <v>#N/A</v>
      </c>
      <c r="L35" s="90" t="e">
        <f>$D35/1000000*'Prod &amp; Defects - Qty'!N$7</f>
        <v>#N/A</v>
      </c>
      <c r="M35" s="90" t="e">
        <f>$D35/1000000*'Prod &amp; Defects - Qty'!O$7</f>
        <v>#N/A</v>
      </c>
      <c r="N35" s="90" t="e">
        <f>$D35/1000000*'Prod &amp; Defects - Qty'!P$7</f>
        <v>#N/A</v>
      </c>
      <c r="O35" s="90" t="e">
        <f>$D35/1000000*'Prod &amp; Defects - Qty'!Q$7</f>
        <v>#N/A</v>
      </c>
      <c r="P35" s="514" t="e">
        <f>$D35/1000000*'Prod &amp; Defects - Qty'!R$7</f>
        <v>#N/A</v>
      </c>
      <c r="Q35" s="524" t="e">
        <f t="shared" si="1"/>
        <v>#N/A</v>
      </c>
      <c r="R35" s="90" t="e">
        <f>Q35/SUM('Prod &amp; Defects - Qty'!$G$7:$L$7)*1000000</f>
        <v>#N/A</v>
      </c>
      <c r="S35" s="90" t="e">
        <f t="shared" si="2"/>
        <v>#N/A</v>
      </c>
      <c r="T35" s="90" t="e">
        <f>S35/SUM('Prod &amp; Defects - Qty'!$M$7:$R$7)*1000000</f>
        <v>#N/A</v>
      </c>
      <c r="U35" s="90" t="e">
        <f t="shared" si="3"/>
        <v>#N/A</v>
      </c>
      <c r="V35" s="90" t="e">
        <f>U35/'Prod &amp; Defects - Qty'!$S$7*1000000</f>
        <v>#N/A</v>
      </c>
      <c r="W35" s="90" t="e">
        <f t="shared" si="10"/>
        <v>#N/A</v>
      </c>
      <c r="X35" s="90" t="e">
        <f t="shared" si="10"/>
        <v>#N/A</v>
      </c>
      <c r="Y35" s="90" t="e">
        <f t="shared" si="4"/>
        <v>#N/A</v>
      </c>
      <c r="Z35" s="525" t="e">
        <f t="shared" si="8"/>
        <v>#N/A</v>
      </c>
    </row>
    <row r="36" spans="1:26" ht="18" customHeight="1">
      <c r="A36" s="783"/>
      <c r="B36" s="88">
        <f t="shared" si="9"/>
        <v>3210</v>
      </c>
      <c r="C36" s="96" t="s">
        <v>125</v>
      </c>
      <c r="D36" s="398">
        <f>'[3]Falhas UM-3-2 Qty'!Z36</f>
        <v>60.391544703715418</v>
      </c>
      <c r="E36" s="90" t="e">
        <f>$D36/1000000*'Prod &amp; Defects - Qty'!G$7</f>
        <v>#N/A</v>
      </c>
      <c r="F36" s="90" t="e">
        <f>$D36/1000000*'Prod &amp; Defects - Qty'!H$7</f>
        <v>#N/A</v>
      </c>
      <c r="G36" s="90" t="e">
        <f>$D36/1000000*'Prod &amp; Defects - Qty'!I$7</f>
        <v>#N/A</v>
      </c>
      <c r="H36" s="90" t="e">
        <f>$D36/1000000*'Prod &amp; Defects - Qty'!J$7</f>
        <v>#N/A</v>
      </c>
      <c r="I36" s="90" t="e">
        <f>$D36/1000000*'Prod &amp; Defects - Qty'!K$7</f>
        <v>#N/A</v>
      </c>
      <c r="J36" s="90" t="e">
        <f>$D36/1000000*'Prod &amp; Defects - Qty'!L$7</f>
        <v>#N/A</v>
      </c>
      <c r="K36" s="90" t="e">
        <f>$D36/1000000*'Prod &amp; Defects - Qty'!M$7</f>
        <v>#N/A</v>
      </c>
      <c r="L36" s="90" t="e">
        <f>$D36/1000000*'Prod &amp; Defects - Qty'!N$7</f>
        <v>#N/A</v>
      </c>
      <c r="M36" s="90" t="e">
        <f>$D36/1000000*'Prod &amp; Defects - Qty'!O$7</f>
        <v>#N/A</v>
      </c>
      <c r="N36" s="90" t="e">
        <f>$D36/1000000*'Prod &amp; Defects - Qty'!P$7</f>
        <v>#N/A</v>
      </c>
      <c r="O36" s="90" t="e">
        <f>$D36/1000000*'Prod &amp; Defects - Qty'!Q$7</f>
        <v>#N/A</v>
      </c>
      <c r="P36" s="514" t="e">
        <f>$D36/1000000*'Prod &amp; Defects - Qty'!R$7</f>
        <v>#N/A</v>
      </c>
      <c r="Q36" s="524" t="e">
        <f t="shared" si="1"/>
        <v>#N/A</v>
      </c>
      <c r="R36" s="90" t="e">
        <f>Q36/SUM('Prod &amp; Defects - Qty'!$G$7:$L$7)*1000000</f>
        <v>#N/A</v>
      </c>
      <c r="S36" s="90" t="e">
        <f t="shared" si="2"/>
        <v>#N/A</v>
      </c>
      <c r="T36" s="90" t="e">
        <f>S36/SUM('Prod &amp; Defects - Qty'!$M$7:$R$7)*1000000</f>
        <v>#N/A</v>
      </c>
      <c r="U36" s="90" t="e">
        <f t="shared" si="3"/>
        <v>#N/A</v>
      </c>
      <c r="V36" s="90" t="e">
        <f>U36/'Prod &amp; Defects - Qty'!$S$7*1000000</f>
        <v>#N/A</v>
      </c>
      <c r="W36" s="90" t="e">
        <f t="shared" si="10"/>
        <v>#N/A</v>
      </c>
      <c r="X36" s="90" t="e">
        <f t="shared" si="10"/>
        <v>#N/A</v>
      </c>
      <c r="Y36" s="90" t="e">
        <f t="shared" si="4"/>
        <v>#N/A</v>
      </c>
      <c r="Z36" s="525" t="e">
        <f t="shared" si="8"/>
        <v>#N/A</v>
      </c>
    </row>
    <row r="37" spans="1:26" ht="18" customHeight="1" thickBot="1">
      <c r="A37" s="784"/>
      <c r="B37" s="94"/>
      <c r="C37" s="95" t="s">
        <v>1</v>
      </c>
      <c r="D37" s="95">
        <f>'[3]Falhas UM-3-2 Qty'!Z37</f>
        <v>332.35554051766576</v>
      </c>
      <c r="E37" s="93" t="e">
        <f t="shared" ref="E37:L37" si="11">SUM(E20:E36)</f>
        <v>#N/A</v>
      </c>
      <c r="F37" s="93" t="e">
        <f t="shared" si="11"/>
        <v>#N/A</v>
      </c>
      <c r="G37" s="93" t="e">
        <f t="shared" si="11"/>
        <v>#N/A</v>
      </c>
      <c r="H37" s="93" t="e">
        <f t="shared" si="11"/>
        <v>#N/A</v>
      </c>
      <c r="I37" s="93" t="e">
        <f t="shared" si="11"/>
        <v>#N/A</v>
      </c>
      <c r="J37" s="93" t="e">
        <f t="shared" si="11"/>
        <v>#N/A</v>
      </c>
      <c r="K37" s="93" t="e">
        <f t="shared" si="11"/>
        <v>#N/A</v>
      </c>
      <c r="L37" s="93" t="e">
        <f t="shared" si="11"/>
        <v>#N/A</v>
      </c>
      <c r="M37" s="93" t="e">
        <f>SUM(M20:M36)</f>
        <v>#N/A</v>
      </c>
      <c r="N37" s="93" t="e">
        <f>SUM(N20:N36)</f>
        <v>#N/A</v>
      </c>
      <c r="O37" s="93" t="e">
        <f>SUM(O20:O36)</f>
        <v>#N/A</v>
      </c>
      <c r="P37" s="93" t="e">
        <f>SUM(P20:P36)</f>
        <v>#N/A</v>
      </c>
      <c r="Q37" s="530" t="e">
        <f t="shared" si="1"/>
        <v>#N/A</v>
      </c>
      <c r="R37" s="93" t="e">
        <f>Q37/SUM('Prod &amp; Defects - Qty'!$G$7:$L$7)*1000000</f>
        <v>#N/A</v>
      </c>
      <c r="S37" s="93" t="e">
        <f t="shared" si="2"/>
        <v>#N/A</v>
      </c>
      <c r="T37" s="93" t="e">
        <f>S37/SUM('Prod &amp; Defects - Qty'!$M$7:$R$7)*1000000</f>
        <v>#N/A</v>
      </c>
      <c r="U37" s="93" t="e">
        <f t="shared" si="3"/>
        <v>#N/A</v>
      </c>
      <c r="V37" s="93" t="e">
        <f>U37/'Prod &amp; Defects - Qty'!$S$7*1000000</f>
        <v>#N/A</v>
      </c>
      <c r="W37" s="93" t="e">
        <f t="shared" si="10"/>
        <v>#N/A</v>
      </c>
      <c r="X37" s="93" t="e">
        <f t="shared" si="10"/>
        <v>#N/A</v>
      </c>
      <c r="Y37" s="93" t="e">
        <f t="shared" si="4"/>
        <v>#N/A</v>
      </c>
      <c r="Z37" s="531" t="e">
        <f>Y37*0.9</f>
        <v>#N/A</v>
      </c>
    </row>
    <row r="38" spans="1:26" ht="18" customHeight="1" thickTop="1">
      <c r="A38" s="785" t="s">
        <v>184</v>
      </c>
      <c r="B38" s="88">
        <f>B36+10</f>
        <v>3220</v>
      </c>
      <c r="C38" s="89" t="s">
        <v>19</v>
      </c>
      <c r="D38" s="398">
        <f>'[3]Falhas UM-3-2 Qty'!Z38</f>
        <v>4.0218777873519729</v>
      </c>
      <c r="E38" s="101" t="e">
        <f>$D38/1000000*'Prod &amp; Defects - Qty'!G$7</f>
        <v>#N/A</v>
      </c>
      <c r="F38" s="101" t="e">
        <f>$D38/1000000*'Prod &amp; Defects - Qty'!H$7</f>
        <v>#N/A</v>
      </c>
      <c r="G38" s="101" t="e">
        <f>$D38/1000000*'Prod &amp; Defects - Qty'!I$7</f>
        <v>#N/A</v>
      </c>
      <c r="H38" s="101" t="e">
        <f>$D38/1000000*'Prod &amp; Defects - Qty'!J$7</f>
        <v>#N/A</v>
      </c>
      <c r="I38" s="101" t="e">
        <f>$D38/1000000*'Prod &amp; Defects - Qty'!K$7</f>
        <v>#N/A</v>
      </c>
      <c r="J38" s="101" t="e">
        <f>$D38/1000000*'Prod &amp; Defects - Qty'!L$7</f>
        <v>#N/A</v>
      </c>
      <c r="K38" s="101" t="e">
        <f>$D38/1000000*'Prod &amp; Defects - Qty'!M$7</f>
        <v>#N/A</v>
      </c>
      <c r="L38" s="101" t="e">
        <f>$D38/1000000*'Prod &amp; Defects - Qty'!N$7</f>
        <v>#N/A</v>
      </c>
      <c r="M38" s="101" t="e">
        <f>$D38/1000000*'Prod &amp; Defects - Qty'!O$7</f>
        <v>#N/A</v>
      </c>
      <c r="N38" s="101" t="e">
        <f>$D38/1000000*'Prod &amp; Defects - Qty'!P$7</f>
        <v>#N/A</v>
      </c>
      <c r="O38" s="101" t="e">
        <f>$D38/1000000*'Prod &amp; Defects - Qty'!Q$7</f>
        <v>#N/A</v>
      </c>
      <c r="P38" s="515" t="e">
        <f>$D38/1000000*'Prod &amp; Defects - Qty'!R$7</f>
        <v>#N/A</v>
      </c>
      <c r="Q38" s="526" t="e">
        <f t="shared" si="1"/>
        <v>#N/A</v>
      </c>
      <c r="R38" s="101" t="e">
        <f>Q38/SUM('Prod &amp; Defects - Qty'!$G$7:$L$7)*1000000</f>
        <v>#N/A</v>
      </c>
      <c r="S38" s="101" t="e">
        <f t="shared" si="2"/>
        <v>#N/A</v>
      </c>
      <c r="T38" s="101" t="e">
        <f>S38/SUM('Prod &amp; Defects - Qty'!$M$7:$R$7)*1000000</f>
        <v>#N/A</v>
      </c>
      <c r="U38" s="101" t="e">
        <f t="shared" si="3"/>
        <v>#N/A</v>
      </c>
      <c r="V38" s="101" t="e">
        <f>U38/'Prod &amp; Defects - Qty'!$S$7*1000000</f>
        <v>#N/A</v>
      </c>
      <c r="W38" s="101" t="e">
        <f t="shared" si="10"/>
        <v>#N/A</v>
      </c>
      <c r="X38" s="101" t="e">
        <f t="shared" si="10"/>
        <v>#N/A</v>
      </c>
      <c r="Y38" s="101" t="e">
        <f t="shared" si="4"/>
        <v>#N/A</v>
      </c>
      <c r="Z38" s="527" t="e">
        <f t="shared" ref="Z38:Z49" si="12">Y38*$AA$7</f>
        <v>#N/A</v>
      </c>
    </row>
    <row r="39" spans="1:26" ht="18" customHeight="1">
      <c r="A39" s="783"/>
      <c r="B39" s="88">
        <f>B38+10</f>
        <v>3230</v>
      </c>
      <c r="C39" s="89" t="s">
        <v>61</v>
      </c>
      <c r="D39" s="398">
        <f>'[3]Falhas UM-3-2 Qty'!Z39</f>
        <v>4.4961020079390206</v>
      </c>
      <c r="E39" s="101" t="e">
        <f>$D39/1000000*'Prod &amp; Defects - Qty'!G$7</f>
        <v>#N/A</v>
      </c>
      <c r="F39" s="101" t="e">
        <f>$D39/1000000*'Prod &amp; Defects - Qty'!H$7</f>
        <v>#N/A</v>
      </c>
      <c r="G39" s="101" t="e">
        <f>$D39/1000000*'Prod &amp; Defects - Qty'!I$7</f>
        <v>#N/A</v>
      </c>
      <c r="H39" s="101" t="e">
        <f>$D39/1000000*'Prod &amp; Defects - Qty'!J$7</f>
        <v>#N/A</v>
      </c>
      <c r="I39" s="101" t="e">
        <f>$D39/1000000*'Prod &amp; Defects - Qty'!K$7</f>
        <v>#N/A</v>
      </c>
      <c r="J39" s="101" t="e">
        <f>$D39/1000000*'Prod &amp; Defects - Qty'!L$7</f>
        <v>#N/A</v>
      </c>
      <c r="K39" s="101" t="e">
        <f>$D39/1000000*'Prod &amp; Defects - Qty'!M$7</f>
        <v>#N/A</v>
      </c>
      <c r="L39" s="101" t="e">
        <f>$D39/1000000*'Prod &amp; Defects - Qty'!N$7</f>
        <v>#N/A</v>
      </c>
      <c r="M39" s="101" t="e">
        <f>$D39/1000000*'Prod &amp; Defects - Qty'!O$7</f>
        <v>#N/A</v>
      </c>
      <c r="N39" s="101" t="e">
        <f>$D39/1000000*'Prod &amp; Defects - Qty'!P$7</f>
        <v>#N/A</v>
      </c>
      <c r="O39" s="101" t="e">
        <f>$D39/1000000*'Prod &amp; Defects - Qty'!Q$7</f>
        <v>#N/A</v>
      </c>
      <c r="P39" s="515" t="e">
        <f>$D39/1000000*'Prod &amp; Defects - Qty'!R$7</f>
        <v>#N/A</v>
      </c>
      <c r="Q39" s="526" t="e">
        <f t="shared" si="1"/>
        <v>#N/A</v>
      </c>
      <c r="R39" s="101" t="e">
        <f>Q39/SUM('Prod &amp; Defects - Qty'!$G$7:$L$7)*1000000</f>
        <v>#N/A</v>
      </c>
      <c r="S39" s="101" t="e">
        <f t="shared" si="2"/>
        <v>#N/A</v>
      </c>
      <c r="T39" s="101" t="e">
        <f>S39/SUM('Prod &amp; Defects - Qty'!$M$7:$R$7)*1000000</f>
        <v>#N/A</v>
      </c>
      <c r="U39" s="101" t="e">
        <f t="shared" si="3"/>
        <v>#N/A</v>
      </c>
      <c r="V39" s="101" t="e">
        <f>U39/'Prod &amp; Defects - Qty'!$S$7*1000000</f>
        <v>#N/A</v>
      </c>
      <c r="W39" s="101" t="e">
        <f t="shared" si="10"/>
        <v>#N/A</v>
      </c>
      <c r="X39" s="101" t="e">
        <f t="shared" si="10"/>
        <v>#N/A</v>
      </c>
      <c r="Y39" s="101" t="e">
        <f t="shared" si="4"/>
        <v>#N/A</v>
      </c>
      <c r="Z39" s="527" t="e">
        <f t="shared" si="12"/>
        <v>#N/A</v>
      </c>
    </row>
    <row r="40" spans="1:26" ht="18" customHeight="1">
      <c r="A40" s="783"/>
      <c r="B40" s="88">
        <f t="shared" ref="B40:B49" si="13">B39+10</f>
        <v>3240</v>
      </c>
      <c r="C40" s="89" t="s">
        <v>79</v>
      </c>
      <c r="D40" s="398">
        <f>'[3]Falhas UM-3-2 Qty'!Z40</f>
        <v>48.007185993450108</v>
      </c>
      <c r="E40" s="101" t="e">
        <f>$D40/1000000*'Prod &amp; Defects - Qty'!G$7</f>
        <v>#N/A</v>
      </c>
      <c r="F40" s="101" t="e">
        <f>$D40/1000000*'Prod &amp; Defects - Qty'!H$7</f>
        <v>#N/A</v>
      </c>
      <c r="G40" s="101" t="e">
        <f>$D40/1000000*'Prod &amp; Defects - Qty'!I$7</f>
        <v>#N/A</v>
      </c>
      <c r="H40" s="101" t="e">
        <f>$D40/1000000*'Prod &amp; Defects - Qty'!J$7</f>
        <v>#N/A</v>
      </c>
      <c r="I40" s="101" t="e">
        <f>$D40/1000000*'Prod &amp; Defects - Qty'!K$7</f>
        <v>#N/A</v>
      </c>
      <c r="J40" s="101" t="e">
        <f>$D40/1000000*'Prod &amp; Defects - Qty'!L$7</f>
        <v>#N/A</v>
      </c>
      <c r="K40" s="101" t="e">
        <f>$D40/1000000*'Prod &amp; Defects - Qty'!M$7</f>
        <v>#N/A</v>
      </c>
      <c r="L40" s="101" t="e">
        <f>$D40/1000000*'Prod &amp; Defects - Qty'!N$7</f>
        <v>#N/A</v>
      </c>
      <c r="M40" s="101" t="e">
        <f>$D40/1000000*'Prod &amp; Defects - Qty'!O$7</f>
        <v>#N/A</v>
      </c>
      <c r="N40" s="101" t="e">
        <f>$D40/1000000*'Prod &amp; Defects - Qty'!P$7</f>
        <v>#N/A</v>
      </c>
      <c r="O40" s="101" t="e">
        <f>$D40/1000000*'Prod &amp; Defects - Qty'!Q$7</f>
        <v>#N/A</v>
      </c>
      <c r="P40" s="515" t="e">
        <f>$D40/1000000*'Prod &amp; Defects - Qty'!R$7</f>
        <v>#N/A</v>
      </c>
      <c r="Q40" s="526" t="e">
        <f t="shared" si="1"/>
        <v>#N/A</v>
      </c>
      <c r="R40" s="101" t="e">
        <f>Q40/SUM('Prod &amp; Defects - Qty'!$G$7:$L$7)*1000000</f>
        <v>#N/A</v>
      </c>
      <c r="S40" s="101" t="e">
        <f t="shared" si="2"/>
        <v>#N/A</v>
      </c>
      <c r="T40" s="101" t="e">
        <f>S40/SUM('Prod &amp; Defects - Qty'!$M$7:$R$7)*1000000</f>
        <v>#N/A</v>
      </c>
      <c r="U40" s="101" t="e">
        <f t="shared" si="3"/>
        <v>#N/A</v>
      </c>
      <c r="V40" s="101" t="e">
        <f>U40/'Prod &amp; Defects - Qty'!$S$7*1000000</f>
        <v>#N/A</v>
      </c>
      <c r="W40" s="101" t="e">
        <f t="shared" si="10"/>
        <v>#N/A</v>
      </c>
      <c r="X40" s="101" t="e">
        <f t="shared" si="10"/>
        <v>#N/A</v>
      </c>
      <c r="Y40" s="101" t="e">
        <f t="shared" si="4"/>
        <v>#N/A</v>
      </c>
      <c r="Z40" s="527" t="e">
        <f t="shared" si="12"/>
        <v>#N/A</v>
      </c>
    </row>
    <row r="41" spans="1:26" ht="18" customHeight="1">
      <c r="A41" s="783"/>
      <c r="B41" s="88">
        <f t="shared" si="13"/>
        <v>3250</v>
      </c>
      <c r="C41" s="89" t="s">
        <v>78</v>
      </c>
      <c r="D41" s="398">
        <f>'[3]Falhas UM-3-2 Qty'!Z41</f>
        <v>5.5627834308896285</v>
      </c>
      <c r="E41" s="101" t="e">
        <f>$D41/1000000*'Prod &amp; Defects - Qty'!G$7</f>
        <v>#N/A</v>
      </c>
      <c r="F41" s="101" t="e">
        <f>$D41/1000000*'Prod &amp; Defects - Qty'!H$7</f>
        <v>#N/A</v>
      </c>
      <c r="G41" s="101" t="e">
        <f>$D41/1000000*'Prod &amp; Defects - Qty'!I$7</f>
        <v>#N/A</v>
      </c>
      <c r="H41" s="101" t="e">
        <f>$D41/1000000*'Prod &amp; Defects - Qty'!J$7</f>
        <v>#N/A</v>
      </c>
      <c r="I41" s="101" t="e">
        <f>$D41/1000000*'Prod &amp; Defects - Qty'!K$7</f>
        <v>#N/A</v>
      </c>
      <c r="J41" s="101" t="e">
        <f>$D41/1000000*'Prod &amp; Defects - Qty'!L$7</f>
        <v>#N/A</v>
      </c>
      <c r="K41" s="101" t="e">
        <f>$D41/1000000*'Prod &amp; Defects - Qty'!M$7</f>
        <v>#N/A</v>
      </c>
      <c r="L41" s="101" t="e">
        <f>$D41/1000000*'Prod &amp; Defects - Qty'!N$7</f>
        <v>#N/A</v>
      </c>
      <c r="M41" s="101" t="e">
        <f>$D41/1000000*'Prod &amp; Defects - Qty'!O$7</f>
        <v>#N/A</v>
      </c>
      <c r="N41" s="101" t="e">
        <f>$D41/1000000*'Prod &amp; Defects - Qty'!P$7</f>
        <v>#N/A</v>
      </c>
      <c r="O41" s="101" t="e">
        <f>$D41/1000000*'Prod &amp; Defects - Qty'!Q$7</f>
        <v>#N/A</v>
      </c>
      <c r="P41" s="515" t="e">
        <f>$D41/1000000*'Prod &amp; Defects - Qty'!R$7</f>
        <v>#N/A</v>
      </c>
      <c r="Q41" s="526" t="e">
        <f t="shared" si="1"/>
        <v>#N/A</v>
      </c>
      <c r="R41" s="101" t="e">
        <f>Q41/SUM('Prod &amp; Defects - Qty'!$G$7:$L$7)*1000000</f>
        <v>#N/A</v>
      </c>
      <c r="S41" s="101" t="e">
        <f t="shared" si="2"/>
        <v>#N/A</v>
      </c>
      <c r="T41" s="101" t="e">
        <f>S41/SUM('Prod &amp; Defects - Qty'!$M$7:$R$7)*1000000</f>
        <v>#N/A</v>
      </c>
      <c r="U41" s="101" t="e">
        <f t="shared" si="3"/>
        <v>#N/A</v>
      </c>
      <c r="V41" s="101" t="e">
        <f>U41/'Prod &amp; Defects - Qty'!$S$7*1000000</f>
        <v>#N/A</v>
      </c>
      <c r="W41" s="101" t="e">
        <f t="shared" si="10"/>
        <v>#N/A</v>
      </c>
      <c r="X41" s="101" t="e">
        <f t="shared" si="10"/>
        <v>#N/A</v>
      </c>
      <c r="Y41" s="101" t="e">
        <f t="shared" si="4"/>
        <v>#N/A</v>
      </c>
      <c r="Z41" s="527" t="e">
        <f t="shared" si="12"/>
        <v>#N/A</v>
      </c>
    </row>
    <row r="42" spans="1:26" ht="18" customHeight="1">
      <c r="A42" s="783"/>
      <c r="B42" s="88">
        <f t="shared" si="13"/>
        <v>3260</v>
      </c>
      <c r="C42" s="89" t="s">
        <v>15</v>
      </c>
      <c r="D42" s="398">
        <f>'[3]Falhas UM-3-2 Qty'!Z42</f>
        <v>22.520493569818544</v>
      </c>
      <c r="E42" s="101" t="e">
        <f>$D42/1000000*'Prod &amp; Defects - Qty'!G$7</f>
        <v>#N/A</v>
      </c>
      <c r="F42" s="101" t="e">
        <f>$D42/1000000*'Prod &amp; Defects - Qty'!H$7</f>
        <v>#N/A</v>
      </c>
      <c r="G42" s="101" t="e">
        <f>$D42/1000000*'Prod &amp; Defects - Qty'!I$7</f>
        <v>#N/A</v>
      </c>
      <c r="H42" s="101" t="e">
        <f>$D42/1000000*'Prod &amp; Defects - Qty'!J$7</f>
        <v>#N/A</v>
      </c>
      <c r="I42" s="101" t="e">
        <f>$D42/1000000*'Prod &amp; Defects - Qty'!K$7</f>
        <v>#N/A</v>
      </c>
      <c r="J42" s="101" t="e">
        <f>$D42/1000000*'Prod &amp; Defects - Qty'!L$7</f>
        <v>#N/A</v>
      </c>
      <c r="K42" s="101" t="e">
        <f>$D42/1000000*'Prod &amp; Defects - Qty'!M$7</f>
        <v>#N/A</v>
      </c>
      <c r="L42" s="101" t="e">
        <f>$D42/1000000*'Prod &amp; Defects - Qty'!N$7</f>
        <v>#N/A</v>
      </c>
      <c r="M42" s="101" t="e">
        <f>$D42/1000000*'Prod &amp; Defects - Qty'!O$7</f>
        <v>#N/A</v>
      </c>
      <c r="N42" s="101" t="e">
        <f>$D42/1000000*'Prod &amp; Defects - Qty'!P$7</f>
        <v>#N/A</v>
      </c>
      <c r="O42" s="101" t="e">
        <f>$D42/1000000*'Prod &amp; Defects - Qty'!Q$7</f>
        <v>#N/A</v>
      </c>
      <c r="P42" s="515" t="e">
        <f>$D42/1000000*'Prod &amp; Defects - Qty'!R$7</f>
        <v>#N/A</v>
      </c>
      <c r="Q42" s="526" t="e">
        <f t="shared" si="1"/>
        <v>#N/A</v>
      </c>
      <c r="R42" s="101" t="e">
        <f>Q42/SUM('Prod &amp; Defects - Qty'!$G$7:$L$7)*1000000</f>
        <v>#N/A</v>
      </c>
      <c r="S42" s="101" t="e">
        <f t="shared" si="2"/>
        <v>#N/A</v>
      </c>
      <c r="T42" s="101" t="e">
        <f>S42/SUM('Prod &amp; Defects - Qty'!$M$7:$R$7)*1000000</f>
        <v>#N/A</v>
      </c>
      <c r="U42" s="101" t="e">
        <f t="shared" si="3"/>
        <v>#N/A</v>
      </c>
      <c r="V42" s="101" t="e">
        <f>U42/'Prod &amp; Defects - Qty'!$S$7*1000000</f>
        <v>#N/A</v>
      </c>
      <c r="W42" s="101" t="e">
        <f t="shared" si="10"/>
        <v>#N/A</v>
      </c>
      <c r="X42" s="101" t="e">
        <f t="shared" si="10"/>
        <v>#N/A</v>
      </c>
      <c r="Y42" s="101" t="e">
        <f t="shared" si="4"/>
        <v>#N/A</v>
      </c>
      <c r="Z42" s="527" t="e">
        <f t="shared" si="12"/>
        <v>#N/A</v>
      </c>
    </row>
    <row r="43" spans="1:26" ht="18" customHeight="1">
      <c r="A43" s="783"/>
      <c r="B43" s="88">
        <f t="shared" si="13"/>
        <v>3270</v>
      </c>
      <c r="C43" s="89" t="s">
        <v>14</v>
      </c>
      <c r="D43" s="398">
        <f>'[3]Falhas UM-3-2 Qty'!Z43</f>
        <v>16.702053715693701</v>
      </c>
      <c r="E43" s="101" t="e">
        <f>$D43/1000000*'Prod &amp; Defects - Qty'!G$7</f>
        <v>#N/A</v>
      </c>
      <c r="F43" s="101" t="e">
        <f>$D43/1000000*'Prod &amp; Defects - Qty'!H$7</f>
        <v>#N/A</v>
      </c>
      <c r="G43" s="101" t="e">
        <f>$D43/1000000*'Prod &amp; Defects - Qty'!I$7</f>
        <v>#N/A</v>
      </c>
      <c r="H43" s="101" t="e">
        <f>$D43/1000000*'Prod &amp; Defects - Qty'!J$7</f>
        <v>#N/A</v>
      </c>
      <c r="I43" s="101" t="e">
        <f>$D43/1000000*'Prod &amp; Defects - Qty'!K$7</f>
        <v>#N/A</v>
      </c>
      <c r="J43" s="101" t="e">
        <f>$D43/1000000*'Prod &amp; Defects - Qty'!L$7</f>
        <v>#N/A</v>
      </c>
      <c r="K43" s="101" t="e">
        <f>$D43/1000000*'Prod &amp; Defects - Qty'!M$7</f>
        <v>#N/A</v>
      </c>
      <c r="L43" s="101" t="e">
        <f>$D43/1000000*'Prod &amp; Defects - Qty'!N$7</f>
        <v>#N/A</v>
      </c>
      <c r="M43" s="101" t="e">
        <f>$D43/1000000*'Prod &amp; Defects - Qty'!O$7</f>
        <v>#N/A</v>
      </c>
      <c r="N43" s="101" t="e">
        <f>$D43/1000000*'Prod &amp; Defects - Qty'!P$7</f>
        <v>#N/A</v>
      </c>
      <c r="O43" s="101" t="e">
        <f>$D43/1000000*'Prod &amp; Defects - Qty'!Q$7</f>
        <v>#N/A</v>
      </c>
      <c r="P43" s="515" t="e">
        <f>$D43/1000000*'Prod &amp; Defects - Qty'!R$7</f>
        <v>#N/A</v>
      </c>
      <c r="Q43" s="526" t="e">
        <f t="shared" si="1"/>
        <v>#N/A</v>
      </c>
      <c r="R43" s="101" t="e">
        <f>Q43/SUM('Prod &amp; Defects - Qty'!$G$7:$L$7)*1000000</f>
        <v>#N/A</v>
      </c>
      <c r="S43" s="101" t="e">
        <f t="shared" si="2"/>
        <v>#N/A</v>
      </c>
      <c r="T43" s="101" t="e">
        <f>S43/SUM('Prod &amp; Defects - Qty'!$M$7:$R$7)*1000000</f>
        <v>#N/A</v>
      </c>
      <c r="U43" s="101" t="e">
        <f t="shared" si="3"/>
        <v>#N/A</v>
      </c>
      <c r="V43" s="101" t="e">
        <f>U43/'Prod &amp; Defects - Qty'!$S$7*1000000</f>
        <v>#N/A</v>
      </c>
      <c r="W43" s="101" t="e">
        <f t="shared" si="10"/>
        <v>#N/A</v>
      </c>
      <c r="X43" s="101" t="e">
        <f t="shared" si="10"/>
        <v>#N/A</v>
      </c>
      <c r="Y43" s="101" t="e">
        <f t="shared" si="4"/>
        <v>#N/A</v>
      </c>
      <c r="Z43" s="527" t="e">
        <f t="shared" si="12"/>
        <v>#N/A</v>
      </c>
    </row>
    <row r="44" spans="1:26" ht="18" customHeight="1">
      <c r="A44" s="783"/>
      <c r="B44" s="88">
        <f t="shared" si="13"/>
        <v>3280</v>
      </c>
      <c r="C44" s="89" t="s">
        <v>77</v>
      </c>
      <c r="D44" s="398">
        <f>'[3]Falhas UM-3-2 Qty'!Z44</f>
        <v>50.05779534490437</v>
      </c>
      <c r="E44" s="101" t="e">
        <f>$D44/1000000*'Prod &amp; Defects - Qty'!G$7</f>
        <v>#N/A</v>
      </c>
      <c r="F44" s="101" t="e">
        <f>$D44/1000000*'Prod &amp; Defects - Qty'!H$7</f>
        <v>#N/A</v>
      </c>
      <c r="G44" s="101" t="e">
        <f>$D44/1000000*'Prod &amp; Defects - Qty'!I$7</f>
        <v>#N/A</v>
      </c>
      <c r="H44" s="101" t="e">
        <f>$D44/1000000*'Prod &amp; Defects - Qty'!J$7</f>
        <v>#N/A</v>
      </c>
      <c r="I44" s="101" t="e">
        <f>$D44/1000000*'Prod &amp; Defects - Qty'!K$7</f>
        <v>#N/A</v>
      </c>
      <c r="J44" s="101" t="e">
        <f>$D44/1000000*'Prod &amp; Defects - Qty'!L$7</f>
        <v>#N/A</v>
      </c>
      <c r="K44" s="101" t="e">
        <f>$D44/1000000*'Prod &amp; Defects - Qty'!M$7</f>
        <v>#N/A</v>
      </c>
      <c r="L44" s="101" t="e">
        <f>$D44/1000000*'Prod &amp; Defects - Qty'!N$7</f>
        <v>#N/A</v>
      </c>
      <c r="M44" s="101" t="e">
        <f>$D44/1000000*'Prod &amp; Defects - Qty'!O$7</f>
        <v>#N/A</v>
      </c>
      <c r="N44" s="101" t="e">
        <f>$D44/1000000*'Prod &amp; Defects - Qty'!P$7</f>
        <v>#N/A</v>
      </c>
      <c r="O44" s="101" t="e">
        <f>$D44/1000000*'Prod &amp; Defects - Qty'!Q$7</f>
        <v>#N/A</v>
      </c>
      <c r="P44" s="515" t="e">
        <f>$D44/1000000*'Prod &amp; Defects - Qty'!R$7</f>
        <v>#N/A</v>
      </c>
      <c r="Q44" s="526" t="e">
        <f t="shared" si="1"/>
        <v>#N/A</v>
      </c>
      <c r="R44" s="101" t="e">
        <f>Q44/SUM('Prod &amp; Defects - Qty'!$G$7:$L$7)*1000000</f>
        <v>#N/A</v>
      </c>
      <c r="S44" s="101" t="e">
        <f t="shared" si="2"/>
        <v>#N/A</v>
      </c>
      <c r="T44" s="101" t="e">
        <f>S44/SUM('Prod &amp; Defects - Qty'!$M$7:$R$7)*1000000</f>
        <v>#N/A</v>
      </c>
      <c r="U44" s="101" t="e">
        <f t="shared" si="3"/>
        <v>#N/A</v>
      </c>
      <c r="V44" s="101" t="e">
        <f>U44/'Prod &amp; Defects - Qty'!$S$7*1000000</f>
        <v>#N/A</v>
      </c>
      <c r="W44" s="101" t="e">
        <f t="shared" si="10"/>
        <v>#N/A</v>
      </c>
      <c r="X44" s="101" t="e">
        <f t="shared" si="10"/>
        <v>#N/A</v>
      </c>
      <c r="Y44" s="101" t="e">
        <f t="shared" si="4"/>
        <v>#N/A</v>
      </c>
      <c r="Z44" s="527" t="e">
        <f t="shared" si="12"/>
        <v>#N/A</v>
      </c>
    </row>
    <row r="45" spans="1:26" ht="18" customHeight="1">
      <c r="A45" s="783"/>
      <c r="B45" s="88">
        <f t="shared" si="13"/>
        <v>3290</v>
      </c>
      <c r="C45" s="89" t="s">
        <v>13</v>
      </c>
      <c r="D45" s="398">
        <f>'[3]Falhas UM-3-2 Qty'!Z45</f>
        <v>17.441906056628287</v>
      </c>
      <c r="E45" s="101" t="e">
        <f>$D45/1000000*'Prod &amp; Defects - Qty'!G$7</f>
        <v>#N/A</v>
      </c>
      <c r="F45" s="101" t="e">
        <f>$D45/1000000*'Prod &amp; Defects - Qty'!H$7</f>
        <v>#N/A</v>
      </c>
      <c r="G45" s="101" t="e">
        <f>$D45/1000000*'Prod &amp; Defects - Qty'!I$7</f>
        <v>#N/A</v>
      </c>
      <c r="H45" s="101" t="e">
        <f>$D45/1000000*'Prod &amp; Defects - Qty'!J$7</f>
        <v>#N/A</v>
      </c>
      <c r="I45" s="101" t="e">
        <f>$D45/1000000*'Prod &amp; Defects - Qty'!K$7</f>
        <v>#N/A</v>
      </c>
      <c r="J45" s="101" t="e">
        <f>$D45/1000000*'Prod &amp; Defects - Qty'!L$7</f>
        <v>#N/A</v>
      </c>
      <c r="K45" s="101" t="e">
        <f>$D45/1000000*'Prod &amp; Defects - Qty'!M$7</f>
        <v>#N/A</v>
      </c>
      <c r="L45" s="101" t="e">
        <f>$D45/1000000*'Prod &amp; Defects - Qty'!N$7</f>
        <v>#N/A</v>
      </c>
      <c r="M45" s="101" t="e">
        <f>$D45/1000000*'Prod &amp; Defects - Qty'!O$7</f>
        <v>#N/A</v>
      </c>
      <c r="N45" s="101" t="e">
        <f>$D45/1000000*'Prod &amp; Defects - Qty'!P$7</f>
        <v>#N/A</v>
      </c>
      <c r="O45" s="101" t="e">
        <f>$D45/1000000*'Prod &amp; Defects - Qty'!Q$7</f>
        <v>#N/A</v>
      </c>
      <c r="P45" s="515" t="e">
        <f>$D45/1000000*'Prod &amp; Defects - Qty'!R$7</f>
        <v>#N/A</v>
      </c>
      <c r="Q45" s="526" t="e">
        <f t="shared" si="1"/>
        <v>#N/A</v>
      </c>
      <c r="R45" s="101" t="e">
        <f>Q45/SUM('Prod &amp; Defects - Qty'!$G$7:$L$7)*1000000</f>
        <v>#N/A</v>
      </c>
      <c r="S45" s="101" t="e">
        <f t="shared" si="2"/>
        <v>#N/A</v>
      </c>
      <c r="T45" s="101" t="e">
        <f>S45/SUM('Prod &amp; Defects - Qty'!$M$7:$R$7)*1000000</f>
        <v>#N/A</v>
      </c>
      <c r="U45" s="101" t="e">
        <f t="shared" si="3"/>
        <v>#N/A</v>
      </c>
      <c r="V45" s="101" t="e">
        <f>U45/'Prod &amp; Defects - Qty'!$S$7*1000000</f>
        <v>#N/A</v>
      </c>
      <c r="W45" s="101" t="e">
        <f t="shared" si="10"/>
        <v>#N/A</v>
      </c>
      <c r="X45" s="101" t="e">
        <f t="shared" si="10"/>
        <v>#N/A</v>
      </c>
      <c r="Y45" s="101" t="e">
        <f t="shared" si="4"/>
        <v>#N/A</v>
      </c>
      <c r="Z45" s="527" t="e">
        <f t="shared" si="12"/>
        <v>#N/A</v>
      </c>
    </row>
    <row r="46" spans="1:26" ht="18" customHeight="1">
      <c r="A46" s="783"/>
      <c r="B46" s="88">
        <f t="shared" si="13"/>
        <v>3300</v>
      </c>
      <c r="C46" s="89" t="s">
        <v>12</v>
      </c>
      <c r="D46" s="398">
        <f>'[3]Falhas UM-3-2 Qty'!Z46</f>
        <v>10.964829843470699</v>
      </c>
      <c r="E46" s="101" t="e">
        <f>$D46/1000000*'Prod &amp; Defects - Qty'!G$7</f>
        <v>#N/A</v>
      </c>
      <c r="F46" s="101" t="e">
        <f>$D46/1000000*'Prod &amp; Defects - Qty'!H$7</f>
        <v>#N/A</v>
      </c>
      <c r="G46" s="101" t="e">
        <f>$D46/1000000*'Prod &amp; Defects - Qty'!I$7</f>
        <v>#N/A</v>
      </c>
      <c r="H46" s="101" t="e">
        <f>$D46/1000000*'Prod &amp; Defects - Qty'!J$7</f>
        <v>#N/A</v>
      </c>
      <c r="I46" s="101" t="e">
        <f>$D46/1000000*'Prod &amp; Defects - Qty'!K$7</f>
        <v>#N/A</v>
      </c>
      <c r="J46" s="101" t="e">
        <f>$D46/1000000*'Prod &amp; Defects - Qty'!L$7</f>
        <v>#N/A</v>
      </c>
      <c r="K46" s="101" t="e">
        <f>$D46/1000000*'Prod &amp; Defects - Qty'!M$7</f>
        <v>#N/A</v>
      </c>
      <c r="L46" s="101" t="e">
        <f>$D46/1000000*'Prod &amp; Defects - Qty'!N$7</f>
        <v>#N/A</v>
      </c>
      <c r="M46" s="101" t="e">
        <f>$D46/1000000*'Prod &amp; Defects - Qty'!O$7</f>
        <v>#N/A</v>
      </c>
      <c r="N46" s="101" t="e">
        <f>$D46/1000000*'Prod &amp; Defects - Qty'!P$7</f>
        <v>#N/A</v>
      </c>
      <c r="O46" s="101" t="e">
        <f>$D46/1000000*'Prod &amp; Defects - Qty'!Q$7</f>
        <v>#N/A</v>
      </c>
      <c r="P46" s="515" t="e">
        <f>$D46/1000000*'Prod &amp; Defects - Qty'!R$7</f>
        <v>#N/A</v>
      </c>
      <c r="Q46" s="526" t="e">
        <f t="shared" si="1"/>
        <v>#N/A</v>
      </c>
      <c r="R46" s="101" t="e">
        <f>Q46/SUM('Prod &amp; Defects - Qty'!$G$7:$L$7)*1000000</f>
        <v>#N/A</v>
      </c>
      <c r="S46" s="101" t="e">
        <f t="shared" si="2"/>
        <v>#N/A</v>
      </c>
      <c r="T46" s="101" t="e">
        <f>S46/SUM('Prod &amp; Defects - Qty'!$M$7:$R$7)*1000000</f>
        <v>#N/A</v>
      </c>
      <c r="U46" s="101" t="e">
        <f t="shared" si="3"/>
        <v>#N/A</v>
      </c>
      <c r="V46" s="101" t="e">
        <f>U46/'Prod &amp; Defects - Qty'!$S$7*1000000</f>
        <v>#N/A</v>
      </c>
      <c r="W46" s="101" t="e">
        <f t="shared" si="10"/>
        <v>#N/A</v>
      </c>
      <c r="X46" s="101" t="e">
        <f t="shared" si="10"/>
        <v>#N/A</v>
      </c>
      <c r="Y46" s="101" t="e">
        <f t="shared" si="4"/>
        <v>#N/A</v>
      </c>
      <c r="Z46" s="527" t="e">
        <f t="shared" si="12"/>
        <v>#N/A</v>
      </c>
    </row>
    <row r="47" spans="1:26" ht="18" customHeight="1">
      <c r="A47" s="783"/>
      <c r="B47" s="88">
        <f t="shared" si="13"/>
        <v>3310</v>
      </c>
      <c r="C47" s="89" t="s">
        <v>142</v>
      </c>
      <c r="D47" s="398">
        <f>'[3]Falhas UM-3-2 Qty'!Z47</f>
        <v>148.82287498083187</v>
      </c>
      <c r="E47" s="101" t="e">
        <f>$D47/1000000*'Prod &amp; Defects - Qty'!G$7</f>
        <v>#N/A</v>
      </c>
      <c r="F47" s="101" t="e">
        <f>$D47/1000000*'Prod &amp; Defects - Qty'!H$7</f>
        <v>#N/A</v>
      </c>
      <c r="G47" s="101" t="e">
        <f>$D47/1000000*'Prod &amp; Defects - Qty'!I$7</f>
        <v>#N/A</v>
      </c>
      <c r="H47" s="101" t="e">
        <f>$D47/1000000*'Prod &amp; Defects - Qty'!J$7</f>
        <v>#N/A</v>
      </c>
      <c r="I47" s="101" t="e">
        <f>$D47/1000000*'Prod &amp; Defects - Qty'!K$7</f>
        <v>#N/A</v>
      </c>
      <c r="J47" s="101" t="e">
        <f>$D47/1000000*'Prod &amp; Defects - Qty'!L$7</f>
        <v>#N/A</v>
      </c>
      <c r="K47" s="101" t="e">
        <f>$D47/1000000*'Prod &amp; Defects - Qty'!M$7</f>
        <v>#N/A</v>
      </c>
      <c r="L47" s="101" t="e">
        <f>$D47/1000000*'Prod &amp; Defects - Qty'!N$7</f>
        <v>#N/A</v>
      </c>
      <c r="M47" s="101" t="e">
        <f>$D47/1000000*'Prod &amp; Defects - Qty'!O$7</f>
        <v>#N/A</v>
      </c>
      <c r="N47" s="101" t="e">
        <f>$D47/1000000*'Prod &amp; Defects - Qty'!P$7</f>
        <v>#N/A</v>
      </c>
      <c r="O47" s="101" t="e">
        <f>$D47/1000000*'Prod &amp; Defects - Qty'!Q$7</f>
        <v>#N/A</v>
      </c>
      <c r="P47" s="515" t="e">
        <f>$D47/1000000*'Prod &amp; Defects - Qty'!R$7</f>
        <v>#N/A</v>
      </c>
      <c r="Q47" s="526" t="e">
        <f t="shared" si="1"/>
        <v>#N/A</v>
      </c>
      <c r="R47" s="101" t="e">
        <f>Q47/SUM('Prod &amp; Defects - Qty'!$G$7:$L$7)*1000000</f>
        <v>#N/A</v>
      </c>
      <c r="S47" s="101" t="e">
        <f t="shared" si="2"/>
        <v>#N/A</v>
      </c>
      <c r="T47" s="101" t="e">
        <f>S47/SUM('Prod &amp; Defects - Qty'!$M$7:$R$7)*1000000</f>
        <v>#N/A</v>
      </c>
      <c r="U47" s="101" t="e">
        <f t="shared" si="3"/>
        <v>#N/A</v>
      </c>
      <c r="V47" s="101" t="e">
        <f>U47/'Prod &amp; Defects - Qty'!$S$7*1000000</f>
        <v>#N/A</v>
      </c>
      <c r="W47" s="101" t="e">
        <f t="shared" ref="W47:X57" si="14">V47*$AA$7</f>
        <v>#N/A</v>
      </c>
      <c r="X47" s="101" t="e">
        <f t="shared" si="14"/>
        <v>#N/A</v>
      </c>
      <c r="Y47" s="101" t="e">
        <f t="shared" si="4"/>
        <v>#N/A</v>
      </c>
      <c r="Z47" s="527" t="e">
        <f t="shared" si="12"/>
        <v>#N/A</v>
      </c>
    </row>
    <row r="48" spans="1:26" ht="18" customHeight="1">
      <c r="A48" s="783"/>
      <c r="B48" s="88">
        <f t="shared" si="13"/>
        <v>3320</v>
      </c>
      <c r="C48" s="89" t="s">
        <v>11</v>
      </c>
      <c r="D48" s="398">
        <f>'[3]Falhas UM-3-2 Qty'!Z48</f>
        <v>96.707269350907055</v>
      </c>
      <c r="E48" s="101" t="e">
        <f>$D48/1000000*'Prod &amp; Defects - Qty'!G$7</f>
        <v>#N/A</v>
      </c>
      <c r="F48" s="101" t="e">
        <f>$D48/1000000*'Prod &amp; Defects - Qty'!H$7</f>
        <v>#N/A</v>
      </c>
      <c r="G48" s="101" t="e">
        <f>$D48/1000000*'Prod &amp; Defects - Qty'!I$7</f>
        <v>#N/A</v>
      </c>
      <c r="H48" s="101" t="e">
        <f>$D48/1000000*'Prod &amp; Defects - Qty'!J$7</f>
        <v>#N/A</v>
      </c>
      <c r="I48" s="101" t="e">
        <f>$D48/1000000*'Prod &amp; Defects - Qty'!K$7</f>
        <v>#N/A</v>
      </c>
      <c r="J48" s="101" t="e">
        <f>$D48/1000000*'Prod &amp; Defects - Qty'!L$7</f>
        <v>#N/A</v>
      </c>
      <c r="K48" s="101" t="e">
        <f>$D48/1000000*'Prod &amp; Defects - Qty'!M$7</f>
        <v>#N/A</v>
      </c>
      <c r="L48" s="101" t="e">
        <f>$D48/1000000*'Prod &amp; Defects - Qty'!N$7</f>
        <v>#N/A</v>
      </c>
      <c r="M48" s="101" t="e">
        <f>$D48/1000000*'Prod &amp; Defects - Qty'!O$7</f>
        <v>#N/A</v>
      </c>
      <c r="N48" s="101" t="e">
        <f>$D48/1000000*'Prod &amp; Defects - Qty'!P$7</f>
        <v>#N/A</v>
      </c>
      <c r="O48" s="101" t="e">
        <f>$D48/1000000*'Prod &amp; Defects - Qty'!Q$7</f>
        <v>#N/A</v>
      </c>
      <c r="P48" s="515" t="e">
        <f>$D48/1000000*'Prod &amp; Defects - Qty'!R$7</f>
        <v>#N/A</v>
      </c>
      <c r="Q48" s="526" t="e">
        <f t="shared" si="1"/>
        <v>#N/A</v>
      </c>
      <c r="R48" s="101" t="e">
        <f>Q48/SUM('Prod &amp; Defects - Qty'!$G$7:$L$7)*1000000</f>
        <v>#N/A</v>
      </c>
      <c r="S48" s="101" t="e">
        <f t="shared" si="2"/>
        <v>#N/A</v>
      </c>
      <c r="T48" s="101" t="e">
        <f>S48/SUM('Prod &amp; Defects - Qty'!$M$7:$R$7)*1000000</f>
        <v>#N/A</v>
      </c>
      <c r="U48" s="101" t="e">
        <f t="shared" si="3"/>
        <v>#N/A</v>
      </c>
      <c r="V48" s="101" t="e">
        <f>U48/'Prod &amp; Defects - Qty'!$S$7*1000000</f>
        <v>#N/A</v>
      </c>
      <c r="W48" s="101" t="e">
        <f t="shared" si="14"/>
        <v>#N/A</v>
      </c>
      <c r="X48" s="101" t="e">
        <f t="shared" si="14"/>
        <v>#N/A</v>
      </c>
      <c r="Y48" s="101" t="e">
        <f t="shared" si="4"/>
        <v>#N/A</v>
      </c>
      <c r="Z48" s="527" t="e">
        <f t="shared" si="12"/>
        <v>#N/A</v>
      </c>
    </row>
    <row r="49" spans="1:26" ht="18" customHeight="1">
      <c r="A49" s="783"/>
      <c r="B49" s="88">
        <f t="shared" si="13"/>
        <v>3330</v>
      </c>
      <c r="C49" s="89" t="s">
        <v>6</v>
      </c>
      <c r="D49" s="398">
        <f>'[3]Falhas UM-3-2 Qty'!Z49</f>
        <v>68.806859116735282</v>
      </c>
      <c r="E49" s="101" t="e">
        <f>$D49/1000000*'Prod &amp; Defects - Qty'!G$7</f>
        <v>#N/A</v>
      </c>
      <c r="F49" s="101" t="e">
        <f>$D49/1000000*'Prod &amp; Defects - Qty'!H$7</f>
        <v>#N/A</v>
      </c>
      <c r="G49" s="101" t="e">
        <f>$D49/1000000*'Prod &amp; Defects - Qty'!I$7</f>
        <v>#N/A</v>
      </c>
      <c r="H49" s="101" t="e">
        <f>$D49/1000000*'Prod &amp; Defects - Qty'!J$7</f>
        <v>#N/A</v>
      </c>
      <c r="I49" s="101" t="e">
        <f>$D49/1000000*'Prod &amp; Defects - Qty'!K$7</f>
        <v>#N/A</v>
      </c>
      <c r="J49" s="101" t="e">
        <f>$D49/1000000*'Prod &amp; Defects - Qty'!L$7</f>
        <v>#N/A</v>
      </c>
      <c r="K49" s="101" t="e">
        <f>$D49/1000000*'Prod &amp; Defects - Qty'!M$7</f>
        <v>#N/A</v>
      </c>
      <c r="L49" s="101" t="e">
        <f>$D49/1000000*'Prod &amp; Defects - Qty'!N$7</f>
        <v>#N/A</v>
      </c>
      <c r="M49" s="101" t="e">
        <f>$D49/1000000*'Prod &amp; Defects - Qty'!O$7</f>
        <v>#N/A</v>
      </c>
      <c r="N49" s="101" t="e">
        <f>$D49/1000000*'Prod &amp; Defects - Qty'!P$7</f>
        <v>#N/A</v>
      </c>
      <c r="O49" s="101" t="e">
        <f>$D49/1000000*'Prod &amp; Defects - Qty'!Q$7</f>
        <v>#N/A</v>
      </c>
      <c r="P49" s="515" t="e">
        <f>$D49/1000000*'Prod &amp; Defects - Qty'!R$7</f>
        <v>#N/A</v>
      </c>
      <c r="Q49" s="526" t="e">
        <f t="shared" si="1"/>
        <v>#N/A</v>
      </c>
      <c r="R49" s="101" t="e">
        <f>Q49/SUM('Prod &amp; Defects - Qty'!$G$7:$L$7)*1000000</f>
        <v>#N/A</v>
      </c>
      <c r="S49" s="101" t="e">
        <f t="shared" si="2"/>
        <v>#N/A</v>
      </c>
      <c r="T49" s="101" t="e">
        <f>S49/SUM('Prod &amp; Defects - Qty'!$M$7:$R$7)*1000000</f>
        <v>#N/A</v>
      </c>
      <c r="U49" s="101" t="e">
        <f t="shared" si="3"/>
        <v>#N/A</v>
      </c>
      <c r="V49" s="101" t="e">
        <f>U49/'Prod &amp; Defects - Qty'!$S$7*1000000</f>
        <v>#N/A</v>
      </c>
      <c r="W49" s="101" t="e">
        <f t="shared" si="14"/>
        <v>#N/A</v>
      </c>
      <c r="X49" s="101" t="e">
        <f t="shared" si="14"/>
        <v>#N/A</v>
      </c>
      <c r="Y49" s="101" t="e">
        <f t="shared" si="4"/>
        <v>#N/A</v>
      </c>
      <c r="Z49" s="527" t="e">
        <f t="shared" si="12"/>
        <v>#N/A</v>
      </c>
    </row>
    <row r="50" spans="1:26" ht="18" customHeight="1">
      <c r="A50" s="783"/>
      <c r="B50" s="103"/>
      <c r="C50" s="104" t="s">
        <v>1</v>
      </c>
      <c r="D50" s="403">
        <f>'[3]Falhas UM-3-2 Qty'!Z50</f>
        <v>494.11203119862051</v>
      </c>
      <c r="E50" s="105" t="e">
        <f t="shared" ref="E50:L50" si="15">SUM(E38:E49)</f>
        <v>#N/A</v>
      </c>
      <c r="F50" s="105" t="e">
        <f t="shared" si="15"/>
        <v>#N/A</v>
      </c>
      <c r="G50" s="105" t="e">
        <f t="shared" si="15"/>
        <v>#N/A</v>
      </c>
      <c r="H50" s="105" t="e">
        <f t="shared" si="15"/>
        <v>#N/A</v>
      </c>
      <c r="I50" s="105" t="e">
        <f t="shared" si="15"/>
        <v>#N/A</v>
      </c>
      <c r="J50" s="105" t="e">
        <f t="shared" si="15"/>
        <v>#N/A</v>
      </c>
      <c r="K50" s="105" t="e">
        <f t="shared" si="15"/>
        <v>#N/A</v>
      </c>
      <c r="L50" s="105" t="e">
        <f t="shared" si="15"/>
        <v>#N/A</v>
      </c>
      <c r="M50" s="105" t="e">
        <f>SUM(M38:M49)</f>
        <v>#N/A</v>
      </c>
      <c r="N50" s="105" t="e">
        <f>SUM(N38:N49)</f>
        <v>#N/A</v>
      </c>
      <c r="O50" s="105" t="e">
        <f>SUM(O38:O49)</f>
        <v>#N/A</v>
      </c>
      <c r="P50" s="105" t="e">
        <f>SUM(P38:P49)</f>
        <v>#N/A</v>
      </c>
      <c r="Q50" s="534" t="e">
        <f t="shared" si="1"/>
        <v>#N/A</v>
      </c>
      <c r="R50" s="105" t="e">
        <f>Q50/SUM('Prod &amp; Defects - Qty'!$G$7:$L$7)*1000000</f>
        <v>#N/A</v>
      </c>
      <c r="S50" s="105" t="e">
        <f t="shared" si="2"/>
        <v>#N/A</v>
      </c>
      <c r="T50" s="105" t="e">
        <f>S50/SUM('Prod &amp; Defects - Qty'!$M$7:$R$7)*1000000</f>
        <v>#N/A</v>
      </c>
      <c r="U50" s="105" t="e">
        <f t="shared" si="3"/>
        <v>#N/A</v>
      </c>
      <c r="V50" s="105" t="e">
        <f>U50/'Prod &amp; Defects - Qty'!$S$7*1000000</f>
        <v>#N/A</v>
      </c>
      <c r="W50" s="105" t="e">
        <f t="shared" si="14"/>
        <v>#N/A</v>
      </c>
      <c r="X50" s="105" t="e">
        <f t="shared" si="14"/>
        <v>#N/A</v>
      </c>
      <c r="Y50" s="105" t="e">
        <f t="shared" si="4"/>
        <v>#N/A</v>
      </c>
      <c r="Z50" s="535" t="e">
        <f>Y50*0.9</f>
        <v>#N/A</v>
      </c>
    </row>
    <row r="51" spans="1:26" ht="18" customHeight="1">
      <c r="A51" s="783"/>
      <c r="B51" s="88">
        <f>B49+10</f>
        <v>3340</v>
      </c>
      <c r="C51" s="89" t="s">
        <v>2</v>
      </c>
      <c r="D51" s="398">
        <f>'[3]Falhas UM-3-2 Qty'!Z51</f>
        <v>600</v>
      </c>
      <c r="E51" s="90" t="e">
        <f>$D51/1000000*'Prod &amp; Defects - Qty'!G$7</f>
        <v>#N/A</v>
      </c>
      <c r="F51" s="90" t="e">
        <f>$D51/1000000*'Prod &amp; Defects - Qty'!H$7</f>
        <v>#N/A</v>
      </c>
      <c r="G51" s="90" t="e">
        <f>$D51/1000000*'Prod &amp; Defects - Qty'!I$7</f>
        <v>#N/A</v>
      </c>
      <c r="H51" s="90" t="e">
        <f>$D51/1000000*'Prod &amp; Defects - Qty'!J$7</f>
        <v>#N/A</v>
      </c>
      <c r="I51" s="90" t="e">
        <f>$D51/1000000*'Prod &amp; Defects - Qty'!K$7</f>
        <v>#N/A</v>
      </c>
      <c r="J51" s="90" t="e">
        <f>$D51/1000000*'Prod &amp; Defects - Qty'!L$7</f>
        <v>#N/A</v>
      </c>
      <c r="K51" s="90" t="e">
        <f>$D51/1000000*'Prod &amp; Defects - Qty'!M$7</f>
        <v>#N/A</v>
      </c>
      <c r="L51" s="90" t="e">
        <f>$D51/1000000*'Prod &amp; Defects - Qty'!N$7</f>
        <v>#N/A</v>
      </c>
      <c r="M51" s="90" t="e">
        <f>$D51/1000000*'Prod &amp; Defects - Qty'!O$7</f>
        <v>#N/A</v>
      </c>
      <c r="N51" s="90" t="e">
        <f>$D51/1000000*'Prod &amp; Defects - Qty'!P$7</f>
        <v>#N/A</v>
      </c>
      <c r="O51" s="90" t="e">
        <f>$D51/1000000*'Prod &amp; Defects - Qty'!Q$7</f>
        <v>#N/A</v>
      </c>
      <c r="P51" s="514" t="e">
        <f>$D51/1000000*'Prod &amp; Defects - Qty'!R$7</f>
        <v>#N/A</v>
      </c>
      <c r="Q51" s="524" t="e">
        <f t="shared" si="1"/>
        <v>#N/A</v>
      </c>
      <c r="R51" s="90" t="e">
        <f>Q51/SUM('Prod &amp; Defects - Qty'!$G$7:$L$7)*1000000</f>
        <v>#N/A</v>
      </c>
      <c r="S51" s="90" t="e">
        <f t="shared" si="2"/>
        <v>#N/A</v>
      </c>
      <c r="T51" s="90" t="e">
        <f>S51/SUM('Prod &amp; Defects - Qty'!$M$7:$R$7)*1000000</f>
        <v>#N/A</v>
      </c>
      <c r="U51" s="90" t="e">
        <f t="shared" si="3"/>
        <v>#N/A</v>
      </c>
      <c r="V51" s="90" t="e">
        <f>U51/'Prod &amp; Defects - Qty'!$S$7*1000000</f>
        <v>#N/A</v>
      </c>
      <c r="W51" s="90" t="e">
        <f t="shared" si="14"/>
        <v>#N/A</v>
      </c>
      <c r="X51" s="90" t="e">
        <f t="shared" si="14"/>
        <v>#N/A</v>
      </c>
      <c r="Y51" s="90" t="e">
        <f t="shared" si="4"/>
        <v>#N/A</v>
      </c>
      <c r="Z51" s="525" t="e">
        <f>Y51*$AA$7</f>
        <v>#N/A</v>
      </c>
    </row>
    <row r="52" spans="1:26" ht="18" customHeight="1">
      <c r="A52" s="783"/>
      <c r="B52" s="103">
        <f>B51+10</f>
        <v>3350</v>
      </c>
      <c r="C52" s="107" t="s">
        <v>60</v>
      </c>
      <c r="D52" s="404">
        <f>'[3]Falhas UM-3-2 Qty'!Z52</f>
        <v>0</v>
      </c>
      <c r="E52" s="212" t="e">
        <f>$D52/1000000*'Prod &amp; Defects - Qty'!G$7</f>
        <v>#N/A</v>
      </c>
      <c r="F52" s="212" t="e">
        <f>$D52/1000000*'Prod &amp; Defects - Qty'!H$7</f>
        <v>#N/A</v>
      </c>
      <c r="G52" s="212" t="e">
        <f>$D52/1000000*'Prod &amp; Defects - Qty'!I$7</f>
        <v>#N/A</v>
      </c>
      <c r="H52" s="212" t="e">
        <f>$D52/1000000*'Prod &amp; Defects - Qty'!J$7</f>
        <v>#N/A</v>
      </c>
      <c r="I52" s="212" t="e">
        <f>$D52/1000000*'Prod &amp; Defects - Qty'!K$7</f>
        <v>#N/A</v>
      </c>
      <c r="J52" s="212" t="e">
        <f>$D52/1000000*'Prod &amp; Defects - Qty'!L$7</f>
        <v>#N/A</v>
      </c>
      <c r="K52" s="212" t="e">
        <f>$D52/1000000*'Prod &amp; Defects - Qty'!M$7</f>
        <v>#N/A</v>
      </c>
      <c r="L52" s="212" t="e">
        <f>$D52/1000000*'Prod &amp; Defects - Qty'!N$7</f>
        <v>#N/A</v>
      </c>
      <c r="M52" s="212" t="e">
        <f>$D52/1000000*'Prod &amp; Defects - Qty'!O$7</f>
        <v>#N/A</v>
      </c>
      <c r="N52" s="212" t="e">
        <f>$D52/1000000*'Prod &amp; Defects - Qty'!P$7</f>
        <v>#N/A</v>
      </c>
      <c r="O52" s="212" t="e">
        <f>$D52/1000000*'Prod &amp; Defects - Qty'!Q$7</f>
        <v>#N/A</v>
      </c>
      <c r="P52" s="518" t="e">
        <f>$D52/1000000*'Prod &amp; Defects - Qty'!R$7</f>
        <v>#N/A</v>
      </c>
      <c r="Q52" s="536" t="e">
        <f t="shared" si="1"/>
        <v>#N/A</v>
      </c>
      <c r="R52" s="212" t="e">
        <f>Q52/SUM('Prod &amp; Defects - Qty'!$G$7:$L$7)*1000000</f>
        <v>#N/A</v>
      </c>
      <c r="S52" s="212" t="e">
        <f t="shared" si="2"/>
        <v>#N/A</v>
      </c>
      <c r="T52" s="212" t="e">
        <f>S52/SUM('Prod &amp; Defects - Qty'!$M$7:$R$7)*1000000</f>
        <v>#N/A</v>
      </c>
      <c r="U52" s="212" t="e">
        <f t="shared" si="3"/>
        <v>#N/A</v>
      </c>
      <c r="V52" s="212" t="e">
        <f>U52/'Prod &amp; Defects - Qty'!$S$7*1000000</f>
        <v>#N/A</v>
      </c>
      <c r="W52" s="212" t="e">
        <f t="shared" si="14"/>
        <v>#N/A</v>
      </c>
      <c r="X52" s="212" t="e">
        <f t="shared" si="14"/>
        <v>#N/A</v>
      </c>
      <c r="Y52" s="212" t="e">
        <f t="shared" si="4"/>
        <v>#N/A</v>
      </c>
      <c r="Z52" s="537" t="e">
        <f>Y52*$AA$7</f>
        <v>#N/A</v>
      </c>
    </row>
    <row r="53" spans="1:26" ht="18" customHeight="1">
      <c r="A53" s="783"/>
      <c r="B53" s="108">
        <f>B52+10</f>
        <v>3360</v>
      </c>
      <c r="C53" s="86" t="s">
        <v>76</v>
      </c>
      <c r="D53" s="397">
        <f>'[3]Falhas UM-3-2 Qty'!Z53</f>
        <v>0</v>
      </c>
      <c r="E53" s="87" t="e">
        <f>$D53/1000000*'Prod &amp; Defects - Qty'!G$7</f>
        <v>#N/A</v>
      </c>
      <c r="F53" s="87" t="e">
        <f>$D53/1000000*'Prod &amp; Defects - Qty'!H$7</f>
        <v>#N/A</v>
      </c>
      <c r="G53" s="87" t="e">
        <f>$D53/1000000*'Prod &amp; Defects - Qty'!I$7</f>
        <v>#N/A</v>
      </c>
      <c r="H53" s="87" t="e">
        <f>$D53/1000000*'Prod &amp; Defects - Qty'!J$7</f>
        <v>#N/A</v>
      </c>
      <c r="I53" s="87" t="e">
        <f>$D53/1000000*'Prod &amp; Defects - Qty'!K$7</f>
        <v>#N/A</v>
      </c>
      <c r="J53" s="87" t="e">
        <f>$D53/1000000*'Prod &amp; Defects - Qty'!L$7</f>
        <v>#N/A</v>
      </c>
      <c r="K53" s="87" t="e">
        <f>$D53/1000000*'Prod &amp; Defects - Qty'!M$7</f>
        <v>#N/A</v>
      </c>
      <c r="L53" s="87" t="e">
        <f>$D53/1000000*'Prod &amp; Defects - Qty'!N$7</f>
        <v>#N/A</v>
      </c>
      <c r="M53" s="87" t="e">
        <f>$D53/1000000*'Prod &amp; Defects - Qty'!O$7</f>
        <v>#N/A</v>
      </c>
      <c r="N53" s="87" t="e">
        <f>$D53/1000000*'Prod &amp; Defects - Qty'!P$7</f>
        <v>#N/A</v>
      </c>
      <c r="O53" s="87" t="e">
        <f>$D53/1000000*'Prod &amp; Defects - Qty'!Q$7</f>
        <v>#N/A</v>
      </c>
      <c r="P53" s="513" t="e">
        <f>$D53/1000000*'Prod &amp; Defects - Qty'!R$7</f>
        <v>#N/A</v>
      </c>
      <c r="Q53" s="522" t="e">
        <f t="shared" si="1"/>
        <v>#N/A</v>
      </c>
      <c r="R53" s="87" t="e">
        <f>Q53/SUM('Prod &amp; Defects - Qty'!$G$7:$L$7)*1000000</f>
        <v>#N/A</v>
      </c>
      <c r="S53" s="87" t="e">
        <f t="shared" si="2"/>
        <v>#N/A</v>
      </c>
      <c r="T53" s="87" t="e">
        <f>S53/SUM('Prod &amp; Defects - Qty'!$M$7:$R$7)*1000000</f>
        <v>#N/A</v>
      </c>
      <c r="U53" s="87" t="e">
        <f t="shared" si="3"/>
        <v>#N/A</v>
      </c>
      <c r="V53" s="87" t="e">
        <f>U53/'Prod &amp; Defects - Qty'!$S$7*1000000</f>
        <v>#N/A</v>
      </c>
      <c r="W53" s="87" t="e">
        <f t="shared" si="14"/>
        <v>#N/A</v>
      </c>
      <c r="X53" s="87" t="e">
        <f t="shared" si="14"/>
        <v>#N/A</v>
      </c>
      <c r="Y53" s="87" t="e">
        <f t="shared" si="4"/>
        <v>#N/A</v>
      </c>
      <c r="Z53" s="523" t="e">
        <f>Y53*$AA$7</f>
        <v>#N/A</v>
      </c>
    </row>
    <row r="54" spans="1:26" ht="18" customHeight="1">
      <c r="A54" s="783"/>
      <c r="B54" s="109">
        <f>B53+10</f>
        <v>3370</v>
      </c>
      <c r="C54" s="97" t="s">
        <v>75</v>
      </c>
      <c r="D54" s="402">
        <f>'[3]Falhas UM-3-2 Qty'!Z54</f>
        <v>10738.494671471841</v>
      </c>
      <c r="E54" s="98" t="e">
        <f>$D54/1000000*'Prod &amp; Defects - Qty'!G$7</f>
        <v>#N/A</v>
      </c>
      <c r="F54" s="98" t="e">
        <f>$D54/1000000*'Prod &amp; Defects - Qty'!H$7</f>
        <v>#N/A</v>
      </c>
      <c r="G54" s="98" t="e">
        <f>$D54/1000000*'Prod &amp; Defects - Qty'!I$7</f>
        <v>#N/A</v>
      </c>
      <c r="H54" s="98" t="e">
        <f>$D54/1000000*'Prod &amp; Defects - Qty'!J$7</f>
        <v>#N/A</v>
      </c>
      <c r="I54" s="98" t="e">
        <f>$D54/1000000*'Prod &amp; Defects - Qty'!K$7</f>
        <v>#N/A</v>
      </c>
      <c r="J54" s="98" t="e">
        <f>$D54/1000000*'Prod &amp; Defects - Qty'!L$7</f>
        <v>#N/A</v>
      </c>
      <c r="K54" s="98" t="e">
        <f>$D54/1000000*'Prod &amp; Defects - Qty'!M$7</f>
        <v>#N/A</v>
      </c>
      <c r="L54" s="98" t="e">
        <f>$D54/1000000*'Prod &amp; Defects - Qty'!N$7</f>
        <v>#N/A</v>
      </c>
      <c r="M54" s="98" t="e">
        <f>$D54/1000000*'Prod &amp; Defects - Qty'!O$7</f>
        <v>#N/A</v>
      </c>
      <c r="N54" s="98" t="e">
        <f>$D54/1000000*'Prod &amp; Defects - Qty'!P$7</f>
        <v>#N/A</v>
      </c>
      <c r="O54" s="98" t="e">
        <f>$D54/1000000*'Prod &amp; Defects - Qty'!Q$7</f>
        <v>#N/A</v>
      </c>
      <c r="P54" s="517" t="e">
        <f>$D54/1000000*'Prod &amp; Defects - Qty'!R$7</f>
        <v>#N/A</v>
      </c>
      <c r="Q54" s="532" t="e">
        <f t="shared" si="1"/>
        <v>#N/A</v>
      </c>
      <c r="R54" s="98" t="e">
        <f>Q54/SUM('Prod &amp; Defects - Qty'!$G$7:$L$7)*1000000</f>
        <v>#N/A</v>
      </c>
      <c r="S54" s="98" t="e">
        <f t="shared" si="2"/>
        <v>#N/A</v>
      </c>
      <c r="T54" s="98" t="e">
        <f>S54/SUM('Prod &amp; Defects - Qty'!$M$7:$R$7)*1000000</f>
        <v>#N/A</v>
      </c>
      <c r="U54" s="98" t="e">
        <f t="shared" si="3"/>
        <v>#N/A</v>
      </c>
      <c r="V54" s="98" t="e">
        <f>U54/'Prod &amp; Defects - Qty'!$S$7*1000000</f>
        <v>#N/A</v>
      </c>
      <c r="W54" s="98" t="e">
        <f t="shared" si="14"/>
        <v>#N/A</v>
      </c>
      <c r="X54" s="98" t="e">
        <f t="shared" si="14"/>
        <v>#N/A</v>
      </c>
      <c r="Y54" s="98" t="e">
        <f t="shared" si="4"/>
        <v>#N/A</v>
      </c>
      <c r="Z54" s="533" t="e">
        <f>Y54*$AA$7</f>
        <v>#N/A</v>
      </c>
    </row>
    <row r="55" spans="1:26" ht="18" customHeight="1" thickBot="1">
      <c r="A55" s="784"/>
      <c r="B55" s="110"/>
      <c r="C55" s="111" t="s">
        <v>1</v>
      </c>
      <c r="D55" s="95">
        <f>'[3]Falhas UM-3-2 Qty'!Z55</f>
        <v>1085.1892905553541</v>
      </c>
      <c r="E55" s="213" t="e">
        <f t="shared" ref="E55:L55" si="16">SUM(E51:E52)</f>
        <v>#N/A</v>
      </c>
      <c r="F55" s="213" t="e">
        <f t="shared" si="16"/>
        <v>#N/A</v>
      </c>
      <c r="G55" s="213" t="e">
        <f t="shared" si="16"/>
        <v>#N/A</v>
      </c>
      <c r="H55" s="213" t="e">
        <f t="shared" si="16"/>
        <v>#N/A</v>
      </c>
      <c r="I55" s="213" t="e">
        <f t="shared" si="16"/>
        <v>#N/A</v>
      </c>
      <c r="J55" s="213" t="e">
        <f t="shared" si="16"/>
        <v>#N/A</v>
      </c>
      <c r="K55" s="213" t="e">
        <f t="shared" si="16"/>
        <v>#N/A</v>
      </c>
      <c r="L55" s="213" t="e">
        <f t="shared" si="16"/>
        <v>#N/A</v>
      </c>
      <c r="M55" s="213" t="e">
        <f>SUM(M51:M52)</f>
        <v>#N/A</v>
      </c>
      <c r="N55" s="213" t="e">
        <f>SUM(N51:N52)</f>
        <v>#N/A</v>
      </c>
      <c r="O55" s="213" t="e">
        <f>SUM(O51:O52)</f>
        <v>#N/A</v>
      </c>
      <c r="P55" s="519" t="e">
        <f>SUM(P51:P52)</f>
        <v>#N/A</v>
      </c>
      <c r="Q55" s="538" t="e">
        <f t="shared" si="1"/>
        <v>#N/A</v>
      </c>
      <c r="R55" s="213" t="e">
        <f>Q55/SUM('Prod &amp; Defects - Qty'!$G$7:$L$7)*1000000</f>
        <v>#N/A</v>
      </c>
      <c r="S55" s="213" t="e">
        <f t="shared" si="2"/>
        <v>#N/A</v>
      </c>
      <c r="T55" s="213" t="e">
        <f>S55/SUM('Prod &amp; Defects - Qty'!$M$7:$R$7)*1000000</f>
        <v>#N/A</v>
      </c>
      <c r="U55" s="213" t="e">
        <f t="shared" si="3"/>
        <v>#N/A</v>
      </c>
      <c r="V55" s="213" t="e">
        <f>U55/'Prod &amp; Defects - Qty'!$S$7*1000000</f>
        <v>#N/A</v>
      </c>
      <c r="W55" s="213" t="e">
        <f t="shared" si="14"/>
        <v>#N/A</v>
      </c>
      <c r="X55" s="213" t="e">
        <f t="shared" si="14"/>
        <v>#N/A</v>
      </c>
      <c r="Y55" s="213" t="e">
        <f t="shared" si="4"/>
        <v>#N/A</v>
      </c>
      <c r="Z55" s="539" t="e">
        <f>Y55*0.9</f>
        <v>#N/A</v>
      </c>
    </row>
    <row r="56" spans="1:26" ht="20.100000000000001" customHeight="1" thickTop="1">
      <c r="A56" s="112"/>
      <c r="B56" s="88"/>
      <c r="C56" s="89"/>
      <c r="D56" s="398">
        <f>'[3]Falhas UM-3-2 Qty'!Z56</f>
        <v>0</v>
      </c>
      <c r="E56" s="90" t="e">
        <f>$D56/1000000*'Prod &amp; Defects - Qty'!G$7</f>
        <v>#N/A</v>
      </c>
      <c r="F56" s="90" t="e">
        <f>$D56/1000000*'Prod &amp; Defects - Qty'!H$7</f>
        <v>#N/A</v>
      </c>
      <c r="G56" s="90" t="e">
        <f>$D56/1000000*'Prod &amp; Defects - Qty'!I$7</f>
        <v>#N/A</v>
      </c>
      <c r="H56" s="90" t="e">
        <f>$D56/1000000*'Prod &amp; Defects - Qty'!J$7</f>
        <v>#N/A</v>
      </c>
      <c r="I56" s="90" t="e">
        <f>$D56/1000000*'Prod &amp; Defects - Qty'!K$7</f>
        <v>#N/A</v>
      </c>
      <c r="J56" s="90" t="e">
        <f>$D56/1000000*'Prod &amp; Defects - Qty'!L$7</f>
        <v>#N/A</v>
      </c>
      <c r="K56" s="90" t="e">
        <f>$D56/1000000*'Prod &amp; Defects - Qty'!M$7</f>
        <v>#N/A</v>
      </c>
      <c r="L56" s="90" t="e">
        <f>$D56/1000000*'Prod &amp; Defects - Qty'!N$7</f>
        <v>#N/A</v>
      </c>
      <c r="M56" s="90" t="e">
        <f>$D56/1000000*'Prod &amp; Defects - Qty'!O$7</f>
        <v>#N/A</v>
      </c>
      <c r="N56" s="90" t="e">
        <f>$D56/1000000*'Prod &amp; Defects - Qty'!P$7</f>
        <v>#N/A</v>
      </c>
      <c r="O56" s="90" t="e">
        <f>$D56/1000000*'Prod &amp; Defects - Qty'!Q$7</f>
        <v>#N/A</v>
      </c>
      <c r="P56" s="514" t="e">
        <f>$D56/1000000*'Prod &amp; Defects - Qty'!R$7</f>
        <v>#N/A</v>
      </c>
      <c r="Q56" s="524" t="e">
        <f t="shared" si="1"/>
        <v>#N/A</v>
      </c>
      <c r="R56" s="90" t="e">
        <f>Q56/SUM('Prod &amp; Defects - Qty'!$G$7:$L$7)*1000000</f>
        <v>#N/A</v>
      </c>
      <c r="S56" s="90" t="e">
        <f t="shared" si="2"/>
        <v>#N/A</v>
      </c>
      <c r="T56" s="90" t="e">
        <f>S56/SUM('Prod &amp; Defects - Qty'!$M$7:$R$7)*1000000</f>
        <v>#N/A</v>
      </c>
      <c r="U56" s="90" t="e">
        <f t="shared" si="3"/>
        <v>#N/A</v>
      </c>
      <c r="V56" s="90" t="e">
        <f>U56/'Prod &amp; Defects - Qty'!$S$7*1000000</f>
        <v>#N/A</v>
      </c>
      <c r="W56" s="90" t="e">
        <f t="shared" si="14"/>
        <v>#N/A</v>
      </c>
      <c r="X56" s="90" t="e">
        <f t="shared" si="14"/>
        <v>#N/A</v>
      </c>
      <c r="Y56" s="90" t="e">
        <f t="shared" si="4"/>
        <v>#N/A</v>
      </c>
      <c r="Z56" s="525" t="e">
        <f>Y56*0.9</f>
        <v>#N/A</v>
      </c>
    </row>
    <row r="57" spans="1:26" ht="20.100000000000001" customHeight="1" thickBot="1">
      <c r="A57" s="113"/>
      <c r="B57" s="114"/>
      <c r="C57" s="115" t="s">
        <v>59</v>
      </c>
      <c r="D57" s="405">
        <f>'[3]Falhas UM-3-2 Qty'!Z57</f>
        <v>2821.0114861927946</v>
      </c>
      <c r="E57" s="169" t="e">
        <f>E19+E37+E50+E55</f>
        <v>#N/A</v>
      </c>
      <c r="F57" s="169" t="e">
        <f t="shared" ref="F57:P57" si="17">F19+F37+F50+F55</f>
        <v>#N/A</v>
      </c>
      <c r="G57" s="169" t="e">
        <f t="shared" si="17"/>
        <v>#N/A</v>
      </c>
      <c r="H57" s="169" t="e">
        <f t="shared" si="17"/>
        <v>#N/A</v>
      </c>
      <c r="I57" s="169" t="e">
        <f t="shared" si="17"/>
        <v>#N/A</v>
      </c>
      <c r="J57" s="169" t="e">
        <f t="shared" si="17"/>
        <v>#N/A</v>
      </c>
      <c r="K57" s="169" t="e">
        <f t="shared" si="17"/>
        <v>#N/A</v>
      </c>
      <c r="L57" s="169" t="e">
        <f t="shared" si="17"/>
        <v>#N/A</v>
      </c>
      <c r="M57" s="169" t="e">
        <f t="shared" si="17"/>
        <v>#N/A</v>
      </c>
      <c r="N57" s="169" t="e">
        <f t="shared" si="17"/>
        <v>#N/A</v>
      </c>
      <c r="O57" s="169" t="e">
        <f t="shared" si="17"/>
        <v>#N/A</v>
      </c>
      <c r="P57" s="169" t="e">
        <f t="shared" si="17"/>
        <v>#N/A</v>
      </c>
      <c r="Q57" s="540" t="e">
        <f t="shared" si="1"/>
        <v>#N/A</v>
      </c>
      <c r="R57" s="169" t="e">
        <f>Q57/SUM('Prod &amp; Defects - Qty'!$G$7:$L$7)*1000000</f>
        <v>#N/A</v>
      </c>
      <c r="S57" s="169" t="e">
        <f t="shared" si="2"/>
        <v>#N/A</v>
      </c>
      <c r="T57" s="169" t="e">
        <f>S57/SUM('Prod &amp; Defects - Qty'!$M$7:$R$7)*1000000</f>
        <v>#N/A</v>
      </c>
      <c r="U57" s="169" t="e">
        <f t="shared" si="3"/>
        <v>#N/A</v>
      </c>
      <c r="V57" s="169" t="e">
        <f>U57/'Prod &amp; Defects - Qty'!$S$7*1000000</f>
        <v>#N/A</v>
      </c>
      <c r="W57" s="169" t="e">
        <f t="shared" si="14"/>
        <v>#N/A</v>
      </c>
      <c r="X57" s="169" t="e">
        <f t="shared" si="14"/>
        <v>#N/A</v>
      </c>
      <c r="Y57" s="169" t="e">
        <f t="shared" si="4"/>
        <v>#N/A</v>
      </c>
      <c r="Z57" s="541" t="e">
        <f>Y57*0.9</f>
        <v>#N/A</v>
      </c>
    </row>
    <row r="58" spans="1:26">
      <c r="C58" s="117"/>
      <c r="D58" s="117"/>
      <c r="E58" s="117"/>
    </row>
    <row r="59" spans="1:26" ht="13.5" thickBot="1">
      <c r="A59" s="82" t="s">
        <v>74</v>
      </c>
      <c r="E59" s="218" t="s">
        <v>73</v>
      </c>
    </row>
    <row r="60" spans="1:26" ht="12.75" customHeight="1">
      <c r="A60" s="776" t="s">
        <v>72</v>
      </c>
      <c r="B60" s="777"/>
      <c r="C60" s="777"/>
      <c r="D60" s="319"/>
      <c r="E60" s="214" t="s">
        <v>71</v>
      </c>
    </row>
    <row r="61" spans="1:26">
      <c r="A61" s="778"/>
      <c r="B61" s="779"/>
      <c r="C61" s="779"/>
      <c r="D61" s="320"/>
      <c r="E61" s="215" t="s">
        <v>69</v>
      </c>
    </row>
    <row r="62" spans="1:26">
      <c r="A62" s="778"/>
      <c r="B62" s="779"/>
      <c r="C62" s="779"/>
      <c r="D62" s="320"/>
      <c r="E62" s="215" t="s">
        <v>68</v>
      </c>
    </row>
    <row r="63" spans="1:26">
      <c r="A63" s="778"/>
      <c r="B63" s="779"/>
      <c r="C63" s="779"/>
      <c r="D63" s="320"/>
      <c r="E63" s="215" t="s">
        <v>67</v>
      </c>
    </row>
    <row r="64" spans="1:26" ht="13.5" thickBot="1">
      <c r="A64" s="780"/>
      <c r="B64" s="781"/>
      <c r="C64" s="781"/>
      <c r="D64" s="321"/>
      <c r="E64" s="216" t="s">
        <v>63</v>
      </c>
    </row>
    <row r="65" spans="1:5" ht="12.75" customHeight="1">
      <c r="A65" s="776" t="s">
        <v>70</v>
      </c>
      <c r="B65" s="777"/>
      <c r="C65" s="777"/>
      <c r="D65" s="319"/>
      <c r="E65" s="214" t="s">
        <v>69</v>
      </c>
    </row>
    <row r="66" spans="1:5">
      <c r="A66" s="778"/>
      <c r="B66" s="779"/>
      <c r="C66" s="779"/>
      <c r="D66" s="320"/>
      <c r="E66" s="215" t="s">
        <v>68</v>
      </c>
    </row>
    <row r="67" spans="1:5">
      <c r="A67" s="778"/>
      <c r="B67" s="779"/>
      <c r="C67" s="779"/>
      <c r="D67" s="320"/>
      <c r="E67" s="215" t="s">
        <v>67</v>
      </c>
    </row>
    <row r="68" spans="1:5" ht="13.5" thickBot="1">
      <c r="A68" s="780"/>
      <c r="B68" s="781"/>
      <c r="C68" s="781"/>
      <c r="D68" s="321"/>
      <c r="E68" s="216" t="s">
        <v>63</v>
      </c>
    </row>
    <row r="69" spans="1:5" ht="12.75" customHeight="1">
      <c r="A69" s="776" t="s">
        <v>66</v>
      </c>
      <c r="B69" s="777"/>
      <c r="C69" s="777"/>
      <c r="D69" s="319"/>
      <c r="E69" s="214" t="s">
        <v>65</v>
      </c>
    </row>
    <row r="70" spans="1:5">
      <c r="A70" s="778"/>
      <c r="B70" s="779"/>
      <c r="C70" s="779"/>
      <c r="D70" s="320"/>
      <c r="E70" s="215" t="s">
        <v>64</v>
      </c>
    </row>
    <row r="71" spans="1:5" ht="13.5" thickBot="1">
      <c r="A71" s="780"/>
      <c r="B71" s="781"/>
      <c r="C71" s="781"/>
      <c r="D71" s="321"/>
      <c r="E71" s="216" t="s">
        <v>63</v>
      </c>
    </row>
  </sheetData>
  <mergeCells count="8">
    <mergeCell ref="A65:C68"/>
    <mergeCell ref="A69:C71"/>
    <mergeCell ref="A1:E1"/>
    <mergeCell ref="B4:C4"/>
    <mergeCell ref="B5:C5"/>
    <mergeCell ref="A7:A37"/>
    <mergeCell ref="A38:A55"/>
    <mergeCell ref="A60:C64"/>
  </mergeCells>
  <printOptions gridLinesSet="0"/>
  <pageMargins left="0.78740157480314965" right="0.19685039370078741" top="0.59055118110236227" bottom="0.59055118110236227" header="0.51181102362204722" footer="0.31496062992125984"/>
  <pageSetup paperSize="9" scale="43" orientation="landscape" r:id="rId1"/>
  <headerFooter alignWithMargins="0">
    <oddFooter>&amp;L&amp;A&amp;R&amp;F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>
    <tabColor indexed="56"/>
    <pageSetUpPr fitToPage="1"/>
  </sheetPr>
  <dimension ref="A1:S81"/>
  <sheetViews>
    <sheetView showGridLines="0" zoomScale="106" zoomScaleNormal="106" zoomScaleSheetLayoutView="53" workbookViewId="0">
      <pane xSplit="3" ySplit="6" topLeftCell="D55" activePane="bottomRight" state="frozen"/>
      <selection pane="topRight" activeCell="D1" sqref="D1"/>
      <selection pane="bottomLeft" activeCell="A7" sqref="A7"/>
      <selection pane="bottomRight" activeCell="Q51" sqref="Q51"/>
    </sheetView>
  </sheetViews>
  <sheetFormatPr defaultColWidth="11.42578125" defaultRowHeight="12.75"/>
  <cols>
    <col min="1" max="1" width="3.140625" style="82" bestFit="1" customWidth="1"/>
    <col min="2" max="2" width="13.5703125" style="82" customWidth="1"/>
    <col min="3" max="3" width="25.140625" style="82" bestFit="1" customWidth="1"/>
    <col min="4" max="4" width="9" style="82" bestFit="1" customWidth="1"/>
    <col min="5" max="5" width="10.28515625" style="82" bestFit="1" customWidth="1"/>
    <col min="6" max="16384" width="11.42578125" style="82"/>
  </cols>
  <sheetData>
    <row r="1" spans="1:18" ht="18" customHeight="1">
      <c r="A1" s="771" t="s">
        <v>89</v>
      </c>
      <c r="B1" s="771"/>
      <c r="C1" s="771"/>
      <c r="D1" s="771"/>
      <c r="E1" s="771"/>
    </row>
    <row r="2" spans="1:18" ht="18" customHeight="1"/>
    <row r="3" spans="1:18" ht="9.9499999999999993" customHeight="1" thickBot="1"/>
    <row r="4" spans="1:18" ht="18" customHeight="1">
      <c r="A4" s="83"/>
      <c r="B4" s="772"/>
      <c r="C4" s="773"/>
      <c r="D4" s="786" t="str">
        <f>'Falhas UM-3-1 Cost'!D4</f>
        <v>Custo por milheiro (R$)</v>
      </c>
      <c r="E4" s="219">
        <f>'Falhas UM-1 - Qty'!F5</f>
        <v>43922</v>
      </c>
      <c r="F4" s="219">
        <f>'Falhas UM-1 - Qty'!G5</f>
        <v>43952</v>
      </c>
      <c r="G4" s="219">
        <f>'Falhas UM-1 - Qty'!H5</f>
        <v>43983</v>
      </c>
      <c r="H4" s="219">
        <f>'Falhas UM-1 - Qty'!I5</f>
        <v>44013</v>
      </c>
      <c r="I4" s="219">
        <f>'Falhas UM-1 - Qty'!J5</f>
        <v>44044</v>
      </c>
      <c r="J4" s="219">
        <f>'Falhas UM-1 - Qty'!K5</f>
        <v>44075</v>
      </c>
      <c r="K4" s="219">
        <f>'Falhas UM-1 - Qty'!L5</f>
        <v>44105</v>
      </c>
      <c r="L4" s="219">
        <f>'Falhas UM-1 - Qty'!M5</f>
        <v>44136</v>
      </c>
      <c r="M4" s="219">
        <f>'Falhas UM-1 - Qty'!N5</f>
        <v>44166</v>
      </c>
      <c r="N4" s="219">
        <f>'Falhas UM-1 - Qty'!O5</f>
        <v>44197</v>
      </c>
      <c r="O4" s="219">
        <f>'Falhas UM-1 - Qty'!P5</f>
        <v>44228</v>
      </c>
      <c r="P4" s="219">
        <f>'Falhas UM-1 - Qty'!Q5</f>
        <v>44256</v>
      </c>
      <c r="Q4" s="407" t="s">
        <v>1</v>
      </c>
    </row>
    <row r="5" spans="1:18" ht="18" customHeight="1">
      <c r="A5" s="205"/>
      <c r="B5" s="774" t="s">
        <v>57</v>
      </c>
      <c r="C5" s="775"/>
      <c r="D5" s="78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408"/>
    </row>
    <row r="6" spans="1:18" ht="35.25" customHeight="1">
      <c r="A6" s="205"/>
      <c r="B6" s="206" t="s">
        <v>51</v>
      </c>
      <c r="C6" s="207" t="s">
        <v>50</v>
      </c>
      <c r="D6" s="353">
        <f>'Falhas UM-3-1 Cost'!D6</f>
        <v>2020</v>
      </c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409"/>
    </row>
    <row r="7" spans="1:18" ht="18" customHeight="1">
      <c r="A7" s="782" t="s">
        <v>151</v>
      </c>
      <c r="B7" s="85">
        <v>3010</v>
      </c>
      <c r="C7" s="86" t="s">
        <v>46</v>
      </c>
      <c r="D7" s="354">
        <f>'Falhas UM-3-1 Cost'!D7</f>
        <v>101.51740000000001</v>
      </c>
      <c r="E7" s="388" t="e">
        <f>$D7/1000*'Falhas UM-3-2 Qty'!E7</f>
        <v>#N/A</v>
      </c>
      <c r="F7" s="388" t="e">
        <f>$D7/1000*'Falhas UM-3-2 Qty'!F7</f>
        <v>#N/A</v>
      </c>
      <c r="G7" s="388" t="e">
        <f>$D7/1000*'Falhas UM-3-2 Qty'!G7</f>
        <v>#N/A</v>
      </c>
      <c r="H7" s="388" t="e">
        <f>$D7/1000*'Falhas UM-3-2 Qty'!H7</f>
        <v>#N/A</v>
      </c>
      <c r="I7" s="388" t="e">
        <f>$D7/1000*'Falhas UM-3-2 Qty'!I7</f>
        <v>#N/A</v>
      </c>
      <c r="J7" s="388" t="e">
        <f>$D7/1000*'Falhas UM-3-2 Qty'!J7</f>
        <v>#N/A</v>
      </c>
      <c r="K7" s="388" t="e">
        <f>$D7/1000*'Falhas UM-3-2 Qty'!K7</f>
        <v>#N/A</v>
      </c>
      <c r="L7" s="388" t="e">
        <f>$D7/1000*'Falhas UM-3-2 Qty'!L7</f>
        <v>#N/A</v>
      </c>
      <c r="M7" s="388" t="e">
        <f>$D7/1000*'Falhas UM-3-2 Qty'!M7</f>
        <v>#N/A</v>
      </c>
      <c r="N7" s="388" t="e">
        <f>$D7/1000*'Falhas UM-3-2 Qty'!N7</f>
        <v>#N/A</v>
      </c>
      <c r="O7" s="388" t="e">
        <f>$D7/1000*'Falhas UM-3-2 Qty'!O7</f>
        <v>#N/A</v>
      </c>
      <c r="P7" s="388" t="e">
        <f>$D7/1000*'Falhas UM-3-2 Qty'!P7</f>
        <v>#N/A</v>
      </c>
      <c r="Q7" s="410" t="e">
        <f>SUM(D7:P7)</f>
        <v>#N/A</v>
      </c>
    </row>
    <row r="8" spans="1:18" ht="18" customHeight="1">
      <c r="A8" s="783"/>
      <c r="B8" s="88">
        <f>B7+10</f>
        <v>3020</v>
      </c>
      <c r="C8" s="89" t="s">
        <v>88</v>
      </c>
      <c r="D8" s="146">
        <f>'Falhas UM-3-1 Cost'!D8</f>
        <v>102.11490000000001</v>
      </c>
      <c r="E8" s="389" t="e">
        <f>$D8/1000*'Falhas UM-3-2 Qty'!E8</f>
        <v>#N/A</v>
      </c>
      <c r="F8" s="389" t="e">
        <f>$D8/1000*'Falhas UM-3-2 Qty'!F8</f>
        <v>#N/A</v>
      </c>
      <c r="G8" s="389" t="e">
        <f>$D8/1000*'Falhas UM-3-2 Qty'!G8</f>
        <v>#N/A</v>
      </c>
      <c r="H8" s="389" t="e">
        <f>$D8/1000*'Falhas UM-3-2 Qty'!H8</f>
        <v>#N/A</v>
      </c>
      <c r="I8" s="389" t="e">
        <f>$D8/1000*'Falhas UM-3-2 Qty'!I8</f>
        <v>#N/A</v>
      </c>
      <c r="J8" s="389" t="e">
        <f>$D8/1000*'Falhas UM-3-2 Qty'!J8</f>
        <v>#N/A</v>
      </c>
      <c r="K8" s="389" t="e">
        <f>$D8/1000*'Falhas UM-3-2 Qty'!K8</f>
        <v>#N/A</v>
      </c>
      <c r="L8" s="389" t="e">
        <f>$D8/1000*'Falhas UM-3-2 Qty'!L8</f>
        <v>#N/A</v>
      </c>
      <c r="M8" s="389" t="e">
        <f>$D8/1000*'Falhas UM-3-2 Qty'!M8</f>
        <v>#N/A</v>
      </c>
      <c r="N8" s="389" t="e">
        <f>$D8/1000*'Falhas UM-3-2 Qty'!N8</f>
        <v>#N/A</v>
      </c>
      <c r="O8" s="389" t="e">
        <f>$D8/1000*'Falhas UM-3-2 Qty'!O8</f>
        <v>#N/A</v>
      </c>
      <c r="P8" s="389" t="e">
        <f>$D8/1000*'Falhas UM-3-2 Qty'!P8</f>
        <v>#N/A</v>
      </c>
      <c r="Q8" s="411" t="e">
        <f t="shared" ref="Q8:Q57" si="0">SUM(D8:P8)</f>
        <v>#N/A</v>
      </c>
    </row>
    <row r="9" spans="1:18" ht="18" customHeight="1">
      <c r="A9" s="783"/>
      <c r="B9" s="88">
        <f t="shared" ref="B9:B18" si="1">B8+10</f>
        <v>3030</v>
      </c>
      <c r="C9" s="89" t="s">
        <v>87</v>
      </c>
      <c r="D9" s="146">
        <f>'Falhas UM-3-1 Cost'!D9</f>
        <v>112.11490000000001</v>
      </c>
      <c r="E9" s="389" t="e">
        <f>$D9/1000*'Falhas UM-3-2 Qty'!E9</f>
        <v>#N/A</v>
      </c>
      <c r="F9" s="389" t="e">
        <f>$D9/1000*'Falhas UM-3-2 Qty'!F9</f>
        <v>#N/A</v>
      </c>
      <c r="G9" s="389" t="e">
        <f>$D9/1000*'Falhas UM-3-2 Qty'!G9</f>
        <v>#N/A</v>
      </c>
      <c r="H9" s="389" t="e">
        <f>$D9/1000*'Falhas UM-3-2 Qty'!H9</f>
        <v>#N/A</v>
      </c>
      <c r="I9" s="389" t="e">
        <f>$D9/1000*'Falhas UM-3-2 Qty'!I9</f>
        <v>#N/A</v>
      </c>
      <c r="J9" s="389" t="e">
        <f>$D9/1000*'Falhas UM-3-2 Qty'!J9</f>
        <v>#N/A</v>
      </c>
      <c r="K9" s="389" t="e">
        <f>$D9/1000*'Falhas UM-3-2 Qty'!K9</f>
        <v>#N/A</v>
      </c>
      <c r="L9" s="389" t="e">
        <f>$D9/1000*'Falhas UM-3-2 Qty'!L9</f>
        <v>#N/A</v>
      </c>
      <c r="M9" s="389" t="e">
        <f>$D9/1000*'Falhas UM-3-2 Qty'!M9</f>
        <v>#N/A</v>
      </c>
      <c r="N9" s="389" t="e">
        <f>$D9/1000*'Falhas UM-3-2 Qty'!N9</f>
        <v>#N/A</v>
      </c>
      <c r="O9" s="389" t="e">
        <f>$D9/1000*'Falhas UM-3-2 Qty'!O9</f>
        <v>#N/A</v>
      </c>
      <c r="P9" s="389" t="e">
        <f>$D9/1000*'Falhas UM-3-2 Qty'!P9</f>
        <v>#N/A</v>
      </c>
      <c r="Q9" s="411" t="e">
        <f t="shared" si="0"/>
        <v>#N/A</v>
      </c>
    </row>
    <row r="10" spans="1:18" ht="18" customHeight="1">
      <c r="A10" s="783"/>
      <c r="B10" s="88">
        <f t="shared" si="1"/>
        <v>3040</v>
      </c>
      <c r="C10" s="89" t="s">
        <v>86</v>
      </c>
      <c r="D10" s="146">
        <f>'Falhas UM-3-1 Cost'!D10</f>
        <v>112.11490000000001</v>
      </c>
      <c r="E10" s="389" t="e">
        <f>$D10/1000*'Falhas UM-3-2 Qty'!E10</f>
        <v>#N/A</v>
      </c>
      <c r="F10" s="389" t="e">
        <f>$D10/1000*'Falhas UM-3-2 Qty'!F10</f>
        <v>#N/A</v>
      </c>
      <c r="G10" s="389" t="e">
        <f>$D10/1000*'Falhas UM-3-2 Qty'!G10</f>
        <v>#N/A</v>
      </c>
      <c r="H10" s="389" t="e">
        <f>$D10/1000*'Falhas UM-3-2 Qty'!H10</f>
        <v>#N/A</v>
      </c>
      <c r="I10" s="389" t="e">
        <f>$D10/1000*'Falhas UM-3-2 Qty'!I10</f>
        <v>#N/A</v>
      </c>
      <c r="J10" s="389" t="e">
        <f>$D10/1000*'Falhas UM-3-2 Qty'!J10</f>
        <v>#N/A</v>
      </c>
      <c r="K10" s="389" t="e">
        <f>$D10/1000*'Falhas UM-3-2 Qty'!K10</f>
        <v>#N/A</v>
      </c>
      <c r="L10" s="389" t="e">
        <f>$D10/1000*'Falhas UM-3-2 Qty'!L10</f>
        <v>#N/A</v>
      </c>
      <c r="M10" s="389" t="e">
        <f>$D10/1000*'Falhas UM-3-2 Qty'!M10</f>
        <v>#N/A</v>
      </c>
      <c r="N10" s="389" t="e">
        <f>$D10/1000*'Falhas UM-3-2 Qty'!N10</f>
        <v>#N/A</v>
      </c>
      <c r="O10" s="389" t="e">
        <f>$D10/1000*'Falhas UM-3-2 Qty'!O10</f>
        <v>#N/A</v>
      </c>
      <c r="P10" s="389" t="e">
        <f>$D10/1000*'Falhas UM-3-2 Qty'!P10</f>
        <v>#N/A</v>
      </c>
      <c r="Q10" s="411" t="e">
        <f t="shared" si="0"/>
        <v>#N/A</v>
      </c>
    </row>
    <row r="11" spans="1:18" ht="18" customHeight="1">
      <c r="A11" s="783"/>
      <c r="B11" s="88">
        <f t="shared" si="1"/>
        <v>3050</v>
      </c>
      <c r="C11" s="89" t="s">
        <v>85</v>
      </c>
      <c r="D11" s="146">
        <f>'Falhas UM-3-1 Cost'!D11</f>
        <v>112.91170000000001</v>
      </c>
      <c r="E11" s="389" t="e">
        <f>$D11/1000*'Falhas UM-3-2 Qty'!E11</f>
        <v>#N/A</v>
      </c>
      <c r="F11" s="389" t="e">
        <f>$D11/1000*'Falhas UM-3-2 Qty'!F11</f>
        <v>#N/A</v>
      </c>
      <c r="G11" s="389" t="e">
        <f>$D11/1000*'Falhas UM-3-2 Qty'!G11</f>
        <v>#N/A</v>
      </c>
      <c r="H11" s="389" t="e">
        <f>$D11/1000*'Falhas UM-3-2 Qty'!H11</f>
        <v>#N/A</v>
      </c>
      <c r="I11" s="389" t="e">
        <f>$D11/1000*'Falhas UM-3-2 Qty'!I11</f>
        <v>#N/A</v>
      </c>
      <c r="J11" s="389" t="e">
        <f>$D11/1000*'Falhas UM-3-2 Qty'!J11</f>
        <v>#N/A</v>
      </c>
      <c r="K11" s="389" t="e">
        <f>$D11/1000*'Falhas UM-3-2 Qty'!K11</f>
        <v>#N/A</v>
      </c>
      <c r="L11" s="389" t="e">
        <f>$D11/1000*'Falhas UM-3-2 Qty'!L11</f>
        <v>#N/A</v>
      </c>
      <c r="M11" s="389" t="e">
        <f>$D11/1000*'Falhas UM-3-2 Qty'!M11</f>
        <v>#N/A</v>
      </c>
      <c r="N11" s="389" t="e">
        <f>$D11/1000*'Falhas UM-3-2 Qty'!N11</f>
        <v>#N/A</v>
      </c>
      <c r="O11" s="389" t="e">
        <f>$D11/1000*'Falhas UM-3-2 Qty'!O11</f>
        <v>#N/A</v>
      </c>
      <c r="P11" s="389" t="e">
        <f>$D11/1000*'Falhas UM-3-2 Qty'!P11</f>
        <v>#N/A</v>
      </c>
      <c r="Q11" s="411" t="e">
        <f t="shared" si="0"/>
        <v>#N/A</v>
      </c>
    </row>
    <row r="12" spans="1:18" ht="18" customHeight="1">
      <c r="A12" s="783"/>
      <c r="B12" s="88">
        <f t="shared" si="1"/>
        <v>3060</v>
      </c>
      <c r="C12" s="89" t="s">
        <v>84</v>
      </c>
      <c r="D12" s="146">
        <f>'Falhas UM-3-1 Cost'!D12</f>
        <v>115.26520000000001</v>
      </c>
      <c r="E12" s="389" t="e">
        <f>$D12/1000*'Falhas UM-3-2 Qty'!E12</f>
        <v>#N/A</v>
      </c>
      <c r="F12" s="389" t="e">
        <f>$D12/1000*'Falhas UM-3-2 Qty'!F12</f>
        <v>#N/A</v>
      </c>
      <c r="G12" s="389" t="e">
        <f>$D12/1000*'Falhas UM-3-2 Qty'!G12</f>
        <v>#N/A</v>
      </c>
      <c r="H12" s="389" t="e">
        <f>$D12/1000*'Falhas UM-3-2 Qty'!H12</f>
        <v>#N/A</v>
      </c>
      <c r="I12" s="389" t="e">
        <f>$D12/1000*'Falhas UM-3-2 Qty'!I12</f>
        <v>#N/A</v>
      </c>
      <c r="J12" s="389" t="e">
        <f>$D12/1000*'Falhas UM-3-2 Qty'!J12</f>
        <v>#N/A</v>
      </c>
      <c r="K12" s="389" t="e">
        <f>$D12/1000*'Falhas UM-3-2 Qty'!K12</f>
        <v>#N/A</v>
      </c>
      <c r="L12" s="389" t="e">
        <f>$D12/1000*'Falhas UM-3-2 Qty'!L12</f>
        <v>#N/A</v>
      </c>
      <c r="M12" s="389" t="e">
        <f>$D12/1000*'Falhas UM-3-2 Qty'!M12</f>
        <v>#N/A</v>
      </c>
      <c r="N12" s="389" t="e">
        <f>$D12/1000*'Falhas UM-3-2 Qty'!N12</f>
        <v>#N/A</v>
      </c>
      <c r="O12" s="389" t="e">
        <f>$D12/1000*'Falhas UM-3-2 Qty'!O12</f>
        <v>#N/A</v>
      </c>
      <c r="P12" s="389" t="e">
        <f>$D12/1000*'Falhas UM-3-2 Qty'!P12</f>
        <v>#N/A</v>
      </c>
      <c r="Q12" s="411" t="e">
        <f t="shared" si="0"/>
        <v>#N/A</v>
      </c>
    </row>
    <row r="13" spans="1:18" ht="18" customHeight="1">
      <c r="A13" s="783"/>
      <c r="B13" s="88">
        <f t="shared" si="1"/>
        <v>3070</v>
      </c>
      <c r="C13" s="89" t="s">
        <v>41</v>
      </c>
      <c r="D13" s="146">
        <f>'Falhas UM-3-1 Cost'!D13</f>
        <v>123.17910000000001</v>
      </c>
      <c r="E13" s="389" t="e">
        <f>$D13/1000*'Falhas UM-3-2 Qty'!E13</f>
        <v>#N/A</v>
      </c>
      <c r="F13" s="389" t="e">
        <f>$D13/1000*'Falhas UM-3-2 Qty'!F13</f>
        <v>#N/A</v>
      </c>
      <c r="G13" s="389" t="e">
        <f>$D13/1000*'Falhas UM-3-2 Qty'!G13</f>
        <v>#N/A</v>
      </c>
      <c r="H13" s="389" t="e">
        <f>$D13/1000*'Falhas UM-3-2 Qty'!H13</f>
        <v>#N/A</v>
      </c>
      <c r="I13" s="389" t="e">
        <f>$D13/1000*'Falhas UM-3-2 Qty'!I13</f>
        <v>#N/A</v>
      </c>
      <c r="J13" s="389" t="e">
        <f>$D13/1000*'Falhas UM-3-2 Qty'!J13</f>
        <v>#N/A</v>
      </c>
      <c r="K13" s="389" t="e">
        <f>$D13/1000*'Falhas UM-3-2 Qty'!K13</f>
        <v>#N/A</v>
      </c>
      <c r="L13" s="389" t="e">
        <f>$D13/1000*'Falhas UM-3-2 Qty'!L13</f>
        <v>#N/A</v>
      </c>
      <c r="M13" s="389" t="e">
        <f>$D13/1000*'Falhas UM-3-2 Qty'!M13</f>
        <v>#N/A</v>
      </c>
      <c r="N13" s="389" t="e">
        <f>$D13/1000*'Falhas UM-3-2 Qty'!N13</f>
        <v>#N/A</v>
      </c>
      <c r="O13" s="389" t="e">
        <f>$D13/1000*'Falhas UM-3-2 Qty'!O13</f>
        <v>#N/A</v>
      </c>
      <c r="P13" s="389" t="e">
        <f>$D13/1000*'Falhas UM-3-2 Qty'!P13</f>
        <v>#N/A</v>
      </c>
      <c r="Q13" s="411" t="e">
        <f t="shared" si="0"/>
        <v>#N/A</v>
      </c>
    </row>
    <row r="14" spans="1:18" ht="18" customHeight="1">
      <c r="A14" s="783"/>
      <c r="B14" s="88">
        <f t="shared" si="1"/>
        <v>3080</v>
      </c>
      <c r="C14" s="89" t="s">
        <v>62</v>
      </c>
      <c r="D14" s="146">
        <f>'Falhas UM-3-1 Cost'!D14</f>
        <v>123.17910000000001</v>
      </c>
      <c r="E14" s="389" t="e">
        <f>$D14/1000*'Falhas UM-3-2 Qty'!E14</f>
        <v>#N/A</v>
      </c>
      <c r="F14" s="389" t="e">
        <f>$D14/1000*'Falhas UM-3-2 Qty'!F14</f>
        <v>#N/A</v>
      </c>
      <c r="G14" s="389" t="e">
        <f>$D14/1000*'Falhas UM-3-2 Qty'!G14</f>
        <v>#N/A</v>
      </c>
      <c r="H14" s="389" t="e">
        <f>$D14/1000*'Falhas UM-3-2 Qty'!H14</f>
        <v>#N/A</v>
      </c>
      <c r="I14" s="389" t="e">
        <f>$D14/1000*'Falhas UM-3-2 Qty'!I14</f>
        <v>#N/A</v>
      </c>
      <c r="J14" s="389" t="e">
        <f>$D14/1000*'Falhas UM-3-2 Qty'!J14</f>
        <v>#N/A</v>
      </c>
      <c r="K14" s="389" t="e">
        <f>$D14/1000*'Falhas UM-3-2 Qty'!K14</f>
        <v>#N/A</v>
      </c>
      <c r="L14" s="389" t="e">
        <f>$D14/1000*'Falhas UM-3-2 Qty'!L14</f>
        <v>#N/A</v>
      </c>
      <c r="M14" s="389" t="e">
        <f>$D14/1000*'Falhas UM-3-2 Qty'!M14</f>
        <v>#N/A</v>
      </c>
      <c r="N14" s="389" t="e">
        <f>$D14/1000*'Falhas UM-3-2 Qty'!N14</f>
        <v>#N/A</v>
      </c>
      <c r="O14" s="389" t="e">
        <f>$D14/1000*'Falhas UM-3-2 Qty'!O14</f>
        <v>#N/A</v>
      </c>
      <c r="P14" s="389" t="e">
        <f>$D14/1000*'Falhas UM-3-2 Qty'!P14</f>
        <v>#N/A</v>
      </c>
      <c r="Q14" s="411" t="e">
        <f t="shared" si="0"/>
        <v>#N/A</v>
      </c>
    </row>
    <row r="15" spans="1:18" ht="18" customHeight="1">
      <c r="A15" s="783"/>
      <c r="B15" s="88">
        <f t="shared" si="1"/>
        <v>3090</v>
      </c>
      <c r="C15" s="89" t="s">
        <v>83</v>
      </c>
      <c r="D15" s="146">
        <f>'Falhas UM-3-1 Cost'!D15</f>
        <v>164.52930000000001</v>
      </c>
      <c r="E15" s="389" t="e">
        <f>$D15/1000*'Falhas UM-3-2 Qty'!E15</f>
        <v>#N/A</v>
      </c>
      <c r="F15" s="389" t="e">
        <f>$D15/1000*'Falhas UM-3-2 Qty'!F15</f>
        <v>#N/A</v>
      </c>
      <c r="G15" s="389" t="e">
        <f>$D15/1000*'Falhas UM-3-2 Qty'!G15</f>
        <v>#N/A</v>
      </c>
      <c r="H15" s="389" t="e">
        <f>$D15/1000*'Falhas UM-3-2 Qty'!H15</f>
        <v>#N/A</v>
      </c>
      <c r="I15" s="389" t="e">
        <f>$D15/1000*'Falhas UM-3-2 Qty'!I15</f>
        <v>#N/A</v>
      </c>
      <c r="J15" s="389" t="e">
        <f>$D15/1000*'Falhas UM-3-2 Qty'!J15</f>
        <v>#N/A</v>
      </c>
      <c r="K15" s="389" t="e">
        <f>$D15/1000*'Falhas UM-3-2 Qty'!K15</f>
        <v>#N/A</v>
      </c>
      <c r="L15" s="389" t="e">
        <f>$D15/1000*'Falhas UM-3-2 Qty'!L15</f>
        <v>#N/A</v>
      </c>
      <c r="M15" s="389" t="e">
        <f>$D15/1000*'Falhas UM-3-2 Qty'!M15</f>
        <v>#N/A</v>
      </c>
      <c r="N15" s="389" t="e">
        <f>$D15/1000*'Falhas UM-3-2 Qty'!N15</f>
        <v>#N/A</v>
      </c>
      <c r="O15" s="389" t="e">
        <f>$D15/1000*'Falhas UM-3-2 Qty'!O15</f>
        <v>#N/A</v>
      </c>
      <c r="P15" s="389" t="e">
        <f>$D15/1000*'Falhas UM-3-2 Qty'!P15</f>
        <v>#N/A</v>
      </c>
      <c r="Q15" s="411" t="e">
        <f t="shared" si="0"/>
        <v>#N/A</v>
      </c>
    </row>
    <row r="16" spans="1:18" ht="18" customHeight="1">
      <c r="A16" s="783"/>
      <c r="B16" s="88">
        <f t="shared" si="1"/>
        <v>3100</v>
      </c>
      <c r="C16" s="96" t="s">
        <v>82</v>
      </c>
      <c r="D16" s="146">
        <f>'Falhas UM-3-1 Cost'!D16</f>
        <v>11.667999999999999</v>
      </c>
      <c r="E16" s="389" t="e">
        <f>$D16/1000*'Falhas UM-3-2 Qty'!E16</f>
        <v>#N/A</v>
      </c>
      <c r="F16" s="389" t="e">
        <f>$D16/1000*'Falhas UM-3-2 Qty'!F16</f>
        <v>#N/A</v>
      </c>
      <c r="G16" s="389" t="e">
        <f>$D16/1000*'Falhas UM-3-2 Qty'!G16</f>
        <v>#N/A</v>
      </c>
      <c r="H16" s="389" t="e">
        <f>$D16/1000*'Falhas UM-3-2 Qty'!H16</f>
        <v>#N/A</v>
      </c>
      <c r="I16" s="389" t="e">
        <f>$D16/1000*'Falhas UM-3-2 Qty'!I16</f>
        <v>#N/A</v>
      </c>
      <c r="J16" s="389" t="e">
        <f>$D16/1000*'Falhas UM-3-2 Qty'!J16</f>
        <v>#N/A</v>
      </c>
      <c r="K16" s="389" t="e">
        <f>$D16/1000*'Falhas UM-3-2 Qty'!K16</f>
        <v>#N/A</v>
      </c>
      <c r="L16" s="389" t="e">
        <f>$D16/1000*'Falhas UM-3-2 Qty'!L16</f>
        <v>#N/A</v>
      </c>
      <c r="M16" s="389" t="e">
        <f>$D16/1000*'Falhas UM-3-2 Qty'!M16</f>
        <v>#N/A</v>
      </c>
      <c r="N16" s="389" t="e">
        <f>$D16/1000*'Falhas UM-3-2 Qty'!N16</f>
        <v>#N/A</v>
      </c>
      <c r="O16" s="389" t="e">
        <f>$D16/1000*'Falhas UM-3-2 Qty'!O16</f>
        <v>#N/A</v>
      </c>
      <c r="P16" s="389" t="e">
        <f>$D16/1000*'Falhas UM-3-2 Qty'!P16</f>
        <v>#N/A</v>
      </c>
      <c r="Q16" s="411" t="e">
        <f t="shared" si="0"/>
        <v>#N/A</v>
      </c>
      <c r="R16" s="499" t="e">
        <f>Q16/'[5]2019 Quality Business Plan'!$AO$13</f>
        <v>#N/A</v>
      </c>
    </row>
    <row r="17" spans="1:17" ht="18" customHeight="1">
      <c r="A17" s="783"/>
      <c r="B17" s="88">
        <f t="shared" si="1"/>
        <v>3110</v>
      </c>
      <c r="C17" s="96" t="s">
        <v>81</v>
      </c>
      <c r="D17" s="154">
        <f>'Falhas UM-3-1 Cost'!D17</f>
        <v>3.7541000000000002</v>
      </c>
      <c r="E17" s="390" t="e">
        <f>$D17/1000*'Falhas UM-3-2 Qty'!E17</f>
        <v>#N/A</v>
      </c>
      <c r="F17" s="390" t="e">
        <f>$D17/1000*'Falhas UM-3-2 Qty'!F17</f>
        <v>#N/A</v>
      </c>
      <c r="G17" s="390" t="e">
        <f>$D17/1000*'Falhas UM-3-2 Qty'!G17</f>
        <v>#N/A</v>
      </c>
      <c r="H17" s="390" t="e">
        <f>$D17/1000*'Falhas UM-3-2 Qty'!H17</f>
        <v>#N/A</v>
      </c>
      <c r="I17" s="390" t="e">
        <f>$D17/1000*'Falhas UM-3-2 Qty'!I17</f>
        <v>#N/A</v>
      </c>
      <c r="J17" s="390" t="e">
        <f>$D17/1000*'Falhas UM-3-2 Qty'!J17</f>
        <v>#N/A</v>
      </c>
      <c r="K17" s="390" t="e">
        <f>$D17/1000*'Falhas UM-3-2 Qty'!K17</f>
        <v>#N/A</v>
      </c>
      <c r="L17" s="390" t="e">
        <f>$D17/1000*'Falhas UM-3-2 Qty'!L17</f>
        <v>#N/A</v>
      </c>
      <c r="M17" s="390" t="e">
        <f>$D17/1000*'Falhas UM-3-2 Qty'!M17</f>
        <v>#N/A</v>
      </c>
      <c r="N17" s="390" t="e">
        <f>$D17/1000*'Falhas UM-3-2 Qty'!N17</f>
        <v>#N/A</v>
      </c>
      <c r="O17" s="390" t="e">
        <f>$D17/1000*'Falhas UM-3-2 Qty'!O17</f>
        <v>#N/A</v>
      </c>
      <c r="P17" s="390" t="e">
        <f>$D17/1000*'Falhas UM-3-2 Qty'!P17</f>
        <v>#N/A</v>
      </c>
      <c r="Q17" s="412" t="e">
        <f t="shared" si="0"/>
        <v>#N/A</v>
      </c>
    </row>
    <row r="18" spans="1:17" ht="18" customHeight="1">
      <c r="A18" s="783"/>
      <c r="B18" s="88">
        <f t="shared" si="1"/>
        <v>3120</v>
      </c>
      <c r="C18" s="96" t="s">
        <v>80</v>
      </c>
      <c r="D18" s="355">
        <f>'Falhas UM-3-1 Cost'!D18</f>
        <v>0.60060000000000002</v>
      </c>
      <c r="E18" s="391" t="e">
        <f>$D18/1000*'Falhas UM-3-2 Qty'!E18</f>
        <v>#N/A</v>
      </c>
      <c r="F18" s="391" t="e">
        <f>$D18/1000*'Falhas UM-3-2 Qty'!F18</f>
        <v>#N/A</v>
      </c>
      <c r="G18" s="391" t="e">
        <f>$D18/1000*'Falhas UM-3-2 Qty'!G18</f>
        <v>#N/A</v>
      </c>
      <c r="H18" s="391" t="e">
        <f>$D18/1000*'Falhas UM-3-2 Qty'!H18</f>
        <v>#N/A</v>
      </c>
      <c r="I18" s="391" t="e">
        <f>$D18/1000*'Falhas UM-3-2 Qty'!I18</f>
        <v>#N/A</v>
      </c>
      <c r="J18" s="391" t="e">
        <f>$D18/1000*'Falhas UM-3-2 Qty'!J18</f>
        <v>#N/A</v>
      </c>
      <c r="K18" s="391" t="e">
        <f>$D18/1000*'Falhas UM-3-2 Qty'!K18</f>
        <v>#N/A</v>
      </c>
      <c r="L18" s="391" t="e">
        <f>$D18/1000*'Falhas UM-3-2 Qty'!L18</f>
        <v>#N/A</v>
      </c>
      <c r="M18" s="391" t="e">
        <f>$D18/1000*'Falhas UM-3-2 Qty'!M18</f>
        <v>#N/A</v>
      </c>
      <c r="N18" s="391" t="e">
        <f>$D18/1000*'Falhas UM-3-2 Qty'!N18</f>
        <v>#N/A</v>
      </c>
      <c r="O18" s="391" t="e">
        <f>$D18/1000*'Falhas UM-3-2 Qty'!O18</f>
        <v>#N/A</v>
      </c>
      <c r="P18" s="391" t="e">
        <f>$D18/1000*'Falhas UM-3-2 Qty'!P18</f>
        <v>#N/A</v>
      </c>
      <c r="Q18" s="413" t="e">
        <f t="shared" si="0"/>
        <v>#N/A</v>
      </c>
    </row>
    <row r="19" spans="1:17" ht="18" customHeight="1" thickBot="1">
      <c r="A19" s="783"/>
      <c r="B19" s="91"/>
      <c r="C19" s="92" t="s">
        <v>1</v>
      </c>
      <c r="D19" s="163">
        <f>'Falhas UM-3-1 Cost'!D19</f>
        <v>1052.6507191104918</v>
      </c>
      <c r="E19" s="392" t="e">
        <f t="shared" ref="E19:L19" si="2">SUM(E7:E18)</f>
        <v>#N/A</v>
      </c>
      <c r="F19" s="392" t="e">
        <f t="shared" si="2"/>
        <v>#N/A</v>
      </c>
      <c r="G19" s="392" t="e">
        <f t="shared" si="2"/>
        <v>#N/A</v>
      </c>
      <c r="H19" s="392" t="e">
        <f t="shared" si="2"/>
        <v>#N/A</v>
      </c>
      <c r="I19" s="392" t="e">
        <f t="shared" si="2"/>
        <v>#N/A</v>
      </c>
      <c r="J19" s="392" t="e">
        <f t="shared" si="2"/>
        <v>#N/A</v>
      </c>
      <c r="K19" s="392" t="e">
        <f t="shared" si="2"/>
        <v>#N/A</v>
      </c>
      <c r="L19" s="392" t="e">
        <f t="shared" si="2"/>
        <v>#N/A</v>
      </c>
      <c r="M19" s="392" t="e">
        <f>SUM(M7:M18)</f>
        <v>#N/A</v>
      </c>
      <c r="N19" s="392" t="e">
        <f>SUM(N7:N18)</f>
        <v>#N/A</v>
      </c>
      <c r="O19" s="392" t="e">
        <f>SUM(O7:O18)</f>
        <v>#N/A</v>
      </c>
      <c r="P19" s="392" t="e">
        <f>SUM(P7:P18)</f>
        <v>#N/A</v>
      </c>
      <c r="Q19" s="414" t="e">
        <f t="shared" si="0"/>
        <v>#N/A</v>
      </c>
    </row>
    <row r="20" spans="1:17" ht="18" customHeight="1" thickTop="1">
      <c r="A20" s="783"/>
      <c r="B20" s="88">
        <v>3130</v>
      </c>
      <c r="C20" s="89" t="s">
        <v>117</v>
      </c>
      <c r="D20" s="146">
        <f>'Falhas UM-3-1 Cost'!D20</f>
        <v>164.52930000000001</v>
      </c>
      <c r="E20" s="389" t="e">
        <f>$D20/1000*'Falhas UM-3-2 Qty'!E20</f>
        <v>#N/A</v>
      </c>
      <c r="F20" s="389" t="e">
        <f>$D20/1000*'Falhas UM-3-2 Qty'!F20</f>
        <v>#N/A</v>
      </c>
      <c r="G20" s="389" t="e">
        <f>$D20/1000*'Falhas UM-3-2 Qty'!G20</f>
        <v>#N/A</v>
      </c>
      <c r="H20" s="389" t="e">
        <f>$D20/1000*'Falhas UM-3-2 Qty'!H20</f>
        <v>#N/A</v>
      </c>
      <c r="I20" s="389" t="e">
        <f>$D20/1000*'Falhas UM-3-2 Qty'!I20</f>
        <v>#N/A</v>
      </c>
      <c r="J20" s="389" t="e">
        <f>$D20/1000*'Falhas UM-3-2 Qty'!J20</f>
        <v>#N/A</v>
      </c>
      <c r="K20" s="389" t="e">
        <f>$D20/1000*'Falhas UM-3-2 Qty'!K20</f>
        <v>#N/A</v>
      </c>
      <c r="L20" s="389" t="e">
        <f>$D20/1000*'Falhas UM-3-2 Qty'!L20</f>
        <v>#N/A</v>
      </c>
      <c r="M20" s="389" t="e">
        <f>$D20/1000*'Falhas UM-3-2 Qty'!M20</f>
        <v>#N/A</v>
      </c>
      <c r="N20" s="389" t="e">
        <f>$D20/1000*'Falhas UM-3-2 Qty'!N20</f>
        <v>#N/A</v>
      </c>
      <c r="O20" s="389" t="e">
        <f>$D20/1000*'Falhas UM-3-2 Qty'!O20</f>
        <v>#N/A</v>
      </c>
      <c r="P20" s="389" t="e">
        <f>$D20/1000*'Falhas UM-3-2 Qty'!P20</f>
        <v>#N/A</v>
      </c>
      <c r="Q20" s="411" t="e">
        <f t="shared" si="0"/>
        <v>#N/A</v>
      </c>
    </row>
    <row r="21" spans="1:17" ht="18" customHeight="1">
      <c r="A21" s="783"/>
      <c r="B21" s="88">
        <v>3135</v>
      </c>
      <c r="C21" s="96" t="s">
        <v>118</v>
      </c>
      <c r="D21" s="146">
        <f>'Falhas UM-3-1 Cost'!D21</f>
        <v>164.52930000000001</v>
      </c>
      <c r="E21" s="389" t="e">
        <f>$D21/1000*'Falhas UM-3-2 Qty'!E21</f>
        <v>#N/A</v>
      </c>
      <c r="F21" s="389" t="e">
        <f>$D21/1000*'Falhas UM-3-2 Qty'!F21</f>
        <v>#N/A</v>
      </c>
      <c r="G21" s="389" t="e">
        <f>$D21/1000*'Falhas UM-3-2 Qty'!G21</f>
        <v>#N/A</v>
      </c>
      <c r="H21" s="389" t="e">
        <f>$D21/1000*'Falhas UM-3-2 Qty'!H21</f>
        <v>#N/A</v>
      </c>
      <c r="I21" s="389" t="e">
        <f>$D21/1000*'Falhas UM-3-2 Qty'!I21</f>
        <v>#N/A</v>
      </c>
      <c r="J21" s="389" t="e">
        <f>$D21/1000*'Falhas UM-3-2 Qty'!J21</f>
        <v>#N/A</v>
      </c>
      <c r="K21" s="389" t="e">
        <f>$D21/1000*'Falhas UM-3-2 Qty'!K21</f>
        <v>#N/A</v>
      </c>
      <c r="L21" s="389" t="e">
        <f>$D21/1000*'Falhas UM-3-2 Qty'!L21</f>
        <v>#N/A</v>
      </c>
      <c r="M21" s="389" t="e">
        <f>$D21/1000*'Falhas UM-3-2 Qty'!M21</f>
        <v>#N/A</v>
      </c>
      <c r="N21" s="389" t="e">
        <f>$D21/1000*'Falhas UM-3-2 Qty'!N21</f>
        <v>#N/A</v>
      </c>
      <c r="O21" s="389" t="e">
        <f>$D21/1000*'Falhas UM-3-2 Qty'!O21</f>
        <v>#N/A</v>
      </c>
      <c r="P21" s="389" t="e">
        <f>$D21/1000*'Falhas UM-3-2 Qty'!P21</f>
        <v>#N/A</v>
      </c>
      <c r="Q21" s="411" t="e">
        <f t="shared" si="0"/>
        <v>#N/A</v>
      </c>
    </row>
    <row r="22" spans="1:17" ht="18" customHeight="1">
      <c r="A22" s="783"/>
      <c r="B22" s="88">
        <v>3140</v>
      </c>
      <c r="C22" s="96" t="s">
        <v>119</v>
      </c>
      <c r="D22" s="146">
        <f>'Falhas UM-3-1 Cost'!D22</f>
        <v>164.52930000000001</v>
      </c>
      <c r="E22" s="389" t="e">
        <f>$D22/1000*'Falhas UM-3-2 Qty'!E22</f>
        <v>#N/A</v>
      </c>
      <c r="F22" s="389" t="e">
        <f>$D22/1000*'Falhas UM-3-2 Qty'!F22</f>
        <v>#N/A</v>
      </c>
      <c r="G22" s="389" t="e">
        <f>$D22/1000*'Falhas UM-3-2 Qty'!G22</f>
        <v>#N/A</v>
      </c>
      <c r="H22" s="389" t="e">
        <f>$D22/1000*'Falhas UM-3-2 Qty'!H22</f>
        <v>#N/A</v>
      </c>
      <c r="I22" s="389" t="e">
        <f>$D22/1000*'Falhas UM-3-2 Qty'!I22</f>
        <v>#N/A</v>
      </c>
      <c r="J22" s="389" t="e">
        <f>$D22/1000*'Falhas UM-3-2 Qty'!J22</f>
        <v>#N/A</v>
      </c>
      <c r="K22" s="389" t="e">
        <f>$D22/1000*'Falhas UM-3-2 Qty'!K22</f>
        <v>#N/A</v>
      </c>
      <c r="L22" s="389" t="e">
        <f>$D22/1000*'Falhas UM-3-2 Qty'!L22</f>
        <v>#N/A</v>
      </c>
      <c r="M22" s="389" t="e">
        <f>$D22/1000*'Falhas UM-3-2 Qty'!M22</f>
        <v>#N/A</v>
      </c>
      <c r="N22" s="389" t="e">
        <f>$D22/1000*'Falhas UM-3-2 Qty'!N22</f>
        <v>#N/A</v>
      </c>
      <c r="O22" s="389" t="e">
        <f>$D22/1000*'Falhas UM-3-2 Qty'!O22</f>
        <v>#N/A</v>
      </c>
      <c r="P22" s="389" t="e">
        <f>$D22/1000*'Falhas UM-3-2 Qty'!P22</f>
        <v>#N/A</v>
      </c>
      <c r="Q22" s="411" t="e">
        <f t="shared" si="0"/>
        <v>#N/A</v>
      </c>
    </row>
    <row r="23" spans="1:17" ht="18" customHeight="1">
      <c r="A23" s="783"/>
      <c r="B23" s="88">
        <f>B22+5</f>
        <v>3145</v>
      </c>
      <c r="C23" s="96" t="s">
        <v>120</v>
      </c>
      <c r="D23" s="146">
        <f>'Falhas UM-3-1 Cost'!D23</f>
        <v>164.52930000000001</v>
      </c>
      <c r="E23" s="389" t="e">
        <f>$D23/1000*'Falhas UM-3-2 Qty'!E23</f>
        <v>#N/A</v>
      </c>
      <c r="F23" s="389" t="e">
        <f>$D23/1000*'Falhas UM-3-2 Qty'!F23</f>
        <v>#N/A</v>
      </c>
      <c r="G23" s="389" t="e">
        <f>$D23/1000*'Falhas UM-3-2 Qty'!G23</f>
        <v>#N/A</v>
      </c>
      <c r="H23" s="389" t="e">
        <f>$D23/1000*'Falhas UM-3-2 Qty'!H23</f>
        <v>#N/A</v>
      </c>
      <c r="I23" s="389" t="e">
        <f>$D23/1000*'Falhas UM-3-2 Qty'!I23</f>
        <v>#N/A</v>
      </c>
      <c r="J23" s="389" t="e">
        <f>$D23/1000*'Falhas UM-3-2 Qty'!J23</f>
        <v>#N/A</v>
      </c>
      <c r="K23" s="389" t="e">
        <f>$D23/1000*'Falhas UM-3-2 Qty'!K23</f>
        <v>#N/A</v>
      </c>
      <c r="L23" s="389" t="e">
        <f>$D23/1000*'Falhas UM-3-2 Qty'!L23</f>
        <v>#N/A</v>
      </c>
      <c r="M23" s="389" t="e">
        <f>$D23/1000*'Falhas UM-3-2 Qty'!M23</f>
        <v>#N/A</v>
      </c>
      <c r="N23" s="389" t="e">
        <f>$D23/1000*'Falhas UM-3-2 Qty'!N23</f>
        <v>#N/A</v>
      </c>
      <c r="O23" s="389" t="e">
        <f>$D23/1000*'Falhas UM-3-2 Qty'!O23</f>
        <v>#N/A</v>
      </c>
      <c r="P23" s="389" t="e">
        <f>$D23/1000*'Falhas UM-3-2 Qty'!P23</f>
        <v>#N/A</v>
      </c>
      <c r="Q23" s="411" t="e">
        <f t="shared" si="0"/>
        <v>#N/A</v>
      </c>
    </row>
    <row r="24" spans="1:17" ht="18" customHeight="1">
      <c r="A24" s="783"/>
      <c r="B24" s="209">
        <f t="shared" ref="B24:B36" si="3">B23+5</f>
        <v>3150</v>
      </c>
      <c r="C24" s="97" t="s">
        <v>121</v>
      </c>
      <c r="D24" s="356">
        <f>'Falhas UM-3-1 Cost'!D24</f>
        <v>164.52930000000001</v>
      </c>
      <c r="E24" s="393" t="e">
        <f>$D24/1000*'Falhas UM-3-2 Qty'!E24</f>
        <v>#N/A</v>
      </c>
      <c r="F24" s="393" t="e">
        <f>$D24/1000*'Falhas UM-3-2 Qty'!F24</f>
        <v>#N/A</v>
      </c>
      <c r="G24" s="393" t="e">
        <f>$D24/1000*'Falhas UM-3-2 Qty'!G24</f>
        <v>#N/A</v>
      </c>
      <c r="H24" s="393" t="e">
        <f>$D24/1000*'Falhas UM-3-2 Qty'!H24</f>
        <v>#N/A</v>
      </c>
      <c r="I24" s="393" t="e">
        <f>$D24/1000*'Falhas UM-3-2 Qty'!I24</f>
        <v>#N/A</v>
      </c>
      <c r="J24" s="393" t="e">
        <f>$D24/1000*'Falhas UM-3-2 Qty'!J24</f>
        <v>#N/A</v>
      </c>
      <c r="K24" s="393" t="e">
        <f>$D24/1000*'Falhas UM-3-2 Qty'!K24</f>
        <v>#N/A</v>
      </c>
      <c r="L24" s="393" t="e">
        <f>$D24/1000*'Falhas UM-3-2 Qty'!L24</f>
        <v>#N/A</v>
      </c>
      <c r="M24" s="393" t="e">
        <f>$D24/1000*'Falhas UM-3-2 Qty'!M24</f>
        <v>#N/A</v>
      </c>
      <c r="N24" s="393" t="e">
        <f>$D24/1000*'Falhas UM-3-2 Qty'!N24</f>
        <v>#N/A</v>
      </c>
      <c r="O24" s="393" t="e">
        <f>$D24/1000*'Falhas UM-3-2 Qty'!O24</f>
        <v>#N/A</v>
      </c>
      <c r="P24" s="393" t="e">
        <f>$D24/1000*'Falhas UM-3-2 Qty'!P24</f>
        <v>#N/A</v>
      </c>
      <c r="Q24" s="415" t="e">
        <f t="shared" si="0"/>
        <v>#N/A</v>
      </c>
    </row>
    <row r="25" spans="1:17" ht="18" customHeight="1">
      <c r="A25" s="783"/>
      <c r="B25" s="88">
        <f t="shared" si="3"/>
        <v>3155</v>
      </c>
      <c r="C25" s="89" t="s">
        <v>124</v>
      </c>
      <c r="D25" s="146">
        <f>'Falhas UM-3-1 Cost'!D25</f>
        <v>164.52930000000001</v>
      </c>
      <c r="E25" s="389" t="e">
        <f>$D25/1000*'Falhas UM-3-2 Qty'!E25</f>
        <v>#N/A</v>
      </c>
      <c r="F25" s="389" t="e">
        <f>$D25/1000*'Falhas UM-3-2 Qty'!F25</f>
        <v>#N/A</v>
      </c>
      <c r="G25" s="389" t="e">
        <f>$D25/1000*'Falhas UM-3-2 Qty'!G25</f>
        <v>#N/A</v>
      </c>
      <c r="H25" s="389" t="e">
        <f>$D25/1000*'Falhas UM-3-2 Qty'!H25</f>
        <v>#N/A</v>
      </c>
      <c r="I25" s="389" t="e">
        <f>$D25/1000*'Falhas UM-3-2 Qty'!I25</f>
        <v>#N/A</v>
      </c>
      <c r="J25" s="389" t="e">
        <f>$D25/1000*'Falhas UM-3-2 Qty'!J25</f>
        <v>#N/A</v>
      </c>
      <c r="K25" s="389" t="e">
        <f>$D25/1000*'Falhas UM-3-2 Qty'!K25</f>
        <v>#N/A</v>
      </c>
      <c r="L25" s="389" t="e">
        <f>$D25/1000*'Falhas UM-3-2 Qty'!L25</f>
        <v>#N/A</v>
      </c>
      <c r="M25" s="389" t="e">
        <f>$D25/1000*'Falhas UM-3-2 Qty'!M25</f>
        <v>#N/A</v>
      </c>
      <c r="N25" s="389" t="e">
        <f>$D25/1000*'Falhas UM-3-2 Qty'!N25</f>
        <v>#N/A</v>
      </c>
      <c r="O25" s="389" t="e">
        <f>$D25/1000*'Falhas UM-3-2 Qty'!O25</f>
        <v>#N/A</v>
      </c>
      <c r="P25" s="389" t="e">
        <f>$D25/1000*'Falhas UM-3-2 Qty'!P25</f>
        <v>#N/A</v>
      </c>
      <c r="Q25" s="411" t="e">
        <f t="shared" si="0"/>
        <v>#N/A</v>
      </c>
    </row>
    <row r="26" spans="1:17" ht="18" customHeight="1">
      <c r="A26" s="783"/>
      <c r="B26" s="88">
        <f t="shared" si="3"/>
        <v>3160</v>
      </c>
      <c r="C26" s="96" t="s">
        <v>135</v>
      </c>
      <c r="D26" s="146">
        <f>'Falhas UM-3-1 Cost'!D26</f>
        <v>164.52930000000001</v>
      </c>
      <c r="E26" s="389" t="e">
        <f>$D26/1000*'Falhas UM-3-2 Qty'!E26</f>
        <v>#N/A</v>
      </c>
      <c r="F26" s="389" t="e">
        <f>$D26/1000*'Falhas UM-3-2 Qty'!F26</f>
        <v>#N/A</v>
      </c>
      <c r="G26" s="389" t="e">
        <f>$D26/1000*'Falhas UM-3-2 Qty'!G26</f>
        <v>#N/A</v>
      </c>
      <c r="H26" s="389" t="e">
        <f>$D26/1000*'Falhas UM-3-2 Qty'!H26</f>
        <v>#N/A</v>
      </c>
      <c r="I26" s="389" t="e">
        <f>$D26/1000*'Falhas UM-3-2 Qty'!I26</f>
        <v>#N/A</v>
      </c>
      <c r="J26" s="389" t="e">
        <f>$D26/1000*'Falhas UM-3-2 Qty'!J26</f>
        <v>#N/A</v>
      </c>
      <c r="K26" s="389" t="e">
        <f>$D26/1000*'Falhas UM-3-2 Qty'!K26</f>
        <v>#N/A</v>
      </c>
      <c r="L26" s="389" t="e">
        <f>$D26/1000*'Falhas UM-3-2 Qty'!L26</f>
        <v>#N/A</v>
      </c>
      <c r="M26" s="389" t="e">
        <f>$D26/1000*'Falhas UM-3-2 Qty'!M26</f>
        <v>#N/A</v>
      </c>
      <c r="N26" s="389" t="e">
        <f>$D26/1000*'Falhas UM-3-2 Qty'!N26</f>
        <v>#N/A</v>
      </c>
      <c r="O26" s="389" t="e">
        <f>$D26/1000*'Falhas UM-3-2 Qty'!O26</f>
        <v>#N/A</v>
      </c>
      <c r="P26" s="389" t="e">
        <f>$D26/1000*'Falhas UM-3-2 Qty'!P26</f>
        <v>#N/A</v>
      </c>
      <c r="Q26" s="411" t="e">
        <f t="shared" si="0"/>
        <v>#N/A</v>
      </c>
    </row>
    <row r="27" spans="1:17" ht="18" customHeight="1">
      <c r="A27" s="783"/>
      <c r="B27" s="88">
        <f t="shared" si="3"/>
        <v>3165</v>
      </c>
      <c r="C27" s="96" t="s">
        <v>136</v>
      </c>
      <c r="D27" s="146">
        <f>'Falhas UM-3-1 Cost'!D27</f>
        <v>164.52930000000001</v>
      </c>
      <c r="E27" s="389" t="e">
        <f>$D27/1000*'Falhas UM-3-2 Qty'!E27</f>
        <v>#N/A</v>
      </c>
      <c r="F27" s="389" t="e">
        <f>$D27/1000*'Falhas UM-3-2 Qty'!F27</f>
        <v>#N/A</v>
      </c>
      <c r="G27" s="389" t="e">
        <f>$D27/1000*'Falhas UM-3-2 Qty'!G27</f>
        <v>#N/A</v>
      </c>
      <c r="H27" s="389" t="e">
        <f>$D27/1000*'Falhas UM-3-2 Qty'!H27</f>
        <v>#N/A</v>
      </c>
      <c r="I27" s="389" t="e">
        <f>$D27/1000*'Falhas UM-3-2 Qty'!I27</f>
        <v>#N/A</v>
      </c>
      <c r="J27" s="389" t="e">
        <f>$D27/1000*'Falhas UM-3-2 Qty'!J27</f>
        <v>#N/A</v>
      </c>
      <c r="K27" s="389" t="e">
        <f>$D27/1000*'Falhas UM-3-2 Qty'!K27</f>
        <v>#N/A</v>
      </c>
      <c r="L27" s="389" t="e">
        <f>$D27/1000*'Falhas UM-3-2 Qty'!L27</f>
        <v>#N/A</v>
      </c>
      <c r="M27" s="389" t="e">
        <f>$D27/1000*'Falhas UM-3-2 Qty'!M27</f>
        <v>#N/A</v>
      </c>
      <c r="N27" s="389" t="e">
        <f>$D27/1000*'Falhas UM-3-2 Qty'!N27</f>
        <v>#N/A</v>
      </c>
      <c r="O27" s="389" t="e">
        <f>$D27/1000*'Falhas UM-3-2 Qty'!O27</f>
        <v>#N/A</v>
      </c>
      <c r="P27" s="389" t="e">
        <f>$D27/1000*'Falhas UM-3-2 Qty'!P27</f>
        <v>#N/A</v>
      </c>
      <c r="Q27" s="411" t="e">
        <f t="shared" si="0"/>
        <v>#N/A</v>
      </c>
    </row>
    <row r="28" spans="1:17" ht="18" customHeight="1">
      <c r="A28" s="783"/>
      <c r="B28" s="88">
        <f t="shared" si="3"/>
        <v>3170</v>
      </c>
      <c r="C28" s="96" t="s">
        <v>137</v>
      </c>
      <c r="D28" s="146">
        <f>'Falhas UM-3-1 Cost'!D28</f>
        <v>164.52930000000001</v>
      </c>
      <c r="E28" s="389" t="e">
        <f>$D28/1000*'Falhas UM-3-2 Qty'!E28</f>
        <v>#N/A</v>
      </c>
      <c r="F28" s="389" t="e">
        <f>$D28/1000*'Falhas UM-3-2 Qty'!F28</f>
        <v>#N/A</v>
      </c>
      <c r="G28" s="389" t="e">
        <f>$D28/1000*'Falhas UM-3-2 Qty'!G28</f>
        <v>#N/A</v>
      </c>
      <c r="H28" s="389" t="e">
        <f>$D28/1000*'Falhas UM-3-2 Qty'!H28</f>
        <v>#N/A</v>
      </c>
      <c r="I28" s="389" t="e">
        <f>$D28/1000*'Falhas UM-3-2 Qty'!I28</f>
        <v>#N/A</v>
      </c>
      <c r="J28" s="389" t="e">
        <f>$D28/1000*'Falhas UM-3-2 Qty'!J28</f>
        <v>#N/A</v>
      </c>
      <c r="K28" s="389" t="e">
        <f>$D28/1000*'Falhas UM-3-2 Qty'!K28</f>
        <v>#N/A</v>
      </c>
      <c r="L28" s="389" t="e">
        <f>$D28/1000*'Falhas UM-3-2 Qty'!L28</f>
        <v>#N/A</v>
      </c>
      <c r="M28" s="389" t="e">
        <f>$D28/1000*'Falhas UM-3-2 Qty'!M28</f>
        <v>#N/A</v>
      </c>
      <c r="N28" s="389" t="e">
        <f>$D28/1000*'Falhas UM-3-2 Qty'!N28</f>
        <v>#N/A</v>
      </c>
      <c r="O28" s="389" t="e">
        <f>$D28/1000*'Falhas UM-3-2 Qty'!O28</f>
        <v>#N/A</v>
      </c>
      <c r="P28" s="389" t="e">
        <f>$D28/1000*'Falhas UM-3-2 Qty'!P28</f>
        <v>#N/A</v>
      </c>
      <c r="Q28" s="411" t="e">
        <f t="shared" si="0"/>
        <v>#N/A</v>
      </c>
    </row>
    <row r="29" spans="1:17" ht="18" customHeight="1">
      <c r="A29" s="783"/>
      <c r="B29" s="88">
        <f t="shared" si="3"/>
        <v>3175</v>
      </c>
      <c r="C29" s="96" t="s">
        <v>138</v>
      </c>
      <c r="D29" s="146">
        <f>'Falhas UM-3-1 Cost'!D29</f>
        <v>164.52930000000001</v>
      </c>
      <c r="E29" s="389" t="e">
        <f>$D29/1000*'Falhas UM-3-2 Qty'!E29</f>
        <v>#N/A</v>
      </c>
      <c r="F29" s="389" t="e">
        <f>$D29/1000*'Falhas UM-3-2 Qty'!F29</f>
        <v>#N/A</v>
      </c>
      <c r="G29" s="389" t="e">
        <f>$D29/1000*'Falhas UM-3-2 Qty'!G29</f>
        <v>#N/A</v>
      </c>
      <c r="H29" s="389" t="e">
        <f>$D29/1000*'Falhas UM-3-2 Qty'!H29</f>
        <v>#N/A</v>
      </c>
      <c r="I29" s="389" t="e">
        <f>$D29/1000*'Falhas UM-3-2 Qty'!I29</f>
        <v>#N/A</v>
      </c>
      <c r="J29" s="389" t="e">
        <f>$D29/1000*'Falhas UM-3-2 Qty'!J29</f>
        <v>#N/A</v>
      </c>
      <c r="K29" s="389" t="e">
        <f>$D29/1000*'Falhas UM-3-2 Qty'!K29</f>
        <v>#N/A</v>
      </c>
      <c r="L29" s="389" t="e">
        <f>$D29/1000*'Falhas UM-3-2 Qty'!L29</f>
        <v>#N/A</v>
      </c>
      <c r="M29" s="389" t="e">
        <f>$D29/1000*'Falhas UM-3-2 Qty'!M29</f>
        <v>#N/A</v>
      </c>
      <c r="N29" s="389" t="e">
        <f>$D29/1000*'Falhas UM-3-2 Qty'!N29</f>
        <v>#N/A</v>
      </c>
      <c r="O29" s="389" t="e">
        <f>$D29/1000*'Falhas UM-3-2 Qty'!O29</f>
        <v>#N/A</v>
      </c>
      <c r="P29" s="389" t="e">
        <f>$D29/1000*'Falhas UM-3-2 Qty'!P29</f>
        <v>#N/A</v>
      </c>
      <c r="Q29" s="411" t="e">
        <f t="shared" si="0"/>
        <v>#N/A</v>
      </c>
    </row>
    <row r="30" spans="1:17" ht="18" customHeight="1">
      <c r="A30" s="783"/>
      <c r="B30" s="210">
        <f t="shared" si="3"/>
        <v>3180</v>
      </c>
      <c r="C30" s="99" t="s">
        <v>139</v>
      </c>
      <c r="D30" s="355">
        <f>'Falhas UM-3-1 Cost'!D30</f>
        <v>164.52930000000001</v>
      </c>
      <c r="E30" s="391" t="e">
        <f>$D30/1000*'Falhas UM-3-2 Qty'!E30</f>
        <v>#N/A</v>
      </c>
      <c r="F30" s="391" t="e">
        <f>$D30/1000*'Falhas UM-3-2 Qty'!F30</f>
        <v>#N/A</v>
      </c>
      <c r="G30" s="391" t="e">
        <f>$D30/1000*'Falhas UM-3-2 Qty'!G30</f>
        <v>#N/A</v>
      </c>
      <c r="H30" s="391" t="e">
        <f>$D30/1000*'Falhas UM-3-2 Qty'!H30</f>
        <v>#N/A</v>
      </c>
      <c r="I30" s="391" t="e">
        <f>$D30/1000*'Falhas UM-3-2 Qty'!I30</f>
        <v>#N/A</v>
      </c>
      <c r="J30" s="391" t="e">
        <f>$D30/1000*'Falhas UM-3-2 Qty'!J30</f>
        <v>#N/A</v>
      </c>
      <c r="K30" s="391" t="e">
        <f>$D30/1000*'Falhas UM-3-2 Qty'!K30</f>
        <v>#N/A</v>
      </c>
      <c r="L30" s="391" t="e">
        <f>$D30/1000*'Falhas UM-3-2 Qty'!L30</f>
        <v>#N/A</v>
      </c>
      <c r="M30" s="391" t="e">
        <f>$D30/1000*'Falhas UM-3-2 Qty'!M30</f>
        <v>#N/A</v>
      </c>
      <c r="N30" s="391" t="e">
        <f>$D30/1000*'Falhas UM-3-2 Qty'!N30</f>
        <v>#N/A</v>
      </c>
      <c r="O30" s="391" t="e">
        <f>$D30/1000*'Falhas UM-3-2 Qty'!O30</f>
        <v>#N/A</v>
      </c>
      <c r="P30" s="391" t="e">
        <f>$D30/1000*'Falhas UM-3-2 Qty'!P30</f>
        <v>#N/A</v>
      </c>
      <c r="Q30" s="413" t="e">
        <f t="shared" si="0"/>
        <v>#N/A</v>
      </c>
    </row>
    <row r="31" spans="1:17" ht="18" customHeight="1">
      <c r="A31" s="783"/>
      <c r="B31" s="211">
        <f t="shared" si="3"/>
        <v>3185</v>
      </c>
      <c r="C31" s="96" t="s">
        <v>140</v>
      </c>
      <c r="D31" s="154">
        <f>'Falhas UM-3-1 Cost'!D31</f>
        <v>164.52930000000001</v>
      </c>
      <c r="E31" s="390" t="e">
        <f>$D31/1000*'Falhas UM-3-2 Qty'!E31</f>
        <v>#N/A</v>
      </c>
      <c r="F31" s="390" t="e">
        <f>$D31/1000*'Falhas UM-3-2 Qty'!F31</f>
        <v>#N/A</v>
      </c>
      <c r="G31" s="390" t="e">
        <f>$D31/1000*'Falhas UM-3-2 Qty'!G31</f>
        <v>#N/A</v>
      </c>
      <c r="H31" s="390" t="e">
        <f>$D31/1000*'Falhas UM-3-2 Qty'!H31</f>
        <v>#N/A</v>
      </c>
      <c r="I31" s="390" t="e">
        <f>$D31/1000*'Falhas UM-3-2 Qty'!I31</f>
        <v>#N/A</v>
      </c>
      <c r="J31" s="390" t="e">
        <f>$D31/1000*'Falhas UM-3-2 Qty'!J31</f>
        <v>#N/A</v>
      </c>
      <c r="K31" s="390" t="e">
        <f>$D31/1000*'Falhas UM-3-2 Qty'!K31</f>
        <v>#N/A</v>
      </c>
      <c r="L31" s="390" t="e">
        <f>$D31/1000*'Falhas UM-3-2 Qty'!L31</f>
        <v>#N/A</v>
      </c>
      <c r="M31" s="390" t="e">
        <f>$D31/1000*'Falhas UM-3-2 Qty'!M31</f>
        <v>#N/A</v>
      </c>
      <c r="N31" s="390" t="e">
        <f>$D31/1000*'Falhas UM-3-2 Qty'!N31</f>
        <v>#N/A</v>
      </c>
      <c r="O31" s="390" t="e">
        <f>$D31/1000*'Falhas UM-3-2 Qty'!O31</f>
        <v>#N/A</v>
      </c>
      <c r="P31" s="390" t="e">
        <f>$D31/1000*'Falhas UM-3-2 Qty'!P31</f>
        <v>#N/A</v>
      </c>
      <c r="Q31" s="412" t="e">
        <f t="shared" si="0"/>
        <v>#N/A</v>
      </c>
    </row>
    <row r="32" spans="1:17" ht="18" customHeight="1">
      <c r="A32" s="783"/>
      <c r="B32" s="88">
        <f t="shared" si="3"/>
        <v>3190</v>
      </c>
      <c r="C32" s="96" t="s">
        <v>122</v>
      </c>
      <c r="D32" s="146">
        <f>'Falhas UM-3-1 Cost'!D32</f>
        <v>164.52930000000001</v>
      </c>
      <c r="E32" s="389" t="e">
        <f>$D32/1000*'Falhas UM-3-2 Qty'!E32</f>
        <v>#N/A</v>
      </c>
      <c r="F32" s="389" t="e">
        <f>$D32/1000*'Falhas UM-3-2 Qty'!F32</f>
        <v>#N/A</v>
      </c>
      <c r="G32" s="389" t="e">
        <f>$D32/1000*'Falhas UM-3-2 Qty'!G32</f>
        <v>#N/A</v>
      </c>
      <c r="H32" s="389" t="e">
        <f>$D32/1000*'Falhas UM-3-2 Qty'!H32</f>
        <v>#N/A</v>
      </c>
      <c r="I32" s="389" t="e">
        <f>$D32/1000*'Falhas UM-3-2 Qty'!I32</f>
        <v>#N/A</v>
      </c>
      <c r="J32" s="389" t="e">
        <f>$D32/1000*'Falhas UM-3-2 Qty'!J32</f>
        <v>#N/A</v>
      </c>
      <c r="K32" s="389" t="e">
        <f>$D32/1000*'Falhas UM-3-2 Qty'!K32</f>
        <v>#N/A</v>
      </c>
      <c r="L32" s="389" t="e">
        <f>$D32/1000*'Falhas UM-3-2 Qty'!L32</f>
        <v>#N/A</v>
      </c>
      <c r="M32" s="389" t="e">
        <f>$D32/1000*'Falhas UM-3-2 Qty'!M32</f>
        <v>#N/A</v>
      </c>
      <c r="N32" s="389" t="e">
        <f>$D32/1000*'Falhas UM-3-2 Qty'!N32</f>
        <v>#N/A</v>
      </c>
      <c r="O32" s="389" t="e">
        <f>$D32/1000*'Falhas UM-3-2 Qty'!O32</f>
        <v>#N/A</v>
      </c>
      <c r="P32" s="389" t="e">
        <f>$D32/1000*'Falhas UM-3-2 Qty'!P32</f>
        <v>#N/A</v>
      </c>
      <c r="Q32" s="411" t="e">
        <f t="shared" si="0"/>
        <v>#N/A</v>
      </c>
    </row>
    <row r="33" spans="1:18" ht="18" customHeight="1">
      <c r="A33" s="783"/>
      <c r="B33" s="88">
        <f t="shared" si="3"/>
        <v>3195</v>
      </c>
      <c r="C33" s="96" t="s">
        <v>141</v>
      </c>
      <c r="D33" s="146">
        <f>'Falhas UM-3-1 Cost'!D33</f>
        <v>164.52930000000001</v>
      </c>
      <c r="E33" s="389" t="e">
        <f>$D33/1000*'Falhas UM-3-2 Qty'!E33</f>
        <v>#N/A</v>
      </c>
      <c r="F33" s="389" t="e">
        <f>$D33/1000*'Falhas UM-3-2 Qty'!F33</f>
        <v>#N/A</v>
      </c>
      <c r="G33" s="389" t="e">
        <f>$D33/1000*'Falhas UM-3-2 Qty'!G33</f>
        <v>#N/A</v>
      </c>
      <c r="H33" s="389" t="e">
        <f>$D33/1000*'Falhas UM-3-2 Qty'!H33</f>
        <v>#N/A</v>
      </c>
      <c r="I33" s="389" t="e">
        <f>$D33/1000*'Falhas UM-3-2 Qty'!I33</f>
        <v>#N/A</v>
      </c>
      <c r="J33" s="389" t="e">
        <f>$D33/1000*'Falhas UM-3-2 Qty'!J33</f>
        <v>#N/A</v>
      </c>
      <c r="K33" s="389" t="e">
        <f>$D33/1000*'Falhas UM-3-2 Qty'!K33</f>
        <v>#N/A</v>
      </c>
      <c r="L33" s="389" t="e">
        <f>$D33/1000*'Falhas UM-3-2 Qty'!L33</f>
        <v>#N/A</v>
      </c>
      <c r="M33" s="389" t="e">
        <f>$D33/1000*'Falhas UM-3-2 Qty'!M33</f>
        <v>#N/A</v>
      </c>
      <c r="N33" s="389" t="e">
        <f>$D33/1000*'Falhas UM-3-2 Qty'!N33</f>
        <v>#N/A</v>
      </c>
      <c r="O33" s="389" t="e">
        <f>$D33/1000*'Falhas UM-3-2 Qty'!O33</f>
        <v>#N/A</v>
      </c>
      <c r="P33" s="389" t="e">
        <f>$D33/1000*'Falhas UM-3-2 Qty'!P33</f>
        <v>#N/A</v>
      </c>
      <c r="Q33" s="411" t="e">
        <f t="shared" si="0"/>
        <v>#N/A</v>
      </c>
    </row>
    <row r="34" spans="1:18" ht="18" customHeight="1">
      <c r="A34" s="783"/>
      <c r="B34" s="88">
        <f t="shared" si="3"/>
        <v>3200</v>
      </c>
      <c r="C34" s="96" t="s">
        <v>123</v>
      </c>
      <c r="D34" s="146">
        <f>'Falhas UM-3-1 Cost'!D34</f>
        <v>164.52930000000001</v>
      </c>
      <c r="E34" s="389" t="e">
        <f>$D34/1000*'Falhas UM-3-2 Qty'!E34</f>
        <v>#N/A</v>
      </c>
      <c r="F34" s="389" t="e">
        <f>$D34/1000*'Falhas UM-3-2 Qty'!F34</f>
        <v>#N/A</v>
      </c>
      <c r="G34" s="389" t="e">
        <f>$D34/1000*'Falhas UM-3-2 Qty'!G34</f>
        <v>#N/A</v>
      </c>
      <c r="H34" s="389" t="e">
        <f>$D34/1000*'Falhas UM-3-2 Qty'!H34</f>
        <v>#N/A</v>
      </c>
      <c r="I34" s="389" t="e">
        <f>$D34/1000*'Falhas UM-3-2 Qty'!I34</f>
        <v>#N/A</v>
      </c>
      <c r="J34" s="389" t="e">
        <f>$D34/1000*'Falhas UM-3-2 Qty'!J34</f>
        <v>#N/A</v>
      </c>
      <c r="K34" s="389" t="e">
        <f>$D34/1000*'Falhas UM-3-2 Qty'!K34</f>
        <v>#N/A</v>
      </c>
      <c r="L34" s="389" t="e">
        <f>$D34/1000*'Falhas UM-3-2 Qty'!L34</f>
        <v>#N/A</v>
      </c>
      <c r="M34" s="389" t="e">
        <f>$D34/1000*'Falhas UM-3-2 Qty'!M34</f>
        <v>#N/A</v>
      </c>
      <c r="N34" s="389" t="e">
        <f>$D34/1000*'Falhas UM-3-2 Qty'!N34</f>
        <v>#N/A</v>
      </c>
      <c r="O34" s="389" t="e">
        <f>$D34/1000*'Falhas UM-3-2 Qty'!O34</f>
        <v>#N/A</v>
      </c>
      <c r="P34" s="389" t="e">
        <f>$D34/1000*'Falhas UM-3-2 Qty'!P34</f>
        <v>#N/A</v>
      </c>
      <c r="Q34" s="411" t="e">
        <f t="shared" si="0"/>
        <v>#N/A</v>
      </c>
    </row>
    <row r="35" spans="1:18" ht="18" customHeight="1">
      <c r="A35" s="783"/>
      <c r="B35" s="88">
        <f t="shared" si="3"/>
        <v>3205</v>
      </c>
      <c r="C35" s="96" t="s">
        <v>142</v>
      </c>
      <c r="D35" s="146">
        <f>'Falhas UM-3-1 Cost'!D35</f>
        <v>164.52930000000001</v>
      </c>
      <c r="E35" s="389" t="e">
        <f>$D35/1000*'Falhas UM-3-2 Qty'!E35</f>
        <v>#N/A</v>
      </c>
      <c r="F35" s="389" t="e">
        <f>$D35/1000*'Falhas UM-3-2 Qty'!F35</f>
        <v>#N/A</v>
      </c>
      <c r="G35" s="389" t="e">
        <f>$D35/1000*'Falhas UM-3-2 Qty'!G35</f>
        <v>#N/A</v>
      </c>
      <c r="H35" s="389" t="e">
        <f>$D35/1000*'Falhas UM-3-2 Qty'!H35</f>
        <v>#N/A</v>
      </c>
      <c r="I35" s="389" t="e">
        <f>$D35/1000*'Falhas UM-3-2 Qty'!I35</f>
        <v>#N/A</v>
      </c>
      <c r="J35" s="389" t="e">
        <f>$D35/1000*'Falhas UM-3-2 Qty'!J35</f>
        <v>#N/A</v>
      </c>
      <c r="K35" s="389" t="e">
        <f>$D35/1000*'Falhas UM-3-2 Qty'!K35</f>
        <v>#N/A</v>
      </c>
      <c r="L35" s="389" t="e">
        <f>$D35/1000*'Falhas UM-3-2 Qty'!L35</f>
        <v>#N/A</v>
      </c>
      <c r="M35" s="389" t="e">
        <f>$D35/1000*'Falhas UM-3-2 Qty'!M35</f>
        <v>#N/A</v>
      </c>
      <c r="N35" s="389" t="e">
        <f>$D35/1000*'Falhas UM-3-2 Qty'!N35</f>
        <v>#N/A</v>
      </c>
      <c r="O35" s="389" t="e">
        <f>$D35/1000*'Falhas UM-3-2 Qty'!O35</f>
        <v>#N/A</v>
      </c>
      <c r="P35" s="389" t="e">
        <f>$D35/1000*'Falhas UM-3-2 Qty'!P35</f>
        <v>#N/A</v>
      </c>
      <c r="Q35" s="411" t="e">
        <f t="shared" si="0"/>
        <v>#N/A</v>
      </c>
    </row>
    <row r="36" spans="1:18" ht="18" customHeight="1">
      <c r="A36" s="783"/>
      <c r="B36" s="88">
        <f t="shared" si="3"/>
        <v>3210</v>
      </c>
      <c r="C36" s="96" t="s">
        <v>125</v>
      </c>
      <c r="D36" s="146">
        <f>'Falhas UM-3-1 Cost'!D36</f>
        <v>164.52930000000001</v>
      </c>
      <c r="E36" s="389" t="e">
        <f>$D36/1000*'Falhas UM-3-2 Qty'!E36</f>
        <v>#N/A</v>
      </c>
      <c r="F36" s="389" t="e">
        <f>$D36/1000*'Falhas UM-3-2 Qty'!F36</f>
        <v>#N/A</v>
      </c>
      <c r="G36" s="389" t="e">
        <f>$D36/1000*'Falhas UM-3-2 Qty'!G36</f>
        <v>#N/A</v>
      </c>
      <c r="H36" s="389" t="e">
        <f>$D36/1000*'Falhas UM-3-2 Qty'!H36</f>
        <v>#N/A</v>
      </c>
      <c r="I36" s="389" t="e">
        <f>$D36/1000*'Falhas UM-3-2 Qty'!I36</f>
        <v>#N/A</v>
      </c>
      <c r="J36" s="389" t="e">
        <f>$D36/1000*'Falhas UM-3-2 Qty'!J36</f>
        <v>#N/A</v>
      </c>
      <c r="K36" s="389" t="e">
        <f>$D36/1000*'Falhas UM-3-2 Qty'!K36</f>
        <v>#N/A</v>
      </c>
      <c r="L36" s="389" t="e">
        <f>$D36/1000*'Falhas UM-3-2 Qty'!L36</f>
        <v>#N/A</v>
      </c>
      <c r="M36" s="389" t="e">
        <f>$D36/1000*'Falhas UM-3-2 Qty'!M36</f>
        <v>#N/A</v>
      </c>
      <c r="N36" s="389" t="e">
        <f>$D36/1000*'Falhas UM-3-2 Qty'!N36</f>
        <v>#N/A</v>
      </c>
      <c r="O36" s="389" t="e">
        <f>$D36/1000*'Falhas UM-3-2 Qty'!O36</f>
        <v>#N/A</v>
      </c>
      <c r="P36" s="389" t="e">
        <f>$D36/1000*'Falhas UM-3-2 Qty'!P36</f>
        <v>#N/A</v>
      </c>
      <c r="Q36" s="411" t="e">
        <f t="shared" si="0"/>
        <v>#N/A</v>
      </c>
    </row>
    <row r="37" spans="1:18" ht="18" customHeight="1" thickBot="1">
      <c r="A37" s="784"/>
      <c r="B37" s="94"/>
      <c r="C37" s="95" t="s">
        <v>1</v>
      </c>
      <c r="D37" s="95">
        <f>'Falhas UM-3-1 Cost'!D37</f>
        <v>404.15702706331683</v>
      </c>
      <c r="E37" s="392" t="e">
        <f t="shared" ref="E37:L37" si="4">SUM(E20:E36)</f>
        <v>#N/A</v>
      </c>
      <c r="F37" s="392" t="e">
        <f t="shared" si="4"/>
        <v>#N/A</v>
      </c>
      <c r="G37" s="392" t="e">
        <f t="shared" si="4"/>
        <v>#N/A</v>
      </c>
      <c r="H37" s="392" t="e">
        <f t="shared" si="4"/>
        <v>#N/A</v>
      </c>
      <c r="I37" s="392" t="e">
        <f t="shared" si="4"/>
        <v>#N/A</v>
      </c>
      <c r="J37" s="392" t="e">
        <f t="shared" si="4"/>
        <v>#N/A</v>
      </c>
      <c r="K37" s="392" t="e">
        <f t="shared" si="4"/>
        <v>#N/A</v>
      </c>
      <c r="L37" s="392" t="e">
        <f t="shared" si="4"/>
        <v>#N/A</v>
      </c>
      <c r="M37" s="392" t="e">
        <f>SUM(M20:M36)</f>
        <v>#N/A</v>
      </c>
      <c r="N37" s="392" t="e">
        <f>SUM(N20:N36)</f>
        <v>#N/A</v>
      </c>
      <c r="O37" s="392" t="e">
        <f>SUM(O20:O36)</f>
        <v>#N/A</v>
      </c>
      <c r="P37" s="392" t="e">
        <f>SUM(P20:P36)</f>
        <v>#N/A</v>
      </c>
      <c r="Q37" s="414" t="e">
        <f t="shared" si="0"/>
        <v>#N/A</v>
      </c>
    </row>
    <row r="38" spans="1:18" ht="18" customHeight="1" thickTop="1">
      <c r="A38" s="785" t="s">
        <v>184</v>
      </c>
      <c r="B38" s="88">
        <f>B36+10</f>
        <v>3220</v>
      </c>
      <c r="C38" s="89" t="s">
        <v>19</v>
      </c>
      <c r="D38" s="146">
        <f>'Falhas UM-3-1 Cost'!D38</f>
        <v>164.52930000000001</v>
      </c>
      <c r="E38" s="390" t="e">
        <f>$D38/1000*'Falhas UM-3-2 Qty'!E38</f>
        <v>#N/A</v>
      </c>
      <c r="F38" s="390" t="e">
        <f>$D38/1000*'Falhas UM-3-2 Qty'!F38</f>
        <v>#N/A</v>
      </c>
      <c r="G38" s="390" t="e">
        <f>$D38/1000*'Falhas UM-3-2 Qty'!G38</f>
        <v>#N/A</v>
      </c>
      <c r="H38" s="390" t="e">
        <f>$D38/1000*'Falhas UM-3-2 Qty'!H38</f>
        <v>#N/A</v>
      </c>
      <c r="I38" s="390" t="e">
        <f>$D38/1000*'Falhas UM-3-2 Qty'!I38</f>
        <v>#N/A</v>
      </c>
      <c r="J38" s="390" t="e">
        <f>$D38/1000*'Falhas UM-3-2 Qty'!J38</f>
        <v>#N/A</v>
      </c>
      <c r="K38" s="390" t="e">
        <f>$D38/1000*'Falhas UM-3-2 Qty'!K38</f>
        <v>#N/A</v>
      </c>
      <c r="L38" s="390" t="e">
        <f>$D38/1000*'Falhas UM-3-2 Qty'!L38</f>
        <v>#N/A</v>
      </c>
      <c r="M38" s="390" t="e">
        <f>$D38/1000*'Falhas UM-3-2 Qty'!M38</f>
        <v>#N/A</v>
      </c>
      <c r="N38" s="390" t="e">
        <f>$D38/1000*'Falhas UM-3-2 Qty'!N38</f>
        <v>#N/A</v>
      </c>
      <c r="O38" s="390" t="e">
        <f>$D38/1000*'Falhas UM-3-2 Qty'!O38</f>
        <v>#N/A</v>
      </c>
      <c r="P38" s="390" t="e">
        <f>$D38/1000*'Falhas UM-3-2 Qty'!P38</f>
        <v>#N/A</v>
      </c>
      <c r="Q38" s="412" t="e">
        <f t="shared" si="0"/>
        <v>#N/A</v>
      </c>
    </row>
    <row r="39" spans="1:18" ht="18" customHeight="1">
      <c r="A39" s="783"/>
      <c r="B39" s="88">
        <f>B38+10</f>
        <v>3230</v>
      </c>
      <c r="C39" s="89" t="s">
        <v>61</v>
      </c>
      <c r="D39" s="146">
        <f>'Falhas UM-3-1 Cost'!D39</f>
        <v>164.52930000000001</v>
      </c>
      <c r="E39" s="390" t="e">
        <f>$D39/1000*'Falhas UM-3-2 Qty'!E39</f>
        <v>#N/A</v>
      </c>
      <c r="F39" s="390" t="e">
        <f>$D39/1000*'Falhas UM-3-2 Qty'!F39</f>
        <v>#N/A</v>
      </c>
      <c r="G39" s="390" t="e">
        <f>$D39/1000*'Falhas UM-3-2 Qty'!G39</f>
        <v>#N/A</v>
      </c>
      <c r="H39" s="390" t="e">
        <f>$D39/1000*'Falhas UM-3-2 Qty'!H39</f>
        <v>#N/A</v>
      </c>
      <c r="I39" s="390" t="e">
        <f>$D39/1000*'Falhas UM-3-2 Qty'!I39</f>
        <v>#N/A</v>
      </c>
      <c r="J39" s="390" t="e">
        <f>$D39/1000*'Falhas UM-3-2 Qty'!J39</f>
        <v>#N/A</v>
      </c>
      <c r="K39" s="390" t="e">
        <f>$D39/1000*'Falhas UM-3-2 Qty'!K39</f>
        <v>#N/A</v>
      </c>
      <c r="L39" s="390" t="e">
        <f>$D39/1000*'Falhas UM-3-2 Qty'!L39</f>
        <v>#N/A</v>
      </c>
      <c r="M39" s="390" t="e">
        <f>$D39/1000*'Falhas UM-3-2 Qty'!M39</f>
        <v>#N/A</v>
      </c>
      <c r="N39" s="390" t="e">
        <f>$D39/1000*'Falhas UM-3-2 Qty'!N39</f>
        <v>#N/A</v>
      </c>
      <c r="O39" s="390" t="e">
        <f>$D39/1000*'Falhas UM-3-2 Qty'!O39</f>
        <v>#N/A</v>
      </c>
      <c r="P39" s="390" t="e">
        <f>$D39/1000*'Falhas UM-3-2 Qty'!P39</f>
        <v>#N/A</v>
      </c>
      <c r="Q39" s="412" t="e">
        <f t="shared" si="0"/>
        <v>#N/A</v>
      </c>
    </row>
    <row r="40" spans="1:18" ht="18" customHeight="1">
      <c r="A40" s="783"/>
      <c r="B40" s="88">
        <f t="shared" ref="B40:B49" si="5">B39+10</f>
        <v>3240</v>
      </c>
      <c r="C40" s="89" t="s">
        <v>79</v>
      </c>
      <c r="D40" s="146">
        <f>'Falhas UM-3-1 Cost'!D40</f>
        <v>164.52930000000001</v>
      </c>
      <c r="E40" s="390" t="e">
        <f>$D40/1000*'Falhas UM-3-2 Qty'!E40</f>
        <v>#N/A</v>
      </c>
      <c r="F40" s="390" t="e">
        <f>$D40/1000*'Falhas UM-3-2 Qty'!F40</f>
        <v>#N/A</v>
      </c>
      <c r="G40" s="390" t="e">
        <f>$D40/1000*'Falhas UM-3-2 Qty'!G40</f>
        <v>#N/A</v>
      </c>
      <c r="H40" s="390" t="e">
        <f>$D40/1000*'Falhas UM-3-2 Qty'!H40</f>
        <v>#N/A</v>
      </c>
      <c r="I40" s="390" t="e">
        <f>$D40/1000*'Falhas UM-3-2 Qty'!I40</f>
        <v>#N/A</v>
      </c>
      <c r="J40" s="390" t="e">
        <f>$D40/1000*'Falhas UM-3-2 Qty'!J40</f>
        <v>#N/A</v>
      </c>
      <c r="K40" s="390" t="e">
        <f>$D40/1000*'Falhas UM-3-2 Qty'!K40</f>
        <v>#N/A</v>
      </c>
      <c r="L40" s="390" t="e">
        <f>$D40/1000*'Falhas UM-3-2 Qty'!L40</f>
        <v>#N/A</v>
      </c>
      <c r="M40" s="390" t="e">
        <f>$D40/1000*'Falhas UM-3-2 Qty'!M40</f>
        <v>#N/A</v>
      </c>
      <c r="N40" s="390" t="e">
        <f>$D40/1000*'Falhas UM-3-2 Qty'!N40</f>
        <v>#N/A</v>
      </c>
      <c r="O40" s="390" t="e">
        <f>$D40/1000*'Falhas UM-3-2 Qty'!O40</f>
        <v>#N/A</v>
      </c>
      <c r="P40" s="390" t="e">
        <f>$D40/1000*'Falhas UM-3-2 Qty'!P40</f>
        <v>#N/A</v>
      </c>
      <c r="Q40" s="412" t="e">
        <f t="shared" si="0"/>
        <v>#N/A</v>
      </c>
    </row>
    <row r="41" spans="1:18" ht="18" customHeight="1">
      <c r="A41" s="783"/>
      <c r="B41" s="88">
        <f t="shared" si="5"/>
        <v>3250</v>
      </c>
      <c r="C41" s="89" t="s">
        <v>78</v>
      </c>
      <c r="D41" s="146">
        <f>'Falhas UM-3-1 Cost'!D41</f>
        <v>164.52930000000001</v>
      </c>
      <c r="E41" s="390" t="e">
        <f>$D41/1000*'Falhas UM-3-2 Qty'!E41</f>
        <v>#N/A</v>
      </c>
      <c r="F41" s="390" t="e">
        <f>$D41/1000*'Falhas UM-3-2 Qty'!F41</f>
        <v>#N/A</v>
      </c>
      <c r="G41" s="390" t="e">
        <f>$D41/1000*'Falhas UM-3-2 Qty'!G41</f>
        <v>#N/A</v>
      </c>
      <c r="H41" s="390" t="e">
        <f>$D41/1000*'Falhas UM-3-2 Qty'!H41</f>
        <v>#N/A</v>
      </c>
      <c r="I41" s="390" t="e">
        <f>$D41/1000*'Falhas UM-3-2 Qty'!I41</f>
        <v>#N/A</v>
      </c>
      <c r="J41" s="390" t="e">
        <f>$D41/1000*'Falhas UM-3-2 Qty'!J41</f>
        <v>#N/A</v>
      </c>
      <c r="K41" s="390" t="e">
        <f>$D41/1000*'Falhas UM-3-2 Qty'!K41</f>
        <v>#N/A</v>
      </c>
      <c r="L41" s="390" t="e">
        <f>$D41/1000*'Falhas UM-3-2 Qty'!L41</f>
        <v>#N/A</v>
      </c>
      <c r="M41" s="390" t="e">
        <f>$D41/1000*'Falhas UM-3-2 Qty'!M41</f>
        <v>#N/A</v>
      </c>
      <c r="N41" s="390" t="e">
        <f>$D41/1000*'Falhas UM-3-2 Qty'!N41</f>
        <v>#N/A</v>
      </c>
      <c r="O41" s="390" t="e">
        <f>$D41/1000*'Falhas UM-3-2 Qty'!O41</f>
        <v>#N/A</v>
      </c>
      <c r="P41" s="390" t="e">
        <f>$D41/1000*'Falhas UM-3-2 Qty'!P41</f>
        <v>#N/A</v>
      </c>
      <c r="Q41" s="412" t="e">
        <f t="shared" si="0"/>
        <v>#N/A</v>
      </c>
    </row>
    <row r="42" spans="1:18" ht="18" customHeight="1">
      <c r="A42" s="783"/>
      <c r="B42" s="88">
        <f t="shared" si="5"/>
        <v>3260</v>
      </c>
      <c r="C42" s="89" t="s">
        <v>15</v>
      </c>
      <c r="D42" s="146">
        <f>'Falhas UM-3-1 Cost'!D42</f>
        <v>164.52930000000001</v>
      </c>
      <c r="E42" s="390" t="e">
        <f>$D42/1000*'Falhas UM-3-2 Qty'!E42</f>
        <v>#N/A</v>
      </c>
      <c r="F42" s="390" t="e">
        <f>$D42/1000*'Falhas UM-3-2 Qty'!F42</f>
        <v>#N/A</v>
      </c>
      <c r="G42" s="390" t="e">
        <f>$D42/1000*'Falhas UM-3-2 Qty'!G42</f>
        <v>#N/A</v>
      </c>
      <c r="H42" s="390" t="e">
        <f>$D42/1000*'Falhas UM-3-2 Qty'!H42</f>
        <v>#N/A</v>
      </c>
      <c r="I42" s="390" t="e">
        <f>$D42/1000*'Falhas UM-3-2 Qty'!I42</f>
        <v>#N/A</v>
      </c>
      <c r="J42" s="390" t="e">
        <f>$D42/1000*'Falhas UM-3-2 Qty'!J42</f>
        <v>#N/A</v>
      </c>
      <c r="K42" s="390" t="e">
        <f>$D42/1000*'Falhas UM-3-2 Qty'!K42</f>
        <v>#N/A</v>
      </c>
      <c r="L42" s="390" t="e">
        <f>$D42/1000*'Falhas UM-3-2 Qty'!L42</f>
        <v>#N/A</v>
      </c>
      <c r="M42" s="390" t="e">
        <f>$D42/1000*'Falhas UM-3-2 Qty'!M42</f>
        <v>#N/A</v>
      </c>
      <c r="N42" s="390" t="e">
        <f>$D42/1000*'Falhas UM-3-2 Qty'!N42</f>
        <v>#N/A</v>
      </c>
      <c r="O42" s="390" t="e">
        <f>$D42/1000*'Falhas UM-3-2 Qty'!O42</f>
        <v>#N/A</v>
      </c>
      <c r="P42" s="390" t="e">
        <f>$D42/1000*'Falhas UM-3-2 Qty'!P42</f>
        <v>#N/A</v>
      </c>
      <c r="Q42" s="412" t="e">
        <f t="shared" si="0"/>
        <v>#N/A</v>
      </c>
    </row>
    <row r="43" spans="1:18" ht="18" customHeight="1">
      <c r="A43" s="783"/>
      <c r="B43" s="88">
        <f t="shared" si="5"/>
        <v>3270</v>
      </c>
      <c r="C43" s="89" t="s">
        <v>14</v>
      </c>
      <c r="D43" s="146">
        <f>'Falhas UM-3-1 Cost'!D43</f>
        <v>164.52930000000001</v>
      </c>
      <c r="E43" s="390" t="e">
        <f>$D43/1000*'Falhas UM-3-2 Qty'!E43</f>
        <v>#N/A</v>
      </c>
      <c r="F43" s="390" t="e">
        <f>$D43/1000*'Falhas UM-3-2 Qty'!F43</f>
        <v>#N/A</v>
      </c>
      <c r="G43" s="390" t="e">
        <f>$D43/1000*'Falhas UM-3-2 Qty'!G43</f>
        <v>#N/A</v>
      </c>
      <c r="H43" s="390" t="e">
        <f>$D43/1000*'Falhas UM-3-2 Qty'!H43</f>
        <v>#N/A</v>
      </c>
      <c r="I43" s="390" t="e">
        <f>$D43/1000*'Falhas UM-3-2 Qty'!I43</f>
        <v>#N/A</v>
      </c>
      <c r="J43" s="390" t="e">
        <f>$D43/1000*'Falhas UM-3-2 Qty'!J43</f>
        <v>#N/A</v>
      </c>
      <c r="K43" s="390" t="e">
        <f>$D43/1000*'Falhas UM-3-2 Qty'!K43</f>
        <v>#N/A</v>
      </c>
      <c r="L43" s="390" t="e">
        <f>$D43/1000*'Falhas UM-3-2 Qty'!L43</f>
        <v>#N/A</v>
      </c>
      <c r="M43" s="390" t="e">
        <f>$D43/1000*'Falhas UM-3-2 Qty'!M43</f>
        <v>#N/A</v>
      </c>
      <c r="N43" s="390" t="e">
        <f>$D43/1000*'Falhas UM-3-2 Qty'!N43</f>
        <v>#N/A</v>
      </c>
      <c r="O43" s="390" t="e">
        <f>$D43/1000*'Falhas UM-3-2 Qty'!O43</f>
        <v>#N/A</v>
      </c>
      <c r="P43" s="390" t="e">
        <f>$D43/1000*'Falhas UM-3-2 Qty'!P43</f>
        <v>#N/A</v>
      </c>
      <c r="Q43" s="412" t="e">
        <f t="shared" si="0"/>
        <v>#N/A</v>
      </c>
    </row>
    <row r="44" spans="1:18" ht="18" customHeight="1">
      <c r="A44" s="783"/>
      <c r="B44" s="88">
        <f t="shared" si="5"/>
        <v>3280</v>
      </c>
      <c r="C44" s="89" t="s">
        <v>77</v>
      </c>
      <c r="D44" s="146">
        <f>'Falhas UM-3-1 Cost'!D44</f>
        <v>164.52930000000001</v>
      </c>
      <c r="E44" s="390" t="e">
        <f>$D44/1000*'Falhas UM-3-2 Qty'!E44</f>
        <v>#N/A</v>
      </c>
      <c r="F44" s="390" t="e">
        <f>$D44/1000*'Falhas UM-3-2 Qty'!F44</f>
        <v>#N/A</v>
      </c>
      <c r="G44" s="390" t="e">
        <f>$D44/1000*'Falhas UM-3-2 Qty'!G44</f>
        <v>#N/A</v>
      </c>
      <c r="H44" s="390" t="e">
        <f>$D44/1000*'Falhas UM-3-2 Qty'!H44</f>
        <v>#N/A</v>
      </c>
      <c r="I44" s="390" t="e">
        <f>$D44/1000*'Falhas UM-3-2 Qty'!I44</f>
        <v>#N/A</v>
      </c>
      <c r="J44" s="390" t="e">
        <f>$D44/1000*'Falhas UM-3-2 Qty'!J44</f>
        <v>#N/A</v>
      </c>
      <c r="K44" s="390" t="e">
        <f>$D44/1000*'Falhas UM-3-2 Qty'!K44</f>
        <v>#N/A</v>
      </c>
      <c r="L44" s="390" t="e">
        <f>$D44/1000*'Falhas UM-3-2 Qty'!L44</f>
        <v>#N/A</v>
      </c>
      <c r="M44" s="390" t="e">
        <f>$D44/1000*'Falhas UM-3-2 Qty'!M44</f>
        <v>#N/A</v>
      </c>
      <c r="N44" s="390" t="e">
        <f>$D44/1000*'Falhas UM-3-2 Qty'!N44</f>
        <v>#N/A</v>
      </c>
      <c r="O44" s="390" t="e">
        <f>$D44/1000*'Falhas UM-3-2 Qty'!O44</f>
        <v>#N/A</v>
      </c>
      <c r="P44" s="390" t="e">
        <f>$D44/1000*'Falhas UM-3-2 Qty'!P44</f>
        <v>#N/A</v>
      </c>
      <c r="Q44" s="412" t="e">
        <f t="shared" si="0"/>
        <v>#N/A</v>
      </c>
    </row>
    <row r="45" spans="1:18" ht="18" customHeight="1">
      <c r="A45" s="783"/>
      <c r="B45" s="88">
        <f t="shared" si="5"/>
        <v>3290</v>
      </c>
      <c r="C45" s="89" t="s">
        <v>13</v>
      </c>
      <c r="D45" s="146">
        <f>'Falhas UM-3-1 Cost'!D45</f>
        <v>164.52930000000001</v>
      </c>
      <c r="E45" s="390" t="e">
        <f>$D45/1000*'Falhas UM-3-2 Qty'!E45</f>
        <v>#N/A</v>
      </c>
      <c r="F45" s="390" t="e">
        <f>$D45/1000*'Falhas UM-3-2 Qty'!F45</f>
        <v>#N/A</v>
      </c>
      <c r="G45" s="390" t="e">
        <f>$D45/1000*'Falhas UM-3-2 Qty'!G45</f>
        <v>#N/A</v>
      </c>
      <c r="H45" s="390" t="e">
        <f>$D45/1000*'Falhas UM-3-2 Qty'!H45</f>
        <v>#N/A</v>
      </c>
      <c r="I45" s="390" t="e">
        <f>$D45/1000*'Falhas UM-3-2 Qty'!I45</f>
        <v>#N/A</v>
      </c>
      <c r="J45" s="390" t="e">
        <f>$D45/1000*'Falhas UM-3-2 Qty'!J45</f>
        <v>#N/A</v>
      </c>
      <c r="K45" s="390" t="e">
        <f>$D45/1000*'Falhas UM-3-2 Qty'!K45</f>
        <v>#N/A</v>
      </c>
      <c r="L45" s="390" t="e">
        <f>$D45/1000*'Falhas UM-3-2 Qty'!L45</f>
        <v>#N/A</v>
      </c>
      <c r="M45" s="390" t="e">
        <f>$D45/1000*'Falhas UM-3-2 Qty'!M45</f>
        <v>#N/A</v>
      </c>
      <c r="N45" s="390" t="e">
        <f>$D45/1000*'Falhas UM-3-2 Qty'!N45</f>
        <v>#N/A</v>
      </c>
      <c r="O45" s="390" t="e">
        <f>$D45/1000*'Falhas UM-3-2 Qty'!O45</f>
        <v>#N/A</v>
      </c>
      <c r="P45" s="390" t="e">
        <f>$D45/1000*'Falhas UM-3-2 Qty'!P45</f>
        <v>#N/A</v>
      </c>
      <c r="Q45" s="412" t="e">
        <f t="shared" si="0"/>
        <v>#N/A</v>
      </c>
    </row>
    <row r="46" spans="1:18" ht="18" customHeight="1">
      <c r="A46" s="783"/>
      <c r="B46" s="88">
        <f t="shared" si="5"/>
        <v>3300</v>
      </c>
      <c r="C46" s="89" t="s">
        <v>12</v>
      </c>
      <c r="D46" s="146">
        <f>'Falhas UM-3-1 Cost'!D46</f>
        <v>164.52930000000001</v>
      </c>
      <c r="E46" s="390" t="e">
        <f>$D46/1000*'Falhas UM-3-2 Qty'!E46</f>
        <v>#N/A</v>
      </c>
      <c r="F46" s="390" t="e">
        <f>$D46/1000*'Falhas UM-3-2 Qty'!F46</f>
        <v>#N/A</v>
      </c>
      <c r="G46" s="390" t="e">
        <f>$D46/1000*'Falhas UM-3-2 Qty'!G46</f>
        <v>#N/A</v>
      </c>
      <c r="H46" s="390" t="e">
        <f>$D46/1000*'Falhas UM-3-2 Qty'!H46</f>
        <v>#N/A</v>
      </c>
      <c r="I46" s="390" t="e">
        <f>$D46/1000*'Falhas UM-3-2 Qty'!I46</f>
        <v>#N/A</v>
      </c>
      <c r="J46" s="390" t="e">
        <f>$D46/1000*'Falhas UM-3-2 Qty'!J46</f>
        <v>#N/A</v>
      </c>
      <c r="K46" s="390" t="e">
        <f>$D46/1000*'Falhas UM-3-2 Qty'!K46</f>
        <v>#N/A</v>
      </c>
      <c r="L46" s="390" t="e">
        <f>$D46/1000*'Falhas UM-3-2 Qty'!L46</f>
        <v>#N/A</v>
      </c>
      <c r="M46" s="390" t="e">
        <f>$D46/1000*'Falhas UM-3-2 Qty'!M46</f>
        <v>#N/A</v>
      </c>
      <c r="N46" s="390" t="e">
        <f>$D46/1000*'Falhas UM-3-2 Qty'!N46</f>
        <v>#N/A</v>
      </c>
      <c r="O46" s="390" t="e">
        <f>$D46/1000*'Falhas UM-3-2 Qty'!O46</f>
        <v>#N/A</v>
      </c>
      <c r="P46" s="390" t="e">
        <f>$D46/1000*'Falhas UM-3-2 Qty'!P46</f>
        <v>#N/A</v>
      </c>
      <c r="Q46" s="412" t="e">
        <f t="shared" si="0"/>
        <v>#N/A</v>
      </c>
    </row>
    <row r="47" spans="1:18" ht="18" customHeight="1">
      <c r="A47" s="783"/>
      <c r="B47" s="88">
        <f t="shared" si="5"/>
        <v>3310</v>
      </c>
      <c r="C47" s="89" t="s">
        <v>142</v>
      </c>
      <c r="D47" s="146">
        <f>'Falhas UM-3-1 Cost'!D47</f>
        <v>164.52930000000001</v>
      </c>
      <c r="E47" s="390" t="e">
        <f>$D47/1000*'Falhas UM-3-2 Qty'!E47</f>
        <v>#N/A</v>
      </c>
      <c r="F47" s="390" t="e">
        <f>$D47/1000*'Falhas UM-3-2 Qty'!F47</f>
        <v>#N/A</v>
      </c>
      <c r="G47" s="390" t="e">
        <f>$D47/1000*'Falhas UM-3-2 Qty'!G47</f>
        <v>#N/A</v>
      </c>
      <c r="H47" s="390" t="e">
        <f>$D47/1000*'Falhas UM-3-2 Qty'!H47</f>
        <v>#N/A</v>
      </c>
      <c r="I47" s="390" t="e">
        <f>$D47/1000*'Falhas UM-3-2 Qty'!I47</f>
        <v>#N/A</v>
      </c>
      <c r="J47" s="390" t="e">
        <f>$D47/1000*'Falhas UM-3-2 Qty'!J47</f>
        <v>#N/A</v>
      </c>
      <c r="K47" s="390" t="e">
        <f>$D47/1000*'Falhas UM-3-2 Qty'!K47</f>
        <v>#N/A</v>
      </c>
      <c r="L47" s="390" t="e">
        <f>$D47/1000*'Falhas UM-3-2 Qty'!L47</f>
        <v>#N/A</v>
      </c>
      <c r="M47" s="390" t="e">
        <f>$D47/1000*'Falhas UM-3-2 Qty'!M47</f>
        <v>#N/A</v>
      </c>
      <c r="N47" s="390" t="e">
        <f>$D47/1000*'Falhas UM-3-2 Qty'!N47</f>
        <v>#N/A</v>
      </c>
      <c r="O47" s="390" t="e">
        <f>$D47/1000*'Falhas UM-3-2 Qty'!O47</f>
        <v>#N/A</v>
      </c>
      <c r="P47" s="390" t="e">
        <f>$D47/1000*'Falhas UM-3-2 Qty'!P47</f>
        <v>#N/A</v>
      </c>
      <c r="Q47" s="412" t="e">
        <f t="shared" si="0"/>
        <v>#N/A</v>
      </c>
      <c r="R47" s="499" t="e">
        <f>(Q47+Q35)/'[5]2019 Quality Business Plan'!$AO$13</f>
        <v>#N/A</v>
      </c>
    </row>
    <row r="48" spans="1:18" ht="18" customHeight="1">
      <c r="A48" s="783"/>
      <c r="B48" s="88">
        <f t="shared" si="5"/>
        <v>3320</v>
      </c>
      <c r="C48" s="89" t="s">
        <v>11</v>
      </c>
      <c r="D48" s="146">
        <f>'Falhas UM-3-1 Cost'!D48</f>
        <v>164.52930000000001</v>
      </c>
      <c r="E48" s="390" t="e">
        <f>$D48/1000*'Falhas UM-3-2 Qty'!E48</f>
        <v>#N/A</v>
      </c>
      <c r="F48" s="390" t="e">
        <f>$D48/1000*'Falhas UM-3-2 Qty'!F48</f>
        <v>#N/A</v>
      </c>
      <c r="G48" s="390" t="e">
        <f>$D48/1000*'Falhas UM-3-2 Qty'!G48</f>
        <v>#N/A</v>
      </c>
      <c r="H48" s="390" t="e">
        <f>$D48/1000*'Falhas UM-3-2 Qty'!H48</f>
        <v>#N/A</v>
      </c>
      <c r="I48" s="390" t="e">
        <f>$D48/1000*'Falhas UM-3-2 Qty'!I48</f>
        <v>#N/A</v>
      </c>
      <c r="J48" s="390" t="e">
        <f>$D48/1000*'Falhas UM-3-2 Qty'!J48</f>
        <v>#N/A</v>
      </c>
      <c r="K48" s="390" t="e">
        <f>$D48/1000*'Falhas UM-3-2 Qty'!K48</f>
        <v>#N/A</v>
      </c>
      <c r="L48" s="390" t="e">
        <f>$D48/1000*'Falhas UM-3-2 Qty'!L48</f>
        <v>#N/A</v>
      </c>
      <c r="M48" s="390" t="e">
        <f>$D48/1000*'Falhas UM-3-2 Qty'!M48</f>
        <v>#N/A</v>
      </c>
      <c r="N48" s="390" t="e">
        <f>$D48/1000*'Falhas UM-3-2 Qty'!N48</f>
        <v>#N/A</v>
      </c>
      <c r="O48" s="390" t="e">
        <f>$D48/1000*'Falhas UM-3-2 Qty'!O48</f>
        <v>#N/A</v>
      </c>
      <c r="P48" s="390" t="e">
        <f>$D48/1000*'Falhas UM-3-2 Qty'!P48</f>
        <v>#N/A</v>
      </c>
      <c r="Q48" s="412" t="e">
        <f t="shared" si="0"/>
        <v>#N/A</v>
      </c>
    </row>
    <row r="49" spans="1:19" ht="18" customHeight="1">
      <c r="A49" s="783"/>
      <c r="B49" s="88">
        <f t="shared" si="5"/>
        <v>3330</v>
      </c>
      <c r="C49" s="89" t="s">
        <v>6</v>
      </c>
      <c r="D49" s="146">
        <f>'Falhas UM-3-1 Cost'!D49</f>
        <v>164.52930000000001</v>
      </c>
      <c r="E49" s="390" t="e">
        <f>$D49/1000*'Falhas UM-3-2 Qty'!E49</f>
        <v>#N/A</v>
      </c>
      <c r="F49" s="390" t="e">
        <f>$D49/1000*'Falhas UM-3-2 Qty'!F49</f>
        <v>#N/A</v>
      </c>
      <c r="G49" s="390" t="e">
        <f>$D49/1000*'Falhas UM-3-2 Qty'!G49</f>
        <v>#N/A</v>
      </c>
      <c r="H49" s="390" t="e">
        <f>$D49/1000*'Falhas UM-3-2 Qty'!H49</f>
        <v>#N/A</v>
      </c>
      <c r="I49" s="390" t="e">
        <f>$D49/1000*'Falhas UM-3-2 Qty'!I49</f>
        <v>#N/A</v>
      </c>
      <c r="J49" s="390" t="e">
        <f>$D49/1000*'Falhas UM-3-2 Qty'!J49</f>
        <v>#N/A</v>
      </c>
      <c r="K49" s="390" t="e">
        <f>$D49/1000*'Falhas UM-3-2 Qty'!K49</f>
        <v>#N/A</v>
      </c>
      <c r="L49" s="390" t="e">
        <f>$D49/1000*'Falhas UM-3-2 Qty'!L49</f>
        <v>#N/A</v>
      </c>
      <c r="M49" s="390" t="e">
        <f>$D49/1000*'Falhas UM-3-2 Qty'!M49</f>
        <v>#N/A</v>
      </c>
      <c r="N49" s="390" t="e">
        <f>$D49/1000*'Falhas UM-3-2 Qty'!N49</f>
        <v>#N/A</v>
      </c>
      <c r="O49" s="390" t="e">
        <f>$D49/1000*'Falhas UM-3-2 Qty'!O49</f>
        <v>#N/A</v>
      </c>
      <c r="P49" s="390" t="e">
        <f>$D49/1000*'Falhas UM-3-2 Qty'!P49</f>
        <v>#N/A</v>
      </c>
      <c r="Q49" s="412" t="e">
        <f t="shared" si="0"/>
        <v>#N/A</v>
      </c>
    </row>
    <row r="50" spans="1:19" ht="18" customHeight="1">
      <c r="A50" s="783"/>
      <c r="B50" s="103"/>
      <c r="C50" s="104" t="s">
        <v>1</v>
      </c>
      <c r="D50" s="357">
        <f>'Falhas UM-3-1 Cost'!D50</f>
        <v>549.20617629762921</v>
      </c>
      <c r="E50" s="394" t="e">
        <f t="shared" ref="E50:L50" si="6">SUM(E38:E49)</f>
        <v>#N/A</v>
      </c>
      <c r="F50" s="394" t="e">
        <f t="shared" si="6"/>
        <v>#N/A</v>
      </c>
      <c r="G50" s="394" t="e">
        <f t="shared" si="6"/>
        <v>#N/A</v>
      </c>
      <c r="H50" s="394" t="e">
        <f t="shared" si="6"/>
        <v>#N/A</v>
      </c>
      <c r="I50" s="394" t="e">
        <f t="shared" si="6"/>
        <v>#N/A</v>
      </c>
      <c r="J50" s="394" t="e">
        <f t="shared" si="6"/>
        <v>#N/A</v>
      </c>
      <c r="K50" s="394" t="e">
        <f t="shared" si="6"/>
        <v>#N/A</v>
      </c>
      <c r="L50" s="394" t="e">
        <f t="shared" si="6"/>
        <v>#N/A</v>
      </c>
      <c r="M50" s="394" t="e">
        <f>SUM(M38:M49)</f>
        <v>#N/A</v>
      </c>
      <c r="N50" s="394" t="e">
        <f>SUM(N38:N49)</f>
        <v>#N/A</v>
      </c>
      <c r="O50" s="394" t="e">
        <f>SUM(O38:O49)</f>
        <v>#N/A</v>
      </c>
      <c r="P50" s="394" t="e">
        <f>SUM(P38:P49)</f>
        <v>#N/A</v>
      </c>
      <c r="Q50" s="416" t="e">
        <f t="shared" si="0"/>
        <v>#N/A</v>
      </c>
    </row>
    <row r="51" spans="1:19" ht="18" customHeight="1">
      <c r="A51" s="783"/>
      <c r="B51" s="88">
        <f>B49+10</f>
        <v>3340</v>
      </c>
      <c r="C51" s="89" t="s">
        <v>2</v>
      </c>
      <c r="D51" s="146">
        <f>'Falhas UM-3-1 Cost'!D51</f>
        <v>164.52930000000001</v>
      </c>
      <c r="E51" s="389" t="e">
        <f>$D51/1000*'Falhas UM-3-2 Qty'!E51</f>
        <v>#N/A</v>
      </c>
      <c r="F51" s="389" t="e">
        <f>$D51/1000*'Falhas UM-3-2 Qty'!F51</f>
        <v>#N/A</v>
      </c>
      <c r="G51" s="389" t="e">
        <f>$D51/1000*'Falhas UM-3-2 Qty'!G51</f>
        <v>#N/A</v>
      </c>
      <c r="H51" s="389" t="e">
        <f>$D51/1000*'Falhas UM-3-2 Qty'!H51</f>
        <v>#N/A</v>
      </c>
      <c r="I51" s="389" t="e">
        <f>$D51/1000*'Falhas UM-3-2 Qty'!I51</f>
        <v>#N/A</v>
      </c>
      <c r="J51" s="389" t="e">
        <f>$D51/1000*'Falhas UM-3-2 Qty'!J51</f>
        <v>#N/A</v>
      </c>
      <c r="K51" s="389" t="e">
        <f>$D51/1000*'Falhas UM-3-2 Qty'!K51</f>
        <v>#N/A</v>
      </c>
      <c r="L51" s="389" t="e">
        <f>$D51/1000*'Falhas UM-3-2 Qty'!L51</f>
        <v>#N/A</v>
      </c>
      <c r="M51" s="389" t="e">
        <f>$D51/1000*'Falhas UM-3-2 Qty'!M51</f>
        <v>#N/A</v>
      </c>
      <c r="N51" s="389" t="e">
        <f>$D51/1000*'Falhas UM-3-2 Qty'!N51</f>
        <v>#N/A</v>
      </c>
      <c r="O51" s="389" t="e">
        <f>$D51/1000*'Falhas UM-3-2 Qty'!O51</f>
        <v>#N/A</v>
      </c>
      <c r="P51" s="389" t="e">
        <f>$D51/1000*'Falhas UM-3-2 Qty'!P51</f>
        <v>#N/A</v>
      </c>
      <c r="Q51" s="411" t="e">
        <f t="shared" si="0"/>
        <v>#N/A</v>
      </c>
      <c r="R51" s="499" t="e">
        <f>Q51/'[5]2019 Quality Business Plan'!$AO$13</f>
        <v>#N/A</v>
      </c>
      <c r="S51" s="82">
        <v>15444.682477946724</v>
      </c>
    </row>
    <row r="52" spans="1:19" ht="18" customHeight="1">
      <c r="A52" s="783"/>
      <c r="B52" s="103">
        <f>B51+10</f>
        <v>3350</v>
      </c>
      <c r="C52" s="107" t="s">
        <v>60</v>
      </c>
      <c r="D52" s="358">
        <f>'Falhas UM-3-1 Cost'!D52</f>
        <v>164.52930000000001</v>
      </c>
      <c r="E52" s="395" t="e">
        <f>$D52/1000*'Falhas UM-3-2 Qty'!E52</f>
        <v>#N/A</v>
      </c>
      <c r="F52" s="395" t="e">
        <f>$D52/1000*'Falhas UM-3-2 Qty'!F52</f>
        <v>#N/A</v>
      </c>
      <c r="G52" s="395" t="e">
        <f>$D52/1000*'Falhas UM-3-2 Qty'!G52</f>
        <v>#N/A</v>
      </c>
      <c r="H52" s="395" t="e">
        <f>$D52/1000*'Falhas UM-3-2 Qty'!H52</f>
        <v>#N/A</v>
      </c>
      <c r="I52" s="395" t="e">
        <f>$D52/1000*'Falhas UM-3-2 Qty'!I52</f>
        <v>#N/A</v>
      </c>
      <c r="J52" s="395" t="e">
        <f>$D52/1000*'Falhas UM-3-2 Qty'!J52</f>
        <v>#N/A</v>
      </c>
      <c r="K52" s="395" t="e">
        <f>$D52/1000*'Falhas UM-3-2 Qty'!K52</f>
        <v>#N/A</v>
      </c>
      <c r="L52" s="395" t="e">
        <f>$D52/1000*'Falhas UM-3-2 Qty'!L52</f>
        <v>#N/A</v>
      </c>
      <c r="M52" s="395" t="e">
        <f>$D52/1000*'Falhas UM-3-2 Qty'!M52</f>
        <v>#N/A</v>
      </c>
      <c r="N52" s="395" t="e">
        <f>$D52/1000*'Falhas UM-3-2 Qty'!N52</f>
        <v>#N/A</v>
      </c>
      <c r="O52" s="395" t="e">
        <f>$D52/1000*'Falhas UM-3-2 Qty'!O52</f>
        <v>#N/A</v>
      </c>
      <c r="P52" s="395" t="e">
        <f>$D52/1000*'Falhas UM-3-2 Qty'!P52</f>
        <v>#N/A</v>
      </c>
      <c r="Q52" s="417" t="e">
        <f t="shared" si="0"/>
        <v>#N/A</v>
      </c>
    </row>
    <row r="53" spans="1:19" ht="18" customHeight="1">
      <c r="A53" s="783"/>
      <c r="B53" s="108">
        <f>B52+10</f>
        <v>3360</v>
      </c>
      <c r="C53" s="86" t="s">
        <v>76</v>
      </c>
      <c r="D53" s="354">
        <f>'Falhas UM-3-1 Cost'!D53</f>
        <v>120</v>
      </c>
      <c r="E53" s="388" t="e">
        <f>$D53/1000*'Falhas UM-3-2 Qty'!E53</f>
        <v>#N/A</v>
      </c>
      <c r="F53" s="388" t="e">
        <f>$D53/1000*'Falhas UM-3-2 Qty'!F53</f>
        <v>#N/A</v>
      </c>
      <c r="G53" s="388" t="e">
        <f>$D53/1000*'Falhas UM-3-2 Qty'!G53</f>
        <v>#N/A</v>
      </c>
      <c r="H53" s="388" t="e">
        <f>$D53/1000*'Falhas UM-3-2 Qty'!H53</f>
        <v>#N/A</v>
      </c>
      <c r="I53" s="388" t="e">
        <f>$D53/1000*'Falhas UM-3-2 Qty'!I53</f>
        <v>#N/A</v>
      </c>
      <c r="J53" s="388" t="e">
        <f>$D53/1000*'Falhas UM-3-2 Qty'!J53</f>
        <v>#N/A</v>
      </c>
      <c r="K53" s="388" t="e">
        <f>$D53/1000*'Falhas UM-3-2 Qty'!K53</f>
        <v>#N/A</v>
      </c>
      <c r="L53" s="388" t="e">
        <f>$D53/1000*'Falhas UM-3-2 Qty'!L53</f>
        <v>#N/A</v>
      </c>
      <c r="M53" s="388" t="e">
        <f>$D53/1000*'Falhas UM-3-2 Qty'!M53</f>
        <v>#N/A</v>
      </c>
      <c r="N53" s="388" t="e">
        <f>$D53/1000*'Falhas UM-3-2 Qty'!N53</f>
        <v>#N/A</v>
      </c>
      <c r="O53" s="388" t="e">
        <f>$D53/1000*'Falhas UM-3-2 Qty'!O53</f>
        <v>#N/A</v>
      </c>
      <c r="P53" s="388" t="e">
        <f>$D53/1000*'Falhas UM-3-2 Qty'!P53</f>
        <v>#N/A</v>
      </c>
      <c r="Q53" s="410" t="e">
        <f t="shared" si="0"/>
        <v>#N/A</v>
      </c>
    </row>
    <row r="54" spans="1:19" ht="18" customHeight="1">
      <c r="A54" s="783"/>
      <c r="B54" s="109">
        <f>B53+10</f>
        <v>3370</v>
      </c>
      <c r="C54" s="97" t="s">
        <v>75</v>
      </c>
      <c r="D54" s="356">
        <f>'Falhas UM-3-1 Cost'!D54</f>
        <v>1.25579</v>
      </c>
      <c r="E54" s="393" t="e">
        <f>$D54/1000*'Falhas UM-3-2 Qty'!E54</f>
        <v>#N/A</v>
      </c>
      <c r="F54" s="393" t="e">
        <f>$D54/1000*'Falhas UM-3-2 Qty'!F54</f>
        <v>#N/A</v>
      </c>
      <c r="G54" s="393" t="e">
        <f>$D54/1000*'Falhas UM-3-2 Qty'!G54</f>
        <v>#N/A</v>
      </c>
      <c r="H54" s="393" t="e">
        <f>$D54/1000*'Falhas UM-3-2 Qty'!H54</f>
        <v>#N/A</v>
      </c>
      <c r="I54" s="393" t="e">
        <f>$D54/1000*'Falhas UM-3-2 Qty'!I54</f>
        <v>#N/A</v>
      </c>
      <c r="J54" s="393" t="e">
        <f>$D54/1000*'Falhas UM-3-2 Qty'!J54</f>
        <v>#N/A</v>
      </c>
      <c r="K54" s="393" t="e">
        <f>$D54/1000*'Falhas UM-3-2 Qty'!K54</f>
        <v>#N/A</v>
      </c>
      <c r="L54" s="393" t="e">
        <f>$D54/1000*'Falhas UM-3-2 Qty'!L54</f>
        <v>#N/A</v>
      </c>
      <c r="M54" s="393" t="e">
        <f>$D54/1000*'Falhas UM-3-2 Qty'!M54</f>
        <v>#N/A</v>
      </c>
      <c r="N54" s="393" t="e">
        <f>$D54/1000*'Falhas UM-3-2 Qty'!N54</f>
        <v>#N/A</v>
      </c>
      <c r="O54" s="393" t="e">
        <f>$D54/1000*'Falhas UM-3-2 Qty'!O54</f>
        <v>#N/A</v>
      </c>
      <c r="P54" s="393" t="e">
        <f>$D54/1000*'Falhas UM-3-2 Qty'!P54</f>
        <v>#N/A</v>
      </c>
      <c r="Q54" s="415" t="e">
        <f t="shared" si="0"/>
        <v>#N/A</v>
      </c>
    </row>
    <row r="55" spans="1:19" ht="18" customHeight="1" thickBot="1">
      <c r="A55" s="784"/>
      <c r="B55" s="110"/>
      <c r="C55" s="111" t="s">
        <v>1</v>
      </c>
      <c r="D55" s="164">
        <f>'Falhas UM-3-1 Cost'!D55</f>
        <v>706.83790233299032</v>
      </c>
      <c r="E55" s="396" t="e">
        <f t="shared" ref="E55:L55" si="7">SUM(E51:E54)</f>
        <v>#N/A</v>
      </c>
      <c r="F55" s="396" t="e">
        <f t="shared" si="7"/>
        <v>#N/A</v>
      </c>
      <c r="G55" s="396" t="e">
        <f t="shared" si="7"/>
        <v>#N/A</v>
      </c>
      <c r="H55" s="396" t="e">
        <f t="shared" si="7"/>
        <v>#N/A</v>
      </c>
      <c r="I55" s="396" t="e">
        <f t="shared" si="7"/>
        <v>#N/A</v>
      </c>
      <c r="J55" s="396" t="e">
        <f t="shared" si="7"/>
        <v>#N/A</v>
      </c>
      <c r="K55" s="396" t="e">
        <f t="shared" si="7"/>
        <v>#N/A</v>
      </c>
      <c r="L55" s="396" t="e">
        <f t="shared" si="7"/>
        <v>#N/A</v>
      </c>
      <c r="M55" s="396" t="e">
        <f>SUM(M51:M54)</f>
        <v>#N/A</v>
      </c>
      <c r="N55" s="396" t="e">
        <f>SUM(N51:N54)</f>
        <v>#N/A</v>
      </c>
      <c r="O55" s="396" t="e">
        <f>SUM(O51:O54)</f>
        <v>#N/A</v>
      </c>
      <c r="P55" s="396" t="e">
        <f>SUM(P51:P54)</f>
        <v>#N/A</v>
      </c>
      <c r="Q55" s="418" t="e">
        <f t="shared" si="0"/>
        <v>#N/A</v>
      </c>
    </row>
    <row r="56" spans="1:19" ht="20.100000000000001" customHeight="1" thickTop="1">
      <c r="A56" s="112"/>
      <c r="B56" s="88"/>
      <c r="C56" s="89"/>
      <c r="D56" s="146">
        <f>'Falhas UM-3-1 Cost'!D56</f>
        <v>0</v>
      </c>
      <c r="E56" s="389" t="e">
        <f>$D56/1000*'Falhas UM-3-2 Qty'!E56</f>
        <v>#N/A</v>
      </c>
      <c r="F56" s="389" t="e">
        <f>$D56/1000*'Falhas UM-3-2 Qty'!F56</f>
        <v>#N/A</v>
      </c>
      <c r="G56" s="389" t="e">
        <f>$D56/1000*'Falhas UM-3-2 Qty'!G56</f>
        <v>#N/A</v>
      </c>
      <c r="H56" s="389" t="e">
        <f>$D56/1000*'Falhas UM-3-2 Qty'!H56</f>
        <v>#N/A</v>
      </c>
      <c r="I56" s="389" t="e">
        <f>$D56/1000*'Falhas UM-3-2 Qty'!I56</f>
        <v>#N/A</v>
      </c>
      <c r="J56" s="389" t="e">
        <f>$D56/1000*'Falhas UM-3-2 Qty'!J56</f>
        <v>#N/A</v>
      </c>
      <c r="K56" s="389" t="e">
        <f>$D56/1000*'Falhas UM-3-2 Qty'!K56</f>
        <v>#N/A</v>
      </c>
      <c r="L56" s="389" t="e">
        <f>$D56/1000*'Falhas UM-3-2 Qty'!L56</f>
        <v>#N/A</v>
      </c>
      <c r="M56" s="389" t="e">
        <f>$D56/1000*'Falhas UM-3-2 Qty'!M56</f>
        <v>#N/A</v>
      </c>
      <c r="N56" s="389" t="e">
        <f>$D56/1000*'Falhas UM-3-2 Qty'!N56</f>
        <v>#N/A</v>
      </c>
      <c r="O56" s="389" t="e">
        <f>$D56/1000*'Falhas UM-3-2 Qty'!O56</f>
        <v>#N/A</v>
      </c>
      <c r="P56" s="389" t="e">
        <f>$D56/1000*'Falhas UM-3-2 Qty'!P56</f>
        <v>#N/A</v>
      </c>
      <c r="Q56" s="411" t="e">
        <f t="shared" si="0"/>
        <v>#N/A</v>
      </c>
    </row>
    <row r="57" spans="1:19" ht="20.100000000000001" customHeight="1" thickBot="1">
      <c r="A57" s="113"/>
      <c r="B57" s="114"/>
      <c r="C57" s="115" t="s">
        <v>59</v>
      </c>
      <c r="D57" s="168">
        <f>'Falhas UM-3-1 Cost'!D57</f>
        <v>2712.8518248044279</v>
      </c>
      <c r="E57" s="406" t="e">
        <f t="shared" ref="E57:L57" si="8">E55+E50+E19</f>
        <v>#N/A</v>
      </c>
      <c r="F57" s="406" t="e">
        <f t="shared" si="8"/>
        <v>#N/A</v>
      </c>
      <c r="G57" s="406" t="e">
        <f t="shared" si="8"/>
        <v>#N/A</v>
      </c>
      <c r="H57" s="406" t="e">
        <f t="shared" si="8"/>
        <v>#N/A</v>
      </c>
      <c r="I57" s="406" t="e">
        <f t="shared" si="8"/>
        <v>#N/A</v>
      </c>
      <c r="J57" s="406" t="e">
        <f t="shared" si="8"/>
        <v>#N/A</v>
      </c>
      <c r="K57" s="406" t="e">
        <f t="shared" si="8"/>
        <v>#N/A</v>
      </c>
      <c r="L57" s="406" t="e">
        <f t="shared" si="8"/>
        <v>#N/A</v>
      </c>
      <c r="M57" s="406" t="e">
        <f>M55+M50+M19</f>
        <v>#N/A</v>
      </c>
      <c r="N57" s="406" t="e">
        <f>N55+N50+N19</f>
        <v>#N/A</v>
      </c>
      <c r="O57" s="406" t="e">
        <f>O55+O50+O19</f>
        <v>#N/A</v>
      </c>
      <c r="P57" s="406" t="e">
        <f>P55+P50+P19</f>
        <v>#N/A</v>
      </c>
      <c r="Q57" s="419" t="e">
        <f t="shared" si="0"/>
        <v>#N/A</v>
      </c>
    </row>
    <row r="58" spans="1:19">
      <c r="C58" s="117"/>
      <c r="D58" s="117"/>
      <c r="E58" s="222"/>
      <c r="F58" s="222"/>
      <c r="G58" s="222"/>
      <c r="H58" s="222"/>
      <c r="I58" s="222"/>
      <c r="J58" s="222"/>
      <c r="K58" s="222" t="e">
        <f t="shared" ref="K58:P58" si="9">K19+K37</f>
        <v>#N/A</v>
      </c>
      <c r="L58" s="222" t="e">
        <f>L19+L37</f>
        <v>#N/A</v>
      </c>
      <c r="M58" s="222" t="e">
        <f t="shared" si="9"/>
        <v>#N/A</v>
      </c>
      <c r="N58" s="222" t="e">
        <f t="shared" si="9"/>
        <v>#N/A</v>
      </c>
      <c r="O58" s="222" t="e">
        <f t="shared" si="9"/>
        <v>#N/A</v>
      </c>
      <c r="P58" s="222" t="e">
        <f t="shared" si="9"/>
        <v>#N/A</v>
      </c>
      <c r="Q58" s="222"/>
    </row>
    <row r="59" spans="1:19">
      <c r="B59" s="191" t="s">
        <v>186</v>
      </c>
      <c r="C59" s="227" t="s">
        <v>188</v>
      </c>
      <c r="D59" s="227"/>
      <c r="E59" s="226"/>
      <c r="F59" s="226"/>
      <c r="G59" s="226"/>
      <c r="H59" s="226"/>
      <c r="I59" s="226"/>
      <c r="J59" s="226"/>
      <c r="K59" s="226"/>
      <c r="L59" s="226"/>
      <c r="M59" s="226"/>
      <c r="N59" s="226"/>
      <c r="O59" s="226"/>
      <c r="P59" s="226"/>
      <c r="Q59" s="226">
        <f>R10+R17</f>
        <v>0</v>
      </c>
      <c r="R59" s="226">
        <f>S10+S17</f>
        <v>0</v>
      </c>
      <c r="S59" s="226">
        <f t="shared" ref="S59:S64" si="10">SUM(E59:P59)</f>
        <v>0</v>
      </c>
    </row>
    <row r="60" spans="1:19">
      <c r="B60" s="191"/>
      <c r="C60" s="191" t="s">
        <v>189</v>
      </c>
      <c r="D60" s="191"/>
      <c r="E60" s="627" t="e">
        <f>E19+E37</f>
        <v>#N/A</v>
      </c>
      <c r="F60" s="627" t="e">
        <f t="shared" ref="F60:P60" si="11">F19+F37</f>
        <v>#N/A</v>
      </c>
      <c r="G60" s="627" t="e">
        <f t="shared" si="11"/>
        <v>#N/A</v>
      </c>
      <c r="H60" s="627" t="e">
        <f t="shared" si="11"/>
        <v>#N/A</v>
      </c>
      <c r="I60" s="627" t="e">
        <f t="shared" si="11"/>
        <v>#N/A</v>
      </c>
      <c r="J60" s="627" t="e">
        <f t="shared" si="11"/>
        <v>#N/A</v>
      </c>
      <c r="K60" s="627" t="e">
        <f t="shared" si="11"/>
        <v>#N/A</v>
      </c>
      <c r="L60" s="627" t="e">
        <f t="shared" si="11"/>
        <v>#N/A</v>
      </c>
      <c r="M60" s="627" t="e">
        <f t="shared" si="11"/>
        <v>#N/A</v>
      </c>
      <c r="N60" s="627" t="e">
        <f t="shared" si="11"/>
        <v>#N/A</v>
      </c>
      <c r="O60" s="627" t="e">
        <f t="shared" si="11"/>
        <v>#N/A</v>
      </c>
      <c r="P60" s="226" t="e">
        <f t="shared" si="11"/>
        <v>#N/A</v>
      </c>
      <c r="Q60" s="227"/>
      <c r="R60" s="227"/>
      <c r="S60" s="226" t="e">
        <f t="shared" si="10"/>
        <v>#N/A</v>
      </c>
    </row>
    <row r="61" spans="1:19">
      <c r="B61" s="191" t="s">
        <v>187</v>
      </c>
      <c r="C61" s="191" t="s">
        <v>188</v>
      </c>
      <c r="D61" s="191"/>
      <c r="E61" s="226"/>
      <c r="F61" s="226"/>
      <c r="G61" s="226"/>
      <c r="H61" s="226"/>
      <c r="I61" s="226"/>
      <c r="J61" s="226"/>
      <c r="K61" s="226"/>
      <c r="L61" s="226"/>
      <c r="M61" s="226"/>
      <c r="N61" s="226"/>
      <c r="O61" s="226"/>
      <c r="P61" s="226"/>
      <c r="Q61" s="226">
        <f>R52</f>
        <v>0</v>
      </c>
      <c r="R61" s="226">
        <f>S52</f>
        <v>0</v>
      </c>
      <c r="S61" s="226">
        <f t="shared" si="10"/>
        <v>0</v>
      </c>
    </row>
    <row r="62" spans="1:19">
      <c r="B62" s="191"/>
      <c r="C62" s="191" t="s">
        <v>189</v>
      </c>
      <c r="D62" s="191"/>
      <c r="E62" s="627" t="e">
        <f>E50</f>
        <v>#N/A</v>
      </c>
      <c r="F62" s="627" t="e">
        <f t="shared" ref="F62:P62" si="12">F50</f>
        <v>#N/A</v>
      </c>
      <c r="G62" s="627" t="e">
        <f t="shared" si="12"/>
        <v>#N/A</v>
      </c>
      <c r="H62" s="627" t="e">
        <f t="shared" si="12"/>
        <v>#N/A</v>
      </c>
      <c r="I62" s="627" t="e">
        <f t="shared" si="12"/>
        <v>#N/A</v>
      </c>
      <c r="J62" s="627" t="e">
        <f t="shared" si="12"/>
        <v>#N/A</v>
      </c>
      <c r="K62" s="627" t="e">
        <f t="shared" si="12"/>
        <v>#N/A</v>
      </c>
      <c r="L62" s="627" t="e">
        <f t="shared" si="12"/>
        <v>#N/A</v>
      </c>
      <c r="M62" s="627" t="e">
        <f t="shared" si="12"/>
        <v>#N/A</v>
      </c>
      <c r="N62" s="627" t="e">
        <f t="shared" si="12"/>
        <v>#N/A</v>
      </c>
      <c r="O62" s="627" t="e">
        <f t="shared" si="12"/>
        <v>#N/A</v>
      </c>
      <c r="P62" s="226" t="e">
        <f t="shared" si="12"/>
        <v>#N/A</v>
      </c>
      <c r="Q62" s="227"/>
      <c r="R62" s="227"/>
      <c r="S62" s="226" t="e">
        <f t="shared" si="10"/>
        <v>#N/A</v>
      </c>
    </row>
    <row r="63" spans="1:19">
      <c r="B63" s="191" t="s">
        <v>113</v>
      </c>
      <c r="C63" s="191" t="s">
        <v>188</v>
      </c>
      <c r="D63" s="191"/>
      <c r="E63" s="226"/>
      <c r="F63" s="226"/>
      <c r="G63" s="226"/>
      <c r="H63" s="226"/>
      <c r="I63" s="226"/>
      <c r="J63" s="226"/>
      <c r="K63" s="226"/>
      <c r="L63" s="226"/>
      <c r="M63" s="226"/>
      <c r="N63" s="226"/>
      <c r="O63" s="226"/>
      <c r="P63" s="226"/>
      <c r="Q63" s="226">
        <f>R54</f>
        <v>0</v>
      </c>
      <c r="R63" s="226">
        <f>S54</f>
        <v>0</v>
      </c>
      <c r="S63" s="226">
        <f t="shared" si="10"/>
        <v>0</v>
      </c>
    </row>
    <row r="64" spans="1:19">
      <c r="B64" s="278"/>
      <c r="C64" s="191" t="s">
        <v>189</v>
      </c>
      <c r="D64" s="191"/>
      <c r="E64" s="628" t="e">
        <f>E55</f>
        <v>#N/A</v>
      </c>
      <c r="F64" s="628" t="e">
        <f t="shared" ref="F64:P64" si="13">F55</f>
        <v>#N/A</v>
      </c>
      <c r="G64" s="628" t="e">
        <f t="shared" si="13"/>
        <v>#N/A</v>
      </c>
      <c r="H64" s="628" t="e">
        <f t="shared" si="13"/>
        <v>#N/A</v>
      </c>
      <c r="I64" s="628" t="e">
        <f t="shared" si="13"/>
        <v>#N/A</v>
      </c>
      <c r="J64" s="628" t="e">
        <f t="shared" si="13"/>
        <v>#N/A</v>
      </c>
      <c r="K64" s="628" t="e">
        <f t="shared" si="13"/>
        <v>#N/A</v>
      </c>
      <c r="L64" s="628" t="e">
        <f t="shared" si="13"/>
        <v>#N/A</v>
      </c>
      <c r="M64" s="628" t="e">
        <f t="shared" si="13"/>
        <v>#N/A</v>
      </c>
      <c r="N64" s="628" t="e">
        <f t="shared" si="13"/>
        <v>#N/A</v>
      </c>
      <c r="O64" s="628" t="e">
        <f t="shared" si="13"/>
        <v>#N/A</v>
      </c>
      <c r="P64" s="226" t="e">
        <f t="shared" si="13"/>
        <v>#N/A</v>
      </c>
      <c r="Q64" s="278"/>
      <c r="R64" s="278"/>
      <c r="S64" s="226" t="e">
        <f t="shared" si="10"/>
        <v>#N/A</v>
      </c>
    </row>
    <row r="65" spans="1:19">
      <c r="B65" s="215" t="s">
        <v>1</v>
      </c>
      <c r="C65" s="191" t="s">
        <v>188</v>
      </c>
      <c r="D65" s="191"/>
      <c r="E65" s="630">
        <f t="array" ref="E65">SUM(IF($C$59:$C$64=$C$65,E59:E64))</f>
        <v>0</v>
      </c>
      <c r="F65" s="630">
        <f t="array" ref="F65">SUM(IF($C$59:$C$64=$C$65,F59:F64))</f>
        <v>0</v>
      </c>
      <c r="G65" s="630">
        <f t="array" ref="G65">SUM(IF($C$59:$C$64=$C$65,G59:G64))</f>
        <v>0</v>
      </c>
      <c r="H65" s="630">
        <f t="array" ref="H65">SUM(IF($C$59:$C$64=$C$65,H59:H64))</f>
        <v>0</v>
      </c>
      <c r="I65" s="630">
        <f t="array" ref="I65">SUM(IF($C$59:$C$64=$C$65,I59:I64))</f>
        <v>0</v>
      </c>
      <c r="J65" s="630">
        <f t="array" ref="J65">SUM(IF($C$59:$C$64=$C$65,J59:J64))</f>
        <v>0</v>
      </c>
      <c r="K65" s="630">
        <f t="array" ref="K65">SUM(IF($C$59:$C$64=$C$65,K59:K64))</f>
        <v>0</v>
      </c>
      <c r="L65" s="630">
        <f t="array" ref="L65">SUM(IF($C$59:$C$64=$C$65,L59:L64))</f>
        <v>0</v>
      </c>
      <c r="M65" s="630">
        <f t="array" ref="M65">SUM(IF($C$59:$C$64=$C$65,M59:M64))</f>
        <v>0</v>
      </c>
      <c r="N65" s="630">
        <f t="array" ref="N65">SUM(IF($C$59:$C$64=$C$65,N59:N64))</f>
        <v>0</v>
      </c>
      <c r="O65" s="630">
        <f t="array" ref="O65">SUM(IF($C$59:$C$64=$C$65,O59:O64))</f>
        <v>0</v>
      </c>
      <c r="P65" s="630">
        <f t="array" ref="P65">SUM(IF($C$59:$C$64=$C$65,P59:P64))</f>
        <v>0</v>
      </c>
      <c r="Q65" s="215"/>
      <c r="R65" s="215"/>
      <c r="S65" s="215"/>
    </row>
    <row r="66" spans="1:19">
      <c r="B66" s="215"/>
      <c r="C66" s="191" t="s">
        <v>189</v>
      </c>
      <c r="D66" s="191"/>
      <c r="E66" s="630" t="e">
        <f t="array" ref="E66">SUM(IF($C$59:$C$64=$C$66,E59:E64))</f>
        <v>#N/A</v>
      </c>
      <c r="F66" s="630" t="e">
        <f t="array" ref="F66">SUM(IF($C$59:$C$64=$C$66,F59:F64))</f>
        <v>#N/A</v>
      </c>
      <c r="G66" s="630" t="e">
        <f t="array" ref="G66">SUM(IF($C$59:$C$64=$C$66,G59:G64))</f>
        <v>#N/A</v>
      </c>
      <c r="H66" s="630" t="e">
        <f t="array" ref="H66">SUM(IF($C$59:$C$64=$C$66,H59:H64))</f>
        <v>#N/A</v>
      </c>
      <c r="I66" s="630" t="e">
        <f t="array" ref="I66">SUM(IF($C$59:$C$64=$C$66,I59:I64))</f>
        <v>#N/A</v>
      </c>
      <c r="J66" s="630" t="e">
        <f t="array" ref="J66">SUM(IF($C$59:$C$64=$C$66,J59:J64))</f>
        <v>#N/A</v>
      </c>
      <c r="K66" s="630" t="e">
        <f t="array" ref="K66">SUM(IF($C$59:$C$64=$C$66,K59:K64))</f>
        <v>#N/A</v>
      </c>
      <c r="L66" s="630" t="e">
        <f t="array" ref="L66">SUM(IF($C$59:$C$64=$C$66,L59:L64))</f>
        <v>#N/A</v>
      </c>
      <c r="M66" s="630" t="e">
        <f t="array" ref="M66">SUM(IF($C$59:$C$64=$C$66,M59:M64))</f>
        <v>#N/A</v>
      </c>
      <c r="N66" s="630" t="e">
        <f t="array" ref="N66">SUM(IF($C$59:$C$64=$C$66,N59:N64))</f>
        <v>#N/A</v>
      </c>
      <c r="O66" s="630" t="e">
        <f t="array" ref="O66">SUM(IF($C$59:$C$64=$C$66,O59:O64))</f>
        <v>#N/A</v>
      </c>
      <c r="P66" s="630" t="e">
        <f t="array" ref="P66">SUM(IF($C$59:$C$64=$C$66,P59:P64))</f>
        <v>#N/A</v>
      </c>
      <c r="Q66" s="215"/>
      <c r="R66" s="215"/>
      <c r="S66" s="215"/>
    </row>
    <row r="67" spans="1:19">
      <c r="C67" s="117"/>
      <c r="D67" s="117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</row>
    <row r="68" spans="1:19">
      <c r="C68" s="117"/>
      <c r="D68" s="117"/>
      <c r="E68" s="117"/>
    </row>
    <row r="69" spans="1:19" ht="13.5" thickBot="1">
      <c r="A69" s="82" t="s">
        <v>74</v>
      </c>
      <c r="E69" s="218" t="s">
        <v>73</v>
      </c>
    </row>
    <row r="70" spans="1:19" ht="12.75" customHeight="1">
      <c r="A70" s="776" t="s">
        <v>72</v>
      </c>
      <c r="B70" s="777"/>
      <c r="C70" s="777"/>
      <c r="D70" s="319"/>
      <c r="E70" s="214" t="s">
        <v>71</v>
      </c>
    </row>
    <row r="71" spans="1:19">
      <c r="A71" s="778"/>
      <c r="B71" s="779"/>
      <c r="C71" s="779"/>
      <c r="D71" s="320"/>
      <c r="E71" s="215" t="s">
        <v>69</v>
      </c>
    </row>
    <row r="72" spans="1:19">
      <c r="A72" s="778"/>
      <c r="B72" s="779"/>
      <c r="C72" s="779"/>
      <c r="D72" s="320"/>
      <c r="E72" s="215" t="s">
        <v>68</v>
      </c>
    </row>
    <row r="73" spans="1:19">
      <c r="A73" s="778"/>
      <c r="B73" s="779"/>
      <c r="C73" s="779"/>
      <c r="D73" s="320"/>
      <c r="E73" s="215" t="s">
        <v>67</v>
      </c>
    </row>
    <row r="74" spans="1:19" ht="13.5" thickBot="1">
      <c r="A74" s="780"/>
      <c r="B74" s="781"/>
      <c r="C74" s="781"/>
      <c r="D74" s="321"/>
      <c r="E74" s="216" t="s">
        <v>63</v>
      </c>
    </row>
    <row r="75" spans="1:19" ht="12.75" customHeight="1">
      <c r="A75" s="776" t="s">
        <v>70</v>
      </c>
      <c r="B75" s="777"/>
      <c r="C75" s="777"/>
      <c r="D75" s="319"/>
      <c r="E75" s="214" t="s">
        <v>69</v>
      </c>
    </row>
    <row r="76" spans="1:19">
      <c r="A76" s="778"/>
      <c r="B76" s="779"/>
      <c r="C76" s="779"/>
      <c r="D76" s="320"/>
      <c r="E76" s="215" t="s">
        <v>68</v>
      </c>
    </row>
    <row r="77" spans="1:19">
      <c r="A77" s="778"/>
      <c r="B77" s="779"/>
      <c r="C77" s="779"/>
      <c r="D77" s="320"/>
      <c r="E77" s="215" t="s">
        <v>67</v>
      </c>
    </row>
    <row r="78" spans="1:19" ht="13.5" thickBot="1">
      <c r="A78" s="780"/>
      <c r="B78" s="781"/>
      <c r="C78" s="781"/>
      <c r="D78" s="321"/>
      <c r="E78" s="216" t="s">
        <v>63</v>
      </c>
    </row>
    <row r="79" spans="1:19" ht="12.75" customHeight="1">
      <c r="A79" s="776" t="s">
        <v>66</v>
      </c>
      <c r="B79" s="777"/>
      <c r="C79" s="777"/>
      <c r="D79" s="319"/>
      <c r="E79" s="214" t="s">
        <v>65</v>
      </c>
    </row>
    <row r="80" spans="1:19">
      <c r="A80" s="778"/>
      <c r="B80" s="779"/>
      <c r="C80" s="779"/>
      <c r="D80" s="320"/>
      <c r="E80" s="215" t="s">
        <v>64</v>
      </c>
    </row>
    <row r="81" spans="1:5" ht="13.5" thickBot="1">
      <c r="A81" s="780"/>
      <c r="B81" s="781"/>
      <c r="C81" s="781"/>
      <c r="D81" s="321"/>
      <c r="E81" s="216" t="s">
        <v>63</v>
      </c>
    </row>
  </sheetData>
  <mergeCells count="9">
    <mergeCell ref="A75:C78"/>
    <mergeCell ref="A79:C81"/>
    <mergeCell ref="A1:E1"/>
    <mergeCell ref="B4:C4"/>
    <mergeCell ref="B5:C5"/>
    <mergeCell ref="A7:A37"/>
    <mergeCell ref="A38:A55"/>
    <mergeCell ref="A70:C74"/>
    <mergeCell ref="D4:D5"/>
  </mergeCells>
  <printOptions gridLinesSet="0"/>
  <pageMargins left="0.78740157480314965" right="0.19685039370078741" top="0.59055118110236227" bottom="0.59055118110236227" header="0.51181102362204722" footer="0.31496062992125984"/>
  <pageSetup paperSize="9" scale="38" orientation="landscape" r:id="rId1"/>
  <headerFooter alignWithMargins="0">
    <oddFooter>&amp;L&amp;A&amp;R&amp;F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1">
    <tabColor indexed="56"/>
    <pageSetUpPr fitToPage="1"/>
  </sheetPr>
  <dimension ref="A1:AA63"/>
  <sheetViews>
    <sheetView showGridLines="0" topLeftCell="A42" zoomScale="90" zoomScaleNormal="90" zoomScaleSheetLayoutView="53" workbookViewId="0">
      <selection activeCell="D6" sqref="D6:D61"/>
    </sheetView>
  </sheetViews>
  <sheetFormatPr defaultColWidth="11.42578125" defaultRowHeight="12.75"/>
  <cols>
    <col min="1" max="1" width="3.140625" style="82" bestFit="1" customWidth="1"/>
    <col min="2" max="2" width="6.42578125" style="82" bestFit="1" customWidth="1"/>
    <col min="3" max="3" width="25.140625" style="82" bestFit="1" customWidth="1"/>
    <col min="4" max="4" width="7.7109375" style="82" bestFit="1" customWidth="1"/>
    <col min="5" max="5" width="10.28515625" style="82" bestFit="1" customWidth="1"/>
    <col min="6" max="16384" width="11.42578125" style="82"/>
  </cols>
  <sheetData>
    <row r="1" spans="1:27" ht="18" customHeight="1">
      <c r="A1" s="771" t="s">
        <v>150</v>
      </c>
      <c r="B1" s="771"/>
      <c r="C1" s="771"/>
      <c r="D1" s="771"/>
      <c r="E1" s="771"/>
    </row>
    <row r="2" spans="1:27" ht="18" customHeight="1"/>
    <row r="3" spans="1:27" ht="9.9499999999999993" customHeight="1"/>
    <row r="4" spans="1:27" ht="25.5">
      <c r="A4" s="119"/>
      <c r="B4" s="788" t="s">
        <v>57</v>
      </c>
      <c r="C4" s="789"/>
      <c r="D4" s="428" t="s">
        <v>217</v>
      </c>
      <c r="E4" s="791" t="s">
        <v>91</v>
      </c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790" t="s">
        <v>172</v>
      </c>
      <c r="R4" s="790"/>
      <c r="S4" s="790" t="s">
        <v>173</v>
      </c>
      <c r="T4" s="790"/>
      <c r="U4" s="790" t="s">
        <v>1</v>
      </c>
      <c r="V4" s="790"/>
      <c r="W4" s="790" t="s">
        <v>52</v>
      </c>
      <c r="X4" s="790" t="s">
        <v>54</v>
      </c>
      <c r="Y4" s="790" t="s">
        <v>52</v>
      </c>
      <c r="Z4" s="790" t="s">
        <v>52</v>
      </c>
    </row>
    <row r="5" spans="1:27" ht="35.25" customHeight="1">
      <c r="A5" s="119"/>
      <c r="B5" s="120" t="s">
        <v>51</v>
      </c>
      <c r="C5" s="121" t="s">
        <v>50</v>
      </c>
      <c r="D5" s="571">
        <f>'Falhas UM-3-2 Qty'!D6</f>
        <v>2022</v>
      </c>
      <c r="E5" s="122">
        <f>'Falhas UM-1 - Qty'!F5</f>
        <v>43922</v>
      </c>
      <c r="F5" s="122">
        <f>'Falhas UM-1 - Qty'!G5</f>
        <v>43952</v>
      </c>
      <c r="G5" s="122">
        <f>'Falhas UM-1 - Qty'!H5</f>
        <v>43983</v>
      </c>
      <c r="H5" s="122">
        <f>'Falhas UM-1 - Qty'!I5</f>
        <v>44013</v>
      </c>
      <c r="I5" s="122">
        <f>'Falhas UM-1 - Qty'!J5</f>
        <v>44044</v>
      </c>
      <c r="J5" s="122">
        <f>'Falhas UM-1 - Qty'!K5</f>
        <v>44075</v>
      </c>
      <c r="K5" s="122">
        <f>'Falhas UM-1 - Qty'!L5</f>
        <v>44105</v>
      </c>
      <c r="L5" s="122">
        <f>'Falhas UM-1 - Qty'!M5</f>
        <v>44136</v>
      </c>
      <c r="M5" s="122">
        <f>'Falhas UM-1 - Qty'!N5</f>
        <v>44166</v>
      </c>
      <c r="N5" s="122">
        <f>'Falhas UM-1 - Qty'!O5</f>
        <v>44197</v>
      </c>
      <c r="O5" s="122">
        <f>'Falhas UM-1 - Qty'!P5</f>
        <v>44228</v>
      </c>
      <c r="P5" s="122">
        <f>'Falhas UM-1 - Qty'!Q5</f>
        <v>44256</v>
      </c>
      <c r="Q5" s="118" t="s">
        <v>49</v>
      </c>
      <c r="R5" s="118" t="s">
        <v>48</v>
      </c>
      <c r="S5" s="118" t="s">
        <v>49</v>
      </c>
      <c r="T5" s="118" t="s">
        <v>48</v>
      </c>
      <c r="U5" s="118" t="s">
        <v>49</v>
      </c>
      <c r="V5" s="118" t="s">
        <v>48</v>
      </c>
      <c r="W5" s="118" t="s">
        <v>55</v>
      </c>
      <c r="X5" s="118" t="s">
        <v>54</v>
      </c>
      <c r="Y5" s="118" t="s">
        <v>204</v>
      </c>
      <c r="Z5" s="118" t="s">
        <v>48</v>
      </c>
    </row>
    <row r="6" spans="1:27" ht="18" customHeight="1">
      <c r="A6" s="782" t="s">
        <v>151</v>
      </c>
      <c r="B6" s="85">
        <v>4010</v>
      </c>
      <c r="C6" s="86" t="s">
        <v>152</v>
      </c>
      <c r="D6" s="397">
        <f>'[3]Falhas UM-4 Qty'!Z6</f>
        <v>76.48377419309351</v>
      </c>
      <c r="E6" s="378" t="e">
        <f>$D6/1000000*'Prod &amp; Defects - Qty'!G$8</f>
        <v>#N/A</v>
      </c>
      <c r="F6" s="378" t="e">
        <f>$D6/1000000*'Prod &amp; Defects - Qty'!H$8</f>
        <v>#N/A</v>
      </c>
      <c r="G6" s="378" t="e">
        <f>$D6/1000000*'Prod &amp; Defects - Qty'!I$8</f>
        <v>#N/A</v>
      </c>
      <c r="H6" s="378" t="e">
        <f>$D6/1000000*'Prod &amp; Defects - Qty'!J$8</f>
        <v>#N/A</v>
      </c>
      <c r="I6" s="378" t="e">
        <f>$D6/1000000*'Prod &amp; Defects - Qty'!K$8</f>
        <v>#N/A</v>
      </c>
      <c r="J6" s="378" t="e">
        <f>$D6/1000000*'Prod &amp; Defects - Qty'!L$8</f>
        <v>#N/A</v>
      </c>
      <c r="K6" s="378" t="e">
        <f>$D6/1000000*'Prod &amp; Defects - Qty'!M$8</f>
        <v>#N/A</v>
      </c>
      <c r="L6" s="378" t="e">
        <f>$D6/1000000*'Prod &amp; Defects - Qty'!N$8</f>
        <v>#N/A</v>
      </c>
      <c r="M6" s="378" t="e">
        <f>$D6/1000000*'Prod &amp; Defects - Qty'!O$8</f>
        <v>#N/A</v>
      </c>
      <c r="N6" s="378" t="e">
        <f>$D6/1000000*'Prod &amp; Defects - Qty'!P$8</f>
        <v>#N/A</v>
      </c>
      <c r="O6" s="378" t="e">
        <f>$D6/1000000*'Prod &amp; Defects - Qty'!Q$8</f>
        <v>#N/A</v>
      </c>
      <c r="P6" s="378" t="e">
        <f>$D6/1000000*'Prod &amp; Defects - Qty'!R$8</f>
        <v>#N/A</v>
      </c>
      <c r="Q6" s="378" t="e">
        <f>SUM(E6:J6)</f>
        <v>#N/A</v>
      </c>
      <c r="R6" s="378" t="e">
        <f>Q6/SUM('Prod &amp; Defects - Qty'!$G$8:$L$8)*1000000</f>
        <v>#N/A</v>
      </c>
      <c r="S6" s="378" t="e">
        <f>SUM(K6:P6)</f>
        <v>#N/A</v>
      </c>
      <c r="T6" s="378" t="e">
        <f>S6/SUM('Prod &amp; Defects - Qty'!$M$8:$R$8)*1000000</f>
        <v>#N/A</v>
      </c>
      <c r="U6" s="378" t="e">
        <f>Q6+S6</f>
        <v>#N/A</v>
      </c>
      <c r="V6" s="378" t="e">
        <f>U6/'Prod &amp; Defects - Qty'!$S$8*1000000</f>
        <v>#N/A</v>
      </c>
      <c r="W6" s="378" t="e">
        <f t="shared" ref="W6:X14" si="0">V6*$AA$6</f>
        <v>#N/A</v>
      </c>
      <c r="X6" s="378" t="e">
        <f t="shared" si="0"/>
        <v>#N/A</v>
      </c>
      <c r="Y6" s="378" t="e">
        <f>(W6+X6)/2</f>
        <v>#N/A</v>
      </c>
      <c r="Z6" s="378" t="e">
        <f>Y6*$AA$6</f>
        <v>#N/A</v>
      </c>
      <c r="AA6" s="82">
        <f>'Falhas UM-3-2 Qty'!AA7</f>
        <v>1</v>
      </c>
    </row>
    <row r="7" spans="1:27" ht="18" customHeight="1">
      <c r="A7" s="783"/>
      <c r="B7" s="88">
        <f>B6+10</f>
        <v>4020</v>
      </c>
      <c r="C7" s="89" t="s">
        <v>153</v>
      </c>
      <c r="D7" s="398">
        <f>'[3]Falhas UM-4 Qty'!Z7</f>
        <v>31.512515660699314</v>
      </c>
      <c r="E7" s="379" t="e">
        <f>$D7/1000000*'Prod &amp; Defects - Qty'!G$8</f>
        <v>#N/A</v>
      </c>
      <c r="F7" s="379" t="e">
        <f>$D7/1000000*'Prod &amp; Defects - Qty'!H$8</f>
        <v>#N/A</v>
      </c>
      <c r="G7" s="379" t="e">
        <f>$D7/1000000*'Prod &amp; Defects - Qty'!I$8</f>
        <v>#N/A</v>
      </c>
      <c r="H7" s="379" t="e">
        <f>$D7/1000000*'Prod &amp; Defects - Qty'!J$8</f>
        <v>#N/A</v>
      </c>
      <c r="I7" s="379" t="e">
        <f>$D7/1000000*'Prod &amp; Defects - Qty'!K$8</f>
        <v>#N/A</v>
      </c>
      <c r="J7" s="379" t="e">
        <f>$D7/1000000*'Prod &amp; Defects - Qty'!L$8</f>
        <v>#N/A</v>
      </c>
      <c r="K7" s="379" t="e">
        <f>$D7/1000000*'Prod &amp; Defects - Qty'!M$8</f>
        <v>#N/A</v>
      </c>
      <c r="L7" s="379" t="e">
        <f>$D7/1000000*'Prod &amp; Defects - Qty'!N$8</f>
        <v>#N/A</v>
      </c>
      <c r="M7" s="379" t="e">
        <f>$D7/1000000*'Prod &amp; Defects - Qty'!O$8</f>
        <v>#N/A</v>
      </c>
      <c r="N7" s="379" t="e">
        <f>$D7/1000000*'Prod &amp; Defects - Qty'!P$8</f>
        <v>#N/A</v>
      </c>
      <c r="O7" s="379" t="e">
        <f>$D7/1000000*'Prod &amp; Defects - Qty'!Q$8</f>
        <v>#N/A</v>
      </c>
      <c r="P7" s="379" t="e">
        <f>$D7/1000000*'Prod &amp; Defects - Qty'!R$8</f>
        <v>#N/A</v>
      </c>
      <c r="Q7" s="379" t="e">
        <f t="shared" ref="Q7:Q61" si="1">SUM(E7:J7)</f>
        <v>#N/A</v>
      </c>
      <c r="R7" s="379" t="e">
        <f>Q7/SUM('Prod &amp; Defects - Qty'!$G$8:$L$8)*1000000</f>
        <v>#N/A</v>
      </c>
      <c r="S7" s="379" t="e">
        <f t="shared" ref="S7:S61" si="2">SUM(K7:P7)</f>
        <v>#N/A</v>
      </c>
      <c r="T7" s="379" t="e">
        <f>S7/SUM('Prod &amp; Defects - Qty'!$M$8:$R$8)*1000000</f>
        <v>#N/A</v>
      </c>
      <c r="U7" s="379" t="e">
        <f t="shared" ref="U7:U61" si="3">Q7+S7</f>
        <v>#N/A</v>
      </c>
      <c r="V7" s="379" t="e">
        <f>U7/'Prod &amp; Defects - Qty'!$S$8*1000000</f>
        <v>#N/A</v>
      </c>
      <c r="W7" s="379" t="e">
        <f t="shared" si="0"/>
        <v>#N/A</v>
      </c>
      <c r="X7" s="379" t="e">
        <f t="shared" si="0"/>
        <v>#N/A</v>
      </c>
      <c r="Y7" s="379" t="e">
        <f t="shared" ref="Y7:Y59" si="4">(W7+X7)/2</f>
        <v>#N/A</v>
      </c>
      <c r="Z7" s="379" t="e">
        <f t="shared" ref="Z7:Z14" si="5">Y7*$AA$6</f>
        <v>#N/A</v>
      </c>
    </row>
    <row r="8" spans="1:27" ht="18" customHeight="1">
      <c r="A8" s="783"/>
      <c r="B8" s="88">
        <f t="shared" ref="B8:B14" si="6">B7+10</f>
        <v>4030</v>
      </c>
      <c r="C8" s="89" t="s">
        <v>154</v>
      </c>
      <c r="D8" s="398">
        <f>'[3]Falhas UM-4 Qty'!Z8</f>
        <v>22.889907073877492</v>
      </c>
      <c r="E8" s="379" t="e">
        <f>$D8/1000000*'Prod &amp; Defects - Qty'!G$8</f>
        <v>#N/A</v>
      </c>
      <c r="F8" s="379" t="e">
        <f>$D8/1000000*'Prod &amp; Defects - Qty'!H$8</f>
        <v>#N/A</v>
      </c>
      <c r="G8" s="379" t="e">
        <f>$D8/1000000*'Prod &amp; Defects - Qty'!I$8</f>
        <v>#N/A</v>
      </c>
      <c r="H8" s="379" t="e">
        <f>$D8/1000000*'Prod &amp; Defects - Qty'!J$8</f>
        <v>#N/A</v>
      </c>
      <c r="I8" s="379" t="e">
        <f>$D8/1000000*'Prod &amp; Defects - Qty'!K$8</f>
        <v>#N/A</v>
      </c>
      <c r="J8" s="379" t="e">
        <f>$D8/1000000*'Prod &amp; Defects - Qty'!L$8</f>
        <v>#N/A</v>
      </c>
      <c r="K8" s="379" t="e">
        <f>$D8/1000000*'Prod &amp; Defects - Qty'!M$8</f>
        <v>#N/A</v>
      </c>
      <c r="L8" s="379" t="e">
        <f>$D8/1000000*'Prod &amp; Defects - Qty'!N$8</f>
        <v>#N/A</v>
      </c>
      <c r="M8" s="379" t="e">
        <f>$D8/1000000*'Prod &amp; Defects - Qty'!O$8</f>
        <v>#N/A</v>
      </c>
      <c r="N8" s="379" t="e">
        <f>$D8/1000000*'Prod &amp; Defects - Qty'!P$8</f>
        <v>#N/A</v>
      </c>
      <c r="O8" s="379" t="e">
        <f>$D8/1000000*'Prod &amp; Defects - Qty'!Q$8</f>
        <v>#N/A</v>
      </c>
      <c r="P8" s="379" t="e">
        <f>$D8/1000000*'Prod &amp; Defects - Qty'!R$8</f>
        <v>#N/A</v>
      </c>
      <c r="Q8" s="379" t="e">
        <f t="shared" si="1"/>
        <v>#N/A</v>
      </c>
      <c r="R8" s="379" t="e">
        <f>Q8/SUM('Prod &amp; Defects - Qty'!$G$8:$L$8)*1000000</f>
        <v>#N/A</v>
      </c>
      <c r="S8" s="379" t="e">
        <f t="shared" si="2"/>
        <v>#N/A</v>
      </c>
      <c r="T8" s="379" t="e">
        <f>S8/SUM('Prod &amp; Defects - Qty'!$M$8:$R$8)*1000000</f>
        <v>#N/A</v>
      </c>
      <c r="U8" s="379" t="e">
        <f t="shared" si="3"/>
        <v>#N/A</v>
      </c>
      <c r="V8" s="379" t="e">
        <f>U8/'Prod &amp; Defects - Qty'!$S$8*1000000</f>
        <v>#N/A</v>
      </c>
      <c r="W8" s="379" t="e">
        <f t="shared" si="0"/>
        <v>#N/A</v>
      </c>
      <c r="X8" s="379" t="e">
        <f t="shared" si="0"/>
        <v>#N/A</v>
      </c>
      <c r="Y8" s="379" t="e">
        <f t="shared" si="4"/>
        <v>#N/A</v>
      </c>
      <c r="Z8" s="379" t="e">
        <f t="shared" si="5"/>
        <v>#N/A</v>
      </c>
    </row>
    <row r="9" spans="1:27" ht="18" customHeight="1">
      <c r="A9" s="783"/>
      <c r="B9" s="88">
        <f t="shared" si="6"/>
        <v>4040</v>
      </c>
      <c r="C9" s="89" t="s">
        <v>155</v>
      </c>
      <c r="D9" s="398">
        <f>'[3]Falhas UM-4 Qty'!Z9</f>
        <v>142.32125741215003</v>
      </c>
      <c r="E9" s="379" t="e">
        <f>$D9/1000000*'Prod &amp; Defects - Qty'!G$8</f>
        <v>#N/A</v>
      </c>
      <c r="F9" s="379" t="e">
        <f>$D9/1000000*'Prod &amp; Defects - Qty'!H$8</f>
        <v>#N/A</v>
      </c>
      <c r="G9" s="379" t="e">
        <f>$D9/1000000*'Prod &amp; Defects - Qty'!I$8</f>
        <v>#N/A</v>
      </c>
      <c r="H9" s="379" t="e">
        <f>$D9/1000000*'Prod &amp; Defects - Qty'!J$8</f>
        <v>#N/A</v>
      </c>
      <c r="I9" s="379" t="e">
        <f>$D9/1000000*'Prod &amp; Defects - Qty'!K$8</f>
        <v>#N/A</v>
      </c>
      <c r="J9" s="379" t="e">
        <f>$D9/1000000*'Prod &amp; Defects - Qty'!L$8</f>
        <v>#N/A</v>
      </c>
      <c r="K9" s="379" t="e">
        <f>$D9/1000000*'Prod &amp; Defects - Qty'!M$8</f>
        <v>#N/A</v>
      </c>
      <c r="L9" s="379" t="e">
        <f>$D9/1000000*'Prod &amp; Defects - Qty'!N$8</f>
        <v>#N/A</v>
      </c>
      <c r="M9" s="379" t="e">
        <f>$D9/1000000*'Prod &amp; Defects - Qty'!O$8</f>
        <v>#N/A</v>
      </c>
      <c r="N9" s="379" t="e">
        <f>$D9/1000000*'Prod &amp; Defects - Qty'!P$8</f>
        <v>#N/A</v>
      </c>
      <c r="O9" s="379" t="e">
        <f>$D9/1000000*'Prod &amp; Defects - Qty'!Q$8</f>
        <v>#N/A</v>
      </c>
      <c r="P9" s="379" t="e">
        <f>$D9/1000000*'Prod &amp; Defects - Qty'!R$8</f>
        <v>#N/A</v>
      </c>
      <c r="Q9" s="379" t="e">
        <f t="shared" si="1"/>
        <v>#N/A</v>
      </c>
      <c r="R9" s="379" t="e">
        <f>Q9/SUM('Prod &amp; Defects - Qty'!$G$8:$L$8)*1000000</f>
        <v>#N/A</v>
      </c>
      <c r="S9" s="379" t="e">
        <f t="shared" si="2"/>
        <v>#N/A</v>
      </c>
      <c r="T9" s="379" t="e">
        <f>S9/SUM('Prod &amp; Defects - Qty'!$M$8:$R$8)*1000000</f>
        <v>#N/A</v>
      </c>
      <c r="U9" s="379" t="e">
        <f t="shared" si="3"/>
        <v>#N/A</v>
      </c>
      <c r="V9" s="379" t="e">
        <f>U9/'Prod &amp; Defects - Qty'!$S$8*1000000</f>
        <v>#N/A</v>
      </c>
      <c r="W9" s="379" t="e">
        <f t="shared" si="0"/>
        <v>#N/A</v>
      </c>
      <c r="X9" s="379" t="e">
        <f t="shared" si="0"/>
        <v>#N/A</v>
      </c>
      <c r="Y9" s="379" t="e">
        <f t="shared" si="4"/>
        <v>#N/A</v>
      </c>
      <c r="Z9" s="379" t="e">
        <f t="shared" si="5"/>
        <v>#N/A</v>
      </c>
    </row>
    <row r="10" spans="1:27" ht="18" customHeight="1">
      <c r="A10" s="783"/>
      <c r="B10" s="88">
        <f t="shared" si="6"/>
        <v>4050</v>
      </c>
      <c r="C10" s="89" t="s">
        <v>156</v>
      </c>
      <c r="D10" s="398">
        <f>'[3]Falhas UM-4 Qty'!Z10</f>
        <v>25.100670313675284</v>
      </c>
      <c r="E10" s="379" t="e">
        <f>$D10/1000000*'Prod &amp; Defects - Qty'!G$8</f>
        <v>#N/A</v>
      </c>
      <c r="F10" s="379" t="e">
        <f>$D10/1000000*'Prod &amp; Defects - Qty'!H$8</f>
        <v>#N/A</v>
      </c>
      <c r="G10" s="379" t="e">
        <f>$D10/1000000*'Prod &amp; Defects - Qty'!I$8</f>
        <v>#N/A</v>
      </c>
      <c r="H10" s="379" t="e">
        <f>$D10/1000000*'Prod &amp; Defects - Qty'!J$8</f>
        <v>#N/A</v>
      </c>
      <c r="I10" s="379" t="e">
        <f>$D10/1000000*'Prod &amp; Defects - Qty'!K$8</f>
        <v>#N/A</v>
      </c>
      <c r="J10" s="379" t="e">
        <f>$D10/1000000*'Prod &amp; Defects - Qty'!L$8</f>
        <v>#N/A</v>
      </c>
      <c r="K10" s="379" t="e">
        <f>$D10/1000000*'Prod &amp; Defects - Qty'!M$8</f>
        <v>#N/A</v>
      </c>
      <c r="L10" s="379" t="e">
        <f>$D10/1000000*'Prod &amp; Defects - Qty'!N$8</f>
        <v>#N/A</v>
      </c>
      <c r="M10" s="379" t="e">
        <f>$D10/1000000*'Prod &amp; Defects - Qty'!O$8</f>
        <v>#N/A</v>
      </c>
      <c r="N10" s="379" t="e">
        <f>$D10/1000000*'Prod &amp; Defects - Qty'!P$8</f>
        <v>#N/A</v>
      </c>
      <c r="O10" s="379" t="e">
        <f>$D10/1000000*'Prod &amp; Defects - Qty'!Q$8</f>
        <v>#N/A</v>
      </c>
      <c r="P10" s="379" t="e">
        <f>$D10/1000000*'Prod &amp; Defects - Qty'!R$8</f>
        <v>#N/A</v>
      </c>
      <c r="Q10" s="379" t="e">
        <f t="shared" si="1"/>
        <v>#N/A</v>
      </c>
      <c r="R10" s="379" t="e">
        <f>Q10/SUM('Prod &amp; Defects - Qty'!$G$8:$L$8)*1000000</f>
        <v>#N/A</v>
      </c>
      <c r="S10" s="379" t="e">
        <f t="shared" si="2"/>
        <v>#N/A</v>
      </c>
      <c r="T10" s="379" t="e">
        <f>S10/SUM('Prod &amp; Defects - Qty'!$M$8:$R$8)*1000000</f>
        <v>#N/A</v>
      </c>
      <c r="U10" s="379" t="e">
        <f t="shared" si="3"/>
        <v>#N/A</v>
      </c>
      <c r="V10" s="379" t="e">
        <f>U10/'Prod &amp; Defects - Qty'!$S$8*1000000</f>
        <v>#N/A</v>
      </c>
      <c r="W10" s="379" t="e">
        <f t="shared" si="0"/>
        <v>#N/A</v>
      </c>
      <c r="X10" s="379" t="e">
        <f t="shared" si="0"/>
        <v>#N/A</v>
      </c>
      <c r="Y10" s="379" t="e">
        <f t="shared" si="4"/>
        <v>#N/A</v>
      </c>
      <c r="Z10" s="379" t="e">
        <f t="shared" si="5"/>
        <v>#N/A</v>
      </c>
    </row>
    <row r="11" spans="1:27" ht="18" customHeight="1">
      <c r="A11" s="783"/>
      <c r="B11" s="88">
        <f t="shared" si="6"/>
        <v>4060</v>
      </c>
      <c r="C11" s="89" t="s">
        <v>157</v>
      </c>
      <c r="D11" s="398">
        <f>'[3]Falhas UM-4 Qty'!Z11</f>
        <v>7.9638176149461888</v>
      </c>
      <c r="E11" s="379" t="e">
        <f>$D11/1000000*'Prod &amp; Defects - Qty'!G$8</f>
        <v>#N/A</v>
      </c>
      <c r="F11" s="379" t="e">
        <f>$D11/1000000*'Prod &amp; Defects - Qty'!H$8</f>
        <v>#N/A</v>
      </c>
      <c r="G11" s="379" t="e">
        <f>$D11/1000000*'Prod &amp; Defects - Qty'!I$8</f>
        <v>#N/A</v>
      </c>
      <c r="H11" s="379" t="e">
        <f>$D11/1000000*'Prod &amp; Defects - Qty'!J$8</f>
        <v>#N/A</v>
      </c>
      <c r="I11" s="379" t="e">
        <f>$D11/1000000*'Prod &amp; Defects - Qty'!K$8</f>
        <v>#N/A</v>
      </c>
      <c r="J11" s="379" t="e">
        <f>$D11/1000000*'Prod &amp; Defects - Qty'!L$8</f>
        <v>#N/A</v>
      </c>
      <c r="K11" s="379" t="e">
        <f>$D11/1000000*'Prod &amp; Defects - Qty'!M$8</f>
        <v>#N/A</v>
      </c>
      <c r="L11" s="379" t="e">
        <f>$D11/1000000*'Prod &amp; Defects - Qty'!N$8</f>
        <v>#N/A</v>
      </c>
      <c r="M11" s="379" t="e">
        <f>$D11/1000000*'Prod &amp; Defects - Qty'!O$8</f>
        <v>#N/A</v>
      </c>
      <c r="N11" s="379" t="e">
        <f>$D11/1000000*'Prod &amp; Defects - Qty'!P$8</f>
        <v>#N/A</v>
      </c>
      <c r="O11" s="379" t="e">
        <f>$D11/1000000*'Prod &amp; Defects - Qty'!Q$8</f>
        <v>#N/A</v>
      </c>
      <c r="P11" s="379" t="e">
        <f>$D11/1000000*'Prod &amp; Defects - Qty'!R$8</f>
        <v>#N/A</v>
      </c>
      <c r="Q11" s="379" t="e">
        <f t="shared" si="1"/>
        <v>#N/A</v>
      </c>
      <c r="R11" s="379" t="e">
        <f>Q11/SUM('Prod &amp; Defects - Qty'!$G$8:$L$8)*1000000</f>
        <v>#N/A</v>
      </c>
      <c r="S11" s="379" t="e">
        <f t="shared" si="2"/>
        <v>#N/A</v>
      </c>
      <c r="T11" s="379" t="e">
        <f>S11/SUM('Prod &amp; Defects - Qty'!$M$8:$R$8)*1000000</f>
        <v>#N/A</v>
      </c>
      <c r="U11" s="379" t="e">
        <f t="shared" si="3"/>
        <v>#N/A</v>
      </c>
      <c r="V11" s="379" t="e">
        <f>U11/'Prod &amp; Defects - Qty'!$S$8*1000000</f>
        <v>#N/A</v>
      </c>
      <c r="W11" s="379" t="e">
        <f t="shared" si="0"/>
        <v>#N/A</v>
      </c>
      <c r="X11" s="379" t="e">
        <f t="shared" si="0"/>
        <v>#N/A</v>
      </c>
      <c r="Y11" s="379" t="e">
        <f t="shared" si="4"/>
        <v>#N/A</v>
      </c>
      <c r="Z11" s="379" t="e">
        <f t="shared" si="5"/>
        <v>#N/A</v>
      </c>
    </row>
    <row r="12" spans="1:27" ht="18" customHeight="1">
      <c r="A12" s="783"/>
      <c r="B12" s="88">
        <f t="shared" si="6"/>
        <v>4070</v>
      </c>
      <c r="C12" s="89" t="s">
        <v>158</v>
      </c>
      <c r="D12" s="398">
        <f>'[3]Falhas UM-4 Qty'!Z12</f>
        <v>14.122528016681617</v>
      </c>
      <c r="E12" s="379" t="e">
        <f>$D12/1000000*'Prod &amp; Defects - Qty'!G$8</f>
        <v>#N/A</v>
      </c>
      <c r="F12" s="379" t="e">
        <f>$D12/1000000*'Prod &amp; Defects - Qty'!H$8</f>
        <v>#N/A</v>
      </c>
      <c r="G12" s="379" t="e">
        <f>$D12/1000000*'Prod &amp; Defects - Qty'!I$8</f>
        <v>#N/A</v>
      </c>
      <c r="H12" s="379" t="e">
        <f>$D12/1000000*'Prod &amp; Defects - Qty'!J$8</f>
        <v>#N/A</v>
      </c>
      <c r="I12" s="379" t="e">
        <f>$D12/1000000*'Prod &amp; Defects - Qty'!K$8</f>
        <v>#N/A</v>
      </c>
      <c r="J12" s="379" t="e">
        <f>$D12/1000000*'Prod &amp; Defects - Qty'!L$8</f>
        <v>#N/A</v>
      </c>
      <c r="K12" s="379" t="e">
        <f>$D12/1000000*'Prod &amp; Defects - Qty'!M$8</f>
        <v>#N/A</v>
      </c>
      <c r="L12" s="379" t="e">
        <f>$D12/1000000*'Prod &amp; Defects - Qty'!N$8</f>
        <v>#N/A</v>
      </c>
      <c r="M12" s="379" t="e">
        <f>$D12/1000000*'Prod &amp; Defects - Qty'!O$8</f>
        <v>#N/A</v>
      </c>
      <c r="N12" s="379" t="e">
        <f>$D12/1000000*'Prod &amp; Defects - Qty'!P$8</f>
        <v>#N/A</v>
      </c>
      <c r="O12" s="379" t="e">
        <f>$D12/1000000*'Prod &amp; Defects - Qty'!Q$8</f>
        <v>#N/A</v>
      </c>
      <c r="P12" s="379" t="e">
        <f>$D12/1000000*'Prod &amp; Defects - Qty'!R$8</f>
        <v>#N/A</v>
      </c>
      <c r="Q12" s="379" t="e">
        <f t="shared" si="1"/>
        <v>#N/A</v>
      </c>
      <c r="R12" s="379" t="e">
        <f>Q12/SUM('Prod &amp; Defects - Qty'!$G$8:$L$8)*1000000</f>
        <v>#N/A</v>
      </c>
      <c r="S12" s="379" t="e">
        <f t="shared" si="2"/>
        <v>#N/A</v>
      </c>
      <c r="T12" s="379" t="e">
        <f>S12/SUM('Prod &amp; Defects - Qty'!$M$8:$R$8)*1000000</f>
        <v>#N/A</v>
      </c>
      <c r="U12" s="379" t="e">
        <f t="shared" si="3"/>
        <v>#N/A</v>
      </c>
      <c r="V12" s="379" t="e">
        <f>U12/'Prod &amp; Defects - Qty'!$S$8*1000000</f>
        <v>#N/A</v>
      </c>
      <c r="W12" s="379" t="e">
        <f t="shared" si="0"/>
        <v>#N/A</v>
      </c>
      <c r="X12" s="379" t="e">
        <f t="shared" si="0"/>
        <v>#N/A</v>
      </c>
      <c r="Y12" s="379" t="e">
        <f t="shared" si="4"/>
        <v>#N/A</v>
      </c>
      <c r="Z12" s="379" t="e">
        <f t="shared" si="5"/>
        <v>#N/A</v>
      </c>
    </row>
    <row r="13" spans="1:27" ht="18" customHeight="1">
      <c r="A13" s="783"/>
      <c r="B13" s="88">
        <f t="shared" si="6"/>
        <v>4080</v>
      </c>
      <c r="C13" s="89" t="s">
        <v>159</v>
      </c>
      <c r="D13" s="398">
        <f>'[3]Falhas UM-4 Qty'!Z13</f>
        <v>349.81460868935073</v>
      </c>
      <c r="E13" s="379" t="e">
        <f>$D13/1000000*'Prod &amp; Defects - Qty'!G$8</f>
        <v>#N/A</v>
      </c>
      <c r="F13" s="379" t="e">
        <f>$D13/1000000*'Prod &amp; Defects - Qty'!H$8</f>
        <v>#N/A</v>
      </c>
      <c r="G13" s="379" t="e">
        <f>$D13/1000000*'Prod &amp; Defects - Qty'!I$8</f>
        <v>#N/A</v>
      </c>
      <c r="H13" s="379" t="e">
        <f>$D13/1000000*'Prod &amp; Defects - Qty'!J$8</f>
        <v>#N/A</v>
      </c>
      <c r="I13" s="379" t="e">
        <f>$D13/1000000*'Prod &amp; Defects - Qty'!K$8</f>
        <v>#N/A</v>
      </c>
      <c r="J13" s="379" t="e">
        <f>$D13/1000000*'Prod &amp; Defects - Qty'!L$8</f>
        <v>#N/A</v>
      </c>
      <c r="K13" s="379" t="e">
        <f>$D13/1000000*'Prod &amp; Defects - Qty'!M$8</f>
        <v>#N/A</v>
      </c>
      <c r="L13" s="379" t="e">
        <f>$D13/1000000*'Prod &amp; Defects - Qty'!N$8</f>
        <v>#N/A</v>
      </c>
      <c r="M13" s="379" t="e">
        <f>$D13/1000000*'Prod &amp; Defects - Qty'!O$8</f>
        <v>#N/A</v>
      </c>
      <c r="N13" s="379" t="e">
        <f>$D13/1000000*'Prod &amp; Defects - Qty'!P$8</f>
        <v>#N/A</v>
      </c>
      <c r="O13" s="379" t="e">
        <f>$D13/1000000*'Prod &amp; Defects - Qty'!Q$8</f>
        <v>#N/A</v>
      </c>
      <c r="P13" s="379" t="e">
        <f>$D13/1000000*'Prod &amp; Defects - Qty'!R$8</f>
        <v>#N/A</v>
      </c>
      <c r="Q13" s="379" t="e">
        <f t="shared" si="1"/>
        <v>#N/A</v>
      </c>
      <c r="R13" s="379" t="e">
        <f>Q13/SUM('Prod &amp; Defects - Qty'!$G$8:$L$8)*1000000</f>
        <v>#N/A</v>
      </c>
      <c r="S13" s="379" t="e">
        <f t="shared" si="2"/>
        <v>#N/A</v>
      </c>
      <c r="T13" s="379" t="e">
        <f>S13/SUM('Prod &amp; Defects - Qty'!$M$8:$R$8)*1000000</f>
        <v>#N/A</v>
      </c>
      <c r="U13" s="379" t="e">
        <f t="shared" si="3"/>
        <v>#N/A</v>
      </c>
      <c r="V13" s="379" t="e">
        <f>U13/'Prod &amp; Defects - Qty'!$S$8*1000000</f>
        <v>#N/A</v>
      </c>
      <c r="W13" s="379" t="e">
        <f t="shared" si="0"/>
        <v>#N/A</v>
      </c>
      <c r="X13" s="379" t="e">
        <f t="shared" si="0"/>
        <v>#N/A</v>
      </c>
      <c r="Y13" s="379" t="e">
        <f t="shared" si="4"/>
        <v>#N/A</v>
      </c>
      <c r="Z13" s="379" t="e">
        <f t="shared" si="5"/>
        <v>#N/A</v>
      </c>
    </row>
    <row r="14" spans="1:27" ht="18" customHeight="1">
      <c r="A14" s="783"/>
      <c r="B14" s="88">
        <f t="shared" si="6"/>
        <v>4090</v>
      </c>
      <c r="C14" s="89" t="s">
        <v>160</v>
      </c>
      <c r="D14" s="398">
        <f>'[3]Falhas UM-4 Qty'!Z14</f>
        <v>7.6279073361928438</v>
      </c>
      <c r="E14" s="379" t="e">
        <f>$D14/1000000*'Prod &amp; Defects - Qty'!G$8</f>
        <v>#N/A</v>
      </c>
      <c r="F14" s="379" t="e">
        <f>$D14/1000000*'Prod &amp; Defects - Qty'!H$8</f>
        <v>#N/A</v>
      </c>
      <c r="G14" s="379" t="e">
        <f>$D14/1000000*'Prod &amp; Defects - Qty'!I$8</f>
        <v>#N/A</v>
      </c>
      <c r="H14" s="379" t="e">
        <f>$D14/1000000*'Prod &amp; Defects - Qty'!J$8</f>
        <v>#N/A</v>
      </c>
      <c r="I14" s="379" t="e">
        <f>$D14/1000000*'Prod &amp; Defects - Qty'!K$8</f>
        <v>#N/A</v>
      </c>
      <c r="J14" s="379" t="e">
        <f>$D14/1000000*'Prod &amp; Defects - Qty'!L$8</f>
        <v>#N/A</v>
      </c>
      <c r="K14" s="379" t="e">
        <f>$D14/1000000*'Prod &amp; Defects - Qty'!M$8</f>
        <v>#N/A</v>
      </c>
      <c r="L14" s="379" t="e">
        <f>$D14/1000000*'Prod &amp; Defects - Qty'!N$8</f>
        <v>#N/A</v>
      </c>
      <c r="M14" s="379" t="e">
        <f>$D14/1000000*'Prod &amp; Defects - Qty'!O$8</f>
        <v>#N/A</v>
      </c>
      <c r="N14" s="379" t="e">
        <f>$D14/1000000*'Prod &amp; Defects - Qty'!P$8</f>
        <v>#N/A</v>
      </c>
      <c r="O14" s="379" t="e">
        <f>$D14/1000000*'Prod &amp; Defects - Qty'!Q$8</f>
        <v>#N/A</v>
      </c>
      <c r="P14" s="379" t="e">
        <f>$D14/1000000*'Prod &amp; Defects - Qty'!R$8</f>
        <v>#N/A</v>
      </c>
      <c r="Q14" s="379" t="e">
        <f t="shared" si="1"/>
        <v>#N/A</v>
      </c>
      <c r="R14" s="379" t="e">
        <f>Q14/SUM('Prod &amp; Defects - Qty'!$G$8:$L$8)*1000000</f>
        <v>#N/A</v>
      </c>
      <c r="S14" s="379" t="e">
        <f t="shared" si="2"/>
        <v>#N/A</v>
      </c>
      <c r="T14" s="379" t="e">
        <f>S14/SUM('Prod &amp; Defects - Qty'!$M$8:$R$8)*1000000</f>
        <v>#N/A</v>
      </c>
      <c r="U14" s="379" t="e">
        <f t="shared" si="3"/>
        <v>#N/A</v>
      </c>
      <c r="V14" s="379" t="e">
        <f>U14/'Prod &amp; Defects - Qty'!$S$8*1000000</f>
        <v>#N/A</v>
      </c>
      <c r="W14" s="379" t="e">
        <f t="shared" si="0"/>
        <v>#N/A</v>
      </c>
      <c r="X14" s="379" t="e">
        <f t="shared" si="0"/>
        <v>#N/A</v>
      </c>
      <c r="Y14" s="379" t="e">
        <f t="shared" si="4"/>
        <v>#N/A</v>
      </c>
      <c r="Z14" s="379" t="e">
        <f t="shared" si="5"/>
        <v>#N/A</v>
      </c>
    </row>
    <row r="15" spans="1:27" ht="18" customHeight="1" thickBot="1">
      <c r="A15" s="783"/>
      <c r="B15" s="91"/>
      <c r="C15" s="92" t="s">
        <v>1</v>
      </c>
      <c r="D15" s="401">
        <f>'[3]Falhas UM-4 Qty'!Z15</f>
        <v>677.83698631066716</v>
      </c>
      <c r="E15" s="382" t="e">
        <f t="shared" ref="E15:L15" si="7">SUM(E6:E14)</f>
        <v>#N/A</v>
      </c>
      <c r="F15" s="382" t="e">
        <f t="shared" si="7"/>
        <v>#N/A</v>
      </c>
      <c r="G15" s="382" t="e">
        <f t="shared" si="7"/>
        <v>#N/A</v>
      </c>
      <c r="H15" s="382" t="e">
        <f t="shared" si="7"/>
        <v>#N/A</v>
      </c>
      <c r="I15" s="382" t="e">
        <f t="shared" si="7"/>
        <v>#N/A</v>
      </c>
      <c r="J15" s="382" t="e">
        <f t="shared" si="7"/>
        <v>#N/A</v>
      </c>
      <c r="K15" s="382" t="e">
        <f t="shared" si="7"/>
        <v>#N/A</v>
      </c>
      <c r="L15" s="382" t="e">
        <f t="shared" si="7"/>
        <v>#N/A</v>
      </c>
      <c r="M15" s="382" t="e">
        <f>SUM(M6:M14)</f>
        <v>#N/A</v>
      </c>
      <c r="N15" s="382" t="e">
        <f>SUM(N6:N14)</f>
        <v>#N/A</v>
      </c>
      <c r="O15" s="382" t="e">
        <f>SUM(O6:O14)</f>
        <v>#N/A</v>
      </c>
      <c r="P15" s="382" t="e">
        <f>SUM(P6:P14)</f>
        <v>#N/A</v>
      </c>
      <c r="Q15" s="382" t="e">
        <f t="shared" si="1"/>
        <v>#N/A</v>
      </c>
      <c r="R15" s="382" t="e">
        <f>Q15/SUM('Prod &amp; Defects - Qty'!$G$8:$L$8)*1000000</f>
        <v>#N/A</v>
      </c>
      <c r="S15" s="382" t="e">
        <f t="shared" si="2"/>
        <v>#N/A</v>
      </c>
      <c r="T15" s="382" t="e">
        <f>S15/SUM('Prod &amp; Defects - Qty'!$M$8:$R$8)*1000000</f>
        <v>#N/A</v>
      </c>
      <c r="U15" s="382" t="e">
        <f t="shared" si="3"/>
        <v>#N/A</v>
      </c>
      <c r="V15" s="382" t="e">
        <f>U15/'Prod &amp; Defects - Qty'!$S$8*1000000</f>
        <v>#N/A</v>
      </c>
      <c r="W15" s="382" t="e">
        <f>SUM(W6:W14)</f>
        <v>#N/A</v>
      </c>
      <c r="X15" s="382" t="e">
        <f>SUM(X6:X14)</f>
        <v>#N/A</v>
      </c>
      <c r="Y15" s="382" t="e">
        <f t="shared" si="4"/>
        <v>#N/A</v>
      </c>
      <c r="Z15" s="382" t="e">
        <f>Y15</f>
        <v>#N/A</v>
      </c>
    </row>
    <row r="16" spans="1:27" ht="18" customHeight="1" thickTop="1">
      <c r="A16" s="783" t="s">
        <v>37</v>
      </c>
      <c r="B16" s="88">
        <v>4130</v>
      </c>
      <c r="C16" s="89" t="s">
        <v>161</v>
      </c>
      <c r="D16" s="398">
        <f>'[3]Falhas UM-4 Qty'!Z16</f>
        <v>0</v>
      </c>
      <c r="E16" s="379" t="e">
        <f>$D16/1000000*'Prod &amp; Defects - Qty'!G$8</f>
        <v>#N/A</v>
      </c>
      <c r="F16" s="379" t="e">
        <f>$D16/1000000*'Prod &amp; Defects - Qty'!H$8</f>
        <v>#N/A</v>
      </c>
      <c r="G16" s="379" t="e">
        <f>$D16/1000000*'Prod &amp; Defects - Qty'!I$8</f>
        <v>#N/A</v>
      </c>
      <c r="H16" s="379" t="e">
        <f>$D16/1000000*'Prod &amp; Defects - Qty'!J$8</f>
        <v>#N/A</v>
      </c>
      <c r="I16" s="379" t="e">
        <f>$D16/1000000*'Prod &amp; Defects - Qty'!K$8</f>
        <v>#N/A</v>
      </c>
      <c r="J16" s="379" t="e">
        <f>$D16/1000000*'Prod &amp; Defects - Qty'!L$8</f>
        <v>#N/A</v>
      </c>
      <c r="K16" s="379" t="e">
        <f>$D16/1000000*'Prod &amp; Defects - Qty'!M$8</f>
        <v>#N/A</v>
      </c>
      <c r="L16" s="379" t="e">
        <f>$D16/1000000*'Prod &amp; Defects - Qty'!N$8</f>
        <v>#N/A</v>
      </c>
      <c r="M16" s="379" t="e">
        <f>$D16/1000000*'Prod &amp; Defects - Qty'!O$8</f>
        <v>#N/A</v>
      </c>
      <c r="N16" s="379" t="e">
        <f>$D16/1000000*'Prod &amp; Defects - Qty'!P$8</f>
        <v>#N/A</v>
      </c>
      <c r="O16" s="379" t="e">
        <f>$D16/1000000*'Prod &amp; Defects - Qty'!Q$8</f>
        <v>#N/A</v>
      </c>
      <c r="P16" s="379" t="e">
        <f>$D16/1000000*'Prod &amp; Defects - Qty'!R$8</f>
        <v>#N/A</v>
      </c>
      <c r="Q16" s="379" t="e">
        <f t="shared" si="1"/>
        <v>#N/A</v>
      </c>
      <c r="R16" s="379" t="e">
        <f>Q16/SUM('Prod &amp; Defects - Qty'!$G$8:$L$8)*1000000</f>
        <v>#N/A</v>
      </c>
      <c r="S16" s="379" t="e">
        <f t="shared" si="2"/>
        <v>#N/A</v>
      </c>
      <c r="T16" s="379" t="e">
        <f>S16/SUM('Prod &amp; Defects - Qty'!$M$8:$R$8)*1000000</f>
        <v>#N/A</v>
      </c>
      <c r="U16" s="379" t="e">
        <f t="shared" si="3"/>
        <v>#N/A</v>
      </c>
      <c r="V16" s="379" t="e">
        <f>U16/'Prod &amp; Defects - Qty'!$S$8*1000000</f>
        <v>#N/A</v>
      </c>
      <c r="W16" s="379" t="e">
        <f t="shared" ref="W16:X23" si="8">V16*0.9</f>
        <v>#N/A</v>
      </c>
      <c r="X16" s="379" t="e">
        <f t="shared" si="8"/>
        <v>#N/A</v>
      </c>
      <c r="Y16" s="379" t="e">
        <f t="shared" si="4"/>
        <v>#N/A</v>
      </c>
      <c r="Z16" s="379" t="e">
        <f t="shared" ref="Z16:Z31" si="9">Y16*$AA$6</f>
        <v>#N/A</v>
      </c>
    </row>
    <row r="17" spans="1:26" ht="18" customHeight="1">
      <c r="A17" s="783"/>
      <c r="B17" s="88">
        <v>4140</v>
      </c>
      <c r="C17" s="96" t="s">
        <v>162</v>
      </c>
      <c r="D17" s="398">
        <f>'[3]Falhas UM-4 Qty'!Z17</f>
        <v>788.55141812792681</v>
      </c>
      <c r="E17" s="379" t="e">
        <f>$D17/1000000*'Prod &amp; Defects - Qty'!G$8</f>
        <v>#N/A</v>
      </c>
      <c r="F17" s="379" t="e">
        <f>$D17/1000000*'Prod &amp; Defects - Qty'!H$8</f>
        <v>#N/A</v>
      </c>
      <c r="G17" s="379" t="e">
        <f>$D17/1000000*'Prod &amp; Defects - Qty'!I$8</f>
        <v>#N/A</v>
      </c>
      <c r="H17" s="379" t="e">
        <f>$D17/1000000*'Prod &amp; Defects - Qty'!J$8</f>
        <v>#N/A</v>
      </c>
      <c r="I17" s="379" t="e">
        <f>$D17/1000000*'Prod &amp; Defects - Qty'!K$8</f>
        <v>#N/A</v>
      </c>
      <c r="J17" s="379" t="e">
        <f>$D17/1000000*'Prod &amp; Defects - Qty'!L$8</f>
        <v>#N/A</v>
      </c>
      <c r="K17" s="379" t="e">
        <f>$D17/1000000*'Prod &amp; Defects - Qty'!M$8</f>
        <v>#N/A</v>
      </c>
      <c r="L17" s="379" t="e">
        <f>$D17/1000000*'Prod &amp; Defects - Qty'!N$8</f>
        <v>#N/A</v>
      </c>
      <c r="M17" s="379" t="e">
        <f>$D17/1000000*'Prod &amp; Defects - Qty'!O$8</f>
        <v>#N/A</v>
      </c>
      <c r="N17" s="379" t="e">
        <f>$D17/1000000*'Prod &amp; Defects - Qty'!P$8</f>
        <v>#N/A</v>
      </c>
      <c r="O17" s="379" t="e">
        <f>$D17/1000000*'Prod &amp; Defects - Qty'!Q$8</f>
        <v>#N/A</v>
      </c>
      <c r="P17" s="379" t="e">
        <f>$D17/1000000*'Prod &amp; Defects - Qty'!R$8</f>
        <v>#N/A</v>
      </c>
      <c r="Q17" s="379" t="e">
        <f t="shared" si="1"/>
        <v>#N/A</v>
      </c>
      <c r="R17" s="379" t="e">
        <f>Q17/SUM('Prod &amp; Defects - Qty'!$G$8:$L$8)*1000000</f>
        <v>#N/A</v>
      </c>
      <c r="S17" s="379" t="e">
        <f t="shared" si="2"/>
        <v>#N/A</v>
      </c>
      <c r="T17" s="379" t="e">
        <f>S17/SUM('Prod &amp; Defects - Qty'!$M$8:$R$8)*1000000</f>
        <v>#N/A</v>
      </c>
      <c r="U17" s="379" t="e">
        <f t="shared" si="3"/>
        <v>#N/A</v>
      </c>
      <c r="V17" s="379" t="e">
        <f>U17/'Prod &amp; Defects - Qty'!$S$8*1000000</f>
        <v>#N/A</v>
      </c>
      <c r="W17" s="379" t="e">
        <f t="shared" si="8"/>
        <v>#N/A</v>
      </c>
      <c r="X17" s="379" t="e">
        <f t="shared" si="8"/>
        <v>#N/A</v>
      </c>
      <c r="Y17" s="379" t="e">
        <f t="shared" si="4"/>
        <v>#N/A</v>
      </c>
      <c r="Z17" s="379" t="e">
        <f t="shared" si="9"/>
        <v>#N/A</v>
      </c>
    </row>
    <row r="18" spans="1:26" ht="18" customHeight="1">
      <c r="A18" s="783"/>
      <c r="B18" s="88">
        <v>4150</v>
      </c>
      <c r="C18" s="96" t="s">
        <v>163</v>
      </c>
      <c r="D18" s="398">
        <f>'[3]Falhas UM-4 Qty'!Z18</f>
        <v>0</v>
      </c>
      <c r="E18" s="379" t="e">
        <f>$D18/1000000*'Prod &amp; Defects - Qty'!G$8</f>
        <v>#N/A</v>
      </c>
      <c r="F18" s="379" t="e">
        <f>$D18/1000000*'Prod &amp; Defects - Qty'!H$8</f>
        <v>#N/A</v>
      </c>
      <c r="G18" s="379" t="e">
        <f>$D18/1000000*'Prod &amp; Defects - Qty'!I$8</f>
        <v>#N/A</v>
      </c>
      <c r="H18" s="379" t="e">
        <f>$D18/1000000*'Prod &amp; Defects - Qty'!J$8</f>
        <v>#N/A</v>
      </c>
      <c r="I18" s="379" t="e">
        <f>$D18/1000000*'Prod &amp; Defects - Qty'!K$8</f>
        <v>#N/A</v>
      </c>
      <c r="J18" s="379" t="e">
        <f>$D18/1000000*'Prod &amp; Defects - Qty'!L$8</f>
        <v>#N/A</v>
      </c>
      <c r="K18" s="379" t="e">
        <f>$D18/1000000*'Prod &amp; Defects - Qty'!M$8</f>
        <v>#N/A</v>
      </c>
      <c r="L18" s="379" t="e">
        <f>$D18/1000000*'Prod &amp; Defects - Qty'!N$8</f>
        <v>#N/A</v>
      </c>
      <c r="M18" s="379" t="e">
        <f>$D18/1000000*'Prod &amp; Defects - Qty'!O$8</f>
        <v>#N/A</v>
      </c>
      <c r="N18" s="379" t="e">
        <f>$D18/1000000*'Prod &amp; Defects - Qty'!P$8</f>
        <v>#N/A</v>
      </c>
      <c r="O18" s="379" t="e">
        <f>$D18/1000000*'Prod &amp; Defects - Qty'!Q$8</f>
        <v>#N/A</v>
      </c>
      <c r="P18" s="379" t="e">
        <f>$D18/1000000*'Prod &amp; Defects - Qty'!R$8</f>
        <v>#N/A</v>
      </c>
      <c r="Q18" s="379" t="e">
        <f t="shared" si="1"/>
        <v>#N/A</v>
      </c>
      <c r="R18" s="379" t="e">
        <f>Q18/SUM('Prod &amp; Defects - Qty'!$G$8:$L$8)*1000000</f>
        <v>#N/A</v>
      </c>
      <c r="S18" s="379" t="e">
        <f t="shared" si="2"/>
        <v>#N/A</v>
      </c>
      <c r="T18" s="379" t="e">
        <f>S18/SUM('Prod &amp; Defects - Qty'!$M$8:$R$8)*1000000</f>
        <v>#N/A</v>
      </c>
      <c r="U18" s="379" t="e">
        <f t="shared" si="3"/>
        <v>#N/A</v>
      </c>
      <c r="V18" s="379" t="e">
        <f>U18/'Prod &amp; Defects - Qty'!$S$8*1000000</f>
        <v>#N/A</v>
      </c>
      <c r="W18" s="379" t="e">
        <f t="shared" si="8"/>
        <v>#N/A</v>
      </c>
      <c r="X18" s="379" t="e">
        <f t="shared" si="8"/>
        <v>#N/A</v>
      </c>
      <c r="Y18" s="379" t="e">
        <f t="shared" si="4"/>
        <v>#N/A</v>
      </c>
      <c r="Z18" s="379" t="e">
        <f t="shared" si="9"/>
        <v>#N/A</v>
      </c>
    </row>
    <row r="19" spans="1:26" ht="18" customHeight="1">
      <c r="A19" s="783"/>
      <c r="B19" s="88">
        <v>4160</v>
      </c>
      <c r="C19" s="96" t="s">
        <v>164</v>
      </c>
      <c r="D19" s="398">
        <f>'[3]Falhas UM-4 Qty'!Z19</f>
        <v>0.53534980811856203</v>
      </c>
      <c r="E19" s="379" t="e">
        <f>$D19/1000000*'Prod &amp; Defects - Qty'!G$8</f>
        <v>#N/A</v>
      </c>
      <c r="F19" s="379" t="e">
        <f>$D19/1000000*'Prod &amp; Defects - Qty'!H$8</f>
        <v>#N/A</v>
      </c>
      <c r="G19" s="379" t="e">
        <f>$D19/1000000*'Prod &amp; Defects - Qty'!I$8</f>
        <v>#N/A</v>
      </c>
      <c r="H19" s="379" t="e">
        <f>$D19/1000000*'Prod &amp; Defects - Qty'!J$8</f>
        <v>#N/A</v>
      </c>
      <c r="I19" s="379" t="e">
        <f>$D19/1000000*'Prod &amp; Defects - Qty'!K$8</f>
        <v>#N/A</v>
      </c>
      <c r="J19" s="379" t="e">
        <f>$D19/1000000*'Prod &amp; Defects - Qty'!L$8</f>
        <v>#N/A</v>
      </c>
      <c r="K19" s="379" t="e">
        <f>$D19/1000000*'Prod &amp; Defects - Qty'!M$8</f>
        <v>#N/A</v>
      </c>
      <c r="L19" s="379" t="e">
        <f>$D19/1000000*'Prod &amp; Defects - Qty'!N$8</f>
        <v>#N/A</v>
      </c>
      <c r="M19" s="379" t="e">
        <f>$D19/1000000*'Prod &amp; Defects - Qty'!O$8</f>
        <v>#N/A</v>
      </c>
      <c r="N19" s="379" t="e">
        <f>$D19/1000000*'Prod &amp; Defects - Qty'!P$8</f>
        <v>#N/A</v>
      </c>
      <c r="O19" s="379" t="e">
        <f>$D19/1000000*'Prod &amp; Defects - Qty'!Q$8</f>
        <v>#N/A</v>
      </c>
      <c r="P19" s="379" t="e">
        <f>$D19/1000000*'Prod &amp; Defects - Qty'!R$8</f>
        <v>#N/A</v>
      </c>
      <c r="Q19" s="379" t="e">
        <f t="shared" si="1"/>
        <v>#N/A</v>
      </c>
      <c r="R19" s="379" t="e">
        <f>Q19/SUM('Prod &amp; Defects - Qty'!$G$8:$L$8)*1000000</f>
        <v>#N/A</v>
      </c>
      <c r="S19" s="379" t="e">
        <f t="shared" si="2"/>
        <v>#N/A</v>
      </c>
      <c r="T19" s="379" t="e">
        <f>S19/SUM('Prod &amp; Defects - Qty'!$M$8:$R$8)*1000000</f>
        <v>#N/A</v>
      </c>
      <c r="U19" s="379" t="e">
        <f t="shared" si="3"/>
        <v>#N/A</v>
      </c>
      <c r="V19" s="379" t="e">
        <f>U19/'Prod &amp; Defects - Qty'!$S$8*1000000</f>
        <v>#N/A</v>
      </c>
      <c r="W19" s="379" t="e">
        <f t="shared" si="8"/>
        <v>#N/A</v>
      </c>
      <c r="X19" s="379" t="e">
        <f t="shared" si="8"/>
        <v>#N/A</v>
      </c>
      <c r="Y19" s="379" t="e">
        <f t="shared" si="4"/>
        <v>#N/A</v>
      </c>
      <c r="Z19" s="379" t="e">
        <f t="shared" si="9"/>
        <v>#N/A</v>
      </c>
    </row>
    <row r="20" spans="1:26" ht="18" customHeight="1">
      <c r="A20" s="783"/>
      <c r="B20" s="88">
        <v>4170</v>
      </c>
      <c r="C20" s="40" t="s">
        <v>221</v>
      </c>
      <c r="D20" s="279">
        <f>'[3]Falhas UM-4 Qty'!Z20</f>
        <v>0</v>
      </c>
      <c r="E20" s="585"/>
      <c r="F20" s="585"/>
      <c r="G20" s="585"/>
      <c r="H20" s="585"/>
      <c r="I20" s="585"/>
      <c r="J20" s="585"/>
      <c r="K20" s="585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Z20" s="585"/>
    </row>
    <row r="21" spans="1:26" ht="18" customHeight="1">
      <c r="A21" s="783"/>
      <c r="B21" s="88">
        <v>4180</v>
      </c>
      <c r="C21" s="97" t="s">
        <v>222</v>
      </c>
      <c r="D21" s="402">
        <f>'[3]Falhas UM-4 Qty'!Z21</f>
        <v>21.47117218886871</v>
      </c>
      <c r="E21" s="383" t="e">
        <f>$D21/1000000*'Prod &amp; Defects - Qty'!G$8</f>
        <v>#N/A</v>
      </c>
      <c r="F21" s="383" t="e">
        <f>$D21/1000000*'Prod &amp; Defects - Qty'!H$8</f>
        <v>#N/A</v>
      </c>
      <c r="G21" s="383" t="e">
        <f>$D21/1000000*'Prod &amp; Defects - Qty'!I$8</f>
        <v>#N/A</v>
      </c>
      <c r="H21" s="383" t="e">
        <f>$D21/1000000*'Prod &amp; Defects - Qty'!J$8</f>
        <v>#N/A</v>
      </c>
      <c r="I21" s="383" t="e">
        <f>$D21/1000000*'Prod &amp; Defects - Qty'!K$8</f>
        <v>#N/A</v>
      </c>
      <c r="J21" s="383" t="e">
        <f>$D21/1000000*'Prod &amp; Defects - Qty'!L$8</f>
        <v>#N/A</v>
      </c>
      <c r="K21" s="383" t="e">
        <f>$D21/1000000*'Prod &amp; Defects - Qty'!M$8</f>
        <v>#N/A</v>
      </c>
      <c r="L21" s="383" t="e">
        <f>$D21/1000000*'Prod &amp; Defects - Qty'!N$8</f>
        <v>#N/A</v>
      </c>
      <c r="M21" s="383" t="e">
        <f>$D21/1000000*'Prod &amp; Defects - Qty'!O$8</f>
        <v>#N/A</v>
      </c>
      <c r="N21" s="383" t="e">
        <f>$D21/1000000*'Prod &amp; Defects - Qty'!P$8</f>
        <v>#N/A</v>
      </c>
      <c r="O21" s="383" t="e">
        <f>$D21/1000000*'Prod &amp; Defects - Qty'!Q$8</f>
        <v>#N/A</v>
      </c>
      <c r="P21" s="383" t="e">
        <f>$D21/1000000*'Prod &amp; Defects - Qty'!R$8</f>
        <v>#N/A</v>
      </c>
      <c r="Q21" s="383" t="e">
        <f t="shared" si="1"/>
        <v>#N/A</v>
      </c>
      <c r="R21" s="383" t="e">
        <f>Q21/SUM('Prod &amp; Defects - Qty'!$G$8:$L$8)*1000000</f>
        <v>#N/A</v>
      </c>
      <c r="S21" s="383" t="e">
        <f t="shared" si="2"/>
        <v>#N/A</v>
      </c>
      <c r="T21" s="383" t="e">
        <f>S21/SUM('Prod &amp; Defects - Qty'!$M$8:$R$8)*1000000</f>
        <v>#N/A</v>
      </c>
      <c r="U21" s="383" t="e">
        <f t="shared" si="3"/>
        <v>#N/A</v>
      </c>
      <c r="V21" s="383" t="e">
        <f>U21/'Prod &amp; Defects - Qty'!$S$8*1000000</f>
        <v>#N/A</v>
      </c>
      <c r="W21" s="383" t="e">
        <f t="shared" si="8"/>
        <v>#N/A</v>
      </c>
      <c r="X21" s="383" t="e">
        <f t="shared" si="8"/>
        <v>#N/A</v>
      </c>
      <c r="Y21" s="383" t="e">
        <f t="shared" si="4"/>
        <v>#N/A</v>
      </c>
      <c r="Z21" s="383" t="e">
        <f t="shared" si="9"/>
        <v>#N/A</v>
      </c>
    </row>
    <row r="22" spans="1:26" ht="18" customHeight="1">
      <c r="A22" s="783" t="s">
        <v>165</v>
      </c>
      <c r="B22" s="88">
        <v>4190</v>
      </c>
      <c r="C22" s="89" t="s">
        <v>125</v>
      </c>
      <c r="D22" s="398">
        <f>'[3]Falhas UM-4 Qty'!Z22</f>
        <v>241.32075807855901</v>
      </c>
      <c r="E22" s="379" t="e">
        <f>$D22/1000000*'Prod &amp; Defects - Qty'!G$8</f>
        <v>#N/A</v>
      </c>
      <c r="F22" s="379" t="e">
        <f>$D22/1000000*'Prod &amp; Defects - Qty'!H$8</f>
        <v>#N/A</v>
      </c>
      <c r="G22" s="379" t="e">
        <f>$D22/1000000*'Prod &amp; Defects - Qty'!I$8</f>
        <v>#N/A</v>
      </c>
      <c r="H22" s="379" t="e">
        <f>$D22/1000000*'Prod &amp; Defects - Qty'!J$8</f>
        <v>#N/A</v>
      </c>
      <c r="I22" s="379" t="e">
        <f>$D22/1000000*'Prod &amp; Defects - Qty'!K$8</f>
        <v>#N/A</v>
      </c>
      <c r="J22" s="379" t="e">
        <f>$D22/1000000*'Prod &amp; Defects - Qty'!L$8</f>
        <v>#N/A</v>
      </c>
      <c r="K22" s="379" t="e">
        <f>$D22/1000000*'Prod &amp; Defects - Qty'!M$8</f>
        <v>#N/A</v>
      </c>
      <c r="L22" s="379" t="e">
        <f>$D22/1000000*'Prod &amp; Defects - Qty'!N$8</f>
        <v>#N/A</v>
      </c>
      <c r="M22" s="379" t="e">
        <f>$D22/1000000*'Prod &amp; Defects - Qty'!O$8</f>
        <v>#N/A</v>
      </c>
      <c r="N22" s="379" t="e">
        <f>$D22/1000000*'Prod &amp; Defects - Qty'!P$8</f>
        <v>#N/A</v>
      </c>
      <c r="O22" s="379" t="e">
        <f>$D22/1000000*'Prod &amp; Defects - Qty'!Q$8</f>
        <v>#N/A</v>
      </c>
      <c r="P22" s="379" t="e">
        <f>$D22/1000000*'Prod &amp; Defects - Qty'!R$8</f>
        <v>#N/A</v>
      </c>
      <c r="Q22" s="379" t="e">
        <f t="shared" si="1"/>
        <v>#N/A</v>
      </c>
      <c r="R22" s="379" t="e">
        <f>Q22/SUM('Prod &amp; Defects - Qty'!$G$8:$L$8)*1000000</f>
        <v>#N/A</v>
      </c>
      <c r="S22" s="379" t="e">
        <f t="shared" si="2"/>
        <v>#N/A</v>
      </c>
      <c r="T22" s="379" t="e">
        <f>S22/SUM('Prod &amp; Defects - Qty'!$M$8:$R$8)*1000000</f>
        <v>#N/A</v>
      </c>
      <c r="U22" s="379" t="e">
        <f t="shared" si="3"/>
        <v>#N/A</v>
      </c>
      <c r="V22" s="379" t="e">
        <f>U22/'Prod &amp; Defects - Qty'!$S$8*1000000</f>
        <v>#N/A</v>
      </c>
      <c r="W22" s="379" t="e">
        <f t="shared" si="8"/>
        <v>#N/A</v>
      </c>
      <c r="X22" s="379" t="e">
        <f t="shared" si="8"/>
        <v>#N/A</v>
      </c>
      <c r="Y22" s="379" t="e">
        <f t="shared" si="4"/>
        <v>#N/A</v>
      </c>
      <c r="Z22" s="379" t="e">
        <f t="shared" si="9"/>
        <v>#N/A</v>
      </c>
    </row>
    <row r="23" spans="1:26" ht="18" customHeight="1">
      <c r="A23" s="783"/>
      <c r="B23" s="88">
        <v>4200</v>
      </c>
      <c r="C23" s="96" t="s">
        <v>124</v>
      </c>
      <c r="D23" s="398">
        <f>'[3]Falhas UM-4 Qty'!Z23</f>
        <v>3.3459363007410127E-2</v>
      </c>
      <c r="E23" s="379" t="e">
        <f>$D23/1000000*'Prod &amp; Defects - Qty'!G$8</f>
        <v>#N/A</v>
      </c>
      <c r="F23" s="379" t="e">
        <f>$D23/1000000*'Prod &amp; Defects - Qty'!H$8</f>
        <v>#N/A</v>
      </c>
      <c r="G23" s="379" t="e">
        <f>$D23/1000000*'Prod &amp; Defects - Qty'!I$8</f>
        <v>#N/A</v>
      </c>
      <c r="H23" s="379" t="e">
        <f>$D23/1000000*'Prod &amp; Defects - Qty'!J$8</f>
        <v>#N/A</v>
      </c>
      <c r="I23" s="379" t="e">
        <f>$D23/1000000*'Prod &amp; Defects - Qty'!K$8</f>
        <v>#N/A</v>
      </c>
      <c r="J23" s="379" t="e">
        <f>$D23/1000000*'Prod &amp; Defects - Qty'!L$8</f>
        <v>#N/A</v>
      </c>
      <c r="K23" s="379" t="e">
        <f>$D23/1000000*'Prod &amp; Defects - Qty'!M$8</f>
        <v>#N/A</v>
      </c>
      <c r="L23" s="379" t="e">
        <f>$D23/1000000*'Prod &amp; Defects - Qty'!N$8</f>
        <v>#N/A</v>
      </c>
      <c r="M23" s="379" t="e">
        <f>$D23/1000000*'Prod &amp; Defects - Qty'!O$8</f>
        <v>#N/A</v>
      </c>
      <c r="N23" s="379" t="e">
        <f>$D23/1000000*'Prod &amp; Defects - Qty'!P$8</f>
        <v>#N/A</v>
      </c>
      <c r="O23" s="379" t="e">
        <f>$D23/1000000*'Prod &amp; Defects - Qty'!Q$8</f>
        <v>#N/A</v>
      </c>
      <c r="P23" s="379" t="e">
        <f>$D23/1000000*'Prod &amp; Defects - Qty'!R$8</f>
        <v>#N/A</v>
      </c>
      <c r="Q23" s="379" t="e">
        <f t="shared" si="1"/>
        <v>#N/A</v>
      </c>
      <c r="R23" s="379" t="e">
        <f>Q23/SUM('Prod &amp; Defects - Qty'!$G$8:$L$8)*1000000</f>
        <v>#N/A</v>
      </c>
      <c r="S23" s="379" t="e">
        <f t="shared" si="2"/>
        <v>#N/A</v>
      </c>
      <c r="T23" s="379" t="e">
        <f>S23/SUM('Prod &amp; Defects - Qty'!$M$8:$R$8)*1000000</f>
        <v>#N/A</v>
      </c>
      <c r="U23" s="379" t="e">
        <f t="shared" si="3"/>
        <v>#N/A</v>
      </c>
      <c r="V23" s="379" t="e">
        <f>U23/'Prod &amp; Defects - Qty'!$S$8*1000000</f>
        <v>#N/A</v>
      </c>
      <c r="W23" s="379" t="e">
        <f t="shared" si="8"/>
        <v>#N/A</v>
      </c>
      <c r="X23" s="379" t="e">
        <f t="shared" si="8"/>
        <v>#N/A</v>
      </c>
      <c r="Y23" s="379" t="e">
        <f t="shared" si="4"/>
        <v>#N/A</v>
      </c>
      <c r="Z23" s="379" t="e">
        <f t="shared" si="9"/>
        <v>#N/A</v>
      </c>
    </row>
    <row r="24" spans="1:26" ht="18" customHeight="1">
      <c r="A24" s="783"/>
      <c r="B24" s="88">
        <v>4210</v>
      </c>
      <c r="C24" s="96" t="s">
        <v>135</v>
      </c>
      <c r="D24" s="398">
        <f>'[3]Falhas UM-4 Qty'!Z24</f>
        <v>1.6802315088921549</v>
      </c>
      <c r="E24" s="379" t="e">
        <f>$D24/1000000*'Prod &amp; Defects - Qty'!G$8</f>
        <v>#N/A</v>
      </c>
      <c r="F24" s="379" t="e">
        <f>$D24/1000000*'Prod &amp; Defects - Qty'!H$8</f>
        <v>#N/A</v>
      </c>
      <c r="G24" s="379" t="e">
        <f>$D24/1000000*'Prod &amp; Defects - Qty'!I$8</f>
        <v>#N/A</v>
      </c>
      <c r="H24" s="379" t="e">
        <f>$D24/1000000*'Prod &amp; Defects - Qty'!J$8</f>
        <v>#N/A</v>
      </c>
      <c r="I24" s="379" t="e">
        <f>$D24/1000000*'Prod &amp; Defects - Qty'!K$8</f>
        <v>#N/A</v>
      </c>
      <c r="J24" s="379" t="e">
        <f>$D24/1000000*'Prod &amp; Defects - Qty'!L$8</f>
        <v>#N/A</v>
      </c>
      <c r="K24" s="379" t="e">
        <f>$D24/1000000*'Prod &amp; Defects - Qty'!M$8</f>
        <v>#N/A</v>
      </c>
      <c r="L24" s="379" t="e">
        <f>$D24/1000000*'Prod &amp; Defects - Qty'!N$8</f>
        <v>#N/A</v>
      </c>
      <c r="M24" s="379" t="e">
        <f>$D24/1000000*'Prod &amp; Defects - Qty'!O$8</f>
        <v>#N/A</v>
      </c>
      <c r="N24" s="379" t="e">
        <f>$D24/1000000*'Prod &amp; Defects - Qty'!P$8</f>
        <v>#N/A</v>
      </c>
      <c r="O24" s="379" t="e">
        <f>$D24/1000000*'Prod &amp; Defects - Qty'!Q$8</f>
        <v>#N/A</v>
      </c>
      <c r="P24" s="379" t="e">
        <f>$D24/1000000*'Prod &amp; Defects - Qty'!R$8</f>
        <v>#N/A</v>
      </c>
      <c r="Q24" s="379" t="e">
        <f t="shared" si="1"/>
        <v>#N/A</v>
      </c>
      <c r="R24" s="379" t="e">
        <f>Q24/SUM('Prod &amp; Defects - Qty'!$G$8:$L$8)*1000000</f>
        <v>#N/A</v>
      </c>
      <c r="S24" s="379" t="e">
        <f t="shared" si="2"/>
        <v>#N/A</v>
      </c>
      <c r="T24" s="379" t="e">
        <f>S24/SUM('Prod &amp; Defects - Qty'!$M$8:$R$8)*1000000</f>
        <v>#N/A</v>
      </c>
      <c r="U24" s="379" t="e">
        <f t="shared" si="3"/>
        <v>#N/A</v>
      </c>
      <c r="V24" s="379" t="e">
        <f>U24/'Prod &amp; Defects - Qty'!$S$8*1000000</f>
        <v>#N/A</v>
      </c>
      <c r="W24" s="379" t="e">
        <f t="shared" ref="W24:X39" si="10">V24*0.9</f>
        <v>#N/A</v>
      </c>
      <c r="X24" s="379" t="e">
        <f t="shared" si="10"/>
        <v>#N/A</v>
      </c>
      <c r="Y24" s="379" t="e">
        <f t="shared" si="4"/>
        <v>#N/A</v>
      </c>
      <c r="Z24" s="379" t="e">
        <f t="shared" si="9"/>
        <v>#N/A</v>
      </c>
    </row>
    <row r="25" spans="1:26" ht="18" customHeight="1">
      <c r="A25" s="783"/>
      <c r="B25" s="88">
        <v>4220</v>
      </c>
      <c r="C25" s="96" t="s">
        <v>136</v>
      </c>
      <c r="D25" s="398">
        <f>'[3]Falhas UM-4 Qty'!Z25</f>
        <v>0.58124342477537605</v>
      </c>
      <c r="E25" s="379" t="e">
        <f>$D25/1000000*'Prod &amp; Defects - Qty'!G$8</f>
        <v>#N/A</v>
      </c>
      <c r="F25" s="379" t="e">
        <f>$D25/1000000*'Prod &amp; Defects - Qty'!H$8</f>
        <v>#N/A</v>
      </c>
      <c r="G25" s="379" t="e">
        <f>$D25/1000000*'Prod &amp; Defects - Qty'!I$8</f>
        <v>#N/A</v>
      </c>
      <c r="H25" s="379" t="e">
        <f>$D25/1000000*'Prod &amp; Defects - Qty'!J$8</f>
        <v>#N/A</v>
      </c>
      <c r="I25" s="379" t="e">
        <f>$D25/1000000*'Prod &amp; Defects - Qty'!K$8</f>
        <v>#N/A</v>
      </c>
      <c r="J25" s="379" t="e">
        <f>$D25/1000000*'Prod &amp; Defects - Qty'!L$8</f>
        <v>#N/A</v>
      </c>
      <c r="K25" s="379" t="e">
        <f>$D25/1000000*'Prod &amp; Defects - Qty'!M$8</f>
        <v>#N/A</v>
      </c>
      <c r="L25" s="379" t="e">
        <f>$D25/1000000*'Prod &amp; Defects - Qty'!N$8</f>
        <v>#N/A</v>
      </c>
      <c r="M25" s="379" t="e">
        <f>$D25/1000000*'Prod &amp; Defects - Qty'!O$8</f>
        <v>#N/A</v>
      </c>
      <c r="N25" s="379" t="e">
        <f>$D25/1000000*'Prod &amp; Defects - Qty'!P$8</f>
        <v>#N/A</v>
      </c>
      <c r="O25" s="379" t="e">
        <f>$D25/1000000*'Prod &amp; Defects - Qty'!Q$8</f>
        <v>#N/A</v>
      </c>
      <c r="P25" s="379" t="e">
        <f>$D25/1000000*'Prod &amp; Defects - Qty'!R$8</f>
        <v>#N/A</v>
      </c>
      <c r="Q25" s="379" t="e">
        <f t="shared" si="1"/>
        <v>#N/A</v>
      </c>
      <c r="R25" s="379" t="e">
        <f>Q25/SUM('Prod &amp; Defects - Qty'!$G$8:$L$8)*1000000</f>
        <v>#N/A</v>
      </c>
      <c r="S25" s="379" t="e">
        <f t="shared" si="2"/>
        <v>#N/A</v>
      </c>
      <c r="T25" s="379" t="e">
        <f>S25/SUM('Prod &amp; Defects - Qty'!$M$8:$R$8)*1000000</f>
        <v>#N/A</v>
      </c>
      <c r="U25" s="379" t="e">
        <f t="shared" si="3"/>
        <v>#N/A</v>
      </c>
      <c r="V25" s="379" t="e">
        <f>U25/'Prod &amp; Defects - Qty'!$S$8*1000000</f>
        <v>#N/A</v>
      </c>
      <c r="W25" s="379" t="e">
        <f t="shared" si="10"/>
        <v>#N/A</v>
      </c>
      <c r="X25" s="379" t="e">
        <f t="shared" si="10"/>
        <v>#N/A</v>
      </c>
      <c r="Y25" s="379" t="e">
        <f t="shared" si="4"/>
        <v>#N/A</v>
      </c>
      <c r="Z25" s="379" t="e">
        <f t="shared" si="9"/>
        <v>#N/A</v>
      </c>
    </row>
    <row r="26" spans="1:26" ht="18" customHeight="1">
      <c r="A26" s="783"/>
      <c r="B26" s="88">
        <v>4230</v>
      </c>
      <c r="C26" s="96" t="s">
        <v>166</v>
      </c>
      <c r="D26" s="398">
        <f>'[3]Falhas UM-4 Qty'!Z26</f>
        <v>0.96085520423283732</v>
      </c>
      <c r="E26" s="379" t="e">
        <f>$D26/1000000*'Prod &amp; Defects - Qty'!G$8</f>
        <v>#N/A</v>
      </c>
      <c r="F26" s="379" t="e">
        <f>$D26/1000000*'Prod &amp; Defects - Qty'!H$8</f>
        <v>#N/A</v>
      </c>
      <c r="G26" s="379" t="e">
        <f>$D26/1000000*'Prod &amp; Defects - Qty'!I$8</f>
        <v>#N/A</v>
      </c>
      <c r="H26" s="379" t="e">
        <f>$D26/1000000*'Prod &amp; Defects - Qty'!J$8</f>
        <v>#N/A</v>
      </c>
      <c r="I26" s="379" t="e">
        <f>$D26/1000000*'Prod &amp; Defects - Qty'!K$8</f>
        <v>#N/A</v>
      </c>
      <c r="J26" s="379" t="e">
        <f>$D26/1000000*'Prod &amp; Defects - Qty'!L$8</f>
        <v>#N/A</v>
      </c>
      <c r="K26" s="379" t="e">
        <f>$D26/1000000*'Prod &amp; Defects - Qty'!M$8</f>
        <v>#N/A</v>
      </c>
      <c r="L26" s="379" t="e">
        <f>$D26/1000000*'Prod &amp; Defects - Qty'!N$8</f>
        <v>#N/A</v>
      </c>
      <c r="M26" s="379" t="e">
        <f>$D26/1000000*'Prod &amp; Defects - Qty'!O$8</f>
        <v>#N/A</v>
      </c>
      <c r="N26" s="379" t="e">
        <f>$D26/1000000*'Prod &amp; Defects - Qty'!P$8</f>
        <v>#N/A</v>
      </c>
      <c r="O26" s="379" t="e">
        <f>$D26/1000000*'Prod &amp; Defects - Qty'!Q$8</f>
        <v>#N/A</v>
      </c>
      <c r="P26" s="379" t="e">
        <f>$D26/1000000*'Prod &amp; Defects - Qty'!R$8</f>
        <v>#N/A</v>
      </c>
      <c r="Q26" s="379" t="e">
        <f t="shared" si="1"/>
        <v>#N/A</v>
      </c>
      <c r="R26" s="379" t="e">
        <f>Q26/SUM('Prod &amp; Defects - Qty'!$G$8:$L$8)*1000000</f>
        <v>#N/A</v>
      </c>
      <c r="S26" s="379" t="e">
        <f t="shared" si="2"/>
        <v>#N/A</v>
      </c>
      <c r="T26" s="379" t="e">
        <f>S26/SUM('Prod &amp; Defects - Qty'!$M$8:$R$8)*1000000</f>
        <v>#N/A</v>
      </c>
      <c r="U26" s="379" t="e">
        <f t="shared" si="3"/>
        <v>#N/A</v>
      </c>
      <c r="V26" s="379" t="e">
        <f>U26/'Prod &amp; Defects - Qty'!$S$8*1000000</f>
        <v>#N/A</v>
      </c>
      <c r="W26" s="379" t="e">
        <f t="shared" si="10"/>
        <v>#N/A</v>
      </c>
      <c r="X26" s="379" t="e">
        <f t="shared" si="10"/>
        <v>#N/A</v>
      </c>
      <c r="Y26" s="379" t="e">
        <f t="shared" si="4"/>
        <v>#N/A</v>
      </c>
      <c r="Z26" s="379" t="e">
        <f t="shared" si="9"/>
        <v>#N/A</v>
      </c>
    </row>
    <row r="27" spans="1:26" ht="18" customHeight="1">
      <c r="A27" s="783"/>
      <c r="B27" s="88">
        <v>4240</v>
      </c>
      <c r="C27" s="99" t="s">
        <v>167</v>
      </c>
      <c r="D27" s="400">
        <f>'[3]Falhas UM-4 Qty'!Z27</f>
        <v>0.81865291145134411</v>
      </c>
      <c r="E27" s="381" t="e">
        <f>$D27/1000000*'Prod &amp; Defects - Qty'!G$8</f>
        <v>#N/A</v>
      </c>
      <c r="F27" s="381" t="e">
        <f>$D27/1000000*'Prod &amp; Defects - Qty'!H$8</f>
        <v>#N/A</v>
      </c>
      <c r="G27" s="381" t="e">
        <f>$D27/1000000*'Prod &amp; Defects - Qty'!I$8</f>
        <v>#N/A</v>
      </c>
      <c r="H27" s="381" t="e">
        <f>$D27/1000000*'Prod &amp; Defects - Qty'!J$8</f>
        <v>#N/A</v>
      </c>
      <c r="I27" s="381" t="e">
        <f>$D27/1000000*'Prod &amp; Defects - Qty'!K$8</f>
        <v>#N/A</v>
      </c>
      <c r="J27" s="381" t="e">
        <f>$D27/1000000*'Prod &amp; Defects - Qty'!L$8</f>
        <v>#N/A</v>
      </c>
      <c r="K27" s="381" t="e">
        <f>$D27/1000000*'Prod &amp; Defects - Qty'!M$8</f>
        <v>#N/A</v>
      </c>
      <c r="L27" s="381" t="e">
        <f>$D27/1000000*'Prod &amp; Defects - Qty'!N$8</f>
        <v>#N/A</v>
      </c>
      <c r="M27" s="381" t="e">
        <f>$D27/1000000*'Prod &amp; Defects - Qty'!O$8</f>
        <v>#N/A</v>
      </c>
      <c r="N27" s="381" t="e">
        <f>$D27/1000000*'Prod &amp; Defects - Qty'!P$8</f>
        <v>#N/A</v>
      </c>
      <c r="O27" s="381" t="e">
        <f>$D27/1000000*'Prod &amp; Defects - Qty'!Q$8</f>
        <v>#N/A</v>
      </c>
      <c r="P27" s="381" t="e">
        <f>$D27/1000000*'Prod &amp; Defects - Qty'!R$8</f>
        <v>#N/A</v>
      </c>
      <c r="Q27" s="381" t="e">
        <f t="shared" si="1"/>
        <v>#N/A</v>
      </c>
      <c r="R27" s="381" t="e">
        <f>Q27/SUM('Prod &amp; Defects - Qty'!$G$8:$L$8)*1000000</f>
        <v>#N/A</v>
      </c>
      <c r="S27" s="381" t="e">
        <f t="shared" si="2"/>
        <v>#N/A</v>
      </c>
      <c r="T27" s="381" t="e">
        <f>S27/SUM('Prod &amp; Defects - Qty'!$M$8:$R$8)*1000000</f>
        <v>#N/A</v>
      </c>
      <c r="U27" s="381" t="e">
        <f t="shared" si="3"/>
        <v>#N/A</v>
      </c>
      <c r="V27" s="381" t="e">
        <f>U27/'Prod &amp; Defects - Qty'!$S$8*1000000</f>
        <v>#N/A</v>
      </c>
      <c r="W27" s="381" t="e">
        <f t="shared" si="10"/>
        <v>#N/A</v>
      </c>
      <c r="X27" s="381" t="e">
        <f t="shared" si="10"/>
        <v>#N/A</v>
      </c>
      <c r="Y27" s="381" t="e">
        <f t="shared" si="4"/>
        <v>#N/A</v>
      </c>
      <c r="Z27" s="381" t="e">
        <f t="shared" si="9"/>
        <v>#N/A</v>
      </c>
    </row>
    <row r="28" spans="1:26" ht="18" customHeight="1">
      <c r="A28" s="783"/>
      <c r="B28" s="88">
        <v>4250</v>
      </c>
      <c r="C28" s="96" t="s">
        <v>139</v>
      </c>
      <c r="D28" s="399">
        <f>'[3]Falhas UM-4 Qty'!Z28</f>
        <v>9.4957845456321532</v>
      </c>
      <c r="E28" s="380" t="e">
        <f>$D28/1000000*'Prod &amp; Defects - Qty'!G$8</f>
        <v>#N/A</v>
      </c>
      <c r="F28" s="380" t="e">
        <f>$D28/1000000*'Prod &amp; Defects - Qty'!H$8</f>
        <v>#N/A</v>
      </c>
      <c r="G28" s="380" t="e">
        <f>$D28/1000000*'Prod &amp; Defects - Qty'!I$8</f>
        <v>#N/A</v>
      </c>
      <c r="H28" s="380" t="e">
        <f>$D28/1000000*'Prod &amp; Defects - Qty'!J$8</f>
        <v>#N/A</v>
      </c>
      <c r="I28" s="380" t="e">
        <f>$D28/1000000*'Prod &amp; Defects - Qty'!K$8</f>
        <v>#N/A</v>
      </c>
      <c r="J28" s="380" t="e">
        <f>$D28/1000000*'Prod &amp; Defects - Qty'!L$8</f>
        <v>#N/A</v>
      </c>
      <c r="K28" s="380" t="e">
        <f>$D28/1000000*'Prod &amp; Defects - Qty'!M$8</f>
        <v>#N/A</v>
      </c>
      <c r="L28" s="380" t="e">
        <f>$D28/1000000*'Prod &amp; Defects - Qty'!N$8</f>
        <v>#N/A</v>
      </c>
      <c r="M28" s="380" t="e">
        <f>$D28/1000000*'Prod &amp; Defects - Qty'!O$8</f>
        <v>#N/A</v>
      </c>
      <c r="N28" s="380" t="e">
        <f>$D28/1000000*'Prod &amp; Defects - Qty'!P$8</f>
        <v>#N/A</v>
      </c>
      <c r="O28" s="380" t="e">
        <f>$D28/1000000*'Prod &amp; Defects - Qty'!Q$8</f>
        <v>#N/A</v>
      </c>
      <c r="P28" s="380" t="e">
        <f>$D28/1000000*'Prod &amp; Defects - Qty'!R$8</f>
        <v>#N/A</v>
      </c>
      <c r="Q28" s="380" t="e">
        <f t="shared" si="1"/>
        <v>#N/A</v>
      </c>
      <c r="R28" s="380" t="e">
        <f>Q28/SUM('Prod &amp; Defects - Qty'!$G$8:$L$8)*1000000</f>
        <v>#N/A</v>
      </c>
      <c r="S28" s="380" t="e">
        <f t="shared" si="2"/>
        <v>#N/A</v>
      </c>
      <c r="T28" s="380" t="e">
        <f>S28/SUM('Prod &amp; Defects - Qty'!$M$8:$R$8)*1000000</f>
        <v>#N/A</v>
      </c>
      <c r="U28" s="380" t="e">
        <f t="shared" si="3"/>
        <v>#N/A</v>
      </c>
      <c r="V28" s="380" t="e">
        <f>U28/'Prod &amp; Defects - Qty'!$S$8*1000000</f>
        <v>#N/A</v>
      </c>
      <c r="W28" s="380" t="e">
        <f t="shared" si="10"/>
        <v>#N/A</v>
      </c>
      <c r="X28" s="380" t="e">
        <f t="shared" si="10"/>
        <v>#N/A</v>
      </c>
      <c r="Y28" s="380" t="e">
        <f t="shared" si="4"/>
        <v>#N/A</v>
      </c>
      <c r="Z28" s="380" t="e">
        <f t="shared" si="9"/>
        <v>#N/A</v>
      </c>
    </row>
    <row r="29" spans="1:26" ht="18" customHeight="1">
      <c r="A29" s="783"/>
      <c r="B29" s="88">
        <v>4260</v>
      </c>
      <c r="C29" s="96" t="s">
        <v>140</v>
      </c>
      <c r="D29" s="398">
        <f>'[3]Falhas UM-4 Qty'!Z29</f>
        <v>20.952498313550453</v>
      </c>
      <c r="E29" s="379" t="e">
        <f>$D29/1000000*'Prod &amp; Defects - Qty'!G$8</f>
        <v>#N/A</v>
      </c>
      <c r="F29" s="379" t="e">
        <f>$D29/1000000*'Prod &amp; Defects - Qty'!H$8</f>
        <v>#N/A</v>
      </c>
      <c r="G29" s="379" t="e">
        <f>$D29/1000000*'Prod &amp; Defects - Qty'!I$8</f>
        <v>#N/A</v>
      </c>
      <c r="H29" s="379" t="e">
        <f>$D29/1000000*'Prod &amp; Defects - Qty'!J$8</f>
        <v>#N/A</v>
      </c>
      <c r="I29" s="379" t="e">
        <f>$D29/1000000*'Prod &amp; Defects - Qty'!K$8</f>
        <v>#N/A</v>
      </c>
      <c r="J29" s="379" t="e">
        <f>$D29/1000000*'Prod &amp; Defects - Qty'!L$8</f>
        <v>#N/A</v>
      </c>
      <c r="K29" s="379" t="e">
        <f>$D29/1000000*'Prod &amp; Defects - Qty'!M$8</f>
        <v>#N/A</v>
      </c>
      <c r="L29" s="379" t="e">
        <f>$D29/1000000*'Prod &amp; Defects - Qty'!N$8</f>
        <v>#N/A</v>
      </c>
      <c r="M29" s="379" t="e">
        <f>$D29/1000000*'Prod &amp; Defects - Qty'!O$8</f>
        <v>#N/A</v>
      </c>
      <c r="N29" s="379" t="e">
        <f>$D29/1000000*'Prod &amp; Defects - Qty'!P$8</f>
        <v>#N/A</v>
      </c>
      <c r="O29" s="379" t="e">
        <f>$D29/1000000*'Prod &amp; Defects - Qty'!Q$8</f>
        <v>#N/A</v>
      </c>
      <c r="P29" s="379" t="e">
        <f>$D29/1000000*'Prod &amp; Defects - Qty'!R$8</f>
        <v>#N/A</v>
      </c>
      <c r="Q29" s="379" t="e">
        <f t="shared" si="1"/>
        <v>#N/A</v>
      </c>
      <c r="R29" s="379" t="e">
        <f>Q29/SUM('Prod &amp; Defects - Qty'!$G$8:$L$8)*1000000</f>
        <v>#N/A</v>
      </c>
      <c r="S29" s="379" t="e">
        <f t="shared" si="2"/>
        <v>#N/A</v>
      </c>
      <c r="T29" s="379" t="e">
        <f>S29/SUM('Prod &amp; Defects - Qty'!$M$8:$R$8)*1000000</f>
        <v>#N/A</v>
      </c>
      <c r="U29" s="379" t="e">
        <f t="shared" si="3"/>
        <v>#N/A</v>
      </c>
      <c r="V29" s="379" t="e">
        <f>U29/'Prod &amp; Defects - Qty'!$S$8*1000000</f>
        <v>#N/A</v>
      </c>
      <c r="W29" s="379" t="e">
        <f t="shared" si="10"/>
        <v>#N/A</v>
      </c>
      <c r="X29" s="379" t="e">
        <f t="shared" si="10"/>
        <v>#N/A</v>
      </c>
      <c r="Y29" s="379" t="e">
        <f t="shared" si="4"/>
        <v>#N/A</v>
      </c>
      <c r="Z29" s="379" t="e">
        <f t="shared" si="9"/>
        <v>#N/A</v>
      </c>
    </row>
    <row r="30" spans="1:26" ht="18" customHeight="1">
      <c r="A30" s="783"/>
      <c r="B30" s="88">
        <v>4270</v>
      </c>
      <c r="C30" s="96" t="s">
        <v>168</v>
      </c>
      <c r="D30" s="398">
        <f>'[3]Falhas UM-4 Qty'!Z30</f>
        <v>4.1807071544618637</v>
      </c>
      <c r="E30" s="379" t="e">
        <f>$D30/1000000*'Prod &amp; Defects - Qty'!G$8</f>
        <v>#N/A</v>
      </c>
      <c r="F30" s="379" t="e">
        <f>$D30/1000000*'Prod &amp; Defects - Qty'!H$8</f>
        <v>#N/A</v>
      </c>
      <c r="G30" s="379" t="e">
        <f>$D30/1000000*'Prod &amp; Defects - Qty'!I$8</f>
        <v>#N/A</v>
      </c>
      <c r="H30" s="379" t="e">
        <f>$D30/1000000*'Prod &amp; Defects - Qty'!J$8</f>
        <v>#N/A</v>
      </c>
      <c r="I30" s="379" t="e">
        <f>$D30/1000000*'Prod &amp; Defects - Qty'!K$8</f>
        <v>#N/A</v>
      </c>
      <c r="J30" s="379" t="e">
        <f>$D30/1000000*'Prod &amp; Defects - Qty'!L$8</f>
        <v>#N/A</v>
      </c>
      <c r="K30" s="379" t="e">
        <f>$D30/1000000*'Prod &amp; Defects - Qty'!M$8</f>
        <v>#N/A</v>
      </c>
      <c r="L30" s="379" t="e">
        <f>$D30/1000000*'Prod &amp; Defects - Qty'!N$8</f>
        <v>#N/A</v>
      </c>
      <c r="M30" s="379" t="e">
        <f>$D30/1000000*'Prod &amp; Defects - Qty'!O$8</f>
        <v>#N/A</v>
      </c>
      <c r="N30" s="379" t="e">
        <f>$D30/1000000*'Prod &amp; Defects - Qty'!P$8</f>
        <v>#N/A</v>
      </c>
      <c r="O30" s="379" t="e">
        <f>$D30/1000000*'Prod &amp; Defects - Qty'!Q$8</f>
        <v>#N/A</v>
      </c>
      <c r="P30" s="379" t="e">
        <f>$D30/1000000*'Prod &amp; Defects - Qty'!R$8</f>
        <v>#N/A</v>
      </c>
      <c r="Q30" s="379" t="e">
        <f t="shared" si="1"/>
        <v>#N/A</v>
      </c>
      <c r="R30" s="379" t="e">
        <f>Q30/SUM('Prod &amp; Defects - Qty'!$G$8:$L$8)*1000000</f>
        <v>#N/A</v>
      </c>
      <c r="S30" s="379" t="e">
        <f t="shared" si="2"/>
        <v>#N/A</v>
      </c>
      <c r="T30" s="379" t="e">
        <f>S30/SUM('Prod &amp; Defects - Qty'!$M$8:$R$8)*1000000</f>
        <v>#N/A</v>
      </c>
      <c r="U30" s="379" t="e">
        <f t="shared" si="3"/>
        <v>#N/A</v>
      </c>
      <c r="V30" s="379" t="e">
        <f>U30/'Prod &amp; Defects - Qty'!$S$8*1000000</f>
        <v>#N/A</v>
      </c>
      <c r="W30" s="379" t="e">
        <f t="shared" si="10"/>
        <v>#N/A</v>
      </c>
      <c r="X30" s="379" t="e">
        <f t="shared" si="10"/>
        <v>#N/A</v>
      </c>
      <c r="Y30" s="379" t="e">
        <f t="shared" si="4"/>
        <v>#N/A</v>
      </c>
      <c r="Z30" s="379" t="e">
        <f t="shared" si="9"/>
        <v>#N/A</v>
      </c>
    </row>
    <row r="31" spans="1:26" ht="18" customHeight="1">
      <c r="A31" s="783"/>
      <c r="B31" s="88">
        <v>4280</v>
      </c>
      <c r="C31" s="96" t="s">
        <v>169</v>
      </c>
      <c r="D31" s="398">
        <f>'[3]Falhas UM-4 Qty'!Z31</f>
        <v>3.6686582877318838</v>
      </c>
      <c r="E31" s="379" t="e">
        <f>$D31/1000000*'Prod &amp; Defects - Qty'!G$8</f>
        <v>#N/A</v>
      </c>
      <c r="F31" s="379" t="e">
        <f>$D31/1000000*'Prod &amp; Defects - Qty'!H$8</f>
        <v>#N/A</v>
      </c>
      <c r="G31" s="379" t="e">
        <f>$D31/1000000*'Prod &amp; Defects - Qty'!I$8</f>
        <v>#N/A</v>
      </c>
      <c r="H31" s="379" t="e">
        <f>$D31/1000000*'Prod &amp; Defects - Qty'!J$8</f>
        <v>#N/A</v>
      </c>
      <c r="I31" s="379" t="e">
        <f>$D31/1000000*'Prod &amp; Defects - Qty'!K$8</f>
        <v>#N/A</v>
      </c>
      <c r="J31" s="379" t="e">
        <f>$D31/1000000*'Prod &amp; Defects - Qty'!L$8</f>
        <v>#N/A</v>
      </c>
      <c r="K31" s="379" t="e">
        <f>$D31/1000000*'Prod &amp; Defects - Qty'!M$8</f>
        <v>#N/A</v>
      </c>
      <c r="L31" s="379" t="e">
        <f>$D31/1000000*'Prod &amp; Defects - Qty'!N$8</f>
        <v>#N/A</v>
      </c>
      <c r="M31" s="379" t="e">
        <f>$D31/1000000*'Prod &amp; Defects - Qty'!O$8</f>
        <v>#N/A</v>
      </c>
      <c r="N31" s="379" t="e">
        <f>$D31/1000000*'Prod &amp; Defects - Qty'!P$8</f>
        <v>#N/A</v>
      </c>
      <c r="O31" s="379" t="e">
        <f>$D31/1000000*'Prod &amp; Defects - Qty'!Q$8</f>
        <v>#N/A</v>
      </c>
      <c r="P31" s="379" t="e">
        <f>$D31/1000000*'Prod &amp; Defects - Qty'!R$8</f>
        <v>#N/A</v>
      </c>
      <c r="Q31" s="379" t="e">
        <f t="shared" si="1"/>
        <v>#N/A</v>
      </c>
      <c r="R31" s="379" t="e">
        <f>Q31/SUM('Prod &amp; Defects - Qty'!$G$8:$L$8)*1000000</f>
        <v>#N/A</v>
      </c>
      <c r="S31" s="379" t="e">
        <f t="shared" si="2"/>
        <v>#N/A</v>
      </c>
      <c r="T31" s="379" t="e">
        <f>S31/SUM('Prod &amp; Defects - Qty'!$M$8:$R$8)*1000000</f>
        <v>#N/A</v>
      </c>
      <c r="U31" s="379" t="e">
        <f t="shared" si="3"/>
        <v>#N/A</v>
      </c>
      <c r="V31" s="379" t="e">
        <f>U31/'Prod &amp; Defects - Qty'!$S$8*1000000</f>
        <v>#N/A</v>
      </c>
      <c r="W31" s="379" t="e">
        <f t="shared" si="10"/>
        <v>#N/A</v>
      </c>
      <c r="X31" s="379" t="e">
        <f t="shared" si="10"/>
        <v>#N/A</v>
      </c>
      <c r="Y31" s="379" t="e">
        <f t="shared" si="4"/>
        <v>#N/A</v>
      </c>
      <c r="Z31" s="379" t="e">
        <f t="shared" si="9"/>
        <v>#N/A</v>
      </c>
    </row>
    <row r="32" spans="1:26" ht="18" customHeight="1">
      <c r="A32" s="783"/>
      <c r="B32" s="88">
        <v>4290</v>
      </c>
      <c r="C32" s="96" t="s">
        <v>170</v>
      </c>
      <c r="D32" s="398">
        <f>'[3]Falhas UM-4 Qty'!Z32</f>
        <v>6.4158328566708915</v>
      </c>
      <c r="E32" s="379" t="e">
        <f>$D32/1000000*'Prod &amp; Defects - Qty'!G$8</f>
        <v>#N/A</v>
      </c>
      <c r="F32" s="379" t="e">
        <f>$D32/1000000*'Prod &amp; Defects - Qty'!H$8</f>
        <v>#N/A</v>
      </c>
      <c r="G32" s="379" t="e">
        <f>$D32/1000000*'Prod &amp; Defects - Qty'!I$8</f>
        <v>#N/A</v>
      </c>
      <c r="H32" s="379" t="e">
        <f>$D32/1000000*'Prod &amp; Defects - Qty'!J$8</f>
        <v>#N/A</v>
      </c>
      <c r="I32" s="379" t="e">
        <f>$D32/1000000*'Prod &amp; Defects - Qty'!K$8</f>
        <v>#N/A</v>
      </c>
      <c r="J32" s="379" t="e">
        <f>$D32/1000000*'Prod &amp; Defects - Qty'!L$8</f>
        <v>#N/A</v>
      </c>
      <c r="K32" s="379" t="e">
        <f>$D32/1000000*'Prod &amp; Defects - Qty'!M$8</f>
        <v>#N/A</v>
      </c>
      <c r="L32" s="379" t="e">
        <f>$D32/1000000*'Prod &amp; Defects - Qty'!N$8</f>
        <v>#N/A</v>
      </c>
      <c r="M32" s="379" t="e">
        <f>$D32/1000000*'Prod &amp; Defects - Qty'!O$8</f>
        <v>#N/A</v>
      </c>
      <c r="N32" s="379" t="e">
        <f>$D32/1000000*'Prod &amp; Defects - Qty'!P$8</f>
        <v>#N/A</v>
      </c>
      <c r="O32" s="379" t="e">
        <f>$D32/1000000*'Prod &amp; Defects - Qty'!Q$8</f>
        <v>#N/A</v>
      </c>
      <c r="P32" s="379" t="e">
        <f>$D32/1000000*'Prod &amp; Defects - Qty'!R$8</f>
        <v>#N/A</v>
      </c>
      <c r="Q32" s="379" t="e">
        <f>SUM(E32:J32)</f>
        <v>#N/A</v>
      </c>
      <c r="R32" s="379" t="e">
        <f>Q32/SUM('Prod &amp; Defects - Qty'!$G$8:$L$8)*1000000</f>
        <v>#N/A</v>
      </c>
      <c r="S32" s="379" t="e">
        <f>SUM(K32:P32)</f>
        <v>#N/A</v>
      </c>
      <c r="T32" s="379" t="e">
        <f>S32/SUM('Prod &amp; Defects - Qty'!$M$8:$R$8)*1000000</f>
        <v>#N/A</v>
      </c>
      <c r="U32" s="379" t="e">
        <f>Q32+S32</f>
        <v>#N/A</v>
      </c>
      <c r="V32" s="379" t="e">
        <f>U32/'Prod &amp; Defects - Qty'!$S$8*1000000</f>
        <v>#N/A</v>
      </c>
      <c r="W32" s="379" t="e">
        <f>V32*0.9</f>
        <v>#N/A</v>
      </c>
      <c r="X32" s="379" t="e">
        <f>W32*0.9</f>
        <v>#N/A</v>
      </c>
      <c r="Y32" s="379" t="e">
        <f>(W32+X32)/2</f>
        <v>#N/A</v>
      </c>
      <c r="Z32" s="379" t="e">
        <f>Y32*$AA$6</f>
        <v>#N/A</v>
      </c>
    </row>
    <row r="33" spans="1:26" ht="18" customHeight="1">
      <c r="A33" s="783"/>
      <c r="B33" s="88">
        <v>4300</v>
      </c>
      <c r="C33" s="96" t="s">
        <v>125</v>
      </c>
      <c r="D33" s="398">
        <f>'[3]Falhas UM-4 Qty'!Z33</f>
        <v>20.058888122942367</v>
      </c>
      <c r="E33" s="379" t="e">
        <f>$D33/1000000*'Prod &amp; Defects - Qty'!G$8</f>
        <v>#N/A</v>
      </c>
      <c r="F33" s="379" t="e">
        <f>$D33/1000000*'Prod &amp; Defects - Qty'!H$8</f>
        <v>#N/A</v>
      </c>
      <c r="G33" s="379" t="e">
        <f>$D33/1000000*'Prod &amp; Defects - Qty'!I$8</f>
        <v>#N/A</v>
      </c>
      <c r="H33" s="379" t="e">
        <f>$D33/1000000*'Prod &amp; Defects - Qty'!J$8</f>
        <v>#N/A</v>
      </c>
      <c r="I33" s="379" t="e">
        <f>$D33/1000000*'Prod &amp; Defects - Qty'!K$8</f>
        <v>#N/A</v>
      </c>
      <c r="J33" s="379" t="e">
        <f>$D33/1000000*'Prod &amp; Defects - Qty'!L$8</f>
        <v>#N/A</v>
      </c>
      <c r="K33" s="379" t="e">
        <f>$D33/1000000*'Prod &amp; Defects - Qty'!M$8</f>
        <v>#N/A</v>
      </c>
      <c r="L33" s="379" t="e">
        <f>$D33/1000000*'Prod &amp; Defects - Qty'!N$8</f>
        <v>#N/A</v>
      </c>
      <c r="M33" s="379" t="e">
        <f>$D33/1000000*'Prod &amp; Defects - Qty'!O$8</f>
        <v>#N/A</v>
      </c>
      <c r="N33" s="379" t="e">
        <f>$D33/1000000*'Prod &amp; Defects - Qty'!P$8</f>
        <v>#N/A</v>
      </c>
      <c r="O33" s="379" t="e">
        <f>$D33/1000000*'Prod &amp; Defects - Qty'!Q$8</f>
        <v>#N/A</v>
      </c>
      <c r="P33" s="379" t="e">
        <f>$D33/1000000*'Prod &amp; Defects - Qty'!R$8</f>
        <v>#N/A</v>
      </c>
      <c r="Q33" s="379" t="e">
        <f>SUM(E33:J33)</f>
        <v>#N/A</v>
      </c>
      <c r="R33" s="379" t="e">
        <f>Q33/SUM('Prod &amp; Defects - Qty'!$G$8:$L$8)*1000000</f>
        <v>#N/A</v>
      </c>
      <c r="S33" s="379" t="e">
        <f>SUM(K33:P33)</f>
        <v>#N/A</v>
      </c>
      <c r="T33" s="379" t="e">
        <f>S33/SUM('Prod &amp; Defects - Qty'!$M$8:$R$8)*1000000</f>
        <v>#N/A</v>
      </c>
      <c r="U33" s="379" t="e">
        <f>Q33+S33</f>
        <v>#N/A</v>
      </c>
      <c r="V33" s="379" t="e">
        <f>U33/'Prod &amp; Defects - Qty'!$S$8*1000000</f>
        <v>#N/A</v>
      </c>
      <c r="W33" s="379" t="e">
        <f>V33*0.9</f>
        <v>#N/A</v>
      </c>
      <c r="X33" s="379" t="e">
        <f>W33*0.9</f>
        <v>#N/A</v>
      </c>
      <c r="Y33" s="379" t="e">
        <f>(W33+X33)/2</f>
        <v>#N/A</v>
      </c>
      <c r="Z33" s="379" t="e">
        <f>Y33*$AA$6</f>
        <v>#N/A</v>
      </c>
    </row>
    <row r="34" spans="1:26" ht="18" customHeight="1" thickBot="1">
      <c r="A34" s="102"/>
      <c r="B34" s="94"/>
      <c r="C34" s="95" t="s">
        <v>1</v>
      </c>
      <c r="D34" s="95">
        <f>'[3]Falhas UM-4 Qty'!Z34</f>
        <v>650.21542565752998</v>
      </c>
      <c r="E34" s="382" t="e">
        <f t="shared" ref="E34:P34" si="11">SUM(E16:E33)</f>
        <v>#N/A</v>
      </c>
      <c r="F34" s="382" t="e">
        <f t="shared" si="11"/>
        <v>#N/A</v>
      </c>
      <c r="G34" s="382" t="e">
        <f t="shared" si="11"/>
        <v>#N/A</v>
      </c>
      <c r="H34" s="382" t="e">
        <f t="shared" si="11"/>
        <v>#N/A</v>
      </c>
      <c r="I34" s="382" t="e">
        <f t="shared" si="11"/>
        <v>#N/A</v>
      </c>
      <c r="J34" s="382" t="e">
        <f t="shared" si="11"/>
        <v>#N/A</v>
      </c>
      <c r="K34" s="382" t="e">
        <f t="shared" si="11"/>
        <v>#N/A</v>
      </c>
      <c r="L34" s="382" t="e">
        <f t="shared" si="11"/>
        <v>#N/A</v>
      </c>
      <c r="M34" s="382" t="e">
        <f t="shared" si="11"/>
        <v>#N/A</v>
      </c>
      <c r="N34" s="382" t="e">
        <f t="shared" si="11"/>
        <v>#N/A</v>
      </c>
      <c r="O34" s="382" t="e">
        <f t="shared" si="11"/>
        <v>#N/A</v>
      </c>
      <c r="P34" s="382" t="e">
        <f t="shared" si="11"/>
        <v>#N/A</v>
      </c>
      <c r="Q34" s="382" t="e">
        <f t="shared" si="1"/>
        <v>#N/A</v>
      </c>
      <c r="R34" s="382" t="e">
        <f>Q34/SUM('Prod &amp; Defects - Qty'!$G$8:$L$8)*1000000</f>
        <v>#N/A</v>
      </c>
      <c r="S34" s="382" t="e">
        <f t="shared" si="2"/>
        <v>#N/A</v>
      </c>
      <c r="T34" s="382" t="e">
        <f>S34/SUM('Prod &amp; Defects - Qty'!$M$8:$R$8)*1000000</f>
        <v>#N/A</v>
      </c>
      <c r="U34" s="382" t="e">
        <f t="shared" si="3"/>
        <v>#N/A</v>
      </c>
      <c r="V34" s="382" t="e">
        <f>U34/'Prod &amp; Defects - Qty'!$S$8*1000000</f>
        <v>#N/A</v>
      </c>
      <c r="W34" s="382" t="e">
        <f t="shared" si="10"/>
        <v>#N/A</v>
      </c>
      <c r="X34" s="382" t="e">
        <f t="shared" si="10"/>
        <v>#N/A</v>
      </c>
      <c r="Y34" s="382" t="e">
        <f t="shared" si="4"/>
        <v>#N/A</v>
      </c>
      <c r="Z34" s="382" t="e">
        <f>Y34*0.9</f>
        <v>#N/A</v>
      </c>
    </row>
    <row r="35" spans="1:26" ht="18" customHeight="1" thickTop="1">
      <c r="A35" s="785" t="s">
        <v>171</v>
      </c>
      <c r="B35" s="88">
        <v>4310</v>
      </c>
      <c r="C35" s="89" t="s">
        <v>161</v>
      </c>
      <c r="D35" s="398">
        <f>'[3]Falhas UM-4 Qty'!Z35</f>
        <v>0</v>
      </c>
      <c r="E35" s="380" t="e">
        <f>$D35/1000000*'Prod &amp; Defects - Qty'!G$8</f>
        <v>#N/A</v>
      </c>
      <c r="F35" s="380" t="e">
        <f>$D35/1000000*'Prod &amp; Defects - Qty'!H$8</f>
        <v>#N/A</v>
      </c>
      <c r="G35" s="380" t="e">
        <f>$D35/1000000*'Prod &amp; Defects - Qty'!I$8</f>
        <v>#N/A</v>
      </c>
      <c r="H35" s="380" t="e">
        <f>$D35/1000000*'Prod &amp; Defects - Qty'!J$8</f>
        <v>#N/A</v>
      </c>
      <c r="I35" s="380" t="e">
        <f>$D35/1000000*'Prod &amp; Defects - Qty'!K$8</f>
        <v>#N/A</v>
      </c>
      <c r="J35" s="380" t="e">
        <f>$D35/1000000*'Prod &amp; Defects - Qty'!L$8</f>
        <v>#N/A</v>
      </c>
      <c r="K35" s="380" t="e">
        <f>$D35/1000000*'Prod &amp; Defects - Qty'!M$8</f>
        <v>#N/A</v>
      </c>
      <c r="L35" s="380" t="e">
        <f>$D35/1000000*'Prod &amp; Defects - Qty'!N$8</f>
        <v>#N/A</v>
      </c>
      <c r="M35" s="380" t="e">
        <f>$D35/1000000*'Prod &amp; Defects - Qty'!O$8</f>
        <v>#N/A</v>
      </c>
      <c r="N35" s="380" t="e">
        <f>$D35/1000000*'Prod &amp; Defects - Qty'!P$8</f>
        <v>#N/A</v>
      </c>
      <c r="O35" s="380" t="e">
        <f>$D35/1000000*'Prod &amp; Defects - Qty'!Q$8</f>
        <v>#N/A</v>
      </c>
      <c r="P35" s="380" t="e">
        <f>$D35/1000000*'Prod &amp; Defects - Qty'!R$8</f>
        <v>#N/A</v>
      </c>
      <c r="Q35" s="380" t="e">
        <f t="shared" si="1"/>
        <v>#N/A</v>
      </c>
      <c r="R35" s="380" t="e">
        <f>Q35/SUM('Prod &amp; Defects - Qty'!$G$8:$L$8)*1000000</f>
        <v>#N/A</v>
      </c>
      <c r="S35" s="380" t="e">
        <f t="shared" si="2"/>
        <v>#N/A</v>
      </c>
      <c r="T35" s="380" t="e">
        <f>S35/SUM('Prod &amp; Defects - Qty'!$M$8:$R$8)*1000000</f>
        <v>#N/A</v>
      </c>
      <c r="U35" s="380" t="e">
        <f t="shared" si="3"/>
        <v>#N/A</v>
      </c>
      <c r="V35" s="380" t="e">
        <f>U35/'Prod &amp; Defects - Qty'!$S$8*1000000</f>
        <v>#N/A</v>
      </c>
      <c r="W35" s="380" t="e">
        <f t="shared" si="10"/>
        <v>#N/A</v>
      </c>
      <c r="X35" s="380" t="e">
        <f t="shared" si="10"/>
        <v>#N/A</v>
      </c>
      <c r="Y35" s="380" t="e">
        <f t="shared" si="4"/>
        <v>#N/A</v>
      </c>
      <c r="Z35" s="380" t="e">
        <f t="shared" ref="Z35:Z50" si="12">Y35*$AA$6</f>
        <v>#N/A</v>
      </c>
    </row>
    <row r="36" spans="1:26" ht="18" customHeight="1">
      <c r="A36" s="783"/>
      <c r="B36" s="88">
        <v>4320</v>
      </c>
      <c r="C36" s="96" t="s">
        <v>162</v>
      </c>
      <c r="D36" s="399">
        <f>'[3]Falhas UM-4 Qty'!Z36</f>
        <v>0.16911741119191323</v>
      </c>
      <c r="E36" s="380" t="e">
        <f>$D36/1000000*'Prod &amp; Defects - Qty'!G$8</f>
        <v>#N/A</v>
      </c>
      <c r="F36" s="380" t="e">
        <f>$D36/1000000*'Prod &amp; Defects - Qty'!H$8</f>
        <v>#N/A</v>
      </c>
      <c r="G36" s="380" t="e">
        <f>$D36/1000000*'Prod &amp; Defects - Qty'!I$8</f>
        <v>#N/A</v>
      </c>
      <c r="H36" s="380" t="e">
        <f>$D36/1000000*'Prod &amp; Defects - Qty'!J$8</f>
        <v>#N/A</v>
      </c>
      <c r="I36" s="380" t="e">
        <f>$D36/1000000*'Prod &amp; Defects - Qty'!K$8</f>
        <v>#N/A</v>
      </c>
      <c r="J36" s="380" t="e">
        <f>$D36/1000000*'Prod &amp; Defects - Qty'!L$8</f>
        <v>#N/A</v>
      </c>
      <c r="K36" s="380" t="e">
        <f>$D36/1000000*'Prod &amp; Defects - Qty'!M$8</f>
        <v>#N/A</v>
      </c>
      <c r="L36" s="380" t="e">
        <f>$D36/1000000*'Prod &amp; Defects - Qty'!N$8</f>
        <v>#N/A</v>
      </c>
      <c r="M36" s="380" t="e">
        <f>$D36/1000000*'Prod &amp; Defects - Qty'!O$8</f>
        <v>#N/A</v>
      </c>
      <c r="N36" s="380" t="e">
        <f>$D36/1000000*'Prod &amp; Defects - Qty'!P$8</f>
        <v>#N/A</v>
      </c>
      <c r="O36" s="380" t="e">
        <f>$D36/1000000*'Prod &amp; Defects - Qty'!Q$8</f>
        <v>#N/A</v>
      </c>
      <c r="P36" s="380" t="e">
        <f>$D36/1000000*'Prod &amp; Defects - Qty'!R$8</f>
        <v>#N/A</v>
      </c>
      <c r="Q36" s="380" t="e">
        <f t="shared" si="1"/>
        <v>#N/A</v>
      </c>
      <c r="R36" s="380" t="e">
        <f>Q36/SUM('Prod &amp; Defects - Qty'!$G$8:$L$8)*1000000</f>
        <v>#N/A</v>
      </c>
      <c r="S36" s="380" t="e">
        <f t="shared" si="2"/>
        <v>#N/A</v>
      </c>
      <c r="T36" s="380" t="e">
        <f>S36/SUM('Prod &amp; Defects - Qty'!$M$8:$R$8)*1000000</f>
        <v>#N/A</v>
      </c>
      <c r="U36" s="380" t="e">
        <f t="shared" si="3"/>
        <v>#N/A</v>
      </c>
      <c r="V36" s="380" t="e">
        <f>U36/'Prod &amp; Defects - Qty'!$S$8*1000000</f>
        <v>#N/A</v>
      </c>
      <c r="W36" s="380" t="e">
        <f t="shared" si="10"/>
        <v>#N/A</v>
      </c>
      <c r="X36" s="380" t="e">
        <f t="shared" si="10"/>
        <v>#N/A</v>
      </c>
      <c r="Y36" s="380" t="e">
        <f t="shared" si="4"/>
        <v>#N/A</v>
      </c>
      <c r="Z36" s="380" t="e">
        <f t="shared" si="12"/>
        <v>#N/A</v>
      </c>
    </row>
    <row r="37" spans="1:26" ht="18" customHeight="1">
      <c r="A37" s="783"/>
      <c r="B37" s="88">
        <v>4330</v>
      </c>
      <c r="C37" s="96" t="s">
        <v>163</v>
      </c>
      <c r="D37" s="399">
        <f>'[3]Falhas UM-4 Qty'!Z37</f>
        <v>4.2188770931677111E-2</v>
      </c>
      <c r="E37" s="380" t="e">
        <f>$D37/1000000*'Prod &amp; Defects - Qty'!G$8</f>
        <v>#N/A</v>
      </c>
      <c r="F37" s="380" t="e">
        <f>$D37/1000000*'Prod &amp; Defects - Qty'!H$8</f>
        <v>#N/A</v>
      </c>
      <c r="G37" s="380" t="e">
        <f>$D37/1000000*'Prod &amp; Defects - Qty'!I$8</f>
        <v>#N/A</v>
      </c>
      <c r="H37" s="380" t="e">
        <f>$D37/1000000*'Prod &amp; Defects - Qty'!J$8</f>
        <v>#N/A</v>
      </c>
      <c r="I37" s="380" t="e">
        <f>$D37/1000000*'Prod &amp; Defects - Qty'!K$8</f>
        <v>#N/A</v>
      </c>
      <c r="J37" s="380" t="e">
        <f>$D37/1000000*'Prod &amp; Defects - Qty'!L$8</f>
        <v>#N/A</v>
      </c>
      <c r="K37" s="380" t="e">
        <f>$D37/1000000*'Prod &amp; Defects - Qty'!M$8</f>
        <v>#N/A</v>
      </c>
      <c r="L37" s="380" t="e">
        <f>$D37/1000000*'Prod &amp; Defects - Qty'!N$8</f>
        <v>#N/A</v>
      </c>
      <c r="M37" s="380" t="e">
        <f>$D37/1000000*'Prod &amp; Defects - Qty'!O$8</f>
        <v>#N/A</v>
      </c>
      <c r="N37" s="380" t="e">
        <f>$D37/1000000*'Prod &amp; Defects - Qty'!P$8</f>
        <v>#N/A</v>
      </c>
      <c r="O37" s="380" t="e">
        <f>$D37/1000000*'Prod &amp; Defects - Qty'!Q$8</f>
        <v>#N/A</v>
      </c>
      <c r="P37" s="380" t="e">
        <f>$D37/1000000*'Prod &amp; Defects - Qty'!R$8</f>
        <v>#N/A</v>
      </c>
      <c r="Q37" s="380" t="e">
        <f t="shared" si="1"/>
        <v>#N/A</v>
      </c>
      <c r="R37" s="380" t="e">
        <f>Q37/SUM('Prod &amp; Defects - Qty'!$G$8:$L$8)*1000000</f>
        <v>#N/A</v>
      </c>
      <c r="S37" s="380" t="e">
        <f t="shared" si="2"/>
        <v>#N/A</v>
      </c>
      <c r="T37" s="380" t="e">
        <f>S37/SUM('Prod &amp; Defects - Qty'!$M$8:$R$8)*1000000</f>
        <v>#N/A</v>
      </c>
      <c r="U37" s="380" t="e">
        <f t="shared" si="3"/>
        <v>#N/A</v>
      </c>
      <c r="V37" s="380" t="e">
        <f>U37/'Prod &amp; Defects - Qty'!$S$8*1000000</f>
        <v>#N/A</v>
      </c>
      <c r="W37" s="380" t="e">
        <f t="shared" si="10"/>
        <v>#N/A</v>
      </c>
      <c r="X37" s="380" t="e">
        <f t="shared" si="10"/>
        <v>#N/A</v>
      </c>
      <c r="Y37" s="380" t="e">
        <f t="shared" si="4"/>
        <v>#N/A</v>
      </c>
      <c r="Z37" s="380" t="e">
        <f t="shared" si="12"/>
        <v>#N/A</v>
      </c>
    </row>
    <row r="38" spans="1:26" ht="18" customHeight="1">
      <c r="A38" s="783"/>
      <c r="B38" s="88">
        <v>4340</v>
      </c>
      <c r="C38" s="96" t="s">
        <v>164</v>
      </c>
      <c r="D38" s="399">
        <f>'[3]Falhas UM-4 Qty'!Z38</f>
        <v>0.25447979289830241</v>
      </c>
      <c r="E38" s="380" t="e">
        <f>$D38/1000000*'Prod &amp; Defects - Qty'!G$8</f>
        <v>#N/A</v>
      </c>
      <c r="F38" s="380" t="e">
        <f>$D38/1000000*'Prod &amp; Defects - Qty'!H$8</f>
        <v>#N/A</v>
      </c>
      <c r="G38" s="380" t="e">
        <f>$D38/1000000*'Prod &amp; Defects - Qty'!I$8</f>
        <v>#N/A</v>
      </c>
      <c r="H38" s="380" t="e">
        <f>$D38/1000000*'Prod &amp; Defects - Qty'!J$8</f>
        <v>#N/A</v>
      </c>
      <c r="I38" s="380" t="e">
        <f>$D38/1000000*'Prod &amp; Defects - Qty'!K$8</f>
        <v>#N/A</v>
      </c>
      <c r="J38" s="380" t="e">
        <f>$D38/1000000*'Prod &amp; Defects - Qty'!L$8</f>
        <v>#N/A</v>
      </c>
      <c r="K38" s="380" t="e">
        <f>$D38/1000000*'Prod &amp; Defects - Qty'!M$8</f>
        <v>#N/A</v>
      </c>
      <c r="L38" s="380" t="e">
        <f>$D38/1000000*'Prod &amp; Defects - Qty'!N$8</f>
        <v>#N/A</v>
      </c>
      <c r="M38" s="380" t="e">
        <f>$D38/1000000*'Prod &amp; Defects - Qty'!O$8</f>
        <v>#N/A</v>
      </c>
      <c r="N38" s="380" t="e">
        <f>$D38/1000000*'Prod &amp; Defects - Qty'!P$8</f>
        <v>#N/A</v>
      </c>
      <c r="O38" s="380" t="e">
        <f>$D38/1000000*'Prod &amp; Defects - Qty'!Q$8</f>
        <v>#N/A</v>
      </c>
      <c r="P38" s="380" t="e">
        <f>$D38/1000000*'Prod &amp; Defects - Qty'!R$8</f>
        <v>#N/A</v>
      </c>
      <c r="Q38" s="380" t="e">
        <f t="shared" si="1"/>
        <v>#N/A</v>
      </c>
      <c r="R38" s="380" t="e">
        <f>Q38/SUM('Prod &amp; Defects - Qty'!$G$8:$L$8)*1000000</f>
        <v>#N/A</v>
      </c>
      <c r="S38" s="380" t="e">
        <f t="shared" si="2"/>
        <v>#N/A</v>
      </c>
      <c r="T38" s="380" t="e">
        <f>S38/SUM('Prod &amp; Defects - Qty'!$M$8:$R$8)*1000000</f>
        <v>#N/A</v>
      </c>
      <c r="U38" s="380" t="e">
        <f t="shared" si="3"/>
        <v>#N/A</v>
      </c>
      <c r="V38" s="380" t="e">
        <f>U38/'Prod &amp; Defects - Qty'!$S$8*1000000</f>
        <v>#N/A</v>
      </c>
      <c r="W38" s="380" t="e">
        <f t="shared" si="10"/>
        <v>#N/A</v>
      </c>
      <c r="X38" s="380" t="e">
        <f t="shared" si="10"/>
        <v>#N/A</v>
      </c>
      <c r="Y38" s="380" t="e">
        <f t="shared" si="4"/>
        <v>#N/A</v>
      </c>
      <c r="Z38" s="380" t="e">
        <f t="shared" si="12"/>
        <v>#N/A</v>
      </c>
    </row>
    <row r="39" spans="1:26" ht="18" customHeight="1">
      <c r="A39" s="783"/>
      <c r="B39" s="88">
        <v>4350</v>
      </c>
      <c r="C39" s="97" t="s">
        <v>235</v>
      </c>
      <c r="D39" s="402">
        <f>'[3]Falhas UM-4 Qty'!Z39</f>
        <v>3.2556243803463416</v>
      </c>
      <c r="E39" s="383" t="e">
        <f>$D39/1000000*'Prod &amp; Defects - Qty'!G$8</f>
        <v>#N/A</v>
      </c>
      <c r="F39" s="383" t="e">
        <f>$D39/1000000*'Prod &amp; Defects - Qty'!H$8</f>
        <v>#N/A</v>
      </c>
      <c r="G39" s="383" t="e">
        <f>$D39/1000000*'Prod &amp; Defects - Qty'!I$8</f>
        <v>#N/A</v>
      </c>
      <c r="H39" s="383" t="e">
        <f>$D39/1000000*'Prod &amp; Defects - Qty'!J$8</f>
        <v>#N/A</v>
      </c>
      <c r="I39" s="383" t="e">
        <f>$D39/1000000*'Prod &amp; Defects - Qty'!K$8</f>
        <v>#N/A</v>
      </c>
      <c r="J39" s="383" t="e">
        <f>$D39/1000000*'Prod &amp; Defects - Qty'!L$8</f>
        <v>#N/A</v>
      </c>
      <c r="K39" s="383" t="e">
        <f>$D39/1000000*'Prod &amp; Defects - Qty'!M$8</f>
        <v>#N/A</v>
      </c>
      <c r="L39" s="383" t="e">
        <f>$D39/1000000*'Prod &amp; Defects - Qty'!N$8</f>
        <v>#N/A</v>
      </c>
      <c r="M39" s="383" t="e">
        <f>$D39/1000000*'Prod &amp; Defects - Qty'!O$8</f>
        <v>#N/A</v>
      </c>
      <c r="N39" s="383" t="e">
        <f>$D39/1000000*'Prod &amp; Defects - Qty'!P$8</f>
        <v>#N/A</v>
      </c>
      <c r="O39" s="383" t="e">
        <f>$D39/1000000*'Prod &amp; Defects - Qty'!Q$8</f>
        <v>#N/A</v>
      </c>
      <c r="P39" s="383" t="e">
        <f>$D39/1000000*'Prod &amp; Defects - Qty'!R$8</f>
        <v>#N/A</v>
      </c>
      <c r="Q39" s="383" t="e">
        <f t="shared" si="1"/>
        <v>#N/A</v>
      </c>
      <c r="R39" s="383" t="e">
        <f>Q39/SUM('Prod &amp; Defects - Qty'!$G$8:$L$8)*1000000</f>
        <v>#N/A</v>
      </c>
      <c r="S39" s="383" t="e">
        <f t="shared" si="2"/>
        <v>#N/A</v>
      </c>
      <c r="T39" s="383" t="e">
        <f>S39/SUM('Prod &amp; Defects - Qty'!$M$8:$R$8)*1000000</f>
        <v>#N/A</v>
      </c>
      <c r="U39" s="383" t="e">
        <f t="shared" si="3"/>
        <v>#N/A</v>
      </c>
      <c r="V39" s="383" t="e">
        <f>U39/'Prod &amp; Defects - Qty'!$S$8*1000000</f>
        <v>#N/A</v>
      </c>
      <c r="W39" s="383" t="e">
        <f t="shared" si="10"/>
        <v>#N/A</v>
      </c>
      <c r="X39" s="383" t="e">
        <f t="shared" si="10"/>
        <v>#N/A</v>
      </c>
      <c r="Y39" s="383" t="e">
        <f t="shared" si="4"/>
        <v>#N/A</v>
      </c>
      <c r="Z39" s="383" t="e">
        <f t="shared" si="12"/>
        <v>#N/A</v>
      </c>
    </row>
    <row r="40" spans="1:26" ht="18" customHeight="1">
      <c r="A40" s="783"/>
      <c r="B40" s="88">
        <v>4360</v>
      </c>
      <c r="C40" s="89" t="s">
        <v>124</v>
      </c>
      <c r="D40" s="398">
        <f>'[3]Falhas UM-4 Qty'!Z40</f>
        <v>3.3311699804147499</v>
      </c>
      <c r="E40" s="379" t="e">
        <f>$D40/1000000*'Prod &amp; Defects - Qty'!G$8</f>
        <v>#N/A</v>
      </c>
      <c r="F40" s="379" t="e">
        <f>$D40/1000000*'Prod &amp; Defects - Qty'!H$8</f>
        <v>#N/A</v>
      </c>
      <c r="G40" s="379" t="e">
        <f>$D40/1000000*'Prod &amp; Defects - Qty'!I$8</f>
        <v>#N/A</v>
      </c>
      <c r="H40" s="379" t="e">
        <f>$D40/1000000*'Prod &amp; Defects - Qty'!J$8</f>
        <v>#N/A</v>
      </c>
      <c r="I40" s="379" t="e">
        <f>$D40/1000000*'Prod &amp; Defects - Qty'!K$8</f>
        <v>#N/A</v>
      </c>
      <c r="J40" s="379" t="e">
        <f>$D40/1000000*'Prod &amp; Defects - Qty'!L$8</f>
        <v>#N/A</v>
      </c>
      <c r="K40" s="379" t="e">
        <f>$D40/1000000*'Prod &amp; Defects - Qty'!M$8</f>
        <v>#N/A</v>
      </c>
      <c r="L40" s="379" t="e">
        <f>$D40/1000000*'Prod &amp; Defects - Qty'!N$8</f>
        <v>#N/A</v>
      </c>
      <c r="M40" s="379" t="e">
        <f>$D40/1000000*'Prod &amp; Defects - Qty'!O$8</f>
        <v>#N/A</v>
      </c>
      <c r="N40" s="379" t="e">
        <f>$D40/1000000*'Prod &amp; Defects - Qty'!P$8</f>
        <v>#N/A</v>
      </c>
      <c r="O40" s="379" t="e">
        <f>$D40/1000000*'Prod &amp; Defects - Qty'!Q$8</f>
        <v>#N/A</v>
      </c>
      <c r="P40" s="379" t="e">
        <f>$D40/1000000*'Prod &amp; Defects - Qty'!R$8</f>
        <v>#N/A</v>
      </c>
      <c r="Q40" s="379" t="e">
        <f t="shared" si="1"/>
        <v>#N/A</v>
      </c>
      <c r="R40" s="379" t="e">
        <f>Q40/SUM('Prod &amp; Defects - Qty'!$G$8:$L$8)*1000000</f>
        <v>#N/A</v>
      </c>
      <c r="S40" s="379" t="e">
        <f t="shared" si="2"/>
        <v>#N/A</v>
      </c>
      <c r="T40" s="379" t="e">
        <f>S40/SUM('Prod &amp; Defects - Qty'!$M$8:$R$8)*1000000</f>
        <v>#N/A</v>
      </c>
      <c r="U40" s="379" t="e">
        <f t="shared" si="3"/>
        <v>#N/A</v>
      </c>
      <c r="V40" s="379" t="e">
        <f>U40/'Prod &amp; Defects - Qty'!$S$8*1000000</f>
        <v>#N/A</v>
      </c>
      <c r="W40" s="379" t="e">
        <f t="shared" ref="W40:X57" si="13">V40*0.9</f>
        <v>#N/A</v>
      </c>
      <c r="X40" s="379" t="e">
        <f t="shared" si="13"/>
        <v>#N/A</v>
      </c>
      <c r="Y40" s="379" t="e">
        <f t="shared" si="4"/>
        <v>#N/A</v>
      </c>
      <c r="Z40" s="379" t="e">
        <f t="shared" si="12"/>
        <v>#N/A</v>
      </c>
    </row>
    <row r="41" spans="1:26" ht="18" customHeight="1">
      <c r="A41" s="783"/>
      <c r="B41" s="88">
        <v>4370</v>
      </c>
      <c r="C41" s="96" t="s">
        <v>135</v>
      </c>
      <c r="D41" s="399">
        <f>'[3]Falhas UM-4 Qty'!Z41</f>
        <v>0</v>
      </c>
      <c r="E41" s="380" t="e">
        <f>$D41/1000000*'Prod &amp; Defects - Qty'!G$8</f>
        <v>#N/A</v>
      </c>
      <c r="F41" s="380" t="e">
        <f>$D41/1000000*'Prod &amp; Defects - Qty'!H$8</f>
        <v>#N/A</v>
      </c>
      <c r="G41" s="380" t="e">
        <f>$D41/1000000*'Prod &amp; Defects - Qty'!I$8</f>
        <v>#N/A</v>
      </c>
      <c r="H41" s="380" t="e">
        <f>$D41/1000000*'Prod &amp; Defects - Qty'!J$8</f>
        <v>#N/A</v>
      </c>
      <c r="I41" s="380" t="e">
        <f>$D41/1000000*'Prod &amp; Defects - Qty'!K$8</f>
        <v>#N/A</v>
      </c>
      <c r="J41" s="380" t="e">
        <f>$D41/1000000*'Prod &amp; Defects - Qty'!L$8</f>
        <v>#N/A</v>
      </c>
      <c r="K41" s="380" t="e">
        <f>$D41/1000000*'Prod &amp; Defects - Qty'!M$8</f>
        <v>#N/A</v>
      </c>
      <c r="L41" s="380" t="e">
        <f>$D41/1000000*'Prod &amp; Defects - Qty'!N$8</f>
        <v>#N/A</v>
      </c>
      <c r="M41" s="380" t="e">
        <f>$D41/1000000*'Prod &amp; Defects - Qty'!O$8</f>
        <v>#N/A</v>
      </c>
      <c r="N41" s="380" t="e">
        <f>$D41/1000000*'Prod &amp; Defects - Qty'!P$8</f>
        <v>#N/A</v>
      </c>
      <c r="O41" s="380" t="e">
        <f>$D41/1000000*'Prod &amp; Defects - Qty'!Q$8</f>
        <v>#N/A</v>
      </c>
      <c r="P41" s="380" t="e">
        <f>$D41/1000000*'Prod &amp; Defects - Qty'!R$8</f>
        <v>#N/A</v>
      </c>
      <c r="Q41" s="380" t="e">
        <f t="shared" si="1"/>
        <v>#N/A</v>
      </c>
      <c r="R41" s="380" t="e">
        <f>Q41/SUM('Prod &amp; Defects - Qty'!$G$8:$L$8)*1000000</f>
        <v>#N/A</v>
      </c>
      <c r="S41" s="380" t="e">
        <f t="shared" si="2"/>
        <v>#N/A</v>
      </c>
      <c r="T41" s="380" t="e">
        <f>S41/SUM('Prod &amp; Defects - Qty'!$M$8:$R$8)*1000000</f>
        <v>#N/A</v>
      </c>
      <c r="U41" s="380" t="e">
        <f t="shared" si="3"/>
        <v>#N/A</v>
      </c>
      <c r="V41" s="380" t="e">
        <f>U41/'Prod &amp; Defects - Qty'!$S$8*1000000</f>
        <v>#N/A</v>
      </c>
      <c r="W41" s="380" t="e">
        <f t="shared" si="13"/>
        <v>#N/A</v>
      </c>
      <c r="X41" s="380" t="e">
        <f t="shared" si="13"/>
        <v>#N/A</v>
      </c>
      <c r="Y41" s="380" t="e">
        <f t="shared" si="4"/>
        <v>#N/A</v>
      </c>
      <c r="Z41" s="380" t="e">
        <f t="shared" si="12"/>
        <v>#N/A</v>
      </c>
    </row>
    <row r="42" spans="1:26" ht="18" customHeight="1">
      <c r="A42" s="783"/>
      <c r="B42" s="88">
        <v>4380</v>
      </c>
      <c r="C42" s="96" t="s">
        <v>136</v>
      </c>
      <c r="D42" s="399">
        <f>'[3]Falhas UM-4 Qty'!Z42</f>
        <v>0</v>
      </c>
      <c r="E42" s="380" t="e">
        <f>$D42/1000000*'Prod &amp; Defects - Qty'!G$8</f>
        <v>#N/A</v>
      </c>
      <c r="F42" s="380" t="e">
        <f>$D42/1000000*'Prod &amp; Defects - Qty'!H$8</f>
        <v>#N/A</v>
      </c>
      <c r="G42" s="380" t="e">
        <f>$D42/1000000*'Prod &amp; Defects - Qty'!I$8</f>
        <v>#N/A</v>
      </c>
      <c r="H42" s="380" t="e">
        <f>$D42/1000000*'Prod &amp; Defects - Qty'!J$8</f>
        <v>#N/A</v>
      </c>
      <c r="I42" s="380" t="e">
        <f>$D42/1000000*'Prod &amp; Defects - Qty'!K$8</f>
        <v>#N/A</v>
      </c>
      <c r="J42" s="380" t="e">
        <f>$D42/1000000*'Prod &amp; Defects - Qty'!L$8</f>
        <v>#N/A</v>
      </c>
      <c r="K42" s="380" t="e">
        <f>$D42/1000000*'Prod &amp; Defects - Qty'!M$8</f>
        <v>#N/A</v>
      </c>
      <c r="L42" s="380" t="e">
        <f>$D42/1000000*'Prod &amp; Defects - Qty'!N$8</f>
        <v>#N/A</v>
      </c>
      <c r="M42" s="380" t="e">
        <f>$D42/1000000*'Prod &amp; Defects - Qty'!O$8</f>
        <v>#N/A</v>
      </c>
      <c r="N42" s="380" t="e">
        <f>$D42/1000000*'Prod &amp; Defects - Qty'!P$8</f>
        <v>#N/A</v>
      </c>
      <c r="O42" s="380" t="e">
        <f>$D42/1000000*'Prod &amp; Defects - Qty'!Q$8</f>
        <v>#N/A</v>
      </c>
      <c r="P42" s="380" t="e">
        <f>$D42/1000000*'Prod &amp; Defects - Qty'!R$8</f>
        <v>#N/A</v>
      </c>
      <c r="Q42" s="380" t="e">
        <f t="shared" si="1"/>
        <v>#N/A</v>
      </c>
      <c r="R42" s="380" t="e">
        <f>Q42/SUM('Prod &amp; Defects - Qty'!$G$8:$L$8)*1000000</f>
        <v>#N/A</v>
      </c>
      <c r="S42" s="380" t="e">
        <f t="shared" si="2"/>
        <v>#N/A</v>
      </c>
      <c r="T42" s="380" t="e">
        <f>S42/SUM('Prod &amp; Defects - Qty'!$M$8:$R$8)*1000000</f>
        <v>#N/A</v>
      </c>
      <c r="U42" s="380" t="e">
        <f t="shared" si="3"/>
        <v>#N/A</v>
      </c>
      <c r="V42" s="380" t="e">
        <f>U42/'Prod &amp; Defects - Qty'!$S$8*1000000</f>
        <v>#N/A</v>
      </c>
      <c r="W42" s="380" t="e">
        <f t="shared" si="13"/>
        <v>#N/A</v>
      </c>
      <c r="X42" s="380" t="e">
        <f t="shared" si="13"/>
        <v>#N/A</v>
      </c>
      <c r="Y42" s="380" t="e">
        <f t="shared" si="4"/>
        <v>#N/A</v>
      </c>
      <c r="Z42" s="380" t="e">
        <f t="shared" si="12"/>
        <v>#N/A</v>
      </c>
    </row>
    <row r="43" spans="1:26" ht="18" customHeight="1">
      <c r="A43" s="783"/>
      <c r="B43" s="88">
        <v>4390</v>
      </c>
      <c r="C43" s="96" t="s">
        <v>166</v>
      </c>
      <c r="D43" s="399">
        <f>'[3]Falhas UM-4 Qty'!Z43</f>
        <v>0</v>
      </c>
      <c r="E43" s="380" t="e">
        <f>$D43/1000000*'Prod &amp; Defects - Qty'!G$8</f>
        <v>#N/A</v>
      </c>
      <c r="F43" s="380" t="e">
        <f>$D43/1000000*'Prod &amp; Defects - Qty'!H$8</f>
        <v>#N/A</v>
      </c>
      <c r="G43" s="380" t="e">
        <f>$D43/1000000*'Prod &amp; Defects - Qty'!I$8</f>
        <v>#N/A</v>
      </c>
      <c r="H43" s="380" t="e">
        <f>$D43/1000000*'Prod &amp; Defects - Qty'!J$8</f>
        <v>#N/A</v>
      </c>
      <c r="I43" s="380" t="e">
        <f>$D43/1000000*'Prod &amp; Defects - Qty'!K$8</f>
        <v>#N/A</v>
      </c>
      <c r="J43" s="380" t="e">
        <f>$D43/1000000*'Prod &amp; Defects - Qty'!L$8</f>
        <v>#N/A</v>
      </c>
      <c r="K43" s="380" t="e">
        <f>$D43/1000000*'Prod &amp; Defects - Qty'!M$8</f>
        <v>#N/A</v>
      </c>
      <c r="L43" s="380" t="e">
        <f>$D43/1000000*'Prod &amp; Defects - Qty'!N$8</f>
        <v>#N/A</v>
      </c>
      <c r="M43" s="380" t="e">
        <f>$D43/1000000*'Prod &amp; Defects - Qty'!O$8</f>
        <v>#N/A</v>
      </c>
      <c r="N43" s="380" t="e">
        <f>$D43/1000000*'Prod &amp; Defects - Qty'!P$8</f>
        <v>#N/A</v>
      </c>
      <c r="O43" s="380" t="e">
        <f>$D43/1000000*'Prod &amp; Defects - Qty'!Q$8</f>
        <v>#N/A</v>
      </c>
      <c r="P43" s="380" t="e">
        <f>$D43/1000000*'Prod &amp; Defects - Qty'!R$8</f>
        <v>#N/A</v>
      </c>
      <c r="Q43" s="380" t="e">
        <f t="shared" si="1"/>
        <v>#N/A</v>
      </c>
      <c r="R43" s="380" t="e">
        <f>Q43/SUM('Prod &amp; Defects - Qty'!$G$8:$L$8)*1000000</f>
        <v>#N/A</v>
      </c>
      <c r="S43" s="380" t="e">
        <f t="shared" si="2"/>
        <v>#N/A</v>
      </c>
      <c r="T43" s="380" t="e">
        <f>S43/SUM('Prod &amp; Defects - Qty'!$M$8:$R$8)*1000000</f>
        <v>#N/A</v>
      </c>
      <c r="U43" s="380" t="e">
        <f t="shared" si="3"/>
        <v>#N/A</v>
      </c>
      <c r="V43" s="380" t="e">
        <f>U43/'Prod &amp; Defects - Qty'!$S$8*1000000</f>
        <v>#N/A</v>
      </c>
      <c r="W43" s="380" t="e">
        <f t="shared" si="13"/>
        <v>#N/A</v>
      </c>
      <c r="X43" s="380" t="e">
        <f t="shared" si="13"/>
        <v>#N/A</v>
      </c>
      <c r="Y43" s="380" t="e">
        <f t="shared" si="4"/>
        <v>#N/A</v>
      </c>
      <c r="Z43" s="380" t="e">
        <f t="shared" si="12"/>
        <v>#N/A</v>
      </c>
    </row>
    <row r="44" spans="1:26" ht="18" customHeight="1">
      <c r="A44" s="783"/>
      <c r="B44" s="88">
        <v>4400</v>
      </c>
      <c r="C44" s="96" t="s">
        <v>167</v>
      </c>
      <c r="D44" s="399">
        <f>'[3]Falhas UM-4 Qty'!Z44</f>
        <v>0</v>
      </c>
      <c r="E44" s="380" t="e">
        <f>$D44/1000000*'Prod &amp; Defects - Qty'!G$8</f>
        <v>#N/A</v>
      </c>
      <c r="F44" s="380" t="e">
        <f>$D44/1000000*'Prod &amp; Defects - Qty'!H$8</f>
        <v>#N/A</v>
      </c>
      <c r="G44" s="380" t="e">
        <f>$D44/1000000*'Prod &amp; Defects - Qty'!I$8</f>
        <v>#N/A</v>
      </c>
      <c r="H44" s="380" t="e">
        <f>$D44/1000000*'Prod &amp; Defects - Qty'!J$8</f>
        <v>#N/A</v>
      </c>
      <c r="I44" s="380" t="e">
        <f>$D44/1000000*'Prod &amp; Defects - Qty'!K$8</f>
        <v>#N/A</v>
      </c>
      <c r="J44" s="380" t="e">
        <f>$D44/1000000*'Prod &amp; Defects - Qty'!L$8</f>
        <v>#N/A</v>
      </c>
      <c r="K44" s="380" t="e">
        <f>$D44/1000000*'Prod &amp; Defects - Qty'!M$8</f>
        <v>#N/A</v>
      </c>
      <c r="L44" s="380" t="e">
        <f>$D44/1000000*'Prod &amp; Defects - Qty'!N$8</f>
        <v>#N/A</v>
      </c>
      <c r="M44" s="380" t="e">
        <f>$D44/1000000*'Prod &amp; Defects - Qty'!O$8</f>
        <v>#N/A</v>
      </c>
      <c r="N44" s="380" t="e">
        <f>$D44/1000000*'Prod &amp; Defects - Qty'!P$8</f>
        <v>#N/A</v>
      </c>
      <c r="O44" s="380" t="e">
        <f>$D44/1000000*'Prod &amp; Defects - Qty'!Q$8</f>
        <v>#N/A</v>
      </c>
      <c r="P44" s="380" t="e">
        <f>$D44/1000000*'Prod &amp; Defects - Qty'!R$8</f>
        <v>#N/A</v>
      </c>
      <c r="Q44" s="380" t="e">
        <f t="shared" si="1"/>
        <v>#N/A</v>
      </c>
      <c r="R44" s="380" t="e">
        <f>Q44/SUM('Prod &amp; Defects - Qty'!$G$8:$L$8)*1000000</f>
        <v>#N/A</v>
      </c>
      <c r="S44" s="380" t="e">
        <f t="shared" si="2"/>
        <v>#N/A</v>
      </c>
      <c r="T44" s="380" t="e">
        <f>S44/SUM('Prod &amp; Defects - Qty'!$M$8:$R$8)*1000000</f>
        <v>#N/A</v>
      </c>
      <c r="U44" s="380" t="e">
        <f t="shared" si="3"/>
        <v>#N/A</v>
      </c>
      <c r="V44" s="380" t="e">
        <f>U44/'Prod &amp; Defects - Qty'!$S$8*1000000</f>
        <v>#N/A</v>
      </c>
      <c r="W44" s="380" t="e">
        <f t="shared" si="13"/>
        <v>#N/A</v>
      </c>
      <c r="X44" s="380" t="e">
        <f t="shared" si="13"/>
        <v>#N/A</v>
      </c>
      <c r="Y44" s="380" t="e">
        <f t="shared" si="4"/>
        <v>#N/A</v>
      </c>
      <c r="Z44" s="380" t="e">
        <f t="shared" si="12"/>
        <v>#N/A</v>
      </c>
    </row>
    <row r="45" spans="1:26" ht="18" customHeight="1">
      <c r="A45" s="783"/>
      <c r="B45" s="88">
        <v>4410</v>
      </c>
      <c r="C45" s="99" t="s">
        <v>139</v>
      </c>
      <c r="D45" s="400">
        <f>'[3]Falhas UM-4 Qty'!Z45</f>
        <v>0</v>
      </c>
      <c r="E45" s="380" t="e">
        <f>$D45/1000000*'Prod &amp; Defects - Qty'!G$8</f>
        <v>#N/A</v>
      </c>
      <c r="F45" s="380" t="e">
        <f>$D45/1000000*'Prod &amp; Defects - Qty'!H$8</f>
        <v>#N/A</v>
      </c>
      <c r="G45" s="380" t="e">
        <f>$D45/1000000*'Prod &amp; Defects - Qty'!I$8</f>
        <v>#N/A</v>
      </c>
      <c r="H45" s="380" t="e">
        <f>$D45/1000000*'Prod &amp; Defects - Qty'!J$8</f>
        <v>#N/A</v>
      </c>
      <c r="I45" s="380" t="e">
        <f>$D45/1000000*'Prod &amp; Defects - Qty'!K$8</f>
        <v>#N/A</v>
      </c>
      <c r="J45" s="380" t="e">
        <f>$D45/1000000*'Prod &amp; Defects - Qty'!L$8</f>
        <v>#N/A</v>
      </c>
      <c r="K45" s="380" t="e">
        <f>$D45/1000000*'Prod &amp; Defects - Qty'!M$8</f>
        <v>#N/A</v>
      </c>
      <c r="L45" s="380" t="e">
        <f>$D45/1000000*'Prod &amp; Defects - Qty'!N$8</f>
        <v>#N/A</v>
      </c>
      <c r="M45" s="380" t="e">
        <f>$D45/1000000*'Prod &amp; Defects - Qty'!O$8</f>
        <v>#N/A</v>
      </c>
      <c r="N45" s="380" t="e">
        <f>$D45/1000000*'Prod &amp; Defects - Qty'!P$8</f>
        <v>#N/A</v>
      </c>
      <c r="O45" s="380" t="e">
        <f>$D45/1000000*'Prod &amp; Defects - Qty'!Q$8</f>
        <v>#N/A</v>
      </c>
      <c r="P45" s="380" t="e">
        <f>$D45/1000000*'Prod &amp; Defects - Qty'!R$8</f>
        <v>#N/A</v>
      </c>
      <c r="Q45" s="380" t="e">
        <f t="shared" si="1"/>
        <v>#N/A</v>
      </c>
      <c r="R45" s="380" t="e">
        <f>Q45/SUM('Prod &amp; Defects - Qty'!$G$8:$L$8)*1000000</f>
        <v>#N/A</v>
      </c>
      <c r="S45" s="380" t="e">
        <f t="shared" si="2"/>
        <v>#N/A</v>
      </c>
      <c r="T45" s="380" t="e">
        <f>S45/SUM('Prod &amp; Defects - Qty'!$M$8:$R$8)*1000000</f>
        <v>#N/A</v>
      </c>
      <c r="U45" s="380" t="e">
        <f t="shared" si="3"/>
        <v>#N/A</v>
      </c>
      <c r="V45" s="380" t="e">
        <f>U45/'Prod &amp; Defects - Qty'!$S$8*1000000</f>
        <v>#N/A</v>
      </c>
      <c r="W45" s="380" t="e">
        <f t="shared" si="13"/>
        <v>#N/A</v>
      </c>
      <c r="X45" s="380" t="e">
        <f t="shared" si="13"/>
        <v>#N/A</v>
      </c>
      <c r="Y45" s="380" t="e">
        <f t="shared" si="4"/>
        <v>#N/A</v>
      </c>
      <c r="Z45" s="380" t="e">
        <f t="shared" si="12"/>
        <v>#N/A</v>
      </c>
    </row>
    <row r="46" spans="1:26" ht="18" customHeight="1">
      <c r="A46" s="783"/>
      <c r="B46" s="88">
        <v>4420</v>
      </c>
      <c r="C46" s="96" t="s">
        <v>140</v>
      </c>
      <c r="D46" s="399">
        <f>'[3]Falhas UM-4 Qty'!Z46</f>
        <v>0</v>
      </c>
      <c r="E46" s="380" t="e">
        <f>$D46/1000000*'Prod &amp; Defects - Qty'!G$8</f>
        <v>#N/A</v>
      </c>
      <c r="F46" s="380" t="e">
        <f>$D46/1000000*'Prod &amp; Defects - Qty'!H$8</f>
        <v>#N/A</v>
      </c>
      <c r="G46" s="380" t="e">
        <f>$D46/1000000*'Prod &amp; Defects - Qty'!I$8</f>
        <v>#N/A</v>
      </c>
      <c r="H46" s="380" t="e">
        <f>$D46/1000000*'Prod &amp; Defects - Qty'!J$8</f>
        <v>#N/A</v>
      </c>
      <c r="I46" s="380" t="e">
        <f>$D46/1000000*'Prod &amp; Defects - Qty'!K$8</f>
        <v>#N/A</v>
      </c>
      <c r="J46" s="380" t="e">
        <f>$D46/1000000*'Prod &amp; Defects - Qty'!L$8</f>
        <v>#N/A</v>
      </c>
      <c r="K46" s="380" t="e">
        <f>$D46/1000000*'Prod &amp; Defects - Qty'!M$8</f>
        <v>#N/A</v>
      </c>
      <c r="L46" s="380" t="e">
        <f>$D46/1000000*'Prod &amp; Defects - Qty'!N$8</f>
        <v>#N/A</v>
      </c>
      <c r="M46" s="380" t="e">
        <f>$D46/1000000*'Prod &amp; Defects - Qty'!O$8</f>
        <v>#N/A</v>
      </c>
      <c r="N46" s="380" t="e">
        <f>$D46/1000000*'Prod &amp; Defects - Qty'!P$8</f>
        <v>#N/A</v>
      </c>
      <c r="O46" s="380" t="e">
        <f>$D46/1000000*'Prod &amp; Defects - Qty'!Q$8</f>
        <v>#N/A</v>
      </c>
      <c r="P46" s="380" t="e">
        <f>$D46/1000000*'Prod &amp; Defects - Qty'!R$8</f>
        <v>#N/A</v>
      </c>
      <c r="Q46" s="380" t="e">
        <f t="shared" si="1"/>
        <v>#N/A</v>
      </c>
      <c r="R46" s="380" t="e">
        <f>Q46/SUM('Prod &amp; Defects - Qty'!$G$8:$L$8)*1000000</f>
        <v>#N/A</v>
      </c>
      <c r="S46" s="380" t="e">
        <f t="shared" si="2"/>
        <v>#N/A</v>
      </c>
      <c r="T46" s="380" t="e">
        <f>S46/SUM('Prod &amp; Defects - Qty'!$M$8:$R$8)*1000000</f>
        <v>#N/A</v>
      </c>
      <c r="U46" s="380" t="e">
        <f t="shared" si="3"/>
        <v>#N/A</v>
      </c>
      <c r="V46" s="380" t="e">
        <f>U46/'Prod &amp; Defects - Qty'!$S$8*1000000</f>
        <v>#N/A</v>
      </c>
      <c r="W46" s="380" t="e">
        <f t="shared" si="13"/>
        <v>#N/A</v>
      </c>
      <c r="X46" s="380" t="e">
        <f t="shared" si="13"/>
        <v>#N/A</v>
      </c>
      <c r="Y46" s="380" t="e">
        <f t="shared" si="4"/>
        <v>#N/A</v>
      </c>
      <c r="Z46" s="380" t="e">
        <f t="shared" si="12"/>
        <v>#N/A</v>
      </c>
    </row>
    <row r="47" spans="1:26" ht="18" customHeight="1">
      <c r="A47" s="783"/>
      <c r="B47" s="88">
        <v>4430</v>
      </c>
      <c r="C47" s="96" t="s">
        <v>168</v>
      </c>
      <c r="D47" s="399">
        <f>'[3]Falhas UM-4 Qty'!Z47</f>
        <v>0</v>
      </c>
      <c r="E47" s="380" t="e">
        <f>$D47/1000000*'Prod &amp; Defects - Qty'!G$8</f>
        <v>#N/A</v>
      </c>
      <c r="F47" s="380" t="e">
        <f>$D47/1000000*'Prod &amp; Defects - Qty'!H$8</f>
        <v>#N/A</v>
      </c>
      <c r="G47" s="380" t="e">
        <f>$D47/1000000*'Prod &amp; Defects - Qty'!I$8</f>
        <v>#N/A</v>
      </c>
      <c r="H47" s="380" t="e">
        <f>$D47/1000000*'Prod &amp; Defects - Qty'!J$8</f>
        <v>#N/A</v>
      </c>
      <c r="I47" s="380" t="e">
        <f>$D47/1000000*'Prod &amp; Defects - Qty'!K$8</f>
        <v>#N/A</v>
      </c>
      <c r="J47" s="380" t="e">
        <f>$D47/1000000*'Prod &amp; Defects - Qty'!L$8</f>
        <v>#N/A</v>
      </c>
      <c r="K47" s="380" t="e">
        <f>$D47/1000000*'Prod &amp; Defects - Qty'!M$8</f>
        <v>#N/A</v>
      </c>
      <c r="L47" s="380" t="e">
        <f>$D47/1000000*'Prod &amp; Defects - Qty'!N$8</f>
        <v>#N/A</v>
      </c>
      <c r="M47" s="380" t="e">
        <f>$D47/1000000*'Prod &amp; Defects - Qty'!O$8</f>
        <v>#N/A</v>
      </c>
      <c r="N47" s="380" t="e">
        <f>$D47/1000000*'Prod &amp; Defects - Qty'!P$8</f>
        <v>#N/A</v>
      </c>
      <c r="O47" s="380" t="e">
        <f>$D47/1000000*'Prod &amp; Defects - Qty'!Q$8</f>
        <v>#N/A</v>
      </c>
      <c r="P47" s="380" t="e">
        <f>$D47/1000000*'Prod &amp; Defects - Qty'!R$8</f>
        <v>#N/A</v>
      </c>
      <c r="Q47" s="380" t="e">
        <f t="shared" si="1"/>
        <v>#N/A</v>
      </c>
      <c r="R47" s="380" t="e">
        <f>Q47/SUM('Prod &amp; Defects - Qty'!$G$8:$L$8)*1000000</f>
        <v>#N/A</v>
      </c>
      <c r="S47" s="380" t="e">
        <f t="shared" si="2"/>
        <v>#N/A</v>
      </c>
      <c r="T47" s="380" t="e">
        <f>S47/SUM('Prod &amp; Defects - Qty'!$M$8:$R$8)*1000000</f>
        <v>#N/A</v>
      </c>
      <c r="U47" s="380" t="e">
        <f t="shared" si="3"/>
        <v>#N/A</v>
      </c>
      <c r="V47" s="380" t="e">
        <f>U47/'Prod &amp; Defects - Qty'!$S$8*1000000</f>
        <v>#N/A</v>
      </c>
      <c r="W47" s="380" t="e">
        <f t="shared" si="13"/>
        <v>#N/A</v>
      </c>
      <c r="X47" s="380" t="e">
        <f t="shared" si="13"/>
        <v>#N/A</v>
      </c>
      <c r="Y47" s="380" t="e">
        <f t="shared" si="4"/>
        <v>#N/A</v>
      </c>
      <c r="Z47" s="380" t="e">
        <f t="shared" si="12"/>
        <v>#N/A</v>
      </c>
    </row>
    <row r="48" spans="1:26" ht="18" customHeight="1">
      <c r="A48" s="783"/>
      <c r="B48" s="88">
        <v>4440</v>
      </c>
      <c r="C48" s="96" t="s">
        <v>169</v>
      </c>
      <c r="D48" s="399">
        <f>'[3]Falhas UM-4 Qty'!Z48</f>
        <v>0</v>
      </c>
      <c r="E48" s="380" t="e">
        <f>$D48/1000000*'Prod &amp; Defects - Qty'!G$8</f>
        <v>#N/A</v>
      </c>
      <c r="F48" s="380" t="e">
        <f>$D48/1000000*'Prod &amp; Defects - Qty'!H$8</f>
        <v>#N/A</v>
      </c>
      <c r="G48" s="380" t="e">
        <f>$D48/1000000*'Prod &amp; Defects - Qty'!I$8</f>
        <v>#N/A</v>
      </c>
      <c r="H48" s="380" t="e">
        <f>$D48/1000000*'Prod &amp; Defects - Qty'!J$8</f>
        <v>#N/A</v>
      </c>
      <c r="I48" s="380" t="e">
        <f>$D48/1000000*'Prod &amp; Defects - Qty'!K$8</f>
        <v>#N/A</v>
      </c>
      <c r="J48" s="380" t="e">
        <f>$D48/1000000*'Prod &amp; Defects - Qty'!L$8</f>
        <v>#N/A</v>
      </c>
      <c r="K48" s="380" t="e">
        <f>$D48/1000000*'Prod &amp; Defects - Qty'!M$8</f>
        <v>#N/A</v>
      </c>
      <c r="L48" s="380" t="e">
        <f>$D48/1000000*'Prod &amp; Defects - Qty'!N$8</f>
        <v>#N/A</v>
      </c>
      <c r="M48" s="380" t="e">
        <f>$D48/1000000*'Prod &amp; Defects - Qty'!O$8</f>
        <v>#N/A</v>
      </c>
      <c r="N48" s="380" t="e">
        <f>$D48/1000000*'Prod &amp; Defects - Qty'!P$8</f>
        <v>#N/A</v>
      </c>
      <c r="O48" s="380" t="e">
        <f>$D48/1000000*'Prod &amp; Defects - Qty'!Q$8</f>
        <v>#N/A</v>
      </c>
      <c r="P48" s="380" t="e">
        <f>$D48/1000000*'Prod &amp; Defects - Qty'!R$8</f>
        <v>#N/A</v>
      </c>
      <c r="Q48" s="380" t="e">
        <f t="shared" si="1"/>
        <v>#N/A</v>
      </c>
      <c r="R48" s="380" t="e">
        <f>Q48/SUM('Prod &amp; Defects - Qty'!$G$8:$L$8)*1000000</f>
        <v>#N/A</v>
      </c>
      <c r="S48" s="380" t="e">
        <f t="shared" si="2"/>
        <v>#N/A</v>
      </c>
      <c r="T48" s="380" t="e">
        <f>S48/SUM('Prod &amp; Defects - Qty'!$M$8:$R$8)*1000000</f>
        <v>#N/A</v>
      </c>
      <c r="U48" s="380" t="e">
        <f t="shared" si="3"/>
        <v>#N/A</v>
      </c>
      <c r="V48" s="380" t="e">
        <f>U48/'Prod &amp; Defects - Qty'!$S$8*1000000</f>
        <v>#N/A</v>
      </c>
      <c r="W48" s="380" t="e">
        <f t="shared" si="13"/>
        <v>#N/A</v>
      </c>
      <c r="X48" s="380" t="e">
        <f t="shared" si="13"/>
        <v>#N/A</v>
      </c>
      <c r="Y48" s="380" t="e">
        <f t="shared" si="4"/>
        <v>#N/A</v>
      </c>
      <c r="Z48" s="380" t="e">
        <f t="shared" si="12"/>
        <v>#N/A</v>
      </c>
    </row>
    <row r="49" spans="1:26" ht="18" customHeight="1">
      <c r="A49" s="783"/>
      <c r="B49" s="88">
        <v>4450</v>
      </c>
      <c r="C49" s="96" t="s">
        <v>170</v>
      </c>
      <c r="D49" s="399">
        <f>'[3]Falhas UM-4 Qty'!Z49</f>
        <v>2.1330343917223957</v>
      </c>
      <c r="E49" s="380" t="e">
        <f>$D49/1000000*'Prod &amp; Defects - Qty'!G$8</f>
        <v>#N/A</v>
      </c>
      <c r="F49" s="380" t="e">
        <f>$D49/1000000*'Prod &amp; Defects - Qty'!H$8</f>
        <v>#N/A</v>
      </c>
      <c r="G49" s="380" t="e">
        <f>$D49/1000000*'Prod &amp; Defects - Qty'!I$8</f>
        <v>#N/A</v>
      </c>
      <c r="H49" s="380" t="e">
        <f>$D49/1000000*'Prod &amp; Defects - Qty'!J$8</f>
        <v>#N/A</v>
      </c>
      <c r="I49" s="380" t="e">
        <f>$D49/1000000*'Prod &amp; Defects - Qty'!K$8</f>
        <v>#N/A</v>
      </c>
      <c r="J49" s="380" t="e">
        <f>$D49/1000000*'Prod &amp; Defects - Qty'!L$8</f>
        <v>#N/A</v>
      </c>
      <c r="K49" s="380" t="e">
        <f>$D49/1000000*'Prod &amp; Defects - Qty'!M$8</f>
        <v>#N/A</v>
      </c>
      <c r="L49" s="380" t="e">
        <f>$D49/1000000*'Prod &amp; Defects - Qty'!N$8</f>
        <v>#N/A</v>
      </c>
      <c r="M49" s="380" t="e">
        <f>$D49/1000000*'Prod &amp; Defects - Qty'!O$8</f>
        <v>#N/A</v>
      </c>
      <c r="N49" s="380" t="e">
        <f>$D49/1000000*'Prod &amp; Defects - Qty'!P$8</f>
        <v>#N/A</v>
      </c>
      <c r="O49" s="380" t="e">
        <f>$D49/1000000*'Prod &amp; Defects - Qty'!Q$8</f>
        <v>#N/A</v>
      </c>
      <c r="P49" s="380" t="e">
        <f>$D49/1000000*'Prod &amp; Defects - Qty'!R$8</f>
        <v>#N/A</v>
      </c>
      <c r="Q49" s="380" t="e">
        <f t="shared" si="1"/>
        <v>#N/A</v>
      </c>
      <c r="R49" s="380" t="e">
        <f>Q49/SUM('Prod &amp; Defects - Qty'!$G$8:$L$8)*1000000</f>
        <v>#N/A</v>
      </c>
      <c r="S49" s="380" t="e">
        <f t="shared" si="2"/>
        <v>#N/A</v>
      </c>
      <c r="T49" s="380" t="e">
        <f>S49/SUM('Prod &amp; Defects - Qty'!$M$8:$R$8)*1000000</f>
        <v>#N/A</v>
      </c>
      <c r="U49" s="380" t="e">
        <f t="shared" si="3"/>
        <v>#N/A</v>
      </c>
      <c r="V49" s="380" t="e">
        <f>U49/'Prod &amp; Defects - Qty'!$S$8*1000000</f>
        <v>#N/A</v>
      </c>
      <c r="W49" s="380" t="e">
        <f t="shared" si="13"/>
        <v>#N/A</v>
      </c>
      <c r="X49" s="380" t="e">
        <f t="shared" si="13"/>
        <v>#N/A</v>
      </c>
      <c r="Y49" s="380" t="e">
        <f t="shared" si="4"/>
        <v>#N/A</v>
      </c>
      <c r="Z49" s="380" t="e">
        <f t="shared" si="12"/>
        <v>#N/A</v>
      </c>
    </row>
    <row r="50" spans="1:26" ht="18" customHeight="1">
      <c r="A50" s="783"/>
      <c r="B50" s="88">
        <v>4460</v>
      </c>
      <c r="C50" s="96" t="s">
        <v>236</v>
      </c>
      <c r="D50" s="399">
        <f>'[3]Falhas UM-4 Qty'!Z50</f>
        <v>2.9615840587630675</v>
      </c>
      <c r="E50" s="380" t="e">
        <f>$D50/1000000*'Prod &amp; Defects - Qty'!G$8</f>
        <v>#N/A</v>
      </c>
      <c r="F50" s="380" t="e">
        <f>$D50/1000000*'Prod &amp; Defects - Qty'!H$8</f>
        <v>#N/A</v>
      </c>
      <c r="G50" s="380" t="e">
        <f>$D50/1000000*'Prod &amp; Defects - Qty'!I$8</f>
        <v>#N/A</v>
      </c>
      <c r="H50" s="380" t="e">
        <f>$D50/1000000*'Prod &amp; Defects - Qty'!J$8</f>
        <v>#N/A</v>
      </c>
      <c r="I50" s="380" t="e">
        <f>$D50/1000000*'Prod &amp; Defects - Qty'!K$8</f>
        <v>#N/A</v>
      </c>
      <c r="J50" s="380" t="e">
        <f>$D50/1000000*'Prod &amp; Defects - Qty'!L$8</f>
        <v>#N/A</v>
      </c>
      <c r="K50" s="380" t="e">
        <f>$D50/1000000*'Prod &amp; Defects - Qty'!M$8</f>
        <v>#N/A</v>
      </c>
      <c r="L50" s="380" t="e">
        <f>$D50/1000000*'Prod &amp; Defects - Qty'!N$8</f>
        <v>#N/A</v>
      </c>
      <c r="M50" s="380" t="e">
        <f>$D50/1000000*'Prod &amp; Defects - Qty'!O$8</f>
        <v>#N/A</v>
      </c>
      <c r="N50" s="380" t="e">
        <f>$D50/1000000*'Prod &amp; Defects - Qty'!P$8</f>
        <v>#N/A</v>
      </c>
      <c r="O50" s="380" t="e">
        <f>$D50/1000000*'Prod &amp; Defects - Qty'!Q$8</f>
        <v>#N/A</v>
      </c>
      <c r="P50" s="380" t="e">
        <f>$D50/1000000*'Prod &amp; Defects - Qty'!R$8</f>
        <v>#N/A</v>
      </c>
      <c r="Q50" s="380" t="e">
        <f t="shared" si="1"/>
        <v>#N/A</v>
      </c>
      <c r="R50" s="380" t="e">
        <f>Q50/SUM('Prod &amp; Defects - Qty'!$G$8:$L$8)*1000000</f>
        <v>#N/A</v>
      </c>
      <c r="S50" s="380" t="e">
        <f t="shared" si="2"/>
        <v>#N/A</v>
      </c>
      <c r="T50" s="380" t="e">
        <f>S50/SUM('Prod &amp; Defects - Qty'!$M$8:$R$8)*1000000</f>
        <v>#N/A</v>
      </c>
      <c r="U50" s="380" t="e">
        <f t="shared" si="3"/>
        <v>#N/A</v>
      </c>
      <c r="V50" s="380" t="e">
        <f>U50/'Prod &amp; Defects - Qty'!$S$8*1000000</f>
        <v>#N/A</v>
      </c>
      <c r="W50" s="380" t="e">
        <f t="shared" si="13"/>
        <v>#N/A</v>
      </c>
      <c r="X50" s="380" t="e">
        <f t="shared" si="13"/>
        <v>#N/A</v>
      </c>
      <c r="Y50" s="380" t="e">
        <f t="shared" si="4"/>
        <v>#N/A</v>
      </c>
      <c r="Z50" s="380" t="e">
        <f t="shared" si="12"/>
        <v>#N/A</v>
      </c>
    </row>
    <row r="51" spans="1:26" ht="18" customHeight="1">
      <c r="A51" s="783"/>
      <c r="B51" s="88">
        <v>4462</v>
      </c>
      <c r="C51" s="96" t="s">
        <v>256</v>
      </c>
      <c r="D51" s="399">
        <f>'[3]Falhas UM-4 Qty'!Z51</f>
        <v>1.6729681503705063E-2</v>
      </c>
      <c r="E51" s="380" t="e">
        <f>$D51/1000000*'Prod &amp; Defects - Qty'!G$8</f>
        <v>#N/A</v>
      </c>
      <c r="F51" s="380" t="e">
        <f>$D51/1000000*'Prod &amp; Defects - Qty'!H$8</f>
        <v>#N/A</v>
      </c>
      <c r="G51" s="380" t="e">
        <f>$D51/1000000*'Prod &amp; Defects - Qty'!I$8</f>
        <v>#N/A</v>
      </c>
      <c r="H51" s="380" t="e">
        <f>$D51/1000000*'Prod &amp; Defects - Qty'!J$8</f>
        <v>#N/A</v>
      </c>
      <c r="I51" s="380" t="e">
        <f>$D51/1000000*'Prod &amp; Defects - Qty'!K$8</f>
        <v>#N/A</v>
      </c>
      <c r="J51" s="380" t="e">
        <f>$D51/1000000*'Prod &amp; Defects - Qty'!L$8</f>
        <v>#N/A</v>
      </c>
      <c r="K51" s="380" t="e">
        <f>$D51/1000000*'Prod &amp; Defects - Qty'!M$8</f>
        <v>#N/A</v>
      </c>
      <c r="L51" s="380" t="e">
        <f>$D51/1000000*'Prod &amp; Defects - Qty'!N$8</f>
        <v>#N/A</v>
      </c>
      <c r="M51" s="380" t="e">
        <f>$D51/1000000*'Prod &amp; Defects - Qty'!O$8</f>
        <v>#N/A</v>
      </c>
      <c r="N51" s="380" t="e">
        <f>$D51/1000000*'Prod &amp; Defects - Qty'!P$8</f>
        <v>#N/A</v>
      </c>
      <c r="O51" s="380" t="e">
        <f>$D51/1000000*'Prod &amp; Defects - Qty'!Q$8</f>
        <v>#N/A</v>
      </c>
      <c r="P51" s="380" t="e">
        <f>$D51/1000000*'Prod &amp; Defects - Qty'!R$8</f>
        <v>#N/A</v>
      </c>
      <c r="Q51" s="380" t="e">
        <f>SUM(E51:J51)</f>
        <v>#N/A</v>
      </c>
      <c r="R51" s="380" t="e">
        <f>Q51/SUM('Prod &amp; Defects - Qty'!$G$8:$L$8)*1000000</f>
        <v>#N/A</v>
      </c>
      <c r="S51" s="380" t="e">
        <f>SUM(K51:P51)</f>
        <v>#N/A</v>
      </c>
      <c r="T51" s="380" t="e">
        <f>S51/SUM('Prod &amp; Defects - Qty'!$M$8:$R$8)*1000000</f>
        <v>#N/A</v>
      </c>
      <c r="U51" s="380" t="e">
        <f>Q51+S51</f>
        <v>#N/A</v>
      </c>
      <c r="V51" s="380" t="e">
        <f>U51/'Prod &amp; Defects - Qty'!$S$8*1000000</f>
        <v>#N/A</v>
      </c>
      <c r="W51" s="380" t="e">
        <f t="shared" ref="W51:X53" si="14">V51*0.9</f>
        <v>#N/A</v>
      </c>
      <c r="X51" s="380" t="e">
        <f t="shared" si="14"/>
        <v>#N/A</v>
      </c>
      <c r="Y51" s="380" t="e">
        <f>(W51+X51)/2</f>
        <v>#N/A</v>
      </c>
      <c r="Z51" s="380" t="e">
        <f>Y51*$AA$6</f>
        <v>#N/A</v>
      </c>
    </row>
    <row r="52" spans="1:26" ht="18" customHeight="1">
      <c r="A52" s="783"/>
      <c r="B52" s="88">
        <v>4464</v>
      </c>
      <c r="C52" s="96" t="s">
        <v>257</v>
      </c>
      <c r="D52" s="399">
        <f>'[3]Falhas UM-4 Qty'!Z52</f>
        <v>0.43497171909633164</v>
      </c>
      <c r="E52" s="380" t="e">
        <f>$D52/1000000*'Prod &amp; Defects - Qty'!G$8</f>
        <v>#N/A</v>
      </c>
      <c r="F52" s="380" t="e">
        <f>$D52/1000000*'Prod &amp; Defects - Qty'!H$8</f>
        <v>#N/A</v>
      </c>
      <c r="G52" s="380" t="e">
        <f>$D52/1000000*'Prod &amp; Defects - Qty'!I$8</f>
        <v>#N/A</v>
      </c>
      <c r="H52" s="380" t="e">
        <f>$D52/1000000*'Prod &amp; Defects - Qty'!J$8</f>
        <v>#N/A</v>
      </c>
      <c r="I52" s="380" t="e">
        <f>$D52/1000000*'Prod &amp; Defects - Qty'!K$8</f>
        <v>#N/A</v>
      </c>
      <c r="J52" s="380" t="e">
        <f>$D52/1000000*'Prod &amp; Defects - Qty'!L$8</f>
        <v>#N/A</v>
      </c>
      <c r="K52" s="380" t="e">
        <f>$D52/1000000*'Prod &amp; Defects - Qty'!M$8</f>
        <v>#N/A</v>
      </c>
      <c r="L52" s="380" t="e">
        <f>$D52/1000000*'Prod &amp; Defects - Qty'!N$8</f>
        <v>#N/A</v>
      </c>
      <c r="M52" s="380" t="e">
        <f>$D52/1000000*'Prod &amp; Defects - Qty'!O$8</f>
        <v>#N/A</v>
      </c>
      <c r="N52" s="380" t="e">
        <f>$D52/1000000*'Prod &amp; Defects - Qty'!P$8</f>
        <v>#N/A</v>
      </c>
      <c r="O52" s="380" t="e">
        <f>$D52/1000000*'Prod &amp; Defects - Qty'!Q$8</f>
        <v>#N/A</v>
      </c>
      <c r="P52" s="380" t="e">
        <f>$D52/1000000*'Prod &amp; Defects - Qty'!R$8</f>
        <v>#N/A</v>
      </c>
      <c r="Q52" s="380" t="e">
        <f>SUM(E52:J52)</f>
        <v>#N/A</v>
      </c>
      <c r="R52" s="380" t="e">
        <f>Q52/SUM('Prod &amp; Defects - Qty'!$G$8:$L$8)*1000000</f>
        <v>#N/A</v>
      </c>
      <c r="S52" s="380" t="e">
        <f>SUM(K52:P52)</f>
        <v>#N/A</v>
      </c>
      <c r="T52" s="380" t="e">
        <f>S52/SUM('Prod &amp; Defects - Qty'!$M$8:$R$8)*1000000</f>
        <v>#N/A</v>
      </c>
      <c r="U52" s="380" t="e">
        <f>Q52+S52</f>
        <v>#N/A</v>
      </c>
      <c r="V52" s="380" t="e">
        <f>U52/'Prod &amp; Defects - Qty'!$S$8*1000000</f>
        <v>#N/A</v>
      </c>
      <c r="W52" s="380" t="e">
        <f t="shared" si="14"/>
        <v>#N/A</v>
      </c>
      <c r="X52" s="380" t="e">
        <f t="shared" si="14"/>
        <v>#N/A</v>
      </c>
      <c r="Y52" s="380" t="e">
        <f>(W52+X52)/2</f>
        <v>#N/A</v>
      </c>
      <c r="Z52" s="380" t="e">
        <f>Y52*$AA$6</f>
        <v>#N/A</v>
      </c>
    </row>
    <row r="53" spans="1:26" ht="18" customHeight="1">
      <c r="A53" s="783"/>
      <c r="B53" s="88">
        <v>4466</v>
      </c>
      <c r="C53" s="96" t="s">
        <v>125</v>
      </c>
      <c r="D53" s="399">
        <f>'[3]Falhas UM-4 Qty'!Z53</f>
        <v>0.28440458556298609</v>
      </c>
      <c r="E53" s="380" t="e">
        <f>$D53/1000000*'Prod &amp; Defects - Qty'!G$8</f>
        <v>#N/A</v>
      </c>
      <c r="F53" s="380" t="e">
        <f>$D53/1000000*'Prod &amp; Defects - Qty'!H$8</f>
        <v>#N/A</v>
      </c>
      <c r="G53" s="380" t="e">
        <f>$D53/1000000*'Prod &amp; Defects - Qty'!I$8</f>
        <v>#N/A</v>
      </c>
      <c r="H53" s="380" t="e">
        <f>$D53/1000000*'Prod &amp; Defects - Qty'!J$8</f>
        <v>#N/A</v>
      </c>
      <c r="I53" s="380" t="e">
        <f>$D53/1000000*'Prod &amp; Defects - Qty'!K$8</f>
        <v>#N/A</v>
      </c>
      <c r="J53" s="380" t="e">
        <f>$D53/1000000*'Prod &amp; Defects - Qty'!L$8</f>
        <v>#N/A</v>
      </c>
      <c r="K53" s="380" t="e">
        <f>$D53/1000000*'Prod &amp; Defects - Qty'!M$8</f>
        <v>#N/A</v>
      </c>
      <c r="L53" s="380" t="e">
        <f>$D53/1000000*'Prod &amp; Defects - Qty'!N$8</f>
        <v>#N/A</v>
      </c>
      <c r="M53" s="380" t="e">
        <f>$D53/1000000*'Prod &amp; Defects - Qty'!O$8</f>
        <v>#N/A</v>
      </c>
      <c r="N53" s="380" t="e">
        <f>$D53/1000000*'Prod &amp; Defects - Qty'!P$8</f>
        <v>#N/A</v>
      </c>
      <c r="O53" s="380" t="e">
        <f>$D53/1000000*'Prod &amp; Defects - Qty'!Q$8</f>
        <v>#N/A</v>
      </c>
      <c r="P53" s="380" t="e">
        <f>$D53/1000000*'Prod &amp; Defects - Qty'!R$8</f>
        <v>#N/A</v>
      </c>
      <c r="Q53" s="380" t="e">
        <f>SUM(E53:J53)</f>
        <v>#N/A</v>
      </c>
      <c r="R53" s="380" t="e">
        <f>Q53/SUM('Prod &amp; Defects - Qty'!$G$8:$L$8)*1000000</f>
        <v>#N/A</v>
      </c>
      <c r="S53" s="380" t="e">
        <f>SUM(K53:P53)</f>
        <v>#N/A</v>
      </c>
      <c r="T53" s="380" t="e">
        <f>S53/SUM('Prod &amp; Defects - Qty'!$M$8:$R$8)*1000000</f>
        <v>#N/A</v>
      </c>
      <c r="U53" s="380" t="e">
        <f>Q53+S53</f>
        <v>#N/A</v>
      </c>
      <c r="V53" s="380" t="e">
        <f>U53/'Prod &amp; Defects - Qty'!$S$8*1000000</f>
        <v>#N/A</v>
      </c>
      <c r="W53" s="380" t="e">
        <f t="shared" si="14"/>
        <v>#N/A</v>
      </c>
      <c r="X53" s="380" t="e">
        <f t="shared" si="14"/>
        <v>#N/A</v>
      </c>
      <c r="Y53" s="380" t="e">
        <f>(W53+X53)/2</f>
        <v>#N/A</v>
      </c>
      <c r="Z53" s="380" t="e">
        <f>Y53*$AA$6</f>
        <v>#N/A</v>
      </c>
    </row>
    <row r="54" spans="1:26" ht="18" customHeight="1">
      <c r="A54" s="783"/>
      <c r="B54" s="103"/>
      <c r="C54" s="104" t="s">
        <v>1</v>
      </c>
      <c r="D54" s="403">
        <f>'[3]Falhas UM-4 Qty'!Z54</f>
        <v>11.7906745128265</v>
      </c>
      <c r="E54" s="384" t="e">
        <f t="shared" ref="E54:P54" si="15">SUM(E35:E50)</f>
        <v>#N/A</v>
      </c>
      <c r="F54" s="384" t="e">
        <f t="shared" si="15"/>
        <v>#N/A</v>
      </c>
      <c r="G54" s="384" t="e">
        <f t="shared" si="15"/>
        <v>#N/A</v>
      </c>
      <c r="H54" s="384" t="e">
        <f t="shared" si="15"/>
        <v>#N/A</v>
      </c>
      <c r="I54" s="384" t="e">
        <f t="shared" si="15"/>
        <v>#N/A</v>
      </c>
      <c r="J54" s="384" t="e">
        <f t="shared" si="15"/>
        <v>#N/A</v>
      </c>
      <c r="K54" s="384" t="e">
        <f t="shared" si="15"/>
        <v>#N/A</v>
      </c>
      <c r="L54" s="384" t="e">
        <f t="shared" si="15"/>
        <v>#N/A</v>
      </c>
      <c r="M54" s="384" t="e">
        <f t="shared" si="15"/>
        <v>#N/A</v>
      </c>
      <c r="N54" s="384" t="e">
        <f t="shared" si="15"/>
        <v>#N/A</v>
      </c>
      <c r="O54" s="384" t="e">
        <f t="shared" si="15"/>
        <v>#N/A</v>
      </c>
      <c r="P54" s="384" t="e">
        <f t="shared" si="15"/>
        <v>#N/A</v>
      </c>
      <c r="Q54" s="384" t="e">
        <f t="shared" si="1"/>
        <v>#N/A</v>
      </c>
      <c r="R54" s="384" t="e">
        <f>Q54/SUM('Prod &amp; Defects - Qty'!$G$8:$L$8)*1000000</f>
        <v>#N/A</v>
      </c>
      <c r="S54" s="384" t="e">
        <f t="shared" si="2"/>
        <v>#N/A</v>
      </c>
      <c r="T54" s="384" t="e">
        <f>S54/SUM('Prod &amp; Defects - Qty'!$M$8:$R$8)*1000000</f>
        <v>#N/A</v>
      </c>
      <c r="U54" s="384" t="e">
        <f t="shared" si="3"/>
        <v>#N/A</v>
      </c>
      <c r="V54" s="384" t="e">
        <f>U54/'Prod &amp; Defects - Qty'!$S$8*1000000</f>
        <v>#N/A</v>
      </c>
      <c r="W54" s="384" t="e">
        <f t="shared" si="13"/>
        <v>#N/A</v>
      </c>
      <c r="X54" s="384" t="e">
        <f t="shared" si="13"/>
        <v>#N/A</v>
      </c>
      <c r="Y54" s="384" t="e">
        <f t="shared" si="4"/>
        <v>#N/A</v>
      </c>
      <c r="Z54" s="384" t="e">
        <f>Y54*0.9</f>
        <v>#N/A</v>
      </c>
    </row>
    <row r="55" spans="1:26" ht="18" customHeight="1">
      <c r="A55" s="783"/>
      <c r="B55" s="88">
        <f>B50+10</f>
        <v>4470</v>
      </c>
      <c r="C55" s="89" t="s">
        <v>258</v>
      </c>
      <c r="D55" s="398">
        <f>'[3]Falhas UM-4 Qty'!Z55</f>
        <v>0</v>
      </c>
      <c r="E55" s="421" t="e">
        <f>$D55/1000000*'Prod &amp; Defects - Qty'!G$8</f>
        <v>#N/A</v>
      </c>
      <c r="F55" s="421" t="e">
        <f>$D55/1000000*'Prod &amp; Defects - Qty'!H$8</f>
        <v>#N/A</v>
      </c>
      <c r="G55" s="421" t="e">
        <f>$D55/1000000*'Prod &amp; Defects - Qty'!I$8</f>
        <v>#N/A</v>
      </c>
      <c r="H55" s="421" t="e">
        <f>$D55/1000000*'Prod &amp; Defects - Qty'!J$8</f>
        <v>#N/A</v>
      </c>
      <c r="I55" s="421" t="e">
        <f>$D55/1000000*'Prod &amp; Defects - Qty'!K$8</f>
        <v>#N/A</v>
      </c>
      <c r="J55" s="421" t="e">
        <f>$D55/1000000*'Prod &amp; Defects - Qty'!L$8</f>
        <v>#N/A</v>
      </c>
      <c r="K55" s="421" t="e">
        <f>$D55/1000000*'Prod &amp; Defects - Qty'!M$8</f>
        <v>#N/A</v>
      </c>
      <c r="L55" s="421" t="e">
        <f>$D55/1000000*'Prod &amp; Defects - Qty'!N$8</f>
        <v>#N/A</v>
      </c>
      <c r="M55" s="421" t="e">
        <f>$D55/1000000*'Prod &amp; Defects - Qty'!O$8</f>
        <v>#N/A</v>
      </c>
      <c r="N55" s="421" t="e">
        <f>$D55/1000000*'Prod &amp; Defects - Qty'!P$8</f>
        <v>#N/A</v>
      </c>
      <c r="O55" s="421" t="e">
        <f>$D55/1000000*'Prod &amp; Defects - Qty'!Q$8</f>
        <v>#N/A</v>
      </c>
      <c r="P55" s="421" t="e">
        <f>$D55/1000000*'Prod &amp; Defects - Qty'!R$8</f>
        <v>#N/A</v>
      </c>
      <c r="Q55" s="421" t="e">
        <f t="shared" si="1"/>
        <v>#N/A</v>
      </c>
      <c r="R55" s="421" t="e">
        <f>Q55/SUM('Prod &amp; Defects - Qty'!$G$8:$L$8)*1000000</f>
        <v>#N/A</v>
      </c>
      <c r="S55" s="421" t="e">
        <f t="shared" si="2"/>
        <v>#N/A</v>
      </c>
      <c r="T55" s="421" t="e">
        <f>S55/SUM('Prod &amp; Defects - Qty'!$M$8:$R$8)*1000000</f>
        <v>#N/A</v>
      </c>
      <c r="U55" s="421" t="e">
        <f t="shared" si="3"/>
        <v>#N/A</v>
      </c>
      <c r="V55" s="421" t="e">
        <f>U55/'Prod &amp; Defects - Qty'!$S$8*1000000</f>
        <v>#N/A</v>
      </c>
      <c r="W55" s="421" t="e">
        <f t="shared" si="13"/>
        <v>#N/A</v>
      </c>
      <c r="X55" s="421" t="e">
        <f t="shared" si="13"/>
        <v>#N/A</v>
      </c>
      <c r="Y55" s="421" t="e">
        <f t="shared" si="4"/>
        <v>#N/A</v>
      </c>
      <c r="Z55" s="421" t="e">
        <f>Y55*$AA$6</f>
        <v>#N/A</v>
      </c>
    </row>
    <row r="56" spans="1:26" ht="18" customHeight="1">
      <c r="A56" s="783"/>
      <c r="B56" s="103">
        <f>B55+10</f>
        <v>4480</v>
      </c>
      <c r="C56" s="107" t="s">
        <v>259</v>
      </c>
      <c r="D56" s="404">
        <f>'[3]Falhas UM-4 Qty'!Z56</f>
        <v>1000</v>
      </c>
      <c r="E56" s="422" t="e">
        <f>$D56/1000000*'Prod &amp; Defects - Qty'!G$8</f>
        <v>#N/A</v>
      </c>
      <c r="F56" s="422" t="e">
        <f>$D56/1000000*'Prod &amp; Defects - Qty'!H$8</f>
        <v>#N/A</v>
      </c>
      <c r="G56" s="422" t="e">
        <f>$D56/1000000*'Prod &amp; Defects - Qty'!I$8</f>
        <v>#N/A</v>
      </c>
      <c r="H56" s="422" t="e">
        <f>$D56/1000000*'Prod &amp; Defects - Qty'!J$8</f>
        <v>#N/A</v>
      </c>
      <c r="I56" s="422" t="e">
        <f>$D56/1000000*'Prod &amp; Defects - Qty'!K$8</f>
        <v>#N/A</v>
      </c>
      <c r="J56" s="422" t="e">
        <f>$D56/1000000*'Prod &amp; Defects - Qty'!L$8</f>
        <v>#N/A</v>
      </c>
      <c r="K56" s="422" t="e">
        <f>$D56/1000000*'Prod &amp; Defects - Qty'!M$8</f>
        <v>#N/A</v>
      </c>
      <c r="L56" s="422" t="e">
        <f>$D56/1000000*'Prod &amp; Defects - Qty'!N$8</f>
        <v>#N/A</v>
      </c>
      <c r="M56" s="422" t="e">
        <f>$D56/1000000*'Prod &amp; Defects - Qty'!O$8</f>
        <v>#N/A</v>
      </c>
      <c r="N56" s="422" t="e">
        <f>$D56/1000000*'Prod &amp; Defects - Qty'!P$8</f>
        <v>#N/A</v>
      </c>
      <c r="O56" s="422" t="e">
        <f>$D56/1000000*'Prod &amp; Defects - Qty'!Q$8</f>
        <v>#N/A</v>
      </c>
      <c r="P56" s="422" t="e">
        <f>$D56/1000000*'Prod &amp; Defects - Qty'!R$8</f>
        <v>#N/A</v>
      </c>
      <c r="Q56" s="422" t="e">
        <f t="shared" si="1"/>
        <v>#N/A</v>
      </c>
      <c r="R56" s="422" t="e">
        <f>Q56/SUM('Prod &amp; Defects - Qty'!$G$8:$L$8)*1000000</f>
        <v>#N/A</v>
      </c>
      <c r="S56" s="422" t="e">
        <f t="shared" si="2"/>
        <v>#N/A</v>
      </c>
      <c r="T56" s="422" t="e">
        <f>S56/SUM('Prod &amp; Defects - Qty'!$M$8:$R$8)*1000000</f>
        <v>#N/A</v>
      </c>
      <c r="U56" s="422" t="e">
        <f t="shared" si="3"/>
        <v>#N/A</v>
      </c>
      <c r="V56" s="422" t="e">
        <f>U56/'Prod &amp; Defects - Qty'!$S$8*1000000</f>
        <v>#N/A</v>
      </c>
      <c r="W56" s="422" t="e">
        <f t="shared" si="13"/>
        <v>#N/A</v>
      </c>
      <c r="X56" s="422" t="e">
        <f t="shared" si="13"/>
        <v>#N/A</v>
      </c>
      <c r="Y56" s="422" t="e">
        <f t="shared" si="4"/>
        <v>#N/A</v>
      </c>
      <c r="Z56" s="422" t="e">
        <f>Y56*$AA$6</f>
        <v>#N/A</v>
      </c>
    </row>
    <row r="57" spans="1:26" ht="18" customHeight="1">
      <c r="A57" s="783"/>
      <c r="B57" s="108">
        <f>B56+10</f>
        <v>4490</v>
      </c>
      <c r="C57" s="86" t="s">
        <v>76</v>
      </c>
      <c r="D57" s="397">
        <f>'[3]Falhas UM-4 Qty'!Z57</f>
        <v>0</v>
      </c>
      <c r="E57" s="423" t="e">
        <f>$D57/1000000*'Prod &amp; Defects - Qty'!G$8</f>
        <v>#N/A</v>
      </c>
      <c r="F57" s="423" t="e">
        <f>$D57/1000000*'Prod &amp; Defects - Qty'!H$8</f>
        <v>#N/A</v>
      </c>
      <c r="G57" s="423" t="e">
        <f>$D57/1000000*'Prod &amp; Defects - Qty'!I$8</f>
        <v>#N/A</v>
      </c>
      <c r="H57" s="423" t="e">
        <f>$D57/1000000*'Prod &amp; Defects - Qty'!J$8</f>
        <v>#N/A</v>
      </c>
      <c r="I57" s="423" t="e">
        <f>$D57/1000000*'Prod &amp; Defects - Qty'!K$8</f>
        <v>#N/A</v>
      </c>
      <c r="J57" s="423" t="e">
        <f>$D57/1000000*'Prod &amp; Defects - Qty'!L$8</f>
        <v>#N/A</v>
      </c>
      <c r="K57" s="423" t="e">
        <f>$D57/1000000*'Prod &amp; Defects - Qty'!M$8</f>
        <v>#N/A</v>
      </c>
      <c r="L57" s="423" t="e">
        <f>$D57/1000000*'Prod &amp; Defects - Qty'!N$8</f>
        <v>#N/A</v>
      </c>
      <c r="M57" s="423" t="e">
        <f>$D57/1000000*'Prod &amp; Defects - Qty'!O$8</f>
        <v>#N/A</v>
      </c>
      <c r="N57" s="423" t="e">
        <f>$D57/1000000*'Prod &amp; Defects - Qty'!P$8</f>
        <v>#N/A</v>
      </c>
      <c r="O57" s="423" t="e">
        <f>$D57/1000000*'Prod &amp; Defects - Qty'!Q$8</f>
        <v>#N/A</v>
      </c>
      <c r="P57" s="423" t="e">
        <f>$D57/1000000*'Prod &amp; Defects - Qty'!R$8</f>
        <v>#N/A</v>
      </c>
      <c r="Q57" s="423" t="e">
        <f t="shared" si="1"/>
        <v>#N/A</v>
      </c>
      <c r="R57" s="423" t="e">
        <f>Q57/SUM('Prod &amp; Defects - Qty'!$G$8:$L$8)*1000000</f>
        <v>#N/A</v>
      </c>
      <c r="S57" s="423" t="e">
        <f t="shared" si="2"/>
        <v>#N/A</v>
      </c>
      <c r="T57" s="423" t="e">
        <f>S57/SUM('Prod &amp; Defects - Qty'!$M$8:$R$8)*1000000</f>
        <v>#N/A</v>
      </c>
      <c r="U57" s="423" t="e">
        <f t="shared" si="3"/>
        <v>#N/A</v>
      </c>
      <c r="V57" s="423" t="e">
        <f>U57/'Prod &amp; Defects - Qty'!$S$8*1000000</f>
        <v>#N/A</v>
      </c>
      <c r="W57" s="423" t="e">
        <f t="shared" si="13"/>
        <v>#N/A</v>
      </c>
      <c r="X57" s="423" t="e">
        <f t="shared" si="13"/>
        <v>#N/A</v>
      </c>
      <c r="Y57" s="423" t="e">
        <f t="shared" si="4"/>
        <v>#N/A</v>
      </c>
      <c r="Z57" s="423" t="e">
        <f>Y57*$AA$6</f>
        <v>#N/A</v>
      </c>
    </row>
    <row r="58" spans="1:26" ht="18" customHeight="1">
      <c r="A58" s="783"/>
      <c r="B58" s="109">
        <f>B57+10</f>
        <v>4500</v>
      </c>
      <c r="C58" s="97" t="s">
        <v>75</v>
      </c>
      <c r="D58" s="402">
        <f>'[3]Falhas UM-4 Qty'!Z58</f>
        <v>30.507718095264135</v>
      </c>
      <c r="E58" s="424" t="e">
        <f>$D58/1000000*'Prod &amp; Defects - Qty'!G$8</f>
        <v>#N/A</v>
      </c>
      <c r="F58" s="424" t="e">
        <f>$D58/1000000*'Prod &amp; Defects - Qty'!H$8</f>
        <v>#N/A</v>
      </c>
      <c r="G58" s="424" t="e">
        <f>$D58/1000000*'Prod &amp; Defects - Qty'!I$8</f>
        <v>#N/A</v>
      </c>
      <c r="H58" s="424" t="e">
        <f>$D58/1000000*'Prod &amp; Defects - Qty'!J$8</f>
        <v>#N/A</v>
      </c>
      <c r="I58" s="424" t="e">
        <f>$D58/1000000*'Prod &amp; Defects - Qty'!K$8</f>
        <v>#N/A</v>
      </c>
      <c r="J58" s="424" t="e">
        <f>$D58/1000000*'Prod &amp; Defects - Qty'!L$8</f>
        <v>#N/A</v>
      </c>
      <c r="K58" s="424" t="e">
        <f>$D58/1000000*'Prod &amp; Defects - Qty'!M$8</f>
        <v>#N/A</v>
      </c>
      <c r="L58" s="424" t="e">
        <f>$D58/1000000*'Prod &amp; Defects - Qty'!N$8</f>
        <v>#N/A</v>
      </c>
      <c r="M58" s="424" t="e">
        <f>$D58/1000000*'Prod &amp; Defects - Qty'!O$8</f>
        <v>#N/A</v>
      </c>
      <c r="N58" s="424" t="e">
        <f>$D58/1000000*'Prod &amp; Defects - Qty'!P$8</f>
        <v>#N/A</v>
      </c>
      <c r="O58" s="424" t="e">
        <f>$D58/1000000*'Prod &amp; Defects - Qty'!Q$8</f>
        <v>#N/A</v>
      </c>
      <c r="P58" s="424" t="e">
        <f>$D58/1000000*'Prod &amp; Defects - Qty'!R$8</f>
        <v>#N/A</v>
      </c>
      <c r="Q58" s="424" t="e">
        <f t="shared" si="1"/>
        <v>#N/A</v>
      </c>
      <c r="R58" s="424" t="e">
        <f>Q58/SUM('Prod &amp; Defects - Qty'!$G$8:$L$8)*1000000</f>
        <v>#N/A</v>
      </c>
      <c r="S58" s="424" t="e">
        <f t="shared" si="2"/>
        <v>#N/A</v>
      </c>
      <c r="T58" s="424" t="e">
        <f>S58/SUM('Prod &amp; Defects - Qty'!$M$8:$R$8)*1000000</f>
        <v>#N/A</v>
      </c>
      <c r="U58" s="424" t="e">
        <f t="shared" si="3"/>
        <v>#N/A</v>
      </c>
      <c r="V58" s="424" t="e">
        <f>U58/'Prod &amp; Defects - Qty'!$S$8*1000000</f>
        <v>#N/A</v>
      </c>
      <c r="W58" s="424" t="e">
        <f>V58*0.9</f>
        <v>#N/A</v>
      </c>
      <c r="X58" s="424" t="e">
        <f>W58*0.9</f>
        <v>#N/A</v>
      </c>
      <c r="Y58" s="424" t="e">
        <f t="shared" si="4"/>
        <v>#N/A</v>
      </c>
      <c r="Z58" s="424" t="e">
        <f>Y58*$AA$6</f>
        <v>#N/A</v>
      </c>
    </row>
    <row r="59" spans="1:26" ht="18" customHeight="1" thickBot="1">
      <c r="A59" s="784"/>
      <c r="B59" s="110"/>
      <c r="C59" s="111" t="s">
        <v>1</v>
      </c>
      <c r="D59" s="95">
        <f>D56</f>
        <v>1000</v>
      </c>
      <c r="E59" s="425" t="e">
        <f t="shared" ref="E59:L59" si="16">SUM(E55:E58)</f>
        <v>#N/A</v>
      </c>
      <c r="F59" s="425" t="e">
        <f t="shared" si="16"/>
        <v>#N/A</v>
      </c>
      <c r="G59" s="425" t="e">
        <f t="shared" si="16"/>
        <v>#N/A</v>
      </c>
      <c r="H59" s="425" t="e">
        <f t="shared" si="16"/>
        <v>#N/A</v>
      </c>
      <c r="I59" s="425" t="e">
        <f t="shared" si="16"/>
        <v>#N/A</v>
      </c>
      <c r="J59" s="425" t="e">
        <f t="shared" si="16"/>
        <v>#N/A</v>
      </c>
      <c r="K59" s="425" t="e">
        <f t="shared" si="16"/>
        <v>#N/A</v>
      </c>
      <c r="L59" s="425" t="e">
        <f t="shared" si="16"/>
        <v>#N/A</v>
      </c>
      <c r="M59" s="425" t="e">
        <f>SUM(M55:M58)</f>
        <v>#N/A</v>
      </c>
      <c r="N59" s="425" t="e">
        <f>SUM(N55:N58)</f>
        <v>#N/A</v>
      </c>
      <c r="O59" s="425" t="e">
        <f>SUM(O55:O58)</f>
        <v>#N/A</v>
      </c>
      <c r="P59" s="425" t="e">
        <f>SUM(P55:P58)</f>
        <v>#N/A</v>
      </c>
      <c r="Q59" s="425" t="e">
        <f t="shared" si="1"/>
        <v>#N/A</v>
      </c>
      <c r="R59" s="425" t="e">
        <f>Q59/SUM('Prod &amp; Defects - Qty'!$G$8:$L$8)*1000000</f>
        <v>#N/A</v>
      </c>
      <c r="S59" s="425" t="e">
        <f t="shared" si="2"/>
        <v>#N/A</v>
      </c>
      <c r="T59" s="425" t="e">
        <f>S59/SUM('Prod &amp; Defects - Qty'!$M$8:$R$8)*1000000</f>
        <v>#N/A</v>
      </c>
      <c r="U59" s="425" t="e">
        <f t="shared" si="3"/>
        <v>#N/A</v>
      </c>
      <c r="V59" s="425" t="e">
        <f>U59/'Prod &amp; Defects - Qty'!$S$8*1000000</f>
        <v>#N/A</v>
      </c>
      <c r="W59" s="425" t="e">
        <f>V59*0.9</f>
        <v>#N/A</v>
      </c>
      <c r="X59" s="425" t="e">
        <f>W59*0.9</f>
        <v>#N/A</v>
      </c>
      <c r="Y59" s="425" t="e">
        <f t="shared" si="4"/>
        <v>#N/A</v>
      </c>
      <c r="Z59" s="425" t="e">
        <f>Y59*0.9</f>
        <v>#N/A</v>
      </c>
    </row>
    <row r="60" spans="1:26" ht="18" customHeight="1" thickTop="1">
      <c r="A60" s="112"/>
      <c r="B60" s="88"/>
      <c r="C60" s="89"/>
      <c r="D60" s="398">
        <v>3510.1416510183735</v>
      </c>
      <c r="E60" s="421" t="e">
        <f>$D60/1000000*'Prod &amp; Defects - Qty'!G$8</f>
        <v>#N/A</v>
      </c>
      <c r="F60" s="421" t="e">
        <f>$D60/1000000*'Prod &amp; Defects - Qty'!H$8</f>
        <v>#N/A</v>
      </c>
      <c r="G60" s="421" t="e">
        <f>$D60/1000000*'Prod &amp; Defects - Qty'!I$8</f>
        <v>#N/A</v>
      </c>
      <c r="H60" s="421" t="e">
        <f>$D60/1000000*'Prod &amp; Defects - Qty'!J$8</f>
        <v>#N/A</v>
      </c>
      <c r="I60" s="421" t="e">
        <f>$D60/1000000*'Prod &amp; Defects - Qty'!K$8</f>
        <v>#N/A</v>
      </c>
      <c r="J60" s="421" t="e">
        <f>$D60/1000000*'Prod &amp; Defects - Qty'!L$8</f>
        <v>#N/A</v>
      </c>
      <c r="K60" s="421" t="e">
        <f>$D60/1000000*'Prod &amp; Defects - Qty'!M$8</f>
        <v>#N/A</v>
      </c>
      <c r="L60" s="421" t="e">
        <f>$D60/1000000*'Prod &amp; Defects - Qty'!N$8</f>
        <v>#N/A</v>
      </c>
      <c r="M60" s="421" t="e">
        <f>$D60/1000000*'Prod &amp; Defects - Qty'!O$8</f>
        <v>#N/A</v>
      </c>
      <c r="N60" s="421" t="e">
        <f>$D60/1000000*'Prod &amp; Defects - Qty'!P$8</f>
        <v>#N/A</v>
      </c>
      <c r="O60" s="421" t="e">
        <f>$D60/1000000*'Prod &amp; Defects - Qty'!Q$8</f>
        <v>#N/A</v>
      </c>
      <c r="P60" s="421" t="e">
        <f>$D60/1000000*'Prod &amp; Defects - Qty'!R$8</f>
        <v>#N/A</v>
      </c>
      <c r="Q60" s="106" t="e">
        <f t="shared" si="1"/>
        <v>#N/A</v>
      </c>
      <c r="R60" s="106" t="e">
        <f>Q60/SUM('Prod &amp; Defects - Qty'!$G$8:$L$8)*1000000</f>
        <v>#N/A</v>
      </c>
      <c r="S60" s="106" t="e">
        <f t="shared" si="2"/>
        <v>#N/A</v>
      </c>
      <c r="T60" s="106" t="e">
        <f>S60/SUM('Prod &amp; Defects - Qty'!$M$8:$R$8)*1000000</f>
        <v>#N/A</v>
      </c>
      <c r="U60" s="106" t="e">
        <f t="shared" si="3"/>
        <v>#N/A</v>
      </c>
      <c r="V60" s="106" t="e">
        <f>U60/'Prod &amp; Defects - Qty'!$S$8*1000000</f>
        <v>#N/A</v>
      </c>
      <c r="W60" s="106"/>
      <c r="X60" s="106"/>
      <c r="Y60" s="106"/>
      <c r="Z60" s="106"/>
    </row>
    <row r="61" spans="1:26" ht="18" customHeight="1" thickBot="1">
      <c r="A61" s="113"/>
      <c r="B61" s="114"/>
      <c r="C61" s="115" t="s">
        <v>59</v>
      </c>
      <c r="D61" s="405">
        <f>'[3]Falhas UM-4 Qty'!Z61</f>
        <v>2530.0804231503325</v>
      </c>
      <c r="E61" s="426" t="e">
        <f t="shared" ref="E61:P61" si="17">E15+E34+E54+E59</f>
        <v>#N/A</v>
      </c>
      <c r="F61" s="426" t="e">
        <f t="shared" si="17"/>
        <v>#N/A</v>
      </c>
      <c r="G61" s="426" t="e">
        <f t="shared" si="17"/>
        <v>#N/A</v>
      </c>
      <c r="H61" s="426" t="e">
        <f t="shared" si="17"/>
        <v>#N/A</v>
      </c>
      <c r="I61" s="426" t="e">
        <f t="shared" si="17"/>
        <v>#N/A</v>
      </c>
      <c r="J61" s="426" t="e">
        <f t="shared" si="17"/>
        <v>#N/A</v>
      </c>
      <c r="K61" s="426" t="e">
        <f t="shared" si="17"/>
        <v>#N/A</v>
      </c>
      <c r="L61" s="426" t="e">
        <f t="shared" si="17"/>
        <v>#N/A</v>
      </c>
      <c r="M61" s="426" t="e">
        <f t="shared" si="17"/>
        <v>#N/A</v>
      </c>
      <c r="N61" s="426" t="e">
        <f t="shared" si="17"/>
        <v>#N/A</v>
      </c>
      <c r="O61" s="426" t="e">
        <f t="shared" si="17"/>
        <v>#N/A</v>
      </c>
      <c r="P61" s="426" t="e">
        <f t="shared" si="17"/>
        <v>#N/A</v>
      </c>
      <c r="Q61" s="116" t="e">
        <f t="shared" si="1"/>
        <v>#N/A</v>
      </c>
      <c r="R61" s="116" t="e">
        <f>Q61/SUM('Prod &amp; Defects - Qty'!$G$8:$L$8)*1000000</f>
        <v>#N/A</v>
      </c>
      <c r="S61" s="116" t="e">
        <f t="shared" si="2"/>
        <v>#N/A</v>
      </c>
      <c r="T61" s="116" t="e">
        <f>S61/SUM('Prod &amp; Defects - Qty'!$M$8:$R$8)*1000000</f>
        <v>#N/A</v>
      </c>
      <c r="U61" s="116" t="e">
        <f t="shared" si="3"/>
        <v>#N/A</v>
      </c>
      <c r="V61" s="116" t="e">
        <f>U61/'Prod &amp; Defects - Qty'!$S$8*1000000</f>
        <v>#N/A</v>
      </c>
      <c r="W61" s="116"/>
      <c r="X61" s="116"/>
      <c r="Y61" s="116"/>
      <c r="Z61" s="116"/>
    </row>
    <row r="62" spans="1:26" ht="18" customHeight="1">
      <c r="C62" s="117" t="s">
        <v>198</v>
      </c>
      <c r="D62" s="117"/>
      <c r="E62" s="307" t="e">
        <f>IF(ISERR(E61/'Prod &amp; Defects - Qty'!G8),0,E61/'Prod &amp; Defects - Qty'!G8*1000000)</f>
        <v>#N/A</v>
      </c>
      <c r="F62" s="307" t="e">
        <f>IF(ISERR(F61/'Prod &amp; Defects - Qty'!H8),0,F61/'Prod &amp; Defects - Qty'!H8*1000000)</f>
        <v>#N/A</v>
      </c>
      <c r="G62" s="307" t="e">
        <f>IF(ISERR(G61/'Prod &amp; Defects - Qty'!I8),0,G61/'Prod &amp; Defects - Qty'!I8*1000000)</f>
        <v>#N/A</v>
      </c>
      <c r="H62" s="307" t="e">
        <f>IF(ISERR(H61/'Prod &amp; Defects - Qty'!J8),0,H61/'Prod &amp; Defects - Qty'!J8*1000000)</f>
        <v>#N/A</v>
      </c>
      <c r="I62" s="307" t="e">
        <f>IF(ISERR(I61/'Prod &amp; Defects - Qty'!K8),0,I61/'Prod &amp; Defects - Qty'!K8*1000000)</f>
        <v>#N/A</v>
      </c>
      <c r="J62" s="307" t="e">
        <f>IF(ISERR(J61/'Prod &amp; Defects - Qty'!L8),0,J61/'Prod &amp; Defects - Qty'!L8*1000000)</f>
        <v>#N/A</v>
      </c>
      <c r="K62" s="307" t="e">
        <f>IF(ISERR(K61/'Prod &amp; Defects - Qty'!M8),0,K61/'Prod &amp; Defects - Qty'!M8*1000000)</f>
        <v>#N/A</v>
      </c>
      <c r="L62" s="307" t="e">
        <f>IF(ISERR(L61/'Prod &amp; Defects - Qty'!N8),0,L61/'Prod &amp; Defects - Qty'!N8*1000000)</f>
        <v>#N/A</v>
      </c>
      <c r="M62" s="307" t="e">
        <f>IF(ISERR(M61/'Prod &amp; Defects - Qty'!O8),0,M61/'Prod &amp; Defects - Qty'!O8*1000000)</f>
        <v>#N/A</v>
      </c>
      <c r="N62" s="307" t="e">
        <f>IF(ISERR(N61/'Prod &amp; Defects - Qty'!P8),0,N61/'Prod &amp; Defects - Qty'!P8*1000000)</f>
        <v>#N/A</v>
      </c>
      <c r="O62" s="307" t="e">
        <f>IF(ISERR(O61/'Prod &amp; Defects - Qty'!Q8),0,O61/'Prod &amp; Defects - Qty'!Q8*1000000)</f>
        <v>#N/A</v>
      </c>
      <c r="P62" s="307" t="e">
        <f>IF(ISERR(P61/'Prod &amp; Defects - Qty'!R8),0,P61/'Prod &amp; Defects - Qty'!R8*1000000)</f>
        <v>#N/A</v>
      </c>
      <c r="Q62" s="307" t="e">
        <f>IF(ISERR(Q61/'Prod &amp; Defects - Qty'!S8),0,Q61/'Prod &amp; Defects - Qty'!S8*1000000)</f>
        <v>#N/A</v>
      </c>
    </row>
    <row r="63" spans="1:26">
      <c r="C63" s="1" t="s">
        <v>176</v>
      </c>
      <c r="D63" s="1"/>
      <c r="E63" s="1"/>
      <c r="F63" s="199" t="e">
        <f t="shared" ref="F63:L63" si="18">(F61-E61)/E61*100</f>
        <v>#N/A</v>
      </c>
      <c r="G63" s="199" t="e">
        <f t="shared" si="18"/>
        <v>#N/A</v>
      </c>
      <c r="H63" s="199" t="e">
        <f t="shared" si="18"/>
        <v>#N/A</v>
      </c>
      <c r="I63" s="199" t="e">
        <f t="shared" si="18"/>
        <v>#N/A</v>
      </c>
      <c r="J63" s="199" t="e">
        <f t="shared" si="18"/>
        <v>#N/A</v>
      </c>
      <c r="K63" s="199" t="e">
        <f t="shared" si="18"/>
        <v>#N/A</v>
      </c>
      <c r="L63" s="199" t="e">
        <f t="shared" si="18"/>
        <v>#N/A</v>
      </c>
    </row>
  </sheetData>
  <mergeCells count="12">
    <mergeCell ref="W4:X4"/>
    <mergeCell ref="Y4:Z4"/>
    <mergeCell ref="A16:A21"/>
    <mergeCell ref="A22:A33"/>
    <mergeCell ref="A35:A59"/>
    <mergeCell ref="A6:A15"/>
    <mergeCell ref="A1:E1"/>
    <mergeCell ref="B4:C4"/>
    <mergeCell ref="U4:V4"/>
    <mergeCell ref="E4:P4"/>
    <mergeCell ref="Q4:R4"/>
    <mergeCell ref="S4:T4"/>
  </mergeCells>
  <printOptions gridLinesSet="0"/>
  <pageMargins left="0.78740157480314965" right="0.19685039370078741" top="0.59055118110236227" bottom="0.59055118110236227" header="0.51181102362204722" footer="0.31496062992125984"/>
  <pageSetup paperSize="9" scale="47" orientation="landscape" r:id="rId1"/>
  <headerFooter alignWithMargins="0">
    <oddFooter>&amp;L&amp;A&amp;R&amp;F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indexed="56"/>
    <pageSetUpPr fitToPage="1"/>
  </sheetPr>
  <dimension ref="A1:T68"/>
  <sheetViews>
    <sheetView showGridLines="0" topLeftCell="A52" zoomScale="106" zoomScaleNormal="106" zoomScaleSheetLayoutView="53" workbookViewId="0">
      <selection activeCell="M50" sqref="M50"/>
    </sheetView>
  </sheetViews>
  <sheetFormatPr defaultColWidth="11.42578125" defaultRowHeight="12.75"/>
  <cols>
    <col min="1" max="1" width="3.140625" style="82" bestFit="1" customWidth="1"/>
    <col min="2" max="2" width="14.28515625" style="82" customWidth="1"/>
    <col min="3" max="3" width="25.140625" style="82" bestFit="1" customWidth="1"/>
    <col min="4" max="4" width="8" style="82" bestFit="1" customWidth="1"/>
    <col min="5" max="5" width="10.28515625" style="82" bestFit="1" customWidth="1"/>
    <col min="6" max="16384" width="11.42578125" style="82"/>
  </cols>
  <sheetData>
    <row r="1" spans="1:18" ht="18" customHeight="1">
      <c r="A1" s="771" t="s">
        <v>150</v>
      </c>
      <c r="B1" s="771"/>
      <c r="C1" s="771"/>
      <c r="D1" s="771"/>
      <c r="E1" s="771"/>
    </row>
    <row r="2" spans="1:18" ht="18" customHeight="1"/>
    <row r="3" spans="1:18" ht="9.9499999999999993" customHeight="1"/>
    <row r="4" spans="1:18" ht="51">
      <c r="A4" s="119"/>
      <c r="B4" s="788" t="s">
        <v>57</v>
      </c>
      <c r="C4" s="789"/>
      <c r="D4" s="428" t="s">
        <v>218</v>
      </c>
      <c r="E4" s="791" t="s">
        <v>91</v>
      </c>
      <c r="F4" s="792"/>
      <c r="G4" s="792"/>
      <c r="H4" s="792"/>
      <c r="I4" s="792"/>
      <c r="J4" s="792"/>
      <c r="K4" s="792"/>
      <c r="L4" s="792"/>
      <c r="M4" s="792"/>
      <c r="N4" s="792"/>
      <c r="O4" s="792"/>
      <c r="P4" s="792"/>
      <c r="Q4" s="280" t="s">
        <v>1</v>
      </c>
      <c r="R4" s="279"/>
    </row>
    <row r="5" spans="1:18" ht="35.25" customHeight="1">
      <c r="A5" s="119"/>
      <c r="B5" s="120" t="s">
        <v>51</v>
      </c>
      <c r="C5" s="121" t="s">
        <v>50</v>
      </c>
      <c r="D5" s="420">
        <f>'Falhas UM-3-2 Cost'!D6</f>
        <v>2020</v>
      </c>
      <c r="E5" s="122">
        <f>'Falhas UM-1 - Qty'!F5</f>
        <v>43922</v>
      </c>
      <c r="F5" s="122">
        <f>'Falhas UM-1 - Qty'!G5</f>
        <v>43952</v>
      </c>
      <c r="G5" s="122">
        <f>'Falhas UM-1 - Qty'!H5</f>
        <v>43983</v>
      </c>
      <c r="H5" s="122">
        <f>'Falhas UM-1 - Qty'!I5</f>
        <v>44013</v>
      </c>
      <c r="I5" s="122">
        <f>'Falhas UM-1 - Qty'!J5</f>
        <v>44044</v>
      </c>
      <c r="J5" s="122">
        <f>'Falhas UM-1 - Qty'!K5</f>
        <v>44075</v>
      </c>
      <c r="K5" s="122">
        <f>'Falhas UM-1 - Qty'!L5</f>
        <v>44105</v>
      </c>
      <c r="L5" s="122">
        <f>'Falhas UM-1 - Qty'!M5</f>
        <v>44136</v>
      </c>
      <c r="M5" s="122">
        <f>'Falhas UM-1 - Qty'!N5</f>
        <v>44166</v>
      </c>
      <c r="N5" s="122">
        <f>'Falhas UM-1 - Qty'!O5</f>
        <v>44197</v>
      </c>
      <c r="O5" s="122">
        <f>'Falhas UM-1 - Qty'!P5</f>
        <v>44228</v>
      </c>
      <c r="P5" s="122">
        <f>'Falhas UM-1 - Qty'!Q5</f>
        <v>44256</v>
      </c>
      <c r="Q5" s="118" t="s">
        <v>49</v>
      </c>
      <c r="R5" s="222"/>
    </row>
    <row r="6" spans="1:18" ht="18" customHeight="1">
      <c r="A6" s="782" t="s">
        <v>151</v>
      </c>
      <c r="B6" s="85">
        <v>4010</v>
      </c>
      <c r="C6" s="86" t="s">
        <v>152</v>
      </c>
      <c r="D6" s="359">
        <f>'[4]Falhas UM-4'!I7</f>
        <v>73.466199999999986</v>
      </c>
      <c r="E6" s="388" t="e">
        <f>$D6/1000*'Falhas UM-4 Qty'!E6</f>
        <v>#N/A</v>
      </c>
      <c r="F6" s="388" t="e">
        <f>$D6/1000*'Falhas UM-4 Qty'!F6</f>
        <v>#N/A</v>
      </c>
      <c r="G6" s="388" t="e">
        <f>$D6/1000*'Falhas UM-4 Qty'!G6</f>
        <v>#N/A</v>
      </c>
      <c r="H6" s="388" t="e">
        <f>$D6/1000*'Falhas UM-4 Qty'!H6</f>
        <v>#N/A</v>
      </c>
      <c r="I6" s="388" t="e">
        <f>$D6/1000*'Falhas UM-4 Qty'!I6</f>
        <v>#N/A</v>
      </c>
      <c r="J6" s="388" t="e">
        <f>$D6/1000*'Falhas UM-4 Qty'!J6</f>
        <v>#N/A</v>
      </c>
      <c r="K6" s="388" t="e">
        <f>$D6/1000*'Falhas UM-4 Qty'!K6</f>
        <v>#N/A</v>
      </c>
      <c r="L6" s="388" t="e">
        <f>$D6/1000*'Falhas UM-4 Qty'!L6</f>
        <v>#N/A</v>
      </c>
      <c r="M6" s="388" t="e">
        <f>$D6/1000*'Falhas UM-4 Qty'!M6</f>
        <v>#N/A</v>
      </c>
      <c r="N6" s="388" t="e">
        <f>$D6/1000*'Falhas UM-4 Qty'!N6</f>
        <v>#N/A</v>
      </c>
      <c r="O6" s="388" t="e">
        <f>$D6/1000*'Falhas UM-4 Qty'!O6</f>
        <v>#N/A</v>
      </c>
      <c r="P6" s="388" t="e">
        <f>$D6/1000*'Falhas UM-4 Qty'!P6</f>
        <v>#N/A</v>
      </c>
      <c r="Q6" s="388" t="e">
        <f>SUM(E6:P6)</f>
        <v>#N/A</v>
      </c>
      <c r="R6" s="222"/>
    </row>
    <row r="7" spans="1:18" ht="18" customHeight="1">
      <c r="A7" s="783"/>
      <c r="B7" s="88">
        <f>B6+10</f>
        <v>4020</v>
      </c>
      <c r="C7" s="89" t="s">
        <v>153</v>
      </c>
      <c r="D7" s="360">
        <f>'[4]Falhas UM-4'!I8</f>
        <v>73.466199999999986</v>
      </c>
      <c r="E7" s="389" t="e">
        <f>$D7/1000*'Falhas UM-4 Qty'!E7</f>
        <v>#N/A</v>
      </c>
      <c r="F7" s="389" t="e">
        <f>$D7/1000*'Falhas UM-4 Qty'!F7</f>
        <v>#N/A</v>
      </c>
      <c r="G7" s="389" t="e">
        <f>$D7/1000*'Falhas UM-4 Qty'!G7</f>
        <v>#N/A</v>
      </c>
      <c r="H7" s="389" t="e">
        <f>$D7/1000*'Falhas UM-4 Qty'!H7</f>
        <v>#N/A</v>
      </c>
      <c r="I7" s="389" t="e">
        <f>$D7/1000*'Falhas UM-4 Qty'!I7</f>
        <v>#N/A</v>
      </c>
      <c r="J7" s="389" t="e">
        <f>$D7/1000*'Falhas UM-4 Qty'!J7</f>
        <v>#N/A</v>
      </c>
      <c r="K7" s="389" t="e">
        <f>$D7/1000*'Falhas UM-4 Qty'!K7</f>
        <v>#N/A</v>
      </c>
      <c r="L7" s="389" t="e">
        <f>$D7/1000*'Falhas UM-4 Qty'!L7</f>
        <v>#N/A</v>
      </c>
      <c r="M7" s="389" t="e">
        <f>$D7/1000*'Falhas UM-4 Qty'!M7</f>
        <v>#N/A</v>
      </c>
      <c r="N7" s="389" t="e">
        <f>$D7/1000*'Falhas UM-4 Qty'!N7</f>
        <v>#N/A</v>
      </c>
      <c r="O7" s="389" t="e">
        <f>$D7/1000*'Falhas UM-4 Qty'!O7</f>
        <v>#N/A</v>
      </c>
      <c r="P7" s="389" t="e">
        <f>$D7/1000*'Falhas UM-4 Qty'!P7</f>
        <v>#N/A</v>
      </c>
      <c r="Q7" s="389" t="e">
        <f t="shared" ref="Q7:Q61" si="0">SUM(E7:P7)</f>
        <v>#N/A</v>
      </c>
      <c r="R7" s="222"/>
    </row>
    <row r="8" spans="1:18" ht="18" customHeight="1">
      <c r="A8" s="783"/>
      <c r="B8" s="88">
        <f t="shared" ref="B8:B14" si="1">B7+10</f>
        <v>4030</v>
      </c>
      <c r="C8" s="89" t="s">
        <v>154</v>
      </c>
      <c r="D8" s="360">
        <f>'[4]Falhas UM-4'!I9</f>
        <v>84.877499999999998</v>
      </c>
      <c r="E8" s="389" t="e">
        <f>$D8/1000*'Falhas UM-4 Qty'!E8</f>
        <v>#N/A</v>
      </c>
      <c r="F8" s="389" t="e">
        <f>$D8/1000*'Falhas UM-4 Qty'!F8</f>
        <v>#N/A</v>
      </c>
      <c r="G8" s="389" t="e">
        <f>$D8/1000*'Falhas UM-4 Qty'!G8</f>
        <v>#N/A</v>
      </c>
      <c r="H8" s="389" t="e">
        <f>$D8/1000*'Falhas UM-4 Qty'!H8</f>
        <v>#N/A</v>
      </c>
      <c r="I8" s="389" t="e">
        <f>$D8/1000*'Falhas UM-4 Qty'!I8</f>
        <v>#N/A</v>
      </c>
      <c r="J8" s="389" t="e">
        <f>$D8/1000*'Falhas UM-4 Qty'!J8</f>
        <v>#N/A</v>
      </c>
      <c r="K8" s="389" t="e">
        <f>$D8/1000*'Falhas UM-4 Qty'!K8</f>
        <v>#N/A</v>
      </c>
      <c r="L8" s="389" t="e">
        <f>$D8/1000*'Falhas UM-4 Qty'!L8</f>
        <v>#N/A</v>
      </c>
      <c r="M8" s="389" t="e">
        <f>$D8/1000*'Falhas UM-4 Qty'!M8</f>
        <v>#N/A</v>
      </c>
      <c r="N8" s="389" t="e">
        <f>$D8/1000*'Falhas UM-4 Qty'!N8</f>
        <v>#N/A</v>
      </c>
      <c r="O8" s="389" t="e">
        <f>$D8/1000*'Falhas UM-4 Qty'!O8</f>
        <v>#N/A</v>
      </c>
      <c r="P8" s="389" t="e">
        <f>$D8/1000*'Falhas UM-4 Qty'!P8</f>
        <v>#N/A</v>
      </c>
      <c r="Q8" s="389" t="e">
        <f t="shared" si="0"/>
        <v>#N/A</v>
      </c>
    </row>
    <row r="9" spans="1:18" ht="18" customHeight="1">
      <c r="A9" s="783"/>
      <c r="B9" s="88">
        <f t="shared" si="1"/>
        <v>4040</v>
      </c>
      <c r="C9" s="89" t="s">
        <v>155</v>
      </c>
      <c r="D9" s="360">
        <f>'[4]Falhas UM-4'!I10</f>
        <v>84.877499999999998</v>
      </c>
      <c r="E9" s="389" t="e">
        <f>$D9/1000*'Falhas UM-4 Qty'!E9</f>
        <v>#N/A</v>
      </c>
      <c r="F9" s="389" t="e">
        <f>$D9/1000*'Falhas UM-4 Qty'!F9</f>
        <v>#N/A</v>
      </c>
      <c r="G9" s="389" t="e">
        <f>$D9/1000*'Falhas UM-4 Qty'!G9</f>
        <v>#N/A</v>
      </c>
      <c r="H9" s="389" t="e">
        <f>$D9/1000*'Falhas UM-4 Qty'!H9</f>
        <v>#N/A</v>
      </c>
      <c r="I9" s="389" t="e">
        <f>$D9/1000*'Falhas UM-4 Qty'!I9</f>
        <v>#N/A</v>
      </c>
      <c r="J9" s="389" t="e">
        <f>$D9/1000*'Falhas UM-4 Qty'!J9</f>
        <v>#N/A</v>
      </c>
      <c r="K9" s="389" t="e">
        <f>$D9/1000*'Falhas UM-4 Qty'!K9</f>
        <v>#N/A</v>
      </c>
      <c r="L9" s="389" t="e">
        <f>$D9/1000*'Falhas UM-4 Qty'!L9</f>
        <v>#N/A</v>
      </c>
      <c r="M9" s="389" t="e">
        <f>$D9/1000*'Falhas UM-4 Qty'!M9</f>
        <v>#N/A</v>
      </c>
      <c r="N9" s="389" t="e">
        <f>$D9/1000*'Falhas UM-4 Qty'!N9</f>
        <v>#N/A</v>
      </c>
      <c r="O9" s="389" t="e">
        <f>$D9/1000*'Falhas UM-4 Qty'!O9</f>
        <v>#N/A</v>
      </c>
      <c r="P9" s="389" t="e">
        <f>$D9/1000*'Falhas UM-4 Qty'!P9</f>
        <v>#N/A</v>
      </c>
      <c r="Q9" s="389" t="e">
        <f t="shared" si="0"/>
        <v>#N/A</v>
      </c>
    </row>
    <row r="10" spans="1:18" ht="18" customHeight="1">
      <c r="A10" s="783"/>
      <c r="B10" s="88">
        <f t="shared" si="1"/>
        <v>4050</v>
      </c>
      <c r="C10" s="89" t="s">
        <v>156</v>
      </c>
      <c r="D10" s="360">
        <f>'[4]Falhas UM-4'!I11</f>
        <v>104.8775</v>
      </c>
      <c r="E10" s="389" t="e">
        <f>$D10/1000*'Falhas UM-4 Qty'!E10</f>
        <v>#N/A</v>
      </c>
      <c r="F10" s="389" t="e">
        <f>$D10/1000*'Falhas UM-4 Qty'!F10</f>
        <v>#N/A</v>
      </c>
      <c r="G10" s="389" t="e">
        <f>$D10/1000*'Falhas UM-4 Qty'!G10</f>
        <v>#N/A</v>
      </c>
      <c r="H10" s="389" t="e">
        <f>$D10/1000*'Falhas UM-4 Qty'!H10</f>
        <v>#N/A</v>
      </c>
      <c r="I10" s="389" t="e">
        <f>$D10/1000*'Falhas UM-4 Qty'!I10</f>
        <v>#N/A</v>
      </c>
      <c r="J10" s="389" t="e">
        <f>$D10/1000*'Falhas UM-4 Qty'!J10</f>
        <v>#N/A</v>
      </c>
      <c r="K10" s="389" t="e">
        <f>$D10/1000*'Falhas UM-4 Qty'!K10</f>
        <v>#N/A</v>
      </c>
      <c r="L10" s="389" t="e">
        <f>$D10/1000*'Falhas UM-4 Qty'!L10</f>
        <v>#N/A</v>
      </c>
      <c r="M10" s="389" t="e">
        <f>$D10/1000*'Falhas UM-4 Qty'!M10</f>
        <v>#N/A</v>
      </c>
      <c r="N10" s="389" t="e">
        <f>$D10/1000*'Falhas UM-4 Qty'!N10</f>
        <v>#N/A</v>
      </c>
      <c r="O10" s="389" t="e">
        <f>$D10/1000*'Falhas UM-4 Qty'!O10</f>
        <v>#N/A</v>
      </c>
      <c r="P10" s="389" t="e">
        <f>$D10/1000*'Falhas UM-4 Qty'!P10</f>
        <v>#N/A</v>
      </c>
      <c r="Q10" s="389" t="e">
        <f t="shared" si="0"/>
        <v>#N/A</v>
      </c>
    </row>
    <row r="11" spans="1:18" ht="18" customHeight="1">
      <c r="A11" s="783"/>
      <c r="B11" s="88">
        <f t="shared" si="1"/>
        <v>4060</v>
      </c>
      <c r="C11" s="89" t="s">
        <v>157</v>
      </c>
      <c r="D11" s="360">
        <f>'[4]Falhas UM-4'!I12</f>
        <v>104.8775</v>
      </c>
      <c r="E11" s="389" t="e">
        <f>$D11/1000*'Falhas UM-4 Qty'!E11</f>
        <v>#N/A</v>
      </c>
      <c r="F11" s="389" t="e">
        <f>$D11/1000*'Falhas UM-4 Qty'!F11</f>
        <v>#N/A</v>
      </c>
      <c r="G11" s="389" t="e">
        <f>$D11/1000*'Falhas UM-4 Qty'!G11</f>
        <v>#N/A</v>
      </c>
      <c r="H11" s="389" t="e">
        <f>$D11/1000*'Falhas UM-4 Qty'!H11</f>
        <v>#N/A</v>
      </c>
      <c r="I11" s="389" t="e">
        <f>$D11/1000*'Falhas UM-4 Qty'!I11</f>
        <v>#N/A</v>
      </c>
      <c r="J11" s="389" t="e">
        <f>$D11/1000*'Falhas UM-4 Qty'!J11</f>
        <v>#N/A</v>
      </c>
      <c r="K11" s="389" t="e">
        <f>$D11/1000*'Falhas UM-4 Qty'!K11</f>
        <v>#N/A</v>
      </c>
      <c r="L11" s="389" t="e">
        <f>$D11/1000*'Falhas UM-4 Qty'!L11</f>
        <v>#N/A</v>
      </c>
      <c r="M11" s="389" t="e">
        <f>$D11/1000*'Falhas UM-4 Qty'!M11</f>
        <v>#N/A</v>
      </c>
      <c r="N11" s="389" t="e">
        <f>$D11/1000*'Falhas UM-4 Qty'!N11</f>
        <v>#N/A</v>
      </c>
      <c r="O11" s="389" t="e">
        <f>$D11/1000*'Falhas UM-4 Qty'!O11</f>
        <v>#N/A</v>
      </c>
      <c r="P11" s="389" t="e">
        <f>$D11/1000*'Falhas UM-4 Qty'!P11</f>
        <v>#N/A</v>
      </c>
      <c r="Q11" s="389" t="e">
        <f t="shared" si="0"/>
        <v>#N/A</v>
      </c>
    </row>
    <row r="12" spans="1:18" ht="18" customHeight="1">
      <c r="A12" s="783"/>
      <c r="B12" s="88">
        <f t="shared" si="1"/>
        <v>4070</v>
      </c>
      <c r="C12" s="89" t="s">
        <v>158</v>
      </c>
      <c r="D12" s="360">
        <f>'[4]Falhas UM-4'!I13</f>
        <v>104.8775</v>
      </c>
      <c r="E12" s="389" t="e">
        <f>$D12/1000*'Falhas UM-4 Qty'!E12</f>
        <v>#N/A</v>
      </c>
      <c r="F12" s="389" t="e">
        <f>$D12/1000*'Falhas UM-4 Qty'!F12</f>
        <v>#N/A</v>
      </c>
      <c r="G12" s="389" t="e">
        <f>$D12/1000*'Falhas UM-4 Qty'!G12</f>
        <v>#N/A</v>
      </c>
      <c r="H12" s="389" t="e">
        <f>$D12/1000*'Falhas UM-4 Qty'!H12</f>
        <v>#N/A</v>
      </c>
      <c r="I12" s="389" t="e">
        <f>$D12/1000*'Falhas UM-4 Qty'!I12</f>
        <v>#N/A</v>
      </c>
      <c r="J12" s="389" t="e">
        <f>$D12/1000*'Falhas UM-4 Qty'!J12</f>
        <v>#N/A</v>
      </c>
      <c r="K12" s="389" t="e">
        <f>$D12/1000*'Falhas UM-4 Qty'!K12</f>
        <v>#N/A</v>
      </c>
      <c r="L12" s="389" t="e">
        <f>$D12/1000*'Falhas UM-4 Qty'!L12</f>
        <v>#N/A</v>
      </c>
      <c r="M12" s="389" t="e">
        <f>$D12/1000*'Falhas UM-4 Qty'!M12</f>
        <v>#N/A</v>
      </c>
      <c r="N12" s="389" t="e">
        <f>$D12/1000*'Falhas UM-4 Qty'!N12</f>
        <v>#N/A</v>
      </c>
      <c r="O12" s="389" t="e">
        <f>$D12/1000*'Falhas UM-4 Qty'!O12</f>
        <v>#N/A</v>
      </c>
      <c r="P12" s="389" t="e">
        <f>$D12/1000*'Falhas UM-4 Qty'!P12</f>
        <v>#N/A</v>
      </c>
      <c r="Q12" s="389" t="e">
        <f t="shared" si="0"/>
        <v>#N/A</v>
      </c>
    </row>
    <row r="13" spans="1:18" ht="18" customHeight="1">
      <c r="A13" s="783"/>
      <c r="B13" s="88">
        <f t="shared" si="1"/>
        <v>4080</v>
      </c>
      <c r="C13" s="89" t="s">
        <v>159</v>
      </c>
      <c r="D13" s="360">
        <f>'[4]Falhas UM-4'!I14</f>
        <v>132.3897</v>
      </c>
      <c r="E13" s="389" t="e">
        <f>$D13/1000*'Falhas UM-4 Qty'!E13</f>
        <v>#N/A</v>
      </c>
      <c r="F13" s="389" t="e">
        <f>$D13/1000*'Falhas UM-4 Qty'!F13</f>
        <v>#N/A</v>
      </c>
      <c r="G13" s="389" t="e">
        <f>$D13/1000*'Falhas UM-4 Qty'!G13</f>
        <v>#N/A</v>
      </c>
      <c r="H13" s="389" t="e">
        <f>$D13/1000*'Falhas UM-4 Qty'!H13</f>
        <v>#N/A</v>
      </c>
      <c r="I13" s="389" t="e">
        <f>$D13/1000*'Falhas UM-4 Qty'!I13</f>
        <v>#N/A</v>
      </c>
      <c r="J13" s="389" t="e">
        <f>$D13/1000*'Falhas UM-4 Qty'!J13</f>
        <v>#N/A</v>
      </c>
      <c r="K13" s="389" t="e">
        <f>$D13/1000*'Falhas UM-4 Qty'!K13</f>
        <v>#N/A</v>
      </c>
      <c r="L13" s="389" t="e">
        <f>$D13/1000*'Falhas UM-4 Qty'!L13</f>
        <v>#N/A</v>
      </c>
      <c r="M13" s="389" t="e">
        <f>$D13/1000*'Falhas UM-4 Qty'!M13</f>
        <v>#N/A</v>
      </c>
      <c r="N13" s="389" t="e">
        <f>$D13/1000*'Falhas UM-4 Qty'!N13</f>
        <v>#N/A</v>
      </c>
      <c r="O13" s="389" t="e">
        <f>$D13/1000*'Falhas UM-4 Qty'!O13</f>
        <v>#N/A</v>
      </c>
      <c r="P13" s="389" t="e">
        <f>$D13/1000*'Falhas UM-4 Qty'!P13</f>
        <v>#N/A</v>
      </c>
      <c r="Q13" s="389" t="e">
        <f t="shared" si="0"/>
        <v>#N/A</v>
      </c>
    </row>
    <row r="14" spans="1:18" ht="18" customHeight="1">
      <c r="A14" s="783"/>
      <c r="B14" s="88">
        <f t="shared" si="1"/>
        <v>4090</v>
      </c>
      <c r="C14" s="89" t="s">
        <v>160</v>
      </c>
      <c r="D14" s="360">
        <f>'[4]Falhas UM-4'!I15</f>
        <v>132.3897</v>
      </c>
      <c r="E14" s="389" t="e">
        <f>$D14/1000*'Falhas UM-4 Qty'!E14</f>
        <v>#N/A</v>
      </c>
      <c r="F14" s="389" t="e">
        <f>$D14/1000*'Falhas UM-4 Qty'!F14</f>
        <v>#N/A</v>
      </c>
      <c r="G14" s="389" t="e">
        <f>$D14/1000*'Falhas UM-4 Qty'!G14</f>
        <v>#N/A</v>
      </c>
      <c r="H14" s="389" t="e">
        <f>$D14/1000*'Falhas UM-4 Qty'!H14</f>
        <v>#N/A</v>
      </c>
      <c r="I14" s="389" t="e">
        <f>$D14/1000*'Falhas UM-4 Qty'!I14</f>
        <v>#N/A</v>
      </c>
      <c r="J14" s="389" t="e">
        <f>$D14/1000*'Falhas UM-4 Qty'!J14</f>
        <v>#N/A</v>
      </c>
      <c r="K14" s="389" t="e">
        <f>$D14/1000*'Falhas UM-4 Qty'!K14</f>
        <v>#N/A</v>
      </c>
      <c r="L14" s="389" t="e">
        <f>$D14/1000*'Falhas UM-4 Qty'!L14</f>
        <v>#N/A</v>
      </c>
      <c r="M14" s="389" t="e">
        <f>$D14/1000*'Falhas UM-4 Qty'!M14</f>
        <v>#N/A</v>
      </c>
      <c r="N14" s="389" t="e">
        <f>$D14/1000*'Falhas UM-4 Qty'!N14</f>
        <v>#N/A</v>
      </c>
      <c r="O14" s="389" t="e">
        <f>$D14/1000*'Falhas UM-4 Qty'!O14</f>
        <v>#N/A</v>
      </c>
      <c r="P14" s="389" t="e">
        <f>$D14/1000*'Falhas UM-4 Qty'!P14</f>
        <v>#N/A</v>
      </c>
      <c r="Q14" s="389" t="e">
        <f t="shared" si="0"/>
        <v>#N/A</v>
      </c>
    </row>
    <row r="15" spans="1:18" ht="18" customHeight="1" thickBot="1">
      <c r="A15" s="783"/>
      <c r="B15" s="91"/>
      <c r="C15" s="92" t="s">
        <v>1</v>
      </c>
      <c r="D15" s="363">
        <f>'[4]Falhas UM-4'!I16</f>
        <v>0</v>
      </c>
      <c r="E15" s="392" t="e">
        <f t="shared" ref="E15:L15" si="2">SUM(E6:E14)</f>
        <v>#N/A</v>
      </c>
      <c r="F15" s="392" t="e">
        <f t="shared" si="2"/>
        <v>#N/A</v>
      </c>
      <c r="G15" s="392" t="e">
        <f t="shared" si="2"/>
        <v>#N/A</v>
      </c>
      <c r="H15" s="392" t="e">
        <f t="shared" si="2"/>
        <v>#N/A</v>
      </c>
      <c r="I15" s="392" t="e">
        <f t="shared" si="2"/>
        <v>#N/A</v>
      </c>
      <c r="J15" s="392" t="e">
        <f t="shared" si="2"/>
        <v>#N/A</v>
      </c>
      <c r="K15" s="392" t="e">
        <f t="shared" si="2"/>
        <v>#N/A</v>
      </c>
      <c r="L15" s="392" t="e">
        <f t="shared" si="2"/>
        <v>#N/A</v>
      </c>
      <c r="M15" s="392" t="e">
        <f>SUM(M6:M14)</f>
        <v>#N/A</v>
      </c>
      <c r="N15" s="392" t="e">
        <f>SUM(N6:N14)</f>
        <v>#N/A</v>
      </c>
      <c r="O15" s="392" t="e">
        <f>SUM(O6:O14)</f>
        <v>#N/A</v>
      </c>
      <c r="P15" s="392" t="e">
        <f>SUM(P6:P14)</f>
        <v>#N/A</v>
      </c>
      <c r="Q15" s="392" t="e">
        <f t="shared" si="0"/>
        <v>#N/A</v>
      </c>
    </row>
    <row r="16" spans="1:18" ht="18" customHeight="1" thickTop="1">
      <c r="A16" s="783" t="s">
        <v>37</v>
      </c>
      <c r="B16" s="88">
        <f>'Falhas UM-4 Qty'!B16</f>
        <v>4130</v>
      </c>
      <c r="C16" s="89" t="str">
        <f>'Falhas UM-4 Qty'!C16</f>
        <v>Pilha deformada</v>
      </c>
      <c r="D16" s="360">
        <f>'[4]Falhas UM-4'!I17</f>
        <v>132.3897</v>
      </c>
      <c r="E16" s="389" t="e">
        <f>$D16/1000*'Falhas UM-4 Qty'!E16</f>
        <v>#N/A</v>
      </c>
      <c r="F16" s="389" t="e">
        <f>$D16/1000*'Falhas UM-4 Qty'!F16</f>
        <v>#N/A</v>
      </c>
      <c r="G16" s="389" t="e">
        <f>$D16/1000*'Falhas UM-4 Qty'!G16</f>
        <v>#N/A</v>
      </c>
      <c r="H16" s="389" t="e">
        <f>$D16/1000*'Falhas UM-4 Qty'!H16</f>
        <v>#N/A</v>
      </c>
      <c r="I16" s="389" t="e">
        <f>$D16/1000*'Falhas UM-4 Qty'!I16</f>
        <v>#N/A</v>
      </c>
      <c r="J16" s="389" t="e">
        <f>$D16/1000*'Falhas UM-4 Qty'!J16</f>
        <v>#N/A</v>
      </c>
      <c r="K16" s="389" t="e">
        <f>$D16/1000*'Falhas UM-4 Qty'!K16</f>
        <v>#N/A</v>
      </c>
      <c r="L16" s="389" t="e">
        <f>$D16/1000*'Falhas UM-4 Qty'!L16</f>
        <v>#N/A</v>
      </c>
      <c r="M16" s="389" t="e">
        <f>$D16/1000*'Falhas UM-4 Qty'!M16</f>
        <v>#N/A</v>
      </c>
      <c r="N16" s="389" t="e">
        <f>$D16/1000*'Falhas UM-4 Qty'!N16</f>
        <v>#N/A</v>
      </c>
      <c r="O16" s="389" t="e">
        <f>$D16/1000*'Falhas UM-4 Qty'!O16</f>
        <v>#N/A</v>
      </c>
      <c r="P16" s="389" t="e">
        <f>$D16/1000*'Falhas UM-4 Qty'!P16</f>
        <v>#N/A</v>
      </c>
      <c r="Q16" s="389" t="e">
        <f t="shared" si="0"/>
        <v>#N/A</v>
      </c>
    </row>
    <row r="17" spans="1:17" ht="18" customHeight="1">
      <c r="A17" s="783"/>
      <c r="B17" s="88">
        <f>'Falhas UM-4 Qty'!B17</f>
        <v>4140</v>
      </c>
      <c r="C17" s="96" t="str">
        <f>'Falhas UM-4 Qty'!C17</f>
        <v>PVC Mal impresso</v>
      </c>
      <c r="D17" s="360">
        <f>'[4]Falhas UM-4'!I18</f>
        <v>20.330200000000001</v>
      </c>
      <c r="E17" s="389" t="e">
        <f>$D17/1000*'Falhas UM-4 Qty'!E17</f>
        <v>#N/A</v>
      </c>
      <c r="F17" s="389" t="e">
        <f>$D17/1000*'Falhas UM-4 Qty'!F17</f>
        <v>#N/A</v>
      </c>
      <c r="G17" s="389" t="e">
        <f>$D17/1000*'Falhas UM-4 Qty'!G17</f>
        <v>#N/A</v>
      </c>
      <c r="H17" s="389" t="e">
        <f>$D17/1000*'Falhas UM-4 Qty'!H17</f>
        <v>#N/A</v>
      </c>
      <c r="I17" s="389" t="e">
        <f>$D17/1000*'Falhas UM-4 Qty'!I17</f>
        <v>#N/A</v>
      </c>
      <c r="J17" s="389" t="e">
        <f>$D17/1000*'Falhas UM-4 Qty'!J17</f>
        <v>#N/A</v>
      </c>
      <c r="K17" s="389" t="e">
        <f>$D17/1000*'Falhas UM-4 Qty'!K17</f>
        <v>#N/A</v>
      </c>
      <c r="L17" s="389" t="e">
        <f>$D17/1000*'Falhas UM-4 Qty'!L17</f>
        <v>#N/A</v>
      </c>
      <c r="M17" s="389" t="e">
        <f>$D17/1000*'Falhas UM-4 Qty'!M17</f>
        <v>#N/A</v>
      </c>
      <c r="N17" s="389" t="e">
        <f>$D17/1000*'Falhas UM-4 Qty'!N17</f>
        <v>#N/A</v>
      </c>
      <c r="O17" s="389" t="e">
        <f>$D17/1000*'Falhas UM-4 Qty'!O17</f>
        <v>#N/A</v>
      </c>
      <c r="P17" s="389" t="e">
        <f>$D17/1000*'Falhas UM-4 Qty'!P17</f>
        <v>#N/A</v>
      </c>
      <c r="Q17" s="389" t="e">
        <f t="shared" si="0"/>
        <v>#N/A</v>
      </c>
    </row>
    <row r="18" spans="1:17" ht="18" customHeight="1">
      <c r="A18" s="783"/>
      <c r="B18" s="88">
        <f>'Falhas UM-4 Qty'!B18</f>
        <v>4150</v>
      </c>
      <c r="C18" s="96" t="str">
        <f>'Falhas UM-4 Qty'!C18</f>
        <v>PVC rasgado</v>
      </c>
      <c r="D18" s="360">
        <f>'[4]Falhas UM-4'!I19</f>
        <v>20.330200000000001</v>
      </c>
      <c r="E18" s="389" t="e">
        <f>$D18/1000*'Falhas UM-4 Qty'!E18</f>
        <v>#N/A</v>
      </c>
      <c r="F18" s="389" t="e">
        <f>$D18/1000*'Falhas UM-4 Qty'!F18</f>
        <v>#N/A</v>
      </c>
      <c r="G18" s="389" t="e">
        <f>$D18/1000*'Falhas UM-4 Qty'!G18</f>
        <v>#N/A</v>
      </c>
      <c r="H18" s="389" t="e">
        <f>$D18/1000*'Falhas UM-4 Qty'!H18</f>
        <v>#N/A</v>
      </c>
      <c r="I18" s="389" t="e">
        <f>$D18/1000*'Falhas UM-4 Qty'!I18</f>
        <v>#N/A</v>
      </c>
      <c r="J18" s="389" t="e">
        <f>$D18/1000*'Falhas UM-4 Qty'!J18</f>
        <v>#N/A</v>
      </c>
      <c r="K18" s="389" t="e">
        <f>$D18/1000*'Falhas UM-4 Qty'!K18</f>
        <v>#N/A</v>
      </c>
      <c r="L18" s="389" t="e">
        <f>$D18/1000*'Falhas UM-4 Qty'!L18</f>
        <v>#N/A</v>
      </c>
      <c r="M18" s="389" t="e">
        <f>$D18/1000*'Falhas UM-4 Qty'!M18</f>
        <v>#N/A</v>
      </c>
      <c r="N18" s="389" t="e">
        <f>$D18/1000*'Falhas UM-4 Qty'!N18</f>
        <v>#N/A</v>
      </c>
      <c r="O18" s="389" t="e">
        <f>$D18/1000*'Falhas UM-4 Qty'!O18</f>
        <v>#N/A</v>
      </c>
      <c r="P18" s="389" t="e">
        <f>$D18/1000*'Falhas UM-4 Qty'!P18</f>
        <v>#N/A</v>
      </c>
      <c r="Q18" s="389" t="e">
        <f t="shared" si="0"/>
        <v>#N/A</v>
      </c>
    </row>
    <row r="19" spans="1:17" ht="18" customHeight="1">
      <c r="A19" s="783"/>
      <c r="B19" s="88">
        <f>'Falhas UM-4 Qty'!B19</f>
        <v>4160</v>
      </c>
      <c r="C19" s="96" t="str">
        <f>'Falhas UM-4 Qty'!C19</f>
        <v>PVC deformado</v>
      </c>
      <c r="D19" s="360">
        <f>'[4]Falhas UM-4'!I20</f>
        <v>20.330200000000001</v>
      </c>
      <c r="E19" s="389" t="e">
        <f>$D19/1000*'Falhas UM-4 Qty'!E19</f>
        <v>#N/A</v>
      </c>
      <c r="F19" s="389" t="e">
        <f>$D19/1000*'Falhas UM-4 Qty'!F19</f>
        <v>#N/A</v>
      </c>
      <c r="G19" s="389" t="e">
        <f>$D19/1000*'Falhas UM-4 Qty'!G19</f>
        <v>#N/A</v>
      </c>
      <c r="H19" s="389" t="e">
        <f>$D19/1000*'Falhas UM-4 Qty'!H19</f>
        <v>#N/A</v>
      </c>
      <c r="I19" s="389" t="e">
        <f>$D19/1000*'Falhas UM-4 Qty'!I19</f>
        <v>#N/A</v>
      </c>
      <c r="J19" s="389" t="e">
        <f>$D19/1000*'Falhas UM-4 Qty'!J19</f>
        <v>#N/A</v>
      </c>
      <c r="K19" s="389" t="e">
        <f>$D19/1000*'Falhas UM-4 Qty'!K19</f>
        <v>#N/A</v>
      </c>
      <c r="L19" s="389" t="e">
        <f>$D19/1000*'Falhas UM-4 Qty'!L19</f>
        <v>#N/A</v>
      </c>
      <c r="M19" s="389" t="e">
        <f>$D19/1000*'Falhas UM-4 Qty'!M19</f>
        <v>#N/A</v>
      </c>
      <c r="N19" s="389" t="e">
        <f>$D19/1000*'Falhas UM-4 Qty'!N19</f>
        <v>#N/A</v>
      </c>
      <c r="O19" s="389" t="e">
        <f>$D19/1000*'Falhas UM-4 Qty'!O19</f>
        <v>#N/A</v>
      </c>
      <c r="P19" s="389" t="e">
        <f>$D19/1000*'Falhas UM-4 Qty'!P19</f>
        <v>#N/A</v>
      </c>
      <c r="Q19" s="389" t="e">
        <f t="shared" si="0"/>
        <v>#N/A</v>
      </c>
    </row>
    <row r="20" spans="1:17" ht="18" customHeight="1">
      <c r="A20" s="783"/>
      <c r="B20" s="88">
        <f>'Falhas UM-4 Qty'!B20</f>
        <v>4170</v>
      </c>
      <c r="C20" s="97" t="str">
        <f>'Falhas UM-4 Qty'!C20</f>
        <v>Pilha caida no prato</v>
      </c>
      <c r="D20" s="364">
        <f>'[4]Falhas UM-4'!I21</f>
        <v>132.3897</v>
      </c>
      <c r="E20" s="393" t="e">
        <f>$D20/1000*'Falhas UM-4 Qty'!E21</f>
        <v>#N/A</v>
      </c>
      <c r="F20" s="393" t="e">
        <f>$D20/1000*'Falhas UM-4 Qty'!F21</f>
        <v>#N/A</v>
      </c>
      <c r="G20" s="393" t="e">
        <f>$D20/1000*'Falhas UM-4 Qty'!G21</f>
        <v>#N/A</v>
      </c>
      <c r="H20" s="393" t="e">
        <f>$D20/1000*'Falhas UM-4 Qty'!H21</f>
        <v>#N/A</v>
      </c>
      <c r="I20" s="393" t="e">
        <f>$D20/1000*'Falhas UM-4 Qty'!I21</f>
        <v>#N/A</v>
      </c>
      <c r="J20" s="393" t="e">
        <f>$D20/1000*'Falhas UM-4 Qty'!J21</f>
        <v>#N/A</v>
      </c>
      <c r="K20" s="393" t="e">
        <f>$D20/1000*'Falhas UM-4 Qty'!K21</f>
        <v>#N/A</v>
      </c>
      <c r="L20" s="393" t="e">
        <f>$D20/1000*'Falhas UM-4 Qty'!L21</f>
        <v>#N/A</v>
      </c>
      <c r="M20" s="393" t="e">
        <f>$D20/1000*'Falhas UM-4 Qty'!M21</f>
        <v>#N/A</v>
      </c>
      <c r="N20" s="393" t="e">
        <f>$D20/1000*'Falhas UM-4 Qty'!N21</f>
        <v>#N/A</v>
      </c>
      <c r="O20" s="393" t="e">
        <f>$D20/1000*'Falhas UM-4 Qty'!O21</f>
        <v>#N/A</v>
      </c>
      <c r="P20" s="393" t="e">
        <f>$D20/1000*'Falhas UM-4 Qty'!P21</f>
        <v>#N/A</v>
      </c>
      <c r="Q20" s="393" t="e">
        <f t="shared" si="0"/>
        <v>#N/A</v>
      </c>
    </row>
    <row r="21" spans="1:17" ht="18" customHeight="1">
      <c r="A21" s="783" t="s">
        <v>165</v>
      </c>
      <c r="B21" s="88">
        <f>'Falhas UM-4 Qty'!B21</f>
        <v>4180</v>
      </c>
      <c r="C21" s="89" t="str">
        <f>'Falhas UM-4 Qty'!C21</f>
        <v>Pilha Queimada</v>
      </c>
      <c r="D21" s="360">
        <f>'[4]Falhas UM-4'!I22</f>
        <v>132.3897</v>
      </c>
      <c r="E21" s="389" t="e">
        <f>$D21/1000*'Falhas UM-4 Qty'!E22</f>
        <v>#N/A</v>
      </c>
      <c r="F21" s="389" t="e">
        <f>$D21/1000*'Falhas UM-4 Qty'!F22</f>
        <v>#N/A</v>
      </c>
      <c r="G21" s="389" t="e">
        <f>$D21/1000*'Falhas UM-4 Qty'!G22</f>
        <v>#N/A</v>
      </c>
      <c r="H21" s="389" t="e">
        <f>$D21/1000*'Falhas UM-4 Qty'!H22</f>
        <v>#N/A</v>
      </c>
      <c r="I21" s="389" t="e">
        <f>$D21/1000*'Falhas UM-4 Qty'!I22</f>
        <v>#N/A</v>
      </c>
      <c r="J21" s="389" t="e">
        <f>$D21/1000*'Falhas UM-4 Qty'!J22</f>
        <v>#N/A</v>
      </c>
      <c r="K21" s="389" t="e">
        <f>$D21/1000*'Falhas UM-4 Qty'!K22</f>
        <v>#N/A</v>
      </c>
      <c r="L21" s="389" t="e">
        <f>$D21/1000*'Falhas UM-4 Qty'!L22</f>
        <v>#N/A</v>
      </c>
      <c r="M21" s="389" t="e">
        <f>$D21/1000*'Falhas UM-4 Qty'!M22</f>
        <v>#N/A</v>
      </c>
      <c r="N21" s="389" t="e">
        <f>$D21/1000*'Falhas UM-4 Qty'!N22</f>
        <v>#N/A</v>
      </c>
      <c r="O21" s="389" t="e">
        <f>$D21/1000*'Falhas UM-4 Qty'!O22</f>
        <v>#N/A</v>
      </c>
      <c r="P21" s="389" t="e">
        <f>$D21/1000*'Falhas UM-4 Qty'!P22</f>
        <v>#N/A</v>
      </c>
      <c r="Q21" s="389" t="e">
        <f t="shared" si="0"/>
        <v>#N/A</v>
      </c>
    </row>
    <row r="22" spans="1:17" ht="18" customHeight="1">
      <c r="A22" s="783"/>
      <c r="B22" s="88">
        <f>'Falhas UM-4 Qty'!B22</f>
        <v>4190</v>
      </c>
      <c r="C22" s="96" t="str">
        <f>'Falhas UM-4 Qty'!C22</f>
        <v>Outros</v>
      </c>
      <c r="D22" s="360">
        <f>'[4]Falhas UM-4'!I23</f>
        <v>132.3897</v>
      </c>
      <c r="E22" s="389" t="e">
        <f>$D22/1000*'Falhas UM-4 Qty'!E23</f>
        <v>#N/A</v>
      </c>
      <c r="F22" s="389" t="e">
        <f>$D22/1000*'Falhas UM-4 Qty'!F23</f>
        <v>#N/A</v>
      </c>
      <c r="G22" s="389" t="e">
        <f>$D22/1000*'Falhas UM-4 Qty'!G23</f>
        <v>#N/A</v>
      </c>
      <c r="H22" s="389" t="e">
        <f>$D22/1000*'Falhas UM-4 Qty'!H23</f>
        <v>#N/A</v>
      </c>
      <c r="I22" s="389" t="e">
        <f>$D22/1000*'Falhas UM-4 Qty'!I23</f>
        <v>#N/A</v>
      </c>
      <c r="J22" s="389" t="e">
        <f>$D22/1000*'Falhas UM-4 Qty'!J23</f>
        <v>#N/A</v>
      </c>
      <c r="K22" s="389" t="e">
        <f>$D22/1000*'Falhas UM-4 Qty'!K23</f>
        <v>#N/A</v>
      </c>
      <c r="L22" s="389" t="e">
        <f>$D22/1000*'Falhas UM-4 Qty'!L23</f>
        <v>#N/A</v>
      </c>
      <c r="M22" s="389" t="e">
        <f>$D22/1000*'Falhas UM-4 Qty'!M23</f>
        <v>#N/A</v>
      </c>
      <c r="N22" s="389" t="e">
        <f>$D22/1000*'Falhas UM-4 Qty'!N23</f>
        <v>#N/A</v>
      </c>
      <c r="O22" s="389" t="e">
        <f>$D22/1000*'Falhas UM-4 Qty'!O23</f>
        <v>#N/A</v>
      </c>
      <c r="P22" s="389" t="e">
        <f>$D22/1000*'Falhas UM-4 Qty'!P23</f>
        <v>#N/A</v>
      </c>
      <c r="Q22" s="389" t="e">
        <f t="shared" si="0"/>
        <v>#N/A</v>
      </c>
    </row>
    <row r="23" spans="1:17" ht="18" customHeight="1">
      <c r="A23" s="783"/>
      <c r="B23" s="88">
        <f>'Falhas UM-4 Qty'!B23</f>
        <v>4200</v>
      </c>
      <c r="C23" s="96" t="str">
        <f>'Falhas UM-4 Qty'!C23</f>
        <v>Sem Cap</v>
      </c>
      <c r="D23" s="360">
        <f>'[4]Falhas UM-4'!I24</f>
        <v>132.3897</v>
      </c>
      <c r="E23" s="389" t="e">
        <f>$D23/1000*'Falhas UM-4 Qty'!E24</f>
        <v>#N/A</v>
      </c>
      <c r="F23" s="389" t="e">
        <f>$D23/1000*'Falhas UM-4 Qty'!F24</f>
        <v>#N/A</v>
      </c>
      <c r="G23" s="389" t="e">
        <f>$D23/1000*'Falhas UM-4 Qty'!G24</f>
        <v>#N/A</v>
      </c>
      <c r="H23" s="389" t="e">
        <f>$D23/1000*'Falhas UM-4 Qty'!H24</f>
        <v>#N/A</v>
      </c>
      <c r="I23" s="389" t="e">
        <f>$D23/1000*'Falhas UM-4 Qty'!I24</f>
        <v>#N/A</v>
      </c>
      <c r="J23" s="389" t="e">
        <f>$D23/1000*'Falhas UM-4 Qty'!J24</f>
        <v>#N/A</v>
      </c>
      <c r="K23" s="389" t="e">
        <f>$D23/1000*'Falhas UM-4 Qty'!K24</f>
        <v>#N/A</v>
      </c>
      <c r="L23" s="389" t="e">
        <f>$D23/1000*'Falhas UM-4 Qty'!L24</f>
        <v>#N/A</v>
      </c>
      <c r="M23" s="389" t="e">
        <f>$D23/1000*'Falhas UM-4 Qty'!M24</f>
        <v>#N/A</v>
      </c>
      <c r="N23" s="389" t="e">
        <f>$D23/1000*'Falhas UM-4 Qty'!N24</f>
        <v>#N/A</v>
      </c>
      <c r="O23" s="389" t="e">
        <f>$D23/1000*'Falhas UM-4 Qty'!O24</f>
        <v>#N/A</v>
      </c>
      <c r="P23" s="389" t="e">
        <f>$D23/1000*'Falhas UM-4 Qty'!P24</f>
        <v>#N/A</v>
      </c>
      <c r="Q23" s="389" t="e">
        <f t="shared" si="0"/>
        <v>#N/A</v>
      </c>
    </row>
    <row r="24" spans="1:17" ht="18" customHeight="1">
      <c r="A24" s="783"/>
      <c r="B24" s="88">
        <f>'Falhas UM-4 Qty'!B24</f>
        <v>4210</v>
      </c>
      <c r="C24" s="96" t="str">
        <f>'Falhas UM-4 Qty'!C24</f>
        <v>Cap Amassado / Afundado</v>
      </c>
      <c r="D24" s="360">
        <f>'[4]Falhas UM-4'!I25</f>
        <v>132.3897</v>
      </c>
      <c r="E24" s="389" t="e">
        <f>$D24/1000*'Falhas UM-4 Qty'!E25</f>
        <v>#N/A</v>
      </c>
      <c r="F24" s="389" t="e">
        <f>$D24/1000*'Falhas UM-4 Qty'!F25</f>
        <v>#N/A</v>
      </c>
      <c r="G24" s="389" t="e">
        <f>$D24/1000*'Falhas UM-4 Qty'!G25</f>
        <v>#N/A</v>
      </c>
      <c r="H24" s="389" t="e">
        <f>$D24/1000*'Falhas UM-4 Qty'!H25</f>
        <v>#N/A</v>
      </c>
      <c r="I24" s="389" t="e">
        <f>$D24/1000*'Falhas UM-4 Qty'!I25</f>
        <v>#N/A</v>
      </c>
      <c r="J24" s="389" t="e">
        <f>$D24/1000*'Falhas UM-4 Qty'!J25</f>
        <v>#N/A</v>
      </c>
      <c r="K24" s="389" t="e">
        <f>$D24/1000*'Falhas UM-4 Qty'!K25</f>
        <v>#N/A</v>
      </c>
      <c r="L24" s="389" t="e">
        <f>$D24/1000*'Falhas UM-4 Qty'!L25</f>
        <v>#N/A</v>
      </c>
      <c r="M24" s="389" t="e">
        <f>$D24/1000*'Falhas UM-4 Qty'!M25</f>
        <v>#N/A</v>
      </c>
      <c r="N24" s="389" t="e">
        <f>$D24/1000*'Falhas UM-4 Qty'!N25</f>
        <v>#N/A</v>
      </c>
      <c r="O24" s="389" t="e">
        <f>$D24/1000*'Falhas UM-4 Qty'!O25</f>
        <v>#N/A</v>
      </c>
      <c r="P24" s="389" t="e">
        <f>$D24/1000*'Falhas UM-4 Qty'!P25</f>
        <v>#N/A</v>
      </c>
      <c r="Q24" s="389" t="e">
        <f t="shared" si="0"/>
        <v>#N/A</v>
      </c>
    </row>
    <row r="25" spans="1:17" ht="18" customHeight="1">
      <c r="A25" s="783"/>
      <c r="B25" s="88">
        <f>'Falhas UM-4 Qty'!B25</f>
        <v>4220</v>
      </c>
      <c r="C25" s="96" t="str">
        <f>'Falhas UM-4 Qty'!C25</f>
        <v>Cap Rachado</v>
      </c>
      <c r="D25" s="360">
        <f>'[4]Falhas UM-4'!I26</f>
        <v>132.3897</v>
      </c>
      <c r="E25" s="389" t="e">
        <f>$D25/1000*'Falhas UM-4 Qty'!E26</f>
        <v>#N/A</v>
      </c>
      <c r="F25" s="389" t="e">
        <f>$D25/1000*'Falhas UM-4 Qty'!F26</f>
        <v>#N/A</v>
      </c>
      <c r="G25" s="389" t="e">
        <f>$D25/1000*'Falhas UM-4 Qty'!G26</f>
        <v>#N/A</v>
      </c>
      <c r="H25" s="389" t="e">
        <f>$D25/1000*'Falhas UM-4 Qty'!H26</f>
        <v>#N/A</v>
      </c>
      <c r="I25" s="389" t="e">
        <f>$D25/1000*'Falhas UM-4 Qty'!I26</f>
        <v>#N/A</v>
      </c>
      <c r="J25" s="389" t="e">
        <f>$D25/1000*'Falhas UM-4 Qty'!J26</f>
        <v>#N/A</v>
      </c>
      <c r="K25" s="389" t="e">
        <f>$D25/1000*'Falhas UM-4 Qty'!K26</f>
        <v>#N/A</v>
      </c>
      <c r="L25" s="389" t="e">
        <f>$D25/1000*'Falhas UM-4 Qty'!L26</f>
        <v>#N/A</v>
      </c>
      <c r="M25" s="389" t="e">
        <f>$D25/1000*'Falhas UM-4 Qty'!M26</f>
        <v>#N/A</v>
      </c>
      <c r="N25" s="389" t="e">
        <f>$D25/1000*'Falhas UM-4 Qty'!N26</f>
        <v>#N/A</v>
      </c>
      <c r="O25" s="389" t="e">
        <f>$D25/1000*'Falhas UM-4 Qty'!O26</f>
        <v>#N/A</v>
      </c>
      <c r="P25" s="389" t="e">
        <f>$D25/1000*'Falhas UM-4 Qty'!P26</f>
        <v>#N/A</v>
      </c>
      <c r="Q25" s="389" t="e">
        <f t="shared" si="0"/>
        <v>#N/A</v>
      </c>
    </row>
    <row r="26" spans="1:17" ht="18" customHeight="1">
      <c r="A26" s="783"/>
      <c r="B26" s="88">
        <f>'Falhas UM-4 Qty'!B26</f>
        <v>4230</v>
      </c>
      <c r="C26" s="99" t="str">
        <f>'Falhas UM-4 Qty'!C26</f>
        <v>PY Deslocado</v>
      </c>
      <c r="D26" s="362">
        <f>'[4]Falhas UM-4'!I27</f>
        <v>132.3897</v>
      </c>
      <c r="E26" s="391" t="e">
        <f>$D26/1000*'Falhas UM-4 Qty'!E27</f>
        <v>#N/A</v>
      </c>
      <c r="F26" s="391" t="e">
        <f>$D26/1000*'Falhas UM-4 Qty'!F27</f>
        <v>#N/A</v>
      </c>
      <c r="G26" s="391" t="e">
        <f>$D26/1000*'Falhas UM-4 Qty'!G27</f>
        <v>#N/A</v>
      </c>
      <c r="H26" s="391" t="e">
        <f>$D26/1000*'Falhas UM-4 Qty'!H27</f>
        <v>#N/A</v>
      </c>
      <c r="I26" s="391" t="e">
        <f>$D26/1000*'Falhas UM-4 Qty'!I27</f>
        <v>#N/A</v>
      </c>
      <c r="J26" s="391" t="e">
        <f>$D26/1000*'Falhas UM-4 Qty'!J27</f>
        <v>#N/A</v>
      </c>
      <c r="K26" s="391" t="e">
        <f>$D26/1000*'Falhas UM-4 Qty'!K27</f>
        <v>#N/A</v>
      </c>
      <c r="L26" s="391" t="e">
        <f>$D26/1000*'Falhas UM-4 Qty'!L27</f>
        <v>#N/A</v>
      </c>
      <c r="M26" s="391" t="e">
        <f>$D26/1000*'Falhas UM-4 Qty'!M27</f>
        <v>#N/A</v>
      </c>
      <c r="N26" s="391" t="e">
        <f>$D26/1000*'Falhas UM-4 Qty'!N27</f>
        <v>#N/A</v>
      </c>
      <c r="O26" s="391" t="e">
        <f>$D26/1000*'Falhas UM-4 Qty'!O27</f>
        <v>#N/A</v>
      </c>
      <c r="P26" s="391" t="e">
        <f>$D26/1000*'Falhas UM-4 Qty'!P27</f>
        <v>#N/A</v>
      </c>
      <c r="Q26" s="391" t="e">
        <f t="shared" si="0"/>
        <v>#N/A</v>
      </c>
    </row>
    <row r="27" spans="1:17" ht="18" customHeight="1">
      <c r="A27" s="783"/>
      <c r="B27" s="88">
        <f>'Falhas UM-4 Qty'!B27</f>
        <v>4240</v>
      </c>
      <c r="C27" s="96" t="str">
        <f>'Falhas UM-4 Qty'!C27</f>
        <v>Sem PY</v>
      </c>
      <c r="D27" s="361">
        <f>'[4]Falhas UM-4'!I28</f>
        <v>132.3897</v>
      </c>
      <c r="E27" s="390" t="e">
        <f>$D27/1000*'Falhas UM-4 Qty'!E28</f>
        <v>#N/A</v>
      </c>
      <c r="F27" s="390" t="e">
        <f>$D27/1000*'Falhas UM-4 Qty'!F28</f>
        <v>#N/A</v>
      </c>
      <c r="G27" s="390" t="e">
        <f>$D27/1000*'Falhas UM-4 Qty'!G28</f>
        <v>#N/A</v>
      </c>
      <c r="H27" s="390" t="e">
        <f>$D27/1000*'Falhas UM-4 Qty'!H28</f>
        <v>#N/A</v>
      </c>
      <c r="I27" s="390" t="e">
        <f>$D27/1000*'Falhas UM-4 Qty'!I28</f>
        <v>#N/A</v>
      </c>
      <c r="J27" s="390" t="e">
        <f>$D27/1000*'Falhas UM-4 Qty'!J28</f>
        <v>#N/A</v>
      </c>
      <c r="K27" s="390" t="e">
        <f>$D27/1000*'Falhas UM-4 Qty'!K28</f>
        <v>#N/A</v>
      </c>
      <c r="L27" s="390" t="e">
        <f>$D27/1000*'Falhas UM-4 Qty'!L28</f>
        <v>#N/A</v>
      </c>
      <c r="M27" s="390" t="e">
        <f>$D27/1000*'Falhas UM-4 Qty'!M28</f>
        <v>#N/A</v>
      </c>
      <c r="N27" s="390" t="e">
        <f>$D27/1000*'Falhas UM-4 Qty'!N28</f>
        <v>#N/A</v>
      </c>
      <c r="O27" s="390" t="e">
        <f>$D27/1000*'Falhas UM-4 Qty'!O28</f>
        <v>#N/A</v>
      </c>
      <c r="P27" s="390" t="e">
        <f>$D27/1000*'Falhas UM-4 Qty'!P28</f>
        <v>#N/A</v>
      </c>
      <c r="Q27" s="390" t="e">
        <f t="shared" si="0"/>
        <v>#N/A</v>
      </c>
    </row>
    <row r="28" spans="1:17" ht="18" customHeight="1">
      <c r="A28" s="783"/>
      <c r="B28" s="88">
        <f>'Falhas UM-4 Qty'!B28</f>
        <v>4250</v>
      </c>
      <c r="C28" s="96" t="str">
        <f>'Falhas UM-4 Qty'!C28</f>
        <v>Sem Bottom Plate</v>
      </c>
      <c r="D28" s="360">
        <f>'[4]Falhas UM-4'!I29</f>
        <v>132.3897</v>
      </c>
      <c r="E28" s="389" t="e">
        <f>$D28/1000*'Falhas UM-4 Qty'!E29</f>
        <v>#N/A</v>
      </c>
      <c r="F28" s="389" t="e">
        <f>$D28/1000*'Falhas UM-4 Qty'!F29</f>
        <v>#N/A</v>
      </c>
      <c r="G28" s="389" t="e">
        <f>$D28/1000*'Falhas UM-4 Qty'!G29</f>
        <v>#N/A</v>
      </c>
      <c r="H28" s="389" t="e">
        <f>$D28/1000*'Falhas UM-4 Qty'!H29</f>
        <v>#N/A</v>
      </c>
      <c r="I28" s="389" t="e">
        <f>$D28/1000*'Falhas UM-4 Qty'!I29</f>
        <v>#N/A</v>
      </c>
      <c r="J28" s="389" t="e">
        <f>$D28/1000*'Falhas UM-4 Qty'!J29</f>
        <v>#N/A</v>
      </c>
      <c r="K28" s="389" t="e">
        <f>$D28/1000*'Falhas UM-4 Qty'!K29</f>
        <v>#N/A</v>
      </c>
      <c r="L28" s="389" t="e">
        <f>$D28/1000*'Falhas UM-4 Qty'!L29</f>
        <v>#N/A</v>
      </c>
      <c r="M28" s="389" t="e">
        <f>$D28/1000*'Falhas UM-4 Qty'!M29</f>
        <v>#N/A</v>
      </c>
      <c r="N28" s="389" t="e">
        <f>$D28/1000*'Falhas UM-4 Qty'!N29</f>
        <v>#N/A</v>
      </c>
      <c r="O28" s="389" t="e">
        <f>$D28/1000*'Falhas UM-4 Qty'!O29</f>
        <v>#N/A</v>
      </c>
      <c r="P28" s="389" t="e">
        <f>$D28/1000*'Falhas UM-4 Qty'!P29</f>
        <v>#N/A</v>
      </c>
      <c r="Q28" s="389" t="e">
        <f t="shared" si="0"/>
        <v>#N/A</v>
      </c>
    </row>
    <row r="29" spans="1:17" ht="18" customHeight="1">
      <c r="A29" s="783"/>
      <c r="B29" s="88">
        <f>'Falhas UM-4 Qty'!B29</f>
        <v>4260</v>
      </c>
      <c r="C29" s="96" t="str">
        <f>'Falhas UM-4 Qty'!C29</f>
        <v>Bottom Plate Amassado</v>
      </c>
      <c r="D29" s="360">
        <f>'[4]Falhas UM-4'!I30</f>
        <v>132.3897</v>
      </c>
      <c r="E29" s="389" t="e">
        <f>$D29/1000*'Falhas UM-4 Qty'!E30</f>
        <v>#N/A</v>
      </c>
      <c r="F29" s="389" t="e">
        <f>$D29/1000*'Falhas UM-4 Qty'!F30</f>
        <v>#N/A</v>
      </c>
      <c r="G29" s="389" t="e">
        <f>$D29/1000*'Falhas UM-4 Qty'!G30</f>
        <v>#N/A</v>
      </c>
      <c r="H29" s="389" t="e">
        <f>$D29/1000*'Falhas UM-4 Qty'!H30</f>
        <v>#N/A</v>
      </c>
      <c r="I29" s="389" t="e">
        <f>$D29/1000*'Falhas UM-4 Qty'!I30</f>
        <v>#N/A</v>
      </c>
      <c r="J29" s="389" t="e">
        <f>$D29/1000*'Falhas UM-4 Qty'!J30</f>
        <v>#N/A</v>
      </c>
      <c r="K29" s="389" t="e">
        <f>$D29/1000*'Falhas UM-4 Qty'!K30</f>
        <v>#N/A</v>
      </c>
      <c r="L29" s="389" t="e">
        <f>$D29/1000*'Falhas UM-4 Qty'!L30</f>
        <v>#N/A</v>
      </c>
      <c r="M29" s="389" t="e">
        <f>$D29/1000*'Falhas UM-4 Qty'!M30</f>
        <v>#N/A</v>
      </c>
      <c r="N29" s="389" t="e">
        <f>$D29/1000*'Falhas UM-4 Qty'!N30</f>
        <v>#N/A</v>
      </c>
      <c r="O29" s="389" t="e">
        <f>$D29/1000*'Falhas UM-4 Qty'!O30</f>
        <v>#N/A</v>
      </c>
      <c r="P29" s="389" t="e">
        <f>$D29/1000*'Falhas UM-4 Qty'!P30</f>
        <v>#N/A</v>
      </c>
      <c r="Q29" s="389" t="e">
        <f t="shared" si="0"/>
        <v>#N/A</v>
      </c>
    </row>
    <row r="30" spans="1:17" ht="18" customHeight="1">
      <c r="A30" s="783"/>
      <c r="B30" s="88">
        <f>'Falhas UM-4 Qty'!B30</f>
        <v>4270</v>
      </c>
      <c r="C30" s="96" t="str">
        <f>'Falhas UM-4 Qty'!C30</f>
        <v>Fundo sujo</v>
      </c>
      <c r="D30" s="360">
        <f>'[4]Falhas UM-4'!I31</f>
        <v>132.3897</v>
      </c>
      <c r="E30" s="389" t="e">
        <f>$D30/1000*'Falhas UM-4 Qty'!E31</f>
        <v>#N/A</v>
      </c>
      <c r="F30" s="389" t="e">
        <f>$D30/1000*'Falhas UM-4 Qty'!F31</f>
        <v>#N/A</v>
      </c>
      <c r="G30" s="389" t="e">
        <f>$D30/1000*'Falhas UM-4 Qty'!G31</f>
        <v>#N/A</v>
      </c>
      <c r="H30" s="389" t="e">
        <f>$D30/1000*'Falhas UM-4 Qty'!H31</f>
        <v>#N/A</v>
      </c>
      <c r="I30" s="389" t="e">
        <f>$D30/1000*'Falhas UM-4 Qty'!I31</f>
        <v>#N/A</v>
      </c>
      <c r="J30" s="389" t="e">
        <f>$D30/1000*'Falhas UM-4 Qty'!J31</f>
        <v>#N/A</v>
      </c>
      <c r="K30" s="389" t="e">
        <f>$D30/1000*'Falhas UM-4 Qty'!K31</f>
        <v>#N/A</v>
      </c>
      <c r="L30" s="389" t="e">
        <f>$D30/1000*'Falhas UM-4 Qty'!L31</f>
        <v>#N/A</v>
      </c>
      <c r="M30" s="389" t="e">
        <f>$D30/1000*'Falhas UM-4 Qty'!M31</f>
        <v>#N/A</v>
      </c>
      <c r="N30" s="389" t="e">
        <f>$D30/1000*'Falhas UM-4 Qty'!N31</f>
        <v>#N/A</v>
      </c>
      <c r="O30" s="389" t="e">
        <f>$D30/1000*'Falhas UM-4 Qty'!O31</f>
        <v>#N/A</v>
      </c>
      <c r="P30" s="389" t="e">
        <f>$D30/1000*'Falhas UM-4 Qty'!P31</f>
        <v>#N/A</v>
      </c>
      <c r="Q30" s="389" t="e">
        <f t="shared" si="0"/>
        <v>#N/A</v>
      </c>
    </row>
    <row r="31" spans="1:17" ht="18" customHeight="1">
      <c r="A31" s="783"/>
      <c r="B31" s="88">
        <f>'Falhas UM-4 Qty'!B31</f>
        <v>4280</v>
      </c>
      <c r="C31" s="96" t="str">
        <f>'Falhas UM-4 Qty'!C31</f>
        <v>Tubo de Zinco Trincado</v>
      </c>
      <c r="D31" s="360">
        <f>'[4]Falhas UM-4'!I32</f>
        <v>132.3897</v>
      </c>
      <c r="E31" s="389" t="e">
        <f>$D31/1000*'Falhas UM-4 Qty'!E33</f>
        <v>#N/A</v>
      </c>
      <c r="F31" s="389" t="e">
        <f>$D31/1000*'Falhas UM-4 Qty'!F33</f>
        <v>#N/A</v>
      </c>
      <c r="G31" s="389" t="e">
        <f>$D31/1000*'Falhas UM-4 Qty'!G33</f>
        <v>#N/A</v>
      </c>
      <c r="H31" s="389" t="e">
        <f>$D31/1000*'Falhas UM-4 Qty'!H33</f>
        <v>#N/A</v>
      </c>
      <c r="I31" s="389" t="e">
        <f>$D31/1000*'Falhas UM-4 Qty'!I33</f>
        <v>#N/A</v>
      </c>
      <c r="J31" s="389" t="e">
        <f>$D31/1000*'Falhas UM-4 Qty'!J33</f>
        <v>#N/A</v>
      </c>
      <c r="K31" s="389" t="e">
        <f>$D31/1000*'Falhas UM-4 Qty'!K33</f>
        <v>#N/A</v>
      </c>
      <c r="L31" s="389" t="e">
        <f>$D31/1000*'Falhas UM-4 Qty'!L33</f>
        <v>#N/A</v>
      </c>
      <c r="M31" s="389" t="e">
        <f>$D31/1000*'Falhas UM-4 Qty'!M33</f>
        <v>#N/A</v>
      </c>
      <c r="N31" s="389" t="e">
        <f>$D31/1000*'Falhas UM-4 Qty'!N33</f>
        <v>#N/A</v>
      </c>
      <c r="O31" s="389" t="e">
        <f>$D31/1000*'Falhas UM-4 Qty'!O33</f>
        <v>#N/A</v>
      </c>
      <c r="P31" s="389" t="e">
        <f>$D31/1000*'Falhas UM-4 Qty'!P33</f>
        <v>#N/A</v>
      </c>
      <c r="Q31" s="389" t="e">
        <f t="shared" si="0"/>
        <v>#N/A</v>
      </c>
    </row>
    <row r="32" spans="1:17" ht="18" customHeight="1">
      <c r="A32" s="783"/>
      <c r="B32" s="88">
        <f>'Falhas UM-4 Qty'!B32</f>
        <v>4290</v>
      </c>
      <c r="C32" s="96" t="str">
        <f>'Falhas UM-4 Qty'!C32</f>
        <v>Pilha amassada</v>
      </c>
      <c r="D32" s="360">
        <f>'[4]Falhas UM-4'!I33</f>
        <v>132.3897</v>
      </c>
      <c r="E32" s="389" t="e">
        <f>$D32/1000*'Falhas UM-4 Qty'!E34</f>
        <v>#N/A</v>
      </c>
      <c r="F32" s="389" t="e">
        <f>$D32/1000*'Falhas UM-4 Qty'!F34</f>
        <v>#N/A</v>
      </c>
      <c r="G32" s="389" t="e">
        <f>$D32/1000*'Falhas UM-4 Qty'!G34</f>
        <v>#N/A</v>
      </c>
      <c r="H32" s="389" t="e">
        <f>$D32/1000*'Falhas UM-4 Qty'!H34</f>
        <v>#N/A</v>
      </c>
      <c r="I32" s="389" t="e">
        <f>$D32/1000*'Falhas UM-4 Qty'!I34</f>
        <v>#N/A</v>
      </c>
      <c r="J32" s="389" t="e">
        <f>$D32/1000*'Falhas UM-4 Qty'!J34</f>
        <v>#N/A</v>
      </c>
      <c r="K32" s="389" t="e">
        <f>$D32/1000*'Falhas UM-4 Qty'!K34</f>
        <v>#N/A</v>
      </c>
      <c r="L32" s="389" t="e">
        <f>$D32/1000*'Falhas UM-4 Qty'!L34</f>
        <v>#N/A</v>
      </c>
      <c r="M32" s="389" t="e">
        <f>$D32/1000*'Falhas UM-4 Qty'!M34</f>
        <v>#N/A</v>
      </c>
      <c r="N32" s="389" t="e">
        <f>$D32/1000*'Falhas UM-4 Qty'!N34</f>
        <v>#N/A</v>
      </c>
      <c r="O32" s="389" t="e">
        <f>$D32/1000*'Falhas UM-4 Qty'!O34</f>
        <v>#N/A</v>
      </c>
      <c r="P32" s="389" t="e">
        <f>$D32/1000*'Falhas UM-4 Qty'!P34</f>
        <v>#N/A</v>
      </c>
      <c r="Q32" s="389" t="e">
        <f t="shared" si="0"/>
        <v>#N/A</v>
      </c>
    </row>
    <row r="33" spans="1:17" ht="18" customHeight="1">
      <c r="A33" s="733"/>
      <c r="B33" s="88">
        <f>'Falhas UM-4 Qty'!B33</f>
        <v>4300</v>
      </c>
      <c r="C33" s="96" t="str">
        <f>'Falhas UM-4 Qty'!C33</f>
        <v>Outros</v>
      </c>
      <c r="D33" s="734">
        <f>D32</f>
        <v>132.3897</v>
      </c>
      <c r="E33" s="389" t="e">
        <f>$D33/1000*'Falhas UM-4 Qty'!E35</f>
        <v>#N/A</v>
      </c>
      <c r="F33" s="389" t="e">
        <f>$D33/1000*'Falhas UM-4 Qty'!F35</f>
        <v>#N/A</v>
      </c>
      <c r="G33" s="389" t="e">
        <f>$D33/1000*'Falhas UM-4 Qty'!G35</f>
        <v>#N/A</v>
      </c>
      <c r="H33" s="389" t="e">
        <f>$D33/1000*'Falhas UM-4 Qty'!H35</f>
        <v>#N/A</v>
      </c>
      <c r="I33" s="389" t="e">
        <f>$D33/1000*'Falhas UM-4 Qty'!I35</f>
        <v>#N/A</v>
      </c>
      <c r="J33" s="389" t="e">
        <f>$D33/1000*'Falhas UM-4 Qty'!J35</f>
        <v>#N/A</v>
      </c>
      <c r="K33" s="389" t="e">
        <f>$D33/1000*'Falhas UM-4 Qty'!K35</f>
        <v>#N/A</v>
      </c>
      <c r="L33" s="389" t="e">
        <f>$D33/1000*'Falhas UM-4 Qty'!L35</f>
        <v>#N/A</v>
      </c>
      <c r="M33" s="389" t="e">
        <f>$D33/1000*'Falhas UM-4 Qty'!M35</f>
        <v>#N/A</v>
      </c>
      <c r="N33" s="389" t="e">
        <f>$D33/1000*'Falhas UM-4 Qty'!N35</f>
        <v>#N/A</v>
      </c>
      <c r="O33" s="389" t="e">
        <f>$D33/1000*'Falhas UM-4 Qty'!O35</f>
        <v>#N/A</v>
      </c>
      <c r="P33" s="389" t="e">
        <f>$D33/1000*'Falhas UM-4 Qty'!P35</f>
        <v>#N/A</v>
      </c>
      <c r="Q33" s="389" t="e">
        <f t="shared" si="0"/>
        <v>#N/A</v>
      </c>
    </row>
    <row r="34" spans="1:17" ht="18" customHeight="1" thickBot="1">
      <c r="A34" s="102"/>
      <c r="B34" s="94"/>
      <c r="C34" s="95" t="s">
        <v>1</v>
      </c>
      <c r="D34" s="365">
        <f>'[4]Falhas UM-4'!I34</f>
        <v>132.3897</v>
      </c>
      <c r="E34" s="392" t="e">
        <f t="shared" ref="E34:L34" si="3">SUM(E16:E32)</f>
        <v>#N/A</v>
      </c>
      <c r="F34" s="392" t="e">
        <f t="shared" si="3"/>
        <v>#N/A</v>
      </c>
      <c r="G34" s="392" t="e">
        <f t="shared" si="3"/>
        <v>#N/A</v>
      </c>
      <c r="H34" s="392" t="e">
        <f t="shared" si="3"/>
        <v>#N/A</v>
      </c>
      <c r="I34" s="392" t="e">
        <f t="shared" si="3"/>
        <v>#N/A</v>
      </c>
      <c r="J34" s="392" t="e">
        <f t="shared" si="3"/>
        <v>#N/A</v>
      </c>
      <c r="K34" s="392" t="e">
        <f t="shared" si="3"/>
        <v>#N/A</v>
      </c>
      <c r="L34" s="392" t="e">
        <f t="shared" si="3"/>
        <v>#N/A</v>
      </c>
      <c r="M34" s="392" t="e">
        <f>SUM(M16:M32)</f>
        <v>#N/A</v>
      </c>
      <c r="N34" s="392" t="e">
        <f>SUM(N16:N32)</f>
        <v>#N/A</v>
      </c>
      <c r="O34" s="392" t="e">
        <f>SUM(O16:O32)</f>
        <v>#N/A</v>
      </c>
      <c r="P34" s="392" t="e">
        <f>SUM(P16:P32)</f>
        <v>#N/A</v>
      </c>
      <c r="Q34" s="392" t="e">
        <f t="shared" si="0"/>
        <v>#N/A</v>
      </c>
    </row>
    <row r="35" spans="1:17" ht="18" customHeight="1" thickTop="1">
      <c r="A35" s="785" t="s">
        <v>171</v>
      </c>
      <c r="B35" s="88">
        <f>'Falhas UM-4 Qty'!B35</f>
        <v>4310</v>
      </c>
      <c r="C35" s="89" t="str">
        <f>'Falhas UM-4 Qty'!C35</f>
        <v>Pilha deformada</v>
      </c>
      <c r="D35" s="360">
        <f>'[4]Falhas UM-4'!I35</f>
        <v>0</v>
      </c>
      <c r="E35" s="390" t="e">
        <f>$D35/1000*'Falhas UM-4 Qty'!E35</f>
        <v>#N/A</v>
      </c>
      <c r="F35" s="390" t="e">
        <f>$D35/1000*'Falhas UM-4 Qty'!F35</f>
        <v>#N/A</v>
      </c>
      <c r="G35" s="390" t="e">
        <f>$D35/1000*'Falhas UM-4 Qty'!G35</f>
        <v>#N/A</v>
      </c>
      <c r="H35" s="390" t="e">
        <f>$D35/1000*'Falhas UM-4 Qty'!H35</f>
        <v>#N/A</v>
      </c>
      <c r="I35" s="390" t="e">
        <f>$D35/1000*'Falhas UM-4 Qty'!I35</f>
        <v>#N/A</v>
      </c>
      <c r="J35" s="390" t="e">
        <f>$D35/1000*'Falhas UM-4 Qty'!J35</f>
        <v>#N/A</v>
      </c>
      <c r="K35" s="390" t="e">
        <f>$D35/1000*'Falhas UM-4 Qty'!K35</f>
        <v>#N/A</v>
      </c>
      <c r="L35" s="390" t="e">
        <f>$D35/1000*'Falhas UM-4 Qty'!L35</f>
        <v>#N/A</v>
      </c>
      <c r="M35" s="390" t="e">
        <f>$D35/1000*'Falhas UM-4 Qty'!M35</f>
        <v>#N/A</v>
      </c>
      <c r="N35" s="390" t="e">
        <f>$D35/1000*'Falhas UM-4 Qty'!N35</f>
        <v>#N/A</v>
      </c>
      <c r="O35" s="390" t="e">
        <f>$D35/1000*'Falhas UM-4 Qty'!O35</f>
        <v>#N/A</v>
      </c>
      <c r="P35" s="390" t="e">
        <f>$D35/1000*'Falhas UM-4 Qty'!P35</f>
        <v>#N/A</v>
      </c>
      <c r="Q35" s="390" t="e">
        <f t="shared" si="0"/>
        <v>#N/A</v>
      </c>
    </row>
    <row r="36" spans="1:17" ht="18" customHeight="1">
      <c r="A36" s="783"/>
      <c r="B36" s="88">
        <f>'Falhas UM-4 Qty'!B36</f>
        <v>4320</v>
      </c>
      <c r="C36" s="96" t="str">
        <f>'Falhas UM-4 Qty'!C36</f>
        <v>PVC Mal impresso</v>
      </c>
      <c r="D36" s="361">
        <f>'[4]Falhas UM-4'!I36</f>
        <v>132.3897</v>
      </c>
      <c r="E36" s="390" t="e">
        <f>$D36/1000*'Falhas UM-4 Qty'!E36</f>
        <v>#N/A</v>
      </c>
      <c r="F36" s="390" t="e">
        <f>$D36/1000*'Falhas UM-4 Qty'!F36</f>
        <v>#N/A</v>
      </c>
      <c r="G36" s="390" t="e">
        <f>$D36/1000*'Falhas UM-4 Qty'!G36</f>
        <v>#N/A</v>
      </c>
      <c r="H36" s="390" t="e">
        <f>$D36/1000*'Falhas UM-4 Qty'!H36</f>
        <v>#N/A</v>
      </c>
      <c r="I36" s="390" t="e">
        <f>$D36/1000*'Falhas UM-4 Qty'!I36</f>
        <v>#N/A</v>
      </c>
      <c r="J36" s="390" t="e">
        <f>$D36/1000*'Falhas UM-4 Qty'!J36</f>
        <v>#N/A</v>
      </c>
      <c r="K36" s="390" t="e">
        <f>$D36/1000*'Falhas UM-4 Qty'!K36</f>
        <v>#N/A</v>
      </c>
      <c r="L36" s="390" t="e">
        <f>$D36/1000*'Falhas UM-4 Qty'!L36</f>
        <v>#N/A</v>
      </c>
      <c r="M36" s="390" t="e">
        <f>$D36/1000*'Falhas UM-4 Qty'!M36</f>
        <v>#N/A</v>
      </c>
      <c r="N36" s="390" t="e">
        <f>$D36/1000*'Falhas UM-4 Qty'!N36</f>
        <v>#N/A</v>
      </c>
      <c r="O36" s="390" t="e">
        <f>$D36/1000*'Falhas UM-4 Qty'!O36</f>
        <v>#N/A</v>
      </c>
      <c r="P36" s="390" t="e">
        <f>$D36/1000*'Falhas UM-4 Qty'!P36</f>
        <v>#N/A</v>
      </c>
      <c r="Q36" s="390" t="e">
        <f t="shared" si="0"/>
        <v>#N/A</v>
      </c>
    </row>
    <row r="37" spans="1:17" ht="18" customHeight="1">
      <c r="A37" s="783"/>
      <c r="B37" s="88">
        <f>'Falhas UM-4 Qty'!B37</f>
        <v>4330</v>
      </c>
      <c r="C37" s="96" t="str">
        <f>'Falhas UM-4 Qty'!C37</f>
        <v>PVC rasgado</v>
      </c>
      <c r="D37" s="361">
        <f>'[4]Falhas UM-4'!I37</f>
        <v>20.330200000000001</v>
      </c>
      <c r="E37" s="390" t="e">
        <f>$D37/1000*'Falhas UM-4 Qty'!E37</f>
        <v>#N/A</v>
      </c>
      <c r="F37" s="390" t="e">
        <f>$D37/1000*'Falhas UM-4 Qty'!F37</f>
        <v>#N/A</v>
      </c>
      <c r="G37" s="390" t="e">
        <f>$D37/1000*'Falhas UM-4 Qty'!G37</f>
        <v>#N/A</v>
      </c>
      <c r="H37" s="390" t="e">
        <f>$D37/1000*'Falhas UM-4 Qty'!H37</f>
        <v>#N/A</v>
      </c>
      <c r="I37" s="390" t="e">
        <f>$D37/1000*'Falhas UM-4 Qty'!I37</f>
        <v>#N/A</v>
      </c>
      <c r="J37" s="390" t="e">
        <f>$D37/1000*'Falhas UM-4 Qty'!J37</f>
        <v>#N/A</v>
      </c>
      <c r="K37" s="390" t="e">
        <f>$D37/1000*'Falhas UM-4 Qty'!K37</f>
        <v>#N/A</v>
      </c>
      <c r="L37" s="390" t="e">
        <f>$D37/1000*'Falhas UM-4 Qty'!L37</f>
        <v>#N/A</v>
      </c>
      <c r="M37" s="390" t="e">
        <f>$D37/1000*'Falhas UM-4 Qty'!M37</f>
        <v>#N/A</v>
      </c>
      <c r="N37" s="390" t="e">
        <f>$D37/1000*'Falhas UM-4 Qty'!N37</f>
        <v>#N/A</v>
      </c>
      <c r="O37" s="390" t="e">
        <f>$D37/1000*'Falhas UM-4 Qty'!O37</f>
        <v>#N/A</v>
      </c>
      <c r="P37" s="390" t="e">
        <f>$D37/1000*'Falhas UM-4 Qty'!P37</f>
        <v>#N/A</v>
      </c>
      <c r="Q37" s="390" t="e">
        <f t="shared" si="0"/>
        <v>#N/A</v>
      </c>
    </row>
    <row r="38" spans="1:17" ht="18" customHeight="1">
      <c r="A38" s="783"/>
      <c r="B38" s="88">
        <f>'Falhas UM-4 Qty'!B38</f>
        <v>4340</v>
      </c>
      <c r="C38" s="96" t="str">
        <f>'Falhas UM-4 Qty'!C38</f>
        <v>PVC deformado</v>
      </c>
      <c r="D38" s="361">
        <f>'[4]Falhas UM-4'!I38</f>
        <v>20.330200000000001</v>
      </c>
      <c r="E38" s="390" t="e">
        <f>$D38/1000*'Falhas UM-4 Qty'!E38</f>
        <v>#N/A</v>
      </c>
      <c r="F38" s="390" t="e">
        <f>$D38/1000*'Falhas UM-4 Qty'!F38</f>
        <v>#N/A</v>
      </c>
      <c r="G38" s="390" t="e">
        <f>$D38/1000*'Falhas UM-4 Qty'!G38</f>
        <v>#N/A</v>
      </c>
      <c r="H38" s="390" t="e">
        <f>$D38/1000*'Falhas UM-4 Qty'!H38</f>
        <v>#N/A</v>
      </c>
      <c r="I38" s="390" t="e">
        <f>$D38/1000*'Falhas UM-4 Qty'!I38</f>
        <v>#N/A</v>
      </c>
      <c r="J38" s="390" t="e">
        <f>$D38/1000*'Falhas UM-4 Qty'!J38</f>
        <v>#N/A</v>
      </c>
      <c r="K38" s="390" t="e">
        <f>$D38/1000*'Falhas UM-4 Qty'!K38</f>
        <v>#N/A</v>
      </c>
      <c r="L38" s="390" t="e">
        <f>$D38/1000*'Falhas UM-4 Qty'!L38</f>
        <v>#N/A</v>
      </c>
      <c r="M38" s="390" t="e">
        <f>$D38/1000*'Falhas UM-4 Qty'!M38</f>
        <v>#N/A</v>
      </c>
      <c r="N38" s="390" t="e">
        <f>$D38/1000*'Falhas UM-4 Qty'!N38</f>
        <v>#N/A</v>
      </c>
      <c r="O38" s="390" t="e">
        <f>$D38/1000*'Falhas UM-4 Qty'!O38</f>
        <v>#N/A</v>
      </c>
      <c r="P38" s="390" t="e">
        <f>$D38/1000*'Falhas UM-4 Qty'!P38</f>
        <v>#N/A</v>
      </c>
      <c r="Q38" s="390" t="e">
        <f t="shared" si="0"/>
        <v>#N/A</v>
      </c>
    </row>
    <row r="39" spans="1:17" ht="18" customHeight="1">
      <c r="A39" s="783"/>
      <c r="B39" s="209">
        <f>'Falhas UM-4 Qty'!B39</f>
        <v>4350</v>
      </c>
      <c r="C39" s="97" t="str">
        <f>'Falhas UM-4 Qty'!C39</f>
        <v>Outros - recup. Acb</v>
      </c>
      <c r="D39" s="364">
        <f>'[4]Falhas UM-4'!I39</f>
        <v>20.330200000000001</v>
      </c>
      <c r="E39" s="393" t="e">
        <f>$D39/1000*'Falhas UM-4 Qty'!E39</f>
        <v>#N/A</v>
      </c>
      <c r="F39" s="393" t="e">
        <f>$D39/1000*'Falhas UM-4 Qty'!F39</f>
        <v>#N/A</v>
      </c>
      <c r="G39" s="393" t="e">
        <f>$D39/1000*'Falhas UM-4 Qty'!G39</f>
        <v>#N/A</v>
      </c>
      <c r="H39" s="393" t="e">
        <f>$D39/1000*'Falhas UM-4 Qty'!H39</f>
        <v>#N/A</v>
      </c>
      <c r="I39" s="393" t="e">
        <f>$D39/1000*'Falhas UM-4 Qty'!I39</f>
        <v>#N/A</v>
      </c>
      <c r="J39" s="393" t="e">
        <f>$D39/1000*'Falhas UM-4 Qty'!J39</f>
        <v>#N/A</v>
      </c>
      <c r="K39" s="393" t="e">
        <f>$D39/1000*'Falhas UM-4 Qty'!K39</f>
        <v>#N/A</v>
      </c>
      <c r="L39" s="393" t="e">
        <f>$D39/1000*'Falhas UM-4 Qty'!L39</f>
        <v>#N/A</v>
      </c>
      <c r="M39" s="393" t="e">
        <f>$D39/1000*'Falhas UM-4 Qty'!M39</f>
        <v>#N/A</v>
      </c>
      <c r="N39" s="393" t="e">
        <f>$D39/1000*'Falhas UM-4 Qty'!N39</f>
        <v>#N/A</v>
      </c>
      <c r="O39" s="393" t="e">
        <f>$D39/1000*'Falhas UM-4 Qty'!O39</f>
        <v>#N/A</v>
      </c>
      <c r="P39" s="393" t="e">
        <f>$D39/1000*'Falhas UM-4 Qty'!P39</f>
        <v>#N/A</v>
      </c>
      <c r="Q39" s="393" t="e">
        <f t="shared" si="0"/>
        <v>#N/A</v>
      </c>
    </row>
    <row r="40" spans="1:17" ht="18" customHeight="1">
      <c r="A40" s="783"/>
      <c r="B40" s="88">
        <f>'Falhas UM-4 Qty'!B40</f>
        <v>4360</v>
      </c>
      <c r="C40" s="89" t="str">
        <f>'Falhas UM-4 Qty'!C40</f>
        <v>Sem Cap</v>
      </c>
      <c r="D40" s="360">
        <f>'[4]Falhas UM-4'!I40</f>
        <v>132.3897</v>
      </c>
      <c r="E40" s="389" t="e">
        <f>$D40/1000*'Falhas UM-4 Qty'!E40</f>
        <v>#N/A</v>
      </c>
      <c r="F40" s="389" t="e">
        <f>$D40/1000*'Falhas UM-4 Qty'!F40</f>
        <v>#N/A</v>
      </c>
      <c r="G40" s="389" t="e">
        <f>$D40/1000*'Falhas UM-4 Qty'!G40</f>
        <v>#N/A</v>
      </c>
      <c r="H40" s="389" t="e">
        <f>$D40/1000*'Falhas UM-4 Qty'!H40</f>
        <v>#N/A</v>
      </c>
      <c r="I40" s="389" t="e">
        <f>$D40/1000*'Falhas UM-4 Qty'!I40</f>
        <v>#N/A</v>
      </c>
      <c r="J40" s="389" t="e">
        <f>$D40/1000*'Falhas UM-4 Qty'!J40</f>
        <v>#N/A</v>
      </c>
      <c r="K40" s="389" t="e">
        <f>$D40/1000*'Falhas UM-4 Qty'!K40</f>
        <v>#N/A</v>
      </c>
      <c r="L40" s="389" t="e">
        <f>$D40/1000*'Falhas UM-4 Qty'!L40</f>
        <v>#N/A</v>
      </c>
      <c r="M40" s="389" t="e">
        <f>$D40/1000*'Falhas UM-4 Qty'!M40</f>
        <v>#N/A</v>
      </c>
      <c r="N40" s="389" t="e">
        <f>$D40/1000*'Falhas UM-4 Qty'!N40</f>
        <v>#N/A</v>
      </c>
      <c r="O40" s="389" t="e">
        <f>$D40/1000*'Falhas UM-4 Qty'!O40</f>
        <v>#N/A</v>
      </c>
      <c r="P40" s="389" t="e">
        <f>$D40/1000*'Falhas UM-4 Qty'!P40</f>
        <v>#N/A</v>
      </c>
      <c r="Q40" s="389" t="e">
        <f t="shared" si="0"/>
        <v>#N/A</v>
      </c>
    </row>
    <row r="41" spans="1:17" ht="18" customHeight="1">
      <c r="A41" s="783"/>
      <c r="B41" s="88">
        <f>'Falhas UM-4 Qty'!B41</f>
        <v>4370</v>
      </c>
      <c r="C41" s="96" t="str">
        <f>'Falhas UM-4 Qty'!C41</f>
        <v>Cap Amassado / Afundado</v>
      </c>
      <c r="D41" s="361">
        <f>'[4]Falhas UM-4'!I41</f>
        <v>132.3897</v>
      </c>
      <c r="E41" s="390" t="e">
        <f>$D41/1000*'Falhas UM-4 Qty'!E41</f>
        <v>#N/A</v>
      </c>
      <c r="F41" s="390" t="e">
        <f>$D41/1000*'Falhas UM-4 Qty'!F41</f>
        <v>#N/A</v>
      </c>
      <c r="G41" s="390" t="e">
        <f>$D41/1000*'Falhas UM-4 Qty'!G41</f>
        <v>#N/A</v>
      </c>
      <c r="H41" s="390" t="e">
        <f>$D41/1000*'Falhas UM-4 Qty'!H41</f>
        <v>#N/A</v>
      </c>
      <c r="I41" s="390" t="e">
        <f>$D41/1000*'Falhas UM-4 Qty'!I41</f>
        <v>#N/A</v>
      </c>
      <c r="J41" s="390" t="e">
        <f>$D41/1000*'Falhas UM-4 Qty'!J41</f>
        <v>#N/A</v>
      </c>
      <c r="K41" s="390" t="e">
        <f>$D41/1000*'Falhas UM-4 Qty'!K41</f>
        <v>#N/A</v>
      </c>
      <c r="L41" s="390" t="e">
        <f>$D41/1000*'Falhas UM-4 Qty'!L41</f>
        <v>#N/A</v>
      </c>
      <c r="M41" s="390" t="e">
        <f>$D41/1000*'Falhas UM-4 Qty'!M41</f>
        <v>#N/A</v>
      </c>
      <c r="N41" s="390" t="e">
        <f>$D41/1000*'Falhas UM-4 Qty'!N41</f>
        <v>#N/A</v>
      </c>
      <c r="O41" s="390" t="e">
        <f>$D41/1000*'Falhas UM-4 Qty'!O41</f>
        <v>#N/A</v>
      </c>
      <c r="P41" s="390" t="e">
        <f>$D41/1000*'Falhas UM-4 Qty'!P41</f>
        <v>#N/A</v>
      </c>
      <c r="Q41" s="390" t="e">
        <f t="shared" si="0"/>
        <v>#N/A</v>
      </c>
    </row>
    <row r="42" spans="1:17" ht="18" customHeight="1">
      <c r="A42" s="783"/>
      <c r="B42" s="88">
        <f>'Falhas UM-4 Qty'!B42</f>
        <v>4380</v>
      </c>
      <c r="C42" s="96" t="str">
        <f>'Falhas UM-4 Qty'!C42</f>
        <v>Cap Rachado</v>
      </c>
      <c r="D42" s="361">
        <f>'[4]Falhas UM-4'!I42</f>
        <v>132.3897</v>
      </c>
      <c r="E42" s="390" t="e">
        <f>$D42/1000*'Falhas UM-4 Qty'!E42</f>
        <v>#N/A</v>
      </c>
      <c r="F42" s="390" t="e">
        <f>$D42/1000*'Falhas UM-4 Qty'!F42</f>
        <v>#N/A</v>
      </c>
      <c r="G42" s="390" t="e">
        <f>$D42/1000*'Falhas UM-4 Qty'!G42</f>
        <v>#N/A</v>
      </c>
      <c r="H42" s="390" t="e">
        <f>$D42/1000*'Falhas UM-4 Qty'!H42</f>
        <v>#N/A</v>
      </c>
      <c r="I42" s="390" t="e">
        <f>$D42/1000*'Falhas UM-4 Qty'!I42</f>
        <v>#N/A</v>
      </c>
      <c r="J42" s="390" t="e">
        <f>$D42/1000*'Falhas UM-4 Qty'!J42</f>
        <v>#N/A</v>
      </c>
      <c r="K42" s="390" t="e">
        <f>$D42/1000*'Falhas UM-4 Qty'!K42</f>
        <v>#N/A</v>
      </c>
      <c r="L42" s="390" t="e">
        <f>$D42/1000*'Falhas UM-4 Qty'!L42</f>
        <v>#N/A</v>
      </c>
      <c r="M42" s="390" t="e">
        <f>$D42/1000*'Falhas UM-4 Qty'!M42</f>
        <v>#N/A</v>
      </c>
      <c r="N42" s="390" t="e">
        <f>$D42/1000*'Falhas UM-4 Qty'!N42</f>
        <v>#N/A</v>
      </c>
      <c r="O42" s="390" t="e">
        <f>$D42/1000*'Falhas UM-4 Qty'!O42</f>
        <v>#N/A</v>
      </c>
      <c r="P42" s="390" t="e">
        <f>$D42/1000*'Falhas UM-4 Qty'!P42</f>
        <v>#N/A</v>
      </c>
      <c r="Q42" s="390" t="e">
        <f t="shared" si="0"/>
        <v>#N/A</v>
      </c>
    </row>
    <row r="43" spans="1:17" ht="18" customHeight="1">
      <c r="A43" s="783"/>
      <c r="B43" s="88">
        <f>'Falhas UM-4 Qty'!B43</f>
        <v>4390</v>
      </c>
      <c r="C43" s="96" t="str">
        <f>'Falhas UM-4 Qty'!C43</f>
        <v>PY Deslocado</v>
      </c>
      <c r="D43" s="361">
        <f>'[4]Falhas UM-4'!I43</f>
        <v>132.3897</v>
      </c>
      <c r="E43" s="390" t="e">
        <f>$D43/1000*'Falhas UM-4 Qty'!E43</f>
        <v>#N/A</v>
      </c>
      <c r="F43" s="390" t="e">
        <f>$D43/1000*'Falhas UM-4 Qty'!F43</f>
        <v>#N/A</v>
      </c>
      <c r="G43" s="390" t="e">
        <f>$D43/1000*'Falhas UM-4 Qty'!G43</f>
        <v>#N/A</v>
      </c>
      <c r="H43" s="390" t="e">
        <f>$D43/1000*'Falhas UM-4 Qty'!H43</f>
        <v>#N/A</v>
      </c>
      <c r="I43" s="390" t="e">
        <f>$D43/1000*'Falhas UM-4 Qty'!I43</f>
        <v>#N/A</v>
      </c>
      <c r="J43" s="390" t="e">
        <f>$D43/1000*'Falhas UM-4 Qty'!J43</f>
        <v>#N/A</v>
      </c>
      <c r="K43" s="390" t="e">
        <f>$D43/1000*'Falhas UM-4 Qty'!K43</f>
        <v>#N/A</v>
      </c>
      <c r="L43" s="390" t="e">
        <f>$D43/1000*'Falhas UM-4 Qty'!L43</f>
        <v>#N/A</v>
      </c>
      <c r="M43" s="390" t="e">
        <f>$D43/1000*'Falhas UM-4 Qty'!M43</f>
        <v>#N/A</v>
      </c>
      <c r="N43" s="390" t="e">
        <f>$D43/1000*'Falhas UM-4 Qty'!N43</f>
        <v>#N/A</v>
      </c>
      <c r="O43" s="390" t="e">
        <f>$D43/1000*'Falhas UM-4 Qty'!O43</f>
        <v>#N/A</v>
      </c>
      <c r="P43" s="390" t="e">
        <f>$D43/1000*'Falhas UM-4 Qty'!P43</f>
        <v>#N/A</v>
      </c>
      <c r="Q43" s="390" t="e">
        <f t="shared" si="0"/>
        <v>#N/A</v>
      </c>
    </row>
    <row r="44" spans="1:17" ht="18" customHeight="1">
      <c r="A44" s="783"/>
      <c r="B44" s="88">
        <f>'Falhas UM-4 Qty'!B44</f>
        <v>4400</v>
      </c>
      <c r="C44" s="96" t="str">
        <f>'Falhas UM-4 Qty'!C44</f>
        <v>Sem PY</v>
      </c>
      <c r="D44" s="361">
        <f>'[4]Falhas UM-4'!I44</f>
        <v>132.3897</v>
      </c>
      <c r="E44" s="390" t="e">
        <f>$D44/1000*'Falhas UM-4 Qty'!E44</f>
        <v>#N/A</v>
      </c>
      <c r="F44" s="390" t="e">
        <f>$D44/1000*'Falhas UM-4 Qty'!F44</f>
        <v>#N/A</v>
      </c>
      <c r="G44" s="390" t="e">
        <f>$D44/1000*'Falhas UM-4 Qty'!G44</f>
        <v>#N/A</v>
      </c>
      <c r="H44" s="390" t="e">
        <f>$D44/1000*'Falhas UM-4 Qty'!H44</f>
        <v>#N/A</v>
      </c>
      <c r="I44" s="390" t="e">
        <f>$D44/1000*'Falhas UM-4 Qty'!I44</f>
        <v>#N/A</v>
      </c>
      <c r="J44" s="390" t="e">
        <f>$D44/1000*'Falhas UM-4 Qty'!J44</f>
        <v>#N/A</v>
      </c>
      <c r="K44" s="390" t="e">
        <f>$D44/1000*'Falhas UM-4 Qty'!K44</f>
        <v>#N/A</v>
      </c>
      <c r="L44" s="390" t="e">
        <f>$D44/1000*'Falhas UM-4 Qty'!L44</f>
        <v>#N/A</v>
      </c>
      <c r="M44" s="390" t="e">
        <f>$D44/1000*'Falhas UM-4 Qty'!M44</f>
        <v>#N/A</v>
      </c>
      <c r="N44" s="390" t="e">
        <f>$D44/1000*'Falhas UM-4 Qty'!N44</f>
        <v>#N/A</v>
      </c>
      <c r="O44" s="390" t="e">
        <f>$D44/1000*'Falhas UM-4 Qty'!O44</f>
        <v>#N/A</v>
      </c>
      <c r="P44" s="390" t="e">
        <f>$D44/1000*'Falhas UM-4 Qty'!P44</f>
        <v>#N/A</v>
      </c>
      <c r="Q44" s="390" t="e">
        <f t="shared" si="0"/>
        <v>#N/A</v>
      </c>
    </row>
    <row r="45" spans="1:17" ht="18" customHeight="1">
      <c r="A45" s="783"/>
      <c r="B45" s="88">
        <f>'Falhas UM-4 Qty'!B45</f>
        <v>4410</v>
      </c>
      <c r="C45" s="99" t="str">
        <f>'Falhas UM-4 Qty'!C45</f>
        <v>Sem Bottom Plate</v>
      </c>
      <c r="D45" s="362">
        <f>'[4]Falhas UM-4'!I45</f>
        <v>132.3897</v>
      </c>
      <c r="E45" s="390" t="e">
        <f>$D45/1000*'Falhas UM-4 Qty'!E45</f>
        <v>#N/A</v>
      </c>
      <c r="F45" s="390" t="e">
        <f>$D45/1000*'Falhas UM-4 Qty'!F45</f>
        <v>#N/A</v>
      </c>
      <c r="G45" s="390" t="e">
        <f>$D45/1000*'Falhas UM-4 Qty'!G45</f>
        <v>#N/A</v>
      </c>
      <c r="H45" s="390" t="e">
        <f>$D45/1000*'Falhas UM-4 Qty'!H45</f>
        <v>#N/A</v>
      </c>
      <c r="I45" s="390" t="e">
        <f>$D45/1000*'Falhas UM-4 Qty'!I45</f>
        <v>#N/A</v>
      </c>
      <c r="J45" s="390" t="e">
        <f>$D45/1000*'Falhas UM-4 Qty'!J45</f>
        <v>#N/A</v>
      </c>
      <c r="K45" s="390" t="e">
        <f>$D45/1000*'Falhas UM-4 Qty'!K45</f>
        <v>#N/A</v>
      </c>
      <c r="L45" s="390" t="e">
        <f>$D45/1000*'Falhas UM-4 Qty'!L45</f>
        <v>#N/A</v>
      </c>
      <c r="M45" s="390" t="e">
        <f>$D45/1000*'Falhas UM-4 Qty'!M45</f>
        <v>#N/A</v>
      </c>
      <c r="N45" s="390" t="e">
        <f>$D45/1000*'Falhas UM-4 Qty'!N45</f>
        <v>#N/A</v>
      </c>
      <c r="O45" s="390" t="e">
        <f>$D45/1000*'Falhas UM-4 Qty'!O45</f>
        <v>#N/A</v>
      </c>
      <c r="P45" s="390" t="e">
        <f>$D45/1000*'Falhas UM-4 Qty'!P45</f>
        <v>#N/A</v>
      </c>
      <c r="Q45" s="390" t="e">
        <f t="shared" si="0"/>
        <v>#N/A</v>
      </c>
    </row>
    <row r="46" spans="1:17" ht="18" customHeight="1">
      <c r="A46" s="783"/>
      <c r="B46" s="88">
        <f>'Falhas UM-4 Qty'!B46</f>
        <v>4420</v>
      </c>
      <c r="C46" s="96" t="str">
        <f>'Falhas UM-4 Qty'!C46</f>
        <v>Bottom Plate Amassado</v>
      </c>
      <c r="D46" s="361">
        <f>'[4]Falhas UM-4'!I46</f>
        <v>132.3897</v>
      </c>
      <c r="E46" s="390" t="e">
        <f>$D46/1000*'Falhas UM-4 Qty'!E46</f>
        <v>#N/A</v>
      </c>
      <c r="F46" s="390" t="e">
        <f>$D46/1000*'Falhas UM-4 Qty'!F46</f>
        <v>#N/A</v>
      </c>
      <c r="G46" s="390" t="e">
        <f>$D46/1000*'Falhas UM-4 Qty'!G46</f>
        <v>#N/A</v>
      </c>
      <c r="H46" s="390" t="e">
        <f>$D46/1000*'Falhas UM-4 Qty'!H46</f>
        <v>#N/A</v>
      </c>
      <c r="I46" s="390" t="e">
        <f>$D46/1000*'Falhas UM-4 Qty'!I46</f>
        <v>#N/A</v>
      </c>
      <c r="J46" s="390" t="e">
        <f>$D46/1000*'Falhas UM-4 Qty'!J46</f>
        <v>#N/A</v>
      </c>
      <c r="K46" s="390" t="e">
        <f>$D46/1000*'Falhas UM-4 Qty'!K46</f>
        <v>#N/A</v>
      </c>
      <c r="L46" s="390" t="e">
        <f>$D46/1000*'Falhas UM-4 Qty'!L46</f>
        <v>#N/A</v>
      </c>
      <c r="M46" s="390" t="e">
        <f>$D46/1000*'Falhas UM-4 Qty'!M46</f>
        <v>#N/A</v>
      </c>
      <c r="N46" s="390" t="e">
        <f>$D46/1000*'Falhas UM-4 Qty'!N46</f>
        <v>#N/A</v>
      </c>
      <c r="O46" s="390" t="e">
        <f>$D46/1000*'Falhas UM-4 Qty'!O46</f>
        <v>#N/A</v>
      </c>
      <c r="P46" s="390" t="e">
        <f>$D46/1000*'Falhas UM-4 Qty'!P46</f>
        <v>#N/A</v>
      </c>
      <c r="Q46" s="390" t="e">
        <f t="shared" si="0"/>
        <v>#N/A</v>
      </c>
    </row>
    <row r="47" spans="1:17" ht="18" customHeight="1">
      <c r="A47" s="783"/>
      <c r="B47" s="88">
        <f>'Falhas UM-4 Qty'!B47</f>
        <v>4430</v>
      </c>
      <c r="C47" s="96" t="str">
        <f>'Falhas UM-4 Qty'!C47</f>
        <v>Fundo sujo</v>
      </c>
      <c r="D47" s="361">
        <f>'[4]Falhas UM-4'!I47</f>
        <v>132.3897</v>
      </c>
      <c r="E47" s="390" t="e">
        <f>$D47/1000*'Falhas UM-4 Qty'!E47</f>
        <v>#N/A</v>
      </c>
      <c r="F47" s="390" t="e">
        <f>$D47/1000*'Falhas UM-4 Qty'!F47</f>
        <v>#N/A</v>
      </c>
      <c r="G47" s="390" t="e">
        <f>$D47/1000*'Falhas UM-4 Qty'!G47</f>
        <v>#N/A</v>
      </c>
      <c r="H47" s="390" t="e">
        <f>$D47/1000*'Falhas UM-4 Qty'!H47</f>
        <v>#N/A</v>
      </c>
      <c r="I47" s="390" t="e">
        <f>$D47/1000*'Falhas UM-4 Qty'!I47</f>
        <v>#N/A</v>
      </c>
      <c r="J47" s="390" t="e">
        <f>$D47/1000*'Falhas UM-4 Qty'!J47</f>
        <v>#N/A</v>
      </c>
      <c r="K47" s="390" t="e">
        <f>$D47/1000*'Falhas UM-4 Qty'!K47</f>
        <v>#N/A</v>
      </c>
      <c r="L47" s="390" t="e">
        <f>$D47/1000*'Falhas UM-4 Qty'!L47</f>
        <v>#N/A</v>
      </c>
      <c r="M47" s="390" t="e">
        <f>$D47/1000*'Falhas UM-4 Qty'!M47</f>
        <v>#N/A</v>
      </c>
      <c r="N47" s="390" t="e">
        <f>$D47/1000*'Falhas UM-4 Qty'!N47</f>
        <v>#N/A</v>
      </c>
      <c r="O47" s="390" t="e">
        <f>$D47/1000*'Falhas UM-4 Qty'!O47</f>
        <v>#N/A</v>
      </c>
      <c r="P47" s="390" t="e">
        <f>$D47/1000*'Falhas UM-4 Qty'!P47</f>
        <v>#N/A</v>
      </c>
      <c r="Q47" s="390" t="e">
        <f t="shared" si="0"/>
        <v>#N/A</v>
      </c>
    </row>
    <row r="48" spans="1:17" ht="18" customHeight="1">
      <c r="A48" s="783"/>
      <c r="B48" s="88">
        <f>'Falhas UM-4 Qty'!B48</f>
        <v>4440</v>
      </c>
      <c r="C48" s="96" t="str">
        <f>'Falhas UM-4 Qty'!C48</f>
        <v>Tubo de Zinco Trincado</v>
      </c>
      <c r="D48" s="361">
        <f>'[4]Falhas UM-4'!I48</f>
        <v>132.3897</v>
      </c>
      <c r="E48" s="390" t="e">
        <f>$D48/1000*'Falhas UM-4 Qty'!E48</f>
        <v>#N/A</v>
      </c>
      <c r="F48" s="390" t="e">
        <f>$D48/1000*'Falhas UM-4 Qty'!F48</f>
        <v>#N/A</v>
      </c>
      <c r="G48" s="390" t="e">
        <f>$D48/1000*'Falhas UM-4 Qty'!G48</f>
        <v>#N/A</v>
      </c>
      <c r="H48" s="390" t="e">
        <f>$D48/1000*'Falhas UM-4 Qty'!H48</f>
        <v>#N/A</v>
      </c>
      <c r="I48" s="390" t="e">
        <f>$D48/1000*'Falhas UM-4 Qty'!I48</f>
        <v>#N/A</v>
      </c>
      <c r="J48" s="390" t="e">
        <f>$D48/1000*'Falhas UM-4 Qty'!J48</f>
        <v>#N/A</v>
      </c>
      <c r="K48" s="390" t="e">
        <f>$D48/1000*'Falhas UM-4 Qty'!K48</f>
        <v>#N/A</v>
      </c>
      <c r="L48" s="390" t="e">
        <f>$D48/1000*'Falhas UM-4 Qty'!L48</f>
        <v>#N/A</v>
      </c>
      <c r="M48" s="390" t="e">
        <f>$D48/1000*'Falhas UM-4 Qty'!M48</f>
        <v>#N/A</v>
      </c>
      <c r="N48" s="390" t="e">
        <f>$D48/1000*'Falhas UM-4 Qty'!N48</f>
        <v>#N/A</v>
      </c>
      <c r="O48" s="390" t="e">
        <f>$D48/1000*'Falhas UM-4 Qty'!O48</f>
        <v>#N/A</v>
      </c>
      <c r="P48" s="390" t="e">
        <f>$D48/1000*'Falhas UM-4 Qty'!P48</f>
        <v>#N/A</v>
      </c>
      <c r="Q48" s="390" t="e">
        <f t="shared" si="0"/>
        <v>#N/A</v>
      </c>
    </row>
    <row r="49" spans="1:20" ht="18" customHeight="1">
      <c r="A49" s="783"/>
      <c r="B49" s="88">
        <f>'Falhas UM-4 Qty'!B49</f>
        <v>4450</v>
      </c>
      <c r="C49" s="96" t="str">
        <f>'Falhas UM-4 Qty'!C49</f>
        <v>Pilha amassada</v>
      </c>
      <c r="D49" s="361">
        <f>'[4]Falhas UM-4'!I49</f>
        <v>132.3897</v>
      </c>
      <c r="E49" s="390" t="e">
        <f>$D49/1000*'Falhas UM-4 Qty'!E49</f>
        <v>#N/A</v>
      </c>
      <c r="F49" s="390" t="e">
        <f>$D49/1000*'Falhas UM-4 Qty'!F49</f>
        <v>#N/A</v>
      </c>
      <c r="G49" s="390" t="e">
        <f>$D49/1000*'Falhas UM-4 Qty'!G49</f>
        <v>#N/A</v>
      </c>
      <c r="H49" s="390" t="e">
        <f>$D49/1000*'Falhas UM-4 Qty'!H49</f>
        <v>#N/A</v>
      </c>
      <c r="I49" s="390" t="e">
        <f>$D49/1000*'Falhas UM-4 Qty'!I49</f>
        <v>#N/A</v>
      </c>
      <c r="J49" s="390" t="e">
        <f>$D49/1000*'Falhas UM-4 Qty'!J49</f>
        <v>#N/A</v>
      </c>
      <c r="K49" s="390" t="e">
        <f>$D49/1000*'Falhas UM-4 Qty'!K49</f>
        <v>#N/A</v>
      </c>
      <c r="L49" s="390" t="e">
        <f>$D49/1000*'Falhas UM-4 Qty'!L49</f>
        <v>#N/A</v>
      </c>
      <c r="M49" s="390" t="e">
        <f>$D49/1000*'Falhas UM-4 Qty'!M49</f>
        <v>#N/A</v>
      </c>
      <c r="N49" s="390" t="e">
        <f>$D49/1000*'Falhas UM-4 Qty'!N49</f>
        <v>#N/A</v>
      </c>
      <c r="O49" s="390" t="e">
        <f>$D49/1000*'Falhas UM-4 Qty'!O49</f>
        <v>#N/A</v>
      </c>
      <c r="P49" s="390" t="e">
        <f>$D49/1000*'Falhas UM-4 Qty'!P49</f>
        <v>#N/A</v>
      </c>
      <c r="Q49" s="390" t="e">
        <f t="shared" si="0"/>
        <v>#N/A</v>
      </c>
    </row>
    <row r="50" spans="1:20" ht="18" customHeight="1">
      <c r="A50" s="783"/>
      <c r="B50" s="88">
        <f>'Falhas UM-4 Qty'!B50</f>
        <v>4460</v>
      </c>
      <c r="C50" s="96" t="str">
        <f>'Falhas UM-4 Qty'!C50</f>
        <v>Outros - acabamento</v>
      </c>
      <c r="D50" s="361">
        <f>'[4]Falhas UM-4'!I50</f>
        <v>132.3897</v>
      </c>
      <c r="E50" s="390" t="e">
        <f>$D50/1000*'Falhas UM-4 Qty'!E50</f>
        <v>#N/A</v>
      </c>
      <c r="F50" s="390" t="e">
        <f>$D50/1000*'Falhas UM-4 Qty'!F50</f>
        <v>#N/A</v>
      </c>
      <c r="G50" s="390" t="e">
        <f>$D50/1000*'Falhas UM-4 Qty'!G50</f>
        <v>#N/A</v>
      </c>
      <c r="H50" s="390" t="e">
        <f>$D50/1000*'Falhas UM-4 Qty'!H50</f>
        <v>#N/A</v>
      </c>
      <c r="I50" s="390" t="e">
        <f>$D50/1000*'Falhas UM-4 Qty'!I50</f>
        <v>#N/A</v>
      </c>
      <c r="J50" s="390" t="e">
        <f>$D50/1000*'Falhas UM-4 Qty'!J50</f>
        <v>#N/A</v>
      </c>
      <c r="K50" s="390" t="e">
        <f>$D50/1000*'Falhas UM-4 Qty'!K50</f>
        <v>#N/A</v>
      </c>
      <c r="L50" s="390" t="e">
        <f>$D50/1000*'Falhas UM-4 Qty'!L50</f>
        <v>#N/A</v>
      </c>
      <c r="M50" s="390" t="e">
        <f>$D50/1000*'Falhas UM-4 Qty'!M50</f>
        <v>#N/A</v>
      </c>
      <c r="N50" s="390" t="e">
        <f>$D50/1000*'Falhas UM-4 Qty'!N50</f>
        <v>#N/A</v>
      </c>
      <c r="O50" s="390" t="e">
        <f>$D50/1000*'Falhas UM-4 Qty'!O50</f>
        <v>#N/A</v>
      </c>
      <c r="P50" s="390" t="e">
        <f>$D50/1000*'Falhas UM-4 Qty'!P50</f>
        <v>#N/A</v>
      </c>
      <c r="Q50" s="390" t="e">
        <f t="shared" si="0"/>
        <v>#N/A</v>
      </c>
    </row>
    <row r="51" spans="1:20" ht="18" customHeight="1">
      <c r="A51" s="783"/>
      <c r="B51" s="88">
        <f>'Falhas UM-4 Qty'!B51</f>
        <v>4462</v>
      </c>
      <c r="C51" s="89" t="str">
        <f>'Falhas UM-4 Qty'!C51</f>
        <v>Amassada na saída da encaixotadeira</v>
      </c>
      <c r="D51" s="360">
        <f>D50</f>
        <v>132.3897</v>
      </c>
      <c r="E51" s="390" t="e">
        <f>$D51/1000*'Falhas UM-4 Qty'!E51</f>
        <v>#N/A</v>
      </c>
      <c r="F51" s="390" t="e">
        <f>$D51/1000*'Falhas UM-4 Qty'!F51</f>
        <v>#N/A</v>
      </c>
      <c r="G51" s="390" t="e">
        <f>$D51/1000*'Falhas UM-4 Qty'!G51</f>
        <v>#N/A</v>
      </c>
      <c r="H51" s="390" t="e">
        <f>$D51/1000*'Falhas UM-4 Qty'!H51</f>
        <v>#N/A</v>
      </c>
      <c r="I51" s="390" t="e">
        <f>$D51/1000*'Falhas UM-4 Qty'!I51</f>
        <v>#N/A</v>
      </c>
      <c r="J51" s="390" t="e">
        <f>$D51/1000*'Falhas UM-4 Qty'!J51</f>
        <v>#N/A</v>
      </c>
      <c r="K51" s="390" t="e">
        <f>$D51/1000*'Falhas UM-4 Qty'!K51</f>
        <v>#N/A</v>
      </c>
      <c r="L51" s="390" t="e">
        <f>$D51/1000*'Falhas UM-4 Qty'!L51</f>
        <v>#N/A</v>
      </c>
      <c r="M51" s="390" t="e">
        <f>$D51/1000*'Falhas UM-4 Qty'!M51</f>
        <v>#N/A</v>
      </c>
      <c r="N51" s="390" t="e">
        <f>$D51/1000*'Falhas UM-4 Qty'!N51</f>
        <v>#N/A</v>
      </c>
      <c r="O51" s="390" t="e">
        <f>$D51/1000*'Falhas UM-4 Qty'!O51</f>
        <v>#N/A</v>
      </c>
      <c r="P51" s="390" t="e">
        <f>$D51/1000*'Falhas UM-4 Qty'!P51</f>
        <v>#N/A</v>
      </c>
      <c r="Q51" s="390" t="e">
        <f>SUM(E51:P51)</f>
        <v>#N/A</v>
      </c>
    </row>
    <row r="52" spans="1:20" ht="18" customHeight="1">
      <c r="A52" s="783"/>
      <c r="B52" s="88">
        <f>'Falhas UM-4 Qty'!B52</f>
        <v>4464</v>
      </c>
      <c r="C52" s="89" t="str">
        <f>'Falhas UM-4 Qty'!C52</f>
        <v>Amassada na faca</v>
      </c>
      <c r="D52" s="360">
        <f>D51</f>
        <v>132.3897</v>
      </c>
      <c r="E52" s="390" t="e">
        <f>$D52/1000*'Falhas UM-4 Qty'!E52</f>
        <v>#N/A</v>
      </c>
      <c r="F52" s="390" t="e">
        <f>$D52/1000*'Falhas UM-4 Qty'!F52</f>
        <v>#N/A</v>
      </c>
      <c r="G52" s="390" t="e">
        <f>$D52/1000*'Falhas UM-4 Qty'!G52</f>
        <v>#N/A</v>
      </c>
      <c r="H52" s="390" t="e">
        <f>$D52/1000*'Falhas UM-4 Qty'!H52</f>
        <v>#N/A</v>
      </c>
      <c r="I52" s="390" t="e">
        <f>$D52/1000*'Falhas UM-4 Qty'!I52</f>
        <v>#N/A</v>
      </c>
      <c r="J52" s="390" t="e">
        <f>$D52/1000*'Falhas UM-4 Qty'!J52</f>
        <v>#N/A</v>
      </c>
      <c r="K52" s="390" t="e">
        <f>$D52/1000*'Falhas UM-4 Qty'!K52</f>
        <v>#N/A</v>
      </c>
      <c r="L52" s="390" t="e">
        <f>$D52/1000*'Falhas UM-4 Qty'!L52</f>
        <v>#N/A</v>
      </c>
      <c r="M52" s="390" t="e">
        <f>$D52/1000*'Falhas UM-4 Qty'!M52</f>
        <v>#N/A</v>
      </c>
      <c r="N52" s="390" t="e">
        <f>$D52/1000*'Falhas UM-4 Qty'!N52</f>
        <v>#N/A</v>
      </c>
      <c r="O52" s="390" t="e">
        <f>$D52/1000*'Falhas UM-4 Qty'!O52</f>
        <v>#N/A</v>
      </c>
      <c r="P52" s="390" t="e">
        <f>$D52/1000*'Falhas UM-4 Qty'!P52</f>
        <v>#N/A</v>
      </c>
      <c r="Q52" s="390" t="e">
        <f>SUM(E52:P52)</f>
        <v>#N/A</v>
      </c>
    </row>
    <row r="53" spans="1:20" ht="18" customHeight="1">
      <c r="A53" s="783"/>
      <c r="B53" s="88">
        <f>'Falhas UM-4 Qty'!B53</f>
        <v>4466</v>
      </c>
      <c r="C53" s="89" t="str">
        <f>'Falhas UM-4 Qty'!C53</f>
        <v>Outros</v>
      </c>
      <c r="D53" s="360">
        <f>D52</f>
        <v>132.3897</v>
      </c>
      <c r="E53" s="390" t="e">
        <f>$D53/1000*'Falhas UM-4 Qty'!E53</f>
        <v>#N/A</v>
      </c>
      <c r="F53" s="390" t="e">
        <f>$D53/1000*'Falhas UM-4 Qty'!F53</f>
        <v>#N/A</v>
      </c>
      <c r="G53" s="390" t="e">
        <f>$D53/1000*'Falhas UM-4 Qty'!G53</f>
        <v>#N/A</v>
      </c>
      <c r="H53" s="390" t="e">
        <f>$D53/1000*'Falhas UM-4 Qty'!H53</f>
        <v>#N/A</v>
      </c>
      <c r="I53" s="390" t="e">
        <f>$D53/1000*'Falhas UM-4 Qty'!I53</f>
        <v>#N/A</v>
      </c>
      <c r="J53" s="390" t="e">
        <f>$D53/1000*'Falhas UM-4 Qty'!J53</f>
        <v>#N/A</v>
      </c>
      <c r="K53" s="390" t="e">
        <f>$D53/1000*'Falhas UM-4 Qty'!K53</f>
        <v>#N/A</v>
      </c>
      <c r="L53" s="390" t="e">
        <f>$D53/1000*'Falhas UM-4 Qty'!L53</f>
        <v>#N/A</v>
      </c>
      <c r="M53" s="390" t="e">
        <f>$D53/1000*'Falhas UM-4 Qty'!M53</f>
        <v>#N/A</v>
      </c>
      <c r="N53" s="390" t="e">
        <f>$D53/1000*'Falhas UM-4 Qty'!N53</f>
        <v>#N/A</v>
      </c>
      <c r="O53" s="390" t="e">
        <f>$D53/1000*'Falhas UM-4 Qty'!O53</f>
        <v>#N/A</v>
      </c>
      <c r="P53" s="390" t="e">
        <f>$D53/1000*'Falhas UM-4 Qty'!P53</f>
        <v>#N/A</v>
      </c>
      <c r="Q53" s="390" t="e">
        <f>SUM(E53:P53)</f>
        <v>#N/A</v>
      </c>
    </row>
    <row r="54" spans="1:20" ht="18" customHeight="1">
      <c r="A54" s="783"/>
      <c r="B54" s="103"/>
      <c r="C54" s="104" t="s">
        <v>1</v>
      </c>
      <c r="D54" s="366">
        <f>'[4]Falhas UM-4'!I52</f>
        <v>132.3897</v>
      </c>
      <c r="E54" s="394" t="e">
        <f t="shared" ref="E54:P54" si="4">SUM(E35:E53)</f>
        <v>#N/A</v>
      </c>
      <c r="F54" s="394" t="e">
        <f t="shared" si="4"/>
        <v>#N/A</v>
      </c>
      <c r="G54" s="394" t="e">
        <f t="shared" si="4"/>
        <v>#N/A</v>
      </c>
      <c r="H54" s="394" t="e">
        <f t="shared" si="4"/>
        <v>#N/A</v>
      </c>
      <c r="I54" s="394" t="e">
        <f t="shared" si="4"/>
        <v>#N/A</v>
      </c>
      <c r="J54" s="394" t="e">
        <f t="shared" si="4"/>
        <v>#N/A</v>
      </c>
      <c r="K54" s="394" t="e">
        <f t="shared" si="4"/>
        <v>#N/A</v>
      </c>
      <c r="L54" s="394" t="e">
        <f t="shared" si="4"/>
        <v>#N/A</v>
      </c>
      <c r="M54" s="394" t="e">
        <f t="shared" si="4"/>
        <v>#N/A</v>
      </c>
      <c r="N54" s="394" t="e">
        <f t="shared" si="4"/>
        <v>#N/A</v>
      </c>
      <c r="O54" s="394" t="e">
        <f t="shared" si="4"/>
        <v>#N/A</v>
      </c>
      <c r="P54" s="394" t="e">
        <f t="shared" si="4"/>
        <v>#N/A</v>
      </c>
      <c r="Q54" s="394" t="e">
        <f t="shared" si="0"/>
        <v>#N/A</v>
      </c>
    </row>
    <row r="55" spans="1:20" ht="18" customHeight="1">
      <c r="A55" s="783"/>
      <c r="B55" s="88">
        <f>B50+10</f>
        <v>4470</v>
      </c>
      <c r="C55" s="89" t="s">
        <v>2</v>
      </c>
      <c r="D55" s="360">
        <f>'[4]Falhas UM-4'!I53</f>
        <v>132.3897</v>
      </c>
      <c r="E55" s="429" t="e">
        <f>$D55/1000*'Falhas UM-4 Qty'!E56</f>
        <v>#N/A</v>
      </c>
      <c r="F55" s="429" t="e">
        <f>$D55/1000*'Falhas UM-4 Qty'!F56</f>
        <v>#N/A</v>
      </c>
      <c r="G55" s="429" t="e">
        <f>$D55/1000*'Falhas UM-4 Qty'!G56</f>
        <v>#N/A</v>
      </c>
      <c r="H55" s="429" t="e">
        <f>$D55/1000*'Falhas UM-4 Qty'!H56</f>
        <v>#N/A</v>
      </c>
      <c r="I55" s="429" t="e">
        <f>$D55/1000*'Falhas UM-4 Qty'!I56</f>
        <v>#N/A</v>
      </c>
      <c r="J55" s="429" t="e">
        <f>$D55/1000*'Falhas UM-4 Qty'!J56</f>
        <v>#N/A</v>
      </c>
      <c r="K55" s="429" t="e">
        <f>$D55/1000*'Falhas UM-4 Qty'!K56</f>
        <v>#N/A</v>
      </c>
      <c r="L55" s="429" t="e">
        <f>$D55/1000*'Falhas UM-4 Qty'!L56</f>
        <v>#N/A</v>
      </c>
      <c r="M55" s="429" t="e">
        <f>$D55/1000*'Falhas UM-4 Qty'!M56</f>
        <v>#N/A</v>
      </c>
      <c r="N55" s="429" t="e">
        <f>$D55/1000*'Falhas UM-4 Qty'!N56</f>
        <v>#N/A</v>
      </c>
      <c r="O55" s="429" t="e">
        <f>$D55/1000*'Falhas UM-4 Qty'!O56</f>
        <v>#N/A</v>
      </c>
      <c r="P55" s="429" t="e">
        <f>$D55/1000*'Falhas UM-4 Qty'!P56</f>
        <v>#N/A</v>
      </c>
      <c r="Q55" s="429" t="e">
        <f t="shared" si="0"/>
        <v>#N/A</v>
      </c>
    </row>
    <row r="56" spans="1:20" ht="18" customHeight="1">
      <c r="A56" s="783"/>
      <c r="B56" s="103">
        <f>B55+10</f>
        <v>4480</v>
      </c>
      <c r="C56" s="107" t="s">
        <v>60</v>
      </c>
      <c r="D56" s="367">
        <f>'[4]Falhas UM-4'!I54</f>
        <v>132.3897</v>
      </c>
      <c r="E56" s="430" t="e">
        <f>$D56/1000*'Falhas UM-4 Qty'!E55</f>
        <v>#N/A</v>
      </c>
      <c r="F56" s="430" t="e">
        <f>$D56/1000*'Falhas UM-4 Qty'!F55</f>
        <v>#N/A</v>
      </c>
      <c r="G56" s="430" t="e">
        <f>$D56/1000*'Falhas UM-4 Qty'!G55</f>
        <v>#N/A</v>
      </c>
      <c r="H56" s="430" t="e">
        <f>$D56/1000*'Falhas UM-4 Qty'!H55</f>
        <v>#N/A</v>
      </c>
      <c r="I56" s="430" t="e">
        <f>$D56/1000*'Falhas UM-4 Qty'!I55</f>
        <v>#N/A</v>
      </c>
      <c r="J56" s="430" t="e">
        <f>$D56/1000*'Falhas UM-4 Qty'!J55</f>
        <v>#N/A</v>
      </c>
      <c r="K56" s="430" t="e">
        <f>$D56/1000*'Falhas UM-4 Qty'!K55</f>
        <v>#N/A</v>
      </c>
      <c r="L56" s="430" t="e">
        <f>$D56/1000*'Falhas UM-4 Qty'!L55</f>
        <v>#N/A</v>
      </c>
      <c r="M56" s="430" t="e">
        <f>$D56/1000*'Falhas UM-4 Qty'!M55</f>
        <v>#N/A</v>
      </c>
      <c r="N56" s="430" t="e">
        <f>$D56/1000*'Falhas UM-4 Qty'!N55</f>
        <v>#N/A</v>
      </c>
      <c r="O56" s="430" t="e">
        <f>$D56/1000*'Falhas UM-4 Qty'!O55</f>
        <v>#N/A</v>
      </c>
      <c r="P56" s="430" t="e">
        <f>$D56/1000*'Falhas UM-4 Qty'!P55</f>
        <v>#N/A</v>
      </c>
      <c r="Q56" s="430" t="e">
        <f t="shared" si="0"/>
        <v>#N/A</v>
      </c>
    </row>
    <row r="57" spans="1:20" ht="18" customHeight="1">
      <c r="A57" s="783"/>
      <c r="B57" s="108">
        <f>B56+10</f>
        <v>4490</v>
      </c>
      <c r="C57" s="86" t="s">
        <v>76</v>
      </c>
      <c r="D57" s="359">
        <f>'[4]Falhas UM-4'!I55</f>
        <v>0</v>
      </c>
      <c r="E57" s="431" t="e">
        <f>$D57/1000*'Falhas UM-4 Qty'!E57</f>
        <v>#N/A</v>
      </c>
      <c r="F57" s="431" t="e">
        <f>$D57/1000*'Falhas UM-4 Qty'!F57</f>
        <v>#N/A</v>
      </c>
      <c r="G57" s="431" t="e">
        <f>$D57/1000*'Falhas UM-4 Qty'!G57</f>
        <v>#N/A</v>
      </c>
      <c r="H57" s="431" t="e">
        <f>$D57/1000*'Falhas UM-4 Qty'!H57</f>
        <v>#N/A</v>
      </c>
      <c r="I57" s="431" t="e">
        <f>$D57/1000*'Falhas UM-4 Qty'!I57</f>
        <v>#N/A</v>
      </c>
      <c r="J57" s="431" t="e">
        <f>$D57/1000*'Falhas UM-4 Qty'!J57</f>
        <v>#N/A</v>
      </c>
      <c r="K57" s="431" t="e">
        <f>$D57/1000*'Falhas UM-4 Qty'!K57</f>
        <v>#N/A</v>
      </c>
      <c r="L57" s="431" t="e">
        <f>$D57/1000*'Falhas UM-4 Qty'!L57</f>
        <v>#N/A</v>
      </c>
      <c r="M57" s="431" t="e">
        <f>$D57/1000*'Falhas UM-4 Qty'!M57</f>
        <v>#N/A</v>
      </c>
      <c r="N57" s="431" t="e">
        <f>$D57/1000*'Falhas UM-4 Qty'!N57</f>
        <v>#N/A</v>
      </c>
      <c r="O57" s="431" t="e">
        <f>$D57/1000*'Falhas UM-4 Qty'!O57</f>
        <v>#N/A</v>
      </c>
      <c r="P57" s="431" t="e">
        <f>$D57/1000*'Falhas UM-4 Qty'!P57</f>
        <v>#N/A</v>
      </c>
      <c r="Q57" s="431" t="e">
        <f t="shared" si="0"/>
        <v>#N/A</v>
      </c>
    </row>
    <row r="58" spans="1:20" ht="18" customHeight="1">
      <c r="A58" s="783"/>
      <c r="B58" s="109">
        <f>B57+10</f>
        <v>4500</v>
      </c>
      <c r="C58" s="97" t="s">
        <v>75</v>
      </c>
      <c r="D58" s="364">
        <f>'[4]Falhas UM-4'!I56</f>
        <v>0</v>
      </c>
      <c r="E58" s="432" t="e">
        <f>$D58/1000*'Falhas UM-4 Qty'!E58</f>
        <v>#N/A</v>
      </c>
      <c r="F58" s="432" t="e">
        <f>$D58/1000*'Falhas UM-4 Qty'!F58</f>
        <v>#N/A</v>
      </c>
      <c r="G58" s="432" t="e">
        <f>$D58/1000*'Falhas UM-4 Qty'!G58</f>
        <v>#N/A</v>
      </c>
      <c r="H58" s="432" t="e">
        <f>$D58/1000*'Falhas UM-4 Qty'!H58</f>
        <v>#N/A</v>
      </c>
      <c r="I58" s="432" t="e">
        <f>$D58/1000*'Falhas UM-4 Qty'!I58</f>
        <v>#N/A</v>
      </c>
      <c r="J58" s="432" t="e">
        <f>$D58/1000*'Falhas UM-4 Qty'!J58</f>
        <v>#N/A</v>
      </c>
      <c r="K58" s="432" t="e">
        <f>$D58/1000*'Falhas UM-4 Qty'!K58</f>
        <v>#N/A</v>
      </c>
      <c r="L58" s="432" t="e">
        <f>$D58/1000*'Falhas UM-4 Qty'!L58</f>
        <v>#N/A</v>
      </c>
      <c r="M58" s="432" t="e">
        <f>$D58/1000*'Falhas UM-4 Qty'!M58</f>
        <v>#N/A</v>
      </c>
      <c r="N58" s="432" t="e">
        <f>$D58/1000*'Falhas UM-4 Qty'!N58</f>
        <v>#N/A</v>
      </c>
      <c r="O58" s="432" t="e">
        <f>$D58/1000*'Falhas UM-4 Qty'!O58</f>
        <v>#N/A</v>
      </c>
      <c r="P58" s="432" t="e">
        <f>$D58/1000*'Falhas UM-4 Qty'!P58</f>
        <v>#N/A</v>
      </c>
      <c r="Q58" s="432" t="e">
        <f t="shared" si="0"/>
        <v>#N/A</v>
      </c>
    </row>
    <row r="59" spans="1:20" ht="18" customHeight="1" thickBot="1">
      <c r="A59" s="784"/>
      <c r="B59" s="110"/>
      <c r="C59" s="111" t="s">
        <v>1</v>
      </c>
      <c r="D59" s="365">
        <f>'[4]Falhas UM-4'!I57</f>
        <v>132.3897</v>
      </c>
      <c r="E59" s="433" t="e">
        <f t="shared" ref="E59:L59" si="5">SUM(E55:E58)</f>
        <v>#N/A</v>
      </c>
      <c r="F59" s="433" t="e">
        <f t="shared" si="5"/>
        <v>#N/A</v>
      </c>
      <c r="G59" s="433" t="e">
        <f t="shared" si="5"/>
        <v>#N/A</v>
      </c>
      <c r="H59" s="433" t="e">
        <f t="shared" si="5"/>
        <v>#N/A</v>
      </c>
      <c r="I59" s="433" t="e">
        <f t="shared" si="5"/>
        <v>#N/A</v>
      </c>
      <c r="J59" s="433" t="e">
        <f t="shared" si="5"/>
        <v>#N/A</v>
      </c>
      <c r="K59" s="433" t="e">
        <f t="shared" si="5"/>
        <v>#N/A</v>
      </c>
      <c r="L59" s="433" t="e">
        <f t="shared" si="5"/>
        <v>#N/A</v>
      </c>
      <c r="M59" s="433" t="e">
        <f>SUM(M55:M58)</f>
        <v>#N/A</v>
      </c>
      <c r="N59" s="433" t="e">
        <f>SUM(N55:N58)</f>
        <v>#N/A</v>
      </c>
      <c r="O59" s="433" t="e">
        <f>SUM(O55:O58)</f>
        <v>#N/A</v>
      </c>
      <c r="P59" s="433" t="e">
        <f>SUM(P55:P58)</f>
        <v>#N/A</v>
      </c>
      <c r="Q59" s="433" t="e">
        <f t="shared" si="0"/>
        <v>#N/A</v>
      </c>
    </row>
    <row r="60" spans="1:20" ht="18" customHeight="1" thickTop="1">
      <c r="A60" s="112"/>
      <c r="B60" s="88"/>
      <c r="C60" s="89"/>
      <c r="D60" s="360">
        <f>'[4]Falhas UM-4'!I58</f>
        <v>0</v>
      </c>
      <c r="E60" s="429" t="e">
        <f>$D60/1000*'Falhas UM-4 Qty'!E60</f>
        <v>#N/A</v>
      </c>
      <c r="F60" s="429" t="e">
        <f>$D60/1000*'Falhas UM-4 Qty'!F60</f>
        <v>#N/A</v>
      </c>
      <c r="G60" s="429" t="e">
        <f>$D60/1000*'Falhas UM-4 Qty'!G60</f>
        <v>#N/A</v>
      </c>
      <c r="H60" s="429" t="e">
        <f>$D60/1000*'Falhas UM-4 Qty'!H60</f>
        <v>#N/A</v>
      </c>
      <c r="I60" s="429" t="e">
        <f>$D60/1000*'Falhas UM-4 Qty'!I60</f>
        <v>#N/A</v>
      </c>
      <c r="J60" s="429" t="e">
        <f>$D60/1000*'Falhas UM-4 Qty'!J60</f>
        <v>#N/A</v>
      </c>
      <c r="K60" s="429" t="e">
        <f>$D60/1000*'Falhas UM-4 Qty'!K60</f>
        <v>#N/A</v>
      </c>
      <c r="L60" s="429" t="e">
        <f>$D60/1000*'Falhas UM-4 Qty'!L60</f>
        <v>#N/A</v>
      </c>
      <c r="M60" s="429" t="e">
        <f>$D60/1000*'Falhas UM-4 Qty'!M60</f>
        <v>#N/A</v>
      </c>
      <c r="N60" s="429" t="e">
        <f>$D60/1000*'Falhas UM-4 Qty'!N60</f>
        <v>#N/A</v>
      </c>
      <c r="O60" s="429" t="e">
        <f>$D60/1000*'Falhas UM-4 Qty'!O60</f>
        <v>#N/A</v>
      </c>
      <c r="P60" s="429" t="e">
        <f>$D60/1000*'Falhas UM-4 Qty'!P60</f>
        <v>#N/A</v>
      </c>
      <c r="Q60" s="429" t="e">
        <f t="shared" si="0"/>
        <v>#N/A</v>
      </c>
    </row>
    <row r="61" spans="1:20" ht="18" customHeight="1">
      <c r="A61" s="205"/>
      <c r="B61" s="273"/>
      <c r="C61" s="274" t="s">
        <v>59</v>
      </c>
      <c r="D61" s="427">
        <f>'[4]Falhas UM-4'!I59</f>
        <v>5.8390659999999997E-2</v>
      </c>
      <c r="E61" s="434" t="e">
        <f t="shared" ref="E61:P61" si="6">E59+E54+E34</f>
        <v>#N/A</v>
      </c>
      <c r="F61" s="434" t="e">
        <f t="shared" si="6"/>
        <v>#N/A</v>
      </c>
      <c r="G61" s="434" t="e">
        <f t="shared" si="6"/>
        <v>#N/A</v>
      </c>
      <c r="H61" s="434" t="e">
        <f t="shared" si="6"/>
        <v>#N/A</v>
      </c>
      <c r="I61" s="434" t="e">
        <f t="shared" si="6"/>
        <v>#N/A</v>
      </c>
      <c r="J61" s="434" t="e">
        <f t="shared" si="6"/>
        <v>#N/A</v>
      </c>
      <c r="K61" s="434" t="e">
        <f t="shared" si="6"/>
        <v>#N/A</v>
      </c>
      <c r="L61" s="434" t="e">
        <f t="shared" si="6"/>
        <v>#N/A</v>
      </c>
      <c r="M61" s="434" t="e">
        <f t="shared" si="6"/>
        <v>#N/A</v>
      </c>
      <c r="N61" s="434" t="e">
        <f t="shared" si="6"/>
        <v>#N/A</v>
      </c>
      <c r="O61" s="434" t="e">
        <f t="shared" si="6"/>
        <v>#N/A</v>
      </c>
      <c r="P61" s="434" t="e">
        <f t="shared" si="6"/>
        <v>#N/A</v>
      </c>
      <c r="Q61" s="434" t="e">
        <f t="shared" si="0"/>
        <v>#N/A</v>
      </c>
    </row>
    <row r="62" spans="1:20" ht="18" customHeight="1">
      <c r="C62" s="276"/>
      <c r="D62" s="276">
        <f>'[6]Falhas UM-4'!I60</f>
        <v>0</v>
      </c>
      <c r="E62" s="279"/>
      <c r="F62" s="279"/>
      <c r="G62" s="279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S62" s="279"/>
      <c r="T62" s="279"/>
    </row>
    <row r="63" spans="1:20">
      <c r="B63" s="191" t="s">
        <v>186</v>
      </c>
      <c r="C63" s="227" t="s">
        <v>188</v>
      </c>
      <c r="D63" s="227">
        <f>'[6]Falhas UM-4'!I61</f>
        <v>0</v>
      </c>
      <c r="F63" s="226"/>
      <c r="G63" s="226"/>
      <c r="H63" s="226"/>
      <c r="I63" s="226"/>
      <c r="J63" s="226"/>
      <c r="K63" s="226"/>
      <c r="L63" s="226"/>
      <c r="M63" s="226"/>
      <c r="N63" s="226"/>
      <c r="O63" s="226"/>
      <c r="P63" s="226"/>
      <c r="Q63" s="226">
        <f t="shared" ref="Q63:Q68" si="7">SUM(E63:P63)</f>
        <v>0</v>
      </c>
      <c r="S63" s="222"/>
      <c r="T63" s="222"/>
    </row>
    <row r="64" spans="1:20">
      <c r="B64" s="191"/>
      <c r="C64" s="191" t="s">
        <v>189</v>
      </c>
      <c r="D64" s="191">
        <f>'[6]Falhas UM-4'!I62</f>
        <v>0</v>
      </c>
      <c r="E64" s="226" t="e">
        <f t="shared" ref="E64:P64" si="8">E15+E34</f>
        <v>#N/A</v>
      </c>
      <c r="F64" s="226" t="e">
        <f t="shared" si="8"/>
        <v>#N/A</v>
      </c>
      <c r="G64" s="226" t="e">
        <f t="shared" si="8"/>
        <v>#N/A</v>
      </c>
      <c r="H64" s="226" t="e">
        <f t="shared" si="8"/>
        <v>#N/A</v>
      </c>
      <c r="I64" s="226" t="e">
        <f t="shared" si="8"/>
        <v>#N/A</v>
      </c>
      <c r="J64" s="226" t="e">
        <f t="shared" si="8"/>
        <v>#N/A</v>
      </c>
      <c r="K64" s="226" t="e">
        <f t="shared" si="8"/>
        <v>#N/A</v>
      </c>
      <c r="L64" s="226" t="e">
        <f t="shared" si="8"/>
        <v>#N/A</v>
      </c>
      <c r="M64" s="226" t="e">
        <f t="shared" si="8"/>
        <v>#N/A</v>
      </c>
      <c r="N64" s="226" t="e">
        <f t="shared" si="8"/>
        <v>#N/A</v>
      </c>
      <c r="O64" s="226" t="e">
        <f t="shared" si="8"/>
        <v>#N/A</v>
      </c>
      <c r="P64" s="226" t="e">
        <f t="shared" si="8"/>
        <v>#N/A</v>
      </c>
      <c r="Q64" s="226" t="e">
        <f t="shared" si="7"/>
        <v>#N/A</v>
      </c>
      <c r="S64" s="222"/>
      <c r="T64" s="222"/>
    </row>
    <row r="65" spans="2:20">
      <c r="B65" s="191" t="s">
        <v>187</v>
      </c>
      <c r="C65" s="191" t="s">
        <v>188</v>
      </c>
      <c r="D65" s="191"/>
      <c r="F65" s="226"/>
      <c r="G65" s="226"/>
      <c r="H65" s="226"/>
      <c r="I65" s="226"/>
      <c r="J65" s="226"/>
      <c r="K65" s="226"/>
      <c r="L65" s="226"/>
      <c r="M65" s="226"/>
      <c r="N65" s="226"/>
      <c r="O65" s="226"/>
      <c r="P65" s="226"/>
      <c r="Q65" s="226">
        <f t="shared" si="7"/>
        <v>0</v>
      </c>
      <c r="S65" s="222"/>
      <c r="T65" s="222"/>
    </row>
    <row r="66" spans="2:20">
      <c r="B66" s="191"/>
      <c r="C66" s="191" t="s">
        <v>189</v>
      </c>
      <c r="D66" s="191"/>
      <c r="E66" s="226" t="e">
        <f>E54</f>
        <v>#N/A</v>
      </c>
      <c r="F66" s="226" t="e">
        <f t="shared" ref="F66:P66" si="9">F54</f>
        <v>#N/A</v>
      </c>
      <c r="G66" s="226" t="e">
        <f t="shared" si="9"/>
        <v>#N/A</v>
      </c>
      <c r="H66" s="226" t="e">
        <f t="shared" si="9"/>
        <v>#N/A</v>
      </c>
      <c r="I66" s="226" t="e">
        <f t="shared" si="9"/>
        <v>#N/A</v>
      </c>
      <c r="J66" s="226" t="e">
        <f t="shared" si="9"/>
        <v>#N/A</v>
      </c>
      <c r="K66" s="226" t="e">
        <f t="shared" si="9"/>
        <v>#N/A</v>
      </c>
      <c r="L66" s="226" t="e">
        <f t="shared" si="9"/>
        <v>#N/A</v>
      </c>
      <c r="M66" s="226" t="e">
        <f t="shared" si="9"/>
        <v>#N/A</v>
      </c>
      <c r="N66" s="226" t="e">
        <f t="shared" si="9"/>
        <v>#N/A</v>
      </c>
      <c r="O66" s="226" t="e">
        <f t="shared" si="9"/>
        <v>#N/A</v>
      </c>
      <c r="P66" s="226" t="e">
        <f t="shared" si="9"/>
        <v>#N/A</v>
      </c>
      <c r="Q66" s="226" t="e">
        <f t="shared" si="7"/>
        <v>#N/A</v>
      </c>
    </row>
    <row r="67" spans="2:20">
      <c r="B67" s="191" t="s">
        <v>113</v>
      </c>
      <c r="C67" s="191" t="s">
        <v>188</v>
      </c>
      <c r="D67" s="191"/>
      <c r="F67" s="226"/>
      <c r="G67" s="226"/>
      <c r="H67" s="226"/>
      <c r="I67" s="226"/>
      <c r="J67" s="226"/>
      <c r="K67" s="226"/>
      <c r="L67" s="226"/>
      <c r="M67" s="226"/>
      <c r="N67" s="226"/>
      <c r="O67" s="226"/>
      <c r="P67" s="226"/>
      <c r="Q67" s="226">
        <f t="shared" si="7"/>
        <v>0</v>
      </c>
    </row>
    <row r="68" spans="2:20">
      <c r="B68" s="278"/>
      <c r="C68" s="191" t="s">
        <v>189</v>
      </c>
      <c r="D68" s="191"/>
      <c r="E68" s="226" t="e">
        <f>E59</f>
        <v>#N/A</v>
      </c>
      <c r="F68" s="226" t="e">
        <f t="shared" ref="F68:P68" si="10">F59</f>
        <v>#N/A</v>
      </c>
      <c r="G68" s="226" t="e">
        <f t="shared" si="10"/>
        <v>#N/A</v>
      </c>
      <c r="H68" s="226" t="e">
        <f t="shared" si="10"/>
        <v>#N/A</v>
      </c>
      <c r="I68" s="226" t="e">
        <f t="shared" si="10"/>
        <v>#N/A</v>
      </c>
      <c r="J68" s="226" t="e">
        <f t="shared" si="10"/>
        <v>#N/A</v>
      </c>
      <c r="K68" s="226" t="e">
        <f t="shared" si="10"/>
        <v>#N/A</v>
      </c>
      <c r="L68" s="226" t="e">
        <f t="shared" si="10"/>
        <v>#N/A</v>
      </c>
      <c r="M68" s="226" t="e">
        <f t="shared" si="10"/>
        <v>#N/A</v>
      </c>
      <c r="N68" s="226" t="e">
        <f t="shared" si="10"/>
        <v>#N/A</v>
      </c>
      <c r="O68" s="226" t="e">
        <f t="shared" si="10"/>
        <v>#N/A</v>
      </c>
      <c r="P68" s="226" t="e">
        <f t="shared" si="10"/>
        <v>#N/A</v>
      </c>
      <c r="Q68" s="226" t="e">
        <f t="shared" si="7"/>
        <v>#N/A</v>
      </c>
    </row>
  </sheetData>
  <mergeCells count="7">
    <mergeCell ref="A21:A32"/>
    <mergeCell ref="A35:A59"/>
    <mergeCell ref="A1:E1"/>
    <mergeCell ref="B4:C4"/>
    <mergeCell ref="E4:P4"/>
    <mergeCell ref="A6:A15"/>
    <mergeCell ref="A16:A20"/>
  </mergeCells>
  <printOptions gridLinesSet="0"/>
  <pageMargins left="0.78740157480314965" right="0.19685039370078741" top="0.59055118110236227" bottom="0.59055118110236227" header="0.51181102362204722" footer="0.31496062992125984"/>
  <pageSetup paperSize="9" scale="44" orientation="landscape" r:id="rId1"/>
  <headerFooter alignWithMargins="0">
    <oddFooter>&amp;L&amp;A&amp;R&amp;F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51">
    <tabColor indexed="56"/>
    <pageSetUpPr fitToPage="1"/>
  </sheetPr>
  <dimension ref="A1:Y49"/>
  <sheetViews>
    <sheetView showGridLines="0" zoomScaleNormal="100" workbookViewId="0">
      <pane xSplit="4" ySplit="5" topLeftCell="E16" activePane="bottomRight" state="frozen"/>
      <selection activeCell="H12" sqref="H12"/>
      <selection pane="topRight" activeCell="H12" sqref="H12"/>
      <selection pane="bottomLeft" activeCell="H12" sqref="H12"/>
      <selection pane="bottomRight" activeCell="E6" sqref="E6:E30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5" width="9.42578125" style="1" customWidth="1"/>
    <col min="6" max="6" width="10.140625" style="1" bestFit="1" customWidth="1"/>
    <col min="7" max="16" width="11.42578125" style="1"/>
    <col min="17" max="17" width="12.7109375" style="1" bestFit="1" customWidth="1"/>
    <col min="18" max="18" width="8" style="1" bestFit="1" customWidth="1"/>
    <col min="19" max="19" width="9.28515625" style="1" customWidth="1"/>
    <col min="20" max="20" width="8.7109375" style="1" customWidth="1"/>
    <col min="21" max="21" width="7.85546875" style="1" customWidth="1"/>
    <col min="22" max="22" width="11" style="1" bestFit="1" customWidth="1"/>
    <col min="23" max="23" width="7.85546875" style="1" customWidth="1"/>
    <col min="24" max="24" width="6.42578125" style="1" bestFit="1" customWidth="1"/>
    <col min="25" max="16384" width="11.42578125" style="1"/>
  </cols>
  <sheetData>
    <row r="1" spans="1:25" ht="18" customHeight="1">
      <c r="A1" s="756" t="s">
        <v>112</v>
      </c>
      <c r="B1" s="756"/>
      <c r="C1" s="756"/>
      <c r="D1" s="756"/>
      <c r="E1" s="756"/>
      <c r="F1" s="756"/>
    </row>
    <row r="2" spans="1:25" ht="18" customHeight="1">
      <c r="A2" s="17"/>
      <c r="B2" s="17"/>
      <c r="C2" s="17"/>
      <c r="D2" s="17"/>
      <c r="E2" s="622">
        <v>1</v>
      </c>
      <c r="F2" s="17"/>
    </row>
    <row r="3" spans="1:25" ht="9.9499999999999993" customHeight="1" thickBot="1">
      <c r="A3" s="17"/>
      <c r="B3" s="17"/>
      <c r="C3" s="17"/>
      <c r="D3" s="17"/>
      <c r="E3" s="17"/>
      <c r="F3" s="17"/>
    </row>
    <row r="4" spans="1:25" ht="25.5">
      <c r="A4" s="23"/>
      <c r="B4" s="795" t="s">
        <v>57</v>
      </c>
      <c r="C4" s="796"/>
      <c r="D4" s="797"/>
      <c r="E4" s="572" t="s">
        <v>217</v>
      </c>
      <c r="F4" s="798" t="s">
        <v>91</v>
      </c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12" t="s">
        <v>55</v>
      </c>
      <c r="S4" s="13"/>
      <c r="T4" s="12" t="s">
        <v>54</v>
      </c>
      <c r="U4" s="13"/>
      <c r="V4" s="12" t="s">
        <v>1</v>
      </c>
      <c r="W4" s="13"/>
      <c r="X4" s="127" t="s">
        <v>52</v>
      </c>
    </row>
    <row r="5" spans="1:25" ht="13.5" thickBot="1">
      <c r="A5" s="22"/>
      <c r="B5" s="21" t="s">
        <v>111</v>
      </c>
      <c r="C5" s="793" t="s">
        <v>50</v>
      </c>
      <c r="D5" s="794"/>
      <c r="E5" s="24">
        <f>'Falhas UM-4 Qty'!D5</f>
        <v>2022</v>
      </c>
      <c r="F5" s="29">
        <f>'Falhas UM-4 Cost'!E5</f>
        <v>43922</v>
      </c>
      <c r="G5" s="29">
        <f>'Falhas UM-4 Cost'!F5</f>
        <v>43952</v>
      </c>
      <c r="H5" s="29">
        <f>'Falhas UM-4 Cost'!G5</f>
        <v>43983</v>
      </c>
      <c r="I5" s="29">
        <f>'Falhas UM-4 Cost'!H5</f>
        <v>44013</v>
      </c>
      <c r="J5" s="29">
        <f>'Falhas UM-4 Cost'!I5</f>
        <v>44044</v>
      </c>
      <c r="K5" s="29">
        <f>'Falhas UM-4 Cost'!J5</f>
        <v>44075</v>
      </c>
      <c r="L5" s="29">
        <f>'Falhas UM-4 Cost'!K5</f>
        <v>44105</v>
      </c>
      <c r="M5" s="29">
        <f>'Falhas UM-4 Cost'!L5</f>
        <v>44136</v>
      </c>
      <c r="N5" s="29">
        <f>'Falhas UM-4 Cost'!M5</f>
        <v>44166</v>
      </c>
      <c r="O5" s="29">
        <f>'Falhas UM-4 Cost'!N5</f>
        <v>44197</v>
      </c>
      <c r="P5" s="29">
        <f>'Falhas UM-4 Cost'!O5</f>
        <v>44228</v>
      </c>
      <c r="Q5" s="29">
        <f>'Falhas UM-4 Cost'!P5</f>
        <v>44256</v>
      </c>
      <c r="R5" s="6" t="s">
        <v>49</v>
      </c>
      <c r="S5" s="7" t="s">
        <v>48</v>
      </c>
      <c r="T5" s="6" t="s">
        <v>49</v>
      </c>
      <c r="U5" s="7" t="s">
        <v>48</v>
      </c>
      <c r="V5" s="6" t="s">
        <v>49</v>
      </c>
      <c r="W5" s="7" t="s">
        <v>48</v>
      </c>
      <c r="X5" s="128"/>
    </row>
    <row r="6" spans="1:25" ht="18" customHeight="1" thickTop="1">
      <c r="A6" s="800" t="s">
        <v>110</v>
      </c>
      <c r="B6" s="123">
        <v>5010</v>
      </c>
      <c r="C6" s="809" t="s">
        <v>107</v>
      </c>
      <c r="D6" s="73" t="s">
        <v>143</v>
      </c>
      <c r="E6" s="504">
        <f>'[3]BLIND-PVC-PRE - Qty'!X6</f>
        <v>48.367157056994095</v>
      </c>
      <c r="F6" s="447" t="e">
        <f>$E6/1000000*'Prod &amp; Defects - Qty'!G$5/3</f>
        <v>#N/A</v>
      </c>
      <c r="G6" s="447" t="e">
        <f>$E6/1000000*'Prod &amp; Defects - Qty'!H$5/3</f>
        <v>#N/A</v>
      </c>
      <c r="H6" s="447" t="e">
        <f>$E6/1000000*'Prod &amp; Defects - Qty'!I$5/3</f>
        <v>#N/A</v>
      </c>
      <c r="I6" s="447" t="e">
        <f>$E6/1000000*'Prod &amp; Defects - Qty'!J$5/3</f>
        <v>#N/A</v>
      </c>
      <c r="J6" s="447" t="e">
        <f>$E6/1000000*'Prod &amp; Defects - Qty'!K$5/3</f>
        <v>#N/A</v>
      </c>
      <c r="K6" s="447" t="e">
        <f>$E6/1000000*'Prod &amp; Defects - Qty'!L$5/3</f>
        <v>#N/A</v>
      </c>
      <c r="L6" s="447" t="e">
        <f>$E6/1000000*'Prod &amp; Defects - Qty'!M$5/3</f>
        <v>#N/A</v>
      </c>
      <c r="M6" s="447" t="e">
        <f>$E6/1000000*'Prod &amp; Defects - Qty'!N$5/3</f>
        <v>#N/A</v>
      </c>
      <c r="N6" s="447" t="e">
        <f>$E6/1000000*'Prod &amp; Defects - Qty'!O$5/3</f>
        <v>#N/A</v>
      </c>
      <c r="O6" s="447" t="e">
        <f>$E6/1000000*'Prod &amp; Defects - Qty'!P$5/3</f>
        <v>#N/A</v>
      </c>
      <c r="P6" s="447" t="e">
        <f>$E6/1000000*'Prod &amp; Defects - Qty'!Q$5/3</f>
        <v>#N/A</v>
      </c>
      <c r="Q6" s="447" t="e">
        <f>$E6/1000000*'Prod &amp; Defects - Qty'!R$5/3</f>
        <v>#N/A</v>
      </c>
      <c r="R6" s="73" t="e">
        <f t="shared" ref="R6:R15" si="0">SUM(F6:K6)</f>
        <v>#N/A</v>
      </c>
      <c r="S6" s="314" t="e">
        <f>R6/SUM('Prod &amp; Defects - Qty'!$G$5:$L$5)*1000000</f>
        <v>#N/A</v>
      </c>
      <c r="T6" s="315" t="e">
        <f t="shared" ref="T6:T15" si="1">SUM(L6:Q6)</f>
        <v>#N/A</v>
      </c>
      <c r="U6" s="314" t="e">
        <f>T6/SUM('Prod &amp; Defects - Qty'!$M$5:$R$5)*1000000</f>
        <v>#N/A</v>
      </c>
      <c r="V6" s="315" t="e">
        <f>R6+T6</f>
        <v>#N/A</v>
      </c>
      <c r="W6" s="314" t="e">
        <f>V6/'Prod &amp; Defects - Qty'!$S$5*1000000</f>
        <v>#N/A</v>
      </c>
      <c r="X6" s="316" t="e">
        <f>W6*$Y$6</f>
        <v>#N/A</v>
      </c>
      <c r="Y6" s="1">
        <f>'Falhas UM-4 Qty'!AA6</f>
        <v>1</v>
      </c>
    </row>
    <row r="7" spans="1:25" ht="18" customHeight="1">
      <c r="A7" s="801"/>
      <c r="B7" s="124">
        <f>B6+10</f>
        <v>5020</v>
      </c>
      <c r="C7" s="810"/>
      <c r="D7" s="31" t="s">
        <v>144</v>
      </c>
      <c r="E7" s="239">
        <f>'[3]BLIND-PVC-PRE - Qty'!X7</f>
        <v>95.920465927850003</v>
      </c>
      <c r="F7" s="448" t="e">
        <f>$E7/1000000*'Prod &amp; Defects - Qty'!G$5/3</f>
        <v>#N/A</v>
      </c>
      <c r="G7" s="448" t="e">
        <f>$E7/1000000*'Prod &amp; Defects - Qty'!H$5/3</f>
        <v>#N/A</v>
      </c>
      <c r="H7" s="448" t="e">
        <f>$E7/1000000*'Prod &amp; Defects - Qty'!I$5/3</f>
        <v>#N/A</v>
      </c>
      <c r="I7" s="448" t="e">
        <f>$E7/1000000*'Prod &amp; Defects - Qty'!J$5/3</f>
        <v>#N/A</v>
      </c>
      <c r="J7" s="448" t="e">
        <f>$E7/1000000*'Prod &amp; Defects - Qty'!K$5/3</f>
        <v>#N/A</v>
      </c>
      <c r="K7" s="448" t="e">
        <f>$E7/1000000*'Prod &amp; Defects - Qty'!L$5/3</f>
        <v>#N/A</v>
      </c>
      <c r="L7" s="448" t="e">
        <f>$E7/1000000*'Prod &amp; Defects - Qty'!M$5/3</f>
        <v>#N/A</v>
      </c>
      <c r="M7" s="448" t="e">
        <f>$E7/1000000*'Prod &amp; Defects - Qty'!N$5/3</f>
        <v>#N/A</v>
      </c>
      <c r="N7" s="448" t="e">
        <f>$E7/1000000*'Prod &amp; Defects - Qty'!O$5/3</f>
        <v>#N/A</v>
      </c>
      <c r="O7" s="448" t="e">
        <f>$E7/1000000*'Prod &amp; Defects - Qty'!P$5/3</f>
        <v>#N/A</v>
      </c>
      <c r="P7" s="448" t="e">
        <f>$E7/1000000*'Prod &amp; Defects - Qty'!Q$5/3</f>
        <v>#N/A</v>
      </c>
      <c r="Q7" s="448" t="e">
        <f>$E7/1000000*'Prod &amp; Defects - Qty'!R$5/3</f>
        <v>#N/A</v>
      </c>
      <c r="R7" s="31" t="e">
        <f t="shared" si="0"/>
        <v>#N/A</v>
      </c>
      <c r="S7" s="66" t="e">
        <f>R7/SUM('Prod &amp; Defects - Qty'!$G$5:$L$5)*1000000</f>
        <v>#N/A</v>
      </c>
      <c r="T7" s="31" t="e">
        <f t="shared" si="1"/>
        <v>#N/A</v>
      </c>
      <c r="U7" s="66" t="e">
        <f>T7/SUM('Prod &amp; Defects - Qty'!$M$5:$R$5)*1000000</f>
        <v>#N/A</v>
      </c>
      <c r="V7" s="66" t="e">
        <f>R7+T7</f>
        <v>#N/A</v>
      </c>
      <c r="W7" s="66" t="e">
        <f>V7/'Prod &amp; Defects - Qty'!$S$5*1000000</f>
        <v>#N/A</v>
      </c>
      <c r="X7" s="71" t="e">
        <f>W7*$Y$6</f>
        <v>#N/A</v>
      </c>
    </row>
    <row r="8" spans="1:25" ht="18" customHeight="1">
      <c r="A8" s="801"/>
      <c r="B8" s="124">
        <f>B7+10</f>
        <v>5030</v>
      </c>
      <c r="C8" s="810"/>
      <c r="D8" s="31" t="s">
        <v>145</v>
      </c>
      <c r="E8" s="239">
        <f>'[3]BLIND-PVC-PRE - Qty'!X8</f>
        <v>159.97985708255339</v>
      </c>
      <c r="F8" s="448" t="e">
        <f>$E8/1000000*'Prod &amp; Defects - Qty'!G$5/3</f>
        <v>#N/A</v>
      </c>
      <c r="G8" s="448" t="e">
        <f>$E8/1000000*'Prod &amp; Defects - Qty'!H$5/3</f>
        <v>#N/A</v>
      </c>
      <c r="H8" s="448" t="e">
        <f>$E8/1000000*'Prod &amp; Defects - Qty'!I$5/3</f>
        <v>#N/A</v>
      </c>
      <c r="I8" s="448" t="e">
        <f>$E8/1000000*'Prod &amp; Defects - Qty'!J$5/3</f>
        <v>#N/A</v>
      </c>
      <c r="J8" s="448" t="e">
        <f>$E8/1000000*'Prod &amp; Defects - Qty'!K$5/3</f>
        <v>#N/A</v>
      </c>
      <c r="K8" s="448" t="e">
        <f>$E8/1000000*'Prod &amp; Defects - Qty'!L$5/3</f>
        <v>#N/A</v>
      </c>
      <c r="L8" s="448" t="e">
        <f>$E8/1000000*'Prod &amp; Defects - Qty'!M$5/3</f>
        <v>#N/A</v>
      </c>
      <c r="M8" s="448" t="e">
        <f>$E8/1000000*'Prod &amp; Defects - Qty'!N$5/3</f>
        <v>#N/A</v>
      </c>
      <c r="N8" s="448" t="e">
        <f>$E8/1000000*'Prod &amp; Defects - Qty'!O$5/3</f>
        <v>#N/A</v>
      </c>
      <c r="O8" s="448" t="e">
        <f>$E8/1000000*'Prod &amp; Defects - Qty'!P$5/3</f>
        <v>#N/A</v>
      </c>
      <c r="P8" s="448" t="e">
        <f>$E8/1000000*'Prod &amp; Defects - Qty'!Q$5/3</f>
        <v>#N/A</v>
      </c>
      <c r="Q8" s="448" t="e">
        <f>$E8/1000000*'Prod &amp; Defects - Qty'!R$5/3</f>
        <v>#N/A</v>
      </c>
      <c r="R8" s="31" t="e">
        <f t="shared" si="0"/>
        <v>#N/A</v>
      </c>
      <c r="S8" s="66" t="e">
        <f>R8/SUM('Prod &amp; Defects - Qty'!$G$5:$L$5)*1000000</f>
        <v>#N/A</v>
      </c>
      <c r="T8" s="31" t="e">
        <f t="shared" si="1"/>
        <v>#N/A</v>
      </c>
      <c r="U8" s="66" t="e">
        <f>T8/SUM('Prod &amp; Defects - Qty'!$M$5:$R$5)*1000000</f>
        <v>#N/A</v>
      </c>
      <c r="V8" s="66" t="e">
        <f>R8+T8</f>
        <v>#N/A</v>
      </c>
      <c r="W8" s="66" t="e">
        <f>V8/'Prod &amp; Defects - Qty'!$S$5*1000000</f>
        <v>#N/A</v>
      </c>
      <c r="X8" s="71" t="e">
        <f>W8*$Y$6</f>
        <v>#N/A</v>
      </c>
    </row>
    <row r="9" spans="1:25" ht="18" customHeight="1">
      <c r="A9" s="801"/>
      <c r="B9" s="124"/>
      <c r="C9" s="810"/>
      <c r="D9" s="31" t="s">
        <v>220</v>
      </c>
      <c r="E9" s="239">
        <f>'[3]BLIND-PVC-PRE - Qty'!X9</f>
        <v>330.18781354764008</v>
      </c>
      <c r="F9" s="448" t="e">
        <f>$E9/1000000*'Prod &amp; Defects - Qty'!G$5</f>
        <v>#N/A</v>
      </c>
      <c r="G9" s="448" t="e">
        <f>$E9/1000000*'Prod &amp; Defects - Qty'!H$5</f>
        <v>#N/A</v>
      </c>
      <c r="H9" s="448" t="e">
        <f>$E9/1000000*'Prod &amp; Defects - Qty'!I$5</f>
        <v>#N/A</v>
      </c>
      <c r="I9" s="448" t="e">
        <f>$E9/1000000*'Prod &amp; Defects - Qty'!J$5</f>
        <v>#N/A</v>
      </c>
      <c r="J9" s="448" t="e">
        <f>$E9/1000000*'Prod &amp; Defects - Qty'!K$5</f>
        <v>#N/A</v>
      </c>
      <c r="K9" s="448" t="e">
        <f>$E9/1000000*'Prod &amp; Defects - Qty'!L$5</f>
        <v>#N/A</v>
      </c>
      <c r="L9" s="448" t="e">
        <f>$E9/1000000*'Prod &amp; Defects - Qty'!M$5</f>
        <v>#N/A</v>
      </c>
      <c r="M9" s="448" t="e">
        <f>$E9/1000000*'Prod &amp; Defects - Qty'!N$5</f>
        <v>#N/A</v>
      </c>
      <c r="N9" s="448" t="e">
        <f>$E9/1000000*'Prod &amp; Defects - Qty'!O$5</f>
        <v>#N/A</v>
      </c>
      <c r="O9" s="448" t="e">
        <f>$E9/1000000*'Prod &amp; Defects - Qty'!P$5</f>
        <v>#N/A</v>
      </c>
      <c r="P9" s="448" t="e">
        <f>$E9/1000000*'Prod &amp; Defects - Qty'!Q$5</f>
        <v>#N/A</v>
      </c>
      <c r="Q9" s="448" t="e">
        <f>$E9/1000000*'Prod &amp; Defects - Qty'!R$5</f>
        <v>#N/A</v>
      </c>
      <c r="R9" s="31" t="e">
        <f t="shared" si="0"/>
        <v>#N/A</v>
      </c>
      <c r="S9" s="66" t="e">
        <f>R9/SUM('Prod &amp; Defects - Qty'!$G$5:$L$5)*1000000</f>
        <v>#N/A</v>
      </c>
      <c r="T9" s="31" t="e">
        <f t="shared" si="1"/>
        <v>#N/A</v>
      </c>
      <c r="U9" s="66" t="e">
        <f>T9/SUM('Prod &amp; Defects - Qty'!$M$5:$R$5)*1000000</f>
        <v>#N/A</v>
      </c>
      <c r="V9" s="66" t="e">
        <f>R9+T9</f>
        <v>#N/A</v>
      </c>
      <c r="W9" s="66" t="e">
        <f>V9/'Prod &amp; Defects - Qty'!$S$5*1000000</f>
        <v>#N/A</v>
      </c>
      <c r="X9" s="71" t="e">
        <f>W9*$Y$6</f>
        <v>#N/A</v>
      </c>
    </row>
    <row r="10" spans="1:25" ht="18" customHeight="1">
      <c r="A10" s="801"/>
      <c r="B10" s="124"/>
      <c r="C10" s="811"/>
      <c r="D10" s="74" t="s">
        <v>92</v>
      </c>
      <c r="E10" s="505">
        <f>'[3]BLIND-PVC-PRE - Qty'!X10</f>
        <v>607.45719601439771</v>
      </c>
      <c r="F10" s="449" t="e">
        <f t="shared" ref="F10:M10" si="2">SUM(F6:F8)</f>
        <v>#N/A</v>
      </c>
      <c r="G10" s="449" t="e">
        <f t="shared" si="2"/>
        <v>#N/A</v>
      </c>
      <c r="H10" s="449" t="e">
        <f t="shared" si="2"/>
        <v>#N/A</v>
      </c>
      <c r="I10" s="449" t="e">
        <f t="shared" si="2"/>
        <v>#N/A</v>
      </c>
      <c r="J10" s="449" t="e">
        <f t="shared" si="2"/>
        <v>#N/A</v>
      </c>
      <c r="K10" s="449" t="e">
        <f t="shared" si="2"/>
        <v>#N/A</v>
      </c>
      <c r="L10" s="449" t="e">
        <f t="shared" si="2"/>
        <v>#N/A</v>
      </c>
      <c r="M10" s="449" t="e">
        <f t="shared" si="2"/>
        <v>#N/A</v>
      </c>
      <c r="N10" s="449" t="e">
        <f>SUM(N6:N8)</f>
        <v>#N/A</v>
      </c>
      <c r="O10" s="449" t="e">
        <f>SUM(O6:O8)</f>
        <v>#N/A</v>
      </c>
      <c r="P10" s="449" t="e">
        <f>SUM(P6:P8)</f>
        <v>#N/A</v>
      </c>
      <c r="Q10" s="449" t="e">
        <f>SUM(Q6:Q8)</f>
        <v>#N/A</v>
      </c>
      <c r="R10" s="457" t="e">
        <f t="shared" si="0"/>
        <v>#N/A</v>
      </c>
      <c r="S10" s="437" t="e">
        <f>R10/SUM('Prod &amp; Defects - Qty'!$G$5:$L$5)*1000000</f>
        <v>#N/A</v>
      </c>
      <c r="T10" s="437" t="e">
        <f t="shared" si="1"/>
        <v>#N/A</v>
      </c>
      <c r="U10" s="437" t="e">
        <f>T10/SUM('Prod &amp; Defects - Qty'!$M$5:$R$5)*1000000</f>
        <v>#N/A</v>
      </c>
      <c r="V10" s="437" t="e">
        <f>T10+R10</f>
        <v>#N/A</v>
      </c>
      <c r="W10" s="437" t="e">
        <f>V10/'Prod &amp; Defects - Qty'!$S$5*1000000</f>
        <v>#N/A</v>
      </c>
      <c r="X10" s="458" t="e">
        <f t="shared" ref="X10:X30" si="3">W10*0.9</f>
        <v>#N/A</v>
      </c>
    </row>
    <row r="11" spans="1:25" ht="18" customHeight="1">
      <c r="A11" s="801"/>
      <c r="B11" s="124">
        <f>B8+10</f>
        <v>5040</v>
      </c>
      <c r="C11" s="803" t="s">
        <v>146</v>
      </c>
      <c r="D11" s="40" t="s">
        <v>143</v>
      </c>
      <c r="E11" s="244">
        <f>'[3]BLIND-PVC-PRE - Qty'!X11</f>
        <v>343.64936102870314</v>
      </c>
      <c r="F11" s="450" t="e">
        <f>$E11/1000000*('Prod &amp; Defects - Qty'!G$6/2)</f>
        <v>#N/A</v>
      </c>
      <c r="G11" s="450" t="e">
        <f>$E11/1000000*('Prod &amp; Defects - Qty'!H$6/2)</f>
        <v>#N/A</v>
      </c>
      <c r="H11" s="450" t="e">
        <f>$E11/1000000*('Prod &amp; Defects - Qty'!I$6/2)</f>
        <v>#N/A</v>
      </c>
      <c r="I11" s="450" t="e">
        <f>$E11/1000000*('Prod &amp; Defects - Qty'!J$6/2)</f>
        <v>#N/A</v>
      </c>
      <c r="J11" s="450" t="e">
        <f>$E11/1000000*('Prod &amp; Defects - Qty'!K$6/2)</f>
        <v>#N/A</v>
      </c>
      <c r="K11" s="450" t="e">
        <f>$E11/1000000*('Prod &amp; Defects - Qty'!L$6/2)</f>
        <v>#N/A</v>
      </c>
      <c r="L11" s="450" t="e">
        <f>$E11/1000000*('Prod &amp; Defects - Qty'!M$6/2)</f>
        <v>#N/A</v>
      </c>
      <c r="M11" s="450" t="e">
        <f>$E11/1000000*('Prod &amp; Defects - Qty'!N$6/2)</f>
        <v>#N/A</v>
      </c>
      <c r="N11" s="450" t="e">
        <f>$E11/1000000*('Prod &amp; Defects - Qty'!O$6/2)</f>
        <v>#N/A</v>
      </c>
      <c r="O11" s="450" t="e">
        <f>$E11/1000000*('Prod &amp; Defects - Qty'!P$6/2)</f>
        <v>#N/A</v>
      </c>
      <c r="P11" s="450" t="e">
        <f>$E11/1000000*('Prod &amp; Defects - Qty'!Q$6/2)</f>
        <v>#N/A</v>
      </c>
      <c r="Q11" s="450" t="e">
        <f>$E11/1000000*('Prod &amp; Defects - Qty'!R$6/2)</f>
        <v>#N/A</v>
      </c>
      <c r="R11" s="438" t="e">
        <f t="shared" si="0"/>
        <v>#N/A</v>
      </c>
      <c r="S11" s="438" t="e">
        <f t="shared" ref="S11:S21" si="4">R11/SUM(F33:K33)*1000000</f>
        <v>#N/A</v>
      </c>
      <c r="T11" s="438" t="e">
        <f t="shared" si="1"/>
        <v>#N/A</v>
      </c>
      <c r="U11" s="438" t="e">
        <f t="shared" ref="U11:U21" si="5">T11/SUM(L33:Q33)*1000000</f>
        <v>#N/A</v>
      </c>
      <c r="V11" s="438" t="e">
        <f>R11+T11</f>
        <v>#N/A</v>
      </c>
      <c r="W11" s="438" t="e">
        <f>V11/'Prod &amp; Defects - Qty'!$S$5*1000000</f>
        <v>#N/A</v>
      </c>
      <c r="X11" s="459" t="e">
        <f>W11*$Y$6</f>
        <v>#N/A</v>
      </c>
    </row>
    <row r="12" spans="1:25" ht="18" customHeight="1">
      <c r="A12" s="801"/>
      <c r="B12" s="124">
        <f>B11+10</f>
        <v>5050</v>
      </c>
      <c r="C12" s="804"/>
      <c r="D12" s="40" t="s">
        <v>144</v>
      </c>
      <c r="E12" s="244">
        <f>'[3]BLIND-PVC-PRE - Qty'!X12</f>
        <v>477.93801339917172</v>
      </c>
      <c r="F12" s="450" t="e">
        <f>$E12/1000000*('Prod &amp; Defects - Qty'!G$6/2)</f>
        <v>#N/A</v>
      </c>
      <c r="G12" s="450" t="e">
        <f>$E12/1000000*('Prod &amp; Defects - Qty'!H$6/2)</f>
        <v>#N/A</v>
      </c>
      <c r="H12" s="450" t="e">
        <f>$E12/1000000*('Prod &amp; Defects - Qty'!I$6/2)</f>
        <v>#N/A</v>
      </c>
      <c r="I12" s="450" t="e">
        <f>$E12/1000000*('Prod &amp; Defects - Qty'!J$6/2)</f>
        <v>#N/A</v>
      </c>
      <c r="J12" s="450" t="e">
        <f>$E12/1000000*('Prod &amp; Defects - Qty'!K$6/2)</f>
        <v>#N/A</v>
      </c>
      <c r="K12" s="450" t="e">
        <f>$E12/1000000*('Prod &amp; Defects - Qty'!L$6/2)</f>
        <v>#N/A</v>
      </c>
      <c r="L12" s="450" t="e">
        <f>$E12/1000000*('Prod &amp; Defects - Qty'!M$6/2)</f>
        <v>#N/A</v>
      </c>
      <c r="M12" s="450" t="e">
        <f>$E12/1000000*('Prod &amp; Defects - Qty'!N$6/2)</f>
        <v>#N/A</v>
      </c>
      <c r="N12" s="450" t="e">
        <f>$E12/1000000*('Prod &amp; Defects - Qty'!O$6/2)</f>
        <v>#N/A</v>
      </c>
      <c r="O12" s="450" t="e">
        <f>$E12/1000000*('Prod &amp; Defects - Qty'!P$6/2)</f>
        <v>#N/A</v>
      </c>
      <c r="P12" s="450" t="e">
        <f>$E12/1000000*('Prod &amp; Defects - Qty'!Q$6/2)</f>
        <v>#N/A</v>
      </c>
      <c r="Q12" s="450" t="e">
        <f>$E12/1000000*('Prod &amp; Defects - Qty'!R$6/2)</f>
        <v>#N/A</v>
      </c>
      <c r="R12" s="438" t="e">
        <f t="shared" si="0"/>
        <v>#N/A</v>
      </c>
      <c r="S12" s="438" t="e">
        <f t="shared" si="4"/>
        <v>#N/A</v>
      </c>
      <c r="T12" s="438" t="e">
        <f t="shared" si="1"/>
        <v>#N/A</v>
      </c>
      <c r="U12" s="438" t="e">
        <f t="shared" si="5"/>
        <v>#N/A</v>
      </c>
      <c r="V12" s="438" t="e">
        <f>R12+T12</f>
        <v>#N/A</v>
      </c>
      <c r="W12" s="438" t="e">
        <f>V12/'Prod &amp; Defects - Qty'!$S$5*1000000</f>
        <v>#N/A</v>
      </c>
      <c r="X12" s="459" t="e">
        <f>W12*$Y$6</f>
        <v>#N/A</v>
      </c>
    </row>
    <row r="13" spans="1:25" ht="18" customHeight="1">
      <c r="A13" s="801"/>
      <c r="B13" s="124">
        <f t="shared" ref="B13:B21" si="6">B12+10</f>
        <v>5060</v>
      </c>
      <c r="C13" s="804"/>
      <c r="D13" s="40" t="s">
        <v>145</v>
      </c>
      <c r="E13" s="244">
        <f>'[3]BLIND-PVC-PRE - Qty'!X13</f>
        <v>478.2297388606849</v>
      </c>
      <c r="F13" s="450" t="e">
        <f>$E13/1000000*('Prod &amp; Defects - Qty'!G$7)*0.25</f>
        <v>#N/A</v>
      </c>
      <c r="G13" s="450" t="e">
        <f>$E13/1000000*('Prod &amp; Defects - Qty'!H$7)*0.25</f>
        <v>#N/A</v>
      </c>
      <c r="H13" s="450" t="e">
        <f>$E13/1000000*('Prod &amp; Defects - Qty'!I$7)*0.25</f>
        <v>#N/A</v>
      </c>
      <c r="I13" s="450" t="e">
        <f>$E13/1000000*('Prod &amp; Defects - Qty'!J$7)*0.25</f>
        <v>#N/A</v>
      </c>
      <c r="J13" s="450" t="e">
        <f>$E13/1000000*('Prod &amp; Defects - Qty'!K$7)*0.25</f>
        <v>#N/A</v>
      </c>
      <c r="K13" s="450" t="e">
        <f>$E13/1000000*('Prod &amp; Defects - Qty'!L$7)*0.25</f>
        <v>#N/A</v>
      </c>
      <c r="L13" s="450" t="e">
        <f>$E13/1000000*('Prod &amp; Defects - Qty'!M$7)*0.25</f>
        <v>#N/A</v>
      </c>
      <c r="M13" s="450" t="e">
        <f>$E13/1000000*('Prod &amp; Defects - Qty'!N$7)*0.25</f>
        <v>#N/A</v>
      </c>
      <c r="N13" s="450" t="e">
        <f>$E13/1000000*('Prod &amp; Defects - Qty'!O$7)*0.25</f>
        <v>#N/A</v>
      </c>
      <c r="O13" s="450" t="e">
        <f>$E13/1000000*('Prod &amp; Defects - Qty'!P$7)*0.25</f>
        <v>#N/A</v>
      </c>
      <c r="P13" s="450" t="e">
        <f>$E13/1000000*('Prod &amp; Defects - Qty'!Q$7)*0.25</f>
        <v>#N/A</v>
      </c>
      <c r="Q13" s="450" t="e">
        <f>$E13/1000000*('Prod &amp; Defects - Qty'!R$7)*0.25</f>
        <v>#N/A</v>
      </c>
      <c r="R13" s="438" t="e">
        <f t="shared" si="0"/>
        <v>#N/A</v>
      </c>
      <c r="S13" s="438" t="e">
        <f t="shared" si="4"/>
        <v>#N/A</v>
      </c>
      <c r="T13" s="438" t="e">
        <f t="shared" si="1"/>
        <v>#N/A</v>
      </c>
      <c r="U13" s="438" t="e">
        <f t="shared" si="5"/>
        <v>#N/A</v>
      </c>
      <c r="V13" s="438" t="e">
        <f>R13+T13</f>
        <v>#N/A</v>
      </c>
      <c r="W13" s="438" t="e">
        <f>V13/'Prod &amp; Defects - Qty'!$S$5*1000000</f>
        <v>#N/A</v>
      </c>
      <c r="X13" s="459" t="e">
        <f>W13*$Y$6</f>
        <v>#N/A</v>
      </c>
    </row>
    <row r="14" spans="1:25" ht="18" customHeight="1">
      <c r="A14" s="801"/>
      <c r="B14" s="124">
        <f t="shared" si="6"/>
        <v>5070</v>
      </c>
      <c r="C14" s="804"/>
      <c r="D14" s="40" t="s">
        <v>147</v>
      </c>
      <c r="E14" s="244">
        <f>'[3]BLIND-PVC-PRE - Qty'!X14</f>
        <v>579.35121489738719</v>
      </c>
      <c r="F14" s="450" t="e">
        <f>$E14/1000000*('Prod &amp; Defects - Qty'!G$7)*0.25</f>
        <v>#N/A</v>
      </c>
      <c r="G14" s="450" t="e">
        <f>$E14/1000000*('Prod &amp; Defects - Qty'!H$7)*0.25</f>
        <v>#N/A</v>
      </c>
      <c r="H14" s="450" t="e">
        <f>$E14/1000000*('Prod &amp; Defects - Qty'!I$7)*0.25</f>
        <v>#N/A</v>
      </c>
      <c r="I14" s="450" t="e">
        <f>$E14/1000000*('Prod &amp; Defects - Qty'!J$7)*0.25</f>
        <v>#N/A</v>
      </c>
      <c r="J14" s="450" t="e">
        <f>$E14/1000000*('Prod &amp; Defects - Qty'!K$7)*0.25</f>
        <v>#N/A</v>
      </c>
      <c r="K14" s="450" t="e">
        <f>$E14/1000000*('Prod &amp; Defects - Qty'!L$7)*0.25</f>
        <v>#N/A</v>
      </c>
      <c r="L14" s="450" t="e">
        <f>$E14/1000000*('Prod &amp; Defects - Qty'!M$7)*0.25</f>
        <v>#N/A</v>
      </c>
      <c r="M14" s="450" t="e">
        <f>$E14/1000000*('Prod &amp; Defects - Qty'!N$7)*0.25</f>
        <v>#N/A</v>
      </c>
      <c r="N14" s="450" t="e">
        <f>$E14/1000000*('Prod &amp; Defects - Qty'!O$7)*0.25</f>
        <v>#N/A</v>
      </c>
      <c r="O14" s="450" t="e">
        <f>$E14/1000000*('Prod &amp; Defects - Qty'!P$7)*0.25</f>
        <v>#N/A</v>
      </c>
      <c r="P14" s="450" t="e">
        <f>$E14/1000000*('Prod &amp; Defects - Qty'!Q$7)*0.25</f>
        <v>#N/A</v>
      </c>
      <c r="Q14" s="450" t="e">
        <f>$E14/1000000*('Prod &amp; Defects - Qty'!R$7)*0.25</f>
        <v>#N/A</v>
      </c>
      <c r="R14" s="438" t="e">
        <f t="shared" si="0"/>
        <v>#N/A</v>
      </c>
      <c r="S14" s="438" t="e">
        <f t="shared" si="4"/>
        <v>#N/A</v>
      </c>
      <c r="T14" s="438" t="e">
        <f t="shared" si="1"/>
        <v>#N/A</v>
      </c>
      <c r="U14" s="438" t="e">
        <f t="shared" si="5"/>
        <v>#N/A</v>
      </c>
      <c r="V14" s="438" t="e">
        <f>R14+T14</f>
        <v>#N/A</v>
      </c>
      <c r="W14" s="438" t="e">
        <f>V14/'Prod &amp; Defects - Qty'!$S$5*1000000</f>
        <v>#N/A</v>
      </c>
      <c r="X14" s="459" t="e">
        <f>W14*$Y$6</f>
        <v>#N/A</v>
      </c>
    </row>
    <row r="15" spans="1:25" ht="18" customHeight="1">
      <c r="A15" s="801"/>
      <c r="B15" s="124">
        <f t="shared" si="6"/>
        <v>5080</v>
      </c>
      <c r="C15" s="804"/>
      <c r="D15" s="40" t="s">
        <v>148</v>
      </c>
      <c r="E15" s="244">
        <f>'[3]BLIND-PVC-PRE - Qty'!X15</f>
        <v>809.50176052362656</v>
      </c>
      <c r="F15" s="450" t="e">
        <f>$E15/1000000*('Prod &amp; Defects - Qty'!G$7)*0.5</f>
        <v>#N/A</v>
      </c>
      <c r="G15" s="450" t="e">
        <f>$E15/1000000*('Prod &amp; Defects - Qty'!H$7)*0.5</f>
        <v>#N/A</v>
      </c>
      <c r="H15" s="450" t="e">
        <f>$E15/1000000*('Prod &amp; Defects - Qty'!I$7)*0.5</f>
        <v>#N/A</v>
      </c>
      <c r="I15" s="450" t="e">
        <f>$E15/1000000*('Prod &amp; Defects - Qty'!J$7)*0.5</f>
        <v>#N/A</v>
      </c>
      <c r="J15" s="450" t="e">
        <f>$E15/1000000*('Prod &amp; Defects - Qty'!K$7)*0.5</f>
        <v>#N/A</v>
      </c>
      <c r="K15" s="450" t="e">
        <f>$E15/1000000*('Prod &amp; Defects - Qty'!L$7)*0.5</f>
        <v>#N/A</v>
      </c>
      <c r="L15" s="450" t="e">
        <f>$E15/1000000*('Prod &amp; Defects - Qty'!M$7)*0.5</f>
        <v>#N/A</v>
      </c>
      <c r="M15" s="450" t="e">
        <f>$E15/1000000*('Prod &amp; Defects - Qty'!N$7)*0.5</f>
        <v>#N/A</v>
      </c>
      <c r="N15" s="450" t="e">
        <f>$E15/1000000*('Prod &amp; Defects - Qty'!O$7)*0.5</f>
        <v>#N/A</v>
      </c>
      <c r="O15" s="450" t="e">
        <f>$E15/1000000*('Prod &amp; Defects - Qty'!P$7)*0.5</f>
        <v>#N/A</v>
      </c>
      <c r="P15" s="450" t="e">
        <f>$E15/1000000*('Prod &amp; Defects - Qty'!Q$7)*0.5</f>
        <v>#N/A</v>
      </c>
      <c r="Q15" s="450" t="e">
        <f>$E15/1000000*('Prod &amp; Defects - Qty'!R$7)*0.5</f>
        <v>#N/A</v>
      </c>
      <c r="R15" s="438" t="e">
        <f t="shared" si="0"/>
        <v>#N/A</v>
      </c>
      <c r="S15" s="438" t="e">
        <f t="shared" si="4"/>
        <v>#N/A</v>
      </c>
      <c r="T15" s="438" t="e">
        <f t="shared" si="1"/>
        <v>#N/A</v>
      </c>
      <c r="U15" s="438" t="e">
        <f t="shared" si="5"/>
        <v>#N/A</v>
      </c>
      <c r="V15" s="438" t="e">
        <f>R15+T15</f>
        <v>#N/A</v>
      </c>
      <c r="W15" s="438" t="e">
        <f>V15/'Prod &amp; Defects - Qty'!$S$5*1000000</f>
        <v>#N/A</v>
      </c>
      <c r="X15" s="459" t="e">
        <f>W15*$Y$6</f>
        <v>#N/A</v>
      </c>
    </row>
    <row r="16" spans="1:25" ht="18" customHeight="1">
      <c r="A16" s="801"/>
      <c r="B16" s="124">
        <f t="shared" si="6"/>
        <v>5090</v>
      </c>
      <c r="C16" s="804"/>
      <c r="D16" s="75" t="s">
        <v>92</v>
      </c>
      <c r="E16" s="506">
        <f>'[3]BLIND-PVC-PRE - Qty'!X16</f>
        <v>848.67109834902647</v>
      </c>
      <c r="F16" s="451" t="e">
        <f t="shared" ref="F16:M16" si="7">SUM(F11:F15)</f>
        <v>#N/A</v>
      </c>
      <c r="G16" s="451" t="e">
        <f t="shared" si="7"/>
        <v>#N/A</v>
      </c>
      <c r="H16" s="451" t="e">
        <f t="shared" si="7"/>
        <v>#N/A</v>
      </c>
      <c r="I16" s="451" t="e">
        <f t="shared" si="7"/>
        <v>#N/A</v>
      </c>
      <c r="J16" s="451" t="e">
        <f t="shared" si="7"/>
        <v>#N/A</v>
      </c>
      <c r="K16" s="451" t="e">
        <f t="shared" si="7"/>
        <v>#N/A</v>
      </c>
      <c r="L16" s="451" t="e">
        <f t="shared" si="7"/>
        <v>#N/A</v>
      </c>
      <c r="M16" s="451" t="e">
        <f t="shared" si="7"/>
        <v>#N/A</v>
      </c>
      <c r="N16" s="451" t="e">
        <f>SUM(N11:N15)</f>
        <v>#N/A</v>
      </c>
      <c r="O16" s="451" t="e">
        <f>SUM(O11:O15)</f>
        <v>#N/A</v>
      </c>
      <c r="P16" s="451" t="e">
        <f>SUM(P11:P15)</f>
        <v>#N/A</v>
      </c>
      <c r="Q16" s="451" t="e">
        <f>SUM(Q11:Q15)</f>
        <v>#N/A</v>
      </c>
      <c r="R16" s="439" t="e">
        <f>SUM(R6:R15)</f>
        <v>#N/A</v>
      </c>
      <c r="S16" s="440" t="e">
        <f t="shared" si="4"/>
        <v>#N/A</v>
      </c>
      <c r="T16" s="439" t="e">
        <f>SUM(T6:T15)</f>
        <v>#N/A</v>
      </c>
      <c r="U16" s="440" t="e">
        <f t="shared" si="5"/>
        <v>#N/A</v>
      </c>
      <c r="V16" s="439" t="e">
        <f t="shared" ref="V16:V30" si="8">T16+R16</f>
        <v>#N/A</v>
      </c>
      <c r="W16" s="440" t="e">
        <f>V16/SUM(F38:Q38)*1000000</f>
        <v>#N/A</v>
      </c>
      <c r="X16" s="460" t="e">
        <f t="shared" si="3"/>
        <v>#N/A</v>
      </c>
    </row>
    <row r="17" spans="1:25" ht="18" customHeight="1">
      <c r="A17" s="801"/>
      <c r="B17" s="124">
        <f t="shared" si="6"/>
        <v>5100</v>
      </c>
      <c r="C17" s="803" t="s">
        <v>149</v>
      </c>
      <c r="D17" s="40" t="s">
        <v>143</v>
      </c>
      <c r="E17" s="244">
        <f>'[3]BLIND-PVC-PRE - Qty'!X17</f>
        <v>445.71558661925877</v>
      </c>
      <c r="F17" s="450" t="e">
        <f>$E17/1000000*('Prod &amp; Defects - Qty'!G$6+'Prod &amp; Defects - Qty'!G$7)/4</f>
        <v>#N/A</v>
      </c>
      <c r="G17" s="450" t="e">
        <f>$E17/1000000*('Prod &amp; Defects - Qty'!H$6+'Prod &amp; Defects - Qty'!H$7)/4</f>
        <v>#N/A</v>
      </c>
      <c r="H17" s="450" t="e">
        <f>$E17/1000000*('Prod &amp; Defects - Qty'!I$6+'Prod &amp; Defects - Qty'!I$7)/4</f>
        <v>#N/A</v>
      </c>
      <c r="I17" s="450" t="e">
        <f>$E17/1000000*('Prod &amp; Defects - Qty'!J$6+'Prod &amp; Defects - Qty'!J$7)/4</f>
        <v>#N/A</v>
      </c>
      <c r="J17" s="450" t="e">
        <f>$E17/1000000*('Prod &amp; Defects - Qty'!K$6+'Prod &amp; Defects - Qty'!K$7)/4</f>
        <v>#N/A</v>
      </c>
      <c r="K17" s="450" t="e">
        <f>$E17/1000000*('Prod &amp; Defects - Qty'!L$6+'Prod &amp; Defects - Qty'!L$7)/4</f>
        <v>#N/A</v>
      </c>
      <c r="L17" s="450" t="e">
        <f>$E17/1000000*('Prod &amp; Defects - Qty'!M$6+'Prod &amp; Defects - Qty'!M$7)/4</f>
        <v>#N/A</v>
      </c>
      <c r="M17" s="450" t="e">
        <f>$E17/1000000*('Prod &amp; Defects - Qty'!N$6+'Prod &amp; Defects - Qty'!N$7)/4</f>
        <v>#N/A</v>
      </c>
      <c r="N17" s="450" t="e">
        <f>$E17/1000000*('Prod &amp; Defects - Qty'!O$6+'Prod &amp; Defects - Qty'!O$7)/4</f>
        <v>#N/A</v>
      </c>
      <c r="O17" s="450" t="e">
        <f>$E17/1000000*('Prod &amp; Defects - Qty'!P$6+'Prod &amp; Defects - Qty'!P$7)/4</f>
        <v>#N/A</v>
      </c>
      <c r="P17" s="450" t="e">
        <f>$E17/1000000*('Prod &amp; Defects - Qty'!Q$6+'Prod &amp; Defects - Qty'!Q$7)/4</f>
        <v>#N/A</v>
      </c>
      <c r="Q17" s="450" t="e">
        <f>$E17/1000000*('Prod &amp; Defects - Qty'!R$6+'Prod &amp; Defects - Qty'!R$7)/4</f>
        <v>#N/A</v>
      </c>
      <c r="R17" s="438" t="e">
        <f t="shared" ref="R17:R30" si="9">SUM(F17:K17)</f>
        <v>#N/A</v>
      </c>
      <c r="S17" s="438" t="e">
        <f t="shared" si="4"/>
        <v>#N/A</v>
      </c>
      <c r="T17" s="438" t="e">
        <f t="shared" ref="T17:T30" si="10">SUM(L17:Q17)</f>
        <v>#N/A</v>
      </c>
      <c r="U17" s="438" t="e">
        <f t="shared" si="5"/>
        <v>#N/A</v>
      </c>
      <c r="V17" s="438" t="e">
        <f>R17+T17</f>
        <v>#N/A</v>
      </c>
      <c r="W17" s="438" t="e">
        <f>V17/'Prod &amp; Defects - Qty'!$S$5*1000000</f>
        <v>#N/A</v>
      </c>
      <c r="X17" s="459" t="e">
        <f>W17*$Y$6</f>
        <v>#N/A</v>
      </c>
    </row>
    <row r="18" spans="1:25" ht="18" customHeight="1">
      <c r="A18" s="801"/>
      <c r="B18" s="124">
        <f t="shared" si="6"/>
        <v>5110</v>
      </c>
      <c r="C18" s="804"/>
      <c r="D18" s="40" t="s">
        <v>144</v>
      </c>
      <c r="E18" s="244">
        <f>'[3]BLIND-PVC-PRE - Qty'!X18</f>
        <v>515.25426357340677</v>
      </c>
      <c r="F18" s="450" t="e">
        <f>$E18/1000000*('Prod &amp; Defects - Qty'!G$6+'Prod &amp; Defects - Qty'!G$7)/4</f>
        <v>#N/A</v>
      </c>
      <c r="G18" s="450" t="e">
        <f>$E18/1000000*('Prod &amp; Defects - Qty'!H$6+'Prod &amp; Defects - Qty'!H$7)/4</f>
        <v>#N/A</v>
      </c>
      <c r="H18" s="450" t="e">
        <f>$E18/1000000*('Prod &amp; Defects - Qty'!I$6+'Prod &amp; Defects - Qty'!I$7)/4</f>
        <v>#N/A</v>
      </c>
      <c r="I18" s="450" t="e">
        <f>$E18/1000000*('Prod &amp; Defects - Qty'!J$6+'Prod &amp; Defects - Qty'!J$7)/4</f>
        <v>#N/A</v>
      </c>
      <c r="J18" s="450" t="e">
        <f>$E18/1000000*('Prod &amp; Defects - Qty'!K$6+'Prod &amp; Defects - Qty'!K$7)/4</f>
        <v>#N/A</v>
      </c>
      <c r="K18" s="450" t="e">
        <f>$E18/1000000*('Prod &amp; Defects - Qty'!L$6+'Prod &amp; Defects - Qty'!L$7)/4</f>
        <v>#N/A</v>
      </c>
      <c r="L18" s="450" t="e">
        <f>$E18/1000000*('Prod &amp; Defects - Qty'!M$6+'Prod &amp; Defects - Qty'!M$7)/4</f>
        <v>#N/A</v>
      </c>
      <c r="M18" s="450" t="e">
        <f>$E18/1000000*('Prod &amp; Defects - Qty'!N$6+'Prod &amp; Defects - Qty'!N$7)/4</f>
        <v>#N/A</v>
      </c>
      <c r="N18" s="450" t="e">
        <f>$E18/1000000*('Prod &amp; Defects - Qty'!O$6+'Prod &amp; Defects - Qty'!O$7)/4</f>
        <v>#N/A</v>
      </c>
      <c r="O18" s="450" t="e">
        <f>$E18/1000000*('Prod &amp; Defects - Qty'!P$6+'Prod &amp; Defects - Qty'!P$7)/4</f>
        <v>#N/A</v>
      </c>
      <c r="P18" s="450" t="e">
        <f>$E18/1000000*('Prod &amp; Defects - Qty'!Q$6+'Prod &amp; Defects - Qty'!Q$7)/4</f>
        <v>#N/A</v>
      </c>
      <c r="Q18" s="450" t="e">
        <f>$E18/1000000*('Prod &amp; Defects - Qty'!R$6+'Prod &amp; Defects - Qty'!R$7)/4</f>
        <v>#N/A</v>
      </c>
      <c r="R18" s="438" t="e">
        <f t="shared" si="9"/>
        <v>#N/A</v>
      </c>
      <c r="S18" s="438" t="e">
        <f t="shared" si="4"/>
        <v>#N/A</v>
      </c>
      <c r="T18" s="438" t="e">
        <f t="shared" si="10"/>
        <v>#N/A</v>
      </c>
      <c r="U18" s="438" t="e">
        <f t="shared" si="5"/>
        <v>#N/A</v>
      </c>
      <c r="V18" s="438" t="e">
        <f>R18+T18</f>
        <v>#N/A</v>
      </c>
      <c r="W18" s="438" t="e">
        <f>V18/'Prod &amp; Defects - Qty'!$S$5*1000000</f>
        <v>#N/A</v>
      </c>
      <c r="X18" s="459" t="e">
        <f>W18*$Y$6</f>
        <v>#N/A</v>
      </c>
    </row>
    <row r="19" spans="1:25" ht="18" customHeight="1">
      <c r="A19" s="801"/>
      <c r="B19" s="124">
        <f t="shared" si="6"/>
        <v>5120</v>
      </c>
      <c r="C19" s="804"/>
      <c r="D19" s="40" t="s">
        <v>145</v>
      </c>
      <c r="E19" s="244">
        <f>'[3]BLIND-PVC-PRE - Qty'!X19</f>
        <v>825.48275394596965</v>
      </c>
      <c r="F19" s="450" t="e">
        <f>$E19/1000000*('Prod &amp; Defects - Qty'!G$6+'Prod &amp; Defects - Qty'!G$7)/4</f>
        <v>#N/A</v>
      </c>
      <c r="G19" s="450" t="e">
        <f>$E19/1000000*('Prod &amp; Defects - Qty'!H$6+'Prod &amp; Defects - Qty'!H$7)/4</f>
        <v>#N/A</v>
      </c>
      <c r="H19" s="450" t="e">
        <f>$E19/1000000*('Prod &amp; Defects - Qty'!I$6+'Prod &amp; Defects - Qty'!I$7)/4</f>
        <v>#N/A</v>
      </c>
      <c r="I19" s="450" t="e">
        <f>$E19/1000000*('Prod &amp; Defects - Qty'!J$6+'Prod &amp; Defects - Qty'!J$7)/4</f>
        <v>#N/A</v>
      </c>
      <c r="J19" s="450" t="e">
        <f>$E19/1000000*('Prod &amp; Defects - Qty'!K$6+'Prod &amp; Defects - Qty'!K$7)/4</f>
        <v>#N/A</v>
      </c>
      <c r="K19" s="450" t="e">
        <f>$E19/1000000*('Prod &amp; Defects - Qty'!L$6+'Prod &amp; Defects - Qty'!L$7)/4</f>
        <v>#N/A</v>
      </c>
      <c r="L19" s="450" t="e">
        <f>$E19/1000000*('Prod &amp; Defects - Qty'!M$6+'Prod &amp; Defects - Qty'!M$7)/4</f>
        <v>#N/A</v>
      </c>
      <c r="M19" s="450" t="e">
        <f>$E19/1000000*('Prod &amp; Defects - Qty'!N$6+'Prod &amp; Defects - Qty'!N$7)/4</f>
        <v>#N/A</v>
      </c>
      <c r="N19" s="450" t="e">
        <f>$E19/1000000*('Prod &amp; Defects - Qty'!O$6+'Prod &amp; Defects - Qty'!O$7)/4</f>
        <v>#N/A</v>
      </c>
      <c r="O19" s="450" t="e">
        <f>$E19/1000000*('Prod &amp; Defects - Qty'!P$6+'Prod &amp; Defects - Qty'!P$7)/4</f>
        <v>#N/A</v>
      </c>
      <c r="P19" s="450" t="e">
        <f>$E19/1000000*('Prod &amp; Defects - Qty'!Q$6+'Prod &amp; Defects - Qty'!Q$7)/4</f>
        <v>#N/A</v>
      </c>
      <c r="Q19" s="450" t="e">
        <f>$E19/1000000*('Prod &amp; Defects - Qty'!R$6+'Prod &amp; Defects - Qty'!R$7)/4</f>
        <v>#N/A</v>
      </c>
      <c r="R19" s="438" t="e">
        <f t="shared" si="9"/>
        <v>#N/A</v>
      </c>
      <c r="S19" s="438" t="e">
        <f t="shared" si="4"/>
        <v>#N/A</v>
      </c>
      <c r="T19" s="438" t="e">
        <f t="shared" si="10"/>
        <v>#N/A</v>
      </c>
      <c r="U19" s="438" t="e">
        <f t="shared" si="5"/>
        <v>#N/A</v>
      </c>
      <c r="V19" s="438" t="e">
        <f>R19+T19</f>
        <v>#N/A</v>
      </c>
      <c r="W19" s="438" t="e">
        <f>V19/'Prod &amp; Defects - Qty'!$S$5*1000000</f>
        <v>#N/A</v>
      </c>
      <c r="X19" s="459" t="e">
        <f>W19*$Y$6</f>
        <v>#N/A</v>
      </c>
    </row>
    <row r="20" spans="1:25" ht="18" customHeight="1">
      <c r="A20" s="801"/>
      <c r="B20" s="124">
        <f t="shared" si="6"/>
        <v>5130</v>
      </c>
      <c r="C20" s="804"/>
      <c r="D20" s="40" t="s">
        <v>147</v>
      </c>
      <c r="E20" s="244">
        <f>'[3]BLIND-PVC-PRE - Qty'!X20</f>
        <v>627.46908070674101</v>
      </c>
      <c r="F20" s="450" t="e">
        <f>$E20/1000000*('Prod &amp; Defects - Qty'!G$6+'Prod &amp; Defects - Qty'!G$7)/4</f>
        <v>#N/A</v>
      </c>
      <c r="G20" s="450" t="e">
        <f>$E20/1000000*('Prod &amp; Defects - Qty'!H$6+'Prod &amp; Defects - Qty'!H$7)/4</f>
        <v>#N/A</v>
      </c>
      <c r="H20" s="450" t="e">
        <f>$E20/1000000*('Prod &amp; Defects - Qty'!I$6+'Prod &amp; Defects - Qty'!I$7)/4</f>
        <v>#N/A</v>
      </c>
      <c r="I20" s="450" t="e">
        <f>$E20/1000000*('Prod &amp; Defects - Qty'!J$6+'Prod &amp; Defects - Qty'!J$7)/4</f>
        <v>#N/A</v>
      </c>
      <c r="J20" s="450" t="e">
        <f>$E20/1000000*('Prod &amp; Defects - Qty'!K$6+'Prod &amp; Defects - Qty'!K$7)/4</f>
        <v>#N/A</v>
      </c>
      <c r="K20" s="450" t="e">
        <f>$E20/1000000*('Prod &amp; Defects - Qty'!L$6+'Prod &amp; Defects - Qty'!L$7)/4</f>
        <v>#N/A</v>
      </c>
      <c r="L20" s="450" t="e">
        <f>$E20/1000000*('Prod &amp; Defects - Qty'!M$6+'Prod &amp; Defects - Qty'!M$7)/4</f>
        <v>#N/A</v>
      </c>
      <c r="M20" s="450" t="e">
        <f>$E20/1000000*('Prod &amp; Defects - Qty'!N$6+'Prod &amp; Defects - Qty'!N$7)/4</f>
        <v>#N/A</v>
      </c>
      <c r="N20" s="450" t="e">
        <f>$E20/1000000*('Prod &amp; Defects - Qty'!O$6+'Prod &amp; Defects - Qty'!O$7)/4</f>
        <v>#N/A</v>
      </c>
      <c r="O20" s="450" t="e">
        <f>$E20/1000000*('Prod &amp; Defects - Qty'!P$6+'Prod &amp; Defects - Qty'!P$7)/4</f>
        <v>#N/A</v>
      </c>
      <c r="P20" s="450" t="e">
        <f>$E20/1000000*('Prod &amp; Defects - Qty'!Q$6+'Prod &amp; Defects - Qty'!Q$7)/4</f>
        <v>#N/A</v>
      </c>
      <c r="Q20" s="450" t="e">
        <f>$E20/1000000*('Prod &amp; Defects - Qty'!R$6+'Prod &amp; Defects - Qty'!R$7)/4</f>
        <v>#N/A</v>
      </c>
      <c r="R20" s="438" t="e">
        <f t="shared" si="9"/>
        <v>#N/A</v>
      </c>
      <c r="S20" s="438" t="e">
        <f t="shared" si="4"/>
        <v>#N/A</v>
      </c>
      <c r="T20" s="438" t="e">
        <f t="shared" si="10"/>
        <v>#N/A</v>
      </c>
      <c r="U20" s="438" t="e">
        <f t="shared" si="5"/>
        <v>#N/A</v>
      </c>
      <c r="V20" s="438" t="e">
        <f>R20+T20</f>
        <v>#N/A</v>
      </c>
      <c r="W20" s="438" t="e">
        <f>V20/'Prod &amp; Defects - Qty'!$S$5*1000000</f>
        <v>#N/A</v>
      </c>
      <c r="X20" s="459" t="e">
        <f>W20*$Y$6</f>
        <v>#N/A</v>
      </c>
    </row>
    <row r="21" spans="1:25" ht="18" customHeight="1">
      <c r="A21" s="801"/>
      <c r="B21" s="124">
        <f t="shared" si="6"/>
        <v>5140</v>
      </c>
      <c r="C21" s="804"/>
      <c r="D21" s="76" t="s">
        <v>92</v>
      </c>
      <c r="E21" s="507">
        <f>'[3]BLIND-PVC-PRE - Qty'!X21</f>
        <v>379.04091362279831</v>
      </c>
      <c r="F21" s="452" t="e">
        <f t="shared" ref="F21:M21" si="11">SUM(F17:F20)</f>
        <v>#N/A</v>
      </c>
      <c r="G21" s="452" t="e">
        <f t="shared" si="11"/>
        <v>#N/A</v>
      </c>
      <c r="H21" s="452" t="e">
        <f t="shared" si="11"/>
        <v>#N/A</v>
      </c>
      <c r="I21" s="452" t="e">
        <f t="shared" si="11"/>
        <v>#N/A</v>
      </c>
      <c r="J21" s="452" t="e">
        <f t="shared" si="11"/>
        <v>#N/A</v>
      </c>
      <c r="K21" s="452" t="e">
        <f t="shared" si="11"/>
        <v>#N/A</v>
      </c>
      <c r="L21" s="452" t="e">
        <f t="shared" si="11"/>
        <v>#N/A</v>
      </c>
      <c r="M21" s="452" t="e">
        <f t="shared" si="11"/>
        <v>#N/A</v>
      </c>
      <c r="N21" s="452" t="e">
        <f>SUM(N17:N20)</f>
        <v>#N/A</v>
      </c>
      <c r="O21" s="452" t="e">
        <f>SUM(O17:O20)</f>
        <v>#N/A</v>
      </c>
      <c r="P21" s="452" t="e">
        <f>SUM(P17:P20)</f>
        <v>#N/A</v>
      </c>
      <c r="Q21" s="452" t="e">
        <f>SUM(Q17:Q20)</f>
        <v>#N/A</v>
      </c>
      <c r="R21" s="461" t="e">
        <f t="shared" si="9"/>
        <v>#N/A</v>
      </c>
      <c r="S21" s="440" t="e">
        <f t="shared" si="4"/>
        <v>#N/A</v>
      </c>
      <c r="T21" s="440" t="e">
        <f t="shared" si="10"/>
        <v>#N/A</v>
      </c>
      <c r="U21" s="440" t="e">
        <f t="shared" si="5"/>
        <v>#N/A</v>
      </c>
      <c r="V21" s="440" t="e">
        <f t="shared" si="8"/>
        <v>#N/A</v>
      </c>
      <c r="W21" s="440" t="e">
        <f>V21/SUM(F43:Q43)*1000000</f>
        <v>#N/A</v>
      </c>
      <c r="X21" s="462" t="e">
        <f t="shared" si="3"/>
        <v>#N/A</v>
      </c>
    </row>
    <row r="22" spans="1:25" ht="18" customHeight="1" thickBot="1">
      <c r="A22" s="802"/>
      <c r="B22" s="77"/>
      <c r="C22" s="78" t="s">
        <v>1</v>
      </c>
      <c r="D22" s="79"/>
      <c r="E22" s="508">
        <f>'[3]BLIND-PVC-PRE - Qty'!X22</f>
        <v>0</v>
      </c>
      <c r="F22" s="453" t="e">
        <f t="shared" ref="F22:M22" si="12">F16+F10+F21</f>
        <v>#N/A</v>
      </c>
      <c r="G22" s="453" t="e">
        <f t="shared" si="12"/>
        <v>#N/A</v>
      </c>
      <c r="H22" s="453" t="e">
        <f t="shared" si="12"/>
        <v>#N/A</v>
      </c>
      <c r="I22" s="453" t="e">
        <f t="shared" si="12"/>
        <v>#N/A</v>
      </c>
      <c r="J22" s="453" t="e">
        <f t="shared" si="12"/>
        <v>#N/A</v>
      </c>
      <c r="K22" s="453" t="e">
        <f t="shared" si="12"/>
        <v>#N/A</v>
      </c>
      <c r="L22" s="453" t="e">
        <f t="shared" si="12"/>
        <v>#N/A</v>
      </c>
      <c r="M22" s="453" t="e">
        <f t="shared" si="12"/>
        <v>#N/A</v>
      </c>
      <c r="N22" s="453" t="e">
        <f>N16+N10+N21</f>
        <v>#N/A</v>
      </c>
      <c r="O22" s="453" t="e">
        <f>O16+O10+O21</f>
        <v>#N/A</v>
      </c>
      <c r="P22" s="453" t="e">
        <f>P16+P10+P21</f>
        <v>#N/A</v>
      </c>
      <c r="Q22" s="453" t="e">
        <f>Q16+Q10+Q21</f>
        <v>#N/A</v>
      </c>
      <c r="R22" s="463" t="e">
        <f t="shared" si="9"/>
        <v>#N/A</v>
      </c>
      <c r="S22" s="463"/>
      <c r="T22" s="441" t="e">
        <f t="shared" si="10"/>
        <v>#N/A</v>
      </c>
      <c r="U22" s="463"/>
      <c r="V22" s="441" t="e">
        <f t="shared" si="8"/>
        <v>#N/A</v>
      </c>
      <c r="W22" s="463"/>
      <c r="X22" s="464">
        <f t="shared" si="3"/>
        <v>0</v>
      </c>
    </row>
    <row r="23" spans="1:25" ht="18" customHeight="1" thickTop="1">
      <c r="A23" s="805" t="s">
        <v>98</v>
      </c>
      <c r="B23" s="72">
        <f>B21+10</f>
        <v>5150</v>
      </c>
      <c r="C23" s="80" t="s">
        <v>107</v>
      </c>
      <c r="D23" s="73"/>
      <c r="E23" s="504">
        <f>'[3]BLIND-PVC-PRE - Qty'!X23</f>
        <v>32264.689934765014</v>
      </c>
      <c r="F23" s="447" t="e">
        <f>'Prod &amp; Defects - Qty'!G5/1000*'BLIND-PVC-PRE - Qty'!$Y$23*'BLIND-PVC-PRE - Qty'!$E$23/1000000</f>
        <v>#N/A</v>
      </c>
      <c r="G23" s="447" t="e">
        <f>'Prod &amp; Defects - Qty'!H5/1000*'BLIND-PVC-PRE - Qty'!$Y$23*'BLIND-PVC-PRE - Qty'!$E$23/1000000</f>
        <v>#N/A</v>
      </c>
      <c r="H23" s="447" t="e">
        <f>'Prod &amp; Defects - Qty'!I5/1000*'BLIND-PVC-PRE - Qty'!$Y$23*'BLIND-PVC-PRE - Qty'!$E$23/1000000</f>
        <v>#N/A</v>
      </c>
      <c r="I23" s="447" t="e">
        <f>'Prod &amp; Defects - Qty'!J5/1000*'BLIND-PVC-PRE - Qty'!$Y$23*'BLIND-PVC-PRE - Qty'!$E$23/1000000</f>
        <v>#N/A</v>
      </c>
      <c r="J23" s="447" t="e">
        <f>'Prod &amp; Defects - Qty'!K5/1000*'BLIND-PVC-PRE - Qty'!$Y$23*'BLIND-PVC-PRE - Qty'!$E$23/1000000</f>
        <v>#N/A</v>
      </c>
      <c r="K23" s="447" t="e">
        <f>'Prod &amp; Defects - Qty'!L5/1000*'BLIND-PVC-PRE - Qty'!$Y$23*'BLIND-PVC-PRE - Qty'!$E$23/1000000</f>
        <v>#N/A</v>
      </c>
      <c r="L23" s="447" t="e">
        <f>'Prod &amp; Defects - Qty'!M5/1000*'BLIND-PVC-PRE - Qty'!$Y$23*'BLIND-PVC-PRE - Qty'!$E$23/1000000</f>
        <v>#N/A</v>
      </c>
      <c r="M23" s="447" t="e">
        <f>'Prod &amp; Defects - Qty'!N5/1000*'BLIND-PVC-PRE - Qty'!$Y$23*'BLIND-PVC-PRE - Qty'!$E$23/1000000</f>
        <v>#N/A</v>
      </c>
      <c r="N23" s="447" t="e">
        <f>'Prod &amp; Defects - Qty'!O5/1000*'BLIND-PVC-PRE - Qty'!$Y$23*'BLIND-PVC-PRE - Qty'!$E$23/1000000</f>
        <v>#N/A</v>
      </c>
      <c r="O23" s="447" t="e">
        <f>'Prod &amp; Defects - Qty'!P5/1000*'BLIND-PVC-PRE - Qty'!$Y$23*'BLIND-PVC-PRE - Qty'!$E$23/1000000</f>
        <v>#N/A</v>
      </c>
      <c r="P23" s="447" t="e">
        <f>'Prod &amp; Defects - Qty'!Q5/1000*'BLIND-PVC-PRE - Qty'!$Y$23*'BLIND-PVC-PRE - Qty'!$E$23/1000000</f>
        <v>#N/A</v>
      </c>
      <c r="Q23" s="447" t="e">
        <f>'Prod &amp; Defects - Qty'!R5/1000*'BLIND-PVC-PRE - Qty'!$Y$23*'BLIND-PVC-PRE - Qty'!$E$23/1000000</f>
        <v>#N/A</v>
      </c>
      <c r="R23" s="465" t="e">
        <f t="shared" si="9"/>
        <v>#N/A</v>
      </c>
      <c r="S23" s="447" t="e">
        <f>R23/SUM(F45:K45)*1000000</f>
        <v>#N/A</v>
      </c>
      <c r="T23" s="435" t="e">
        <f t="shared" si="10"/>
        <v>#N/A</v>
      </c>
      <c r="U23" s="447" t="e">
        <f>T23/SUM(L45:Q45)*1000000</f>
        <v>#N/A</v>
      </c>
      <c r="V23" s="435" t="e">
        <f t="shared" si="8"/>
        <v>#N/A</v>
      </c>
      <c r="W23" s="447" t="e">
        <f>V23/SUM(F45:Q45)*1000000</f>
        <v>#N/A</v>
      </c>
      <c r="X23" s="466" t="e">
        <f>W23*$Y$6</f>
        <v>#N/A</v>
      </c>
      <c r="Y23" s="125">
        <v>0.79</v>
      </c>
    </row>
    <row r="24" spans="1:25" ht="18" customHeight="1">
      <c r="A24" s="806"/>
      <c r="B24" s="72">
        <f>B23+10</f>
        <v>5160</v>
      </c>
      <c r="C24" s="46" t="s">
        <v>105</v>
      </c>
      <c r="D24" s="31"/>
      <c r="E24" s="239">
        <f>'[3]BLIND-PVC-PRE - Qty'!X24</f>
        <v>20317.358781986764</v>
      </c>
      <c r="F24" s="448" t="e">
        <f>('Prod &amp; Defects - Qty'!G6+'Prod &amp; Defects - Qty'!G7)/1000*'BLIND-PVC-PRE - Qty'!$Y$24*'BLIND-PVC-PRE - Qty'!$E$24/1000000</f>
        <v>#N/A</v>
      </c>
      <c r="G24" s="448" t="e">
        <f>('Prod &amp; Defects - Qty'!H6+'Prod &amp; Defects - Qty'!H7)/1000*'BLIND-PVC-PRE - Qty'!$Y$24*'BLIND-PVC-PRE - Qty'!$E$24/1000000</f>
        <v>#N/A</v>
      </c>
      <c r="H24" s="448" t="e">
        <f>('Prod &amp; Defects - Qty'!I6+'Prod &amp; Defects - Qty'!I7)/1000*'BLIND-PVC-PRE - Qty'!$Y$24*'BLIND-PVC-PRE - Qty'!$E$24/1000000</f>
        <v>#N/A</v>
      </c>
      <c r="I24" s="448" t="e">
        <f>('Prod &amp; Defects - Qty'!J6+'Prod &amp; Defects - Qty'!J7)/1000*'BLIND-PVC-PRE - Qty'!$Y$24*'BLIND-PVC-PRE - Qty'!$E$24/1000000</f>
        <v>#N/A</v>
      </c>
      <c r="J24" s="448" t="e">
        <f>('Prod &amp; Defects - Qty'!K6+'Prod &amp; Defects - Qty'!K7)/1000*'BLIND-PVC-PRE - Qty'!$Y$24*'BLIND-PVC-PRE - Qty'!$E$24/1000000</f>
        <v>#N/A</v>
      </c>
      <c r="K24" s="448" t="e">
        <f>('Prod &amp; Defects - Qty'!L6+'Prod &amp; Defects - Qty'!L7)/1000*'BLIND-PVC-PRE - Qty'!$Y$24*'BLIND-PVC-PRE - Qty'!$E$24/1000000</f>
        <v>#N/A</v>
      </c>
      <c r="L24" s="448" t="e">
        <f>('Prod &amp; Defects - Qty'!M6+'Prod &amp; Defects - Qty'!M7)/1000*'BLIND-PVC-PRE - Qty'!$Y$24*'BLIND-PVC-PRE - Qty'!$E$24/1000000</f>
        <v>#N/A</v>
      </c>
      <c r="M24" s="448" t="e">
        <f>('Prod &amp; Defects - Qty'!N6+'Prod &amp; Defects - Qty'!N7)/1000*'BLIND-PVC-PRE - Qty'!$Y$24*'BLIND-PVC-PRE - Qty'!$E$24/1000000</f>
        <v>#N/A</v>
      </c>
      <c r="N24" s="448" t="e">
        <f>('Prod &amp; Defects - Qty'!O6+'Prod &amp; Defects - Qty'!O7)/1000*'BLIND-PVC-PRE - Qty'!$Y$24*'BLIND-PVC-PRE - Qty'!$E$24/1000000</f>
        <v>#N/A</v>
      </c>
      <c r="O24" s="448" t="e">
        <f>('Prod &amp; Defects - Qty'!P6+'Prod &amp; Defects - Qty'!P7)/1000*'BLIND-PVC-PRE - Qty'!$Y$24*'BLIND-PVC-PRE - Qty'!$E$24/1000000</f>
        <v>#N/A</v>
      </c>
      <c r="P24" s="448" t="e">
        <f>('Prod &amp; Defects - Qty'!Q6+'Prod &amp; Defects - Qty'!Q7)/1000*'BLIND-PVC-PRE - Qty'!$Y$24*'BLIND-PVC-PRE - Qty'!$E$24/1000000</f>
        <v>#N/A</v>
      </c>
      <c r="Q24" s="448" t="e">
        <f>('Prod &amp; Defects - Qty'!R6+'Prod &amp; Defects - Qty'!R7)/1000*'BLIND-PVC-PRE - Qty'!$Y$24*'BLIND-PVC-PRE - Qty'!$E$24/1000000</f>
        <v>#N/A</v>
      </c>
      <c r="R24" s="467" t="e">
        <f t="shared" si="9"/>
        <v>#N/A</v>
      </c>
      <c r="S24" s="448" t="e">
        <f>R24/SUM(F46:K46)*1000000</f>
        <v>#N/A</v>
      </c>
      <c r="T24" s="436" t="e">
        <f t="shared" si="10"/>
        <v>#N/A</v>
      </c>
      <c r="U24" s="448" t="e">
        <f>T24/SUM(L46:Q46)*1000000</f>
        <v>#N/A</v>
      </c>
      <c r="V24" s="436" t="e">
        <f t="shared" si="8"/>
        <v>#N/A</v>
      </c>
      <c r="W24" s="448" t="e">
        <f>V24/SUM(F46:Q46)*1000000</f>
        <v>#N/A</v>
      </c>
      <c r="X24" s="468" t="e">
        <f>W24*$Y$6</f>
        <v>#N/A</v>
      </c>
      <c r="Y24" s="126">
        <v>0.25600000000000001</v>
      </c>
    </row>
    <row r="25" spans="1:25" ht="18" customHeight="1">
      <c r="A25" s="806"/>
      <c r="B25" s="72"/>
      <c r="C25" s="70"/>
      <c r="D25" s="67"/>
      <c r="E25" s="509">
        <f>'[3]BLIND-PVC-PRE - Qty'!X25</f>
        <v>0</v>
      </c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69">
        <f t="shared" si="9"/>
        <v>0</v>
      </c>
      <c r="S25" s="469"/>
      <c r="T25" s="477">
        <f t="shared" si="10"/>
        <v>0</v>
      </c>
      <c r="U25" s="469"/>
      <c r="V25" s="477">
        <f t="shared" si="8"/>
        <v>0</v>
      </c>
      <c r="W25" s="469"/>
      <c r="X25" s="470">
        <f t="shared" si="3"/>
        <v>0</v>
      </c>
    </row>
    <row r="26" spans="1:25" ht="18" customHeight="1" thickBot="1">
      <c r="A26" s="808"/>
      <c r="B26" s="81"/>
      <c r="C26" s="78" t="s">
        <v>1</v>
      </c>
      <c r="D26" s="79"/>
      <c r="E26" s="508">
        <f>'[3]BLIND-PVC-PRE - Qty'!X26</f>
        <v>0</v>
      </c>
      <c r="F26" s="453" t="e">
        <f t="shared" ref="F26:M26" si="13">SUM(F23:F25)</f>
        <v>#N/A</v>
      </c>
      <c r="G26" s="453" t="e">
        <f t="shared" si="13"/>
        <v>#N/A</v>
      </c>
      <c r="H26" s="453" t="e">
        <f t="shared" si="13"/>
        <v>#N/A</v>
      </c>
      <c r="I26" s="453" t="e">
        <f t="shared" si="13"/>
        <v>#N/A</v>
      </c>
      <c r="J26" s="453" t="e">
        <f t="shared" si="13"/>
        <v>#N/A</v>
      </c>
      <c r="K26" s="453" t="e">
        <f t="shared" si="13"/>
        <v>#N/A</v>
      </c>
      <c r="L26" s="453" t="e">
        <f t="shared" si="13"/>
        <v>#N/A</v>
      </c>
      <c r="M26" s="453" t="e">
        <f t="shared" si="13"/>
        <v>#N/A</v>
      </c>
      <c r="N26" s="453" t="e">
        <f>SUM(N23:N25)</f>
        <v>#N/A</v>
      </c>
      <c r="O26" s="453" t="e">
        <f>SUM(O23:O25)</f>
        <v>#N/A</v>
      </c>
      <c r="P26" s="453" t="e">
        <f>SUM(P23:P25)</f>
        <v>#N/A</v>
      </c>
      <c r="Q26" s="453" t="e">
        <f>SUM(Q23:Q25)</f>
        <v>#N/A</v>
      </c>
      <c r="R26" s="463" t="e">
        <f t="shared" si="9"/>
        <v>#N/A</v>
      </c>
      <c r="S26" s="463"/>
      <c r="T26" s="441" t="e">
        <f t="shared" si="10"/>
        <v>#N/A</v>
      </c>
      <c r="U26" s="463"/>
      <c r="V26" s="441" t="e">
        <f t="shared" si="8"/>
        <v>#N/A</v>
      </c>
      <c r="W26" s="463"/>
      <c r="X26" s="464">
        <f t="shared" si="3"/>
        <v>0</v>
      </c>
    </row>
    <row r="27" spans="1:25" ht="18" customHeight="1" thickTop="1">
      <c r="A27" s="805" t="s">
        <v>109</v>
      </c>
      <c r="B27" s="72">
        <v>5170</v>
      </c>
      <c r="C27" s="80" t="s">
        <v>107</v>
      </c>
      <c r="D27" s="73"/>
      <c r="E27" s="511">
        <f>'[3]BLIND-PVC-PRE - Qty'!X27</f>
        <v>6.2607762327700683E-2</v>
      </c>
      <c r="F27" s="447" t="e">
        <f>$E$27*'Prod &amp; Defects - Qty'!G$5</f>
        <v>#N/A</v>
      </c>
      <c r="G27" s="447" t="e">
        <f>$E$27*'Prod &amp; Defects - Qty'!H$5</f>
        <v>#N/A</v>
      </c>
      <c r="H27" s="447" t="e">
        <f>$E$27*'Prod &amp; Defects - Qty'!I$5</f>
        <v>#N/A</v>
      </c>
      <c r="I27" s="447" t="e">
        <f>$E$27*'Prod &amp; Defects - Qty'!J$5</f>
        <v>#N/A</v>
      </c>
      <c r="J27" s="447" t="e">
        <f>$E$27*'Prod &amp; Defects - Qty'!K$5</f>
        <v>#N/A</v>
      </c>
      <c r="K27" s="447" t="e">
        <f>$E$27*'Prod &amp; Defects - Qty'!L$5</f>
        <v>#N/A</v>
      </c>
      <c r="L27" s="447" t="e">
        <f>$E$27*'Prod &amp; Defects - Qty'!M$5</f>
        <v>#N/A</v>
      </c>
      <c r="M27" s="447" t="e">
        <f>$E$27*'Prod &amp; Defects - Qty'!N$5</f>
        <v>#N/A</v>
      </c>
      <c r="N27" s="447" t="e">
        <f>$E$27*'Prod &amp; Defects - Qty'!O$5</f>
        <v>#N/A</v>
      </c>
      <c r="O27" s="447" t="e">
        <f>$E$27*'Prod &amp; Defects - Qty'!P$5</f>
        <v>#N/A</v>
      </c>
      <c r="P27" s="447" t="e">
        <f>$E$27*'Prod &amp; Defects - Qty'!Q$5</f>
        <v>#N/A</v>
      </c>
      <c r="Q27" s="447" t="e">
        <f>$E$27*'Prod &amp; Defects - Qty'!R$5</f>
        <v>#N/A</v>
      </c>
      <c r="R27" s="435" t="e">
        <f t="shared" si="9"/>
        <v>#N/A</v>
      </c>
      <c r="S27" s="471" t="e">
        <f>R27/SUM(F47:K47)</f>
        <v>#N/A</v>
      </c>
      <c r="T27" s="435" t="e">
        <f t="shared" si="10"/>
        <v>#N/A</v>
      </c>
      <c r="U27" s="471" t="e">
        <f>T27/SUM(L47:Q47)</f>
        <v>#N/A</v>
      </c>
      <c r="V27" s="435" t="e">
        <f t="shared" si="8"/>
        <v>#N/A</v>
      </c>
      <c r="W27" s="471" t="e">
        <f>V27/SUM(F47:Q47)</f>
        <v>#N/A</v>
      </c>
      <c r="X27" s="472" t="e">
        <f t="shared" si="3"/>
        <v>#N/A</v>
      </c>
    </row>
    <row r="28" spans="1:25" ht="18" customHeight="1">
      <c r="A28" s="806"/>
      <c r="B28" s="72">
        <f>B27+10</f>
        <v>5180</v>
      </c>
      <c r="C28" s="46" t="s">
        <v>105</v>
      </c>
      <c r="D28" s="31"/>
      <c r="E28" s="512">
        <f>'[3]BLIND-PVC-PRE - Qty'!X28</f>
        <v>3.8070632346107323E-2</v>
      </c>
      <c r="F28" s="448" t="e">
        <f>$E$28*('Prod &amp; Defects - Qty'!G$6+'Prod &amp; Defects - Qty'!G$7)</f>
        <v>#N/A</v>
      </c>
      <c r="G28" s="448" t="e">
        <f>$E$28*('Prod &amp; Defects - Qty'!H$6+'Prod &amp; Defects - Qty'!H$7)</f>
        <v>#N/A</v>
      </c>
      <c r="H28" s="448" t="e">
        <f>$E$28*('Prod &amp; Defects - Qty'!I$6+'Prod &amp; Defects - Qty'!I$7)</f>
        <v>#N/A</v>
      </c>
      <c r="I28" s="448" t="e">
        <f>$E$28*('Prod &amp; Defects - Qty'!J$6+'Prod &amp; Defects - Qty'!J$7)</f>
        <v>#N/A</v>
      </c>
      <c r="J28" s="448" t="e">
        <f>$E$28*('Prod &amp; Defects - Qty'!K$6+'Prod &amp; Defects - Qty'!K$7)</f>
        <v>#N/A</v>
      </c>
      <c r="K28" s="448" t="e">
        <f>$E$28*('Prod &amp; Defects - Qty'!L$6+'Prod &amp; Defects - Qty'!L$7)</f>
        <v>#N/A</v>
      </c>
      <c r="L28" s="448" t="e">
        <f>$E$28*('Prod &amp; Defects - Qty'!M$6+'Prod &amp; Defects - Qty'!M$7)</f>
        <v>#N/A</v>
      </c>
      <c r="M28" s="448" t="e">
        <f>$E$28*('Prod &amp; Defects - Qty'!N$6+'Prod &amp; Defects - Qty'!N$7)</f>
        <v>#N/A</v>
      </c>
      <c r="N28" s="448" t="e">
        <f>$E$28*('Prod &amp; Defects - Qty'!O$6+'Prod &amp; Defects - Qty'!O$7)</f>
        <v>#N/A</v>
      </c>
      <c r="O28" s="448" t="e">
        <f>$E$28*('Prod &amp; Defects - Qty'!P$6+'Prod &amp; Defects - Qty'!P$7)</f>
        <v>#N/A</v>
      </c>
      <c r="P28" s="448" t="e">
        <f>$E$28*('Prod &amp; Defects - Qty'!Q$6+'Prod &amp; Defects - Qty'!Q$7)</f>
        <v>#N/A</v>
      </c>
      <c r="Q28" s="448" t="e">
        <f>$E$28*('Prod &amp; Defects - Qty'!R$6+'Prod &amp; Defects - Qty'!R$7)</f>
        <v>#N/A</v>
      </c>
      <c r="R28" s="436" t="e">
        <f t="shared" si="9"/>
        <v>#N/A</v>
      </c>
      <c r="S28" s="473" t="e">
        <f>R28/SUM(F48:K48)</f>
        <v>#N/A</v>
      </c>
      <c r="T28" s="436" t="e">
        <f t="shared" si="10"/>
        <v>#N/A</v>
      </c>
      <c r="U28" s="473" t="e">
        <f>T28/SUM(L48:Q48)</f>
        <v>#N/A</v>
      </c>
      <c r="V28" s="436" t="e">
        <f t="shared" si="8"/>
        <v>#N/A</v>
      </c>
      <c r="W28" s="473" t="e">
        <f>V28/SUM(F48:Q48)</f>
        <v>#N/A</v>
      </c>
      <c r="X28" s="474" t="e">
        <f t="shared" si="3"/>
        <v>#N/A</v>
      </c>
    </row>
    <row r="29" spans="1:25" ht="18" customHeight="1">
      <c r="A29" s="806"/>
      <c r="B29" s="72">
        <f>B28+10</f>
        <v>5190</v>
      </c>
      <c r="C29" s="46" t="s">
        <v>128</v>
      </c>
      <c r="D29" s="31"/>
      <c r="E29" s="512">
        <f>'[3]BLIND-PVC-PRE - Qty'!X29</f>
        <v>5.9116319350363197E-2</v>
      </c>
      <c r="F29" s="448" t="e">
        <f>$E$29*'Prod &amp; Defects - Qty'!G$8</f>
        <v>#N/A</v>
      </c>
      <c r="G29" s="448" t="e">
        <f>$E$29*'Prod &amp; Defects - Qty'!H$8</f>
        <v>#N/A</v>
      </c>
      <c r="H29" s="448" t="e">
        <f>$E$29*'Prod &amp; Defects - Qty'!I$8</f>
        <v>#N/A</v>
      </c>
      <c r="I29" s="448" t="e">
        <f>$E$29*'Prod &amp; Defects - Qty'!J$8</f>
        <v>#N/A</v>
      </c>
      <c r="J29" s="448" t="e">
        <f>$E$29*'Prod &amp; Defects - Qty'!K$8</f>
        <v>#N/A</v>
      </c>
      <c r="K29" s="448" t="e">
        <f>$E$29*'Prod &amp; Defects - Qty'!L$8</f>
        <v>#N/A</v>
      </c>
      <c r="L29" s="448" t="e">
        <f>$E$29*'Prod &amp; Defects - Qty'!M$8</f>
        <v>#N/A</v>
      </c>
      <c r="M29" s="448" t="e">
        <f>$E$29*'Prod &amp; Defects - Qty'!N$8</f>
        <v>#N/A</v>
      </c>
      <c r="N29" s="448" t="e">
        <f>$E$29*'Prod &amp; Defects - Qty'!O$8</f>
        <v>#N/A</v>
      </c>
      <c r="O29" s="448" t="e">
        <f>$E$29*'Prod &amp; Defects - Qty'!P$8</f>
        <v>#N/A</v>
      </c>
      <c r="P29" s="448" t="e">
        <f>$E$29*'Prod &amp; Defects - Qty'!Q$8</f>
        <v>#N/A</v>
      </c>
      <c r="Q29" s="448" t="e">
        <f>$E$29*'Prod &amp; Defects - Qty'!R$8</f>
        <v>#N/A</v>
      </c>
      <c r="R29" s="436" t="e">
        <f t="shared" si="9"/>
        <v>#N/A</v>
      </c>
      <c r="S29" s="473" t="e">
        <f>R29/SUM(F49:K49)</f>
        <v>#N/A</v>
      </c>
      <c r="T29" s="436" t="e">
        <f t="shared" si="10"/>
        <v>#N/A</v>
      </c>
      <c r="U29" s="473" t="e">
        <f>T29/SUM(L49:Q49)</f>
        <v>#N/A</v>
      </c>
      <c r="V29" s="436" t="e">
        <f t="shared" si="8"/>
        <v>#N/A</v>
      </c>
      <c r="W29" s="473" t="e">
        <f>V29/SUM(F49:Q49)</f>
        <v>#N/A</v>
      </c>
      <c r="X29" s="474" t="e">
        <f t="shared" si="3"/>
        <v>#N/A</v>
      </c>
    </row>
    <row r="30" spans="1:25" ht="18" customHeight="1" thickBot="1">
      <c r="A30" s="807"/>
      <c r="B30" s="129"/>
      <c r="C30" s="130" t="s">
        <v>1</v>
      </c>
      <c r="D30" s="131"/>
      <c r="E30" s="510">
        <f>'[3]BLIND-PVC-PRE - Qty'!X30</f>
        <v>0</v>
      </c>
      <c r="F30" s="456" t="e">
        <f t="shared" ref="F30:M30" si="14">SUM(F27:F29)</f>
        <v>#N/A</v>
      </c>
      <c r="G30" s="456" t="e">
        <f t="shared" si="14"/>
        <v>#N/A</v>
      </c>
      <c r="H30" s="456" t="e">
        <f t="shared" si="14"/>
        <v>#N/A</v>
      </c>
      <c r="I30" s="456" t="e">
        <f t="shared" si="14"/>
        <v>#N/A</v>
      </c>
      <c r="J30" s="456" t="e">
        <f t="shared" si="14"/>
        <v>#N/A</v>
      </c>
      <c r="K30" s="456" t="e">
        <f t="shared" si="14"/>
        <v>#N/A</v>
      </c>
      <c r="L30" s="456" t="e">
        <f t="shared" si="14"/>
        <v>#N/A</v>
      </c>
      <c r="M30" s="456" t="e">
        <f t="shared" si="14"/>
        <v>#N/A</v>
      </c>
      <c r="N30" s="456" t="e">
        <f>SUM(N27:N29)</f>
        <v>#N/A</v>
      </c>
      <c r="O30" s="456" t="e">
        <f>SUM(O27:O29)</f>
        <v>#N/A</v>
      </c>
      <c r="P30" s="456" t="e">
        <f>SUM(P27:P29)</f>
        <v>#N/A</v>
      </c>
      <c r="Q30" s="456" t="e">
        <f>SUM(Q27:Q29)</f>
        <v>#N/A</v>
      </c>
      <c r="R30" s="475" t="e">
        <f t="shared" si="9"/>
        <v>#N/A</v>
      </c>
      <c r="S30" s="475"/>
      <c r="T30" s="475" t="e">
        <f t="shared" si="10"/>
        <v>#N/A</v>
      </c>
      <c r="U30" s="475"/>
      <c r="V30" s="475" t="e">
        <f t="shared" si="8"/>
        <v>#N/A</v>
      </c>
      <c r="W30" s="455"/>
      <c r="X30" s="476">
        <f t="shared" si="3"/>
        <v>0</v>
      </c>
    </row>
    <row r="32" spans="1:25">
      <c r="C32" s="229" t="s">
        <v>205</v>
      </c>
    </row>
    <row r="33" spans="3:17">
      <c r="C33" s="803" t="s">
        <v>146</v>
      </c>
      <c r="D33" s="40" t="s">
        <v>143</v>
      </c>
      <c r="F33" s="132">
        <v>1184710</v>
      </c>
      <c r="G33" s="132">
        <v>1480355</v>
      </c>
      <c r="H33" s="132">
        <v>1502916</v>
      </c>
      <c r="I33" s="132">
        <v>1184710</v>
      </c>
      <c r="J33" s="132">
        <v>1184710</v>
      </c>
      <c r="K33" s="132">
        <v>1184710</v>
      </c>
      <c r="L33" s="132">
        <v>1184710</v>
      </c>
      <c r="M33" s="132">
        <v>1184710</v>
      </c>
      <c r="N33" s="132">
        <v>1184710</v>
      </c>
      <c r="O33" s="132">
        <v>1184710</v>
      </c>
      <c r="P33" s="132">
        <v>1184710</v>
      </c>
      <c r="Q33" s="132">
        <v>1184710</v>
      </c>
    </row>
    <row r="34" spans="3:17">
      <c r="C34" s="804"/>
      <c r="D34" s="40" t="s">
        <v>144</v>
      </c>
      <c r="F34" s="132">
        <v>2466065</v>
      </c>
      <c r="G34" s="132">
        <v>2675800</v>
      </c>
      <c r="H34" s="132">
        <v>1732792</v>
      </c>
      <c r="I34" s="132">
        <v>2433351</v>
      </c>
      <c r="J34" s="132">
        <v>2284781</v>
      </c>
      <c r="K34" s="132">
        <v>1873918</v>
      </c>
      <c r="L34" s="132">
        <v>2099657</v>
      </c>
      <c r="M34" s="132">
        <v>2516273</v>
      </c>
      <c r="N34" s="132">
        <v>1597674</v>
      </c>
      <c r="O34" s="132">
        <v>1176603</v>
      </c>
      <c r="P34" s="132">
        <v>2311850</v>
      </c>
      <c r="Q34" s="132">
        <v>1240231</v>
      </c>
    </row>
    <row r="35" spans="3:17">
      <c r="C35" s="804"/>
      <c r="D35" s="40" t="s">
        <v>145</v>
      </c>
      <c r="F35" s="132">
        <v>1526949</v>
      </c>
      <c r="G35" s="132">
        <v>1841848</v>
      </c>
      <c r="H35" s="132">
        <v>2094324</v>
      </c>
      <c r="I35" s="132">
        <v>2192953</v>
      </c>
      <c r="J35" s="132">
        <v>2224109</v>
      </c>
      <c r="K35" s="132">
        <v>1432798</v>
      </c>
      <c r="L35" s="132">
        <v>1692246</v>
      </c>
      <c r="M35" s="132">
        <v>1603347</v>
      </c>
      <c r="N35" s="132">
        <v>1191043</v>
      </c>
      <c r="O35" s="132">
        <v>1044521</v>
      </c>
      <c r="P35" s="132">
        <v>1360123</v>
      </c>
      <c r="Q35" s="132">
        <v>898051</v>
      </c>
    </row>
    <row r="36" spans="3:17">
      <c r="C36" s="804"/>
      <c r="D36" s="40" t="s">
        <v>147</v>
      </c>
      <c r="F36" s="132">
        <v>1564397</v>
      </c>
      <c r="G36" s="132">
        <v>1775534</v>
      </c>
      <c r="H36" s="132">
        <v>2098234</v>
      </c>
      <c r="I36" s="132">
        <v>2123091</v>
      </c>
      <c r="J36" s="132">
        <v>2253569</v>
      </c>
      <c r="K36" s="132">
        <v>977769</v>
      </c>
      <c r="L36" s="132">
        <v>1548502</v>
      </c>
      <c r="M36" s="132">
        <v>2353131</v>
      </c>
      <c r="N36" s="132">
        <v>1343238</v>
      </c>
      <c r="O36" s="132">
        <v>1015560</v>
      </c>
      <c r="P36" s="132">
        <v>1801335</v>
      </c>
      <c r="Q36" s="132">
        <v>935426</v>
      </c>
    </row>
    <row r="37" spans="3:17">
      <c r="C37" s="804"/>
      <c r="D37" s="40" t="s">
        <v>148</v>
      </c>
      <c r="F37" s="132">
        <v>2579339</v>
      </c>
      <c r="G37" s="132">
        <v>3096321</v>
      </c>
      <c r="H37" s="132">
        <v>2890074</v>
      </c>
      <c r="I37" s="132">
        <v>3199087</v>
      </c>
      <c r="J37" s="132">
        <v>3281301</v>
      </c>
      <c r="K37" s="132">
        <v>2609980</v>
      </c>
      <c r="L37" s="132">
        <v>3328252</v>
      </c>
      <c r="M37" s="132">
        <v>4204519</v>
      </c>
      <c r="N37" s="132">
        <v>2394462</v>
      </c>
      <c r="O37" s="132">
        <v>1945884</v>
      </c>
      <c r="P37" s="132">
        <v>3203499</v>
      </c>
      <c r="Q37" s="132">
        <v>589069</v>
      </c>
    </row>
    <row r="38" spans="3:17">
      <c r="C38" s="804"/>
      <c r="D38" s="75" t="s">
        <v>92</v>
      </c>
      <c r="F38" s="133">
        <f>SUM(F33:F37)</f>
        <v>9321460</v>
      </c>
      <c r="G38" s="133">
        <f t="shared" ref="G38:Q38" si="15">SUM(G33:G37)</f>
        <v>10869858</v>
      </c>
      <c r="H38" s="133">
        <f t="shared" si="15"/>
        <v>10318340</v>
      </c>
      <c r="I38" s="133">
        <f t="shared" si="15"/>
        <v>11133192</v>
      </c>
      <c r="J38" s="133">
        <f t="shared" si="15"/>
        <v>11228470</v>
      </c>
      <c r="K38" s="133">
        <f t="shared" si="15"/>
        <v>8079175</v>
      </c>
      <c r="L38" s="133">
        <f t="shared" si="15"/>
        <v>9853367</v>
      </c>
      <c r="M38" s="133">
        <f t="shared" si="15"/>
        <v>11861980</v>
      </c>
      <c r="N38" s="133">
        <f t="shared" si="15"/>
        <v>7711127</v>
      </c>
      <c r="O38" s="133">
        <f t="shared" si="15"/>
        <v>6367278</v>
      </c>
      <c r="P38" s="133">
        <f t="shared" si="15"/>
        <v>9861517</v>
      </c>
      <c r="Q38" s="133">
        <f t="shared" si="15"/>
        <v>4847487</v>
      </c>
    </row>
    <row r="39" spans="3:17">
      <c r="C39" s="803" t="s">
        <v>149</v>
      </c>
      <c r="D39" s="40" t="s">
        <v>143</v>
      </c>
      <c r="F39" s="132">
        <v>5588800</v>
      </c>
      <c r="G39" s="132">
        <v>3427080</v>
      </c>
      <c r="H39" s="132">
        <v>3714880</v>
      </c>
      <c r="I39" s="132">
        <v>4565320</v>
      </c>
      <c r="J39" s="132">
        <v>3775200</v>
      </c>
      <c r="K39" s="132">
        <v>3244920</v>
      </c>
      <c r="L39" s="132">
        <v>3831240</v>
      </c>
      <c r="M39" s="132">
        <v>5453840</v>
      </c>
      <c r="N39" s="132">
        <v>3528630</v>
      </c>
      <c r="O39" s="132">
        <v>2066250</v>
      </c>
      <c r="P39" s="132">
        <v>4262640</v>
      </c>
      <c r="Q39" s="132">
        <v>188400</v>
      </c>
    </row>
    <row r="40" spans="3:17">
      <c r="C40" s="804"/>
      <c r="D40" s="40" t="s">
        <v>144</v>
      </c>
      <c r="F40" s="132">
        <v>0</v>
      </c>
      <c r="G40" s="132">
        <v>4019020</v>
      </c>
      <c r="H40" s="132">
        <v>5029120</v>
      </c>
      <c r="I40" s="132">
        <v>5241060</v>
      </c>
      <c r="J40" s="132">
        <v>3935680</v>
      </c>
      <c r="K40" s="132">
        <v>4120940</v>
      </c>
      <c r="L40" s="132">
        <v>5154200</v>
      </c>
      <c r="M40" s="132">
        <v>5583240</v>
      </c>
      <c r="N40" s="132">
        <v>4129800</v>
      </c>
      <c r="O40" s="132">
        <v>2582520</v>
      </c>
      <c r="P40" s="132">
        <v>4105120</v>
      </c>
      <c r="Q40" s="132">
        <v>1572360</v>
      </c>
    </row>
    <row r="41" spans="3:17">
      <c r="C41" s="804"/>
      <c r="D41" s="40" t="s">
        <v>145</v>
      </c>
      <c r="F41" s="132">
        <v>5612340</v>
      </c>
      <c r="G41" s="132">
        <v>5598080</v>
      </c>
      <c r="H41" s="132">
        <v>5414989</v>
      </c>
      <c r="I41" s="132">
        <v>4200760</v>
      </c>
      <c r="J41" s="132">
        <v>4963200</v>
      </c>
      <c r="K41" s="132">
        <v>3282280</v>
      </c>
      <c r="L41" s="132">
        <v>3601220</v>
      </c>
      <c r="M41" s="132">
        <v>5993520</v>
      </c>
      <c r="N41" s="132">
        <v>3916840</v>
      </c>
      <c r="O41" s="132">
        <v>2609200</v>
      </c>
      <c r="P41" s="132">
        <v>4892000</v>
      </c>
      <c r="Q41" s="132">
        <v>2708600</v>
      </c>
    </row>
    <row r="42" spans="3:17">
      <c r="C42" s="804"/>
      <c r="D42" s="40" t="s">
        <v>147</v>
      </c>
      <c r="F42" s="132">
        <v>5787720</v>
      </c>
      <c r="G42" s="132">
        <v>5561470</v>
      </c>
      <c r="H42" s="132">
        <v>5775070</v>
      </c>
      <c r="I42" s="132">
        <v>4869040</v>
      </c>
      <c r="J42" s="132">
        <v>5512720</v>
      </c>
      <c r="K42" s="132">
        <v>4550166</v>
      </c>
      <c r="L42" s="132">
        <v>5865600</v>
      </c>
      <c r="M42" s="132">
        <v>6061360</v>
      </c>
      <c r="N42" s="132">
        <v>3935680</v>
      </c>
      <c r="O42" s="132">
        <v>3442000</v>
      </c>
      <c r="P42" s="132">
        <v>4876460</v>
      </c>
      <c r="Q42" s="132">
        <v>2602920</v>
      </c>
    </row>
    <row r="43" spans="3:17">
      <c r="C43" s="804"/>
      <c r="D43" s="76" t="s">
        <v>92</v>
      </c>
      <c r="F43" s="134">
        <f>SUM(F39:F42)</f>
        <v>16988860</v>
      </c>
      <c r="G43" s="134">
        <f t="shared" ref="G43:Q43" si="16">SUM(G39:G42)</f>
        <v>18605650</v>
      </c>
      <c r="H43" s="134">
        <f t="shared" si="16"/>
        <v>19934059</v>
      </c>
      <c r="I43" s="134">
        <f t="shared" si="16"/>
        <v>18876180</v>
      </c>
      <c r="J43" s="134">
        <f t="shared" si="16"/>
        <v>18186800</v>
      </c>
      <c r="K43" s="134">
        <f t="shared" si="16"/>
        <v>15198306</v>
      </c>
      <c r="L43" s="134">
        <f t="shared" si="16"/>
        <v>18452260</v>
      </c>
      <c r="M43" s="134">
        <f t="shared" si="16"/>
        <v>23091960</v>
      </c>
      <c r="N43" s="134">
        <f t="shared" si="16"/>
        <v>15510950</v>
      </c>
      <c r="O43" s="134">
        <f t="shared" si="16"/>
        <v>10699970</v>
      </c>
      <c r="P43" s="134">
        <f t="shared" si="16"/>
        <v>18136220</v>
      </c>
      <c r="Q43" s="134">
        <f t="shared" si="16"/>
        <v>7072280</v>
      </c>
    </row>
    <row r="44" spans="3:17" ht="13.5" thickBot="1"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</row>
    <row r="45" spans="3:17" ht="13.5" thickTop="1">
      <c r="C45" s="1" t="s">
        <v>98</v>
      </c>
      <c r="D45" s="229" t="s">
        <v>107</v>
      </c>
      <c r="F45" s="318">
        <v>2180.5900000000006</v>
      </c>
      <c r="G45" s="318">
        <v>2152.5699999999997</v>
      </c>
      <c r="H45" s="318">
        <v>3033.34</v>
      </c>
      <c r="I45" s="318">
        <v>1844.4599999999996</v>
      </c>
      <c r="J45" s="318">
        <v>3530.6499999999996</v>
      </c>
      <c r="K45" s="318">
        <v>2401.643</v>
      </c>
      <c r="L45" s="318">
        <v>3015.98</v>
      </c>
      <c r="M45" s="318">
        <v>3455.4799999999996</v>
      </c>
      <c r="N45" s="318">
        <v>2348.9899999999998</v>
      </c>
      <c r="O45" s="318">
        <v>1372.03</v>
      </c>
      <c r="P45" s="318">
        <v>2212.44</v>
      </c>
      <c r="Q45" s="318">
        <v>637.65</v>
      </c>
    </row>
    <row r="46" spans="3:17">
      <c r="D46" s="229" t="s">
        <v>105</v>
      </c>
      <c r="F46" s="318">
        <v>5170.4599999999991</v>
      </c>
      <c r="G46" s="318">
        <v>4991.4999999999991</v>
      </c>
      <c r="H46" s="318">
        <v>6128.68</v>
      </c>
      <c r="I46" s="318">
        <v>4753.59</v>
      </c>
      <c r="J46" s="318">
        <v>5282.24</v>
      </c>
      <c r="K46" s="318">
        <v>4053.0899999999997</v>
      </c>
      <c r="L46" s="318">
        <v>4974.4099999999989</v>
      </c>
      <c r="M46" s="318">
        <v>5716.01</v>
      </c>
      <c r="N46" s="318">
        <v>4003.77</v>
      </c>
      <c r="O46" s="318">
        <v>3020.8199999999997</v>
      </c>
      <c r="P46" s="318">
        <v>5169.66</v>
      </c>
      <c r="Q46" s="318">
        <v>1968.31</v>
      </c>
    </row>
    <row r="47" spans="3:17">
      <c r="C47" s="1" t="s">
        <v>190</v>
      </c>
      <c r="D47" s="229" t="s">
        <v>107</v>
      </c>
      <c r="F47" s="317">
        <v>2261000</v>
      </c>
      <c r="G47" s="317">
        <v>2541000</v>
      </c>
      <c r="H47" s="317">
        <v>3227786</v>
      </c>
      <c r="I47" s="317">
        <v>2550300</v>
      </c>
      <c r="J47" s="317">
        <v>3479324</v>
      </c>
      <c r="K47" s="317">
        <v>3804837</v>
      </c>
      <c r="L47" s="317">
        <v>3981486</v>
      </c>
      <c r="M47" s="317">
        <v>3410500</v>
      </c>
      <c r="N47" s="317">
        <v>2569800</v>
      </c>
      <c r="O47" s="317">
        <v>2067000</v>
      </c>
      <c r="P47" s="317">
        <v>2623850</v>
      </c>
      <c r="Q47" s="317">
        <v>1321200</v>
      </c>
    </row>
    <row r="48" spans="3:17">
      <c r="D48" s="229" t="s">
        <v>106</v>
      </c>
      <c r="F48" s="317">
        <v>14771018</v>
      </c>
      <c r="G48" s="317">
        <v>17372464</v>
      </c>
      <c r="H48" s="317">
        <v>20028835</v>
      </c>
      <c r="I48" s="317">
        <v>15702380</v>
      </c>
      <c r="J48" s="317">
        <v>16736466</v>
      </c>
      <c r="K48" s="317">
        <v>16411336</v>
      </c>
      <c r="L48" s="317">
        <v>17820548</v>
      </c>
      <c r="M48" s="317">
        <v>16045626</v>
      </c>
      <c r="N48" s="317">
        <v>10582700</v>
      </c>
      <c r="O48" s="317">
        <v>14506200</v>
      </c>
      <c r="P48" s="317">
        <v>18548056</v>
      </c>
      <c r="Q48" s="317">
        <v>8724000</v>
      </c>
    </row>
    <row r="49" spans="4:17">
      <c r="D49" s="229" t="s">
        <v>105</v>
      </c>
      <c r="F49" s="317">
        <v>4772000</v>
      </c>
      <c r="G49" s="317">
        <v>4474000</v>
      </c>
      <c r="H49" s="317">
        <v>6712000</v>
      </c>
      <c r="I49" s="317">
        <v>4077771</v>
      </c>
      <c r="J49" s="317">
        <v>5741000</v>
      </c>
      <c r="K49" s="317">
        <v>6264000</v>
      </c>
      <c r="L49" s="317">
        <v>6148000</v>
      </c>
      <c r="M49" s="317">
        <v>5628000</v>
      </c>
      <c r="N49" s="317">
        <v>3531404</v>
      </c>
      <c r="O49" s="317">
        <v>6156000</v>
      </c>
      <c r="P49" s="317">
        <v>4443000</v>
      </c>
      <c r="Q49" s="317">
        <v>4940600</v>
      </c>
    </row>
  </sheetData>
  <mergeCells count="12">
    <mergeCell ref="C33:C38"/>
    <mergeCell ref="C39:C43"/>
    <mergeCell ref="A27:A30"/>
    <mergeCell ref="A23:A26"/>
    <mergeCell ref="C6:C10"/>
    <mergeCell ref="C11:C16"/>
    <mergeCell ref="C17:C21"/>
    <mergeCell ref="A1:F1"/>
    <mergeCell ref="C5:D5"/>
    <mergeCell ref="B4:D4"/>
    <mergeCell ref="F4:Q4"/>
    <mergeCell ref="A6:A22"/>
  </mergeCells>
  <printOptions horizontalCentered="1" gridLinesSet="0"/>
  <pageMargins left="0.78740157480314965" right="0.19685039370078741" top="0.59055118110236227" bottom="0.59055118110236227" header="0.51181102362204722" footer="0.51181102362204722"/>
  <pageSetup paperSize="9" orientation="portrait" horizontalDpi="4294967292" r:id="rId1"/>
  <headerFooter alignWithMargins="0">
    <oddFooter>&amp;L&amp;A&amp;R&amp;F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1">
    <tabColor indexed="56"/>
    <pageSetUpPr fitToPage="1"/>
  </sheetPr>
  <dimension ref="A1:AE47"/>
  <sheetViews>
    <sheetView showGridLines="0" topLeftCell="A5" zoomScaleNormal="100" workbookViewId="0">
      <selection activeCell="M24" sqref="M24"/>
    </sheetView>
  </sheetViews>
  <sheetFormatPr defaultColWidth="11.42578125" defaultRowHeight="12.75"/>
  <cols>
    <col min="1" max="1" width="4.7109375" style="1" customWidth="1"/>
    <col min="2" max="2" width="10.85546875" style="1" bestFit="1" customWidth="1"/>
    <col min="3" max="3" width="11.7109375" style="1" bestFit="1" customWidth="1"/>
    <col min="4" max="5" width="9.42578125" style="1" customWidth="1"/>
    <col min="6" max="6" width="10.140625" style="1" bestFit="1" customWidth="1"/>
    <col min="7" max="10" width="11.42578125" style="1"/>
    <col min="11" max="11" width="11.7109375" style="1" bestFit="1" customWidth="1"/>
    <col min="12" max="17" width="11.42578125" style="1"/>
    <col min="18" max="19" width="11.7109375" style="1" bestFit="1" customWidth="1"/>
    <col min="20" max="20" width="11.42578125" style="1"/>
    <col min="21" max="21" width="11.7109375" style="1" bestFit="1" customWidth="1"/>
    <col min="22" max="16384" width="11.42578125" style="1"/>
  </cols>
  <sheetData>
    <row r="1" spans="1:31" ht="18" customHeight="1">
      <c r="A1" s="756" t="s">
        <v>112</v>
      </c>
      <c r="B1" s="756"/>
      <c r="C1" s="756"/>
      <c r="D1" s="756"/>
      <c r="E1" s="756"/>
      <c r="F1" s="756"/>
    </row>
    <row r="2" spans="1:31" ht="18" customHeight="1">
      <c r="A2" s="17"/>
      <c r="B2" s="17"/>
      <c r="C2" s="17"/>
      <c r="D2" s="17"/>
      <c r="E2" s="17"/>
      <c r="F2" s="17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</row>
    <row r="3" spans="1:31" ht="9.9499999999999993" customHeight="1" thickBot="1">
      <c r="A3" s="17"/>
      <c r="B3" s="17"/>
      <c r="C3" s="17"/>
      <c r="D3" s="17"/>
      <c r="E3" s="17"/>
      <c r="F3" s="17"/>
    </row>
    <row r="4" spans="1:31" ht="38.25">
      <c r="A4" s="23"/>
      <c r="B4" s="795" t="s">
        <v>57</v>
      </c>
      <c r="C4" s="796"/>
      <c r="D4" s="797"/>
      <c r="E4" s="572" t="s">
        <v>218</v>
      </c>
      <c r="F4" s="798" t="s">
        <v>91</v>
      </c>
      <c r="G4" s="799"/>
      <c r="H4" s="799"/>
      <c r="I4" s="799"/>
      <c r="J4" s="799"/>
      <c r="K4" s="799"/>
      <c r="L4" s="799"/>
      <c r="M4" s="799"/>
      <c r="N4" s="799"/>
      <c r="O4" s="799"/>
      <c r="P4" s="799"/>
      <c r="Q4" s="799"/>
      <c r="R4" s="20" t="s">
        <v>1</v>
      </c>
    </row>
    <row r="5" spans="1:31" ht="13.5" thickBot="1">
      <c r="A5" s="22"/>
      <c r="B5" s="21" t="s">
        <v>111</v>
      </c>
      <c r="C5" s="793" t="s">
        <v>50</v>
      </c>
      <c r="D5" s="794"/>
      <c r="E5" s="24">
        <f>'Falhas UM-4 Cost'!D5</f>
        <v>2020</v>
      </c>
      <c r="F5" s="29">
        <f>'BLIND-PVC-PRE - Qty'!F5</f>
        <v>43922</v>
      </c>
      <c r="G5" s="29">
        <f>'BLIND-PVC-PRE - Qty'!G5</f>
        <v>43952</v>
      </c>
      <c r="H5" s="29">
        <f>'BLIND-PVC-PRE - Qty'!H5</f>
        <v>43983</v>
      </c>
      <c r="I5" s="29">
        <f>'BLIND-PVC-PRE - Qty'!I5</f>
        <v>44013</v>
      </c>
      <c r="J5" s="29">
        <f>'BLIND-PVC-PRE - Qty'!J5</f>
        <v>44044</v>
      </c>
      <c r="K5" s="29">
        <f>'BLIND-PVC-PRE - Qty'!K5</f>
        <v>44075</v>
      </c>
      <c r="L5" s="29">
        <f>'BLIND-PVC-PRE - Qty'!L5</f>
        <v>44105</v>
      </c>
      <c r="M5" s="29">
        <f>'BLIND-PVC-PRE - Qty'!M5</f>
        <v>44136</v>
      </c>
      <c r="N5" s="29">
        <f>'BLIND-PVC-PRE - Qty'!N5</f>
        <v>44166</v>
      </c>
      <c r="O5" s="29">
        <f>'BLIND-PVC-PRE - Qty'!O5</f>
        <v>44197</v>
      </c>
      <c r="P5" s="29">
        <f>'BLIND-PVC-PRE - Qty'!P5</f>
        <v>44228</v>
      </c>
      <c r="Q5" s="29">
        <f>'BLIND-PVC-PRE - Qty'!Q5</f>
        <v>44256</v>
      </c>
      <c r="R5" s="18" t="s">
        <v>49</v>
      </c>
    </row>
    <row r="6" spans="1:31" ht="18" customHeight="1" thickTop="1">
      <c r="A6" s="800" t="s">
        <v>110</v>
      </c>
      <c r="B6" s="123">
        <v>5010</v>
      </c>
      <c r="C6" s="809" t="s">
        <v>107</v>
      </c>
      <c r="D6" s="73" t="s">
        <v>143</v>
      </c>
      <c r="E6" s="485">
        <f>'[4]Falhas BLIND-PVC'!N6</f>
        <v>105.8002</v>
      </c>
      <c r="F6" s="136" t="e">
        <f>$E$6/1000*'BLIND-PVC-PRE - Qty'!F6</f>
        <v>#N/A</v>
      </c>
      <c r="G6" s="136" t="e">
        <f>$E$6/1000*'BLIND-PVC-PRE - Qty'!G6</f>
        <v>#N/A</v>
      </c>
      <c r="H6" s="136" t="e">
        <f>$E$6/1000*'BLIND-PVC-PRE - Qty'!H6</f>
        <v>#N/A</v>
      </c>
      <c r="I6" s="136" t="e">
        <f>$E$6/1000*'BLIND-PVC-PRE - Qty'!I6</f>
        <v>#N/A</v>
      </c>
      <c r="J6" s="136" t="e">
        <f>$E$6/1000*'BLIND-PVC-PRE - Qty'!J6</f>
        <v>#N/A</v>
      </c>
      <c r="K6" s="136" t="e">
        <f>$E$6/1000*'BLIND-PVC-PRE - Qty'!K6</f>
        <v>#N/A</v>
      </c>
      <c r="L6" s="136" t="e">
        <f>$E$6/1000*'BLIND-PVC-PRE - Qty'!L6</f>
        <v>#N/A</v>
      </c>
      <c r="M6" s="136" t="e">
        <f>$E$6/1000*'BLIND-PVC-PRE - Qty'!M6</f>
        <v>#N/A</v>
      </c>
      <c r="N6" s="136" t="e">
        <f>$E$6/1000*'BLIND-PVC-PRE - Qty'!N6</f>
        <v>#N/A</v>
      </c>
      <c r="O6" s="136" t="e">
        <f>$E$6/1000*'BLIND-PVC-PRE - Qty'!O6</f>
        <v>#N/A</v>
      </c>
      <c r="P6" s="136" t="e">
        <f>$E$6/1000*'BLIND-PVC-PRE - Qty'!P6</f>
        <v>#N/A</v>
      </c>
      <c r="Q6" s="136" t="e">
        <f>$E$6/1000*'BLIND-PVC-PRE - Qty'!Q6</f>
        <v>#N/A</v>
      </c>
      <c r="R6" s="478" t="e">
        <f>SUM(E6:Q6)</f>
        <v>#N/A</v>
      </c>
    </row>
    <row r="7" spans="1:31" ht="18" customHeight="1">
      <c r="A7" s="801"/>
      <c r="B7" s="124">
        <f>B6+10</f>
        <v>5020</v>
      </c>
      <c r="C7" s="810"/>
      <c r="D7" s="31" t="s">
        <v>144</v>
      </c>
      <c r="E7" s="486">
        <f>'[4]Falhas BLIND-PVC'!N7</f>
        <v>105.8002</v>
      </c>
      <c r="F7" s="137" t="e">
        <f>$E$7/1000*'BLIND-PVC-PRE - Qty'!F7</f>
        <v>#N/A</v>
      </c>
      <c r="G7" s="137" t="e">
        <f>$E$7/1000*'BLIND-PVC-PRE - Qty'!G7</f>
        <v>#N/A</v>
      </c>
      <c r="H7" s="137" t="e">
        <f>$E$7/1000*'BLIND-PVC-PRE - Qty'!H7</f>
        <v>#N/A</v>
      </c>
      <c r="I7" s="137" t="e">
        <f>$E$7/1000*'BLIND-PVC-PRE - Qty'!I7</f>
        <v>#N/A</v>
      </c>
      <c r="J7" s="137" t="e">
        <f>$E$7/1000*'BLIND-PVC-PRE - Qty'!J7</f>
        <v>#N/A</v>
      </c>
      <c r="K7" s="137" t="e">
        <f>$E$7/1000*'BLIND-PVC-PRE - Qty'!K7</f>
        <v>#N/A</v>
      </c>
      <c r="L7" s="137" t="e">
        <f>$E$7/1000*'BLIND-PVC-PRE - Qty'!L7</f>
        <v>#N/A</v>
      </c>
      <c r="M7" s="137" t="e">
        <f>$E$7/1000*'BLIND-PVC-PRE - Qty'!M7</f>
        <v>#N/A</v>
      </c>
      <c r="N7" s="137" t="e">
        <f>$E$7/1000*'BLIND-PVC-PRE - Qty'!N7</f>
        <v>#N/A</v>
      </c>
      <c r="O7" s="137" t="e">
        <f>$E$7/1000*'BLIND-PVC-PRE - Qty'!O7</f>
        <v>#N/A</v>
      </c>
      <c r="P7" s="137" t="e">
        <f>$E$7/1000*'BLIND-PVC-PRE - Qty'!P7</f>
        <v>#N/A</v>
      </c>
      <c r="Q7" s="137" t="e">
        <f>$E$7/1000*'BLIND-PVC-PRE - Qty'!Q7</f>
        <v>#N/A</v>
      </c>
      <c r="R7" s="479" t="e">
        <f t="shared" ref="R7:R31" si="0">SUM(E7:Q7)</f>
        <v>#N/A</v>
      </c>
    </row>
    <row r="8" spans="1:31" ht="18" customHeight="1">
      <c r="A8" s="801"/>
      <c r="B8" s="124">
        <f>B7+10</f>
        <v>5030</v>
      </c>
      <c r="C8" s="810"/>
      <c r="D8" s="31" t="s">
        <v>145</v>
      </c>
      <c r="E8" s="486">
        <f>'[4]Falhas BLIND-PVC'!N8</f>
        <v>105.8002</v>
      </c>
      <c r="F8" s="137" t="e">
        <f>$E$8/1000*'BLIND-PVC-PRE - Qty'!F8</f>
        <v>#N/A</v>
      </c>
      <c r="G8" s="137" t="e">
        <f>$E$8/1000*'BLIND-PVC-PRE - Qty'!G8</f>
        <v>#N/A</v>
      </c>
      <c r="H8" s="137" t="e">
        <f>$E$8/1000*'BLIND-PVC-PRE - Qty'!H8</f>
        <v>#N/A</v>
      </c>
      <c r="I8" s="137" t="e">
        <f>$E$8/1000*'BLIND-PVC-PRE - Qty'!I8</f>
        <v>#N/A</v>
      </c>
      <c r="J8" s="137" t="e">
        <f>$E$8/1000*'BLIND-PVC-PRE - Qty'!J8</f>
        <v>#N/A</v>
      </c>
      <c r="K8" s="137" t="e">
        <f>$E$8/1000*'BLIND-PVC-PRE - Qty'!K8</f>
        <v>#N/A</v>
      </c>
      <c r="L8" s="137" t="e">
        <f>$E$8/1000*'BLIND-PVC-PRE - Qty'!L8</f>
        <v>#N/A</v>
      </c>
      <c r="M8" s="137" t="e">
        <f>$E$8/1000*'BLIND-PVC-PRE - Qty'!M8</f>
        <v>#N/A</v>
      </c>
      <c r="N8" s="137" t="e">
        <f>$E$8/1000*'BLIND-PVC-PRE - Qty'!N8</f>
        <v>#N/A</v>
      </c>
      <c r="O8" s="137" t="e">
        <f>$E$8/1000*'BLIND-PVC-PRE - Qty'!O8</f>
        <v>#N/A</v>
      </c>
      <c r="P8" s="137" t="e">
        <f>$E$8/1000*'BLIND-PVC-PRE - Qty'!P8</f>
        <v>#N/A</v>
      </c>
      <c r="Q8" s="137" t="e">
        <f>$E$8/1000*'BLIND-PVC-PRE - Qty'!Q8</f>
        <v>#N/A</v>
      </c>
      <c r="R8" s="479" t="e">
        <f t="shared" si="0"/>
        <v>#N/A</v>
      </c>
      <c r="S8" s="318" t="e">
        <f>SUM('Prod &amp; Defects - Qty'!G5:L5)*'BLIND-PVC-PRE - Cost'!E6/1000</f>
        <v>#N/A</v>
      </c>
      <c r="T8" s="1" t="e">
        <f>SUM('Prod &amp; Defects - Qty'!M5:R5)*'BLIND-PVC-PRE - Cost'!E8/1000</f>
        <v>#N/A</v>
      </c>
      <c r="U8" s="318" t="e">
        <f>S8+T8</f>
        <v>#N/A</v>
      </c>
    </row>
    <row r="9" spans="1:31" ht="18" customHeight="1">
      <c r="A9" s="801"/>
      <c r="B9" s="124"/>
      <c r="C9" s="811"/>
      <c r="D9" s="74" t="s">
        <v>92</v>
      </c>
      <c r="E9" s="487">
        <f>'[4]Falhas BLIND-PVC'!N9</f>
        <v>105.8002</v>
      </c>
      <c r="F9" s="138" t="e">
        <f t="shared" ref="F9:M9" si="1">SUM(F6:F8)</f>
        <v>#N/A</v>
      </c>
      <c r="G9" s="138" t="e">
        <f t="shared" si="1"/>
        <v>#N/A</v>
      </c>
      <c r="H9" s="138" t="e">
        <f t="shared" si="1"/>
        <v>#N/A</v>
      </c>
      <c r="I9" s="138" t="e">
        <f t="shared" si="1"/>
        <v>#N/A</v>
      </c>
      <c r="J9" s="138" t="e">
        <f t="shared" si="1"/>
        <v>#N/A</v>
      </c>
      <c r="K9" s="138" t="e">
        <f t="shared" si="1"/>
        <v>#N/A</v>
      </c>
      <c r="L9" s="138" t="e">
        <f t="shared" si="1"/>
        <v>#N/A</v>
      </c>
      <c r="M9" s="138" t="e">
        <f t="shared" si="1"/>
        <v>#N/A</v>
      </c>
      <c r="N9" s="138" t="e">
        <f>SUM(N6:N8)</f>
        <v>#N/A</v>
      </c>
      <c r="O9" s="138" t="e">
        <f>SUM(O6:O8)</f>
        <v>#N/A</v>
      </c>
      <c r="P9" s="138" t="e">
        <f>SUM(P6:P8)</f>
        <v>#N/A</v>
      </c>
      <c r="Q9" s="138" t="e">
        <f>SUM(Q6:Q8)</f>
        <v>#N/A</v>
      </c>
      <c r="R9" s="480" t="e">
        <f t="shared" si="0"/>
        <v>#N/A</v>
      </c>
      <c r="S9" s="624" t="e">
        <f>SUM(F9:K9)</f>
        <v>#N/A</v>
      </c>
      <c r="T9" s="27" t="e">
        <f>SUM(L9:Q9)</f>
        <v>#N/A</v>
      </c>
      <c r="U9" s="318" t="e">
        <f>S9+T9</f>
        <v>#N/A</v>
      </c>
      <c r="V9" s="27"/>
      <c r="W9" s="27"/>
      <c r="X9" s="27"/>
      <c r="Y9" s="27"/>
      <c r="Z9" s="27"/>
      <c r="AA9" s="27"/>
      <c r="AB9" s="27"/>
      <c r="AC9" s="27"/>
      <c r="AD9" s="27"/>
      <c r="AE9" s="27"/>
    </row>
    <row r="10" spans="1:31" ht="18" customHeight="1">
      <c r="A10" s="801"/>
      <c r="B10" s="124">
        <f>B8+10</f>
        <v>5040</v>
      </c>
      <c r="C10" s="803" t="s">
        <v>146</v>
      </c>
      <c r="D10" s="40" t="s">
        <v>143</v>
      </c>
      <c r="E10" s="488">
        <f>'[4]Falhas BLIND-PVC'!N11</f>
        <v>36.169600000000003</v>
      </c>
      <c r="F10" s="139" t="e">
        <f>$E$10/1000*'BLIND-PVC-PRE - Qty'!F11</f>
        <v>#N/A</v>
      </c>
      <c r="G10" s="139" t="e">
        <f>$E$10/1000*'BLIND-PVC-PRE - Qty'!G11</f>
        <v>#N/A</v>
      </c>
      <c r="H10" s="139" t="e">
        <f>$E$10/1000*'BLIND-PVC-PRE - Qty'!H11</f>
        <v>#N/A</v>
      </c>
      <c r="I10" s="139" t="e">
        <f>$E$10/1000*'BLIND-PVC-PRE - Qty'!I11</f>
        <v>#N/A</v>
      </c>
      <c r="J10" s="139" t="e">
        <f>$E$10/1000*'BLIND-PVC-PRE - Qty'!J11</f>
        <v>#N/A</v>
      </c>
      <c r="K10" s="139" t="e">
        <f>$E$10/1000*'BLIND-PVC-PRE - Qty'!K11</f>
        <v>#N/A</v>
      </c>
      <c r="L10" s="139" t="e">
        <f>$E$10/1000*'BLIND-PVC-PRE - Qty'!L11</f>
        <v>#N/A</v>
      </c>
      <c r="M10" s="139" t="e">
        <f>$E$10/1000*'BLIND-PVC-PRE - Qty'!M11</f>
        <v>#N/A</v>
      </c>
      <c r="N10" s="139" t="e">
        <f>$E$10/1000*'BLIND-PVC-PRE - Qty'!N11</f>
        <v>#N/A</v>
      </c>
      <c r="O10" s="139" t="e">
        <f>$E$10/1000*'BLIND-PVC-PRE - Qty'!O11</f>
        <v>#N/A</v>
      </c>
      <c r="P10" s="139" t="e">
        <f>$E$10/1000*'BLIND-PVC-PRE - Qty'!P11</f>
        <v>#N/A</v>
      </c>
      <c r="Q10" s="139" t="e">
        <f>$E$10/1000*'BLIND-PVC-PRE - Qty'!Q11</f>
        <v>#N/A</v>
      </c>
      <c r="R10" s="481" t="e">
        <f t="shared" si="0"/>
        <v>#N/A</v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</row>
    <row r="11" spans="1:31" ht="18" customHeight="1">
      <c r="A11" s="801"/>
      <c r="B11" s="124">
        <f>B10+10</f>
        <v>5050</v>
      </c>
      <c r="C11" s="804"/>
      <c r="D11" s="40" t="s">
        <v>144</v>
      </c>
      <c r="E11" s="488">
        <f>'[4]Falhas BLIND-PVC'!N12</f>
        <v>36.169600000000003</v>
      </c>
      <c r="F11" s="139" t="e">
        <f>$E$11/1000*'BLIND-PVC-PRE - Qty'!F12</f>
        <v>#N/A</v>
      </c>
      <c r="G11" s="139" t="e">
        <f>$E$11/1000*'BLIND-PVC-PRE - Qty'!G12</f>
        <v>#N/A</v>
      </c>
      <c r="H11" s="139" t="e">
        <f>$E$11/1000*'BLIND-PVC-PRE - Qty'!H12</f>
        <v>#N/A</v>
      </c>
      <c r="I11" s="139" t="e">
        <f>$E$11/1000*'BLIND-PVC-PRE - Qty'!I12</f>
        <v>#N/A</v>
      </c>
      <c r="J11" s="139" t="e">
        <f>$E$11/1000*'BLIND-PVC-PRE - Qty'!J12</f>
        <v>#N/A</v>
      </c>
      <c r="K11" s="139" t="e">
        <f>$E$11/1000*'BLIND-PVC-PRE - Qty'!K12</f>
        <v>#N/A</v>
      </c>
      <c r="L11" s="139" t="e">
        <f>$E$11/1000*'BLIND-PVC-PRE - Qty'!L12</f>
        <v>#N/A</v>
      </c>
      <c r="M11" s="139" t="e">
        <f>$E$11/1000*'BLIND-PVC-PRE - Qty'!M12</f>
        <v>#N/A</v>
      </c>
      <c r="N11" s="139" t="e">
        <f>$E$11/1000*'BLIND-PVC-PRE - Qty'!N12</f>
        <v>#N/A</v>
      </c>
      <c r="O11" s="139" t="e">
        <f>$E$11/1000*'BLIND-PVC-PRE - Qty'!O12</f>
        <v>#N/A</v>
      </c>
      <c r="P11" s="139" t="e">
        <f>$E$11/1000*'BLIND-PVC-PRE - Qty'!P12</f>
        <v>#N/A</v>
      </c>
      <c r="Q11" s="139" t="e">
        <f>$E$11/1000*'BLIND-PVC-PRE - Qty'!Q12</f>
        <v>#N/A</v>
      </c>
      <c r="R11" s="481" t="e">
        <f t="shared" si="0"/>
        <v>#N/A</v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</row>
    <row r="12" spans="1:31" ht="18" customHeight="1">
      <c r="A12" s="801"/>
      <c r="B12" s="124">
        <f t="shared" ref="B12:B20" si="2">B11+10</f>
        <v>5060</v>
      </c>
      <c r="C12" s="804"/>
      <c r="D12" s="40" t="s">
        <v>145</v>
      </c>
      <c r="E12" s="488">
        <f>'[4]Falhas BLIND-PVC'!N13</f>
        <v>36.169600000000003</v>
      </c>
      <c r="F12" s="139" t="e">
        <f>$E$12/1000*'BLIND-PVC-PRE - Qty'!F13</f>
        <v>#N/A</v>
      </c>
      <c r="G12" s="139" t="e">
        <f>$E$12/1000*'BLIND-PVC-PRE - Qty'!G13</f>
        <v>#N/A</v>
      </c>
      <c r="H12" s="139" t="e">
        <f>$E$12/1000*'BLIND-PVC-PRE - Qty'!H13</f>
        <v>#N/A</v>
      </c>
      <c r="I12" s="139" t="e">
        <f>$E$12/1000*'BLIND-PVC-PRE - Qty'!I13</f>
        <v>#N/A</v>
      </c>
      <c r="J12" s="139" t="e">
        <f>$E$12/1000*'BLIND-PVC-PRE - Qty'!J13</f>
        <v>#N/A</v>
      </c>
      <c r="K12" s="139" t="e">
        <f>$E$12/1000*'BLIND-PVC-PRE - Qty'!K13</f>
        <v>#N/A</v>
      </c>
      <c r="L12" s="139" t="e">
        <f>$E$12/1000*'BLIND-PVC-PRE - Qty'!L13</f>
        <v>#N/A</v>
      </c>
      <c r="M12" s="139" t="e">
        <f>$E$12/1000*'BLIND-PVC-PRE - Qty'!M13</f>
        <v>#N/A</v>
      </c>
      <c r="N12" s="139" t="e">
        <f>$E$12/1000*'BLIND-PVC-PRE - Qty'!N13</f>
        <v>#N/A</v>
      </c>
      <c r="O12" s="139" t="e">
        <f>$E$12/1000*'BLIND-PVC-PRE - Qty'!O13</f>
        <v>#N/A</v>
      </c>
      <c r="P12" s="139" t="e">
        <f>$E$12/1000*'BLIND-PVC-PRE - Qty'!P13</f>
        <v>#N/A</v>
      </c>
      <c r="Q12" s="139" t="e">
        <f>$E$12/1000*'BLIND-PVC-PRE - Qty'!Q13</f>
        <v>#N/A</v>
      </c>
      <c r="R12" s="481" t="e">
        <f t="shared" si="0"/>
        <v>#N/A</v>
      </c>
    </row>
    <row r="13" spans="1:31" ht="18" customHeight="1">
      <c r="A13" s="801"/>
      <c r="B13" s="124">
        <f t="shared" si="2"/>
        <v>5070</v>
      </c>
      <c r="C13" s="804"/>
      <c r="D13" s="40" t="s">
        <v>147</v>
      </c>
      <c r="E13" s="488">
        <f>'[4]Falhas BLIND-PVC'!N14</f>
        <v>36.169600000000003</v>
      </c>
      <c r="F13" s="139" t="e">
        <f>$E$13/1000*'BLIND-PVC-PRE - Qty'!F14</f>
        <v>#N/A</v>
      </c>
      <c r="G13" s="139" t="e">
        <f>$E$13/1000*'BLIND-PVC-PRE - Qty'!G14</f>
        <v>#N/A</v>
      </c>
      <c r="H13" s="139" t="e">
        <f>$E$13/1000*'BLIND-PVC-PRE - Qty'!H14</f>
        <v>#N/A</v>
      </c>
      <c r="I13" s="139" t="e">
        <f>$E$13/1000*'BLIND-PVC-PRE - Qty'!I14</f>
        <v>#N/A</v>
      </c>
      <c r="J13" s="139" t="e">
        <f>$E$13/1000*'BLIND-PVC-PRE - Qty'!J14</f>
        <v>#N/A</v>
      </c>
      <c r="K13" s="139" t="e">
        <f>$E$13/1000*'BLIND-PVC-PRE - Qty'!K14</f>
        <v>#N/A</v>
      </c>
      <c r="L13" s="139" t="e">
        <f>$E$13/1000*'BLIND-PVC-PRE - Qty'!L14</f>
        <v>#N/A</v>
      </c>
      <c r="M13" s="139" t="e">
        <f>$E$13/1000*'BLIND-PVC-PRE - Qty'!M14</f>
        <v>#N/A</v>
      </c>
      <c r="N13" s="139" t="e">
        <f>$E$13/1000*'BLIND-PVC-PRE - Qty'!N14</f>
        <v>#N/A</v>
      </c>
      <c r="O13" s="139" t="e">
        <f>$E$13/1000*'BLIND-PVC-PRE - Qty'!O14</f>
        <v>#N/A</v>
      </c>
      <c r="P13" s="139" t="e">
        <f>$E$13/1000*'BLIND-PVC-PRE - Qty'!P14</f>
        <v>#N/A</v>
      </c>
      <c r="Q13" s="139" t="e">
        <f>$E$13/1000*'BLIND-PVC-PRE - Qty'!Q14</f>
        <v>#N/A</v>
      </c>
      <c r="R13" s="481" t="e">
        <f t="shared" si="0"/>
        <v>#N/A</v>
      </c>
    </row>
    <row r="14" spans="1:31" ht="18" customHeight="1">
      <c r="A14" s="801"/>
      <c r="B14" s="124">
        <f t="shared" si="2"/>
        <v>5080</v>
      </c>
      <c r="C14" s="804"/>
      <c r="D14" s="40" t="s">
        <v>148</v>
      </c>
      <c r="E14" s="488">
        <f>'[4]Falhas BLIND-PVC'!N15</f>
        <v>36.169600000000003</v>
      </c>
      <c r="F14" s="139" t="e">
        <f>$E$14/1000*'BLIND-PVC-PRE - Qty'!F15</f>
        <v>#N/A</v>
      </c>
      <c r="G14" s="139" t="e">
        <f>$E$14/1000*'BLIND-PVC-PRE - Qty'!G15</f>
        <v>#N/A</v>
      </c>
      <c r="H14" s="139" t="e">
        <f>$E$14/1000*'BLIND-PVC-PRE - Qty'!H15</f>
        <v>#N/A</v>
      </c>
      <c r="I14" s="139" t="e">
        <f>$E$14/1000*'BLIND-PVC-PRE - Qty'!I15</f>
        <v>#N/A</v>
      </c>
      <c r="J14" s="139" t="e">
        <f>$E$14/1000*'BLIND-PVC-PRE - Qty'!J15</f>
        <v>#N/A</v>
      </c>
      <c r="K14" s="139" t="e">
        <f>$E$14/1000*'BLIND-PVC-PRE - Qty'!K15</f>
        <v>#N/A</v>
      </c>
      <c r="L14" s="139" t="e">
        <f>$E$14/1000*'BLIND-PVC-PRE - Qty'!L15</f>
        <v>#N/A</v>
      </c>
      <c r="M14" s="139" t="e">
        <f>$E$14/1000*'BLIND-PVC-PRE - Qty'!M15</f>
        <v>#N/A</v>
      </c>
      <c r="N14" s="139" t="e">
        <f>$E$14/1000*'BLIND-PVC-PRE - Qty'!N15</f>
        <v>#N/A</v>
      </c>
      <c r="O14" s="139" t="e">
        <f>$E$14/1000*'BLIND-PVC-PRE - Qty'!O15</f>
        <v>#N/A</v>
      </c>
      <c r="P14" s="139" t="e">
        <f>$E$14/1000*'BLIND-PVC-PRE - Qty'!P15</f>
        <v>#N/A</v>
      </c>
      <c r="Q14" s="139" t="e">
        <f>$E$14/1000*'BLIND-PVC-PRE - Qty'!Q15</f>
        <v>#N/A</v>
      </c>
      <c r="R14" s="481" t="e">
        <f t="shared" si="0"/>
        <v>#N/A</v>
      </c>
      <c r="S14" s="27" t="e">
        <f>SUM('Prod &amp; Defects - Qty'!G6:L7)*'BLIND-PVC-PRE - Cost'!E15/1000</f>
        <v>#N/A</v>
      </c>
      <c r="T14" s="1" t="e">
        <f>SUM('Prod &amp; Defects - Qty'!M6:R7)*'BLIND-PVC-PRE - Cost'!E15/1000</f>
        <v>#N/A</v>
      </c>
      <c r="U14" s="318" t="e">
        <f>S14+T14</f>
        <v>#N/A</v>
      </c>
    </row>
    <row r="15" spans="1:31" ht="18" customHeight="1">
      <c r="A15" s="801"/>
      <c r="B15" s="124">
        <f t="shared" si="2"/>
        <v>5090</v>
      </c>
      <c r="C15" s="804"/>
      <c r="D15" s="75" t="s">
        <v>92</v>
      </c>
      <c r="E15" s="489">
        <f>E14</f>
        <v>36.169600000000003</v>
      </c>
      <c r="F15" s="140" t="e">
        <f t="shared" ref="F15:M15" si="3">SUM(F10:F14)</f>
        <v>#N/A</v>
      </c>
      <c r="G15" s="140" t="e">
        <f t="shared" si="3"/>
        <v>#N/A</v>
      </c>
      <c r="H15" s="140" t="e">
        <f t="shared" si="3"/>
        <v>#N/A</v>
      </c>
      <c r="I15" s="140" t="e">
        <f t="shared" si="3"/>
        <v>#N/A</v>
      </c>
      <c r="J15" s="140" t="e">
        <f t="shared" si="3"/>
        <v>#N/A</v>
      </c>
      <c r="K15" s="140" t="e">
        <f t="shared" si="3"/>
        <v>#N/A</v>
      </c>
      <c r="L15" s="140" t="e">
        <f t="shared" si="3"/>
        <v>#N/A</v>
      </c>
      <c r="M15" s="140" t="e">
        <f t="shared" si="3"/>
        <v>#N/A</v>
      </c>
      <c r="N15" s="140" t="e">
        <f>SUM(N10:N14)</f>
        <v>#N/A</v>
      </c>
      <c r="O15" s="140" t="e">
        <f>SUM(O10:O14)</f>
        <v>#N/A</v>
      </c>
      <c r="P15" s="140" t="e">
        <f>SUM(P10:P14)</f>
        <v>#N/A</v>
      </c>
      <c r="Q15" s="140" t="e">
        <f>SUM(Q10:Q14)</f>
        <v>#N/A</v>
      </c>
      <c r="R15" s="482" t="e">
        <f t="shared" si="0"/>
        <v>#N/A</v>
      </c>
      <c r="S15" s="624" t="e">
        <f>SUM(F15:K15)</f>
        <v>#N/A</v>
      </c>
      <c r="T15" s="27" t="e">
        <f>SUM(L15:Q15)</f>
        <v>#N/A</v>
      </c>
      <c r="U15" s="318" t="e">
        <f>S15+T15</f>
        <v>#N/A</v>
      </c>
    </row>
    <row r="16" spans="1:31" ht="18" customHeight="1">
      <c r="A16" s="801"/>
      <c r="B16" s="124">
        <f t="shared" si="2"/>
        <v>5100</v>
      </c>
      <c r="C16" s="803" t="s">
        <v>149</v>
      </c>
      <c r="D16" s="40" t="s">
        <v>143</v>
      </c>
      <c r="E16" s="488">
        <f>E15</f>
        <v>36.169600000000003</v>
      </c>
      <c r="F16" s="139" t="e">
        <f>$E$16/1000*'BLIND-PVC-PRE - Qty'!F17</f>
        <v>#N/A</v>
      </c>
      <c r="G16" s="139" t="e">
        <f>$E$16/1000*'BLIND-PVC-PRE - Qty'!G17</f>
        <v>#N/A</v>
      </c>
      <c r="H16" s="139" t="e">
        <f>$E$16/1000*'BLIND-PVC-PRE - Qty'!H17</f>
        <v>#N/A</v>
      </c>
      <c r="I16" s="139" t="e">
        <f>$E$16/1000*'BLIND-PVC-PRE - Qty'!I17</f>
        <v>#N/A</v>
      </c>
      <c r="J16" s="139" t="e">
        <f>$E$16/1000*'BLIND-PVC-PRE - Qty'!J17</f>
        <v>#N/A</v>
      </c>
      <c r="K16" s="139" t="e">
        <f>$E$16/1000*'BLIND-PVC-PRE - Qty'!K17</f>
        <v>#N/A</v>
      </c>
      <c r="L16" s="139" t="e">
        <f>$E$16/1000*'BLIND-PVC-PRE - Qty'!L17</f>
        <v>#N/A</v>
      </c>
      <c r="M16" s="139" t="e">
        <f>$E$16/1000*'BLIND-PVC-PRE - Qty'!M17</f>
        <v>#N/A</v>
      </c>
      <c r="N16" s="139" t="e">
        <f>$E$16/1000*'BLIND-PVC-PRE - Qty'!N17</f>
        <v>#N/A</v>
      </c>
      <c r="O16" s="139" t="e">
        <f>$E$16/1000*'BLIND-PVC-PRE - Qty'!O17</f>
        <v>#N/A</v>
      </c>
      <c r="P16" s="139" t="e">
        <f>$E$16/1000*'BLIND-PVC-PRE - Qty'!P17</f>
        <v>#N/A</v>
      </c>
      <c r="Q16" s="139" t="e">
        <f>$E$16/1000*'BLIND-PVC-PRE - Qty'!Q17</f>
        <v>#N/A</v>
      </c>
      <c r="R16" s="481" t="e">
        <f t="shared" si="0"/>
        <v>#N/A</v>
      </c>
    </row>
    <row r="17" spans="1:21" ht="18" customHeight="1">
      <c r="A17" s="801"/>
      <c r="B17" s="124">
        <f t="shared" si="2"/>
        <v>5110</v>
      </c>
      <c r="C17" s="804"/>
      <c r="D17" s="40" t="s">
        <v>144</v>
      </c>
      <c r="E17" s="488">
        <f>E15</f>
        <v>36.169600000000003</v>
      </c>
      <c r="F17" s="139" t="e">
        <f>$E$17/1000*'BLIND-PVC-PRE - Qty'!F18</f>
        <v>#N/A</v>
      </c>
      <c r="G17" s="139" t="e">
        <f>$E$17/1000*'BLIND-PVC-PRE - Qty'!G18</f>
        <v>#N/A</v>
      </c>
      <c r="H17" s="139" t="e">
        <f>$E$17/1000*'BLIND-PVC-PRE - Qty'!H18</f>
        <v>#N/A</v>
      </c>
      <c r="I17" s="139" t="e">
        <f>$E$17/1000*'BLIND-PVC-PRE - Qty'!I18</f>
        <v>#N/A</v>
      </c>
      <c r="J17" s="139" t="e">
        <f>$E$17/1000*'BLIND-PVC-PRE - Qty'!J18</f>
        <v>#N/A</v>
      </c>
      <c r="K17" s="139" t="e">
        <f>$E$17/1000*'BLIND-PVC-PRE - Qty'!K18</f>
        <v>#N/A</v>
      </c>
      <c r="L17" s="139" t="e">
        <f>$E$17/1000*'BLIND-PVC-PRE - Qty'!L18</f>
        <v>#N/A</v>
      </c>
      <c r="M17" s="139" t="e">
        <f>$E$17/1000*'BLIND-PVC-PRE - Qty'!M18</f>
        <v>#N/A</v>
      </c>
      <c r="N17" s="139" t="e">
        <f>$E$17/1000*'BLIND-PVC-PRE - Qty'!N18</f>
        <v>#N/A</v>
      </c>
      <c r="O17" s="139" t="e">
        <f>$E$17/1000*'BLIND-PVC-PRE - Qty'!O18</f>
        <v>#N/A</v>
      </c>
      <c r="P17" s="139" t="e">
        <f>$E$17/1000*'BLIND-PVC-PRE - Qty'!P18</f>
        <v>#N/A</v>
      </c>
      <c r="Q17" s="139" t="e">
        <f>$E$17/1000*'BLIND-PVC-PRE - Qty'!Q18</f>
        <v>#N/A</v>
      </c>
      <c r="R17" s="481" t="e">
        <f t="shared" si="0"/>
        <v>#N/A</v>
      </c>
    </row>
    <row r="18" spans="1:21" ht="18" customHeight="1">
      <c r="A18" s="801"/>
      <c r="B18" s="124">
        <f t="shared" si="2"/>
        <v>5120</v>
      </c>
      <c r="C18" s="804"/>
      <c r="D18" s="40" t="s">
        <v>145</v>
      </c>
      <c r="E18" s="488">
        <f>E17</f>
        <v>36.169600000000003</v>
      </c>
      <c r="F18" s="139" t="e">
        <f>$E$18/1000*'BLIND-PVC-PRE - Qty'!F19</f>
        <v>#N/A</v>
      </c>
      <c r="G18" s="139" t="e">
        <f>$E$18/1000*'BLIND-PVC-PRE - Qty'!G19</f>
        <v>#N/A</v>
      </c>
      <c r="H18" s="139" t="e">
        <f>$E$18/1000*'BLIND-PVC-PRE - Qty'!H19</f>
        <v>#N/A</v>
      </c>
      <c r="I18" s="139" t="e">
        <f>$E$18/1000*'BLIND-PVC-PRE - Qty'!I19</f>
        <v>#N/A</v>
      </c>
      <c r="J18" s="139" t="e">
        <f>$E$18/1000*'BLIND-PVC-PRE - Qty'!J19</f>
        <v>#N/A</v>
      </c>
      <c r="K18" s="139" t="e">
        <f>$E$18/1000*'BLIND-PVC-PRE - Qty'!K19</f>
        <v>#N/A</v>
      </c>
      <c r="L18" s="139" t="e">
        <f>$E$18/1000*'BLIND-PVC-PRE - Qty'!L19</f>
        <v>#N/A</v>
      </c>
      <c r="M18" s="139" t="e">
        <f>$E$18/1000*'BLIND-PVC-PRE - Qty'!M19</f>
        <v>#N/A</v>
      </c>
      <c r="N18" s="139" t="e">
        <f>$E$18/1000*'BLIND-PVC-PRE - Qty'!N19</f>
        <v>#N/A</v>
      </c>
      <c r="O18" s="139" t="e">
        <f>$E$18/1000*'BLIND-PVC-PRE - Qty'!O19</f>
        <v>#N/A</v>
      </c>
      <c r="P18" s="139" t="e">
        <f>$E$18/1000*'BLIND-PVC-PRE - Qty'!P19</f>
        <v>#N/A</v>
      </c>
      <c r="Q18" s="139" t="e">
        <f>$E$18/1000*'BLIND-PVC-PRE - Qty'!Q19</f>
        <v>#N/A</v>
      </c>
      <c r="R18" s="481" t="e">
        <f t="shared" si="0"/>
        <v>#N/A</v>
      </c>
    </row>
    <row r="19" spans="1:21" ht="18" customHeight="1">
      <c r="A19" s="801"/>
      <c r="B19" s="124">
        <f t="shared" si="2"/>
        <v>5130</v>
      </c>
      <c r="C19" s="804"/>
      <c r="D19" s="40" t="s">
        <v>147</v>
      </c>
      <c r="E19" s="488">
        <f>E18</f>
        <v>36.169600000000003</v>
      </c>
      <c r="F19" s="139" t="e">
        <f>$E$19/1000*'BLIND-PVC-PRE - Qty'!F20</f>
        <v>#N/A</v>
      </c>
      <c r="G19" s="139" t="e">
        <f>$E$19/1000*'BLIND-PVC-PRE - Qty'!G20</f>
        <v>#N/A</v>
      </c>
      <c r="H19" s="139" t="e">
        <f>$E$19/1000*'BLIND-PVC-PRE - Qty'!H20</f>
        <v>#N/A</v>
      </c>
      <c r="I19" s="139" t="e">
        <f>$E$19/1000*'BLIND-PVC-PRE - Qty'!I20</f>
        <v>#N/A</v>
      </c>
      <c r="J19" s="139" t="e">
        <f>$E$19/1000*'BLIND-PVC-PRE - Qty'!J20</f>
        <v>#N/A</v>
      </c>
      <c r="K19" s="139" t="e">
        <f>$E$19/1000*'BLIND-PVC-PRE - Qty'!K20</f>
        <v>#N/A</v>
      </c>
      <c r="L19" s="139" t="e">
        <f>$E$19/1000*'BLIND-PVC-PRE - Qty'!L20</f>
        <v>#N/A</v>
      </c>
      <c r="M19" s="139" t="e">
        <f>$E$19/1000*'BLIND-PVC-PRE - Qty'!M20</f>
        <v>#N/A</v>
      </c>
      <c r="N19" s="139" t="e">
        <f>$E$19/1000*'BLIND-PVC-PRE - Qty'!N20</f>
        <v>#N/A</v>
      </c>
      <c r="O19" s="139" t="e">
        <f>$E$19/1000*'BLIND-PVC-PRE - Qty'!O20</f>
        <v>#N/A</v>
      </c>
      <c r="P19" s="139" t="e">
        <f>$E$19/1000*'BLIND-PVC-PRE - Qty'!P20</f>
        <v>#N/A</v>
      </c>
      <c r="Q19" s="139" t="e">
        <f>$E$19/1000*'BLIND-PVC-PRE - Qty'!Q20</f>
        <v>#N/A</v>
      </c>
      <c r="R19" s="481" t="e">
        <f t="shared" si="0"/>
        <v>#N/A</v>
      </c>
    </row>
    <row r="20" spans="1:21" ht="18" customHeight="1">
      <c r="A20" s="801"/>
      <c r="B20" s="124">
        <f t="shared" si="2"/>
        <v>5140</v>
      </c>
      <c r="C20" s="804"/>
      <c r="D20" s="76" t="s">
        <v>92</v>
      </c>
      <c r="E20" s="490">
        <f>E19</f>
        <v>36.169600000000003</v>
      </c>
      <c r="F20" s="141" t="e">
        <f t="shared" ref="F20:M20" si="4">SUM(F16:F19)</f>
        <v>#N/A</v>
      </c>
      <c r="G20" s="141" t="e">
        <f t="shared" si="4"/>
        <v>#N/A</v>
      </c>
      <c r="H20" s="141" t="e">
        <f t="shared" si="4"/>
        <v>#N/A</v>
      </c>
      <c r="I20" s="141" t="e">
        <f t="shared" si="4"/>
        <v>#N/A</v>
      </c>
      <c r="J20" s="141" t="e">
        <f t="shared" si="4"/>
        <v>#N/A</v>
      </c>
      <c r="K20" s="141" t="e">
        <f t="shared" si="4"/>
        <v>#N/A</v>
      </c>
      <c r="L20" s="141" t="e">
        <f t="shared" si="4"/>
        <v>#N/A</v>
      </c>
      <c r="M20" s="141" t="e">
        <f t="shared" si="4"/>
        <v>#N/A</v>
      </c>
      <c r="N20" s="141" t="e">
        <f>SUM(N16:N19)</f>
        <v>#N/A</v>
      </c>
      <c r="O20" s="141" t="e">
        <f>SUM(O16:O19)</f>
        <v>#N/A</v>
      </c>
      <c r="P20" s="141" t="e">
        <f>SUM(P16:P19)</f>
        <v>#N/A</v>
      </c>
      <c r="Q20" s="141" t="e">
        <f>SUM(Q16:Q19)</f>
        <v>#N/A</v>
      </c>
      <c r="R20" s="483" t="e">
        <f t="shared" si="0"/>
        <v>#N/A</v>
      </c>
      <c r="S20" s="624" t="e">
        <f>SUM(F20:K20)</f>
        <v>#N/A</v>
      </c>
      <c r="T20" s="27" t="e">
        <f>SUM(L20:Q20)</f>
        <v>#N/A</v>
      </c>
      <c r="U20" s="318" t="e">
        <f>S20+T20</f>
        <v>#N/A</v>
      </c>
    </row>
    <row r="21" spans="1:21" ht="18" customHeight="1" thickBot="1">
      <c r="A21" s="801"/>
      <c r="B21" s="812"/>
      <c r="C21" s="78" t="s">
        <v>1</v>
      </c>
      <c r="D21" s="79"/>
      <c r="E21" s="443">
        <f>E20</f>
        <v>36.169600000000003</v>
      </c>
      <c r="F21" s="446" t="e">
        <f t="shared" ref="F21:M21" si="5">F20+F15+F9</f>
        <v>#N/A</v>
      </c>
      <c r="G21" s="446" t="e">
        <f t="shared" si="5"/>
        <v>#N/A</v>
      </c>
      <c r="H21" s="446" t="e">
        <f t="shared" si="5"/>
        <v>#N/A</v>
      </c>
      <c r="I21" s="446" t="e">
        <f t="shared" si="5"/>
        <v>#N/A</v>
      </c>
      <c r="J21" s="446" t="e">
        <f t="shared" si="5"/>
        <v>#N/A</v>
      </c>
      <c r="K21" s="446" t="e">
        <f t="shared" si="5"/>
        <v>#N/A</v>
      </c>
      <c r="L21" s="446" t="e">
        <f t="shared" si="5"/>
        <v>#N/A</v>
      </c>
      <c r="M21" s="446" t="e">
        <f t="shared" si="5"/>
        <v>#N/A</v>
      </c>
      <c r="N21" s="446" t="e">
        <f>N20+N15+N9</f>
        <v>#N/A</v>
      </c>
      <c r="O21" s="446" t="e">
        <f>O20+O15+O9</f>
        <v>#N/A</v>
      </c>
      <c r="P21" s="446" t="e">
        <f>P20+P15+P9</f>
        <v>#N/A</v>
      </c>
      <c r="Q21" s="446" t="e">
        <f>Q20+Q15+Q9</f>
        <v>#N/A</v>
      </c>
      <c r="R21" s="484" t="e">
        <f>SUM(F21:Q21)</f>
        <v>#N/A</v>
      </c>
      <c r="S21" s="27" t="e">
        <f>S9+S15+S20</f>
        <v>#N/A</v>
      </c>
      <c r="T21" s="27" t="e">
        <f>T9+T15+T20</f>
        <v>#N/A</v>
      </c>
      <c r="U21" s="318" t="e">
        <f>S21+T21</f>
        <v>#N/A</v>
      </c>
    </row>
    <row r="22" spans="1:21" ht="18" customHeight="1" thickTop="1" thickBot="1">
      <c r="A22" s="801"/>
      <c r="B22" s="813"/>
      <c r="C22" s="281" t="s">
        <v>189</v>
      </c>
      <c r="D22" s="282"/>
      <c r="E22" s="444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5"/>
      <c r="S22" s="625" t="e">
        <f>S21/(S14+S8)*100</f>
        <v>#N/A</v>
      </c>
      <c r="T22" s="625" t="e">
        <f>T21/(T14+T8)*100</f>
        <v>#N/A</v>
      </c>
      <c r="U22" s="625" t="e">
        <f>U21/(U14+U8)*100</f>
        <v>#N/A</v>
      </c>
    </row>
    <row r="23" spans="1:21" ht="18" customHeight="1" thickTop="1">
      <c r="A23" s="805" t="s">
        <v>98</v>
      </c>
      <c r="B23" s="283">
        <f>B20+10</f>
        <v>5150</v>
      </c>
      <c r="C23" s="80" t="s">
        <v>107</v>
      </c>
      <c r="D23" s="73"/>
      <c r="E23" s="485">
        <f>'[4]Falhas BLIND-PVC'!N23</f>
        <v>12.9</v>
      </c>
      <c r="F23" s="313" t="e">
        <f>$E$23*'BLIND-PVC-PRE - Qty'!F23</f>
        <v>#N/A</v>
      </c>
      <c r="G23" s="313" t="e">
        <f>$E$23*'BLIND-PVC-PRE - Qty'!G23</f>
        <v>#N/A</v>
      </c>
      <c r="H23" s="313" t="e">
        <f>$E$23*'BLIND-PVC-PRE - Qty'!H23</f>
        <v>#N/A</v>
      </c>
      <c r="I23" s="313" t="e">
        <f>$E$23*'BLIND-PVC-PRE - Qty'!I23</f>
        <v>#N/A</v>
      </c>
      <c r="J23" s="313" t="e">
        <f>$E$23*'BLIND-PVC-PRE - Qty'!J23</f>
        <v>#N/A</v>
      </c>
      <c r="K23" s="313" t="e">
        <f>$E$23*'BLIND-PVC-PRE - Qty'!K23</f>
        <v>#N/A</v>
      </c>
      <c r="L23" s="313" t="e">
        <f>$E$23*'BLIND-PVC-PRE - Qty'!L23</f>
        <v>#N/A</v>
      </c>
      <c r="M23" s="313" t="e">
        <f>$E$23*'BLIND-PVC-PRE - Qty'!M23</f>
        <v>#N/A</v>
      </c>
      <c r="N23" s="313" t="e">
        <f>$E$23*'BLIND-PVC-PRE - Qty'!N23</f>
        <v>#N/A</v>
      </c>
      <c r="O23" s="313" t="e">
        <f>$E$23*'BLIND-PVC-PRE - Qty'!O23</f>
        <v>#N/A</v>
      </c>
      <c r="P23" s="313" t="e">
        <f>$E$23*'BLIND-PVC-PRE - Qty'!P23</f>
        <v>#N/A</v>
      </c>
      <c r="Q23" s="313" t="e">
        <f>$E$23*'BLIND-PVC-PRE - Qty'!Q23</f>
        <v>#N/A</v>
      </c>
      <c r="R23" s="478" t="e">
        <f t="shared" si="0"/>
        <v>#N/A</v>
      </c>
    </row>
    <row r="24" spans="1:21" ht="18" customHeight="1">
      <c r="A24" s="806"/>
      <c r="B24" s="284">
        <f>B23+10</f>
        <v>5160</v>
      </c>
      <c r="C24" s="46" t="s">
        <v>105</v>
      </c>
      <c r="D24" s="31"/>
      <c r="E24" s="486">
        <f>'[4]Falhas BLIND-PVC'!N24</f>
        <v>12.9</v>
      </c>
      <c r="F24" s="57" t="e">
        <f>$E$24*'BLIND-PVC-PRE - Qty'!F24</f>
        <v>#N/A</v>
      </c>
      <c r="G24" s="57" t="e">
        <f>$E$24*'BLIND-PVC-PRE - Qty'!G24</f>
        <v>#N/A</v>
      </c>
      <c r="H24" s="57" t="e">
        <f>$E$24*'BLIND-PVC-PRE - Qty'!H24</f>
        <v>#N/A</v>
      </c>
      <c r="I24" s="57" t="e">
        <f>$E$24*'BLIND-PVC-PRE - Qty'!I24</f>
        <v>#N/A</v>
      </c>
      <c r="J24" s="57" t="e">
        <f>$E$24*'BLIND-PVC-PRE - Qty'!J24</f>
        <v>#N/A</v>
      </c>
      <c r="K24" s="57" t="e">
        <f>$E$24*'BLIND-PVC-PRE - Qty'!K24</f>
        <v>#N/A</v>
      </c>
      <c r="L24" s="57" t="e">
        <f>$E$24*'BLIND-PVC-PRE - Qty'!L24</f>
        <v>#N/A</v>
      </c>
      <c r="M24" s="57" t="e">
        <f>$E$24*'BLIND-PVC-PRE - Qty'!M24</f>
        <v>#N/A</v>
      </c>
      <c r="N24" s="57" t="e">
        <f>$E$24*'BLIND-PVC-PRE - Qty'!N24</f>
        <v>#N/A</v>
      </c>
      <c r="O24" s="57" t="e">
        <f>$E$24*'BLIND-PVC-PRE - Qty'!O24</f>
        <v>#N/A</v>
      </c>
      <c r="P24" s="57" t="e">
        <f>$E$24*'BLIND-PVC-PRE - Qty'!P24</f>
        <v>#N/A</v>
      </c>
      <c r="Q24" s="57" t="e">
        <f>$E$24*'BLIND-PVC-PRE - Qty'!Q24</f>
        <v>#N/A</v>
      </c>
      <c r="R24" s="492" t="e">
        <f t="shared" si="0"/>
        <v>#N/A</v>
      </c>
    </row>
    <row r="25" spans="1:21" ht="18" customHeight="1">
      <c r="A25" s="806"/>
      <c r="B25" s="284"/>
      <c r="C25" s="70"/>
      <c r="D25" s="67"/>
      <c r="E25" s="445">
        <v>0</v>
      </c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493">
        <f t="shared" si="0"/>
        <v>0</v>
      </c>
    </row>
    <row r="26" spans="1:21" ht="18" customHeight="1" thickBot="1">
      <c r="A26" s="806"/>
      <c r="B26" s="812"/>
      <c r="C26" s="78" t="s">
        <v>1</v>
      </c>
      <c r="D26" s="79"/>
      <c r="E26" s="443">
        <v>45358.706399999995</v>
      </c>
      <c r="F26" s="446" t="e">
        <f t="shared" ref="F26:M26" si="6">SUM(F23:F25)</f>
        <v>#N/A</v>
      </c>
      <c r="G26" s="446" t="e">
        <f t="shared" si="6"/>
        <v>#N/A</v>
      </c>
      <c r="H26" s="446" t="e">
        <f t="shared" si="6"/>
        <v>#N/A</v>
      </c>
      <c r="I26" s="446" t="e">
        <f t="shared" si="6"/>
        <v>#N/A</v>
      </c>
      <c r="J26" s="446" t="e">
        <f t="shared" si="6"/>
        <v>#N/A</v>
      </c>
      <c r="K26" s="446" t="e">
        <f t="shared" si="6"/>
        <v>#N/A</v>
      </c>
      <c r="L26" s="446" t="e">
        <f t="shared" si="6"/>
        <v>#N/A</v>
      </c>
      <c r="M26" s="446" t="e">
        <f t="shared" si="6"/>
        <v>#N/A</v>
      </c>
      <c r="N26" s="446" t="e">
        <f>SUM(N23:N25)</f>
        <v>#N/A</v>
      </c>
      <c r="O26" s="446" t="e">
        <f>SUM(O23:O25)</f>
        <v>#N/A</v>
      </c>
      <c r="P26" s="446" t="e">
        <f>SUM(P23:P25)</f>
        <v>#N/A</v>
      </c>
      <c r="Q26" s="446" t="e">
        <f>SUM(Q23:Q25)</f>
        <v>#N/A</v>
      </c>
      <c r="R26" s="494" t="e">
        <f>SUM(F26:Q26)</f>
        <v>#N/A</v>
      </c>
    </row>
    <row r="27" spans="1:21" ht="18" customHeight="1" thickTop="1" thickBot="1">
      <c r="A27" s="808"/>
      <c r="B27" s="813"/>
      <c r="C27" s="281" t="s">
        <v>189</v>
      </c>
      <c r="D27" s="282"/>
      <c r="E27" s="444"/>
      <c r="F27" s="282"/>
      <c r="G27" s="282"/>
      <c r="H27" s="282"/>
      <c r="I27" s="282"/>
      <c r="J27" s="282"/>
      <c r="K27" s="282"/>
      <c r="L27" s="282"/>
      <c r="M27" s="282"/>
      <c r="N27" s="282"/>
      <c r="O27" s="282"/>
      <c r="P27" s="282"/>
      <c r="Q27" s="282"/>
      <c r="R27" s="495"/>
    </row>
    <row r="28" spans="1:21" ht="18" customHeight="1" thickTop="1">
      <c r="A28" s="806" t="s">
        <v>109</v>
      </c>
      <c r="B28" s="72">
        <v>5170</v>
      </c>
      <c r="C28" s="80" t="s">
        <v>107</v>
      </c>
      <c r="D28" s="73"/>
      <c r="E28" s="485">
        <f>'[4]Falhas BLIND-PVC'!N27</f>
        <v>1.2388225700000002</v>
      </c>
      <c r="F28" s="313" t="e">
        <f>'BLIND-PVC-PRE - Qty'!F27*'BLIND-PVC-PRE - Cost'!$E28/1000</f>
        <v>#N/A</v>
      </c>
      <c r="G28" s="313" t="e">
        <f>'BLIND-PVC-PRE - Qty'!G27*'BLIND-PVC-PRE - Cost'!$E28/1000</f>
        <v>#N/A</v>
      </c>
      <c r="H28" s="313" t="e">
        <f>'BLIND-PVC-PRE - Qty'!H27*'BLIND-PVC-PRE - Cost'!$E28/1000</f>
        <v>#N/A</v>
      </c>
      <c r="I28" s="313" t="e">
        <f>'BLIND-PVC-PRE - Qty'!I27*'BLIND-PVC-PRE - Cost'!$E28/1000</f>
        <v>#N/A</v>
      </c>
      <c r="J28" s="313" t="e">
        <f>'BLIND-PVC-PRE - Qty'!J27*'BLIND-PVC-PRE - Cost'!$E28/1000</f>
        <v>#N/A</v>
      </c>
      <c r="K28" s="313" t="e">
        <f>'BLIND-PVC-PRE - Qty'!K27*'BLIND-PVC-PRE - Cost'!$E28/1000</f>
        <v>#N/A</v>
      </c>
      <c r="L28" s="313" t="e">
        <f>'BLIND-PVC-PRE - Qty'!L27*'BLIND-PVC-PRE - Cost'!$E28/1000</f>
        <v>#N/A</v>
      </c>
      <c r="M28" s="313" t="e">
        <f>'BLIND-PVC-PRE - Qty'!M27*'BLIND-PVC-PRE - Cost'!$E28/1000</f>
        <v>#N/A</v>
      </c>
      <c r="N28" s="313" t="e">
        <f>'BLIND-PVC-PRE - Qty'!N27*'BLIND-PVC-PRE - Cost'!$E28/1000</f>
        <v>#N/A</v>
      </c>
      <c r="O28" s="313" t="e">
        <f>'BLIND-PVC-PRE - Qty'!O27*'BLIND-PVC-PRE - Cost'!$E28/1000</f>
        <v>#N/A</v>
      </c>
      <c r="P28" s="313" t="e">
        <f>'BLIND-PVC-PRE - Qty'!P27*'BLIND-PVC-PRE - Cost'!$E28/1000</f>
        <v>#N/A</v>
      </c>
      <c r="Q28" s="313" t="e">
        <f>'BLIND-PVC-PRE - Qty'!Q27*'BLIND-PVC-PRE - Cost'!$E28/1000</f>
        <v>#N/A</v>
      </c>
      <c r="R28" s="478" t="e">
        <f t="shared" si="0"/>
        <v>#N/A</v>
      </c>
    </row>
    <row r="29" spans="1:21" ht="18" customHeight="1">
      <c r="A29" s="806"/>
      <c r="B29" s="72">
        <f>B28+10</f>
        <v>5180</v>
      </c>
      <c r="C29" s="46" t="s">
        <v>105</v>
      </c>
      <c r="D29" s="31"/>
      <c r="E29" s="486">
        <f>'[4]Falhas BLIND-PVC'!N28</f>
        <v>0.33810186999999997</v>
      </c>
      <c r="F29" s="57" t="e">
        <f>'BLIND-PVC-PRE - Qty'!F28*'BLIND-PVC-PRE - Cost'!$E29/1000</f>
        <v>#N/A</v>
      </c>
      <c r="G29" s="57" t="e">
        <f>'BLIND-PVC-PRE - Qty'!G28*'BLIND-PVC-PRE - Cost'!$E29/1000</f>
        <v>#N/A</v>
      </c>
      <c r="H29" s="57" t="e">
        <f>'BLIND-PVC-PRE - Qty'!H28*'BLIND-PVC-PRE - Cost'!$E29/1000</f>
        <v>#N/A</v>
      </c>
      <c r="I29" s="57" t="e">
        <f>'BLIND-PVC-PRE - Qty'!I28*'BLIND-PVC-PRE - Cost'!$E29/1000</f>
        <v>#N/A</v>
      </c>
      <c r="J29" s="57" t="e">
        <f>'BLIND-PVC-PRE - Qty'!J28*'BLIND-PVC-PRE - Cost'!$E29/1000</f>
        <v>#N/A</v>
      </c>
      <c r="K29" s="57" t="e">
        <f>'BLIND-PVC-PRE - Qty'!K28*'BLIND-PVC-PRE - Cost'!$E29/1000</f>
        <v>#N/A</v>
      </c>
      <c r="L29" s="57" t="e">
        <f>'BLIND-PVC-PRE - Qty'!L28*'BLIND-PVC-PRE - Cost'!$E29/1000</f>
        <v>#N/A</v>
      </c>
      <c r="M29" s="57" t="e">
        <f>'BLIND-PVC-PRE - Qty'!M28*'BLIND-PVC-PRE - Cost'!$E29/1000</f>
        <v>#N/A</v>
      </c>
      <c r="N29" s="57" t="e">
        <f>'BLIND-PVC-PRE - Qty'!N28*'BLIND-PVC-PRE - Cost'!$E29/1000</f>
        <v>#N/A</v>
      </c>
      <c r="O29" s="57" t="e">
        <f>'BLIND-PVC-PRE - Qty'!O28*'BLIND-PVC-PRE - Cost'!$E29/1000</f>
        <v>#N/A</v>
      </c>
      <c r="P29" s="57" t="e">
        <f>'BLIND-PVC-PRE - Qty'!P28*'BLIND-PVC-PRE - Cost'!$E29/1000</f>
        <v>#N/A</v>
      </c>
      <c r="Q29" s="57" t="e">
        <f>'BLIND-PVC-PRE - Qty'!Q28*'BLIND-PVC-PRE - Cost'!$E29/1000</f>
        <v>#N/A</v>
      </c>
      <c r="R29" s="492" t="e">
        <f t="shared" si="0"/>
        <v>#N/A</v>
      </c>
    </row>
    <row r="30" spans="1:21" ht="18" customHeight="1">
      <c r="A30" s="806"/>
      <c r="B30" s="72">
        <f>B29+10</f>
        <v>5190</v>
      </c>
      <c r="C30" s="46" t="s">
        <v>128</v>
      </c>
      <c r="D30" s="31"/>
      <c r="E30" s="442">
        <f>'[4]Falhas BLIND-PVC'!N29</f>
        <v>0.49430151000000006</v>
      </c>
      <c r="F30" s="57" t="e">
        <f>'BLIND-PVC-PRE - Qty'!F29*'BLIND-PVC-PRE - Cost'!$E30/1000</f>
        <v>#N/A</v>
      </c>
      <c r="G30" s="57" t="e">
        <f>'BLIND-PVC-PRE - Qty'!G29*'BLIND-PVC-PRE - Cost'!$E30/1000</f>
        <v>#N/A</v>
      </c>
      <c r="H30" s="57" t="e">
        <f>'BLIND-PVC-PRE - Qty'!H29*'BLIND-PVC-PRE - Cost'!$E30/1000</f>
        <v>#N/A</v>
      </c>
      <c r="I30" s="57" t="e">
        <f>'BLIND-PVC-PRE - Qty'!I29*'BLIND-PVC-PRE - Cost'!$E30/1000</f>
        <v>#N/A</v>
      </c>
      <c r="J30" s="57" t="e">
        <f>'BLIND-PVC-PRE - Qty'!J29*'BLIND-PVC-PRE - Cost'!$E30/1000</f>
        <v>#N/A</v>
      </c>
      <c r="K30" s="57" t="e">
        <f>'BLIND-PVC-PRE - Qty'!K29*'BLIND-PVC-PRE - Cost'!$E30/1000</f>
        <v>#N/A</v>
      </c>
      <c r="L30" s="57" t="e">
        <f>'BLIND-PVC-PRE - Qty'!L29*'BLIND-PVC-PRE - Cost'!$E30/1000</f>
        <v>#N/A</v>
      </c>
      <c r="M30" s="57" t="e">
        <f>'BLIND-PVC-PRE - Qty'!M29*'BLIND-PVC-PRE - Cost'!$E30/1000</f>
        <v>#N/A</v>
      </c>
      <c r="N30" s="57" t="e">
        <f>'BLIND-PVC-PRE - Qty'!N29*'BLIND-PVC-PRE - Cost'!$E30/1000</f>
        <v>#N/A</v>
      </c>
      <c r="O30" s="57" t="e">
        <f>'BLIND-PVC-PRE - Qty'!O29*'BLIND-PVC-PRE - Cost'!$E30/1000</f>
        <v>#N/A</v>
      </c>
      <c r="P30" s="57" t="e">
        <f>'BLIND-PVC-PRE - Qty'!P29*'BLIND-PVC-PRE - Cost'!$E30/1000</f>
        <v>#N/A</v>
      </c>
      <c r="Q30" s="57" t="e">
        <f>'BLIND-PVC-PRE - Qty'!Q29*'BLIND-PVC-PRE - Cost'!$E30/1000</f>
        <v>#N/A</v>
      </c>
      <c r="R30" s="492" t="e">
        <f t="shared" si="0"/>
        <v>#N/A</v>
      </c>
    </row>
    <row r="31" spans="1:21" ht="18" customHeight="1" thickBot="1">
      <c r="A31" s="807"/>
      <c r="B31" s="129"/>
      <c r="C31" s="130" t="s">
        <v>1</v>
      </c>
      <c r="D31" s="131"/>
      <c r="E31" s="131">
        <v>0</v>
      </c>
      <c r="F31" s="491" t="e">
        <f t="shared" ref="F31:M31" si="7">SUM(F28:F30)</f>
        <v>#N/A</v>
      </c>
      <c r="G31" s="491" t="e">
        <f t="shared" si="7"/>
        <v>#N/A</v>
      </c>
      <c r="H31" s="491" t="e">
        <f t="shared" si="7"/>
        <v>#N/A</v>
      </c>
      <c r="I31" s="491" t="e">
        <f t="shared" si="7"/>
        <v>#N/A</v>
      </c>
      <c r="J31" s="491" t="e">
        <f t="shared" si="7"/>
        <v>#N/A</v>
      </c>
      <c r="K31" s="491" t="e">
        <f t="shared" si="7"/>
        <v>#N/A</v>
      </c>
      <c r="L31" s="491" t="e">
        <f t="shared" si="7"/>
        <v>#N/A</v>
      </c>
      <c r="M31" s="491" t="e">
        <f t="shared" si="7"/>
        <v>#N/A</v>
      </c>
      <c r="N31" s="491" t="e">
        <f>SUM(N28:N30)</f>
        <v>#N/A</v>
      </c>
      <c r="O31" s="491" t="e">
        <f>SUM(O28:O30)</f>
        <v>#N/A</v>
      </c>
      <c r="P31" s="491" t="e">
        <f>SUM(P28:P30)</f>
        <v>#N/A</v>
      </c>
      <c r="Q31" s="491" t="e">
        <f>SUM(Q28:Q30)</f>
        <v>#N/A</v>
      </c>
      <c r="R31" s="495" t="e">
        <f t="shared" si="0"/>
        <v>#N/A</v>
      </c>
    </row>
    <row r="32" spans="1:21">
      <c r="C32" s="281" t="s">
        <v>189</v>
      </c>
      <c r="D32" s="282"/>
      <c r="E32" s="282"/>
      <c r="F32" s="282"/>
      <c r="G32" s="282"/>
      <c r="H32" s="282"/>
      <c r="I32" s="282"/>
      <c r="J32" s="282"/>
      <c r="K32" s="282"/>
      <c r="L32" s="282"/>
      <c r="M32" s="282"/>
      <c r="N32" s="282"/>
      <c r="O32" s="282"/>
      <c r="P32" s="282"/>
      <c r="Q32" s="282"/>
      <c r="R32" s="285"/>
    </row>
    <row r="35" spans="3:18">
      <c r="C35" s="1" t="s">
        <v>226</v>
      </c>
    </row>
    <row r="36" spans="3:18">
      <c r="C36" s="1" t="s">
        <v>227</v>
      </c>
      <c r="E36" s="1" t="s">
        <v>107</v>
      </c>
      <c r="F36" s="318" t="e">
        <f>'Prod &amp; Defects - Qty'!G5*'BLIND-PVC-PRE - Cost'!$E$9/1000</f>
        <v>#N/A</v>
      </c>
      <c r="G36" s="318" t="e">
        <f>'Prod &amp; Defects - Qty'!H5*'BLIND-PVC-PRE - Cost'!$E$9/1000</f>
        <v>#N/A</v>
      </c>
      <c r="H36" s="318" t="e">
        <f>'Prod &amp; Defects - Qty'!I5*'BLIND-PVC-PRE - Cost'!$E$9/1000</f>
        <v>#N/A</v>
      </c>
      <c r="I36" s="318" t="e">
        <f>'Prod &amp; Defects - Qty'!J5*'BLIND-PVC-PRE - Cost'!$E$9/1000</f>
        <v>#N/A</v>
      </c>
      <c r="J36" s="318" t="e">
        <f>'Prod &amp; Defects - Qty'!K5*'BLIND-PVC-PRE - Cost'!$E$9/1000</f>
        <v>#N/A</v>
      </c>
      <c r="K36" s="318" t="e">
        <f>'Prod &amp; Defects - Qty'!L5*'BLIND-PVC-PRE - Cost'!$E$9/1000</f>
        <v>#N/A</v>
      </c>
      <c r="L36" s="318" t="e">
        <f>'Prod &amp; Defects - Qty'!M5*'BLIND-PVC-PRE - Cost'!$E$9/1000</f>
        <v>#N/A</v>
      </c>
      <c r="M36" s="318" t="e">
        <f>'Prod &amp; Defects - Qty'!N5*'BLIND-PVC-PRE - Cost'!$E$9/1000</f>
        <v>#N/A</v>
      </c>
      <c r="N36" s="318" t="e">
        <f>'Prod &amp; Defects - Qty'!O5*'BLIND-PVC-PRE - Cost'!$E$9/1000</f>
        <v>#N/A</v>
      </c>
      <c r="O36" s="318" t="e">
        <f>'Prod &amp; Defects - Qty'!P5*'BLIND-PVC-PRE - Cost'!$E$9/1000</f>
        <v>#N/A</v>
      </c>
      <c r="P36" s="318" t="e">
        <f>'Prod &amp; Defects - Qty'!Q5*'BLIND-PVC-PRE - Cost'!$E$9/1000</f>
        <v>#N/A</v>
      </c>
      <c r="Q36" s="318" t="e">
        <f>'Prod &amp; Defects - Qty'!R5*'BLIND-PVC-PRE - Cost'!$E$9/1000</f>
        <v>#N/A</v>
      </c>
      <c r="R36" s="318" t="e">
        <f>SUM(F36:Q36)</f>
        <v>#N/A</v>
      </c>
    </row>
    <row r="37" spans="3:18">
      <c r="E37" s="1" t="s">
        <v>182</v>
      </c>
      <c r="F37" s="318" t="e">
        <f>'Prod &amp; Defects - Qty'!G6*'BLIND-PVC-PRE - Cost'!$E$15/1000</f>
        <v>#N/A</v>
      </c>
      <c r="G37" s="318" t="e">
        <f>'Prod &amp; Defects - Qty'!H6*'BLIND-PVC-PRE - Cost'!$E$15/1000</f>
        <v>#N/A</v>
      </c>
      <c r="H37" s="318" t="e">
        <f>'Prod &amp; Defects - Qty'!I6*'BLIND-PVC-PRE - Cost'!$E$15/1000</f>
        <v>#N/A</v>
      </c>
      <c r="I37" s="318" t="e">
        <f>'Prod &amp; Defects - Qty'!J6*'BLIND-PVC-PRE - Cost'!$E$15/1000</f>
        <v>#N/A</v>
      </c>
      <c r="J37" s="318" t="e">
        <f>'Prod &amp; Defects - Qty'!K6*'BLIND-PVC-PRE - Cost'!$E$15/1000</f>
        <v>#N/A</v>
      </c>
      <c r="K37" s="318" t="e">
        <f>'Prod &amp; Defects - Qty'!L6*'BLIND-PVC-PRE - Cost'!$E$15/1000</f>
        <v>#N/A</v>
      </c>
      <c r="L37" s="318" t="e">
        <f>'Prod &amp; Defects - Qty'!M6*'BLIND-PVC-PRE - Cost'!$E$15/1000</f>
        <v>#N/A</v>
      </c>
      <c r="M37" s="318" t="e">
        <f>'Prod &amp; Defects - Qty'!N6*'BLIND-PVC-PRE - Cost'!$E$15/1000</f>
        <v>#N/A</v>
      </c>
      <c r="N37" s="318" t="e">
        <f>'Prod &amp; Defects - Qty'!O6*'BLIND-PVC-PRE - Cost'!$E$15/1000</f>
        <v>#N/A</v>
      </c>
      <c r="O37" s="318" t="e">
        <f>'Prod &amp; Defects - Qty'!P6*'BLIND-PVC-PRE - Cost'!$E$15/1000</f>
        <v>#N/A</v>
      </c>
      <c r="P37" s="318" t="e">
        <f>'Prod &amp; Defects - Qty'!Q6*'BLIND-PVC-PRE - Cost'!$E$15/1000</f>
        <v>#N/A</v>
      </c>
      <c r="Q37" s="318" t="e">
        <f>'Prod &amp; Defects - Qty'!R6*'BLIND-PVC-PRE - Cost'!$E$15/1000</f>
        <v>#N/A</v>
      </c>
      <c r="R37" s="318" t="e">
        <f>SUM(F37:Q37)</f>
        <v>#N/A</v>
      </c>
    </row>
    <row r="38" spans="3:18">
      <c r="E38" s="1" t="s">
        <v>183</v>
      </c>
      <c r="F38" s="318" t="e">
        <f>'Prod &amp; Defects - Qty'!G7*'BLIND-PVC-PRE - Cost'!$E$15/1000</f>
        <v>#N/A</v>
      </c>
      <c r="G38" s="318" t="e">
        <f>'Prod &amp; Defects - Qty'!H7*'BLIND-PVC-PRE - Cost'!$E$15/1000</f>
        <v>#N/A</v>
      </c>
      <c r="H38" s="318" t="e">
        <f>'Prod &amp; Defects - Qty'!I7*'BLIND-PVC-PRE - Cost'!$E$15/1000</f>
        <v>#N/A</v>
      </c>
      <c r="I38" s="318" t="e">
        <f>'Prod &amp; Defects - Qty'!J7*'BLIND-PVC-PRE - Cost'!$E$15/1000</f>
        <v>#N/A</v>
      </c>
      <c r="J38" s="318" t="e">
        <f>'Prod &amp; Defects - Qty'!K7*'BLIND-PVC-PRE - Cost'!$E$15/1000</f>
        <v>#N/A</v>
      </c>
      <c r="K38" s="318" t="e">
        <f>'Prod &amp; Defects - Qty'!L7*'BLIND-PVC-PRE - Cost'!$E$15/1000</f>
        <v>#N/A</v>
      </c>
      <c r="L38" s="318" t="e">
        <f>'Prod &amp; Defects - Qty'!M7*'BLIND-PVC-PRE - Cost'!$E$15/1000</f>
        <v>#N/A</v>
      </c>
      <c r="M38" s="318" t="e">
        <f>'Prod &amp; Defects - Qty'!N7*'BLIND-PVC-PRE - Cost'!$E$15/1000</f>
        <v>#N/A</v>
      </c>
      <c r="N38" s="318" t="e">
        <f>'Prod &amp; Defects - Qty'!O7*'BLIND-PVC-PRE - Cost'!$E$15/1000</f>
        <v>#N/A</v>
      </c>
      <c r="O38" s="318" t="e">
        <f>'Prod &amp; Defects - Qty'!P7*'BLIND-PVC-PRE - Cost'!$E$15/1000</f>
        <v>#N/A</v>
      </c>
      <c r="P38" s="318" t="e">
        <f>'Prod &amp; Defects - Qty'!Q7*'BLIND-PVC-PRE - Cost'!$E$15/1000</f>
        <v>#N/A</v>
      </c>
      <c r="Q38" s="318" t="e">
        <f>'Prod &amp; Defects - Qty'!R7*'BLIND-PVC-PRE - Cost'!$E$15/1000</f>
        <v>#N/A</v>
      </c>
      <c r="R38" s="318" t="e">
        <f>SUM(F38:Q38)</f>
        <v>#N/A</v>
      </c>
    </row>
    <row r="39" spans="3:18">
      <c r="F39" s="318" t="e">
        <f>SUM(F36:F38)</f>
        <v>#N/A</v>
      </c>
      <c r="G39" s="318" t="e">
        <f t="shared" ref="G39:Q39" si="8">SUM(G36:G38)</f>
        <v>#N/A</v>
      </c>
      <c r="H39" s="318" t="e">
        <f t="shared" si="8"/>
        <v>#N/A</v>
      </c>
      <c r="I39" s="318" t="e">
        <f t="shared" si="8"/>
        <v>#N/A</v>
      </c>
      <c r="J39" s="318" t="e">
        <f t="shared" si="8"/>
        <v>#N/A</v>
      </c>
      <c r="K39" s="318" t="e">
        <f t="shared" si="8"/>
        <v>#N/A</v>
      </c>
      <c r="L39" s="318" t="e">
        <f t="shared" si="8"/>
        <v>#N/A</v>
      </c>
      <c r="M39" s="318" t="e">
        <f t="shared" si="8"/>
        <v>#N/A</v>
      </c>
      <c r="N39" s="318" t="e">
        <f t="shared" si="8"/>
        <v>#N/A</v>
      </c>
      <c r="O39" s="318" t="e">
        <f t="shared" si="8"/>
        <v>#N/A</v>
      </c>
      <c r="P39" s="318" t="e">
        <f t="shared" si="8"/>
        <v>#N/A</v>
      </c>
      <c r="Q39" s="318" t="e">
        <f t="shared" si="8"/>
        <v>#N/A</v>
      </c>
      <c r="R39" s="318" t="e">
        <f>SUM(F39:Q39)</f>
        <v>#N/A</v>
      </c>
    </row>
    <row r="40" spans="3:18">
      <c r="F40" s="318"/>
      <c r="G40" s="318"/>
      <c r="H40" s="318"/>
      <c r="I40" s="318"/>
      <c r="J40" s="318"/>
      <c r="K40" s="318" t="e">
        <f>SUM(F39:K39)</f>
        <v>#N/A</v>
      </c>
      <c r="L40" s="318"/>
      <c r="M40" s="318"/>
      <c r="N40" s="318"/>
      <c r="O40" s="318"/>
      <c r="P40" s="318"/>
      <c r="Q40" s="318" t="e">
        <f>SUM(L39:Q39)</f>
        <v>#N/A</v>
      </c>
      <c r="R40" s="318" t="e">
        <f>SUM(F40:Q40)</f>
        <v>#N/A</v>
      </c>
    </row>
    <row r="41" spans="3:18">
      <c r="F41" s="318"/>
      <c r="G41" s="318"/>
      <c r="H41" s="318"/>
      <c r="I41" s="318"/>
      <c r="J41" s="318"/>
      <c r="K41" s="626" t="e">
        <f>SUM(F21:K21)/K40*100</f>
        <v>#N/A</v>
      </c>
      <c r="L41" s="318"/>
      <c r="M41" s="318"/>
      <c r="N41" s="318"/>
      <c r="O41" s="318"/>
      <c r="P41" s="318"/>
      <c r="Q41" s="626" t="e">
        <f>SUM(L21:Q21)/Q40*100</f>
        <v>#N/A</v>
      </c>
      <c r="R41" s="318" t="e">
        <f>R21/R40*100</f>
        <v>#N/A</v>
      </c>
    </row>
    <row r="42" spans="3:18">
      <c r="C42" s="1" t="s">
        <v>98</v>
      </c>
      <c r="E42" s="1" t="s">
        <v>107</v>
      </c>
      <c r="F42" s="318" t="e">
        <f>'Prod &amp; Defects - Qty'!G5*'BLIND-PVC-PRE - Cost'!$E$23/1000*0.794</f>
        <v>#N/A</v>
      </c>
      <c r="G42" s="318" t="e">
        <f>'Prod &amp; Defects - Qty'!H5*'BLIND-PVC-PRE - Cost'!$E$23/1000*0.794</f>
        <v>#N/A</v>
      </c>
      <c r="H42" s="318" t="e">
        <f>'Prod &amp; Defects - Qty'!I5*'BLIND-PVC-PRE - Cost'!$E$23/1000*0.794</f>
        <v>#N/A</v>
      </c>
      <c r="I42" s="318" t="e">
        <f>'Prod &amp; Defects - Qty'!J5*'BLIND-PVC-PRE - Cost'!$E$23/1000*0.794</f>
        <v>#N/A</v>
      </c>
      <c r="J42" s="318" t="e">
        <f>'Prod &amp; Defects - Qty'!K5*'BLIND-PVC-PRE - Cost'!$E$23/1000*0.794</f>
        <v>#N/A</v>
      </c>
      <c r="K42" s="318" t="e">
        <f>'Prod &amp; Defects - Qty'!L5*'BLIND-PVC-PRE - Cost'!$E$23/1000*0.794</f>
        <v>#N/A</v>
      </c>
      <c r="L42" s="318" t="e">
        <f>'Prod &amp; Defects - Qty'!M5*'BLIND-PVC-PRE - Cost'!$E$23/1000*0.794</f>
        <v>#N/A</v>
      </c>
      <c r="M42" s="318" t="e">
        <f>'Prod &amp; Defects - Qty'!N5*'BLIND-PVC-PRE - Cost'!$E$23/1000*0.794</f>
        <v>#N/A</v>
      </c>
      <c r="N42" s="318" t="e">
        <f>'Prod &amp; Defects - Qty'!O5*'BLIND-PVC-PRE - Cost'!$E$23/1000*0.794</f>
        <v>#N/A</v>
      </c>
      <c r="O42" s="318" t="e">
        <f>'Prod &amp; Defects - Qty'!P5*'BLIND-PVC-PRE - Cost'!$E$23/1000*0.794</f>
        <v>#N/A</v>
      </c>
      <c r="P42" s="318" t="e">
        <f>'Prod &amp; Defects - Qty'!Q5*'BLIND-PVC-PRE - Cost'!$E$23/1000*0.794</f>
        <v>#N/A</v>
      </c>
      <c r="Q42" s="318" t="e">
        <f>'Prod &amp; Defects - Qty'!R5*'BLIND-PVC-PRE - Cost'!$E$23/1000</f>
        <v>#N/A</v>
      </c>
      <c r="R42" s="318" t="e">
        <f>SUM(F42:Q42)</f>
        <v>#N/A</v>
      </c>
    </row>
    <row r="43" spans="3:18">
      <c r="E43" s="1" t="s">
        <v>182</v>
      </c>
      <c r="F43" s="318" t="e">
        <f>'Prod &amp; Defects - Qty'!G6*'BLIND-PVC-PRE - Cost'!$E$24/1000*0.256</f>
        <v>#N/A</v>
      </c>
      <c r="G43" s="318" t="e">
        <f>'Prod &amp; Defects - Qty'!H6*'BLIND-PVC-PRE - Cost'!$E$24/1000*0.256</f>
        <v>#N/A</v>
      </c>
      <c r="H43" s="318" t="e">
        <f>'Prod &amp; Defects - Qty'!I6*'BLIND-PVC-PRE - Cost'!$E$24/1000*0.256</f>
        <v>#N/A</v>
      </c>
      <c r="I43" s="318" t="e">
        <f>'Prod &amp; Defects - Qty'!J6*'BLIND-PVC-PRE - Cost'!$E$24/1000*0.256</f>
        <v>#N/A</v>
      </c>
      <c r="J43" s="318" t="e">
        <f>'Prod &amp; Defects - Qty'!K6*'BLIND-PVC-PRE - Cost'!$E$24/1000*0.256</f>
        <v>#N/A</v>
      </c>
      <c r="K43" s="318" t="e">
        <f>'Prod &amp; Defects - Qty'!L6*'BLIND-PVC-PRE - Cost'!$E$24/1000*0.256</f>
        <v>#N/A</v>
      </c>
      <c r="L43" s="318" t="e">
        <f>'Prod &amp; Defects - Qty'!M6*'BLIND-PVC-PRE - Cost'!$E$24/1000*0.256</f>
        <v>#N/A</v>
      </c>
      <c r="M43" s="318" t="e">
        <f>'Prod &amp; Defects - Qty'!N6*'BLIND-PVC-PRE - Cost'!$E$24/1000*0.256</f>
        <v>#N/A</v>
      </c>
      <c r="N43" s="318" t="e">
        <f>'Prod &amp; Defects - Qty'!O6*'BLIND-PVC-PRE - Cost'!$E$24/1000*0.256</f>
        <v>#N/A</v>
      </c>
      <c r="O43" s="318" t="e">
        <f>'Prod &amp; Defects - Qty'!P6*'BLIND-PVC-PRE - Cost'!$E$24/1000*0.256</f>
        <v>#N/A</v>
      </c>
      <c r="P43" s="318" t="e">
        <f>'Prod &amp; Defects - Qty'!Q6*'BLIND-PVC-PRE - Cost'!$E$24/1000*0.256</f>
        <v>#N/A</v>
      </c>
      <c r="Q43" s="318" t="e">
        <f>'Prod &amp; Defects - Qty'!R6*'BLIND-PVC-PRE - Cost'!$E$24/1000</f>
        <v>#N/A</v>
      </c>
      <c r="R43" s="318" t="e">
        <f>SUM(F43:Q43)</f>
        <v>#N/A</v>
      </c>
    </row>
    <row r="44" spans="3:18">
      <c r="E44" s="1" t="s">
        <v>183</v>
      </c>
      <c r="F44" s="318" t="e">
        <f>'Prod &amp; Defects - Qty'!G7*'BLIND-PVC-PRE - Cost'!$E$24/1000*0.256</f>
        <v>#N/A</v>
      </c>
      <c r="G44" s="318" t="e">
        <f>'Prod &amp; Defects - Qty'!H7*'BLIND-PVC-PRE - Cost'!$E$24/1000*0.256</f>
        <v>#N/A</v>
      </c>
      <c r="H44" s="318" t="e">
        <f>'Prod &amp; Defects - Qty'!I7*'BLIND-PVC-PRE - Cost'!$E$24/1000*0.256</f>
        <v>#N/A</v>
      </c>
      <c r="I44" s="318" t="e">
        <f>'Prod &amp; Defects - Qty'!J7*'BLIND-PVC-PRE - Cost'!$E$24/1000*0.256</f>
        <v>#N/A</v>
      </c>
      <c r="J44" s="318" t="e">
        <f>'Prod &amp; Defects - Qty'!K7*'BLIND-PVC-PRE - Cost'!$E$24/1000*0.256</f>
        <v>#N/A</v>
      </c>
      <c r="K44" s="318" t="e">
        <f>'Prod &amp; Defects - Qty'!L7*'BLIND-PVC-PRE - Cost'!$E$24/1000*0.256</f>
        <v>#N/A</v>
      </c>
      <c r="L44" s="318" t="e">
        <f>'Prod &amp; Defects - Qty'!M7*'BLIND-PVC-PRE - Cost'!$E$24/1000*0.256</f>
        <v>#N/A</v>
      </c>
      <c r="M44" s="318" t="e">
        <f>'Prod &amp; Defects - Qty'!N7*'BLIND-PVC-PRE - Cost'!$E$24/1000*0.256</f>
        <v>#N/A</v>
      </c>
      <c r="N44" s="318" t="e">
        <f>'Prod &amp; Defects - Qty'!O7*'BLIND-PVC-PRE - Cost'!$E$24/1000*0.256</f>
        <v>#N/A</v>
      </c>
      <c r="O44" s="318" t="e">
        <f>'Prod &amp; Defects - Qty'!P7*'BLIND-PVC-PRE - Cost'!$E$24/1000*0.256</f>
        <v>#N/A</v>
      </c>
      <c r="P44" s="318" t="e">
        <f>'Prod &amp; Defects - Qty'!Q7*'BLIND-PVC-PRE - Cost'!$E$24/1000*0.256</f>
        <v>#N/A</v>
      </c>
      <c r="Q44" s="318" t="e">
        <f>'Prod &amp; Defects - Qty'!R7*'BLIND-PVC-PRE - Cost'!$E$24/1000</f>
        <v>#N/A</v>
      </c>
      <c r="R44" s="318" t="e">
        <f>SUM(F44:Q44)</f>
        <v>#N/A</v>
      </c>
    </row>
    <row r="45" spans="3:18">
      <c r="F45" s="318" t="e">
        <f>SUM(F42:F44)</f>
        <v>#N/A</v>
      </c>
      <c r="G45" s="318" t="e">
        <f t="shared" ref="G45:Q45" si="9">SUM(G42:G44)</f>
        <v>#N/A</v>
      </c>
      <c r="H45" s="318" t="e">
        <f t="shared" si="9"/>
        <v>#N/A</v>
      </c>
      <c r="I45" s="318" t="e">
        <f t="shared" si="9"/>
        <v>#N/A</v>
      </c>
      <c r="J45" s="318" t="e">
        <f t="shared" si="9"/>
        <v>#N/A</v>
      </c>
      <c r="K45" s="318" t="e">
        <f t="shared" si="9"/>
        <v>#N/A</v>
      </c>
      <c r="L45" s="318" t="e">
        <f t="shared" si="9"/>
        <v>#N/A</v>
      </c>
      <c r="M45" s="318" t="e">
        <f t="shared" si="9"/>
        <v>#N/A</v>
      </c>
      <c r="N45" s="318" t="e">
        <f t="shared" si="9"/>
        <v>#N/A</v>
      </c>
      <c r="O45" s="318" t="e">
        <f t="shared" si="9"/>
        <v>#N/A</v>
      </c>
      <c r="P45" s="318" t="e">
        <f t="shared" si="9"/>
        <v>#N/A</v>
      </c>
      <c r="Q45" s="318" t="e">
        <f t="shared" si="9"/>
        <v>#N/A</v>
      </c>
      <c r="R45" s="318" t="e">
        <f>SUM(F45:Q45)</f>
        <v>#N/A</v>
      </c>
    </row>
    <row r="46" spans="3:18">
      <c r="K46" s="318" t="e">
        <f>SUM(F45:K45)</f>
        <v>#N/A</v>
      </c>
      <c r="Q46" s="318" t="e">
        <f>SUM(L45:Q45)</f>
        <v>#N/A</v>
      </c>
      <c r="R46" s="318" t="e">
        <f>SUM(F46:Q46)</f>
        <v>#N/A</v>
      </c>
    </row>
    <row r="47" spans="3:18">
      <c r="K47" s="625" t="e">
        <f>SUM(F26:K26)/K46*100</f>
        <v>#N/A</v>
      </c>
      <c r="Q47" s="625" t="e">
        <f>SUM(L26:Q26)/Q46*100</f>
        <v>#N/A</v>
      </c>
      <c r="R47" s="626" t="e">
        <f>R26/R46*100</f>
        <v>#N/A</v>
      </c>
    </row>
  </sheetData>
  <mergeCells count="12">
    <mergeCell ref="A1:F1"/>
    <mergeCell ref="C5:D5"/>
    <mergeCell ref="B4:D4"/>
    <mergeCell ref="F4:Q4"/>
    <mergeCell ref="A28:A31"/>
    <mergeCell ref="C6:C9"/>
    <mergeCell ref="C10:C15"/>
    <mergeCell ref="C16:C20"/>
    <mergeCell ref="A6:A22"/>
    <mergeCell ref="B21:B22"/>
    <mergeCell ref="A23:A27"/>
    <mergeCell ref="B26:B27"/>
  </mergeCells>
  <printOptions horizontalCentered="1" gridLinesSet="0"/>
  <pageMargins left="0.78740157480314965" right="0.19685039370078741" top="0.59055118110236227" bottom="0.59055118110236227" header="0.51181102362204722" footer="0.51181102362204722"/>
  <pageSetup paperSize="9" orientation="portrait" horizontalDpi="4294967292" r:id="rId1"/>
  <headerFooter alignWithMargins="0">
    <oddFooter>&amp;L&amp;A&amp;R&amp;F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1">
    <tabColor indexed="56"/>
    <pageSetUpPr fitToPage="1"/>
  </sheetPr>
  <dimension ref="A1:W65"/>
  <sheetViews>
    <sheetView showGridLines="0" zoomScale="98" zoomScaleNormal="98" workbookViewId="0">
      <selection activeCell="F6" sqref="F6"/>
    </sheetView>
  </sheetViews>
  <sheetFormatPr defaultColWidth="11.42578125" defaultRowHeight="12.75"/>
  <cols>
    <col min="1" max="1" width="4.7109375" style="82" customWidth="1"/>
    <col min="2" max="2" width="10.85546875" style="82" bestFit="1" customWidth="1"/>
    <col min="3" max="3" width="11.7109375" style="82" bestFit="1" customWidth="1"/>
    <col min="4" max="4" width="10.5703125" style="82" bestFit="1" customWidth="1"/>
    <col min="5" max="5" width="10.140625" style="82" bestFit="1" customWidth="1"/>
    <col min="6" max="16384" width="11.42578125" style="82"/>
  </cols>
  <sheetData>
    <row r="1" spans="1:23" ht="18" customHeight="1">
      <c r="A1" s="771" t="s">
        <v>112</v>
      </c>
      <c r="B1" s="771"/>
      <c r="C1" s="771"/>
      <c r="D1" s="771"/>
      <c r="E1" s="771"/>
    </row>
    <row r="2" spans="1:23" ht="18" customHeight="1"/>
    <row r="3" spans="1:23" ht="9.9499999999999993" customHeight="1" thickBot="1"/>
    <row r="4" spans="1:23" ht="25.5">
      <c r="A4" s="83"/>
      <c r="B4" s="816" t="s">
        <v>57</v>
      </c>
      <c r="C4" s="817"/>
      <c r="D4" s="818"/>
      <c r="E4" s="573" t="s">
        <v>217</v>
      </c>
      <c r="F4" s="573" t="s">
        <v>254</v>
      </c>
      <c r="G4" s="84"/>
      <c r="H4" s="84"/>
      <c r="I4" s="84"/>
      <c r="J4" s="84"/>
      <c r="K4" s="84"/>
      <c r="L4" s="84"/>
      <c r="M4" s="84"/>
      <c r="N4" s="84"/>
      <c r="O4" s="573" t="s">
        <v>253</v>
      </c>
      <c r="P4" s="84"/>
      <c r="Q4" s="84"/>
      <c r="R4" s="84" t="s">
        <v>175</v>
      </c>
      <c r="S4" s="84"/>
      <c r="T4" s="84" t="s">
        <v>173</v>
      </c>
      <c r="U4" s="84"/>
      <c r="V4" s="84" t="s">
        <v>1</v>
      </c>
      <c r="W4" s="84"/>
    </row>
    <row r="5" spans="1:23" ht="13.5" thickBot="1">
      <c r="A5" s="142"/>
      <c r="B5" s="143" t="s">
        <v>111</v>
      </c>
      <c r="C5" s="819" t="s">
        <v>50</v>
      </c>
      <c r="D5" s="820"/>
      <c r="E5" s="143">
        <f>'BLIND-PVC-PRE - Qty'!E5</f>
        <v>2022</v>
      </c>
      <c r="F5" s="170" t="s">
        <v>241</v>
      </c>
      <c r="G5" s="170" t="s">
        <v>242</v>
      </c>
      <c r="H5" s="170" t="s">
        <v>243</v>
      </c>
      <c r="I5" s="170" t="s">
        <v>244</v>
      </c>
      <c r="J5" s="170" t="s">
        <v>245</v>
      </c>
      <c r="K5" s="170" t="s">
        <v>246</v>
      </c>
      <c r="L5" s="170" t="s">
        <v>247</v>
      </c>
      <c r="M5" s="170" t="s">
        <v>248</v>
      </c>
      <c r="N5" s="170" t="s">
        <v>249</v>
      </c>
      <c r="O5" s="170" t="s">
        <v>250</v>
      </c>
      <c r="P5" s="170" t="s">
        <v>251</v>
      </c>
      <c r="Q5" s="170" t="s">
        <v>252</v>
      </c>
      <c r="R5" s="143" t="s">
        <v>49</v>
      </c>
      <c r="S5" s="143" t="s">
        <v>48</v>
      </c>
      <c r="T5" s="143" t="s">
        <v>49</v>
      </c>
      <c r="U5" s="143" t="s">
        <v>48</v>
      </c>
      <c r="V5" s="143" t="s">
        <v>49</v>
      </c>
      <c r="W5" s="143" t="s">
        <v>48</v>
      </c>
    </row>
    <row r="6" spans="1:23" ht="18" customHeight="1" thickTop="1">
      <c r="A6" s="821" t="s">
        <v>108</v>
      </c>
      <c r="B6" s="822">
        <v>6010</v>
      </c>
      <c r="C6" s="144" t="s">
        <v>107</v>
      </c>
      <c r="D6" s="144" t="s">
        <v>98</v>
      </c>
      <c r="E6" s="145">
        <f>'[7]SM - Qty'!X6</f>
        <v>59</v>
      </c>
      <c r="F6" s="145" t="e">
        <f>$E6/1000000*'Prod &amp; Defects - Qty'!G$5</f>
        <v>#N/A</v>
      </c>
      <c r="G6" s="145" t="e">
        <f>$E6/1000000*'Prod &amp; Defects - Qty'!H$5</f>
        <v>#N/A</v>
      </c>
      <c r="H6" s="145" t="e">
        <f>$E6/1000000*'Prod &amp; Defects - Qty'!I$5</f>
        <v>#N/A</v>
      </c>
      <c r="I6" s="145" t="e">
        <f>$E6/1000000*'Prod &amp; Defects - Qty'!J$5</f>
        <v>#N/A</v>
      </c>
      <c r="J6" s="145" t="e">
        <f>$E6/1000000*'Prod &amp; Defects - Qty'!K$5</f>
        <v>#N/A</v>
      </c>
      <c r="K6" s="145" t="e">
        <f>$E6/1000000*'Prod &amp; Defects - Qty'!L$5</f>
        <v>#N/A</v>
      </c>
      <c r="L6" s="145" t="e">
        <f>$E6/1000000*'Prod &amp; Defects - Qty'!M$5</f>
        <v>#N/A</v>
      </c>
      <c r="M6" s="145" t="e">
        <f>$E6/1000000*'Prod &amp; Defects - Qty'!N$5</f>
        <v>#N/A</v>
      </c>
      <c r="N6" s="145" t="e">
        <f>$E6/1000000*'Prod &amp; Defects - Qty'!O$5</f>
        <v>#N/A</v>
      </c>
      <c r="O6" s="145" t="e">
        <f>$E6/1000000*'Prod &amp; Defects - Qty'!P$5</f>
        <v>#N/A</v>
      </c>
      <c r="P6" s="145" t="e">
        <f>$E6/1000000*'Prod &amp; Defects - Qty'!Q$5</f>
        <v>#N/A</v>
      </c>
      <c r="Q6" s="145" t="e">
        <f>$E6/1000000*'Prod &amp; Defects - Qty'!R$5</f>
        <v>#N/A</v>
      </c>
      <c r="R6" s="145"/>
      <c r="S6" s="145"/>
      <c r="T6" s="145"/>
      <c r="U6" s="145"/>
      <c r="V6" s="145"/>
      <c r="W6" s="145"/>
    </row>
    <row r="7" spans="1:23" ht="18" customHeight="1">
      <c r="A7" s="783"/>
      <c r="B7" s="814"/>
      <c r="C7" s="146"/>
      <c r="D7" s="146" t="s">
        <v>97</v>
      </c>
      <c r="E7" s="101">
        <f>'[7]SM - Qty'!X7</f>
        <v>53</v>
      </c>
      <c r="F7" s="101" t="e">
        <f>$E7/1000000*'Prod &amp; Defects - Qty'!G$5</f>
        <v>#N/A</v>
      </c>
      <c r="G7" s="101" t="e">
        <f>$E7/1000000*'Prod &amp; Defects - Qty'!H$5</f>
        <v>#N/A</v>
      </c>
      <c r="H7" s="101" t="e">
        <f>$E7/1000000*'Prod &amp; Defects - Qty'!I$5</f>
        <v>#N/A</v>
      </c>
      <c r="I7" s="101" t="e">
        <f>$E7/1000000*'Prod &amp; Defects - Qty'!J$5</f>
        <v>#N/A</v>
      </c>
      <c r="J7" s="101" t="e">
        <f>$E7/1000000*'Prod &amp; Defects - Qty'!K$5</f>
        <v>#N/A</v>
      </c>
      <c r="K7" s="101" t="e">
        <f>$E7/1000000*'Prod &amp; Defects - Qty'!L$5</f>
        <v>#N/A</v>
      </c>
      <c r="L7" s="101" t="e">
        <f>$E7/1000000*'Prod &amp; Defects - Qty'!M$5</f>
        <v>#N/A</v>
      </c>
      <c r="M7" s="101" t="e">
        <f>$E7/1000000*'Prod &amp; Defects - Qty'!N$5</f>
        <v>#N/A</v>
      </c>
      <c r="N7" s="101" t="e">
        <f>$E7/1000000*'Prod &amp; Defects - Qty'!O$5</f>
        <v>#N/A</v>
      </c>
      <c r="O7" s="101" t="e">
        <f>$E7/1000000*'Prod &amp; Defects - Qty'!P$5</f>
        <v>#N/A</v>
      </c>
      <c r="P7" s="101" t="e">
        <f>$E7/1000000*'Prod &amp; Defects - Qty'!Q$5</f>
        <v>#N/A</v>
      </c>
      <c r="Q7" s="101" t="e">
        <f>$E7/1000000*'Prod &amp; Defects - Qty'!R$5</f>
        <v>#N/A</v>
      </c>
      <c r="R7" s="101"/>
      <c r="S7" s="101"/>
      <c r="T7" s="101"/>
      <c r="U7" s="101"/>
      <c r="V7" s="101"/>
      <c r="W7" s="101"/>
    </row>
    <row r="8" spans="1:23" ht="18" customHeight="1">
      <c r="A8" s="783"/>
      <c r="B8" s="814"/>
      <c r="C8" s="146"/>
      <c r="D8" s="146" t="s">
        <v>96</v>
      </c>
      <c r="E8" s="101">
        <f>'[7]SM - Qty'!X8</f>
        <v>8</v>
      </c>
      <c r="F8" s="101" t="e">
        <f>$E8/1000000*'Prod &amp; Defects - Qty'!G$5</f>
        <v>#N/A</v>
      </c>
      <c r="G8" s="101" t="e">
        <f>$E8/1000000*'Prod &amp; Defects - Qty'!H$5</f>
        <v>#N/A</v>
      </c>
      <c r="H8" s="101" t="e">
        <f>$E8/1000000*'Prod &amp; Defects - Qty'!I$5</f>
        <v>#N/A</v>
      </c>
      <c r="I8" s="101" t="e">
        <f>$E8/1000000*'Prod &amp; Defects - Qty'!J$5</f>
        <v>#N/A</v>
      </c>
      <c r="J8" s="101" t="e">
        <f>$E8/1000000*'Prod &amp; Defects - Qty'!K$5</f>
        <v>#N/A</v>
      </c>
      <c r="K8" s="101" t="e">
        <f>$E8/1000000*'Prod &amp; Defects - Qty'!L$5</f>
        <v>#N/A</v>
      </c>
      <c r="L8" s="101" t="e">
        <f>$E8/1000000*'Prod &amp; Defects - Qty'!M$5</f>
        <v>#N/A</v>
      </c>
      <c r="M8" s="101" t="e">
        <f>$E8/1000000*'Prod &amp; Defects - Qty'!N$5</f>
        <v>#N/A</v>
      </c>
      <c r="N8" s="101" t="e">
        <f>$E8/1000000*'Prod &amp; Defects - Qty'!O$5</f>
        <v>#N/A</v>
      </c>
      <c r="O8" s="101" t="e">
        <f>$E8/1000000*'Prod &amp; Defects - Qty'!P$5</f>
        <v>#N/A</v>
      </c>
      <c r="P8" s="101" t="e">
        <f>$E8/1000000*'Prod &amp; Defects - Qty'!Q$5</f>
        <v>#N/A</v>
      </c>
      <c r="Q8" s="101" t="e">
        <f>$E8/1000000*'Prod &amp; Defects - Qty'!R$5</f>
        <v>#N/A</v>
      </c>
      <c r="R8" s="101"/>
      <c r="S8" s="101"/>
      <c r="T8" s="101"/>
      <c r="U8" s="101"/>
      <c r="V8" s="101"/>
      <c r="W8" s="101"/>
    </row>
    <row r="9" spans="1:23" ht="18" customHeight="1">
      <c r="A9" s="783"/>
      <c r="B9" s="814"/>
      <c r="C9" s="147" t="s">
        <v>92</v>
      </c>
      <c r="D9" s="147"/>
      <c r="E9" s="148">
        <f>'[7]SM - Qty'!X9</f>
        <v>0</v>
      </c>
      <c r="F9" s="148" t="e">
        <f>SUBTOTAL(9,F6:F8)</f>
        <v>#N/A</v>
      </c>
      <c r="G9" s="148" t="e">
        <f t="shared" ref="G9:Q9" si="0">SUBTOTAL(9,G6:G8)</f>
        <v>#N/A</v>
      </c>
      <c r="H9" s="148" t="e">
        <f t="shared" si="0"/>
        <v>#N/A</v>
      </c>
      <c r="I9" s="148" t="e">
        <f t="shared" si="0"/>
        <v>#N/A</v>
      </c>
      <c r="J9" s="148" t="e">
        <f t="shared" si="0"/>
        <v>#N/A</v>
      </c>
      <c r="K9" s="148" t="e">
        <f t="shared" si="0"/>
        <v>#N/A</v>
      </c>
      <c r="L9" s="148" t="e">
        <f t="shared" si="0"/>
        <v>#N/A</v>
      </c>
      <c r="M9" s="148" t="e">
        <f t="shared" si="0"/>
        <v>#N/A</v>
      </c>
      <c r="N9" s="148" t="e">
        <f t="shared" si="0"/>
        <v>#N/A</v>
      </c>
      <c r="O9" s="148" t="e">
        <f t="shared" si="0"/>
        <v>#N/A</v>
      </c>
      <c r="P9" s="148" t="e">
        <f t="shared" si="0"/>
        <v>#N/A</v>
      </c>
      <c r="Q9" s="148" t="e">
        <f t="shared" si="0"/>
        <v>#N/A</v>
      </c>
      <c r="R9" s="148"/>
      <c r="S9" s="148"/>
      <c r="T9" s="148"/>
      <c r="U9" s="148"/>
      <c r="V9" s="148"/>
      <c r="W9" s="148"/>
    </row>
    <row r="10" spans="1:23" ht="18" customHeight="1">
      <c r="A10" s="783"/>
      <c r="B10" s="814">
        <v>6020</v>
      </c>
      <c r="C10" s="146" t="s">
        <v>106</v>
      </c>
      <c r="D10" s="146" t="s">
        <v>98</v>
      </c>
      <c r="E10" s="101">
        <f>'[7]SM - Qty'!X10</f>
        <v>20</v>
      </c>
      <c r="F10" s="101">
        <f>$E10/1000000*'[1]PRODUCTION (Rev.1) (Ajuste Inv)'!B$164</f>
        <v>2.8706</v>
      </c>
      <c r="G10" s="101">
        <f>$E10/1000000*'[1]PRODUCTION (Rev.1) (Ajuste Inv)'!C$164</f>
        <v>2.8635600000000001</v>
      </c>
      <c r="H10" s="101">
        <f>$E10/1000000*'[1]PRODUCTION (Rev.1) (Ajuste Inv)'!D$164</f>
        <v>2.8433600000000001</v>
      </c>
      <c r="I10" s="101">
        <f>$E10/1000000*'[1]PRODUCTION (Rev.1) (Ajuste Inv)'!E$164</f>
        <v>2.9408400000000001</v>
      </c>
      <c r="J10" s="101">
        <f>$E10/1000000*'[1]PRODUCTION (Rev.1) (Ajuste Inv)'!F$164</f>
        <v>2.9408800000000004</v>
      </c>
      <c r="K10" s="101">
        <f>$E10/1000000*'[1]PRODUCTION (Rev.1) (Ajuste Inv)'!G$164</f>
        <v>3.4728800000000004</v>
      </c>
      <c r="L10" s="101">
        <f>$E10/1000000*'[1]PRODUCTION (Rev.1) (Ajuste Inv)'!H$164</f>
        <v>3.5476000000000001</v>
      </c>
      <c r="M10" s="101">
        <f>$E10/1000000*'[1]PRODUCTION (Rev.1) (Ajuste Inv)'!I$164</f>
        <v>3.5480600000000004</v>
      </c>
      <c r="N10" s="101">
        <f>$E10/1000000*'[1]PRODUCTION (Rev.1) (Ajuste Inv)'!J$164</f>
        <v>3.4770600000000003</v>
      </c>
      <c r="O10" s="101">
        <f>$E10/1000000*'[1]PRODUCTION (Rev.1) (Ajuste Inv)'!K$164</f>
        <v>2.4659600000000004</v>
      </c>
      <c r="P10" s="101">
        <f>$E10/1000000*'[1]PRODUCTION (Rev.1) (Ajuste Inv)'!L$164</f>
        <v>2.50888</v>
      </c>
      <c r="Q10" s="101">
        <f>$E10/1000000*'[1]PRODUCTION (Rev.1) (Ajuste Inv)'!M$164</f>
        <v>3.0543600000000004</v>
      </c>
      <c r="R10" s="101"/>
      <c r="S10" s="101"/>
      <c r="T10" s="101"/>
      <c r="U10" s="101"/>
      <c r="V10" s="101"/>
      <c r="W10" s="101"/>
    </row>
    <row r="11" spans="1:23" ht="18" customHeight="1">
      <c r="A11" s="783"/>
      <c r="B11" s="814"/>
      <c r="C11" s="146"/>
      <c r="D11" s="146" t="s">
        <v>97</v>
      </c>
      <c r="E11" s="101">
        <f>'[7]SM - Qty'!X11</f>
        <v>20</v>
      </c>
      <c r="F11" s="101">
        <f>$E11/1000000*'[1]PRODUCTION (Rev.1) (Ajuste Inv)'!B$164</f>
        <v>2.8706</v>
      </c>
      <c r="G11" s="101">
        <f>$E11/1000000*'[1]PRODUCTION (Rev.1) (Ajuste Inv)'!C$164</f>
        <v>2.8635600000000001</v>
      </c>
      <c r="H11" s="101">
        <f>$E11/1000000*'[1]PRODUCTION (Rev.1) (Ajuste Inv)'!D$164</f>
        <v>2.8433600000000001</v>
      </c>
      <c r="I11" s="101">
        <f>$E11/1000000*'[1]PRODUCTION (Rev.1) (Ajuste Inv)'!E$164</f>
        <v>2.9408400000000001</v>
      </c>
      <c r="J11" s="101">
        <f>$E11/1000000*'[1]PRODUCTION (Rev.1) (Ajuste Inv)'!F$164</f>
        <v>2.9408800000000004</v>
      </c>
      <c r="K11" s="101">
        <f>$E11/1000000*'[1]PRODUCTION (Rev.1) (Ajuste Inv)'!G$164</f>
        <v>3.4728800000000004</v>
      </c>
      <c r="L11" s="101">
        <f>$E11/1000000*'[1]PRODUCTION (Rev.1) (Ajuste Inv)'!H$164</f>
        <v>3.5476000000000001</v>
      </c>
      <c r="M11" s="101">
        <f>$E11/1000000*'[1]PRODUCTION (Rev.1) (Ajuste Inv)'!I$164</f>
        <v>3.5480600000000004</v>
      </c>
      <c r="N11" s="101">
        <f>$E11/1000000*'[1]PRODUCTION (Rev.1) (Ajuste Inv)'!J$164</f>
        <v>3.4770600000000003</v>
      </c>
      <c r="O11" s="101">
        <f>$E11/1000000*'[1]PRODUCTION (Rev.1) (Ajuste Inv)'!K$164</f>
        <v>2.4659600000000004</v>
      </c>
      <c r="P11" s="101">
        <f>$E11/1000000*'[1]PRODUCTION (Rev.1) (Ajuste Inv)'!L$164</f>
        <v>2.50888</v>
      </c>
      <c r="Q11" s="101">
        <f>$E11/1000000*'[1]PRODUCTION (Rev.1) (Ajuste Inv)'!M$164</f>
        <v>3.0543600000000004</v>
      </c>
      <c r="R11" s="101"/>
      <c r="S11" s="101"/>
      <c r="T11" s="101"/>
      <c r="U11" s="101"/>
      <c r="V11" s="101"/>
      <c r="W11" s="101"/>
    </row>
    <row r="12" spans="1:23" ht="18" customHeight="1">
      <c r="A12" s="783"/>
      <c r="B12" s="814"/>
      <c r="C12" s="146"/>
      <c r="D12" s="146" t="s">
        <v>96</v>
      </c>
      <c r="E12" s="101">
        <f>'[7]SM - Qty'!X12</f>
        <v>0</v>
      </c>
      <c r="F12" s="101">
        <f>$E12/1000000*'[1]PRODUCTION (Rev.1) (Ajuste Inv)'!B$164</f>
        <v>0</v>
      </c>
      <c r="G12" s="101">
        <f>$E12/1000000*'[1]PRODUCTION (Rev.1) (Ajuste Inv)'!C$164</f>
        <v>0</v>
      </c>
      <c r="H12" s="101">
        <f>$E12/1000000*'[1]PRODUCTION (Rev.1) (Ajuste Inv)'!D$164</f>
        <v>0</v>
      </c>
      <c r="I12" s="101">
        <f>$E12/1000000*'[1]PRODUCTION (Rev.1) (Ajuste Inv)'!E$164</f>
        <v>0</v>
      </c>
      <c r="J12" s="101">
        <f>$E12/1000000*'[1]PRODUCTION (Rev.1) (Ajuste Inv)'!F$164</f>
        <v>0</v>
      </c>
      <c r="K12" s="101">
        <f>$E12/1000000*'[1]PRODUCTION (Rev.1) (Ajuste Inv)'!G$164</f>
        <v>0</v>
      </c>
      <c r="L12" s="101">
        <f>$E12/1000000*'[1]PRODUCTION (Rev.1) (Ajuste Inv)'!H$164</f>
        <v>0</v>
      </c>
      <c r="M12" s="101">
        <f>$E12/1000000*'[1]PRODUCTION (Rev.1) (Ajuste Inv)'!I$164</f>
        <v>0</v>
      </c>
      <c r="N12" s="101">
        <f>$E12/1000000*'[1]PRODUCTION (Rev.1) (Ajuste Inv)'!J$164</f>
        <v>0</v>
      </c>
      <c r="O12" s="101">
        <f>$E12/1000000*'[1]PRODUCTION (Rev.1) (Ajuste Inv)'!K$164</f>
        <v>0</v>
      </c>
      <c r="P12" s="101">
        <f>$E12/1000000*'[1]PRODUCTION (Rev.1) (Ajuste Inv)'!L$164</f>
        <v>0</v>
      </c>
      <c r="Q12" s="101">
        <f>$E12/1000000*'[1]PRODUCTION (Rev.1) (Ajuste Inv)'!M$164</f>
        <v>0</v>
      </c>
      <c r="R12" s="101"/>
      <c r="S12" s="101"/>
      <c r="T12" s="101"/>
      <c r="U12" s="101"/>
      <c r="V12" s="101"/>
      <c r="W12" s="101"/>
    </row>
    <row r="13" spans="1:23" ht="18" customHeight="1">
      <c r="A13" s="783"/>
      <c r="B13" s="814"/>
      <c r="C13" s="147" t="s">
        <v>92</v>
      </c>
      <c r="D13" s="147"/>
      <c r="E13" s="148">
        <f>'[7]SM - Qty'!X13</f>
        <v>0</v>
      </c>
      <c r="F13" s="148">
        <f t="shared" ref="F13:Q13" si="1">SUBTOTAL(9,F10:F12)</f>
        <v>5.7412000000000001</v>
      </c>
      <c r="G13" s="148">
        <f t="shared" si="1"/>
        <v>5.7271200000000002</v>
      </c>
      <c r="H13" s="148">
        <f t="shared" si="1"/>
        <v>5.6867200000000002</v>
      </c>
      <c r="I13" s="148">
        <f t="shared" si="1"/>
        <v>5.8816800000000002</v>
      </c>
      <c r="J13" s="148">
        <f t="shared" si="1"/>
        <v>5.8817600000000008</v>
      </c>
      <c r="K13" s="148">
        <f t="shared" si="1"/>
        <v>6.9457600000000008</v>
      </c>
      <c r="L13" s="148">
        <f t="shared" si="1"/>
        <v>7.0952000000000002</v>
      </c>
      <c r="M13" s="148">
        <f t="shared" si="1"/>
        <v>7.0961200000000009</v>
      </c>
      <c r="N13" s="148">
        <f t="shared" si="1"/>
        <v>6.9541200000000005</v>
      </c>
      <c r="O13" s="148">
        <f t="shared" si="1"/>
        <v>4.9319200000000007</v>
      </c>
      <c r="P13" s="148">
        <f t="shared" si="1"/>
        <v>5.01776</v>
      </c>
      <c r="Q13" s="148">
        <f t="shared" si="1"/>
        <v>6.1087200000000008</v>
      </c>
      <c r="R13" s="148"/>
      <c r="S13" s="148"/>
      <c r="T13" s="148"/>
      <c r="U13" s="148"/>
      <c r="V13" s="148"/>
      <c r="W13" s="148"/>
    </row>
    <row r="14" spans="1:23" ht="18" customHeight="1">
      <c r="A14" s="783"/>
      <c r="B14" s="814">
        <v>6030</v>
      </c>
      <c r="C14" s="146" t="s">
        <v>105</v>
      </c>
      <c r="D14" s="146" t="s">
        <v>98</v>
      </c>
      <c r="E14" s="90">
        <f>'[7]SM - Qty'!X14</f>
        <v>388</v>
      </c>
      <c r="F14" s="90">
        <f>$E14/1000000*'[1]PRODUCTION (Rev.1) (Ajuste Inv)'!B$174</f>
        <v>525.49633600000004</v>
      </c>
      <c r="G14" s="90">
        <f>$E14/1000000*'[1]PRODUCTION (Rev.1) (Ajuste Inv)'!C$174</f>
        <v>524.20934</v>
      </c>
      <c r="H14" s="90">
        <f>$E14/1000000*'[1]PRODUCTION (Rev.1) (Ajuste Inv)'!D$174</f>
        <v>520.51131199999998</v>
      </c>
      <c r="I14" s="90">
        <f>$E14/1000000*'[1]PRODUCTION (Rev.1) (Ajuste Inv)'!E$174</f>
        <v>538.35310400000003</v>
      </c>
      <c r="J14" s="90">
        <f>$E14/1000000*'[1]PRODUCTION (Rev.1) (Ajuste Inv)'!F$174</f>
        <v>538.36125200000004</v>
      </c>
      <c r="K14" s="90">
        <f>$E14/1000000*'[1]PRODUCTION (Rev.1) (Ajuste Inv)'!G$174</f>
        <v>635.75196800000003</v>
      </c>
      <c r="L14" s="90">
        <f>$E14/1000000*'[1]PRODUCTION (Rev.1) (Ajuste Inv)'!H$174</f>
        <v>649.43245999999999</v>
      </c>
      <c r="M14" s="90">
        <f>$E14/1000000*'[1]PRODUCTION (Rev.1) (Ajuste Inv)'!I$174</f>
        <v>649.51432799999998</v>
      </c>
      <c r="N14" s="90">
        <f>$E14/1000000*'[1]PRODUCTION (Rev.1) (Ajuste Inv)'!J$174</f>
        <v>636.51749199999995</v>
      </c>
      <c r="O14" s="90">
        <f>$E14/1000000*'[1]PRODUCTION (Rev.1) (Ajuste Inv)'!K$174</f>
        <v>451.42558400000001</v>
      </c>
      <c r="P14" s="90">
        <f>$E14/1000000*'[1]PRODUCTION (Rev.1) (Ajuste Inv)'!L$174</f>
        <v>459.28103199999998</v>
      </c>
      <c r="Q14" s="90">
        <f>$E14/1000000*'[1]PRODUCTION (Rev.1) (Ajuste Inv)'!M$174</f>
        <v>559.13593600000002</v>
      </c>
      <c r="R14" s="90"/>
      <c r="S14" s="90"/>
      <c r="T14" s="90"/>
      <c r="U14" s="90"/>
      <c r="V14" s="90"/>
      <c r="W14" s="90"/>
    </row>
    <row r="15" spans="1:23" ht="18" customHeight="1">
      <c r="A15" s="783"/>
      <c r="B15" s="814"/>
      <c r="C15" s="146"/>
      <c r="D15" s="146" t="s">
        <v>97</v>
      </c>
      <c r="E15" s="90">
        <f>'[7]SM - Qty'!X15</f>
        <v>388</v>
      </c>
      <c r="F15" s="90">
        <f>$E15/1000000*'[1]PRODUCTION (Rev.1) (Ajuste Inv)'!B$174</f>
        <v>525.49633600000004</v>
      </c>
      <c r="G15" s="90">
        <f>$E15/1000000*'[1]PRODUCTION (Rev.1) (Ajuste Inv)'!C$174</f>
        <v>524.20934</v>
      </c>
      <c r="H15" s="90">
        <f>$E15/1000000*'[1]PRODUCTION (Rev.1) (Ajuste Inv)'!D$174</f>
        <v>520.51131199999998</v>
      </c>
      <c r="I15" s="90">
        <f>$E15/1000000*'[1]PRODUCTION (Rev.1) (Ajuste Inv)'!E$174</f>
        <v>538.35310400000003</v>
      </c>
      <c r="J15" s="90">
        <f>$E15/1000000*'[1]PRODUCTION (Rev.1) (Ajuste Inv)'!F$174</f>
        <v>538.36125200000004</v>
      </c>
      <c r="K15" s="90">
        <f>$E15/1000000*'[1]PRODUCTION (Rev.1) (Ajuste Inv)'!G$174</f>
        <v>635.75196800000003</v>
      </c>
      <c r="L15" s="90">
        <f>$E15/1000000*'[1]PRODUCTION (Rev.1) (Ajuste Inv)'!H$174</f>
        <v>649.43245999999999</v>
      </c>
      <c r="M15" s="90">
        <f>$E15/1000000*'[1]PRODUCTION (Rev.1) (Ajuste Inv)'!I$174</f>
        <v>649.51432799999998</v>
      </c>
      <c r="N15" s="90">
        <f>$E15/1000000*'[1]PRODUCTION (Rev.1) (Ajuste Inv)'!J$174</f>
        <v>636.51749199999995</v>
      </c>
      <c r="O15" s="90">
        <f>$E15/1000000*'[1]PRODUCTION (Rev.1) (Ajuste Inv)'!K$174</f>
        <v>451.42558400000001</v>
      </c>
      <c r="P15" s="90">
        <f>$E15/1000000*'[1]PRODUCTION (Rev.1) (Ajuste Inv)'!L$174</f>
        <v>459.28103199999998</v>
      </c>
      <c r="Q15" s="90">
        <f>$E15/1000000*'[1]PRODUCTION (Rev.1) (Ajuste Inv)'!M$174</f>
        <v>559.13593600000002</v>
      </c>
      <c r="R15" s="90"/>
      <c r="S15" s="90"/>
      <c r="T15" s="90"/>
      <c r="U15" s="90"/>
      <c r="V15" s="90"/>
      <c r="W15" s="90"/>
    </row>
    <row r="16" spans="1:23" ht="18" customHeight="1">
      <c r="A16" s="783"/>
      <c r="B16" s="814"/>
      <c r="C16" s="146"/>
      <c r="D16" s="146" t="s">
        <v>96</v>
      </c>
      <c r="E16" s="90">
        <f>'[7]SM - Qty'!X16</f>
        <v>21</v>
      </c>
      <c r="F16" s="90">
        <f>$E16/1000000*'[1]PRODUCTION (Rev.1) (Ajuste Inv)'!B$174</f>
        <v>28.441811999999999</v>
      </c>
      <c r="G16" s="90">
        <f>$E16/1000000*'[1]PRODUCTION (Rev.1) (Ajuste Inv)'!C$174</f>
        <v>28.372154999999999</v>
      </c>
      <c r="H16" s="90">
        <f>$E16/1000000*'[1]PRODUCTION (Rev.1) (Ajuste Inv)'!D$174</f>
        <v>28.172003999999998</v>
      </c>
      <c r="I16" s="90">
        <f>$E16/1000000*'[1]PRODUCTION (Rev.1) (Ajuste Inv)'!E$174</f>
        <v>29.137667999999998</v>
      </c>
      <c r="J16" s="90">
        <f>$E16/1000000*'[1]PRODUCTION (Rev.1) (Ajuste Inv)'!F$174</f>
        <v>29.138109</v>
      </c>
      <c r="K16" s="90">
        <f>$E16/1000000*'[1]PRODUCTION (Rev.1) (Ajuste Inv)'!G$174</f>
        <v>34.409255999999999</v>
      </c>
      <c r="L16" s="90">
        <f>$E16/1000000*'[1]PRODUCTION (Rev.1) (Ajuste Inv)'!H$174</f>
        <v>35.149695000000001</v>
      </c>
      <c r="M16" s="90">
        <f>$E16/1000000*'[1]PRODUCTION (Rev.1) (Ajuste Inv)'!I$174</f>
        <v>35.154125999999998</v>
      </c>
      <c r="N16" s="90">
        <f>$E16/1000000*'[1]PRODUCTION (Rev.1) (Ajuste Inv)'!J$174</f>
        <v>34.450688999999997</v>
      </c>
      <c r="O16" s="90">
        <f>$E16/1000000*'[1]PRODUCTION (Rev.1) (Ajuste Inv)'!K$174</f>
        <v>24.432827999999997</v>
      </c>
      <c r="P16" s="90">
        <f>$E16/1000000*'[1]PRODUCTION (Rev.1) (Ajuste Inv)'!L$174</f>
        <v>24.857993999999998</v>
      </c>
      <c r="Q16" s="90">
        <f>$E16/1000000*'[1]PRODUCTION (Rev.1) (Ajuste Inv)'!M$174</f>
        <v>30.262511999999997</v>
      </c>
      <c r="R16" s="90"/>
      <c r="S16" s="90"/>
      <c r="T16" s="90"/>
      <c r="U16" s="90"/>
      <c r="V16" s="90"/>
      <c r="W16" s="90"/>
    </row>
    <row r="17" spans="1:23" ht="18" customHeight="1" thickBot="1">
      <c r="A17" s="783"/>
      <c r="B17" s="815"/>
      <c r="C17" s="149" t="s">
        <v>92</v>
      </c>
      <c r="D17" s="149"/>
      <c r="E17" s="150">
        <f>'[7]SM - Qty'!X17</f>
        <v>0</v>
      </c>
      <c r="F17" s="148">
        <f t="shared" ref="F17:Q17" si="2">SUBTOTAL(9,F14:F16)</f>
        <v>1079.4344840000001</v>
      </c>
      <c r="G17" s="148">
        <f t="shared" si="2"/>
        <v>1076.790835</v>
      </c>
      <c r="H17" s="148">
        <f t="shared" si="2"/>
        <v>1069.194628</v>
      </c>
      <c r="I17" s="148">
        <f t="shared" si="2"/>
        <v>1105.8438760000001</v>
      </c>
      <c r="J17" s="148">
        <f t="shared" si="2"/>
        <v>1105.8606130000001</v>
      </c>
      <c r="K17" s="148">
        <f t="shared" si="2"/>
        <v>1305.913192</v>
      </c>
      <c r="L17" s="148">
        <f t="shared" si="2"/>
        <v>1334.014615</v>
      </c>
      <c r="M17" s="148">
        <f t="shared" si="2"/>
        <v>1334.1827819999999</v>
      </c>
      <c r="N17" s="148">
        <f t="shared" si="2"/>
        <v>1307.4856729999999</v>
      </c>
      <c r="O17" s="148">
        <f t="shared" si="2"/>
        <v>927.283996</v>
      </c>
      <c r="P17" s="148">
        <f t="shared" si="2"/>
        <v>943.42005799999993</v>
      </c>
      <c r="Q17" s="148">
        <f t="shared" si="2"/>
        <v>1148.534384</v>
      </c>
      <c r="R17" s="150"/>
      <c r="S17" s="150"/>
      <c r="T17" s="150"/>
      <c r="U17" s="150"/>
      <c r="V17" s="150"/>
      <c r="W17" s="150"/>
    </row>
    <row r="18" spans="1:23" ht="18" customHeight="1" thickTop="1">
      <c r="A18" s="783"/>
      <c r="B18" s="822">
        <v>6040</v>
      </c>
      <c r="C18" s="151" t="s">
        <v>104</v>
      </c>
      <c r="D18" s="151" t="s">
        <v>98</v>
      </c>
      <c r="E18" s="145">
        <f>'[7]SM - Qty'!X18</f>
        <v>20</v>
      </c>
      <c r="F18" s="145">
        <f>$E18/1000000*'[1]PRODUCTION (Rev.1) (Ajuste Inv)'!B$170</f>
        <v>1.5808200000000001</v>
      </c>
      <c r="G18" s="145">
        <f>$E18/1000000*'[1]PRODUCTION (Rev.1) (Ajuste Inv)'!C$170</f>
        <v>1.5769400000000002</v>
      </c>
      <c r="H18" s="145">
        <f>$E18/1000000*'[1]PRODUCTION (Rev.1) (Ajuste Inv)'!D$170</f>
        <v>1.5658000000000001</v>
      </c>
      <c r="I18" s="145">
        <f>$E18/1000000*'[1]PRODUCTION (Rev.1) (Ajuste Inv)'!E$170</f>
        <v>1.61948</v>
      </c>
      <c r="J18" s="145">
        <f>$E18/1000000*'[1]PRODUCTION (Rev.1) (Ajuste Inv)'!F$170</f>
        <v>1.6195000000000002</v>
      </c>
      <c r="K18" s="145">
        <f>$E18/1000000*'[1]PRODUCTION (Rev.1) (Ajuste Inv)'!G$170</f>
        <v>1.91246</v>
      </c>
      <c r="L18" s="145">
        <f>$E18/1000000*'[1]PRODUCTION (Rev.1) (Ajuste Inv)'!H$170</f>
        <v>1.9536200000000001</v>
      </c>
      <c r="M18" s="145">
        <f>$E18/1000000*'[1]PRODUCTION (Rev.1) (Ajuste Inv)'!I$170</f>
        <v>1.9538800000000001</v>
      </c>
      <c r="N18" s="145">
        <f>$E18/1000000*'[1]PRODUCTION (Rev.1) (Ajuste Inv)'!J$170</f>
        <v>1.9147600000000002</v>
      </c>
      <c r="O18" s="145">
        <f>$E18/1000000*'[1]PRODUCTION (Rev.1) (Ajuste Inv)'!K$170</f>
        <v>1.3579800000000002</v>
      </c>
      <c r="P18" s="145">
        <f>$E18/1000000*'[1]PRODUCTION (Rev.1) (Ajuste Inv)'!L$170</f>
        <v>1.3816000000000002</v>
      </c>
      <c r="Q18" s="145">
        <f>$E18/1000000*'[1]PRODUCTION (Rev.1) (Ajuste Inv)'!M$170</f>
        <v>1.6820000000000002</v>
      </c>
      <c r="R18" s="145"/>
      <c r="S18" s="145"/>
      <c r="T18" s="145"/>
      <c r="U18" s="145"/>
      <c r="V18" s="145"/>
      <c r="W18" s="145"/>
    </row>
    <row r="19" spans="1:23" ht="18" customHeight="1">
      <c r="A19" s="783"/>
      <c r="B19" s="814"/>
      <c r="C19" s="152"/>
      <c r="D19" s="152" t="s">
        <v>97</v>
      </c>
      <c r="E19" s="101">
        <f>'[7]SM - Qty'!X19</f>
        <v>18</v>
      </c>
      <c r="F19" s="101">
        <f>$E19/1000000*'[1]PRODUCTION (Rev.1) (Ajuste Inv)'!B$170</f>
        <v>1.4227380000000001</v>
      </c>
      <c r="G19" s="101">
        <f>$E19/1000000*'[1]PRODUCTION (Rev.1) (Ajuste Inv)'!C$170</f>
        <v>1.419246</v>
      </c>
      <c r="H19" s="101">
        <f>$E19/1000000*'[1]PRODUCTION (Rev.1) (Ajuste Inv)'!D$170</f>
        <v>1.4092200000000001</v>
      </c>
      <c r="I19" s="101">
        <f>$E19/1000000*'[1]PRODUCTION (Rev.1) (Ajuste Inv)'!E$170</f>
        <v>1.457532</v>
      </c>
      <c r="J19" s="101">
        <f>$E19/1000000*'[1]PRODUCTION (Rev.1) (Ajuste Inv)'!F$170</f>
        <v>1.4575500000000001</v>
      </c>
      <c r="K19" s="101">
        <f>$E19/1000000*'[1]PRODUCTION (Rev.1) (Ajuste Inv)'!G$170</f>
        <v>1.721214</v>
      </c>
      <c r="L19" s="101">
        <f>$E19/1000000*'[1]PRODUCTION (Rev.1) (Ajuste Inv)'!H$170</f>
        <v>1.7582580000000001</v>
      </c>
      <c r="M19" s="101">
        <f>$E19/1000000*'[1]PRODUCTION (Rev.1) (Ajuste Inv)'!I$170</f>
        <v>1.7584919999999999</v>
      </c>
      <c r="N19" s="101">
        <f>$E19/1000000*'[1]PRODUCTION (Rev.1) (Ajuste Inv)'!J$170</f>
        <v>1.723284</v>
      </c>
      <c r="O19" s="101">
        <f>$E19/1000000*'[1]PRODUCTION (Rev.1) (Ajuste Inv)'!K$170</f>
        <v>1.2221820000000001</v>
      </c>
      <c r="P19" s="101">
        <f>$E19/1000000*'[1]PRODUCTION (Rev.1) (Ajuste Inv)'!L$170</f>
        <v>1.2434400000000001</v>
      </c>
      <c r="Q19" s="101">
        <f>$E19/1000000*'[1]PRODUCTION (Rev.1) (Ajuste Inv)'!M$170</f>
        <v>1.5138</v>
      </c>
      <c r="R19" s="101"/>
      <c r="S19" s="101"/>
      <c r="T19" s="101"/>
      <c r="U19" s="101"/>
      <c r="V19" s="101"/>
      <c r="W19" s="101"/>
    </row>
    <row r="20" spans="1:23" ht="18" customHeight="1">
      <c r="A20" s="783"/>
      <c r="B20" s="814"/>
      <c r="C20" s="152"/>
      <c r="D20" s="152" t="s">
        <v>96</v>
      </c>
      <c r="E20" s="101">
        <f>'[7]SM - Qty'!X20</f>
        <v>3</v>
      </c>
      <c r="F20" s="101">
        <f>$E20/1000000*'[1]PRODUCTION (Rev.1) (Ajuste Inv)'!B$170</f>
        <v>0.237123</v>
      </c>
      <c r="G20" s="101">
        <f>$E20/1000000*'[1]PRODUCTION (Rev.1) (Ajuste Inv)'!C$170</f>
        <v>0.236541</v>
      </c>
      <c r="H20" s="101">
        <f>$E20/1000000*'[1]PRODUCTION (Rev.1) (Ajuste Inv)'!D$170</f>
        <v>0.23487</v>
      </c>
      <c r="I20" s="101">
        <f>$E20/1000000*'[1]PRODUCTION (Rev.1) (Ajuste Inv)'!E$170</f>
        <v>0.242922</v>
      </c>
      <c r="J20" s="101">
        <f>$E20/1000000*'[1]PRODUCTION (Rev.1) (Ajuste Inv)'!F$170</f>
        <v>0.242925</v>
      </c>
      <c r="K20" s="101">
        <f>$E20/1000000*'[1]PRODUCTION (Rev.1) (Ajuste Inv)'!G$170</f>
        <v>0.28686899999999999</v>
      </c>
      <c r="L20" s="101">
        <f>$E20/1000000*'[1]PRODUCTION (Rev.1) (Ajuste Inv)'!H$170</f>
        <v>0.293043</v>
      </c>
      <c r="M20" s="101">
        <f>$E20/1000000*'[1]PRODUCTION (Rev.1) (Ajuste Inv)'!I$170</f>
        <v>0.29308200000000001</v>
      </c>
      <c r="N20" s="101">
        <f>$E20/1000000*'[1]PRODUCTION (Rev.1) (Ajuste Inv)'!J$170</f>
        <v>0.28721400000000002</v>
      </c>
      <c r="O20" s="101">
        <f>$E20/1000000*'[1]PRODUCTION (Rev.1) (Ajuste Inv)'!K$170</f>
        <v>0.20369700000000002</v>
      </c>
      <c r="P20" s="101">
        <f>$E20/1000000*'[1]PRODUCTION (Rev.1) (Ajuste Inv)'!L$170</f>
        <v>0.20724000000000001</v>
      </c>
      <c r="Q20" s="101">
        <f>$E20/1000000*'[1]PRODUCTION (Rev.1) (Ajuste Inv)'!M$170</f>
        <v>0.25230000000000002</v>
      </c>
      <c r="R20" s="101"/>
      <c r="S20" s="101"/>
      <c r="T20" s="101"/>
      <c r="U20" s="101"/>
      <c r="V20" s="101"/>
      <c r="W20" s="101"/>
    </row>
    <row r="21" spans="1:23" ht="18" customHeight="1">
      <c r="A21" s="783"/>
      <c r="B21" s="814"/>
      <c r="C21" s="153" t="s">
        <v>101</v>
      </c>
      <c r="D21" s="153"/>
      <c r="E21" s="148">
        <f>'[7]SM - Qty'!X21</f>
        <v>0</v>
      </c>
      <c r="F21" s="148">
        <f t="shared" ref="F21:Q21" si="3">SUBTOTAL(9,F18:F20)</f>
        <v>3.2406809999999999</v>
      </c>
      <c r="G21" s="148">
        <f t="shared" si="3"/>
        <v>3.2327270000000001</v>
      </c>
      <c r="H21" s="148">
        <f t="shared" si="3"/>
        <v>3.2098900000000001</v>
      </c>
      <c r="I21" s="148">
        <f t="shared" si="3"/>
        <v>3.3199339999999999</v>
      </c>
      <c r="J21" s="148">
        <f t="shared" si="3"/>
        <v>3.3199750000000003</v>
      </c>
      <c r="K21" s="148">
        <f t="shared" si="3"/>
        <v>3.9205429999999999</v>
      </c>
      <c r="L21" s="148">
        <f t="shared" si="3"/>
        <v>4.0049210000000004</v>
      </c>
      <c r="M21" s="148">
        <f t="shared" si="3"/>
        <v>4.0054540000000003</v>
      </c>
      <c r="N21" s="148">
        <f t="shared" si="3"/>
        <v>3.9252580000000004</v>
      </c>
      <c r="O21" s="148">
        <f t="shared" si="3"/>
        <v>2.7838590000000005</v>
      </c>
      <c r="P21" s="148">
        <f t="shared" si="3"/>
        <v>2.8322800000000004</v>
      </c>
      <c r="Q21" s="148">
        <f t="shared" si="3"/>
        <v>3.4481000000000002</v>
      </c>
      <c r="R21" s="148"/>
      <c r="S21" s="148"/>
      <c r="T21" s="148"/>
      <c r="U21" s="148"/>
      <c r="V21" s="148"/>
      <c r="W21" s="148"/>
    </row>
    <row r="22" spans="1:23" ht="18" customHeight="1">
      <c r="A22" s="783"/>
      <c r="B22" s="814">
        <v>6050</v>
      </c>
      <c r="C22" s="154" t="s">
        <v>103</v>
      </c>
      <c r="D22" s="154" t="s">
        <v>98</v>
      </c>
      <c r="E22" s="101">
        <f>'[7]SM - Qty'!X22</f>
        <v>18</v>
      </c>
      <c r="F22" s="101">
        <f>$E22/1000000*'[1]PRODUCTION (Rev.1) (Ajuste Inv)'!B$169</f>
        <v>0.43975800000000004</v>
      </c>
      <c r="G22" s="101">
        <f>$E22/1000000*'[1]PRODUCTION (Rev.1) (Ajuste Inv)'!C$169</f>
        <v>0.43882199999999999</v>
      </c>
      <c r="H22" s="101">
        <f>$E22/1000000*'[1]PRODUCTION (Rev.1) (Ajuste Inv)'!D$169</f>
        <v>0.43610399999999999</v>
      </c>
      <c r="I22" s="101">
        <f>$E22/1000000*'[1]PRODUCTION (Rev.1) (Ajuste Inv)'!E$169</f>
        <v>0.44919000000000003</v>
      </c>
      <c r="J22" s="101">
        <f>$E22/1000000*'[1]PRODUCTION (Rev.1) (Ajuste Inv)'!F$169</f>
        <v>0.449208</v>
      </c>
      <c r="K22" s="101">
        <f>$E22/1000000*'[1]PRODUCTION (Rev.1) (Ajuste Inv)'!G$169</f>
        <v>0.52068599999999998</v>
      </c>
      <c r="L22" s="101">
        <f>$E22/1000000*'[1]PRODUCTION (Rev.1) (Ajuste Inv)'!H$169</f>
        <v>0.530748</v>
      </c>
      <c r="M22" s="101">
        <f>$E22/1000000*'[1]PRODUCTION (Rev.1) (Ajuste Inv)'!I$169</f>
        <v>0.53081999999999996</v>
      </c>
      <c r="N22" s="101">
        <f>$E22/1000000*'[1]PRODUCTION (Rev.1) (Ajuste Inv)'!J$169</f>
        <v>0.521262</v>
      </c>
      <c r="O22" s="101">
        <f>$E22/1000000*'[1]PRODUCTION (Rev.1) (Ajuste Inv)'!K$169</f>
        <v>0.38538</v>
      </c>
      <c r="P22" s="101">
        <f>$E22/1000000*'[1]PRODUCTION (Rev.1) (Ajuste Inv)'!L$169</f>
        <v>0.39115800000000001</v>
      </c>
      <c r="Q22" s="101">
        <f>$E22/1000000*'[1]PRODUCTION (Rev.1) (Ajuste Inv)'!M$169</f>
        <v>0.46445400000000003</v>
      </c>
      <c r="R22" s="101"/>
      <c r="S22" s="101"/>
      <c r="T22" s="101"/>
      <c r="U22" s="101"/>
      <c r="V22" s="101"/>
      <c r="W22" s="101"/>
    </row>
    <row r="23" spans="1:23" ht="18" customHeight="1">
      <c r="A23" s="783"/>
      <c r="B23" s="814"/>
      <c r="C23" s="154"/>
      <c r="D23" s="154" t="s">
        <v>97</v>
      </c>
      <c r="E23" s="101">
        <f>'[7]SM - Qty'!X23</f>
        <v>14</v>
      </c>
      <c r="F23" s="101">
        <f>$E23/1000000*'[1]PRODUCTION (Rev.1) (Ajuste Inv)'!B$169</f>
        <v>0.342034</v>
      </c>
      <c r="G23" s="101">
        <f>$E23/1000000*'[1]PRODUCTION (Rev.1) (Ajuste Inv)'!C$169</f>
        <v>0.341306</v>
      </c>
      <c r="H23" s="101">
        <f>$E23/1000000*'[1]PRODUCTION (Rev.1) (Ajuste Inv)'!D$169</f>
        <v>0.33919199999999999</v>
      </c>
      <c r="I23" s="101">
        <f>$E23/1000000*'[1]PRODUCTION (Rev.1) (Ajuste Inv)'!E$169</f>
        <v>0.34937000000000001</v>
      </c>
      <c r="J23" s="101">
        <f>$E23/1000000*'[1]PRODUCTION (Rev.1) (Ajuste Inv)'!F$169</f>
        <v>0.34938399999999997</v>
      </c>
      <c r="K23" s="101">
        <f>$E23/1000000*'[1]PRODUCTION (Rev.1) (Ajuste Inv)'!G$169</f>
        <v>0.404978</v>
      </c>
      <c r="L23" s="101">
        <f>$E23/1000000*'[1]PRODUCTION (Rev.1) (Ajuste Inv)'!H$169</f>
        <v>0.412804</v>
      </c>
      <c r="M23" s="101">
        <f>$E23/1000000*'[1]PRODUCTION (Rev.1) (Ajuste Inv)'!I$169</f>
        <v>0.41286</v>
      </c>
      <c r="N23" s="101">
        <f>$E23/1000000*'[1]PRODUCTION (Rev.1) (Ajuste Inv)'!J$169</f>
        <v>0.40542600000000001</v>
      </c>
      <c r="O23" s="101">
        <f>$E23/1000000*'[1]PRODUCTION (Rev.1) (Ajuste Inv)'!K$169</f>
        <v>0.29974000000000001</v>
      </c>
      <c r="P23" s="101">
        <f>$E23/1000000*'[1]PRODUCTION (Rev.1) (Ajuste Inv)'!L$169</f>
        <v>0.304234</v>
      </c>
      <c r="Q23" s="101">
        <f>$E23/1000000*'[1]PRODUCTION (Rev.1) (Ajuste Inv)'!M$169</f>
        <v>0.36124200000000001</v>
      </c>
      <c r="R23" s="101"/>
      <c r="S23" s="101"/>
      <c r="T23" s="101"/>
      <c r="U23" s="101"/>
      <c r="V23" s="101"/>
      <c r="W23" s="101"/>
    </row>
    <row r="24" spans="1:23" ht="18" customHeight="1">
      <c r="A24" s="783"/>
      <c r="B24" s="814"/>
      <c r="C24" s="154"/>
      <c r="D24" s="154" t="s">
        <v>96</v>
      </c>
      <c r="E24" s="101">
        <f>'[7]SM - Qty'!X24</f>
        <v>0</v>
      </c>
      <c r="F24" s="101">
        <f>$E24/1000000*'[1]PRODUCTION (Rev.1) (Ajuste Inv)'!B$169</f>
        <v>0</v>
      </c>
      <c r="G24" s="101">
        <f>$E24/1000000*'[1]PRODUCTION (Rev.1) (Ajuste Inv)'!C$169</f>
        <v>0</v>
      </c>
      <c r="H24" s="101">
        <f>$E24/1000000*'[1]PRODUCTION (Rev.1) (Ajuste Inv)'!D$169</f>
        <v>0</v>
      </c>
      <c r="I24" s="101">
        <f>$E24/1000000*'[1]PRODUCTION (Rev.1) (Ajuste Inv)'!E$169</f>
        <v>0</v>
      </c>
      <c r="J24" s="101">
        <f>$E24/1000000*'[1]PRODUCTION (Rev.1) (Ajuste Inv)'!F$169</f>
        <v>0</v>
      </c>
      <c r="K24" s="101">
        <f>$E24/1000000*'[1]PRODUCTION (Rev.1) (Ajuste Inv)'!G$169</f>
        <v>0</v>
      </c>
      <c r="L24" s="101">
        <f>$E24/1000000*'[1]PRODUCTION (Rev.1) (Ajuste Inv)'!H$169</f>
        <v>0</v>
      </c>
      <c r="M24" s="101">
        <f>$E24/1000000*'[1]PRODUCTION (Rev.1) (Ajuste Inv)'!I$169</f>
        <v>0</v>
      </c>
      <c r="N24" s="101">
        <f>$E24/1000000*'[1]PRODUCTION (Rev.1) (Ajuste Inv)'!J$169</f>
        <v>0</v>
      </c>
      <c r="O24" s="101">
        <f>$E24/1000000*'[1]PRODUCTION (Rev.1) (Ajuste Inv)'!K$169</f>
        <v>0</v>
      </c>
      <c r="P24" s="101">
        <f>$E24/1000000*'[1]PRODUCTION (Rev.1) (Ajuste Inv)'!L$169</f>
        <v>0</v>
      </c>
      <c r="Q24" s="101">
        <f>$E24/1000000*'[1]PRODUCTION (Rev.1) (Ajuste Inv)'!M$169</f>
        <v>0</v>
      </c>
      <c r="R24" s="101"/>
      <c r="S24" s="101"/>
      <c r="T24" s="101"/>
      <c r="U24" s="101"/>
      <c r="V24" s="101"/>
      <c r="W24" s="101"/>
    </row>
    <row r="25" spans="1:23" ht="18" customHeight="1">
      <c r="A25" s="783"/>
      <c r="B25" s="814"/>
      <c r="C25" s="153" t="s">
        <v>101</v>
      </c>
      <c r="D25" s="153"/>
      <c r="E25" s="148">
        <f>'[7]SM - Qty'!X25</f>
        <v>0</v>
      </c>
      <c r="F25" s="148">
        <f t="shared" ref="F25:Q25" si="4">SUBTOTAL(9,F22:F24)</f>
        <v>0.78179200000000004</v>
      </c>
      <c r="G25" s="148">
        <f t="shared" si="4"/>
        <v>0.78012799999999993</v>
      </c>
      <c r="H25" s="148">
        <f t="shared" si="4"/>
        <v>0.77529599999999999</v>
      </c>
      <c r="I25" s="148">
        <f t="shared" si="4"/>
        <v>0.79856000000000005</v>
      </c>
      <c r="J25" s="148">
        <f t="shared" si="4"/>
        <v>0.79859199999999997</v>
      </c>
      <c r="K25" s="148">
        <f t="shared" si="4"/>
        <v>0.92566400000000004</v>
      </c>
      <c r="L25" s="148">
        <f t="shared" si="4"/>
        <v>0.94355199999999995</v>
      </c>
      <c r="M25" s="148">
        <f t="shared" si="4"/>
        <v>0.94367999999999996</v>
      </c>
      <c r="N25" s="148">
        <f t="shared" si="4"/>
        <v>0.92668799999999996</v>
      </c>
      <c r="O25" s="148">
        <f t="shared" si="4"/>
        <v>0.68511999999999995</v>
      </c>
      <c r="P25" s="148">
        <f t="shared" si="4"/>
        <v>0.69539200000000001</v>
      </c>
      <c r="Q25" s="148">
        <f t="shared" si="4"/>
        <v>0.82569599999999999</v>
      </c>
      <c r="R25" s="148"/>
      <c r="S25" s="148"/>
      <c r="T25" s="148"/>
      <c r="U25" s="148"/>
      <c r="V25" s="148"/>
      <c r="W25" s="148"/>
    </row>
    <row r="26" spans="1:23" ht="18" customHeight="1">
      <c r="A26" s="783"/>
      <c r="B26" s="814">
        <v>6060</v>
      </c>
      <c r="C26" s="154" t="s">
        <v>102</v>
      </c>
      <c r="D26" s="154" t="s">
        <v>98</v>
      </c>
      <c r="E26" s="101">
        <f>'[7]SM - Qty'!X26</f>
        <v>174</v>
      </c>
      <c r="F26" s="101" t="e">
        <f>$E26/1000000*'Prod &amp; Defects - Qty'!G$9</f>
        <v>#N/A</v>
      </c>
      <c r="G26" s="101" t="e">
        <f>$E26/1000000*'Prod &amp; Defects - Qty'!H$9</f>
        <v>#N/A</v>
      </c>
      <c r="H26" s="101" t="e">
        <f>$E26/1000000*'Prod &amp; Defects - Qty'!I$9</f>
        <v>#N/A</v>
      </c>
      <c r="I26" s="101" t="e">
        <f>$E26/1000000*'Prod &amp; Defects - Qty'!J$9</f>
        <v>#N/A</v>
      </c>
      <c r="J26" s="101" t="e">
        <f>$E26/1000000*'Prod &amp; Defects - Qty'!K$9</f>
        <v>#N/A</v>
      </c>
      <c r="K26" s="101" t="e">
        <f>$E26/1000000*'Prod &amp; Defects - Qty'!L$9</f>
        <v>#N/A</v>
      </c>
      <c r="L26" s="101" t="e">
        <f>$E26/1000000*'Prod &amp; Defects - Qty'!M$9</f>
        <v>#N/A</v>
      </c>
      <c r="M26" s="101" t="e">
        <f>$E26/1000000*'Prod &amp; Defects - Qty'!N$9</f>
        <v>#N/A</v>
      </c>
      <c r="N26" s="101" t="e">
        <f>$E26/1000000*'Prod &amp; Defects - Qty'!O$9</f>
        <v>#N/A</v>
      </c>
      <c r="O26" s="101" t="e">
        <f>$E26/1000000*'Prod &amp; Defects - Qty'!P$9</f>
        <v>#N/A</v>
      </c>
      <c r="P26" s="101" t="e">
        <f>$E26/1000000*'Prod &amp; Defects - Qty'!Q$9</f>
        <v>#N/A</v>
      </c>
      <c r="Q26" s="101" t="e">
        <f>$E26/1000000*'Prod &amp; Defects - Qty'!R$9</f>
        <v>#N/A</v>
      </c>
      <c r="R26" s="101"/>
      <c r="S26" s="101"/>
      <c r="T26" s="101"/>
      <c r="U26" s="101"/>
      <c r="V26" s="101"/>
      <c r="W26" s="101"/>
    </row>
    <row r="27" spans="1:23" ht="18" customHeight="1">
      <c r="A27" s="783"/>
      <c r="B27" s="814"/>
      <c r="C27" s="154"/>
      <c r="D27" s="154" t="s">
        <v>97</v>
      </c>
      <c r="E27" s="101">
        <f>'[7]SM - Qty'!X27</f>
        <v>168</v>
      </c>
      <c r="F27" s="101" t="e">
        <f>$E27/1000000*'Prod &amp; Defects - Qty'!G$9</f>
        <v>#N/A</v>
      </c>
      <c r="G27" s="101" t="e">
        <f>$E27/1000000*'Prod &amp; Defects - Qty'!H$9</f>
        <v>#N/A</v>
      </c>
      <c r="H27" s="101" t="e">
        <f>$E27/1000000*'Prod &amp; Defects - Qty'!I$9</f>
        <v>#N/A</v>
      </c>
      <c r="I27" s="101" t="e">
        <f>$E27/1000000*'Prod &amp; Defects - Qty'!J$9</f>
        <v>#N/A</v>
      </c>
      <c r="J27" s="101" t="e">
        <f>$E27/1000000*'Prod &amp; Defects - Qty'!K$9</f>
        <v>#N/A</v>
      </c>
      <c r="K27" s="101" t="e">
        <f>$E27/1000000*'Prod &amp; Defects - Qty'!L$9</f>
        <v>#N/A</v>
      </c>
      <c r="L27" s="101" t="e">
        <f>$E27/1000000*'Prod &amp; Defects - Qty'!M$9</f>
        <v>#N/A</v>
      </c>
      <c r="M27" s="101" t="e">
        <f>$E27/1000000*'Prod &amp; Defects - Qty'!N$9</f>
        <v>#N/A</v>
      </c>
      <c r="N27" s="101" t="e">
        <f>$E27/1000000*'Prod &amp; Defects - Qty'!O$9</f>
        <v>#N/A</v>
      </c>
      <c r="O27" s="101" t="e">
        <f>$E27/1000000*'Prod &amp; Defects - Qty'!P$9</f>
        <v>#N/A</v>
      </c>
      <c r="P27" s="101" t="e">
        <f>$E27/1000000*'Prod &amp; Defects - Qty'!Q$9</f>
        <v>#N/A</v>
      </c>
      <c r="Q27" s="101" t="e">
        <f>$E27/1000000*'Prod &amp; Defects - Qty'!R$9</f>
        <v>#N/A</v>
      </c>
      <c r="R27" s="101"/>
      <c r="S27" s="101"/>
      <c r="T27" s="101"/>
      <c r="U27" s="101"/>
      <c r="V27" s="101"/>
      <c r="W27" s="101"/>
    </row>
    <row r="28" spans="1:23" ht="18" customHeight="1">
      <c r="A28" s="783"/>
      <c r="B28" s="814"/>
      <c r="C28" s="154"/>
      <c r="D28" s="154" t="s">
        <v>96</v>
      </c>
      <c r="E28" s="101">
        <f>'[7]SM - Qty'!X28</f>
        <v>11</v>
      </c>
      <c r="F28" s="101" t="e">
        <f>$E28/1000000*'Prod &amp; Defects - Qty'!G$9</f>
        <v>#N/A</v>
      </c>
      <c r="G28" s="101" t="e">
        <f>$E28/1000000*'Prod &amp; Defects - Qty'!H$9</f>
        <v>#N/A</v>
      </c>
      <c r="H28" s="101" t="e">
        <f>$E28/1000000*'Prod &amp; Defects - Qty'!I$9</f>
        <v>#N/A</v>
      </c>
      <c r="I28" s="101" t="e">
        <f>$E28/1000000*'Prod &amp; Defects - Qty'!J$9</f>
        <v>#N/A</v>
      </c>
      <c r="J28" s="101" t="e">
        <f>$E28/1000000*'Prod &amp; Defects - Qty'!K$9</f>
        <v>#N/A</v>
      </c>
      <c r="K28" s="101" t="e">
        <f>$E28/1000000*'Prod &amp; Defects - Qty'!L$9</f>
        <v>#N/A</v>
      </c>
      <c r="L28" s="101" t="e">
        <f>$E28/1000000*'Prod &amp; Defects - Qty'!M$9</f>
        <v>#N/A</v>
      </c>
      <c r="M28" s="101" t="e">
        <f>$E28/1000000*'Prod &amp; Defects - Qty'!N$9</f>
        <v>#N/A</v>
      </c>
      <c r="N28" s="101" t="e">
        <f>$E28/1000000*'Prod &amp; Defects - Qty'!O$9</f>
        <v>#N/A</v>
      </c>
      <c r="O28" s="101" t="e">
        <f>$E28/1000000*'Prod &amp; Defects - Qty'!P$9</f>
        <v>#N/A</v>
      </c>
      <c r="P28" s="101" t="e">
        <f>$E28/1000000*'Prod &amp; Defects - Qty'!Q$9</f>
        <v>#N/A</v>
      </c>
      <c r="Q28" s="101" t="e">
        <f>$E28/1000000*'Prod &amp; Defects - Qty'!R$9</f>
        <v>#N/A</v>
      </c>
      <c r="R28" s="101"/>
      <c r="S28" s="101"/>
      <c r="T28" s="101"/>
      <c r="U28" s="101"/>
      <c r="V28" s="101"/>
      <c r="W28" s="101"/>
    </row>
    <row r="29" spans="1:23" ht="18" customHeight="1">
      <c r="A29" s="783"/>
      <c r="B29" s="814"/>
      <c r="C29" s="153" t="s">
        <v>101</v>
      </c>
      <c r="D29" s="153"/>
      <c r="E29" s="148">
        <f>'[7]SM - Qty'!X29</f>
        <v>0</v>
      </c>
      <c r="F29" s="148" t="e">
        <f t="shared" ref="F29:Q29" si="5">SUBTOTAL(9,F26:F28)</f>
        <v>#N/A</v>
      </c>
      <c r="G29" s="148" t="e">
        <f t="shared" si="5"/>
        <v>#N/A</v>
      </c>
      <c r="H29" s="148" t="e">
        <f t="shared" si="5"/>
        <v>#N/A</v>
      </c>
      <c r="I29" s="148" t="e">
        <f t="shared" si="5"/>
        <v>#N/A</v>
      </c>
      <c r="J29" s="148" t="e">
        <f t="shared" si="5"/>
        <v>#N/A</v>
      </c>
      <c r="K29" s="148" t="e">
        <f t="shared" si="5"/>
        <v>#N/A</v>
      </c>
      <c r="L29" s="148" t="e">
        <f t="shared" si="5"/>
        <v>#N/A</v>
      </c>
      <c r="M29" s="148" t="e">
        <f t="shared" si="5"/>
        <v>#N/A</v>
      </c>
      <c r="N29" s="148" t="e">
        <f t="shared" si="5"/>
        <v>#N/A</v>
      </c>
      <c r="O29" s="148" t="e">
        <f t="shared" si="5"/>
        <v>#N/A</v>
      </c>
      <c r="P29" s="148" t="e">
        <f t="shared" si="5"/>
        <v>#N/A</v>
      </c>
      <c r="Q29" s="148" t="e">
        <f t="shared" si="5"/>
        <v>#N/A</v>
      </c>
      <c r="R29" s="148"/>
      <c r="S29" s="148"/>
      <c r="T29" s="148"/>
      <c r="U29" s="148"/>
      <c r="V29" s="148"/>
      <c r="W29" s="148"/>
    </row>
    <row r="30" spans="1:23" ht="18" customHeight="1">
      <c r="A30" s="783"/>
      <c r="B30" s="155"/>
      <c r="C30" s="155" t="s">
        <v>92</v>
      </c>
      <c r="D30" s="153" t="s">
        <v>100</v>
      </c>
      <c r="E30" s="148">
        <f>'[7]SM - Qty'!X30</f>
        <v>0</v>
      </c>
      <c r="F30" s="148" t="e">
        <f>SUBTOTAL(9,F18:F29)</f>
        <v>#N/A</v>
      </c>
      <c r="G30" s="148" t="e">
        <f t="shared" ref="G30:Q30" si="6">SUBTOTAL(9,G18:G29)</f>
        <v>#N/A</v>
      </c>
      <c r="H30" s="148" t="e">
        <f t="shared" si="6"/>
        <v>#N/A</v>
      </c>
      <c r="I30" s="148" t="e">
        <f t="shared" si="6"/>
        <v>#N/A</v>
      </c>
      <c r="J30" s="148" t="e">
        <f t="shared" si="6"/>
        <v>#N/A</v>
      </c>
      <c r="K30" s="148" t="e">
        <f t="shared" si="6"/>
        <v>#N/A</v>
      </c>
      <c r="L30" s="148" t="e">
        <f t="shared" si="6"/>
        <v>#N/A</v>
      </c>
      <c r="M30" s="148" t="e">
        <f t="shared" si="6"/>
        <v>#N/A</v>
      </c>
      <c r="N30" s="148" t="e">
        <f t="shared" si="6"/>
        <v>#N/A</v>
      </c>
      <c r="O30" s="148" t="e">
        <f t="shared" si="6"/>
        <v>#N/A</v>
      </c>
      <c r="P30" s="148" t="e">
        <f t="shared" si="6"/>
        <v>#N/A</v>
      </c>
      <c r="Q30" s="148" t="e">
        <f t="shared" si="6"/>
        <v>#N/A</v>
      </c>
      <c r="R30" s="148"/>
      <c r="S30" s="148"/>
      <c r="T30" s="148"/>
      <c r="U30" s="148"/>
      <c r="V30" s="148"/>
      <c r="W30" s="148"/>
    </row>
    <row r="31" spans="1:23" ht="18" customHeight="1">
      <c r="A31" s="783"/>
      <c r="B31" s="814">
        <v>6070</v>
      </c>
      <c r="C31" s="154" t="s">
        <v>99</v>
      </c>
      <c r="D31" s="154" t="s">
        <v>98</v>
      </c>
      <c r="E31" s="101">
        <f>'[7]SM - Qty'!X31</f>
        <v>474</v>
      </c>
      <c r="F31" s="101">
        <v>3950</v>
      </c>
      <c r="G31" s="101">
        <v>4470</v>
      </c>
      <c r="H31" s="101">
        <v>3512</v>
      </c>
      <c r="I31" s="101">
        <v>1399</v>
      </c>
      <c r="J31" s="101">
        <v>1794</v>
      </c>
      <c r="K31" s="101">
        <v>2915</v>
      </c>
      <c r="L31" s="101">
        <v>1746</v>
      </c>
      <c r="M31" s="101">
        <v>2151</v>
      </c>
      <c r="N31" s="101">
        <v>699</v>
      </c>
      <c r="O31" s="101">
        <v>1621</v>
      </c>
      <c r="P31" s="101">
        <v>1621</v>
      </c>
      <c r="Q31" s="101">
        <v>1621</v>
      </c>
      <c r="R31" s="101"/>
      <c r="S31" s="101"/>
      <c r="T31" s="101"/>
      <c r="U31" s="101"/>
      <c r="V31" s="101"/>
      <c r="W31" s="101"/>
    </row>
    <row r="32" spans="1:23" ht="18" customHeight="1">
      <c r="A32" s="783"/>
      <c r="B32" s="814"/>
      <c r="C32" s="154"/>
      <c r="D32" s="154" t="s">
        <v>97</v>
      </c>
      <c r="E32" s="101">
        <f>'[7]SM - Qty'!X32</f>
        <v>435</v>
      </c>
      <c r="F32" s="101">
        <v>3791</v>
      </c>
      <c r="G32" s="101">
        <v>3775</v>
      </c>
      <c r="H32" s="101">
        <v>2169</v>
      </c>
      <c r="I32" s="101">
        <v>1457</v>
      </c>
      <c r="J32" s="101">
        <v>1657</v>
      </c>
      <c r="K32" s="101">
        <v>2766</v>
      </c>
      <c r="L32" s="101">
        <v>1929</v>
      </c>
      <c r="M32" s="101">
        <v>2047</v>
      </c>
      <c r="N32" s="101">
        <v>791</v>
      </c>
      <c r="O32" s="101">
        <v>1590</v>
      </c>
      <c r="P32" s="101">
        <v>1590</v>
      </c>
      <c r="Q32" s="101">
        <v>1590</v>
      </c>
      <c r="R32" s="101"/>
      <c r="S32" s="101"/>
      <c r="T32" s="101"/>
      <c r="U32" s="101"/>
      <c r="V32" s="101"/>
      <c r="W32" s="101"/>
    </row>
    <row r="33" spans="1:23" ht="18" customHeight="1">
      <c r="A33" s="783"/>
      <c r="B33" s="814"/>
      <c r="C33" s="154"/>
      <c r="D33" s="154" t="s">
        <v>96</v>
      </c>
      <c r="E33" s="101">
        <f>'[7]SM - Qty'!X33</f>
        <v>4</v>
      </c>
      <c r="F33" s="101">
        <v>27</v>
      </c>
      <c r="G33" s="101">
        <v>28</v>
      </c>
      <c r="H33" s="101">
        <v>2</v>
      </c>
      <c r="I33" s="101">
        <v>0</v>
      </c>
      <c r="J33" s="101">
        <v>3</v>
      </c>
      <c r="K33" s="101">
        <v>9</v>
      </c>
      <c r="L33" s="101">
        <v>0</v>
      </c>
      <c r="M33" s="101">
        <v>26</v>
      </c>
      <c r="N33" s="101">
        <v>4</v>
      </c>
      <c r="O33" s="101">
        <v>0</v>
      </c>
      <c r="P33" s="101">
        <v>0</v>
      </c>
      <c r="Q33" s="101">
        <v>0</v>
      </c>
      <c r="R33" s="101"/>
      <c r="S33" s="101"/>
      <c r="T33" s="101"/>
      <c r="U33" s="101"/>
      <c r="V33" s="101"/>
      <c r="W33" s="101"/>
    </row>
    <row r="34" spans="1:23" ht="18" customHeight="1" thickBot="1">
      <c r="A34" s="783"/>
      <c r="B34" s="815"/>
      <c r="C34" s="156" t="s">
        <v>92</v>
      </c>
      <c r="D34" s="156"/>
      <c r="E34" s="157">
        <f>'[7]SM - Qty'!X34</f>
        <v>0</v>
      </c>
      <c r="F34" s="148">
        <f t="shared" ref="F34:Q34" si="7">SUBTOTAL(9,F31:F33)</f>
        <v>7768</v>
      </c>
      <c r="G34" s="148">
        <f t="shared" si="7"/>
        <v>8273</v>
      </c>
      <c r="H34" s="148">
        <f t="shared" si="7"/>
        <v>5683</v>
      </c>
      <c r="I34" s="148">
        <f t="shared" si="7"/>
        <v>2856</v>
      </c>
      <c r="J34" s="148">
        <f t="shared" si="7"/>
        <v>3454</v>
      </c>
      <c r="K34" s="148">
        <f t="shared" si="7"/>
        <v>5690</v>
      </c>
      <c r="L34" s="148">
        <f t="shared" si="7"/>
        <v>3675</v>
      </c>
      <c r="M34" s="148">
        <f t="shared" si="7"/>
        <v>4224</v>
      </c>
      <c r="N34" s="148">
        <f t="shared" si="7"/>
        <v>1494</v>
      </c>
      <c r="O34" s="148">
        <f t="shared" si="7"/>
        <v>3211</v>
      </c>
      <c r="P34" s="148">
        <f t="shared" si="7"/>
        <v>3211</v>
      </c>
      <c r="Q34" s="148">
        <f t="shared" si="7"/>
        <v>3211</v>
      </c>
      <c r="R34" s="157"/>
      <c r="S34" s="157"/>
      <c r="T34" s="157"/>
      <c r="U34" s="157"/>
      <c r="V34" s="157"/>
      <c r="W34" s="157"/>
    </row>
    <row r="35" spans="1:23" ht="18" customHeight="1" thickTop="1">
      <c r="A35" s="783"/>
      <c r="B35" s="158">
        <v>6075</v>
      </c>
      <c r="C35" s="159" t="s">
        <v>126</v>
      </c>
      <c r="D35" s="159"/>
      <c r="E35" s="160">
        <f>'[7]SM - Qty'!X35</f>
        <v>2</v>
      </c>
      <c r="F35" s="160">
        <v>130</v>
      </c>
      <c r="G35" s="160">
        <v>78</v>
      </c>
      <c r="H35" s="160">
        <v>34</v>
      </c>
      <c r="I35" s="160">
        <v>223</v>
      </c>
      <c r="J35" s="160">
        <v>44</v>
      </c>
      <c r="K35" s="160">
        <v>38</v>
      </c>
      <c r="L35" s="160">
        <v>135</v>
      </c>
      <c r="M35" s="160">
        <v>40</v>
      </c>
      <c r="N35" s="160">
        <v>0</v>
      </c>
      <c r="O35" s="160">
        <v>51</v>
      </c>
      <c r="P35" s="160">
        <v>51</v>
      </c>
      <c r="Q35" s="160">
        <v>51</v>
      </c>
      <c r="R35" s="160"/>
      <c r="S35" s="160"/>
      <c r="T35" s="160"/>
      <c r="U35" s="160"/>
      <c r="V35" s="160"/>
      <c r="W35" s="160"/>
    </row>
    <row r="36" spans="1:23" ht="18" customHeight="1">
      <c r="A36" s="783"/>
      <c r="B36" s="814"/>
      <c r="C36" s="146" t="s">
        <v>127</v>
      </c>
      <c r="D36" s="146"/>
      <c r="E36" s="90">
        <f>'[7]SM - Qty'!X36</f>
        <v>275</v>
      </c>
      <c r="F36" s="90">
        <v>1054</v>
      </c>
      <c r="G36" s="90">
        <v>1157</v>
      </c>
      <c r="H36" s="90">
        <v>1192</v>
      </c>
      <c r="I36" s="90">
        <v>876</v>
      </c>
      <c r="J36" s="90">
        <v>844</v>
      </c>
      <c r="K36" s="90">
        <v>1345</v>
      </c>
      <c r="L36" s="90">
        <v>2628</v>
      </c>
      <c r="M36" s="90">
        <v>3278</v>
      </c>
      <c r="N36" s="90">
        <v>647</v>
      </c>
      <c r="O36" s="90">
        <v>898</v>
      </c>
      <c r="P36" s="90">
        <v>898</v>
      </c>
      <c r="Q36" s="90">
        <v>898</v>
      </c>
      <c r="R36" s="90"/>
      <c r="S36" s="90"/>
      <c r="T36" s="90"/>
      <c r="U36" s="90"/>
      <c r="V36" s="90"/>
      <c r="W36" s="90"/>
    </row>
    <row r="37" spans="1:23" ht="18" customHeight="1">
      <c r="A37" s="783"/>
      <c r="B37" s="814"/>
      <c r="C37" s="146" t="s">
        <v>95</v>
      </c>
      <c r="D37" s="146"/>
      <c r="E37" s="161">
        <f>'[7]SM - Qty'!X37</f>
        <v>0</v>
      </c>
      <c r="F37" s="161">
        <v>0</v>
      </c>
      <c r="G37" s="161">
        <v>0</v>
      </c>
      <c r="H37" s="161">
        <v>0</v>
      </c>
      <c r="I37" s="161">
        <v>0</v>
      </c>
      <c r="J37" s="161">
        <v>0</v>
      </c>
      <c r="K37" s="161">
        <v>0</v>
      </c>
      <c r="L37" s="161">
        <v>0</v>
      </c>
      <c r="M37" s="161">
        <v>0</v>
      </c>
      <c r="N37" s="161">
        <v>0</v>
      </c>
      <c r="O37" s="161">
        <v>0</v>
      </c>
      <c r="P37" s="161">
        <v>0</v>
      </c>
      <c r="Q37" s="161">
        <v>0</v>
      </c>
      <c r="R37" s="161"/>
      <c r="S37" s="161"/>
      <c r="T37" s="161"/>
      <c r="U37" s="161"/>
      <c r="V37" s="161"/>
      <c r="W37" s="161"/>
    </row>
    <row r="38" spans="1:23" ht="18" customHeight="1">
      <c r="A38" s="783"/>
      <c r="B38" s="814"/>
      <c r="C38" s="146" t="s">
        <v>94</v>
      </c>
      <c r="D38" s="146"/>
      <c r="E38" s="161">
        <f>'[7]SM - Qty'!X38</f>
        <v>0</v>
      </c>
      <c r="F38" s="161">
        <v>0</v>
      </c>
      <c r="G38" s="161">
        <v>0</v>
      </c>
      <c r="H38" s="161">
        <v>0</v>
      </c>
      <c r="I38" s="161">
        <v>0</v>
      </c>
      <c r="J38" s="161">
        <v>0</v>
      </c>
      <c r="K38" s="161">
        <v>0</v>
      </c>
      <c r="L38" s="161">
        <v>0</v>
      </c>
      <c r="M38" s="161">
        <v>0</v>
      </c>
      <c r="N38" s="161">
        <v>0</v>
      </c>
      <c r="O38" s="161">
        <v>0</v>
      </c>
      <c r="P38" s="161">
        <v>0</v>
      </c>
      <c r="Q38" s="161">
        <v>0</v>
      </c>
      <c r="R38" s="161"/>
      <c r="S38" s="161"/>
      <c r="T38" s="161"/>
      <c r="U38" s="161"/>
      <c r="V38" s="161"/>
      <c r="W38" s="161"/>
    </row>
    <row r="39" spans="1:23" ht="18" customHeight="1">
      <c r="A39" s="783"/>
      <c r="B39" s="814"/>
      <c r="C39" s="146" t="s">
        <v>93</v>
      </c>
      <c r="D39" s="146"/>
      <c r="E39" s="161">
        <f>'[7]SM - Qty'!X39</f>
        <v>0</v>
      </c>
      <c r="F39" s="161">
        <v>0</v>
      </c>
      <c r="G39" s="161">
        <v>0</v>
      </c>
      <c r="H39" s="161">
        <v>0</v>
      </c>
      <c r="I39" s="161">
        <v>0</v>
      </c>
      <c r="J39" s="161">
        <v>0</v>
      </c>
      <c r="K39" s="161">
        <v>0</v>
      </c>
      <c r="L39" s="161">
        <v>0</v>
      </c>
      <c r="M39" s="161">
        <v>0</v>
      </c>
      <c r="N39" s="161">
        <v>0</v>
      </c>
      <c r="O39" s="161">
        <v>0</v>
      </c>
      <c r="P39" s="161">
        <v>0</v>
      </c>
      <c r="Q39" s="161">
        <v>0</v>
      </c>
      <c r="R39" s="161"/>
      <c r="S39" s="161"/>
      <c r="T39" s="161"/>
      <c r="U39" s="161"/>
      <c r="V39" s="161"/>
      <c r="W39" s="161"/>
    </row>
    <row r="40" spans="1:23" ht="18" customHeight="1">
      <c r="A40" s="783"/>
      <c r="B40" s="814"/>
      <c r="C40" s="147" t="s">
        <v>92</v>
      </c>
      <c r="D40" s="147"/>
      <c r="E40" s="162">
        <f>'[7]SM - Qty'!X40</f>
        <v>0</v>
      </c>
      <c r="F40" s="148">
        <f>SUBTOTAL(9,F35:F39)</f>
        <v>1184</v>
      </c>
      <c r="G40" s="148">
        <f t="shared" ref="G40:Q40" si="8">SUBTOTAL(9,G35:G39)</f>
        <v>1235</v>
      </c>
      <c r="H40" s="148">
        <f t="shared" si="8"/>
        <v>1226</v>
      </c>
      <c r="I40" s="148">
        <f t="shared" si="8"/>
        <v>1099</v>
      </c>
      <c r="J40" s="148">
        <f t="shared" si="8"/>
        <v>888</v>
      </c>
      <c r="K40" s="148">
        <f t="shared" si="8"/>
        <v>1383</v>
      </c>
      <c r="L40" s="148">
        <f t="shared" si="8"/>
        <v>2763</v>
      </c>
      <c r="M40" s="148">
        <f t="shared" si="8"/>
        <v>3318</v>
      </c>
      <c r="N40" s="148">
        <f t="shared" si="8"/>
        <v>647</v>
      </c>
      <c r="O40" s="148">
        <f t="shared" si="8"/>
        <v>949</v>
      </c>
      <c r="P40" s="148">
        <f t="shared" si="8"/>
        <v>949</v>
      </c>
      <c r="Q40" s="148">
        <f t="shared" si="8"/>
        <v>949</v>
      </c>
      <c r="R40" s="162"/>
      <c r="S40" s="162"/>
      <c r="T40" s="162"/>
      <c r="U40" s="162"/>
      <c r="V40" s="162"/>
      <c r="W40" s="162"/>
    </row>
    <row r="41" spans="1:23" ht="18" customHeight="1" thickBot="1">
      <c r="A41" s="784"/>
      <c r="B41" s="91">
        <v>6080</v>
      </c>
      <c r="C41" s="163" t="s">
        <v>1</v>
      </c>
      <c r="D41" s="164" t="s">
        <v>174</v>
      </c>
      <c r="E41" s="165">
        <f>'[7]SM - Qty'!X41</f>
        <v>0</v>
      </c>
      <c r="F41" s="165" t="e">
        <f>SUBTOTAL(9,F6:F34)</f>
        <v>#N/A</v>
      </c>
      <c r="G41" s="165" t="e">
        <f t="shared" ref="G41:Q41" si="9">SUBTOTAL(9,G6:G34)</f>
        <v>#N/A</v>
      </c>
      <c r="H41" s="165" t="e">
        <f t="shared" si="9"/>
        <v>#N/A</v>
      </c>
      <c r="I41" s="165" t="e">
        <f t="shared" si="9"/>
        <v>#N/A</v>
      </c>
      <c r="J41" s="165" t="e">
        <f t="shared" si="9"/>
        <v>#N/A</v>
      </c>
      <c r="K41" s="165" t="e">
        <f t="shared" si="9"/>
        <v>#N/A</v>
      </c>
      <c r="L41" s="165" t="e">
        <f t="shared" si="9"/>
        <v>#N/A</v>
      </c>
      <c r="M41" s="165" t="e">
        <f t="shared" si="9"/>
        <v>#N/A</v>
      </c>
      <c r="N41" s="165" t="e">
        <f t="shared" si="9"/>
        <v>#N/A</v>
      </c>
      <c r="O41" s="165" t="e">
        <f t="shared" si="9"/>
        <v>#N/A</v>
      </c>
      <c r="P41" s="165" t="e">
        <f t="shared" si="9"/>
        <v>#N/A</v>
      </c>
      <c r="Q41" s="165" t="e">
        <f t="shared" si="9"/>
        <v>#N/A</v>
      </c>
      <c r="R41" s="165"/>
      <c r="S41" s="165"/>
      <c r="T41" s="165"/>
      <c r="U41" s="165"/>
      <c r="V41" s="165"/>
      <c r="W41" s="165"/>
    </row>
    <row r="42" spans="1:23" ht="20.100000000000001" customHeight="1" thickTop="1" thickBot="1">
      <c r="A42" s="166"/>
      <c r="B42" s="167"/>
      <c r="C42" s="168" t="s">
        <v>59</v>
      </c>
      <c r="D42" s="168"/>
      <c r="E42" s="169">
        <f>'[7]SM - Qty'!X42</f>
        <v>0</v>
      </c>
      <c r="F42" s="169" t="e">
        <f>SUBTOTAL(9,F6:F41)</f>
        <v>#N/A</v>
      </c>
      <c r="G42" s="169" t="e">
        <f t="shared" ref="G42:Q42" si="10">SUBTOTAL(9,G6:G41)</f>
        <v>#N/A</v>
      </c>
      <c r="H42" s="169" t="e">
        <f t="shared" si="10"/>
        <v>#N/A</v>
      </c>
      <c r="I42" s="169" t="e">
        <f t="shared" si="10"/>
        <v>#N/A</v>
      </c>
      <c r="J42" s="169" t="e">
        <f t="shared" si="10"/>
        <v>#N/A</v>
      </c>
      <c r="K42" s="169" t="e">
        <f t="shared" si="10"/>
        <v>#N/A</v>
      </c>
      <c r="L42" s="169" t="e">
        <f t="shared" si="10"/>
        <v>#N/A</v>
      </c>
      <c r="M42" s="169" t="e">
        <f t="shared" si="10"/>
        <v>#N/A</v>
      </c>
      <c r="N42" s="169" t="e">
        <f t="shared" si="10"/>
        <v>#N/A</v>
      </c>
      <c r="O42" s="169" t="e">
        <f t="shared" si="10"/>
        <v>#N/A</v>
      </c>
      <c r="P42" s="169" t="e">
        <f t="shared" si="10"/>
        <v>#N/A</v>
      </c>
      <c r="Q42" s="169" t="e">
        <f t="shared" si="10"/>
        <v>#N/A</v>
      </c>
      <c r="R42" s="169"/>
      <c r="S42" s="169"/>
      <c r="T42" s="169"/>
      <c r="U42" s="169"/>
      <c r="V42" s="169"/>
      <c r="W42" s="169"/>
    </row>
    <row r="43" spans="1:23" ht="13.5" customHeight="1"/>
    <row r="44" spans="1:23" ht="13.5" thickBot="1">
      <c r="C44" s="82" t="s">
        <v>177</v>
      </c>
      <c r="G44" s="200" t="e">
        <f t="shared" ref="G44:M44" si="11">(G42-F42)/F42*100</f>
        <v>#N/A</v>
      </c>
      <c r="H44" s="200" t="e">
        <f t="shared" si="11"/>
        <v>#N/A</v>
      </c>
      <c r="I44" s="200" t="e">
        <f t="shared" si="11"/>
        <v>#N/A</v>
      </c>
      <c r="J44" s="200" t="e">
        <f t="shared" si="11"/>
        <v>#N/A</v>
      </c>
      <c r="K44" s="200" t="e">
        <f t="shared" si="11"/>
        <v>#N/A</v>
      </c>
      <c r="L44" s="200" t="e">
        <f t="shared" si="11"/>
        <v>#N/A</v>
      </c>
      <c r="M44" s="200" t="e">
        <f t="shared" si="11"/>
        <v>#N/A</v>
      </c>
    </row>
    <row r="45" spans="1:23">
      <c r="B45" s="637" t="s">
        <v>208</v>
      </c>
      <c r="C45" s="638" t="s">
        <v>205</v>
      </c>
      <c r="D45" s="639"/>
      <c r="E45" s="640">
        <f>'[8]SM - Qty'!W45</f>
        <v>0</v>
      </c>
      <c r="F45" s="640" t="e">
        <f>'Prod &amp; Defects - Qty'!G10*'SM - Qty'!$E$45</f>
        <v>#N/A</v>
      </c>
      <c r="G45" s="640" t="e">
        <f>'Prod &amp; Defects - Qty'!H10*'SM - Qty'!$E$45</f>
        <v>#N/A</v>
      </c>
      <c r="H45" s="640" t="e">
        <f>'Prod &amp; Defects - Qty'!I10*'SM - Qty'!$E$45</f>
        <v>#N/A</v>
      </c>
      <c r="I45" s="640" t="e">
        <f>'Prod &amp; Defects - Qty'!J10*'SM - Qty'!$E$45</f>
        <v>#N/A</v>
      </c>
      <c r="J45" s="640" t="e">
        <f>'Prod &amp; Defects - Qty'!K10*'SM - Qty'!$E$45</f>
        <v>#N/A</v>
      </c>
      <c r="K45" s="640" t="e">
        <f>'Prod &amp; Defects - Qty'!L10*'SM - Qty'!$E$45</f>
        <v>#N/A</v>
      </c>
      <c r="L45" s="640" t="e">
        <f>'Prod &amp; Defects - Qty'!M10*'SM - Qty'!$E$45</f>
        <v>#N/A</v>
      </c>
      <c r="M45" s="640" t="e">
        <f>'Prod &amp; Defects - Qty'!N10*'SM - Qty'!$E$45</f>
        <v>#N/A</v>
      </c>
      <c r="N45" s="640" t="e">
        <f>'Prod &amp; Defects - Qty'!O10*'SM - Qty'!$E$45</f>
        <v>#N/A</v>
      </c>
      <c r="O45" s="640" t="e">
        <f>'Prod &amp; Defects - Qty'!P10*'SM - Qty'!$E$45</f>
        <v>#N/A</v>
      </c>
      <c r="P45" s="640" t="e">
        <f>'Prod &amp; Defects - Qty'!Q10*'SM - Qty'!$E$45</f>
        <v>#N/A</v>
      </c>
      <c r="Q45" s="640" t="e">
        <f>'Prod &amp; Defects - Qty'!R10*'SM - Qty'!$E$45</f>
        <v>#N/A</v>
      </c>
      <c r="R45" s="640" t="e">
        <f>'Prod &amp; Defects - Qty'!S10*'SM - Qty'!$E$45</f>
        <v>#N/A</v>
      </c>
      <c r="S45" s="640" t="e">
        <f>'Prod &amp; Defects - Qty'!T10*'SM - Qty'!$E$45</f>
        <v>#N/A</v>
      </c>
      <c r="T45" s="640" t="e">
        <f>'Prod &amp; Defects - Qty'!U10*'SM - Qty'!$E$45</f>
        <v>#N/A</v>
      </c>
      <c r="U45" s="640">
        <f>'Prod &amp; Defects - Qty'!V10*'SM - Qty'!$E$45</f>
        <v>0</v>
      </c>
      <c r="V45" s="640">
        <f>'Prod &amp; Defects - Qty'!W10*'SM - Qty'!$E$45</f>
        <v>0</v>
      </c>
      <c r="W45" s="641">
        <f>'Prod &amp; Defects - Qty'!X10*'SM - Qty'!$E$45</f>
        <v>0</v>
      </c>
    </row>
    <row r="46" spans="1:23">
      <c r="B46" s="642"/>
      <c r="C46" s="634" t="s">
        <v>209</v>
      </c>
      <c r="D46" s="635"/>
      <c r="E46" s="636">
        <f>'[8]SM - Qty'!W46</f>
        <v>1</v>
      </c>
      <c r="F46" s="636"/>
      <c r="G46" s="636"/>
      <c r="H46" s="636"/>
      <c r="I46" s="636"/>
      <c r="J46" s="636"/>
      <c r="K46" s="636"/>
      <c r="L46" s="636"/>
      <c r="M46" s="636"/>
      <c r="N46" s="636"/>
      <c r="O46" s="636"/>
      <c r="P46" s="636"/>
      <c r="Q46" s="636"/>
      <c r="R46" s="636"/>
      <c r="S46" s="636"/>
      <c r="T46" s="636"/>
      <c r="U46" s="636"/>
      <c r="V46" s="636"/>
      <c r="W46" s="643"/>
    </row>
    <row r="47" spans="1:23">
      <c r="B47" s="642"/>
      <c r="C47" s="634" t="s">
        <v>97</v>
      </c>
      <c r="D47" s="635"/>
      <c r="E47" s="636">
        <f>'[8]SM - Qty'!W47</f>
        <v>0</v>
      </c>
      <c r="F47" s="636"/>
      <c r="G47" s="636"/>
      <c r="H47" s="636"/>
      <c r="I47" s="636"/>
      <c r="J47" s="636"/>
      <c r="K47" s="636"/>
      <c r="L47" s="636"/>
      <c r="M47" s="636"/>
      <c r="N47" s="636"/>
      <c r="O47" s="636"/>
      <c r="P47" s="636"/>
      <c r="Q47" s="636"/>
      <c r="R47" s="636"/>
      <c r="S47" s="636"/>
      <c r="T47" s="636"/>
      <c r="U47" s="636"/>
      <c r="V47" s="636"/>
      <c r="W47" s="643"/>
    </row>
    <row r="48" spans="1:23">
      <c r="B48" s="642"/>
      <c r="C48" s="634" t="s">
        <v>210</v>
      </c>
      <c r="D48" s="635"/>
      <c r="E48" s="636">
        <f>'[8]SM - Qty'!W48</f>
        <v>1125</v>
      </c>
      <c r="F48" s="636"/>
      <c r="G48" s="636"/>
      <c r="H48" s="636"/>
      <c r="I48" s="636"/>
      <c r="J48" s="636"/>
      <c r="K48" s="636"/>
      <c r="L48" s="636"/>
      <c r="M48" s="636"/>
      <c r="N48" s="636"/>
      <c r="O48" s="636"/>
      <c r="P48" s="636"/>
      <c r="Q48" s="636"/>
      <c r="R48" s="636"/>
      <c r="S48" s="636"/>
      <c r="T48" s="636"/>
      <c r="U48" s="636"/>
      <c r="V48" s="636"/>
      <c r="W48" s="643"/>
    </row>
    <row r="49" spans="2:23">
      <c r="B49" s="642"/>
      <c r="C49" s="634" t="s">
        <v>211</v>
      </c>
      <c r="D49" s="635"/>
      <c r="E49" s="636">
        <f>'[8]SM - Qty'!W49</f>
        <v>43</v>
      </c>
      <c r="F49" s="636"/>
      <c r="G49" s="636"/>
      <c r="H49" s="636"/>
      <c r="I49" s="636"/>
      <c r="J49" s="636"/>
      <c r="K49" s="636"/>
      <c r="L49" s="636"/>
      <c r="M49" s="636"/>
      <c r="N49" s="636"/>
      <c r="O49" s="636"/>
      <c r="P49" s="636"/>
      <c r="Q49" s="636"/>
      <c r="R49" s="636"/>
      <c r="S49" s="636"/>
      <c r="T49" s="636"/>
      <c r="U49" s="636"/>
      <c r="V49" s="636"/>
      <c r="W49" s="643"/>
    </row>
    <row r="50" spans="2:23">
      <c r="B50" s="642"/>
      <c r="C50" s="634" t="s">
        <v>1</v>
      </c>
      <c r="D50" s="635"/>
      <c r="E50" s="636">
        <f>'[8]SM - Qty'!W50</f>
        <v>1169</v>
      </c>
      <c r="F50" s="636" t="e">
        <f t="shared" ref="F50:M50" si="12">F45*$E$51/1000000</f>
        <v>#N/A</v>
      </c>
      <c r="G50" s="636" t="e">
        <f t="shared" si="12"/>
        <v>#N/A</v>
      </c>
      <c r="H50" s="636" t="e">
        <f t="shared" si="12"/>
        <v>#N/A</v>
      </c>
      <c r="I50" s="636" t="e">
        <f t="shared" si="12"/>
        <v>#N/A</v>
      </c>
      <c r="J50" s="636" t="e">
        <f t="shared" si="12"/>
        <v>#N/A</v>
      </c>
      <c r="K50" s="636" t="e">
        <f t="shared" si="12"/>
        <v>#N/A</v>
      </c>
      <c r="L50" s="636" t="e">
        <f t="shared" si="12"/>
        <v>#N/A</v>
      </c>
      <c r="M50" s="636" t="e">
        <f t="shared" si="12"/>
        <v>#N/A</v>
      </c>
      <c r="N50" s="636" t="e">
        <f>N45*$E$51/1000000</f>
        <v>#N/A</v>
      </c>
      <c r="O50" s="636" t="e">
        <f>O45*$E$51/1000000</f>
        <v>#N/A</v>
      </c>
      <c r="P50" s="636" t="e">
        <f>P45*$E$51/1000000</f>
        <v>#N/A</v>
      </c>
      <c r="Q50" s="636" t="e">
        <f>Q45*$E$51/1000000</f>
        <v>#N/A</v>
      </c>
      <c r="R50" s="636" t="e">
        <f t="shared" ref="R50:W50" si="13">R45*$E$51/1000000</f>
        <v>#N/A</v>
      </c>
      <c r="S50" s="636" t="e">
        <f t="shared" si="13"/>
        <v>#N/A</v>
      </c>
      <c r="T50" s="636" t="e">
        <f t="shared" si="13"/>
        <v>#N/A</v>
      </c>
      <c r="U50" s="636">
        <f t="shared" si="13"/>
        <v>0</v>
      </c>
      <c r="V50" s="636">
        <f t="shared" si="13"/>
        <v>0</v>
      </c>
      <c r="W50" s="643">
        <f t="shared" si="13"/>
        <v>0</v>
      </c>
    </row>
    <row r="51" spans="2:23" ht="13.5" thickBot="1">
      <c r="B51" s="644"/>
      <c r="C51" s="645" t="s">
        <v>213</v>
      </c>
      <c r="D51" s="646"/>
      <c r="E51" s="647">
        <f>'[8]SM - Qty'!W51</f>
        <v>1168.7999291418462</v>
      </c>
      <c r="F51" s="647" t="e">
        <f t="shared" ref="F51:M51" si="14">F50/F45*1000000</f>
        <v>#N/A</v>
      </c>
      <c r="G51" s="647" t="e">
        <f t="shared" si="14"/>
        <v>#N/A</v>
      </c>
      <c r="H51" s="647" t="e">
        <f t="shared" si="14"/>
        <v>#N/A</v>
      </c>
      <c r="I51" s="647" t="e">
        <f t="shared" si="14"/>
        <v>#N/A</v>
      </c>
      <c r="J51" s="647" t="e">
        <f t="shared" si="14"/>
        <v>#N/A</v>
      </c>
      <c r="K51" s="647" t="e">
        <f t="shared" si="14"/>
        <v>#N/A</v>
      </c>
      <c r="L51" s="647" t="e">
        <f t="shared" si="14"/>
        <v>#N/A</v>
      </c>
      <c r="M51" s="647" t="e">
        <f t="shared" si="14"/>
        <v>#N/A</v>
      </c>
      <c r="N51" s="647" t="e">
        <f>N50/N45*1000000</f>
        <v>#N/A</v>
      </c>
      <c r="O51" s="647" t="e">
        <f>O50/O45*1000000</f>
        <v>#N/A</v>
      </c>
      <c r="P51" s="647" t="e">
        <f>P50/P45*1000000</f>
        <v>#N/A</v>
      </c>
      <c r="Q51" s="647" t="e">
        <f t="shared" ref="Q51:W51" si="15">Q50/Q45*1000000</f>
        <v>#N/A</v>
      </c>
      <c r="R51" s="647" t="e">
        <f t="shared" si="15"/>
        <v>#N/A</v>
      </c>
      <c r="S51" s="647" t="e">
        <f t="shared" si="15"/>
        <v>#N/A</v>
      </c>
      <c r="T51" s="647" t="e">
        <f t="shared" si="15"/>
        <v>#N/A</v>
      </c>
      <c r="U51" s="647" t="e">
        <f t="shared" si="15"/>
        <v>#DIV/0!</v>
      </c>
      <c r="V51" s="647" t="e">
        <f t="shared" si="15"/>
        <v>#DIV/0!</v>
      </c>
      <c r="W51" s="648" t="e">
        <f t="shared" si="15"/>
        <v>#DIV/0!</v>
      </c>
    </row>
    <row r="52" spans="2:23">
      <c r="B52" s="637" t="s">
        <v>212</v>
      </c>
      <c r="C52" s="638" t="s">
        <v>205</v>
      </c>
      <c r="D52" s="639"/>
      <c r="E52" s="640">
        <f>'[8]SM - Qty'!W52</f>
        <v>0</v>
      </c>
      <c r="F52" s="640" t="e">
        <f>'Prod &amp; Defects - Qty'!G10*'SM - Qty'!$E$52</f>
        <v>#N/A</v>
      </c>
      <c r="G52" s="640" t="e">
        <f>'Prod &amp; Defects - Qty'!H10*'SM - Qty'!$E$52</f>
        <v>#N/A</v>
      </c>
      <c r="H52" s="640" t="e">
        <f>'Prod &amp; Defects - Qty'!I10*'SM - Qty'!$E$52</f>
        <v>#N/A</v>
      </c>
      <c r="I52" s="640" t="e">
        <f>'Prod &amp; Defects - Qty'!J10*'SM - Qty'!$E$52</f>
        <v>#N/A</v>
      </c>
      <c r="J52" s="640" t="e">
        <f>'Prod &amp; Defects - Qty'!K10*'SM - Qty'!$E$52</f>
        <v>#N/A</v>
      </c>
      <c r="K52" s="640" t="e">
        <f>'Prod &amp; Defects - Qty'!L10*'SM - Qty'!$E$52</f>
        <v>#N/A</v>
      </c>
      <c r="L52" s="640" t="e">
        <f>'Prod &amp; Defects - Qty'!M10*'SM - Qty'!$E$52</f>
        <v>#N/A</v>
      </c>
      <c r="M52" s="640" t="e">
        <f>'Prod &amp; Defects - Qty'!N10*'SM - Qty'!$E$52</f>
        <v>#N/A</v>
      </c>
      <c r="N52" s="640" t="e">
        <f>'Prod &amp; Defects - Qty'!O10*'SM - Qty'!$E$52</f>
        <v>#N/A</v>
      </c>
      <c r="O52" s="640" t="e">
        <f>'Prod &amp; Defects - Qty'!P10*'SM - Qty'!$E$52</f>
        <v>#N/A</v>
      </c>
      <c r="P52" s="640" t="e">
        <f>'Prod &amp; Defects - Qty'!Q10*'SM - Qty'!$E$52</f>
        <v>#N/A</v>
      </c>
      <c r="Q52" s="640" t="e">
        <f>'Prod &amp; Defects - Qty'!R10*'SM - Qty'!$E$52</f>
        <v>#N/A</v>
      </c>
      <c r="R52" s="640" t="e">
        <f>'Prod &amp; Defects - Qty'!S10*'SM - Qty'!$E$52</f>
        <v>#N/A</v>
      </c>
      <c r="S52" s="640" t="e">
        <f>'Prod &amp; Defects - Qty'!T10*'SM - Qty'!$E$52</f>
        <v>#N/A</v>
      </c>
      <c r="T52" s="640" t="e">
        <f>'Prod &amp; Defects - Qty'!U10*'SM - Qty'!$E$52</f>
        <v>#N/A</v>
      </c>
      <c r="U52" s="640">
        <f>'Prod &amp; Defects - Qty'!V10*'SM - Qty'!$E$52</f>
        <v>0</v>
      </c>
      <c r="V52" s="640">
        <f>'Prod &amp; Defects - Qty'!W10*'SM - Qty'!$E$52</f>
        <v>0</v>
      </c>
      <c r="W52" s="641">
        <f>'Prod &amp; Defects - Qty'!X10*'SM - Qty'!$E$52</f>
        <v>0</v>
      </c>
    </row>
    <row r="53" spans="2:23">
      <c r="B53" s="642"/>
      <c r="C53" s="634" t="s">
        <v>209</v>
      </c>
      <c r="D53" s="635"/>
      <c r="E53" s="636">
        <f>'[8]SM - Qty'!W53</f>
        <v>8</v>
      </c>
      <c r="F53" s="636"/>
      <c r="G53" s="636"/>
      <c r="H53" s="636"/>
      <c r="I53" s="636"/>
      <c r="J53" s="636"/>
      <c r="K53" s="636"/>
      <c r="L53" s="636"/>
      <c r="M53" s="636"/>
      <c r="N53" s="636"/>
      <c r="O53" s="636"/>
      <c r="P53" s="636"/>
      <c r="Q53" s="636"/>
      <c r="R53" s="636"/>
      <c r="S53" s="636"/>
      <c r="T53" s="636"/>
      <c r="U53" s="636"/>
      <c r="V53" s="636"/>
      <c r="W53" s="643"/>
    </row>
    <row r="54" spans="2:23">
      <c r="B54" s="642"/>
      <c r="C54" s="634" t="s">
        <v>97</v>
      </c>
      <c r="D54" s="635"/>
      <c r="E54" s="636">
        <f>'[8]SM - Qty'!W54</f>
        <v>156</v>
      </c>
      <c r="F54" s="636"/>
      <c r="G54" s="636"/>
      <c r="H54" s="636"/>
      <c r="I54" s="636"/>
      <c r="J54" s="636"/>
      <c r="K54" s="636"/>
      <c r="L54" s="636"/>
      <c r="M54" s="636"/>
      <c r="N54" s="636"/>
      <c r="O54" s="636"/>
      <c r="P54" s="636"/>
      <c r="Q54" s="636"/>
      <c r="R54" s="636"/>
      <c r="S54" s="636"/>
      <c r="T54" s="636"/>
      <c r="U54" s="636"/>
      <c r="V54" s="636"/>
      <c r="W54" s="643"/>
    </row>
    <row r="55" spans="2:23">
      <c r="B55" s="642"/>
      <c r="C55" s="634" t="s">
        <v>210</v>
      </c>
      <c r="D55" s="635"/>
      <c r="E55" s="636">
        <f>'[8]SM - Qty'!W55</f>
        <v>770</v>
      </c>
      <c r="F55" s="636"/>
      <c r="G55" s="636"/>
      <c r="H55" s="636"/>
      <c r="I55" s="636"/>
      <c r="J55" s="636"/>
      <c r="K55" s="636"/>
      <c r="L55" s="636"/>
      <c r="M55" s="636"/>
      <c r="N55" s="636"/>
      <c r="O55" s="636"/>
      <c r="P55" s="636"/>
      <c r="Q55" s="636"/>
      <c r="R55" s="636"/>
      <c r="S55" s="636"/>
      <c r="T55" s="636"/>
      <c r="U55" s="636"/>
      <c r="V55" s="636"/>
      <c r="W55" s="643"/>
    </row>
    <row r="56" spans="2:23">
      <c r="B56" s="642"/>
      <c r="C56" s="634" t="s">
        <v>211</v>
      </c>
      <c r="D56" s="635"/>
      <c r="E56" s="636">
        <f>'[8]SM - Qty'!W56</f>
        <v>24</v>
      </c>
      <c r="F56" s="636"/>
      <c r="G56" s="636"/>
      <c r="H56" s="636"/>
      <c r="I56" s="636"/>
      <c r="J56" s="636"/>
      <c r="K56" s="636"/>
      <c r="L56" s="636"/>
      <c r="M56" s="636"/>
      <c r="N56" s="636"/>
      <c r="O56" s="636"/>
      <c r="P56" s="636"/>
      <c r="Q56" s="636"/>
      <c r="R56" s="636"/>
      <c r="S56" s="636"/>
      <c r="T56" s="636"/>
      <c r="U56" s="636"/>
      <c r="V56" s="636"/>
      <c r="W56" s="643"/>
    </row>
    <row r="57" spans="2:23">
      <c r="B57" s="642"/>
      <c r="C57" s="634" t="s">
        <v>1</v>
      </c>
      <c r="D57" s="635"/>
      <c r="E57" s="636">
        <f>'[8]SM - Qty'!W57</f>
        <v>958</v>
      </c>
      <c r="F57" s="636" t="e">
        <f t="shared" ref="F57:M57" si="16">F52*$E$58/1000000</f>
        <v>#N/A</v>
      </c>
      <c r="G57" s="636" t="e">
        <f t="shared" si="16"/>
        <v>#N/A</v>
      </c>
      <c r="H57" s="636" t="e">
        <f t="shared" si="16"/>
        <v>#N/A</v>
      </c>
      <c r="I57" s="636" t="e">
        <f t="shared" si="16"/>
        <v>#N/A</v>
      </c>
      <c r="J57" s="636" t="e">
        <f t="shared" si="16"/>
        <v>#N/A</v>
      </c>
      <c r="K57" s="636" t="e">
        <f t="shared" si="16"/>
        <v>#N/A</v>
      </c>
      <c r="L57" s="636" t="e">
        <f t="shared" si="16"/>
        <v>#N/A</v>
      </c>
      <c r="M57" s="636" t="e">
        <f t="shared" si="16"/>
        <v>#N/A</v>
      </c>
      <c r="N57" s="636" t="e">
        <f>N52*$E$58/1000000</f>
        <v>#N/A</v>
      </c>
      <c r="O57" s="636" t="e">
        <f>O52*$E$58/1000000</f>
        <v>#N/A</v>
      </c>
      <c r="P57" s="636" t="e">
        <f>P52*$E$58/1000000</f>
        <v>#N/A</v>
      </c>
      <c r="Q57" s="636" t="e">
        <f>Q52*$E$58/1000000</f>
        <v>#N/A</v>
      </c>
      <c r="R57" s="636" t="e">
        <f t="shared" ref="R57:W57" si="17">R52*$E$58/1000000</f>
        <v>#N/A</v>
      </c>
      <c r="S57" s="636" t="e">
        <f t="shared" si="17"/>
        <v>#N/A</v>
      </c>
      <c r="T57" s="636" t="e">
        <f t="shared" si="17"/>
        <v>#N/A</v>
      </c>
      <c r="U57" s="636">
        <f t="shared" si="17"/>
        <v>0</v>
      </c>
      <c r="V57" s="636">
        <f t="shared" si="17"/>
        <v>0</v>
      </c>
      <c r="W57" s="643">
        <f t="shared" si="17"/>
        <v>0</v>
      </c>
    </row>
    <row r="58" spans="2:23" ht="13.5" thickBot="1">
      <c r="B58" s="644"/>
      <c r="C58" s="645" t="s">
        <v>213</v>
      </c>
      <c r="D58" s="646"/>
      <c r="E58" s="647">
        <f>'[8]SM - Qty'!W58</f>
        <v>957.79520971522311</v>
      </c>
      <c r="F58" s="647" t="e">
        <f t="shared" ref="F58:M58" si="18">F57/F52*1000000</f>
        <v>#N/A</v>
      </c>
      <c r="G58" s="647" t="e">
        <f t="shared" si="18"/>
        <v>#N/A</v>
      </c>
      <c r="H58" s="647" t="e">
        <f t="shared" si="18"/>
        <v>#N/A</v>
      </c>
      <c r="I58" s="647" t="e">
        <f t="shared" si="18"/>
        <v>#N/A</v>
      </c>
      <c r="J58" s="647" t="e">
        <f t="shared" si="18"/>
        <v>#N/A</v>
      </c>
      <c r="K58" s="647" t="e">
        <f t="shared" si="18"/>
        <v>#N/A</v>
      </c>
      <c r="L58" s="647" t="e">
        <f t="shared" si="18"/>
        <v>#N/A</v>
      </c>
      <c r="M58" s="647" t="e">
        <f t="shared" si="18"/>
        <v>#N/A</v>
      </c>
      <c r="N58" s="647" t="e">
        <f>N57/N52*1000000</f>
        <v>#N/A</v>
      </c>
      <c r="O58" s="647" t="e">
        <f>O57/O52*1000000</f>
        <v>#N/A</v>
      </c>
      <c r="P58" s="647" t="e">
        <f>P57/P52*1000000</f>
        <v>#N/A</v>
      </c>
      <c r="Q58" s="647" t="e">
        <f t="shared" ref="Q58:W58" si="19">Q57/Q52*1000000</f>
        <v>#N/A</v>
      </c>
      <c r="R58" s="647" t="e">
        <f t="shared" si="19"/>
        <v>#N/A</v>
      </c>
      <c r="S58" s="647" t="e">
        <f t="shared" si="19"/>
        <v>#N/A</v>
      </c>
      <c r="T58" s="647" t="e">
        <f t="shared" si="19"/>
        <v>#N/A</v>
      </c>
      <c r="U58" s="647" t="e">
        <f t="shared" si="19"/>
        <v>#DIV/0!</v>
      </c>
      <c r="V58" s="647" t="e">
        <f t="shared" si="19"/>
        <v>#DIV/0!</v>
      </c>
      <c r="W58" s="648" t="e">
        <f t="shared" si="19"/>
        <v>#DIV/0!</v>
      </c>
    </row>
    <row r="59" spans="2:23">
      <c r="B59" s="637" t="s">
        <v>233</v>
      </c>
      <c r="C59" s="638" t="s">
        <v>205</v>
      </c>
      <c r="D59" s="639"/>
      <c r="E59" s="640">
        <f>'[8]SM - Qty'!W59</f>
        <v>0</v>
      </c>
      <c r="F59" s="640"/>
      <c r="G59" s="640"/>
      <c r="H59" s="640"/>
      <c r="I59" s="640"/>
      <c r="J59" s="640"/>
      <c r="K59" s="640"/>
      <c r="L59" s="640"/>
      <c r="M59" s="640"/>
      <c r="N59" s="640"/>
      <c r="O59" s="640"/>
      <c r="P59" s="640"/>
      <c r="Q59" s="640"/>
      <c r="R59" s="640"/>
      <c r="S59" s="640"/>
      <c r="T59" s="640"/>
      <c r="U59" s="640"/>
      <c r="V59" s="640"/>
      <c r="W59" s="641"/>
    </row>
    <row r="60" spans="2:23">
      <c r="B60" s="642"/>
      <c r="C60" s="634" t="s">
        <v>209</v>
      </c>
      <c r="D60" s="635"/>
      <c r="E60" s="636">
        <f>'[8]SM - Qty'!W60</f>
        <v>10</v>
      </c>
      <c r="F60" s="636"/>
      <c r="G60" s="636"/>
      <c r="H60" s="636"/>
      <c r="I60" s="636"/>
      <c r="J60" s="636"/>
      <c r="K60" s="636"/>
      <c r="L60" s="636"/>
      <c r="M60" s="636"/>
      <c r="N60" s="636"/>
      <c r="O60" s="636"/>
      <c r="P60" s="636"/>
      <c r="Q60" s="636"/>
      <c r="R60" s="636"/>
      <c r="S60" s="636"/>
      <c r="T60" s="636"/>
      <c r="U60" s="636"/>
      <c r="V60" s="636"/>
      <c r="W60" s="643"/>
    </row>
    <row r="61" spans="2:23">
      <c r="B61" s="642"/>
      <c r="C61" s="634" t="s">
        <v>97</v>
      </c>
      <c r="D61" s="635"/>
      <c r="E61" s="636">
        <f>'[8]SM - Qty'!W61</f>
        <v>8</v>
      </c>
      <c r="F61" s="636"/>
      <c r="G61" s="636"/>
      <c r="H61" s="636"/>
      <c r="I61" s="636"/>
      <c r="J61" s="636"/>
      <c r="K61" s="636"/>
      <c r="L61" s="636"/>
      <c r="M61" s="636"/>
      <c r="N61" s="636"/>
      <c r="O61" s="636"/>
      <c r="P61" s="636"/>
      <c r="Q61" s="636"/>
      <c r="R61" s="636"/>
      <c r="S61" s="636"/>
      <c r="T61" s="636"/>
      <c r="U61" s="636"/>
      <c r="V61" s="636"/>
      <c r="W61" s="643"/>
    </row>
    <row r="62" spans="2:23">
      <c r="B62" s="642"/>
      <c r="C62" s="634" t="s">
        <v>210</v>
      </c>
      <c r="D62" s="635"/>
      <c r="E62" s="636">
        <f>'[8]SM - Qty'!W62</f>
        <v>682</v>
      </c>
      <c r="F62" s="636"/>
      <c r="G62" s="636"/>
      <c r="H62" s="636"/>
      <c r="I62" s="636"/>
      <c r="J62" s="636"/>
      <c r="K62" s="636"/>
      <c r="L62" s="636"/>
      <c r="M62" s="636"/>
      <c r="N62" s="636"/>
      <c r="O62" s="636"/>
      <c r="P62" s="636"/>
      <c r="Q62" s="636"/>
      <c r="R62" s="636"/>
      <c r="S62" s="636"/>
      <c r="T62" s="636"/>
      <c r="U62" s="636"/>
      <c r="V62" s="636"/>
      <c r="W62" s="643"/>
    </row>
    <row r="63" spans="2:23">
      <c r="B63" s="642"/>
      <c r="C63" s="634" t="s">
        <v>211</v>
      </c>
      <c r="D63" s="635"/>
      <c r="E63" s="636">
        <f>'[8]SM - Qty'!W63</f>
        <v>2</v>
      </c>
      <c r="F63" s="636"/>
      <c r="G63" s="636"/>
      <c r="H63" s="636"/>
      <c r="I63" s="636"/>
      <c r="J63" s="636"/>
      <c r="K63" s="636"/>
      <c r="L63" s="636"/>
      <c r="M63" s="636"/>
      <c r="N63" s="636"/>
      <c r="O63" s="636"/>
      <c r="P63" s="636"/>
      <c r="Q63" s="636"/>
      <c r="R63" s="636"/>
      <c r="S63" s="636"/>
      <c r="T63" s="636"/>
      <c r="U63" s="636"/>
      <c r="V63" s="636"/>
      <c r="W63" s="643"/>
    </row>
    <row r="64" spans="2:23">
      <c r="B64" s="642"/>
      <c r="C64" s="634" t="s">
        <v>1</v>
      </c>
      <c r="D64" s="635"/>
      <c r="E64" s="636">
        <f>'[8]SM - Qty'!W64</f>
        <v>701</v>
      </c>
      <c r="F64" s="636"/>
      <c r="G64" s="636"/>
      <c r="H64" s="636"/>
      <c r="I64" s="636"/>
      <c r="J64" s="636"/>
      <c r="K64" s="636"/>
      <c r="L64" s="636"/>
      <c r="M64" s="636"/>
      <c r="N64" s="636"/>
      <c r="O64" s="636"/>
      <c r="P64" s="636"/>
      <c r="Q64" s="636"/>
      <c r="R64" s="636"/>
      <c r="S64" s="636"/>
      <c r="T64" s="636"/>
      <c r="U64" s="636"/>
      <c r="V64" s="636"/>
      <c r="W64" s="643"/>
    </row>
    <row r="65" spans="2:23" ht="13.5" thickBot="1">
      <c r="B65" s="644"/>
      <c r="C65" s="645" t="s">
        <v>213</v>
      </c>
      <c r="D65" s="646"/>
      <c r="E65" s="647">
        <f>'[8]SM - Qty'!W65</f>
        <v>701.48115779006514</v>
      </c>
      <c r="F65" s="647"/>
      <c r="G65" s="647"/>
      <c r="H65" s="647"/>
      <c r="I65" s="647"/>
      <c r="J65" s="647"/>
      <c r="K65" s="647"/>
      <c r="L65" s="647"/>
      <c r="M65" s="647"/>
      <c r="N65" s="647"/>
      <c r="O65" s="647"/>
      <c r="P65" s="647"/>
      <c r="Q65" s="647"/>
      <c r="R65" s="647"/>
      <c r="S65" s="647"/>
      <c r="T65" s="647"/>
      <c r="U65" s="647"/>
      <c r="V65" s="647"/>
      <c r="W65" s="648"/>
    </row>
  </sheetData>
  <mergeCells count="12">
    <mergeCell ref="B22:B25"/>
    <mergeCell ref="B26:B29"/>
    <mergeCell ref="B31:B34"/>
    <mergeCell ref="B36:B40"/>
    <mergeCell ref="A1:E1"/>
    <mergeCell ref="B4:D4"/>
    <mergeCell ref="C5:D5"/>
    <mergeCell ref="A6:A41"/>
    <mergeCell ref="B6:B9"/>
    <mergeCell ref="B10:B13"/>
    <mergeCell ref="B14:B17"/>
    <mergeCell ref="B18:B21"/>
  </mergeCells>
  <phoneticPr fontId="18" type="noConversion"/>
  <printOptions gridLinesSet="0"/>
  <pageMargins left="0.78740157480314965" right="0.19685039370078741" top="0.59055118110236227" bottom="0.59055118110236227" header="0.51181102362204722" footer="0.31496062992125984"/>
  <pageSetup paperSize="9" orientation="portrait" r:id="rId1"/>
  <headerFooter alignWithMargins="0">
    <oddFooter>&amp;L&amp;A&amp;R&amp;F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>
    <tabColor indexed="56"/>
    <pageSetUpPr fitToPage="1"/>
  </sheetPr>
  <dimension ref="A1:W47"/>
  <sheetViews>
    <sheetView showGridLines="0" topLeftCell="A27" zoomScale="98" zoomScaleNormal="98" workbookViewId="0">
      <selection activeCell="H13" sqref="H13"/>
    </sheetView>
  </sheetViews>
  <sheetFormatPr defaultColWidth="11.42578125" defaultRowHeight="12.75"/>
  <cols>
    <col min="1" max="1" width="4.7109375" style="82" customWidth="1"/>
    <col min="2" max="2" width="10.85546875" style="82" bestFit="1" customWidth="1"/>
    <col min="3" max="3" width="11.7109375" style="82" bestFit="1" customWidth="1"/>
    <col min="4" max="4" width="10.5703125" style="82" bestFit="1" customWidth="1"/>
    <col min="5" max="5" width="10.140625" style="82" bestFit="1" customWidth="1"/>
    <col min="6" max="16384" width="11.42578125" style="82"/>
  </cols>
  <sheetData>
    <row r="1" spans="1:23" ht="18" customHeight="1">
      <c r="A1" s="771" t="s">
        <v>112</v>
      </c>
      <c r="B1" s="771"/>
      <c r="C1" s="771"/>
      <c r="D1" s="771"/>
      <c r="E1" s="771"/>
    </row>
    <row r="2" spans="1:23" ht="18" customHeight="1"/>
    <row r="3" spans="1:23" ht="9.9499999999999993" customHeight="1" thickBot="1"/>
    <row r="4" spans="1:23" ht="38.25">
      <c r="A4" s="83"/>
      <c r="B4" s="816" t="s">
        <v>57</v>
      </c>
      <c r="C4" s="817"/>
      <c r="D4" s="818"/>
      <c r="E4" s="573" t="s">
        <v>218</v>
      </c>
      <c r="F4" s="84" t="s">
        <v>91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 t="s">
        <v>175</v>
      </c>
      <c r="S4" s="84"/>
      <c r="T4" s="84" t="s">
        <v>173</v>
      </c>
      <c r="U4" s="84"/>
      <c r="V4" s="84" t="s">
        <v>1</v>
      </c>
      <c r="W4" s="84"/>
    </row>
    <row r="5" spans="1:23" ht="13.5" thickBot="1">
      <c r="A5" s="142"/>
      <c r="B5" s="143" t="s">
        <v>111</v>
      </c>
      <c r="C5" s="819" t="s">
        <v>50</v>
      </c>
      <c r="D5" s="820"/>
      <c r="E5" s="143">
        <f>'BLIND-PVC-PRE - Cost'!E5</f>
        <v>2020</v>
      </c>
      <c r="F5" s="170">
        <f>'Falhas UM-1 - Qty'!F5</f>
        <v>43922</v>
      </c>
      <c r="G5" s="170">
        <f>'Falhas UM-1 - Qty'!G5</f>
        <v>43952</v>
      </c>
      <c r="H5" s="170">
        <f>'Falhas UM-1 - Qty'!H5</f>
        <v>43983</v>
      </c>
      <c r="I5" s="170">
        <f>'Falhas UM-1 - Qty'!I5</f>
        <v>44013</v>
      </c>
      <c r="J5" s="170">
        <f>'Falhas UM-1 - Qty'!J5</f>
        <v>44044</v>
      </c>
      <c r="K5" s="170">
        <f>'Falhas UM-1 - Qty'!K5</f>
        <v>44075</v>
      </c>
      <c r="L5" s="170">
        <f>'Falhas UM-1 - Qty'!L5</f>
        <v>44105</v>
      </c>
      <c r="M5" s="170">
        <f>'Falhas UM-1 - Qty'!M5</f>
        <v>44136</v>
      </c>
      <c r="N5" s="170">
        <f>'Falhas UM-1 - Qty'!N5</f>
        <v>44166</v>
      </c>
      <c r="O5" s="170">
        <f>'Falhas UM-1 - Qty'!O5</f>
        <v>44197</v>
      </c>
      <c r="P5" s="170">
        <f>'Falhas UM-1 - Qty'!P5</f>
        <v>44228</v>
      </c>
      <c r="Q5" s="170">
        <f>'Falhas UM-1 - Qty'!Q5</f>
        <v>44256</v>
      </c>
      <c r="R5" s="143" t="s">
        <v>90</v>
      </c>
      <c r="S5" s="143" t="s">
        <v>48</v>
      </c>
      <c r="T5" s="143" t="s">
        <v>90</v>
      </c>
      <c r="U5" s="143" t="s">
        <v>48</v>
      </c>
      <c r="V5" s="143" t="s">
        <v>90</v>
      </c>
      <c r="W5" s="143" t="s">
        <v>48</v>
      </c>
    </row>
    <row r="6" spans="1:23" ht="18" customHeight="1" thickTop="1">
      <c r="A6" s="821" t="s">
        <v>108</v>
      </c>
      <c r="B6" s="822">
        <v>6010</v>
      </c>
      <c r="C6" s="144" t="s">
        <v>107</v>
      </c>
      <c r="D6" s="144" t="s">
        <v>98</v>
      </c>
      <c r="E6" s="171">
        <f>'[4]Falhas SM'!I6</f>
        <v>15</v>
      </c>
      <c r="F6" s="171" t="e">
        <f>$E6/1000*'SM - Qty'!F6</f>
        <v>#N/A</v>
      </c>
      <c r="G6" s="171" t="e">
        <f>$E6/1000*'SM - Qty'!G6</f>
        <v>#N/A</v>
      </c>
      <c r="H6" s="171" t="e">
        <f>$E6/1000*'SM - Qty'!H6</f>
        <v>#N/A</v>
      </c>
      <c r="I6" s="171" t="e">
        <f>$E6/1000*'SM - Qty'!I6</f>
        <v>#N/A</v>
      </c>
      <c r="J6" s="171" t="e">
        <f>$E6/1000*'SM - Qty'!J6</f>
        <v>#N/A</v>
      </c>
      <c r="K6" s="171" t="e">
        <f>$E6/1000*'SM - Qty'!K6</f>
        <v>#N/A</v>
      </c>
      <c r="L6" s="171" t="e">
        <f>$E6/1000*'SM - Qty'!L6</f>
        <v>#N/A</v>
      </c>
      <c r="M6" s="171" t="e">
        <f>$E6/1000*'SM - Qty'!M6</f>
        <v>#N/A</v>
      </c>
      <c r="N6" s="171" t="e">
        <f>$E6/1000*'SM - Qty'!N6</f>
        <v>#N/A</v>
      </c>
      <c r="O6" s="171" t="e">
        <f>$E6/1000*'SM - Qty'!O6</f>
        <v>#N/A</v>
      </c>
      <c r="P6" s="171" t="e">
        <f>$E6/1000*'SM - Qty'!P6</f>
        <v>#N/A</v>
      </c>
      <c r="Q6" s="171" t="e">
        <f>$E6/1000*'SM - Qty'!Q6</f>
        <v>#N/A</v>
      </c>
      <c r="R6" s="171" t="e">
        <f>SUM(F6:K6)</f>
        <v>#N/A</v>
      </c>
      <c r="S6" s="145"/>
      <c r="T6" s="171" t="e">
        <f>SUM(L6:Q6)</f>
        <v>#N/A</v>
      </c>
      <c r="U6" s="145"/>
      <c r="V6" s="171" t="e">
        <f>R6+T6</f>
        <v>#N/A</v>
      </c>
      <c r="W6" s="145"/>
    </row>
    <row r="7" spans="1:23" ht="18" customHeight="1">
      <c r="A7" s="783"/>
      <c r="B7" s="814"/>
      <c r="C7" s="146"/>
      <c r="D7" s="146" t="s">
        <v>97</v>
      </c>
      <c r="E7" s="172">
        <f>'[4]Falhas SM'!I7</f>
        <v>20.535</v>
      </c>
      <c r="F7" s="172" t="e">
        <f>$E7/1000*'SM - Qty'!F7</f>
        <v>#N/A</v>
      </c>
      <c r="G7" s="172" t="e">
        <f>$E7/1000*'SM - Qty'!G7</f>
        <v>#N/A</v>
      </c>
      <c r="H7" s="172" t="e">
        <f>$E7/1000*'SM - Qty'!H7</f>
        <v>#N/A</v>
      </c>
      <c r="I7" s="172" t="e">
        <f>$E7/1000*'SM - Qty'!I7</f>
        <v>#N/A</v>
      </c>
      <c r="J7" s="172" t="e">
        <f>$E7/1000*'SM - Qty'!J7</f>
        <v>#N/A</v>
      </c>
      <c r="K7" s="172" t="e">
        <f>$E7/1000*'SM - Qty'!K7</f>
        <v>#N/A</v>
      </c>
      <c r="L7" s="172" t="e">
        <f>$E7/1000*'SM - Qty'!L7</f>
        <v>#N/A</v>
      </c>
      <c r="M7" s="172" t="e">
        <f>$E7/1000*'SM - Qty'!M7</f>
        <v>#N/A</v>
      </c>
      <c r="N7" s="172" t="e">
        <f>$E7/1000*'SM - Qty'!N7</f>
        <v>#N/A</v>
      </c>
      <c r="O7" s="172" t="e">
        <f>$E7/1000*'SM - Qty'!O7</f>
        <v>#N/A</v>
      </c>
      <c r="P7" s="172" t="e">
        <f>$E7/1000*'SM - Qty'!P7</f>
        <v>#N/A</v>
      </c>
      <c r="Q7" s="172" t="e">
        <f>$E7/1000*'SM - Qty'!Q7</f>
        <v>#N/A</v>
      </c>
      <c r="R7" s="172" t="e">
        <f>SUM(F7:K7)</f>
        <v>#N/A</v>
      </c>
      <c r="S7" s="101"/>
      <c r="T7" s="172" t="e">
        <f>SUM(L7:Q7)</f>
        <v>#N/A</v>
      </c>
      <c r="U7" s="101"/>
      <c r="V7" s="732" t="e">
        <f>R7+T7</f>
        <v>#N/A</v>
      </c>
      <c r="W7" s="101"/>
    </row>
    <row r="8" spans="1:23" ht="18" customHeight="1">
      <c r="A8" s="783"/>
      <c r="B8" s="814"/>
      <c r="C8" s="146"/>
      <c r="D8" s="146" t="s">
        <v>96</v>
      </c>
      <c r="E8" s="172">
        <f>'[4]Falhas SM'!I8</f>
        <v>662.85928000000001</v>
      </c>
      <c r="F8" s="172" t="e">
        <f>$E8/1000*'SM - Qty'!F8</f>
        <v>#N/A</v>
      </c>
      <c r="G8" s="172" t="e">
        <f>$E8/1000*'SM - Qty'!G8</f>
        <v>#N/A</v>
      </c>
      <c r="H8" s="172" t="e">
        <f>$E8/1000*'SM - Qty'!H8</f>
        <v>#N/A</v>
      </c>
      <c r="I8" s="172" t="e">
        <f>$E8/1000*'SM - Qty'!I8</f>
        <v>#N/A</v>
      </c>
      <c r="J8" s="172" t="e">
        <f>$E8/1000*'SM - Qty'!J8</f>
        <v>#N/A</v>
      </c>
      <c r="K8" s="172" t="e">
        <f>$E8/1000*'SM - Qty'!K8</f>
        <v>#N/A</v>
      </c>
      <c r="L8" s="172" t="e">
        <f>$E8/1000*'SM - Qty'!L8</f>
        <v>#N/A</v>
      </c>
      <c r="M8" s="172" t="e">
        <f>$E8/1000*'SM - Qty'!M8</f>
        <v>#N/A</v>
      </c>
      <c r="N8" s="172" t="e">
        <f>$E8/1000*'SM - Qty'!N8</f>
        <v>#N/A</v>
      </c>
      <c r="O8" s="172" t="e">
        <f>$E8/1000*'SM - Qty'!O8</f>
        <v>#N/A</v>
      </c>
      <c r="P8" s="172" t="e">
        <f>$E8/1000*'SM - Qty'!P8</f>
        <v>#N/A</v>
      </c>
      <c r="Q8" s="172" t="e">
        <f>$E8/1000*'SM - Qty'!Q8</f>
        <v>#N/A</v>
      </c>
      <c r="R8" s="172" t="e">
        <f>SUM(F8:K8)</f>
        <v>#N/A</v>
      </c>
      <c r="S8" s="101"/>
      <c r="T8" s="172" t="e">
        <f>SUM(L8:Q8)</f>
        <v>#N/A</v>
      </c>
      <c r="U8" s="101"/>
      <c r="V8" s="732" t="e">
        <f>R8+T8</f>
        <v>#N/A</v>
      </c>
      <c r="W8" s="101"/>
    </row>
    <row r="9" spans="1:23" ht="18" customHeight="1">
      <c r="A9" s="783"/>
      <c r="B9" s="814"/>
      <c r="C9" s="147" t="s">
        <v>92</v>
      </c>
      <c r="D9" s="147"/>
      <c r="E9" s="173"/>
      <c r="F9" s="173" t="e">
        <f>SUBTOTAL(9,F6:F8)</f>
        <v>#N/A</v>
      </c>
      <c r="G9" s="173" t="e">
        <f t="shared" ref="G9:V9" si="0">SUBTOTAL(9,G6:G8)</f>
        <v>#N/A</v>
      </c>
      <c r="H9" s="173" t="e">
        <f t="shared" si="0"/>
        <v>#N/A</v>
      </c>
      <c r="I9" s="173" t="e">
        <f t="shared" si="0"/>
        <v>#N/A</v>
      </c>
      <c r="J9" s="173" t="e">
        <f t="shared" si="0"/>
        <v>#N/A</v>
      </c>
      <c r="K9" s="173" t="e">
        <f t="shared" si="0"/>
        <v>#N/A</v>
      </c>
      <c r="L9" s="173" t="e">
        <f t="shared" si="0"/>
        <v>#N/A</v>
      </c>
      <c r="M9" s="173" t="e">
        <f t="shared" si="0"/>
        <v>#N/A</v>
      </c>
      <c r="N9" s="173" t="e">
        <f t="shared" si="0"/>
        <v>#N/A</v>
      </c>
      <c r="O9" s="173" t="e">
        <f t="shared" si="0"/>
        <v>#N/A</v>
      </c>
      <c r="P9" s="173" t="e">
        <f t="shared" si="0"/>
        <v>#N/A</v>
      </c>
      <c r="Q9" s="173" t="e">
        <f t="shared" si="0"/>
        <v>#N/A</v>
      </c>
      <c r="R9" s="173" t="e">
        <f t="shared" si="0"/>
        <v>#N/A</v>
      </c>
      <c r="S9" s="148"/>
      <c r="T9" s="173" t="e">
        <f t="shared" si="0"/>
        <v>#N/A</v>
      </c>
      <c r="U9" s="148"/>
      <c r="V9" s="731" t="e">
        <f t="shared" si="0"/>
        <v>#N/A</v>
      </c>
      <c r="W9" s="148"/>
    </row>
    <row r="10" spans="1:23" ht="18" customHeight="1">
      <c r="A10" s="783"/>
      <c r="B10" s="814">
        <v>6020</v>
      </c>
      <c r="C10" s="146" t="s">
        <v>106</v>
      </c>
      <c r="D10" s="146" t="s">
        <v>98</v>
      </c>
      <c r="E10" s="172">
        <f>'[4]Falhas SM'!I10</f>
        <v>10</v>
      </c>
      <c r="F10" s="172">
        <f>$E10/1000*'SM - Qty'!F10</f>
        <v>2.8706000000000002E-2</v>
      </c>
      <c r="G10" s="172">
        <f>$E10/1000*'SM - Qty'!G10</f>
        <v>2.8635600000000001E-2</v>
      </c>
      <c r="H10" s="172">
        <f>$E10/1000*'SM - Qty'!H10</f>
        <v>2.8433600000000003E-2</v>
      </c>
      <c r="I10" s="172">
        <f>$E10/1000*'SM - Qty'!I10</f>
        <v>2.9408400000000001E-2</v>
      </c>
      <c r="J10" s="172">
        <f>$E10/1000*'SM - Qty'!J10</f>
        <v>2.9408800000000006E-2</v>
      </c>
      <c r="K10" s="172">
        <f>$E10/1000*'SM - Qty'!K10</f>
        <v>3.4728800000000004E-2</v>
      </c>
      <c r="L10" s="172">
        <f>$E10/1000*'SM - Qty'!L10</f>
        <v>3.5476000000000001E-2</v>
      </c>
      <c r="M10" s="172">
        <f>$E10/1000*'SM - Qty'!M10</f>
        <v>3.5480600000000008E-2</v>
      </c>
      <c r="N10" s="172">
        <f>$E10/1000*'SM - Qty'!N10</f>
        <v>3.4770600000000006E-2</v>
      </c>
      <c r="O10" s="172">
        <f>$E10/1000*'SM - Qty'!O10</f>
        <v>2.4659600000000004E-2</v>
      </c>
      <c r="P10" s="172">
        <f>$E10/1000*'SM - Qty'!P10</f>
        <v>2.5088800000000001E-2</v>
      </c>
      <c r="Q10" s="172">
        <f>$E10/1000*'SM - Qty'!Q10</f>
        <v>3.0543600000000004E-2</v>
      </c>
      <c r="R10" s="172">
        <f>SUM(F10:K10)</f>
        <v>0.17932120000000001</v>
      </c>
      <c r="S10" s="101"/>
      <c r="T10" s="172">
        <f>SUM(L10:Q10)</f>
        <v>0.18601920000000002</v>
      </c>
      <c r="U10" s="101"/>
      <c r="V10" s="732">
        <f>R10+T10</f>
        <v>0.36534040000000001</v>
      </c>
      <c r="W10" s="101"/>
    </row>
    <row r="11" spans="1:23" ht="18" customHeight="1">
      <c r="A11" s="783"/>
      <c r="B11" s="814"/>
      <c r="C11" s="146"/>
      <c r="D11" s="146" t="s">
        <v>97</v>
      </c>
      <c r="E11" s="172">
        <f>'[4]Falhas SM'!I11</f>
        <v>20.22</v>
      </c>
      <c r="F11" s="172">
        <f>$E11/1000*'SM - Qty'!F11</f>
        <v>5.8043531999999995E-2</v>
      </c>
      <c r="G11" s="172">
        <f>$E11/1000*'SM - Qty'!G11</f>
        <v>5.7901183199999998E-2</v>
      </c>
      <c r="H11" s="172">
        <f>$E11/1000*'SM - Qty'!H11</f>
        <v>5.7492739199999997E-2</v>
      </c>
      <c r="I11" s="172">
        <f>$E11/1000*'SM - Qty'!I11</f>
        <v>5.9463784799999996E-2</v>
      </c>
      <c r="J11" s="172">
        <f>$E11/1000*'SM - Qty'!J11</f>
        <v>5.9464593600000004E-2</v>
      </c>
      <c r="K11" s="172">
        <f>$E11/1000*'SM - Qty'!K11</f>
        <v>7.02216336E-2</v>
      </c>
      <c r="L11" s="172">
        <f>$E11/1000*'SM - Qty'!L11</f>
        <v>7.1732471999999992E-2</v>
      </c>
      <c r="M11" s="172">
        <f>$E11/1000*'SM - Qty'!M11</f>
        <v>7.1741773199999997E-2</v>
      </c>
      <c r="N11" s="172">
        <f>$E11/1000*'SM - Qty'!N11</f>
        <v>7.0306153199999999E-2</v>
      </c>
      <c r="O11" s="172">
        <f>$E11/1000*'SM - Qty'!O11</f>
        <v>4.9861711200000006E-2</v>
      </c>
      <c r="P11" s="172">
        <f>$E11/1000*'SM - Qty'!P11</f>
        <v>5.0729553599999998E-2</v>
      </c>
      <c r="Q11" s="172">
        <f>$E11/1000*'SM - Qty'!Q11</f>
        <v>6.1759159200000004E-2</v>
      </c>
      <c r="R11" s="172">
        <f>SUM(F11:K11)</f>
        <v>0.3625874664</v>
      </c>
      <c r="S11" s="101"/>
      <c r="T11" s="172">
        <f>SUM(L11:Q11)</f>
        <v>0.37613082240000001</v>
      </c>
      <c r="U11" s="101"/>
      <c r="V11" s="732">
        <f>R11+T11</f>
        <v>0.73871828880000001</v>
      </c>
      <c r="W11" s="101"/>
    </row>
    <row r="12" spans="1:23" ht="18" customHeight="1">
      <c r="A12" s="783"/>
      <c r="B12" s="814"/>
      <c r="C12" s="146"/>
      <c r="D12" s="146" t="s">
        <v>96</v>
      </c>
      <c r="E12" s="172">
        <f>'[4]Falhas SM'!I12</f>
        <v>570</v>
      </c>
      <c r="F12" s="172">
        <f>$E12/1000*'SM - Qty'!F12</f>
        <v>0</v>
      </c>
      <c r="G12" s="172">
        <f>$E12/1000*'SM - Qty'!G12</f>
        <v>0</v>
      </c>
      <c r="H12" s="172">
        <f>$E12/1000*'SM - Qty'!H12</f>
        <v>0</v>
      </c>
      <c r="I12" s="172">
        <f>$E12/1000*'SM - Qty'!I12</f>
        <v>0</v>
      </c>
      <c r="J12" s="172">
        <f>$E12/1000*'SM - Qty'!J12</f>
        <v>0</v>
      </c>
      <c r="K12" s="172">
        <f>$E12/1000*'SM - Qty'!K12</f>
        <v>0</v>
      </c>
      <c r="L12" s="172">
        <f>$E12/1000*'SM - Qty'!L12</f>
        <v>0</v>
      </c>
      <c r="M12" s="172">
        <f>$E12/1000*'SM - Qty'!M12</f>
        <v>0</v>
      </c>
      <c r="N12" s="172">
        <f>$E12/1000*'SM - Qty'!N12</f>
        <v>0</v>
      </c>
      <c r="O12" s="172">
        <f>$E12/1000*'SM - Qty'!O12</f>
        <v>0</v>
      </c>
      <c r="P12" s="172">
        <f>$E12/1000*'SM - Qty'!P12</f>
        <v>0</v>
      </c>
      <c r="Q12" s="172">
        <f>$E12/1000*'SM - Qty'!Q12</f>
        <v>0</v>
      </c>
      <c r="R12" s="172">
        <f>SUM(F12:K12)</f>
        <v>0</v>
      </c>
      <c r="S12" s="101"/>
      <c r="T12" s="172">
        <f>SUM(L12:Q12)</f>
        <v>0</v>
      </c>
      <c r="U12" s="101"/>
      <c r="V12" s="732">
        <f>R12+T12</f>
        <v>0</v>
      </c>
      <c r="W12" s="101"/>
    </row>
    <row r="13" spans="1:23" ht="18" customHeight="1">
      <c r="A13" s="783"/>
      <c r="B13" s="814"/>
      <c r="C13" s="147" t="s">
        <v>92</v>
      </c>
      <c r="D13" s="147"/>
      <c r="E13" s="173"/>
      <c r="F13" s="173">
        <f t="shared" ref="F13:R13" si="1">SUBTOTAL(9,F10:F12)</f>
        <v>8.674953199999999E-2</v>
      </c>
      <c r="G13" s="173">
        <f t="shared" si="1"/>
        <v>8.6536783199999995E-2</v>
      </c>
      <c r="H13" s="173">
        <f t="shared" si="1"/>
        <v>8.5926339200000007E-2</v>
      </c>
      <c r="I13" s="173">
        <f t="shared" si="1"/>
        <v>8.8872184800000004E-2</v>
      </c>
      <c r="J13" s="173">
        <f t="shared" si="1"/>
        <v>8.8873393600000017E-2</v>
      </c>
      <c r="K13" s="173">
        <f t="shared" si="1"/>
        <v>0.1049504336</v>
      </c>
      <c r="L13" s="173">
        <f t="shared" si="1"/>
        <v>0.107208472</v>
      </c>
      <c r="M13" s="173">
        <f t="shared" si="1"/>
        <v>0.1072223732</v>
      </c>
      <c r="N13" s="173">
        <f t="shared" si="1"/>
        <v>0.10507675320000001</v>
      </c>
      <c r="O13" s="173">
        <f t="shared" si="1"/>
        <v>7.4521311200000009E-2</v>
      </c>
      <c r="P13" s="173">
        <f t="shared" si="1"/>
        <v>7.5818353599999999E-2</v>
      </c>
      <c r="Q13" s="173">
        <f t="shared" si="1"/>
        <v>9.2302759200000001E-2</v>
      </c>
      <c r="R13" s="173">
        <f t="shared" si="1"/>
        <v>0.54190866640000002</v>
      </c>
      <c r="S13" s="148"/>
      <c r="T13" s="173">
        <f>SUBTOTAL(9,T10:T12)</f>
        <v>0.5621500224</v>
      </c>
      <c r="U13" s="148"/>
      <c r="V13" s="731">
        <f>SUBTOTAL(9,V10:V12)</f>
        <v>1.1040586887999999</v>
      </c>
      <c r="W13" s="148"/>
    </row>
    <row r="14" spans="1:23" ht="18" customHeight="1">
      <c r="A14" s="783"/>
      <c r="B14" s="814">
        <v>6030</v>
      </c>
      <c r="C14" s="146" t="s">
        <v>105</v>
      </c>
      <c r="D14" s="146" t="s">
        <v>98</v>
      </c>
      <c r="E14" s="174">
        <f>'[4]Falhas SM'!I14</f>
        <v>5</v>
      </c>
      <c r="F14" s="172">
        <f>$E14/1000*'SM - Qty'!F14</f>
        <v>2.6274816800000003</v>
      </c>
      <c r="G14" s="172">
        <f>$E14/1000*'SM - Qty'!G14</f>
        <v>2.6210467</v>
      </c>
      <c r="H14" s="172">
        <f>$E14/1000*'SM - Qty'!H14</f>
        <v>2.60255656</v>
      </c>
      <c r="I14" s="172">
        <f>$E14/1000*'SM - Qty'!I14</f>
        <v>2.6917655200000001</v>
      </c>
      <c r="J14" s="172">
        <f>$E14/1000*'SM - Qty'!J14</f>
        <v>2.6918062600000003</v>
      </c>
      <c r="K14" s="172">
        <f>$E14/1000*'SM - Qty'!K14</f>
        <v>3.1787598400000001</v>
      </c>
      <c r="L14" s="172">
        <f>$E14/1000*'SM - Qty'!L14</f>
        <v>3.2471622999999998</v>
      </c>
      <c r="M14" s="172">
        <f>$E14/1000*'SM - Qty'!M14</f>
        <v>3.2475716399999999</v>
      </c>
      <c r="N14" s="172">
        <f>$E14/1000*'SM - Qty'!N14</f>
        <v>3.1825874599999997</v>
      </c>
      <c r="O14" s="172">
        <f>$E14/1000*'SM - Qty'!O14</f>
        <v>2.2571279200000003</v>
      </c>
      <c r="P14" s="172">
        <f>$E14/1000*'SM - Qty'!P14</f>
        <v>2.2964051599999999</v>
      </c>
      <c r="Q14" s="172">
        <f>$E14/1000*'SM - Qty'!Q14</f>
        <v>2.7956796800000001</v>
      </c>
      <c r="R14" s="172">
        <f>SUM(F14:K14)</f>
        <v>16.413416560000002</v>
      </c>
      <c r="S14" s="101"/>
      <c r="T14" s="172">
        <f>SUM(L14:Q14)</f>
        <v>17.026534160000001</v>
      </c>
      <c r="U14" s="101"/>
      <c r="V14" s="732">
        <f>R14+T14</f>
        <v>33.439950719999999</v>
      </c>
      <c r="W14" s="90"/>
    </row>
    <row r="15" spans="1:23" ht="18" customHeight="1">
      <c r="A15" s="783"/>
      <c r="B15" s="814"/>
      <c r="C15" s="146"/>
      <c r="D15" s="146" t="s">
        <v>97</v>
      </c>
      <c r="E15" s="174">
        <f>'[4]Falhas SM'!I15</f>
        <v>15.324999999999999</v>
      </c>
      <c r="F15" s="172">
        <f>$E15/1000*'SM - Qty'!F15</f>
        <v>8.0532313492000007</v>
      </c>
      <c r="G15" s="172">
        <f>$E15/1000*'SM - Qty'!G15</f>
        <v>8.0335081355</v>
      </c>
      <c r="H15" s="172">
        <f>$E15/1000*'SM - Qty'!H15</f>
        <v>7.9768358563999993</v>
      </c>
      <c r="I15" s="172">
        <f>$E15/1000*'SM - Qty'!I15</f>
        <v>8.2502613187999998</v>
      </c>
      <c r="J15" s="172">
        <f>$E15/1000*'SM - Qty'!J15</f>
        <v>8.2503861869000001</v>
      </c>
      <c r="K15" s="172">
        <f>$E15/1000*'SM - Qty'!K15</f>
        <v>9.7428989096000009</v>
      </c>
      <c r="L15" s="172">
        <f>$E15/1000*'SM - Qty'!L15</f>
        <v>9.9525524495000006</v>
      </c>
      <c r="M15" s="172">
        <f>$E15/1000*'SM - Qty'!M15</f>
        <v>9.9538070766000004</v>
      </c>
      <c r="N15" s="172">
        <f>$E15/1000*'SM - Qty'!N15</f>
        <v>9.7546305648999994</v>
      </c>
      <c r="O15" s="172">
        <f>$E15/1000*'SM - Qty'!O15</f>
        <v>6.9180970748000004</v>
      </c>
      <c r="P15" s="172">
        <f>$E15/1000*'SM - Qty'!P15</f>
        <v>7.0384818154</v>
      </c>
      <c r="Q15" s="172">
        <f>$E15/1000*'SM - Qty'!Q15</f>
        <v>8.5687582192000011</v>
      </c>
      <c r="R15" s="172">
        <f>SUM(F15:K15)</f>
        <v>50.307121756400001</v>
      </c>
      <c r="S15" s="101"/>
      <c r="T15" s="172">
        <f>SUM(L15:Q15)</f>
        <v>52.186327200400001</v>
      </c>
      <c r="U15" s="101"/>
      <c r="V15" s="732">
        <f>R15+T15</f>
        <v>102.49344895679999</v>
      </c>
      <c r="W15" s="90"/>
    </row>
    <row r="16" spans="1:23" ht="18" customHeight="1">
      <c r="A16" s="783"/>
      <c r="B16" s="814"/>
      <c r="C16" s="146"/>
      <c r="D16" s="146" t="s">
        <v>96</v>
      </c>
      <c r="E16" s="174">
        <f>'[4]Falhas SM'!I16</f>
        <v>164.52930000000001</v>
      </c>
      <c r="F16" s="172">
        <f>$E16/1000*'SM - Qty'!F16</f>
        <v>4.6795114190916003</v>
      </c>
      <c r="G16" s="172">
        <f>$E16/1000*'SM - Qty'!G16</f>
        <v>4.6680508016415008</v>
      </c>
      <c r="H16" s="172">
        <f>$E16/1000*'SM - Qty'!H16</f>
        <v>4.6351200977172002</v>
      </c>
      <c r="I16" s="172">
        <f>$E16/1000*'SM - Qty'!I16</f>
        <v>4.7940001196724005</v>
      </c>
      <c r="J16" s="172">
        <f>$E16/1000*'SM - Qty'!J16</f>
        <v>4.7940726770937001</v>
      </c>
      <c r="K16" s="172">
        <f>$E16/1000*'SM - Qty'!K16</f>
        <v>5.6613308032008005</v>
      </c>
      <c r="L16" s="172">
        <f>$E16/1000*'SM - Qty'!L16</f>
        <v>5.7831547135635004</v>
      </c>
      <c r="M16" s="172">
        <f>$E16/1000*'SM - Qty'!M16</f>
        <v>5.7838837428918</v>
      </c>
      <c r="N16" s="172">
        <f>$E16/1000*'SM - Qty'!N16</f>
        <v>5.6681477456877003</v>
      </c>
      <c r="O16" s="172">
        <f>$E16/1000*'SM - Qty'!O16</f>
        <v>4.0199160878604001</v>
      </c>
      <c r="P16" s="172">
        <f>$E16/1000*'SM - Qty'!P16</f>
        <v>4.0898683522242001</v>
      </c>
      <c r="Q16" s="172">
        <f>$E16/1000*'SM - Qty'!Q16</f>
        <v>4.9790699156015998</v>
      </c>
      <c r="R16" s="172">
        <f>SUM(F16:K16)</f>
        <v>29.232085918417201</v>
      </c>
      <c r="S16" s="101"/>
      <c r="T16" s="172">
        <f>SUM(L16:Q16)</f>
        <v>30.3240405578292</v>
      </c>
      <c r="U16" s="101"/>
      <c r="V16" s="172">
        <f>R16+T16</f>
        <v>59.556126476246405</v>
      </c>
      <c r="W16" s="90"/>
    </row>
    <row r="17" spans="1:23" ht="18" customHeight="1" thickBot="1">
      <c r="A17" s="783"/>
      <c r="B17" s="815"/>
      <c r="C17" s="149" t="s">
        <v>92</v>
      </c>
      <c r="D17" s="149"/>
      <c r="E17" s="175"/>
      <c r="F17" s="173">
        <f t="shared" ref="F17:R17" si="2">SUBTOTAL(9,F14:F16)</f>
        <v>15.360224448291602</v>
      </c>
      <c r="G17" s="173">
        <f t="shared" si="2"/>
        <v>15.322605637141502</v>
      </c>
      <c r="H17" s="173">
        <f t="shared" si="2"/>
        <v>15.2145125141172</v>
      </c>
      <c r="I17" s="173">
        <f t="shared" si="2"/>
        <v>15.736026958472401</v>
      </c>
      <c r="J17" s="173">
        <f t="shared" si="2"/>
        <v>15.7362651239937</v>
      </c>
      <c r="K17" s="173">
        <f t="shared" si="2"/>
        <v>18.5829895528008</v>
      </c>
      <c r="L17" s="173">
        <f t="shared" si="2"/>
        <v>18.982869463063501</v>
      </c>
      <c r="M17" s="173">
        <f t="shared" si="2"/>
        <v>18.9852624594918</v>
      </c>
      <c r="N17" s="173">
        <f t="shared" si="2"/>
        <v>18.605365770587699</v>
      </c>
      <c r="O17" s="173">
        <f t="shared" si="2"/>
        <v>13.195141082660401</v>
      </c>
      <c r="P17" s="173">
        <f t="shared" si="2"/>
        <v>13.424755327624201</v>
      </c>
      <c r="Q17" s="173">
        <f t="shared" si="2"/>
        <v>16.343507814801601</v>
      </c>
      <c r="R17" s="173">
        <f t="shared" si="2"/>
        <v>95.952624234817193</v>
      </c>
      <c r="S17" s="148"/>
      <c r="T17" s="173">
        <f>SUBTOTAL(9,T14:T16)</f>
        <v>99.536901918229205</v>
      </c>
      <c r="U17" s="148"/>
      <c r="V17" s="173">
        <f>SUBTOTAL(9,V14:V16)</f>
        <v>195.48952615304637</v>
      </c>
      <c r="W17" s="150"/>
    </row>
    <row r="18" spans="1:23" ht="18" customHeight="1" thickTop="1">
      <c r="A18" s="783"/>
      <c r="B18" s="822">
        <v>6040</v>
      </c>
      <c r="C18" s="151" t="s">
        <v>104</v>
      </c>
      <c r="D18" s="151" t="s">
        <v>98</v>
      </c>
      <c r="E18" s="171">
        <f>'[4]Falhas SM'!I18</f>
        <v>15</v>
      </c>
      <c r="F18" s="171">
        <f>$E18/1000*'SM - Qty'!F18</f>
        <v>2.3712300000000002E-2</v>
      </c>
      <c r="G18" s="171">
        <f>$E18/1000*'SM - Qty'!G18</f>
        <v>2.3654100000000004E-2</v>
      </c>
      <c r="H18" s="171">
        <f>$E18/1000*'SM - Qty'!H18</f>
        <v>2.3487000000000001E-2</v>
      </c>
      <c r="I18" s="171">
        <f>$E18/1000*'SM - Qty'!I18</f>
        <v>2.42922E-2</v>
      </c>
      <c r="J18" s="171">
        <f>$E18/1000*'SM - Qty'!J18</f>
        <v>2.4292500000000002E-2</v>
      </c>
      <c r="K18" s="171">
        <f>$E18/1000*'SM - Qty'!K18</f>
        <v>2.8686900000000001E-2</v>
      </c>
      <c r="L18" s="171">
        <f>$E18/1000*'SM - Qty'!L18</f>
        <v>2.9304300000000002E-2</v>
      </c>
      <c r="M18" s="171">
        <f>$E18/1000*'SM - Qty'!M18</f>
        <v>2.93082E-2</v>
      </c>
      <c r="N18" s="171">
        <f>$E18/1000*'SM - Qty'!N18</f>
        <v>2.8721400000000001E-2</v>
      </c>
      <c r="O18" s="171">
        <f>$E18/1000*'SM - Qty'!O18</f>
        <v>2.0369700000000001E-2</v>
      </c>
      <c r="P18" s="171">
        <f>$E18/1000*'SM - Qty'!P18</f>
        <v>2.0724000000000003E-2</v>
      </c>
      <c r="Q18" s="171">
        <f>$E18/1000*'SM - Qty'!Q18</f>
        <v>2.5230000000000002E-2</v>
      </c>
      <c r="R18" s="171">
        <f>SUM(F18:K18)</f>
        <v>0.14812500000000001</v>
      </c>
      <c r="S18" s="145"/>
      <c r="T18" s="171">
        <f>SUM(L18:Q18)</f>
        <v>0.15365760000000001</v>
      </c>
      <c r="U18" s="145"/>
      <c r="V18" s="171">
        <f>R18+T18</f>
        <v>0.30178260000000001</v>
      </c>
      <c r="W18" s="145"/>
    </row>
    <row r="19" spans="1:23" ht="18" customHeight="1">
      <c r="A19" s="783"/>
      <c r="B19" s="814"/>
      <c r="C19" s="152"/>
      <c r="D19" s="152" t="s">
        <v>97</v>
      </c>
      <c r="E19" s="172">
        <f>'[4]Falhas SM'!I19</f>
        <v>20.535</v>
      </c>
      <c r="F19" s="172">
        <f>$E19/1000*'SM - Qty'!F19</f>
        <v>2.9215924830000004E-2</v>
      </c>
      <c r="G19" s="172">
        <f>$E19/1000*'SM - Qty'!G19</f>
        <v>2.9144216610000002E-2</v>
      </c>
      <c r="H19" s="172">
        <f>$E19/1000*'SM - Qty'!H19</f>
        <v>2.8938332700000003E-2</v>
      </c>
      <c r="I19" s="172">
        <f>$E19/1000*'SM - Qty'!I19</f>
        <v>2.9930419620000003E-2</v>
      </c>
      <c r="J19" s="172">
        <f>$E19/1000*'SM - Qty'!J19</f>
        <v>2.9930789250000003E-2</v>
      </c>
      <c r="K19" s="172">
        <f>$E19/1000*'SM - Qty'!K19</f>
        <v>3.5345129490000002E-2</v>
      </c>
      <c r="L19" s="172">
        <f>$E19/1000*'SM - Qty'!L19</f>
        <v>3.6105828030000002E-2</v>
      </c>
      <c r="M19" s="172">
        <f>$E19/1000*'SM - Qty'!M19</f>
        <v>3.611063322E-2</v>
      </c>
      <c r="N19" s="172">
        <f>$E19/1000*'SM - Qty'!N19</f>
        <v>3.5387636940000002E-2</v>
      </c>
      <c r="O19" s="172">
        <f>$E19/1000*'SM - Qty'!O19</f>
        <v>2.5097507370000004E-2</v>
      </c>
      <c r="P19" s="172">
        <f>$E19/1000*'SM - Qty'!P19</f>
        <v>2.5534040400000003E-2</v>
      </c>
      <c r="Q19" s="172">
        <f>$E19/1000*'SM - Qty'!Q19</f>
        <v>3.1085883000000002E-2</v>
      </c>
      <c r="R19" s="172">
        <f>SUM(F19:K19)</f>
        <v>0.1825048125</v>
      </c>
      <c r="S19" s="101"/>
      <c r="T19" s="172">
        <f>SUM(L19:Q19)</f>
        <v>0.18932152896000001</v>
      </c>
      <c r="U19" s="101"/>
      <c r="V19" s="172">
        <f>R19+T19</f>
        <v>0.37182634146000004</v>
      </c>
      <c r="W19" s="101"/>
    </row>
    <row r="20" spans="1:23" ht="18" customHeight="1">
      <c r="A20" s="783"/>
      <c r="B20" s="814"/>
      <c r="C20" s="152"/>
      <c r="D20" s="152" t="s">
        <v>96</v>
      </c>
      <c r="E20" s="172">
        <f>'[4]Falhas SM'!I20</f>
        <v>1763.52</v>
      </c>
      <c r="F20" s="172">
        <f>$E20/1000*'SM - Qty'!F20</f>
        <v>0.41817115296000001</v>
      </c>
      <c r="G20" s="172">
        <f>$E20/1000*'SM - Qty'!G20</f>
        <v>0.41714478432000002</v>
      </c>
      <c r="H20" s="172">
        <f>$E20/1000*'SM - Qty'!H20</f>
        <v>0.41419794239999996</v>
      </c>
      <c r="I20" s="172">
        <f>$E20/1000*'SM - Qty'!I20</f>
        <v>0.42839780544</v>
      </c>
      <c r="J20" s="172">
        <f>$E20/1000*'SM - Qty'!J20</f>
        <v>0.42840309599999998</v>
      </c>
      <c r="K20" s="172">
        <f>$E20/1000*'SM - Qty'!K20</f>
        <v>0.50589921888</v>
      </c>
      <c r="L20" s="172">
        <f>$E20/1000*'SM - Qty'!L20</f>
        <v>0.51678719135999995</v>
      </c>
      <c r="M20" s="172">
        <f>$E20/1000*'SM - Qty'!M20</f>
        <v>0.51685596864000005</v>
      </c>
      <c r="N20" s="172">
        <f>$E20/1000*'SM - Qty'!N20</f>
        <v>0.50650763328000004</v>
      </c>
      <c r="O20" s="172">
        <f>$E20/1000*'SM - Qty'!O20</f>
        <v>0.35922373344000003</v>
      </c>
      <c r="P20" s="172">
        <f>$E20/1000*'SM - Qty'!P20</f>
        <v>0.36547188480000004</v>
      </c>
      <c r="Q20" s="172">
        <f>$E20/1000*'SM - Qty'!Q20</f>
        <v>0.44493609600000006</v>
      </c>
      <c r="R20" s="172">
        <f>SUM(F20:K20)</f>
        <v>2.6122139999999998</v>
      </c>
      <c r="S20" s="101"/>
      <c r="T20" s="172">
        <f>SUM(L20:Q20)</f>
        <v>2.7097825075199999</v>
      </c>
      <c r="U20" s="101"/>
      <c r="V20" s="172">
        <f>R20+T20</f>
        <v>5.3219965075199998</v>
      </c>
      <c r="W20" s="101"/>
    </row>
    <row r="21" spans="1:23" ht="18" customHeight="1">
      <c r="A21" s="783"/>
      <c r="B21" s="814"/>
      <c r="C21" s="153" t="s">
        <v>101</v>
      </c>
      <c r="D21" s="153"/>
      <c r="E21" s="173"/>
      <c r="F21" s="173">
        <f t="shared" ref="F21:R21" si="3">SUBTOTAL(9,F18:F20)</f>
        <v>0.47109937779</v>
      </c>
      <c r="G21" s="173">
        <f t="shared" si="3"/>
        <v>0.46994310093000002</v>
      </c>
      <c r="H21" s="173">
        <f t="shared" si="3"/>
        <v>0.46662327509999996</v>
      </c>
      <c r="I21" s="173">
        <f t="shared" si="3"/>
        <v>0.48262042506000002</v>
      </c>
      <c r="J21" s="173">
        <f t="shared" si="3"/>
        <v>0.48262638525000001</v>
      </c>
      <c r="K21" s="173">
        <f t="shared" si="3"/>
        <v>0.56993124836999998</v>
      </c>
      <c r="L21" s="173">
        <f t="shared" si="3"/>
        <v>0.58219731938999997</v>
      </c>
      <c r="M21" s="173">
        <f t="shared" si="3"/>
        <v>0.58227480186000002</v>
      </c>
      <c r="N21" s="173">
        <f t="shared" si="3"/>
        <v>0.57061667022000007</v>
      </c>
      <c r="O21" s="173">
        <f t="shared" si="3"/>
        <v>0.40469094081000001</v>
      </c>
      <c r="P21" s="173">
        <f t="shared" si="3"/>
        <v>0.41172992520000007</v>
      </c>
      <c r="Q21" s="173">
        <f t="shared" si="3"/>
        <v>0.50125197900000007</v>
      </c>
      <c r="R21" s="173">
        <f t="shared" si="3"/>
        <v>2.9428438124999996</v>
      </c>
      <c r="S21" s="148"/>
      <c r="T21" s="173">
        <f>SUBTOTAL(9,T18:T20)</f>
        <v>3.0527616364800001</v>
      </c>
      <c r="U21" s="148"/>
      <c r="V21" s="173">
        <f>SUBTOTAL(9,V18:V20)</f>
        <v>5.9956054489800001</v>
      </c>
      <c r="W21" s="148"/>
    </row>
    <row r="22" spans="1:23" ht="18" customHeight="1">
      <c r="A22" s="783"/>
      <c r="B22" s="814">
        <v>6050</v>
      </c>
      <c r="C22" s="154" t="s">
        <v>103</v>
      </c>
      <c r="D22" s="154" t="s">
        <v>98</v>
      </c>
      <c r="E22" s="172">
        <f>'[4]Falhas SM'!I22</f>
        <v>10</v>
      </c>
      <c r="F22" s="174">
        <f>$E22/1000*'SM - Qty'!F22</f>
        <v>4.3975800000000008E-3</v>
      </c>
      <c r="G22" s="174">
        <f>$E22/1000*'SM - Qty'!G22</f>
        <v>4.38822E-3</v>
      </c>
      <c r="H22" s="174">
        <f>$E22/1000*'SM - Qty'!H22</f>
        <v>4.3610400000000001E-3</v>
      </c>
      <c r="I22" s="174">
        <f>$E22/1000*'SM - Qty'!I22</f>
        <v>4.4919000000000001E-3</v>
      </c>
      <c r="J22" s="174">
        <f>$E22/1000*'SM - Qty'!J22</f>
        <v>4.4920799999999999E-3</v>
      </c>
      <c r="K22" s="174">
        <f>$E22/1000*'SM - Qty'!K22</f>
        <v>5.2068599999999998E-3</v>
      </c>
      <c r="L22" s="174">
        <f>$E22/1000*'SM - Qty'!L22</f>
        <v>5.3074799999999998E-3</v>
      </c>
      <c r="M22" s="174">
        <f>$E22/1000*'SM - Qty'!M22</f>
        <v>5.3081999999999999E-3</v>
      </c>
      <c r="N22" s="174">
        <f>$E22/1000*'SM - Qty'!N22</f>
        <v>5.2126200000000003E-3</v>
      </c>
      <c r="O22" s="174">
        <f>$E22/1000*'SM - Qty'!O22</f>
        <v>3.8538000000000001E-3</v>
      </c>
      <c r="P22" s="174">
        <f>$E22/1000*'SM - Qty'!P22</f>
        <v>3.9115800000000004E-3</v>
      </c>
      <c r="Q22" s="174">
        <f>$E22/1000*'SM - Qty'!Q22</f>
        <v>4.6445400000000008E-3</v>
      </c>
      <c r="R22" s="174">
        <f>SUM(F22:K22)</f>
        <v>2.733768E-2</v>
      </c>
      <c r="S22" s="90"/>
      <c r="T22" s="174">
        <f>SUM(L22:Q22)</f>
        <v>2.8238220000000001E-2</v>
      </c>
      <c r="U22" s="90"/>
      <c r="V22" s="174">
        <f>R22+T22</f>
        <v>5.5575899999999998E-2</v>
      </c>
      <c r="W22" s="90"/>
    </row>
    <row r="23" spans="1:23" ht="18" customHeight="1">
      <c r="A23" s="783"/>
      <c r="B23" s="814"/>
      <c r="C23" s="154"/>
      <c r="D23" s="154" t="s">
        <v>97</v>
      </c>
      <c r="E23" s="172">
        <f>'[4]Falhas SM'!I23</f>
        <v>20.22</v>
      </c>
      <c r="F23" s="172">
        <f>$E23/1000*'SM - Qty'!F23</f>
        <v>6.9159274799999995E-3</v>
      </c>
      <c r="G23" s="172">
        <f>$E23/1000*'SM - Qty'!G23</f>
        <v>6.9012073199999991E-3</v>
      </c>
      <c r="H23" s="172">
        <f>$E23/1000*'SM - Qty'!H23</f>
        <v>6.8584622399999991E-3</v>
      </c>
      <c r="I23" s="172">
        <f>$E23/1000*'SM - Qty'!I23</f>
        <v>7.0642613999999998E-3</v>
      </c>
      <c r="J23" s="172">
        <f>$E23/1000*'SM - Qty'!J23</f>
        <v>7.0645444799999988E-3</v>
      </c>
      <c r="K23" s="172">
        <f>$E23/1000*'SM - Qty'!K23</f>
        <v>8.1886551599999989E-3</v>
      </c>
      <c r="L23" s="172">
        <f>$E23/1000*'SM - Qty'!L23</f>
        <v>8.3468968799999994E-3</v>
      </c>
      <c r="M23" s="172">
        <f>$E23/1000*'SM - Qty'!M23</f>
        <v>8.3480291999999991E-3</v>
      </c>
      <c r="N23" s="172">
        <f>$E23/1000*'SM - Qty'!N23</f>
        <v>8.1977137199999994E-3</v>
      </c>
      <c r="O23" s="172">
        <f>$E23/1000*'SM - Qty'!O23</f>
        <v>6.0607427999999994E-3</v>
      </c>
      <c r="P23" s="172">
        <f>$E23/1000*'SM - Qty'!P23</f>
        <v>6.1516114799999994E-3</v>
      </c>
      <c r="Q23" s="172">
        <f>$E23/1000*'SM - Qty'!Q23</f>
        <v>7.3043132399999997E-3</v>
      </c>
      <c r="R23" s="172">
        <f>SUM(F23:K23)</f>
        <v>4.2993058079999993E-2</v>
      </c>
      <c r="S23" s="101"/>
      <c r="T23" s="172">
        <f>SUM(L23:Q23)</f>
        <v>4.4409307319999994E-2</v>
      </c>
      <c r="U23" s="101"/>
      <c r="V23" s="172">
        <f>R23+T23</f>
        <v>8.7402365399999987E-2</v>
      </c>
      <c r="W23" s="101"/>
    </row>
    <row r="24" spans="1:23" ht="18" customHeight="1">
      <c r="A24" s="783"/>
      <c r="B24" s="814"/>
      <c r="C24" s="154"/>
      <c r="D24" s="154" t="s">
        <v>96</v>
      </c>
      <c r="E24" s="172">
        <f>'[4]Falhas SM'!I24</f>
        <v>1027.44</v>
      </c>
      <c r="F24" s="172">
        <f>$E24/1000*'SM - Qty'!F24</f>
        <v>0</v>
      </c>
      <c r="G24" s="172">
        <f>$E24/1000*'SM - Qty'!G24</f>
        <v>0</v>
      </c>
      <c r="H24" s="172">
        <f>$E24/1000*'SM - Qty'!H24</f>
        <v>0</v>
      </c>
      <c r="I24" s="172">
        <f>$E24/1000*'SM - Qty'!I24</f>
        <v>0</v>
      </c>
      <c r="J24" s="172">
        <f>$E24/1000*'SM - Qty'!J24</f>
        <v>0</v>
      </c>
      <c r="K24" s="172">
        <f>$E24/1000*'SM - Qty'!K24</f>
        <v>0</v>
      </c>
      <c r="L24" s="172">
        <f>$E24/1000*'SM - Qty'!L24</f>
        <v>0</v>
      </c>
      <c r="M24" s="172">
        <f>$E24/1000*'SM - Qty'!M24</f>
        <v>0</v>
      </c>
      <c r="N24" s="172">
        <f>$E24/1000*'SM - Qty'!N24</f>
        <v>0</v>
      </c>
      <c r="O24" s="172">
        <f>$E24/1000*'SM - Qty'!O24</f>
        <v>0</v>
      </c>
      <c r="P24" s="172">
        <f>$E24/1000*'SM - Qty'!P24</f>
        <v>0</v>
      </c>
      <c r="Q24" s="172">
        <f>$E24/1000*'SM - Qty'!Q24</f>
        <v>0</v>
      </c>
      <c r="R24" s="172">
        <f>SUM(F24:K24)</f>
        <v>0</v>
      </c>
      <c r="S24" s="101"/>
      <c r="T24" s="172">
        <f>SUM(L24:Q24)</f>
        <v>0</v>
      </c>
      <c r="U24" s="101"/>
      <c r="V24" s="172">
        <f>R24+T24</f>
        <v>0</v>
      </c>
      <c r="W24" s="101"/>
    </row>
    <row r="25" spans="1:23" ht="18" customHeight="1">
      <c r="A25" s="783"/>
      <c r="B25" s="814"/>
      <c r="C25" s="153" t="s">
        <v>101</v>
      </c>
      <c r="D25" s="153"/>
      <c r="E25" s="173"/>
      <c r="F25" s="173">
        <f t="shared" ref="F25:R25" si="4">SUBTOTAL(9,F22:F24)</f>
        <v>1.131350748E-2</v>
      </c>
      <c r="G25" s="173">
        <f t="shared" si="4"/>
        <v>1.128942732E-2</v>
      </c>
      <c r="H25" s="173">
        <f t="shared" si="4"/>
        <v>1.1219502239999998E-2</v>
      </c>
      <c r="I25" s="173">
        <f t="shared" si="4"/>
        <v>1.1556161400000001E-2</v>
      </c>
      <c r="J25" s="173">
        <f t="shared" si="4"/>
        <v>1.155662448E-2</v>
      </c>
      <c r="K25" s="173">
        <f t="shared" si="4"/>
        <v>1.339551516E-2</v>
      </c>
      <c r="L25" s="173">
        <f t="shared" si="4"/>
        <v>1.3654376879999999E-2</v>
      </c>
      <c r="M25" s="173">
        <f t="shared" si="4"/>
        <v>1.3656229199999998E-2</v>
      </c>
      <c r="N25" s="173">
        <f t="shared" si="4"/>
        <v>1.3410333720000001E-2</v>
      </c>
      <c r="O25" s="173">
        <f t="shared" si="4"/>
        <v>9.9145427999999987E-3</v>
      </c>
      <c r="P25" s="173">
        <f t="shared" si="4"/>
        <v>1.0063191480000001E-2</v>
      </c>
      <c r="Q25" s="173">
        <f t="shared" si="4"/>
        <v>1.1948853240000001E-2</v>
      </c>
      <c r="R25" s="173">
        <f t="shared" si="4"/>
        <v>7.0330738079999996E-2</v>
      </c>
      <c r="S25" s="148"/>
      <c r="T25" s="173">
        <f>SUBTOTAL(9,T22:T24)</f>
        <v>7.2647527319999988E-2</v>
      </c>
      <c r="U25" s="148"/>
      <c r="V25" s="731">
        <f>SUBTOTAL(9,V22:V24)</f>
        <v>0.14297826539999997</v>
      </c>
      <c r="W25" s="148"/>
    </row>
    <row r="26" spans="1:23" ht="18" customHeight="1">
      <c r="A26" s="783"/>
      <c r="B26" s="814">
        <v>6060</v>
      </c>
      <c r="C26" s="154" t="s">
        <v>102</v>
      </c>
      <c r="D26" s="154" t="s">
        <v>98</v>
      </c>
      <c r="E26" s="172">
        <f>'[4]Falhas SM'!I26</f>
        <v>5</v>
      </c>
      <c r="F26" s="174" t="e">
        <f>$E26/1000*'SM - Qty'!F26</f>
        <v>#N/A</v>
      </c>
      <c r="G26" s="174" t="e">
        <f>$E26/1000*'SM - Qty'!G26</f>
        <v>#N/A</v>
      </c>
      <c r="H26" s="174" t="e">
        <f>$E26/1000*'SM - Qty'!H26</f>
        <v>#N/A</v>
      </c>
      <c r="I26" s="174" t="e">
        <f>$E26/1000*'SM - Qty'!I26</f>
        <v>#N/A</v>
      </c>
      <c r="J26" s="174" t="e">
        <f>$E26/1000*'SM - Qty'!J26</f>
        <v>#N/A</v>
      </c>
      <c r="K26" s="174" t="e">
        <f>$E26/1000*'SM - Qty'!K26</f>
        <v>#N/A</v>
      </c>
      <c r="L26" s="174" t="e">
        <f>$E26/1000*'SM - Qty'!L26</f>
        <v>#N/A</v>
      </c>
      <c r="M26" s="174" t="e">
        <f>$E26/1000*'SM - Qty'!M26</f>
        <v>#N/A</v>
      </c>
      <c r="N26" s="174" t="e">
        <f>$E26/1000*'SM - Qty'!N26</f>
        <v>#N/A</v>
      </c>
      <c r="O26" s="174" t="e">
        <f>$E26/1000*'SM - Qty'!O26</f>
        <v>#N/A</v>
      </c>
      <c r="P26" s="174" t="e">
        <f>$E26/1000*'SM - Qty'!P26</f>
        <v>#N/A</v>
      </c>
      <c r="Q26" s="174" t="e">
        <f>$E26/1000*'SM - Qty'!Q26</f>
        <v>#N/A</v>
      </c>
      <c r="R26" s="174" t="e">
        <f>SUM(F26:K26)</f>
        <v>#N/A</v>
      </c>
      <c r="S26" s="90"/>
      <c r="T26" s="174" t="e">
        <f>SUM(L26:Q26)</f>
        <v>#N/A</v>
      </c>
      <c r="U26" s="90"/>
      <c r="V26" s="174" t="e">
        <f>R26+T26</f>
        <v>#N/A</v>
      </c>
      <c r="W26" s="101"/>
    </row>
    <row r="27" spans="1:23" ht="18" customHeight="1">
      <c r="A27" s="783"/>
      <c r="B27" s="814"/>
      <c r="C27" s="154"/>
      <c r="D27" s="154" t="s">
        <v>97</v>
      </c>
      <c r="E27" s="172">
        <f>'[4]Falhas SM'!I27</f>
        <v>15.324999999999999</v>
      </c>
      <c r="F27" s="172" t="e">
        <f>$E27/1000*'SM - Qty'!F27</f>
        <v>#N/A</v>
      </c>
      <c r="G27" s="172" t="e">
        <f>$E27/1000*'SM - Qty'!G27</f>
        <v>#N/A</v>
      </c>
      <c r="H27" s="172" t="e">
        <f>$E27/1000*'SM - Qty'!H27</f>
        <v>#N/A</v>
      </c>
      <c r="I27" s="172" t="e">
        <f>$E27/1000*'SM - Qty'!I27</f>
        <v>#N/A</v>
      </c>
      <c r="J27" s="172" t="e">
        <f>$E27/1000*'SM - Qty'!J27</f>
        <v>#N/A</v>
      </c>
      <c r="K27" s="172" t="e">
        <f>$E27/1000*'SM - Qty'!K27</f>
        <v>#N/A</v>
      </c>
      <c r="L27" s="172" t="e">
        <f>$E27/1000*'SM - Qty'!L27</f>
        <v>#N/A</v>
      </c>
      <c r="M27" s="172" t="e">
        <f>$E27/1000*'SM - Qty'!M27</f>
        <v>#N/A</v>
      </c>
      <c r="N27" s="172" t="e">
        <f>$E27/1000*'SM - Qty'!N27</f>
        <v>#N/A</v>
      </c>
      <c r="O27" s="172" t="e">
        <f>$E27/1000*'SM - Qty'!O27</f>
        <v>#N/A</v>
      </c>
      <c r="P27" s="172" t="e">
        <f>$E27/1000*'SM - Qty'!P27</f>
        <v>#N/A</v>
      </c>
      <c r="Q27" s="172" t="e">
        <f>$E27/1000*'SM - Qty'!Q27</f>
        <v>#N/A</v>
      </c>
      <c r="R27" s="172" t="e">
        <f>SUM(F27:K27)</f>
        <v>#N/A</v>
      </c>
      <c r="S27" s="101"/>
      <c r="T27" s="172" t="e">
        <f>SUM(L27:Q27)</f>
        <v>#N/A</v>
      </c>
      <c r="U27" s="101"/>
      <c r="V27" s="172" t="e">
        <f>R27+T27</f>
        <v>#N/A</v>
      </c>
      <c r="W27" s="101"/>
    </row>
    <row r="28" spans="1:23" ht="18" customHeight="1">
      <c r="A28" s="783"/>
      <c r="B28" s="814"/>
      <c r="C28" s="154"/>
      <c r="D28" s="154" t="s">
        <v>96</v>
      </c>
      <c r="E28" s="172">
        <f>'[4]Falhas SM'!I28</f>
        <v>394.93250360000002</v>
      </c>
      <c r="F28" s="172" t="e">
        <f>$E28/1000*'SM - Qty'!F28</f>
        <v>#N/A</v>
      </c>
      <c r="G28" s="172" t="e">
        <f>$E28/1000*'SM - Qty'!G28</f>
        <v>#N/A</v>
      </c>
      <c r="H28" s="172" t="e">
        <f>$E28/1000*'SM - Qty'!H28</f>
        <v>#N/A</v>
      </c>
      <c r="I28" s="172" t="e">
        <f>$E28/1000*'SM - Qty'!I28</f>
        <v>#N/A</v>
      </c>
      <c r="J28" s="172" t="e">
        <f>$E28/1000*'SM - Qty'!J28</f>
        <v>#N/A</v>
      </c>
      <c r="K28" s="172" t="e">
        <f>$E28/1000*'SM - Qty'!K28</f>
        <v>#N/A</v>
      </c>
      <c r="L28" s="172" t="e">
        <f>$E28/1000*'SM - Qty'!L28</f>
        <v>#N/A</v>
      </c>
      <c r="M28" s="172" t="e">
        <f>$E28/1000*'SM - Qty'!M28</f>
        <v>#N/A</v>
      </c>
      <c r="N28" s="172" t="e">
        <f>$E28/1000*'SM - Qty'!N28</f>
        <v>#N/A</v>
      </c>
      <c r="O28" s="172" t="e">
        <f>$E28/1000*'SM - Qty'!O28</f>
        <v>#N/A</v>
      </c>
      <c r="P28" s="172" t="e">
        <f>$E28/1000*'SM - Qty'!P28</f>
        <v>#N/A</v>
      </c>
      <c r="Q28" s="172" t="e">
        <f>$E28/1000*'SM - Qty'!Q28</f>
        <v>#N/A</v>
      </c>
      <c r="R28" s="172" t="e">
        <f>SUM(F28:K28)</f>
        <v>#N/A</v>
      </c>
      <c r="S28" s="101"/>
      <c r="T28" s="172" t="e">
        <f>SUM(L28:Q28)</f>
        <v>#N/A</v>
      </c>
      <c r="U28" s="101"/>
      <c r="V28" s="172" t="e">
        <f>R28+T28</f>
        <v>#N/A</v>
      </c>
      <c r="W28" s="101"/>
    </row>
    <row r="29" spans="1:23" ht="18" customHeight="1">
      <c r="A29" s="783"/>
      <c r="B29" s="814"/>
      <c r="C29" s="153" t="s">
        <v>101</v>
      </c>
      <c r="D29" s="153"/>
      <c r="E29" s="173"/>
      <c r="F29" s="173" t="e">
        <f t="shared" ref="F29:R29" si="5">SUBTOTAL(9,F26:F28)</f>
        <v>#N/A</v>
      </c>
      <c r="G29" s="173" t="e">
        <f t="shared" si="5"/>
        <v>#N/A</v>
      </c>
      <c r="H29" s="173" t="e">
        <f t="shared" si="5"/>
        <v>#N/A</v>
      </c>
      <c r="I29" s="173" t="e">
        <f t="shared" si="5"/>
        <v>#N/A</v>
      </c>
      <c r="J29" s="173" t="e">
        <f t="shared" si="5"/>
        <v>#N/A</v>
      </c>
      <c r="K29" s="173" t="e">
        <f t="shared" si="5"/>
        <v>#N/A</v>
      </c>
      <c r="L29" s="173" t="e">
        <f t="shared" si="5"/>
        <v>#N/A</v>
      </c>
      <c r="M29" s="173" t="e">
        <f t="shared" si="5"/>
        <v>#N/A</v>
      </c>
      <c r="N29" s="173" t="e">
        <f t="shared" si="5"/>
        <v>#N/A</v>
      </c>
      <c r="O29" s="173" t="e">
        <f t="shared" si="5"/>
        <v>#N/A</v>
      </c>
      <c r="P29" s="173" t="e">
        <f t="shared" si="5"/>
        <v>#N/A</v>
      </c>
      <c r="Q29" s="173" t="e">
        <f t="shared" si="5"/>
        <v>#N/A</v>
      </c>
      <c r="R29" s="173" t="e">
        <f t="shared" si="5"/>
        <v>#N/A</v>
      </c>
      <c r="S29" s="148"/>
      <c r="T29" s="173" t="e">
        <f>SUBTOTAL(9,T26:T28)</f>
        <v>#N/A</v>
      </c>
      <c r="U29" s="148"/>
      <c r="V29" s="173" t="e">
        <f>SUBTOTAL(9,V26:V28)</f>
        <v>#N/A</v>
      </c>
      <c r="W29" s="148"/>
    </row>
    <row r="30" spans="1:23" ht="18" customHeight="1">
      <c r="A30" s="783"/>
      <c r="B30" s="155"/>
      <c r="C30" s="155" t="s">
        <v>92</v>
      </c>
      <c r="D30" s="153" t="s">
        <v>100</v>
      </c>
      <c r="E30" s="173"/>
      <c r="F30" s="173" t="e">
        <f>SUBTOTAL(9,F18:F29)</f>
        <v>#N/A</v>
      </c>
      <c r="G30" s="173" t="e">
        <f t="shared" ref="G30:R30" si="6">SUBTOTAL(9,G18:G29)</f>
        <v>#N/A</v>
      </c>
      <c r="H30" s="173" t="e">
        <f t="shared" si="6"/>
        <v>#N/A</v>
      </c>
      <c r="I30" s="173" t="e">
        <f t="shared" si="6"/>
        <v>#N/A</v>
      </c>
      <c r="J30" s="173" t="e">
        <f t="shared" si="6"/>
        <v>#N/A</v>
      </c>
      <c r="K30" s="173" t="e">
        <f t="shared" si="6"/>
        <v>#N/A</v>
      </c>
      <c r="L30" s="173" t="e">
        <f t="shared" si="6"/>
        <v>#N/A</v>
      </c>
      <c r="M30" s="173" t="e">
        <f t="shared" si="6"/>
        <v>#N/A</v>
      </c>
      <c r="N30" s="173" t="e">
        <f t="shared" si="6"/>
        <v>#N/A</v>
      </c>
      <c r="O30" s="173" t="e">
        <f t="shared" si="6"/>
        <v>#N/A</v>
      </c>
      <c r="P30" s="173" t="e">
        <f t="shared" si="6"/>
        <v>#N/A</v>
      </c>
      <c r="Q30" s="173" t="e">
        <f t="shared" si="6"/>
        <v>#N/A</v>
      </c>
      <c r="R30" s="173" t="e">
        <f t="shared" si="6"/>
        <v>#N/A</v>
      </c>
      <c r="S30" s="148"/>
      <c r="T30" s="173" t="e">
        <f>SUBTOTAL(9,T18:T29)</f>
        <v>#N/A</v>
      </c>
      <c r="U30" s="148"/>
      <c r="V30" s="173" t="e">
        <f>SUBTOTAL(9,V18:V29)</f>
        <v>#N/A</v>
      </c>
      <c r="W30" s="148"/>
    </row>
    <row r="31" spans="1:23" ht="18" customHeight="1">
      <c r="A31" s="783"/>
      <c r="B31" s="814">
        <v>6070</v>
      </c>
      <c r="C31" s="154" t="s">
        <v>99</v>
      </c>
      <c r="D31" s="154" t="s">
        <v>98</v>
      </c>
      <c r="E31" s="172">
        <f>'[4]Falhas SM'!I31</f>
        <v>20</v>
      </c>
      <c r="F31" s="174">
        <f>$E31/1000*'SM - Qty'!F31</f>
        <v>79</v>
      </c>
      <c r="G31" s="174">
        <f>$E31/1000*'SM - Qty'!G31</f>
        <v>89.4</v>
      </c>
      <c r="H31" s="174">
        <f>$E31/1000*'SM - Qty'!H31</f>
        <v>70.239999999999995</v>
      </c>
      <c r="I31" s="174">
        <f>$E31/1000*'SM - Qty'!I31</f>
        <v>27.98</v>
      </c>
      <c r="J31" s="174">
        <f>$E31/1000*'SM - Qty'!J31</f>
        <v>35.880000000000003</v>
      </c>
      <c r="K31" s="174">
        <f>$E31/1000*'SM - Qty'!K31</f>
        <v>58.300000000000004</v>
      </c>
      <c r="L31" s="174">
        <f>$E31/1000*'SM - Qty'!L31</f>
        <v>34.92</v>
      </c>
      <c r="M31" s="174">
        <f>$E31/1000*'SM - Qty'!M31</f>
        <v>43.02</v>
      </c>
      <c r="N31" s="174">
        <f>$E31/1000*'SM - Qty'!N31</f>
        <v>13.98</v>
      </c>
      <c r="O31" s="174">
        <f>$E31/1000*'SM - Qty'!O31</f>
        <v>32.42</v>
      </c>
      <c r="P31" s="174">
        <f>$E31/1000*'SM - Qty'!P31</f>
        <v>32.42</v>
      </c>
      <c r="Q31" s="174">
        <f>$E31/1000*'SM - Qty'!Q31</f>
        <v>32.42</v>
      </c>
      <c r="R31" s="174">
        <f>SUM(F31:K31)</f>
        <v>360.8</v>
      </c>
      <c r="S31" s="90"/>
      <c r="T31" s="174">
        <f>SUM(L31:Q31)</f>
        <v>189.18</v>
      </c>
      <c r="U31" s="90"/>
      <c r="V31" s="174">
        <f>R31+T31</f>
        <v>549.98</v>
      </c>
      <c r="W31" s="101"/>
    </row>
    <row r="32" spans="1:23" ht="18" customHeight="1">
      <c r="A32" s="783"/>
      <c r="B32" s="814"/>
      <c r="C32" s="154"/>
      <c r="D32" s="154" t="s">
        <v>97</v>
      </c>
      <c r="E32" s="172">
        <f>'[4]Falhas SM'!I32</f>
        <v>40.44</v>
      </c>
      <c r="F32" s="172">
        <f>$E32/1000*'SM - Qty'!F32</f>
        <v>153.30803999999998</v>
      </c>
      <c r="G32" s="172">
        <f>$E32/1000*'SM - Qty'!G32</f>
        <v>152.661</v>
      </c>
      <c r="H32" s="172">
        <f>$E32/1000*'SM - Qty'!H32</f>
        <v>87.714359999999999</v>
      </c>
      <c r="I32" s="172">
        <f>$E32/1000*'SM - Qty'!I32</f>
        <v>58.921079999999996</v>
      </c>
      <c r="J32" s="172">
        <f>$E32/1000*'SM - Qty'!J32</f>
        <v>67.009079999999997</v>
      </c>
      <c r="K32" s="172">
        <f>$E32/1000*'SM - Qty'!K32</f>
        <v>111.85704</v>
      </c>
      <c r="L32" s="172">
        <f>$E32/1000*'SM - Qty'!L32</f>
        <v>78.008759999999995</v>
      </c>
      <c r="M32" s="172">
        <f>$E32/1000*'SM - Qty'!M32</f>
        <v>82.78067999999999</v>
      </c>
      <c r="N32" s="172">
        <f>$E32/1000*'SM - Qty'!N32</f>
        <v>31.988039999999998</v>
      </c>
      <c r="O32" s="172">
        <f>$E32/1000*'SM - Qty'!O32</f>
        <v>64.299599999999998</v>
      </c>
      <c r="P32" s="172">
        <f>$E32/1000*'SM - Qty'!P32</f>
        <v>64.299599999999998</v>
      </c>
      <c r="Q32" s="172">
        <f>$E32/1000*'SM - Qty'!Q32</f>
        <v>64.299599999999998</v>
      </c>
      <c r="R32" s="172">
        <f>SUM(F32:K32)</f>
        <v>631.47059999999999</v>
      </c>
      <c r="S32" s="101"/>
      <c r="T32" s="172">
        <f>SUM(L32:Q32)</f>
        <v>385.67627999999996</v>
      </c>
      <c r="U32" s="101"/>
      <c r="V32" s="172">
        <f>R32+T32</f>
        <v>1017.14688</v>
      </c>
      <c r="W32" s="101"/>
    </row>
    <row r="33" spans="1:23" ht="18" customHeight="1">
      <c r="A33" s="783"/>
      <c r="B33" s="814"/>
      <c r="C33" s="154"/>
      <c r="D33" s="154" t="s">
        <v>96</v>
      </c>
      <c r="E33" s="172">
        <f>'[4]Falhas SM'!I33</f>
        <v>460</v>
      </c>
      <c r="F33" s="172">
        <f>$E33/1000*'SM - Qty'!F33</f>
        <v>12.42</v>
      </c>
      <c r="G33" s="172">
        <f>$E33/1000*'SM - Qty'!G33</f>
        <v>12.88</v>
      </c>
      <c r="H33" s="172">
        <f>$E33/1000*'SM - Qty'!H33</f>
        <v>0.92</v>
      </c>
      <c r="I33" s="172">
        <f>$E33/1000*'SM - Qty'!I33</f>
        <v>0</v>
      </c>
      <c r="J33" s="172">
        <f>$E33/1000*'SM - Qty'!J33</f>
        <v>1.3800000000000001</v>
      </c>
      <c r="K33" s="172">
        <f>$E33/1000*'SM - Qty'!K33</f>
        <v>4.1400000000000006</v>
      </c>
      <c r="L33" s="172">
        <f>$E33/1000*'SM - Qty'!L33</f>
        <v>0</v>
      </c>
      <c r="M33" s="172">
        <f>$E33/1000*'SM - Qty'!M33</f>
        <v>11.96</v>
      </c>
      <c r="N33" s="172">
        <f>$E33/1000*'SM - Qty'!N33</f>
        <v>1.84</v>
      </c>
      <c r="O33" s="172">
        <f>$E33/1000*'SM - Qty'!O33</f>
        <v>0</v>
      </c>
      <c r="P33" s="172">
        <f>$E33/1000*'SM - Qty'!P33</f>
        <v>0</v>
      </c>
      <c r="Q33" s="172">
        <f>$E33/1000*'SM - Qty'!Q33</f>
        <v>0</v>
      </c>
      <c r="R33" s="172">
        <f>SUM(F33:K33)</f>
        <v>31.740000000000002</v>
      </c>
      <c r="S33" s="101"/>
      <c r="T33" s="172">
        <f>SUM(L33:Q33)</f>
        <v>13.8</v>
      </c>
      <c r="U33" s="101"/>
      <c r="V33" s="172">
        <f>R33+T33</f>
        <v>45.540000000000006</v>
      </c>
      <c r="W33" s="101"/>
    </row>
    <row r="34" spans="1:23" ht="18" customHeight="1" thickBot="1">
      <c r="A34" s="783"/>
      <c r="B34" s="815"/>
      <c r="C34" s="156" t="s">
        <v>92</v>
      </c>
      <c r="D34" s="156"/>
      <c r="E34" s="176"/>
      <c r="F34" s="173">
        <f t="shared" ref="F34:R34" si="7">SUBTOTAL(9,F31:F33)</f>
        <v>244.72803999999996</v>
      </c>
      <c r="G34" s="173">
        <f t="shared" si="7"/>
        <v>254.941</v>
      </c>
      <c r="H34" s="173">
        <f t="shared" si="7"/>
        <v>158.87436</v>
      </c>
      <c r="I34" s="173">
        <f t="shared" si="7"/>
        <v>86.901079999999993</v>
      </c>
      <c r="J34" s="173">
        <f t="shared" si="7"/>
        <v>104.26908</v>
      </c>
      <c r="K34" s="173">
        <f t="shared" si="7"/>
        <v>174.29703999999998</v>
      </c>
      <c r="L34" s="173">
        <f t="shared" si="7"/>
        <v>112.92876</v>
      </c>
      <c r="M34" s="173">
        <f t="shared" si="7"/>
        <v>137.76068000000001</v>
      </c>
      <c r="N34" s="173">
        <f t="shared" si="7"/>
        <v>47.808040000000005</v>
      </c>
      <c r="O34" s="173">
        <f t="shared" si="7"/>
        <v>96.7196</v>
      </c>
      <c r="P34" s="173">
        <f t="shared" si="7"/>
        <v>96.7196</v>
      </c>
      <c r="Q34" s="173">
        <f t="shared" si="7"/>
        <v>96.7196</v>
      </c>
      <c r="R34" s="173">
        <f t="shared" si="7"/>
        <v>1024.0106000000001</v>
      </c>
      <c r="S34" s="148"/>
      <c r="T34" s="173" t="e">
        <f>SUBTOTAL(9,T18:T33)</f>
        <v>#N/A</v>
      </c>
      <c r="U34" s="148"/>
      <c r="V34" s="173">
        <f>SUBTOTAL(9,V31:V33)</f>
        <v>1612.66688</v>
      </c>
      <c r="W34" s="157"/>
    </row>
    <row r="35" spans="1:23" ht="18" customHeight="1" thickTop="1">
      <c r="A35" s="783"/>
      <c r="B35" s="158">
        <v>6075</v>
      </c>
      <c r="C35" s="728" t="s">
        <v>126</v>
      </c>
      <c r="D35" s="728"/>
      <c r="E35" s="729">
        <f>'[4]Falhas SM'!I35</f>
        <v>42.16</v>
      </c>
      <c r="F35" s="171">
        <f>$E35/1000*'SM - Qty'!F35</f>
        <v>5.4807999999999995</v>
      </c>
      <c r="G35" s="171">
        <f>$E35/1000*'SM - Qty'!G35</f>
        <v>3.2884799999999998</v>
      </c>
      <c r="H35" s="171">
        <f>$E35/1000*'SM - Qty'!H35</f>
        <v>1.4334399999999998</v>
      </c>
      <c r="I35" s="171">
        <f>$E35/1000*'SM - Qty'!I35</f>
        <v>9.4016799999999989</v>
      </c>
      <c r="J35" s="171">
        <f>$E35/1000*'SM - Qty'!J35</f>
        <v>1.8550399999999998</v>
      </c>
      <c r="K35" s="171">
        <f>$E35/1000*'SM - Qty'!K35</f>
        <v>1.6020799999999999</v>
      </c>
      <c r="L35" s="171">
        <f>$E35/1000*'SM - Qty'!L35</f>
        <v>5.6915999999999993</v>
      </c>
      <c r="M35" s="171">
        <f>$E35/1000*'SM - Qty'!M35</f>
        <v>1.6863999999999999</v>
      </c>
      <c r="N35" s="171">
        <f>$E35/1000*'SM - Qty'!N35</f>
        <v>0</v>
      </c>
      <c r="O35" s="171">
        <f>$E35/1000*'SM - Qty'!O35</f>
        <v>2.1501599999999996</v>
      </c>
      <c r="P35" s="171">
        <f>$E35/1000*'SM - Qty'!P35</f>
        <v>2.1501599999999996</v>
      </c>
      <c r="Q35" s="171">
        <f>$E35/1000*'SM - Qty'!Q35</f>
        <v>2.1501599999999996</v>
      </c>
      <c r="R35" s="171">
        <f>SUM(F35:K35)</f>
        <v>23.061519999999998</v>
      </c>
      <c r="S35" s="145"/>
      <c r="T35" s="171">
        <f>SUM(L35:Q35)</f>
        <v>13.828479999999999</v>
      </c>
      <c r="U35" s="145"/>
      <c r="V35" s="171">
        <f>R35+T35</f>
        <v>36.89</v>
      </c>
      <c r="W35" s="730"/>
    </row>
    <row r="36" spans="1:23" ht="18" customHeight="1">
      <c r="A36" s="783"/>
      <c r="B36" s="814"/>
      <c r="C36" s="146" t="s">
        <v>127</v>
      </c>
      <c r="D36" s="146"/>
      <c r="E36" s="727">
        <f>'[4]Falhas SM'!I36</f>
        <v>5</v>
      </c>
      <c r="F36" s="172">
        <f>$E36/1000*'SM - Qty'!F36</f>
        <v>5.2700000000000005</v>
      </c>
      <c r="G36" s="172">
        <f>$E36/1000*'SM - Qty'!G36</f>
        <v>5.7850000000000001</v>
      </c>
      <c r="H36" s="172">
        <f>$E36/1000*'SM - Qty'!H36</f>
        <v>5.96</v>
      </c>
      <c r="I36" s="172">
        <f>$E36/1000*'SM - Qty'!I36</f>
        <v>4.38</v>
      </c>
      <c r="J36" s="172">
        <f>$E36/1000*'SM - Qty'!J36</f>
        <v>4.22</v>
      </c>
      <c r="K36" s="172">
        <f>$E36/1000*'SM - Qty'!K36</f>
        <v>6.7250000000000005</v>
      </c>
      <c r="L36" s="172">
        <f>$E36/1000*'SM - Qty'!L36</f>
        <v>13.14</v>
      </c>
      <c r="M36" s="172">
        <f>$E36/1000*'SM - Qty'!M36</f>
        <v>16.39</v>
      </c>
      <c r="N36" s="172">
        <f>$E36/1000*'SM - Qty'!N36</f>
        <v>3.2349999999999999</v>
      </c>
      <c r="O36" s="172">
        <f>$E36/1000*'SM - Qty'!O36</f>
        <v>4.49</v>
      </c>
      <c r="P36" s="172">
        <f>$E36/1000*'SM - Qty'!P36</f>
        <v>4.49</v>
      </c>
      <c r="Q36" s="172">
        <f>$E36/1000*'SM - Qty'!Q36</f>
        <v>4.49</v>
      </c>
      <c r="R36" s="172">
        <f>SUM(F36:K36)</f>
        <v>32.339999999999996</v>
      </c>
      <c r="S36" s="101"/>
      <c r="T36" s="172">
        <f>SUM(L36:Q36)</f>
        <v>46.235000000000007</v>
      </c>
      <c r="U36" s="101"/>
      <c r="V36" s="172">
        <f>R36+T36</f>
        <v>78.575000000000003</v>
      </c>
      <c r="W36" s="90"/>
    </row>
    <row r="37" spans="1:23" ht="18" customHeight="1">
      <c r="A37" s="783"/>
      <c r="B37" s="814"/>
      <c r="C37" s="146" t="s">
        <v>95</v>
      </c>
      <c r="D37" s="146"/>
      <c r="E37" s="161"/>
      <c r="F37" s="177">
        <v>0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61"/>
      <c r="T37" s="161">
        <f>SUM(L37:Q37)</f>
        <v>0</v>
      </c>
      <c r="U37" s="161"/>
      <c r="V37" s="161">
        <f>R37+T37</f>
        <v>0</v>
      </c>
      <c r="W37" s="161"/>
    </row>
    <row r="38" spans="1:23" ht="18" customHeight="1">
      <c r="A38" s="783"/>
      <c r="B38" s="814"/>
      <c r="C38" s="146" t="s">
        <v>94</v>
      </c>
      <c r="D38" s="146"/>
      <c r="E38" s="161"/>
      <c r="F38" s="177">
        <v>0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61"/>
      <c r="T38" s="161">
        <f>SUM(L38:Q38)</f>
        <v>0</v>
      </c>
      <c r="U38" s="161"/>
      <c r="V38" s="161">
        <f>R38+T38</f>
        <v>0</v>
      </c>
      <c r="W38" s="161"/>
    </row>
    <row r="39" spans="1:23" ht="18" customHeight="1">
      <c r="A39" s="783"/>
      <c r="B39" s="814"/>
      <c r="C39" s="146" t="s">
        <v>93</v>
      </c>
      <c r="D39" s="146"/>
      <c r="E39" s="161"/>
      <c r="F39" s="177">
        <v>0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61"/>
      <c r="T39" s="161">
        <f>SUM(L39:Q39)</f>
        <v>0</v>
      </c>
      <c r="U39" s="161"/>
      <c r="V39" s="161">
        <f>R39+T39</f>
        <v>0</v>
      </c>
      <c r="W39" s="161"/>
    </row>
    <row r="40" spans="1:23" ht="18" customHeight="1">
      <c r="A40" s="783"/>
      <c r="B40" s="814"/>
      <c r="C40" s="147" t="s">
        <v>92</v>
      </c>
      <c r="D40" s="147"/>
      <c r="E40" s="162">
        <f>E36</f>
        <v>5</v>
      </c>
      <c r="F40" s="173">
        <f>SUBTOTAL(9,F35:F39)</f>
        <v>10.7508</v>
      </c>
      <c r="G40" s="173">
        <f t="shared" ref="G40:V40" si="8">SUBTOTAL(9,G35:G39)</f>
        <v>9.07348</v>
      </c>
      <c r="H40" s="173">
        <f t="shared" si="8"/>
        <v>7.39344</v>
      </c>
      <c r="I40" s="173">
        <f t="shared" si="8"/>
        <v>13.781679999999998</v>
      </c>
      <c r="J40" s="173">
        <f t="shared" si="8"/>
        <v>6.0750399999999996</v>
      </c>
      <c r="K40" s="173">
        <f t="shared" si="8"/>
        <v>8.3270800000000005</v>
      </c>
      <c r="L40" s="173">
        <f t="shared" si="8"/>
        <v>18.831600000000002</v>
      </c>
      <c r="M40" s="173">
        <f t="shared" si="8"/>
        <v>18.0764</v>
      </c>
      <c r="N40" s="173">
        <f t="shared" si="8"/>
        <v>3.2349999999999999</v>
      </c>
      <c r="O40" s="173">
        <f t="shared" si="8"/>
        <v>6.6401599999999998</v>
      </c>
      <c r="P40" s="173">
        <f t="shared" si="8"/>
        <v>6.6401599999999998</v>
      </c>
      <c r="Q40" s="173">
        <f t="shared" si="8"/>
        <v>6.6401599999999998</v>
      </c>
      <c r="R40" s="173">
        <f t="shared" si="8"/>
        <v>55.401519999999991</v>
      </c>
      <c r="S40" s="173"/>
      <c r="T40" s="173">
        <f t="shared" si="8"/>
        <v>60.063480000000006</v>
      </c>
      <c r="U40" s="173"/>
      <c r="V40" s="173">
        <f t="shared" si="8"/>
        <v>115.465</v>
      </c>
      <c r="W40" s="173"/>
    </row>
    <row r="41" spans="1:23" ht="18" customHeight="1" thickBot="1">
      <c r="A41" s="784"/>
      <c r="B41" s="91">
        <v>6080</v>
      </c>
      <c r="C41" s="163" t="s">
        <v>1</v>
      </c>
      <c r="D41" s="164" t="s">
        <v>174</v>
      </c>
      <c r="E41" s="165">
        <f t="array" ref="E41">SUM(IF(C6:C40="Sub-Total",E6:E40))</f>
        <v>5</v>
      </c>
      <c r="F41" s="178" t="e">
        <f>SUBTOTAL(9,F6:F34)</f>
        <v>#N/A</v>
      </c>
      <c r="G41" s="178" t="e">
        <f t="shared" ref="G41:R41" si="9">SUBTOTAL(9,G6:G34)</f>
        <v>#N/A</v>
      </c>
      <c r="H41" s="178" t="e">
        <f t="shared" si="9"/>
        <v>#N/A</v>
      </c>
      <c r="I41" s="178" t="e">
        <f t="shared" si="9"/>
        <v>#N/A</v>
      </c>
      <c r="J41" s="178" t="e">
        <f t="shared" si="9"/>
        <v>#N/A</v>
      </c>
      <c r="K41" s="178" t="e">
        <f t="shared" si="9"/>
        <v>#N/A</v>
      </c>
      <c r="L41" s="178" t="e">
        <f t="shared" si="9"/>
        <v>#N/A</v>
      </c>
      <c r="M41" s="178" t="e">
        <f t="shared" si="9"/>
        <v>#N/A</v>
      </c>
      <c r="N41" s="178" t="e">
        <f t="shared" si="9"/>
        <v>#N/A</v>
      </c>
      <c r="O41" s="178" t="e">
        <f t="shared" si="9"/>
        <v>#N/A</v>
      </c>
      <c r="P41" s="178" t="e">
        <f t="shared" si="9"/>
        <v>#N/A</v>
      </c>
      <c r="Q41" s="178" t="e">
        <f t="shared" si="9"/>
        <v>#N/A</v>
      </c>
      <c r="R41" s="178" t="e">
        <f t="shared" si="9"/>
        <v>#N/A</v>
      </c>
      <c r="S41" s="165"/>
      <c r="T41" s="178" t="e">
        <f>SUBTOTAL(9,T6:T34)</f>
        <v>#N/A</v>
      </c>
      <c r="U41" s="165"/>
      <c r="V41" s="178" t="e">
        <f>SUBTOTAL(9,V6:V34)</f>
        <v>#N/A</v>
      </c>
      <c r="W41" s="165"/>
    </row>
    <row r="42" spans="1:23" ht="20.100000000000001" customHeight="1" thickTop="1" thickBot="1">
      <c r="A42" s="166"/>
      <c r="B42" s="167"/>
      <c r="C42" s="168" t="s">
        <v>59</v>
      </c>
      <c r="D42" s="168"/>
      <c r="E42" s="169">
        <f>E34+E17+E13+E9+E30</f>
        <v>0</v>
      </c>
      <c r="F42" s="179" t="e">
        <f>SUBTOTAL(9,F6:F41)</f>
        <v>#N/A</v>
      </c>
      <c r="G42" s="179" t="e">
        <f t="shared" ref="G42:V42" si="10">SUBTOTAL(9,G6:G41)</f>
        <v>#N/A</v>
      </c>
      <c r="H42" s="179" t="e">
        <f t="shared" si="10"/>
        <v>#N/A</v>
      </c>
      <c r="I42" s="179" t="e">
        <f t="shared" si="10"/>
        <v>#N/A</v>
      </c>
      <c r="J42" s="179" t="e">
        <f t="shared" si="10"/>
        <v>#N/A</v>
      </c>
      <c r="K42" s="179" t="e">
        <f t="shared" si="10"/>
        <v>#N/A</v>
      </c>
      <c r="L42" s="179" t="e">
        <f t="shared" si="10"/>
        <v>#N/A</v>
      </c>
      <c r="M42" s="179" t="e">
        <f t="shared" si="10"/>
        <v>#N/A</v>
      </c>
      <c r="N42" s="179" t="e">
        <f t="shared" si="10"/>
        <v>#N/A</v>
      </c>
      <c r="O42" s="179" t="e">
        <f t="shared" si="10"/>
        <v>#N/A</v>
      </c>
      <c r="P42" s="179" t="e">
        <f t="shared" si="10"/>
        <v>#N/A</v>
      </c>
      <c r="Q42" s="179" t="e">
        <f t="shared" si="10"/>
        <v>#N/A</v>
      </c>
      <c r="R42" s="179" t="e">
        <f t="shared" si="10"/>
        <v>#N/A</v>
      </c>
      <c r="S42" s="169"/>
      <c r="T42" s="179" t="e">
        <f t="shared" si="10"/>
        <v>#N/A</v>
      </c>
      <c r="U42" s="169"/>
      <c r="V42" s="179" t="e">
        <f t="shared" si="10"/>
        <v>#N/A</v>
      </c>
      <c r="W42" s="169"/>
    </row>
    <row r="43" spans="1:23" ht="13.5" customHeight="1"/>
    <row r="44" spans="1:23">
      <c r="C44" s="823" t="s">
        <v>178</v>
      </c>
      <c r="D44" s="823"/>
      <c r="G44" s="200" t="e">
        <f t="shared" ref="G44:M44" si="11">(G42-F42)/F42*100</f>
        <v>#N/A</v>
      </c>
      <c r="H44" s="200" t="e">
        <f t="shared" si="11"/>
        <v>#N/A</v>
      </c>
      <c r="I44" s="200" t="e">
        <f t="shared" si="11"/>
        <v>#N/A</v>
      </c>
      <c r="J44" s="200" t="e">
        <f t="shared" si="11"/>
        <v>#N/A</v>
      </c>
      <c r="K44" s="200" t="e">
        <f t="shared" si="11"/>
        <v>#N/A</v>
      </c>
      <c r="L44" s="200" t="e">
        <f t="shared" si="11"/>
        <v>#N/A</v>
      </c>
      <c r="M44" s="200" t="e">
        <f t="shared" si="11"/>
        <v>#N/A</v>
      </c>
    </row>
    <row r="45" spans="1:23">
      <c r="B45" s="82" t="s">
        <v>208</v>
      </c>
      <c r="E45" s="500" t="e">
        <f>SUM(F42:M42)/SUM('SM - Qty'!F50:M50)*'SM - Qty'!F45/('SM - Qty'!F45+'SM - Qty'!F52)</f>
        <v>#N/A</v>
      </c>
      <c r="G45" s="498" t="e">
        <f>$E$45*'SM - Qty'!F50</f>
        <v>#N/A</v>
      </c>
      <c r="H45" s="498" t="e">
        <f>$E$45*'SM - Qty'!G50</f>
        <v>#N/A</v>
      </c>
      <c r="I45" s="498" t="e">
        <f>$E$45*'SM - Qty'!H50</f>
        <v>#N/A</v>
      </c>
      <c r="J45" s="498" t="e">
        <f>$E$45*'SM - Qty'!I50</f>
        <v>#N/A</v>
      </c>
      <c r="K45" s="498" t="e">
        <f>$E$45*'SM - Qty'!J50</f>
        <v>#N/A</v>
      </c>
      <c r="L45" s="498" t="e">
        <f>$E$45*'SM - Qty'!K50</f>
        <v>#N/A</v>
      </c>
      <c r="M45" s="498" t="e">
        <f>$E$45*'SM - Qty'!L50</f>
        <v>#N/A</v>
      </c>
      <c r="N45" s="498" t="e">
        <f>$E$45*'SM - Qty'!M50</f>
        <v>#N/A</v>
      </c>
      <c r="O45" s="498" t="e">
        <f>$E$45*'SM - Qty'!N50</f>
        <v>#N/A</v>
      </c>
      <c r="P45" s="498" t="e">
        <f>$E$45*'SM - Qty'!O50</f>
        <v>#N/A</v>
      </c>
      <c r="Q45" s="498" t="e">
        <f>$E$45*'SM - Qty'!P50</f>
        <v>#N/A</v>
      </c>
    </row>
    <row r="46" spans="1:23">
      <c r="B46" s="82" t="s">
        <v>214</v>
      </c>
      <c r="E46" s="498" t="e">
        <f>SUM(F42:M42)/SUM('SM - Qty'!F57:M57)*'SM - Qty'!F52/('SM - Qty'!F45+'SM - Qty'!F52)</f>
        <v>#N/A</v>
      </c>
      <c r="G46" s="498" t="e">
        <f>$E$46*'SM - Qty'!F57</f>
        <v>#N/A</v>
      </c>
      <c r="H46" s="498" t="e">
        <f>$E$46*'SM - Qty'!G57</f>
        <v>#N/A</v>
      </c>
      <c r="I46" s="498" t="e">
        <f>$E$46*'SM - Qty'!H57</f>
        <v>#N/A</v>
      </c>
      <c r="J46" s="498" t="e">
        <f>$E$46*'SM - Qty'!I57</f>
        <v>#N/A</v>
      </c>
      <c r="K46" s="498" t="e">
        <f>$E$46*'SM - Qty'!J57</f>
        <v>#N/A</v>
      </c>
      <c r="L46" s="498" t="e">
        <f>$E$46*'SM - Qty'!K57</f>
        <v>#N/A</v>
      </c>
      <c r="M46" s="498" t="e">
        <f>$E$46*'SM - Qty'!L57</f>
        <v>#N/A</v>
      </c>
      <c r="N46" s="498" t="e">
        <f>$E$46*'SM - Qty'!M57</f>
        <v>#N/A</v>
      </c>
      <c r="O46" s="498" t="e">
        <f>$E$46*'SM - Qty'!N57</f>
        <v>#N/A</v>
      </c>
      <c r="P46" s="498" t="e">
        <f>$E$46*'SM - Qty'!O57</f>
        <v>#N/A</v>
      </c>
      <c r="Q46" s="498" t="e">
        <f>$E$46*'SM - Qty'!P57</f>
        <v>#N/A</v>
      </c>
    </row>
    <row r="47" spans="1:23">
      <c r="G47" s="200" t="e">
        <f>SUM(G45:G46)</f>
        <v>#N/A</v>
      </c>
      <c r="H47" s="200" t="e">
        <f t="shared" ref="H47:Q47" si="12">SUM(H45:H46)</f>
        <v>#N/A</v>
      </c>
      <c r="I47" s="200" t="e">
        <f t="shared" si="12"/>
        <v>#N/A</v>
      </c>
      <c r="J47" s="200" t="e">
        <f t="shared" si="12"/>
        <v>#N/A</v>
      </c>
      <c r="K47" s="200" t="e">
        <f t="shared" si="12"/>
        <v>#N/A</v>
      </c>
      <c r="L47" s="200" t="e">
        <f t="shared" si="12"/>
        <v>#N/A</v>
      </c>
      <c r="M47" s="200" t="e">
        <f t="shared" si="12"/>
        <v>#N/A</v>
      </c>
      <c r="N47" s="200" t="e">
        <f t="shared" si="12"/>
        <v>#N/A</v>
      </c>
      <c r="O47" s="200" t="e">
        <f t="shared" si="12"/>
        <v>#N/A</v>
      </c>
      <c r="P47" s="200" t="e">
        <f t="shared" si="12"/>
        <v>#N/A</v>
      </c>
      <c r="Q47" s="200" t="e">
        <f t="shared" si="12"/>
        <v>#N/A</v>
      </c>
    </row>
  </sheetData>
  <mergeCells count="13">
    <mergeCell ref="C44:D44"/>
    <mergeCell ref="B31:B34"/>
    <mergeCell ref="B36:B40"/>
    <mergeCell ref="A1:E1"/>
    <mergeCell ref="B4:D4"/>
    <mergeCell ref="C5:D5"/>
    <mergeCell ref="A6:A41"/>
    <mergeCell ref="B6:B9"/>
    <mergeCell ref="B10:B13"/>
    <mergeCell ref="B14:B17"/>
    <mergeCell ref="B18:B21"/>
    <mergeCell ref="B22:B25"/>
    <mergeCell ref="B26:B29"/>
  </mergeCells>
  <printOptions gridLinesSet="0"/>
  <pageMargins left="0.78740157480314965" right="0.19685039370078741" top="0.59055118110236227" bottom="0.59055118110236227" header="0.51181102362204722" footer="0.31496062992125984"/>
  <pageSetup paperSize="9" orientation="portrait" r:id="rId1"/>
  <headerFooter alignWithMargins="0">
    <oddFooter>&amp;L&amp;A&amp;R&amp;F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12</vt:i4>
      </vt:variant>
    </vt:vector>
  </HeadingPairs>
  <TitlesOfParts>
    <vt:vector size="26" baseType="lpstr">
      <vt:lpstr>Prod &amp; Defects - Qty</vt:lpstr>
      <vt:lpstr>Prod &amp; Defects - Costs</vt:lpstr>
      <vt:lpstr>Falhas UM-1 - Qty</vt:lpstr>
      <vt:lpstr>Falhas UM-1 - Cost</vt:lpstr>
      <vt:lpstr>Falhas UM-3-1 Qty</vt:lpstr>
      <vt:lpstr>Falhas UM-3-1 Cost</vt:lpstr>
      <vt:lpstr>Falhas UM-3-2 Qty</vt:lpstr>
      <vt:lpstr>Falhas UM-3-2 Cost</vt:lpstr>
      <vt:lpstr>Falhas UM-4 Qty</vt:lpstr>
      <vt:lpstr>Falhas UM-4 Cost</vt:lpstr>
      <vt:lpstr>BLIND-PVC-PRE - Qty</vt:lpstr>
      <vt:lpstr>BLIND-PVC-PRE - Cost</vt:lpstr>
      <vt:lpstr>SM - Qty</vt:lpstr>
      <vt:lpstr>SM Cost</vt:lpstr>
      <vt:lpstr>'BLIND-PVC-PRE - Cost'!Area_de_impressao</vt:lpstr>
      <vt:lpstr>'BLIND-PVC-PRE - Qty'!Area_de_impressao</vt:lpstr>
      <vt:lpstr>'Falhas UM-1 - Cost'!Area_de_impressao</vt:lpstr>
      <vt:lpstr>'Falhas UM-1 - Qty'!Area_de_impressao</vt:lpstr>
      <vt:lpstr>'Falhas UM-3-1 Cost'!Area_de_impressao</vt:lpstr>
      <vt:lpstr>'Falhas UM-3-1 Qty'!Area_de_impressao</vt:lpstr>
      <vt:lpstr>'Falhas UM-3-2 Cost'!Area_de_impressao</vt:lpstr>
      <vt:lpstr>'Falhas UM-3-2 Qty'!Area_de_impressao</vt:lpstr>
      <vt:lpstr>'Falhas UM-4 Cost'!Area_de_impressao</vt:lpstr>
      <vt:lpstr>'Falhas UM-4 Qty'!Area_de_impressao</vt:lpstr>
      <vt:lpstr>'SM - Qty'!Area_de_impressao</vt:lpstr>
      <vt:lpstr>'SM Cost'!Area_de_impressao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OSVALDO MARTINS TORQUATI</dc:creator>
  <cp:lastModifiedBy>Osvaldo Martins Torquati</cp:lastModifiedBy>
  <cp:lastPrinted>2014-04-10T19:45:01Z</cp:lastPrinted>
  <dcterms:created xsi:type="dcterms:W3CDTF">2014-04-07T12:28:32Z</dcterms:created>
  <dcterms:modified xsi:type="dcterms:W3CDTF">2021-12-10T17:25:31Z</dcterms:modified>
</cp:coreProperties>
</file>