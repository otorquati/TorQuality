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2) UM-3\VA\"/>
    </mc:Choice>
  </mc:AlternateContent>
  <xr:revisionPtr revIDLastSave="0" documentId="13_ncr:1_{6BF4E592-0111-4B4E-9C40-C356D5F213E0}" xr6:coauthVersionLast="47" xr6:coauthVersionMax="47" xr10:uidLastSave="{00000000-0000-0000-0000-000000000000}"/>
  <bookViews>
    <workbookView xWindow="-120" yWindow="-120" windowWidth="29040" windowHeight="16440" tabRatio="874" activeTab="9" xr2:uid="{00000000-000D-0000-FFFF-FFFF00000000}"/>
  </bookViews>
  <sheets>
    <sheet name="Menu" sheetId="4" r:id="rId1"/>
    <sheet name="Falhas Por Modelo" sheetId="12" r:id="rId2"/>
    <sheet name="Tipos de Defeitos" sheetId="18" r:id="rId3"/>
    <sheet name="UM-3 - L1 - Dia" sheetId="2" r:id="rId4"/>
    <sheet name="UM-3 - L1 - Noite" sheetId="22" r:id="rId5"/>
    <sheet name="UM-3 - L2 - Dia" sheetId="19" r:id="rId6"/>
    <sheet name="UM-3 - L2 - Noite" sheetId="23" r:id="rId7"/>
    <sheet name="RASCUNHO" sheetId="29" r:id="rId8"/>
    <sheet name="Dados do Gráfico" sheetId="3" r:id="rId9"/>
    <sheet name="Paretos VA" sheetId="15" r:id="rId10"/>
  </sheets>
  <definedNames>
    <definedName name="A_RATIO_L1D">'UM-3 - L1 - Dia'!$AS$104</definedName>
    <definedName name="A_RATIO_L1N">'UM-3 - L1 - Noite'!$AS$104</definedName>
    <definedName name="A_RATIO_L2D">'UM-3 - L2 - Dia'!$AS$104</definedName>
    <definedName name="A_RATIO_L2N">'UM-3 - L2 - Noite'!$AS$104</definedName>
    <definedName name="_xlnm.Print_Area" localSheetId="1">'Falhas Por Modelo'!$A$1:$L$40</definedName>
    <definedName name="_xlnm.Print_Area" localSheetId="9">'Paretos VA'!$A$1:$O$39</definedName>
    <definedName name="LinAC">OFFSET('Dados do Gráfico'!$R$12,0,0,COUNTIF('Dados do Gráfico'!$R$12:$R$78,"&lt;100")+1,1)</definedName>
    <definedName name="LinDefect_X">OFFSET('Dados do Gráfico'!$N$12,0,0,COUNTIF('Dados do Gráfico'!$R$12:$R$78,"&lt;100")+1,1)</definedName>
    <definedName name="LinDefect_Y">OFFSET('Dados do Gráfico'!$P$12,0,0,COUNTIF('Dados do Gráfico'!$R$12:$R$78,"&lt;100")+1,1)</definedName>
    <definedName name="LinProb">OFFSET('Dados do Gráfico'!$S$12,0,0,COUNTIF('Dados do Gráfico'!$R$12:$R$78,"&lt;100")+1,1)</definedName>
    <definedName name="PRODUTOS">'Falhas Por Modelo'!$D$1:$K$1</definedName>
    <definedName name="Total_Falhas_L1_Dia">'UM-3 - L1 - Dia'!$AS$2:$AS$7,'UM-3 - L1 - Dia'!$AS$23:$AS$77,'UM-3 - L1 - Dia'!$AS$86:$AS$102</definedName>
    <definedName name="Total_Falhas_L1_Noite">'UM-3 - L1 - Noite'!$AS$2:$AS$7,'UM-3 - L1 - Noite'!$AS$23:$AS$77,'UM-3 - L1 - Noite'!$AS$86:$AS$102</definedName>
    <definedName name="Total_Falhas_L2_Dia">'UM-3 - L2 - Dia'!$AS$2:$AS$7,'UM-3 - L2 - Dia'!$AS$23:$AS$77,'UM-3 - L2 - Dia'!$AS$86:$AS$102</definedName>
    <definedName name="Total_Falhas_L2_Noite">'UM-3 - L2 - Noite'!$AS$2:$AS$7,'UM-3 - L2 - Noite'!$AS$23:$AS$77,'UM-3 - L2 - Noite'!$AS$86:$AS$102</definedName>
    <definedName name="total_va_ratio_l1d">'UM-3 - L1 - Dia'!$AS$105</definedName>
    <definedName name="total_va_ratio_l2d">'UM-3 - L2 - Dia'!$AS$105</definedName>
    <definedName name="Turno">L22C2</definedName>
    <definedName name="V_RATIO_L1D">'UM-3 - L1 - Dia'!$AS$80</definedName>
    <definedName name="V_RATIO_L1N">'UM-3 - L1 - Noite'!$AS$80</definedName>
    <definedName name="V_RATIO_L2D">'UM-3 - L2 - Dia'!$AS$80</definedName>
    <definedName name="V_RATIO_L2N">'UM-3 - L2 - Noite'!$AS$80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19" l="1"/>
  <c r="E5" i="19"/>
  <c r="D5" i="19" l="1"/>
  <c r="L79" i="2"/>
  <c r="E105" i="2"/>
  <c r="D105" i="2"/>
  <c r="E103" i="2"/>
  <c r="E104" i="2" s="1"/>
  <c r="D103" i="2"/>
  <c r="D104" i="2" s="1"/>
  <c r="E84" i="2"/>
  <c r="D84" i="2"/>
  <c r="E81" i="2"/>
  <c r="E82" i="2" s="1"/>
  <c r="D81" i="2"/>
  <c r="D82" i="2" s="1"/>
  <c r="E79" i="2"/>
  <c r="D79" i="2"/>
  <c r="E78" i="2"/>
  <c r="E80" i="2" s="1"/>
  <c r="D78" i="2"/>
  <c r="D80" i="2" s="1"/>
  <c r="E26" i="2"/>
  <c r="D26" i="2"/>
  <c r="E5" i="2"/>
  <c r="D5" i="2"/>
  <c r="D2" i="2"/>
  <c r="E85" i="2" l="1"/>
  <c r="D85" i="2"/>
  <c r="F5" i="23"/>
  <c r="E5" i="23"/>
  <c r="D5" i="23"/>
  <c r="F5" i="2"/>
  <c r="Q26" i="23" l="1"/>
  <c r="P26" i="23"/>
  <c r="T26" i="19"/>
  <c r="R26" i="19"/>
  <c r="S26" i="19"/>
  <c r="Q26" i="2"/>
  <c r="O26" i="23" l="1"/>
  <c r="Q26" i="19"/>
  <c r="P26" i="19"/>
  <c r="O26" i="19"/>
  <c r="P26" i="2"/>
  <c r="O26" i="2"/>
  <c r="N26" i="2"/>
  <c r="M26" i="23" l="1"/>
  <c r="G105" i="23" l="1"/>
  <c r="F105" i="23"/>
  <c r="E105" i="23"/>
  <c r="D105" i="23"/>
  <c r="G103" i="23"/>
  <c r="G85" i="23" s="1"/>
  <c r="F103" i="23"/>
  <c r="F85" i="23" s="1"/>
  <c r="E103" i="23"/>
  <c r="E85" i="23" s="1"/>
  <c r="D103" i="23"/>
  <c r="D104" i="23" s="1"/>
  <c r="G84" i="23"/>
  <c r="F84" i="23"/>
  <c r="E84" i="23"/>
  <c r="D84" i="23"/>
  <c r="G81" i="23"/>
  <c r="G82" i="23" s="1"/>
  <c r="F81" i="23"/>
  <c r="F82" i="23" s="1"/>
  <c r="E81" i="23"/>
  <c r="E82" i="23" s="1"/>
  <c r="D81" i="23"/>
  <c r="D82" i="23" s="1"/>
  <c r="G79" i="23"/>
  <c r="F79" i="23"/>
  <c r="E79" i="23"/>
  <c r="D79" i="23"/>
  <c r="G78" i="23"/>
  <c r="G80" i="23" s="1"/>
  <c r="F78" i="23"/>
  <c r="F80" i="23" s="1"/>
  <c r="E78" i="23"/>
  <c r="E80" i="23" s="1"/>
  <c r="D78" i="23"/>
  <c r="D80" i="23" s="1"/>
  <c r="G26" i="23"/>
  <c r="F26" i="23"/>
  <c r="E26" i="23"/>
  <c r="D26" i="23"/>
  <c r="G5" i="23"/>
  <c r="F5" i="19"/>
  <c r="E104" i="23" l="1"/>
  <c r="F104" i="23"/>
  <c r="G104" i="23"/>
  <c r="D85" i="23"/>
  <c r="C2" i="3"/>
  <c r="C2" i="29"/>
  <c r="C3" i="22"/>
  <c r="C3" i="19"/>
  <c r="C3" i="23"/>
  <c r="C3" i="2"/>
  <c r="T26" i="2" l="1"/>
  <c r="H26" i="23" l="1"/>
  <c r="H5" i="23"/>
  <c r="G105" i="19"/>
  <c r="F105" i="19"/>
  <c r="E105" i="19"/>
  <c r="D105" i="19"/>
  <c r="G103" i="19"/>
  <c r="G85" i="19" s="1"/>
  <c r="F103" i="19"/>
  <c r="F104" i="19" s="1"/>
  <c r="E103" i="19"/>
  <c r="E85" i="19" s="1"/>
  <c r="D103" i="19"/>
  <c r="D85" i="19" s="1"/>
  <c r="G84" i="19"/>
  <c r="F84" i="19"/>
  <c r="E84" i="19"/>
  <c r="D84" i="19"/>
  <c r="G81" i="19"/>
  <c r="G82" i="19" s="1"/>
  <c r="F81" i="19"/>
  <c r="F82" i="19" s="1"/>
  <c r="E81" i="19"/>
  <c r="E82" i="19" s="1"/>
  <c r="D81" i="19"/>
  <c r="D82" i="19" s="1"/>
  <c r="G79" i="19"/>
  <c r="F79" i="19"/>
  <c r="E79" i="19"/>
  <c r="D79" i="19"/>
  <c r="G78" i="19"/>
  <c r="G80" i="19" s="1"/>
  <c r="F78" i="19"/>
  <c r="F80" i="19" s="1"/>
  <c r="E78" i="19"/>
  <c r="E80" i="19" s="1"/>
  <c r="D78" i="19"/>
  <c r="D80" i="19" s="1"/>
  <c r="G26" i="19"/>
  <c r="F26" i="19"/>
  <c r="D26" i="19"/>
  <c r="G5" i="19"/>
  <c r="H26" i="19"/>
  <c r="H5" i="19"/>
  <c r="D104" i="19" l="1"/>
  <c r="E104" i="19"/>
  <c r="G104" i="19"/>
  <c r="F85" i="19"/>
  <c r="F105" i="2" l="1"/>
  <c r="F103" i="2"/>
  <c r="F104" i="2" s="1"/>
  <c r="F84" i="2"/>
  <c r="F81" i="2"/>
  <c r="F82" i="2" s="1"/>
  <c r="F79" i="2"/>
  <c r="F78" i="2"/>
  <c r="F80" i="2" s="1"/>
  <c r="F26" i="2"/>
  <c r="F85" i="2" l="1"/>
  <c r="N26" i="23"/>
  <c r="H105" i="19"/>
  <c r="H103" i="19"/>
  <c r="H85" i="19" s="1"/>
  <c r="H84" i="19"/>
  <c r="H81" i="19"/>
  <c r="H82" i="19" s="1"/>
  <c r="H79" i="19"/>
  <c r="H78" i="19"/>
  <c r="H80" i="19" s="1"/>
  <c r="W105" i="2"/>
  <c r="V105" i="2"/>
  <c r="W103" i="2"/>
  <c r="W85" i="2" s="1"/>
  <c r="V103" i="2"/>
  <c r="V104" i="2" s="1"/>
  <c r="W84" i="2"/>
  <c r="V84" i="2"/>
  <c r="W81" i="2"/>
  <c r="W82" i="2" s="1"/>
  <c r="V81" i="2"/>
  <c r="V82" i="2" s="1"/>
  <c r="W79" i="2"/>
  <c r="V79" i="2"/>
  <c r="W78" i="2"/>
  <c r="W80" i="2" s="1"/>
  <c r="V78" i="2"/>
  <c r="V80" i="2" s="1"/>
  <c r="W26" i="2"/>
  <c r="V26" i="2"/>
  <c r="W5" i="2"/>
  <c r="V5" i="2"/>
  <c r="H104" i="19" l="1"/>
  <c r="W104" i="2"/>
  <c r="V85" i="2"/>
  <c r="D1" i="3"/>
  <c r="Y26" i="19" l="1"/>
  <c r="I105" i="2" l="1"/>
  <c r="D105" i="22" l="1"/>
  <c r="D103" i="22"/>
  <c r="D104" i="22" s="1"/>
  <c r="D84" i="22"/>
  <c r="D81" i="22"/>
  <c r="D82" i="22" s="1"/>
  <c r="D79" i="22"/>
  <c r="D78" i="22"/>
  <c r="D80" i="22" s="1"/>
  <c r="D26" i="22"/>
  <c r="D5" i="22"/>
  <c r="E105" i="22"/>
  <c r="E103" i="22"/>
  <c r="E104" i="22" s="1"/>
  <c r="E84" i="22"/>
  <c r="E81" i="22"/>
  <c r="E82" i="22" s="1"/>
  <c r="E79" i="22"/>
  <c r="E78" i="22"/>
  <c r="E80" i="22" s="1"/>
  <c r="E26" i="22"/>
  <c r="E5" i="22"/>
  <c r="D85" i="22" l="1"/>
  <c r="E85" i="22"/>
  <c r="S2" i="3"/>
  <c r="M5" i="19" l="1"/>
  <c r="M26" i="19"/>
  <c r="N26" i="19"/>
  <c r="T5" i="19" l="1"/>
  <c r="U5" i="19"/>
  <c r="V5" i="19"/>
  <c r="W5" i="19"/>
  <c r="X5" i="19"/>
  <c r="L79" i="23" l="1"/>
  <c r="N5" i="19" l="1"/>
  <c r="L5" i="2" l="1"/>
  <c r="M5" i="2"/>
  <c r="L26" i="23" l="1"/>
  <c r="L5" i="19"/>
  <c r="N5" i="2" l="1"/>
  <c r="O5" i="2"/>
  <c r="H81" i="23" l="1"/>
  <c r="I81" i="23"/>
  <c r="J81" i="23"/>
  <c r="K81" i="23"/>
  <c r="L81" i="23"/>
  <c r="M81" i="23"/>
  <c r="N81" i="23"/>
  <c r="O81" i="23"/>
  <c r="P81" i="23"/>
  <c r="Q81" i="23"/>
  <c r="R81" i="23"/>
  <c r="S81" i="23"/>
  <c r="T81" i="23"/>
  <c r="U81" i="23"/>
  <c r="V81" i="23"/>
  <c r="W81" i="23"/>
  <c r="X81" i="23"/>
  <c r="Y81" i="23"/>
  <c r="Z81" i="23"/>
  <c r="AA81" i="23"/>
  <c r="AB81" i="23"/>
  <c r="AC81" i="23"/>
  <c r="AD81" i="23"/>
  <c r="AE81" i="23"/>
  <c r="AF81" i="23"/>
  <c r="AG81" i="23"/>
  <c r="AH81" i="23"/>
  <c r="AI81" i="23"/>
  <c r="AJ81" i="23"/>
  <c r="AK81" i="23"/>
  <c r="AL81" i="23"/>
  <c r="AM81" i="23"/>
  <c r="AN81" i="23"/>
  <c r="AO81" i="23"/>
  <c r="AP81" i="23"/>
  <c r="AQ81" i="23"/>
  <c r="AR81" i="23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F81" i="22"/>
  <c r="G81" i="22"/>
  <c r="H81" i="22"/>
  <c r="I81" i="22"/>
  <c r="J81" i="22"/>
  <c r="K81" i="22"/>
  <c r="L81" i="22"/>
  <c r="M81" i="22"/>
  <c r="N81" i="22"/>
  <c r="O81" i="22"/>
  <c r="P81" i="22"/>
  <c r="Q81" i="22"/>
  <c r="R81" i="22"/>
  <c r="S81" i="22"/>
  <c r="T81" i="22"/>
  <c r="U81" i="22"/>
  <c r="V81" i="22"/>
  <c r="W81" i="22"/>
  <c r="X81" i="22"/>
  <c r="Y81" i="22"/>
  <c r="Z81" i="22"/>
  <c r="AA81" i="22"/>
  <c r="AB81" i="22"/>
  <c r="AC81" i="22"/>
  <c r="AD81" i="22"/>
  <c r="AE81" i="22"/>
  <c r="AF81" i="22"/>
  <c r="AG81" i="22"/>
  <c r="AH81" i="22"/>
  <c r="AI81" i="22"/>
  <c r="AJ81" i="22"/>
  <c r="AK81" i="22"/>
  <c r="AL81" i="22"/>
  <c r="AM81" i="22"/>
  <c r="AN81" i="22"/>
  <c r="AO81" i="22"/>
  <c r="AP81" i="22"/>
  <c r="AQ81" i="22"/>
  <c r="AR81" i="2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G26" i="2" l="1"/>
  <c r="AF103" i="19" l="1"/>
  <c r="AF104" i="19" s="1"/>
  <c r="AF105" i="19"/>
  <c r="AF78" i="19"/>
  <c r="AF80" i="19" s="1"/>
  <c r="AF79" i="19"/>
  <c r="AF82" i="19"/>
  <c r="AF84" i="19"/>
  <c r="AF26" i="19"/>
  <c r="AF5" i="19"/>
  <c r="AA5" i="2"/>
  <c r="AF85" i="19" l="1"/>
  <c r="F84" i="22"/>
  <c r="M105" i="23" l="1"/>
  <c r="N105" i="23"/>
  <c r="J105" i="23" l="1"/>
  <c r="F5" i="22" l="1"/>
  <c r="R78" i="23" l="1"/>
  <c r="R80" i="23" s="1"/>
  <c r="R79" i="23"/>
  <c r="R82" i="23"/>
  <c r="R103" i="23" l="1"/>
  <c r="R85" i="23" s="1"/>
  <c r="R105" i="23"/>
  <c r="R84" i="23"/>
  <c r="R26" i="23"/>
  <c r="R104" i="23" l="1"/>
  <c r="K105" i="23"/>
  <c r="R5" i="23" l="1"/>
  <c r="AC5" i="23"/>
  <c r="Z26" i="2"/>
  <c r="Z5" i="2"/>
  <c r="AS25" i="23"/>
  <c r="AS25" i="19"/>
  <c r="K5" i="23"/>
  <c r="L5" i="23"/>
  <c r="M5" i="23"/>
  <c r="N5" i="23"/>
  <c r="O5" i="23"/>
  <c r="P5" i="23"/>
  <c r="Q5" i="23"/>
  <c r="S5" i="23"/>
  <c r="T5" i="23"/>
  <c r="U5" i="23"/>
  <c r="V5" i="23"/>
  <c r="W5" i="23"/>
  <c r="X5" i="23"/>
  <c r="Y5" i="23"/>
  <c r="Z5" i="23"/>
  <c r="AA5" i="23"/>
  <c r="J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Q5" i="23"/>
  <c r="AR5" i="23"/>
  <c r="I5" i="23"/>
  <c r="AB5" i="23"/>
  <c r="O5" i="19"/>
  <c r="P5" i="19"/>
  <c r="Q5" i="19"/>
  <c r="R5" i="19"/>
  <c r="S5" i="19"/>
  <c r="Y5" i="19"/>
  <c r="Z5" i="19"/>
  <c r="AA5" i="19"/>
  <c r="AB5" i="19"/>
  <c r="AC5" i="19"/>
  <c r="I5" i="19"/>
  <c r="J5" i="19"/>
  <c r="K5" i="19"/>
  <c r="AD5" i="19"/>
  <c r="AE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K26" i="23"/>
  <c r="S26" i="23"/>
  <c r="T26" i="23"/>
  <c r="U26" i="23"/>
  <c r="V26" i="23"/>
  <c r="W26" i="23"/>
  <c r="X26" i="23"/>
  <c r="Y26" i="23"/>
  <c r="J26" i="23"/>
  <c r="Z26" i="23"/>
  <c r="AA26" i="23"/>
  <c r="AB26" i="23"/>
  <c r="AC26" i="23"/>
  <c r="AD26" i="23"/>
  <c r="AE26" i="23"/>
  <c r="AG26" i="23"/>
  <c r="AH26" i="23"/>
  <c r="AI26" i="23"/>
  <c r="AJ26" i="23"/>
  <c r="AK26" i="23"/>
  <c r="AL26" i="23"/>
  <c r="AM26" i="23"/>
  <c r="AN26" i="23"/>
  <c r="AO26" i="23"/>
  <c r="AQ26" i="23"/>
  <c r="AR26" i="23"/>
  <c r="I26" i="23"/>
  <c r="L26" i="19"/>
  <c r="U26" i="19"/>
  <c r="V26" i="19"/>
  <c r="W26" i="19"/>
  <c r="X26" i="19"/>
  <c r="Z26" i="19"/>
  <c r="AA26" i="19"/>
  <c r="I26" i="19"/>
  <c r="J26" i="19"/>
  <c r="K26" i="19"/>
  <c r="AB26" i="19"/>
  <c r="AC26" i="19"/>
  <c r="AD26" i="19"/>
  <c r="AE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8" i="19"/>
  <c r="G12" i="29" s="1"/>
  <c r="AS29" i="19"/>
  <c r="G13" i="29" s="1"/>
  <c r="AS30" i="19"/>
  <c r="G14" i="29" s="1"/>
  <c r="AS31" i="19"/>
  <c r="G15" i="29" s="1"/>
  <c r="AS32" i="19"/>
  <c r="G16" i="29" s="1"/>
  <c r="AS33" i="19"/>
  <c r="G17" i="29" s="1"/>
  <c r="AS34" i="19"/>
  <c r="G18" i="29" s="1"/>
  <c r="AS35" i="19"/>
  <c r="G19" i="29" s="1"/>
  <c r="AS36" i="19"/>
  <c r="G20" i="29" s="1"/>
  <c r="AS37" i="19"/>
  <c r="G21" i="29" s="1"/>
  <c r="AS38" i="19"/>
  <c r="G22" i="29" s="1"/>
  <c r="AS28" i="23"/>
  <c r="H12" i="29" s="1"/>
  <c r="AS29" i="23"/>
  <c r="H13" i="29" s="1"/>
  <c r="AS30" i="23"/>
  <c r="H14" i="29" s="1"/>
  <c r="AS31" i="23"/>
  <c r="H15" i="29" s="1"/>
  <c r="AS32" i="23"/>
  <c r="H16" i="29" s="1"/>
  <c r="AS33" i="23"/>
  <c r="H17" i="29" s="1"/>
  <c r="AS34" i="23"/>
  <c r="H18" i="29" s="1"/>
  <c r="AS35" i="23"/>
  <c r="H19" i="29" s="1"/>
  <c r="AS36" i="23"/>
  <c r="H20" i="29" s="1"/>
  <c r="AS37" i="23"/>
  <c r="H21" i="29" s="1"/>
  <c r="AS38" i="23"/>
  <c r="H22" i="29" s="1"/>
  <c r="J103" i="23"/>
  <c r="J104" i="23" s="1"/>
  <c r="J84" i="23"/>
  <c r="U26" i="2"/>
  <c r="J26" i="2"/>
  <c r="AC78" i="19"/>
  <c r="AC80" i="19" s="1"/>
  <c r="AD78" i="19"/>
  <c r="AD80" i="19" s="1"/>
  <c r="AC79" i="19"/>
  <c r="AD79" i="19"/>
  <c r="AC82" i="19"/>
  <c r="AD82" i="19"/>
  <c r="AC84" i="19"/>
  <c r="AD84" i="19"/>
  <c r="AC103" i="19"/>
  <c r="AC85" i="19" s="1"/>
  <c r="AD103" i="19"/>
  <c r="AD85" i="19" s="1"/>
  <c r="AC105" i="19"/>
  <c r="AD105" i="19"/>
  <c r="K8" i="12" a="1"/>
  <c r="K8" i="12" s="1"/>
  <c r="K7" i="12" a="1"/>
  <c r="K7" i="12" s="1"/>
  <c r="K6" i="12" a="1"/>
  <c r="K6" i="12" s="1"/>
  <c r="Z103" i="23"/>
  <c r="Z85" i="23" s="1"/>
  <c r="Z105" i="23"/>
  <c r="Z84" i="23"/>
  <c r="Z82" i="23"/>
  <c r="Z79" i="23"/>
  <c r="Z78" i="23"/>
  <c r="Z80" i="23" s="1"/>
  <c r="U105" i="22"/>
  <c r="T105" i="22"/>
  <c r="S105" i="22"/>
  <c r="R105" i="22"/>
  <c r="Q105" i="22"/>
  <c r="P105" i="22"/>
  <c r="H105" i="2"/>
  <c r="O105" i="22"/>
  <c r="R84" i="19"/>
  <c r="N105" i="22"/>
  <c r="M105" i="22"/>
  <c r="L105" i="22"/>
  <c r="G105" i="22"/>
  <c r="I105" i="22"/>
  <c r="K105" i="22"/>
  <c r="AN5" i="2"/>
  <c r="AO5" i="2"/>
  <c r="AP5" i="2"/>
  <c r="AQ5" i="2"/>
  <c r="AN26" i="2"/>
  <c r="AO26" i="2"/>
  <c r="AP26" i="2"/>
  <c r="AQ26" i="2"/>
  <c r="AN78" i="2"/>
  <c r="AO78" i="2"/>
  <c r="AP78" i="2"/>
  <c r="AQ78" i="2"/>
  <c r="AN79" i="2"/>
  <c r="AO79" i="2"/>
  <c r="AP79" i="2"/>
  <c r="AQ79" i="2"/>
  <c r="AN80" i="2"/>
  <c r="AO80" i="2"/>
  <c r="AP80" i="2"/>
  <c r="AQ80" i="2"/>
  <c r="AN82" i="2"/>
  <c r="AO82" i="2"/>
  <c r="AP82" i="2"/>
  <c r="AQ82" i="2"/>
  <c r="AN84" i="2"/>
  <c r="AO84" i="2"/>
  <c r="AP84" i="2"/>
  <c r="AQ84" i="2"/>
  <c r="AN103" i="2"/>
  <c r="AN85" i="2" s="1"/>
  <c r="AO103" i="2"/>
  <c r="AO85" i="2" s="1"/>
  <c r="AP103" i="2"/>
  <c r="AP85" i="2" s="1"/>
  <c r="AQ103" i="2"/>
  <c r="AQ85" i="2" s="1"/>
  <c r="AN104" i="2"/>
  <c r="AO104" i="2"/>
  <c r="AP104" i="2"/>
  <c r="AQ104" i="2"/>
  <c r="AN105" i="2"/>
  <c r="AO105" i="2"/>
  <c r="AP105" i="2"/>
  <c r="AQ105" i="2"/>
  <c r="I78" i="19"/>
  <c r="I80" i="19" s="1"/>
  <c r="J78" i="19"/>
  <c r="J80" i="19" s="1"/>
  <c r="I79" i="19"/>
  <c r="J79" i="19"/>
  <c r="I82" i="19"/>
  <c r="J82" i="19"/>
  <c r="I84" i="19"/>
  <c r="J84" i="19"/>
  <c r="I103" i="19"/>
  <c r="I85" i="19" s="1"/>
  <c r="J103" i="19"/>
  <c r="J85" i="19" s="1"/>
  <c r="I105" i="19"/>
  <c r="J105" i="19"/>
  <c r="G5" i="2"/>
  <c r="H5" i="2"/>
  <c r="H26" i="2"/>
  <c r="G78" i="2"/>
  <c r="G80" i="2" s="1"/>
  <c r="H78" i="2"/>
  <c r="H80" i="2" s="1"/>
  <c r="G79" i="2"/>
  <c r="H79" i="2"/>
  <c r="G82" i="2"/>
  <c r="H82" i="2"/>
  <c r="G84" i="2"/>
  <c r="H84" i="2"/>
  <c r="G103" i="2"/>
  <c r="G85" i="2" s="1"/>
  <c r="H103" i="2"/>
  <c r="H85" i="2" s="1"/>
  <c r="G105" i="2"/>
  <c r="AB78" i="19"/>
  <c r="AB80" i="19" s="1"/>
  <c r="AB79" i="19"/>
  <c r="AB82" i="19"/>
  <c r="AB84" i="19"/>
  <c r="AB103" i="19"/>
  <c r="AB85" i="19" s="1"/>
  <c r="AB105" i="19"/>
  <c r="AB103" i="2"/>
  <c r="AB85" i="2" s="1"/>
  <c r="AB105" i="2"/>
  <c r="AB84" i="2"/>
  <c r="AB78" i="2"/>
  <c r="AB80" i="2" s="1"/>
  <c r="AB79" i="2"/>
  <c r="AB82" i="2"/>
  <c r="AB26" i="2"/>
  <c r="AB5" i="2"/>
  <c r="AB104" i="2"/>
  <c r="I5" i="2"/>
  <c r="J5" i="2"/>
  <c r="K5" i="2"/>
  <c r="I26" i="2"/>
  <c r="K26" i="2"/>
  <c r="I78" i="2"/>
  <c r="I80" i="2" s="1"/>
  <c r="J78" i="2"/>
  <c r="J80" i="2" s="1"/>
  <c r="K78" i="2"/>
  <c r="K80" i="2" s="1"/>
  <c r="I79" i="2"/>
  <c r="J79" i="2"/>
  <c r="K79" i="2"/>
  <c r="I82" i="2"/>
  <c r="J82" i="2"/>
  <c r="K82" i="2"/>
  <c r="I84" i="2"/>
  <c r="J84" i="2"/>
  <c r="K84" i="2"/>
  <c r="I103" i="2"/>
  <c r="I85" i="2" s="1"/>
  <c r="J103" i="2"/>
  <c r="J104" i="2" s="1"/>
  <c r="K103" i="2"/>
  <c r="K85" i="2" s="1"/>
  <c r="J105" i="2"/>
  <c r="K105" i="2"/>
  <c r="N84" i="19"/>
  <c r="M84" i="19"/>
  <c r="L84" i="19"/>
  <c r="O78" i="19"/>
  <c r="O80" i="19" s="1"/>
  <c r="P78" i="19"/>
  <c r="P80" i="19" s="1"/>
  <c r="Q78" i="19"/>
  <c r="Q80" i="19" s="1"/>
  <c r="R78" i="19"/>
  <c r="R80" i="19" s="1"/>
  <c r="S78" i="19"/>
  <c r="S80" i="19" s="1"/>
  <c r="T78" i="19"/>
  <c r="T80" i="19" s="1"/>
  <c r="O79" i="19"/>
  <c r="P79" i="19"/>
  <c r="Q79" i="19"/>
  <c r="R79" i="19"/>
  <c r="S79" i="19"/>
  <c r="T79" i="19"/>
  <c r="O82" i="19"/>
  <c r="P82" i="19"/>
  <c r="Q82" i="19"/>
  <c r="R82" i="19"/>
  <c r="S82" i="19"/>
  <c r="T82" i="19"/>
  <c r="O84" i="19"/>
  <c r="P84" i="19"/>
  <c r="Q84" i="19"/>
  <c r="S84" i="19"/>
  <c r="T84" i="19"/>
  <c r="O103" i="19"/>
  <c r="O85" i="19" s="1"/>
  <c r="P103" i="19"/>
  <c r="P85" i="19" s="1"/>
  <c r="Q103" i="19"/>
  <c r="Q85" i="19" s="1"/>
  <c r="R103" i="19"/>
  <c r="S103" i="19"/>
  <c r="S85" i="19" s="1"/>
  <c r="T103" i="19"/>
  <c r="O105" i="19"/>
  <c r="P105" i="19"/>
  <c r="Q105" i="19"/>
  <c r="R105" i="19"/>
  <c r="S105" i="19"/>
  <c r="T105" i="19"/>
  <c r="S104" i="19"/>
  <c r="F105" i="22"/>
  <c r="H105" i="22"/>
  <c r="J105" i="22"/>
  <c r="L26" i="2"/>
  <c r="G5" i="22"/>
  <c r="G26" i="22"/>
  <c r="G78" i="22"/>
  <c r="G80" i="22" s="1"/>
  <c r="G79" i="22"/>
  <c r="G82" i="22"/>
  <c r="G84" i="22"/>
  <c r="G103" i="22"/>
  <c r="G85" i="22" s="1"/>
  <c r="AS87" i="2"/>
  <c r="D63" i="29" s="1"/>
  <c r="AS88" i="2"/>
  <c r="D64" i="29" s="1"/>
  <c r="AS89" i="2"/>
  <c r="D65" i="29" s="1"/>
  <c r="AS90" i="2"/>
  <c r="D66" i="29" s="1"/>
  <c r="AS91" i="2"/>
  <c r="D67" i="29" s="1"/>
  <c r="AS92" i="2"/>
  <c r="D68" i="29" s="1"/>
  <c r="AS93" i="2"/>
  <c r="D69" i="29" s="1"/>
  <c r="AS94" i="2"/>
  <c r="D70" i="29" s="1"/>
  <c r="AS95" i="2"/>
  <c r="D71" i="29" s="1"/>
  <c r="AS96" i="2"/>
  <c r="D72" i="29" s="1"/>
  <c r="AS97" i="2"/>
  <c r="D73" i="29" s="1"/>
  <c r="AS98" i="2"/>
  <c r="D74" i="29" s="1"/>
  <c r="AS99" i="2"/>
  <c r="D75" i="29" s="1"/>
  <c r="AS100" i="2"/>
  <c r="D76" i="29" s="1"/>
  <c r="AS101" i="2"/>
  <c r="D77" i="29" s="1"/>
  <c r="AS102" i="2"/>
  <c r="D78" i="29" s="1"/>
  <c r="AS86" i="2"/>
  <c r="D62" i="29" s="1"/>
  <c r="AS87" i="22"/>
  <c r="E63" i="29" s="1"/>
  <c r="AS88" i="22"/>
  <c r="E64" i="29" s="1"/>
  <c r="AS89" i="22"/>
  <c r="E65" i="29" s="1"/>
  <c r="AS90" i="22"/>
  <c r="E66" i="29" s="1"/>
  <c r="AS91" i="22"/>
  <c r="E67" i="29" s="1"/>
  <c r="AS92" i="22"/>
  <c r="E68" i="29" s="1"/>
  <c r="AS93" i="22"/>
  <c r="E69" i="29" s="1"/>
  <c r="AS94" i="22"/>
  <c r="E70" i="29" s="1"/>
  <c r="AS95" i="22"/>
  <c r="E71" i="29" s="1"/>
  <c r="AS96" i="22"/>
  <c r="E72" i="29" s="1"/>
  <c r="AS97" i="22"/>
  <c r="E73" i="29" s="1"/>
  <c r="AS98" i="22"/>
  <c r="E74" i="29" s="1"/>
  <c r="AS99" i="22"/>
  <c r="E75" i="29" s="1"/>
  <c r="AS100" i="22"/>
  <c r="E76" i="29" s="1"/>
  <c r="AS101" i="22"/>
  <c r="E77" i="29" s="1"/>
  <c r="AS102" i="22"/>
  <c r="E78" i="29" s="1"/>
  <c r="AS86" i="22"/>
  <c r="E62" i="29" s="1"/>
  <c r="AS87" i="19"/>
  <c r="G63" i="29" s="1"/>
  <c r="AS88" i="19"/>
  <c r="G64" i="29" s="1"/>
  <c r="AS89" i="19"/>
  <c r="G65" i="29" s="1"/>
  <c r="AS90" i="19"/>
  <c r="G66" i="29" s="1"/>
  <c r="AS91" i="19"/>
  <c r="G67" i="29" s="1"/>
  <c r="AS92" i="19"/>
  <c r="G68" i="29" s="1"/>
  <c r="AS93" i="19"/>
  <c r="G69" i="29" s="1"/>
  <c r="AS94" i="19"/>
  <c r="G70" i="29" s="1"/>
  <c r="AS95" i="19"/>
  <c r="G71" i="29" s="1"/>
  <c r="AS96" i="19"/>
  <c r="G72" i="29" s="1"/>
  <c r="AS97" i="19"/>
  <c r="G73" i="29" s="1"/>
  <c r="AS98" i="19"/>
  <c r="G74" i="29" s="1"/>
  <c r="AS99" i="19"/>
  <c r="G75" i="29" s="1"/>
  <c r="AS100" i="19"/>
  <c r="G76" i="29" s="1"/>
  <c r="AS101" i="19"/>
  <c r="G77" i="29" s="1"/>
  <c r="AS102" i="19"/>
  <c r="G78" i="29" s="1"/>
  <c r="AS86" i="19"/>
  <c r="G62" i="29" s="1"/>
  <c r="AS89" i="23"/>
  <c r="H65" i="29" s="1"/>
  <c r="AS90" i="23"/>
  <c r="H66" i="29" s="1"/>
  <c r="AS91" i="23"/>
  <c r="H67" i="29" s="1"/>
  <c r="AS92" i="23"/>
  <c r="H68" i="29" s="1"/>
  <c r="AS93" i="23"/>
  <c r="H69" i="29" s="1"/>
  <c r="AS94" i="23"/>
  <c r="H70" i="29" s="1"/>
  <c r="AS95" i="23"/>
  <c r="H71" i="29" s="1"/>
  <c r="AS96" i="23"/>
  <c r="H72" i="29" s="1"/>
  <c r="AS97" i="23"/>
  <c r="H73" i="29" s="1"/>
  <c r="AS98" i="23"/>
  <c r="H74" i="29" s="1"/>
  <c r="AS99" i="23"/>
  <c r="H75" i="29" s="1"/>
  <c r="AS100" i="23"/>
  <c r="H76" i="29" s="1"/>
  <c r="AS101" i="23"/>
  <c r="H77" i="29" s="1"/>
  <c r="AS102" i="23"/>
  <c r="H78" i="29" s="1"/>
  <c r="AS88" i="23"/>
  <c r="H64" i="29" s="1"/>
  <c r="AS87" i="23"/>
  <c r="H63" i="29" s="1"/>
  <c r="AS86" i="23"/>
  <c r="H62" i="29" s="1"/>
  <c r="N103" i="19"/>
  <c r="N85" i="19" s="1"/>
  <c r="N105" i="19"/>
  <c r="N78" i="19"/>
  <c r="N80" i="19" s="1"/>
  <c r="N79" i="19"/>
  <c r="N82" i="19"/>
  <c r="L103" i="2"/>
  <c r="L85" i="2" s="1"/>
  <c r="L105" i="2"/>
  <c r="L84" i="2"/>
  <c r="L78" i="2"/>
  <c r="L80" i="2" s="1"/>
  <c r="L82" i="2"/>
  <c r="T5" i="2"/>
  <c r="W84" i="19"/>
  <c r="AC5" i="2"/>
  <c r="AD5" i="2"/>
  <c r="AE5" i="2"/>
  <c r="Y26" i="2"/>
  <c r="Y5" i="2"/>
  <c r="X5" i="2"/>
  <c r="U84" i="2"/>
  <c r="AR105" i="19"/>
  <c r="AQ105" i="19"/>
  <c r="AP105" i="19"/>
  <c r="AO105" i="19"/>
  <c r="AN105" i="19"/>
  <c r="AM105" i="19"/>
  <c r="AL105" i="19"/>
  <c r="AK105" i="19"/>
  <c r="AJ105" i="19"/>
  <c r="AI105" i="19"/>
  <c r="AH105" i="19"/>
  <c r="AG105" i="19"/>
  <c r="AE105" i="19"/>
  <c r="AA105" i="19"/>
  <c r="Z105" i="19"/>
  <c r="Y105" i="19"/>
  <c r="X105" i="19"/>
  <c r="W105" i="19"/>
  <c r="V105" i="19"/>
  <c r="U105" i="19"/>
  <c r="M105" i="19"/>
  <c r="L105" i="19"/>
  <c r="K105" i="19"/>
  <c r="AR104" i="19"/>
  <c r="AQ104" i="19"/>
  <c r="AP104" i="19"/>
  <c r="AO104" i="19"/>
  <c r="AN104" i="19"/>
  <c r="AM104" i="19"/>
  <c r="AL104" i="19"/>
  <c r="AK104" i="19"/>
  <c r="AJ104" i="19"/>
  <c r="AI104" i="19"/>
  <c r="AH104" i="19"/>
  <c r="AG104" i="19"/>
  <c r="AE104" i="19"/>
  <c r="AR103" i="19"/>
  <c r="AR85" i="19" s="1"/>
  <c r="AQ103" i="19"/>
  <c r="AQ85" i="19" s="1"/>
  <c r="AP103" i="19"/>
  <c r="AP85" i="19" s="1"/>
  <c r="AO103" i="19"/>
  <c r="AO85" i="19" s="1"/>
  <c r="AN103" i="19"/>
  <c r="AN85" i="19" s="1"/>
  <c r="AM103" i="19"/>
  <c r="AM85" i="19" s="1"/>
  <c r="AL103" i="19"/>
  <c r="AL85" i="19" s="1"/>
  <c r="AK103" i="19"/>
  <c r="AK85" i="19" s="1"/>
  <c r="AJ103" i="19"/>
  <c r="AJ85" i="19" s="1"/>
  <c r="AI103" i="19"/>
  <c r="AI85" i="19" s="1"/>
  <c r="AH103" i="19"/>
  <c r="AH85" i="19" s="1"/>
  <c r="AG103" i="19"/>
  <c r="AG85" i="19" s="1"/>
  <c r="AE103" i="19"/>
  <c r="AE85" i="19" s="1"/>
  <c r="AA103" i="19"/>
  <c r="AA85" i="19" s="1"/>
  <c r="Z103" i="19"/>
  <c r="Z85" i="19" s="1"/>
  <c r="Y103" i="19"/>
  <c r="Y85" i="19" s="1"/>
  <c r="X103" i="19"/>
  <c r="X85" i="19" s="1"/>
  <c r="W103" i="19"/>
  <c r="W85" i="19" s="1"/>
  <c r="V103" i="19"/>
  <c r="V85" i="19" s="1"/>
  <c r="U103" i="19"/>
  <c r="U85" i="19" s="1"/>
  <c r="M103" i="19"/>
  <c r="L103" i="19"/>
  <c r="K103" i="19"/>
  <c r="K104" i="19" s="1"/>
  <c r="AR84" i="19"/>
  <c r="AQ84" i="19"/>
  <c r="AP84" i="19"/>
  <c r="AO84" i="19"/>
  <c r="AN84" i="19"/>
  <c r="AM84" i="19"/>
  <c r="AL84" i="19"/>
  <c r="AK84" i="19"/>
  <c r="AJ84" i="19"/>
  <c r="AI84" i="19"/>
  <c r="AH84" i="19"/>
  <c r="AG84" i="19"/>
  <c r="AE84" i="19"/>
  <c r="AA84" i="19"/>
  <c r="Z84" i="19"/>
  <c r="Y84" i="19"/>
  <c r="X84" i="19"/>
  <c r="V84" i="19"/>
  <c r="U84" i="19"/>
  <c r="K84" i="19"/>
  <c r="AR82" i="19"/>
  <c r="AQ82" i="19"/>
  <c r="AP82" i="19"/>
  <c r="AO82" i="19"/>
  <c r="AN82" i="19"/>
  <c r="AM82" i="19"/>
  <c r="AL82" i="19"/>
  <c r="AK82" i="19"/>
  <c r="AJ82" i="19"/>
  <c r="AI82" i="19"/>
  <c r="AH82" i="19"/>
  <c r="AG82" i="19"/>
  <c r="AE82" i="19"/>
  <c r="AA82" i="19"/>
  <c r="Z82" i="19"/>
  <c r="Y82" i="19"/>
  <c r="X82" i="19"/>
  <c r="W82" i="19"/>
  <c r="V82" i="19"/>
  <c r="U82" i="19"/>
  <c r="M82" i="19"/>
  <c r="L82" i="19"/>
  <c r="K82" i="19"/>
  <c r="AR80" i="19"/>
  <c r="AQ80" i="19"/>
  <c r="AP80" i="19"/>
  <c r="AO80" i="19"/>
  <c r="AN80" i="19"/>
  <c r="AM80" i="19"/>
  <c r="AL80" i="19"/>
  <c r="AK80" i="19"/>
  <c r="AJ80" i="19"/>
  <c r="AI80" i="19"/>
  <c r="AH80" i="19"/>
  <c r="AG80" i="19"/>
  <c r="AE80" i="19"/>
  <c r="AR79" i="19"/>
  <c r="AQ79" i="19"/>
  <c r="AP79" i="19"/>
  <c r="AO79" i="19"/>
  <c r="AN79" i="19"/>
  <c r="AM79" i="19"/>
  <c r="AL79" i="19"/>
  <c r="AK79" i="19"/>
  <c r="AJ79" i="19"/>
  <c r="AI79" i="19"/>
  <c r="AH79" i="19"/>
  <c r="AG79" i="19"/>
  <c r="AE79" i="19"/>
  <c r="AA79" i="19"/>
  <c r="Z79" i="19"/>
  <c r="Y79" i="19"/>
  <c r="X79" i="19"/>
  <c r="W79" i="19"/>
  <c r="V79" i="19"/>
  <c r="U79" i="19"/>
  <c r="M79" i="19"/>
  <c r="L79" i="19"/>
  <c r="K79" i="19"/>
  <c r="AR78" i="19"/>
  <c r="AQ78" i="19"/>
  <c r="AP78" i="19"/>
  <c r="AO78" i="19"/>
  <c r="AN78" i="19"/>
  <c r="AM78" i="19"/>
  <c r="AL78" i="19"/>
  <c r="AK78" i="19"/>
  <c r="AJ78" i="19"/>
  <c r="AI78" i="19"/>
  <c r="AH78" i="19"/>
  <c r="AG78" i="19"/>
  <c r="AE78" i="19"/>
  <c r="AA78" i="19"/>
  <c r="AA80" i="19" s="1"/>
  <c r="Z78" i="19"/>
  <c r="Z80" i="19" s="1"/>
  <c r="Y78" i="19"/>
  <c r="Y80" i="19" s="1"/>
  <c r="X78" i="19"/>
  <c r="X80" i="19" s="1"/>
  <c r="W78" i="19"/>
  <c r="W80" i="19" s="1"/>
  <c r="V78" i="19"/>
  <c r="V80" i="19" s="1"/>
  <c r="U78" i="19"/>
  <c r="U80" i="19" s="1"/>
  <c r="M78" i="19"/>
  <c r="M80" i="19" s="1"/>
  <c r="L78" i="19"/>
  <c r="L80" i="19" s="1"/>
  <c r="K78" i="19"/>
  <c r="K80" i="19" s="1"/>
  <c r="AA104" i="19"/>
  <c r="Z104" i="19"/>
  <c r="P103" i="23"/>
  <c r="P104" i="23" s="1"/>
  <c r="P105" i="23"/>
  <c r="S26" i="2"/>
  <c r="AE104" i="2"/>
  <c r="AF104" i="2"/>
  <c r="AG104" i="2"/>
  <c r="AH104" i="2"/>
  <c r="AI104" i="2"/>
  <c r="AJ104" i="2"/>
  <c r="AK104" i="2"/>
  <c r="AL104" i="2"/>
  <c r="AM104" i="2"/>
  <c r="AR104" i="2"/>
  <c r="M105" i="2"/>
  <c r="N105" i="2"/>
  <c r="O105" i="2"/>
  <c r="P105" i="2"/>
  <c r="Q105" i="2"/>
  <c r="R105" i="2"/>
  <c r="S105" i="2"/>
  <c r="T105" i="2"/>
  <c r="U105" i="2"/>
  <c r="X105" i="2"/>
  <c r="Y105" i="2"/>
  <c r="Z105" i="2"/>
  <c r="AA105" i="2"/>
  <c r="AC105" i="2"/>
  <c r="AD105" i="2"/>
  <c r="AE105" i="2"/>
  <c r="AF105" i="2"/>
  <c r="AG105" i="2"/>
  <c r="AH105" i="2"/>
  <c r="AI105" i="2"/>
  <c r="AJ105" i="2"/>
  <c r="AK105" i="2"/>
  <c r="AL105" i="2"/>
  <c r="AM105" i="2"/>
  <c r="AR105" i="2"/>
  <c r="M78" i="2"/>
  <c r="M80" i="2" s="1"/>
  <c r="N78" i="2"/>
  <c r="N80" i="2" s="1"/>
  <c r="O78" i="2"/>
  <c r="O80" i="2" s="1"/>
  <c r="P78" i="2"/>
  <c r="P80" i="2" s="1"/>
  <c r="Q78" i="2"/>
  <c r="Q80" i="2" s="1"/>
  <c r="R78" i="2"/>
  <c r="R80" i="2" s="1"/>
  <c r="S78" i="2"/>
  <c r="S80" i="2" s="1"/>
  <c r="T78" i="2"/>
  <c r="T80" i="2" s="1"/>
  <c r="U78" i="2"/>
  <c r="U80" i="2" s="1"/>
  <c r="X78" i="2"/>
  <c r="X80" i="2" s="1"/>
  <c r="Y78" i="2"/>
  <c r="Y80" i="2" s="1"/>
  <c r="Z78" i="2"/>
  <c r="Z80" i="2" s="1"/>
  <c r="AA78" i="2"/>
  <c r="AA80" i="2" s="1"/>
  <c r="AC78" i="2"/>
  <c r="AC80" i="2" s="1"/>
  <c r="AD78" i="2"/>
  <c r="AD80" i="2"/>
  <c r="AE78" i="2"/>
  <c r="AF78" i="2"/>
  <c r="AG78" i="2"/>
  <c r="AH78" i="2"/>
  <c r="AI78" i="2"/>
  <c r="AJ78" i="2"/>
  <c r="AK78" i="2"/>
  <c r="AL78" i="2"/>
  <c r="AM78" i="2"/>
  <c r="AR78" i="2"/>
  <c r="M79" i="2"/>
  <c r="N79" i="2"/>
  <c r="O79" i="2"/>
  <c r="P79" i="2"/>
  <c r="Q79" i="2"/>
  <c r="R79" i="2"/>
  <c r="S79" i="2"/>
  <c r="T79" i="2"/>
  <c r="U79" i="2"/>
  <c r="X79" i="2"/>
  <c r="Y79" i="2"/>
  <c r="Z79" i="2"/>
  <c r="AA79" i="2"/>
  <c r="AC79" i="2"/>
  <c r="AD79" i="2"/>
  <c r="AE79" i="2"/>
  <c r="AF79" i="2"/>
  <c r="AG79" i="2"/>
  <c r="AH79" i="2"/>
  <c r="AI79" i="2"/>
  <c r="AJ79" i="2"/>
  <c r="AK79" i="2"/>
  <c r="AL79" i="2"/>
  <c r="AM79" i="2"/>
  <c r="AR79" i="2"/>
  <c r="AE80" i="2"/>
  <c r="AF80" i="2"/>
  <c r="AG80" i="2"/>
  <c r="AH80" i="2"/>
  <c r="AI80" i="2"/>
  <c r="AJ80" i="2"/>
  <c r="AK80" i="2"/>
  <c r="AL80" i="2"/>
  <c r="AM80" i="2"/>
  <c r="AR80" i="2"/>
  <c r="M82" i="2"/>
  <c r="N82" i="2"/>
  <c r="O82" i="2"/>
  <c r="P82" i="2"/>
  <c r="Q82" i="2"/>
  <c r="R82" i="2"/>
  <c r="S82" i="2"/>
  <c r="T82" i="2"/>
  <c r="U82" i="2"/>
  <c r="X82" i="2"/>
  <c r="Y82" i="2"/>
  <c r="Z82" i="2"/>
  <c r="AA82" i="2"/>
  <c r="AC82" i="2"/>
  <c r="AD82" i="2"/>
  <c r="AE82" i="2"/>
  <c r="AF82" i="2"/>
  <c r="AG82" i="2"/>
  <c r="AH82" i="2"/>
  <c r="AI82" i="2"/>
  <c r="AJ82" i="2"/>
  <c r="AK82" i="2"/>
  <c r="AL82" i="2"/>
  <c r="AM82" i="2"/>
  <c r="AR82" i="2"/>
  <c r="H78" i="23"/>
  <c r="H80" i="23" s="1"/>
  <c r="I78" i="23"/>
  <c r="I80" i="23" s="1"/>
  <c r="J78" i="23"/>
  <c r="J80" i="23" s="1"/>
  <c r="K78" i="23"/>
  <c r="K80" i="23" s="1"/>
  <c r="L78" i="23"/>
  <c r="L80" i="23" s="1"/>
  <c r="M78" i="23"/>
  <c r="M80" i="23" s="1"/>
  <c r="N78" i="23"/>
  <c r="N80" i="23" s="1"/>
  <c r="O78" i="23"/>
  <c r="O80" i="23" s="1"/>
  <c r="P78" i="23"/>
  <c r="P80" i="23" s="1"/>
  <c r="Q78" i="23"/>
  <c r="Q80" i="23" s="1"/>
  <c r="S78" i="23"/>
  <c r="S80" i="23" s="1"/>
  <c r="T78" i="23"/>
  <c r="T80" i="23" s="1"/>
  <c r="U78" i="23"/>
  <c r="U80" i="23" s="1"/>
  <c r="V78" i="23"/>
  <c r="W78" i="23"/>
  <c r="W80" i="23" s="1"/>
  <c r="X78" i="23"/>
  <c r="X80" i="23" s="1"/>
  <c r="Y78" i="23"/>
  <c r="AA78" i="23"/>
  <c r="AB78" i="23"/>
  <c r="AC78" i="23"/>
  <c r="AD78" i="23"/>
  <c r="AE78" i="23"/>
  <c r="AF78" i="23"/>
  <c r="AG78" i="23"/>
  <c r="AH78" i="23"/>
  <c r="AI78" i="23"/>
  <c r="AJ78" i="23"/>
  <c r="AK78" i="23"/>
  <c r="AL78" i="23"/>
  <c r="AM78" i="23"/>
  <c r="AN78" i="23"/>
  <c r="AO78" i="23"/>
  <c r="AP78" i="23"/>
  <c r="AQ78" i="23"/>
  <c r="AR78" i="23"/>
  <c r="H79" i="23"/>
  <c r="I79" i="23"/>
  <c r="J79" i="23"/>
  <c r="K79" i="23"/>
  <c r="M79" i="23"/>
  <c r="N79" i="23"/>
  <c r="O79" i="23"/>
  <c r="P79" i="23"/>
  <c r="Q79" i="23"/>
  <c r="S79" i="23"/>
  <c r="T79" i="23"/>
  <c r="U79" i="23"/>
  <c r="V79" i="23"/>
  <c r="W79" i="23"/>
  <c r="X79" i="23"/>
  <c r="Y79" i="23"/>
  <c r="AA79" i="23"/>
  <c r="AB79" i="23"/>
  <c r="AC79" i="23"/>
  <c r="AD79" i="23"/>
  <c r="AE79" i="23"/>
  <c r="AF79" i="23"/>
  <c r="AG79" i="23"/>
  <c r="AH79" i="23"/>
  <c r="AI79" i="23"/>
  <c r="AJ79" i="23"/>
  <c r="AK79" i="23"/>
  <c r="AL79" i="23"/>
  <c r="AM79" i="23"/>
  <c r="AN79" i="23"/>
  <c r="AO79" i="23"/>
  <c r="AP79" i="23"/>
  <c r="AQ79" i="23"/>
  <c r="AR79" i="23"/>
  <c r="V80" i="23"/>
  <c r="Y80" i="23"/>
  <c r="AA80" i="23"/>
  <c r="AB80" i="23"/>
  <c r="AC80" i="23"/>
  <c r="AD80" i="23"/>
  <c r="AE80" i="23"/>
  <c r="AF80" i="23"/>
  <c r="AG80" i="23"/>
  <c r="AH80" i="23"/>
  <c r="AI80" i="23"/>
  <c r="AJ80" i="23"/>
  <c r="AK80" i="23"/>
  <c r="AL80" i="23"/>
  <c r="AM80" i="23"/>
  <c r="AN80" i="23"/>
  <c r="AO80" i="23"/>
  <c r="AP80" i="23"/>
  <c r="AQ80" i="23"/>
  <c r="AR80" i="23"/>
  <c r="H82" i="23"/>
  <c r="I82" i="23"/>
  <c r="J82" i="23"/>
  <c r="K82" i="23"/>
  <c r="L82" i="23"/>
  <c r="M82" i="23"/>
  <c r="N82" i="23"/>
  <c r="O82" i="23"/>
  <c r="P82" i="23"/>
  <c r="Q82" i="23"/>
  <c r="S82" i="23"/>
  <c r="T82" i="23"/>
  <c r="U82" i="23"/>
  <c r="W82" i="23"/>
  <c r="X82" i="23"/>
  <c r="Y82" i="23"/>
  <c r="V82" i="23"/>
  <c r="AA82" i="23"/>
  <c r="AB82" i="23"/>
  <c r="AC82" i="23"/>
  <c r="AD82" i="23"/>
  <c r="AE82" i="23"/>
  <c r="AF82" i="23"/>
  <c r="AG82" i="23"/>
  <c r="AH82" i="23"/>
  <c r="AI82" i="23"/>
  <c r="AJ82" i="23"/>
  <c r="AK82" i="23"/>
  <c r="AL82" i="23"/>
  <c r="AM82" i="23"/>
  <c r="AN82" i="23"/>
  <c r="AO82" i="23"/>
  <c r="AP82" i="23"/>
  <c r="AQ82" i="23"/>
  <c r="AR82" i="23"/>
  <c r="H84" i="23"/>
  <c r="I84" i="23"/>
  <c r="K84" i="23"/>
  <c r="L84" i="23"/>
  <c r="M84" i="23"/>
  <c r="N84" i="23"/>
  <c r="O84" i="23"/>
  <c r="P84" i="23"/>
  <c r="Q84" i="23"/>
  <c r="S84" i="23"/>
  <c r="T84" i="23"/>
  <c r="U84" i="23"/>
  <c r="V84" i="23"/>
  <c r="W84" i="23"/>
  <c r="X84" i="23"/>
  <c r="Y84" i="23"/>
  <c r="AA84" i="23"/>
  <c r="AB84" i="23"/>
  <c r="AC84" i="23"/>
  <c r="AD84" i="23"/>
  <c r="AE84" i="23"/>
  <c r="AF84" i="23"/>
  <c r="AG84" i="23"/>
  <c r="AH84" i="23"/>
  <c r="AI84" i="23"/>
  <c r="AJ84" i="23"/>
  <c r="AK84" i="23"/>
  <c r="AL84" i="23"/>
  <c r="AM84" i="23"/>
  <c r="AN84" i="23"/>
  <c r="AO84" i="23"/>
  <c r="AQ84" i="23"/>
  <c r="AR84" i="23"/>
  <c r="H103" i="23"/>
  <c r="H85" i="23" s="1"/>
  <c r="I103" i="23"/>
  <c r="K103" i="23"/>
  <c r="K85" i="23" s="1"/>
  <c r="L103" i="23"/>
  <c r="L85" i="23" s="1"/>
  <c r="M103" i="23"/>
  <c r="M85" i="23" s="1"/>
  <c r="N103" i="23"/>
  <c r="N85" i="23" s="1"/>
  <c r="O103" i="23"/>
  <c r="O85" i="23" s="1"/>
  <c r="Q103" i="23"/>
  <c r="Q85" i="23" s="1"/>
  <c r="S103" i="23"/>
  <c r="S85" i="23" s="1"/>
  <c r="T103" i="23"/>
  <c r="T85" i="23" s="1"/>
  <c r="U103" i="23"/>
  <c r="U85" i="23" s="1"/>
  <c r="V103" i="23"/>
  <c r="V85" i="23" s="1"/>
  <c r="W103" i="23"/>
  <c r="W85" i="23" s="1"/>
  <c r="X103" i="23"/>
  <c r="X85" i="23" s="1"/>
  <c r="Y103" i="23"/>
  <c r="Y85" i="23" s="1"/>
  <c r="AA103" i="23"/>
  <c r="AA85" i="23" s="1"/>
  <c r="AB103" i="23"/>
  <c r="AB85" i="23" s="1"/>
  <c r="AC103" i="23"/>
  <c r="AC85" i="23" s="1"/>
  <c r="AD103" i="23"/>
  <c r="AD85" i="23" s="1"/>
  <c r="AE103" i="23"/>
  <c r="AE85" i="23" s="1"/>
  <c r="AF103" i="23"/>
  <c r="AF85" i="23" s="1"/>
  <c r="AG103" i="23"/>
  <c r="AG85" i="23" s="1"/>
  <c r="AH103" i="23"/>
  <c r="AH85" i="23" s="1"/>
  <c r="AI103" i="23"/>
  <c r="AI85" i="23" s="1"/>
  <c r="AJ103" i="23"/>
  <c r="AJ85" i="23" s="1"/>
  <c r="AK103" i="23"/>
  <c r="AK85" i="23" s="1"/>
  <c r="AL103" i="23"/>
  <c r="AL85" i="23" s="1"/>
  <c r="AM103" i="23"/>
  <c r="AM85" i="23" s="1"/>
  <c r="AN103" i="23"/>
  <c r="AN85" i="23" s="1"/>
  <c r="AO103" i="23"/>
  <c r="AO85" i="23" s="1"/>
  <c r="AP103" i="23"/>
  <c r="AQ103" i="23"/>
  <c r="AQ85" i="23" s="1"/>
  <c r="AR103" i="23"/>
  <c r="AR85" i="23" s="1"/>
  <c r="AB104" i="23"/>
  <c r="AC104" i="23"/>
  <c r="AD104" i="23"/>
  <c r="AE104" i="23"/>
  <c r="AF104" i="23"/>
  <c r="AG104" i="23"/>
  <c r="AH104" i="23"/>
  <c r="AI104" i="23"/>
  <c r="AJ104" i="23"/>
  <c r="AK104" i="23"/>
  <c r="AL104" i="23"/>
  <c r="AM104" i="23"/>
  <c r="AN104" i="23"/>
  <c r="AO104" i="23"/>
  <c r="AP104" i="23"/>
  <c r="AQ104" i="23"/>
  <c r="AR104" i="23"/>
  <c r="H105" i="23"/>
  <c r="I105" i="23"/>
  <c r="L105" i="23"/>
  <c r="O105" i="23"/>
  <c r="Q105" i="23"/>
  <c r="S105" i="23"/>
  <c r="T105" i="23"/>
  <c r="U105" i="23"/>
  <c r="V105" i="23"/>
  <c r="W105" i="23"/>
  <c r="X105" i="23"/>
  <c r="Y105" i="23"/>
  <c r="AA105" i="23"/>
  <c r="AB105" i="23"/>
  <c r="AC105" i="23"/>
  <c r="AD105" i="23"/>
  <c r="AE105" i="23"/>
  <c r="AF105" i="23"/>
  <c r="AG105" i="23"/>
  <c r="AH105" i="23"/>
  <c r="AI105" i="23"/>
  <c r="AJ105" i="23"/>
  <c r="AK105" i="23"/>
  <c r="AL105" i="23"/>
  <c r="AM105" i="23"/>
  <c r="AN105" i="23"/>
  <c r="AO105" i="23"/>
  <c r="AP105" i="23"/>
  <c r="AQ105" i="23"/>
  <c r="AR105" i="23"/>
  <c r="Y104" i="23"/>
  <c r="AS83" i="23"/>
  <c r="AS84" i="23" s="1"/>
  <c r="AS77" i="23"/>
  <c r="H61" i="29" s="1"/>
  <c r="AS76" i="23"/>
  <c r="H60" i="29" s="1"/>
  <c r="AS75" i="23"/>
  <c r="H59" i="29" s="1"/>
  <c r="AS74" i="23"/>
  <c r="H58" i="29" s="1"/>
  <c r="AS73" i="23"/>
  <c r="H57" i="29" s="1"/>
  <c r="AS72" i="23"/>
  <c r="H56" i="29" s="1"/>
  <c r="AS71" i="23"/>
  <c r="H55" i="29" s="1"/>
  <c r="AS70" i="23"/>
  <c r="H54" i="29" s="1"/>
  <c r="AS69" i="23"/>
  <c r="H53" i="29" s="1"/>
  <c r="AS68" i="23"/>
  <c r="H52" i="29" s="1"/>
  <c r="AS67" i="23"/>
  <c r="H51" i="29" s="1"/>
  <c r="AS66" i="23"/>
  <c r="H50" i="29" s="1"/>
  <c r="AS65" i="23"/>
  <c r="H49" i="29" s="1"/>
  <c r="AS64" i="23"/>
  <c r="H48" i="29" s="1"/>
  <c r="AS63" i="23"/>
  <c r="H47" i="29" s="1"/>
  <c r="AS62" i="23"/>
  <c r="H46" i="29" s="1"/>
  <c r="AS61" i="23"/>
  <c r="H45" i="29" s="1"/>
  <c r="AS60" i="23"/>
  <c r="H44" i="29" s="1"/>
  <c r="AS59" i="23"/>
  <c r="H43" i="29" s="1"/>
  <c r="AS58" i="23"/>
  <c r="H42" i="29" s="1"/>
  <c r="AS57" i="23"/>
  <c r="H41" i="29" s="1"/>
  <c r="AS56" i="23"/>
  <c r="H40" i="29" s="1"/>
  <c r="AS55" i="23"/>
  <c r="H39" i="29" s="1"/>
  <c r="AS54" i="23"/>
  <c r="H38" i="29" s="1"/>
  <c r="AS53" i="23"/>
  <c r="H37" i="29" s="1"/>
  <c r="AS52" i="23"/>
  <c r="H36" i="29" s="1"/>
  <c r="AS51" i="23"/>
  <c r="H35" i="29" s="1"/>
  <c r="AS50" i="23"/>
  <c r="H34" i="29" s="1"/>
  <c r="AS49" i="23"/>
  <c r="H33" i="29" s="1"/>
  <c r="AS48" i="23"/>
  <c r="H32" i="29" s="1"/>
  <c r="AS47" i="23"/>
  <c r="H31" i="29" s="1"/>
  <c r="AS46" i="23"/>
  <c r="H30" i="29" s="1"/>
  <c r="AS45" i="23"/>
  <c r="H29" i="29" s="1"/>
  <c r="AS44" i="23"/>
  <c r="H28" i="29" s="1"/>
  <c r="AS43" i="23"/>
  <c r="H27" i="29" s="1"/>
  <c r="AS42" i="23"/>
  <c r="H26" i="29" s="1"/>
  <c r="AS41" i="23"/>
  <c r="H25" i="29" s="1"/>
  <c r="AS40" i="23"/>
  <c r="H24" i="29" s="1"/>
  <c r="AS39" i="23"/>
  <c r="H23" i="29" s="1"/>
  <c r="AS83" i="19"/>
  <c r="AS84" i="19" s="1"/>
  <c r="AS77" i="19"/>
  <c r="G61" i="29" s="1"/>
  <c r="I61" i="29" s="1"/>
  <c r="AS76" i="19"/>
  <c r="AS75" i="19"/>
  <c r="G59" i="29" s="1"/>
  <c r="AS74" i="19"/>
  <c r="G58" i="29" s="1"/>
  <c r="AS73" i="19"/>
  <c r="G57" i="29" s="1"/>
  <c r="I57" i="29" s="1"/>
  <c r="AS72" i="19"/>
  <c r="G56" i="29" s="1"/>
  <c r="AS71" i="19"/>
  <c r="G55" i="29" s="1"/>
  <c r="I55" i="29" s="1"/>
  <c r="AS70" i="19"/>
  <c r="AS69" i="19"/>
  <c r="G53" i="29" s="1"/>
  <c r="AS68" i="19"/>
  <c r="G52" i="29" s="1"/>
  <c r="I52" i="29" s="1"/>
  <c r="AS67" i="19"/>
  <c r="G51" i="29" s="1"/>
  <c r="AS66" i="19"/>
  <c r="G50" i="29" s="1"/>
  <c r="I50" i="29" s="1"/>
  <c r="AS65" i="19"/>
  <c r="G49" i="29" s="1"/>
  <c r="AS64" i="19"/>
  <c r="G48" i="29" s="1"/>
  <c r="I48" i="29" s="1"/>
  <c r="AS63" i="19"/>
  <c r="G47" i="29" s="1"/>
  <c r="AS62" i="19"/>
  <c r="G46" i="29" s="1"/>
  <c r="AS61" i="19"/>
  <c r="G45" i="29" s="1"/>
  <c r="I45" i="29" s="1"/>
  <c r="AS60" i="19"/>
  <c r="G44" i="29" s="1"/>
  <c r="I44" i="29" s="1"/>
  <c r="AS59" i="19"/>
  <c r="G43" i="29" s="1"/>
  <c r="AS58" i="19"/>
  <c r="G42" i="29" s="1"/>
  <c r="AS57" i="19"/>
  <c r="AS56" i="19"/>
  <c r="G40" i="29" s="1"/>
  <c r="I40" i="29" s="1"/>
  <c r="AS55" i="19"/>
  <c r="G39" i="29" s="1"/>
  <c r="I39" i="29" s="1"/>
  <c r="AS54" i="19"/>
  <c r="G38" i="29" s="1"/>
  <c r="AS53" i="19"/>
  <c r="G37" i="29" s="1"/>
  <c r="AS52" i="19"/>
  <c r="G36" i="29" s="1"/>
  <c r="AS51" i="19"/>
  <c r="G35" i="29" s="1"/>
  <c r="AS50" i="19"/>
  <c r="G34" i="29" s="1"/>
  <c r="I34" i="29" s="1"/>
  <c r="AS49" i="19"/>
  <c r="G33" i="29" s="1"/>
  <c r="AS48" i="19"/>
  <c r="G32" i="29" s="1"/>
  <c r="I32" i="29" s="1"/>
  <c r="AS47" i="19"/>
  <c r="G31" i="29" s="1"/>
  <c r="AS46" i="19"/>
  <c r="G30" i="29" s="1"/>
  <c r="AS45" i="19"/>
  <c r="G29" i="29" s="1"/>
  <c r="AS44" i="19"/>
  <c r="G28" i="29" s="1"/>
  <c r="AS43" i="19"/>
  <c r="G27" i="29" s="1"/>
  <c r="AS42" i="19"/>
  <c r="AS41" i="19"/>
  <c r="G25" i="29" s="1"/>
  <c r="AS40" i="19"/>
  <c r="G24" i="29" s="1"/>
  <c r="I24" i="29" s="1"/>
  <c r="AS39" i="19"/>
  <c r="G23" i="29" s="1"/>
  <c r="I23" i="29" s="1"/>
  <c r="AS83" i="22"/>
  <c r="AS84" i="22" s="1"/>
  <c r="AS77" i="22"/>
  <c r="E61" i="29" s="1"/>
  <c r="AS76" i="22"/>
  <c r="E60" i="29" s="1"/>
  <c r="AS75" i="22"/>
  <c r="E59" i="29" s="1"/>
  <c r="AS74" i="22"/>
  <c r="E58" i="29" s="1"/>
  <c r="AS73" i="22"/>
  <c r="E57" i="29" s="1"/>
  <c r="AS72" i="22"/>
  <c r="E56" i="29" s="1"/>
  <c r="AS71" i="22"/>
  <c r="E55" i="29" s="1"/>
  <c r="AS70" i="22"/>
  <c r="E54" i="29" s="1"/>
  <c r="AS69" i="22"/>
  <c r="E53" i="29" s="1"/>
  <c r="AS68" i="22"/>
  <c r="E52" i="29" s="1"/>
  <c r="AS67" i="22"/>
  <c r="E51" i="29" s="1"/>
  <c r="AS66" i="22"/>
  <c r="E50" i="29" s="1"/>
  <c r="AS65" i="22"/>
  <c r="E49" i="29" s="1"/>
  <c r="AS64" i="22"/>
  <c r="E48" i="29" s="1"/>
  <c r="AS63" i="22"/>
  <c r="E47" i="29" s="1"/>
  <c r="AS62" i="22"/>
  <c r="E46" i="29" s="1"/>
  <c r="AS61" i="22"/>
  <c r="E45" i="29" s="1"/>
  <c r="AS60" i="22"/>
  <c r="E44" i="29" s="1"/>
  <c r="AS59" i="22"/>
  <c r="E43" i="29" s="1"/>
  <c r="AS58" i="22"/>
  <c r="E42" i="29" s="1"/>
  <c r="AS57" i="22"/>
  <c r="E41" i="29" s="1"/>
  <c r="AS56" i="22"/>
  <c r="E40" i="29" s="1"/>
  <c r="AS55" i="22"/>
  <c r="E39" i="29" s="1"/>
  <c r="AS54" i="22"/>
  <c r="E38" i="29" s="1"/>
  <c r="AS53" i="22"/>
  <c r="E37" i="29" s="1"/>
  <c r="AS52" i="22"/>
  <c r="E36" i="29" s="1"/>
  <c r="AS51" i="22"/>
  <c r="E35" i="29" s="1"/>
  <c r="AS50" i="22"/>
  <c r="E34" i="29" s="1"/>
  <c r="AS49" i="22"/>
  <c r="E33" i="29" s="1"/>
  <c r="AS48" i="22"/>
  <c r="E32" i="29" s="1"/>
  <c r="AS47" i="22"/>
  <c r="E31" i="29" s="1"/>
  <c r="AS46" i="22"/>
  <c r="E30" i="29" s="1"/>
  <c r="AS45" i="22"/>
  <c r="E29" i="29" s="1"/>
  <c r="AS44" i="22"/>
  <c r="E28" i="29" s="1"/>
  <c r="AS43" i="22"/>
  <c r="E27" i="29" s="1"/>
  <c r="AS42" i="22"/>
  <c r="E26" i="29" s="1"/>
  <c r="AS41" i="22"/>
  <c r="E25" i="29" s="1"/>
  <c r="AS40" i="22"/>
  <c r="E24" i="29" s="1"/>
  <c r="AS39" i="22"/>
  <c r="E23" i="29" s="1"/>
  <c r="AS38" i="22"/>
  <c r="E22" i="29" s="1"/>
  <c r="AS37" i="22"/>
  <c r="E21" i="29" s="1"/>
  <c r="AS36" i="22"/>
  <c r="E20" i="29" s="1"/>
  <c r="AS35" i="22"/>
  <c r="E19" i="29" s="1"/>
  <c r="AS34" i="22"/>
  <c r="E18" i="29" s="1"/>
  <c r="AS33" i="22"/>
  <c r="E17" i="29" s="1"/>
  <c r="AS32" i="22"/>
  <c r="E16" i="29" s="1"/>
  <c r="AS31" i="22"/>
  <c r="E15" i="29" s="1"/>
  <c r="AS30" i="22"/>
  <c r="E14" i="29" s="1"/>
  <c r="AS29" i="22"/>
  <c r="E13" i="29" s="1"/>
  <c r="AS28" i="22"/>
  <c r="E12" i="29" s="1"/>
  <c r="AS25" i="22"/>
  <c r="P5" i="2"/>
  <c r="Q5" i="2"/>
  <c r="R5" i="2"/>
  <c r="S5" i="2"/>
  <c r="U5" i="2"/>
  <c r="M26" i="2"/>
  <c r="R26" i="2"/>
  <c r="X26" i="2"/>
  <c r="AA26" i="2"/>
  <c r="M84" i="2"/>
  <c r="N84" i="2"/>
  <c r="O84" i="2"/>
  <c r="P84" i="2"/>
  <c r="Q84" i="2"/>
  <c r="R84" i="2"/>
  <c r="S84" i="2"/>
  <c r="T84" i="2"/>
  <c r="X84" i="2"/>
  <c r="Y84" i="2"/>
  <c r="Z84" i="2"/>
  <c r="AA84" i="2"/>
  <c r="M103" i="2"/>
  <c r="M85" i="2" s="1"/>
  <c r="N103" i="2"/>
  <c r="N85" i="2" s="1"/>
  <c r="O103" i="2"/>
  <c r="O85" i="2" s="1"/>
  <c r="P103" i="2"/>
  <c r="P104" i="2" s="1"/>
  <c r="Q103" i="2"/>
  <c r="Q85" i="2" s="1"/>
  <c r="R103" i="2"/>
  <c r="R85" i="2" s="1"/>
  <c r="S103" i="2"/>
  <c r="S104" i="2" s="1"/>
  <c r="T103" i="2"/>
  <c r="T104" i="2" s="1"/>
  <c r="U103" i="2"/>
  <c r="U85" i="2" s="1"/>
  <c r="X103" i="2"/>
  <c r="X85" i="2" s="1"/>
  <c r="Y103" i="2"/>
  <c r="Y85" i="2" s="1"/>
  <c r="Z103" i="2"/>
  <c r="Z85" i="2" s="1"/>
  <c r="AA103" i="2"/>
  <c r="AA85" i="2" s="1"/>
  <c r="D2" i="23"/>
  <c r="D2" i="19"/>
  <c r="D2" i="22"/>
  <c r="J8" i="12"/>
  <c r="I8" i="12"/>
  <c r="H8" i="12"/>
  <c r="G8" i="12"/>
  <c r="F8" i="12"/>
  <c r="E8" i="12"/>
  <c r="J7" i="12"/>
  <c r="I7" i="12"/>
  <c r="H7" i="12"/>
  <c r="G7" i="12"/>
  <c r="F7" i="12"/>
  <c r="E7" i="12"/>
  <c r="J6" i="12" a="1"/>
  <c r="J6" i="12" s="1"/>
  <c r="I6" i="12" a="1"/>
  <c r="I6" i="12" s="1"/>
  <c r="H6" i="12" a="1"/>
  <c r="H6" i="12" s="1"/>
  <c r="G6" i="12" a="1"/>
  <c r="G6" i="12" s="1"/>
  <c r="F6" i="12" a="1"/>
  <c r="F6" i="12" s="1"/>
  <c r="E6" i="12" a="1"/>
  <c r="E6" i="12" s="1"/>
  <c r="K4" i="12" a="1"/>
  <c r="K4" i="12" s="1"/>
  <c r="J4" i="12" a="1"/>
  <c r="J4" i="12" s="1"/>
  <c r="I4" i="12" a="1"/>
  <c r="I4" i="12" s="1"/>
  <c r="H4" i="12" a="1"/>
  <c r="H4" i="12" s="1"/>
  <c r="G4" i="12" a="1"/>
  <c r="G4" i="12" s="1"/>
  <c r="F4" i="12" a="1"/>
  <c r="F4" i="12" s="1"/>
  <c r="E4" i="12" a="1"/>
  <c r="E4" i="12" s="1"/>
  <c r="D4" i="12" a="1"/>
  <c r="D4" i="12" s="1"/>
  <c r="K3" i="12" a="1"/>
  <c r="K3" i="12" s="1"/>
  <c r="J3" i="12" a="1"/>
  <c r="J3" i="12" s="1"/>
  <c r="I3" i="12" a="1"/>
  <c r="I3" i="12" s="1"/>
  <c r="H3" i="12" a="1"/>
  <c r="H3" i="12" s="1"/>
  <c r="G3" i="12" a="1"/>
  <c r="G3" i="12" s="1"/>
  <c r="F3" i="12" a="1"/>
  <c r="F3" i="12" s="1"/>
  <c r="E3" i="12" a="1"/>
  <c r="E3" i="12" s="1"/>
  <c r="D3" i="12" a="1"/>
  <c r="D3" i="12" s="1"/>
  <c r="K2" i="12" a="1"/>
  <c r="K2" i="12" s="1"/>
  <c r="J2" i="12" a="1"/>
  <c r="J2" i="12" s="1"/>
  <c r="I2" i="12" a="1"/>
  <c r="I2" i="12" s="1"/>
  <c r="H2" i="12" a="1"/>
  <c r="H2" i="12" s="1"/>
  <c r="G2" i="12" a="1"/>
  <c r="G2" i="12" s="1"/>
  <c r="F2" i="12" a="1"/>
  <c r="F2" i="12" s="1"/>
  <c r="E2" i="12" a="1"/>
  <c r="E2" i="12" s="1"/>
  <c r="D2" i="12" a="1"/>
  <c r="D2" i="12" s="1"/>
  <c r="AC103" i="2"/>
  <c r="AC85" i="2" s="1"/>
  <c r="AD84" i="2"/>
  <c r="AE84" i="2"/>
  <c r="AS83" i="2"/>
  <c r="AS84" i="2" s="1"/>
  <c r="AS77" i="2"/>
  <c r="D61" i="29" s="1"/>
  <c r="AS76" i="2"/>
  <c r="D60" i="29" s="1"/>
  <c r="AS75" i="2"/>
  <c r="D59" i="29" s="1"/>
  <c r="AS74" i="2"/>
  <c r="D58" i="29" s="1"/>
  <c r="AS73" i="2"/>
  <c r="D57" i="29" s="1"/>
  <c r="AS72" i="2"/>
  <c r="D56" i="29" s="1"/>
  <c r="AS71" i="2"/>
  <c r="D55" i="29" s="1"/>
  <c r="AS70" i="2"/>
  <c r="D54" i="29" s="1"/>
  <c r="AS69" i="2"/>
  <c r="D53" i="29" s="1"/>
  <c r="AS68" i="2"/>
  <c r="D52" i="29" s="1"/>
  <c r="AS67" i="2"/>
  <c r="D51" i="29" s="1"/>
  <c r="AS66" i="2"/>
  <c r="D50" i="29" s="1"/>
  <c r="AS65" i="2"/>
  <c r="D49" i="29" s="1"/>
  <c r="AS64" i="2"/>
  <c r="D48" i="29" s="1"/>
  <c r="AS63" i="2"/>
  <c r="D47" i="29" s="1"/>
  <c r="AS62" i="2"/>
  <c r="D46" i="29" s="1"/>
  <c r="AS61" i="2"/>
  <c r="D45" i="29" s="1"/>
  <c r="AS60" i="2"/>
  <c r="D44" i="29" s="1"/>
  <c r="AS59" i="2"/>
  <c r="D43" i="29" s="1"/>
  <c r="AS58" i="2"/>
  <c r="D42" i="29" s="1"/>
  <c r="AS57" i="2"/>
  <c r="D41" i="29" s="1"/>
  <c r="AS56" i="2"/>
  <c r="D40" i="29" s="1"/>
  <c r="AS55" i="2"/>
  <c r="D39" i="29" s="1"/>
  <c r="AS54" i="2"/>
  <c r="D38" i="29" s="1"/>
  <c r="AS53" i="2"/>
  <c r="D37" i="29" s="1"/>
  <c r="AS52" i="2"/>
  <c r="D36" i="29" s="1"/>
  <c r="AS51" i="2"/>
  <c r="D35" i="29" s="1"/>
  <c r="AS50" i="2"/>
  <c r="D34" i="29" s="1"/>
  <c r="AS49" i="2"/>
  <c r="D33" i="29" s="1"/>
  <c r="AS48" i="2"/>
  <c r="D32" i="29" s="1"/>
  <c r="AS47" i="2"/>
  <c r="D31" i="29" s="1"/>
  <c r="AS46" i="2"/>
  <c r="D30" i="29" s="1"/>
  <c r="AS45" i="2"/>
  <c r="D29" i="29" s="1"/>
  <c r="AS44" i="2"/>
  <c r="D28" i="29" s="1"/>
  <c r="AS43" i="2"/>
  <c r="D27" i="29" s="1"/>
  <c r="AS42" i="2"/>
  <c r="D26" i="29" s="1"/>
  <c r="AS41" i="2"/>
  <c r="D25" i="29" s="1"/>
  <c r="AS40" i="2"/>
  <c r="D24" i="29" s="1"/>
  <c r="AS39" i="2"/>
  <c r="D23" i="29" s="1"/>
  <c r="AS38" i="2"/>
  <c r="D22" i="29" s="1"/>
  <c r="AS37" i="2"/>
  <c r="D21" i="29" s="1"/>
  <c r="AS36" i="2"/>
  <c r="D20" i="29" s="1"/>
  <c r="AS35" i="2"/>
  <c r="D19" i="29" s="1"/>
  <c r="AS34" i="2"/>
  <c r="D18" i="29" s="1"/>
  <c r="AS33" i="2"/>
  <c r="D17" i="29" s="1"/>
  <c r="AS32" i="2"/>
  <c r="D16" i="29" s="1"/>
  <c r="AS31" i="2"/>
  <c r="D15" i="29" s="1"/>
  <c r="AS30" i="2"/>
  <c r="D14" i="29" s="1"/>
  <c r="AS29" i="2"/>
  <c r="D13" i="29" s="1"/>
  <c r="AS28" i="2"/>
  <c r="D12" i="29" s="1"/>
  <c r="AS25" i="2"/>
  <c r="AC26" i="2"/>
  <c r="AD26" i="2"/>
  <c r="AP5" i="22"/>
  <c r="AP26" i="22"/>
  <c r="AP78" i="22"/>
  <c r="AP79" i="22"/>
  <c r="AP80" i="22"/>
  <c r="AP82" i="22"/>
  <c r="AP103" i="22"/>
  <c r="AP85" i="22" s="1"/>
  <c r="AP104" i="22"/>
  <c r="AP105" i="22"/>
  <c r="F82" i="22"/>
  <c r="J82" i="22"/>
  <c r="D35" i="12" a="1"/>
  <c r="D35" i="12" s="1"/>
  <c r="D34" i="12" a="1"/>
  <c r="D34" i="12" s="1"/>
  <c r="D32" i="12" a="1"/>
  <c r="D32" i="12" s="1"/>
  <c r="D31" i="12" a="1"/>
  <c r="D31" i="12" s="1"/>
  <c r="K19" i="12" a="1"/>
  <c r="K19" i="12" s="1"/>
  <c r="J19" i="12" a="1"/>
  <c r="J19" i="12" s="1"/>
  <c r="I19" i="12" a="1"/>
  <c r="I19" i="12" s="1"/>
  <c r="H19" i="12" a="1"/>
  <c r="H19" i="12" s="1"/>
  <c r="G19" i="12" a="1"/>
  <c r="G19" i="12" s="1"/>
  <c r="F19" i="12" a="1"/>
  <c r="F19" i="12" s="1"/>
  <c r="E19" i="12" a="1"/>
  <c r="E19" i="12" s="1"/>
  <c r="K18" i="12" a="1"/>
  <c r="K18" i="12" s="1"/>
  <c r="J18" i="12" a="1"/>
  <c r="J18" i="12" s="1"/>
  <c r="I18" i="12" a="1"/>
  <c r="I18" i="12" s="1"/>
  <c r="H18" i="12" a="1"/>
  <c r="H18" i="12" s="1"/>
  <c r="G18" i="12" a="1"/>
  <c r="G18" i="12" s="1"/>
  <c r="F18" i="12" a="1"/>
  <c r="F18" i="12" s="1"/>
  <c r="E18" i="12" a="1"/>
  <c r="E18" i="12" s="1"/>
  <c r="D19" i="12" a="1"/>
  <c r="D19" i="12" s="1"/>
  <c r="D18" i="12" a="1"/>
  <c r="D18" i="12" s="1"/>
  <c r="D8" i="12" a="1"/>
  <c r="D8" i="12" s="1"/>
  <c r="D7" i="12" a="1"/>
  <c r="D7" i="12" s="1"/>
  <c r="D6" i="12" a="1"/>
  <c r="D6" i="12" s="1"/>
  <c r="AR5" i="22"/>
  <c r="H5" i="22"/>
  <c r="I5" i="22"/>
  <c r="J5" i="22"/>
  <c r="K5" i="22"/>
  <c r="L5" i="22"/>
  <c r="M5" i="22"/>
  <c r="N5" i="22"/>
  <c r="O5" i="22"/>
  <c r="P5" i="22"/>
  <c r="Q5" i="22"/>
  <c r="R5" i="22"/>
  <c r="S5" i="22"/>
  <c r="T5" i="22"/>
  <c r="U5" i="22"/>
  <c r="V5" i="22"/>
  <c r="W5" i="22"/>
  <c r="X5" i="22"/>
  <c r="Y5" i="22"/>
  <c r="Z5" i="22"/>
  <c r="AA5" i="22"/>
  <c r="AB5" i="22"/>
  <c r="AC5" i="22"/>
  <c r="AD5" i="22"/>
  <c r="AE5" i="22"/>
  <c r="AF5" i="22"/>
  <c r="AG5" i="22"/>
  <c r="AH5" i="22"/>
  <c r="AI5" i="22"/>
  <c r="AJ5" i="22"/>
  <c r="AK5" i="22"/>
  <c r="AL5" i="22"/>
  <c r="AM5" i="22"/>
  <c r="AN5" i="22"/>
  <c r="AO5" i="22"/>
  <c r="AQ5" i="22"/>
  <c r="AF5" i="2"/>
  <c r="AG5" i="2"/>
  <c r="AH5" i="2"/>
  <c r="AI5" i="2"/>
  <c r="AJ5" i="2"/>
  <c r="AK5" i="2"/>
  <c r="AL5" i="2"/>
  <c r="AM5" i="2"/>
  <c r="J20" i="12" a="1"/>
  <c r="J20" i="12" s="1"/>
  <c r="E20" i="12" a="1"/>
  <c r="E20" i="12" s="1"/>
  <c r="G20" i="12" a="1"/>
  <c r="G20" i="12" s="1"/>
  <c r="I20" i="12" a="1"/>
  <c r="I20" i="12" s="1"/>
  <c r="F20" i="12" a="1"/>
  <c r="F20" i="12" s="1"/>
  <c r="D20" i="12" a="1"/>
  <c r="D20" i="12" s="1"/>
  <c r="K20" i="12" a="1"/>
  <c r="K20" i="12" s="1"/>
  <c r="H20" i="12" a="1"/>
  <c r="H20" i="12" s="1"/>
  <c r="C1" i="22"/>
  <c r="C1" i="19"/>
  <c r="C1" i="23"/>
  <c r="C1" i="2"/>
  <c r="B4" i="23"/>
  <c r="AR105" i="22"/>
  <c r="AQ105" i="22"/>
  <c r="AO105" i="22"/>
  <c r="AN105" i="22"/>
  <c r="AM105" i="22"/>
  <c r="AL105" i="22"/>
  <c r="AK105" i="22"/>
  <c r="AJ105" i="22"/>
  <c r="AI105" i="22"/>
  <c r="AH105" i="22"/>
  <c r="AG105" i="22"/>
  <c r="AF105" i="22"/>
  <c r="AE105" i="22"/>
  <c r="AD105" i="22"/>
  <c r="AC105" i="22"/>
  <c r="AB105" i="22"/>
  <c r="AA105" i="22"/>
  <c r="Z105" i="22"/>
  <c r="Y105" i="22"/>
  <c r="X105" i="22"/>
  <c r="W105" i="22"/>
  <c r="V105" i="22"/>
  <c r="AR104" i="22"/>
  <c r="AQ104" i="22"/>
  <c r="AO104" i="22"/>
  <c r="AN104" i="22"/>
  <c r="AM104" i="22"/>
  <c r="AL104" i="22"/>
  <c r="AK104" i="22"/>
  <c r="AJ104" i="22"/>
  <c r="AI104" i="22"/>
  <c r="AH104" i="22"/>
  <c r="AG104" i="22"/>
  <c r="AF104" i="22"/>
  <c r="AE104" i="22"/>
  <c r="AD104" i="22"/>
  <c r="AC104" i="22"/>
  <c r="AB104" i="22"/>
  <c r="AA104" i="22"/>
  <c r="Z104" i="22"/>
  <c r="X104" i="22"/>
  <c r="W104" i="22"/>
  <c r="V104" i="22"/>
  <c r="U104" i="22"/>
  <c r="T104" i="22"/>
  <c r="S104" i="22"/>
  <c r="R104" i="22"/>
  <c r="Q104" i="22"/>
  <c r="P104" i="22"/>
  <c r="O104" i="22"/>
  <c r="AR103" i="22"/>
  <c r="AR85" i="22" s="1"/>
  <c r="AQ103" i="22"/>
  <c r="AQ85" i="22" s="1"/>
  <c r="AO103" i="22"/>
  <c r="AO85" i="22" s="1"/>
  <c r="AN103" i="22"/>
  <c r="AN85" i="22" s="1"/>
  <c r="AM103" i="22"/>
  <c r="AM85" i="22" s="1"/>
  <c r="AL103" i="22"/>
  <c r="AL85" i="22" s="1"/>
  <c r="AK103" i="22"/>
  <c r="AK85" i="22" s="1"/>
  <c r="AJ103" i="22"/>
  <c r="AJ85" i="22" s="1"/>
  <c r="AI103" i="22"/>
  <c r="AI85" i="22" s="1"/>
  <c r="AH103" i="22"/>
  <c r="AH85" i="22" s="1"/>
  <c r="AG103" i="22"/>
  <c r="AG85" i="22" s="1"/>
  <c r="AF103" i="22"/>
  <c r="AF85" i="22" s="1"/>
  <c r="AE103" i="22"/>
  <c r="AE85" i="22" s="1"/>
  <c r="AD103" i="22"/>
  <c r="AD85" i="22" s="1"/>
  <c r="AC103" i="22"/>
  <c r="AC85" i="22" s="1"/>
  <c r="AB103" i="22"/>
  <c r="AB85" i="22" s="1"/>
  <c r="AA103" i="22"/>
  <c r="AA85" i="22" s="1"/>
  <c r="Z103" i="22"/>
  <c r="Z85" i="22" s="1"/>
  <c r="Y103" i="22"/>
  <c r="Y85" i="22" s="1"/>
  <c r="X103" i="22"/>
  <c r="X85" i="22" s="1"/>
  <c r="W103" i="22"/>
  <c r="W85" i="22" s="1"/>
  <c r="V103" i="22"/>
  <c r="V85" i="22" s="1"/>
  <c r="U103" i="22"/>
  <c r="U85" i="22" s="1"/>
  <c r="T103" i="22"/>
  <c r="T85" i="22" s="1"/>
  <c r="S103" i="22"/>
  <c r="S85" i="22" s="1"/>
  <c r="R103" i="22"/>
  <c r="R85" i="22" s="1"/>
  <c r="Q103" i="22"/>
  <c r="Q85" i="22" s="1"/>
  <c r="P103" i="22"/>
  <c r="P85" i="22" s="1"/>
  <c r="O103" i="22"/>
  <c r="O85" i="22" s="1"/>
  <c r="N103" i="22"/>
  <c r="N85" i="22" s="1"/>
  <c r="M103" i="22"/>
  <c r="M85" i="22" s="1"/>
  <c r="L103" i="22"/>
  <c r="L104" i="22" s="1"/>
  <c r="K103" i="22"/>
  <c r="K85" i="22" s="1"/>
  <c r="J103" i="22"/>
  <c r="J85" i="22" s="1"/>
  <c r="I103" i="22"/>
  <c r="I85" i="22" s="1"/>
  <c r="H103" i="22"/>
  <c r="H85" i="22" s="1"/>
  <c r="F103" i="22"/>
  <c r="F85" i="22" s="1"/>
  <c r="AR84" i="22"/>
  <c r="AQ84" i="22"/>
  <c r="AN84" i="22"/>
  <c r="AM84" i="22"/>
  <c r="AL84" i="22"/>
  <c r="AK84" i="22"/>
  <c r="AJ84" i="22"/>
  <c r="AI84" i="22"/>
  <c r="AH84" i="22"/>
  <c r="AG84" i="22"/>
  <c r="AF84" i="22"/>
  <c r="AE84" i="22"/>
  <c r="AD84" i="22"/>
  <c r="AC84" i="22"/>
  <c r="AB84" i="22"/>
  <c r="AA84" i="22"/>
  <c r="Z84" i="22"/>
  <c r="Y84" i="22"/>
  <c r="X84" i="22"/>
  <c r="W84" i="22"/>
  <c r="V84" i="22"/>
  <c r="U84" i="22"/>
  <c r="T84" i="22"/>
  <c r="S84" i="22"/>
  <c r="R84" i="22"/>
  <c r="Q84" i="22"/>
  <c r="P84" i="22"/>
  <c r="O84" i="22"/>
  <c r="N84" i="22"/>
  <c r="M84" i="22"/>
  <c r="L84" i="22"/>
  <c r="K84" i="22"/>
  <c r="J84" i="22"/>
  <c r="I84" i="22"/>
  <c r="H84" i="22"/>
  <c r="AR82" i="22"/>
  <c r="AQ82" i="22"/>
  <c r="AO82" i="22"/>
  <c r="AN82" i="22"/>
  <c r="AM82" i="22"/>
  <c r="AL82" i="22"/>
  <c r="AK82" i="22"/>
  <c r="AJ82" i="22"/>
  <c r="AI82" i="22"/>
  <c r="AH82" i="22"/>
  <c r="AG82" i="22"/>
  <c r="AF82" i="22"/>
  <c r="AE82" i="22"/>
  <c r="AD82" i="22"/>
  <c r="AC82" i="22"/>
  <c r="AB82" i="22"/>
  <c r="AA82" i="22"/>
  <c r="Z82" i="22"/>
  <c r="Y82" i="22"/>
  <c r="X82" i="22"/>
  <c r="W82" i="22"/>
  <c r="V82" i="22"/>
  <c r="U82" i="22"/>
  <c r="T82" i="22"/>
  <c r="S82" i="22"/>
  <c r="R82" i="22"/>
  <c r="Q82" i="22"/>
  <c r="P82" i="22"/>
  <c r="O82" i="22"/>
  <c r="N82" i="22"/>
  <c r="M82" i="22"/>
  <c r="L82" i="22"/>
  <c r="K82" i="22"/>
  <c r="I82" i="22"/>
  <c r="H82" i="22"/>
  <c r="AR80" i="22"/>
  <c r="AQ80" i="22"/>
  <c r="AO80" i="22"/>
  <c r="AN80" i="22"/>
  <c r="AM80" i="22"/>
  <c r="AL80" i="22"/>
  <c r="AK80" i="22"/>
  <c r="AJ80" i="22"/>
  <c r="AI80" i="22"/>
  <c r="AH80" i="22"/>
  <c r="AG80" i="22"/>
  <c r="AF80" i="22"/>
  <c r="AE80" i="22"/>
  <c r="AD80" i="22"/>
  <c r="AC80" i="22"/>
  <c r="AB80" i="22"/>
  <c r="AA80" i="22"/>
  <c r="Z80" i="22"/>
  <c r="Y80" i="22"/>
  <c r="X80" i="22"/>
  <c r="W80" i="22"/>
  <c r="V80" i="22"/>
  <c r="AR79" i="22"/>
  <c r="AQ79" i="22"/>
  <c r="AO79" i="22"/>
  <c r="AN79" i="22"/>
  <c r="AM79" i="22"/>
  <c r="AL79" i="22"/>
  <c r="AK79" i="22"/>
  <c r="AJ79" i="22"/>
  <c r="AI79" i="22"/>
  <c r="AH79" i="22"/>
  <c r="AG79" i="22"/>
  <c r="AF79" i="22"/>
  <c r="AE79" i="22"/>
  <c r="AD79" i="22"/>
  <c r="AC79" i="22"/>
  <c r="AB79" i="22"/>
  <c r="AA79" i="22"/>
  <c r="Z79" i="22"/>
  <c r="Y79" i="22"/>
  <c r="X79" i="22"/>
  <c r="W79" i="22"/>
  <c r="V79" i="22"/>
  <c r="U79" i="22"/>
  <c r="T79" i="22"/>
  <c r="S79" i="22"/>
  <c r="R79" i="22"/>
  <c r="Q79" i="22"/>
  <c r="P79" i="22"/>
  <c r="O79" i="22"/>
  <c r="N79" i="22"/>
  <c r="M79" i="22"/>
  <c r="L79" i="22"/>
  <c r="K79" i="22"/>
  <c r="J79" i="22"/>
  <c r="I79" i="22"/>
  <c r="H79" i="22"/>
  <c r="F79" i="22"/>
  <c r="AR78" i="22"/>
  <c r="AQ78" i="22"/>
  <c r="AO78" i="22"/>
  <c r="AN78" i="22"/>
  <c r="AM78" i="22"/>
  <c r="AL78" i="22"/>
  <c r="AK78" i="22"/>
  <c r="AJ78" i="22"/>
  <c r="AI78" i="22"/>
  <c r="AH78" i="22"/>
  <c r="AG78" i="22"/>
  <c r="AF78" i="22"/>
  <c r="AE78" i="22"/>
  <c r="AD78" i="22"/>
  <c r="AC78" i="22"/>
  <c r="AB78" i="22"/>
  <c r="AA78" i="22"/>
  <c r="Z78" i="22"/>
  <c r="Y78" i="22"/>
  <c r="X78" i="22"/>
  <c r="W78" i="22"/>
  <c r="V78" i="22"/>
  <c r="U78" i="22"/>
  <c r="U80" i="22"/>
  <c r="T78" i="22"/>
  <c r="T80" i="22"/>
  <c r="S78" i="22"/>
  <c r="S80" i="22"/>
  <c r="R78" i="22"/>
  <c r="R80" i="22"/>
  <c r="Q78" i="22"/>
  <c r="Q80" i="22"/>
  <c r="P78" i="22"/>
  <c r="P80" i="22"/>
  <c r="O78" i="22"/>
  <c r="O80" i="22"/>
  <c r="N78" i="22"/>
  <c r="N80" i="22"/>
  <c r="M78" i="22"/>
  <c r="M80" i="22" s="1"/>
  <c r="L78" i="22"/>
  <c r="L80" i="22" s="1"/>
  <c r="K78" i="22"/>
  <c r="K80" i="22"/>
  <c r="J78" i="22"/>
  <c r="J80" i="22" s="1"/>
  <c r="I78" i="22"/>
  <c r="I80" i="22" s="1"/>
  <c r="H78" i="22"/>
  <c r="H80" i="22" s="1"/>
  <c r="F78" i="22"/>
  <c r="F80" i="22" s="1"/>
  <c r="AR26" i="22"/>
  <c r="AQ26" i="22"/>
  <c r="AO26" i="22"/>
  <c r="AN26" i="22"/>
  <c r="AM26" i="22"/>
  <c r="AL26" i="22"/>
  <c r="AK26" i="22"/>
  <c r="AJ26" i="22"/>
  <c r="AI26" i="22"/>
  <c r="AH26" i="22"/>
  <c r="AG26" i="22"/>
  <c r="AF26" i="22"/>
  <c r="AD26" i="22"/>
  <c r="AC26" i="22"/>
  <c r="AB26" i="22"/>
  <c r="AA26" i="22"/>
  <c r="Z26" i="22"/>
  <c r="Y26" i="22"/>
  <c r="X26" i="22"/>
  <c r="W26" i="22"/>
  <c r="V26" i="22"/>
  <c r="U26" i="22"/>
  <c r="T26" i="22"/>
  <c r="S26" i="22"/>
  <c r="R26" i="22"/>
  <c r="Q26" i="22"/>
  <c r="P26" i="22"/>
  <c r="O26" i="22"/>
  <c r="N26" i="22"/>
  <c r="M26" i="22"/>
  <c r="L26" i="22"/>
  <c r="K26" i="22"/>
  <c r="J26" i="22"/>
  <c r="I26" i="22"/>
  <c r="H26" i="22"/>
  <c r="F26" i="22"/>
  <c r="B4" i="22"/>
  <c r="B4" i="19"/>
  <c r="B4" i="2"/>
  <c r="B5" i="18"/>
  <c r="N104" i="22"/>
  <c r="J104" i="22"/>
  <c r="H104" i="22"/>
  <c r="K104" i="22"/>
  <c r="AE26" i="2"/>
  <c r="AF26" i="2"/>
  <c r="AG26" i="2"/>
  <c r="AH26" i="2"/>
  <c r="AI26" i="2"/>
  <c r="AJ26" i="2"/>
  <c r="AK26" i="2"/>
  <c r="AL26" i="2"/>
  <c r="AM26" i="2"/>
  <c r="AD103" i="2"/>
  <c r="AD85" i="2" s="1"/>
  <c r="AE103" i="2"/>
  <c r="AE85" i="2" s="1"/>
  <c r="AF103" i="2"/>
  <c r="AF85" i="2" s="1"/>
  <c r="AG103" i="2"/>
  <c r="AG85" i="2" s="1"/>
  <c r="AH103" i="2"/>
  <c r="AH85" i="2" s="1"/>
  <c r="AI103" i="2"/>
  <c r="AI85" i="2" s="1"/>
  <c r="AJ103" i="2"/>
  <c r="AJ85" i="2" s="1"/>
  <c r="AK103" i="2"/>
  <c r="AK85" i="2" s="1"/>
  <c r="AL103" i="2"/>
  <c r="AL85" i="2" s="1"/>
  <c r="AM103" i="2"/>
  <c r="AM85" i="2" s="1"/>
  <c r="AC84" i="2"/>
  <c r="AF84" i="2"/>
  <c r="AG84" i="2"/>
  <c r="AH84" i="2"/>
  <c r="AI84" i="2"/>
  <c r="AJ84" i="2"/>
  <c r="AK84" i="2"/>
  <c r="AL84" i="2"/>
  <c r="AM84" i="2"/>
  <c r="D39" i="12"/>
  <c r="AD104" i="2"/>
  <c r="I58" i="29" l="1"/>
  <c r="I42" i="29"/>
  <c r="I25" i="29"/>
  <c r="I33" i="29"/>
  <c r="I51" i="29"/>
  <c r="F19" i="29"/>
  <c r="M19" i="29" s="1"/>
  <c r="F27" i="29"/>
  <c r="M27" i="29" s="1"/>
  <c r="F35" i="29"/>
  <c r="M35" i="29" s="1"/>
  <c r="F43" i="29"/>
  <c r="M43" i="29" s="1"/>
  <c r="F51" i="29"/>
  <c r="M51" i="29" s="1"/>
  <c r="F59" i="29"/>
  <c r="M59" i="29" s="1"/>
  <c r="C4" i="22"/>
  <c r="I59" i="29"/>
  <c r="I49" i="29"/>
  <c r="W104" i="23"/>
  <c r="AB104" i="19"/>
  <c r="I31" i="29"/>
  <c r="I47" i="29"/>
  <c r="C4" i="19"/>
  <c r="I29" i="29"/>
  <c r="C4" i="2"/>
  <c r="I56" i="29"/>
  <c r="I53" i="29"/>
  <c r="C4" i="23"/>
  <c r="C3" i="29"/>
  <c r="C3" i="3"/>
  <c r="I27" i="29"/>
  <c r="I28" i="29"/>
  <c r="V104" i="23"/>
  <c r="F13" i="29"/>
  <c r="M13" i="29" s="1"/>
  <c r="F21" i="29"/>
  <c r="M21" i="29" s="1"/>
  <c r="F29" i="29"/>
  <c r="M29" i="29" s="1"/>
  <c r="F37" i="29"/>
  <c r="M37" i="29" s="1"/>
  <c r="F45" i="29"/>
  <c r="J45" i="29" s="1"/>
  <c r="F53" i="29"/>
  <c r="M53" i="29" s="1"/>
  <c r="F61" i="29"/>
  <c r="M61" i="29" s="1"/>
  <c r="F15" i="29"/>
  <c r="M15" i="29" s="1"/>
  <c r="F23" i="29"/>
  <c r="M23" i="29" s="1"/>
  <c r="F31" i="29"/>
  <c r="F39" i="29"/>
  <c r="M39" i="29" s="1"/>
  <c r="F47" i="29"/>
  <c r="F55" i="29"/>
  <c r="J55" i="29" s="1"/>
  <c r="X104" i="2"/>
  <c r="I37" i="29"/>
  <c r="I43" i="29"/>
  <c r="I38" i="29"/>
  <c r="I46" i="29"/>
  <c r="I30" i="29"/>
  <c r="F14" i="29"/>
  <c r="M14" i="29" s="1"/>
  <c r="F22" i="29"/>
  <c r="M22" i="29" s="1"/>
  <c r="F30" i="29"/>
  <c r="M30" i="29" s="1"/>
  <c r="F38" i="29"/>
  <c r="F46" i="29"/>
  <c r="F54" i="29"/>
  <c r="M54" i="29" s="1"/>
  <c r="U104" i="2"/>
  <c r="Z104" i="2"/>
  <c r="F18" i="29"/>
  <c r="M18" i="29" s="1"/>
  <c r="F26" i="29"/>
  <c r="M26" i="29" s="1"/>
  <c r="F34" i="29"/>
  <c r="M34" i="29" s="1"/>
  <c r="F42" i="29"/>
  <c r="F50" i="29"/>
  <c r="M50" i="29" s="1"/>
  <c r="F58" i="29"/>
  <c r="M58" i="29" s="1"/>
  <c r="F62" i="29"/>
  <c r="M62" i="29" s="1"/>
  <c r="F71" i="29"/>
  <c r="M71" i="29" s="1"/>
  <c r="F63" i="29"/>
  <c r="M63" i="29" s="1"/>
  <c r="I104" i="19"/>
  <c r="F16" i="29"/>
  <c r="M16" i="29" s="1"/>
  <c r="F24" i="29"/>
  <c r="M24" i="29" s="1"/>
  <c r="F32" i="29"/>
  <c r="M32" i="29" s="1"/>
  <c r="F40" i="29"/>
  <c r="M40" i="29" s="1"/>
  <c r="F48" i="29"/>
  <c r="M48" i="29" s="1"/>
  <c r="F56" i="29"/>
  <c r="M56" i="29" s="1"/>
  <c r="F75" i="29"/>
  <c r="M75" i="29" s="1"/>
  <c r="F67" i="29"/>
  <c r="M67" i="29" s="1"/>
  <c r="F17" i="29"/>
  <c r="M17" i="29" s="1"/>
  <c r="F25" i="29"/>
  <c r="M25" i="29" s="1"/>
  <c r="F33" i="29"/>
  <c r="M33" i="29" s="1"/>
  <c r="F41" i="29"/>
  <c r="M41" i="29" s="1"/>
  <c r="F49" i="29"/>
  <c r="F57" i="29"/>
  <c r="M57" i="29" s="1"/>
  <c r="I72" i="29"/>
  <c r="F78" i="29"/>
  <c r="M78" i="29" s="1"/>
  <c r="F70" i="29"/>
  <c r="M70" i="29" s="1"/>
  <c r="I15" i="29"/>
  <c r="I73" i="29"/>
  <c r="I65" i="29"/>
  <c r="I35" i="29"/>
  <c r="I22" i="29"/>
  <c r="I14" i="29"/>
  <c r="I21" i="29"/>
  <c r="I13" i="29"/>
  <c r="I74" i="29"/>
  <c r="I66" i="29"/>
  <c r="I36" i="29"/>
  <c r="I64" i="29"/>
  <c r="I62" i="29"/>
  <c r="I71" i="29"/>
  <c r="I63" i="29"/>
  <c r="I20" i="29"/>
  <c r="I12" i="29"/>
  <c r="I78" i="29"/>
  <c r="I70" i="29"/>
  <c r="I19" i="29"/>
  <c r="I77" i="29"/>
  <c r="I69" i="29"/>
  <c r="I18" i="29"/>
  <c r="I76" i="29"/>
  <c r="I68" i="29"/>
  <c r="I17" i="29"/>
  <c r="I75" i="29"/>
  <c r="I67" i="29"/>
  <c r="I16" i="29"/>
  <c r="AT76" i="23"/>
  <c r="G60" i="29"/>
  <c r="I60" i="29" s="1"/>
  <c r="AT70" i="23"/>
  <c r="G54" i="29"/>
  <c r="I54" i="29" s="1"/>
  <c r="AT57" i="23"/>
  <c r="G41" i="29"/>
  <c r="I41" i="29" s="1"/>
  <c r="J41" i="29" s="1"/>
  <c r="AT42" i="23"/>
  <c r="G26" i="29"/>
  <c r="I26" i="29" s="1"/>
  <c r="F76" i="29"/>
  <c r="M76" i="29" s="1"/>
  <c r="F68" i="29"/>
  <c r="M68" i="29" s="1"/>
  <c r="F74" i="29"/>
  <c r="M74" i="29" s="1"/>
  <c r="F66" i="29"/>
  <c r="M66" i="29" s="1"/>
  <c r="F73" i="29"/>
  <c r="M73" i="29" s="1"/>
  <c r="F65" i="29"/>
  <c r="M65" i="29" s="1"/>
  <c r="F72" i="29"/>
  <c r="M72" i="29" s="1"/>
  <c r="F64" i="29"/>
  <c r="F12" i="29"/>
  <c r="M12" i="29" s="1"/>
  <c r="F20" i="29"/>
  <c r="M20" i="29" s="1"/>
  <c r="F28" i="29"/>
  <c r="F36" i="29"/>
  <c r="M36" i="29" s="1"/>
  <c r="F44" i="29"/>
  <c r="M44" i="29" s="1"/>
  <c r="F52" i="29"/>
  <c r="J52" i="29" s="1"/>
  <c r="F60" i="29"/>
  <c r="M60" i="29" s="1"/>
  <c r="F77" i="29"/>
  <c r="M77" i="29" s="1"/>
  <c r="F69" i="29"/>
  <c r="M69" i="29" s="1"/>
  <c r="Y104" i="19"/>
  <c r="S104" i="23"/>
  <c r="L104" i="23"/>
  <c r="B6" i="18"/>
  <c r="B5" i="23"/>
  <c r="W104" i="19"/>
  <c r="B5" i="22"/>
  <c r="R104" i="2"/>
  <c r="F104" i="22"/>
  <c r="AD104" i="19"/>
  <c r="Y104" i="2"/>
  <c r="Z104" i="23"/>
  <c r="AC104" i="19"/>
  <c r="AA104" i="23"/>
  <c r="J104" i="19"/>
  <c r="J85" i="23"/>
  <c r="X104" i="23"/>
  <c r="T104" i="23"/>
  <c r="V104" i="19"/>
  <c r="AC104" i="2"/>
  <c r="U104" i="23"/>
  <c r="N104" i="23"/>
  <c r="H104" i="2"/>
  <c r="AT76" i="22"/>
  <c r="AT29" i="22"/>
  <c r="AT45" i="22"/>
  <c r="G9" i="12"/>
  <c r="X104" i="19"/>
  <c r="N104" i="2"/>
  <c r="Q104" i="23"/>
  <c r="U104" i="19"/>
  <c r="O104" i="2"/>
  <c r="AA104" i="2"/>
  <c r="K104" i="23"/>
  <c r="O104" i="23"/>
  <c r="P85" i="23"/>
  <c r="J9" i="12"/>
  <c r="L104" i="2"/>
  <c r="AT86" i="23"/>
  <c r="AT77" i="23"/>
  <c r="L85" i="22"/>
  <c r="AS85" i="22" s="1"/>
  <c r="AT41" i="22"/>
  <c r="AT73" i="22"/>
  <c r="AT57" i="22"/>
  <c r="AT49" i="22"/>
  <c r="AT61" i="23"/>
  <c r="G104" i="2"/>
  <c r="AT29" i="23"/>
  <c r="I104" i="22"/>
  <c r="F9" i="12"/>
  <c r="H104" i="23"/>
  <c r="G104" i="22"/>
  <c r="AT51" i="23"/>
  <c r="K104" i="2"/>
  <c r="B5" i="19"/>
  <c r="AT73" i="23"/>
  <c r="Q104" i="19"/>
  <c r="M104" i="22"/>
  <c r="AT64" i="22"/>
  <c r="I9" i="12"/>
  <c r="N104" i="19"/>
  <c r="AT36" i="23"/>
  <c r="AT38" i="22"/>
  <c r="AT50" i="22"/>
  <c r="P85" i="2"/>
  <c r="T85" i="2"/>
  <c r="Q104" i="2"/>
  <c r="M104" i="23"/>
  <c r="B5" i="2"/>
  <c r="AT62" i="22"/>
  <c r="AT32" i="22"/>
  <c r="AT55" i="23"/>
  <c r="AT91" i="22"/>
  <c r="AT86" i="22"/>
  <c r="AT43" i="22"/>
  <c r="AT66" i="22"/>
  <c r="M104" i="2"/>
  <c r="K85" i="19"/>
  <c r="AT74" i="22"/>
  <c r="AT101" i="23"/>
  <c r="AT71" i="22"/>
  <c r="AT90" i="22"/>
  <c r="AT52" i="22"/>
  <c r="AT67" i="22"/>
  <c r="AT55" i="22"/>
  <c r="AT39" i="22"/>
  <c r="AT63" i="22"/>
  <c r="AT60" i="22"/>
  <c r="AT51" i="22"/>
  <c r="AT75" i="22"/>
  <c r="AT34" i="22"/>
  <c r="AT72" i="22"/>
  <c r="AT42" i="22"/>
  <c r="AT92" i="23"/>
  <c r="AT49" i="23"/>
  <c r="AT89" i="23"/>
  <c r="AT60" i="23"/>
  <c r="AT69" i="23"/>
  <c r="AT102" i="23"/>
  <c r="AT87" i="22"/>
  <c r="AT88" i="22"/>
  <c r="AS26" i="22"/>
  <c r="AT102" i="22"/>
  <c r="AT35" i="22"/>
  <c r="AT40" i="22"/>
  <c r="AT61" i="22"/>
  <c r="J85" i="2"/>
  <c r="AT40" i="23"/>
  <c r="AT63" i="23"/>
  <c r="L104" i="19"/>
  <c r="L85" i="19"/>
  <c r="AT88" i="23"/>
  <c r="T85" i="19"/>
  <c r="T104" i="19"/>
  <c r="R85" i="19"/>
  <c r="R104" i="19"/>
  <c r="AT71" i="23"/>
  <c r="AT58" i="23"/>
  <c r="AT62" i="23"/>
  <c r="AT64" i="23"/>
  <c r="AT66" i="23"/>
  <c r="AT68" i="23"/>
  <c r="M85" i="19"/>
  <c r="M104" i="19"/>
  <c r="AT91" i="23"/>
  <c r="AT87" i="23"/>
  <c r="P104" i="19"/>
  <c r="AS27" i="22" a="1"/>
  <c r="AS27" i="22" s="1"/>
  <c r="S85" i="2"/>
  <c r="AT90" i="23"/>
  <c r="I85" i="23"/>
  <c r="I104" i="23"/>
  <c r="AT67" i="23"/>
  <c r="AT30" i="23"/>
  <c r="AT44" i="23"/>
  <c r="AT33" i="23"/>
  <c r="AS26" i="23"/>
  <c r="AT59" i="23"/>
  <c r="AS24" i="23" a="1"/>
  <c r="AS24" i="23" s="1"/>
  <c r="H8" i="29" s="1"/>
  <c r="AS27" i="23" a="1"/>
  <c r="AS27" i="23" s="1"/>
  <c r="AS23" i="19" a="1"/>
  <c r="AS23" i="19" s="1"/>
  <c r="O104" i="19"/>
  <c r="AT74" i="23"/>
  <c r="AT72" i="23"/>
  <c r="AT33" i="22"/>
  <c r="AT47" i="22"/>
  <c r="AS24" i="22" a="1"/>
  <c r="AS24" i="22" s="1"/>
  <c r="E8" i="29" s="1"/>
  <c r="E32" i="12" a="1"/>
  <c r="E32" i="12" s="1"/>
  <c r="F32" i="12" s="1"/>
  <c r="AT54" i="22"/>
  <c r="AT32" i="23"/>
  <c r="AT28" i="23"/>
  <c r="AS26" i="19"/>
  <c r="AS24" i="19" a="1"/>
  <c r="AS24" i="19" s="1"/>
  <c r="AT65" i="22"/>
  <c r="E31" i="12" a="1"/>
  <c r="E31" i="12" s="1"/>
  <c r="AS26" i="2"/>
  <c r="AT36" i="22"/>
  <c r="AT28" i="22"/>
  <c r="AT59" i="22"/>
  <c r="AT89" i="22"/>
  <c r="AT56" i="22"/>
  <c r="AT30" i="22"/>
  <c r="AT44" i="22"/>
  <c r="AS103" i="23"/>
  <c r="L19" i="12"/>
  <c r="L18" i="12"/>
  <c r="AT75" i="23"/>
  <c r="AT37" i="23"/>
  <c r="AT35" i="23"/>
  <c r="AT54" i="23"/>
  <c r="AT56" i="23"/>
  <c r="AT101" i="22"/>
  <c r="AT39" i="23"/>
  <c r="AT41" i="23"/>
  <c r="AT37" i="22"/>
  <c r="AT46" i="22"/>
  <c r="AT48" i="22"/>
  <c r="AT47" i="23"/>
  <c r="AT38" i="23"/>
  <c r="AT45" i="23"/>
  <c r="AT43" i="23"/>
  <c r="K9" i="12"/>
  <c r="K21" i="12"/>
  <c r="I21" i="12"/>
  <c r="E34" i="12" a="1"/>
  <c r="E34" i="12" s="1"/>
  <c r="E36" i="12" s="1"/>
  <c r="AS7" i="23" a="1"/>
  <c r="AS7" i="23" s="1"/>
  <c r="H6" i="29" s="1"/>
  <c r="AS7" i="19" a="1"/>
  <c r="AS7" i="19" s="1"/>
  <c r="G6" i="29" s="1"/>
  <c r="AS27" i="19" a="1"/>
  <c r="AS27" i="19" s="1"/>
  <c r="E35" i="12" a="1"/>
  <c r="E35" i="12" s="1"/>
  <c r="F35" i="12" s="1"/>
  <c r="AS23" i="23" a="1"/>
  <c r="AS23" i="23" s="1"/>
  <c r="H7" i="29" s="1"/>
  <c r="AT95" i="23"/>
  <c r="AT97" i="23"/>
  <c r="AT99" i="23"/>
  <c r="AT94" i="23"/>
  <c r="AT96" i="23"/>
  <c r="AT98" i="23"/>
  <c r="AT94" i="22"/>
  <c r="AT98" i="22"/>
  <c r="AT93" i="22"/>
  <c r="AT95" i="22"/>
  <c r="AT99" i="22"/>
  <c r="AT96" i="22"/>
  <c r="AT97" i="22"/>
  <c r="AT77" i="22"/>
  <c r="AT70" i="22"/>
  <c r="AT69" i="22"/>
  <c r="AT68" i="22"/>
  <c r="AT65" i="23"/>
  <c r="AT52" i="23"/>
  <c r="AT50" i="23"/>
  <c r="AT48" i="23"/>
  <c r="AT31" i="23"/>
  <c r="D33" i="12"/>
  <c r="AS81" i="23"/>
  <c r="AT34" i="23"/>
  <c r="AT93" i="23"/>
  <c r="AS103" i="22"/>
  <c r="AT92" i="22"/>
  <c r="AS103" i="19"/>
  <c r="AT100" i="23"/>
  <c r="AT100" i="22"/>
  <c r="AT53" i="22"/>
  <c r="AT53" i="23"/>
  <c r="AT58" i="22"/>
  <c r="AS78" i="23"/>
  <c r="AW58" i="23" s="1"/>
  <c r="F21" i="12"/>
  <c r="G21" i="12"/>
  <c r="H21" i="12"/>
  <c r="J21" i="12"/>
  <c r="K12" i="12"/>
  <c r="D9" i="12"/>
  <c r="E21" i="12"/>
  <c r="D21" i="12"/>
  <c r="L20" i="12"/>
  <c r="D36" i="12"/>
  <c r="AS7" i="22" a="1"/>
  <c r="AS7" i="22" s="1"/>
  <c r="E6" i="29" s="1"/>
  <c r="AS23" i="22" a="1"/>
  <c r="AS23" i="22" s="1"/>
  <c r="E7" i="29" s="1"/>
  <c r="AT31" i="22"/>
  <c r="AS81" i="22"/>
  <c r="AS78" i="22"/>
  <c r="K11" i="12"/>
  <c r="AT46" i="23"/>
  <c r="AS78" i="19"/>
  <c r="AS81" i="19"/>
  <c r="H9" i="12"/>
  <c r="AS81" i="2"/>
  <c r="E12" i="12"/>
  <c r="G12" i="12"/>
  <c r="I12" i="12"/>
  <c r="L8" i="12"/>
  <c r="E11" i="12"/>
  <c r="G11" i="12"/>
  <c r="I11" i="12"/>
  <c r="L7" i="12"/>
  <c r="AS24" i="2" a="1"/>
  <c r="AS24" i="2" s="1"/>
  <c r="D8" i="29" s="1"/>
  <c r="AS78" i="2"/>
  <c r="AS103" i="2"/>
  <c r="F12" i="12"/>
  <c r="H12" i="12"/>
  <c r="J12" i="12"/>
  <c r="F11" i="12"/>
  <c r="H11" i="12"/>
  <c r="J11" i="12"/>
  <c r="E9" i="12"/>
  <c r="L6" i="12"/>
  <c r="E5" i="12"/>
  <c r="E10" i="12"/>
  <c r="G10" i="12"/>
  <c r="G5" i="12"/>
  <c r="I10" i="12"/>
  <c r="I5" i="12"/>
  <c r="K10" i="12"/>
  <c r="K5" i="12"/>
  <c r="L2" i="12"/>
  <c r="D5" i="12"/>
  <c r="D10" i="12"/>
  <c r="F10" i="12"/>
  <c r="F5" i="12"/>
  <c r="H5" i="12"/>
  <c r="H10" i="12"/>
  <c r="J10" i="12"/>
  <c r="J5" i="12"/>
  <c r="D11" i="12"/>
  <c r="L3" i="12"/>
  <c r="L4" i="12"/>
  <c r="D12" i="12"/>
  <c r="AS23" i="2" a="1"/>
  <c r="AS23" i="2" s="1"/>
  <c r="D7" i="29" s="1"/>
  <c r="AS7" i="2" a="1"/>
  <c r="AS7" i="2" s="1"/>
  <c r="D6" i="29" s="1"/>
  <c r="AS27" i="2" a="1"/>
  <c r="AS27" i="2" s="1"/>
  <c r="J42" i="29" l="1"/>
  <c r="AS110" i="22"/>
  <c r="AS108" i="22"/>
  <c r="AS109" i="22"/>
  <c r="AS107" i="22"/>
  <c r="AS110" i="23"/>
  <c r="AS108" i="23"/>
  <c r="AS107" i="23"/>
  <c r="AS109" i="23"/>
  <c r="AS110" i="2"/>
  <c r="AS108" i="2"/>
  <c r="AS107" i="2"/>
  <c r="AS109" i="2"/>
  <c r="AS110" i="19"/>
  <c r="AS108" i="19"/>
  <c r="AS109" i="19"/>
  <c r="AS107" i="19"/>
  <c r="E11" i="29"/>
  <c r="D11" i="29"/>
  <c r="H11" i="29"/>
  <c r="G11" i="29"/>
  <c r="J51" i="29"/>
  <c r="J27" i="29"/>
  <c r="J59" i="29"/>
  <c r="J43" i="29"/>
  <c r="J19" i="29"/>
  <c r="J35" i="29"/>
  <c r="J47" i="29"/>
  <c r="J49" i="29"/>
  <c r="J31" i="29"/>
  <c r="C5" i="2"/>
  <c r="C5" i="19"/>
  <c r="C5" i="22"/>
  <c r="M47" i="29"/>
  <c r="J39" i="29"/>
  <c r="M45" i="29"/>
  <c r="C5" i="23"/>
  <c r="J29" i="29"/>
  <c r="M55" i="29"/>
  <c r="J13" i="29"/>
  <c r="J23" i="29"/>
  <c r="C4" i="3"/>
  <c r="C4" i="29"/>
  <c r="J28" i="29"/>
  <c r="J46" i="29"/>
  <c r="J18" i="29"/>
  <c r="J63" i="29"/>
  <c r="J21" i="29"/>
  <c r="J53" i="29"/>
  <c r="J15" i="29"/>
  <c r="M46" i="29"/>
  <c r="J37" i="29"/>
  <c r="J14" i="29"/>
  <c r="M31" i="29"/>
  <c r="J38" i="29"/>
  <c r="J61" i="29"/>
  <c r="J67" i="29"/>
  <c r="J34" i="29"/>
  <c r="M42" i="29"/>
  <c r="J48" i="29"/>
  <c r="M28" i="29"/>
  <c r="J22" i="29"/>
  <c r="J30" i="29"/>
  <c r="M38" i="29"/>
  <c r="J26" i="29"/>
  <c r="J54" i="29"/>
  <c r="J78" i="29"/>
  <c r="J71" i="29"/>
  <c r="J64" i="29"/>
  <c r="J74" i="29"/>
  <c r="J17" i="29"/>
  <c r="J73" i="29"/>
  <c r="J16" i="29"/>
  <c r="J70" i="29"/>
  <c r="J50" i="29"/>
  <c r="J25" i="29"/>
  <c r="J32" i="29"/>
  <c r="J68" i="29"/>
  <c r="B6" i="23"/>
  <c r="J58" i="29"/>
  <c r="J33" i="29"/>
  <c r="M52" i="29"/>
  <c r="J72" i="29"/>
  <c r="J44" i="29"/>
  <c r="J40" i="29"/>
  <c r="J62" i="29"/>
  <c r="AT81" i="23"/>
  <c r="M49" i="29"/>
  <c r="J12" i="29"/>
  <c r="AT81" i="22"/>
  <c r="J24" i="29"/>
  <c r="M64" i="29"/>
  <c r="J75" i="29"/>
  <c r="J56" i="29"/>
  <c r="J57" i="29"/>
  <c r="J36" i="29"/>
  <c r="J65" i="29"/>
  <c r="J20" i="29"/>
  <c r="I6" i="29"/>
  <c r="H79" i="29"/>
  <c r="J60" i="29"/>
  <c r="F16" i="12" a="1"/>
  <c r="F16" i="12" s="1"/>
  <c r="F24" i="12" s="1"/>
  <c r="G8" i="29"/>
  <c r="J15" i="12" a="1"/>
  <c r="J15" i="12" s="1"/>
  <c r="J23" i="12" s="1"/>
  <c r="G7" i="29"/>
  <c r="I7" i="29" s="1"/>
  <c r="J76" i="29"/>
  <c r="J69" i="29"/>
  <c r="F6" i="29"/>
  <c r="J77" i="29"/>
  <c r="J66" i="29"/>
  <c r="E79" i="29"/>
  <c r="F7" i="29"/>
  <c r="D79" i="29"/>
  <c r="F8" i="29"/>
  <c r="AS82" i="23"/>
  <c r="B6" i="22"/>
  <c r="B7" i="18"/>
  <c r="C5" i="3" s="1"/>
  <c r="AV46" i="19"/>
  <c r="AT78" i="23"/>
  <c r="AT67" i="2"/>
  <c r="AT78" i="22"/>
  <c r="B6" i="19"/>
  <c r="B6" i="2"/>
  <c r="AS85" i="23"/>
  <c r="AS85" i="19"/>
  <c r="AT103" i="23"/>
  <c r="AT27" i="22"/>
  <c r="G15" i="12" a="1"/>
  <c r="G15" i="12" s="1"/>
  <c r="G23" i="12" s="1"/>
  <c r="D15" i="12" a="1"/>
  <c r="D15" i="12" s="1"/>
  <c r="D23" i="12" s="1"/>
  <c r="H15" i="12" a="1"/>
  <c r="H15" i="12" s="1"/>
  <c r="H23" i="12" s="1"/>
  <c r="F15" i="12" a="1"/>
  <c r="F15" i="12" s="1"/>
  <c r="F23" i="12" s="1"/>
  <c r="K15" i="12" a="1"/>
  <c r="K15" i="12" s="1"/>
  <c r="K23" i="12" s="1"/>
  <c r="E15" i="12" a="1"/>
  <c r="E15" i="12" s="1"/>
  <c r="E23" i="12" s="1"/>
  <c r="I15" i="12" a="1"/>
  <c r="I15" i="12" s="1"/>
  <c r="I23" i="12" s="1"/>
  <c r="I38" i="12"/>
  <c r="G16" i="12" a="1"/>
  <c r="G16" i="12" s="1"/>
  <c r="G24" i="12" s="1"/>
  <c r="G26" i="12" s="1"/>
  <c r="M6" i="12"/>
  <c r="I36" i="12"/>
  <c r="E33" i="12"/>
  <c r="F33" i="12" s="1"/>
  <c r="AT24" i="22"/>
  <c r="AS104" i="22"/>
  <c r="I35" i="12"/>
  <c r="F31" i="12"/>
  <c r="M19" i="12"/>
  <c r="AS105" i="23"/>
  <c r="AT23" i="23"/>
  <c r="AS79" i="23"/>
  <c r="M18" i="12"/>
  <c r="AS104" i="23"/>
  <c r="H16" i="12" a="1"/>
  <c r="H16" i="12" s="1"/>
  <c r="H24" i="12" s="1"/>
  <c r="H26" i="12" s="1"/>
  <c r="I16" i="12" a="1"/>
  <c r="I16" i="12" s="1"/>
  <c r="I24" i="12" s="1"/>
  <c r="I26" i="12" s="1"/>
  <c r="AT66" i="19"/>
  <c r="AT67" i="19"/>
  <c r="AT70" i="19"/>
  <c r="F34" i="12"/>
  <c r="AT71" i="19"/>
  <c r="AT24" i="23"/>
  <c r="J16" i="12" a="1"/>
  <c r="J16" i="12" s="1"/>
  <c r="J24" i="12" s="1"/>
  <c r="E16" i="12" a="1"/>
  <c r="E16" i="12" s="1"/>
  <c r="E24" i="12" s="1"/>
  <c r="D16" i="12" a="1"/>
  <c r="D16" i="12" s="1"/>
  <c r="D24" i="12" s="1"/>
  <c r="K16" i="12" a="1"/>
  <c r="K16" i="12" s="1"/>
  <c r="K24" i="12" s="1"/>
  <c r="AS105" i="22"/>
  <c r="AS80" i="22"/>
  <c r="AT7" i="23"/>
  <c r="G14" i="12" a="1"/>
  <c r="G14" i="12" s="1"/>
  <c r="G22" i="12" s="1"/>
  <c r="J14" i="12" a="1"/>
  <c r="J14" i="12" s="1"/>
  <c r="J22" i="12" s="1"/>
  <c r="J27" i="12" s="1"/>
  <c r="D37" i="12"/>
  <c r="M8" i="12"/>
  <c r="AS80" i="19"/>
  <c r="AT68" i="19"/>
  <c r="AT69" i="19"/>
  <c r="AT27" i="23"/>
  <c r="AT65" i="19"/>
  <c r="M20" i="12"/>
  <c r="F36" i="12"/>
  <c r="E14" i="12" a="1"/>
  <c r="E14" i="12" s="1"/>
  <c r="E22" i="12" s="1"/>
  <c r="E27" i="12" s="1"/>
  <c r="H14" i="12" a="1"/>
  <c r="H14" i="12" s="1"/>
  <c r="H22" i="12" s="1"/>
  <c r="AS105" i="19"/>
  <c r="AS79" i="19"/>
  <c r="I14" i="12" a="1"/>
  <c r="I14" i="12" s="1"/>
  <c r="I22" i="12" s="1"/>
  <c r="K14" i="12" a="1"/>
  <c r="K14" i="12" s="1"/>
  <c r="K22" i="12" s="1"/>
  <c r="K27" i="12" s="1"/>
  <c r="AS82" i="19"/>
  <c r="F14" i="12" a="1"/>
  <c r="F14" i="12" s="1"/>
  <c r="F22" i="12" s="1"/>
  <c r="F27" i="12" s="1"/>
  <c r="D14" i="12" a="1"/>
  <c r="D14" i="12" s="1"/>
  <c r="D22" i="12" s="1"/>
  <c r="M3" i="12"/>
  <c r="M7" i="12"/>
  <c r="AS85" i="2"/>
  <c r="AT85" i="22" s="1"/>
  <c r="AS104" i="19"/>
  <c r="AW73" i="23"/>
  <c r="AW50" i="23"/>
  <c r="AW46" i="23"/>
  <c r="AW71" i="23"/>
  <c r="AW53" i="23"/>
  <c r="AW64" i="23"/>
  <c r="AW47" i="23"/>
  <c r="AW76" i="23"/>
  <c r="AW67" i="23"/>
  <c r="AW65" i="23"/>
  <c r="AW33" i="23"/>
  <c r="AW75" i="23"/>
  <c r="AW66" i="23"/>
  <c r="AW51" i="23"/>
  <c r="AW41" i="23"/>
  <c r="AW55" i="23"/>
  <c r="AW30" i="23"/>
  <c r="AW70" i="23"/>
  <c r="AW38" i="23"/>
  <c r="AW40" i="23"/>
  <c r="AW77" i="23"/>
  <c r="AW45" i="23"/>
  <c r="AW44" i="23"/>
  <c r="AS80" i="23"/>
  <c r="AW35" i="23"/>
  <c r="AW34" i="23"/>
  <c r="AW36" i="23"/>
  <c r="AW32" i="23"/>
  <c r="AW56" i="23"/>
  <c r="AW69" i="23"/>
  <c r="AW37" i="23"/>
  <c r="AW28" i="23"/>
  <c r="AW74" i="23"/>
  <c r="AW42" i="23"/>
  <c r="AW48" i="23"/>
  <c r="AW31" i="23"/>
  <c r="AW49" i="23"/>
  <c r="AW52" i="23"/>
  <c r="AW39" i="23"/>
  <c r="AW60" i="23"/>
  <c r="AW57" i="23"/>
  <c r="AW72" i="23"/>
  <c r="AW62" i="23"/>
  <c r="AW43" i="23"/>
  <c r="AW54" i="23"/>
  <c r="AW68" i="23"/>
  <c r="AW59" i="23"/>
  <c r="AW61" i="23"/>
  <c r="AW29" i="23"/>
  <c r="AW63" i="23"/>
  <c r="L9" i="12"/>
  <c r="L21" i="12"/>
  <c r="AS105" i="2"/>
  <c r="M4" i="12"/>
  <c r="AS79" i="22"/>
  <c r="AS82" i="22"/>
  <c r="AT66" i="2"/>
  <c r="AT61" i="2"/>
  <c r="AT37" i="2"/>
  <c r="AV39" i="19"/>
  <c r="AV74" i="19"/>
  <c r="AV34" i="19"/>
  <c r="AV66" i="19"/>
  <c r="AV53" i="19"/>
  <c r="AV55" i="19"/>
  <c r="AV56" i="19"/>
  <c r="AV75" i="19"/>
  <c r="AV35" i="19"/>
  <c r="AV49" i="19"/>
  <c r="AV43" i="19"/>
  <c r="AV52" i="19"/>
  <c r="AV63" i="19"/>
  <c r="AV42" i="19"/>
  <c r="AV77" i="19"/>
  <c r="AV45" i="19"/>
  <c r="AV31" i="19"/>
  <c r="AV48" i="19"/>
  <c r="AV51" i="19"/>
  <c r="AV54" i="19"/>
  <c r="AV59" i="19"/>
  <c r="AV57" i="19"/>
  <c r="AV71" i="19"/>
  <c r="AV60" i="19"/>
  <c r="AV28" i="19"/>
  <c r="AV47" i="19"/>
  <c r="AV50" i="19"/>
  <c r="AV72" i="19"/>
  <c r="AV62" i="19"/>
  <c r="AV65" i="19"/>
  <c r="AV68" i="19"/>
  <c r="AV58" i="19"/>
  <c r="AV61" i="19"/>
  <c r="AV64" i="19"/>
  <c r="AV70" i="19"/>
  <c r="AV73" i="19"/>
  <c r="AV76" i="19"/>
  <c r="AV69" i="19"/>
  <c r="AV40" i="19"/>
  <c r="AV30" i="19"/>
  <c r="AV36" i="19"/>
  <c r="AV29" i="19"/>
  <c r="AV32" i="19"/>
  <c r="AV38" i="19"/>
  <c r="AV41" i="19"/>
  <c r="AV44" i="19"/>
  <c r="AV37" i="19"/>
  <c r="AV33" i="19"/>
  <c r="AV67" i="19"/>
  <c r="AT64" i="2"/>
  <c r="AT30" i="2"/>
  <c r="AT51" i="2"/>
  <c r="AT57" i="2"/>
  <c r="AT52" i="2"/>
  <c r="AT70" i="2"/>
  <c r="AT75" i="2"/>
  <c r="AT76" i="2"/>
  <c r="AT35" i="2"/>
  <c r="AT28" i="2"/>
  <c r="AT77" i="2"/>
  <c r="AT39" i="2"/>
  <c r="AT46" i="2"/>
  <c r="AT36" i="2"/>
  <c r="AT47" i="2"/>
  <c r="AT38" i="2"/>
  <c r="AT31" i="2"/>
  <c r="AT43" i="2"/>
  <c r="AT34" i="2"/>
  <c r="AT44" i="2"/>
  <c r="AT71" i="2"/>
  <c r="AT62" i="2"/>
  <c r="AT56" i="2"/>
  <c r="AT33" i="2"/>
  <c r="AT58" i="2"/>
  <c r="AT65" i="2"/>
  <c r="AT32" i="2"/>
  <c r="M2" i="12"/>
  <c r="AS82" i="2"/>
  <c r="AT29" i="2"/>
  <c r="AT68" i="2"/>
  <c r="AT59" i="2"/>
  <c r="AT60" i="2"/>
  <c r="AT41" i="2"/>
  <c r="AT73" i="2"/>
  <c r="AT63" i="2"/>
  <c r="AT48" i="2"/>
  <c r="AT50" i="2"/>
  <c r="AT45" i="2"/>
  <c r="AT72" i="2"/>
  <c r="AT74" i="2"/>
  <c r="AT69" i="2"/>
  <c r="AT49" i="2"/>
  <c r="AT53" i="2"/>
  <c r="AT55" i="2"/>
  <c r="AT40" i="2"/>
  <c r="AT42" i="2"/>
  <c r="AT54" i="2"/>
  <c r="AT103" i="22"/>
  <c r="AS104" i="2"/>
  <c r="AT23" i="22"/>
  <c r="L11" i="12"/>
  <c r="AS80" i="2"/>
  <c r="J13" i="12"/>
  <c r="F13" i="12"/>
  <c r="L5" i="12"/>
  <c r="E13" i="12"/>
  <c r="L12" i="12"/>
  <c r="H13" i="12"/>
  <c r="D13" i="12"/>
  <c r="L10" i="12"/>
  <c r="K13" i="12"/>
  <c r="I13" i="12"/>
  <c r="G13" i="12"/>
  <c r="AT7" i="22"/>
  <c r="AS79" i="2"/>
  <c r="I11" i="29" l="1"/>
  <c r="F11" i="29"/>
  <c r="AT110" i="23"/>
  <c r="AT109" i="23"/>
  <c r="AT108" i="23"/>
  <c r="AT107" i="23"/>
  <c r="AT110" i="22"/>
  <c r="AT109" i="22"/>
  <c r="AT108" i="22"/>
  <c r="AT107" i="22"/>
  <c r="C6" i="22"/>
  <c r="C6" i="2"/>
  <c r="C6" i="23"/>
  <c r="C6" i="19"/>
  <c r="B7" i="23"/>
  <c r="C5" i="29"/>
  <c r="N71" i="29"/>
  <c r="O71" i="29" s="1"/>
  <c r="R71" i="29" s="1"/>
  <c r="N46" i="29"/>
  <c r="O46" i="29" s="1"/>
  <c r="T46" i="29" s="1"/>
  <c r="N68" i="29"/>
  <c r="O68" i="29" s="1"/>
  <c r="T68" i="29" s="1"/>
  <c r="N47" i="29"/>
  <c r="O47" i="29" s="1"/>
  <c r="T47" i="29" s="1"/>
  <c r="N18" i="29"/>
  <c r="O18" i="29" s="1"/>
  <c r="T18" i="29" s="1"/>
  <c r="N31" i="29"/>
  <c r="O31" i="29" s="1"/>
  <c r="R31" i="29" s="1"/>
  <c r="N74" i="29"/>
  <c r="O74" i="29" s="1"/>
  <c r="R74" i="29" s="1"/>
  <c r="N63" i="29"/>
  <c r="O63" i="29" s="1"/>
  <c r="R63" i="29" s="1"/>
  <c r="N30" i="29"/>
  <c r="O30" i="29" s="1"/>
  <c r="R30" i="29" s="1"/>
  <c r="N59" i="29"/>
  <c r="O59" i="29" s="1"/>
  <c r="R59" i="29" s="1"/>
  <c r="N48" i="29"/>
  <c r="O48" i="29" s="1"/>
  <c r="T48" i="29" s="1"/>
  <c r="N35" i="29"/>
  <c r="O35" i="29" s="1"/>
  <c r="U35" i="29" s="1"/>
  <c r="N41" i="29"/>
  <c r="O41" i="29" s="1"/>
  <c r="R41" i="29" s="1"/>
  <c r="N37" i="29"/>
  <c r="O37" i="29" s="1"/>
  <c r="U37" i="29" s="1"/>
  <c r="N32" i="29"/>
  <c r="O32" i="29" s="1"/>
  <c r="T32" i="29" s="1"/>
  <c r="N13" i="29"/>
  <c r="O13" i="29" s="1"/>
  <c r="U13" i="29" s="1"/>
  <c r="N38" i="29"/>
  <c r="O38" i="29" s="1"/>
  <c r="U38" i="29" s="1"/>
  <c r="N78" i="29"/>
  <c r="O78" i="29" s="1"/>
  <c r="R78" i="29" s="1"/>
  <c r="N50" i="29"/>
  <c r="O50" i="29" s="1"/>
  <c r="U50" i="29" s="1"/>
  <c r="N77" i="29"/>
  <c r="O77" i="29" s="1"/>
  <c r="U77" i="29" s="1"/>
  <c r="N44" i="29"/>
  <c r="O44" i="29" s="1"/>
  <c r="U44" i="29" s="1"/>
  <c r="N14" i="29"/>
  <c r="O14" i="29" s="1"/>
  <c r="R14" i="29" s="1"/>
  <c r="N17" i="29"/>
  <c r="O17" i="29" s="1"/>
  <c r="U17" i="29" s="1"/>
  <c r="N76" i="29"/>
  <c r="O76" i="29" s="1"/>
  <c r="T76" i="29" s="1"/>
  <c r="N69" i="29"/>
  <c r="O69" i="29" s="1"/>
  <c r="R69" i="29" s="1"/>
  <c r="N45" i="29"/>
  <c r="O45" i="29" s="1"/>
  <c r="U45" i="29" s="1"/>
  <c r="N72" i="29"/>
  <c r="O72" i="29" s="1"/>
  <c r="U72" i="29" s="1"/>
  <c r="N43" i="29"/>
  <c r="O43" i="29" s="1"/>
  <c r="R43" i="29" s="1"/>
  <c r="N57" i="29"/>
  <c r="O57" i="29" s="1"/>
  <c r="U57" i="29" s="1"/>
  <c r="N23" i="29"/>
  <c r="O23" i="29" s="1"/>
  <c r="U23" i="29" s="1"/>
  <c r="N56" i="29"/>
  <c r="O56" i="29" s="1"/>
  <c r="R56" i="29" s="1"/>
  <c r="N65" i="29"/>
  <c r="O65" i="29" s="1"/>
  <c r="U65" i="29" s="1"/>
  <c r="N61" i="29"/>
  <c r="O61" i="29" s="1"/>
  <c r="R61" i="29" s="1"/>
  <c r="N36" i="29"/>
  <c r="O36" i="29" s="1"/>
  <c r="T36" i="29" s="1"/>
  <c r="N16" i="29"/>
  <c r="O16" i="29" s="1"/>
  <c r="U16" i="29" s="1"/>
  <c r="N64" i="29"/>
  <c r="O64" i="29" s="1"/>
  <c r="T64" i="29" s="1"/>
  <c r="N33" i="29"/>
  <c r="O33" i="29" s="1"/>
  <c r="T33" i="29" s="1"/>
  <c r="N70" i="29"/>
  <c r="O70" i="29" s="1"/>
  <c r="R70" i="29" s="1"/>
  <c r="N49" i="29"/>
  <c r="O49" i="29" s="1"/>
  <c r="U49" i="29" s="1"/>
  <c r="N75" i="29"/>
  <c r="O75" i="29" s="1"/>
  <c r="R75" i="29" s="1"/>
  <c r="N40" i="29"/>
  <c r="O40" i="29" s="1"/>
  <c r="R40" i="29" s="1"/>
  <c r="N22" i="29"/>
  <c r="O22" i="29" s="1"/>
  <c r="T22" i="29" s="1"/>
  <c r="N39" i="29"/>
  <c r="O39" i="29" s="1"/>
  <c r="T39" i="29" s="1"/>
  <c r="N26" i="29"/>
  <c r="O26" i="29" s="1"/>
  <c r="T26" i="29" s="1"/>
  <c r="N55" i="29"/>
  <c r="O55" i="29" s="1"/>
  <c r="T55" i="29" s="1"/>
  <c r="N20" i="29"/>
  <c r="O20" i="29" s="1"/>
  <c r="U20" i="29" s="1"/>
  <c r="N53" i="29"/>
  <c r="O53" i="29" s="1"/>
  <c r="U53" i="29" s="1"/>
  <c r="N66" i="29"/>
  <c r="O66" i="29" s="1"/>
  <c r="U66" i="29" s="1"/>
  <c r="N52" i="29"/>
  <c r="O52" i="29" s="1"/>
  <c r="R52" i="29" s="1"/>
  <c r="N73" i="29"/>
  <c r="O73" i="29" s="1"/>
  <c r="U73" i="29" s="1"/>
  <c r="N21" i="29"/>
  <c r="O21" i="29" s="1"/>
  <c r="U21" i="29" s="1"/>
  <c r="N19" i="29"/>
  <c r="O19" i="29" s="1"/>
  <c r="U19" i="29" s="1"/>
  <c r="N28" i="29"/>
  <c r="O28" i="29" s="1"/>
  <c r="T28" i="29" s="1"/>
  <c r="N25" i="29"/>
  <c r="O25" i="29" s="1"/>
  <c r="T25" i="29" s="1"/>
  <c r="N54" i="29"/>
  <c r="O54" i="29" s="1"/>
  <c r="U54" i="29" s="1"/>
  <c r="N27" i="29"/>
  <c r="O27" i="29" s="1"/>
  <c r="R27" i="29" s="1"/>
  <c r="N58" i="29"/>
  <c r="O58" i="29" s="1"/>
  <c r="U58" i="29" s="1"/>
  <c r="N34" i="29"/>
  <c r="O34" i="29" s="1"/>
  <c r="T34" i="29" s="1"/>
  <c r="J6" i="29"/>
  <c r="N15" i="29"/>
  <c r="O15" i="29" s="1"/>
  <c r="T15" i="29" s="1"/>
  <c r="N60" i="29"/>
  <c r="O60" i="29" s="1"/>
  <c r="T60" i="29" s="1"/>
  <c r="N24" i="29"/>
  <c r="O24" i="29" s="1"/>
  <c r="U24" i="29" s="1"/>
  <c r="AT79" i="23"/>
  <c r="N12" i="29"/>
  <c r="O12" i="29" s="1"/>
  <c r="R12" i="29" s="1"/>
  <c r="N67" i="29"/>
  <c r="O67" i="29" s="1"/>
  <c r="U67" i="29" s="1"/>
  <c r="N42" i="29"/>
  <c r="O42" i="29" s="1"/>
  <c r="R42" i="29" s="1"/>
  <c r="N51" i="29"/>
  <c r="O51" i="29" s="1"/>
  <c r="U51" i="29" s="1"/>
  <c r="N29" i="29"/>
  <c r="O29" i="29" s="1"/>
  <c r="R29" i="29" s="1"/>
  <c r="N62" i="29"/>
  <c r="O62" i="29" s="1"/>
  <c r="U62" i="29" s="1"/>
  <c r="J7" i="29"/>
  <c r="AT82" i="23"/>
  <c r="AT82" i="22"/>
  <c r="G79" i="29"/>
  <c r="I8" i="29"/>
  <c r="I79" i="29" s="1"/>
  <c r="F79" i="29"/>
  <c r="B7" i="22"/>
  <c r="B8" i="18"/>
  <c r="C6" i="29" s="1"/>
  <c r="B7" i="19"/>
  <c r="B7" i="2"/>
  <c r="AT85" i="23"/>
  <c r="E37" i="12"/>
  <c r="F37" i="12" s="1"/>
  <c r="L23" i="12"/>
  <c r="L15" i="12"/>
  <c r="M15" i="12" s="1"/>
  <c r="G25" i="12"/>
  <c r="AT80" i="22"/>
  <c r="J30" i="12"/>
  <c r="H25" i="12"/>
  <c r="I25" i="12"/>
  <c r="AT104" i="23"/>
  <c r="AU32" i="23"/>
  <c r="AU34" i="23"/>
  <c r="AT105" i="23"/>
  <c r="G17" i="12"/>
  <c r="L16" i="12"/>
  <c r="I37" i="12" s="1"/>
  <c r="J25" i="12"/>
  <c r="E17" i="12"/>
  <c r="F17" i="12"/>
  <c r="K17" i="12"/>
  <c r="AU31" i="23"/>
  <c r="G27" i="12"/>
  <c r="E25" i="12"/>
  <c r="F25" i="12"/>
  <c r="L22" i="12"/>
  <c r="L27" i="12" s="1"/>
  <c r="AU35" i="23"/>
  <c r="AU33" i="23"/>
  <c r="AU36" i="23"/>
  <c r="AU29" i="23"/>
  <c r="AU28" i="23"/>
  <c r="AU30" i="23"/>
  <c r="J17" i="12"/>
  <c r="AT80" i="23"/>
  <c r="D17" i="12"/>
  <c r="H27" i="12"/>
  <c r="H17" i="12"/>
  <c r="I27" i="12"/>
  <c r="D27" i="12"/>
  <c r="L14" i="12"/>
  <c r="M14" i="12" s="1"/>
  <c r="I17" i="12"/>
  <c r="AT79" i="22"/>
  <c r="F26" i="12"/>
  <c r="K25" i="12"/>
  <c r="K26" i="12"/>
  <c r="L24" i="12"/>
  <c r="L26" i="12" s="1"/>
  <c r="D25" i="12"/>
  <c r="D26" i="12"/>
  <c r="E26" i="12"/>
  <c r="J26" i="12"/>
  <c r="AT104" i="22"/>
  <c r="AT105" i="22"/>
  <c r="L13" i="12"/>
  <c r="I30" i="12"/>
  <c r="J11" i="29" l="1"/>
  <c r="C7" i="22"/>
  <c r="C7" i="2"/>
  <c r="C7" i="19"/>
  <c r="C6" i="3"/>
  <c r="B8" i="23"/>
  <c r="C7" i="23"/>
  <c r="T71" i="29"/>
  <c r="R35" i="29"/>
  <c r="U31" i="29"/>
  <c r="U71" i="29"/>
  <c r="U46" i="29"/>
  <c r="R46" i="29"/>
  <c r="R68" i="29"/>
  <c r="U68" i="29"/>
  <c r="R47" i="29"/>
  <c r="T31" i="29"/>
  <c r="T14" i="29"/>
  <c r="R76" i="29"/>
  <c r="U47" i="29"/>
  <c r="U78" i="29"/>
  <c r="T63" i="29"/>
  <c r="U64" i="29"/>
  <c r="T37" i="29"/>
  <c r="T77" i="29"/>
  <c r="T13" i="29"/>
  <c r="T43" i="29"/>
  <c r="U76" i="29"/>
  <c r="T35" i="29"/>
  <c r="U75" i="29"/>
  <c r="T65" i="29"/>
  <c r="U43" i="29"/>
  <c r="T24" i="29"/>
  <c r="R66" i="29"/>
  <c r="T29" i="29"/>
  <c r="U36" i="29"/>
  <c r="T12" i="29"/>
  <c r="V12" i="29" s="1"/>
  <c r="R37" i="29"/>
  <c r="R77" i="29"/>
  <c r="R13" i="29"/>
  <c r="T19" i="29"/>
  <c r="R73" i="29"/>
  <c r="R15" i="29"/>
  <c r="U70" i="29"/>
  <c r="R64" i="29"/>
  <c r="R65" i="29"/>
  <c r="R26" i="29"/>
  <c r="T23" i="29"/>
  <c r="T45" i="29"/>
  <c r="U63" i="29"/>
  <c r="R39" i="29"/>
  <c r="T49" i="29"/>
  <c r="R19" i="29"/>
  <c r="U25" i="29"/>
  <c r="T66" i="29"/>
  <c r="U15" i="29"/>
  <c r="U29" i="29"/>
  <c r="U26" i="29"/>
  <c r="T21" i="29"/>
  <c r="U48" i="29"/>
  <c r="U18" i="29"/>
  <c r="T17" i="29"/>
  <c r="T53" i="29"/>
  <c r="U74" i="29"/>
  <c r="R21" i="29"/>
  <c r="R48" i="29"/>
  <c r="U32" i="29"/>
  <c r="R17" i="29"/>
  <c r="R44" i="29"/>
  <c r="R50" i="29"/>
  <c r="T54" i="29"/>
  <c r="R28" i="29"/>
  <c r="T74" i="29"/>
  <c r="R53" i="29"/>
  <c r="R55" i="29"/>
  <c r="U39" i="29"/>
  <c r="R49" i="29"/>
  <c r="U41" i="29"/>
  <c r="R33" i="29"/>
  <c r="T16" i="29"/>
  <c r="U56" i="29"/>
  <c r="R57" i="29"/>
  <c r="R72" i="29"/>
  <c r="R18" i="29"/>
  <c r="R32" i="29"/>
  <c r="U60" i="29"/>
  <c r="T44" i="29"/>
  <c r="T50" i="29"/>
  <c r="R54" i="29"/>
  <c r="U28" i="29"/>
  <c r="U55" i="29"/>
  <c r="T41" i="29"/>
  <c r="U33" i="29"/>
  <c r="R16" i="29"/>
  <c r="T56" i="29"/>
  <c r="T57" i="29"/>
  <c r="T72" i="29"/>
  <c r="T58" i="29"/>
  <c r="T30" i="29"/>
  <c r="U30" i="29"/>
  <c r="T78" i="29"/>
  <c r="T40" i="29"/>
  <c r="R36" i="29"/>
  <c r="R45" i="29"/>
  <c r="T59" i="29"/>
  <c r="U59" i="29"/>
  <c r="T38" i="29"/>
  <c r="U34" i="29"/>
  <c r="T73" i="29"/>
  <c r="T61" i="29"/>
  <c r="T69" i="29"/>
  <c r="R38" i="29"/>
  <c r="R34" i="29"/>
  <c r="U52" i="29"/>
  <c r="R22" i="29"/>
  <c r="U61" i="29"/>
  <c r="U69" i="29"/>
  <c r="T52" i="29"/>
  <c r="U22" i="29"/>
  <c r="R58" i="29"/>
  <c r="R67" i="29"/>
  <c r="U40" i="29"/>
  <c r="R20" i="29"/>
  <c r="R23" i="29"/>
  <c r="R24" i="29"/>
  <c r="U14" i="29"/>
  <c r="R25" i="29"/>
  <c r="T70" i="29"/>
  <c r="T27" i="29"/>
  <c r="T75" i="29"/>
  <c r="U27" i="29"/>
  <c r="T67" i="29"/>
  <c r="U12" i="29"/>
  <c r="T20" i="29"/>
  <c r="R60" i="29"/>
  <c r="R51" i="29"/>
  <c r="T51" i="29"/>
  <c r="U42" i="29"/>
  <c r="T42" i="29"/>
  <c r="T62" i="29"/>
  <c r="R62" i="29"/>
  <c r="J8" i="29"/>
  <c r="J79" i="29" s="1"/>
  <c r="B9" i="18"/>
  <c r="B8" i="22"/>
  <c r="D6" i="3"/>
  <c r="B8" i="19"/>
  <c r="B8" i="2"/>
  <c r="M16" i="12"/>
  <c r="AU37" i="23"/>
  <c r="AV37" i="23" s="1"/>
  <c r="L17" i="12"/>
  <c r="L30" i="12"/>
  <c r="L25" i="12"/>
  <c r="J31" i="12"/>
  <c r="I31" i="12"/>
  <c r="C8" i="22" l="1"/>
  <c r="C8" i="2"/>
  <c r="C8" i="19"/>
  <c r="C8" i="23"/>
  <c r="B9" i="23"/>
  <c r="V13" i="29"/>
  <c r="V14" i="29" s="1"/>
  <c r="B10" i="18"/>
  <c r="B9" i="22"/>
  <c r="C9" i="22" s="1"/>
  <c r="B9" i="19"/>
  <c r="B9" i="2"/>
  <c r="C9" i="2" s="1"/>
  <c r="C9" i="19" l="1"/>
  <c r="C9" i="23"/>
  <c r="B10" i="23"/>
  <c r="V15" i="29"/>
  <c r="B11" i="18"/>
  <c r="B10" i="22"/>
  <c r="B10" i="19"/>
  <c r="B10" i="2"/>
  <c r="C10" i="2" l="1"/>
  <c r="C10" i="19"/>
  <c r="C10" i="22"/>
  <c r="C10" i="23"/>
  <c r="B11" i="23"/>
  <c r="V16" i="29"/>
  <c r="B11" i="22"/>
  <c r="B12" i="18"/>
  <c r="B11" i="19"/>
  <c r="B11" i="2"/>
  <c r="C11" i="2" l="1"/>
  <c r="C11" i="19"/>
  <c r="C11" i="23"/>
  <c r="B12" i="23"/>
  <c r="C11" i="22"/>
  <c r="V17" i="29"/>
  <c r="B13" i="18"/>
  <c r="B12" i="22"/>
  <c r="B12" i="19"/>
  <c r="B12" i="2"/>
  <c r="C12" i="22" l="1"/>
  <c r="C12" i="2"/>
  <c r="C12" i="19"/>
  <c r="C12" i="23"/>
  <c r="B13" i="23"/>
  <c r="V18" i="29"/>
  <c r="B14" i="18"/>
  <c r="B13" i="22"/>
  <c r="B13" i="19"/>
  <c r="C13" i="19" s="1"/>
  <c r="B13" i="2"/>
  <c r="C13" i="2" l="1"/>
  <c r="C13" i="22"/>
  <c r="C13" i="23"/>
  <c r="B14" i="23"/>
  <c r="V19" i="29"/>
  <c r="B14" i="22"/>
  <c r="B15" i="18"/>
  <c r="B14" i="19"/>
  <c r="C14" i="19" s="1"/>
  <c r="B14" i="2"/>
  <c r="C14" i="2" s="1"/>
  <c r="C14" i="22" l="1"/>
  <c r="C14" i="23"/>
  <c r="B15" i="23"/>
  <c r="V20" i="29"/>
  <c r="B16" i="18"/>
  <c r="B15" i="22"/>
  <c r="B15" i="19"/>
  <c r="B15" i="2"/>
  <c r="C15" i="23" l="1"/>
  <c r="B16" i="23"/>
  <c r="C15" i="2"/>
  <c r="C15" i="19"/>
  <c r="C15" i="22"/>
  <c r="V21" i="29"/>
  <c r="B16" i="22"/>
  <c r="B17" i="18"/>
  <c r="B16" i="19"/>
  <c r="B16" i="2"/>
  <c r="C16" i="19" l="1"/>
  <c r="C16" i="2"/>
  <c r="C16" i="23"/>
  <c r="B17" i="23"/>
  <c r="C16" i="22"/>
  <c r="V22" i="29"/>
  <c r="B18" i="18"/>
  <c r="B17" i="22"/>
  <c r="B17" i="19"/>
  <c r="C17" i="19" s="1"/>
  <c r="B17" i="2"/>
  <c r="C17" i="2" l="1"/>
  <c r="C17" i="22"/>
  <c r="C17" i="23"/>
  <c r="B18" i="23"/>
  <c r="V23" i="29"/>
  <c r="B18" i="22"/>
  <c r="B19" i="18"/>
  <c r="B18" i="19"/>
  <c r="B18" i="2"/>
  <c r="C18" i="2" s="1"/>
  <c r="C18" i="19" l="1"/>
  <c r="C18" i="22"/>
  <c r="C18" i="23"/>
  <c r="B19" i="23"/>
  <c r="V24" i="29"/>
  <c r="B20" i="18"/>
  <c r="B19" i="22"/>
  <c r="B19" i="19"/>
  <c r="B19" i="2"/>
  <c r="C19" i="2" l="1"/>
  <c r="C19" i="22"/>
  <c r="C19" i="19"/>
  <c r="C19" i="23"/>
  <c r="B20" i="23"/>
  <c r="V25" i="29"/>
  <c r="B20" i="22"/>
  <c r="B21" i="18"/>
  <c r="B20" i="19"/>
  <c r="B20" i="2"/>
  <c r="C20" i="2" s="1"/>
  <c r="C20" i="22" l="1"/>
  <c r="C20" i="23"/>
  <c r="B21" i="23"/>
  <c r="C20" i="19"/>
  <c r="V26" i="29"/>
  <c r="B22" i="18"/>
  <c r="B21" i="22"/>
  <c r="B21" i="19"/>
  <c r="B21" i="2"/>
  <c r="C21" i="2" l="1"/>
  <c r="C21" i="22"/>
  <c r="C21" i="19"/>
  <c r="C21" i="23"/>
  <c r="B22" i="23"/>
  <c r="V27" i="29"/>
  <c r="B22" i="22"/>
  <c r="B23" i="18"/>
  <c r="B22" i="19"/>
  <c r="B22" i="2"/>
  <c r="C22" i="2" s="1"/>
  <c r="C22" i="19" l="1"/>
  <c r="C22" i="22"/>
  <c r="C22" i="23"/>
  <c r="B23" i="23"/>
  <c r="V28" i="29"/>
  <c r="B24" i="18"/>
  <c r="B23" i="22"/>
  <c r="B23" i="19"/>
  <c r="B23" i="2"/>
  <c r="C23" i="22" l="1"/>
  <c r="C23" i="2"/>
  <c r="C23" i="19"/>
  <c r="C23" i="23"/>
  <c r="B24" i="23"/>
  <c r="V29" i="29"/>
  <c r="B25" i="18"/>
  <c r="B24" i="22"/>
  <c r="B24" i="19"/>
  <c r="B24" i="2"/>
  <c r="C24" i="2" l="1"/>
  <c r="C24" i="23"/>
  <c r="B25" i="23"/>
  <c r="C24" i="19"/>
  <c r="C24" i="22"/>
  <c r="V30" i="29"/>
  <c r="B25" i="22"/>
  <c r="B26" i="18"/>
  <c r="B25" i="19"/>
  <c r="B25" i="2"/>
  <c r="C25" i="22" l="1"/>
  <c r="C25" i="19"/>
  <c r="C25" i="2"/>
  <c r="C25" i="23"/>
  <c r="B26" i="23"/>
  <c r="V31" i="29"/>
  <c r="B27" i="18"/>
  <c r="B26" i="22"/>
  <c r="B26" i="19"/>
  <c r="B26" i="2"/>
  <c r="C26" i="19" l="1"/>
  <c r="C26" i="22"/>
  <c r="C26" i="2"/>
  <c r="C26" i="23"/>
  <c r="B27" i="23"/>
  <c r="V32" i="29"/>
  <c r="B28" i="18"/>
  <c r="B27" i="22"/>
  <c r="C27" i="22" s="1"/>
  <c r="B27" i="19"/>
  <c r="B27" i="2"/>
  <c r="C27" i="19" l="1"/>
  <c r="C27" i="2"/>
  <c r="C27" i="23"/>
  <c r="B28" i="23"/>
  <c r="V33" i="29"/>
  <c r="B28" i="22"/>
  <c r="B29" i="18"/>
  <c r="B28" i="19"/>
  <c r="B28" i="2"/>
  <c r="C28" i="19" l="1"/>
  <c r="C28" i="22"/>
  <c r="C28" i="2"/>
  <c r="C28" i="23"/>
  <c r="B29" i="23"/>
  <c r="V34" i="29"/>
  <c r="B30" i="18"/>
  <c r="B29" i="22"/>
  <c r="B29" i="19"/>
  <c r="C29" i="19" s="1"/>
  <c r="B29" i="2"/>
  <c r="C29" i="2" l="1"/>
  <c r="C29" i="22"/>
  <c r="C29" i="23"/>
  <c r="B30" i="23"/>
  <c r="V35" i="29"/>
  <c r="B30" i="22"/>
  <c r="B31" i="18"/>
  <c r="B30" i="19"/>
  <c r="B30" i="2"/>
  <c r="C30" i="2" s="1"/>
  <c r="C30" i="19" l="1"/>
  <c r="C30" i="22"/>
  <c r="C30" i="23"/>
  <c r="B31" i="23"/>
  <c r="V36" i="29"/>
  <c r="B32" i="18"/>
  <c r="B31" i="22"/>
  <c r="B31" i="19"/>
  <c r="C31" i="19" s="1"/>
  <c r="B31" i="2"/>
  <c r="C31" i="2" l="1"/>
  <c r="C31" i="22"/>
  <c r="C31" i="23"/>
  <c r="B32" i="23"/>
  <c r="V37" i="29"/>
  <c r="B32" i="22"/>
  <c r="B33" i="18"/>
  <c r="B32" i="19"/>
  <c r="C32" i="19" s="1"/>
  <c r="B32" i="2"/>
  <c r="C32" i="22" l="1"/>
  <c r="C32" i="2"/>
  <c r="C32" i="23"/>
  <c r="B33" i="23"/>
  <c r="V38" i="29"/>
  <c r="B34" i="18"/>
  <c r="B33" i="22"/>
  <c r="B33" i="19"/>
  <c r="C33" i="19" s="1"/>
  <c r="B33" i="2"/>
  <c r="C33" i="2" l="1"/>
  <c r="C33" i="23"/>
  <c r="B34" i="23"/>
  <c r="C33" i="22"/>
  <c r="V39" i="29"/>
  <c r="B34" i="22"/>
  <c r="B35" i="18"/>
  <c r="B34" i="19"/>
  <c r="B34" i="2"/>
  <c r="C34" i="19" l="1"/>
  <c r="C34" i="2"/>
  <c r="C34" i="22"/>
  <c r="C34" i="23"/>
  <c r="B35" i="23"/>
  <c r="V40" i="29"/>
  <c r="B36" i="18"/>
  <c r="B35" i="22"/>
  <c r="B35" i="19"/>
  <c r="B35" i="2"/>
  <c r="C35" i="19" l="1"/>
  <c r="C35" i="22"/>
  <c r="C35" i="2"/>
  <c r="C35" i="23"/>
  <c r="B36" i="23"/>
  <c r="V41" i="29"/>
  <c r="B36" i="22"/>
  <c r="B37" i="18"/>
  <c r="B36" i="19"/>
  <c r="B36" i="2"/>
  <c r="C36" i="2" s="1"/>
  <c r="C36" i="19" l="1"/>
  <c r="C36" i="22"/>
  <c r="C36" i="23"/>
  <c r="B37" i="23"/>
  <c r="V42" i="29"/>
  <c r="B38" i="18"/>
  <c r="B37" i="22"/>
  <c r="B37" i="19"/>
  <c r="C37" i="19" s="1"/>
  <c r="B37" i="2"/>
  <c r="C37" i="22" l="1"/>
  <c r="C37" i="2"/>
  <c r="C37" i="23"/>
  <c r="B38" i="23"/>
  <c r="V43" i="29"/>
  <c r="B39" i="18"/>
  <c r="B38" i="22"/>
  <c r="B38" i="19"/>
  <c r="C38" i="19" s="1"/>
  <c r="B38" i="2"/>
  <c r="C38" i="2" l="1"/>
  <c r="C38" i="22"/>
  <c r="C38" i="23"/>
  <c r="B39" i="23"/>
  <c r="V44" i="29"/>
  <c r="B39" i="22"/>
  <c r="B40" i="18"/>
  <c r="B39" i="19"/>
  <c r="B39" i="2"/>
  <c r="C39" i="2" s="1"/>
  <c r="C39" i="19" l="1"/>
  <c r="C39" i="22"/>
  <c r="C39" i="23"/>
  <c r="B40" i="23"/>
  <c r="V45" i="29"/>
  <c r="B41" i="18"/>
  <c r="B40" i="22"/>
  <c r="B40" i="19"/>
  <c r="B40" i="2"/>
  <c r="C40" i="22" l="1"/>
  <c r="C40" i="23"/>
  <c r="B41" i="23"/>
  <c r="C40" i="2"/>
  <c r="C40" i="19"/>
  <c r="V46" i="29"/>
  <c r="B41" i="22"/>
  <c r="B42" i="18"/>
  <c r="B41" i="19"/>
  <c r="B41" i="2"/>
  <c r="C41" i="2" l="1"/>
  <c r="C41" i="19"/>
  <c r="C41" i="23"/>
  <c r="B42" i="23"/>
  <c r="C41" i="22"/>
  <c r="V47" i="29"/>
  <c r="B43" i="18"/>
  <c r="B42" i="22"/>
  <c r="B42" i="19"/>
  <c r="B42" i="2"/>
  <c r="C42" i="2" l="1"/>
  <c r="C42" i="19"/>
  <c r="C42" i="22"/>
  <c r="C42" i="23"/>
  <c r="B43" i="23"/>
  <c r="V48" i="29"/>
  <c r="B43" i="22"/>
  <c r="B44" i="18"/>
  <c r="B43" i="19"/>
  <c r="B43" i="2"/>
  <c r="C43" i="22" l="1"/>
  <c r="C43" i="2"/>
  <c r="C43" i="19"/>
  <c r="C43" i="23"/>
  <c r="B44" i="23"/>
  <c r="V49" i="29"/>
  <c r="B45" i="18"/>
  <c r="B44" i="22"/>
  <c r="C44" i="22" s="1"/>
  <c r="B44" i="19"/>
  <c r="B44" i="2"/>
  <c r="C44" i="19" l="1"/>
  <c r="C44" i="2"/>
  <c r="C44" i="23"/>
  <c r="B45" i="23"/>
  <c r="V50" i="29"/>
  <c r="B45" i="22"/>
  <c r="B46" i="18"/>
  <c r="B45" i="19"/>
  <c r="B45" i="2"/>
  <c r="C45" i="22" l="1"/>
  <c r="C45" i="23"/>
  <c r="B46" i="23"/>
  <c r="C45" i="2"/>
  <c r="C45" i="19"/>
  <c r="V51" i="29"/>
  <c r="B47" i="18"/>
  <c r="B46" i="22"/>
  <c r="B46" i="19"/>
  <c r="B46" i="2"/>
  <c r="C46" i="2" s="1"/>
  <c r="C46" i="22" l="1"/>
  <c r="C46" i="19"/>
  <c r="C46" i="23"/>
  <c r="B47" i="23"/>
  <c r="V52" i="29"/>
  <c r="B47" i="22"/>
  <c r="B48" i="18"/>
  <c r="B47" i="19"/>
  <c r="B47" i="2"/>
  <c r="C47" i="2" s="1"/>
  <c r="C47" i="19" l="1"/>
  <c r="C47" i="22"/>
  <c r="C47" i="23"/>
  <c r="B48" i="23"/>
  <c r="V53" i="29"/>
  <c r="B49" i="18"/>
  <c r="B48" i="22"/>
  <c r="B48" i="19"/>
  <c r="B48" i="2"/>
  <c r="C48" i="2" l="1"/>
  <c r="C48" i="22"/>
  <c r="C48" i="23"/>
  <c r="B49" i="23"/>
  <c r="C48" i="19"/>
  <c r="V54" i="29"/>
  <c r="B49" i="22"/>
  <c r="B50" i="18"/>
  <c r="B49" i="19"/>
  <c r="B49" i="2"/>
  <c r="C49" i="2" l="1"/>
  <c r="C49" i="19"/>
  <c r="C49" i="23"/>
  <c r="B50" i="23"/>
  <c r="C49" i="22"/>
  <c r="V55" i="29"/>
  <c r="B51" i="18"/>
  <c r="B50" i="22"/>
  <c r="B50" i="19"/>
  <c r="B50" i="2"/>
  <c r="C50" i="22" l="1"/>
  <c r="C50" i="23"/>
  <c r="B51" i="23"/>
  <c r="C50" i="2"/>
  <c r="C50" i="19"/>
  <c r="V56" i="29"/>
  <c r="B51" i="22"/>
  <c r="B52" i="18"/>
  <c r="B51" i="19"/>
  <c r="B51" i="2"/>
  <c r="C51" i="22" l="1"/>
  <c r="C51" i="23"/>
  <c r="B52" i="23"/>
  <c r="C51" i="2"/>
  <c r="C51" i="19"/>
  <c r="V57" i="29"/>
  <c r="B53" i="18"/>
  <c r="B52" i="22"/>
  <c r="C52" i="22" s="1"/>
  <c r="B52" i="19"/>
  <c r="B52" i="2"/>
  <c r="C52" i="2" l="1"/>
  <c r="C52" i="19"/>
  <c r="C52" i="23"/>
  <c r="B53" i="23"/>
  <c r="V58" i="29"/>
  <c r="B53" i="22"/>
  <c r="B54" i="18"/>
  <c r="B53" i="19"/>
  <c r="B53" i="2"/>
  <c r="C53" i="2" l="1"/>
  <c r="C53" i="22"/>
  <c r="C53" i="19"/>
  <c r="C53" i="23"/>
  <c r="B54" i="23"/>
  <c r="V59" i="29"/>
  <c r="B55" i="18"/>
  <c r="B54" i="22"/>
  <c r="C54" i="22" s="1"/>
  <c r="B54" i="19"/>
  <c r="B54" i="2"/>
  <c r="C54" i="2" l="1"/>
  <c r="C54" i="19"/>
  <c r="C54" i="23"/>
  <c r="B55" i="23"/>
  <c r="V60" i="29"/>
  <c r="B55" i="22"/>
  <c r="B56" i="18"/>
  <c r="B55" i="19"/>
  <c r="B55" i="2"/>
  <c r="C55" i="2" l="1"/>
  <c r="C55" i="19"/>
  <c r="C55" i="22"/>
  <c r="C55" i="23"/>
  <c r="B56" i="23"/>
  <c r="V61" i="29"/>
  <c r="B57" i="18"/>
  <c r="B56" i="22"/>
  <c r="C56" i="22" s="1"/>
  <c r="B56" i="19"/>
  <c r="C56" i="19" s="1"/>
  <c r="B56" i="2"/>
  <c r="C56" i="23" l="1"/>
  <c r="B57" i="23"/>
  <c r="C56" i="2"/>
  <c r="V62" i="29"/>
  <c r="B57" i="22"/>
  <c r="B58" i="18"/>
  <c r="B57" i="19"/>
  <c r="B57" i="2"/>
  <c r="C57" i="22" l="1"/>
  <c r="C57" i="2"/>
  <c r="C57" i="19"/>
  <c r="C57" i="23"/>
  <c r="B58" i="23"/>
  <c r="V63" i="29"/>
  <c r="B59" i="18"/>
  <c r="B58" i="22"/>
  <c r="C58" i="22" s="1"/>
  <c r="B58" i="19"/>
  <c r="C58" i="19" s="1"/>
  <c r="B58" i="2"/>
  <c r="C58" i="2" l="1"/>
  <c r="C58" i="23"/>
  <c r="B59" i="23"/>
  <c r="V64" i="29"/>
  <c r="B59" i="22"/>
  <c r="B60" i="18"/>
  <c r="B59" i="19"/>
  <c r="B59" i="2"/>
  <c r="C59" i="2" s="1"/>
  <c r="C59" i="19" l="1"/>
  <c r="C59" i="22"/>
  <c r="C59" i="23"/>
  <c r="B60" i="23"/>
  <c r="V65" i="29"/>
  <c r="B61" i="18"/>
  <c r="B60" i="22"/>
  <c r="B60" i="19"/>
  <c r="C60" i="19" s="1"/>
  <c r="B60" i="2"/>
  <c r="C60" i="22" l="1"/>
  <c r="C60" i="2"/>
  <c r="C60" i="23"/>
  <c r="B61" i="23"/>
  <c r="V66" i="29"/>
  <c r="B61" i="22"/>
  <c r="B62" i="18"/>
  <c r="B61" i="19"/>
  <c r="B61" i="2"/>
  <c r="C61" i="2" s="1"/>
  <c r="C61" i="19" l="1"/>
  <c r="C61" i="22"/>
  <c r="C61" i="23"/>
  <c r="B62" i="23"/>
  <c r="V67" i="29"/>
  <c r="B63" i="18"/>
  <c r="B62" i="22"/>
  <c r="B62" i="19"/>
  <c r="C62" i="19" s="1"/>
  <c r="B62" i="2"/>
  <c r="C62" i="2" l="1"/>
  <c r="C62" i="22"/>
  <c r="C62" i="23"/>
  <c r="B63" i="23"/>
  <c r="V68" i="29"/>
  <c r="B63" i="22"/>
  <c r="B64" i="18"/>
  <c r="B63" i="19"/>
  <c r="B63" i="2"/>
  <c r="C63" i="22" l="1"/>
  <c r="C63" i="23"/>
  <c r="B64" i="23"/>
  <c r="C63" i="2"/>
  <c r="C63" i="19"/>
  <c r="V69" i="29"/>
  <c r="B65" i="18"/>
  <c r="B64" i="22"/>
  <c r="C64" i="22" s="1"/>
  <c r="B64" i="19"/>
  <c r="C64" i="19" s="1"/>
  <c r="B64" i="2"/>
  <c r="C64" i="2" s="1"/>
  <c r="C64" i="23" l="1"/>
  <c r="B65" i="23"/>
  <c r="V70" i="29"/>
  <c r="B65" i="22"/>
  <c r="B66" i="18"/>
  <c r="B65" i="19"/>
  <c r="C65" i="19" s="1"/>
  <c r="B65" i="2"/>
  <c r="C65" i="2" s="1"/>
  <c r="C65" i="22" l="1"/>
  <c r="C65" i="23"/>
  <c r="B66" i="23"/>
  <c r="V71" i="29"/>
  <c r="B67" i="18"/>
  <c r="B66" i="22"/>
  <c r="B66" i="19"/>
  <c r="C66" i="19" s="1"/>
  <c r="B66" i="2"/>
  <c r="C66" i="22" l="1"/>
  <c r="C66" i="23"/>
  <c r="B67" i="23"/>
  <c r="C66" i="2"/>
  <c r="V72" i="29"/>
  <c r="B67" i="22"/>
  <c r="C67" i="22" s="1"/>
  <c r="B68" i="18"/>
  <c r="B67" i="19"/>
  <c r="C67" i="19" s="1"/>
  <c r="B67" i="2"/>
  <c r="C67" i="2" s="1"/>
  <c r="C67" i="23" l="1"/>
  <c r="B68" i="23"/>
  <c r="V73" i="29"/>
  <c r="B69" i="18"/>
  <c r="B68" i="22"/>
  <c r="B68" i="19"/>
  <c r="B68" i="2"/>
  <c r="C68" i="2" l="1"/>
  <c r="C68" i="22"/>
  <c r="C68" i="19"/>
  <c r="C68" i="23"/>
  <c r="B69" i="23"/>
  <c r="V74" i="29"/>
  <c r="B69" i="22"/>
  <c r="B70" i="18"/>
  <c r="B69" i="19"/>
  <c r="B69" i="2"/>
  <c r="C69" i="2" s="1"/>
  <c r="C69" i="22" l="1"/>
  <c r="C69" i="19"/>
  <c r="C69" i="23"/>
  <c r="B70" i="23"/>
  <c r="V75" i="29"/>
  <c r="B71" i="18"/>
  <c r="B70" i="22"/>
  <c r="B70" i="19"/>
  <c r="C70" i="19" s="1"/>
  <c r="B70" i="2"/>
  <c r="C70" i="2" l="1"/>
  <c r="C70" i="22"/>
  <c r="C70" i="23"/>
  <c r="B71" i="23"/>
  <c r="V76" i="29"/>
  <c r="B71" i="22"/>
  <c r="B72" i="18"/>
  <c r="B71" i="19"/>
  <c r="B71" i="2"/>
  <c r="C71" i="22" l="1"/>
  <c r="C71" i="23"/>
  <c r="B72" i="23"/>
  <c r="C71" i="2"/>
  <c r="C71" i="19"/>
  <c r="V77" i="29"/>
  <c r="B73" i="18"/>
  <c r="B72" i="22"/>
  <c r="B72" i="19"/>
  <c r="B72" i="2"/>
  <c r="C72" i="19" l="1"/>
  <c r="C72" i="2"/>
  <c r="C72" i="22"/>
  <c r="C72" i="23"/>
  <c r="B73" i="23"/>
  <c r="V78" i="29"/>
  <c r="W77" i="29" s="1"/>
  <c r="X77" i="29" s="1"/>
  <c r="B73" i="22"/>
  <c r="B74" i="18"/>
  <c r="B73" i="19"/>
  <c r="B73" i="2"/>
  <c r="C73" i="22" l="1"/>
  <c r="C73" i="19"/>
  <c r="C73" i="2"/>
  <c r="C73" i="23"/>
  <c r="B74" i="23"/>
  <c r="W78" i="29"/>
  <c r="X78" i="29" s="1"/>
  <c r="W12" i="29"/>
  <c r="W13" i="29"/>
  <c r="X13" i="29" s="1"/>
  <c r="W14" i="29"/>
  <c r="X14" i="29" s="1"/>
  <c r="W15" i="29"/>
  <c r="X15" i="29" s="1"/>
  <c r="W16" i="29"/>
  <c r="X16" i="29" s="1"/>
  <c r="W17" i="29"/>
  <c r="X17" i="29" s="1"/>
  <c r="W18" i="29"/>
  <c r="X18" i="29" s="1"/>
  <c r="W19" i="29"/>
  <c r="W20" i="29"/>
  <c r="X20" i="29" s="1"/>
  <c r="W21" i="29"/>
  <c r="X21" i="29" s="1"/>
  <c r="W22" i="29"/>
  <c r="X22" i="29" s="1"/>
  <c r="W23" i="29"/>
  <c r="X23" i="29" s="1"/>
  <c r="W24" i="29"/>
  <c r="X24" i="29" s="1"/>
  <c r="W25" i="29"/>
  <c r="X25" i="29" s="1"/>
  <c r="W26" i="29"/>
  <c r="X26" i="29" s="1"/>
  <c r="W27" i="29"/>
  <c r="X27" i="29" s="1"/>
  <c r="W28" i="29"/>
  <c r="X28" i="29" s="1"/>
  <c r="W29" i="29"/>
  <c r="X29" i="29" s="1"/>
  <c r="W30" i="29"/>
  <c r="X30" i="29" s="1"/>
  <c r="W31" i="29"/>
  <c r="X31" i="29" s="1"/>
  <c r="W32" i="29"/>
  <c r="X32" i="29" s="1"/>
  <c r="W33" i="29"/>
  <c r="X33" i="29" s="1"/>
  <c r="W34" i="29"/>
  <c r="X34" i="29" s="1"/>
  <c r="W35" i="29"/>
  <c r="X35" i="29" s="1"/>
  <c r="W36" i="29"/>
  <c r="X36" i="29" s="1"/>
  <c r="W37" i="29"/>
  <c r="X37" i="29" s="1"/>
  <c r="W38" i="29"/>
  <c r="X38" i="29" s="1"/>
  <c r="W39" i="29"/>
  <c r="X39" i="29" s="1"/>
  <c r="W40" i="29"/>
  <c r="X40" i="29" s="1"/>
  <c r="W41" i="29"/>
  <c r="X41" i="29" s="1"/>
  <c r="W42" i="29"/>
  <c r="X42" i="29" s="1"/>
  <c r="W43" i="29"/>
  <c r="X43" i="29" s="1"/>
  <c r="W44" i="29"/>
  <c r="X44" i="29" s="1"/>
  <c r="W45" i="29"/>
  <c r="X45" i="29" s="1"/>
  <c r="W46" i="29"/>
  <c r="X46" i="29" s="1"/>
  <c r="W47" i="29"/>
  <c r="X47" i="29" s="1"/>
  <c r="W48" i="29"/>
  <c r="X48" i="29" s="1"/>
  <c r="W49" i="29"/>
  <c r="X49" i="29" s="1"/>
  <c r="W50" i="29"/>
  <c r="X50" i="29" s="1"/>
  <c r="W51" i="29"/>
  <c r="X51" i="29" s="1"/>
  <c r="W52" i="29"/>
  <c r="X52" i="29" s="1"/>
  <c r="W53" i="29"/>
  <c r="X53" i="29" s="1"/>
  <c r="W54" i="29"/>
  <c r="X54" i="29" s="1"/>
  <c r="W55" i="29"/>
  <c r="X55" i="29" s="1"/>
  <c r="W56" i="29"/>
  <c r="X56" i="29" s="1"/>
  <c r="W57" i="29"/>
  <c r="X57" i="29" s="1"/>
  <c r="W58" i="29"/>
  <c r="X58" i="29" s="1"/>
  <c r="W59" i="29"/>
  <c r="X59" i="29" s="1"/>
  <c r="W60" i="29"/>
  <c r="X60" i="29" s="1"/>
  <c r="W61" i="29"/>
  <c r="X61" i="29" s="1"/>
  <c r="W62" i="29"/>
  <c r="X62" i="29" s="1"/>
  <c r="W63" i="29"/>
  <c r="X63" i="29" s="1"/>
  <c r="W64" i="29"/>
  <c r="X64" i="29" s="1"/>
  <c r="W65" i="29"/>
  <c r="X65" i="29" s="1"/>
  <c r="W66" i="29"/>
  <c r="X66" i="29" s="1"/>
  <c r="W67" i="29"/>
  <c r="X67" i="29" s="1"/>
  <c r="W68" i="29"/>
  <c r="X68" i="29" s="1"/>
  <c r="W69" i="29"/>
  <c r="X69" i="29" s="1"/>
  <c r="W70" i="29"/>
  <c r="X70" i="29" s="1"/>
  <c r="W71" i="29"/>
  <c r="X71" i="29" s="1"/>
  <c r="W72" i="29"/>
  <c r="X72" i="29" s="1"/>
  <c r="W73" i="29"/>
  <c r="X73" i="29" s="1"/>
  <c r="W74" i="29"/>
  <c r="X74" i="29" s="1"/>
  <c r="W75" i="29"/>
  <c r="X75" i="29" s="1"/>
  <c r="W76" i="29"/>
  <c r="X76" i="29" s="1"/>
  <c r="B75" i="18"/>
  <c r="B74" i="22"/>
  <c r="B74" i="19"/>
  <c r="B74" i="2"/>
  <c r="C74" i="2" l="1"/>
  <c r="C74" i="19"/>
  <c r="C74" i="22"/>
  <c r="C74" i="23"/>
  <c r="B75" i="23"/>
  <c r="X12" i="29"/>
  <c r="AA2" i="29"/>
  <c r="X19" i="29"/>
  <c r="B75" i="22"/>
  <c r="B76" i="18"/>
  <c r="B75" i="19"/>
  <c r="B75" i="2"/>
  <c r="C75" i="2" s="1"/>
  <c r="C75" i="19" l="1"/>
  <c r="C75" i="22"/>
  <c r="C75" i="23"/>
  <c r="B76" i="23"/>
  <c r="B77" i="18"/>
  <c r="B76" i="22"/>
  <c r="C76" i="22" s="1"/>
  <c r="B76" i="19"/>
  <c r="C76" i="19" s="1"/>
  <c r="B76" i="2"/>
  <c r="C76" i="2" l="1"/>
  <c r="C76" i="23"/>
  <c r="B77" i="23"/>
  <c r="B77" i="22"/>
  <c r="B78" i="18"/>
  <c r="B77" i="19"/>
  <c r="C77" i="19" s="1"/>
  <c r="B77" i="2"/>
  <c r="C77" i="2" s="1"/>
  <c r="C77" i="22" l="1"/>
  <c r="C77" i="23"/>
  <c r="B78" i="23"/>
  <c r="B79" i="18"/>
  <c r="B78" i="22"/>
  <c r="B78" i="19"/>
  <c r="C78" i="19" s="1"/>
  <c r="B78" i="2"/>
  <c r="C78" i="2" l="1"/>
  <c r="C78" i="22"/>
  <c r="C78" i="23"/>
  <c r="B79" i="23"/>
  <c r="B79" i="22"/>
  <c r="B80" i="18"/>
  <c r="B79" i="19"/>
  <c r="B79" i="2"/>
  <c r="C79" i="19" l="1"/>
  <c r="C79" i="22"/>
  <c r="C79" i="2"/>
  <c r="C79" i="23"/>
  <c r="B80" i="23"/>
  <c r="B81" i="18"/>
  <c r="B80" i="22"/>
  <c r="B80" i="19"/>
  <c r="C80" i="19" s="1"/>
  <c r="B80" i="2"/>
  <c r="C80" i="2" l="1"/>
  <c r="C80" i="22"/>
  <c r="C80" i="23"/>
  <c r="B81" i="23"/>
  <c r="B82" i="18"/>
  <c r="B81" i="22"/>
  <c r="B81" i="19"/>
  <c r="C81" i="19" s="1"/>
  <c r="B81" i="2"/>
  <c r="C81" i="2" s="1"/>
  <c r="C81" i="22" l="1"/>
  <c r="C81" i="23"/>
  <c r="B82" i="23"/>
  <c r="B83" i="18"/>
  <c r="B82" i="22"/>
  <c r="B82" i="19"/>
  <c r="C82" i="19" s="1"/>
  <c r="B82" i="2"/>
  <c r="C82" i="2" s="1"/>
  <c r="C82" i="22" l="1"/>
  <c r="C82" i="23"/>
  <c r="B83" i="23"/>
  <c r="B84" i="18"/>
  <c r="B83" i="22"/>
  <c r="C83" i="22" s="1"/>
  <c r="B83" i="19"/>
  <c r="C83" i="19" s="1"/>
  <c r="B83" i="2"/>
  <c r="C83" i="2" s="1"/>
  <c r="C83" i="23" l="1"/>
  <c r="B84" i="23"/>
  <c r="B85" i="18"/>
  <c r="B84" i="22"/>
  <c r="B84" i="19"/>
  <c r="B84" i="2"/>
  <c r="C84" i="2" l="1"/>
  <c r="C84" i="19"/>
  <c r="C84" i="22"/>
  <c r="C84" i="23"/>
  <c r="B85" i="23"/>
  <c r="B86" i="18"/>
  <c r="B85" i="22"/>
  <c r="B85" i="19"/>
  <c r="C85" i="19" s="1"/>
  <c r="B85" i="2"/>
  <c r="C85" i="2" l="1"/>
  <c r="C85" i="22"/>
  <c r="C85" i="23"/>
  <c r="B86" i="23"/>
  <c r="B86" i="22"/>
  <c r="B87" i="18"/>
  <c r="B86" i="19"/>
  <c r="B86" i="2"/>
  <c r="C86" i="2" s="1"/>
  <c r="C86" i="19" l="1"/>
  <c r="C86" i="22"/>
  <c r="C86" i="23"/>
  <c r="B87" i="23"/>
  <c r="B88" i="18"/>
  <c r="B87" i="22"/>
  <c r="B87" i="19"/>
  <c r="C87" i="19" s="1"/>
  <c r="B87" i="2"/>
  <c r="C87" i="2" l="1"/>
  <c r="C87" i="22"/>
  <c r="C87" i="23"/>
  <c r="B88" i="23"/>
  <c r="B88" i="22"/>
  <c r="B89" i="18"/>
  <c r="B88" i="19"/>
  <c r="B88" i="2"/>
  <c r="C88" i="2" s="1"/>
  <c r="C88" i="19" l="1"/>
  <c r="C88" i="22"/>
  <c r="C88" i="23"/>
  <c r="B89" i="23"/>
  <c r="B90" i="18"/>
  <c r="B89" i="22"/>
  <c r="C89" i="22" s="1"/>
  <c r="B89" i="19"/>
  <c r="C89" i="19" s="1"/>
  <c r="B89" i="2"/>
  <c r="C89" i="2" s="1"/>
  <c r="C89" i="23" l="1"/>
  <c r="B90" i="23"/>
  <c r="B91" i="18"/>
  <c r="B90" i="22"/>
  <c r="B90" i="19"/>
  <c r="C90" i="19" s="1"/>
  <c r="B90" i="2"/>
  <c r="C90" i="2" s="1"/>
  <c r="C90" i="22" l="1"/>
  <c r="C90" i="23"/>
  <c r="B91" i="23"/>
  <c r="B91" i="22"/>
  <c r="B92" i="18"/>
  <c r="B91" i="19"/>
  <c r="B91" i="2"/>
  <c r="C91" i="2" s="1"/>
  <c r="C91" i="19" l="1"/>
  <c r="C91" i="22"/>
  <c r="C91" i="23"/>
  <c r="B92" i="23"/>
  <c r="B93" i="18"/>
  <c r="B92" i="22"/>
  <c r="B92" i="19"/>
  <c r="B92" i="2"/>
  <c r="C92" i="19" l="1"/>
  <c r="C92" i="2"/>
  <c r="C92" i="22"/>
  <c r="C92" i="23"/>
  <c r="B93" i="23"/>
  <c r="B93" i="22"/>
  <c r="B94" i="18"/>
  <c r="B93" i="19"/>
  <c r="B93" i="2"/>
  <c r="C93" i="2" s="1"/>
  <c r="C93" i="19" l="1"/>
  <c r="C93" i="22"/>
  <c r="C93" i="23"/>
  <c r="B94" i="23"/>
  <c r="B95" i="18"/>
  <c r="B94" i="22"/>
  <c r="B94" i="19"/>
  <c r="C94" i="19" s="1"/>
  <c r="B94" i="2"/>
  <c r="C94" i="2" l="1"/>
  <c r="C94" i="22"/>
  <c r="C94" i="23"/>
  <c r="B95" i="23"/>
  <c r="B95" i="22"/>
  <c r="B96" i="18"/>
  <c r="B95" i="19"/>
  <c r="B95" i="2"/>
  <c r="C95" i="22" l="1"/>
  <c r="C95" i="2"/>
  <c r="C95" i="19"/>
  <c r="C95" i="23"/>
  <c r="B96" i="23"/>
  <c r="B97" i="18"/>
  <c r="B96" i="22"/>
  <c r="B96" i="19"/>
  <c r="B96" i="2"/>
  <c r="C96" i="22" l="1"/>
  <c r="C96" i="2"/>
  <c r="C96" i="19"/>
  <c r="C96" i="23"/>
  <c r="B97" i="23"/>
  <c r="B97" i="22"/>
  <c r="B98" i="18"/>
  <c r="B97" i="19"/>
  <c r="C97" i="19" s="1"/>
  <c r="B97" i="2"/>
  <c r="C97" i="2" s="1"/>
  <c r="C97" i="22" l="1"/>
  <c r="C97" i="23"/>
  <c r="B98" i="23"/>
  <c r="B99" i="18"/>
  <c r="B98" i="22"/>
  <c r="B98" i="19"/>
  <c r="C98" i="19" s="1"/>
  <c r="B98" i="2"/>
  <c r="C98" i="2" l="1"/>
  <c r="C98" i="22"/>
  <c r="C98" i="23"/>
  <c r="B99" i="23"/>
  <c r="B99" i="22"/>
  <c r="B100" i="18"/>
  <c r="B99" i="19"/>
  <c r="B99" i="2"/>
  <c r="C99" i="2" s="1"/>
  <c r="C99" i="19" l="1"/>
  <c r="C99" i="22"/>
  <c r="C99" i="23"/>
  <c r="B100" i="23"/>
  <c r="B101" i="18"/>
  <c r="B100" i="22"/>
  <c r="C100" i="22" s="1"/>
  <c r="B100" i="19"/>
  <c r="C100" i="19" s="1"/>
  <c r="B100" i="2"/>
  <c r="C100" i="2" s="1"/>
  <c r="C100" i="23" l="1"/>
  <c r="B101" i="23"/>
  <c r="B101" i="22"/>
  <c r="B102" i="18"/>
  <c r="B101" i="19"/>
  <c r="B101" i="2"/>
  <c r="C101" i="2" s="1"/>
  <c r="C101" i="19" l="1"/>
  <c r="C101" i="22"/>
  <c r="C101" i="23"/>
  <c r="B102" i="23"/>
  <c r="B103" i="18"/>
  <c r="B102" i="22"/>
  <c r="B102" i="19"/>
  <c r="C102" i="19" s="1"/>
  <c r="B102" i="2"/>
  <c r="C102" i="2" s="1"/>
  <c r="C102" i="22" l="1"/>
  <c r="C102" i="23"/>
  <c r="B103" i="23"/>
  <c r="B103" i="22"/>
  <c r="B104" i="18"/>
  <c r="B103" i="19"/>
  <c r="B103" i="2"/>
  <c r="C103" i="2" s="1"/>
  <c r="C103" i="19" l="1"/>
  <c r="C103" i="22"/>
  <c r="C103" i="23"/>
  <c r="B104" i="23"/>
  <c r="B105" i="18"/>
  <c r="B104" i="22"/>
  <c r="C104" i="22" s="1"/>
  <c r="B104" i="19"/>
  <c r="B104" i="2"/>
  <c r="C104" i="2" s="1"/>
  <c r="C104" i="19" l="1"/>
  <c r="C104" i="23"/>
  <c r="B105" i="23"/>
  <c r="B105" i="22"/>
  <c r="B106" i="18"/>
  <c r="B105" i="19"/>
  <c r="B105" i="2"/>
  <c r="C105" i="2" s="1"/>
  <c r="C105" i="23" l="1"/>
  <c r="C105" i="22"/>
  <c r="C105" i="19"/>
  <c r="C8" i="3"/>
  <c r="C7" i="29"/>
  <c r="C7" i="3"/>
  <c r="C9" i="29"/>
  <c r="C8" i="29"/>
  <c r="C9" i="3"/>
  <c r="C10" i="3"/>
  <c r="C10" i="29"/>
  <c r="C11" i="29"/>
  <c r="C11" i="3"/>
  <c r="C12" i="29"/>
  <c r="C14" i="3"/>
  <c r="C12" i="3"/>
  <c r="C13" i="29"/>
  <c r="C13" i="3"/>
  <c r="C16" i="3"/>
  <c r="C14" i="29"/>
  <c r="C15" i="3"/>
  <c r="C15" i="29"/>
  <c r="C17" i="3"/>
  <c r="C18" i="3"/>
  <c r="C16" i="29"/>
  <c r="C18" i="29"/>
  <c r="C17" i="29"/>
  <c r="C20" i="29"/>
  <c r="C19" i="3"/>
  <c r="C19" i="29"/>
  <c r="C21" i="3"/>
  <c r="C22" i="29"/>
  <c r="C21" i="29"/>
  <c r="C20" i="3"/>
  <c r="C22" i="3"/>
  <c r="C24" i="29"/>
  <c r="C24" i="3"/>
  <c r="C23" i="29"/>
  <c r="C23" i="3"/>
  <c r="C27" i="29"/>
  <c r="C25" i="3"/>
  <c r="C26" i="3"/>
  <c r="C29" i="3"/>
  <c r="C28" i="3"/>
  <c r="C26" i="29"/>
  <c r="C25" i="29"/>
  <c r="C29" i="29"/>
  <c r="C28" i="29"/>
  <c r="C31" i="3"/>
  <c r="C27" i="3"/>
  <c r="C30" i="3"/>
  <c r="C32" i="29"/>
  <c r="C30" i="29"/>
  <c r="C32" i="3"/>
  <c r="C31" i="29"/>
  <c r="C35" i="29"/>
  <c r="S63" i="29" s="1"/>
  <c r="C33" i="3"/>
  <c r="C34" i="3"/>
  <c r="C37" i="29"/>
  <c r="C34" i="29"/>
  <c r="C35" i="3"/>
  <c r="C33" i="29"/>
  <c r="C36" i="3"/>
  <c r="C36" i="29"/>
  <c r="C38" i="3"/>
  <c r="C37" i="3"/>
  <c r="C39" i="29"/>
  <c r="C41" i="3"/>
  <c r="C38" i="29"/>
  <c r="C39" i="3"/>
  <c r="C40" i="3"/>
  <c r="C40" i="29"/>
  <c r="C41" i="29"/>
  <c r="C42" i="29"/>
  <c r="C42" i="3"/>
  <c r="C45" i="3"/>
  <c r="C43" i="29"/>
  <c r="C43" i="3"/>
  <c r="C44" i="3"/>
  <c r="C44" i="29"/>
  <c r="C45" i="29"/>
  <c r="C46" i="3"/>
  <c r="C48" i="3"/>
  <c r="C47" i="29"/>
  <c r="C46" i="29"/>
  <c r="C47" i="3"/>
  <c r="C48" i="29"/>
  <c r="C50" i="29"/>
  <c r="C49" i="3"/>
  <c r="C51" i="29"/>
  <c r="C52" i="3"/>
  <c r="C49" i="29"/>
  <c r="C53" i="29"/>
  <c r="C52" i="29"/>
  <c r="C50" i="3"/>
  <c r="C54" i="3"/>
  <c r="C51" i="3"/>
  <c r="C55" i="29"/>
  <c r="C54" i="29"/>
  <c r="C55" i="3"/>
  <c r="C56" i="29"/>
  <c r="C53" i="3"/>
  <c r="C56" i="3"/>
  <c r="C57" i="29"/>
  <c r="C57" i="3"/>
  <c r="C60" i="3"/>
  <c r="C58" i="29"/>
  <c r="C62" i="3"/>
  <c r="C59" i="3"/>
  <c r="C59" i="29"/>
  <c r="C58" i="3"/>
  <c r="C61" i="29"/>
  <c r="C60" i="29"/>
  <c r="C61" i="3"/>
  <c r="C64" i="29"/>
  <c r="C62" i="29"/>
  <c r="C63" i="3"/>
  <c r="C64" i="3"/>
  <c r="C63" i="29"/>
  <c r="C66" i="3"/>
  <c r="C67" i="3"/>
  <c r="C65" i="3"/>
  <c r="C65" i="29"/>
  <c r="C67" i="29"/>
  <c r="C68" i="3"/>
  <c r="C66" i="29"/>
  <c r="C68" i="29"/>
  <c r="C70" i="29"/>
  <c r="C69" i="3"/>
  <c r="C70" i="3"/>
  <c r="C69" i="29"/>
  <c r="C72" i="3"/>
  <c r="C73" i="3"/>
  <c r="C72" i="29"/>
  <c r="C71" i="29"/>
  <c r="C71" i="3"/>
  <c r="C75" i="29"/>
  <c r="C74" i="29"/>
  <c r="C77" i="29"/>
  <c r="C76" i="29"/>
  <c r="C74" i="3"/>
  <c r="C73" i="29"/>
  <c r="C75" i="3"/>
  <c r="C76" i="3"/>
  <c r="C77" i="3"/>
  <c r="C78" i="29"/>
  <c r="C78" i="3"/>
  <c r="S74" i="29"/>
  <c r="S25" i="29"/>
  <c r="D7" i="3"/>
  <c r="D8" i="3" l="1"/>
  <c r="E8" i="3" s="1"/>
  <c r="S78" i="29"/>
  <c r="S52" i="29"/>
  <c r="S32" i="29"/>
  <c r="D10" i="3"/>
  <c r="D70" i="3"/>
  <c r="H70" i="3" s="1"/>
  <c r="D12" i="3"/>
  <c r="H12" i="3" s="1"/>
  <c r="D11" i="3"/>
  <c r="D9" i="3"/>
  <c r="S33" i="29"/>
  <c r="S70" i="29"/>
  <c r="S66" i="29"/>
  <c r="S38" i="29"/>
  <c r="S41" i="29"/>
  <c r="S17" i="29"/>
  <c r="S59" i="29"/>
  <c r="S76" i="29"/>
  <c r="S50" i="29"/>
  <c r="S18" i="29"/>
  <c r="S21" i="29"/>
  <c r="S15" i="29"/>
  <c r="S16" i="29"/>
  <c r="S14" i="29"/>
  <c r="S12" i="29"/>
  <c r="AA3" i="29" s="1"/>
  <c r="D62" i="3"/>
  <c r="H62" i="3" s="1"/>
  <c r="D54" i="3"/>
  <c r="H54" i="3" s="1"/>
  <c r="D46" i="3"/>
  <c r="H46" i="3" s="1"/>
  <c r="D38" i="3"/>
  <c r="D30" i="3"/>
  <c r="H30" i="3" s="1"/>
  <c r="S39" i="29"/>
  <c r="S48" i="29"/>
  <c r="S58" i="29"/>
  <c r="S31" i="29"/>
  <c r="S35" i="29"/>
  <c r="S77" i="29"/>
  <c r="S24" i="29"/>
  <c r="S56" i="29"/>
  <c r="S62" i="29"/>
  <c r="S68" i="29"/>
  <c r="S72" i="29"/>
  <c r="S46" i="29"/>
  <c r="S51" i="29"/>
  <c r="S26" i="29"/>
  <c r="S40" i="29"/>
  <c r="S47" i="29"/>
  <c r="S34" i="29"/>
  <c r="S43" i="29"/>
  <c r="S54" i="29"/>
  <c r="S20" i="29"/>
  <c r="S27" i="29"/>
  <c r="S29" i="29"/>
  <c r="S42" i="29"/>
  <c r="S49" i="29"/>
  <c r="S53" i="29"/>
  <c r="S60" i="29"/>
  <c r="S65" i="29"/>
  <c r="S71" i="29"/>
  <c r="S36" i="29"/>
  <c r="S44" i="29"/>
  <c r="S19" i="29"/>
  <c r="S55" i="29"/>
  <c r="S67" i="29"/>
  <c r="S28" i="29"/>
  <c r="S22" i="29"/>
  <c r="S45" i="29"/>
  <c r="S23" i="29"/>
  <c r="S37" i="29"/>
  <c r="S61" i="29"/>
  <c r="S73" i="29"/>
  <c r="S30" i="29"/>
  <c r="S57" i="29"/>
  <c r="S64" i="29"/>
  <c r="S69" i="29"/>
  <c r="S75" i="29"/>
  <c r="S13" i="29"/>
  <c r="D61" i="3"/>
  <c r="H61" i="3" s="1"/>
  <c r="D18" i="3"/>
  <c r="H18" i="3" s="1"/>
  <c r="D76" i="3"/>
  <c r="H76" i="3" s="1"/>
  <c r="D60" i="3"/>
  <c r="D52" i="3"/>
  <c r="D44" i="3"/>
  <c r="D27" i="3"/>
  <c r="D21" i="3"/>
  <c r="D13" i="3"/>
  <c r="D45" i="3"/>
  <c r="D75" i="3"/>
  <c r="H75" i="3" s="1"/>
  <c r="D67" i="3"/>
  <c r="D43" i="3"/>
  <c r="D19" i="3"/>
  <c r="D77" i="3"/>
  <c r="D28" i="3"/>
  <c r="H28" i="3" s="1"/>
  <c r="D58" i="3"/>
  <c r="H58" i="3" s="1"/>
  <c r="D50" i="3"/>
  <c r="D34" i="3"/>
  <c r="D29" i="3"/>
  <c r="H29" i="3" s="1"/>
  <c r="D20" i="3"/>
  <c r="D53" i="3"/>
  <c r="H53" i="3" s="1"/>
  <c r="D74" i="3"/>
  <c r="D41" i="3"/>
  <c r="D33" i="3"/>
  <c r="D25" i="3"/>
  <c r="H25" i="3" s="1"/>
  <c r="D17" i="3"/>
  <c r="D69" i="3"/>
  <c r="H69" i="3" s="1"/>
  <c r="D72" i="3"/>
  <c r="D64" i="3"/>
  <c r="H64" i="3" s="1"/>
  <c r="D40" i="3"/>
  <c r="D32" i="3"/>
  <c r="H32" i="3" s="1"/>
  <c r="D24" i="3"/>
  <c r="H24" i="3" s="1"/>
  <c r="D37" i="3"/>
  <c r="H37" i="3" s="1"/>
  <c r="D71" i="3"/>
  <c r="H71" i="3" s="1"/>
  <c r="D63" i="3"/>
  <c r="H63" i="3" s="1"/>
  <c r="D55" i="3"/>
  <c r="H55" i="3" s="1"/>
  <c r="D47" i="3"/>
  <c r="H47" i="3" s="1"/>
  <c r="D39" i="3"/>
  <c r="D31" i="3"/>
  <c r="D22" i="3"/>
  <c r="H22" i="3" s="1"/>
  <c r="D14" i="3"/>
  <c r="D79" i="3"/>
  <c r="D35" i="3"/>
  <c r="D78" i="3"/>
  <c r="D73" i="3"/>
  <c r="D65" i="3"/>
  <c r="D57" i="3"/>
  <c r="D49" i="3"/>
  <c r="D36" i="3"/>
  <c r="D51" i="3"/>
  <c r="D56" i="3"/>
  <c r="D16" i="3"/>
  <c r="D48" i="3"/>
  <c r="D26" i="3"/>
  <c r="D23" i="3"/>
  <c r="D66" i="3"/>
  <c r="D42" i="3"/>
  <c r="D59" i="3"/>
  <c r="D68" i="3"/>
  <c r="D15" i="3"/>
  <c r="E39" i="3" l="1"/>
  <c r="E40" i="3"/>
  <c r="E72" i="3"/>
  <c r="E17" i="3"/>
  <c r="E33" i="3"/>
  <c r="E74" i="3"/>
  <c r="E20" i="3"/>
  <c r="E34" i="3"/>
  <c r="E77" i="3"/>
  <c r="E43" i="3"/>
  <c r="E13" i="3"/>
  <c r="E27" i="3"/>
  <c r="E52" i="3"/>
  <c r="E38" i="3"/>
  <c r="E12" i="3"/>
  <c r="E70" i="3"/>
  <c r="E14" i="3"/>
  <c r="E31" i="3"/>
  <c r="E41" i="3"/>
  <c r="E50" i="3"/>
  <c r="E19" i="3"/>
  <c r="E67" i="3"/>
  <c r="E45" i="3"/>
  <c r="E21" i="3"/>
  <c r="E44" i="3"/>
  <c r="E60" i="3"/>
  <c r="E46" i="3"/>
  <c r="H38" i="3"/>
  <c r="E30" i="3"/>
  <c r="E62" i="3"/>
  <c r="E54" i="3"/>
  <c r="H60" i="3"/>
  <c r="H39" i="3"/>
  <c r="H17" i="3"/>
  <c r="E63" i="3"/>
  <c r="H45" i="3"/>
  <c r="H52" i="3"/>
  <c r="E76" i="3"/>
  <c r="E29" i="3"/>
  <c r="E25" i="3"/>
  <c r="H44" i="3"/>
  <c r="H14" i="3"/>
  <c r="E47" i="3"/>
  <c r="E75" i="3"/>
  <c r="H34" i="3"/>
  <c r="E71" i="3"/>
  <c r="H77" i="3"/>
  <c r="H27" i="3"/>
  <c r="H21" i="3"/>
  <c r="E28" i="3"/>
  <c r="E18" i="3"/>
  <c r="H31" i="3"/>
  <c r="H50" i="3"/>
  <c r="E69" i="3"/>
  <c r="H19" i="3"/>
  <c r="E37" i="3"/>
  <c r="H67" i="3"/>
  <c r="E53" i="3"/>
  <c r="E32" i="3"/>
  <c r="E64" i="3"/>
  <c r="H74" i="3"/>
  <c r="H40" i="3"/>
  <c r="H13" i="3"/>
  <c r="E58" i="3"/>
  <c r="H33" i="3"/>
  <c r="E61" i="3"/>
  <c r="E24" i="3"/>
  <c r="H20" i="3"/>
  <c r="H43" i="3"/>
  <c r="E22" i="3"/>
  <c r="H41" i="3"/>
  <c r="H72" i="3"/>
  <c r="E55" i="3"/>
  <c r="E56" i="3"/>
  <c r="H56" i="3"/>
  <c r="H16" i="3"/>
  <c r="E16" i="3"/>
  <c r="E49" i="3"/>
  <c r="H49" i="3"/>
  <c r="E65" i="3"/>
  <c r="H65" i="3"/>
  <c r="E59" i="3"/>
  <c r="H59" i="3"/>
  <c r="H42" i="3"/>
  <c r="E42" i="3"/>
  <c r="E57" i="3"/>
  <c r="H57" i="3"/>
  <c r="E73" i="3"/>
  <c r="H73" i="3"/>
  <c r="E48" i="3"/>
  <c r="H48" i="3"/>
  <c r="E66" i="3"/>
  <c r="H66" i="3"/>
  <c r="E51" i="3"/>
  <c r="H51" i="3"/>
  <c r="H15" i="3"/>
  <c r="E15" i="3"/>
  <c r="H78" i="3"/>
  <c r="E78" i="3"/>
  <c r="H68" i="3"/>
  <c r="E68" i="3"/>
  <c r="E36" i="3"/>
  <c r="H36" i="3"/>
  <c r="E35" i="3"/>
  <c r="H35" i="3"/>
  <c r="E26" i="3"/>
  <c r="H26" i="3"/>
  <c r="H23" i="3"/>
  <c r="E23" i="3"/>
  <c r="I35" i="3" l="1"/>
  <c r="J35" i="3" s="1"/>
  <c r="P35" i="3" s="1"/>
  <c r="I68" i="3"/>
  <c r="J68" i="3" s="1"/>
  <c r="P68" i="3" s="1"/>
  <c r="I36" i="3"/>
  <c r="J36" i="3" s="1"/>
  <c r="M36" i="3" s="1"/>
  <c r="I53" i="3"/>
  <c r="J53" i="3" s="1"/>
  <c r="O53" i="3" s="1"/>
  <c r="I44" i="3"/>
  <c r="J44" i="3" s="1"/>
  <c r="M44" i="3" s="1"/>
  <c r="I69" i="3"/>
  <c r="J69" i="3" s="1"/>
  <c r="P69" i="3" s="1"/>
  <c r="I21" i="3"/>
  <c r="J21" i="3" s="1"/>
  <c r="I57" i="3"/>
  <c r="J57" i="3" s="1"/>
  <c r="I63" i="3"/>
  <c r="J63" i="3" s="1"/>
  <c r="I71" i="3"/>
  <c r="J71" i="3" s="1"/>
  <c r="I67" i="3"/>
  <c r="J67" i="3" s="1"/>
  <c r="I32" i="3"/>
  <c r="J32" i="3" s="1"/>
  <c r="I13" i="3"/>
  <c r="J13" i="3" s="1"/>
  <c r="I30" i="3"/>
  <c r="J30" i="3" s="1"/>
  <c r="I51" i="3"/>
  <c r="J51" i="3" s="1"/>
  <c r="I23" i="3"/>
  <c r="J23" i="3" s="1"/>
  <c r="I20" i="3"/>
  <c r="J20" i="3" s="1"/>
  <c r="I19" i="3"/>
  <c r="J19" i="3" s="1"/>
  <c r="I77" i="3"/>
  <c r="J77" i="3" s="1"/>
  <c r="I52" i="3"/>
  <c r="J52" i="3" s="1"/>
  <c r="I43" i="3"/>
  <c r="J43" i="3" s="1"/>
  <c r="I34" i="3"/>
  <c r="J34" i="3" s="1"/>
  <c r="I47" i="3"/>
  <c r="J47" i="3" s="1"/>
  <c r="I26" i="3"/>
  <c r="J26" i="3" s="1"/>
  <c r="I12" i="3"/>
  <c r="J12" i="3" s="1"/>
  <c r="I50" i="3"/>
  <c r="J50" i="3" s="1"/>
  <c r="I29" i="3"/>
  <c r="J29" i="3" s="1"/>
  <c r="I54" i="3"/>
  <c r="J54" i="3" s="1"/>
  <c r="I72" i="3"/>
  <c r="J72" i="3" s="1"/>
  <c r="I74" i="3"/>
  <c r="J74" i="3" s="1"/>
  <c r="I33" i="3"/>
  <c r="J33" i="3" s="1"/>
  <c r="I55" i="3"/>
  <c r="J55" i="3" s="1"/>
  <c r="I46" i="3"/>
  <c r="J46" i="3" s="1"/>
  <c r="I39" i="3"/>
  <c r="J39" i="3" s="1"/>
  <c r="I42" i="3"/>
  <c r="J42" i="3" s="1"/>
  <c r="I40" i="3"/>
  <c r="J40" i="3" s="1"/>
  <c r="I45" i="3"/>
  <c r="J45" i="3" s="1"/>
  <c r="I24" i="3"/>
  <c r="J24" i="3" s="1"/>
  <c r="I61" i="3"/>
  <c r="J61" i="3" s="1"/>
  <c r="I14" i="3"/>
  <c r="J14" i="3" s="1"/>
  <c r="I15" i="3"/>
  <c r="J15" i="3" s="1"/>
  <c r="I31" i="3"/>
  <c r="J31" i="3" s="1"/>
  <c r="I65" i="3"/>
  <c r="J65" i="3" s="1"/>
  <c r="I56" i="3"/>
  <c r="J56" i="3" s="1"/>
  <c r="I75" i="3"/>
  <c r="J75" i="3" s="1"/>
  <c r="I60" i="3"/>
  <c r="J60" i="3" s="1"/>
  <c r="I18" i="3"/>
  <c r="J18" i="3" s="1"/>
  <c r="I38" i="3"/>
  <c r="J38" i="3" s="1"/>
  <c r="I22" i="3"/>
  <c r="J22" i="3" s="1"/>
  <c r="I28" i="3"/>
  <c r="J28" i="3" s="1"/>
  <c r="I49" i="3"/>
  <c r="J49" i="3" s="1"/>
  <c r="I66" i="3"/>
  <c r="J66" i="3" s="1"/>
  <c r="I16" i="3"/>
  <c r="J16" i="3" s="1"/>
  <c r="I59" i="3"/>
  <c r="J59" i="3" s="1"/>
  <c r="I37" i="3"/>
  <c r="J37" i="3" s="1"/>
  <c r="I25" i="3"/>
  <c r="J25" i="3" s="1"/>
  <c r="I27" i="3"/>
  <c r="J27" i="3" s="1"/>
  <c r="I73" i="3"/>
  <c r="J73" i="3" s="1"/>
  <c r="I17" i="3"/>
  <c r="J17" i="3" s="1"/>
  <c r="I76" i="3"/>
  <c r="J76" i="3" s="1"/>
  <c r="I41" i="3"/>
  <c r="J41" i="3" s="1"/>
  <c r="I64" i="3"/>
  <c r="J64" i="3" s="1"/>
  <c r="I78" i="3"/>
  <c r="J78" i="3" s="1"/>
  <c r="I58" i="3"/>
  <c r="J58" i="3" s="1"/>
  <c r="I48" i="3"/>
  <c r="J48" i="3" s="1"/>
  <c r="I62" i="3"/>
  <c r="J62" i="3" s="1"/>
  <c r="I70" i="3"/>
  <c r="J70" i="3" s="1"/>
  <c r="O36" i="3" l="1"/>
  <c r="O35" i="3"/>
  <c r="N36" i="3"/>
  <c r="P36" i="3"/>
  <c r="M35" i="3"/>
  <c r="N35" i="3"/>
  <c r="P53" i="3"/>
  <c r="N68" i="3"/>
  <c r="M68" i="3"/>
  <c r="N53" i="3"/>
  <c r="M53" i="3"/>
  <c r="O68" i="3"/>
  <c r="N44" i="3"/>
  <c r="O44" i="3"/>
  <c r="P44" i="3"/>
  <c r="N69" i="3"/>
  <c r="O69" i="3"/>
  <c r="M69" i="3"/>
  <c r="M48" i="3"/>
  <c r="O48" i="3"/>
  <c r="P48" i="3"/>
  <c r="N48" i="3"/>
  <c r="O38" i="3"/>
  <c r="P38" i="3"/>
  <c r="M38" i="3"/>
  <c r="N38" i="3"/>
  <c r="O37" i="3"/>
  <c r="P37" i="3"/>
  <c r="M37" i="3"/>
  <c r="N37" i="3"/>
  <c r="O64" i="3"/>
  <c r="M64" i="3"/>
  <c r="P64" i="3"/>
  <c r="N64" i="3"/>
  <c r="O59" i="3"/>
  <c r="M59" i="3"/>
  <c r="P59" i="3"/>
  <c r="N59" i="3"/>
  <c r="O31" i="3"/>
  <c r="M31" i="3"/>
  <c r="P31" i="3"/>
  <c r="N31" i="3"/>
  <c r="P74" i="3"/>
  <c r="O74" i="3"/>
  <c r="M74" i="3"/>
  <c r="N74" i="3"/>
  <c r="O34" i="3"/>
  <c r="P34" i="3"/>
  <c r="M34" i="3"/>
  <c r="N34" i="3"/>
  <c r="M30" i="3"/>
  <c r="O30" i="3"/>
  <c r="P30" i="3"/>
  <c r="N30" i="3"/>
  <c r="P43" i="3"/>
  <c r="O43" i="3"/>
  <c r="M43" i="3"/>
  <c r="N43" i="3"/>
  <c r="P13" i="3"/>
  <c r="M13" i="3"/>
  <c r="O13" i="3"/>
  <c r="N13" i="3"/>
  <c r="M76" i="3"/>
  <c r="P76" i="3"/>
  <c r="O76" i="3"/>
  <c r="N76" i="3"/>
  <c r="P66" i="3"/>
  <c r="O66" i="3"/>
  <c r="M66" i="3"/>
  <c r="N66" i="3"/>
  <c r="O14" i="3"/>
  <c r="P14" i="3"/>
  <c r="M14" i="3"/>
  <c r="N14" i="3"/>
  <c r="O54" i="3"/>
  <c r="P54" i="3"/>
  <c r="M54" i="3"/>
  <c r="N54" i="3"/>
  <c r="O52" i="3"/>
  <c r="M52" i="3"/>
  <c r="P52" i="3"/>
  <c r="N52" i="3"/>
  <c r="M32" i="3"/>
  <c r="O32" i="3"/>
  <c r="P32" i="3"/>
  <c r="N32" i="3"/>
  <c r="M16" i="3"/>
  <c r="P16" i="3"/>
  <c r="O16" i="3"/>
  <c r="N16" i="3"/>
  <c r="P70" i="3"/>
  <c r="O70" i="3"/>
  <c r="M70" i="3"/>
  <c r="N70" i="3"/>
  <c r="M17" i="3"/>
  <c r="P17" i="3"/>
  <c r="O17" i="3"/>
  <c r="N17" i="3"/>
  <c r="M49" i="3"/>
  <c r="O49" i="3"/>
  <c r="P49" i="3"/>
  <c r="N49" i="3"/>
  <c r="M18" i="3"/>
  <c r="O18" i="3"/>
  <c r="P18" i="3"/>
  <c r="N18" i="3"/>
  <c r="M61" i="3"/>
  <c r="O61" i="3"/>
  <c r="P61" i="3"/>
  <c r="N61" i="3"/>
  <c r="O29" i="3"/>
  <c r="M29" i="3"/>
  <c r="P29" i="3"/>
  <c r="N29" i="3"/>
  <c r="P77" i="3"/>
  <c r="O77" i="3"/>
  <c r="M77" i="3"/>
  <c r="N77" i="3"/>
  <c r="P67" i="3"/>
  <c r="O67" i="3"/>
  <c r="M67" i="3"/>
  <c r="N67" i="3"/>
  <c r="O41" i="3"/>
  <c r="M41" i="3"/>
  <c r="P41" i="3"/>
  <c r="N41" i="3"/>
  <c r="M72" i="3"/>
  <c r="P72" i="3"/>
  <c r="O72" i="3"/>
  <c r="N72" i="3"/>
  <c r="P62" i="3"/>
  <c r="O62" i="3"/>
  <c r="M62" i="3"/>
  <c r="N62" i="3"/>
  <c r="O73" i="3"/>
  <c r="P73" i="3"/>
  <c r="M73" i="3"/>
  <c r="N73" i="3"/>
  <c r="O28" i="3"/>
  <c r="M28" i="3"/>
  <c r="P28" i="3"/>
  <c r="N28" i="3"/>
  <c r="M60" i="3"/>
  <c r="O60" i="3"/>
  <c r="P60" i="3"/>
  <c r="N60" i="3"/>
  <c r="O24" i="3"/>
  <c r="P24" i="3"/>
  <c r="M24" i="3"/>
  <c r="N24" i="3"/>
  <c r="P39" i="3"/>
  <c r="M39" i="3"/>
  <c r="O39" i="3"/>
  <c r="N39" i="3"/>
  <c r="M50" i="3"/>
  <c r="P50" i="3"/>
  <c r="O50" i="3"/>
  <c r="N50" i="3"/>
  <c r="P19" i="3"/>
  <c r="M19" i="3"/>
  <c r="O19" i="3"/>
  <c r="N19" i="3"/>
  <c r="O71" i="3"/>
  <c r="M71" i="3"/>
  <c r="P71" i="3"/>
  <c r="N71" i="3"/>
  <c r="P27" i="3"/>
  <c r="M27" i="3"/>
  <c r="O27" i="3"/>
  <c r="N27" i="3"/>
  <c r="P22" i="3"/>
  <c r="M22" i="3"/>
  <c r="O22" i="3"/>
  <c r="N22" i="3"/>
  <c r="P75" i="3"/>
  <c r="M75" i="3"/>
  <c r="O75" i="3"/>
  <c r="N75" i="3"/>
  <c r="P45" i="3"/>
  <c r="M45" i="3"/>
  <c r="O45" i="3"/>
  <c r="N45" i="3"/>
  <c r="M46" i="3"/>
  <c r="O46" i="3"/>
  <c r="P46" i="3"/>
  <c r="N46" i="3"/>
  <c r="O12" i="3"/>
  <c r="Q12" i="3" s="1"/>
  <c r="P12" i="3"/>
  <c r="M12" i="3"/>
  <c r="N12" i="3"/>
  <c r="P20" i="3"/>
  <c r="M20" i="3"/>
  <c r="O20" i="3"/>
  <c r="N20" i="3"/>
  <c r="M63" i="3"/>
  <c r="P63" i="3"/>
  <c r="O63" i="3"/>
  <c r="N63" i="3"/>
  <c r="O15" i="3"/>
  <c r="P15" i="3"/>
  <c r="M15" i="3"/>
  <c r="N15" i="3"/>
  <c r="O56" i="3"/>
  <c r="P56" i="3"/>
  <c r="M56" i="3"/>
  <c r="N56" i="3"/>
  <c r="M40" i="3"/>
  <c r="O40" i="3"/>
  <c r="P40" i="3"/>
  <c r="N40" i="3"/>
  <c r="O55" i="3"/>
  <c r="P55" i="3"/>
  <c r="M55" i="3"/>
  <c r="N55" i="3"/>
  <c r="O26" i="3"/>
  <c r="M26" i="3"/>
  <c r="P26" i="3"/>
  <c r="N26" i="3"/>
  <c r="P23" i="3"/>
  <c r="M23" i="3"/>
  <c r="O23" i="3"/>
  <c r="N23" i="3"/>
  <c r="O57" i="3"/>
  <c r="M57" i="3"/>
  <c r="P57" i="3"/>
  <c r="N57" i="3"/>
  <c r="M58" i="3"/>
  <c r="O58" i="3"/>
  <c r="P58" i="3"/>
  <c r="N58" i="3"/>
  <c r="P25" i="3"/>
  <c r="O25" i="3"/>
  <c r="M25" i="3"/>
  <c r="N25" i="3"/>
  <c r="P78" i="3"/>
  <c r="O78" i="3"/>
  <c r="M78" i="3"/>
  <c r="N78" i="3"/>
  <c r="M65" i="3"/>
  <c r="O65" i="3"/>
  <c r="P65" i="3"/>
  <c r="N65" i="3"/>
  <c r="M42" i="3"/>
  <c r="P42" i="3"/>
  <c r="O42" i="3"/>
  <c r="N42" i="3"/>
  <c r="M33" i="3"/>
  <c r="O33" i="3"/>
  <c r="P33" i="3"/>
  <c r="N33" i="3"/>
  <c r="P47" i="3"/>
  <c r="M47" i="3"/>
  <c r="O47" i="3"/>
  <c r="N47" i="3"/>
  <c r="O51" i="3"/>
  <c r="M51" i="3"/>
  <c r="P51" i="3"/>
  <c r="N51" i="3"/>
  <c r="M21" i="3"/>
  <c r="O21" i="3"/>
  <c r="P21" i="3"/>
  <c r="N21" i="3"/>
  <c r="Q13" i="3" l="1"/>
  <c r="Q14" i="3" l="1"/>
  <c r="Q15" i="3" l="1"/>
  <c r="Q16" i="3" l="1"/>
  <c r="Q17" i="3" l="1"/>
  <c r="Q18" i="3" l="1"/>
  <c r="Q19" i="3" l="1"/>
  <c r="Q20" i="3" l="1"/>
  <c r="Q21" i="3" l="1"/>
  <c r="Q22" i="3" l="1"/>
  <c r="Q23" i="3" l="1"/>
  <c r="Q24" i="3" l="1"/>
  <c r="Q25" i="3" l="1"/>
  <c r="Q26" i="3" l="1"/>
  <c r="Q27" i="3" l="1"/>
  <c r="Q28" i="3" l="1"/>
  <c r="Q29" i="3" l="1"/>
  <c r="Q30" i="3" l="1"/>
  <c r="Q31" i="3" l="1"/>
  <c r="Q32" i="3" l="1"/>
  <c r="Q33" i="3" l="1"/>
  <c r="Q34" i="3" l="1"/>
  <c r="Q35" i="3" l="1"/>
  <c r="Q36" i="3" l="1"/>
  <c r="Q37" i="3" l="1"/>
  <c r="Q38" i="3" l="1"/>
  <c r="Q39" i="3" l="1"/>
  <c r="Q40" i="3" l="1"/>
  <c r="Q41" i="3" l="1"/>
  <c r="Q42" i="3" l="1"/>
  <c r="Q43" i="3" l="1"/>
  <c r="Q44" i="3" l="1"/>
  <c r="Q45" i="3" l="1"/>
  <c r="Q46" i="3" l="1"/>
  <c r="Q47" i="3" l="1"/>
  <c r="Q48" i="3" l="1"/>
  <c r="Q49" i="3" l="1"/>
  <c r="Q50" i="3" l="1"/>
  <c r="Q51" i="3" l="1"/>
  <c r="Q52" i="3" l="1"/>
  <c r="Q53" i="3" l="1"/>
  <c r="Q54" i="3" l="1"/>
  <c r="Q55" i="3" l="1"/>
  <c r="Q56" i="3" l="1"/>
  <c r="Q57" i="3" l="1"/>
  <c r="Q58" i="3" l="1"/>
  <c r="Q59" i="3" l="1"/>
  <c r="Q60" i="3" l="1"/>
  <c r="Q61" i="3" l="1"/>
  <c r="Q62" i="3" l="1"/>
  <c r="Q63" i="3" l="1"/>
  <c r="Q64" i="3" l="1"/>
  <c r="Q65" i="3" l="1"/>
  <c r="Q66" i="3" l="1"/>
  <c r="Q67" i="3" l="1"/>
  <c r="Q68" i="3" l="1"/>
  <c r="Q69" i="3" l="1"/>
  <c r="Q70" i="3" l="1"/>
  <c r="Q71" i="3" l="1"/>
  <c r="Q72" i="3" l="1"/>
  <c r="Q73" i="3" l="1"/>
  <c r="Q74" i="3" l="1"/>
  <c r="Q75" i="3" l="1"/>
  <c r="Q76" i="3" l="1"/>
  <c r="Q77" i="3" l="1"/>
  <c r="Q78" i="3" l="1"/>
  <c r="R78" i="3" l="1"/>
  <c r="S78" i="3" s="1"/>
  <c r="R12" i="3"/>
  <c r="S12" i="3" s="1"/>
  <c r="R13" i="3"/>
  <c r="S13" i="3" s="1"/>
  <c r="R14" i="3"/>
  <c r="S14" i="3" s="1"/>
  <c r="R15" i="3"/>
  <c r="S15" i="3" s="1"/>
  <c r="R16" i="3"/>
  <c r="S16" i="3" s="1"/>
  <c r="R17" i="3"/>
  <c r="S17" i="3" s="1"/>
  <c r="R18" i="3"/>
  <c r="S18" i="3" s="1"/>
  <c r="R19" i="3"/>
  <c r="S19" i="3" s="1"/>
  <c r="R20" i="3"/>
  <c r="S20" i="3" s="1"/>
  <c r="R21" i="3"/>
  <c r="S21" i="3" s="1"/>
  <c r="R22" i="3"/>
  <c r="S22" i="3" s="1"/>
  <c r="R23" i="3"/>
  <c r="S23" i="3" s="1"/>
  <c r="R24" i="3"/>
  <c r="S24" i="3" s="1"/>
  <c r="R25" i="3"/>
  <c r="S25" i="3" s="1"/>
  <c r="R26" i="3"/>
  <c r="S26" i="3" s="1"/>
  <c r="R27" i="3"/>
  <c r="S27" i="3" s="1"/>
  <c r="R28" i="3"/>
  <c r="S28" i="3" s="1"/>
  <c r="R29" i="3"/>
  <c r="S29" i="3" s="1"/>
  <c r="R30" i="3"/>
  <c r="S30" i="3" s="1"/>
  <c r="R31" i="3"/>
  <c r="S31" i="3" s="1"/>
  <c r="R32" i="3"/>
  <c r="S32" i="3" s="1"/>
  <c r="R33" i="3"/>
  <c r="S33" i="3" s="1"/>
  <c r="R34" i="3"/>
  <c r="S34" i="3" s="1"/>
  <c r="R35" i="3"/>
  <c r="S35" i="3" s="1"/>
  <c r="R36" i="3"/>
  <c r="S36" i="3" s="1"/>
  <c r="R37" i="3"/>
  <c r="S37" i="3" s="1"/>
  <c r="R38" i="3"/>
  <c r="S38" i="3" s="1"/>
  <c r="R39" i="3"/>
  <c r="S39" i="3" s="1"/>
  <c r="R40" i="3"/>
  <c r="S40" i="3" s="1"/>
  <c r="R41" i="3"/>
  <c r="S41" i="3" s="1"/>
  <c r="R42" i="3"/>
  <c r="S42" i="3" s="1"/>
  <c r="R43" i="3"/>
  <c r="S43" i="3" s="1"/>
  <c r="R44" i="3"/>
  <c r="S44" i="3" s="1"/>
  <c r="R45" i="3"/>
  <c r="S45" i="3" s="1"/>
  <c r="R46" i="3"/>
  <c r="S46" i="3" s="1"/>
  <c r="R47" i="3"/>
  <c r="S47" i="3" s="1"/>
  <c r="R48" i="3"/>
  <c r="S48" i="3" s="1"/>
  <c r="R49" i="3"/>
  <c r="S49" i="3" s="1"/>
  <c r="R50" i="3"/>
  <c r="S50" i="3" s="1"/>
  <c r="R51" i="3"/>
  <c r="S51" i="3" s="1"/>
  <c r="R52" i="3"/>
  <c r="S52" i="3" s="1"/>
  <c r="R53" i="3"/>
  <c r="S53" i="3" s="1"/>
  <c r="R54" i="3"/>
  <c r="S54" i="3" s="1"/>
  <c r="R55" i="3"/>
  <c r="S55" i="3" s="1"/>
  <c r="R56" i="3"/>
  <c r="S56" i="3" s="1"/>
  <c r="R57" i="3"/>
  <c r="S57" i="3" s="1"/>
  <c r="R58" i="3"/>
  <c r="S58" i="3" s="1"/>
  <c r="R59" i="3"/>
  <c r="S59" i="3" s="1"/>
  <c r="R60" i="3"/>
  <c r="S60" i="3" s="1"/>
  <c r="R61" i="3"/>
  <c r="S61" i="3" s="1"/>
  <c r="R62" i="3"/>
  <c r="S62" i="3" s="1"/>
  <c r="R63" i="3"/>
  <c r="S63" i="3" s="1"/>
  <c r="R64" i="3"/>
  <c r="S64" i="3" s="1"/>
  <c r="R65" i="3"/>
  <c r="S65" i="3" s="1"/>
  <c r="R66" i="3"/>
  <c r="S66" i="3" s="1"/>
  <c r="R67" i="3"/>
  <c r="S67" i="3" s="1"/>
  <c r="R68" i="3"/>
  <c r="S68" i="3" s="1"/>
  <c r="R69" i="3"/>
  <c r="S69" i="3" s="1"/>
  <c r="R70" i="3"/>
  <c r="S70" i="3" s="1"/>
  <c r="R71" i="3"/>
  <c r="S71" i="3" s="1"/>
  <c r="R72" i="3"/>
  <c r="S72" i="3" s="1"/>
  <c r="R73" i="3"/>
  <c r="S73" i="3" s="1"/>
  <c r="R74" i="3"/>
  <c r="S74" i="3" s="1"/>
  <c r="R75" i="3"/>
  <c r="S75" i="3" s="1"/>
  <c r="R76" i="3"/>
  <c r="S76" i="3" s="1"/>
  <c r="R77" i="3"/>
  <c r="S77" i="3" s="1"/>
  <c r="V3" i="3" l="1"/>
  <c r="V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Panasonic do Brasil LTDA</author>
  </authors>
  <commentList>
    <comment ref="K1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EVEREADY</t>
        </r>
      </text>
    </comment>
  </commentList>
</comments>
</file>

<file path=xl/sharedStrings.xml><?xml version="1.0" encoding="utf-8"?>
<sst xmlns="http://schemas.openxmlformats.org/spreadsheetml/2006/main" count="545" uniqueCount="393">
  <si>
    <t>Data do Acabamento</t>
  </si>
  <si>
    <t>Aging</t>
  </si>
  <si>
    <t>Qt. Produzida</t>
  </si>
  <si>
    <t>Qt. Testada</t>
  </si>
  <si>
    <t>Sem Papel Separador</t>
  </si>
  <si>
    <t>Papel Afundado</t>
  </si>
  <si>
    <t>Papel Deslocado</t>
  </si>
  <si>
    <t>Sem Disco</t>
  </si>
  <si>
    <t>Disco Cortado</t>
  </si>
  <si>
    <t>Isolador fora de centro</t>
  </si>
  <si>
    <t>Manchado</t>
  </si>
  <si>
    <t>Ferro</t>
  </si>
  <si>
    <t>Cobre</t>
  </si>
  <si>
    <t>Mistura no Tubo</t>
  </si>
  <si>
    <t>Pó de Mistura</t>
  </si>
  <si>
    <t>Bobina Alta</t>
  </si>
  <si>
    <t>Mistura seca</t>
  </si>
  <si>
    <t>Contem estranho</t>
  </si>
  <si>
    <t>Pedra de Óxido</t>
  </si>
  <si>
    <t>Curto Circuito Externo</t>
  </si>
  <si>
    <t>Total</t>
  </si>
  <si>
    <t>Taxa defeituosa (ppm)</t>
  </si>
  <si>
    <t>Defeitos de Amperagem</t>
  </si>
  <si>
    <t>Amperagem Ajustada</t>
  </si>
  <si>
    <t>Papel Separdor Duplo</t>
  </si>
  <si>
    <t>Pedra de Negro</t>
  </si>
  <si>
    <t>Pedra de Cl de Amônia</t>
  </si>
  <si>
    <t>Bobina Rachada</t>
  </si>
  <si>
    <t>Emenda de Papel</t>
  </si>
  <si>
    <t>Metade do Carvão</t>
  </si>
  <si>
    <t>Carvão Frouxo</t>
  </si>
  <si>
    <t>Tubo de Zinco Sujo</t>
  </si>
  <si>
    <t>Bottom Plate Amassado</t>
  </si>
  <si>
    <t>PVC Comprido</t>
  </si>
  <si>
    <t>Papel Separador Cortado</t>
  </si>
  <si>
    <t>Tubo de Zinco Amassado</t>
  </si>
  <si>
    <t>Turno</t>
  </si>
  <si>
    <t>TURNO</t>
  </si>
  <si>
    <t>Menu Principal</t>
  </si>
  <si>
    <t>Sem PY</t>
  </si>
  <si>
    <t>Linha</t>
  </si>
  <si>
    <t>Modelo</t>
  </si>
  <si>
    <t>Qt. Defeituosa</t>
  </si>
  <si>
    <t>Sub total</t>
  </si>
  <si>
    <t>Dia</t>
  </si>
  <si>
    <t>Noite</t>
  </si>
  <si>
    <t>SH</t>
  </si>
  <si>
    <t>PH</t>
  </si>
  <si>
    <t>BIC</t>
  </si>
  <si>
    <t>GT</t>
  </si>
  <si>
    <t>Descrição</t>
  </si>
  <si>
    <t>Linha 1</t>
  </si>
  <si>
    <t>Linha 2</t>
  </si>
  <si>
    <t>Sub-total Produzido</t>
  </si>
  <si>
    <t>Sub-total Testado</t>
  </si>
  <si>
    <t>Sub-total Defeitos</t>
  </si>
  <si>
    <t>Sub-total Acabado</t>
  </si>
  <si>
    <t>TOTAL POR MODELO</t>
  </si>
  <si>
    <t>SN</t>
  </si>
  <si>
    <t>Qt. Acabada L1-D</t>
  </si>
  <si>
    <t>Qt. Acabada L1-N</t>
  </si>
  <si>
    <t>Total acabado L1</t>
  </si>
  <si>
    <t>Qt. Acabada L2-D</t>
  </si>
  <si>
    <t>Qt. Acabada L2-N</t>
  </si>
  <si>
    <t>Total acabado L2</t>
  </si>
  <si>
    <t>Taxa Defeituosa (%)</t>
  </si>
  <si>
    <t>Total acabado</t>
  </si>
  <si>
    <t>Geral (%)</t>
  </si>
  <si>
    <t>L1-D</t>
  </si>
  <si>
    <t>L1-N</t>
  </si>
  <si>
    <t>L2-D</t>
  </si>
  <si>
    <t>L2-N</t>
  </si>
  <si>
    <t>Conferência</t>
  </si>
  <si>
    <t>Gráfico de Pareto de Falhas de V/A</t>
  </si>
  <si>
    <t>SUB-TOTAL</t>
  </si>
  <si>
    <t>TSHB</t>
  </si>
  <si>
    <t>Un.</t>
  </si>
  <si>
    <t xml:space="preserve">Taxa defeituosa </t>
  </si>
  <si>
    <t>ppm</t>
  </si>
  <si>
    <t>TOTAL FALHAS POR MODELO</t>
  </si>
  <si>
    <t>Taxa Defeituosa (ppm)</t>
  </si>
  <si>
    <t>Fatores Int. (ppm)</t>
  </si>
  <si>
    <t>Falhas processadas até:</t>
  </si>
  <si>
    <t>Objetivos da Qualidade (%)</t>
  </si>
  <si>
    <t>NP</t>
  </si>
  <si>
    <t>Cód</t>
  </si>
  <si>
    <t>Cód.</t>
  </si>
  <si>
    <t>Manchado Superior</t>
  </si>
  <si>
    <t>Produzido no mês</t>
  </si>
  <si>
    <t>Testado no mês</t>
  </si>
  <si>
    <t>Diferença prod.acab.</t>
  </si>
  <si>
    <t>Calculo</t>
  </si>
  <si>
    <t>maior</t>
  </si>
  <si>
    <t>item</t>
  </si>
  <si>
    <t>corresp</t>
  </si>
  <si>
    <t>Classificação</t>
  </si>
  <si>
    <t>Item</t>
  </si>
  <si>
    <t>Outros - Voltagem</t>
  </si>
  <si>
    <t>Outros - Amperagem</t>
  </si>
  <si>
    <t>Resultado</t>
  </si>
  <si>
    <t>total</t>
  </si>
  <si>
    <t>Turno:</t>
  </si>
  <si>
    <t>Instruções:</t>
  </si>
  <si>
    <t>CTRL + SHIFT + p -&gt; Protege todas as planilhas</t>
  </si>
  <si>
    <t>CTRL + u -&gt; Desprotege as planilhas</t>
  </si>
  <si>
    <t>CTRL + SHIFT + r -&gt; Apaga os dados das planilhas (Utilize com cuidado!)</t>
  </si>
  <si>
    <t xml:space="preserve"> </t>
  </si>
  <si>
    <t>PY Queimado</t>
  </si>
  <si>
    <t>Cod.</t>
  </si>
  <si>
    <t>English</t>
  </si>
  <si>
    <t>Portuguese</t>
  </si>
  <si>
    <t>No separator</t>
  </si>
  <si>
    <t>Sliced Separator Paper</t>
  </si>
  <si>
    <t>Ripped Separator Paper</t>
  </si>
  <si>
    <t>Papel Separador Rasgado</t>
  </si>
  <si>
    <t>Folded Separator (Top)</t>
  </si>
  <si>
    <t>Papel Dobrado Sup.</t>
  </si>
  <si>
    <t>Folded Separator</t>
  </si>
  <si>
    <t>Papel Dobrado Meio</t>
  </si>
  <si>
    <t>Folded Separator (Bottom)</t>
  </si>
  <si>
    <t>Papel Dobrado Inf.</t>
  </si>
  <si>
    <t xml:space="preserve">Separator pape go down </t>
  </si>
  <si>
    <t>Shifted Separator Paper</t>
  </si>
  <si>
    <t>Smaller Separator Paper</t>
  </si>
  <si>
    <t>Papel menor</t>
  </si>
  <si>
    <t>No Bottom Insulator</t>
  </si>
  <si>
    <t>Sliced Bottom Insulator</t>
  </si>
  <si>
    <t>Ripped Bottom Insulator</t>
  </si>
  <si>
    <t>Disco Rasgado</t>
  </si>
  <si>
    <t>Drilled Bottom Insulator</t>
  </si>
  <si>
    <t>Disco Furado</t>
  </si>
  <si>
    <t>Folded Bottom Insulator</t>
  </si>
  <si>
    <t>Disco Dobrado</t>
  </si>
  <si>
    <t>Shifted Bottom Insulator</t>
  </si>
  <si>
    <t>Disco fora de centro / deslocado</t>
  </si>
  <si>
    <t>Bottom Insulator off-center</t>
  </si>
  <si>
    <t>Bottom Insulator sunk</t>
  </si>
  <si>
    <t>Isolador afundado</t>
  </si>
  <si>
    <t>Bottom Insulator inclined</t>
  </si>
  <si>
    <t>Isolador Inclinado</t>
  </si>
  <si>
    <t>Dirty Separator Paper</t>
  </si>
  <si>
    <t>Papel sujo</t>
  </si>
  <si>
    <t>Mottled</t>
  </si>
  <si>
    <t>Mottled (top)</t>
  </si>
  <si>
    <t>Iron</t>
  </si>
  <si>
    <t>Copper</t>
  </si>
  <si>
    <t>Mix touch</t>
  </si>
  <si>
    <t>Mix Powder</t>
  </si>
  <si>
    <t>High Bobbin</t>
  </si>
  <si>
    <t>Wet Bobbin</t>
  </si>
  <si>
    <t>Bobina Molhada</t>
  </si>
  <si>
    <t>Stranger content</t>
  </si>
  <si>
    <t>Zinc Oxide</t>
  </si>
  <si>
    <t>No Sealant</t>
  </si>
  <si>
    <t>Sem Selante</t>
  </si>
  <si>
    <t>Injecton defect on PY</t>
  </si>
  <si>
    <t>PY c/ Falha de Injeção</t>
  </si>
  <si>
    <t>PY off-center</t>
  </si>
  <si>
    <t>PY Fora de Centro</t>
  </si>
  <si>
    <t>PY burned</t>
  </si>
  <si>
    <t>Zinc Can Dent</t>
  </si>
  <si>
    <r>
      <t xml:space="preserve">Tb c/ Boca Amassada - </t>
    </r>
    <r>
      <rPr>
        <sz val="10"/>
        <color indexed="10"/>
        <rFont val="Arial"/>
        <family val="2"/>
      </rPr>
      <t>Operador</t>
    </r>
  </si>
  <si>
    <t>Zinc Can Dent - Camera</t>
  </si>
  <si>
    <t>Tb c/ Boca Amassada - Câmera</t>
  </si>
  <si>
    <t>Zinc Can Dent - Restored</t>
  </si>
  <si>
    <t>Tb c/ Boca Amassada - recuperada</t>
  </si>
  <si>
    <t>Zinc Can Cracked - Operator</t>
  </si>
  <si>
    <r>
      <t xml:space="preserve">Tubo Rachado - </t>
    </r>
    <r>
      <rPr>
        <sz val="10"/>
        <color indexed="10"/>
        <rFont val="Arial"/>
        <family val="2"/>
      </rPr>
      <t>Operador</t>
    </r>
  </si>
  <si>
    <t>Zinc Can Cracked</t>
  </si>
  <si>
    <t>Tubo Rachado - Câmera</t>
  </si>
  <si>
    <t>Zinc Can Smashed</t>
  </si>
  <si>
    <t>Zinc Can with Burr</t>
  </si>
  <si>
    <t>Tubo com Rebarba</t>
  </si>
  <si>
    <t>Outer Short Circuit</t>
  </si>
  <si>
    <t>Outer Short Circuit - restored</t>
  </si>
  <si>
    <t>Curto Circ. Externo -  recuperada</t>
  </si>
  <si>
    <t>Restored Battery from Finishing</t>
  </si>
  <si>
    <t>Pilha recuperada do Acabamento</t>
  </si>
  <si>
    <t>Unknow Causes</t>
  </si>
  <si>
    <t>Causa Desconhecida - Voltagem</t>
  </si>
  <si>
    <t>No defects</t>
  </si>
  <si>
    <t>Pilha Boa</t>
  </si>
  <si>
    <t>Others - Voltage</t>
  </si>
  <si>
    <t>Double Separator Paper</t>
  </si>
  <si>
    <t>Acetylene Black</t>
  </si>
  <si>
    <t>Ammonium Chloride</t>
  </si>
  <si>
    <t>Manganese</t>
  </si>
  <si>
    <t>Pelota de Manganês</t>
  </si>
  <si>
    <t>Cracked Bobbin</t>
  </si>
  <si>
    <t>Separator Paper Emendation</t>
  </si>
  <si>
    <t>Half Carbon Rod</t>
  </si>
  <si>
    <t>Incompact Carbon Rod</t>
  </si>
  <si>
    <t>Dirty Zinc Can</t>
  </si>
  <si>
    <t>Dry Mix</t>
  </si>
  <si>
    <t>Bottom Plate Smashed</t>
  </si>
  <si>
    <t>Long PVC</t>
  </si>
  <si>
    <t>Causa Desconhecida - Amperagem</t>
  </si>
  <si>
    <t>Others - Amperage</t>
  </si>
  <si>
    <t>Dados de Rastreabilidade da Mistura</t>
  </si>
  <si>
    <t>Assembly Date</t>
  </si>
  <si>
    <t>Data da Montagem</t>
  </si>
  <si>
    <t>Finishing Date</t>
  </si>
  <si>
    <t>Descanso:</t>
  </si>
  <si>
    <t>Production Qty (pcs)</t>
  </si>
  <si>
    <t>Qtd de Produção (pçs)</t>
  </si>
  <si>
    <t>GME - Fornecedor</t>
  </si>
  <si>
    <t>Nº Lote</t>
  </si>
  <si>
    <t>Qty</t>
  </si>
  <si>
    <t>Qtd</t>
  </si>
  <si>
    <t>NMD - Supplier</t>
  </si>
  <si>
    <t>Lot.</t>
  </si>
  <si>
    <t>GCA - Acetylene Black - Supplier</t>
  </si>
  <si>
    <t>GCA - Fornecedor</t>
  </si>
  <si>
    <t>GZI - Supplier</t>
  </si>
  <si>
    <t>Inspeção</t>
  </si>
  <si>
    <t>Checked Qty (pcs)</t>
  </si>
  <si>
    <t>Qtd. Retestada (pçs)</t>
  </si>
  <si>
    <t>Defect Qty (pcs)</t>
  </si>
  <si>
    <t>Defeitos (Qty)</t>
  </si>
  <si>
    <t>Voltage (AVG)</t>
  </si>
  <si>
    <t>Voltagem (Moda)</t>
  </si>
  <si>
    <t>Voltage (Setup)</t>
  </si>
  <si>
    <t>Voltagem (ajustada)</t>
  </si>
  <si>
    <t>Qty of batteries analyzed</t>
  </si>
  <si>
    <t>Qtd. Analisada (pçs)</t>
  </si>
  <si>
    <t>Defeitos de Vlotagem</t>
  </si>
  <si>
    <t>Total (pcs)</t>
  </si>
  <si>
    <t>Total (pçs)</t>
  </si>
  <si>
    <t>1st finishing test</t>
  </si>
  <si>
    <t>1º Teste</t>
  </si>
  <si>
    <t>Defect Ratio (ppm)</t>
  </si>
  <si>
    <t>Qty of inner defects</t>
  </si>
  <si>
    <t>Qtd. Defeitos internos (pçs)</t>
  </si>
  <si>
    <t>Inner Defect Ratio (ppm)</t>
  </si>
  <si>
    <t>Defeitos Internos - Taxa defeituosa (ppm)</t>
  </si>
  <si>
    <t>Amperage (Avg)</t>
  </si>
  <si>
    <t>Amperagem (Moda)</t>
  </si>
  <si>
    <t>Amperage (Setup)</t>
  </si>
  <si>
    <t>Qtd Baterias analisadas (pçs)</t>
  </si>
  <si>
    <t>Qty Total (pcs)</t>
  </si>
  <si>
    <t>Overall Defect Ratio (ppm)</t>
  </si>
  <si>
    <t>Taxa Defeituosa Total (ppm)</t>
  </si>
  <si>
    <t>Model</t>
  </si>
  <si>
    <t>No PY</t>
  </si>
  <si>
    <t>Descrição\Mês\Turno</t>
  </si>
  <si>
    <t>L1 - Dia</t>
  </si>
  <si>
    <t>L2 - Dia</t>
  </si>
  <si>
    <t>GZO - Fornecedor</t>
  </si>
  <si>
    <t>Carbon Rod - Supplier</t>
  </si>
  <si>
    <t>Lot Nº</t>
  </si>
  <si>
    <t>Lot. Nº</t>
  </si>
  <si>
    <t>Carvão - Fornecedor</t>
  </si>
  <si>
    <t>Solution nº 125 - Qty</t>
  </si>
  <si>
    <t>Solução nº 125 Qtd</t>
  </si>
  <si>
    <t>EMD - Supplier</t>
  </si>
  <si>
    <t>GMT - Fornecedor</t>
  </si>
  <si>
    <t>L1 - Noite</t>
  </si>
  <si>
    <t>Modelos</t>
  </si>
  <si>
    <t>Objetivo  500ppm</t>
  </si>
  <si>
    <t>Objetivo 600ppm</t>
  </si>
  <si>
    <t>Objetivo  600ppm</t>
  </si>
  <si>
    <t xml:space="preserve">                                                        </t>
  </si>
  <si>
    <t>Ac.</t>
  </si>
  <si>
    <t>Ac. %</t>
  </si>
  <si>
    <t>L1 - D+N</t>
  </si>
  <si>
    <t>L2 - D+N</t>
  </si>
  <si>
    <t>D+N</t>
  </si>
  <si>
    <t>Linguagem</t>
  </si>
  <si>
    <t>Inglês</t>
  </si>
  <si>
    <t>Português</t>
  </si>
  <si>
    <t>Problemas</t>
  </si>
  <si>
    <t>L1 - NOITE</t>
  </si>
  <si>
    <t>L1 - DIA</t>
  </si>
  <si>
    <t>L2 - DIA</t>
  </si>
  <si>
    <t>L2 - NOITE</t>
  </si>
  <si>
    <t>L1+L2</t>
  </si>
  <si>
    <t>Taxa defeituosa</t>
  </si>
  <si>
    <t>Taxa Defeituosa</t>
  </si>
  <si>
    <t>Estratificação</t>
  </si>
  <si>
    <t>1+2</t>
  </si>
  <si>
    <t>Objetivo</t>
  </si>
  <si>
    <t>Broken Cabon Rod V</t>
  </si>
  <si>
    <t>Carvão Quebrado V</t>
  </si>
  <si>
    <t>Lower Bobbin V</t>
  </si>
  <si>
    <t>Bobina Baixa V</t>
  </si>
  <si>
    <t>Lower Bobbin A</t>
  </si>
  <si>
    <t>Bobina Baixa A</t>
  </si>
  <si>
    <t>Broken Cabon Rod A</t>
  </si>
  <si>
    <t>Carvão Quebrado A</t>
  </si>
  <si>
    <t>conta</t>
  </si>
  <si>
    <t>Lin</t>
  </si>
  <si>
    <t>Japonês</t>
  </si>
  <si>
    <t>組立日</t>
  </si>
  <si>
    <t>終了日</t>
  </si>
  <si>
    <t>休憩：</t>
  </si>
  <si>
    <t>テンプレート</t>
  </si>
  <si>
    <t>生産数量（個）</t>
  </si>
  <si>
    <t>GME-サプライヤー</t>
  </si>
  <si>
    <t>ロット番号</t>
  </si>
  <si>
    <t>数量</t>
  </si>
  <si>
    <t>GMT-サプライヤー</t>
  </si>
  <si>
    <t>GCA-サプライヤー</t>
  </si>
  <si>
    <t>たくさん</t>
  </si>
  <si>
    <t>GZO-サプライヤー</t>
  </si>
  <si>
    <t>ソリューション＃125数量</t>
  </si>
  <si>
    <t>石炭-サプライヤー</t>
  </si>
  <si>
    <t>再テスト済み数量（個）</t>
  </si>
  <si>
    <t>欠陥（数量）</t>
  </si>
  <si>
    <t>電圧（ファッション）</t>
  </si>
  <si>
    <t>電圧（調整済み）</t>
  </si>
  <si>
    <t>分析された数量（個）</t>
  </si>
  <si>
    <t>紙セパレータなし</t>
  </si>
  <si>
    <t>カット紙セパレーター</t>
  </si>
  <si>
    <t>引き裂かれたセパレータ紙</t>
  </si>
  <si>
    <t>折り畳まれた紙のスープ。</t>
  </si>
  <si>
    <t>二つ折り紙</t>
  </si>
  <si>
    <t>折り畳まれた紙</t>
  </si>
  <si>
    <t>沈んだ紙</t>
  </si>
  <si>
    <t>オフセット紙</t>
  </si>
  <si>
    <t>より小さな役割</t>
  </si>
  <si>
    <t>ディスクレス</t>
  </si>
  <si>
    <t>ディスクカット</t>
  </si>
  <si>
    <t>破れたディスク</t>
  </si>
  <si>
    <t>フラットディスク</t>
  </si>
  <si>
    <t>折り畳まれたディスク</t>
  </si>
  <si>
    <t>中心からずれたディスク/オフセット</t>
  </si>
  <si>
    <t>オフセンター絶縁体</t>
  </si>
  <si>
    <t>沈んだ絶縁体</t>
  </si>
  <si>
    <t>傾斜In子</t>
  </si>
  <si>
    <t>汚れた紙</t>
  </si>
  <si>
    <t>ステンド</t>
  </si>
  <si>
    <t>優れた斑点</t>
  </si>
  <si>
    <t>鉄</t>
  </si>
  <si>
    <t>銅</t>
  </si>
  <si>
    <t>チューブミックス</t>
  </si>
  <si>
    <t>混合粉</t>
  </si>
  <si>
    <t>低Vコイル</t>
  </si>
  <si>
    <t>ハイコイル</t>
  </si>
  <si>
    <t>ウェットコイル</t>
  </si>
  <si>
    <t>ドライミックス</t>
  </si>
  <si>
    <t>見知らぬ人が含まれています</t>
  </si>
  <si>
    <t>酸化物の石</t>
  </si>
  <si>
    <t>壊れた石炭V</t>
  </si>
  <si>
    <t>シーラントなし</t>
  </si>
  <si>
    <t>PY w /インジェクション失敗</t>
  </si>
  <si>
    <t>PYなし</t>
  </si>
  <si>
    <t>中心から外れた</t>
  </si>
  <si>
    <t>PYバーント</t>
  </si>
  <si>
    <t>Tb w /砕いた口-オペレーター</t>
  </si>
  <si>
    <t>Tb w /しわくちゃの口-カメラ</t>
  </si>
  <si>
    <t>Tb w /砕いた口-回復した</t>
  </si>
  <si>
    <t>割れたパイプ-オペレーター</t>
  </si>
  <si>
    <t>割れたチューブ-カメラ</t>
  </si>
  <si>
    <t>しわ亜鉛管</t>
  </si>
  <si>
    <t>バリパイプ</t>
  </si>
  <si>
    <t>短絡外部回路</t>
  </si>
  <si>
    <t>ショートサークル。外部-回復済み</t>
  </si>
  <si>
    <t>回収された仕上げスタック</t>
  </si>
  <si>
    <t>不明な原因-電圧</t>
  </si>
  <si>
    <t>良い山</t>
  </si>
  <si>
    <t>その他-電圧</t>
  </si>
  <si>
    <t>JaponÊs</t>
  </si>
  <si>
    <t>合計（個）</t>
  </si>
  <si>
    <t>最初のテスト</t>
  </si>
  <si>
    <t>欠陥率（ppm）</t>
  </si>
  <si>
    <t>数量内部欠陥（個）</t>
  </si>
  <si>
    <t>内部欠陥-欠陥率（ppm）</t>
  </si>
  <si>
    <t>アンペア数（ファッション）</t>
  </si>
  <si>
    <t>調整されたアンペア数</t>
  </si>
  <si>
    <t>数量分析済みバッテリー（個）</t>
  </si>
  <si>
    <t>ダブルセパレーターペーパー</t>
  </si>
  <si>
    <t>黒人の石</t>
  </si>
  <si>
    <t>Clアンモニア石</t>
  </si>
  <si>
    <t>マンガンペレット</t>
  </si>
  <si>
    <t>低コイルA</t>
  </si>
  <si>
    <t>割れたコイル</t>
  </si>
  <si>
    <t>紙の縫い目</t>
  </si>
  <si>
    <t>壊れた石炭A</t>
  </si>
  <si>
    <t>石炭の半分</t>
  </si>
  <si>
    <t>緩い石炭</t>
  </si>
  <si>
    <t>汚れた亜鉛管</t>
  </si>
  <si>
    <t>しわくちゃの底板</t>
  </si>
  <si>
    <t>長いPVC</t>
  </si>
  <si>
    <t>不明な原因-アンペア</t>
  </si>
  <si>
    <t>その他-アンペア数</t>
  </si>
  <si>
    <t>合計</t>
  </si>
  <si>
    <t>総不良率（ppm）</t>
  </si>
  <si>
    <t>Selecione o turno ao lado e clique nas opções abaixo:</t>
  </si>
  <si>
    <t>Quantidade</t>
  </si>
  <si>
    <t>Defeito V</t>
  </si>
  <si>
    <t>Defeito A</t>
  </si>
  <si>
    <t>Defeito IntenosV</t>
  </si>
  <si>
    <t>Defeito IntenosA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</si>
</sst>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00"/>
    <numFmt numFmtId="166" formatCode="0.00_)"/>
    <numFmt numFmtId="167" formatCode="d/m"/>
    <numFmt numFmtId="168" formatCode="#,##0.000"/>
    <numFmt numFmtId="169" formatCode="mmm\-yy"/>
    <numFmt numFmtId="170" formatCode="#,##0;[Red]#,##0"/>
    <numFmt numFmtId="171" formatCode="mmmm\-yy"/>
    <numFmt numFmtId="172" formatCode="#,##0.000;[Red]\-#,##0.000"/>
  </numFmts>
  <fonts count="28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1"/>
      <name val="ＭＳ ゴシック"/>
      <family val="3"/>
      <charset val="128"/>
    </font>
    <font>
      <b/>
      <i/>
      <sz val="16"/>
      <name val="Helv"/>
      <family val="2"/>
    </font>
    <font>
      <sz val="10"/>
      <name val="Arial"/>
      <family val="2"/>
    </font>
    <font>
      <sz val="11"/>
      <name val="ＭＳ Ｐゴシック"/>
      <charset val="128"/>
    </font>
    <font>
      <b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0"/>
      <color indexed="43"/>
      <name val="Arial"/>
      <family val="2"/>
    </font>
    <font>
      <b/>
      <i/>
      <sz val="14"/>
      <color indexed="62"/>
      <name val="Arial"/>
      <family val="2"/>
    </font>
    <font>
      <b/>
      <sz val="8"/>
      <color indexed="81"/>
      <name val="Tahoma"/>
      <family val="2"/>
    </font>
    <font>
      <b/>
      <sz val="10"/>
      <color indexed="17"/>
      <name val="Arial"/>
      <family val="2"/>
    </font>
    <font>
      <b/>
      <sz val="8"/>
      <name val="Arial"/>
      <family val="2"/>
    </font>
    <font>
      <sz val="10"/>
      <color indexed="53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8"/>
      <color rgb="FF000000"/>
      <name val="Tahoma"/>
      <family val="2"/>
    </font>
    <font>
      <b/>
      <sz val="9"/>
      <color rgb="FF000080"/>
      <name val="Arial"/>
      <family val="2"/>
    </font>
    <font>
      <b/>
      <sz val="10"/>
      <color rgb="FF000080"/>
      <name val="Arial"/>
      <family val="2"/>
    </font>
    <font>
      <sz val="10"/>
      <color indexed="10"/>
      <name val="Arial"/>
      <family val="2"/>
    </font>
    <font>
      <sz val="18"/>
      <name val="Arial"/>
      <family val="2"/>
    </font>
    <font>
      <sz val="9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0"/>
      <color theme="0" tint="-0.249977111117893"/>
      <name val="Arial"/>
      <family val="2"/>
    </font>
    <font>
      <sz val="10"/>
      <color rgb="FF00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0">
    <xf numFmtId="0" fontId="0" fillId="0" borderId="0"/>
    <xf numFmtId="38" fontId="1" fillId="2" borderId="0" applyNumberFormat="0" applyBorder="0" applyAlignment="0" applyProtection="0"/>
    <xf numFmtId="10" fontId="1" fillId="3" borderId="1" applyNumberFormat="0" applyBorder="0" applyAlignment="0" applyProtection="0"/>
    <xf numFmtId="166" fontId="4" fillId="0" borderId="0"/>
    <xf numFmtId="0" fontId="3" fillId="0" borderId="0"/>
    <xf numFmtId="10" fontId="5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6" fillId="0" borderId="0"/>
    <xf numFmtId="0" fontId="2" fillId="0" borderId="0"/>
    <xf numFmtId="9" fontId="25" fillId="0" borderId="0" applyFont="0" applyFill="0" applyBorder="0" applyAlignment="0" applyProtection="0"/>
  </cellStyleXfs>
  <cellXfs count="557">
    <xf numFmtId="0" fontId="0" fillId="0" borderId="0" xfId="0"/>
    <xf numFmtId="0" fontId="0" fillId="4" borderId="0" xfId="0" applyFill="1"/>
    <xf numFmtId="0" fontId="0" fillId="4" borderId="0" xfId="0" applyFill="1" applyAlignment="1">
      <alignment horizontal="center"/>
    </xf>
    <xf numFmtId="0" fontId="9" fillId="4" borderId="0" xfId="0" applyFont="1" applyFill="1"/>
    <xf numFmtId="0" fontId="9" fillId="4" borderId="0" xfId="0" applyFont="1" applyFill="1" applyAlignment="1">
      <alignment horizontal="center"/>
    </xf>
    <xf numFmtId="0" fontId="5" fillId="4" borderId="0" xfId="0" applyFont="1" applyFill="1"/>
    <xf numFmtId="0" fontId="11" fillId="4" borderId="0" xfId="0" applyFont="1" applyFill="1"/>
    <xf numFmtId="0" fontId="8" fillId="4" borderId="0" xfId="0" applyFont="1" applyFill="1"/>
    <xf numFmtId="0" fontId="9" fillId="4" borderId="4" xfId="0" applyFont="1" applyFill="1" applyBorder="1" applyAlignment="1">
      <alignment horizontal="center"/>
    </xf>
    <xf numFmtId="0" fontId="9" fillId="4" borderId="5" xfId="0" applyFont="1" applyFill="1" applyBorder="1"/>
    <xf numFmtId="0" fontId="0" fillId="5" borderId="1" xfId="0" applyFill="1" applyBorder="1"/>
    <xf numFmtId="0" fontId="0" fillId="5" borderId="8" xfId="0" applyFill="1" applyBorder="1"/>
    <xf numFmtId="0" fontId="0" fillId="5" borderId="9" xfId="0" applyFill="1" applyBorder="1"/>
    <xf numFmtId="0" fontId="0" fillId="6" borderId="10" xfId="0" applyFill="1" applyBorder="1"/>
    <xf numFmtId="0" fontId="0" fillId="6" borderId="1" xfId="0" applyFill="1" applyBorder="1"/>
    <xf numFmtId="0" fontId="9" fillId="2" borderId="11" xfId="0" applyFont="1" applyFill="1" applyBorder="1"/>
    <xf numFmtId="0" fontId="9" fillId="2" borderId="12" xfId="0" applyFont="1" applyFill="1" applyBorder="1"/>
    <xf numFmtId="0" fontId="9" fillId="2" borderId="12" xfId="0" applyFont="1" applyFill="1" applyBorder="1" applyAlignment="1">
      <alignment horizontal="center"/>
    </xf>
    <xf numFmtId="0" fontId="0" fillId="4" borderId="13" xfId="0" applyFill="1" applyBorder="1" applyAlignment="1">
      <alignment horizontal="left"/>
    </xf>
    <xf numFmtId="0" fontId="0" fillId="6" borderId="8" xfId="0" applyFill="1" applyBorder="1"/>
    <xf numFmtId="0" fontId="0" fillId="7" borderId="10" xfId="0" applyFill="1" applyBorder="1"/>
    <xf numFmtId="0" fontId="0" fillId="7" borderId="1" xfId="0" applyFill="1" applyBorder="1"/>
    <xf numFmtId="0" fontId="0" fillId="7" borderId="14" xfId="0" applyFill="1" applyBorder="1"/>
    <xf numFmtId="0" fontId="0" fillId="4" borderId="10" xfId="0" applyFill="1" applyBorder="1"/>
    <xf numFmtId="0" fontId="0" fillId="4" borderId="1" xfId="0" applyFill="1" applyBorder="1"/>
    <xf numFmtId="0" fontId="0" fillId="4" borderId="14" xfId="0" applyFill="1" applyBorder="1"/>
    <xf numFmtId="0" fontId="0" fillId="8" borderId="15" xfId="0" applyFill="1" applyBorder="1" applyAlignment="1">
      <alignment horizontal="left"/>
    </xf>
    <xf numFmtId="0" fontId="0" fillId="8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6" xfId="0" applyFill="1" applyBorder="1" applyAlignment="1">
      <alignment horizontal="center"/>
    </xf>
    <xf numFmtId="0" fontId="0" fillId="8" borderId="13" xfId="0" applyFill="1" applyBorder="1" applyAlignment="1">
      <alignment horizontal="left"/>
    </xf>
    <xf numFmtId="0" fontId="0" fillId="8" borderId="13" xfId="0" applyFill="1" applyBorder="1" applyAlignment="1">
      <alignment horizontal="center"/>
    </xf>
    <xf numFmtId="0" fontId="0" fillId="6" borderId="4" xfId="0" applyFill="1" applyBorder="1" applyAlignment="1">
      <alignment horizontal="left"/>
    </xf>
    <xf numFmtId="0" fontId="0" fillId="6" borderId="11" xfId="0" applyFill="1" applyBorder="1" applyAlignment="1">
      <alignment horizontal="left"/>
    </xf>
    <xf numFmtId="0" fontId="0" fillId="6" borderId="12" xfId="0" applyFill="1" applyBorder="1" applyAlignment="1">
      <alignment horizontal="left"/>
    </xf>
    <xf numFmtId="0" fontId="0" fillId="4" borderId="14" xfId="0" applyFill="1" applyBorder="1" applyAlignment="1">
      <alignment horizontal="left"/>
    </xf>
    <xf numFmtId="0" fontId="0" fillId="9" borderId="15" xfId="0" applyFill="1" applyBorder="1" applyAlignment="1">
      <alignment horizontal="left"/>
    </xf>
    <xf numFmtId="0" fontId="0" fillId="9" borderId="10" xfId="0" applyFill="1" applyBorder="1" applyAlignment="1">
      <alignment horizontal="center"/>
    </xf>
    <xf numFmtId="0" fontId="0" fillId="9" borderId="16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7" xfId="0" applyFill="1" applyBorder="1" applyAlignment="1">
      <alignment horizontal="left"/>
    </xf>
    <xf numFmtId="0" fontId="0" fillId="9" borderId="8" xfId="0" applyFill="1" applyBorder="1" applyAlignment="1">
      <alignment horizontal="center"/>
    </xf>
    <xf numFmtId="0" fontId="9" fillId="8" borderId="17" xfId="0" applyFont="1" applyFill="1" applyBorder="1"/>
    <xf numFmtId="0" fontId="9" fillId="8" borderId="13" xfId="0" applyFont="1" applyFill="1" applyBorder="1" applyAlignment="1">
      <alignment horizontal="left"/>
    </xf>
    <xf numFmtId="0" fontId="9" fillId="8" borderId="14" xfId="0" applyFont="1" applyFill="1" applyBorder="1" applyAlignment="1">
      <alignment horizontal="left"/>
    </xf>
    <xf numFmtId="0" fontId="9" fillId="6" borderId="15" xfId="0" applyFont="1" applyFill="1" applyBorder="1"/>
    <xf numFmtId="0" fontId="0" fillId="7" borderId="18" xfId="0" applyFill="1" applyBorder="1" applyAlignment="1">
      <alignment horizontal="left"/>
    </xf>
    <xf numFmtId="0" fontId="0" fillId="7" borderId="13" xfId="0" applyFill="1" applyBorder="1" applyAlignment="1">
      <alignment horizontal="left"/>
    </xf>
    <xf numFmtId="0" fontId="0" fillId="7" borderId="14" xfId="0" applyFill="1" applyBorder="1" applyAlignment="1">
      <alignment horizontal="left"/>
    </xf>
    <xf numFmtId="0" fontId="9" fillId="10" borderId="18" xfId="0" applyFont="1" applyFill="1" applyBorder="1" applyAlignment="1">
      <alignment horizontal="left"/>
    </xf>
    <xf numFmtId="0" fontId="9" fillId="10" borderId="13" xfId="0" applyFont="1" applyFill="1" applyBorder="1" applyAlignment="1">
      <alignment horizontal="left"/>
    </xf>
    <xf numFmtId="0" fontId="9" fillId="10" borderId="14" xfId="0" applyFont="1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0" fontId="0" fillId="5" borderId="12" xfId="0" applyFill="1" applyBorder="1" applyAlignment="1">
      <alignment horizontal="left"/>
    </xf>
    <xf numFmtId="0" fontId="9" fillId="11" borderId="19" xfId="0" applyFont="1" applyFill="1" applyBorder="1"/>
    <xf numFmtId="0" fontId="9" fillId="2" borderId="19" xfId="0" applyFont="1" applyFill="1" applyBorder="1" applyAlignment="1">
      <alignment horizontal="center"/>
    </xf>
    <xf numFmtId="0" fontId="9" fillId="7" borderId="13" xfId="0" applyFont="1" applyFill="1" applyBorder="1"/>
    <xf numFmtId="0" fontId="9" fillId="5" borderId="15" xfId="0" applyFont="1" applyFill="1" applyBorder="1"/>
    <xf numFmtId="0" fontId="9" fillId="2" borderId="20" xfId="0" applyFont="1" applyFill="1" applyBorder="1" applyAlignment="1">
      <alignment horizontal="center"/>
    </xf>
    <xf numFmtId="1" fontId="13" fillId="6" borderId="21" xfId="0" applyNumberFormat="1" applyFont="1" applyFill="1" applyBorder="1" applyAlignment="1">
      <alignment horizontal="center"/>
    </xf>
    <xf numFmtId="1" fontId="13" fillId="7" borderId="22" xfId="0" applyNumberFormat="1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 shrinkToFit="1"/>
    </xf>
    <xf numFmtId="1" fontId="13" fillId="8" borderId="22" xfId="0" applyNumberFormat="1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9" fillId="0" borderId="0" xfId="0" applyFont="1"/>
    <xf numFmtId="165" fontId="9" fillId="0" borderId="0" xfId="0" applyNumberFormat="1" applyFont="1" applyAlignment="1">
      <alignment horizontal="center"/>
    </xf>
    <xf numFmtId="168" fontId="7" fillId="0" borderId="0" xfId="0" applyNumberFormat="1" applyFont="1" applyAlignment="1">
      <alignment horizontal="center" vertical="center"/>
    </xf>
    <xf numFmtId="1" fontId="13" fillId="5" borderId="23" xfId="0" applyNumberFormat="1" applyFont="1" applyFill="1" applyBorder="1" applyAlignment="1">
      <alignment horizontal="center"/>
    </xf>
    <xf numFmtId="14" fontId="9" fillId="0" borderId="0" xfId="0" applyNumberFormat="1" applyFont="1" applyAlignment="1">
      <alignment horizontal="left"/>
    </xf>
    <xf numFmtId="0" fontId="9" fillId="2" borderId="15" xfId="0" applyFont="1" applyFill="1" applyBorder="1" applyAlignment="1">
      <alignment horizontal="center"/>
    </xf>
    <xf numFmtId="0" fontId="9" fillId="6" borderId="16" xfId="0" applyFont="1" applyFill="1" applyBorder="1"/>
    <xf numFmtId="0" fontId="14" fillId="2" borderId="10" xfId="0" applyFont="1" applyFill="1" applyBorder="1" applyAlignment="1">
      <alignment horizontal="center" vertical="center" wrapText="1"/>
    </xf>
    <xf numFmtId="1" fontId="13" fillId="8" borderId="8" xfId="0" applyNumberFormat="1" applyFont="1" applyFill="1" applyBorder="1" applyAlignment="1">
      <alignment horizontal="center"/>
    </xf>
    <xf numFmtId="1" fontId="13" fillId="6" borderId="1" xfId="0" applyNumberFormat="1" applyFont="1" applyFill="1" applyBorder="1" applyAlignment="1">
      <alignment horizontal="center"/>
    </xf>
    <xf numFmtId="165" fontId="13" fillId="6" borderId="1" xfId="0" applyNumberFormat="1" applyFont="1" applyFill="1" applyBorder="1" applyAlignment="1">
      <alignment horizontal="center"/>
    </xf>
    <xf numFmtId="0" fontId="9" fillId="2" borderId="24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 wrapText="1"/>
    </xf>
    <xf numFmtId="165" fontId="13" fillId="8" borderId="8" xfId="0" applyNumberFormat="1" applyFont="1" applyFill="1" applyBorder="1" applyAlignment="1">
      <alignment horizontal="center"/>
    </xf>
    <xf numFmtId="3" fontId="0" fillId="6" borderId="19" xfId="0" applyNumberFormat="1" applyFill="1" applyBorder="1" applyAlignment="1">
      <alignment horizontal="center"/>
    </xf>
    <xf numFmtId="170" fontId="0" fillId="6" borderId="19" xfId="0" applyNumberFormat="1" applyFill="1" applyBorder="1" applyAlignment="1">
      <alignment horizontal="center"/>
    </xf>
    <xf numFmtId="3" fontId="0" fillId="7" borderId="34" xfId="0" applyNumberFormat="1" applyFill="1" applyBorder="1" applyAlignment="1">
      <alignment horizontal="center"/>
    </xf>
    <xf numFmtId="170" fontId="0" fillId="7" borderId="34" xfId="0" applyNumberFormat="1" applyFill="1" applyBorder="1" applyAlignment="1">
      <alignment horizontal="center"/>
    </xf>
    <xf numFmtId="3" fontId="9" fillId="10" borderId="34" xfId="0" applyNumberFormat="1" applyFont="1" applyFill="1" applyBorder="1" applyAlignment="1">
      <alignment horizontal="center"/>
    </xf>
    <xf numFmtId="170" fontId="9" fillId="10" borderId="34" xfId="0" applyNumberFormat="1" applyFont="1" applyFill="1" applyBorder="1" applyAlignment="1">
      <alignment horizontal="center"/>
    </xf>
    <xf numFmtId="3" fontId="0" fillId="5" borderId="19" xfId="0" applyNumberFormat="1" applyFill="1" applyBorder="1" applyAlignment="1">
      <alignment horizontal="center"/>
    </xf>
    <xf numFmtId="170" fontId="0" fillId="5" borderId="19" xfId="0" applyNumberFormat="1" applyFill="1" applyBorder="1" applyAlignment="1">
      <alignment horizontal="center"/>
    </xf>
    <xf numFmtId="3" fontId="0" fillId="4" borderId="34" xfId="0" applyNumberFormat="1" applyFill="1" applyBorder="1" applyAlignment="1">
      <alignment horizontal="center"/>
    </xf>
    <xf numFmtId="170" fontId="0" fillId="4" borderId="34" xfId="0" applyNumberFormat="1" applyFill="1" applyBorder="1" applyAlignment="1">
      <alignment horizontal="center"/>
    </xf>
    <xf numFmtId="3" fontId="9" fillId="8" borderId="34" xfId="0" applyNumberFormat="1" applyFont="1" applyFill="1" applyBorder="1" applyAlignment="1">
      <alignment horizontal="center"/>
    </xf>
    <xf numFmtId="170" fontId="9" fillId="8" borderId="34" xfId="0" applyNumberFormat="1" applyFont="1" applyFill="1" applyBorder="1" applyAlignment="1">
      <alignment horizontal="center"/>
    </xf>
    <xf numFmtId="3" fontId="9" fillId="2" borderId="26" xfId="0" applyNumberFormat="1" applyFont="1" applyFill="1" applyBorder="1" applyAlignment="1">
      <alignment horizontal="center"/>
    </xf>
    <xf numFmtId="170" fontId="9" fillId="2" borderId="26" xfId="0" applyNumberFormat="1" applyFont="1" applyFill="1" applyBorder="1" applyAlignment="1">
      <alignment horizontal="center"/>
    </xf>
    <xf numFmtId="3" fontId="0" fillId="6" borderId="10" xfId="0" applyNumberFormat="1" applyFill="1" applyBorder="1" applyAlignment="1">
      <alignment horizontal="center"/>
    </xf>
    <xf numFmtId="3" fontId="0" fillId="6" borderId="24" xfId="0" applyNumberFormat="1" applyFill="1" applyBorder="1" applyAlignment="1">
      <alignment horizontal="center"/>
    </xf>
    <xf numFmtId="3" fontId="0" fillId="6" borderId="21" xfId="0" applyNumberFormat="1" applyFill="1" applyBorder="1" applyAlignment="1">
      <alignment horizontal="center"/>
    </xf>
    <xf numFmtId="3" fontId="0" fillId="11" borderId="21" xfId="0" applyNumberFormat="1" applyFill="1" applyBorder="1" applyAlignment="1">
      <alignment horizontal="center"/>
    </xf>
    <xf numFmtId="3" fontId="0" fillId="6" borderId="1" xfId="0" applyNumberFormat="1" applyFill="1" applyBorder="1" applyAlignment="1">
      <alignment horizontal="center"/>
    </xf>
    <xf numFmtId="3" fontId="0" fillId="6" borderId="35" xfId="0" applyNumberFormat="1" applyFill="1" applyBorder="1" applyAlignment="1">
      <alignment horizontal="center"/>
    </xf>
    <xf numFmtId="3" fontId="0" fillId="6" borderId="29" xfId="0" applyNumberFormat="1" applyFill="1" applyBorder="1" applyAlignment="1">
      <alignment horizontal="center"/>
    </xf>
    <xf numFmtId="3" fontId="0" fillId="11" borderId="29" xfId="0" applyNumberFormat="1" applyFill="1" applyBorder="1" applyAlignment="1">
      <alignment horizontal="center"/>
    </xf>
    <xf numFmtId="3" fontId="0" fillId="6" borderId="8" xfId="0" applyNumberFormat="1" applyFill="1" applyBorder="1" applyAlignment="1">
      <alignment horizontal="center"/>
    </xf>
    <xf numFmtId="3" fontId="0" fillId="6" borderId="36" xfId="0" applyNumberFormat="1" applyFill="1" applyBorder="1" applyAlignment="1">
      <alignment horizontal="center"/>
    </xf>
    <xf numFmtId="3" fontId="0" fillId="6" borderId="22" xfId="0" applyNumberFormat="1" applyFill="1" applyBorder="1" applyAlignment="1">
      <alignment horizontal="center"/>
    </xf>
    <xf numFmtId="0" fontId="0" fillId="11" borderId="34" xfId="0" applyFill="1" applyBorder="1" applyAlignment="1">
      <alignment horizontal="center"/>
    </xf>
    <xf numFmtId="3" fontId="0" fillId="7" borderId="10" xfId="0" applyNumberFormat="1" applyFill="1" applyBorder="1" applyAlignment="1">
      <alignment horizontal="center"/>
    </xf>
    <xf numFmtId="3" fontId="0" fillId="7" borderId="2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0" fillId="7" borderId="29" xfId="0" applyNumberFormat="1" applyFill="1" applyBorder="1" applyAlignment="1">
      <alignment horizontal="center"/>
    </xf>
    <xf numFmtId="3" fontId="0" fillId="7" borderId="14" xfId="0" applyNumberFormat="1" applyFill="1" applyBorder="1" applyAlignment="1">
      <alignment horizontal="center"/>
    </xf>
    <xf numFmtId="3" fontId="0" fillId="7" borderId="37" xfId="0" applyNumberFormat="1" applyFill="1" applyBorder="1" applyAlignment="1">
      <alignment horizontal="center"/>
    </xf>
    <xf numFmtId="0" fontId="0" fillId="11" borderId="22" xfId="0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3" fontId="0" fillId="9" borderId="24" xfId="0" applyNumberFormat="1" applyFill="1" applyBorder="1" applyAlignment="1">
      <alignment horizontal="center"/>
    </xf>
    <xf numFmtId="3" fontId="0" fillId="9" borderId="21" xfId="0" applyNumberFormat="1" applyFill="1" applyBorder="1" applyAlignment="1">
      <alignment horizontal="center"/>
    </xf>
    <xf numFmtId="0" fontId="0" fillId="11" borderId="21" xfId="0" applyFill="1" applyBorder="1" applyAlignment="1">
      <alignment horizontal="center"/>
    </xf>
    <xf numFmtId="3" fontId="0" fillId="9" borderId="1" xfId="0" applyNumberFormat="1" applyFill="1" applyBorder="1" applyAlignment="1">
      <alignment horizontal="center"/>
    </xf>
    <xf numFmtId="3" fontId="0" fillId="9" borderId="35" xfId="0" applyNumberFormat="1" applyFill="1" applyBorder="1" applyAlignment="1">
      <alignment horizontal="center"/>
    </xf>
    <xf numFmtId="3" fontId="0" fillId="9" borderId="29" xfId="0" applyNumberFormat="1" applyFill="1" applyBorder="1" applyAlignment="1">
      <alignment horizontal="center"/>
    </xf>
    <xf numFmtId="0" fontId="0" fillId="11" borderId="29" xfId="0" applyFill="1" applyBorder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36" xfId="0" applyNumberFormat="1" applyFill="1" applyBorder="1" applyAlignment="1">
      <alignment horizontal="center"/>
    </xf>
    <xf numFmtId="3" fontId="0" fillId="9" borderId="22" xfId="0" applyNumberFormat="1" applyFill="1" applyBorder="1" applyAlignment="1">
      <alignment horizontal="center"/>
    </xf>
    <xf numFmtId="3" fontId="0" fillId="5" borderId="9" xfId="0" applyNumberFormat="1" applyFill="1" applyBorder="1" applyAlignment="1">
      <alignment horizontal="center"/>
    </xf>
    <xf numFmtId="3" fontId="0" fillId="5" borderId="23" xfId="0" applyNumberFormat="1" applyFill="1" applyBorder="1" applyAlignment="1">
      <alignment horizontal="center"/>
    </xf>
    <xf numFmtId="3" fontId="0" fillId="5" borderId="1" xfId="0" applyNumberFormat="1" applyFill="1" applyBorder="1" applyAlignment="1">
      <alignment horizontal="center"/>
    </xf>
    <xf numFmtId="3" fontId="0" fillId="5" borderId="29" xfId="0" applyNumberFormat="1" applyFill="1" applyBorder="1" applyAlignment="1">
      <alignment horizontal="center"/>
    </xf>
    <xf numFmtId="3" fontId="0" fillId="5" borderId="8" xfId="0" applyNumberFormat="1" applyFill="1" applyBorder="1" applyAlignment="1">
      <alignment horizontal="center"/>
    </xf>
    <xf numFmtId="3" fontId="0" fillId="5" borderId="36" xfId="0" applyNumberFormat="1" applyFill="1" applyBorder="1" applyAlignment="1">
      <alignment horizontal="center"/>
    </xf>
    <xf numFmtId="3" fontId="0" fillId="5" borderId="22" xfId="0" applyNumberFormat="1" applyFill="1" applyBorder="1" applyAlignment="1">
      <alignment horizontal="center"/>
    </xf>
    <xf numFmtId="3" fontId="0" fillId="4" borderId="10" xfId="0" applyNumberFormat="1" applyFill="1" applyBorder="1" applyAlignment="1">
      <alignment horizontal="center"/>
    </xf>
    <xf numFmtId="3" fontId="0" fillId="4" borderId="21" xfId="0" applyNumberFormat="1" applyFill="1" applyBorder="1" applyAlignment="1">
      <alignment horizontal="center"/>
    </xf>
    <xf numFmtId="3" fontId="0" fillId="4" borderId="1" xfId="0" applyNumberFormat="1" applyFill="1" applyBorder="1" applyAlignment="1">
      <alignment horizontal="center"/>
    </xf>
    <xf numFmtId="3" fontId="0" fillId="4" borderId="29" xfId="0" applyNumberFormat="1" applyFill="1" applyBorder="1" applyAlignment="1">
      <alignment horizontal="center"/>
    </xf>
    <xf numFmtId="3" fontId="0" fillId="4" borderId="14" xfId="0" applyNumberFormat="1" applyFill="1" applyBorder="1" applyAlignment="1">
      <alignment horizontal="center"/>
    </xf>
    <xf numFmtId="3" fontId="0" fillId="4" borderId="37" xfId="0" applyNumberFormat="1" applyFill="1" applyBorder="1" applyAlignment="1">
      <alignment horizontal="center"/>
    </xf>
    <xf numFmtId="3" fontId="0" fillId="8" borderId="10" xfId="0" applyNumberFormat="1" applyFill="1" applyBorder="1" applyAlignment="1">
      <alignment horizontal="center"/>
    </xf>
    <xf numFmtId="3" fontId="0" fillId="8" borderId="24" xfId="0" applyNumberFormat="1" applyFill="1" applyBorder="1" applyAlignment="1">
      <alignment horizontal="center"/>
    </xf>
    <xf numFmtId="3" fontId="0" fillId="8" borderId="21" xfId="0" applyNumberFormat="1" applyFill="1" applyBorder="1" applyAlignment="1">
      <alignment horizontal="center"/>
    </xf>
    <xf numFmtId="3" fontId="0" fillId="8" borderId="1" xfId="0" applyNumberFormat="1" applyFill="1" applyBorder="1" applyAlignment="1">
      <alignment horizontal="center"/>
    </xf>
    <xf numFmtId="3" fontId="0" fillId="8" borderId="35" xfId="0" applyNumberFormat="1" applyFill="1" applyBorder="1" applyAlignment="1">
      <alignment horizontal="center"/>
    </xf>
    <xf numFmtId="3" fontId="0" fillId="8" borderId="29" xfId="0" applyNumberFormat="1" applyFill="1" applyBorder="1" applyAlignment="1">
      <alignment horizontal="center"/>
    </xf>
    <xf numFmtId="3" fontId="0" fillId="8" borderId="14" xfId="0" applyNumberFormat="1" applyFill="1" applyBorder="1" applyAlignment="1">
      <alignment horizontal="center"/>
    </xf>
    <xf numFmtId="3" fontId="0" fillId="8" borderId="37" xfId="0" applyNumberFormat="1" applyFill="1" applyBorder="1" applyAlignment="1">
      <alignment horizontal="center"/>
    </xf>
    <xf numFmtId="3" fontId="0" fillId="8" borderId="34" xfId="0" applyNumberFormat="1" applyFill="1" applyBorder="1" applyAlignment="1">
      <alignment horizontal="center"/>
    </xf>
    <xf numFmtId="3" fontId="0" fillId="2" borderId="8" xfId="0" applyNumberFormat="1" applyFill="1" applyBorder="1" applyAlignment="1">
      <alignment horizontal="center"/>
    </xf>
    <xf numFmtId="3" fontId="0" fillId="2" borderId="36" xfId="0" applyNumberFormat="1" applyFill="1" applyBorder="1" applyAlignment="1">
      <alignment horizontal="center"/>
    </xf>
    <xf numFmtId="3" fontId="0" fillId="2" borderId="22" xfId="0" applyNumberFormat="1" applyFill="1" applyBorder="1" applyAlignment="1">
      <alignment horizontal="center"/>
    </xf>
    <xf numFmtId="3" fontId="0" fillId="2" borderId="38" xfId="0" applyNumberFormat="1" applyFill="1" applyBorder="1" applyAlignment="1">
      <alignment horizontal="center"/>
    </xf>
    <xf numFmtId="3" fontId="0" fillId="2" borderId="39" xfId="0" applyNumberFormat="1" applyFill="1" applyBorder="1" applyAlignment="1">
      <alignment horizontal="center"/>
    </xf>
    <xf numFmtId="3" fontId="0" fillId="2" borderId="26" xfId="0" applyNumberFormat="1" applyFill="1" applyBorder="1" applyAlignment="1">
      <alignment horizontal="center"/>
    </xf>
    <xf numFmtId="0" fontId="0" fillId="11" borderId="40" xfId="0" applyFill="1" applyBorder="1" applyAlignment="1">
      <alignment horizontal="center"/>
    </xf>
    <xf numFmtId="0" fontId="15" fillId="0" borderId="0" xfId="0" applyFont="1"/>
    <xf numFmtId="0" fontId="5" fillId="0" borderId="0" xfId="4" applyFont="1"/>
    <xf numFmtId="0" fontId="9" fillId="0" borderId="0" xfId="4" applyFont="1" applyAlignment="1">
      <alignment horizontal="center" vertical="center"/>
    </xf>
    <xf numFmtId="0" fontId="0" fillId="0" borderId="0" xfId="0" applyAlignment="1">
      <alignment horizontal="center"/>
    </xf>
    <xf numFmtId="0" fontId="10" fillId="4" borderId="0" xfId="0" applyFont="1" applyFill="1"/>
    <xf numFmtId="0" fontId="16" fillId="12" borderId="25" xfId="0" applyFont="1" applyFill="1" applyBorder="1"/>
    <xf numFmtId="0" fontId="17" fillId="12" borderId="33" xfId="0" applyFont="1" applyFill="1" applyBorder="1"/>
    <xf numFmtId="0" fontId="0" fillId="4" borderId="2" xfId="0" applyFill="1" applyBorder="1" applyAlignment="1">
      <alignment horizontal="left"/>
    </xf>
    <xf numFmtId="0" fontId="0" fillId="4" borderId="44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4" borderId="5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4" borderId="42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1" fontId="9" fillId="6" borderId="29" xfId="0" applyNumberFormat="1" applyFont="1" applyFill="1" applyBorder="1" applyAlignment="1">
      <alignment horizontal="center"/>
    </xf>
    <xf numFmtId="1" fontId="9" fillId="8" borderId="22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8"/>
    <xf numFmtId="0" fontId="9" fillId="0" borderId="1" xfId="4" applyFont="1" applyBorder="1" applyAlignment="1">
      <alignment horizontal="center"/>
    </xf>
    <xf numFmtId="0" fontId="2" fillId="0" borderId="1" xfId="4" applyFont="1" applyBorder="1"/>
    <xf numFmtId="0" fontId="2" fillId="0" borderId="1" xfId="8" applyBorder="1"/>
    <xf numFmtId="0" fontId="9" fillId="0" borderId="0" xfId="8" applyFont="1" applyAlignment="1">
      <alignment horizontal="left"/>
    </xf>
    <xf numFmtId="0" fontId="9" fillId="14" borderId="11" xfId="8" applyFont="1" applyFill="1" applyBorder="1" applyAlignment="1">
      <alignment horizontal="center"/>
    </xf>
    <xf numFmtId="0" fontId="9" fillId="14" borderId="12" xfId="8" applyFont="1" applyFill="1" applyBorder="1"/>
    <xf numFmtId="0" fontId="9" fillId="14" borderId="49" xfId="8" applyFont="1" applyFill="1" applyBorder="1"/>
    <xf numFmtId="0" fontId="9" fillId="0" borderId="15" xfId="4" applyFont="1" applyBorder="1" applyAlignment="1">
      <alignment horizontal="center"/>
    </xf>
    <xf numFmtId="0" fontId="9" fillId="0" borderId="10" xfId="4" applyFont="1" applyBorder="1"/>
    <xf numFmtId="0" fontId="9" fillId="0" borderId="47" xfId="4" applyFont="1" applyBorder="1"/>
    <xf numFmtId="0" fontId="9" fillId="0" borderId="16" xfId="4" applyFont="1" applyBorder="1" applyAlignment="1">
      <alignment horizontal="center"/>
    </xf>
    <xf numFmtId="0" fontId="9" fillId="0" borderId="1" xfId="4" applyFont="1" applyBorder="1"/>
    <xf numFmtId="0" fontId="9" fillId="0" borderId="52" xfId="4" applyFont="1" applyBorder="1"/>
    <xf numFmtId="0" fontId="9" fillId="0" borderId="17" xfId="4" applyFont="1" applyBorder="1" applyAlignment="1">
      <alignment horizontal="center"/>
    </xf>
    <xf numFmtId="0" fontId="9" fillId="0" borderId="8" xfId="4" applyFont="1" applyBorder="1"/>
    <xf numFmtId="0" fontId="9" fillId="0" borderId="41" xfId="4" applyFont="1" applyBorder="1"/>
    <xf numFmtId="0" fontId="2" fillId="0" borderId="47" xfId="4" applyFont="1" applyBorder="1"/>
    <xf numFmtId="0" fontId="2" fillId="0" borderId="52" xfId="4" applyFont="1" applyBorder="1"/>
    <xf numFmtId="0" fontId="2" fillId="0" borderId="8" xfId="4" applyFont="1" applyBorder="1"/>
    <xf numFmtId="0" fontId="2" fillId="0" borderId="41" xfId="4" applyFont="1" applyBorder="1"/>
    <xf numFmtId="0" fontId="9" fillId="0" borderId="48" xfId="4" applyFont="1" applyBorder="1"/>
    <xf numFmtId="0" fontId="9" fillId="0" borderId="51" xfId="4" applyFont="1" applyBorder="1" applyAlignment="1">
      <alignment horizontal="center"/>
    </xf>
    <xf numFmtId="0" fontId="9" fillId="0" borderId="41" xfId="4" quotePrefix="1" applyFont="1" applyBorder="1" applyAlignment="1">
      <alignment horizontal="left"/>
    </xf>
    <xf numFmtId="0" fontId="9" fillId="0" borderId="10" xfId="4" quotePrefix="1" applyFont="1" applyBorder="1" applyAlignment="1">
      <alignment horizontal="left"/>
    </xf>
    <xf numFmtId="0" fontId="9" fillId="0" borderId="47" xfId="4" quotePrefix="1" applyFont="1" applyBorder="1" applyAlignment="1">
      <alignment horizontal="left"/>
    </xf>
    <xf numFmtId="0" fontId="9" fillId="0" borderId="1" xfId="4" quotePrefix="1" applyFont="1" applyBorder="1" applyAlignment="1">
      <alignment horizontal="left"/>
    </xf>
    <xf numFmtId="0" fontId="9" fillId="0" borderId="52" xfId="4" quotePrefix="1" applyFont="1" applyBorder="1" applyAlignment="1">
      <alignment horizontal="left"/>
    </xf>
    <xf numFmtId="0" fontId="2" fillId="0" borderId="10" xfId="4" applyFont="1" applyBorder="1"/>
    <xf numFmtId="0" fontId="9" fillId="0" borderId="41" xfId="8" applyFont="1" applyBorder="1"/>
    <xf numFmtId="0" fontId="9" fillId="0" borderId="0" xfId="8" applyFont="1" applyAlignment="1">
      <alignment horizontal="center"/>
    </xf>
    <xf numFmtId="0" fontId="9" fillId="0" borderId="14" xfId="4" applyFont="1" applyBorder="1"/>
    <xf numFmtId="0" fontId="9" fillId="0" borderId="54" xfId="4" applyFont="1" applyBorder="1"/>
    <xf numFmtId="0" fontId="9" fillId="0" borderId="53" xfId="4" applyFont="1" applyBorder="1"/>
    <xf numFmtId="0" fontId="9" fillId="0" borderId="29" xfId="4" applyFont="1" applyBorder="1" applyAlignment="1">
      <alignment horizontal="center"/>
    </xf>
    <xf numFmtId="0" fontId="9" fillId="0" borderId="51" xfId="4" applyFont="1" applyBorder="1"/>
    <xf numFmtId="0" fontId="9" fillId="0" borderId="22" xfId="4" applyFont="1" applyBorder="1" applyAlignment="1">
      <alignment horizontal="center"/>
    </xf>
    <xf numFmtId="0" fontId="9" fillId="0" borderId="46" xfId="4" applyFont="1" applyBorder="1"/>
    <xf numFmtId="3" fontId="1" fillId="0" borderId="0" xfId="0" applyNumberFormat="1" applyFont="1" applyAlignment="1" applyProtection="1">
      <alignment horizontal="center" vertical="center" shrinkToFit="1"/>
      <protection locked="0"/>
    </xf>
    <xf numFmtId="167" fontId="2" fillId="0" borderId="1" xfId="4" applyNumberFormat="1" applyFont="1" applyBorder="1" applyAlignment="1" applyProtection="1">
      <alignment horizontal="center"/>
      <protection locked="0"/>
    </xf>
    <xf numFmtId="167" fontId="5" fillId="0" borderId="1" xfId="4" applyNumberFormat="1" applyFont="1" applyBorder="1" applyAlignment="1" applyProtection="1">
      <alignment horizontal="center"/>
      <protection locked="0"/>
    </xf>
    <xf numFmtId="0" fontId="2" fillId="0" borderId="1" xfId="4" applyFont="1" applyBorder="1" applyAlignment="1">
      <alignment horizontal="center"/>
    </xf>
    <xf numFmtId="0" fontId="2" fillId="0" borderId="1" xfId="4" applyFont="1" applyBorder="1" applyAlignment="1" applyProtection="1">
      <alignment horizontal="center"/>
      <protection locked="0"/>
    </xf>
    <xf numFmtId="167" fontId="2" fillId="0" borderId="10" xfId="4" applyNumberFormat="1" applyFont="1" applyBorder="1" applyAlignment="1" applyProtection="1">
      <alignment horizontal="center"/>
      <protection locked="0"/>
    </xf>
    <xf numFmtId="167" fontId="5" fillId="0" borderId="10" xfId="4" applyNumberFormat="1" applyFont="1" applyBorder="1" applyAlignment="1" applyProtection="1">
      <alignment horizontal="center"/>
      <protection locked="0"/>
    </xf>
    <xf numFmtId="3" fontId="2" fillId="0" borderId="1" xfId="4" applyNumberFormat="1" applyFont="1" applyBorder="1" applyAlignment="1" applyProtection="1">
      <alignment horizontal="center"/>
      <protection locked="0"/>
    </xf>
    <xf numFmtId="3" fontId="5" fillId="0" borderId="1" xfId="4" applyNumberFormat="1" applyFont="1" applyBorder="1" applyAlignment="1" applyProtection="1">
      <alignment horizontal="center"/>
      <protection locked="0"/>
    </xf>
    <xf numFmtId="0" fontId="5" fillId="0" borderId="1" xfId="4" applyFont="1" applyBorder="1" applyAlignment="1" applyProtection="1">
      <alignment horizontal="center"/>
      <protection locked="0"/>
    </xf>
    <xf numFmtId="165" fontId="2" fillId="0" borderId="1" xfId="4" applyNumberFormat="1" applyFont="1" applyBorder="1" applyAlignment="1" applyProtection="1">
      <alignment horizontal="center"/>
      <protection locked="0"/>
    </xf>
    <xf numFmtId="165" fontId="5" fillId="0" borderId="1" xfId="4" applyNumberFormat="1" applyFont="1" applyBorder="1" applyAlignment="1" applyProtection="1">
      <alignment horizontal="center"/>
      <protection locked="0"/>
    </xf>
    <xf numFmtId="165" fontId="2" fillId="0" borderId="1" xfId="4" applyNumberFormat="1" applyFont="1" applyBorder="1" applyAlignment="1">
      <alignment horizontal="center"/>
    </xf>
    <xf numFmtId="38" fontId="2" fillId="0" borderId="10" xfId="6" applyFont="1" applyBorder="1" applyAlignment="1" applyProtection="1">
      <alignment horizontal="center"/>
      <protection locked="0"/>
    </xf>
    <xf numFmtId="0" fontId="2" fillId="0" borderId="10" xfId="6" applyNumberFormat="1" applyFont="1" applyBorder="1" applyAlignment="1" applyProtection="1">
      <alignment horizontal="center"/>
      <protection locked="0"/>
    </xf>
    <xf numFmtId="38" fontId="5" fillId="0" borderId="10" xfId="6" applyFont="1" applyBorder="1" applyAlignment="1" applyProtection="1">
      <alignment horizontal="center"/>
      <protection locked="0"/>
    </xf>
    <xf numFmtId="0" fontId="2" fillId="0" borderId="14" xfId="4" applyFont="1" applyBorder="1" applyAlignment="1" applyProtection="1">
      <alignment horizontal="center"/>
      <protection locked="0"/>
    </xf>
    <xf numFmtId="0" fontId="5" fillId="0" borderId="14" xfId="4" applyFont="1" applyBorder="1" applyAlignment="1" applyProtection="1">
      <alignment horizontal="center"/>
      <protection locked="0"/>
    </xf>
    <xf numFmtId="0" fontId="9" fillId="0" borderId="1" xfId="4" applyFont="1" applyBorder="1" applyAlignment="1" applyProtection="1">
      <alignment horizontal="center"/>
      <protection locked="0"/>
    </xf>
    <xf numFmtId="0" fontId="2" fillId="0" borderId="10" xfId="4" applyFont="1" applyBorder="1" applyAlignment="1" applyProtection="1">
      <alignment horizontal="center"/>
      <protection locked="0"/>
    </xf>
    <xf numFmtId="0" fontId="5" fillId="0" borderId="10" xfId="4" applyFont="1" applyBorder="1" applyAlignment="1" applyProtection="1">
      <alignment horizontal="center"/>
      <protection locked="0"/>
    </xf>
    <xf numFmtId="1" fontId="2" fillId="0" borderId="1" xfId="4" applyNumberFormat="1" applyFont="1" applyBorder="1" applyAlignment="1">
      <alignment horizontal="center"/>
    </xf>
    <xf numFmtId="1" fontId="5" fillId="0" borderId="1" xfId="4" applyNumberFormat="1" applyFont="1" applyBorder="1" applyAlignment="1">
      <alignment horizontal="center"/>
    </xf>
    <xf numFmtId="0" fontId="2" fillId="0" borderId="10" xfId="4" applyFont="1" applyBorder="1" applyAlignment="1">
      <alignment horizontal="center"/>
    </xf>
    <xf numFmtId="0" fontId="5" fillId="0" borderId="10" xfId="4" applyFont="1" applyBorder="1" applyAlignment="1">
      <alignment horizontal="center"/>
    </xf>
    <xf numFmtId="1" fontId="2" fillId="0" borderId="8" xfId="4" applyNumberFormat="1" applyFont="1" applyBorder="1" applyAlignment="1">
      <alignment horizontal="center"/>
    </xf>
    <xf numFmtId="38" fontId="2" fillId="0" borderId="55" xfId="6" applyFont="1" applyBorder="1" applyAlignment="1" applyProtection="1">
      <alignment horizontal="center"/>
      <protection locked="0"/>
    </xf>
    <xf numFmtId="3" fontId="2" fillId="0" borderId="51" xfId="4" applyNumberFormat="1" applyFont="1" applyBorder="1" applyAlignment="1" applyProtection="1">
      <alignment horizontal="center"/>
      <protection locked="0"/>
    </xf>
    <xf numFmtId="165" fontId="2" fillId="0" borderId="51" xfId="4" applyNumberFormat="1" applyFont="1" applyBorder="1" applyAlignment="1" applyProtection="1">
      <alignment horizontal="center"/>
      <protection locked="0"/>
    </xf>
    <xf numFmtId="1" fontId="2" fillId="0" borderId="46" xfId="4" applyNumberFormat="1" applyFont="1" applyBorder="1" applyAlignment="1">
      <alignment horizontal="center"/>
    </xf>
    <xf numFmtId="0" fontId="9" fillId="0" borderId="10" xfId="4" applyFont="1" applyBorder="1" applyAlignment="1">
      <alignment horizontal="center"/>
    </xf>
    <xf numFmtId="1" fontId="9" fillId="0" borderId="51" xfId="4" applyNumberFormat="1" applyFont="1" applyBorder="1" applyAlignment="1">
      <alignment horizontal="center"/>
    </xf>
    <xf numFmtId="1" fontId="9" fillId="0" borderId="1" xfId="4" applyNumberFormat="1" applyFont="1" applyBorder="1" applyAlignment="1">
      <alignment horizontal="center"/>
    </xf>
    <xf numFmtId="1" fontId="9" fillId="0" borderId="46" xfId="4" applyNumberFormat="1" applyFont="1" applyBorder="1" applyAlignment="1">
      <alignment horizontal="center"/>
    </xf>
    <xf numFmtId="1" fontId="9" fillId="0" borderId="8" xfId="4" applyNumberFormat="1" applyFont="1" applyBorder="1" applyAlignment="1">
      <alignment horizontal="center"/>
    </xf>
    <xf numFmtId="164" fontId="9" fillId="0" borderId="10" xfId="4" applyNumberFormat="1" applyFont="1" applyBorder="1" applyAlignment="1" applyProtection="1">
      <alignment horizontal="center"/>
      <protection locked="0"/>
    </xf>
    <xf numFmtId="164" fontId="9" fillId="0" borderId="1" xfId="4" applyNumberFormat="1" applyFont="1" applyBorder="1" applyAlignment="1">
      <alignment horizontal="center"/>
    </xf>
    <xf numFmtId="0" fontId="9" fillId="0" borderId="14" xfId="4" applyFont="1" applyBorder="1" applyAlignment="1">
      <alignment horizontal="center"/>
    </xf>
    <xf numFmtId="0" fontId="9" fillId="0" borderId="37" xfId="4" applyFont="1" applyBorder="1" applyAlignment="1">
      <alignment horizontal="center"/>
    </xf>
    <xf numFmtId="0" fontId="9" fillId="0" borderId="28" xfId="4" applyFont="1" applyBorder="1"/>
    <xf numFmtId="0" fontId="9" fillId="0" borderId="28" xfId="4" applyFont="1" applyBorder="1" applyAlignment="1">
      <alignment horizontal="center"/>
    </xf>
    <xf numFmtId="0" fontId="9" fillId="0" borderId="13" xfId="4" applyFont="1" applyBorder="1" applyAlignment="1">
      <alignment horizontal="center"/>
    </xf>
    <xf numFmtId="0" fontId="2" fillId="0" borderId="52" xfId="4" quotePrefix="1" applyFont="1" applyBorder="1" applyAlignment="1">
      <alignment horizontal="left"/>
    </xf>
    <xf numFmtId="0" fontId="9" fillId="0" borderId="23" xfId="4" applyFont="1" applyBorder="1" applyAlignment="1">
      <alignment horizontal="center"/>
    </xf>
    <xf numFmtId="0" fontId="2" fillId="0" borderId="1" xfId="4" quotePrefix="1" applyFont="1" applyBorder="1" applyAlignment="1">
      <alignment horizontal="left"/>
    </xf>
    <xf numFmtId="0" fontId="2" fillId="0" borderId="9" xfId="4" applyFont="1" applyBorder="1" applyAlignment="1" applyProtection="1">
      <alignment horizontal="center" shrinkToFit="1"/>
      <protection locked="0"/>
    </xf>
    <xf numFmtId="0" fontId="2" fillId="0" borderId="1" xfId="4" applyFont="1" applyBorder="1" applyAlignment="1" applyProtection="1">
      <alignment horizontal="center" shrinkToFit="1"/>
      <protection locked="0"/>
    </xf>
    <xf numFmtId="0" fontId="2" fillId="0" borderId="14" xfId="4" applyFont="1" applyBorder="1" applyAlignment="1" applyProtection="1">
      <alignment horizontal="center" shrinkToFit="1"/>
      <protection locked="0"/>
    </xf>
    <xf numFmtId="0" fontId="2" fillId="0" borderId="14" xfId="6" applyNumberFormat="1" applyFont="1" applyBorder="1" applyAlignment="1" applyProtection="1">
      <alignment horizontal="center" shrinkToFit="1"/>
      <protection locked="0"/>
    </xf>
    <xf numFmtId="0" fontId="23" fillId="0" borderId="51" xfId="4" applyFont="1" applyBorder="1" applyAlignment="1" applyProtection="1">
      <alignment horizontal="center" shrinkToFit="1"/>
      <protection locked="0"/>
    </xf>
    <xf numFmtId="0" fontId="9" fillId="0" borderId="9" xfId="4" applyFont="1" applyBorder="1" applyAlignment="1">
      <alignment horizontal="center"/>
    </xf>
    <xf numFmtId="0" fontId="9" fillId="0" borderId="9" xfId="4" applyFont="1" applyBorder="1"/>
    <xf numFmtId="0" fontId="9" fillId="0" borderId="0" xfId="4" applyFont="1" applyAlignment="1">
      <alignment horizontal="center"/>
    </xf>
    <xf numFmtId="0" fontId="9" fillId="0" borderId="0" xfId="4" applyFont="1"/>
    <xf numFmtId="0" fontId="9" fillId="0" borderId="52" xfId="4" applyFont="1" applyBorder="1" applyAlignment="1">
      <alignment horizontal="center"/>
    </xf>
    <xf numFmtId="0" fontId="9" fillId="0" borderId="8" xfId="4" applyFont="1" applyBorder="1" applyAlignment="1">
      <alignment horizontal="center"/>
    </xf>
    <xf numFmtId="0" fontId="9" fillId="0" borderId="41" xfId="4" applyFont="1" applyBorder="1" applyAlignment="1">
      <alignment horizontal="center"/>
    </xf>
    <xf numFmtId="0" fontId="9" fillId="0" borderId="48" xfId="4" applyFont="1" applyBorder="1" applyAlignment="1">
      <alignment horizontal="center"/>
    </xf>
    <xf numFmtId="0" fontId="9" fillId="0" borderId="27" xfId="4" applyFont="1" applyBorder="1" applyAlignment="1">
      <alignment horizontal="center"/>
    </xf>
    <xf numFmtId="0" fontId="9" fillId="0" borderId="38" xfId="4" applyFont="1" applyBorder="1"/>
    <xf numFmtId="0" fontId="9" fillId="0" borderId="38" xfId="4" applyFont="1" applyBorder="1" applyAlignment="1">
      <alignment horizontal="center"/>
    </xf>
    <xf numFmtId="0" fontId="2" fillId="0" borderId="0" xfId="4" applyFont="1"/>
    <xf numFmtId="0" fontId="2" fillId="0" borderId="16" xfId="4" applyFont="1" applyBorder="1"/>
    <xf numFmtId="0" fontId="2" fillId="0" borderId="17" xfId="4" applyFont="1" applyBorder="1"/>
    <xf numFmtId="0" fontId="0" fillId="0" borderId="0" xfId="0" applyAlignment="1">
      <alignment horizontal="left"/>
    </xf>
    <xf numFmtId="0" fontId="9" fillId="0" borderId="0" xfId="4" applyFont="1" applyAlignment="1">
      <alignment horizontal="left"/>
    </xf>
    <xf numFmtId="0" fontId="9" fillId="0" borderId="9" xfId="4" applyFont="1" applyBorder="1" applyAlignment="1">
      <alignment horizontal="left"/>
    </xf>
    <xf numFmtId="0" fontId="9" fillId="0" borderId="1" xfId="4" applyFont="1" applyBorder="1" applyAlignment="1">
      <alignment horizontal="left"/>
    </xf>
    <xf numFmtId="0" fontId="9" fillId="0" borderId="8" xfId="4" applyFont="1" applyBorder="1" applyAlignment="1">
      <alignment horizontal="left"/>
    </xf>
    <xf numFmtId="164" fontId="9" fillId="0" borderId="47" xfId="4" applyNumberFormat="1" applyFont="1" applyBorder="1"/>
    <xf numFmtId="164" fontId="9" fillId="0" borderId="52" xfId="4" applyNumberFormat="1" applyFont="1" applyBorder="1"/>
    <xf numFmtId="164" fontId="9" fillId="0" borderId="54" xfId="4" applyNumberFormat="1" applyFont="1" applyBorder="1"/>
    <xf numFmtId="164" fontId="9" fillId="0" borderId="56" xfId="4" applyNumberFormat="1" applyFont="1" applyBorder="1"/>
    <xf numFmtId="164" fontId="2" fillId="0" borderId="52" xfId="4" applyNumberFormat="1" applyFont="1" applyBorder="1"/>
    <xf numFmtId="164" fontId="2" fillId="0" borderId="41" xfId="4" applyNumberFormat="1" applyFont="1" applyBorder="1"/>
    <xf numFmtId="164" fontId="2" fillId="0" borderId="14" xfId="4" applyNumberFormat="1" applyFont="1" applyBorder="1" applyAlignment="1" applyProtection="1">
      <alignment horizontal="center" shrinkToFit="1"/>
      <protection locked="0"/>
    </xf>
    <xf numFmtId="1" fontId="9" fillId="0" borderId="52" xfId="4" applyNumberFormat="1" applyFont="1" applyBorder="1"/>
    <xf numFmtId="0" fontId="2" fillId="0" borderId="1" xfId="4" applyFont="1" applyBorder="1" applyAlignment="1" applyProtection="1">
      <alignment horizontal="right"/>
      <protection locked="0"/>
    </xf>
    <xf numFmtId="3" fontId="2" fillId="0" borderId="8" xfId="4" applyNumberFormat="1" applyFont="1" applyBorder="1" applyAlignment="1" applyProtection="1">
      <alignment horizontal="center"/>
      <protection locked="0"/>
    </xf>
    <xf numFmtId="1" fontId="9" fillId="0" borderId="52" xfId="4" applyNumberFormat="1" applyFont="1" applyBorder="1" applyAlignment="1">
      <alignment horizontal="center"/>
    </xf>
    <xf numFmtId="1" fontId="9" fillId="0" borderId="41" xfId="4" applyNumberFormat="1" applyFont="1" applyBorder="1" applyAlignment="1">
      <alignment horizontal="center"/>
    </xf>
    <xf numFmtId="0" fontId="9" fillId="0" borderId="24" xfId="4" applyFont="1" applyBorder="1" applyAlignment="1">
      <alignment horizontal="center"/>
    </xf>
    <xf numFmtId="0" fontId="9" fillId="0" borderId="35" xfId="4" applyFont="1" applyBorder="1" applyAlignment="1">
      <alignment horizontal="center"/>
    </xf>
    <xf numFmtId="0" fontId="9" fillId="0" borderId="39" xfId="4" applyFont="1" applyBorder="1" applyAlignment="1">
      <alignment horizontal="center"/>
    </xf>
    <xf numFmtId="0" fontId="9" fillId="0" borderId="36" xfId="4" applyFont="1" applyBorder="1" applyAlignment="1">
      <alignment horizontal="center"/>
    </xf>
    <xf numFmtId="38" fontId="9" fillId="0" borderId="1" xfId="4" applyNumberFormat="1" applyFont="1" applyBorder="1"/>
    <xf numFmtId="38" fontId="9" fillId="0" borderId="10" xfId="4" applyNumberFormat="1" applyFont="1" applyBorder="1"/>
    <xf numFmtId="38" fontId="2" fillId="0" borderId="1" xfId="4" applyNumberFormat="1" applyFont="1" applyBorder="1"/>
    <xf numFmtId="172" fontId="9" fillId="0" borderId="14" xfId="4" applyNumberFormat="1" applyFont="1" applyBorder="1"/>
    <xf numFmtId="172" fontId="9" fillId="0" borderId="38" xfId="4" applyNumberFormat="1" applyFont="1" applyBorder="1"/>
    <xf numFmtId="1" fontId="0" fillId="0" borderId="0" xfId="0" applyNumberFormat="1"/>
    <xf numFmtId="38" fontId="2" fillId="0" borderId="8" xfId="4" applyNumberFormat="1" applyFont="1" applyBorder="1"/>
    <xf numFmtId="38" fontId="0" fillId="0" borderId="0" xfId="0" applyNumberFormat="1"/>
    <xf numFmtId="49" fontId="2" fillId="0" borderId="14" xfId="6" applyNumberFormat="1" applyFont="1" applyBorder="1" applyAlignment="1" applyProtection="1">
      <alignment horizontal="center" shrinkToFit="1"/>
      <protection locked="0"/>
    </xf>
    <xf numFmtId="0" fontId="2" fillId="0" borderId="1" xfId="4" applyFont="1" applyBorder="1" applyProtection="1">
      <protection locked="0"/>
    </xf>
    <xf numFmtId="0" fontId="5" fillId="0" borderId="0" xfId="4" applyFont="1" applyProtection="1">
      <protection locked="0"/>
    </xf>
    <xf numFmtId="0" fontId="2" fillId="0" borderId="0" xfId="4" applyFont="1" applyProtection="1">
      <protection locked="0"/>
    </xf>
    <xf numFmtId="0" fontId="22" fillId="0" borderId="0" xfId="4" applyFont="1" applyAlignment="1" applyProtection="1">
      <alignment horizontal="center" vertical="center"/>
      <protection locked="0"/>
    </xf>
    <xf numFmtId="3" fontId="2" fillId="0" borderId="8" xfId="0" applyNumberFormat="1" applyFont="1" applyBorder="1" applyAlignment="1" applyProtection="1">
      <alignment horizontal="center" vertical="center" shrinkToFit="1"/>
      <protection locked="0"/>
    </xf>
    <xf numFmtId="3" fontId="1" fillId="0" borderId="8" xfId="0" applyNumberFormat="1" applyFont="1" applyBorder="1" applyAlignment="1" applyProtection="1">
      <alignment horizontal="center" vertical="center" shrinkToFit="1"/>
      <protection locked="0"/>
    </xf>
    <xf numFmtId="164" fontId="5" fillId="0" borderId="0" xfId="4" applyNumberFormat="1" applyFont="1" applyAlignment="1" applyProtection="1">
      <alignment horizontal="center"/>
      <protection locked="0"/>
    </xf>
    <xf numFmtId="0" fontId="5" fillId="0" borderId="0" xfId="4" applyFont="1" applyAlignment="1" applyProtection="1">
      <alignment horizontal="center"/>
      <protection locked="0"/>
    </xf>
    <xf numFmtId="0" fontId="2" fillId="0" borderId="0" xfId="4" applyFont="1" applyAlignment="1" applyProtection="1">
      <alignment horizontal="center"/>
      <protection locked="0"/>
    </xf>
    <xf numFmtId="169" fontId="5" fillId="0" borderId="0" xfId="4" applyNumberFormat="1" applyFont="1" applyProtection="1">
      <protection locked="0"/>
    </xf>
    <xf numFmtId="171" fontId="5" fillId="0" borderId="0" xfId="4" applyNumberFormat="1" applyFont="1" applyProtection="1">
      <protection locked="0"/>
    </xf>
    <xf numFmtId="0" fontId="2" fillId="15" borderId="26" xfId="4" applyFont="1" applyFill="1" applyBorder="1" applyAlignment="1" applyProtection="1">
      <alignment horizontal="center"/>
      <protection locked="0"/>
    </xf>
    <xf numFmtId="1" fontId="5" fillId="0" borderId="0" xfId="4" applyNumberFormat="1" applyFont="1" applyProtection="1">
      <protection locked="0"/>
    </xf>
    <xf numFmtId="2" fontId="5" fillId="0" borderId="0" xfId="4" applyNumberFormat="1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7" fontId="2" fillId="0" borderId="55" xfId="4" applyNumberFormat="1" applyFont="1" applyBorder="1" applyAlignment="1" applyProtection="1">
      <alignment horizontal="center"/>
      <protection locked="0"/>
    </xf>
    <xf numFmtId="167" fontId="5" fillId="0" borderId="47" xfId="4" applyNumberFormat="1" applyFont="1" applyBorder="1" applyAlignment="1" applyProtection="1">
      <alignment horizontal="center"/>
      <protection locked="0"/>
    </xf>
    <xf numFmtId="167" fontId="2" fillId="0" borderId="51" xfId="4" applyNumberFormat="1" applyFont="1" applyBorder="1" applyAlignment="1" applyProtection="1">
      <alignment horizontal="center"/>
      <protection locked="0"/>
    </xf>
    <xf numFmtId="167" fontId="5" fillId="0" borderId="52" xfId="4" applyNumberFormat="1" applyFont="1" applyBorder="1" applyAlignment="1" applyProtection="1">
      <alignment horizontal="center"/>
      <protection locked="0"/>
    </xf>
    <xf numFmtId="0" fontId="2" fillId="0" borderId="52" xfId="4" applyFont="1" applyBorder="1" applyAlignment="1">
      <alignment horizontal="center"/>
    </xf>
    <xf numFmtId="0" fontId="2" fillId="0" borderId="51" xfId="4" applyFont="1" applyBorder="1" applyAlignment="1" applyProtection="1">
      <alignment horizontal="center"/>
      <protection locked="0"/>
    </xf>
    <xf numFmtId="0" fontId="5" fillId="0" borderId="52" xfId="4" applyFont="1" applyBorder="1" applyAlignment="1" applyProtection="1">
      <alignment horizontal="center"/>
      <protection locked="0"/>
    </xf>
    <xf numFmtId="3" fontId="2" fillId="0" borderId="46" xfId="4" applyNumberFormat="1" applyFont="1" applyBorder="1" applyAlignment="1" applyProtection="1">
      <alignment horizontal="center"/>
      <protection locked="0"/>
    </xf>
    <xf numFmtId="0" fontId="2" fillId="0" borderId="8" xfId="4" applyFont="1" applyBorder="1" applyAlignment="1" applyProtection="1">
      <alignment horizontal="center"/>
      <protection locked="0"/>
    </xf>
    <xf numFmtId="0" fontId="5" fillId="0" borderId="8" xfId="4" applyFont="1" applyBorder="1" applyAlignment="1" applyProtection="1">
      <alignment horizontal="center"/>
      <protection locked="0"/>
    </xf>
    <xf numFmtId="0" fontId="5" fillId="0" borderId="41" xfId="4" applyFont="1" applyBorder="1" applyAlignment="1" applyProtection="1">
      <alignment horizontal="center"/>
      <protection locked="0"/>
    </xf>
    <xf numFmtId="0" fontId="5" fillId="0" borderId="9" xfId="4" applyFont="1" applyBorder="1" applyAlignment="1" applyProtection="1">
      <alignment horizontal="center" shrinkToFit="1"/>
      <protection locked="0"/>
    </xf>
    <xf numFmtId="0" fontId="5" fillId="0" borderId="48" xfId="4" applyFont="1" applyBorder="1" applyAlignment="1" applyProtection="1">
      <alignment horizontal="center" shrinkToFit="1"/>
      <protection locked="0"/>
    </xf>
    <xf numFmtId="0" fontId="5" fillId="0" borderId="1" xfId="4" applyFont="1" applyBorder="1" applyAlignment="1" applyProtection="1">
      <alignment horizontal="center" shrinkToFit="1"/>
      <protection locked="0"/>
    </xf>
    <xf numFmtId="0" fontId="5" fillId="0" borderId="52" xfId="4" applyFont="1" applyBorder="1" applyAlignment="1" applyProtection="1">
      <alignment horizontal="center" shrinkToFit="1"/>
      <protection locked="0"/>
    </xf>
    <xf numFmtId="0" fontId="23" fillId="0" borderId="1" xfId="4" applyFont="1" applyBorder="1" applyAlignment="1" applyProtection="1">
      <alignment horizontal="center" shrinkToFit="1"/>
      <protection locked="0"/>
    </xf>
    <xf numFmtId="0" fontId="24" fillId="0" borderId="1" xfId="4" applyFont="1" applyBorder="1" applyAlignment="1" applyProtection="1">
      <alignment horizontal="center" shrinkToFit="1"/>
      <protection locked="0"/>
    </xf>
    <xf numFmtId="0" fontId="5" fillId="0" borderId="14" xfId="4" applyFont="1" applyBorder="1" applyAlignment="1" applyProtection="1">
      <alignment horizontal="center" shrinkToFit="1"/>
      <protection locked="0"/>
    </xf>
    <xf numFmtId="0" fontId="5" fillId="0" borderId="54" xfId="4" applyFont="1" applyBorder="1" applyAlignment="1" applyProtection="1">
      <alignment horizontal="center" shrinkToFit="1"/>
      <protection locked="0"/>
    </xf>
    <xf numFmtId="38" fontId="5" fillId="0" borderId="14" xfId="6" applyFont="1" applyBorder="1" applyAlignment="1" applyProtection="1">
      <alignment horizontal="center" shrinkToFit="1"/>
      <protection locked="0"/>
    </xf>
    <xf numFmtId="38" fontId="5" fillId="0" borderId="54" xfId="6" applyFont="1" applyBorder="1" applyAlignment="1" applyProtection="1">
      <alignment horizontal="center" shrinkToFit="1"/>
      <protection locked="0"/>
    </xf>
    <xf numFmtId="0" fontId="5" fillId="0" borderId="10" xfId="6" applyNumberFormat="1" applyFont="1" applyBorder="1" applyAlignment="1" applyProtection="1">
      <alignment horizontal="center"/>
      <protection locked="0"/>
    </xf>
    <xf numFmtId="38" fontId="5" fillId="0" borderId="47" xfId="6" applyFont="1" applyBorder="1" applyAlignment="1" applyProtection="1">
      <alignment horizontal="center"/>
      <protection locked="0"/>
    </xf>
    <xf numFmtId="0" fontId="5" fillId="0" borderId="1" xfId="6" applyNumberFormat="1" applyFont="1" applyBorder="1" applyAlignment="1" applyProtection="1">
      <alignment horizontal="center"/>
      <protection locked="0"/>
    </xf>
    <xf numFmtId="3" fontId="5" fillId="0" borderId="52" xfId="4" applyNumberFormat="1" applyFont="1" applyBorder="1" applyAlignment="1" applyProtection="1">
      <alignment horizontal="center"/>
      <protection locked="0"/>
    </xf>
    <xf numFmtId="168" fontId="5" fillId="0" borderId="1" xfId="4" applyNumberFormat="1" applyFont="1" applyBorder="1" applyAlignment="1" applyProtection="1">
      <alignment horizontal="center"/>
      <protection locked="0"/>
    </xf>
    <xf numFmtId="165" fontId="5" fillId="0" borderId="52" xfId="4" applyNumberFormat="1" applyFont="1" applyBorder="1" applyAlignment="1" applyProtection="1">
      <alignment horizontal="center"/>
      <protection locked="0"/>
    </xf>
    <xf numFmtId="165" fontId="2" fillId="0" borderId="51" xfId="4" applyNumberFormat="1" applyFont="1" applyBorder="1" applyAlignment="1">
      <alignment horizontal="center"/>
    </xf>
    <xf numFmtId="168" fontId="2" fillId="0" borderId="1" xfId="4" applyNumberFormat="1" applyFont="1" applyBorder="1" applyAlignment="1">
      <alignment horizontal="center"/>
    </xf>
    <xf numFmtId="165" fontId="2" fillId="0" borderId="52" xfId="4" applyNumberFormat="1" applyFont="1" applyBorder="1" applyAlignment="1">
      <alignment horizontal="center"/>
    </xf>
    <xf numFmtId="0" fontId="5" fillId="0" borderId="54" xfId="4" applyFont="1" applyBorder="1" applyAlignment="1" applyProtection="1">
      <alignment horizontal="center"/>
      <protection locked="0"/>
    </xf>
    <xf numFmtId="0" fontId="5" fillId="0" borderId="47" xfId="4" applyFont="1" applyBorder="1" applyAlignment="1" applyProtection="1">
      <alignment horizontal="center"/>
      <protection locked="0"/>
    </xf>
    <xf numFmtId="0" fontId="5" fillId="0" borderId="1" xfId="4" applyFont="1" applyBorder="1" applyAlignment="1" applyProtection="1">
      <alignment horizontal="right"/>
      <protection locked="0"/>
    </xf>
    <xf numFmtId="0" fontId="9" fillId="0" borderId="47" xfId="4" applyFont="1" applyBorder="1" applyAlignment="1">
      <alignment horizontal="center"/>
    </xf>
    <xf numFmtId="1" fontId="9" fillId="0" borderId="57" xfId="4" applyNumberFormat="1" applyFont="1" applyBorder="1" applyAlignment="1">
      <alignment horizontal="center"/>
    </xf>
    <xf numFmtId="1" fontId="9" fillId="0" borderId="58" xfId="4" applyNumberFormat="1" applyFont="1" applyBorder="1" applyAlignment="1">
      <alignment horizontal="center"/>
    </xf>
    <xf numFmtId="164" fontId="9" fillId="0" borderId="47" xfId="4" applyNumberFormat="1" applyFont="1" applyBorder="1" applyAlignment="1" applyProtection="1">
      <alignment horizontal="center"/>
      <protection locked="0"/>
    </xf>
    <xf numFmtId="164" fontId="9" fillId="0" borderId="52" xfId="4" applyNumberFormat="1" applyFont="1" applyBorder="1" applyAlignment="1">
      <alignment horizontal="center"/>
    </xf>
    <xf numFmtId="0" fontId="9" fillId="0" borderId="54" xfId="4" applyFont="1" applyBorder="1" applyAlignment="1">
      <alignment horizontal="center"/>
    </xf>
    <xf numFmtId="0" fontId="5" fillId="0" borderId="1" xfId="4" applyFont="1" applyBorder="1" applyProtection="1">
      <protection locked="0"/>
    </xf>
    <xf numFmtId="0" fontId="2" fillId="0" borderId="47" xfId="4" applyFont="1" applyBorder="1" applyAlignment="1">
      <alignment horizontal="center"/>
    </xf>
    <xf numFmtId="1" fontId="2" fillId="0" borderId="52" xfId="4" applyNumberFormat="1" applyFont="1" applyBorder="1" applyAlignment="1">
      <alignment horizontal="center"/>
    </xf>
    <xf numFmtId="1" fontId="2" fillId="0" borderId="58" xfId="4" applyNumberFormat="1" applyFont="1" applyBorder="1" applyAlignment="1">
      <alignment horizontal="center"/>
    </xf>
    <xf numFmtId="0" fontId="5" fillId="0" borderId="47" xfId="4" applyFont="1" applyBorder="1" applyAlignment="1">
      <alignment horizontal="center"/>
    </xf>
    <xf numFmtId="1" fontId="2" fillId="0" borderId="41" xfId="4" applyNumberFormat="1" applyFont="1" applyBorder="1" applyAlignment="1">
      <alignment horizontal="center"/>
    </xf>
    <xf numFmtId="1" fontId="5" fillId="0" borderId="52" xfId="4" applyNumberFormat="1" applyFont="1" applyBorder="1" applyAlignment="1">
      <alignment horizontal="center"/>
    </xf>
    <xf numFmtId="1" fontId="5" fillId="0" borderId="8" xfId="4" applyNumberFormat="1" applyFont="1" applyBorder="1" applyAlignment="1">
      <alignment horizontal="center"/>
    </xf>
    <xf numFmtId="1" fontId="5" fillId="0" borderId="41" xfId="4" applyNumberFormat="1" applyFont="1" applyBorder="1" applyAlignment="1">
      <alignment horizont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5" fillId="0" borderId="29" xfId="4" applyFont="1" applyBorder="1" applyAlignment="1">
      <alignment horizontal="center"/>
    </xf>
    <xf numFmtId="0" fontId="5" fillId="0" borderId="22" xfId="4" applyFont="1" applyBorder="1" applyAlignment="1">
      <alignment horizontal="center"/>
    </xf>
    <xf numFmtId="0" fontId="5" fillId="0" borderId="34" xfId="4" applyFont="1" applyBorder="1" applyAlignment="1">
      <alignment horizontal="center"/>
    </xf>
    <xf numFmtId="38" fontId="5" fillId="0" borderId="21" xfId="6" applyFont="1" applyBorder="1" applyAlignment="1">
      <alignment horizontal="center"/>
    </xf>
    <xf numFmtId="3" fontId="5" fillId="0" borderId="29" xfId="4" applyNumberFormat="1" applyFont="1" applyBorder="1" applyAlignment="1">
      <alignment horizontal="center"/>
    </xf>
    <xf numFmtId="165" fontId="5" fillId="0" borderId="29" xfId="4" applyNumberFormat="1" applyFont="1" applyBorder="1" applyAlignment="1">
      <alignment horizontal="center"/>
    </xf>
    <xf numFmtId="0" fontId="5" fillId="0" borderId="21" xfId="4" applyFont="1" applyBorder="1" applyAlignment="1">
      <alignment horizontal="center"/>
    </xf>
    <xf numFmtId="0" fontId="9" fillId="0" borderId="21" xfId="4" applyFont="1" applyBorder="1" applyAlignment="1">
      <alignment horizontal="center"/>
    </xf>
    <xf numFmtId="1" fontId="9" fillId="0" borderId="29" xfId="4" applyNumberFormat="1" applyFont="1" applyBorder="1" applyAlignment="1">
      <alignment horizontal="center"/>
    </xf>
    <xf numFmtId="1" fontId="9" fillId="0" borderId="22" xfId="4" applyNumberFormat="1" applyFont="1" applyBorder="1" applyAlignment="1">
      <alignment horizontal="center"/>
    </xf>
    <xf numFmtId="164" fontId="9" fillId="0" borderId="21" xfId="4" applyNumberFormat="1" applyFont="1" applyBorder="1" applyAlignment="1">
      <alignment horizontal="center"/>
    </xf>
    <xf numFmtId="164" fontId="9" fillId="0" borderId="29" xfId="4" applyNumberFormat="1" applyFont="1" applyBorder="1" applyAlignment="1">
      <alignment horizontal="center"/>
    </xf>
    <xf numFmtId="0" fontId="9" fillId="0" borderId="34" xfId="4" applyFont="1" applyBorder="1" applyAlignment="1">
      <alignment horizontal="center"/>
    </xf>
    <xf numFmtId="0" fontId="2" fillId="0" borderId="21" xfId="4" applyFont="1" applyBorder="1" applyAlignment="1">
      <alignment horizontal="center"/>
    </xf>
    <xf numFmtId="1" fontId="5" fillId="0" borderId="29" xfId="4" applyNumberFormat="1" applyFont="1" applyBorder="1" applyAlignment="1">
      <alignment horizontal="center"/>
    </xf>
    <xf numFmtId="1" fontId="5" fillId="0" borderId="22" xfId="4" applyNumberFormat="1" applyFont="1" applyBorder="1" applyAlignment="1">
      <alignment horizontal="center"/>
    </xf>
    <xf numFmtId="167" fontId="2" fillId="0" borderId="21" xfId="4" applyNumberFormat="1" applyFont="1" applyBorder="1" applyAlignment="1" applyProtection="1">
      <alignment horizontal="center"/>
      <protection locked="0"/>
    </xf>
    <xf numFmtId="167" fontId="2" fillId="0" borderId="29" xfId="4" applyNumberFormat="1" applyFont="1" applyBorder="1" applyAlignment="1" applyProtection="1">
      <alignment horizontal="center"/>
      <protection locked="0"/>
    </xf>
    <xf numFmtId="0" fontId="2" fillId="0" borderId="29" xfId="4" applyFont="1" applyBorder="1" applyAlignment="1" applyProtection="1">
      <alignment horizontal="center"/>
      <protection locked="0"/>
    </xf>
    <xf numFmtId="0" fontId="2" fillId="0" borderId="22" xfId="4" applyFont="1" applyBorder="1" applyAlignment="1">
      <alignment horizontal="center"/>
    </xf>
    <xf numFmtId="0" fontId="2" fillId="0" borderId="22" xfId="4" applyFont="1" applyBorder="1" applyAlignment="1" applyProtection="1">
      <alignment horizontal="center"/>
      <protection locked="0"/>
    </xf>
    <xf numFmtId="0" fontId="2" fillId="0" borderId="23" xfId="4" applyFont="1" applyBorder="1" applyAlignment="1" applyProtection="1">
      <alignment horizontal="center"/>
      <protection locked="0"/>
    </xf>
    <xf numFmtId="0" fontId="2" fillId="0" borderId="34" xfId="4" applyFont="1" applyBorder="1" applyAlignment="1" applyProtection="1">
      <alignment horizontal="center"/>
      <protection locked="0"/>
    </xf>
    <xf numFmtId="38" fontId="2" fillId="0" borderId="34" xfId="6" applyFont="1" applyBorder="1" applyAlignment="1" applyProtection="1">
      <alignment horizontal="center"/>
      <protection locked="0"/>
    </xf>
    <xf numFmtId="38" fontId="2" fillId="0" borderId="21" xfId="6" applyFont="1" applyBorder="1" applyAlignment="1" applyProtection="1">
      <alignment horizontal="center"/>
      <protection locked="0"/>
    </xf>
    <xf numFmtId="3" fontId="2" fillId="0" borderId="29" xfId="4" applyNumberFormat="1" applyFont="1" applyBorder="1" applyAlignment="1" applyProtection="1">
      <alignment horizontal="center"/>
      <protection locked="0"/>
    </xf>
    <xf numFmtId="165" fontId="2" fillId="0" borderId="29" xfId="4" applyNumberFormat="1" applyFont="1" applyBorder="1" applyAlignment="1" applyProtection="1">
      <alignment horizontal="center"/>
      <protection locked="0"/>
    </xf>
    <xf numFmtId="0" fontId="2" fillId="0" borderId="21" xfId="4" applyFont="1" applyBorder="1" applyAlignment="1" applyProtection="1">
      <alignment horizontal="center"/>
      <protection locked="0"/>
    </xf>
    <xf numFmtId="0" fontId="9" fillId="0" borderId="21" xfId="4" applyFont="1" applyBorder="1" applyAlignment="1" applyProtection="1">
      <alignment horizontal="center"/>
      <protection locked="0"/>
    </xf>
    <xf numFmtId="1" fontId="9" fillId="0" borderId="29" xfId="4" applyNumberFormat="1" applyFont="1" applyBorder="1" applyAlignment="1" applyProtection="1">
      <alignment horizontal="center"/>
      <protection locked="0"/>
    </xf>
    <xf numFmtId="164" fontId="9" fillId="0" borderId="21" xfId="4" applyNumberFormat="1" applyFont="1" applyBorder="1" applyAlignment="1" applyProtection="1">
      <alignment horizontal="center"/>
      <protection locked="0"/>
    </xf>
    <xf numFmtId="164" fontId="9" fillId="0" borderId="29" xfId="4" applyNumberFormat="1" applyFont="1" applyBorder="1" applyAlignment="1" applyProtection="1">
      <alignment horizontal="center"/>
      <protection locked="0"/>
    </xf>
    <xf numFmtId="0" fontId="9" fillId="0" borderId="34" xfId="4" applyFont="1" applyBorder="1" applyAlignment="1" applyProtection="1">
      <alignment horizontal="center"/>
      <protection locked="0"/>
    </xf>
    <xf numFmtId="1" fontId="2" fillId="0" borderId="29" xfId="4" applyNumberFormat="1" applyFont="1" applyBorder="1" applyAlignment="1" applyProtection="1">
      <alignment horizontal="center"/>
      <protection locked="0"/>
    </xf>
    <xf numFmtId="1" fontId="2" fillId="0" borderId="22" xfId="4" applyNumberFormat="1" applyFont="1" applyBorder="1" applyAlignment="1" applyProtection="1">
      <alignment horizontal="center"/>
      <protection locked="0"/>
    </xf>
    <xf numFmtId="0" fontId="2" fillId="0" borderId="26" xfId="4" quotePrefix="1" applyFont="1" applyBorder="1" applyAlignment="1" applyProtection="1">
      <alignment horizontal="center"/>
      <protection locked="0"/>
    </xf>
    <xf numFmtId="0" fontId="24" fillId="0" borderId="9" xfId="4" applyFont="1" applyBorder="1" applyAlignment="1" applyProtection="1">
      <alignment horizontal="center" shrinkToFit="1"/>
      <protection locked="0"/>
    </xf>
    <xf numFmtId="0" fontId="2" fillId="0" borderId="9" xfId="4" applyFont="1" applyBorder="1" applyAlignment="1" applyProtection="1">
      <alignment horizontal="center"/>
      <protection locked="0"/>
    </xf>
    <xf numFmtId="167" fontId="5" fillId="0" borderId="21" xfId="4" applyNumberFormat="1" applyFont="1" applyBorder="1" applyAlignment="1" applyProtection="1">
      <alignment horizontal="center"/>
      <protection locked="0"/>
    </xf>
    <xf numFmtId="167" fontId="5" fillId="0" borderId="29" xfId="4" applyNumberFormat="1" applyFont="1" applyBorder="1" applyAlignment="1" applyProtection="1">
      <alignment horizontal="center"/>
      <protection locked="0"/>
    </xf>
    <xf numFmtId="0" fontId="5" fillId="0" borderId="29" xfId="4" applyFont="1" applyBorder="1" applyAlignment="1" applyProtection="1">
      <alignment horizontal="center"/>
      <protection locked="0"/>
    </xf>
    <xf numFmtId="0" fontId="5" fillId="0" borderId="22" xfId="4" applyFont="1" applyBorder="1" applyAlignment="1" applyProtection="1">
      <alignment horizontal="center"/>
      <protection locked="0"/>
    </xf>
    <xf numFmtId="0" fontId="5" fillId="0" borderId="23" xfId="4" applyFont="1" applyBorder="1" applyAlignment="1" applyProtection="1">
      <alignment horizontal="center"/>
      <protection locked="0"/>
    </xf>
    <xf numFmtId="0" fontId="2" fillId="0" borderId="51" xfId="4" applyFont="1" applyBorder="1" applyAlignment="1" applyProtection="1">
      <alignment horizontal="center" shrinkToFit="1"/>
      <protection locked="0"/>
    </xf>
    <xf numFmtId="0" fontId="5" fillId="0" borderId="34" xfId="4" applyFont="1" applyBorder="1" applyAlignment="1" applyProtection="1">
      <alignment horizontal="center"/>
      <protection locked="0"/>
    </xf>
    <xf numFmtId="38" fontId="5" fillId="0" borderId="34" xfId="6" applyFont="1" applyBorder="1" applyAlignment="1" applyProtection="1">
      <alignment horizontal="center"/>
      <protection locked="0"/>
    </xf>
    <xf numFmtId="38" fontId="5" fillId="0" borderId="21" xfId="6" applyFont="1" applyBorder="1" applyAlignment="1" applyProtection="1">
      <alignment horizontal="center"/>
      <protection locked="0"/>
    </xf>
    <xf numFmtId="3" fontId="5" fillId="0" borderId="29" xfId="4" applyNumberFormat="1" applyFont="1" applyBorder="1" applyAlignment="1" applyProtection="1">
      <alignment horizontal="center"/>
      <protection locked="0"/>
    </xf>
    <xf numFmtId="165" fontId="5" fillId="0" borderId="29" xfId="4" applyNumberFormat="1" applyFont="1" applyBorder="1" applyAlignment="1" applyProtection="1">
      <alignment horizontal="center"/>
      <protection locked="0"/>
    </xf>
    <xf numFmtId="0" fontId="5" fillId="0" borderId="21" xfId="4" applyFont="1" applyBorder="1" applyAlignment="1" applyProtection="1">
      <alignment horizontal="center"/>
      <protection locked="0"/>
    </xf>
    <xf numFmtId="1" fontId="5" fillId="0" borderId="29" xfId="4" applyNumberFormat="1" applyFont="1" applyBorder="1" applyAlignment="1" applyProtection="1">
      <alignment horizontal="center"/>
      <protection locked="0"/>
    </xf>
    <xf numFmtId="1" fontId="5" fillId="0" borderId="22" xfId="4" applyNumberFormat="1" applyFont="1" applyBorder="1" applyAlignment="1" applyProtection="1">
      <alignment horizontal="center"/>
      <protection locked="0"/>
    </xf>
    <xf numFmtId="0" fontId="5" fillId="0" borderId="2" xfId="4" applyFont="1" applyBorder="1" applyProtection="1">
      <protection locked="0"/>
    </xf>
    <xf numFmtId="0" fontId="2" fillId="0" borderId="2" xfId="4" applyFont="1" applyBorder="1" applyProtection="1">
      <protection locked="0"/>
    </xf>
    <xf numFmtId="0" fontId="2" fillId="0" borderId="3" xfId="4" applyFont="1" applyBorder="1" applyProtection="1">
      <protection locked="0"/>
    </xf>
    <xf numFmtId="0" fontId="2" fillId="0" borderId="26" xfId="4" applyFont="1" applyBorder="1" applyAlignment="1" applyProtection="1">
      <alignment horizontal="center"/>
      <protection locked="0"/>
    </xf>
    <xf numFmtId="0" fontId="9" fillId="0" borderId="15" xfId="4" applyFont="1" applyBorder="1" applyProtection="1">
      <protection locked="0"/>
    </xf>
    <xf numFmtId="0" fontId="9" fillId="0" borderId="47" xfId="4" applyFont="1" applyBorder="1" applyProtection="1">
      <protection locked="0"/>
    </xf>
    <xf numFmtId="0" fontId="9" fillId="0" borderId="16" xfId="4" applyFont="1" applyBorder="1" applyProtection="1">
      <protection locked="0"/>
    </xf>
    <xf numFmtId="0" fontId="9" fillId="0" borderId="52" xfId="4" applyFont="1" applyBorder="1" applyProtection="1">
      <protection locked="0"/>
    </xf>
    <xf numFmtId="0" fontId="9" fillId="0" borderId="17" xfId="4" applyFont="1" applyBorder="1" applyProtection="1">
      <protection locked="0"/>
    </xf>
    <xf numFmtId="0" fontId="9" fillId="0" borderId="41" xfId="4" applyFont="1" applyBorder="1" applyProtection="1">
      <protection locked="0"/>
    </xf>
    <xf numFmtId="0" fontId="9" fillId="0" borderId="28" xfId="4" applyFont="1" applyBorder="1" applyProtection="1">
      <protection locked="0"/>
    </xf>
    <xf numFmtId="0" fontId="5" fillId="0" borderId="48" xfId="4" applyFont="1" applyBorder="1" applyProtection="1">
      <protection locked="0"/>
    </xf>
    <xf numFmtId="0" fontId="5" fillId="0" borderId="52" xfId="4" applyFont="1" applyBorder="1" applyProtection="1">
      <protection locked="0"/>
    </xf>
    <xf numFmtId="0" fontId="9" fillId="0" borderId="13" xfId="4" applyFont="1" applyBorder="1" applyProtection="1">
      <protection locked="0"/>
    </xf>
    <xf numFmtId="0" fontId="5" fillId="0" borderId="54" xfId="4" applyFont="1" applyBorder="1" applyProtection="1">
      <protection locked="0"/>
    </xf>
    <xf numFmtId="0" fontId="9" fillId="0" borderId="54" xfId="4" applyFont="1" applyBorder="1" applyProtection="1">
      <protection locked="0"/>
    </xf>
    <xf numFmtId="0" fontId="5" fillId="0" borderId="47" xfId="4" applyFont="1" applyBorder="1" applyProtection="1">
      <protection locked="0"/>
    </xf>
    <xf numFmtId="0" fontId="5" fillId="0" borderId="41" xfId="4" applyFont="1" applyBorder="1" applyProtection="1">
      <protection locked="0"/>
    </xf>
    <xf numFmtId="0" fontId="2" fillId="0" borderId="2" xfId="4" applyFont="1" applyBorder="1" applyAlignment="1" applyProtection="1">
      <alignment horizontal="center"/>
      <protection locked="0"/>
    </xf>
    <xf numFmtId="0" fontId="9" fillId="0" borderId="15" xfId="4" applyFont="1" applyBorder="1" applyAlignment="1" applyProtection="1">
      <alignment horizontal="center"/>
      <protection locked="0"/>
    </xf>
    <xf numFmtId="0" fontId="9" fillId="0" borderId="16" xfId="4" applyFont="1" applyBorder="1" applyAlignment="1" applyProtection="1">
      <alignment horizontal="center"/>
      <protection locked="0"/>
    </xf>
    <xf numFmtId="0" fontId="9" fillId="0" borderId="17" xfId="4" applyFont="1" applyBorder="1" applyAlignment="1" applyProtection="1">
      <alignment horizontal="center"/>
      <protection locked="0"/>
    </xf>
    <xf numFmtId="0" fontId="9" fillId="0" borderId="28" xfId="4" applyFont="1" applyBorder="1" applyAlignment="1" applyProtection="1">
      <alignment horizontal="center"/>
      <protection locked="0"/>
    </xf>
    <xf numFmtId="0" fontId="9" fillId="0" borderId="13" xfId="4" applyFont="1" applyBorder="1" applyAlignment="1" applyProtection="1">
      <alignment horizontal="center"/>
      <protection locked="0"/>
    </xf>
    <xf numFmtId="38" fontId="9" fillId="0" borderId="35" xfId="4" applyNumberFormat="1" applyFont="1" applyBorder="1" applyAlignment="1">
      <alignment horizontal="center"/>
    </xf>
    <xf numFmtId="3" fontId="9" fillId="0" borderId="35" xfId="4" applyNumberFormat="1" applyFont="1" applyBorder="1" applyAlignment="1">
      <alignment horizontal="center"/>
    </xf>
    <xf numFmtId="0" fontId="9" fillId="0" borderId="56" xfId="4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17" fillId="12" borderId="42" xfId="0" applyFont="1" applyFill="1" applyBorder="1"/>
    <xf numFmtId="0" fontId="17" fillId="12" borderId="7" xfId="0" applyFont="1" applyFill="1" applyBorder="1"/>
    <xf numFmtId="0" fontId="9" fillId="4" borderId="4" xfId="0" applyFont="1" applyFill="1" applyBorder="1"/>
    <xf numFmtId="0" fontId="0" fillId="4" borderId="42" xfId="0" applyFill="1" applyBorder="1"/>
    <xf numFmtId="0" fontId="0" fillId="4" borderId="33" xfId="0" applyFill="1" applyBorder="1"/>
    <xf numFmtId="169" fontId="2" fillId="0" borderId="33" xfId="4" quotePrefix="1" applyNumberFormat="1" applyFont="1" applyBorder="1" applyAlignment="1" applyProtection="1">
      <alignment horizontal="centerContinuous"/>
      <protection locked="0"/>
    </xf>
    <xf numFmtId="169" fontId="2" fillId="0" borderId="33" xfId="4" applyNumberFormat="1" applyFont="1" applyBorder="1" applyAlignment="1" applyProtection="1">
      <alignment horizontal="centerContinuous"/>
      <protection locked="0"/>
    </xf>
    <xf numFmtId="169" fontId="5" fillId="0" borderId="33" xfId="4" applyNumberFormat="1" applyFont="1" applyBorder="1" applyAlignment="1" applyProtection="1">
      <alignment horizontal="centerContinuous"/>
      <protection locked="0"/>
    </xf>
    <xf numFmtId="169" fontId="2" fillId="0" borderId="25" xfId="4" quotePrefix="1" applyNumberFormat="1" applyFont="1" applyBorder="1" applyAlignment="1" applyProtection="1">
      <alignment horizontal="centerContinuous"/>
      <protection locked="0"/>
    </xf>
    <xf numFmtId="0" fontId="2" fillId="0" borderId="1" xfId="6" applyNumberFormat="1" applyFont="1" applyBorder="1" applyAlignment="1" applyProtection="1">
      <alignment horizontal="center"/>
      <protection locked="0"/>
    </xf>
    <xf numFmtId="9" fontId="0" fillId="0" borderId="0" xfId="0" applyNumberFormat="1"/>
    <xf numFmtId="1" fontId="0" fillId="0" borderId="0" xfId="9" applyNumberFormat="1" applyFont="1"/>
    <xf numFmtId="0" fontId="9" fillId="14" borderId="20" xfId="8" applyFont="1" applyFill="1" applyBorder="1"/>
    <xf numFmtId="0" fontId="9" fillId="0" borderId="24" xfId="4" applyFont="1" applyBorder="1"/>
    <xf numFmtId="0" fontId="9" fillId="0" borderId="35" xfId="4" applyFont="1" applyBorder="1"/>
    <xf numFmtId="0" fontId="9" fillId="0" borderId="37" xfId="4" applyFont="1" applyBorder="1"/>
    <xf numFmtId="0" fontId="2" fillId="0" borderId="35" xfId="4" applyFont="1" applyBorder="1"/>
    <xf numFmtId="0" fontId="2" fillId="0" borderId="35" xfId="4" quotePrefix="1" applyFont="1" applyBorder="1" applyAlignment="1">
      <alignment horizontal="left"/>
    </xf>
    <xf numFmtId="0" fontId="2" fillId="0" borderId="36" xfId="4" applyFont="1" applyBorder="1"/>
    <xf numFmtId="0" fontId="9" fillId="0" borderId="59" xfId="4" applyFont="1" applyBorder="1"/>
    <xf numFmtId="0" fontId="9" fillId="0" borderId="36" xfId="4" applyFont="1" applyBorder="1"/>
    <xf numFmtId="0" fontId="2" fillId="0" borderId="24" xfId="4" applyFont="1" applyBorder="1"/>
    <xf numFmtId="0" fontId="9" fillId="0" borderId="36" xfId="4" quotePrefix="1" applyFont="1" applyBorder="1" applyAlignment="1">
      <alignment horizontal="left"/>
    </xf>
    <xf numFmtId="0" fontId="9" fillId="0" borderId="24" xfId="4" quotePrefix="1" applyFont="1" applyBorder="1" applyAlignment="1">
      <alignment horizontal="left"/>
    </xf>
    <xf numFmtId="0" fontId="9" fillId="0" borderId="35" xfId="4" quotePrefix="1" applyFont="1" applyBorder="1" applyAlignment="1">
      <alignment horizontal="left"/>
    </xf>
    <xf numFmtId="0" fontId="9" fillId="0" borderId="36" xfId="8" applyFont="1" applyBorder="1"/>
    <xf numFmtId="3" fontId="2" fillId="0" borderId="1" xfId="4" applyNumberFormat="1" applyFont="1" applyBorder="1" applyAlignment="1" applyProtection="1">
      <alignment horizontal="center" shrinkToFit="1"/>
      <protection locked="0"/>
    </xf>
    <xf numFmtId="0" fontId="2" fillId="4" borderId="0" xfId="0" applyFont="1" applyFill="1"/>
    <xf numFmtId="0" fontId="26" fillId="4" borderId="0" xfId="0" applyFont="1" applyFill="1"/>
    <xf numFmtId="0" fontId="2" fillId="0" borderId="0" xfId="4" applyFont="1" applyAlignment="1">
      <alignment horizontal="right"/>
    </xf>
    <xf numFmtId="1" fontId="2" fillId="0" borderId="0" xfId="4" applyNumberFormat="1" applyFont="1"/>
    <xf numFmtId="0" fontId="2" fillId="0" borderId="9" xfId="4" quotePrefix="1" applyFont="1" applyBorder="1" applyAlignment="1" applyProtection="1">
      <alignment horizontal="center" shrinkToFit="1"/>
      <protection locked="0"/>
    </xf>
    <xf numFmtId="0" fontId="9" fillId="4" borderId="2" xfId="0" applyFont="1" applyFill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9" fillId="4" borderId="0" xfId="0" applyFont="1" applyFill="1" applyAlignment="1">
      <alignment horizontal="left" wrapText="1"/>
    </xf>
    <xf numFmtId="0" fontId="9" fillId="4" borderId="5" xfId="0" applyFont="1" applyFill="1" applyBorder="1" applyAlignment="1">
      <alignment horizontal="left" wrapText="1"/>
    </xf>
    <xf numFmtId="0" fontId="9" fillId="9" borderId="19" xfId="0" applyFont="1" applyFill="1" applyBorder="1" applyAlignment="1">
      <alignment horizontal="center" vertical="center"/>
    </xf>
    <xf numFmtId="0" fontId="9" fillId="9" borderId="50" xfId="0" applyFont="1" applyFill="1" applyBorder="1" applyAlignment="1">
      <alignment horizontal="center" vertical="center"/>
    </xf>
    <xf numFmtId="0" fontId="9" fillId="9" borderId="40" xfId="0" applyFont="1" applyFill="1" applyBorder="1" applyAlignment="1">
      <alignment horizontal="center" vertical="center"/>
    </xf>
    <xf numFmtId="0" fontId="9" fillId="8" borderId="50" xfId="0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9" fillId="0" borderId="0" xfId="0" applyFont="1" applyAlignment="1">
      <alignment horizontal="left" shrinkToFit="1"/>
    </xf>
    <xf numFmtId="168" fontId="7" fillId="13" borderId="35" xfId="0" applyNumberFormat="1" applyFont="1" applyFill="1" applyBorder="1" applyAlignment="1">
      <alignment horizontal="center" vertical="center"/>
    </xf>
    <xf numFmtId="168" fontId="7" fillId="13" borderId="36" xfId="0" applyNumberFormat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44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42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1" fontId="13" fillId="5" borderId="8" xfId="0" applyNumberFormat="1" applyFont="1" applyFill="1" applyBorder="1" applyAlignment="1">
      <alignment horizontal="center"/>
    </xf>
    <xf numFmtId="1" fontId="13" fillId="5" borderId="41" xfId="0" applyNumberFormat="1" applyFont="1" applyFill="1" applyBorder="1" applyAlignment="1">
      <alignment horizontal="center"/>
    </xf>
    <xf numFmtId="0" fontId="9" fillId="2" borderId="19" xfId="0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9" fillId="2" borderId="39" xfId="0" applyFont="1" applyFill="1" applyBorder="1" applyAlignment="1">
      <alignment horizontal="center"/>
    </xf>
    <xf numFmtId="0" fontId="9" fillId="2" borderId="43" xfId="0" applyFont="1" applyFill="1" applyBorder="1" applyAlignment="1">
      <alignment horizontal="center"/>
    </xf>
    <xf numFmtId="0" fontId="9" fillId="2" borderId="32" xfId="0" applyFont="1" applyFill="1" applyBorder="1" applyAlignment="1">
      <alignment horizontal="center" vertical="center" shrinkToFit="1"/>
    </xf>
    <xf numFmtId="0" fontId="9" fillId="2" borderId="45" xfId="0" applyFont="1" applyFill="1" applyBorder="1" applyAlignment="1">
      <alignment horizontal="center" vertical="center" shrinkToFit="1"/>
    </xf>
    <xf numFmtId="0" fontId="9" fillId="2" borderId="46" xfId="0" applyFont="1" applyFill="1" applyBorder="1" applyAlignment="1">
      <alignment horizontal="center" vertical="center" shrinkToFit="1"/>
    </xf>
    <xf numFmtId="0" fontId="9" fillId="2" borderId="27" xfId="0" applyFont="1" applyFill="1" applyBorder="1" applyAlignment="1">
      <alignment horizontal="left"/>
    </xf>
    <xf numFmtId="0" fontId="9" fillId="2" borderId="38" xfId="0" applyFont="1" applyFill="1" applyBorder="1" applyAlignment="1">
      <alignment horizontal="left"/>
    </xf>
    <xf numFmtId="1" fontId="13" fillId="6" borderId="10" xfId="0" applyNumberFormat="1" applyFont="1" applyFill="1" applyBorder="1" applyAlignment="1">
      <alignment horizontal="center"/>
    </xf>
    <xf numFmtId="1" fontId="13" fillId="6" borderId="47" xfId="0" applyNumberFormat="1" applyFont="1" applyFill="1" applyBorder="1" applyAlignment="1">
      <alignment horizontal="center"/>
    </xf>
    <xf numFmtId="1" fontId="13" fillId="6" borderId="8" xfId="0" applyNumberFormat="1" applyFont="1" applyFill="1" applyBorder="1" applyAlignment="1">
      <alignment horizontal="center"/>
    </xf>
    <xf numFmtId="1" fontId="13" fillId="6" borderId="41" xfId="0" applyNumberFormat="1" applyFont="1" applyFill="1" applyBorder="1" applyAlignment="1">
      <alignment horizontal="center"/>
    </xf>
    <xf numFmtId="1" fontId="13" fillId="5" borderId="9" xfId="0" applyNumberFormat="1" applyFont="1" applyFill="1" applyBorder="1" applyAlignment="1">
      <alignment horizontal="center"/>
    </xf>
    <xf numFmtId="1" fontId="13" fillId="5" borderId="48" xfId="0" applyNumberFormat="1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9" fillId="2" borderId="12" xfId="0" applyFont="1" applyFill="1" applyBorder="1" applyAlignment="1">
      <alignment horizontal="center"/>
    </xf>
    <xf numFmtId="0" fontId="9" fillId="2" borderId="49" xfId="0" applyFont="1" applyFill="1" applyBorder="1" applyAlignment="1">
      <alignment horizontal="center"/>
    </xf>
    <xf numFmtId="0" fontId="9" fillId="2" borderId="2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horizontal="center" vertical="center"/>
    </xf>
    <xf numFmtId="0" fontId="2" fillId="0" borderId="2" xfId="8" applyBorder="1" applyAlignment="1">
      <alignment horizontal="center" textRotation="90" shrinkToFit="1"/>
    </xf>
    <xf numFmtId="0" fontId="2" fillId="0" borderId="4" xfId="8" applyBorder="1" applyAlignment="1">
      <alignment horizontal="center" textRotation="90" shrinkToFit="1"/>
    </xf>
    <xf numFmtId="0" fontId="2" fillId="0" borderId="6" xfId="8" applyBorder="1" applyAlignment="1">
      <alignment horizontal="center" textRotation="90" shrinkToFit="1"/>
    </xf>
    <xf numFmtId="0" fontId="2" fillId="0" borderId="2" xfId="8" applyBorder="1" applyAlignment="1">
      <alignment horizontal="center" vertical="center" textRotation="90"/>
    </xf>
    <xf numFmtId="0" fontId="2" fillId="0" borderId="4" xfId="8" applyBorder="1" applyAlignment="1">
      <alignment horizontal="center" vertical="center" textRotation="90"/>
    </xf>
    <xf numFmtId="0" fontId="2" fillId="0" borderId="6" xfId="8" applyBorder="1" applyAlignment="1">
      <alignment horizontal="center" vertical="center" textRotation="90"/>
    </xf>
    <xf numFmtId="0" fontId="2" fillId="0" borderId="2" xfId="8" applyBorder="1" applyAlignment="1">
      <alignment horizontal="center" vertical="center" textRotation="90" shrinkToFit="1"/>
    </xf>
    <xf numFmtId="0" fontId="2" fillId="0" borderId="4" xfId="8" applyBorder="1" applyAlignment="1">
      <alignment horizontal="center" vertical="center" textRotation="90" shrinkToFit="1"/>
    </xf>
    <xf numFmtId="0" fontId="2" fillId="0" borderId="6" xfId="8" applyBorder="1" applyAlignment="1">
      <alignment horizontal="center" vertical="center" textRotation="90" shrinkToFit="1"/>
    </xf>
    <xf numFmtId="0" fontId="2" fillId="0" borderId="2" xfId="8" applyBorder="1" applyAlignment="1" applyProtection="1">
      <alignment horizontal="center" vertical="center" textRotation="90" shrinkToFit="1"/>
      <protection locked="0"/>
    </xf>
    <xf numFmtId="0" fontId="2" fillId="0" borderId="4" xfId="8" applyBorder="1" applyAlignment="1" applyProtection="1">
      <alignment horizontal="center" vertical="center" textRotation="90" shrinkToFit="1"/>
      <protection locked="0"/>
    </xf>
    <xf numFmtId="0" fontId="2" fillId="0" borderId="6" xfId="8" applyBorder="1" applyAlignment="1" applyProtection="1">
      <alignment horizontal="center" vertical="center" textRotation="90" shrinkToFit="1"/>
      <protection locked="0"/>
    </xf>
    <xf numFmtId="0" fontId="2" fillId="0" borderId="2" xfId="8" applyBorder="1" applyAlignment="1" applyProtection="1">
      <alignment horizontal="center" vertical="center" textRotation="90"/>
      <protection locked="0"/>
    </xf>
    <xf numFmtId="0" fontId="2" fillId="0" borderId="4" xfId="8" applyBorder="1" applyAlignment="1" applyProtection="1">
      <alignment horizontal="center" vertical="center" textRotation="90"/>
      <protection locked="0"/>
    </xf>
    <xf numFmtId="0" fontId="2" fillId="0" borderId="6" xfId="8" applyBorder="1" applyAlignment="1" applyProtection="1">
      <alignment horizontal="center" vertical="center" textRotation="90"/>
      <protection locked="0"/>
    </xf>
    <xf numFmtId="0" fontId="2" fillId="0" borderId="2" xfId="8" applyBorder="1" applyAlignment="1" applyProtection="1">
      <alignment horizontal="center" textRotation="90" shrinkToFit="1"/>
      <protection locked="0"/>
    </xf>
    <xf numFmtId="0" fontId="2" fillId="0" borderId="4" xfId="8" applyBorder="1" applyAlignment="1" applyProtection="1">
      <alignment horizontal="center" textRotation="90" shrinkToFit="1"/>
      <protection locked="0"/>
    </xf>
    <xf numFmtId="0" fontId="2" fillId="0" borderId="6" xfId="8" applyBorder="1" applyAlignment="1" applyProtection="1">
      <alignment horizontal="center" textRotation="90" shrinkToFit="1"/>
      <protection locked="0"/>
    </xf>
    <xf numFmtId="0" fontId="2" fillId="0" borderId="30" xfId="8" applyBorder="1" applyAlignment="1" applyProtection="1">
      <alignment horizontal="center" vertical="center" textRotation="90"/>
      <protection locked="0"/>
    </xf>
    <xf numFmtId="0" fontId="2" fillId="0" borderId="31" xfId="8" applyBorder="1" applyAlignment="1" applyProtection="1">
      <alignment horizontal="center" vertical="center" textRotation="90"/>
      <protection locked="0"/>
    </xf>
    <xf numFmtId="0" fontId="2" fillId="0" borderId="18" xfId="8" applyBorder="1" applyAlignment="1" applyProtection="1">
      <alignment horizontal="center" vertical="center" textRotation="90"/>
      <protection locked="0"/>
    </xf>
    <xf numFmtId="0" fontId="2" fillId="0" borderId="32" xfId="8" applyBorder="1" applyAlignment="1" applyProtection="1">
      <alignment horizontal="center" vertical="center" textRotation="90"/>
      <protection locked="0"/>
    </xf>
    <xf numFmtId="0" fontId="9" fillId="0" borderId="25" xfId="4" applyFont="1" applyBorder="1" applyAlignment="1">
      <alignment horizontal="center"/>
    </xf>
    <xf numFmtId="0" fontId="9" fillId="0" borderId="33" xfId="4" applyFont="1" applyBorder="1" applyAlignment="1">
      <alignment horizontal="center"/>
    </xf>
    <xf numFmtId="0" fontId="9" fillId="0" borderId="43" xfId="4" applyFont="1" applyBorder="1" applyAlignment="1">
      <alignment horizontal="center"/>
    </xf>
  </cellXfs>
  <cellStyles count="10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Normal 2" xfId="8" xr:uid="{00000000-0005-0000-0000-000004000000}"/>
    <cellStyle name="Normal_F-7.115 rev 02" xfId="4" xr:uid="{00000000-0005-0000-0000-000005000000}"/>
    <cellStyle name="Percent [2]" xfId="5" xr:uid="{00000000-0005-0000-0000-000006000000}"/>
    <cellStyle name="Porcentagem" xfId="9" builtinId="5"/>
    <cellStyle name="Separador de milhares [0]_F-7.115 rev 02" xfId="6" xr:uid="{00000000-0005-0000-0000-000008000000}"/>
    <cellStyle name="標準_品質検査" xfId="7" xr:uid="{00000000-0005-0000-0000-000009000000}"/>
  </cellStyles>
  <dxfs count="1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rgb="FFFFCC66"/>
        </patternFill>
      </fill>
    </dxf>
    <dxf>
      <fill>
        <patternFill>
          <bgColor rgb="FFFFCC66"/>
        </patternFill>
      </fill>
    </dxf>
    <dxf>
      <fill>
        <patternFill>
          <bgColor rgb="FFFFCC66"/>
        </patternFill>
      </fill>
    </dxf>
    <dxf>
      <fill>
        <patternFill>
          <bgColor theme="9" tint="0.59996337778862885"/>
        </patternFill>
      </fill>
    </dxf>
    <dxf>
      <fill>
        <patternFill>
          <bgColor rgb="FFFFCC66"/>
        </patternFill>
      </fill>
    </dxf>
    <dxf>
      <fill>
        <patternFill>
          <bgColor rgb="FFFFCC66"/>
        </patternFill>
      </fill>
    </dxf>
    <dxf>
      <fill>
        <patternFill>
          <bgColor rgb="FFFFCC66"/>
        </patternFill>
      </fill>
    </dxf>
    <dxf>
      <fill>
        <patternFill>
          <bgColor rgb="FFFFCC66"/>
        </patternFill>
      </fill>
    </dxf>
    <dxf>
      <fill>
        <patternFill>
          <bgColor theme="9" tint="0.59996337778862885"/>
        </patternFill>
      </fill>
    </dxf>
    <dxf>
      <fill>
        <patternFill>
          <bgColor rgb="FFFFCC66"/>
        </patternFill>
      </fill>
    </dxf>
    <dxf>
      <fill>
        <patternFill>
          <bgColor rgb="FFFF0000"/>
        </patternFill>
      </fill>
    </dxf>
    <dxf>
      <fill>
        <patternFill>
          <bgColor rgb="FFFFCC66"/>
        </patternFill>
      </fill>
    </dxf>
    <dxf>
      <fill>
        <patternFill>
          <bgColor rgb="FFFF0000"/>
        </patternFill>
      </fill>
    </dxf>
    <dxf>
      <fill>
        <patternFill>
          <bgColor rgb="FFFFCC66"/>
        </patternFill>
      </fill>
    </dxf>
    <dxf>
      <fill>
        <patternFill>
          <bgColor rgb="FFFF0000"/>
        </patternFill>
      </fill>
    </dxf>
    <dxf>
      <fill>
        <patternFill>
          <bgColor rgb="FFFFCC66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9" defaultPivotStyle="PivotStyleLight16"/>
  <colors>
    <mruColors>
      <color rgb="FF0000CC"/>
      <color rgb="FF66FF66"/>
      <color rgb="FFFFCC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VA</a:t>
            </a:r>
            <a:r>
              <a:rPr lang="pt-BR" baseline="0"/>
              <a:t> Check - Long PVC Defect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'UM-3 - L1 - Noite'!#REF!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'UM-3 - L1 - Noite'!#REF!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CA6-427E-8078-797F35863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829296"/>
        <c:axId val="324829688"/>
      </c:barChart>
      <c:catAx>
        <c:axId val="324829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829688"/>
        <c:crosses val="autoZero"/>
        <c:auto val="1"/>
        <c:lblAlgn val="ctr"/>
        <c:lblOffset val="100"/>
        <c:noMultiLvlLbl val="0"/>
      </c:catAx>
      <c:valAx>
        <c:axId val="324829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Defect Ratio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82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VA</a:t>
            </a:r>
            <a:r>
              <a:rPr lang="pt-BR" baseline="0"/>
              <a:t> Check - Long PVC Defect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'UM-3 - L2 - Dia'!#REF!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'UM-3 - L2 - Dia'!#REF!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8F7-46A0-ABC8-93A807985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519736"/>
        <c:axId val="594520128"/>
      </c:barChart>
      <c:catAx>
        <c:axId val="594519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4520128"/>
        <c:crosses val="autoZero"/>
        <c:auto val="1"/>
        <c:lblAlgn val="ctr"/>
        <c:lblOffset val="100"/>
        <c:noMultiLvlLbl val="0"/>
      </c:catAx>
      <c:valAx>
        <c:axId val="59452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Defect Ratio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451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Pareto de Falhas</a:t>
            </a:r>
            <a:r>
              <a:rPr lang="pt-BR" baseline="0"/>
              <a:t> de V/A - </a:t>
            </a:r>
            <a:r>
              <a:rPr lang="pt-BR"/>
              <a:t>Montagem - UM-3</a:t>
            </a:r>
          </a:p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FEVEREIRO/2022</a:t>
            </a:r>
          </a:p>
        </c:rich>
      </c:tx>
      <c:layout>
        <c:manualLayout>
          <c:xMode val="edge"/>
          <c:yMode val="edge"/>
          <c:x val="0.37956204379562042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5100728214019955E-2"/>
          <c:y val="0.21440605413217298"/>
          <c:w val="0.8472838155401663"/>
          <c:h val="0.51828135420400456"/>
        </c:manualLayout>
      </c:layout>
      <c:barChart>
        <c:barDir val="col"/>
        <c:grouping val="clustered"/>
        <c:varyColors val="0"/>
        <c:ser>
          <c:idx val="0"/>
          <c:order val="0"/>
          <c:tx>
            <c:v>Problemas</c:v>
          </c:tx>
          <c:spPr>
            <a:gradFill>
              <a:gsLst>
                <a:gs pos="0">
                  <a:srgbClr val="FF0000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rgbClr val="FF0000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45B-4FD3-B9DC-8B710133761A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145B-4FD3-B9DC-8B710133761A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[0]!LinDefect_X</c:f>
              <c:strCache>
                <c:ptCount val="1"/>
                <c:pt idx="0">
                  <c:v>Outros - Amperagem</c:v>
                </c:pt>
              </c:strCache>
            </c:strRef>
          </c:cat>
          <c:val>
            <c:numRef>
              <c:f>[0]!LinDefect_Y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5B-4FD3-B9DC-8B710133761A}"/>
            </c:ext>
          </c:extLst>
        </c:ser>
        <c:ser>
          <c:idx val="2"/>
          <c:order val="1"/>
          <c:tx>
            <c:v>Falhas</c:v>
          </c:tx>
          <c:spPr>
            <a:gradFill>
              <a:gsLst>
                <a:gs pos="0">
                  <a:srgbClr val="002060"/>
                </a:gs>
                <a:gs pos="50000">
                  <a:schemeClr val="accent1">
                    <a:lumMod val="40000"/>
                    <a:lumOff val="60000"/>
                  </a:schemeClr>
                </a:gs>
                <a:gs pos="100000">
                  <a:srgbClr val="002060"/>
                </a:gs>
              </a:gsLst>
              <a:lin ang="0" scaled="1"/>
            </a:gradFill>
          </c:spPr>
          <c:invertIfNegative val="0"/>
          <c:dLbls>
            <c:delete val="1"/>
          </c:dLbls>
          <c:cat>
            <c:strRef>
              <c:f>[0]!LinDefect_X</c:f>
              <c:strCache>
                <c:ptCount val="1"/>
                <c:pt idx="0">
                  <c:v>Outros - Amperagem</c:v>
                </c:pt>
              </c:strCache>
            </c:strRef>
          </c:cat>
          <c:val>
            <c:numRef>
              <c:f>[0]!LinProb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E5-4FC9-8758-F29BC390F8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5"/>
        <c:overlap val="100"/>
        <c:axId val="594517384"/>
        <c:axId val="594522088"/>
      </c:barChart>
      <c:lineChart>
        <c:grouping val="standard"/>
        <c:varyColors val="0"/>
        <c:ser>
          <c:idx val="1"/>
          <c:order val="2"/>
          <c:tx>
            <c:v>Acumulado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rgbClr val="7030A0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[0]!LinDefect_X</c:f>
              <c:strCache>
                <c:ptCount val="1"/>
                <c:pt idx="0">
                  <c:v>Outros - Amperagem</c:v>
                </c:pt>
              </c:strCache>
            </c:strRef>
          </c:cat>
          <c:val>
            <c:numRef>
              <c:f>[0]!LinAC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5B-4FD3-B9DC-8B71013376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4517776"/>
        <c:axId val="594519344"/>
      </c:lineChart>
      <c:catAx>
        <c:axId val="594517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pt-BR"/>
          </a:p>
        </c:txPr>
        <c:crossAx val="594522088"/>
        <c:crosses val="autoZero"/>
        <c:auto val="1"/>
        <c:lblAlgn val="ctr"/>
        <c:lblOffset val="100"/>
        <c:noMultiLvlLbl val="0"/>
      </c:catAx>
      <c:valAx>
        <c:axId val="594522088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7.6553640012047538E-3"/>
              <c:y val="0.3757175358905016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94517384"/>
        <c:crosses val="autoZero"/>
        <c:crossBetween val="between"/>
      </c:valAx>
      <c:valAx>
        <c:axId val="59451934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594517776"/>
        <c:crosses val="max"/>
        <c:crossBetween val="between"/>
      </c:valAx>
      <c:catAx>
        <c:axId val="59451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4519344"/>
        <c:crosses val="autoZero"/>
        <c:auto val="1"/>
        <c:lblAlgn val="ctr"/>
        <c:lblOffset val="100"/>
        <c:noMultiLvlLbl val="0"/>
      </c:cat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060374762587321"/>
          <c:y val="0.38628531118118076"/>
          <c:w val="0.14889799408558094"/>
          <c:h val="0.11439769123882139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>
      <c:oddHeader>&amp;A</c:oddHeader>
      <c:oddFooter>Page &amp;P</c:oddFooter>
    </c:headerFooter>
    <c:pageMargins b="0.984251969" l="0.78740157499999996" r="0.78740157499999996" t="0.984251969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fmlaLink="$B$22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Drop" dropStyle="combo" dx="22" fmlaLink="B24" fmlaRange="C24:C26" noThreeD="1" sel="2" val="0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</xdr:row>
      <xdr:rowOff>76200</xdr:rowOff>
    </xdr:from>
    <xdr:to>
      <xdr:col>10</xdr:col>
      <xdr:colOff>0</xdr:colOff>
      <xdr:row>3</xdr:row>
      <xdr:rowOff>95250</xdr:rowOff>
    </xdr:to>
    <xdr:sp macro="" textlink="">
      <xdr:nvSpPr>
        <xdr:cNvPr id="3078" name="Text Box 6">
          <a:extLs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 txBox="1">
          <a:spLocks noChangeArrowheads="1"/>
        </xdr:cNvSpPr>
      </xdr:nvSpPr>
      <xdr:spPr bwMode="auto">
        <a:xfrm>
          <a:off x="1238250" y="238125"/>
          <a:ext cx="4857750" cy="342900"/>
        </a:xfrm>
        <a:prstGeom prst="rect">
          <a:avLst/>
        </a:prstGeom>
        <a:gradFill rotWithShape="0">
          <a:gsLst>
            <a:gs pos="0">
              <a:srgbClr val="0000FF">
                <a:gamma/>
                <a:shade val="46275"/>
                <a:invGamma/>
              </a:srgbClr>
            </a:gs>
            <a:gs pos="50000">
              <a:srgbClr val="0000FF"/>
            </a:gs>
            <a:gs pos="100000">
              <a:srgbClr val="0000FF">
                <a:gamma/>
                <a:shade val="46275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pt-BR" sz="1000" b="1" i="1" u="none" strike="noStrike" baseline="0">
              <a:solidFill>
                <a:srgbClr val="FFFFFF"/>
              </a:solidFill>
              <a:latin typeface="Arial"/>
              <a:cs typeface="Arial"/>
            </a:rPr>
            <a:t>REGISTRO DE PRODUÇÃO E FALHAS DE VOLTAGEM E AMPERAGEM </a:t>
          </a:r>
        </a:p>
        <a:p>
          <a:pPr algn="l" rtl="0">
            <a:defRPr sz="1000"/>
          </a:pPr>
          <a:r>
            <a:rPr lang="pt-BR" sz="1000" b="1" i="1" u="none" strike="noStrike" baseline="0">
              <a:solidFill>
                <a:srgbClr val="FFFFFF"/>
              </a:solidFill>
              <a:latin typeface="Arial"/>
              <a:cs typeface="Arial"/>
            </a:rPr>
            <a:t> MONTAGEM - UM-3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85725</xdr:colOff>
          <xdr:row>7</xdr:row>
          <xdr:rowOff>0</xdr:rowOff>
        </xdr:from>
        <xdr:to>
          <xdr:col>8</xdr:col>
          <xdr:colOff>466725</xdr:colOff>
          <xdr:row>8</xdr:row>
          <xdr:rowOff>47625</xdr:rowOff>
        </xdr:to>
        <xdr:sp macro="" textlink="">
          <xdr:nvSpPr>
            <xdr:cNvPr id="3079" name="Option Button 7" descr="DIA&#10;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Linha 1 - Dia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8</xdr:row>
          <xdr:rowOff>28575</xdr:rowOff>
        </xdr:from>
        <xdr:to>
          <xdr:col>8</xdr:col>
          <xdr:colOff>466725</xdr:colOff>
          <xdr:row>9</xdr:row>
          <xdr:rowOff>76200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Linha 1 - Noite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9</xdr:row>
          <xdr:rowOff>66675</xdr:rowOff>
        </xdr:from>
        <xdr:to>
          <xdr:col>8</xdr:col>
          <xdr:colOff>533400</xdr:colOff>
          <xdr:row>10</xdr:row>
          <xdr:rowOff>123825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Linha 1 - D+N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10</xdr:row>
          <xdr:rowOff>104775</xdr:rowOff>
        </xdr:from>
        <xdr:to>
          <xdr:col>8</xdr:col>
          <xdr:colOff>533400</xdr:colOff>
          <xdr:row>11</xdr:row>
          <xdr:rowOff>161925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Linha 2 - 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8</xdr:row>
          <xdr:rowOff>76200</xdr:rowOff>
        </xdr:from>
        <xdr:to>
          <xdr:col>10</xdr:col>
          <xdr:colOff>828675</xdr:colOff>
          <xdr:row>10</xdr:row>
          <xdr:rowOff>19050</xdr:rowOff>
        </xdr:to>
        <xdr:sp macro="" textlink="">
          <xdr:nvSpPr>
            <xdr:cNvPr id="3086" name="Drop Dow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11</xdr:row>
          <xdr:rowOff>133350</xdr:rowOff>
        </xdr:from>
        <xdr:to>
          <xdr:col>8</xdr:col>
          <xdr:colOff>533400</xdr:colOff>
          <xdr:row>13</xdr:row>
          <xdr:rowOff>28575</xdr:rowOff>
        </xdr:to>
        <xdr:sp macro="" textlink="">
          <xdr:nvSpPr>
            <xdr:cNvPr id="3087" name="Option 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Linha 2 - Noite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13</xdr:row>
          <xdr:rowOff>19050</xdr:rowOff>
        </xdr:from>
        <xdr:to>
          <xdr:col>8</xdr:col>
          <xdr:colOff>523875</xdr:colOff>
          <xdr:row>14</xdr:row>
          <xdr:rowOff>66675</xdr:rowOff>
        </xdr:to>
        <xdr:sp macro="" textlink="">
          <xdr:nvSpPr>
            <xdr:cNvPr id="3088" name="Option 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Linha 2 - D+N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14</xdr:row>
          <xdr:rowOff>66675</xdr:rowOff>
        </xdr:from>
        <xdr:to>
          <xdr:col>8</xdr:col>
          <xdr:colOff>542925</xdr:colOff>
          <xdr:row>15</xdr:row>
          <xdr:rowOff>104775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L1 + 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85725</xdr:rowOff>
        </xdr:from>
        <xdr:to>
          <xdr:col>3</xdr:col>
          <xdr:colOff>447675</xdr:colOff>
          <xdr:row>11</xdr:row>
          <xdr:rowOff>123825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Folha de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10</xdr:row>
          <xdr:rowOff>76200</xdr:rowOff>
        </xdr:from>
        <xdr:to>
          <xdr:col>5</xdr:col>
          <xdr:colOff>533400</xdr:colOff>
          <xdr:row>11</xdr:row>
          <xdr:rowOff>114300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Gráfico de Pareto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0</xdr:row>
          <xdr:rowOff>0</xdr:rowOff>
        </xdr:from>
        <xdr:to>
          <xdr:col>5</xdr:col>
          <xdr:colOff>342900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4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47</xdr:col>
      <xdr:colOff>85725</xdr:colOff>
      <xdr:row>82</xdr:row>
      <xdr:rowOff>100012</xdr:rowOff>
    </xdr:from>
    <xdr:to>
      <xdr:col>53</xdr:col>
      <xdr:colOff>542925</xdr:colOff>
      <xdr:row>100</xdr:row>
      <xdr:rowOff>33337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5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48</xdr:col>
      <xdr:colOff>582084</xdr:colOff>
      <xdr:row>78</xdr:row>
      <xdr:rowOff>109537</xdr:rowOff>
    </xdr:from>
    <xdr:to>
      <xdr:col>54</xdr:col>
      <xdr:colOff>191559</xdr:colOff>
      <xdr:row>96</xdr:row>
      <xdr:rowOff>71437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6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0</xdr:rowOff>
    </xdr:from>
    <xdr:to>
      <xdr:col>14</xdr:col>
      <xdr:colOff>606425</xdr:colOff>
      <xdr:row>39</xdr:row>
      <xdr:rowOff>0</xdr:rowOff>
    </xdr:to>
    <xdr:graphicFrame macro="">
      <xdr:nvGraphicFramePr>
        <xdr:cNvPr id="72734" name="Chart 1">
          <a:extLst>
            <a:ext uri="{FF2B5EF4-FFF2-40B4-BE49-F238E27FC236}">
              <a16:creationId xmlns:a16="http://schemas.microsoft.com/office/drawing/2014/main" id="{00000000-0008-0000-0900-00001E1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381000</xdr:colOff>
          <xdr:row>1</xdr:row>
          <xdr:rowOff>19050</xdr:rowOff>
        </xdr:from>
        <xdr:to>
          <xdr:col>14</xdr:col>
          <xdr:colOff>333375</xdr:colOff>
          <xdr:row>3</xdr:row>
          <xdr:rowOff>114300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9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0.00546</cdr:x>
      <cdr:y>0.06804</cdr:y>
    </cdr:from>
    <cdr:to>
      <cdr:x>0.10591</cdr:x>
      <cdr:y>0.14858</cdr:y>
    </cdr:to>
    <cdr:sp macro="" textlink="'Dados do Gráfico'!$C$1">
      <cdr:nvSpPr>
        <cdr:cNvPr id="7372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3062" y="202147"/>
          <a:ext cx="988576" cy="2355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A7462F9F-6178-44DA-B752-B403C15655FD}" type="TxLink"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Turno:</a:t>
          </a:fld>
          <a:endParaRPr lang="pt-BR" sz="1400" b="1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0.27797</cdr:x>
      <cdr:y>0.11524</cdr:y>
    </cdr:from>
    <cdr:to>
      <cdr:x>0.69657</cdr:x>
      <cdr:y>0.17667</cdr:y>
    </cdr:to>
    <cdr:sp macro="" textlink="">
      <cdr:nvSpPr>
        <cdr:cNvPr id="214018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35252" y="662055"/>
          <a:ext cx="3817855" cy="3529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635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pt-BR" sz="1050" b="1" i="0" u="none" strike="noStrike" baseline="0">
              <a:solidFill>
                <a:srgbClr val="000000"/>
              </a:solidFill>
              <a:latin typeface="Arial"/>
              <a:cs typeface="Arial"/>
            </a:rPr>
            <a:t>Total de Geral de Falhas:                        ppm</a:t>
          </a:r>
        </a:p>
      </cdr:txBody>
    </cdr:sp>
  </cdr:relSizeAnchor>
  <cdr:relSizeAnchor xmlns:cdr="http://schemas.openxmlformats.org/drawingml/2006/chartDrawing">
    <cdr:from>
      <cdr:x>0.44186</cdr:x>
      <cdr:y>0.11356</cdr:y>
    </cdr:from>
    <cdr:to>
      <cdr:x>0.55294</cdr:x>
      <cdr:y>0.17765</cdr:y>
    </cdr:to>
    <cdr:sp macro="" textlink="'Dados do Gráfico'!$E$8">
      <cdr:nvSpPr>
        <cdr:cNvPr id="73735" name="Text Box 7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4329995" y="636174"/>
          <a:ext cx="1088523" cy="3590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5C486A12-B258-4F0E-A1CE-A54E75E363F3}" type="TxLink"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#DIV/0!</a:t>
          </a:fld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0.09756</cdr:x>
      <cdr:y>0.06139</cdr:y>
    </cdr:from>
    <cdr:to>
      <cdr:x>0.24748</cdr:x>
      <cdr:y>0.15039</cdr:y>
    </cdr:to>
    <cdr:sp macro="" textlink="'Dados do Gráfico'!$D$1">
      <cdr:nvSpPr>
        <cdr:cNvPr id="73736" name="Text Box 8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889887" y="387661"/>
          <a:ext cx="1367538" cy="56204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3D2AC5EA-6C7C-4045-8ACD-BC18C4E68411}" type="TxLink"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L1 - D+N</a:t>
          </a:fld>
          <a:endParaRPr lang="pt-BR" sz="1400" b="1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3:C10" totalsRowShown="0" headerRowDxfId="1">
  <autoFilter ref="B3:C10" xr:uid="{00000000-0009-0000-0100-000001000000}"/>
  <tableColumns count="2">
    <tableColumn id="1" xr3:uid="{00000000-0010-0000-0000-000001000000}" name="Linha"/>
    <tableColumn id="2" xr3:uid="{00000000-0010-0000-0000-000002000000}" name="Turno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6:K28"/>
  <sheetViews>
    <sheetView topLeftCell="A7" zoomScaleNormal="100" workbookViewId="0">
      <selection activeCell="B14" sqref="B14"/>
    </sheetView>
  </sheetViews>
  <sheetFormatPr defaultRowHeight="12.75"/>
  <cols>
    <col min="1" max="10" width="9.140625" style="1"/>
    <col min="11" max="11" width="13.28515625" style="1" customWidth="1"/>
    <col min="12" max="16384" width="9.140625" style="1"/>
  </cols>
  <sheetData>
    <row r="6" spans="2:11" ht="13.5" thickBot="1">
      <c r="H6" s="3" t="s">
        <v>73</v>
      </c>
    </row>
    <row r="7" spans="2:11" ht="18.75">
      <c r="C7" s="6" t="s">
        <v>38</v>
      </c>
      <c r="D7" s="7"/>
      <c r="G7" s="2"/>
      <c r="H7" s="481" t="s">
        <v>37</v>
      </c>
      <c r="I7" s="482"/>
      <c r="J7" s="481" t="s">
        <v>267</v>
      </c>
      <c r="K7" s="482"/>
    </row>
    <row r="8" spans="2:11">
      <c r="B8" s="5"/>
      <c r="C8" s="5"/>
      <c r="D8" s="5"/>
      <c r="E8" s="5"/>
      <c r="F8" s="5"/>
      <c r="G8" s="5"/>
      <c r="H8" s="451"/>
      <c r="I8" s="9"/>
      <c r="J8" s="365"/>
      <c r="K8" s="366"/>
    </row>
    <row r="9" spans="2:11">
      <c r="B9" s="3"/>
      <c r="C9" s="483" t="s">
        <v>387</v>
      </c>
      <c r="D9" s="483"/>
      <c r="E9" s="483"/>
      <c r="F9" s="483"/>
      <c r="G9" s="484"/>
      <c r="H9" s="8"/>
      <c r="I9" s="9"/>
      <c r="J9" s="365"/>
      <c r="K9" s="366"/>
    </row>
    <row r="10" spans="2:11">
      <c r="B10" s="3"/>
      <c r="C10" s="483"/>
      <c r="D10" s="483"/>
      <c r="E10" s="483"/>
      <c r="F10" s="483"/>
      <c r="G10" s="484"/>
      <c r="H10" s="8"/>
      <c r="I10" s="9"/>
      <c r="J10" s="365"/>
      <c r="K10" s="366"/>
    </row>
    <row r="11" spans="2:11">
      <c r="B11" s="3"/>
      <c r="D11" s="3"/>
      <c r="E11" s="3"/>
      <c r="F11" s="3"/>
      <c r="G11" s="4"/>
      <c r="H11" s="8"/>
      <c r="I11" s="9"/>
      <c r="J11" s="365"/>
      <c r="K11" s="366"/>
    </row>
    <row r="12" spans="2:11">
      <c r="B12" s="3"/>
      <c r="C12" s="3"/>
      <c r="D12" s="3"/>
      <c r="E12" s="3"/>
      <c r="F12" s="3"/>
      <c r="G12" s="3"/>
      <c r="H12" s="451"/>
      <c r="I12" s="9"/>
      <c r="J12" s="365"/>
      <c r="K12" s="366"/>
    </row>
    <row r="13" spans="2:11">
      <c r="B13" s="3"/>
      <c r="C13" s="3"/>
      <c r="D13" s="3"/>
      <c r="E13" s="3"/>
      <c r="F13" s="3"/>
      <c r="G13" s="3"/>
      <c r="H13" s="365"/>
      <c r="I13" s="366"/>
      <c r="J13" s="365"/>
      <c r="K13" s="366"/>
    </row>
    <row r="14" spans="2:11">
      <c r="B14" s="3"/>
      <c r="C14" s="3"/>
      <c r="D14" s="3"/>
      <c r="E14" s="3"/>
      <c r="F14" s="3"/>
      <c r="G14" s="3"/>
      <c r="H14" s="365"/>
      <c r="I14" s="366"/>
      <c r="J14" s="365"/>
      <c r="K14" s="366"/>
    </row>
    <row r="15" spans="2:11" ht="13.5" thickBot="1">
      <c r="B15" s="155"/>
      <c r="D15" s="155"/>
      <c r="E15" s="155"/>
      <c r="F15" s="155"/>
      <c r="G15" s="155"/>
      <c r="H15" s="365"/>
      <c r="I15" s="366"/>
      <c r="J15" s="367"/>
      <c r="K15" s="368"/>
    </row>
    <row r="16" spans="2:11" ht="13.5" thickBot="1">
      <c r="B16" s="155"/>
      <c r="D16" s="155"/>
      <c r="E16" s="155"/>
      <c r="F16" s="155"/>
      <c r="G16" s="155"/>
      <c r="H16" s="367"/>
      <c r="I16" s="368"/>
    </row>
    <row r="17" spans="2:9" ht="13.5" thickBot="1">
      <c r="B17" s="155"/>
      <c r="D17" s="155"/>
      <c r="E17" s="155"/>
      <c r="F17" s="155"/>
      <c r="G17" s="155"/>
      <c r="H17" s="452"/>
      <c r="I17" s="453"/>
    </row>
    <row r="18" spans="2:9" ht="13.5" thickBot="1">
      <c r="B18" s="476"/>
      <c r="C18" s="156" t="s">
        <v>102</v>
      </c>
      <c r="D18" s="157"/>
      <c r="E18" s="157"/>
      <c r="F18" s="157"/>
      <c r="G18" s="157"/>
      <c r="H18" s="449"/>
      <c r="I18" s="450"/>
    </row>
    <row r="19" spans="2:9">
      <c r="B19" s="476"/>
      <c r="C19" s="158" t="s">
        <v>103</v>
      </c>
      <c r="D19" s="159"/>
      <c r="E19" s="159"/>
      <c r="F19" s="159"/>
      <c r="G19" s="159"/>
      <c r="H19" s="159"/>
      <c r="I19" s="160"/>
    </row>
    <row r="20" spans="2:9">
      <c r="B20" s="476"/>
      <c r="C20" s="161" t="s">
        <v>104</v>
      </c>
      <c r="D20" s="162"/>
      <c r="E20" s="162"/>
      <c r="F20" s="162"/>
      <c r="G20" s="162"/>
      <c r="H20" s="162"/>
      <c r="I20" s="163"/>
    </row>
    <row r="21" spans="2:9" ht="13.5" thickBot="1">
      <c r="B21" s="476"/>
      <c r="C21" s="164" t="s">
        <v>105</v>
      </c>
      <c r="D21" s="165"/>
      <c r="E21" s="165"/>
      <c r="F21" s="165"/>
      <c r="G21" s="165"/>
      <c r="H21" s="165"/>
      <c r="I21" s="166"/>
    </row>
    <row r="22" spans="2:9">
      <c r="B22" s="477">
        <v>3</v>
      </c>
      <c r="C22" s="477"/>
      <c r="D22" s="477"/>
      <c r="E22" s="477"/>
    </row>
    <row r="23" spans="2:9">
      <c r="B23" s="477"/>
      <c r="C23" s="477"/>
      <c r="D23" s="477"/>
      <c r="E23" s="477"/>
    </row>
    <row r="24" spans="2:9">
      <c r="B24" s="477">
        <v>2</v>
      </c>
      <c r="C24" s="477" t="s">
        <v>268</v>
      </c>
      <c r="D24" s="477"/>
      <c r="E24" s="477"/>
    </row>
    <row r="25" spans="2:9">
      <c r="B25" s="477"/>
      <c r="C25" s="477" t="s">
        <v>269</v>
      </c>
      <c r="D25" s="477"/>
      <c r="E25" s="477"/>
    </row>
    <row r="26" spans="2:9">
      <c r="B26" s="477"/>
      <c r="C26" s="477" t="s">
        <v>291</v>
      </c>
      <c r="D26" s="477"/>
      <c r="E26" s="477"/>
    </row>
    <row r="27" spans="2:9">
      <c r="B27" s="477"/>
      <c r="C27" s="477"/>
      <c r="D27" s="477"/>
      <c r="E27" s="477"/>
    </row>
    <row r="28" spans="2:9">
      <c r="B28" s="477"/>
      <c r="C28" s="477"/>
      <c r="D28" s="477"/>
      <c r="E28" s="477"/>
    </row>
  </sheetData>
  <sheetProtection algorithmName="SHA-512" hashValue="yHhz9Z2eC6c22IfkfcM9gPsqsCqXtgCephqh3QoPspV34dMuNWGAlkg+4hyvfwSA/vzg8seTOPrpf2jeHFUl7w==" saltValue="7dynlNhGicrI8riiEjw3zA==" spinCount="100000" sheet="1" objects="1" scenarios="1" selectLockedCells="1"/>
  <mergeCells count="3">
    <mergeCell ref="H7:I7"/>
    <mergeCell ref="J7:K7"/>
    <mergeCell ref="C9:G10"/>
  </mergeCells>
  <phoneticPr fontId="0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Option Button 7">
              <controlPr locked="0" defaultSize="0" print="0" autoFill="0" autoLine="0" autoPict="0" altText="DIA_x000a_">
                <anchor>
                  <from>
                    <xdr:col>7</xdr:col>
                    <xdr:colOff>85725</xdr:colOff>
                    <xdr:row>7</xdr:row>
                    <xdr:rowOff>0</xdr:rowOff>
                  </from>
                  <to>
                    <xdr:col>8</xdr:col>
                    <xdr:colOff>466725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Option Button 8">
              <controlPr defaultSize="0" autoFill="0" autoLine="0" autoPict="0">
                <anchor moveWithCells="1">
                  <from>
                    <xdr:col>7</xdr:col>
                    <xdr:colOff>85725</xdr:colOff>
                    <xdr:row>8</xdr:row>
                    <xdr:rowOff>28575</xdr:rowOff>
                  </from>
                  <to>
                    <xdr:col>8</xdr:col>
                    <xdr:colOff>466725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Option Button 12">
              <controlPr defaultSize="0" autoFill="0" autoLine="0" autoPict="0">
                <anchor moveWithCells="1">
                  <from>
                    <xdr:col>7</xdr:col>
                    <xdr:colOff>95250</xdr:colOff>
                    <xdr:row>9</xdr:row>
                    <xdr:rowOff>66675</xdr:rowOff>
                  </from>
                  <to>
                    <xdr:col>8</xdr:col>
                    <xdr:colOff>533400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7" name="Option Button 13">
              <controlPr defaultSize="0" autoFill="0" autoLine="0" autoPict="0">
                <anchor moveWithCells="1">
                  <from>
                    <xdr:col>7</xdr:col>
                    <xdr:colOff>95250</xdr:colOff>
                    <xdr:row>10</xdr:row>
                    <xdr:rowOff>104775</xdr:rowOff>
                  </from>
                  <to>
                    <xdr:col>8</xdr:col>
                    <xdr:colOff>533400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8" name="Drop Down 14">
              <controlPr defaultSize="0" autoLine="0" autoPict="0">
                <anchor moveWithCells="1">
                  <from>
                    <xdr:col>9</xdr:col>
                    <xdr:colOff>38100</xdr:colOff>
                    <xdr:row>8</xdr:row>
                    <xdr:rowOff>76200</xdr:rowOff>
                  </from>
                  <to>
                    <xdr:col>10</xdr:col>
                    <xdr:colOff>828675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9" name="Option Button 15">
              <controlPr defaultSize="0" autoFill="0" autoLine="0" autoPict="0">
                <anchor moveWithCells="1">
                  <from>
                    <xdr:col>7</xdr:col>
                    <xdr:colOff>95250</xdr:colOff>
                    <xdr:row>11</xdr:row>
                    <xdr:rowOff>133350</xdr:rowOff>
                  </from>
                  <to>
                    <xdr:col>8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0" name="Option Button 16">
              <controlPr defaultSize="0" autoFill="0" autoLine="0" autoPict="0">
                <anchor moveWithCells="1">
                  <from>
                    <xdr:col>7</xdr:col>
                    <xdr:colOff>85725</xdr:colOff>
                    <xdr:row>13</xdr:row>
                    <xdr:rowOff>19050</xdr:rowOff>
                  </from>
                  <to>
                    <xdr:col>8</xdr:col>
                    <xdr:colOff>523875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1" name="Option Button 17">
              <controlPr defaultSize="0" autoFill="0" autoLine="0" autoPict="0">
                <anchor moveWithCells="1">
                  <from>
                    <xdr:col>7</xdr:col>
                    <xdr:colOff>104775</xdr:colOff>
                    <xdr:row>14</xdr:row>
                    <xdr:rowOff>66675</xdr:rowOff>
                  </from>
                  <to>
                    <xdr:col>8</xdr:col>
                    <xdr:colOff>542925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2" name="Button 18">
              <controlPr defaultSize="0" print="0" autoFill="0" autoPict="0" macro="[0]!btnDadosVA_Click">
                <anchor moveWithCells="1">
                  <from>
                    <xdr:col>2</xdr:col>
                    <xdr:colOff>28575</xdr:colOff>
                    <xdr:row>10</xdr:row>
                    <xdr:rowOff>85725</xdr:rowOff>
                  </from>
                  <to>
                    <xdr:col>3</xdr:col>
                    <xdr:colOff>447675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3" name="Button 19">
              <controlPr defaultSize="0" print="0" autoFill="0" autoPict="0" macro="[0]!btnPareto_Click">
                <anchor moveWithCells="1">
                  <from>
                    <xdr:col>3</xdr:col>
                    <xdr:colOff>571500</xdr:colOff>
                    <xdr:row>10</xdr:row>
                    <xdr:rowOff>76200</xdr:rowOff>
                  </from>
                  <to>
                    <xdr:col>5</xdr:col>
                    <xdr:colOff>533400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>
    <pageSetUpPr fitToPage="1"/>
  </sheetPr>
  <dimension ref="A1:M43"/>
  <sheetViews>
    <sheetView zoomScaleNormal="100" workbookViewId="0">
      <pane ySplit="1" topLeftCell="A2" activePane="bottomLeft" state="frozen"/>
      <selection pane="bottomLeft" activeCell="B2" sqref="B2:B5"/>
    </sheetView>
  </sheetViews>
  <sheetFormatPr defaultRowHeight="12.75"/>
  <cols>
    <col min="1" max="1" width="5.42578125" bestFit="1" customWidth="1"/>
    <col min="2" max="2" width="5.5703125" bestFit="1" customWidth="1"/>
    <col min="3" max="3" width="14" bestFit="1" customWidth="1"/>
    <col min="4" max="4" width="14.7109375" bestFit="1" customWidth="1"/>
    <col min="5" max="5" width="13.7109375" bestFit="1" customWidth="1"/>
    <col min="6" max="6" width="12.7109375" bestFit="1" customWidth="1"/>
    <col min="7" max="7" width="9.42578125" customWidth="1"/>
    <col min="8" max="10" width="9.42578125" bestFit="1" customWidth="1"/>
    <col min="11" max="11" width="11.5703125" bestFit="1" customWidth="1"/>
    <col min="12" max="12" width="12.28515625" bestFit="1" customWidth="1"/>
    <col min="13" max="13" width="12.140625" bestFit="1" customWidth="1"/>
  </cols>
  <sheetData>
    <row r="1" spans="1:13" ht="13.5" thickBot="1">
      <c r="A1" s="15" t="s">
        <v>40</v>
      </c>
      <c r="B1" s="16" t="s">
        <v>36</v>
      </c>
      <c r="C1" s="16" t="s">
        <v>41</v>
      </c>
      <c r="D1" s="17" t="s">
        <v>46</v>
      </c>
      <c r="E1" s="17" t="s">
        <v>47</v>
      </c>
      <c r="F1" s="17" t="s">
        <v>84</v>
      </c>
      <c r="G1" s="17" t="s">
        <v>58</v>
      </c>
      <c r="H1" s="17" t="s">
        <v>49</v>
      </c>
      <c r="I1" s="17" t="s">
        <v>48</v>
      </c>
      <c r="J1" s="17" t="s">
        <v>75</v>
      </c>
      <c r="K1" s="58">
        <v>1215</v>
      </c>
      <c r="L1" s="55" t="s">
        <v>74</v>
      </c>
      <c r="M1" s="54" t="s">
        <v>72</v>
      </c>
    </row>
    <row r="2" spans="1:13">
      <c r="A2" s="485">
        <v>1</v>
      </c>
      <c r="B2" s="489" t="s">
        <v>44</v>
      </c>
      <c r="C2" s="13" t="s">
        <v>2</v>
      </c>
      <c r="D2" s="92">
        <f t="array" ref="D2">SUM(IF('UM-3 - L1 - Dia'!$D$6:$AR$6='Falhas Por Modelo'!D$1,'UM-3 - L1 - Dia'!$D$7:$AR$7))</f>
        <v>0</v>
      </c>
      <c r="E2" s="92">
        <f t="array" ref="E2">SUM(IF('UM-3 - L1 - Dia'!$D$6:$AR$6='Falhas Por Modelo'!E$1,'UM-3 - L1 - Dia'!$D$7:$AR$7))</f>
        <v>0</v>
      </c>
      <c r="F2" s="92">
        <f t="array" ref="F2">SUM(IF('UM-3 - L1 - Dia'!$D$6:$AR$6='Falhas Por Modelo'!F$1,'UM-3 - L1 - Dia'!$D$7:$AR$7))</f>
        <v>0</v>
      </c>
      <c r="G2" s="92">
        <f t="array" ref="G2">SUM(IF('UM-3 - L1 - Dia'!$D$6:$AR$6='Falhas Por Modelo'!G$1,'UM-3 - L1 - Dia'!$D$7:$AR$7))</f>
        <v>0</v>
      </c>
      <c r="H2" s="92">
        <f t="array" ref="H2">SUM(IF('UM-3 - L1 - Dia'!$D$6:$AR$6='Falhas Por Modelo'!H$1,'UM-3 - L1 - Dia'!$D$7:$AR$7))</f>
        <v>0</v>
      </c>
      <c r="I2" s="92">
        <f t="array" ref="I2">SUM(IF('UM-3 - L1 - Dia'!$D$6:$AR$6='Falhas Por Modelo'!I$1,'UM-3 - L1 - Dia'!$D$7:$AR$7))</f>
        <v>0</v>
      </c>
      <c r="J2" s="92">
        <f t="array" ref="J2">SUM(IF('UM-3 - L1 - Dia'!$D$6:$AR$6='Falhas Por Modelo'!J$1,'UM-3 - L1 - Dia'!$D$7:$AR$7))</f>
        <v>0</v>
      </c>
      <c r="K2" s="93">
        <f t="array" ref="K2">SUM(IF('UM-3 - L1 - Dia'!$D$6:$AR$6='Falhas Por Modelo'!K$1,'UM-3 - L1 - Dia'!$D$7:$AR$7))</f>
        <v>0</v>
      </c>
      <c r="L2" s="94">
        <f>SUM(D2:K2)</f>
        <v>0</v>
      </c>
      <c r="M2" s="95">
        <f>L2-'UM-3 - L1 - Dia'!AS$7</f>
        <v>0</v>
      </c>
    </row>
    <row r="3" spans="1:13">
      <c r="A3" s="486"/>
      <c r="B3" s="490"/>
      <c r="C3" s="14" t="s">
        <v>3</v>
      </c>
      <c r="D3" s="96">
        <f t="array" ref="D3">SUM(IF('UM-3 - L1 - Dia'!$D$6:$AR$6='Falhas Por Modelo'!D$1,'UM-3 - L1 - Dia'!$D$23:$AR$23))</f>
        <v>0</v>
      </c>
      <c r="E3" s="96">
        <f t="array" ref="E3">SUM(IF('UM-3 - L1 - Dia'!$D$6:$AR$6='Falhas Por Modelo'!E$1,'UM-3 - L1 - Dia'!$D$23:$AR$23))</f>
        <v>0</v>
      </c>
      <c r="F3" s="96">
        <f t="array" ref="F3">SUM(IF('UM-3 - L1 - Dia'!$D$6:$AR$6='Falhas Por Modelo'!F$1,'UM-3 - L1 - Dia'!$D$23:$AR$23))</f>
        <v>0</v>
      </c>
      <c r="G3" s="96">
        <f t="array" ref="G3">SUM(IF('UM-3 - L1 - Dia'!$D$6:$AR$6='Falhas Por Modelo'!G$1,'UM-3 - L1 - Dia'!$D$23:$AR$23))</f>
        <v>0</v>
      </c>
      <c r="H3" s="96">
        <f t="array" ref="H3">SUM(IF('UM-3 - L1 - Dia'!$D$6:$AR$6='Falhas Por Modelo'!H$1,'UM-3 - L1 - Dia'!$D$23:$AR$23))</f>
        <v>0</v>
      </c>
      <c r="I3" s="96">
        <f t="array" ref="I3">SUM(IF('UM-3 - L1 - Dia'!$D$6:$AR$6='Falhas Por Modelo'!I$1,'UM-3 - L1 - Dia'!$D$23:$AR$23))</f>
        <v>0</v>
      </c>
      <c r="J3" s="96">
        <f t="array" ref="J3">SUM(IF('UM-3 - L1 - Dia'!$D$6:$AR$6='Falhas Por Modelo'!J$1,'UM-3 - L1 - Dia'!$D$23:$AR$23))</f>
        <v>0</v>
      </c>
      <c r="K3" s="97">
        <f t="array" ref="K3">SUM(IF('UM-3 - L1 - Dia'!$D$6:$AR$6='Falhas Por Modelo'!K$1,'UM-3 - L1 - Dia'!$D$23:$AR$23))</f>
        <v>0</v>
      </c>
      <c r="L3" s="98">
        <f t="shared" ref="L3:L25" si="0">SUM(D3:K3)</f>
        <v>0</v>
      </c>
      <c r="M3" s="99">
        <f>L3-'UM-3 - L1 - Dia'!AS$23</f>
        <v>0</v>
      </c>
    </row>
    <row r="4" spans="1:13">
      <c r="A4" s="486"/>
      <c r="B4" s="490"/>
      <c r="C4" s="14" t="s">
        <v>42</v>
      </c>
      <c r="D4" s="96">
        <f t="array" ref="D4">SUM(IF('UM-3 - L1 - Dia'!$D$6:$AR$6='Falhas Por Modelo'!D$1,'UM-3 - L1 - Dia'!$D$24:$AR$24))</f>
        <v>0</v>
      </c>
      <c r="E4" s="96">
        <f t="array" ref="E4">SUM(IF('UM-3 - L1 - Dia'!$D$6:$AR$6='Falhas Por Modelo'!E$1,'UM-3 - L1 - Dia'!$D$24:$AR$24))</f>
        <v>0</v>
      </c>
      <c r="F4" s="96">
        <f t="array" ref="F4">SUM(IF('UM-3 - L1 - Dia'!$D$6:$AR$6='Falhas Por Modelo'!F$1,'UM-3 - L1 - Dia'!$D$24:$AR$24))</f>
        <v>0</v>
      </c>
      <c r="G4" s="96">
        <f t="array" ref="G4">SUM(IF('UM-3 - L1 - Dia'!$D$6:$AR$6='Falhas Por Modelo'!G$1,'UM-3 - L1 - Dia'!$D$24:$AR$24))</f>
        <v>0</v>
      </c>
      <c r="H4" s="96">
        <f t="array" ref="H4">SUM(IF('UM-3 - L1 - Dia'!$D$6:$AR$6='Falhas Por Modelo'!H$1,'UM-3 - L1 - Dia'!$D$24:$AR$24))</f>
        <v>0</v>
      </c>
      <c r="I4" s="96">
        <f t="array" ref="I4">SUM(IF('UM-3 - L1 - Dia'!$D$6:$AR$6='Falhas Por Modelo'!I$1,'UM-3 - L1 - Dia'!$D$24:$AR$24))</f>
        <v>0</v>
      </c>
      <c r="J4" s="96">
        <f t="array" ref="J4">SUM(IF('UM-3 - L1 - Dia'!$D$6:$AR$6='Falhas Por Modelo'!J$1,'UM-3 - L1 - Dia'!$D$24:$AR$24))</f>
        <v>0</v>
      </c>
      <c r="K4" s="97">
        <f t="array" ref="K4">SUM(IF('UM-3 - L1 - Dia'!$D$6:$AR$6='Falhas Por Modelo'!K$1,'UM-3 - L1 - Dia'!$D$24:$AR$24))</f>
        <v>0</v>
      </c>
      <c r="L4" s="98">
        <f t="shared" si="0"/>
        <v>0</v>
      </c>
      <c r="M4" s="99">
        <f>L4-'UM-3 - L1 - Dia'!AS$24</f>
        <v>0</v>
      </c>
    </row>
    <row r="5" spans="1:13" ht="13.5" thickBot="1">
      <c r="A5" s="486"/>
      <c r="B5" s="491"/>
      <c r="C5" s="19" t="s">
        <v>43</v>
      </c>
      <c r="D5" s="100">
        <f>D2-D4</f>
        <v>0</v>
      </c>
      <c r="E5" s="100">
        <f t="shared" ref="E5:K5" si="1">E2-E4</f>
        <v>0</v>
      </c>
      <c r="F5" s="100">
        <f t="shared" si="1"/>
        <v>0</v>
      </c>
      <c r="G5" s="100">
        <f t="shared" si="1"/>
        <v>0</v>
      </c>
      <c r="H5" s="100">
        <f t="shared" si="1"/>
        <v>0</v>
      </c>
      <c r="I5" s="100">
        <f t="shared" si="1"/>
        <v>0</v>
      </c>
      <c r="J5" s="100">
        <f t="shared" si="1"/>
        <v>0</v>
      </c>
      <c r="K5" s="101">
        <f t="shared" si="1"/>
        <v>0</v>
      </c>
      <c r="L5" s="102">
        <f t="shared" si="0"/>
        <v>0</v>
      </c>
      <c r="M5" s="103"/>
    </row>
    <row r="6" spans="1:13">
      <c r="A6" s="486"/>
      <c r="B6" s="492" t="s">
        <v>45</v>
      </c>
      <c r="C6" s="20" t="s">
        <v>2</v>
      </c>
      <c r="D6" s="104">
        <f t="array" ref="D6">SUM(IF('UM-3 - L1 - Noite'!$D$6:$AS$6='Falhas Por Modelo'!D$1,'UM-3 - L1 - Noite'!$D$7:$AR$7))</f>
        <v>0</v>
      </c>
      <c r="E6" s="104">
        <f t="array" ref="E6">SUM(IF('UM-3 - L1 - Noite'!$D$6:$AS$6='Falhas Por Modelo'!E$1,'UM-3 - L1 - Dia'!$D$7:$AR$7))</f>
        <v>0</v>
      </c>
      <c r="F6" s="104">
        <f t="array" ref="F6">SUM(IF('UM-3 - L1 - Noite'!$D$6:$AS$6='Falhas Por Modelo'!F$1,'UM-3 - L1 - Dia'!$D$7:$AR$7))</f>
        <v>0</v>
      </c>
      <c r="G6" s="104">
        <f t="array" ref="G6">SUM(IF('UM-3 - L1 - Noite'!$D$6:$AS$6='Falhas Por Modelo'!G$1,'UM-3 - L1 - Dia'!$D$7:$AR$7))</f>
        <v>0</v>
      </c>
      <c r="H6" s="104">
        <f t="array" ref="H6">SUM(IF('UM-3 - L1 - Noite'!$D$6:$AS$6='Falhas Por Modelo'!H$1,'UM-3 - L1 - Dia'!$D$7:$AR$7))</f>
        <v>0</v>
      </c>
      <c r="I6" s="104">
        <f t="array" ref="I6">SUM(IF('UM-3 - L1 - Noite'!$D$6:$AS$6='Falhas Por Modelo'!I$1,'UM-3 - L1 - Dia'!$D$7:$AR$7))</f>
        <v>0</v>
      </c>
      <c r="J6" s="104">
        <f t="array" ref="J6">SUM(IF('UM-3 - L1 - Noite'!$D$6:$AS$6='Falhas Por Modelo'!J$1,'UM-3 - L1 - Dia'!$D$7:$AR$7))</f>
        <v>0</v>
      </c>
      <c r="K6" s="104">
        <f t="array" ref="K6">SUM(IF('UM-3 - L1 - Noite'!$D$6:$AS$6='Falhas Por Modelo'!K$1,'UM-3 - L1 - Noite'!$D$7:$AR$7))</f>
        <v>0</v>
      </c>
      <c r="L6" s="105">
        <f>SUM(D6:K6)</f>
        <v>0</v>
      </c>
      <c r="M6" s="95">
        <f>L6-'UM-3 - L1 - Noite'!AS$7</f>
        <v>0</v>
      </c>
    </row>
    <row r="7" spans="1:13">
      <c r="A7" s="486"/>
      <c r="B7" s="493"/>
      <c r="C7" s="21" t="s">
        <v>3</v>
      </c>
      <c r="D7" s="106">
        <f t="array" ref="D7">SUM(IF('UM-3 - L1 - Noite'!$D$6:$AS$6='Falhas Por Modelo'!D$1,'UM-3 - L1 - Noite'!$D$23:$AR$23))</f>
        <v>0</v>
      </c>
      <c r="E7" s="106">
        <f>SUM(IF('UM-3 - L1 - Noite'!$D$6:$AS$6='Falhas Por Modelo'!E$1,'UM-3 - L1 - Dia'!$D$23:$AR$23))</f>
        <v>0</v>
      </c>
      <c r="F7" s="106">
        <f>SUM(IF('UM-3 - L1 - Noite'!$D$6:$AS$6='Falhas Por Modelo'!F$1,'UM-3 - L1 - Dia'!$D$23:$AR$23))</f>
        <v>0</v>
      </c>
      <c r="G7" s="106">
        <f>SUM(IF('UM-3 - L1 - Noite'!$D$6:$AS$6='Falhas Por Modelo'!G$1,'UM-3 - L1 - Dia'!$D$23:$AR$23))</f>
        <v>0</v>
      </c>
      <c r="H7" s="106">
        <f>SUM(IF('UM-3 - L1 - Noite'!$D$6:$AS$6='Falhas Por Modelo'!H$1,'UM-3 - L1 - Dia'!$D$23:$AR$23))</f>
        <v>0</v>
      </c>
      <c r="I7" s="106">
        <f>SUM(IF('UM-3 - L1 - Noite'!$D$6:$AS$6='Falhas Por Modelo'!I$1,'UM-3 - L1 - Dia'!$D$23:$AR$23))</f>
        <v>0</v>
      </c>
      <c r="J7" s="106">
        <f>SUM(IF('UM-3 - L1 - Noite'!$D$6:$AS$6='Falhas Por Modelo'!J$1,'UM-3 - L1 - Dia'!$D$23:$AR$23))</f>
        <v>0</v>
      </c>
      <c r="K7" s="106">
        <f t="array" ref="K7">SUM(IF('UM-3 - L1 - Noite'!$D$6:$AS$6='Falhas Por Modelo'!K$1,'UM-3 - L1 - Noite'!$D$23:$AR$23))</f>
        <v>0</v>
      </c>
      <c r="L7" s="107">
        <f t="shared" ref="L7:L9" si="2">SUM(D7:K7)</f>
        <v>0</v>
      </c>
      <c r="M7" s="99">
        <f>L7-'UM-3 - L1 - Noite'!AS$23</f>
        <v>0</v>
      </c>
    </row>
    <row r="8" spans="1:13">
      <c r="A8" s="486"/>
      <c r="B8" s="493"/>
      <c r="C8" s="21" t="s">
        <v>42</v>
      </c>
      <c r="D8" s="106">
        <f t="array" ref="D8">SUM(IF('UM-3 - L1 - Noite'!$D$6:$AS$6='Falhas Por Modelo'!D$1,'UM-3 - L1 - Noite'!$D$24:$AR$24))</f>
        <v>0</v>
      </c>
      <c r="E8" s="106">
        <f>SUM(IF('UM-3 - L1 - Noite'!$D$6:$AS$6='Falhas Por Modelo'!E$1,'UM-3 - L1 - Dia'!$D$24:$AR$24))</f>
        <v>0</v>
      </c>
      <c r="F8" s="106">
        <f>SUM(IF('UM-3 - L1 - Noite'!$D$6:$AS$6='Falhas Por Modelo'!F$1,'UM-3 - L1 - Dia'!$D$24:$AR$24))</f>
        <v>0</v>
      </c>
      <c r="G8" s="106">
        <f>SUM(IF('UM-3 - L1 - Noite'!$D$6:$AS$6='Falhas Por Modelo'!G$1,'UM-3 - L1 - Dia'!$D$24:$AR$24))</f>
        <v>0</v>
      </c>
      <c r="H8" s="106">
        <f>SUM(IF('UM-3 - L1 - Noite'!$D$6:$AS$6='Falhas Por Modelo'!H$1,'UM-3 - L1 - Dia'!$D$24:$AR$24))</f>
        <v>0</v>
      </c>
      <c r="I8" s="106">
        <f>SUM(IF('UM-3 - L1 - Noite'!$D$6:$AS$6='Falhas Por Modelo'!I$1,'UM-3 - L1 - Dia'!$D$24:$AR$24))</f>
        <v>0</v>
      </c>
      <c r="J8" s="106">
        <f>SUM(IF('UM-3 - L1 - Noite'!$D$6:$AS$6='Falhas Por Modelo'!J$1,'UM-3 - L1 - Dia'!$D$24:$AR$24))</f>
        <v>0</v>
      </c>
      <c r="K8" s="106">
        <f t="array" ref="K8">SUM(IF('UM-3 - L1 - Noite'!$D$6:$AS$6='Falhas Por Modelo'!K$1,'UM-3 - L1 - Noite'!$D$24:$AR$24))</f>
        <v>0</v>
      </c>
      <c r="L8" s="107">
        <f t="shared" si="2"/>
        <v>0</v>
      </c>
      <c r="M8" s="99">
        <f>L8-'UM-3 - L1 - Noite'!AS$24</f>
        <v>0</v>
      </c>
    </row>
    <row r="9" spans="1:13" ht="13.5" thickBot="1">
      <c r="A9" s="486"/>
      <c r="B9" s="494"/>
      <c r="C9" s="22" t="s">
        <v>43</v>
      </c>
      <c r="D9" s="108">
        <f>D6-D8</f>
        <v>0</v>
      </c>
      <c r="E9" s="108">
        <f t="shared" ref="E9:K9" si="3">E6-E8</f>
        <v>0</v>
      </c>
      <c r="F9" s="108">
        <f t="shared" si="3"/>
        <v>0</v>
      </c>
      <c r="G9" s="108">
        <f t="shared" si="3"/>
        <v>0</v>
      </c>
      <c r="H9" s="108">
        <f t="shared" si="3"/>
        <v>0</v>
      </c>
      <c r="I9" s="108">
        <f t="shared" si="3"/>
        <v>0</v>
      </c>
      <c r="J9" s="108">
        <f t="shared" si="3"/>
        <v>0</v>
      </c>
      <c r="K9" s="109">
        <f t="shared" si="3"/>
        <v>0</v>
      </c>
      <c r="L9" s="80">
        <f t="shared" si="2"/>
        <v>0</v>
      </c>
      <c r="M9" s="110"/>
    </row>
    <row r="10" spans="1:13">
      <c r="A10" s="486"/>
      <c r="B10" s="36" t="s">
        <v>53</v>
      </c>
      <c r="C10" s="37"/>
      <c r="D10" s="111">
        <f>D2+D6</f>
        <v>0</v>
      </c>
      <c r="E10" s="111">
        <f t="shared" ref="E10:K10" si="4">E2+E6</f>
        <v>0</v>
      </c>
      <c r="F10" s="111">
        <f t="shared" si="4"/>
        <v>0</v>
      </c>
      <c r="G10" s="111">
        <f t="shared" si="4"/>
        <v>0</v>
      </c>
      <c r="H10" s="111">
        <f t="shared" si="4"/>
        <v>0</v>
      </c>
      <c r="I10" s="111">
        <f t="shared" si="4"/>
        <v>0</v>
      </c>
      <c r="J10" s="111">
        <f t="shared" si="4"/>
        <v>0</v>
      </c>
      <c r="K10" s="112">
        <f t="shared" si="4"/>
        <v>0</v>
      </c>
      <c r="L10" s="113">
        <f t="shared" si="0"/>
        <v>0</v>
      </c>
      <c r="M10" s="114"/>
    </row>
    <row r="11" spans="1:13">
      <c r="A11" s="486"/>
      <c r="B11" s="38" t="s">
        <v>54</v>
      </c>
      <c r="C11" s="39"/>
      <c r="D11" s="115">
        <f t="shared" ref="D11:D12" si="5">D3+D7</f>
        <v>0</v>
      </c>
      <c r="E11" s="115">
        <f t="shared" ref="E11:K11" si="6">E3+E7</f>
        <v>0</v>
      </c>
      <c r="F11" s="115">
        <f t="shared" si="6"/>
        <v>0</v>
      </c>
      <c r="G11" s="115">
        <f t="shared" si="6"/>
        <v>0</v>
      </c>
      <c r="H11" s="115">
        <f t="shared" si="6"/>
        <v>0</v>
      </c>
      <c r="I11" s="115">
        <f t="shared" si="6"/>
        <v>0</v>
      </c>
      <c r="J11" s="115">
        <f t="shared" si="6"/>
        <v>0</v>
      </c>
      <c r="K11" s="116">
        <f t="shared" si="6"/>
        <v>0</v>
      </c>
      <c r="L11" s="117">
        <f t="shared" si="0"/>
        <v>0</v>
      </c>
      <c r="M11" s="118"/>
    </row>
    <row r="12" spans="1:13">
      <c r="A12" s="486"/>
      <c r="B12" s="38" t="s">
        <v>55</v>
      </c>
      <c r="C12" s="39"/>
      <c r="D12" s="115">
        <f t="shared" si="5"/>
        <v>0</v>
      </c>
      <c r="E12" s="115">
        <f t="shared" ref="E12:K12" si="7">E4+E8</f>
        <v>0</v>
      </c>
      <c r="F12" s="115">
        <f t="shared" si="7"/>
        <v>0</v>
      </c>
      <c r="G12" s="115">
        <f t="shared" si="7"/>
        <v>0</v>
      </c>
      <c r="H12" s="115">
        <f t="shared" si="7"/>
        <v>0</v>
      </c>
      <c r="I12" s="115">
        <f t="shared" si="7"/>
        <v>0</v>
      </c>
      <c r="J12" s="115">
        <f t="shared" si="7"/>
        <v>0</v>
      </c>
      <c r="K12" s="116">
        <f t="shared" si="7"/>
        <v>0</v>
      </c>
      <c r="L12" s="117">
        <f t="shared" si="0"/>
        <v>0</v>
      </c>
      <c r="M12" s="118"/>
    </row>
    <row r="13" spans="1:13" ht="13.5" thickBot="1">
      <c r="A13" s="487"/>
      <c r="B13" s="40" t="s">
        <v>56</v>
      </c>
      <c r="C13" s="41"/>
      <c r="D13" s="119">
        <f>D10-D12</f>
        <v>0</v>
      </c>
      <c r="E13" s="119">
        <f t="shared" ref="E13:K13" si="8">E10-E12</f>
        <v>0</v>
      </c>
      <c r="F13" s="119">
        <f t="shared" si="8"/>
        <v>0</v>
      </c>
      <c r="G13" s="119">
        <f t="shared" si="8"/>
        <v>0</v>
      </c>
      <c r="H13" s="119">
        <f t="shared" si="8"/>
        <v>0</v>
      </c>
      <c r="I13" s="119">
        <f t="shared" si="8"/>
        <v>0</v>
      </c>
      <c r="J13" s="119">
        <f t="shared" si="8"/>
        <v>0</v>
      </c>
      <c r="K13" s="120">
        <f t="shared" si="8"/>
        <v>0</v>
      </c>
      <c r="L13" s="121">
        <f t="shared" si="0"/>
        <v>0</v>
      </c>
      <c r="M13" s="110"/>
    </row>
    <row r="14" spans="1:13">
      <c r="A14" s="488">
        <v>2</v>
      </c>
      <c r="B14" s="495" t="s">
        <v>44</v>
      </c>
      <c r="C14" s="12" t="s">
        <v>2</v>
      </c>
      <c r="D14" s="122">
        <f t="array" ref="D14">SUM(IF('UM-3 - L2 - Dia'!$D$6:$AS$6='Falhas Por Modelo'!D$1,'UM-3 - L2 - Dia'!$D$7:$AS$7))</f>
        <v>0</v>
      </c>
      <c r="E14" s="122">
        <f t="array" ref="E14">SUM(IF('UM-3 - L2 - Dia'!$D$6:$AS$6='Falhas Por Modelo'!E$1,'UM-3 - L2 - Dia'!$D$7:$AS$7))</f>
        <v>0</v>
      </c>
      <c r="F14" s="122">
        <f t="array" ref="F14">SUM(IF('UM-3 - L2 - Dia'!$D$6:$AS$6='Falhas Por Modelo'!F$1,'UM-3 - L2 - Dia'!$D$7:$AS$7))</f>
        <v>0</v>
      </c>
      <c r="G14" s="122">
        <f t="array" ref="G14">SUM(IF('UM-3 - L2 - Dia'!$D$6:$AS$6='Falhas Por Modelo'!G$1,'UM-3 - L2 - Dia'!$D$7:$AS$7))</f>
        <v>0</v>
      </c>
      <c r="H14" s="122">
        <f t="array" ref="H14">SUM(IF('UM-3 - L2 - Dia'!$D$6:$AS$6='Falhas Por Modelo'!H$1,'UM-3 - L2 - Dia'!$D$7:$AS$7))</f>
        <v>0</v>
      </c>
      <c r="I14" s="122">
        <f t="array" ref="I14">SUM(IF('UM-3 - L2 - Dia'!$D$6:$AS$6='Falhas Por Modelo'!I$1,'UM-3 - L2 - Dia'!$D$7:$AS$7))</f>
        <v>0</v>
      </c>
      <c r="J14" s="122">
        <f t="array" ref="J14">SUM(IF('UM-3 - L2 - Dia'!$D$6:$AS$6='Falhas Por Modelo'!J$1,'UM-3 - L2 - Dia'!$D$7:$AS$7))</f>
        <v>0</v>
      </c>
      <c r="K14" s="122">
        <f t="array" ref="K14">SUM(IF('UM-3 - L2 - Dia'!$D$6:$AS$6='Falhas Por Modelo'!K$1,'UM-3 - L2 - Dia'!$D$7:$AS$7))</f>
        <v>0</v>
      </c>
      <c r="L14" s="123">
        <f>SUM(D14:K14)</f>
        <v>0</v>
      </c>
      <c r="M14" s="95">
        <f>L14-'UM-3 - L2 - Dia'!AS7</f>
        <v>0</v>
      </c>
    </row>
    <row r="15" spans="1:13">
      <c r="A15" s="488"/>
      <c r="B15" s="496"/>
      <c r="C15" s="10" t="s">
        <v>3</v>
      </c>
      <c r="D15" s="124">
        <f t="array" ref="D15">SUM(IF('UM-3 - L2 - Dia'!$D$6:$AS$6='Falhas Por Modelo'!D$1,'UM-3 - L2 - Dia'!$D$23:$AS$23))</f>
        <v>0</v>
      </c>
      <c r="E15" s="124">
        <f t="array" ref="E15">SUM(IF('UM-3 - L2 - Dia'!$D$6:$AS$6='Falhas Por Modelo'!E$1,'UM-3 - L2 - Dia'!$D$23:$AS$23))</f>
        <v>0</v>
      </c>
      <c r="F15" s="124">
        <f t="array" ref="F15">SUM(IF('UM-3 - L2 - Dia'!$D$6:$AS$6='Falhas Por Modelo'!F$1,'UM-3 - L2 - Dia'!$D$23:$AS$23))</f>
        <v>0</v>
      </c>
      <c r="G15" s="124">
        <f t="array" ref="G15">SUM(IF('UM-3 - L2 - Dia'!$D$6:$AS$6='Falhas Por Modelo'!G$1,'UM-3 - L2 - Dia'!$D$23:$AS$23))</f>
        <v>0</v>
      </c>
      <c r="H15" s="124">
        <f t="array" ref="H15">SUM(IF('UM-3 - L2 - Dia'!$D$6:$AS$6='Falhas Por Modelo'!H$1,'UM-3 - L2 - Dia'!$D$23:$AS$23))</f>
        <v>0</v>
      </c>
      <c r="I15" s="124">
        <f t="array" ref="I15">SUM(IF('UM-3 - L2 - Dia'!$D$6:$AS$6='Falhas Por Modelo'!I$1,'UM-3 - L2 - Dia'!$D$23:$AS$23))</f>
        <v>0</v>
      </c>
      <c r="J15" s="124">
        <f t="array" ref="J15">SUM(IF('UM-3 - L2 - Dia'!$D$6:$AS$6='Falhas Por Modelo'!J$1,'UM-3 - L2 - Dia'!$D$23:$AS$23))</f>
        <v>0</v>
      </c>
      <c r="K15" s="124">
        <f t="array" ref="K15">SUM(IF('UM-3 - L2 - Dia'!$D$6:$AS$6='Falhas Por Modelo'!K$1,'UM-3 - L2 - Dia'!$D$23:$AS$23))</f>
        <v>0</v>
      </c>
      <c r="L15" s="125">
        <f t="shared" ref="L15:L17" si="9">SUM(D15:K15)</f>
        <v>0</v>
      </c>
      <c r="M15" s="99">
        <f>L15-'UM-3 - L2 - Dia'!AS23</f>
        <v>0</v>
      </c>
    </row>
    <row r="16" spans="1:13">
      <c r="A16" s="488"/>
      <c r="B16" s="496"/>
      <c r="C16" s="10" t="s">
        <v>42</v>
      </c>
      <c r="D16" s="124">
        <f t="array" ref="D16">SUM(IF('UM-3 - L2 - Dia'!$D$6:$AS$6='Falhas Por Modelo'!D$1,'UM-3 - L2 - Dia'!$D$24:$AS$24))</f>
        <v>0</v>
      </c>
      <c r="E16" s="124">
        <f t="array" ref="E16">SUM(IF('UM-3 - L2 - Dia'!$D$6:$AS$6='Falhas Por Modelo'!E$1,'UM-3 - L2 - Dia'!$D$24:$AS$24))</f>
        <v>0</v>
      </c>
      <c r="F16" s="124">
        <f t="array" ref="F16">SUM(IF('UM-3 - L2 - Dia'!$D$6:$AS$6='Falhas Por Modelo'!F$1,'UM-3 - L2 - Dia'!$D$24:$AS$24))</f>
        <v>0</v>
      </c>
      <c r="G16" s="124">
        <f t="array" ref="G16">SUM(IF('UM-3 - L2 - Dia'!$D$6:$AS$6='Falhas Por Modelo'!G$1,'UM-3 - L2 - Dia'!$D$24:$AS$24))</f>
        <v>0</v>
      </c>
      <c r="H16" s="124">
        <f t="array" ref="H16">SUM(IF('UM-3 - L2 - Dia'!$D$6:$AS$6='Falhas Por Modelo'!H$1,'UM-3 - L2 - Dia'!$D$24:$AS$24))</f>
        <v>0</v>
      </c>
      <c r="I16" s="124">
        <f t="array" ref="I16">SUM(IF('UM-3 - L2 - Dia'!$D$6:$AS$6='Falhas Por Modelo'!I$1,'UM-3 - L2 - Dia'!$D$24:$AS$24))</f>
        <v>0</v>
      </c>
      <c r="J16" s="124">
        <f t="array" ref="J16">SUM(IF('UM-3 - L2 - Dia'!$D$6:$AS$6='Falhas Por Modelo'!J$1,'UM-3 - L2 - Dia'!$D$24:$AS$24))</f>
        <v>0</v>
      </c>
      <c r="K16" s="124">
        <f t="array" ref="K16">SUM(IF('UM-3 - L2 - Dia'!$D$6:$AS$6='Falhas Por Modelo'!K$1,'UM-3 - L2 - Dia'!$D$24:$AS$24))</f>
        <v>0</v>
      </c>
      <c r="L16" s="125">
        <f t="shared" si="9"/>
        <v>0</v>
      </c>
      <c r="M16" s="99">
        <f>L16-'UM-3 - L2 - Dia'!AS24</f>
        <v>0</v>
      </c>
    </row>
    <row r="17" spans="1:13" ht="13.5" thickBot="1">
      <c r="A17" s="488"/>
      <c r="B17" s="497"/>
      <c r="C17" s="11" t="s">
        <v>43</v>
      </c>
      <c r="D17" s="126">
        <f>D14-D16</f>
        <v>0</v>
      </c>
      <c r="E17" s="126">
        <f t="shared" ref="E17:K17" si="10">E14-E16</f>
        <v>0</v>
      </c>
      <c r="F17" s="126">
        <f t="shared" si="10"/>
        <v>0</v>
      </c>
      <c r="G17" s="126">
        <f t="shared" si="10"/>
        <v>0</v>
      </c>
      <c r="H17" s="126">
        <f t="shared" si="10"/>
        <v>0</v>
      </c>
      <c r="I17" s="126">
        <f t="shared" si="10"/>
        <v>0</v>
      </c>
      <c r="J17" s="126">
        <f t="shared" si="10"/>
        <v>0</v>
      </c>
      <c r="K17" s="127">
        <f t="shared" si="10"/>
        <v>0</v>
      </c>
      <c r="L17" s="128">
        <f t="shared" si="9"/>
        <v>0</v>
      </c>
      <c r="M17" s="110"/>
    </row>
    <row r="18" spans="1:13">
      <c r="A18" s="488"/>
      <c r="B18" s="498" t="s">
        <v>45</v>
      </c>
      <c r="C18" s="23" t="s">
        <v>2</v>
      </c>
      <c r="D18" s="129">
        <f t="array" ref="D18">SUM(IF('UM-3 - L2 - Noite'!$E$6:$AR$6='Falhas Por Modelo'!D$1,'UM-3 - L2 - Noite'!$E$7:$AR$7))</f>
        <v>0</v>
      </c>
      <c r="E18" s="129">
        <f t="array" ref="E18">SUM(IF('UM-3 - L2 - Noite'!$E$6:$AR$6='Falhas Por Modelo'!E$1,'UM-3 - L2 - Noite'!$E$7:$AR$7))</f>
        <v>0</v>
      </c>
      <c r="F18" s="129">
        <f t="array" ref="F18">SUM(IF('UM-3 - L2 - Noite'!$E$6:$AR$6='Falhas Por Modelo'!F$1,'UM-3 - L2 - Noite'!$E$7:$AR$7))</f>
        <v>0</v>
      </c>
      <c r="G18" s="129">
        <f t="array" ref="G18">SUM(IF('UM-3 - L2 - Noite'!$E$6:$AR$6='Falhas Por Modelo'!G$1,'UM-3 - L2 - Noite'!$E$7:$AR$7))</f>
        <v>0</v>
      </c>
      <c r="H18" s="129">
        <f t="array" ref="H18">SUM(IF('UM-3 - L2 - Noite'!$E$6:$AR$6='Falhas Por Modelo'!H$1,'UM-3 - L2 - Noite'!$E$7:$AR$7))</f>
        <v>0</v>
      </c>
      <c r="I18" s="129">
        <f t="array" ref="I18">SUM(IF('UM-3 - L2 - Noite'!$E$6:$AR$6='Falhas Por Modelo'!I$1,'UM-3 - L2 - Noite'!$E$7:$AR$7))</f>
        <v>0</v>
      </c>
      <c r="J18" s="129">
        <f t="array" ref="J18">SUM(IF('UM-3 - L2 - Noite'!$E$6:$AR$6='Falhas Por Modelo'!J$1,'UM-3 - L2 - Noite'!$E$7:$AR$7))</f>
        <v>0</v>
      </c>
      <c r="K18" s="129">
        <f t="array" ref="K18">SUM(IF('UM-3 - L2 - Noite'!$E$6:$AR$6='Falhas Por Modelo'!K$1,'UM-3 - L2 - Noite'!$E$7:$AR$7))</f>
        <v>0</v>
      </c>
      <c r="L18" s="130">
        <f>SUM(D18:K18)</f>
        <v>0</v>
      </c>
      <c r="M18" s="95">
        <f>L18-'UM-3 - L2 - Noite'!AS7</f>
        <v>0</v>
      </c>
    </row>
    <row r="19" spans="1:13">
      <c r="A19" s="488"/>
      <c r="B19" s="499"/>
      <c r="C19" s="24" t="s">
        <v>3</v>
      </c>
      <c r="D19" s="131">
        <f t="array" ref="D19">SUM(IF('UM-3 - L2 - Noite'!$E$6:$AR$6='Falhas Por Modelo'!D$1,'UM-3 - L2 - Noite'!$E$23:$AR$23))</f>
        <v>0</v>
      </c>
      <c r="E19" s="131">
        <f t="array" ref="E19">SUM(IF('UM-3 - L2 - Noite'!$E$6:$AR$6='Falhas Por Modelo'!E$1,'UM-3 - L2 - Noite'!$E$23:$AR$23))</f>
        <v>0</v>
      </c>
      <c r="F19" s="131">
        <f t="array" ref="F19">SUM(IF('UM-3 - L2 - Noite'!$E$6:$AR$6='Falhas Por Modelo'!F$1,'UM-3 - L2 - Noite'!$E$23:$AR$23))</f>
        <v>0</v>
      </c>
      <c r="G19" s="131">
        <f t="array" ref="G19">SUM(IF('UM-3 - L2 - Noite'!$E$6:$AR$6='Falhas Por Modelo'!G$1,'UM-3 - L2 - Noite'!$E$23:$AR$23))</f>
        <v>0</v>
      </c>
      <c r="H19" s="131">
        <f t="array" ref="H19">SUM(IF('UM-3 - L2 - Noite'!$E$6:$AR$6='Falhas Por Modelo'!H$1,'UM-3 - L2 - Noite'!$E$23:$AR$23))</f>
        <v>0</v>
      </c>
      <c r="I19" s="131">
        <f t="array" ref="I19">SUM(IF('UM-3 - L2 - Noite'!$E$6:$AR$6='Falhas Por Modelo'!I$1,'UM-3 - L2 - Noite'!$E$23:$AR$23))</f>
        <v>0</v>
      </c>
      <c r="J19" s="131">
        <f t="array" ref="J19">SUM(IF('UM-3 - L2 - Noite'!$E$6:$AR$6='Falhas Por Modelo'!J$1,'UM-3 - L2 - Noite'!$E$23:$AR$23))</f>
        <v>0</v>
      </c>
      <c r="K19" s="131">
        <f t="array" ref="K19">SUM(IF('UM-3 - L2 - Noite'!$E$6:$AR$6='Falhas Por Modelo'!K$1,'UM-3 - L2 - Noite'!$E$23:$AR$23))</f>
        <v>0</v>
      </c>
      <c r="L19" s="132">
        <f t="shared" ref="L19:L21" si="11">SUM(D19:K19)</f>
        <v>0</v>
      </c>
      <c r="M19" s="99">
        <f>L19-'UM-3 - L2 - Noite'!AS23</f>
        <v>0</v>
      </c>
    </row>
    <row r="20" spans="1:13">
      <c r="A20" s="488"/>
      <c r="B20" s="499"/>
      <c r="C20" s="24" t="s">
        <v>42</v>
      </c>
      <c r="D20" s="131">
        <f t="array" ref="D20">SUM(IF('UM-3 - L2 - Noite'!$E$6:$AR$6='Falhas Por Modelo'!D$1,'UM-3 - L2 - Noite'!$E$24:$AR$24))</f>
        <v>0</v>
      </c>
      <c r="E20" s="131">
        <f t="array" ref="E20">SUM(IF('UM-3 - L2 - Noite'!$E$6:$AR$6='Falhas Por Modelo'!E$1,'UM-3 - L2 - Noite'!$E$24:$AR$24))</f>
        <v>0</v>
      </c>
      <c r="F20" s="131">
        <f t="array" ref="F20">SUM(IF('UM-3 - L2 - Noite'!$E$6:$AR$6='Falhas Por Modelo'!F$1,'UM-3 - L2 - Noite'!$E$24:$AR$24))</f>
        <v>0</v>
      </c>
      <c r="G20" s="131">
        <f t="array" ref="G20">SUM(IF('UM-3 - L2 - Noite'!$E$6:$AR$6='Falhas Por Modelo'!G$1,'UM-3 - L2 - Noite'!$E$24:$AR$24))</f>
        <v>0</v>
      </c>
      <c r="H20" s="131">
        <f t="array" ref="H20">SUM(IF('UM-3 - L2 - Noite'!$E$6:$AR$6='Falhas Por Modelo'!H$1,'UM-3 - L2 - Noite'!$E$24:$AR$24))</f>
        <v>0</v>
      </c>
      <c r="I20" s="131">
        <f t="array" ref="I20">SUM(IF('UM-3 - L2 - Noite'!$E$6:$AR$6='Falhas Por Modelo'!I$1,'UM-3 - L2 - Noite'!$E$24:$AR$24))</f>
        <v>0</v>
      </c>
      <c r="J20" s="131">
        <f t="array" ref="J20">SUM(IF('UM-3 - L2 - Noite'!$E$6:$AR$6='Falhas Por Modelo'!J$1,'UM-3 - L2 - Noite'!$E$24:$AR$24))</f>
        <v>0</v>
      </c>
      <c r="K20" s="131">
        <f t="array" ref="K20">SUM(IF('UM-3 - L2 - Noite'!$E$6:$AR$6='Falhas Por Modelo'!K$1,'UM-3 - L2 - Noite'!$E$24:$AR$24))</f>
        <v>0</v>
      </c>
      <c r="L20" s="132">
        <f t="shared" si="11"/>
        <v>0</v>
      </c>
      <c r="M20" s="99">
        <f>L20-'UM-3 - L2 - Noite'!AS$24</f>
        <v>0</v>
      </c>
    </row>
    <row r="21" spans="1:13" ht="13.5" thickBot="1">
      <c r="A21" s="488"/>
      <c r="B21" s="500"/>
      <c r="C21" s="25" t="s">
        <v>43</v>
      </c>
      <c r="D21" s="133">
        <f>D18-D20</f>
        <v>0</v>
      </c>
      <c r="E21" s="133">
        <f t="shared" ref="E21:K21" si="12">E18-E20</f>
        <v>0</v>
      </c>
      <c r="F21" s="133">
        <f t="shared" si="12"/>
        <v>0</v>
      </c>
      <c r="G21" s="133">
        <f t="shared" si="12"/>
        <v>0</v>
      </c>
      <c r="H21" s="133">
        <f t="shared" si="12"/>
        <v>0</v>
      </c>
      <c r="I21" s="133">
        <f t="shared" si="12"/>
        <v>0</v>
      </c>
      <c r="J21" s="133">
        <f t="shared" si="12"/>
        <v>0</v>
      </c>
      <c r="K21" s="134">
        <f t="shared" si="12"/>
        <v>0</v>
      </c>
      <c r="L21" s="86">
        <f t="shared" si="11"/>
        <v>0</v>
      </c>
      <c r="M21" s="110"/>
    </row>
    <row r="22" spans="1:13">
      <c r="A22" s="488"/>
      <c r="B22" s="26" t="s">
        <v>53</v>
      </c>
      <c r="C22" s="27"/>
      <c r="D22" s="135">
        <f>D14+D18</f>
        <v>0</v>
      </c>
      <c r="E22" s="135">
        <f t="shared" ref="E22:K22" si="13">E14+E18</f>
        <v>0</v>
      </c>
      <c r="F22" s="135">
        <f t="shared" si="13"/>
        <v>0</v>
      </c>
      <c r="G22" s="135">
        <f t="shared" si="13"/>
        <v>0</v>
      </c>
      <c r="H22" s="135">
        <f t="shared" si="13"/>
        <v>0</v>
      </c>
      <c r="I22" s="135">
        <f t="shared" si="13"/>
        <v>0</v>
      </c>
      <c r="J22" s="135">
        <f t="shared" si="13"/>
        <v>0</v>
      </c>
      <c r="K22" s="136">
        <f t="shared" si="13"/>
        <v>0</v>
      </c>
      <c r="L22" s="137">
        <f t="shared" si="0"/>
        <v>0</v>
      </c>
      <c r="M22" s="114"/>
    </row>
    <row r="23" spans="1:13">
      <c r="A23" s="488"/>
      <c r="B23" s="28" t="s">
        <v>54</v>
      </c>
      <c r="C23" s="29"/>
      <c r="D23" s="138">
        <f>+D15+D19</f>
        <v>0</v>
      </c>
      <c r="E23" s="138">
        <f t="shared" ref="E23:K23" si="14">+E15+E19</f>
        <v>0</v>
      </c>
      <c r="F23" s="138">
        <f t="shared" si="14"/>
        <v>0</v>
      </c>
      <c r="G23" s="138">
        <f t="shared" si="14"/>
        <v>0</v>
      </c>
      <c r="H23" s="138">
        <f t="shared" si="14"/>
        <v>0</v>
      </c>
      <c r="I23" s="138">
        <f t="shared" si="14"/>
        <v>0</v>
      </c>
      <c r="J23" s="138">
        <f t="shared" si="14"/>
        <v>0</v>
      </c>
      <c r="K23" s="139">
        <f t="shared" si="14"/>
        <v>0</v>
      </c>
      <c r="L23" s="140">
        <f t="shared" si="0"/>
        <v>0</v>
      </c>
      <c r="M23" s="118"/>
    </row>
    <row r="24" spans="1:13">
      <c r="A24" s="488"/>
      <c r="B24" s="28" t="s">
        <v>55</v>
      </c>
      <c r="C24" s="29"/>
      <c r="D24" s="138">
        <f>+D16+D20</f>
        <v>0</v>
      </c>
      <c r="E24" s="138">
        <f t="shared" ref="E24:K24" si="15">+E16+E20</f>
        <v>0</v>
      </c>
      <c r="F24" s="138">
        <f t="shared" si="15"/>
        <v>0</v>
      </c>
      <c r="G24" s="138">
        <f t="shared" si="15"/>
        <v>0</v>
      </c>
      <c r="H24" s="138">
        <f t="shared" si="15"/>
        <v>0</v>
      </c>
      <c r="I24" s="138">
        <f t="shared" si="15"/>
        <v>0</v>
      </c>
      <c r="J24" s="138">
        <f t="shared" si="15"/>
        <v>0</v>
      </c>
      <c r="K24" s="139">
        <f t="shared" si="15"/>
        <v>0</v>
      </c>
      <c r="L24" s="140">
        <f t="shared" si="0"/>
        <v>0</v>
      </c>
      <c r="M24" s="118"/>
    </row>
    <row r="25" spans="1:13">
      <c r="A25" s="488"/>
      <c r="B25" s="30" t="s">
        <v>56</v>
      </c>
      <c r="C25" s="31"/>
      <c r="D25" s="141">
        <f>D22-D24</f>
        <v>0</v>
      </c>
      <c r="E25" s="141">
        <f t="shared" ref="E25:K25" si="16">E22-E24</f>
        <v>0</v>
      </c>
      <c r="F25" s="141">
        <f t="shared" si="16"/>
        <v>0</v>
      </c>
      <c r="G25" s="141">
        <f t="shared" si="16"/>
        <v>0</v>
      </c>
      <c r="H25" s="141">
        <f t="shared" si="16"/>
        <v>0</v>
      </c>
      <c r="I25" s="141">
        <f t="shared" si="16"/>
        <v>0</v>
      </c>
      <c r="J25" s="141">
        <f t="shared" si="16"/>
        <v>0</v>
      </c>
      <c r="K25" s="142">
        <f t="shared" si="16"/>
        <v>0</v>
      </c>
      <c r="L25" s="143">
        <f t="shared" si="0"/>
        <v>0</v>
      </c>
      <c r="M25" s="103"/>
    </row>
    <row r="26" spans="1:13" ht="13.5" thickBot="1">
      <c r="A26" s="516" t="s">
        <v>79</v>
      </c>
      <c r="B26" s="517"/>
      <c r="C26" s="518"/>
      <c r="D26" s="144">
        <f>D24+D12</f>
        <v>0</v>
      </c>
      <c r="E26" s="144">
        <f t="shared" ref="E26:L26" si="17">E24+E12</f>
        <v>0</v>
      </c>
      <c r="F26" s="144">
        <f t="shared" si="17"/>
        <v>0</v>
      </c>
      <c r="G26" s="144">
        <f t="shared" si="17"/>
        <v>0</v>
      </c>
      <c r="H26" s="144">
        <f t="shared" si="17"/>
        <v>0</v>
      </c>
      <c r="I26" s="144">
        <f>I24+I12</f>
        <v>0</v>
      </c>
      <c r="J26" s="144">
        <f t="shared" si="17"/>
        <v>0</v>
      </c>
      <c r="K26" s="145">
        <f t="shared" si="17"/>
        <v>0</v>
      </c>
      <c r="L26" s="146">
        <f t="shared" si="17"/>
        <v>0</v>
      </c>
      <c r="M26" s="110"/>
    </row>
    <row r="27" spans="1:13" ht="13.5" thickBot="1">
      <c r="A27" s="530" t="s">
        <v>57</v>
      </c>
      <c r="B27" s="531"/>
      <c r="C27" s="531"/>
      <c r="D27" s="147">
        <f>D22+D10</f>
        <v>0</v>
      </c>
      <c r="E27" s="147">
        <f t="shared" ref="E27:K27" si="18">E22+E10</f>
        <v>0</v>
      </c>
      <c r="F27" s="147">
        <f t="shared" si="18"/>
        <v>0</v>
      </c>
      <c r="G27" s="147">
        <f t="shared" si="18"/>
        <v>0</v>
      </c>
      <c r="H27" s="147">
        <f t="shared" si="18"/>
        <v>0</v>
      </c>
      <c r="I27" s="147">
        <f t="shared" si="18"/>
        <v>0</v>
      </c>
      <c r="J27" s="147">
        <f t="shared" si="18"/>
        <v>0</v>
      </c>
      <c r="K27" s="148">
        <f t="shared" si="18"/>
        <v>0</v>
      </c>
      <c r="L27" s="149">
        <f>L22+L10</f>
        <v>0</v>
      </c>
      <c r="M27" s="150"/>
    </row>
    <row r="28" spans="1:13" ht="13.5" thickBot="1">
      <c r="D28">
        <v>10</v>
      </c>
    </row>
    <row r="29" spans="1:13" ht="33.75" customHeight="1">
      <c r="A29" s="504" t="s">
        <v>50</v>
      </c>
      <c r="B29" s="505"/>
      <c r="C29" s="506"/>
      <c r="D29" s="512" t="s">
        <v>88</v>
      </c>
      <c r="E29" s="512" t="s">
        <v>89</v>
      </c>
      <c r="F29" s="512" t="s">
        <v>90</v>
      </c>
      <c r="H29" s="69"/>
      <c r="I29" s="71" t="s">
        <v>65</v>
      </c>
      <c r="J29" s="71" t="s">
        <v>80</v>
      </c>
      <c r="K29" s="71" t="s">
        <v>81</v>
      </c>
      <c r="L29" s="75" t="s">
        <v>67</v>
      </c>
      <c r="M29" s="76" t="s">
        <v>83</v>
      </c>
    </row>
    <row r="30" spans="1:13" ht="13.5" thickBot="1">
      <c r="A30" s="507"/>
      <c r="B30" s="508"/>
      <c r="C30" s="509"/>
      <c r="D30" s="513"/>
      <c r="E30" s="513"/>
      <c r="F30" s="513"/>
      <c r="H30" s="70" t="s">
        <v>51</v>
      </c>
      <c r="I30" s="74" t="str">
        <f>IF(ISERR(L12/E33),"",(L12/E33)*100)</f>
        <v/>
      </c>
      <c r="J30" s="73" t="str">
        <f>IF(ISERR(M12/E33),"",(L12/E33)*1000000)</f>
        <v/>
      </c>
      <c r="K30" s="73"/>
      <c r="L30" s="502" t="str">
        <f>IF(E37=0,"",(L12+L24)/E37*100)</f>
        <v/>
      </c>
      <c r="M30" s="167">
        <v>820</v>
      </c>
    </row>
    <row r="31" spans="1:13" ht="13.5" thickBot="1">
      <c r="A31" s="32" t="s">
        <v>59</v>
      </c>
      <c r="B31" s="33"/>
      <c r="C31" s="34"/>
      <c r="D31" s="78">
        <f t="array" ref="D31">SUM(IF(MONTH('UM-3 - L1 - Dia'!$F$3:$AR$3)='Falhas Por Modelo'!D$28,'UM-3 - L1 - Dia'!F$7:AR$7))</f>
        <v>0</v>
      </c>
      <c r="E31" s="78">
        <f t="array" ref="E31">SUM(IF('UM-3 - L1 - Dia'!F$5:AR$5&lt;&gt;0,'UM-3 - L1 - Dia'!F$7:AR$7))</f>
        <v>0</v>
      </c>
      <c r="F31" s="79">
        <f t="shared" ref="F31:F37" si="19">D31-E31</f>
        <v>0</v>
      </c>
      <c r="H31" s="42" t="s">
        <v>52</v>
      </c>
      <c r="I31" s="77" t="str">
        <f>IF(ISERR(L24/E36),"",L24/E36*100)</f>
        <v/>
      </c>
      <c r="J31" s="72" t="str">
        <f>IF(ISERR(L24/E36),"",L24/E36*1000000)</f>
        <v/>
      </c>
      <c r="K31" s="72"/>
      <c r="L31" s="503"/>
      <c r="M31" s="168">
        <v>1040</v>
      </c>
    </row>
    <row r="32" spans="1:13" ht="13.5" customHeight="1" thickBot="1">
      <c r="A32" s="46" t="s">
        <v>60</v>
      </c>
      <c r="B32" s="47"/>
      <c r="C32" s="48"/>
      <c r="D32" s="80">
        <f t="array" ref="D32">SUM(IF(MONTH('UM-3 - L1 - Noite'!$D$3:$AR$3)='Falhas Por Modelo'!D$28,'UM-3 - L1 - Noite'!D$7:AR$7))</f>
        <v>0</v>
      </c>
      <c r="E32" s="80">
        <f t="array" ref="E32">SUM(IF('UM-3 - L1 - Noite'!D$5:AR$5&lt;&gt;0,'UM-3 - L1 - Noite'!D$7:AR$7))</f>
        <v>0</v>
      </c>
      <c r="F32" s="81">
        <f t="shared" si="19"/>
        <v>0</v>
      </c>
      <c r="H32" s="64"/>
      <c r="I32" s="65"/>
      <c r="J32" s="65"/>
      <c r="K32" s="66"/>
    </row>
    <row r="33" spans="1:11" ht="13.5" thickBot="1">
      <c r="A33" s="49" t="s">
        <v>61</v>
      </c>
      <c r="B33" s="50"/>
      <c r="C33" s="51"/>
      <c r="D33" s="82">
        <f>SUM(D31:D32)</f>
        <v>0</v>
      </c>
      <c r="E33" s="82">
        <f>SUM(E31:E32)</f>
        <v>0</v>
      </c>
      <c r="F33" s="83">
        <f t="shared" si="19"/>
        <v>0</v>
      </c>
      <c r="H33" s="527" t="s">
        <v>77</v>
      </c>
      <c r="I33" s="528"/>
      <c r="J33" s="529"/>
      <c r="K33" s="61" t="s">
        <v>10</v>
      </c>
    </row>
    <row r="34" spans="1:11" ht="12.75" customHeight="1" thickBot="1">
      <c r="A34" s="52" t="s">
        <v>62</v>
      </c>
      <c r="B34" s="53"/>
      <c r="C34" s="53"/>
      <c r="D34" s="84">
        <f t="array" ref="D34">SUM(IF(MONTH('UM-3 - L2 - Dia'!$D$3:$AR$3)='Falhas Por Modelo'!D$28,'UM-3 - L2 - Dia'!D$7:AR$7))</f>
        <v>0</v>
      </c>
      <c r="E34" s="84">
        <f t="array" ref="E34">SUM(IF('UM-3 - L2 - Dia'!D$5:AR$5&lt;&gt;0,'UM-3 - L2 - Dia'!D$7:AR$7))</f>
        <v>0</v>
      </c>
      <c r="F34" s="85">
        <f t="shared" si="19"/>
        <v>0</v>
      </c>
      <c r="H34" s="63" t="s">
        <v>76</v>
      </c>
      <c r="I34" s="514" t="s">
        <v>78</v>
      </c>
      <c r="J34" s="515"/>
      <c r="K34" s="61" t="s">
        <v>78</v>
      </c>
    </row>
    <row r="35" spans="1:11" ht="13.5" customHeight="1">
      <c r="A35" s="18" t="s">
        <v>63</v>
      </c>
      <c r="B35" s="35"/>
      <c r="C35" s="35"/>
      <c r="D35" s="86">
        <f t="array" ref="D35">SUM(IF(MONTH('UM-3 - L2 - Noite'!$E$3:$AR$3)='Falhas Por Modelo'!D$28,'UM-3 - L2 - Noite'!E$7:AR$7))</f>
        <v>0</v>
      </c>
      <c r="E35" s="86">
        <f t="array" ref="E35">SUM(IF('UM-3 - L2 - Noite'!E$5:AR$5&lt;&gt;0,'UM-3 - L2 - Noite'!E$7:AR$7))</f>
        <v>0</v>
      </c>
      <c r="F35" s="87">
        <f t="shared" si="19"/>
        <v>0</v>
      </c>
      <c r="H35" s="45" t="s">
        <v>68</v>
      </c>
      <c r="I35" s="521" t="str">
        <f>IF(ISERR(L4/E31),"",L4/E31*1000000)</f>
        <v/>
      </c>
      <c r="J35" s="522"/>
      <c r="K35" s="59"/>
    </row>
    <row r="36" spans="1:11" ht="13.5" customHeight="1" thickBot="1">
      <c r="A36" s="43" t="s">
        <v>64</v>
      </c>
      <c r="B36" s="44"/>
      <c r="C36" s="44"/>
      <c r="D36" s="88">
        <f>SUM(D34:D35)</f>
        <v>0</v>
      </c>
      <c r="E36" s="88">
        <f>SUM(E34:E34)</f>
        <v>0</v>
      </c>
      <c r="F36" s="89">
        <f t="shared" si="19"/>
        <v>0</v>
      </c>
      <c r="H36" s="56" t="s">
        <v>69</v>
      </c>
      <c r="I36" s="523" t="str">
        <f>IF(ISERR(L8/E32),"",L8/E32*1000000)</f>
        <v/>
      </c>
      <c r="J36" s="524"/>
      <c r="K36" s="60"/>
    </row>
    <row r="37" spans="1:11" ht="13.5" customHeight="1" thickBot="1">
      <c r="A37" s="519" t="s">
        <v>66</v>
      </c>
      <c r="B37" s="520"/>
      <c r="C37" s="520"/>
      <c r="D37" s="90">
        <f>D36+D33</f>
        <v>0</v>
      </c>
      <c r="E37" s="90">
        <f>E36+E33</f>
        <v>0</v>
      </c>
      <c r="F37" s="91">
        <f t="shared" si="19"/>
        <v>0</v>
      </c>
      <c r="H37" s="57" t="s">
        <v>70</v>
      </c>
      <c r="I37" s="525" t="str">
        <f>IF(ISERR(L16/E34),"",L16/E34*1000000)</f>
        <v/>
      </c>
      <c r="J37" s="526"/>
      <c r="K37" s="67"/>
    </row>
    <row r="38" spans="1:11" ht="13.5" thickBot="1">
      <c r="H38" s="42" t="s">
        <v>71</v>
      </c>
      <c r="I38" s="510" t="str">
        <f>IF(ISERR(L20/E35),"",L20/E35*1000000)</f>
        <v/>
      </c>
      <c r="J38" s="511"/>
      <c r="K38" s="62"/>
    </row>
    <row r="39" spans="1:11">
      <c r="A39" s="501" t="s">
        <v>82</v>
      </c>
      <c r="B39" s="501"/>
      <c r="C39" s="501"/>
      <c r="D39" s="68" t="e">
        <f>MAX('UM-3 - L1 - Dia'!J4:AR4,#REF!,#REF!,#REF!)</f>
        <v>#REF!</v>
      </c>
    </row>
    <row r="42" spans="1:11">
      <c r="F42" s="151"/>
    </row>
    <row r="43" spans="1:11">
      <c r="F43" s="151"/>
    </row>
  </sheetData>
  <sheetProtection algorithmName="SHA-512" hashValue="IwD5kDkkQLh8hcRFXWQ8x6yprjagoxMf5inJSzuWogpdA7mdfbhuvY/6fodk9jr9oPLaAsyTjnhLp+b7Ktas6w==" saltValue="qT3wr1htcknlfNtrvtr4PQ==" spinCount="100000" sheet="1" objects="1" scenarios="1" selectLockedCells="1"/>
  <mergeCells count="21">
    <mergeCell ref="A26:C26"/>
    <mergeCell ref="A37:C37"/>
    <mergeCell ref="I35:J35"/>
    <mergeCell ref="I36:J36"/>
    <mergeCell ref="I37:J37"/>
    <mergeCell ref="H33:J33"/>
    <mergeCell ref="E29:E30"/>
    <mergeCell ref="A27:C27"/>
    <mergeCell ref="A39:C39"/>
    <mergeCell ref="L30:L31"/>
    <mergeCell ref="A29:C30"/>
    <mergeCell ref="I38:J38"/>
    <mergeCell ref="F29:F30"/>
    <mergeCell ref="I34:J34"/>
    <mergeCell ref="D29:D30"/>
    <mergeCell ref="A2:A13"/>
    <mergeCell ref="A14:A25"/>
    <mergeCell ref="B2:B5"/>
    <mergeCell ref="B6:B9"/>
    <mergeCell ref="B14:B17"/>
    <mergeCell ref="B18:B21"/>
  </mergeCells>
  <phoneticPr fontId="0" type="noConversion"/>
  <conditionalFormatting sqref="K32">
    <cfRule type="cellIs" dxfId="197" priority="1" stopIfTrue="1" operator="greaterThanOrEqual">
      <formula>0.1</formula>
    </cfRule>
    <cfRule type="cellIs" dxfId="196" priority="2" stopIfTrue="1" operator="between">
      <formula>0.08</formula>
      <formula>0.0999</formula>
    </cfRule>
  </conditionalFormatting>
  <conditionalFormatting sqref="K35:K38">
    <cfRule type="cellIs" dxfId="195" priority="3" stopIfTrue="1" operator="greaterThanOrEqual">
      <formula>100</formula>
    </cfRule>
    <cfRule type="cellIs" dxfId="194" priority="4" stopIfTrue="1" operator="between">
      <formula>50</formula>
      <formula>99.99</formula>
    </cfRule>
  </conditionalFormatting>
  <conditionalFormatting sqref="K30:K31">
    <cfRule type="cellIs" dxfId="193" priority="5" stopIfTrue="1" operator="greaterThanOrEqual">
      <formula>600</formula>
    </cfRule>
    <cfRule type="cellIs" dxfId="192" priority="6" stopIfTrue="1" operator="between">
      <formula>400</formula>
      <formula>599.999</formula>
    </cfRule>
  </conditionalFormatting>
  <conditionalFormatting sqref="L30:L31">
    <cfRule type="cellIs" dxfId="191" priority="7" stopIfTrue="1" operator="greaterThan">
      <formula>0.08</formula>
    </cfRule>
    <cfRule type="cellIs" dxfId="190" priority="8" stopIfTrue="1" operator="between">
      <formula>0.065</formula>
      <formula>0.07999</formula>
    </cfRule>
  </conditionalFormatting>
  <conditionalFormatting sqref="J30:J31">
    <cfRule type="cellIs" dxfId="189" priority="9" stopIfTrue="1" operator="greaterThanOrEqual">
      <formula>800</formula>
    </cfRule>
    <cfRule type="cellIs" dxfId="188" priority="10" stopIfTrue="1" operator="between">
      <formula>650</formula>
      <formula>799.99</formula>
    </cfRule>
  </conditionalFormatting>
  <conditionalFormatting sqref="I30">
    <cfRule type="cellIs" dxfId="187" priority="11" stopIfTrue="1" operator="greaterThan">
      <formula>$M$30</formula>
    </cfRule>
    <cfRule type="cellIs" priority="12" stopIfTrue="1" operator="between">
      <formula>$M$30-0.015</formula>
      <formula>$M$30-0.000001</formula>
    </cfRule>
  </conditionalFormatting>
  <conditionalFormatting sqref="I31">
    <cfRule type="cellIs" dxfId="186" priority="13" stopIfTrue="1" operator="greaterThan">
      <formula>$M$31</formula>
    </cfRule>
    <cfRule type="cellIs" priority="14" stopIfTrue="1" operator="between">
      <formula>$M$31-0.015</formula>
      <formula>$M$31-0.000001</formula>
    </cfRule>
  </conditionalFormatting>
  <conditionalFormatting sqref="I36:J36">
    <cfRule type="cellIs" dxfId="185" priority="15" stopIfTrue="1" operator="greaterThanOrEqual">
      <formula>$M$30*10000</formula>
    </cfRule>
    <cfRule type="cellIs" dxfId="184" priority="16" stopIfTrue="1" operator="between">
      <formula>$M$30*10000-150</formula>
      <formula>$M$30*10000-0.01</formula>
    </cfRule>
  </conditionalFormatting>
  <conditionalFormatting sqref="I38:J38">
    <cfRule type="cellIs" dxfId="183" priority="17" stopIfTrue="1" operator="greaterThanOrEqual">
      <formula>$M$30*10000</formula>
    </cfRule>
    <cfRule type="cellIs" dxfId="182" priority="18" stopIfTrue="1" operator="between">
      <formula>$M$31*10000-150</formula>
      <formula>$M$31*10000-0.01</formula>
    </cfRule>
  </conditionalFormatting>
  <conditionalFormatting sqref="I35:J35">
    <cfRule type="cellIs" dxfId="181" priority="19" stopIfTrue="1" operator="greaterThanOrEqual">
      <formula>$M$30</formula>
    </cfRule>
    <cfRule type="cellIs" dxfId="180" priority="20" stopIfTrue="1" operator="between">
      <formula>$M$30-150</formula>
      <formula>$M$30*10000-0.01</formula>
    </cfRule>
  </conditionalFormatting>
  <conditionalFormatting sqref="I37:J37">
    <cfRule type="cellIs" dxfId="179" priority="21" stopIfTrue="1" operator="greaterThanOrEqual">
      <formula>$M$30</formula>
    </cfRule>
    <cfRule type="cellIs" dxfId="178" priority="22" stopIfTrue="1" operator="between">
      <formula>$M$31-150</formula>
      <formula>$M$31*10000-0.01</formula>
    </cfRule>
  </conditionalFormatting>
  <printOptions horizontalCentered="1"/>
  <pageMargins left="0.78740157480314965" right="0.78740157480314965" top="1.3779527559055118" bottom="0.98425196850393704" header="0.51181102362204722" footer="0.51181102362204722"/>
  <pageSetup paperSize="9" scale="80" orientation="landscape" r:id="rId1"/>
  <headerFooter alignWithMargins="0">
    <oddHeader>&amp;L&amp;"SwitzerlandBlack,Negrito"&amp;16Panasonic
&amp;"Arial,Negrito"&amp;9PILHAS / BATERIAS&amp;C&amp;"Arial,Negrito"&amp;14RESUMO DE FALHAS DE V/A - UM3&amp;RNOVEMBRO</oddHeader>
    <oddFooter>&amp;L&amp;A&amp;R&amp;F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8">
    <pageSetUpPr fitToPage="1"/>
  </sheetPr>
  <dimension ref="A1:G106"/>
  <sheetViews>
    <sheetView zoomScaleNormal="100" workbookViewId="0">
      <selection activeCell="E11" sqref="E11"/>
    </sheetView>
  </sheetViews>
  <sheetFormatPr defaultRowHeight="12.75"/>
  <cols>
    <col min="1" max="1" width="3.28515625" style="170" bestFit="1" customWidth="1"/>
    <col min="2" max="2" width="9.140625" style="200"/>
    <col min="3" max="3" width="29.28515625" style="170" bestFit="1" customWidth="1"/>
    <col min="4" max="4" width="39.140625" style="170" bestFit="1" customWidth="1"/>
    <col min="5" max="5" width="34.42578125" style="170" bestFit="1" customWidth="1"/>
    <col min="6" max="16384" width="9.140625" style="170"/>
  </cols>
  <sheetData>
    <row r="1" spans="1:7">
      <c r="B1" s="174"/>
    </row>
    <row r="2" spans="1:7" ht="13.5" thickBot="1">
      <c r="B2" s="174"/>
    </row>
    <row r="3" spans="1:7" ht="13.5" thickBot="1">
      <c r="B3" s="175" t="s">
        <v>108</v>
      </c>
      <c r="C3" s="176" t="s">
        <v>109</v>
      </c>
      <c r="D3" s="461" t="s">
        <v>110</v>
      </c>
      <c r="E3" s="177" t="s">
        <v>361</v>
      </c>
      <c r="G3" s="170" t="s">
        <v>257</v>
      </c>
    </row>
    <row r="4" spans="1:7" ht="12.75" customHeight="1">
      <c r="A4" s="535" t="s">
        <v>198</v>
      </c>
      <c r="B4" s="178">
        <v>10</v>
      </c>
      <c r="C4" s="179" t="s">
        <v>199</v>
      </c>
      <c r="D4" s="462" t="s">
        <v>200</v>
      </c>
      <c r="E4" s="180" t="s">
        <v>292</v>
      </c>
      <c r="G4" s="170" t="s">
        <v>46</v>
      </c>
    </row>
    <row r="5" spans="1:7">
      <c r="A5" s="536"/>
      <c r="B5" s="181">
        <f>(B4/10+1)*10</f>
        <v>20</v>
      </c>
      <c r="C5" s="182" t="s">
        <v>201</v>
      </c>
      <c r="D5" s="463" t="s">
        <v>0</v>
      </c>
      <c r="E5" s="183" t="s">
        <v>293</v>
      </c>
      <c r="G5" s="170">
        <v>1215</v>
      </c>
    </row>
    <row r="6" spans="1:7">
      <c r="A6" s="536"/>
      <c r="B6" s="181">
        <f t="shared" ref="B6:B72" si="0">(B5/10+1)*10</f>
        <v>30</v>
      </c>
      <c r="C6" s="182" t="s">
        <v>1</v>
      </c>
      <c r="D6" s="463" t="s">
        <v>202</v>
      </c>
      <c r="E6" s="183" t="s">
        <v>294</v>
      </c>
    </row>
    <row r="7" spans="1:7">
      <c r="A7" s="536"/>
      <c r="B7" s="181">
        <f t="shared" si="0"/>
        <v>40</v>
      </c>
      <c r="C7" s="201" t="s">
        <v>242</v>
      </c>
      <c r="D7" s="464" t="s">
        <v>41</v>
      </c>
      <c r="E7" s="202" t="s">
        <v>295</v>
      </c>
    </row>
    <row r="8" spans="1:7">
      <c r="A8" s="536"/>
      <c r="B8" s="249">
        <f t="shared" si="0"/>
        <v>50</v>
      </c>
      <c r="C8" s="201" t="s">
        <v>203</v>
      </c>
      <c r="D8" s="464" t="s">
        <v>204</v>
      </c>
      <c r="E8" s="202" t="s">
        <v>296</v>
      </c>
    </row>
    <row r="9" spans="1:7" ht="12.75" customHeight="1">
      <c r="A9" s="536"/>
      <c r="B9" s="181">
        <f t="shared" si="0"/>
        <v>60</v>
      </c>
      <c r="C9" s="252" t="s">
        <v>254</v>
      </c>
      <c r="D9" s="465" t="s">
        <v>205</v>
      </c>
      <c r="E9" s="188" t="s">
        <v>297</v>
      </c>
    </row>
    <row r="10" spans="1:7">
      <c r="A10" s="536"/>
      <c r="B10" s="181">
        <f t="shared" si="0"/>
        <v>70</v>
      </c>
      <c r="C10" s="172" t="s">
        <v>250</v>
      </c>
      <c r="D10" s="465" t="s">
        <v>206</v>
      </c>
      <c r="E10" s="188" t="s">
        <v>298</v>
      </c>
    </row>
    <row r="11" spans="1:7">
      <c r="A11" s="536"/>
      <c r="B11" s="181">
        <f t="shared" si="0"/>
        <v>80</v>
      </c>
      <c r="C11" s="172" t="s">
        <v>207</v>
      </c>
      <c r="D11" s="465" t="s">
        <v>208</v>
      </c>
      <c r="E11" s="188" t="s">
        <v>299</v>
      </c>
    </row>
    <row r="12" spans="1:7">
      <c r="A12" s="536"/>
      <c r="B12" s="181">
        <f t="shared" si="0"/>
        <v>90</v>
      </c>
      <c r="C12" s="172" t="s">
        <v>209</v>
      </c>
      <c r="D12" s="466" t="s">
        <v>255</v>
      </c>
      <c r="E12" s="250" t="s">
        <v>300</v>
      </c>
    </row>
    <row r="13" spans="1:7">
      <c r="A13" s="536"/>
      <c r="B13" s="181">
        <f t="shared" si="0"/>
        <v>100</v>
      </c>
      <c r="C13" s="172" t="s">
        <v>250</v>
      </c>
      <c r="D13" s="465" t="s">
        <v>206</v>
      </c>
      <c r="E13" s="188" t="s">
        <v>298</v>
      </c>
    </row>
    <row r="14" spans="1:7">
      <c r="A14" s="536"/>
      <c r="B14" s="181">
        <f t="shared" si="0"/>
        <v>110</v>
      </c>
      <c r="C14" s="172" t="s">
        <v>207</v>
      </c>
      <c r="D14" s="465" t="s">
        <v>208</v>
      </c>
      <c r="E14" s="188" t="s">
        <v>299</v>
      </c>
    </row>
    <row r="15" spans="1:7">
      <c r="A15" s="536"/>
      <c r="B15" s="181">
        <f t="shared" si="0"/>
        <v>120</v>
      </c>
      <c r="C15" s="172" t="s">
        <v>211</v>
      </c>
      <c r="D15" s="465" t="s">
        <v>212</v>
      </c>
      <c r="E15" s="188" t="s">
        <v>301</v>
      </c>
    </row>
    <row r="16" spans="1:7">
      <c r="A16" s="536"/>
      <c r="B16" s="181">
        <f t="shared" si="0"/>
        <v>130</v>
      </c>
      <c r="C16" s="172" t="s">
        <v>249</v>
      </c>
      <c r="D16" s="465" t="s">
        <v>210</v>
      </c>
      <c r="E16" s="188" t="s">
        <v>302</v>
      </c>
    </row>
    <row r="17" spans="1:5">
      <c r="A17" s="536"/>
      <c r="B17" s="181">
        <f t="shared" si="0"/>
        <v>140</v>
      </c>
      <c r="C17" s="172" t="s">
        <v>207</v>
      </c>
      <c r="D17" s="465" t="s">
        <v>208</v>
      </c>
      <c r="E17" s="188" t="s">
        <v>299</v>
      </c>
    </row>
    <row r="18" spans="1:5">
      <c r="A18" s="536"/>
      <c r="B18" s="181">
        <f t="shared" si="0"/>
        <v>150</v>
      </c>
      <c r="C18" s="172" t="s">
        <v>213</v>
      </c>
      <c r="D18" s="466" t="s">
        <v>247</v>
      </c>
      <c r="E18" s="250" t="s">
        <v>303</v>
      </c>
    </row>
    <row r="19" spans="1:5">
      <c r="A19" s="536"/>
      <c r="B19" s="181">
        <f t="shared" si="0"/>
        <v>160</v>
      </c>
      <c r="C19" s="172" t="s">
        <v>210</v>
      </c>
      <c r="D19" s="465" t="s">
        <v>206</v>
      </c>
      <c r="E19" s="188" t="s">
        <v>298</v>
      </c>
    </row>
    <row r="20" spans="1:5">
      <c r="A20" s="536"/>
      <c r="B20" s="181">
        <f t="shared" si="0"/>
        <v>170</v>
      </c>
      <c r="C20" s="172" t="s">
        <v>208</v>
      </c>
      <c r="D20" s="465" t="s">
        <v>208</v>
      </c>
      <c r="E20" s="188" t="s">
        <v>299</v>
      </c>
    </row>
    <row r="21" spans="1:5">
      <c r="A21" s="536"/>
      <c r="B21" s="181">
        <f t="shared" si="0"/>
        <v>180</v>
      </c>
      <c r="C21" s="252" t="s">
        <v>252</v>
      </c>
      <c r="D21" s="466" t="s">
        <v>253</v>
      </c>
      <c r="E21" s="250" t="s">
        <v>304</v>
      </c>
    </row>
    <row r="22" spans="1:5">
      <c r="A22" s="536"/>
      <c r="B22" s="181">
        <f t="shared" si="0"/>
        <v>190</v>
      </c>
      <c r="C22" s="172" t="s">
        <v>248</v>
      </c>
      <c r="D22" s="465" t="s">
        <v>251</v>
      </c>
      <c r="E22" s="188" t="s">
        <v>305</v>
      </c>
    </row>
    <row r="23" spans="1:5" ht="13.5" thickBot="1">
      <c r="A23" s="537"/>
      <c r="B23" s="184">
        <f t="shared" si="0"/>
        <v>200</v>
      </c>
      <c r="C23" s="189" t="s">
        <v>249</v>
      </c>
      <c r="D23" s="467" t="s">
        <v>206</v>
      </c>
      <c r="E23" s="190" t="s">
        <v>298</v>
      </c>
    </row>
    <row r="24" spans="1:5">
      <c r="A24" s="536" t="s">
        <v>214</v>
      </c>
      <c r="B24" s="251">
        <f t="shared" si="0"/>
        <v>210</v>
      </c>
      <c r="C24" s="203" t="s">
        <v>215</v>
      </c>
      <c r="D24" s="468" t="s">
        <v>216</v>
      </c>
      <c r="E24" s="191" t="s">
        <v>306</v>
      </c>
    </row>
    <row r="25" spans="1:5">
      <c r="A25" s="536"/>
      <c r="B25" s="204">
        <f t="shared" si="0"/>
        <v>220</v>
      </c>
      <c r="C25" s="205" t="s">
        <v>217</v>
      </c>
      <c r="D25" s="463" t="s">
        <v>218</v>
      </c>
      <c r="E25" s="183" t="s">
        <v>307</v>
      </c>
    </row>
    <row r="26" spans="1:5">
      <c r="A26" s="536"/>
      <c r="B26" s="204">
        <f t="shared" si="0"/>
        <v>230</v>
      </c>
      <c r="C26" s="205" t="s">
        <v>219</v>
      </c>
      <c r="D26" s="463" t="s">
        <v>220</v>
      </c>
      <c r="E26" s="183" t="s">
        <v>308</v>
      </c>
    </row>
    <row r="27" spans="1:5">
      <c r="A27" s="536"/>
      <c r="B27" s="204">
        <f t="shared" si="0"/>
        <v>240</v>
      </c>
      <c r="C27" s="205" t="s">
        <v>221</v>
      </c>
      <c r="D27" s="463" t="s">
        <v>222</v>
      </c>
      <c r="E27" s="183" t="s">
        <v>309</v>
      </c>
    </row>
    <row r="28" spans="1:5" ht="13.5" thickBot="1">
      <c r="A28" s="537"/>
      <c r="B28" s="206">
        <f t="shared" si="0"/>
        <v>250</v>
      </c>
      <c r="C28" s="207" t="s">
        <v>223</v>
      </c>
      <c r="D28" s="469" t="s">
        <v>224</v>
      </c>
      <c r="E28" s="186" t="s">
        <v>310</v>
      </c>
    </row>
    <row r="29" spans="1:5">
      <c r="A29" s="536" t="s">
        <v>225</v>
      </c>
      <c r="B29" s="178">
        <f t="shared" si="0"/>
        <v>260</v>
      </c>
      <c r="C29" s="198" t="s">
        <v>111</v>
      </c>
      <c r="D29" s="470" t="s">
        <v>4</v>
      </c>
      <c r="E29" s="187" t="s">
        <v>311</v>
      </c>
    </row>
    <row r="30" spans="1:5">
      <c r="A30" s="536"/>
      <c r="B30" s="181">
        <f t="shared" si="0"/>
        <v>270</v>
      </c>
      <c r="C30" s="172" t="s">
        <v>112</v>
      </c>
      <c r="D30" s="465" t="s">
        <v>34</v>
      </c>
      <c r="E30" s="188" t="s">
        <v>312</v>
      </c>
    </row>
    <row r="31" spans="1:5">
      <c r="A31" s="536"/>
      <c r="B31" s="181">
        <f t="shared" si="0"/>
        <v>280</v>
      </c>
      <c r="C31" s="172" t="s">
        <v>113</v>
      </c>
      <c r="D31" s="465" t="s">
        <v>114</v>
      </c>
      <c r="E31" s="188" t="s">
        <v>313</v>
      </c>
    </row>
    <row r="32" spans="1:5">
      <c r="A32" s="536"/>
      <c r="B32" s="181">
        <f t="shared" si="0"/>
        <v>290</v>
      </c>
      <c r="C32" s="172" t="s">
        <v>115</v>
      </c>
      <c r="D32" s="465" t="s">
        <v>116</v>
      </c>
      <c r="E32" s="188" t="s">
        <v>314</v>
      </c>
    </row>
    <row r="33" spans="1:5">
      <c r="A33" s="536"/>
      <c r="B33" s="181">
        <f t="shared" si="0"/>
        <v>300</v>
      </c>
      <c r="C33" s="172" t="s">
        <v>117</v>
      </c>
      <c r="D33" s="465" t="s">
        <v>118</v>
      </c>
      <c r="E33" s="188" t="s">
        <v>315</v>
      </c>
    </row>
    <row r="34" spans="1:5">
      <c r="A34" s="536"/>
      <c r="B34" s="181">
        <f t="shared" si="0"/>
        <v>310</v>
      </c>
      <c r="C34" s="172" t="s">
        <v>119</v>
      </c>
      <c r="D34" s="465" t="s">
        <v>120</v>
      </c>
      <c r="E34" s="188" t="s">
        <v>316</v>
      </c>
    </row>
    <row r="35" spans="1:5">
      <c r="A35" s="536"/>
      <c r="B35" s="181">
        <f t="shared" si="0"/>
        <v>320</v>
      </c>
      <c r="C35" s="172" t="s">
        <v>121</v>
      </c>
      <c r="D35" s="465" t="s">
        <v>5</v>
      </c>
      <c r="E35" s="188" t="s">
        <v>317</v>
      </c>
    </row>
    <row r="36" spans="1:5">
      <c r="A36" s="536"/>
      <c r="B36" s="181">
        <f t="shared" si="0"/>
        <v>330</v>
      </c>
      <c r="C36" s="172" t="s">
        <v>122</v>
      </c>
      <c r="D36" s="465" t="s">
        <v>6</v>
      </c>
      <c r="E36" s="188" t="s">
        <v>318</v>
      </c>
    </row>
    <row r="37" spans="1:5">
      <c r="A37" s="536"/>
      <c r="B37" s="181">
        <f t="shared" si="0"/>
        <v>340</v>
      </c>
      <c r="C37" s="172" t="s">
        <v>123</v>
      </c>
      <c r="D37" s="465" t="s">
        <v>124</v>
      </c>
      <c r="E37" s="188" t="s">
        <v>319</v>
      </c>
    </row>
    <row r="38" spans="1:5">
      <c r="A38" s="536"/>
      <c r="B38" s="181">
        <f t="shared" si="0"/>
        <v>350</v>
      </c>
      <c r="C38" s="172" t="s">
        <v>125</v>
      </c>
      <c r="D38" s="465" t="s">
        <v>7</v>
      </c>
      <c r="E38" s="188" t="s">
        <v>320</v>
      </c>
    </row>
    <row r="39" spans="1:5">
      <c r="A39" s="536"/>
      <c r="B39" s="181">
        <f t="shared" si="0"/>
        <v>360</v>
      </c>
      <c r="C39" s="172" t="s">
        <v>126</v>
      </c>
      <c r="D39" s="465" t="s">
        <v>8</v>
      </c>
      <c r="E39" s="188" t="s">
        <v>321</v>
      </c>
    </row>
    <row r="40" spans="1:5">
      <c r="A40" s="536"/>
      <c r="B40" s="181">
        <f t="shared" si="0"/>
        <v>370</v>
      </c>
      <c r="C40" s="172" t="s">
        <v>127</v>
      </c>
      <c r="D40" s="465" t="s">
        <v>128</v>
      </c>
      <c r="E40" s="188" t="s">
        <v>322</v>
      </c>
    </row>
    <row r="41" spans="1:5">
      <c r="A41" s="536"/>
      <c r="B41" s="181">
        <f t="shared" si="0"/>
        <v>380</v>
      </c>
      <c r="C41" s="172" t="s">
        <v>129</v>
      </c>
      <c r="D41" s="465" t="s">
        <v>130</v>
      </c>
      <c r="E41" s="188" t="s">
        <v>323</v>
      </c>
    </row>
    <row r="42" spans="1:5">
      <c r="A42" s="536"/>
      <c r="B42" s="181">
        <f t="shared" si="0"/>
        <v>390</v>
      </c>
      <c r="C42" s="172" t="s">
        <v>131</v>
      </c>
      <c r="D42" s="465" t="s">
        <v>132</v>
      </c>
      <c r="E42" s="188" t="s">
        <v>324</v>
      </c>
    </row>
    <row r="43" spans="1:5">
      <c r="A43" s="536"/>
      <c r="B43" s="181">
        <f t="shared" si="0"/>
        <v>400</v>
      </c>
      <c r="C43" s="172" t="s">
        <v>133</v>
      </c>
      <c r="D43" s="465" t="s">
        <v>134</v>
      </c>
      <c r="E43" s="188" t="s">
        <v>325</v>
      </c>
    </row>
    <row r="44" spans="1:5">
      <c r="A44" s="536"/>
      <c r="B44" s="181">
        <f t="shared" si="0"/>
        <v>410</v>
      </c>
      <c r="C44" s="172" t="s">
        <v>135</v>
      </c>
      <c r="D44" s="465" t="s">
        <v>9</v>
      </c>
      <c r="E44" s="188" t="s">
        <v>326</v>
      </c>
    </row>
    <row r="45" spans="1:5">
      <c r="A45" s="536"/>
      <c r="B45" s="181">
        <f t="shared" si="0"/>
        <v>420</v>
      </c>
      <c r="C45" s="172" t="s">
        <v>136</v>
      </c>
      <c r="D45" s="465" t="s">
        <v>137</v>
      </c>
      <c r="E45" s="188" t="s">
        <v>327</v>
      </c>
    </row>
    <row r="46" spans="1:5">
      <c r="A46" s="536"/>
      <c r="B46" s="181">
        <f t="shared" si="0"/>
        <v>430</v>
      </c>
      <c r="C46" s="172" t="s">
        <v>138</v>
      </c>
      <c r="D46" s="465" t="s">
        <v>139</v>
      </c>
      <c r="E46" s="188" t="s">
        <v>328</v>
      </c>
    </row>
    <row r="47" spans="1:5">
      <c r="A47" s="536"/>
      <c r="B47" s="181">
        <f t="shared" si="0"/>
        <v>440</v>
      </c>
      <c r="C47" s="172" t="s">
        <v>140</v>
      </c>
      <c r="D47" s="465" t="s">
        <v>141</v>
      </c>
      <c r="E47" s="188" t="s">
        <v>329</v>
      </c>
    </row>
    <row r="48" spans="1:5">
      <c r="A48" s="536"/>
      <c r="B48" s="181">
        <f t="shared" si="0"/>
        <v>450</v>
      </c>
      <c r="C48" s="172" t="s">
        <v>142</v>
      </c>
      <c r="D48" s="465" t="s">
        <v>10</v>
      </c>
      <c r="E48" s="188" t="s">
        <v>330</v>
      </c>
    </row>
    <row r="49" spans="1:5">
      <c r="A49" s="536"/>
      <c r="B49" s="181">
        <f t="shared" si="0"/>
        <v>460</v>
      </c>
      <c r="C49" s="172" t="s">
        <v>143</v>
      </c>
      <c r="D49" s="465" t="s">
        <v>87</v>
      </c>
      <c r="E49" s="188" t="s">
        <v>331</v>
      </c>
    </row>
    <row r="50" spans="1:5">
      <c r="A50" s="536"/>
      <c r="B50" s="181">
        <f t="shared" si="0"/>
        <v>470</v>
      </c>
      <c r="C50" s="172" t="s">
        <v>144</v>
      </c>
      <c r="D50" s="465" t="s">
        <v>11</v>
      </c>
      <c r="E50" s="188" t="s">
        <v>332</v>
      </c>
    </row>
    <row r="51" spans="1:5">
      <c r="A51" s="536"/>
      <c r="B51" s="181">
        <f t="shared" si="0"/>
        <v>480</v>
      </c>
      <c r="C51" s="172" t="s">
        <v>145</v>
      </c>
      <c r="D51" s="465" t="s">
        <v>12</v>
      </c>
      <c r="E51" s="188" t="s">
        <v>333</v>
      </c>
    </row>
    <row r="52" spans="1:5">
      <c r="A52" s="536"/>
      <c r="B52" s="181">
        <f t="shared" si="0"/>
        <v>490</v>
      </c>
      <c r="C52" s="172" t="s">
        <v>146</v>
      </c>
      <c r="D52" s="465" t="s">
        <v>13</v>
      </c>
      <c r="E52" s="188" t="s">
        <v>334</v>
      </c>
    </row>
    <row r="53" spans="1:5">
      <c r="A53" s="536"/>
      <c r="B53" s="181">
        <f t="shared" si="0"/>
        <v>500</v>
      </c>
      <c r="C53" s="172" t="s">
        <v>147</v>
      </c>
      <c r="D53" s="465" t="s">
        <v>14</v>
      </c>
      <c r="E53" s="188" t="s">
        <v>335</v>
      </c>
    </row>
    <row r="54" spans="1:5">
      <c r="A54" s="536"/>
      <c r="B54" s="181">
        <f t="shared" si="0"/>
        <v>510</v>
      </c>
      <c r="C54" s="172" t="s">
        <v>283</v>
      </c>
      <c r="D54" s="465" t="s">
        <v>284</v>
      </c>
      <c r="E54" s="188" t="s">
        <v>336</v>
      </c>
    </row>
    <row r="55" spans="1:5">
      <c r="A55" s="536"/>
      <c r="B55" s="181">
        <f t="shared" si="0"/>
        <v>520</v>
      </c>
      <c r="C55" s="172" t="s">
        <v>148</v>
      </c>
      <c r="D55" s="465" t="s">
        <v>15</v>
      </c>
      <c r="E55" s="188" t="s">
        <v>337</v>
      </c>
    </row>
    <row r="56" spans="1:5">
      <c r="A56" s="536"/>
      <c r="B56" s="181">
        <f t="shared" si="0"/>
        <v>530</v>
      </c>
      <c r="C56" s="172" t="s">
        <v>149</v>
      </c>
      <c r="D56" s="465" t="s">
        <v>150</v>
      </c>
      <c r="E56" s="188" t="s">
        <v>338</v>
      </c>
    </row>
    <row r="57" spans="1:5">
      <c r="A57" s="536"/>
      <c r="B57" s="181">
        <f t="shared" si="0"/>
        <v>540</v>
      </c>
      <c r="C57" s="172" t="s">
        <v>16</v>
      </c>
      <c r="D57" s="465" t="s">
        <v>16</v>
      </c>
      <c r="E57" s="188" t="s">
        <v>339</v>
      </c>
    </row>
    <row r="58" spans="1:5">
      <c r="A58" s="536"/>
      <c r="B58" s="181">
        <f t="shared" si="0"/>
        <v>550</v>
      </c>
      <c r="C58" s="172" t="s">
        <v>151</v>
      </c>
      <c r="D58" s="465" t="s">
        <v>17</v>
      </c>
      <c r="E58" s="188" t="s">
        <v>340</v>
      </c>
    </row>
    <row r="59" spans="1:5">
      <c r="A59" s="536"/>
      <c r="B59" s="181">
        <f t="shared" si="0"/>
        <v>560</v>
      </c>
      <c r="C59" s="172" t="s">
        <v>152</v>
      </c>
      <c r="D59" s="465" t="s">
        <v>18</v>
      </c>
      <c r="E59" s="188" t="s">
        <v>341</v>
      </c>
    </row>
    <row r="60" spans="1:5">
      <c r="A60" s="536"/>
      <c r="B60" s="181">
        <f t="shared" si="0"/>
        <v>570</v>
      </c>
      <c r="C60" s="172" t="s">
        <v>281</v>
      </c>
      <c r="D60" s="465" t="s">
        <v>282</v>
      </c>
      <c r="E60" s="188" t="s">
        <v>342</v>
      </c>
    </row>
    <row r="61" spans="1:5">
      <c r="A61" s="536"/>
      <c r="B61" s="181">
        <f t="shared" si="0"/>
        <v>580</v>
      </c>
      <c r="C61" s="172" t="s">
        <v>153</v>
      </c>
      <c r="D61" s="465" t="s">
        <v>154</v>
      </c>
      <c r="E61" s="188" t="s">
        <v>343</v>
      </c>
    </row>
    <row r="62" spans="1:5">
      <c r="A62" s="536"/>
      <c r="B62" s="181">
        <f t="shared" si="0"/>
        <v>590</v>
      </c>
      <c r="C62" s="172" t="s">
        <v>155</v>
      </c>
      <c r="D62" s="465" t="s">
        <v>156</v>
      </c>
      <c r="E62" s="188" t="s">
        <v>344</v>
      </c>
    </row>
    <row r="63" spans="1:5">
      <c r="A63" s="536"/>
      <c r="B63" s="181">
        <f t="shared" si="0"/>
        <v>600</v>
      </c>
      <c r="C63" s="172" t="s">
        <v>243</v>
      </c>
      <c r="D63" s="465" t="s">
        <v>39</v>
      </c>
      <c r="E63" s="188" t="s">
        <v>345</v>
      </c>
    </row>
    <row r="64" spans="1:5">
      <c r="A64" s="536"/>
      <c r="B64" s="181">
        <f t="shared" si="0"/>
        <v>610</v>
      </c>
      <c r="C64" s="172" t="s">
        <v>157</v>
      </c>
      <c r="D64" s="465" t="s">
        <v>158</v>
      </c>
      <c r="E64" s="188" t="s">
        <v>346</v>
      </c>
    </row>
    <row r="65" spans="1:5">
      <c r="A65" s="536"/>
      <c r="B65" s="181">
        <f t="shared" si="0"/>
        <v>620</v>
      </c>
      <c r="C65" s="172" t="s">
        <v>159</v>
      </c>
      <c r="D65" s="465" t="s">
        <v>107</v>
      </c>
      <c r="E65" s="188" t="s">
        <v>347</v>
      </c>
    </row>
    <row r="66" spans="1:5">
      <c r="A66" s="536"/>
      <c r="B66" s="181">
        <f t="shared" si="0"/>
        <v>630</v>
      </c>
      <c r="C66" s="172" t="s">
        <v>160</v>
      </c>
      <c r="D66" s="465" t="s">
        <v>161</v>
      </c>
      <c r="E66" s="188" t="s">
        <v>348</v>
      </c>
    </row>
    <row r="67" spans="1:5">
      <c r="A67" s="536"/>
      <c r="B67" s="181">
        <f t="shared" si="0"/>
        <v>640</v>
      </c>
      <c r="C67" s="172" t="s">
        <v>162</v>
      </c>
      <c r="D67" s="465" t="s">
        <v>163</v>
      </c>
      <c r="E67" s="188" t="s">
        <v>349</v>
      </c>
    </row>
    <row r="68" spans="1:5">
      <c r="A68" s="536"/>
      <c r="B68" s="181">
        <f t="shared" si="0"/>
        <v>650</v>
      </c>
      <c r="C68" s="172" t="s">
        <v>164</v>
      </c>
      <c r="D68" s="465" t="s">
        <v>165</v>
      </c>
      <c r="E68" s="188" t="s">
        <v>350</v>
      </c>
    </row>
    <row r="69" spans="1:5">
      <c r="A69" s="536"/>
      <c r="B69" s="181">
        <f t="shared" si="0"/>
        <v>660</v>
      </c>
      <c r="C69" s="172" t="s">
        <v>166</v>
      </c>
      <c r="D69" s="465" t="s">
        <v>167</v>
      </c>
      <c r="E69" s="188" t="s">
        <v>351</v>
      </c>
    </row>
    <row r="70" spans="1:5">
      <c r="A70" s="536"/>
      <c r="B70" s="181">
        <f t="shared" si="0"/>
        <v>670</v>
      </c>
      <c r="C70" s="172" t="s">
        <v>168</v>
      </c>
      <c r="D70" s="465" t="s">
        <v>169</v>
      </c>
      <c r="E70" s="188" t="s">
        <v>352</v>
      </c>
    </row>
    <row r="71" spans="1:5">
      <c r="A71" s="536"/>
      <c r="B71" s="181">
        <f t="shared" si="0"/>
        <v>680</v>
      </c>
      <c r="C71" s="172" t="s">
        <v>170</v>
      </c>
      <c r="D71" s="465" t="s">
        <v>35</v>
      </c>
      <c r="E71" s="188" t="s">
        <v>353</v>
      </c>
    </row>
    <row r="72" spans="1:5">
      <c r="A72" s="536"/>
      <c r="B72" s="181">
        <f t="shared" si="0"/>
        <v>690</v>
      </c>
      <c r="C72" s="172" t="s">
        <v>171</v>
      </c>
      <c r="D72" s="465" t="s">
        <v>172</v>
      </c>
      <c r="E72" s="188" t="s">
        <v>354</v>
      </c>
    </row>
    <row r="73" spans="1:5">
      <c r="A73" s="536"/>
      <c r="B73" s="181">
        <f t="shared" ref="B73:B106" si="1">(B72/10+1)*10</f>
        <v>700</v>
      </c>
      <c r="C73" s="172" t="s">
        <v>173</v>
      </c>
      <c r="D73" s="465" t="s">
        <v>19</v>
      </c>
      <c r="E73" s="188" t="s">
        <v>355</v>
      </c>
    </row>
    <row r="74" spans="1:5">
      <c r="A74" s="536"/>
      <c r="B74" s="181">
        <f t="shared" si="1"/>
        <v>710</v>
      </c>
      <c r="C74" s="172" t="s">
        <v>174</v>
      </c>
      <c r="D74" s="465" t="s">
        <v>175</v>
      </c>
      <c r="E74" s="188" t="s">
        <v>356</v>
      </c>
    </row>
    <row r="75" spans="1:5">
      <c r="A75" s="536"/>
      <c r="B75" s="181">
        <f t="shared" si="1"/>
        <v>720</v>
      </c>
      <c r="C75" s="172" t="s">
        <v>176</v>
      </c>
      <c r="D75" s="465" t="s">
        <v>177</v>
      </c>
      <c r="E75" s="188" t="s">
        <v>357</v>
      </c>
    </row>
    <row r="76" spans="1:5">
      <c r="A76" s="536"/>
      <c r="B76" s="181">
        <f t="shared" si="1"/>
        <v>730</v>
      </c>
      <c r="C76" s="172" t="s">
        <v>178</v>
      </c>
      <c r="D76" s="465" t="s">
        <v>179</v>
      </c>
      <c r="E76" s="188" t="s">
        <v>358</v>
      </c>
    </row>
    <row r="77" spans="1:5">
      <c r="A77" s="536"/>
      <c r="B77" s="181">
        <f t="shared" si="1"/>
        <v>740</v>
      </c>
      <c r="C77" s="172" t="s">
        <v>180</v>
      </c>
      <c r="D77" s="465" t="s">
        <v>181</v>
      </c>
      <c r="E77" s="188" t="s">
        <v>359</v>
      </c>
    </row>
    <row r="78" spans="1:5" ht="13.5" thickBot="1">
      <c r="A78" s="536"/>
      <c r="B78" s="184">
        <f t="shared" si="1"/>
        <v>750</v>
      </c>
      <c r="C78" s="189" t="s">
        <v>182</v>
      </c>
      <c r="D78" s="467" t="s">
        <v>97</v>
      </c>
      <c r="E78" s="190" t="s">
        <v>360</v>
      </c>
    </row>
    <row r="79" spans="1:5">
      <c r="A79" s="535" t="s">
        <v>99</v>
      </c>
      <c r="B79" s="178">
        <f t="shared" si="1"/>
        <v>760</v>
      </c>
      <c r="C79" s="179" t="s">
        <v>226</v>
      </c>
      <c r="D79" s="462" t="s">
        <v>227</v>
      </c>
      <c r="E79" s="180" t="s">
        <v>362</v>
      </c>
    </row>
    <row r="80" spans="1:5">
      <c r="A80" s="536"/>
      <c r="B80" s="181">
        <f t="shared" si="1"/>
        <v>770</v>
      </c>
      <c r="C80" s="182" t="s">
        <v>228</v>
      </c>
      <c r="D80" s="463" t="s">
        <v>229</v>
      </c>
      <c r="E80" s="183" t="s">
        <v>363</v>
      </c>
    </row>
    <row r="81" spans="1:5">
      <c r="A81" s="536"/>
      <c r="B81" s="181">
        <f t="shared" si="1"/>
        <v>780</v>
      </c>
      <c r="C81" s="182" t="s">
        <v>230</v>
      </c>
      <c r="D81" s="463" t="s">
        <v>21</v>
      </c>
      <c r="E81" s="183" t="s">
        <v>364</v>
      </c>
    </row>
    <row r="82" spans="1:5">
      <c r="A82" s="536"/>
      <c r="B82" s="181">
        <f t="shared" si="1"/>
        <v>790</v>
      </c>
      <c r="C82" s="182" t="s">
        <v>231</v>
      </c>
      <c r="D82" s="463" t="s">
        <v>232</v>
      </c>
      <c r="E82" s="183" t="s">
        <v>365</v>
      </c>
    </row>
    <row r="83" spans="1:5" ht="13.5" thickBot="1">
      <c r="A83" s="537"/>
      <c r="B83" s="184">
        <f t="shared" si="1"/>
        <v>800</v>
      </c>
      <c r="C83" s="185" t="s">
        <v>233</v>
      </c>
      <c r="D83" s="471" t="s">
        <v>234</v>
      </c>
      <c r="E83" s="193" t="s">
        <v>366</v>
      </c>
    </row>
    <row r="84" spans="1:5">
      <c r="A84" s="538" t="s">
        <v>214</v>
      </c>
      <c r="B84" s="178">
        <f t="shared" si="1"/>
        <v>810</v>
      </c>
      <c r="C84" s="194" t="s">
        <v>235</v>
      </c>
      <c r="D84" s="472" t="s">
        <v>236</v>
      </c>
      <c r="E84" s="195" t="s">
        <v>367</v>
      </c>
    </row>
    <row r="85" spans="1:5">
      <c r="A85" s="539"/>
      <c r="B85" s="181">
        <f t="shared" si="1"/>
        <v>820</v>
      </c>
      <c r="C85" s="196" t="s">
        <v>237</v>
      </c>
      <c r="D85" s="473" t="s">
        <v>23</v>
      </c>
      <c r="E85" s="197" t="s">
        <v>368</v>
      </c>
    </row>
    <row r="86" spans="1:5" ht="13.5" thickBot="1">
      <c r="A86" s="540"/>
      <c r="B86" s="184">
        <f t="shared" si="1"/>
        <v>830</v>
      </c>
      <c r="C86" s="185" t="s">
        <v>223</v>
      </c>
      <c r="D86" s="471" t="s">
        <v>238</v>
      </c>
      <c r="E86" s="193" t="s">
        <v>369</v>
      </c>
    </row>
    <row r="87" spans="1:5">
      <c r="A87" s="535" t="s">
        <v>22</v>
      </c>
      <c r="B87" s="178">
        <f t="shared" si="1"/>
        <v>840</v>
      </c>
      <c r="C87" s="198" t="s">
        <v>183</v>
      </c>
      <c r="D87" s="470" t="s">
        <v>24</v>
      </c>
      <c r="E87" s="187" t="s">
        <v>370</v>
      </c>
    </row>
    <row r="88" spans="1:5">
      <c r="A88" s="536"/>
      <c r="B88" s="181">
        <f t="shared" si="1"/>
        <v>850</v>
      </c>
      <c r="C88" s="172" t="s">
        <v>184</v>
      </c>
      <c r="D88" s="465" t="s">
        <v>25</v>
      </c>
      <c r="E88" s="188" t="s">
        <v>371</v>
      </c>
    </row>
    <row r="89" spans="1:5">
      <c r="A89" s="536"/>
      <c r="B89" s="181">
        <f t="shared" si="1"/>
        <v>860</v>
      </c>
      <c r="C89" s="173" t="s">
        <v>185</v>
      </c>
      <c r="D89" s="465" t="s">
        <v>26</v>
      </c>
      <c r="E89" s="188" t="s">
        <v>372</v>
      </c>
    </row>
    <row r="90" spans="1:5">
      <c r="A90" s="536"/>
      <c r="B90" s="181">
        <f t="shared" si="1"/>
        <v>870</v>
      </c>
      <c r="C90" s="172" t="s">
        <v>186</v>
      </c>
      <c r="D90" s="465" t="s">
        <v>187</v>
      </c>
      <c r="E90" s="188" t="s">
        <v>373</v>
      </c>
    </row>
    <row r="91" spans="1:5">
      <c r="A91" s="536"/>
      <c r="B91" s="181">
        <f t="shared" si="1"/>
        <v>880</v>
      </c>
      <c r="C91" s="172" t="s">
        <v>285</v>
      </c>
      <c r="D91" s="465" t="s">
        <v>286</v>
      </c>
      <c r="E91" s="188" t="s">
        <v>374</v>
      </c>
    </row>
    <row r="92" spans="1:5">
      <c r="A92" s="536"/>
      <c r="B92" s="181">
        <f t="shared" si="1"/>
        <v>890</v>
      </c>
      <c r="C92" s="172" t="s">
        <v>188</v>
      </c>
      <c r="D92" s="465" t="s">
        <v>27</v>
      </c>
      <c r="E92" s="188" t="s">
        <v>375</v>
      </c>
    </row>
    <row r="93" spans="1:5">
      <c r="A93" s="536"/>
      <c r="B93" s="181">
        <f t="shared" si="1"/>
        <v>900</v>
      </c>
      <c r="C93" s="172" t="s">
        <v>189</v>
      </c>
      <c r="D93" s="465" t="s">
        <v>28</v>
      </c>
      <c r="E93" s="188" t="s">
        <v>376</v>
      </c>
    </row>
    <row r="94" spans="1:5">
      <c r="A94" s="536"/>
      <c r="B94" s="181">
        <f t="shared" si="1"/>
        <v>910</v>
      </c>
      <c r="C94" s="172" t="s">
        <v>287</v>
      </c>
      <c r="D94" s="465" t="s">
        <v>288</v>
      </c>
      <c r="E94" s="188" t="s">
        <v>377</v>
      </c>
    </row>
    <row r="95" spans="1:5">
      <c r="A95" s="536"/>
      <c r="B95" s="181">
        <f t="shared" si="1"/>
        <v>920</v>
      </c>
      <c r="C95" s="172" t="s">
        <v>190</v>
      </c>
      <c r="D95" s="465" t="s">
        <v>29</v>
      </c>
      <c r="E95" s="188" t="s">
        <v>378</v>
      </c>
    </row>
    <row r="96" spans="1:5">
      <c r="A96" s="536"/>
      <c r="B96" s="181">
        <f t="shared" si="1"/>
        <v>930</v>
      </c>
      <c r="C96" s="172" t="s">
        <v>191</v>
      </c>
      <c r="D96" s="465" t="s">
        <v>30</v>
      </c>
      <c r="E96" s="188" t="s">
        <v>379</v>
      </c>
    </row>
    <row r="97" spans="1:5">
      <c r="A97" s="536"/>
      <c r="B97" s="181">
        <f t="shared" si="1"/>
        <v>940</v>
      </c>
      <c r="C97" s="172" t="s">
        <v>192</v>
      </c>
      <c r="D97" s="465" t="s">
        <v>31</v>
      </c>
      <c r="E97" s="188" t="s">
        <v>380</v>
      </c>
    </row>
    <row r="98" spans="1:5">
      <c r="A98" s="536"/>
      <c r="B98" s="181">
        <f t="shared" si="1"/>
        <v>950</v>
      </c>
      <c r="C98" s="172" t="s">
        <v>151</v>
      </c>
      <c r="D98" s="465" t="s">
        <v>17</v>
      </c>
      <c r="E98" s="188" t="s">
        <v>340</v>
      </c>
    </row>
    <row r="99" spans="1:5">
      <c r="A99" s="536"/>
      <c r="B99" s="181">
        <f t="shared" si="1"/>
        <v>960</v>
      </c>
      <c r="C99" s="172" t="s">
        <v>193</v>
      </c>
      <c r="D99" s="465" t="s">
        <v>16</v>
      </c>
      <c r="E99" s="188" t="s">
        <v>339</v>
      </c>
    </row>
    <row r="100" spans="1:5">
      <c r="A100" s="536"/>
      <c r="B100" s="181">
        <f t="shared" si="1"/>
        <v>970</v>
      </c>
      <c r="C100" s="172" t="s">
        <v>194</v>
      </c>
      <c r="D100" s="465" t="s">
        <v>32</v>
      </c>
      <c r="E100" s="188" t="s">
        <v>381</v>
      </c>
    </row>
    <row r="101" spans="1:5">
      <c r="A101" s="536"/>
      <c r="B101" s="181">
        <f t="shared" si="1"/>
        <v>980</v>
      </c>
      <c r="C101" s="172" t="s">
        <v>195</v>
      </c>
      <c r="D101" s="465" t="s">
        <v>33</v>
      </c>
      <c r="E101" s="188" t="s">
        <v>382</v>
      </c>
    </row>
    <row r="102" spans="1:5">
      <c r="A102" s="536"/>
      <c r="B102" s="181">
        <f t="shared" si="1"/>
        <v>990</v>
      </c>
      <c r="C102" s="172" t="s">
        <v>178</v>
      </c>
      <c r="D102" s="465" t="s">
        <v>196</v>
      </c>
      <c r="E102" s="188" t="s">
        <v>383</v>
      </c>
    </row>
    <row r="103" spans="1:5" ht="13.5" thickBot="1">
      <c r="A103" s="537"/>
      <c r="B103" s="184">
        <f t="shared" si="1"/>
        <v>1000</v>
      </c>
      <c r="C103" s="189" t="s">
        <v>197</v>
      </c>
      <c r="D103" s="467" t="s">
        <v>98</v>
      </c>
      <c r="E103" s="190" t="s">
        <v>384</v>
      </c>
    </row>
    <row r="104" spans="1:5">
      <c r="A104" s="532" t="s">
        <v>99</v>
      </c>
      <c r="B104" s="178">
        <f t="shared" si="1"/>
        <v>1010</v>
      </c>
      <c r="C104" s="194" t="s">
        <v>239</v>
      </c>
      <c r="D104" s="462" t="s">
        <v>20</v>
      </c>
      <c r="E104" s="180" t="s">
        <v>385</v>
      </c>
    </row>
    <row r="105" spans="1:5">
      <c r="A105" s="533"/>
      <c r="B105" s="181">
        <f t="shared" si="1"/>
        <v>1020</v>
      </c>
      <c r="C105" s="182" t="s">
        <v>230</v>
      </c>
      <c r="D105" s="463" t="s">
        <v>21</v>
      </c>
      <c r="E105" s="183" t="s">
        <v>364</v>
      </c>
    </row>
    <row r="106" spans="1:5" ht="13.5" thickBot="1">
      <c r="A106" s="534"/>
      <c r="B106" s="184">
        <f t="shared" si="1"/>
        <v>1030</v>
      </c>
      <c r="C106" s="185" t="s">
        <v>240</v>
      </c>
      <c r="D106" s="474" t="s">
        <v>241</v>
      </c>
      <c r="E106" s="199" t="s">
        <v>386</v>
      </c>
    </row>
  </sheetData>
  <sheetProtection algorithmName="SHA-512" hashValue="QMwpQa64U6pwvxFcniJqUaGCdyn5qSylN1REIu6JmU+ZOzeBJsBSXuHWwC2uQ45Zi3Z4O6sTmt4oxHRJcPKiOA==" saltValue="QsQQi617HY1LHUupS89Q+g==" spinCount="100000" sheet="1" objects="1" scenarios="1" selectLockedCells="1"/>
  <mergeCells count="7">
    <mergeCell ref="A104:A106"/>
    <mergeCell ref="A4:A23"/>
    <mergeCell ref="A24:A28"/>
    <mergeCell ref="A29:A78"/>
    <mergeCell ref="A79:A83"/>
    <mergeCell ref="A84:A86"/>
    <mergeCell ref="A87:A103"/>
  </mergeCells>
  <conditionalFormatting sqref="B4:D106">
    <cfRule type="expression" dxfId="177" priority="2">
      <formula>MOD(ROW(),2)=0</formula>
    </cfRule>
  </conditionalFormatting>
  <conditionalFormatting sqref="E4:E106">
    <cfRule type="expression" dxfId="176" priority="1">
      <formula>MOD(ROW(),2)=0</formula>
    </cfRule>
  </conditionalFormatting>
  <pageMargins left="0.98425196850393704" right="0.39370078740157483" top="0.39370078740157483" bottom="0.59055118110236227" header="0.31496062992125984" footer="0.31496062992125984"/>
  <pageSetup paperSize="9" scale="89" orientation="portrait" r:id="rId1"/>
  <headerFooter>
    <oddFooter>&amp;R&amp;8&amp;Z&amp;F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>
    <tabColor rgb="FFFFFF00"/>
  </sheetPr>
  <dimension ref="A1:AU110"/>
  <sheetViews>
    <sheetView zoomScaleNormal="100" workbookViewId="0">
      <pane xSplit="3" ySplit="7" topLeftCell="D8" activePane="bottomRight" state="frozen"/>
      <selection activeCell="C3" sqref="C3:C105"/>
      <selection pane="topRight" activeCell="C3" sqref="C3:C105"/>
      <selection pane="bottomLeft" activeCell="C3" sqref="C3:C105"/>
      <selection pane="bottomRight" activeCell="C10" sqref="C10"/>
    </sheetView>
  </sheetViews>
  <sheetFormatPr defaultColWidth="10.28515625" defaultRowHeight="12.75"/>
  <cols>
    <col min="1" max="1" width="3.5703125" style="303" customWidth="1"/>
    <col min="2" max="2" width="5" style="303" bestFit="1" customWidth="1"/>
    <col min="3" max="3" width="39.140625" style="303" bestFit="1" customWidth="1"/>
    <col min="4" max="8" width="10.28515625" style="309" customWidth="1"/>
    <col min="9" max="9" width="10.28515625" style="303" customWidth="1"/>
    <col min="10" max="10" width="11.7109375" style="303" bestFit="1" customWidth="1"/>
    <col min="11" max="14" width="10.28515625" style="303" customWidth="1"/>
    <col min="15" max="26" width="10.28515625" style="309" customWidth="1"/>
    <col min="27" max="44" width="10.28515625" style="303" customWidth="1"/>
    <col min="45" max="45" width="12.42578125" style="303" bestFit="1" customWidth="1"/>
    <col min="46" max="16384" width="10.28515625" style="303"/>
  </cols>
  <sheetData>
    <row r="1" spans="1:45" ht="31.5" customHeight="1" thickBot="1">
      <c r="B1" s="304"/>
      <c r="C1" s="305" t="str">
        <f>AS2</f>
        <v>L1 - Dia</v>
      </c>
      <c r="D1" s="208"/>
      <c r="E1" s="208"/>
      <c r="F1" s="208"/>
      <c r="G1" s="208"/>
      <c r="H1" s="208"/>
      <c r="I1" s="208"/>
      <c r="K1" s="208"/>
      <c r="L1" s="208"/>
      <c r="M1" s="208"/>
      <c r="N1" s="208"/>
      <c r="O1" s="208"/>
      <c r="P1" s="208" t="s">
        <v>261</v>
      </c>
      <c r="Q1" s="208" t="s">
        <v>106</v>
      </c>
      <c r="R1" s="208"/>
      <c r="S1" s="208"/>
      <c r="T1" s="208"/>
      <c r="U1" s="208"/>
      <c r="V1" s="208"/>
      <c r="W1" s="208"/>
      <c r="X1" s="208"/>
      <c r="Y1" s="208"/>
      <c r="Z1" s="208"/>
      <c r="AA1" s="208"/>
      <c r="AB1" s="208"/>
      <c r="AC1" s="208"/>
      <c r="AD1" s="208"/>
      <c r="AE1" s="208"/>
      <c r="AF1" s="208"/>
      <c r="AG1" s="208"/>
    </row>
    <row r="2" spans="1:45" ht="13.5" thickBot="1">
      <c r="A2" s="421"/>
      <c r="B2" s="422" t="s">
        <v>86</v>
      </c>
      <c r="C2" s="423" t="s">
        <v>244</v>
      </c>
      <c r="D2" s="454" t="str">
        <f ca="1">MID(CELL("nome.arquivo"),SEARCH(".xl",CELL("nome.arquivo"))-2,2)&amp;" / 21"&amp;MID(CELL("nome.arquivo"),SEARCH(".xl",CELL("nome.arquivo"))-4,2)</f>
        <v>03 / 2122</v>
      </c>
      <c r="E2" s="455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6"/>
      <c r="R2" s="456"/>
      <c r="S2" s="456"/>
      <c r="T2" s="456"/>
      <c r="U2" s="456"/>
      <c r="V2" s="456"/>
      <c r="W2" s="456"/>
      <c r="X2" s="456"/>
      <c r="Y2" s="456"/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6"/>
      <c r="AP2" s="456"/>
      <c r="AQ2" s="456"/>
      <c r="AR2" s="456"/>
      <c r="AS2" s="424" t="s">
        <v>245</v>
      </c>
    </row>
    <row r="3" spans="1:45">
      <c r="A3" s="550" t="s">
        <v>198</v>
      </c>
      <c r="B3" s="425">
        <v>10</v>
      </c>
      <c r="C3" s="426" t="str">
        <f>VLOOKUP(B3,'Tipos de Defeitos'!B4:E106,Menu!$B$24+1,)</f>
        <v>Data da Montagem</v>
      </c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213"/>
      <c r="AC3" s="213"/>
      <c r="AD3" s="213"/>
      <c r="AE3" s="213"/>
      <c r="AF3" s="213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318"/>
      <c r="AS3" s="407" t="s">
        <v>20</v>
      </c>
    </row>
    <row r="4" spans="1:45">
      <c r="A4" s="551"/>
      <c r="B4" s="427">
        <f>(B3/10+1)*10</f>
        <v>20</v>
      </c>
      <c r="C4" s="428" t="str">
        <f>VLOOKUP(B4,'Tipos de Defeitos'!B5:E107,Menu!$B$24+1,)</f>
        <v>Data do Acabamento</v>
      </c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09"/>
      <c r="AB4" s="209"/>
      <c r="AC4" s="209"/>
      <c r="AD4" s="209"/>
      <c r="AE4" s="209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320"/>
      <c r="AS4" s="408"/>
    </row>
    <row r="5" spans="1:45">
      <c r="A5" s="551"/>
      <c r="B5" s="427">
        <f t="shared" ref="B5:B71" si="0">(B4/10+1)*10</f>
        <v>30</v>
      </c>
      <c r="C5" s="428" t="str">
        <f>VLOOKUP(B5,'Tipos de Defeitos'!B6:E108,Menu!$B$24+1,)</f>
        <v>Descanso:</v>
      </c>
      <c r="D5" s="211" t="str">
        <f t="shared" ref="D5:E5" si="1">IF(D4="","",D4-D3)</f>
        <v/>
      </c>
      <c r="E5" s="211" t="str">
        <f t="shared" si="1"/>
        <v/>
      </c>
      <c r="F5" s="211" t="str">
        <f t="shared" ref="F5" si="2">IF(F4="","",F4-F3)</f>
        <v/>
      </c>
      <c r="G5" s="211" t="str">
        <f t="shared" ref="G5:M5" si="3">IF(G4="","",G4-G3)</f>
        <v/>
      </c>
      <c r="H5" s="211" t="str">
        <f t="shared" si="3"/>
        <v/>
      </c>
      <c r="I5" s="211" t="str">
        <f t="shared" si="3"/>
        <v/>
      </c>
      <c r="J5" s="211" t="str">
        <f t="shared" si="3"/>
        <v/>
      </c>
      <c r="K5" s="211" t="str">
        <f t="shared" si="3"/>
        <v/>
      </c>
      <c r="L5" s="211" t="str">
        <f t="shared" si="3"/>
        <v/>
      </c>
      <c r="M5" s="211" t="str">
        <f t="shared" si="3"/>
        <v/>
      </c>
      <c r="N5" s="211" t="str">
        <f t="shared" ref="N5:O5" si="4">IF(N4="","",N4-N3)</f>
        <v/>
      </c>
      <c r="O5" s="211" t="str">
        <f t="shared" si="4"/>
        <v/>
      </c>
      <c r="P5" s="211" t="str">
        <f t="shared" ref="P5:R5" si="5">IF(P4="","",P4-P3)</f>
        <v/>
      </c>
      <c r="Q5" s="211" t="str">
        <f t="shared" si="5"/>
        <v/>
      </c>
      <c r="R5" s="211" t="str">
        <f t="shared" si="5"/>
        <v/>
      </c>
      <c r="S5" s="211" t="str">
        <f t="shared" ref="S5:AE5" si="6">IF(S4="","",S4-S3)</f>
        <v/>
      </c>
      <c r="T5" s="211" t="str">
        <f t="shared" ref="T5" si="7">IF(T4="","",T4-T3)</f>
        <v/>
      </c>
      <c r="U5" s="211" t="str">
        <f t="shared" si="6"/>
        <v/>
      </c>
      <c r="V5" s="211" t="str">
        <f t="shared" si="6"/>
        <v/>
      </c>
      <c r="W5" s="211" t="str">
        <f t="shared" si="6"/>
        <v/>
      </c>
      <c r="X5" s="211" t="str">
        <f t="shared" si="6"/>
        <v/>
      </c>
      <c r="Y5" s="211" t="str">
        <f t="shared" si="6"/>
        <v/>
      </c>
      <c r="Z5" s="211" t="str">
        <f t="shared" si="6"/>
        <v/>
      </c>
      <c r="AA5" s="211" t="str">
        <f t="shared" si="6"/>
        <v/>
      </c>
      <c r="AB5" s="211" t="str">
        <f t="shared" si="6"/>
        <v/>
      </c>
      <c r="AC5" s="211" t="str">
        <f t="shared" si="6"/>
        <v/>
      </c>
      <c r="AD5" s="211" t="str">
        <f t="shared" si="6"/>
        <v/>
      </c>
      <c r="AE5" s="211" t="str">
        <f t="shared" si="6"/>
        <v/>
      </c>
      <c r="AF5" s="211" t="str">
        <f t="shared" ref="AF5:AM5" si="8">IF(AF4="","",AF4-AF3)</f>
        <v/>
      </c>
      <c r="AG5" s="211" t="str">
        <f t="shared" si="8"/>
        <v/>
      </c>
      <c r="AH5" s="211" t="str">
        <f t="shared" si="8"/>
        <v/>
      </c>
      <c r="AI5" s="211" t="str">
        <f t="shared" si="8"/>
        <v/>
      </c>
      <c r="AJ5" s="211" t="str">
        <f t="shared" si="8"/>
        <v/>
      </c>
      <c r="AK5" s="211" t="str">
        <f t="shared" si="8"/>
        <v/>
      </c>
      <c r="AL5" s="211" t="str">
        <f t="shared" si="8"/>
        <v/>
      </c>
      <c r="AM5" s="211" t="str">
        <f t="shared" si="8"/>
        <v/>
      </c>
      <c r="AN5" s="211" t="str">
        <f t="shared" ref="AN5:AQ5" si="9">IF(AN4="","",AN4-AN3)</f>
        <v/>
      </c>
      <c r="AO5" s="211" t="str">
        <f t="shared" si="9"/>
        <v/>
      </c>
      <c r="AP5" s="211" t="str">
        <f t="shared" si="9"/>
        <v/>
      </c>
      <c r="AQ5" s="211" t="str">
        <f t="shared" si="9"/>
        <v/>
      </c>
      <c r="AR5" s="321"/>
      <c r="AS5" s="369"/>
    </row>
    <row r="6" spans="1:45">
      <c r="A6" s="551"/>
      <c r="B6" s="427">
        <f t="shared" si="0"/>
        <v>40</v>
      </c>
      <c r="C6" s="428" t="str">
        <f>VLOOKUP(B6,'Tipos de Defeitos'!B7:E109,Menu!$B$24+1,)</f>
        <v>Modelo</v>
      </c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212"/>
      <c r="AG6" s="212"/>
      <c r="AH6" s="212"/>
      <c r="AI6" s="212"/>
      <c r="AJ6" s="212"/>
      <c r="AK6" s="212"/>
      <c r="AL6" s="212"/>
      <c r="AM6" s="212"/>
      <c r="AN6" s="212"/>
      <c r="AO6" s="212"/>
      <c r="AP6" s="212"/>
      <c r="AQ6" s="212"/>
      <c r="AR6" s="323"/>
      <c r="AS6" s="409"/>
    </row>
    <row r="7" spans="1:45" ht="13.5" thickBot="1">
      <c r="A7" s="551"/>
      <c r="B7" s="429">
        <f t="shared" si="0"/>
        <v>50</v>
      </c>
      <c r="C7" s="430" t="str">
        <f>VLOOKUP(B7,'Tipos de Defeitos'!B8:E110,Menu!$B$24+1,)</f>
        <v>Qtd de Produção (pçs)</v>
      </c>
      <c r="D7" s="286"/>
      <c r="E7" s="286"/>
      <c r="F7" s="286"/>
      <c r="G7" s="286"/>
      <c r="H7" s="286"/>
      <c r="I7" s="286"/>
      <c r="J7" s="286"/>
      <c r="K7" s="286"/>
      <c r="L7" s="286"/>
      <c r="M7" s="286"/>
      <c r="N7" s="286"/>
      <c r="O7" s="286"/>
      <c r="P7" s="286"/>
      <c r="Q7" s="286"/>
      <c r="R7" s="286"/>
      <c r="S7" s="286"/>
      <c r="T7" s="286"/>
      <c r="U7" s="286"/>
      <c r="V7" s="286"/>
      <c r="W7" s="286"/>
      <c r="X7" s="306"/>
      <c r="Y7" s="306"/>
      <c r="Z7" s="307"/>
      <c r="AA7" s="286"/>
      <c r="AB7" s="286"/>
      <c r="AC7" s="286"/>
      <c r="AD7" s="325"/>
      <c r="AE7" s="325"/>
      <c r="AF7" s="326"/>
      <c r="AG7" s="326"/>
      <c r="AH7" s="326"/>
      <c r="AI7" s="326"/>
      <c r="AJ7" s="326"/>
      <c r="AK7" s="326"/>
      <c r="AL7" s="326"/>
      <c r="AM7" s="326"/>
      <c r="AN7" s="326"/>
      <c r="AO7" s="326"/>
      <c r="AP7" s="326"/>
      <c r="AQ7" s="326"/>
      <c r="AR7" s="327"/>
      <c r="AS7" s="370">
        <f t="array" ref="AS7">SUM(IF(D$5:AR$5&lt;&gt;"",D7:AR7))</f>
        <v>0</v>
      </c>
    </row>
    <row r="8" spans="1:45">
      <c r="A8" s="551"/>
      <c r="B8" s="431">
        <f t="shared" si="0"/>
        <v>60</v>
      </c>
      <c r="C8" s="432" t="str">
        <f>VLOOKUP(B8,'Tipos de Defeitos'!B9:E111,Menu!$B$24+1,)</f>
        <v>GME - Fornecedor</v>
      </c>
      <c r="D8" s="253"/>
      <c r="E8" s="253"/>
      <c r="F8" s="253"/>
      <c r="G8" s="253"/>
      <c r="H8" s="253"/>
      <c r="I8" s="253"/>
      <c r="J8" s="253"/>
      <c r="K8" s="253"/>
      <c r="L8" s="253"/>
      <c r="M8" s="253"/>
      <c r="N8" s="253"/>
      <c r="O8" s="253"/>
      <c r="P8" s="253"/>
      <c r="Q8" s="253"/>
      <c r="R8" s="253"/>
      <c r="S8" s="253"/>
      <c r="T8" s="253"/>
      <c r="U8" s="253"/>
      <c r="V8" s="253"/>
      <c r="W8" s="253"/>
      <c r="X8" s="253"/>
      <c r="Y8" s="253"/>
      <c r="Z8" s="253"/>
      <c r="AA8" s="253"/>
      <c r="AB8" s="253"/>
      <c r="AC8" s="253"/>
      <c r="AD8" s="253"/>
      <c r="AE8" s="253"/>
      <c r="AF8" s="253"/>
      <c r="AG8" s="253"/>
      <c r="AH8" s="253"/>
      <c r="AI8" s="253"/>
      <c r="AJ8" s="253"/>
      <c r="AK8" s="253"/>
      <c r="AL8" s="253"/>
      <c r="AM8" s="253"/>
      <c r="AN8" s="253"/>
      <c r="AO8" s="253"/>
      <c r="AP8" s="253"/>
      <c r="AQ8" s="253"/>
      <c r="AR8" s="329"/>
      <c r="AS8" s="411"/>
    </row>
    <row r="9" spans="1:45">
      <c r="A9" s="551"/>
      <c r="B9" s="427">
        <f t="shared" si="0"/>
        <v>70</v>
      </c>
      <c r="C9" s="433" t="str">
        <f>VLOOKUP(B9,'Tipos de Defeitos'!B10:E112,Menu!$B$24+1,)</f>
        <v>Nº Lote</v>
      </c>
      <c r="D9" s="253"/>
      <c r="E9" s="253"/>
      <c r="F9" s="253"/>
      <c r="G9" s="253"/>
      <c r="H9" s="253"/>
      <c r="I9" s="253"/>
      <c r="J9" s="253"/>
      <c r="K9" s="253"/>
      <c r="L9" s="253"/>
      <c r="M9" s="253"/>
      <c r="N9" s="253"/>
      <c r="O9" s="253"/>
      <c r="P9" s="253"/>
      <c r="Q9" s="253"/>
      <c r="R9" s="253"/>
      <c r="S9" s="253"/>
      <c r="T9" s="253"/>
      <c r="U9" s="253"/>
      <c r="V9" s="253"/>
      <c r="W9" s="253"/>
      <c r="X9" s="253"/>
      <c r="Y9" s="253"/>
      <c r="Z9" s="253"/>
      <c r="AA9" s="253"/>
      <c r="AB9" s="253"/>
      <c r="AC9" s="253"/>
      <c r="AD9" s="333"/>
      <c r="AE9" s="254"/>
      <c r="AF9" s="254"/>
      <c r="AG9" s="254"/>
      <c r="AH9" s="254"/>
      <c r="AI9" s="254"/>
      <c r="AJ9" s="254"/>
      <c r="AK9" s="254"/>
      <c r="AL9" s="254"/>
      <c r="AM9" s="254"/>
      <c r="AN9" s="254"/>
      <c r="AO9" s="254"/>
      <c r="AP9" s="254"/>
      <c r="AQ9" s="254"/>
      <c r="AR9" s="331"/>
      <c r="AS9" s="409"/>
    </row>
    <row r="10" spans="1:45">
      <c r="A10" s="551"/>
      <c r="B10" s="427">
        <f t="shared" si="0"/>
        <v>80</v>
      </c>
      <c r="C10" s="433" t="str">
        <f>VLOOKUP(B10,'Tipos de Defeitos'!B11:E113,Menu!$B$24+1,)</f>
        <v>Qtd</v>
      </c>
      <c r="D10" s="254"/>
      <c r="E10" s="254"/>
      <c r="F10" s="254"/>
      <c r="G10" s="254"/>
      <c r="H10" s="254"/>
      <c r="I10" s="254"/>
      <c r="J10" s="254"/>
      <c r="K10" s="254"/>
      <c r="L10" s="254"/>
      <c r="M10" s="254"/>
      <c r="N10" s="254"/>
      <c r="O10" s="254"/>
      <c r="P10" s="254"/>
      <c r="Q10" s="254"/>
      <c r="R10" s="254"/>
      <c r="S10" s="254"/>
      <c r="T10" s="254"/>
      <c r="U10" s="254"/>
      <c r="V10" s="254"/>
      <c r="W10" s="254"/>
      <c r="X10" s="254"/>
      <c r="Y10" s="254"/>
      <c r="Z10" s="254"/>
      <c r="AA10" s="254"/>
      <c r="AB10" s="254"/>
      <c r="AC10" s="254"/>
      <c r="AD10" s="254"/>
      <c r="AE10" s="254"/>
      <c r="AF10" s="254"/>
      <c r="AG10" s="254"/>
      <c r="AH10" s="254"/>
      <c r="AI10" s="254"/>
      <c r="AJ10" s="254"/>
      <c r="AK10" s="254"/>
      <c r="AL10" s="254"/>
      <c r="AM10" s="254"/>
      <c r="AN10" s="254"/>
      <c r="AO10" s="254"/>
      <c r="AP10" s="254"/>
      <c r="AQ10" s="254"/>
      <c r="AR10" s="331"/>
      <c r="AS10" s="409"/>
    </row>
    <row r="11" spans="1:45">
      <c r="A11" s="551"/>
      <c r="B11" s="427">
        <f t="shared" si="0"/>
        <v>90</v>
      </c>
      <c r="C11" s="433" t="str">
        <f>VLOOKUP(B11,'Tipos de Defeitos'!B12:E114,Menu!$B$24+1,)</f>
        <v>GMT - Fornecedor</v>
      </c>
      <c r="D11" s="254"/>
      <c r="E11" s="254"/>
      <c r="F11" s="254"/>
      <c r="G11" s="254"/>
      <c r="H11" s="254"/>
      <c r="I11" s="254"/>
      <c r="J11" s="254"/>
      <c r="K11" s="254"/>
      <c r="L11" s="254"/>
      <c r="M11" s="254"/>
      <c r="N11" s="254"/>
      <c r="O11" s="254"/>
      <c r="P11" s="254"/>
      <c r="Q11" s="254"/>
      <c r="R11" s="254"/>
      <c r="S11" s="254"/>
      <c r="T11" s="254"/>
      <c r="U11" s="254"/>
      <c r="V11" s="254"/>
      <c r="W11" s="254"/>
      <c r="X11" s="254"/>
      <c r="Y11" s="254"/>
      <c r="Z11" s="254"/>
      <c r="AA11" s="254"/>
      <c r="AB11" s="254"/>
      <c r="AC11" s="254"/>
      <c r="AD11" s="254"/>
      <c r="AE11" s="254"/>
      <c r="AF11" s="254"/>
      <c r="AG11" s="254"/>
      <c r="AH11" s="254"/>
      <c r="AI11" s="254"/>
      <c r="AJ11" s="254"/>
      <c r="AK11" s="254"/>
      <c r="AL11" s="254"/>
      <c r="AM11" s="254"/>
      <c r="AN11" s="254"/>
      <c r="AO11" s="254"/>
      <c r="AP11" s="254"/>
      <c r="AQ11" s="254"/>
      <c r="AR11" s="331"/>
      <c r="AS11" s="409"/>
    </row>
    <row r="12" spans="1:45">
      <c r="A12" s="551"/>
      <c r="B12" s="427">
        <f t="shared" si="0"/>
        <v>100</v>
      </c>
      <c r="C12" s="433" t="str">
        <f>VLOOKUP(B12,'Tipos de Defeitos'!B13:E115,Menu!$B$24+1,)</f>
        <v>Nº Lote</v>
      </c>
      <c r="D12" s="254"/>
      <c r="E12" s="254"/>
      <c r="F12" s="254"/>
      <c r="G12" s="254"/>
      <c r="H12" s="254"/>
      <c r="I12" s="254"/>
      <c r="J12" s="254"/>
      <c r="K12" s="254"/>
      <c r="L12" s="254"/>
      <c r="M12" s="254"/>
      <c r="N12" s="254"/>
      <c r="O12" s="254"/>
      <c r="P12" s="254"/>
      <c r="Q12" s="254"/>
      <c r="R12" s="254"/>
      <c r="S12" s="254"/>
      <c r="T12" s="254"/>
      <c r="U12" s="254"/>
      <c r="V12" s="254"/>
      <c r="W12" s="254"/>
      <c r="X12" s="254"/>
      <c r="Y12" s="254"/>
      <c r="Z12" s="254"/>
      <c r="AA12" s="254"/>
      <c r="AB12" s="254"/>
      <c r="AC12" s="254"/>
      <c r="AD12" s="254"/>
      <c r="AE12" s="254"/>
      <c r="AF12" s="254"/>
      <c r="AG12" s="254"/>
      <c r="AH12" s="254"/>
      <c r="AI12" s="254"/>
      <c r="AJ12" s="254"/>
      <c r="AK12" s="254"/>
      <c r="AL12" s="254"/>
      <c r="AM12" s="254"/>
      <c r="AN12" s="254"/>
      <c r="AO12" s="254"/>
      <c r="AP12" s="254"/>
      <c r="AQ12" s="254"/>
      <c r="AR12" s="331"/>
      <c r="AS12" s="409"/>
    </row>
    <row r="13" spans="1:45">
      <c r="A13" s="551"/>
      <c r="B13" s="427">
        <f t="shared" si="0"/>
        <v>110</v>
      </c>
      <c r="C13" s="433" t="str">
        <f>VLOOKUP(B13,'Tipos de Defeitos'!B14:E116,Menu!$B$24+1,)</f>
        <v>Qtd</v>
      </c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4"/>
      <c r="R13" s="254"/>
      <c r="S13" s="254"/>
      <c r="T13" s="254"/>
      <c r="U13" s="254"/>
      <c r="V13" s="254"/>
      <c r="W13" s="254"/>
      <c r="X13" s="254"/>
      <c r="Y13" s="254"/>
      <c r="Z13" s="254"/>
      <c r="AA13" s="254"/>
      <c r="AB13" s="254"/>
      <c r="AC13" s="254"/>
      <c r="AD13" s="254"/>
      <c r="AE13" s="254"/>
      <c r="AF13" s="254"/>
      <c r="AG13" s="254"/>
      <c r="AH13" s="254"/>
      <c r="AI13" s="254"/>
      <c r="AJ13" s="254"/>
      <c r="AK13" s="254"/>
      <c r="AL13" s="254"/>
      <c r="AM13" s="254"/>
      <c r="AN13" s="254"/>
      <c r="AO13" s="254"/>
      <c r="AP13" s="254"/>
      <c r="AQ13" s="254"/>
      <c r="AR13" s="331"/>
      <c r="AS13" s="409"/>
    </row>
    <row r="14" spans="1:45">
      <c r="A14" s="551"/>
      <c r="B14" s="427">
        <f t="shared" si="0"/>
        <v>120</v>
      </c>
      <c r="C14" s="433" t="str">
        <f>VLOOKUP(B14,'Tipos de Defeitos'!B15:E117,Menu!$B$24+1,)</f>
        <v>GCA - Fornecedor</v>
      </c>
      <c r="D14" s="254"/>
      <c r="E14" s="254"/>
      <c r="F14" s="254"/>
      <c r="G14" s="254"/>
      <c r="H14" s="254"/>
      <c r="I14" s="254"/>
      <c r="J14" s="254"/>
      <c r="K14" s="254"/>
      <c r="L14" s="254"/>
      <c r="M14" s="254"/>
      <c r="N14" s="254"/>
      <c r="O14" s="254"/>
      <c r="P14" s="254"/>
      <c r="Q14" s="254"/>
      <c r="R14" s="254"/>
      <c r="S14" s="254"/>
      <c r="T14" s="254"/>
      <c r="U14" s="254"/>
      <c r="V14" s="254"/>
      <c r="W14" s="254"/>
      <c r="X14" s="254"/>
      <c r="Y14" s="254"/>
      <c r="Z14" s="254"/>
      <c r="AA14" s="254"/>
      <c r="AB14" s="254"/>
      <c r="AC14" s="254"/>
      <c r="AD14" s="254"/>
      <c r="AE14" s="254"/>
      <c r="AF14" s="254"/>
      <c r="AG14" s="254"/>
      <c r="AH14" s="254"/>
      <c r="AI14" s="254"/>
      <c r="AJ14" s="254"/>
      <c r="AK14" s="254"/>
      <c r="AL14" s="254"/>
      <c r="AM14" s="254"/>
      <c r="AN14" s="254"/>
      <c r="AO14" s="254"/>
      <c r="AP14" s="254"/>
      <c r="AQ14" s="254"/>
      <c r="AR14" s="331"/>
      <c r="AS14" s="409"/>
    </row>
    <row r="15" spans="1:45">
      <c r="A15" s="551"/>
      <c r="B15" s="427">
        <f t="shared" si="0"/>
        <v>130</v>
      </c>
      <c r="C15" s="433" t="str">
        <f>VLOOKUP(B15,'Tipos de Defeitos'!B16:E118,Menu!$B$24+1,)</f>
        <v>Lot.</v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4"/>
      <c r="AJ15" s="254"/>
      <c r="AK15" s="254"/>
      <c r="AL15" s="254"/>
      <c r="AM15" s="254"/>
      <c r="AN15" s="254"/>
      <c r="AO15" s="254"/>
      <c r="AP15" s="254"/>
      <c r="AQ15" s="254"/>
      <c r="AR15" s="331"/>
      <c r="AS15" s="409"/>
    </row>
    <row r="16" spans="1:45">
      <c r="A16" s="551"/>
      <c r="B16" s="427">
        <f t="shared" si="0"/>
        <v>140</v>
      </c>
      <c r="C16" s="433" t="str">
        <f>VLOOKUP(B16,'Tipos de Defeitos'!B17:E119,Menu!$B$24+1,)</f>
        <v>Qtd</v>
      </c>
      <c r="D16" s="254"/>
      <c r="E16" s="254"/>
      <c r="F16" s="254"/>
      <c r="G16" s="254"/>
      <c r="H16" s="254"/>
      <c r="I16" s="254"/>
      <c r="J16" s="254"/>
      <c r="K16" s="254"/>
      <c r="L16" s="254"/>
      <c r="M16" s="254"/>
      <c r="N16" s="254"/>
      <c r="O16" s="254"/>
      <c r="P16" s="254"/>
      <c r="Q16" s="254"/>
      <c r="R16" s="254"/>
      <c r="S16" s="254"/>
      <c r="T16" s="254"/>
      <c r="U16" s="254"/>
      <c r="V16" s="254"/>
      <c r="W16" s="254"/>
      <c r="X16" s="254"/>
      <c r="Y16" s="254"/>
      <c r="Z16" s="254"/>
      <c r="AA16" s="254"/>
      <c r="AB16" s="254"/>
      <c r="AC16" s="254"/>
      <c r="AD16" s="254"/>
      <c r="AE16" s="254"/>
      <c r="AF16" s="254"/>
      <c r="AG16" s="254"/>
      <c r="AH16" s="254"/>
      <c r="AI16" s="254"/>
      <c r="AJ16" s="254"/>
      <c r="AK16" s="254"/>
      <c r="AL16" s="254"/>
      <c r="AM16" s="254"/>
      <c r="AN16" s="254"/>
      <c r="AO16" s="254"/>
      <c r="AP16" s="254"/>
      <c r="AQ16" s="254"/>
      <c r="AR16" s="331"/>
      <c r="AS16" s="409"/>
    </row>
    <row r="17" spans="1:47">
      <c r="A17" s="551"/>
      <c r="B17" s="427">
        <f t="shared" si="0"/>
        <v>150</v>
      </c>
      <c r="C17" s="433" t="str">
        <f>VLOOKUP(B17,'Tipos de Defeitos'!B18:E120,Menu!$B$24+1,)</f>
        <v>GZO - Fornecedor</v>
      </c>
      <c r="D17" s="254"/>
      <c r="E17" s="254"/>
      <c r="F17" s="254"/>
      <c r="G17" s="254"/>
      <c r="H17" s="254"/>
      <c r="I17" s="254"/>
      <c r="J17" s="254"/>
      <c r="K17" s="254"/>
      <c r="L17" s="254"/>
      <c r="M17" s="254"/>
      <c r="N17" s="254"/>
      <c r="O17" s="254"/>
      <c r="P17" s="254"/>
      <c r="Q17" s="254"/>
      <c r="R17" s="254"/>
      <c r="S17" s="254"/>
      <c r="T17" s="254"/>
      <c r="U17" s="254"/>
      <c r="V17" s="254"/>
      <c r="W17" s="254"/>
      <c r="X17" s="254"/>
      <c r="Y17" s="254"/>
      <c r="Z17" s="254"/>
      <c r="AA17" s="254"/>
      <c r="AB17" s="254"/>
      <c r="AC17" s="254"/>
      <c r="AD17" s="254"/>
      <c r="AE17" s="254"/>
      <c r="AF17" s="254"/>
      <c r="AG17" s="254"/>
      <c r="AH17" s="254"/>
      <c r="AI17" s="254"/>
      <c r="AJ17" s="254"/>
      <c r="AK17" s="254"/>
      <c r="AL17" s="254"/>
      <c r="AM17" s="254"/>
      <c r="AN17" s="254"/>
      <c r="AO17" s="254"/>
      <c r="AP17" s="254"/>
      <c r="AQ17" s="254"/>
      <c r="AR17" s="331"/>
      <c r="AS17" s="409"/>
    </row>
    <row r="18" spans="1:47">
      <c r="A18" s="551"/>
      <c r="B18" s="427">
        <f t="shared" si="0"/>
        <v>160</v>
      </c>
      <c r="C18" s="433" t="str">
        <f>VLOOKUP(B18,'Tipos de Defeitos'!B19:E121,Menu!$B$24+1,)</f>
        <v>Nº Lote</v>
      </c>
      <c r="D18" s="254"/>
      <c r="E18" s="254"/>
      <c r="F18" s="254"/>
      <c r="G18" s="254"/>
      <c r="H18" s="254"/>
      <c r="I18" s="254"/>
      <c r="J18" s="254"/>
      <c r="K18" s="254"/>
      <c r="L18" s="254"/>
      <c r="M18" s="254"/>
      <c r="N18" s="254"/>
      <c r="O18" s="254"/>
      <c r="P18" s="254"/>
      <c r="Q18" s="254"/>
      <c r="R18" s="254"/>
      <c r="S18" s="254"/>
      <c r="T18" s="254"/>
      <c r="U18" s="254"/>
      <c r="V18" s="254"/>
      <c r="W18" s="254"/>
      <c r="X18" s="254"/>
      <c r="Y18" s="254"/>
      <c r="Z18" s="254"/>
      <c r="AA18" s="254"/>
      <c r="AB18" s="254"/>
      <c r="AC18" s="254"/>
      <c r="AD18" s="254"/>
      <c r="AE18" s="254"/>
      <c r="AF18" s="254"/>
      <c r="AG18" s="254"/>
      <c r="AH18" s="254"/>
      <c r="AI18" s="254"/>
      <c r="AJ18" s="254"/>
      <c r="AK18" s="254"/>
      <c r="AL18" s="254"/>
      <c r="AM18" s="254"/>
      <c r="AN18" s="254"/>
      <c r="AO18" s="254"/>
      <c r="AP18" s="254"/>
      <c r="AQ18" s="254"/>
      <c r="AR18" s="331"/>
      <c r="AS18" s="409"/>
    </row>
    <row r="19" spans="1:47">
      <c r="A19" s="552"/>
      <c r="B19" s="434">
        <f t="shared" si="0"/>
        <v>170</v>
      </c>
      <c r="C19" s="435" t="str">
        <f>VLOOKUP(B19,'Tipos de Defeitos'!B20:E122,Menu!$B$24+1,)</f>
        <v>Qtd</v>
      </c>
      <c r="D19" s="283"/>
      <c r="E19" s="283"/>
      <c r="F19" s="283"/>
      <c r="G19" s="283"/>
      <c r="H19" s="283"/>
      <c r="I19" s="283"/>
      <c r="J19" s="283"/>
      <c r="K19" s="283"/>
      <c r="L19" s="283"/>
      <c r="M19" s="283"/>
      <c r="N19" s="283"/>
      <c r="O19" s="283"/>
      <c r="P19" s="283"/>
      <c r="Q19" s="283"/>
      <c r="R19" s="283"/>
      <c r="S19" s="283"/>
      <c r="T19" s="283"/>
      <c r="U19" s="283"/>
      <c r="V19" s="283"/>
      <c r="W19" s="283"/>
      <c r="X19" s="283"/>
      <c r="Y19" s="283"/>
      <c r="Z19" s="283"/>
      <c r="AA19" s="283"/>
      <c r="AB19" s="283"/>
      <c r="AC19" s="283"/>
      <c r="AD19" s="283"/>
      <c r="AE19" s="283"/>
      <c r="AF19" s="283"/>
      <c r="AG19" s="283"/>
      <c r="AH19" s="283"/>
      <c r="AI19" s="283"/>
      <c r="AJ19" s="283"/>
      <c r="AK19" s="283"/>
      <c r="AL19" s="283"/>
      <c r="AM19" s="283"/>
      <c r="AN19" s="283"/>
      <c r="AO19" s="283"/>
      <c r="AP19" s="283"/>
      <c r="AQ19" s="283"/>
      <c r="AR19" s="335"/>
      <c r="AS19" s="413"/>
    </row>
    <row r="20" spans="1:47">
      <c r="A20" s="552"/>
      <c r="B20" s="434">
        <f t="shared" si="0"/>
        <v>180</v>
      </c>
      <c r="C20" s="435" t="str">
        <f>VLOOKUP(B20,'Tipos de Defeitos'!B21:E123,Menu!$B$24+1,)</f>
        <v>Solução nº 125 Qtd</v>
      </c>
      <c r="D20" s="255"/>
      <c r="E20" s="255"/>
      <c r="F20" s="255"/>
      <c r="G20" s="255"/>
      <c r="H20" s="255"/>
      <c r="I20" s="255"/>
      <c r="J20" s="255"/>
      <c r="K20" s="255"/>
      <c r="L20" s="255"/>
      <c r="M20" s="255"/>
      <c r="N20" s="255"/>
      <c r="O20" s="255"/>
      <c r="P20" s="255"/>
      <c r="Q20" s="255"/>
      <c r="R20" s="255"/>
      <c r="S20" s="255"/>
      <c r="T20" s="255"/>
      <c r="U20" s="255"/>
      <c r="V20" s="255"/>
      <c r="W20" s="255"/>
      <c r="X20" s="255"/>
      <c r="Y20" s="255"/>
      <c r="Z20" s="255"/>
      <c r="AA20" s="255"/>
      <c r="AB20" s="255"/>
      <c r="AC20" s="255"/>
      <c r="AD20" s="255"/>
      <c r="AE20" s="255"/>
      <c r="AF20" s="255"/>
      <c r="AG20" s="255"/>
      <c r="AH20" s="255"/>
      <c r="AI20" s="255"/>
      <c r="AJ20" s="255"/>
      <c r="AK20" s="255"/>
      <c r="AL20" s="255"/>
      <c r="AM20" s="255"/>
      <c r="AN20" s="255"/>
      <c r="AO20" s="255"/>
      <c r="AP20" s="255"/>
      <c r="AQ20" s="255"/>
      <c r="AR20" s="335"/>
      <c r="AS20" s="413"/>
    </row>
    <row r="21" spans="1:47">
      <c r="A21" s="552"/>
      <c r="B21" s="434">
        <f t="shared" si="0"/>
        <v>190</v>
      </c>
      <c r="C21" s="435" t="str">
        <f>VLOOKUP(B21,'Tipos de Defeitos'!B22:E124,Menu!$B$24+1,)</f>
        <v>Carvão - Fornecedor</v>
      </c>
      <c r="D21" s="255"/>
      <c r="E21" s="255"/>
      <c r="F21" s="255"/>
      <c r="G21" s="255"/>
      <c r="H21" s="255"/>
      <c r="I21" s="255"/>
      <c r="J21" s="255"/>
      <c r="K21" s="255"/>
      <c r="L21" s="255"/>
      <c r="M21" s="255"/>
      <c r="N21" s="255"/>
      <c r="O21" s="255"/>
      <c r="P21" s="255"/>
      <c r="Q21" s="255"/>
      <c r="R21" s="255"/>
      <c r="S21" s="255"/>
      <c r="T21" s="255"/>
      <c r="U21" s="255"/>
      <c r="V21" s="255"/>
      <c r="W21" s="255"/>
      <c r="X21" s="255"/>
      <c r="Y21" s="255"/>
      <c r="Z21" s="255"/>
      <c r="AA21" s="255"/>
      <c r="AB21" s="255"/>
      <c r="AC21" s="255"/>
      <c r="AD21" s="255"/>
      <c r="AE21" s="255"/>
      <c r="AF21" s="255"/>
      <c r="AG21" s="255"/>
      <c r="AH21" s="255"/>
      <c r="AI21" s="255"/>
      <c r="AJ21" s="255"/>
      <c r="AK21" s="255"/>
      <c r="AL21" s="255"/>
      <c r="AM21" s="255"/>
      <c r="AN21" s="255"/>
      <c r="AO21" s="255"/>
      <c r="AP21" s="255"/>
      <c r="AQ21" s="255"/>
      <c r="AR21" s="335"/>
      <c r="AS21" s="413"/>
    </row>
    <row r="22" spans="1:47" ht="13.5" thickBot="1">
      <c r="A22" s="553"/>
      <c r="B22" s="434">
        <f t="shared" si="0"/>
        <v>200</v>
      </c>
      <c r="C22" s="435" t="str">
        <f>VLOOKUP(B22,'Tipos de Defeitos'!B23:E125,Menu!$B$24+1,)</f>
        <v>Nº Lote</v>
      </c>
      <c r="D22" s="256"/>
      <c r="E22" s="256"/>
      <c r="F22" s="256"/>
      <c r="G22" s="256"/>
      <c r="H22" s="256"/>
      <c r="I22" s="256"/>
      <c r="J22" s="256"/>
      <c r="K22" s="256"/>
      <c r="L22" s="256"/>
      <c r="M22" s="256"/>
      <c r="N22" s="256"/>
      <c r="O22" s="256"/>
      <c r="P22" s="256"/>
      <c r="Q22" s="256"/>
      <c r="R22" s="256"/>
      <c r="S22" s="256"/>
      <c r="T22" s="256"/>
      <c r="U22" s="256"/>
      <c r="V22" s="256"/>
      <c r="W22" s="256"/>
      <c r="X22" s="256"/>
      <c r="Y22" s="256"/>
      <c r="Z22" s="256"/>
      <c r="AA22" s="256"/>
      <c r="AB22" s="256"/>
      <c r="AC22" s="256"/>
      <c r="AD22" s="256"/>
      <c r="AE22" s="256"/>
      <c r="AF22" s="256"/>
      <c r="AG22" s="256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  <c r="AR22" s="337"/>
      <c r="AS22" s="414"/>
    </row>
    <row r="23" spans="1:47" ht="13.5" customHeight="1">
      <c r="A23" s="544" t="s">
        <v>214</v>
      </c>
      <c r="B23" s="425">
        <f t="shared" si="0"/>
        <v>210</v>
      </c>
      <c r="C23" s="426" t="str">
        <f>VLOOKUP(B23,'Tipos de Defeitos'!B24:E126,Menu!$B$24+1,)</f>
        <v>Qtd. Retestada (pçs)</v>
      </c>
      <c r="D23" s="223"/>
      <c r="E23" s="223"/>
      <c r="F23" s="221"/>
      <c r="G23" s="221"/>
      <c r="H23" s="221"/>
      <c r="I23" s="223"/>
      <c r="J23" s="223"/>
      <c r="K23" s="223"/>
      <c r="L23" s="223"/>
      <c r="M23" s="223"/>
      <c r="N23" s="223"/>
      <c r="O23" s="223"/>
      <c r="P23" s="223"/>
      <c r="Q23" s="223"/>
      <c r="R23" s="223"/>
      <c r="S23" s="223"/>
      <c r="T23" s="223"/>
      <c r="U23" s="223"/>
      <c r="V23" s="221"/>
      <c r="W23" s="221"/>
      <c r="X23" s="221"/>
      <c r="Y23" s="221"/>
      <c r="Z23" s="221"/>
      <c r="AA23" s="223"/>
      <c r="AB23" s="223"/>
      <c r="AC23" s="223"/>
      <c r="AD23" s="223"/>
      <c r="AE23" s="223"/>
      <c r="AF23" s="223"/>
      <c r="AG23" s="223"/>
      <c r="AH23" s="223"/>
      <c r="AI23" s="223"/>
      <c r="AJ23" s="223"/>
      <c r="AK23" s="223"/>
      <c r="AL23" s="223"/>
      <c r="AM23" s="223"/>
      <c r="AN23" s="223"/>
      <c r="AO23" s="223"/>
      <c r="AP23" s="223"/>
      <c r="AQ23" s="223"/>
      <c r="AR23" s="339"/>
      <c r="AS23" s="372">
        <f t="array" ref="AS23">SUM(IF(D$5:AR$5&lt;&gt;"",D23:AR23))</f>
        <v>0</v>
      </c>
    </row>
    <row r="24" spans="1:47">
      <c r="A24" s="545"/>
      <c r="B24" s="427">
        <f t="shared" si="0"/>
        <v>220</v>
      </c>
      <c r="C24" s="428" t="str">
        <f>VLOOKUP(B24,'Tipos de Defeitos'!B25:E127,Menu!$B$24+1,)</f>
        <v>Defeitos (Qty)</v>
      </c>
      <c r="D24" s="216"/>
      <c r="E24" s="216"/>
      <c r="F24" s="212"/>
      <c r="G24" s="215"/>
      <c r="H24" s="212"/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5"/>
      <c r="W24" s="215"/>
      <c r="X24" s="212"/>
      <c r="Y24" s="212"/>
      <c r="Z24" s="212"/>
      <c r="AA24" s="216"/>
      <c r="AB24" s="216"/>
      <c r="AC24" s="216"/>
      <c r="AD24" s="216"/>
      <c r="AE24" s="216"/>
      <c r="AF24" s="217"/>
      <c r="AG24" s="217"/>
      <c r="AH24" s="217"/>
      <c r="AI24" s="217"/>
      <c r="AJ24" s="217"/>
      <c r="AK24" s="217"/>
      <c r="AL24" s="217"/>
      <c r="AM24" s="217"/>
      <c r="AN24" s="217"/>
      <c r="AO24" s="217"/>
      <c r="AP24" s="217"/>
      <c r="AQ24" s="217"/>
      <c r="AR24" s="341"/>
      <c r="AS24" s="373">
        <f t="array" ref="AS24">SUM(IF(D$5:AR$5&lt;&gt;"",D24:AR24))</f>
        <v>0</v>
      </c>
    </row>
    <row r="25" spans="1:47" ht="12.75" customHeight="1">
      <c r="A25" s="545"/>
      <c r="B25" s="427">
        <f t="shared" si="0"/>
        <v>230</v>
      </c>
      <c r="C25" s="428" t="str">
        <f>VLOOKUP(B25,'Tipos de Defeitos'!B26:E128,Menu!$B$24+1,)</f>
        <v>Voltagem (Moda)</v>
      </c>
      <c r="D25" s="219"/>
      <c r="E25" s="219"/>
      <c r="F25" s="212"/>
      <c r="G25" s="218"/>
      <c r="H25" s="212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8"/>
      <c r="W25" s="218"/>
      <c r="X25" s="212"/>
      <c r="Y25" s="212"/>
      <c r="Z25" s="212"/>
      <c r="AA25" s="219"/>
      <c r="AB25" s="219"/>
      <c r="AC25" s="219"/>
      <c r="AD25" s="219"/>
      <c r="AE25" s="218"/>
      <c r="AF25" s="219"/>
      <c r="AG25" s="217"/>
      <c r="AH25" s="217"/>
      <c r="AI25" s="217"/>
      <c r="AJ25" s="217"/>
      <c r="AK25" s="217"/>
      <c r="AL25" s="217"/>
      <c r="AM25" s="217"/>
      <c r="AN25" s="217"/>
      <c r="AO25" s="217"/>
      <c r="AP25" s="217"/>
      <c r="AQ25" s="217"/>
      <c r="AR25" s="343"/>
      <c r="AS25" s="374" t="e">
        <f>AVERAGE(D25:AR25)</f>
        <v>#DIV/0!</v>
      </c>
    </row>
    <row r="26" spans="1:47">
      <c r="A26" s="545"/>
      <c r="B26" s="427">
        <f t="shared" si="0"/>
        <v>240</v>
      </c>
      <c r="C26" s="428" t="str">
        <f>VLOOKUP(B26,'Tipos de Defeitos'!B27:E129,Menu!$B$24+1,)</f>
        <v>Voltagem (ajustada)</v>
      </c>
      <c r="D26" s="220" t="str">
        <f t="shared" ref="D26:E26" si="10">IF(D25&gt;0,D25-0.005," ")</f>
        <v xml:space="preserve"> </v>
      </c>
      <c r="E26" s="220" t="str">
        <f t="shared" si="10"/>
        <v xml:space="preserve"> </v>
      </c>
      <c r="F26" s="220" t="str">
        <f t="shared" ref="F26" si="11">IF(F25&gt;0,F25-0.005," ")</f>
        <v xml:space="preserve"> </v>
      </c>
      <c r="G26" s="220" t="str">
        <f t="shared" ref="G26:H26" si="12">IF(G25&gt;0,G25-0.005," ")</f>
        <v xml:space="preserve"> </v>
      </c>
      <c r="H26" s="220" t="str">
        <f t="shared" si="12"/>
        <v xml:space="preserve"> </v>
      </c>
      <c r="I26" s="220" t="str">
        <f t="shared" ref="I26:K26" si="13">IF(I25&gt;0,I25-0.005," ")</f>
        <v xml:space="preserve"> </v>
      </c>
      <c r="J26" s="220" t="str">
        <f t="shared" ref="J26" si="14">IF(J25&gt;0,J25-0.005," ")</f>
        <v xml:space="preserve"> </v>
      </c>
      <c r="K26" s="220" t="str">
        <f t="shared" si="13"/>
        <v xml:space="preserve"> </v>
      </c>
      <c r="L26" s="220" t="str">
        <f t="shared" ref="L26:W26" si="15">IF(L25&gt;0,L25-0.005," ")</f>
        <v xml:space="preserve"> </v>
      </c>
      <c r="M26" s="220" t="str">
        <f t="shared" si="15"/>
        <v xml:space="preserve"> </v>
      </c>
      <c r="N26" s="220" t="str">
        <f>IF(N25&gt;0,N25-0.003," ")</f>
        <v xml:space="preserve"> </v>
      </c>
      <c r="O26" s="220" t="str">
        <f>IF(O25&gt;0,O25-0.003," ")</f>
        <v xml:space="preserve"> </v>
      </c>
      <c r="P26" s="220" t="str">
        <f>IF(P25&gt;0,P25-0.003," ")</f>
        <v xml:space="preserve"> </v>
      </c>
      <c r="Q26" s="220" t="str">
        <f>IF(Q25&gt;0,Q25-0.003," ")</f>
        <v xml:space="preserve"> </v>
      </c>
      <c r="R26" s="220" t="str">
        <f t="shared" si="15"/>
        <v xml:space="preserve"> </v>
      </c>
      <c r="S26" s="220" t="str">
        <f t="shared" si="15"/>
        <v xml:space="preserve"> </v>
      </c>
      <c r="T26" s="220" t="str">
        <f t="shared" ref="T26" si="16">IF(T25&gt;0,T25-0.005," ")</f>
        <v xml:space="preserve"> </v>
      </c>
      <c r="U26" s="220" t="str">
        <f t="shared" si="15"/>
        <v xml:space="preserve"> </v>
      </c>
      <c r="V26" s="220" t="str">
        <f t="shared" si="15"/>
        <v xml:space="preserve"> </v>
      </c>
      <c r="W26" s="220" t="str">
        <f t="shared" si="15"/>
        <v xml:space="preserve"> </v>
      </c>
      <c r="X26" s="220" t="str">
        <f t="shared" ref="X26:AE26" si="17">IF(X25&gt;0,X25-0.005," ")</f>
        <v xml:space="preserve"> </v>
      </c>
      <c r="Y26" s="220" t="str">
        <f t="shared" si="17"/>
        <v xml:space="preserve"> </v>
      </c>
      <c r="Z26" s="220" t="str">
        <f t="shared" si="17"/>
        <v xml:space="preserve"> </v>
      </c>
      <c r="AA26" s="220" t="str">
        <f t="shared" si="17"/>
        <v xml:space="preserve"> </v>
      </c>
      <c r="AB26" s="220" t="str">
        <f t="shared" si="17"/>
        <v xml:space="preserve"> </v>
      </c>
      <c r="AC26" s="220" t="str">
        <f t="shared" si="17"/>
        <v xml:space="preserve"> </v>
      </c>
      <c r="AD26" s="220" t="str">
        <f t="shared" si="17"/>
        <v xml:space="preserve"> </v>
      </c>
      <c r="AE26" s="220" t="str">
        <f t="shared" si="17"/>
        <v xml:space="preserve"> </v>
      </c>
      <c r="AF26" s="220" t="str">
        <f t="shared" ref="AF26:AM26" si="18">IF(AF25&gt;0,AF25-0.005," ")</f>
        <v xml:space="preserve"> </v>
      </c>
      <c r="AG26" s="220" t="str">
        <f t="shared" si="18"/>
        <v xml:space="preserve"> </v>
      </c>
      <c r="AH26" s="220" t="str">
        <f t="shared" si="18"/>
        <v xml:space="preserve"> </v>
      </c>
      <c r="AI26" s="220" t="str">
        <f t="shared" si="18"/>
        <v xml:space="preserve"> </v>
      </c>
      <c r="AJ26" s="220" t="str">
        <f t="shared" si="18"/>
        <v xml:space="preserve"> </v>
      </c>
      <c r="AK26" s="220" t="str">
        <f t="shared" si="18"/>
        <v xml:space="preserve"> </v>
      </c>
      <c r="AL26" s="220" t="str">
        <f t="shared" si="18"/>
        <v xml:space="preserve"> </v>
      </c>
      <c r="AM26" s="220" t="str">
        <f t="shared" si="18"/>
        <v xml:space="preserve"> </v>
      </c>
      <c r="AN26" s="220" t="str">
        <f t="shared" ref="AN26:AQ26" si="19">IF(AN25&gt;0,AN25-0.005," ")</f>
        <v xml:space="preserve"> </v>
      </c>
      <c r="AO26" s="220" t="str">
        <f t="shared" si="19"/>
        <v xml:space="preserve"> </v>
      </c>
      <c r="AP26" s="220" t="str">
        <f t="shared" si="19"/>
        <v xml:space="preserve"> </v>
      </c>
      <c r="AQ26" s="220" t="str">
        <f t="shared" si="19"/>
        <v xml:space="preserve"> </v>
      </c>
      <c r="AR26" s="346"/>
      <c r="AS26" s="374" t="e">
        <f>AVERAGE(D26:AR26)</f>
        <v>#DIV/0!</v>
      </c>
    </row>
    <row r="27" spans="1:47" ht="13.5" thickBot="1">
      <c r="A27" s="546"/>
      <c r="B27" s="434">
        <f t="shared" si="0"/>
        <v>250</v>
      </c>
      <c r="C27" s="436" t="str">
        <f>VLOOKUP(B27,'Tipos de Defeitos'!B28:E130,Menu!$B$24+1,)</f>
        <v>Qtd. Analisada (pçs)</v>
      </c>
      <c r="D27" s="224"/>
      <c r="E27" s="224"/>
      <c r="F27" s="224"/>
      <c r="G27" s="224"/>
      <c r="H27" s="224"/>
      <c r="I27" s="224"/>
      <c r="J27" s="224"/>
      <c r="K27" s="224"/>
      <c r="L27" s="224"/>
      <c r="M27" s="224"/>
      <c r="N27" s="224"/>
      <c r="O27" s="224"/>
      <c r="P27" s="224"/>
      <c r="Q27" s="224"/>
      <c r="R27" s="224"/>
      <c r="S27" s="224"/>
      <c r="T27" s="224"/>
      <c r="U27" s="224"/>
      <c r="V27" s="224"/>
      <c r="W27" s="224"/>
      <c r="X27" s="224"/>
      <c r="Y27" s="224"/>
      <c r="Z27" s="224"/>
      <c r="AA27" s="224"/>
      <c r="AB27" s="224"/>
      <c r="AC27" s="224"/>
      <c r="AD27" s="224"/>
      <c r="AE27" s="224"/>
      <c r="AF27" s="225"/>
      <c r="AG27" s="225"/>
      <c r="AH27" s="225"/>
      <c r="AI27" s="225"/>
      <c r="AJ27" s="225"/>
      <c r="AK27" s="225"/>
      <c r="AL27" s="225"/>
      <c r="AM27" s="225"/>
      <c r="AN27" s="225"/>
      <c r="AO27" s="225"/>
      <c r="AP27" s="225"/>
      <c r="AQ27" s="225"/>
      <c r="AR27" s="347"/>
      <c r="AS27" s="371">
        <f t="array" ref="AS27">SUM(IF(D$5:AR$5&lt;&gt;"",D27:AR27))</f>
        <v>0</v>
      </c>
    </row>
    <row r="28" spans="1:47">
      <c r="A28" s="545" t="s">
        <v>225</v>
      </c>
      <c r="B28" s="425">
        <f t="shared" si="0"/>
        <v>260</v>
      </c>
      <c r="C28" s="437" t="str">
        <f>VLOOKUP(B28,'Tipos de Defeitos'!B29:E131,Menu!$B$24+1,)</f>
        <v>Sem Papel Separador</v>
      </c>
      <c r="D28" s="228"/>
      <c r="E28" s="228"/>
      <c r="F28" s="227"/>
      <c r="G28" s="227"/>
      <c r="H28" s="227"/>
      <c r="I28" s="228"/>
      <c r="J28" s="228"/>
      <c r="K28" s="228"/>
      <c r="L28" s="228"/>
      <c r="M28" s="228"/>
      <c r="N28" s="228"/>
      <c r="O28" s="228"/>
      <c r="P28" s="228"/>
      <c r="Q28" s="228"/>
      <c r="R28" s="228"/>
      <c r="S28" s="227"/>
      <c r="T28" s="228"/>
      <c r="U28" s="228"/>
      <c r="V28" s="227"/>
      <c r="W28" s="227"/>
      <c r="X28" s="228"/>
      <c r="Y28" s="228"/>
      <c r="Z28" s="228"/>
      <c r="AA28" s="228"/>
      <c r="AB28" s="228"/>
      <c r="AC28" s="228"/>
      <c r="AD28" s="228"/>
      <c r="AE28" s="228"/>
      <c r="AF28" s="228"/>
      <c r="AG28" s="228"/>
      <c r="AH28" s="228"/>
      <c r="AI28" s="228"/>
      <c r="AJ28" s="228"/>
      <c r="AK28" s="228"/>
      <c r="AL28" s="228"/>
      <c r="AM28" s="228"/>
      <c r="AN28" s="228"/>
      <c r="AO28" s="228"/>
      <c r="AP28" s="228"/>
      <c r="AQ28" s="228"/>
      <c r="AR28" s="348"/>
      <c r="AS28" s="375">
        <f t="shared" ref="AS28:AS59" si="20">SUM(D28:AR28)</f>
        <v>0</v>
      </c>
      <c r="AT28" s="308" t="e">
        <f t="shared" ref="AT28:AT59" si="21">(AS28/$AS$78)*100</f>
        <v>#DIV/0!</v>
      </c>
    </row>
    <row r="29" spans="1:47">
      <c r="A29" s="545"/>
      <c r="B29" s="427">
        <f t="shared" si="0"/>
        <v>270</v>
      </c>
      <c r="C29" s="433" t="str">
        <f>VLOOKUP(B29,'Tipos de Defeitos'!B30:E132,Menu!$B$24+1,)</f>
        <v>Papel Separador Cortado</v>
      </c>
      <c r="D29" s="217"/>
      <c r="E29" s="217"/>
      <c r="F29" s="212"/>
      <c r="G29" s="212"/>
      <c r="H29" s="212"/>
      <c r="I29" s="217"/>
      <c r="J29" s="217"/>
      <c r="K29" s="217"/>
      <c r="L29" s="217"/>
      <c r="M29" s="217"/>
      <c r="N29" s="212"/>
      <c r="O29" s="217"/>
      <c r="P29" s="217"/>
      <c r="Q29" s="217"/>
      <c r="R29" s="217"/>
      <c r="S29" s="217"/>
      <c r="T29" s="217"/>
      <c r="U29" s="217"/>
      <c r="V29" s="212"/>
      <c r="W29" s="212"/>
      <c r="X29" s="217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217"/>
      <c r="AQ29" s="217"/>
      <c r="AR29" s="323"/>
      <c r="AS29" s="369">
        <f t="shared" si="20"/>
        <v>0</v>
      </c>
      <c r="AT29" s="308" t="e">
        <f t="shared" si="21"/>
        <v>#DIV/0!</v>
      </c>
    </row>
    <row r="30" spans="1:47">
      <c r="A30" s="545"/>
      <c r="B30" s="427">
        <f t="shared" si="0"/>
        <v>280</v>
      </c>
      <c r="C30" s="433" t="str">
        <f>VLOOKUP(B30,'Tipos de Defeitos'!B31:E133,Menu!$B$24+1,)</f>
        <v>Papel Separador Rasgado</v>
      </c>
      <c r="D30" s="217"/>
      <c r="E30" s="217"/>
      <c r="F30" s="212"/>
      <c r="G30" s="212"/>
      <c r="H30" s="212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2"/>
      <c r="W30" s="212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217"/>
      <c r="AP30" s="217"/>
      <c r="AQ30" s="217"/>
      <c r="AR30" s="323"/>
      <c r="AS30" s="369">
        <f t="shared" si="20"/>
        <v>0</v>
      </c>
      <c r="AT30" s="308" t="e">
        <f t="shared" si="21"/>
        <v>#DIV/0!</v>
      </c>
    </row>
    <row r="31" spans="1:47">
      <c r="A31" s="545"/>
      <c r="B31" s="427">
        <f t="shared" si="0"/>
        <v>290</v>
      </c>
      <c r="C31" s="433" t="str">
        <f>VLOOKUP(B31,'Tipos de Defeitos'!B32:E134,Menu!$B$24+1,)</f>
        <v>Papel Dobrado Sup.</v>
      </c>
      <c r="D31" s="217"/>
      <c r="E31" s="217"/>
      <c r="F31" s="212"/>
      <c r="G31" s="212"/>
      <c r="H31" s="212"/>
      <c r="I31" s="217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2"/>
      <c r="W31" s="212"/>
      <c r="X31" s="217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217"/>
      <c r="AQ31" s="217"/>
      <c r="AR31" s="323"/>
      <c r="AS31" s="369">
        <f t="shared" si="20"/>
        <v>0</v>
      </c>
      <c r="AT31" s="308" t="e">
        <f t="shared" si="21"/>
        <v>#DIV/0!</v>
      </c>
      <c r="AU31" s="303">
        <v>1</v>
      </c>
    </row>
    <row r="32" spans="1:47">
      <c r="A32" s="545"/>
      <c r="B32" s="427">
        <f t="shared" si="0"/>
        <v>300</v>
      </c>
      <c r="C32" s="433" t="str">
        <f>VLOOKUP(B32,'Tipos de Defeitos'!B33:E135,Menu!$B$24+1,)</f>
        <v>Papel Dobrado Meio</v>
      </c>
      <c r="D32" s="217"/>
      <c r="E32" s="217"/>
      <c r="F32" s="212"/>
      <c r="G32" s="212"/>
      <c r="H32" s="212"/>
      <c r="I32" s="217"/>
      <c r="J32" s="217"/>
      <c r="K32" s="217"/>
      <c r="L32" s="217"/>
      <c r="M32" s="217"/>
      <c r="N32" s="217"/>
      <c r="O32" s="217"/>
      <c r="P32" s="217"/>
      <c r="Q32" s="217"/>
      <c r="R32" s="217"/>
      <c r="S32" s="217"/>
      <c r="T32" s="217"/>
      <c r="U32" s="217"/>
      <c r="V32" s="212"/>
      <c r="W32" s="212"/>
      <c r="X32" s="217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217"/>
      <c r="AP32" s="217"/>
      <c r="AQ32" s="217"/>
      <c r="AR32" s="323"/>
      <c r="AS32" s="369">
        <f t="shared" si="20"/>
        <v>0</v>
      </c>
      <c r="AT32" s="308" t="e">
        <f t="shared" si="21"/>
        <v>#DIV/0!</v>
      </c>
    </row>
    <row r="33" spans="1:47">
      <c r="A33" s="545"/>
      <c r="B33" s="427">
        <f t="shared" si="0"/>
        <v>310</v>
      </c>
      <c r="C33" s="433" t="str">
        <f>VLOOKUP(B33,'Tipos de Defeitos'!B34:E136,Menu!$B$24+1,)</f>
        <v>Papel Dobrado Inf.</v>
      </c>
      <c r="D33" s="217"/>
      <c r="E33" s="217"/>
      <c r="F33" s="212"/>
      <c r="G33" s="212"/>
      <c r="H33" s="212"/>
      <c r="I33" s="217"/>
      <c r="J33" s="217"/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217"/>
      <c r="V33" s="212"/>
      <c r="W33" s="212"/>
      <c r="X33" s="217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217"/>
      <c r="AQ33" s="217"/>
      <c r="AR33" s="323"/>
      <c r="AS33" s="369">
        <f t="shared" si="20"/>
        <v>0</v>
      </c>
      <c r="AT33" s="308" t="e">
        <f t="shared" si="21"/>
        <v>#DIV/0!</v>
      </c>
    </row>
    <row r="34" spans="1:47">
      <c r="A34" s="545"/>
      <c r="B34" s="427">
        <f t="shared" si="0"/>
        <v>320</v>
      </c>
      <c r="C34" s="433" t="str">
        <f>VLOOKUP(B34,'Tipos de Defeitos'!B35:E137,Menu!$B$24+1,)</f>
        <v>Papel Afundado</v>
      </c>
      <c r="D34" s="217"/>
      <c r="E34" s="217"/>
      <c r="F34" s="212"/>
      <c r="G34" s="212"/>
      <c r="H34" s="212"/>
      <c r="I34" s="217"/>
      <c r="J34" s="217"/>
      <c r="K34" s="217"/>
      <c r="L34" s="217"/>
      <c r="M34" s="217"/>
      <c r="N34" s="217"/>
      <c r="O34" s="212"/>
      <c r="P34" s="217"/>
      <c r="Q34" s="217"/>
      <c r="R34" s="217"/>
      <c r="S34" s="217"/>
      <c r="T34" s="217"/>
      <c r="U34" s="217"/>
      <c r="V34" s="212"/>
      <c r="W34" s="212"/>
      <c r="X34" s="217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217"/>
      <c r="AP34" s="217"/>
      <c r="AQ34" s="217"/>
      <c r="AR34" s="323"/>
      <c r="AS34" s="369">
        <f t="shared" si="20"/>
        <v>0</v>
      </c>
      <c r="AT34" s="308" t="e">
        <f t="shared" si="21"/>
        <v>#DIV/0!</v>
      </c>
    </row>
    <row r="35" spans="1:47">
      <c r="A35" s="545"/>
      <c r="B35" s="427">
        <f t="shared" si="0"/>
        <v>330</v>
      </c>
      <c r="C35" s="433" t="str">
        <f>VLOOKUP(B35,'Tipos de Defeitos'!B36:E138,Menu!$B$24+1,)</f>
        <v>Papel Deslocado</v>
      </c>
      <c r="D35" s="217"/>
      <c r="E35" s="217"/>
      <c r="F35" s="212"/>
      <c r="G35" s="212"/>
      <c r="H35" s="212"/>
      <c r="I35" s="217"/>
      <c r="J35" s="217"/>
      <c r="K35" s="217"/>
      <c r="L35" s="217"/>
      <c r="M35" s="217"/>
      <c r="N35" s="217"/>
      <c r="O35" s="217"/>
      <c r="P35" s="217"/>
      <c r="Q35" s="217"/>
      <c r="R35" s="217"/>
      <c r="S35" s="217"/>
      <c r="T35" s="217"/>
      <c r="U35" s="217"/>
      <c r="V35" s="212"/>
      <c r="W35" s="212"/>
      <c r="X35" s="217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217"/>
      <c r="AQ35" s="217"/>
      <c r="AR35" s="323"/>
      <c r="AS35" s="369">
        <f t="shared" si="20"/>
        <v>0</v>
      </c>
      <c r="AT35" s="308" t="e">
        <f t="shared" si="21"/>
        <v>#DIV/0!</v>
      </c>
    </row>
    <row r="36" spans="1:47">
      <c r="A36" s="545"/>
      <c r="B36" s="427">
        <f t="shared" si="0"/>
        <v>340</v>
      </c>
      <c r="C36" s="433" t="str">
        <f>VLOOKUP(B36,'Tipos de Defeitos'!B37:E139,Menu!$B$24+1,)</f>
        <v>Papel menor</v>
      </c>
      <c r="D36" s="217"/>
      <c r="E36" s="217"/>
      <c r="F36" s="212"/>
      <c r="G36" s="212"/>
      <c r="H36" s="212"/>
      <c r="I36" s="217"/>
      <c r="J36" s="217"/>
      <c r="K36" s="217"/>
      <c r="L36" s="217"/>
      <c r="M36" s="217"/>
      <c r="N36" s="217"/>
      <c r="O36" s="217"/>
      <c r="P36" s="217"/>
      <c r="Q36" s="217"/>
      <c r="R36" s="217"/>
      <c r="S36" s="217"/>
      <c r="T36" s="217"/>
      <c r="U36" s="217"/>
      <c r="V36" s="212"/>
      <c r="W36" s="212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217"/>
      <c r="AP36" s="217"/>
      <c r="AQ36" s="217"/>
      <c r="AR36" s="323"/>
      <c r="AS36" s="369">
        <f t="shared" si="20"/>
        <v>0</v>
      </c>
      <c r="AT36" s="308" t="e">
        <f t="shared" si="21"/>
        <v>#DIV/0!</v>
      </c>
    </row>
    <row r="37" spans="1:47">
      <c r="A37" s="545"/>
      <c r="B37" s="427">
        <f t="shared" si="0"/>
        <v>350</v>
      </c>
      <c r="C37" s="433" t="str">
        <f>VLOOKUP(B37,'Tipos de Defeitos'!B38:E140,Menu!$B$24+1,)</f>
        <v>Sem Disco</v>
      </c>
      <c r="D37" s="212"/>
      <c r="E37" s="212"/>
      <c r="F37" s="212"/>
      <c r="G37" s="212"/>
      <c r="H37" s="212"/>
      <c r="I37" s="212"/>
      <c r="J37" s="212"/>
      <c r="K37" s="212"/>
      <c r="L37" s="212"/>
      <c r="M37" s="212"/>
      <c r="N37" s="212"/>
      <c r="O37" s="212"/>
      <c r="P37" s="212"/>
      <c r="Q37" s="212"/>
      <c r="R37" s="212"/>
      <c r="S37" s="212"/>
      <c r="T37" s="212"/>
      <c r="U37" s="212"/>
      <c r="V37" s="212"/>
      <c r="W37" s="212"/>
      <c r="X37" s="212"/>
      <c r="Y37" s="212"/>
      <c r="Z37" s="212"/>
      <c r="AA37" s="212"/>
      <c r="AB37" s="212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217"/>
      <c r="AP37" s="217"/>
      <c r="AQ37" s="217"/>
      <c r="AR37" s="323"/>
      <c r="AS37" s="369">
        <f t="shared" si="20"/>
        <v>0</v>
      </c>
      <c r="AT37" s="308" t="e">
        <f t="shared" si="21"/>
        <v>#DIV/0!</v>
      </c>
    </row>
    <row r="38" spans="1:47">
      <c r="A38" s="545"/>
      <c r="B38" s="427">
        <f t="shared" si="0"/>
        <v>360</v>
      </c>
      <c r="C38" s="433" t="str">
        <f>VLOOKUP(B38,'Tipos de Defeitos'!B39:E141,Menu!$B$24+1,)</f>
        <v>Disco Cortado</v>
      </c>
      <c r="D38" s="217"/>
      <c r="E38" s="217"/>
      <c r="F38" s="212"/>
      <c r="G38" s="212"/>
      <c r="H38" s="212"/>
      <c r="I38" s="217"/>
      <c r="J38" s="217"/>
      <c r="K38" s="212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2"/>
      <c r="W38" s="212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217"/>
      <c r="AP38" s="217"/>
      <c r="AQ38" s="217"/>
      <c r="AR38" s="323"/>
      <c r="AS38" s="369">
        <f t="shared" si="20"/>
        <v>0</v>
      </c>
      <c r="AT38" s="308" t="e">
        <f t="shared" si="21"/>
        <v>#DIV/0!</v>
      </c>
    </row>
    <row r="39" spans="1:47">
      <c r="A39" s="545"/>
      <c r="B39" s="427">
        <f t="shared" si="0"/>
        <v>370</v>
      </c>
      <c r="C39" s="433" t="str">
        <f>VLOOKUP(B39,'Tipos de Defeitos'!B40:E142,Menu!$B$24+1,)</f>
        <v>Disco Rasgado</v>
      </c>
      <c r="D39" s="217"/>
      <c r="E39" s="217"/>
      <c r="F39" s="212"/>
      <c r="G39" s="212"/>
      <c r="H39" s="212"/>
      <c r="I39" s="217"/>
      <c r="J39" s="217"/>
      <c r="K39" s="217"/>
      <c r="L39" s="217"/>
      <c r="M39" s="217"/>
      <c r="N39" s="217"/>
      <c r="O39" s="217"/>
      <c r="P39" s="217"/>
      <c r="Q39" s="217"/>
      <c r="R39" s="217"/>
      <c r="S39" s="217"/>
      <c r="T39" s="217"/>
      <c r="U39" s="217"/>
      <c r="V39" s="212"/>
      <c r="W39" s="212"/>
      <c r="X39" s="217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217"/>
      <c r="AP39" s="217"/>
      <c r="AQ39" s="217"/>
      <c r="AR39" s="323"/>
      <c r="AS39" s="369">
        <f t="shared" si="20"/>
        <v>0</v>
      </c>
      <c r="AT39" s="308" t="e">
        <f t="shared" si="21"/>
        <v>#DIV/0!</v>
      </c>
    </row>
    <row r="40" spans="1:47">
      <c r="A40" s="545"/>
      <c r="B40" s="427">
        <f t="shared" si="0"/>
        <v>380</v>
      </c>
      <c r="C40" s="433" t="str">
        <f>VLOOKUP(B40,'Tipos de Defeitos'!B41:E143,Menu!$B$24+1,)</f>
        <v>Disco Furado</v>
      </c>
      <c r="D40" s="217"/>
      <c r="E40" s="217"/>
      <c r="F40" s="212"/>
      <c r="G40" s="212"/>
      <c r="H40" s="212"/>
      <c r="I40" s="217"/>
      <c r="J40" s="217"/>
      <c r="K40" s="217"/>
      <c r="L40" s="217"/>
      <c r="M40" s="217"/>
      <c r="N40" s="212"/>
      <c r="O40" s="217"/>
      <c r="P40" s="217"/>
      <c r="Q40" s="217"/>
      <c r="R40" s="217"/>
      <c r="S40" s="217"/>
      <c r="T40" s="217"/>
      <c r="U40" s="217"/>
      <c r="V40" s="212"/>
      <c r="W40" s="212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217"/>
      <c r="AP40" s="217"/>
      <c r="AQ40" s="217"/>
      <c r="AR40" s="323"/>
      <c r="AS40" s="369">
        <f t="shared" si="20"/>
        <v>0</v>
      </c>
      <c r="AT40" s="308" t="e">
        <f t="shared" si="21"/>
        <v>#DIV/0!</v>
      </c>
    </row>
    <row r="41" spans="1:47">
      <c r="A41" s="545"/>
      <c r="B41" s="427">
        <f t="shared" si="0"/>
        <v>390</v>
      </c>
      <c r="C41" s="433" t="str">
        <f>VLOOKUP(B41,'Tipos de Defeitos'!B42:E144,Menu!$B$24+1,)</f>
        <v>Disco Dobrado</v>
      </c>
      <c r="D41" s="217"/>
      <c r="E41" s="217"/>
      <c r="F41" s="212"/>
      <c r="G41" s="212"/>
      <c r="H41" s="212"/>
      <c r="I41" s="217"/>
      <c r="J41" s="217"/>
      <c r="K41" s="217"/>
      <c r="L41" s="217"/>
      <c r="M41" s="217"/>
      <c r="N41" s="217"/>
      <c r="O41" s="217"/>
      <c r="P41" s="217"/>
      <c r="Q41" s="217"/>
      <c r="R41" s="217"/>
      <c r="S41" s="217"/>
      <c r="T41" s="217"/>
      <c r="U41" s="217"/>
      <c r="V41" s="212"/>
      <c r="W41" s="212"/>
      <c r="X41" s="217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217"/>
      <c r="AP41" s="217"/>
      <c r="AQ41" s="217"/>
      <c r="AR41" s="323"/>
      <c r="AS41" s="369">
        <f t="shared" si="20"/>
        <v>0</v>
      </c>
      <c r="AT41" s="308" t="e">
        <f t="shared" si="21"/>
        <v>#DIV/0!</v>
      </c>
    </row>
    <row r="42" spans="1:47">
      <c r="A42" s="545"/>
      <c r="B42" s="427">
        <f t="shared" si="0"/>
        <v>400</v>
      </c>
      <c r="C42" s="433" t="str">
        <f>VLOOKUP(B42,'Tipos de Defeitos'!B43:E145,Menu!$B$24+1,)</f>
        <v>Disco fora de centro / deslocado</v>
      </c>
      <c r="D42" s="217"/>
      <c r="E42" s="217"/>
      <c r="F42" s="212"/>
      <c r="G42" s="212"/>
      <c r="H42" s="212"/>
      <c r="I42" s="217"/>
      <c r="J42" s="217"/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2"/>
      <c r="W42" s="212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217"/>
      <c r="AP42" s="217"/>
      <c r="AQ42" s="217"/>
      <c r="AR42" s="323"/>
      <c r="AS42" s="369">
        <f t="shared" si="20"/>
        <v>0</v>
      </c>
      <c r="AT42" s="308" t="e">
        <f t="shared" si="21"/>
        <v>#DIV/0!</v>
      </c>
    </row>
    <row r="43" spans="1:47">
      <c r="A43" s="545"/>
      <c r="B43" s="427">
        <f t="shared" si="0"/>
        <v>410</v>
      </c>
      <c r="C43" s="433" t="str">
        <f>VLOOKUP(B43,'Tipos de Defeitos'!B44:E146,Menu!$B$24+1,)</f>
        <v>Isolador fora de centro</v>
      </c>
      <c r="D43" s="217"/>
      <c r="E43" s="217"/>
      <c r="F43" s="212"/>
      <c r="G43" s="212"/>
      <c r="H43" s="212"/>
      <c r="I43" s="217"/>
      <c r="J43" s="217"/>
      <c r="K43" s="217"/>
      <c r="L43" s="217"/>
      <c r="M43" s="217"/>
      <c r="N43" s="217"/>
      <c r="O43" s="217"/>
      <c r="P43" s="212"/>
      <c r="Q43" s="217"/>
      <c r="R43" s="217"/>
      <c r="S43" s="217"/>
      <c r="T43" s="217"/>
      <c r="U43" s="217"/>
      <c r="V43" s="212"/>
      <c r="W43" s="212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217"/>
      <c r="AP43" s="217"/>
      <c r="AQ43" s="217"/>
      <c r="AR43" s="323"/>
      <c r="AS43" s="369">
        <f t="shared" si="20"/>
        <v>0</v>
      </c>
      <c r="AT43" s="308" t="e">
        <f t="shared" si="21"/>
        <v>#DIV/0!</v>
      </c>
    </row>
    <row r="44" spans="1:47">
      <c r="A44" s="545"/>
      <c r="B44" s="427">
        <f t="shared" si="0"/>
        <v>420</v>
      </c>
      <c r="C44" s="433" t="str">
        <f>VLOOKUP(B44,'Tipos de Defeitos'!B45:E147,Menu!$B$24+1,)</f>
        <v>Isolador afundado</v>
      </c>
      <c r="D44" s="217"/>
      <c r="E44" s="217"/>
      <c r="F44" s="212"/>
      <c r="G44" s="212"/>
      <c r="H44" s="212"/>
      <c r="I44" s="217"/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2"/>
      <c r="W44" s="212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217"/>
      <c r="AP44" s="217"/>
      <c r="AQ44" s="217"/>
      <c r="AR44" s="323"/>
      <c r="AS44" s="369">
        <f t="shared" si="20"/>
        <v>0</v>
      </c>
      <c r="AT44" s="308" t="e">
        <f t="shared" si="21"/>
        <v>#DIV/0!</v>
      </c>
    </row>
    <row r="45" spans="1:47">
      <c r="A45" s="545"/>
      <c r="B45" s="427">
        <f t="shared" si="0"/>
        <v>430</v>
      </c>
      <c r="C45" s="433" t="str">
        <f>VLOOKUP(B45,'Tipos de Defeitos'!B46:E148,Menu!$B$24+1,)</f>
        <v>Isolador Inclinado</v>
      </c>
      <c r="D45" s="217"/>
      <c r="E45" s="217"/>
      <c r="F45" s="212"/>
      <c r="G45" s="212"/>
      <c r="H45" s="212"/>
      <c r="I45" s="217"/>
      <c r="J45" s="217"/>
      <c r="K45" s="217"/>
      <c r="L45" s="217"/>
      <c r="M45" s="217"/>
      <c r="N45" s="217"/>
      <c r="O45" s="217"/>
      <c r="P45" s="217"/>
      <c r="Q45" s="217"/>
      <c r="R45" s="217"/>
      <c r="S45" s="217"/>
      <c r="T45" s="217"/>
      <c r="U45" s="217"/>
      <c r="V45" s="212"/>
      <c r="W45" s="212"/>
      <c r="X45" s="217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217"/>
      <c r="AP45" s="217"/>
      <c r="AQ45" s="217"/>
      <c r="AR45" s="323"/>
      <c r="AS45" s="369">
        <f t="shared" si="20"/>
        <v>0</v>
      </c>
      <c r="AT45" s="308" t="e">
        <f t="shared" si="21"/>
        <v>#DIV/0!</v>
      </c>
    </row>
    <row r="46" spans="1:47">
      <c r="A46" s="545"/>
      <c r="B46" s="427">
        <f t="shared" si="0"/>
        <v>440</v>
      </c>
      <c r="C46" s="433" t="str">
        <f>VLOOKUP(B46,'Tipos de Defeitos'!B47:E149,Menu!$B$24+1,)</f>
        <v>Papel sujo</v>
      </c>
      <c r="D46" s="217"/>
      <c r="E46" s="217"/>
      <c r="F46" s="212"/>
      <c r="G46" s="212"/>
      <c r="H46" s="212"/>
      <c r="I46" s="217"/>
      <c r="J46" s="217"/>
      <c r="K46" s="217"/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2"/>
      <c r="W46" s="212"/>
      <c r="X46" s="217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217"/>
      <c r="AP46" s="217"/>
      <c r="AQ46" s="217"/>
      <c r="AR46" s="323"/>
      <c r="AS46" s="369">
        <f t="shared" si="20"/>
        <v>0</v>
      </c>
      <c r="AT46" s="308" t="e">
        <f t="shared" si="21"/>
        <v>#DIV/0!</v>
      </c>
      <c r="AU46" s="303">
        <v>2</v>
      </c>
    </row>
    <row r="47" spans="1:47">
      <c r="A47" s="545"/>
      <c r="B47" s="427">
        <f t="shared" si="0"/>
        <v>450</v>
      </c>
      <c r="C47" s="433" t="str">
        <f>VLOOKUP(B47,'Tipos de Defeitos'!B48:E150,Menu!$B$24+1,)</f>
        <v>Manchado</v>
      </c>
      <c r="D47" s="217"/>
      <c r="E47" s="217"/>
      <c r="F47" s="212"/>
      <c r="G47" s="212"/>
      <c r="H47" s="212"/>
      <c r="I47" s="217"/>
      <c r="J47" s="217"/>
      <c r="K47" s="217"/>
      <c r="L47" s="217"/>
      <c r="M47" s="217"/>
      <c r="N47" s="217"/>
      <c r="O47" s="217"/>
      <c r="P47" s="217"/>
      <c r="Q47" s="217"/>
      <c r="R47" s="212"/>
      <c r="S47" s="217"/>
      <c r="T47" s="217"/>
      <c r="U47" s="217"/>
      <c r="V47" s="212"/>
      <c r="W47" s="212"/>
      <c r="X47" s="217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217"/>
      <c r="AP47" s="217"/>
      <c r="AQ47" s="217"/>
      <c r="AR47" s="323"/>
      <c r="AS47" s="369">
        <f t="shared" si="20"/>
        <v>0</v>
      </c>
      <c r="AT47" s="308" t="e">
        <f t="shared" si="21"/>
        <v>#DIV/0!</v>
      </c>
    </row>
    <row r="48" spans="1:47">
      <c r="A48" s="545"/>
      <c r="B48" s="427">
        <f t="shared" si="0"/>
        <v>460</v>
      </c>
      <c r="C48" s="433" t="str">
        <f>VLOOKUP(B48,'Tipos de Defeitos'!B49:E151,Menu!$B$24+1,)</f>
        <v>Manchado Superior</v>
      </c>
      <c r="D48" s="217"/>
      <c r="E48" s="217"/>
      <c r="F48" s="212"/>
      <c r="G48" s="212"/>
      <c r="H48" s="212"/>
      <c r="I48" s="217"/>
      <c r="J48" s="217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2"/>
      <c r="W48" s="212"/>
      <c r="X48" s="217"/>
      <c r="Y48" s="217"/>
      <c r="Z48" s="217"/>
      <c r="AA48" s="217"/>
      <c r="AB48" s="217"/>
      <c r="AC48" s="217"/>
      <c r="AD48" s="217"/>
      <c r="AE48" s="217"/>
      <c r="AF48" s="217"/>
      <c r="AG48" s="217"/>
      <c r="AH48" s="217"/>
      <c r="AI48" s="217"/>
      <c r="AJ48" s="217"/>
      <c r="AK48" s="217"/>
      <c r="AL48" s="217"/>
      <c r="AM48" s="217"/>
      <c r="AN48" s="217"/>
      <c r="AO48" s="217"/>
      <c r="AP48" s="217"/>
      <c r="AQ48" s="217"/>
      <c r="AR48" s="323"/>
      <c r="AS48" s="369">
        <f t="shared" si="20"/>
        <v>0</v>
      </c>
      <c r="AT48" s="308" t="e">
        <f t="shared" si="21"/>
        <v>#DIV/0!</v>
      </c>
    </row>
    <row r="49" spans="1:46">
      <c r="A49" s="545"/>
      <c r="B49" s="427">
        <f t="shared" si="0"/>
        <v>470</v>
      </c>
      <c r="C49" s="433" t="str">
        <f>VLOOKUP(B49,'Tipos de Defeitos'!B50:E152,Menu!$B$24+1,)</f>
        <v>Ferro</v>
      </c>
      <c r="D49" s="217"/>
      <c r="E49" s="217"/>
      <c r="F49" s="212"/>
      <c r="G49" s="212"/>
      <c r="H49" s="212"/>
      <c r="I49" s="217"/>
      <c r="J49" s="217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2"/>
      <c r="W49" s="212"/>
      <c r="X49" s="217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217"/>
      <c r="AP49" s="217"/>
      <c r="AQ49" s="217"/>
      <c r="AR49" s="323"/>
      <c r="AS49" s="369">
        <f t="shared" si="20"/>
        <v>0</v>
      </c>
      <c r="AT49" s="308" t="e">
        <f t="shared" si="21"/>
        <v>#DIV/0!</v>
      </c>
    </row>
    <row r="50" spans="1:46">
      <c r="A50" s="545"/>
      <c r="B50" s="427">
        <f t="shared" si="0"/>
        <v>480</v>
      </c>
      <c r="C50" s="433" t="str">
        <f>VLOOKUP(B50,'Tipos de Defeitos'!B51:E153,Menu!$B$24+1,)</f>
        <v>Cobre</v>
      </c>
      <c r="D50" s="217"/>
      <c r="E50" s="217"/>
      <c r="F50" s="212"/>
      <c r="G50" s="212"/>
      <c r="H50" s="212"/>
      <c r="I50" s="217"/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212"/>
      <c r="W50" s="212"/>
      <c r="X50" s="217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217"/>
      <c r="AP50" s="217"/>
      <c r="AQ50" s="217"/>
      <c r="AR50" s="323"/>
      <c r="AS50" s="369">
        <f t="shared" si="20"/>
        <v>0</v>
      </c>
      <c r="AT50" s="308" t="e">
        <f t="shared" si="21"/>
        <v>#DIV/0!</v>
      </c>
    </row>
    <row r="51" spans="1:46">
      <c r="A51" s="545"/>
      <c r="B51" s="427">
        <f t="shared" si="0"/>
        <v>490</v>
      </c>
      <c r="C51" s="433" t="str">
        <f>VLOOKUP(B51,'Tipos de Defeitos'!B52:E154,Menu!$B$24+1,)</f>
        <v>Mistura no Tubo</v>
      </c>
      <c r="D51" s="217"/>
      <c r="E51" s="217"/>
      <c r="F51" s="212"/>
      <c r="G51" s="212"/>
      <c r="H51" s="212"/>
      <c r="I51" s="217"/>
      <c r="J51" s="217"/>
      <c r="K51" s="217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212"/>
      <c r="W51" s="212"/>
      <c r="X51" s="217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217"/>
      <c r="AP51" s="217"/>
      <c r="AQ51" s="217"/>
      <c r="AR51" s="323"/>
      <c r="AS51" s="369">
        <f t="shared" si="20"/>
        <v>0</v>
      </c>
      <c r="AT51" s="308" t="e">
        <f t="shared" si="21"/>
        <v>#DIV/0!</v>
      </c>
    </row>
    <row r="52" spans="1:46">
      <c r="A52" s="545"/>
      <c r="B52" s="427">
        <f t="shared" si="0"/>
        <v>500</v>
      </c>
      <c r="C52" s="433" t="str">
        <f>VLOOKUP(B52,'Tipos de Defeitos'!B53:E155,Menu!$B$24+1,)</f>
        <v>Pó de Mistura</v>
      </c>
      <c r="D52" s="217"/>
      <c r="E52" s="217"/>
      <c r="F52" s="212"/>
      <c r="G52" s="212"/>
      <c r="H52" s="212"/>
      <c r="I52" s="217"/>
      <c r="J52" s="217"/>
      <c r="K52" s="217"/>
      <c r="L52" s="217"/>
      <c r="M52" s="217"/>
      <c r="N52" s="217"/>
      <c r="O52" s="217"/>
      <c r="P52" s="217"/>
      <c r="Q52" s="217"/>
      <c r="R52" s="217"/>
      <c r="S52" s="217"/>
      <c r="T52" s="217"/>
      <c r="U52" s="217"/>
      <c r="V52" s="212"/>
      <c r="W52" s="212"/>
      <c r="X52" s="217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217"/>
      <c r="AP52" s="217"/>
      <c r="AQ52" s="217"/>
      <c r="AR52" s="323"/>
      <c r="AS52" s="369">
        <f t="shared" si="20"/>
        <v>0</v>
      </c>
      <c r="AT52" s="308" t="e">
        <f t="shared" si="21"/>
        <v>#DIV/0!</v>
      </c>
    </row>
    <row r="53" spans="1:46">
      <c r="A53" s="545"/>
      <c r="B53" s="427">
        <f t="shared" si="0"/>
        <v>510</v>
      </c>
      <c r="C53" s="433" t="str">
        <f>VLOOKUP(B53,'Tipos de Defeitos'!B54:E156,Menu!$B$24+1,)</f>
        <v>Bobina Baixa V</v>
      </c>
      <c r="D53" s="217"/>
      <c r="E53" s="217"/>
      <c r="F53" s="212"/>
      <c r="G53" s="212"/>
      <c r="H53" s="212"/>
      <c r="I53" s="217"/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2"/>
      <c r="W53" s="212"/>
      <c r="X53" s="217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217"/>
      <c r="AP53" s="217"/>
      <c r="AQ53" s="217"/>
      <c r="AR53" s="323"/>
      <c r="AS53" s="369">
        <f t="shared" si="20"/>
        <v>0</v>
      </c>
      <c r="AT53" s="308" t="e">
        <f t="shared" si="21"/>
        <v>#DIV/0!</v>
      </c>
    </row>
    <row r="54" spans="1:46">
      <c r="A54" s="545"/>
      <c r="B54" s="427">
        <f t="shared" si="0"/>
        <v>520</v>
      </c>
      <c r="C54" s="433" t="str">
        <f>VLOOKUP(B54,'Tipos de Defeitos'!B55:E157,Menu!$B$24+1,)</f>
        <v>Bobina Alta</v>
      </c>
      <c r="D54" s="217"/>
      <c r="E54" s="217"/>
      <c r="F54" s="212"/>
      <c r="G54" s="212"/>
      <c r="H54" s="212"/>
      <c r="I54" s="217"/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7"/>
      <c r="V54" s="212"/>
      <c r="W54" s="212"/>
      <c r="X54" s="217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217"/>
      <c r="AP54" s="217"/>
      <c r="AQ54" s="217"/>
      <c r="AR54" s="323"/>
      <c r="AS54" s="369">
        <f t="shared" si="20"/>
        <v>0</v>
      </c>
      <c r="AT54" s="308" t="e">
        <f t="shared" si="21"/>
        <v>#DIV/0!</v>
      </c>
    </row>
    <row r="55" spans="1:46">
      <c r="A55" s="545"/>
      <c r="B55" s="427">
        <f t="shared" si="0"/>
        <v>530</v>
      </c>
      <c r="C55" s="433" t="str">
        <f>VLOOKUP(B55,'Tipos de Defeitos'!B56:E158,Menu!$B$24+1,)</f>
        <v>Bobina Molhada</v>
      </c>
      <c r="D55" s="217"/>
      <c r="E55" s="217"/>
      <c r="F55" s="212"/>
      <c r="G55" s="212"/>
      <c r="H55" s="212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  <c r="V55" s="212"/>
      <c r="W55" s="212"/>
      <c r="X55" s="217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217"/>
      <c r="AP55" s="217"/>
      <c r="AQ55" s="217"/>
      <c r="AR55" s="323"/>
      <c r="AS55" s="369">
        <f t="shared" si="20"/>
        <v>0</v>
      </c>
      <c r="AT55" s="308" t="e">
        <f t="shared" si="21"/>
        <v>#DIV/0!</v>
      </c>
    </row>
    <row r="56" spans="1:46">
      <c r="A56" s="545"/>
      <c r="B56" s="427">
        <f t="shared" si="0"/>
        <v>540</v>
      </c>
      <c r="C56" s="433" t="str">
        <f>VLOOKUP(B56,'Tipos de Defeitos'!B57:E159,Menu!$B$24+1,)</f>
        <v>Mistura seca</v>
      </c>
      <c r="D56" s="217"/>
      <c r="E56" s="217"/>
      <c r="F56" s="212"/>
      <c r="G56" s="212"/>
      <c r="H56" s="212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212"/>
      <c r="W56" s="212"/>
      <c r="X56" s="217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217"/>
      <c r="AP56" s="217"/>
      <c r="AQ56" s="217"/>
      <c r="AR56" s="323"/>
      <c r="AS56" s="369">
        <f t="shared" si="20"/>
        <v>0</v>
      </c>
      <c r="AT56" s="308" t="e">
        <f t="shared" si="21"/>
        <v>#DIV/0!</v>
      </c>
    </row>
    <row r="57" spans="1:46">
      <c r="A57" s="545"/>
      <c r="B57" s="427">
        <f t="shared" si="0"/>
        <v>550</v>
      </c>
      <c r="C57" s="433" t="str">
        <f>VLOOKUP(B57,'Tipos de Defeitos'!B58:E160,Menu!$B$24+1,)</f>
        <v>Contem estranho</v>
      </c>
      <c r="D57" s="217"/>
      <c r="E57" s="217"/>
      <c r="F57" s="212"/>
      <c r="G57" s="212"/>
      <c r="H57" s="212"/>
      <c r="I57" s="217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212"/>
      <c r="W57" s="212"/>
      <c r="X57" s="217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217"/>
      <c r="AP57" s="217"/>
      <c r="AQ57" s="217"/>
      <c r="AR57" s="323"/>
      <c r="AS57" s="369">
        <f t="shared" si="20"/>
        <v>0</v>
      </c>
      <c r="AT57" s="308" t="e">
        <f t="shared" si="21"/>
        <v>#DIV/0!</v>
      </c>
    </row>
    <row r="58" spans="1:46">
      <c r="A58" s="545"/>
      <c r="B58" s="427">
        <f t="shared" si="0"/>
        <v>560</v>
      </c>
      <c r="C58" s="433" t="str">
        <f>VLOOKUP(B58,'Tipos de Defeitos'!B59:E161,Menu!$B$24+1,)</f>
        <v>Pedra de Óxido</v>
      </c>
      <c r="D58" s="217"/>
      <c r="E58" s="217"/>
      <c r="F58" s="212"/>
      <c r="G58" s="212"/>
      <c r="H58" s="212"/>
      <c r="I58" s="217"/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212"/>
      <c r="W58" s="212"/>
      <c r="X58" s="217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217"/>
      <c r="AP58" s="217"/>
      <c r="AQ58" s="217"/>
      <c r="AR58" s="323"/>
      <c r="AS58" s="369">
        <f t="shared" si="20"/>
        <v>0</v>
      </c>
      <c r="AT58" s="308" t="e">
        <f t="shared" si="21"/>
        <v>#DIV/0!</v>
      </c>
    </row>
    <row r="59" spans="1:46">
      <c r="A59" s="545"/>
      <c r="B59" s="427">
        <f>(B58/10+1)*10</f>
        <v>570</v>
      </c>
      <c r="C59" s="433" t="str">
        <f>VLOOKUP(B59,'Tipos de Defeitos'!B60:E162,Menu!$B$24+1,)</f>
        <v>Carvão Quebrado V</v>
      </c>
      <c r="D59" s="217"/>
      <c r="E59" s="217"/>
      <c r="F59" s="212"/>
      <c r="G59" s="212"/>
      <c r="H59" s="212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2"/>
      <c r="W59" s="212"/>
      <c r="X59" s="217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217"/>
      <c r="AP59" s="217"/>
      <c r="AQ59" s="217"/>
      <c r="AR59" s="323"/>
      <c r="AS59" s="369">
        <f t="shared" si="20"/>
        <v>0</v>
      </c>
      <c r="AT59" s="308" t="e">
        <f t="shared" si="21"/>
        <v>#DIV/0!</v>
      </c>
    </row>
    <row r="60" spans="1:46">
      <c r="A60" s="545"/>
      <c r="B60" s="427">
        <f t="shared" si="0"/>
        <v>580</v>
      </c>
      <c r="C60" s="433" t="str">
        <f>VLOOKUP(B60,'Tipos de Defeitos'!B61:E163,Menu!$B$24+1,)</f>
        <v>Sem Selante</v>
      </c>
      <c r="D60" s="217"/>
      <c r="E60" s="217"/>
      <c r="F60" s="212"/>
      <c r="G60" s="212"/>
      <c r="H60" s="212"/>
      <c r="I60" s="217"/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212"/>
      <c r="W60" s="212"/>
      <c r="X60" s="217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  <c r="AL60" s="217"/>
      <c r="AM60" s="217"/>
      <c r="AN60" s="217"/>
      <c r="AO60" s="217"/>
      <c r="AP60" s="217"/>
      <c r="AQ60" s="217"/>
      <c r="AR60" s="323"/>
      <c r="AS60" s="369">
        <f t="shared" ref="AS60:AS77" si="22">SUM(D60:AR60)</f>
        <v>0</v>
      </c>
      <c r="AT60" s="308" t="e">
        <f t="shared" ref="AT60:AT77" si="23">(AS60/$AS$78)*100</f>
        <v>#DIV/0!</v>
      </c>
    </row>
    <row r="61" spans="1:46">
      <c r="A61" s="545"/>
      <c r="B61" s="427">
        <f t="shared" si="0"/>
        <v>590</v>
      </c>
      <c r="C61" s="433" t="str">
        <f>VLOOKUP(B61,'Tipos de Defeitos'!B62:E164,Menu!$B$24+1,)</f>
        <v>PY c/ Falha de Injeção</v>
      </c>
      <c r="D61" s="217"/>
      <c r="E61" s="217"/>
      <c r="F61" s="212"/>
      <c r="G61" s="212"/>
      <c r="H61" s="212"/>
      <c r="I61" s="217"/>
      <c r="J61" s="217"/>
      <c r="K61" s="217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212"/>
      <c r="W61" s="212"/>
      <c r="X61" s="217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  <c r="AL61" s="217"/>
      <c r="AM61" s="217"/>
      <c r="AN61" s="217"/>
      <c r="AO61" s="217"/>
      <c r="AP61" s="217"/>
      <c r="AQ61" s="217"/>
      <c r="AR61" s="323"/>
      <c r="AS61" s="369">
        <f t="shared" si="22"/>
        <v>0</v>
      </c>
      <c r="AT61" s="308" t="e">
        <f t="shared" si="23"/>
        <v>#DIV/0!</v>
      </c>
    </row>
    <row r="62" spans="1:46">
      <c r="A62" s="545"/>
      <c r="B62" s="427">
        <f t="shared" si="0"/>
        <v>600</v>
      </c>
      <c r="C62" s="433" t="str">
        <f>VLOOKUP(B62,'Tipos de Defeitos'!B63:E165,Menu!$B$24+1,)</f>
        <v>Sem PY</v>
      </c>
      <c r="D62" s="217"/>
      <c r="E62" s="217"/>
      <c r="F62" s="212"/>
      <c r="G62" s="212"/>
      <c r="H62" s="212"/>
      <c r="I62" s="217"/>
      <c r="J62" s="217"/>
      <c r="K62" s="217"/>
      <c r="L62" s="217"/>
      <c r="M62" s="217"/>
      <c r="N62" s="217"/>
      <c r="O62" s="217"/>
      <c r="P62" s="217"/>
      <c r="Q62" s="217"/>
      <c r="R62" s="217"/>
      <c r="S62" s="217"/>
      <c r="T62" s="217"/>
      <c r="U62" s="217"/>
      <c r="V62" s="212"/>
      <c r="W62" s="212"/>
      <c r="X62" s="217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217"/>
      <c r="AP62" s="217"/>
      <c r="AQ62" s="217"/>
      <c r="AR62" s="323"/>
      <c r="AS62" s="369">
        <f t="shared" si="22"/>
        <v>0</v>
      </c>
      <c r="AT62" s="308" t="e">
        <f t="shared" si="23"/>
        <v>#DIV/0!</v>
      </c>
    </row>
    <row r="63" spans="1:46">
      <c r="A63" s="545"/>
      <c r="B63" s="427">
        <f t="shared" si="0"/>
        <v>610</v>
      </c>
      <c r="C63" s="433" t="str">
        <f>VLOOKUP(B63,'Tipos de Defeitos'!B64:E166,Menu!$B$24+1,)</f>
        <v>PY Fora de Centro</v>
      </c>
      <c r="D63" s="217"/>
      <c r="E63" s="217"/>
      <c r="F63" s="212"/>
      <c r="G63" s="212"/>
      <c r="H63" s="212"/>
      <c r="I63" s="217"/>
      <c r="J63" s="217"/>
      <c r="K63" s="217"/>
      <c r="L63" s="217"/>
      <c r="M63" s="217"/>
      <c r="N63" s="217"/>
      <c r="O63" s="217"/>
      <c r="P63" s="217"/>
      <c r="Q63" s="217"/>
      <c r="R63" s="217"/>
      <c r="S63" s="217"/>
      <c r="T63" s="217"/>
      <c r="U63" s="217"/>
      <c r="V63" s="212"/>
      <c r="W63" s="212"/>
      <c r="X63" s="217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217"/>
      <c r="AP63" s="217"/>
      <c r="AQ63" s="217"/>
      <c r="AR63" s="323"/>
      <c r="AS63" s="369">
        <f t="shared" si="22"/>
        <v>0</v>
      </c>
      <c r="AT63" s="308" t="e">
        <f t="shared" si="23"/>
        <v>#DIV/0!</v>
      </c>
    </row>
    <row r="64" spans="1:46">
      <c r="A64" s="545"/>
      <c r="B64" s="427">
        <f t="shared" si="0"/>
        <v>620</v>
      </c>
      <c r="C64" s="433" t="str">
        <f>VLOOKUP(B64,'Tipos de Defeitos'!B65:E167,Menu!$B$24+1,)</f>
        <v>PY Queimado</v>
      </c>
      <c r="D64" s="217"/>
      <c r="E64" s="217"/>
      <c r="F64" s="212"/>
      <c r="G64" s="212"/>
      <c r="H64" s="212"/>
      <c r="I64" s="217"/>
      <c r="J64" s="217"/>
      <c r="K64" s="217"/>
      <c r="L64" s="217"/>
      <c r="M64" s="217"/>
      <c r="N64" s="217"/>
      <c r="O64" s="217"/>
      <c r="P64" s="217"/>
      <c r="Q64" s="217"/>
      <c r="R64" s="217"/>
      <c r="S64" s="217"/>
      <c r="T64" s="217"/>
      <c r="U64" s="217"/>
      <c r="V64" s="212"/>
      <c r="W64" s="212"/>
      <c r="X64" s="217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217"/>
      <c r="AP64" s="217"/>
      <c r="AQ64" s="217"/>
      <c r="AR64" s="323"/>
      <c r="AS64" s="369">
        <f t="shared" si="22"/>
        <v>0</v>
      </c>
      <c r="AT64" s="308" t="e">
        <f t="shared" si="23"/>
        <v>#DIV/0!</v>
      </c>
    </row>
    <row r="65" spans="1:47">
      <c r="A65" s="545"/>
      <c r="B65" s="427">
        <f t="shared" si="0"/>
        <v>630</v>
      </c>
      <c r="C65" s="433" t="str">
        <f>VLOOKUP(B65,'Tipos de Defeitos'!B66:E168,Menu!$B$24+1,)</f>
        <v>Tb c/ Boca Amassada - Operador</v>
      </c>
      <c r="D65" s="217"/>
      <c r="E65" s="217"/>
      <c r="F65" s="212"/>
      <c r="G65" s="212"/>
      <c r="H65" s="212"/>
      <c r="I65" s="217"/>
      <c r="J65" s="217"/>
      <c r="K65" s="217"/>
      <c r="L65" s="217"/>
      <c r="M65" s="217"/>
      <c r="N65" s="217"/>
      <c r="O65" s="217"/>
      <c r="P65" s="217"/>
      <c r="Q65" s="217"/>
      <c r="R65" s="217"/>
      <c r="S65" s="217"/>
      <c r="T65" s="217"/>
      <c r="U65" s="217"/>
      <c r="V65" s="212"/>
      <c r="W65" s="212"/>
      <c r="X65" s="217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  <c r="AL65" s="217"/>
      <c r="AM65" s="217"/>
      <c r="AN65" s="217"/>
      <c r="AO65" s="217"/>
      <c r="AP65" s="217"/>
      <c r="AQ65" s="217"/>
      <c r="AR65" s="323"/>
      <c r="AS65" s="369">
        <f t="shared" si="22"/>
        <v>0</v>
      </c>
      <c r="AT65" s="308" t="e">
        <f t="shared" si="23"/>
        <v>#DIV/0!</v>
      </c>
    </row>
    <row r="66" spans="1:47">
      <c r="A66" s="545"/>
      <c r="B66" s="427">
        <f t="shared" si="0"/>
        <v>640</v>
      </c>
      <c r="C66" s="433" t="str">
        <f>VLOOKUP(B66,'Tipos de Defeitos'!B67:E169,Menu!$B$24+1,)</f>
        <v>Tb c/ Boca Amassada - Câmera</v>
      </c>
      <c r="D66" s="217"/>
      <c r="E66" s="217"/>
      <c r="F66" s="212"/>
      <c r="G66" s="212"/>
      <c r="H66" s="212"/>
      <c r="I66" s="217"/>
      <c r="J66" s="217"/>
      <c r="K66" s="217"/>
      <c r="L66" s="217"/>
      <c r="M66" s="217"/>
      <c r="N66" s="217"/>
      <c r="O66" s="217"/>
      <c r="P66" s="217"/>
      <c r="Q66" s="217"/>
      <c r="R66" s="217"/>
      <c r="S66" s="217"/>
      <c r="T66" s="217"/>
      <c r="U66" s="217"/>
      <c r="V66" s="212"/>
      <c r="W66" s="212"/>
      <c r="X66" s="217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  <c r="AO66" s="217"/>
      <c r="AP66" s="217"/>
      <c r="AQ66" s="217"/>
      <c r="AR66" s="323"/>
      <c r="AS66" s="369">
        <f t="shared" si="22"/>
        <v>0</v>
      </c>
      <c r="AT66" s="308" t="e">
        <f t="shared" si="23"/>
        <v>#DIV/0!</v>
      </c>
      <c r="AU66" s="303">
        <v>3</v>
      </c>
    </row>
    <row r="67" spans="1:47">
      <c r="A67" s="545"/>
      <c r="B67" s="427">
        <f t="shared" si="0"/>
        <v>650</v>
      </c>
      <c r="C67" s="433" t="str">
        <f>VLOOKUP(B67,'Tipos de Defeitos'!B68:E170,Menu!$B$24+1,)</f>
        <v>Tb c/ Boca Amassada - recuperada</v>
      </c>
      <c r="D67" s="217"/>
      <c r="E67" s="217"/>
      <c r="F67" s="212"/>
      <c r="G67" s="212"/>
      <c r="H67" s="212"/>
      <c r="I67" s="217"/>
      <c r="J67" s="217"/>
      <c r="K67" s="217"/>
      <c r="L67" s="217"/>
      <c r="M67" s="217"/>
      <c r="N67" s="217"/>
      <c r="O67" s="217"/>
      <c r="P67" s="217"/>
      <c r="Q67" s="217"/>
      <c r="R67" s="217"/>
      <c r="S67" s="217"/>
      <c r="T67" s="217"/>
      <c r="U67" s="217"/>
      <c r="V67" s="212"/>
      <c r="W67" s="212"/>
      <c r="X67" s="217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  <c r="AO67" s="217"/>
      <c r="AP67" s="217"/>
      <c r="AQ67" s="217"/>
      <c r="AR67" s="323"/>
      <c r="AS67" s="369">
        <f t="shared" si="22"/>
        <v>0</v>
      </c>
      <c r="AT67" s="308" t="e">
        <f t="shared" si="23"/>
        <v>#DIV/0!</v>
      </c>
    </row>
    <row r="68" spans="1:47">
      <c r="A68" s="545"/>
      <c r="B68" s="427">
        <f t="shared" si="0"/>
        <v>660</v>
      </c>
      <c r="C68" s="433" t="str">
        <f>VLOOKUP(B68,'Tipos de Defeitos'!B69:E171,Menu!$B$24+1,)</f>
        <v>Tubo Rachado - Operador</v>
      </c>
      <c r="D68" s="217"/>
      <c r="E68" s="217"/>
      <c r="F68" s="212"/>
      <c r="G68" s="212"/>
      <c r="H68" s="212"/>
      <c r="I68" s="217"/>
      <c r="J68" s="217"/>
      <c r="K68" s="217"/>
      <c r="L68" s="217"/>
      <c r="M68" s="217"/>
      <c r="N68" s="217"/>
      <c r="O68" s="217"/>
      <c r="P68" s="217"/>
      <c r="Q68" s="217"/>
      <c r="R68" s="217"/>
      <c r="S68" s="217"/>
      <c r="T68" s="217"/>
      <c r="U68" s="217"/>
      <c r="V68" s="212"/>
      <c r="W68" s="212"/>
      <c r="X68" s="217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  <c r="AL68" s="217"/>
      <c r="AM68" s="217"/>
      <c r="AN68" s="217"/>
      <c r="AO68" s="217"/>
      <c r="AP68" s="217"/>
      <c r="AQ68" s="217"/>
      <c r="AR68" s="323"/>
      <c r="AS68" s="369">
        <f t="shared" si="22"/>
        <v>0</v>
      </c>
      <c r="AT68" s="308" t="e">
        <f t="shared" si="23"/>
        <v>#DIV/0!</v>
      </c>
    </row>
    <row r="69" spans="1:47">
      <c r="A69" s="545"/>
      <c r="B69" s="427">
        <f t="shared" si="0"/>
        <v>670</v>
      </c>
      <c r="C69" s="433" t="str">
        <f>VLOOKUP(B69,'Tipos de Defeitos'!B70:E172,Menu!$B$24+1,)</f>
        <v>Tubo Rachado - Câmera</v>
      </c>
      <c r="D69" s="217"/>
      <c r="E69" s="217"/>
      <c r="F69" s="212"/>
      <c r="G69" s="212"/>
      <c r="H69" s="212"/>
      <c r="I69" s="217"/>
      <c r="J69" s="217"/>
      <c r="K69" s="217"/>
      <c r="L69" s="217"/>
      <c r="M69" s="217"/>
      <c r="N69" s="217"/>
      <c r="O69" s="217"/>
      <c r="P69" s="217"/>
      <c r="Q69" s="217"/>
      <c r="R69" s="217"/>
      <c r="S69" s="217"/>
      <c r="T69" s="217"/>
      <c r="U69" s="217"/>
      <c r="V69" s="212"/>
      <c r="W69" s="212"/>
      <c r="X69" s="217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  <c r="AO69" s="217"/>
      <c r="AP69" s="217"/>
      <c r="AQ69" s="217"/>
      <c r="AR69" s="323"/>
      <c r="AS69" s="369">
        <f t="shared" si="22"/>
        <v>0</v>
      </c>
      <c r="AT69" s="308" t="e">
        <f t="shared" si="23"/>
        <v>#DIV/0!</v>
      </c>
    </row>
    <row r="70" spans="1:47">
      <c r="A70" s="545"/>
      <c r="B70" s="427">
        <f t="shared" si="0"/>
        <v>680</v>
      </c>
      <c r="C70" s="433" t="str">
        <f>VLOOKUP(B70,'Tipos de Defeitos'!B71:E173,Menu!$B$24+1,)</f>
        <v>Tubo de Zinco Amassado</v>
      </c>
      <c r="D70" s="217"/>
      <c r="E70" s="217"/>
      <c r="F70" s="212"/>
      <c r="G70" s="212"/>
      <c r="H70" s="212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2"/>
      <c r="W70" s="212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  <c r="AO70" s="217"/>
      <c r="AP70" s="217"/>
      <c r="AQ70" s="217"/>
      <c r="AR70" s="323"/>
      <c r="AS70" s="369">
        <f t="shared" si="22"/>
        <v>0</v>
      </c>
      <c r="AT70" s="308" t="e">
        <f t="shared" si="23"/>
        <v>#DIV/0!</v>
      </c>
    </row>
    <row r="71" spans="1:47">
      <c r="A71" s="545"/>
      <c r="B71" s="427">
        <f t="shared" si="0"/>
        <v>690</v>
      </c>
      <c r="C71" s="433" t="str">
        <f>VLOOKUP(B71,'Tipos de Defeitos'!B72:E174,Menu!$B$24+1,)</f>
        <v>Tubo com Rebarba</v>
      </c>
      <c r="D71" s="217"/>
      <c r="E71" s="217"/>
      <c r="F71" s="212"/>
      <c r="G71" s="212"/>
      <c r="H71" s="212"/>
      <c r="I71" s="217"/>
      <c r="J71" s="217"/>
      <c r="K71" s="217"/>
      <c r="L71" s="217"/>
      <c r="M71" s="217"/>
      <c r="N71" s="217"/>
      <c r="O71" s="217"/>
      <c r="P71" s="217"/>
      <c r="Q71" s="217"/>
      <c r="R71" s="217"/>
      <c r="S71" s="217"/>
      <c r="T71" s="217"/>
      <c r="U71" s="217"/>
      <c r="V71" s="212"/>
      <c r="W71" s="212"/>
      <c r="X71" s="217"/>
      <c r="Y71" s="217"/>
      <c r="Z71" s="217"/>
      <c r="AA71" s="217"/>
      <c r="AB71" s="217"/>
      <c r="AC71" s="217"/>
      <c r="AD71" s="217"/>
      <c r="AE71" s="217"/>
      <c r="AF71" s="217"/>
      <c r="AG71" s="217"/>
      <c r="AH71" s="217"/>
      <c r="AI71" s="217"/>
      <c r="AJ71" s="217"/>
      <c r="AK71" s="217"/>
      <c r="AL71" s="217"/>
      <c r="AM71" s="217"/>
      <c r="AN71" s="217"/>
      <c r="AO71" s="217"/>
      <c r="AP71" s="217"/>
      <c r="AQ71" s="217"/>
      <c r="AR71" s="323"/>
      <c r="AS71" s="369">
        <f t="shared" si="22"/>
        <v>0</v>
      </c>
      <c r="AT71" s="308" t="e">
        <f t="shared" si="23"/>
        <v>#DIV/0!</v>
      </c>
    </row>
    <row r="72" spans="1:47">
      <c r="A72" s="545"/>
      <c r="B72" s="427">
        <f t="shared" ref="B72:B105" si="24">(B71/10+1)*10</f>
        <v>700</v>
      </c>
      <c r="C72" s="433" t="str">
        <f>VLOOKUP(B72,'Tipos de Defeitos'!B73:E175,Menu!$B$24+1,)</f>
        <v>Curto Circuito Externo</v>
      </c>
      <c r="D72" s="217"/>
      <c r="E72" s="217"/>
      <c r="F72" s="212"/>
      <c r="G72" s="212"/>
      <c r="H72" s="212"/>
      <c r="I72" s="217"/>
      <c r="J72" s="217"/>
      <c r="K72" s="217"/>
      <c r="L72" s="217"/>
      <c r="M72" s="217"/>
      <c r="N72" s="212"/>
      <c r="O72" s="217"/>
      <c r="P72" s="217"/>
      <c r="Q72" s="217"/>
      <c r="R72" s="217"/>
      <c r="S72" s="217"/>
      <c r="T72" s="217"/>
      <c r="U72" s="217"/>
      <c r="V72" s="212"/>
      <c r="W72" s="212"/>
      <c r="X72" s="217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  <c r="AL72" s="217"/>
      <c r="AM72" s="217"/>
      <c r="AN72" s="217"/>
      <c r="AO72" s="217"/>
      <c r="AP72" s="217"/>
      <c r="AQ72" s="217"/>
      <c r="AR72" s="323"/>
      <c r="AS72" s="369">
        <f t="shared" si="22"/>
        <v>0</v>
      </c>
      <c r="AT72" s="308" t="e">
        <f t="shared" si="23"/>
        <v>#DIV/0!</v>
      </c>
    </row>
    <row r="73" spans="1:47">
      <c r="A73" s="545"/>
      <c r="B73" s="427">
        <f t="shared" si="24"/>
        <v>710</v>
      </c>
      <c r="C73" s="433" t="str">
        <f>VLOOKUP(B73,'Tipos de Defeitos'!B74:E176,Menu!$B$24+1,)</f>
        <v>Curto Circ. Externo -  recuperada</v>
      </c>
      <c r="D73" s="217"/>
      <c r="E73" s="217"/>
      <c r="F73" s="212"/>
      <c r="G73" s="212"/>
      <c r="H73" s="212"/>
      <c r="I73" s="217"/>
      <c r="J73" s="217"/>
      <c r="K73" s="217"/>
      <c r="L73" s="217"/>
      <c r="M73" s="217"/>
      <c r="N73" s="217"/>
      <c r="O73" s="217"/>
      <c r="P73" s="217"/>
      <c r="Q73" s="217"/>
      <c r="R73" s="217"/>
      <c r="S73" s="217"/>
      <c r="T73" s="217"/>
      <c r="U73" s="217"/>
      <c r="V73" s="212"/>
      <c r="W73" s="212"/>
      <c r="X73" s="217"/>
      <c r="Y73" s="217"/>
      <c r="Z73" s="217"/>
      <c r="AA73" s="217"/>
      <c r="AB73" s="217"/>
      <c r="AC73" s="217"/>
      <c r="AD73" s="217"/>
      <c r="AE73" s="217"/>
      <c r="AF73" s="217"/>
      <c r="AG73" s="217"/>
      <c r="AH73" s="217"/>
      <c r="AI73" s="217"/>
      <c r="AJ73" s="217"/>
      <c r="AK73" s="217"/>
      <c r="AL73" s="217"/>
      <c r="AM73" s="217"/>
      <c r="AN73" s="217"/>
      <c r="AO73" s="217"/>
      <c r="AP73" s="217"/>
      <c r="AQ73" s="217"/>
      <c r="AR73" s="323"/>
      <c r="AS73" s="369">
        <f t="shared" si="22"/>
        <v>0</v>
      </c>
      <c r="AT73" s="308" t="e">
        <f t="shared" si="23"/>
        <v>#DIV/0!</v>
      </c>
    </row>
    <row r="74" spans="1:47">
      <c r="A74" s="545"/>
      <c r="B74" s="427">
        <f t="shared" si="24"/>
        <v>720</v>
      </c>
      <c r="C74" s="433" t="str">
        <f>VLOOKUP(B74,'Tipos de Defeitos'!B75:E177,Menu!$B$24+1,)</f>
        <v>Pilha recuperada do Acabamento</v>
      </c>
      <c r="D74" s="217"/>
      <c r="E74" s="217"/>
      <c r="F74" s="212"/>
      <c r="G74" s="212"/>
      <c r="H74" s="212"/>
      <c r="I74" s="217"/>
      <c r="J74" s="217"/>
      <c r="K74" s="217"/>
      <c r="L74" s="217"/>
      <c r="M74" s="217"/>
      <c r="N74" s="217"/>
      <c r="O74" s="217"/>
      <c r="P74" s="217"/>
      <c r="Q74" s="217"/>
      <c r="R74" s="217"/>
      <c r="S74" s="217"/>
      <c r="T74" s="217"/>
      <c r="U74" s="217"/>
      <c r="V74" s="212"/>
      <c r="W74" s="212"/>
      <c r="X74" s="217"/>
      <c r="Y74" s="217"/>
      <c r="Z74" s="217"/>
      <c r="AA74" s="217"/>
      <c r="AB74" s="217"/>
      <c r="AC74" s="217"/>
      <c r="AD74" s="217"/>
      <c r="AE74" s="217"/>
      <c r="AF74" s="217"/>
      <c r="AG74" s="217"/>
      <c r="AH74" s="217"/>
      <c r="AI74" s="217"/>
      <c r="AJ74" s="217"/>
      <c r="AK74" s="217"/>
      <c r="AL74" s="217"/>
      <c r="AM74" s="217"/>
      <c r="AN74" s="217"/>
      <c r="AO74" s="217"/>
      <c r="AP74" s="217"/>
      <c r="AQ74" s="217"/>
      <c r="AR74" s="323"/>
      <c r="AS74" s="369">
        <f t="shared" si="22"/>
        <v>0</v>
      </c>
      <c r="AT74" s="308" t="e">
        <f t="shared" si="23"/>
        <v>#DIV/0!</v>
      </c>
    </row>
    <row r="75" spans="1:47">
      <c r="A75" s="545"/>
      <c r="B75" s="427">
        <f t="shared" si="24"/>
        <v>730</v>
      </c>
      <c r="C75" s="433" t="str">
        <f>VLOOKUP(B75,'Tipos de Defeitos'!B76:E178,Menu!$B$24+1,)</f>
        <v>Causa Desconhecida - Voltagem</v>
      </c>
      <c r="D75" s="217"/>
      <c r="E75" s="217"/>
      <c r="F75" s="212"/>
      <c r="G75" s="212"/>
      <c r="H75" s="212"/>
      <c r="I75" s="217"/>
      <c r="J75" s="217"/>
      <c r="K75" s="217"/>
      <c r="L75" s="217"/>
      <c r="M75" s="217"/>
      <c r="N75" s="217"/>
      <c r="O75" s="217"/>
      <c r="P75" s="217"/>
      <c r="Q75" s="217"/>
      <c r="R75" s="217"/>
      <c r="S75" s="217"/>
      <c r="T75" s="217"/>
      <c r="U75" s="217"/>
      <c r="V75" s="212"/>
      <c r="W75" s="212"/>
      <c r="X75" s="217"/>
      <c r="Y75" s="217"/>
      <c r="Z75" s="217"/>
      <c r="AA75" s="217"/>
      <c r="AB75" s="217"/>
      <c r="AC75" s="217"/>
      <c r="AD75" s="217"/>
      <c r="AE75" s="217"/>
      <c r="AF75" s="217"/>
      <c r="AG75" s="217"/>
      <c r="AH75" s="217"/>
      <c r="AI75" s="217"/>
      <c r="AJ75" s="217"/>
      <c r="AK75" s="217"/>
      <c r="AL75" s="217"/>
      <c r="AM75" s="217"/>
      <c r="AN75" s="217"/>
      <c r="AO75" s="217"/>
      <c r="AP75" s="217"/>
      <c r="AQ75" s="217"/>
      <c r="AR75" s="323"/>
      <c r="AS75" s="369">
        <f t="shared" si="22"/>
        <v>0</v>
      </c>
      <c r="AT75" s="308" t="e">
        <f t="shared" si="23"/>
        <v>#DIV/0!</v>
      </c>
    </row>
    <row r="76" spans="1:47">
      <c r="A76" s="545"/>
      <c r="B76" s="427">
        <f t="shared" si="24"/>
        <v>740</v>
      </c>
      <c r="C76" s="433" t="str">
        <f>VLOOKUP(B76,'Tipos de Defeitos'!B77:E179,Menu!$B$24+1,)</f>
        <v>Pilha Boa</v>
      </c>
      <c r="D76" s="217"/>
      <c r="E76" s="217"/>
      <c r="F76" s="212"/>
      <c r="G76" s="212"/>
      <c r="H76" s="212"/>
      <c r="I76" s="217"/>
      <c r="J76" s="217"/>
      <c r="K76" s="217"/>
      <c r="L76" s="217"/>
      <c r="M76" s="217"/>
      <c r="N76" s="217"/>
      <c r="O76" s="217"/>
      <c r="P76" s="217"/>
      <c r="Q76" s="217"/>
      <c r="R76" s="217"/>
      <c r="S76" s="217"/>
      <c r="T76" s="217"/>
      <c r="U76" s="217"/>
      <c r="V76" s="212"/>
      <c r="W76" s="212"/>
      <c r="X76" s="217"/>
      <c r="Y76" s="217"/>
      <c r="Z76" s="217"/>
      <c r="AA76" s="217"/>
      <c r="AB76" s="217"/>
      <c r="AC76" s="217"/>
      <c r="AD76" s="217"/>
      <c r="AE76" s="217"/>
      <c r="AF76" s="217"/>
      <c r="AG76" s="217"/>
      <c r="AH76" s="217"/>
      <c r="AI76" s="217"/>
      <c r="AJ76" s="217"/>
      <c r="AK76" s="217"/>
      <c r="AL76" s="217"/>
      <c r="AM76" s="217"/>
      <c r="AN76" s="217"/>
      <c r="AO76" s="217"/>
      <c r="AP76" s="217"/>
      <c r="AQ76" s="217"/>
      <c r="AR76" s="323"/>
      <c r="AS76" s="369">
        <f t="shared" si="22"/>
        <v>0</v>
      </c>
      <c r="AT76" s="308" t="e">
        <f t="shared" si="23"/>
        <v>#DIV/0!</v>
      </c>
    </row>
    <row r="77" spans="1:47" ht="13.5" thickBot="1">
      <c r="A77" s="545"/>
      <c r="B77" s="434">
        <f t="shared" si="24"/>
        <v>750</v>
      </c>
      <c r="C77" s="435" t="str">
        <f>VLOOKUP(B77,'Tipos de Defeitos'!B78:E180,Menu!$B$24+1,)</f>
        <v>Outros - Voltagem</v>
      </c>
      <c r="D77" s="224"/>
      <c r="E77" s="224"/>
      <c r="F77" s="224"/>
      <c r="G77" s="224"/>
      <c r="H77" s="224"/>
      <c r="I77" s="224"/>
      <c r="J77" s="224"/>
      <c r="K77" s="224"/>
      <c r="L77" s="224"/>
      <c r="M77" s="224"/>
      <c r="N77" s="224"/>
      <c r="O77" s="224"/>
      <c r="P77" s="224"/>
      <c r="Q77" s="224"/>
      <c r="R77" s="224"/>
      <c r="S77" s="224"/>
      <c r="T77" s="224"/>
      <c r="U77" s="224"/>
      <c r="V77" s="224"/>
      <c r="W77" s="224"/>
      <c r="X77" s="224"/>
      <c r="Y77" s="224"/>
      <c r="Z77" s="224"/>
      <c r="AA77" s="224"/>
      <c r="AB77" s="224"/>
      <c r="AC77" s="225"/>
      <c r="AD77" s="225"/>
      <c r="AE77" s="225"/>
      <c r="AF77" s="225"/>
      <c r="AG77" s="225"/>
      <c r="AH77" s="225"/>
      <c r="AI77" s="225"/>
      <c r="AJ77" s="225"/>
      <c r="AK77" s="225"/>
      <c r="AL77" s="225"/>
      <c r="AM77" s="225"/>
      <c r="AN77" s="225"/>
      <c r="AO77" s="225"/>
      <c r="AP77" s="225"/>
      <c r="AQ77" s="225"/>
      <c r="AR77" s="347"/>
      <c r="AS77" s="371">
        <f t="shared" si="22"/>
        <v>0</v>
      </c>
      <c r="AT77" s="308" t="e">
        <f t="shared" si="23"/>
        <v>#DIV/0!</v>
      </c>
    </row>
    <row r="78" spans="1:47">
      <c r="A78" s="544" t="s">
        <v>99</v>
      </c>
      <c r="B78" s="425">
        <f t="shared" si="24"/>
        <v>760</v>
      </c>
      <c r="C78" s="426" t="str">
        <f>VLOOKUP(B78,'Tipos de Defeitos'!B79:E181,Menu!$B$24+1,)</f>
        <v>Total (pçs)</v>
      </c>
      <c r="D78" s="238">
        <f t="shared" ref="D78:E78" si="25">SUM(D28:D77)</f>
        <v>0</v>
      </c>
      <c r="E78" s="238">
        <f t="shared" si="25"/>
        <v>0</v>
      </c>
      <c r="F78" s="238">
        <f t="shared" ref="F78" si="26">SUM(F28:F77)</f>
        <v>0</v>
      </c>
      <c r="G78" s="238">
        <f t="shared" ref="G78:AS78" si="27">SUM(G28:G77)</f>
        <v>0</v>
      </c>
      <c r="H78" s="238">
        <f t="shared" si="27"/>
        <v>0</v>
      </c>
      <c r="I78" s="238">
        <f t="shared" si="27"/>
        <v>0</v>
      </c>
      <c r="J78" s="238">
        <f t="shared" si="27"/>
        <v>0</v>
      </c>
      <c r="K78" s="238">
        <f t="shared" si="27"/>
        <v>0</v>
      </c>
      <c r="L78" s="238">
        <f t="shared" si="27"/>
        <v>0</v>
      </c>
      <c r="M78" s="238">
        <f t="shared" si="27"/>
        <v>0</v>
      </c>
      <c r="N78" s="238">
        <f t="shared" si="27"/>
        <v>0</v>
      </c>
      <c r="O78" s="238">
        <f t="shared" si="27"/>
        <v>0</v>
      </c>
      <c r="P78" s="238">
        <f t="shared" si="27"/>
        <v>0</v>
      </c>
      <c r="Q78" s="238">
        <f t="shared" si="27"/>
        <v>0</v>
      </c>
      <c r="R78" s="238">
        <f t="shared" si="27"/>
        <v>0</v>
      </c>
      <c r="S78" s="238">
        <f t="shared" si="27"/>
        <v>0</v>
      </c>
      <c r="T78" s="238">
        <f t="shared" si="27"/>
        <v>0</v>
      </c>
      <c r="U78" s="238">
        <f t="shared" si="27"/>
        <v>0</v>
      </c>
      <c r="V78" s="238">
        <f t="shared" si="27"/>
        <v>0</v>
      </c>
      <c r="W78" s="238">
        <f t="shared" si="27"/>
        <v>0</v>
      </c>
      <c r="X78" s="238">
        <f t="shared" si="27"/>
        <v>0</v>
      </c>
      <c r="Y78" s="238">
        <f t="shared" si="27"/>
        <v>0</v>
      </c>
      <c r="Z78" s="238">
        <f t="shared" si="27"/>
        <v>0</v>
      </c>
      <c r="AA78" s="238">
        <f t="shared" si="27"/>
        <v>0</v>
      </c>
      <c r="AB78" s="238">
        <f t="shared" si="27"/>
        <v>0</v>
      </c>
      <c r="AC78" s="238">
        <f t="shared" si="27"/>
        <v>0</v>
      </c>
      <c r="AD78" s="238">
        <f t="shared" si="27"/>
        <v>0</v>
      </c>
      <c r="AE78" s="238">
        <f t="shared" si="27"/>
        <v>0</v>
      </c>
      <c r="AF78" s="238">
        <f t="shared" si="27"/>
        <v>0</v>
      </c>
      <c r="AG78" s="238">
        <f t="shared" si="27"/>
        <v>0</v>
      </c>
      <c r="AH78" s="238">
        <f t="shared" si="27"/>
        <v>0</v>
      </c>
      <c r="AI78" s="238">
        <f t="shared" si="27"/>
        <v>0</v>
      </c>
      <c r="AJ78" s="238">
        <f t="shared" si="27"/>
        <v>0</v>
      </c>
      <c r="AK78" s="238">
        <f t="shared" si="27"/>
        <v>0</v>
      </c>
      <c r="AL78" s="238">
        <f t="shared" si="27"/>
        <v>0</v>
      </c>
      <c r="AM78" s="238">
        <f t="shared" si="27"/>
        <v>0</v>
      </c>
      <c r="AN78" s="238">
        <f t="shared" si="27"/>
        <v>0</v>
      </c>
      <c r="AO78" s="238">
        <f t="shared" si="27"/>
        <v>0</v>
      </c>
      <c r="AP78" s="238">
        <f t="shared" si="27"/>
        <v>0</v>
      </c>
      <c r="AQ78" s="238">
        <f t="shared" si="27"/>
        <v>0</v>
      </c>
      <c r="AR78" s="350">
        <f t="shared" si="27"/>
        <v>0</v>
      </c>
      <c r="AS78" s="376">
        <f t="shared" si="27"/>
        <v>0</v>
      </c>
    </row>
    <row r="79" spans="1:47">
      <c r="A79" s="545"/>
      <c r="B79" s="427">
        <f t="shared" si="24"/>
        <v>770</v>
      </c>
      <c r="C79" s="428" t="str">
        <f>VLOOKUP(B79,'Tipos de Defeitos'!B80:E182,Menu!$B$24+1,)</f>
        <v>1º Teste</v>
      </c>
      <c r="D79" s="240" t="str">
        <f t="shared" ref="D79:E79" si="28">IF(D23&gt;0,D23/D7*1000000,"")</f>
        <v/>
      </c>
      <c r="E79" s="240" t="str">
        <f t="shared" si="28"/>
        <v/>
      </c>
      <c r="F79" s="240" t="str">
        <f t="shared" ref="F79" si="29">IF(F23&gt;0,F23/F7*1000000,"")</f>
        <v/>
      </c>
      <c r="G79" s="240" t="str">
        <f>IF(G23&gt;0,G23/G7*1000000,"")</f>
        <v/>
      </c>
      <c r="H79" s="240" t="str">
        <f t="shared" ref="H79:AR79" si="30">IF(H23&gt;0,H23/H7*1000000,"")</f>
        <v/>
      </c>
      <c r="I79" s="240" t="str">
        <f t="shared" si="30"/>
        <v/>
      </c>
      <c r="J79" s="240" t="str">
        <f t="shared" si="30"/>
        <v/>
      </c>
      <c r="K79" s="240" t="str">
        <f t="shared" si="30"/>
        <v/>
      </c>
      <c r="L79" s="240" t="str">
        <f t="shared" si="30"/>
        <v/>
      </c>
      <c r="M79" s="240" t="str">
        <f t="shared" si="30"/>
        <v/>
      </c>
      <c r="N79" s="240" t="str">
        <f t="shared" si="30"/>
        <v/>
      </c>
      <c r="O79" s="240" t="str">
        <f t="shared" si="30"/>
        <v/>
      </c>
      <c r="P79" s="240" t="str">
        <f t="shared" si="30"/>
        <v/>
      </c>
      <c r="Q79" s="240" t="str">
        <f t="shared" si="30"/>
        <v/>
      </c>
      <c r="R79" s="240" t="str">
        <f t="shared" si="30"/>
        <v/>
      </c>
      <c r="S79" s="240" t="str">
        <f t="shared" si="30"/>
        <v/>
      </c>
      <c r="T79" s="240" t="str">
        <f t="shared" si="30"/>
        <v/>
      </c>
      <c r="U79" s="240" t="str">
        <f t="shared" si="30"/>
        <v/>
      </c>
      <c r="V79" s="240" t="str">
        <f t="shared" si="30"/>
        <v/>
      </c>
      <c r="W79" s="240" t="str">
        <f t="shared" si="30"/>
        <v/>
      </c>
      <c r="X79" s="240" t="str">
        <f t="shared" si="30"/>
        <v/>
      </c>
      <c r="Y79" s="240" t="str">
        <f t="shared" si="30"/>
        <v/>
      </c>
      <c r="Z79" s="240" t="str">
        <f t="shared" si="30"/>
        <v/>
      </c>
      <c r="AA79" s="240" t="str">
        <f t="shared" si="30"/>
        <v/>
      </c>
      <c r="AB79" s="240" t="str">
        <f t="shared" si="30"/>
        <v/>
      </c>
      <c r="AC79" s="240" t="str">
        <f t="shared" si="30"/>
        <v/>
      </c>
      <c r="AD79" s="240" t="str">
        <f t="shared" si="30"/>
        <v/>
      </c>
      <c r="AE79" s="240" t="str">
        <f t="shared" si="30"/>
        <v/>
      </c>
      <c r="AF79" s="240" t="str">
        <f t="shared" si="30"/>
        <v/>
      </c>
      <c r="AG79" s="240" t="str">
        <f t="shared" si="30"/>
        <v/>
      </c>
      <c r="AH79" s="240" t="str">
        <f t="shared" si="30"/>
        <v/>
      </c>
      <c r="AI79" s="240" t="str">
        <f t="shared" si="30"/>
        <v/>
      </c>
      <c r="AJ79" s="240" t="str">
        <f t="shared" si="30"/>
        <v/>
      </c>
      <c r="AK79" s="240" t="str">
        <f t="shared" si="30"/>
        <v/>
      </c>
      <c r="AL79" s="240" t="str">
        <f t="shared" si="30"/>
        <v/>
      </c>
      <c r="AM79" s="240" t="str">
        <f t="shared" si="30"/>
        <v/>
      </c>
      <c r="AN79" s="240" t="str">
        <f t="shared" si="30"/>
        <v/>
      </c>
      <c r="AO79" s="240" t="str">
        <f t="shared" si="30"/>
        <v/>
      </c>
      <c r="AP79" s="240" t="str">
        <f t="shared" si="30"/>
        <v/>
      </c>
      <c r="AQ79" s="240" t="str">
        <f t="shared" si="30"/>
        <v/>
      </c>
      <c r="AR79" s="287" t="str">
        <f t="shared" si="30"/>
        <v/>
      </c>
      <c r="AS79" s="377" t="str">
        <f>IF(AS7&gt;0,AS23/AS7*1000000,"")</f>
        <v/>
      </c>
    </row>
    <row r="80" spans="1:47">
      <c r="A80" s="545"/>
      <c r="B80" s="427">
        <f t="shared" si="24"/>
        <v>780</v>
      </c>
      <c r="C80" s="428" t="str">
        <f>VLOOKUP(B80,'Tipos de Defeitos'!B81:E183,Menu!$B$24+1,)</f>
        <v>Taxa defeituosa (ppm)</v>
      </c>
      <c r="D80" s="240" t="str">
        <f t="shared" ref="D80:E80" si="31">IF(D27&lt;&gt;0,D78/D27*D24/D7*1000000,"")</f>
        <v/>
      </c>
      <c r="E80" s="240" t="str">
        <f t="shared" si="31"/>
        <v/>
      </c>
      <c r="F80" s="240" t="str">
        <f t="shared" ref="F80" si="32">IF(F27&lt;&gt;0,F78/F27*F24/F7*1000000,"")</f>
        <v/>
      </c>
      <c r="G80" s="240" t="str">
        <f t="shared" ref="G80:AR80" si="33">IF(G27&lt;&gt;0,G78/G27*G24/G7*1000000,"")</f>
        <v/>
      </c>
      <c r="H80" s="240" t="str">
        <f t="shared" si="33"/>
        <v/>
      </c>
      <c r="I80" s="240" t="str">
        <f t="shared" si="33"/>
        <v/>
      </c>
      <c r="J80" s="240" t="str">
        <f t="shared" si="33"/>
        <v/>
      </c>
      <c r="K80" s="240" t="str">
        <f t="shared" si="33"/>
        <v/>
      </c>
      <c r="L80" s="240" t="str">
        <f t="shared" si="33"/>
        <v/>
      </c>
      <c r="M80" s="240" t="str">
        <f t="shared" si="33"/>
        <v/>
      </c>
      <c r="N80" s="240" t="str">
        <f t="shared" si="33"/>
        <v/>
      </c>
      <c r="O80" s="240" t="str">
        <f t="shared" si="33"/>
        <v/>
      </c>
      <c r="P80" s="240" t="str">
        <f t="shared" si="33"/>
        <v/>
      </c>
      <c r="Q80" s="240" t="str">
        <f t="shared" si="33"/>
        <v/>
      </c>
      <c r="R80" s="240" t="str">
        <f t="shared" si="33"/>
        <v/>
      </c>
      <c r="S80" s="240" t="str">
        <f t="shared" si="33"/>
        <v/>
      </c>
      <c r="T80" s="240" t="str">
        <f t="shared" si="33"/>
        <v/>
      </c>
      <c r="U80" s="240" t="str">
        <f t="shared" si="33"/>
        <v/>
      </c>
      <c r="V80" s="240" t="str">
        <f t="shared" si="33"/>
        <v/>
      </c>
      <c r="W80" s="240" t="str">
        <f t="shared" si="33"/>
        <v/>
      </c>
      <c r="X80" s="240" t="str">
        <f t="shared" si="33"/>
        <v/>
      </c>
      <c r="Y80" s="240" t="str">
        <f t="shared" si="33"/>
        <v/>
      </c>
      <c r="Z80" s="240" t="str">
        <f t="shared" si="33"/>
        <v/>
      </c>
      <c r="AA80" s="240" t="str">
        <f t="shared" si="33"/>
        <v/>
      </c>
      <c r="AB80" s="240" t="str">
        <f t="shared" si="33"/>
        <v/>
      </c>
      <c r="AC80" s="240" t="str">
        <f t="shared" si="33"/>
        <v/>
      </c>
      <c r="AD80" s="240" t="str">
        <f t="shared" si="33"/>
        <v/>
      </c>
      <c r="AE80" s="240" t="str">
        <f t="shared" si="33"/>
        <v/>
      </c>
      <c r="AF80" s="240" t="str">
        <f t="shared" si="33"/>
        <v/>
      </c>
      <c r="AG80" s="240" t="str">
        <f t="shared" si="33"/>
        <v/>
      </c>
      <c r="AH80" s="240" t="str">
        <f t="shared" si="33"/>
        <v/>
      </c>
      <c r="AI80" s="240" t="str">
        <f t="shared" si="33"/>
        <v/>
      </c>
      <c r="AJ80" s="240" t="str">
        <f t="shared" si="33"/>
        <v/>
      </c>
      <c r="AK80" s="240" t="str">
        <f t="shared" si="33"/>
        <v/>
      </c>
      <c r="AL80" s="240" t="str">
        <f t="shared" si="33"/>
        <v/>
      </c>
      <c r="AM80" s="240" t="str">
        <f t="shared" si="33"/>
        <v/>
      </c>
      <c r="AN80" s="240" t="str">
        <f t="shared" si="33"/>
        <v/>
      </c>
      <c r="AO80" s="240" t="str">
        <f t="shared" si="33"/>
        <v/>
      </c>
      <c r="AP80" s="240" t="str">
        <f t="shared" si="33"/>
        <v/>
      </c>
      <c r="AQ80" s="240" t="str">
        <f t="shared" si="33"/>
        <v/>
      </c>
      <c r="AR80" s="287" t="str">
        <f t="shared" si="33"/>
        <v/>
      </c>
      <c r="AS80" s="377">
        <f>IF(AS7&gt;0,AS78/AS27*AS24/AS7*1000000,0)</f>
        <v>0</v>
      </c>
    </row>
    <row r="81" spans="1:45">
      <c r="A81" s="545"/>
      <c r="B81" s="427">
        <f t="shared" si="24"/>
        <v>790</v>
      </c>
      <c r="C81" s="428" t="str">
        <f>VLOOKUP(B81,'Tipos de Defeitos'!B82:E184,Menu!$B$24+1,)</f>
        <v>Qtd. Defeitos internos (pçs)</v>
      </c>
      <c r="D81" s="171">
        <f t="shared" ref="D81:E81" si="34">SUM(D28:D71,D86:D98)</f>
        <v>0</v>
      </c>
      <c r="E81" s="171">
        <f t="shared" si="34"/>
        <v>0</v>
      </c>
      <c r="F81" s="171">
        <f t="shared" ref="F81" si="35">SUM(F28:F71,F86:F98)</f>
        <v>0</v>
      </c>
      <c r="G81" s="171">
        <f t="shared" ref="G81:AR81" si="36">SUM(G28:G71,G86:G98)</f>
        <v>0</v>
      </c>
      <c r="H81" s="171">
        <f t="shared" si="36"/>
        <v>0</v>
      </c>
      <c r="I81" s="171">
        <f t="shared" si="36"/>
        <v>0</v>
      </c>
      <c r="J81" s="171">
        <f t="shared" si="36"/>
        <v>0</v>
      </c>
      <c r="K81" s="171">
        <f t="shared" si="36"/>
        <v>0</v>
      </c>
      <c r="L81" s="171">
        <f t="shared" si="36"/>
        <v>0</v>
      </c>
      <c r="M81" s="171">
        <f t="shared" si="36"/>
        <v>0</v>
      </c>
      <c r="N81" s="171">
        <f t="shared" si="36"/>
        <v>0</v>
      </c>
      <c r="O81" s="171">
        <f t="shared" si="36"/>
        <v>0</v>
      </c>
      <c r="P81" s="171">
        <f t="shared" si="36"/>
        <v>0</v>
      </c>
      <c r="Q81" s="171">
        <f t="shared" si="36"/>
        <v>0</v>
      </c>
      <c r="R81" s="171">
        <f t="shared" si="36"/>
        <v>0</v>
      </c>
      <c r="S81" s="171">
        <f t="shared" si="36"/>
        <v>0</v>
      </c>
      <c r="T81" s="171">
        <f t="shared" si="36"/>
        <v>0</v>
      </c>
      <c r="U81" s="171">
        <f t="shared" si="36"/>
        <v>0</v>
      </c>
      <c r="V81" s="171">
        <f t="shared" si="36"/>
        <v>0</v>
      </c>
      <c r="W81" s="171">
        <f t="shared" si="36"/>
        <v>0</v>
      </c>
      <c r="X81" s="171">
        <f t="shared" si="36"/>
        <v>0</v>
      </c>
      <c r="Y81" s="171">
        <f t="shared" si="36"/>
        <v>0</v>
      </c>
      <c r="Z81" s="171">
        <f t="shared" si="36"/>
        <v>0</v>
      </c>
      <c r="AA81" s="171">
        <f t="shared" si="36"/>
        <v>0</v>
      </c>
      <c r="AB81" s="171">
        <f t="shared" si="36"/>
        <v>0</v>
      </c>
      <c r="AC81" s="171">
        <f t="shared" si="36"/>
        <v>0</v>
      </c>
      <c r="AD81" s="171">
        <f t="shared" si="36"/>
        <v>0</v>
      </c>
      <c r="AE81" s="171">
        <f t="shared" si="36"/>
        <v>0</v>
      </c>
      <c r="AF81" s="171">
        <f t="shared" si="36"/>
        <v>0</v>
      </c>
      <c r="AG81" s="171">
        <f t="shared" si="36"/>
        <v>0</v>
      </c>
      <c r="AH81" s="171">
        <f t="shared" si="36"/>
        <v>0</v>
      </c>
      <c r="AI81" s="171">
        <f t="shared" si="36"/>
        <v>0</v>
      </c>
      <c r="AJ81" s="171">
        <f t="shared" si="36"/>
        <v>0</v>
      </c>
      <c r="AK81" s="171">
        <f t="shared" si="36"/>
        <v>0</v>
      </c>
      <c r="AL81" s="171">
        <f t="shared" si="36"/>
        <v>0</v>
      </c>
      <c r="AM81" s="171">
        <f t="shared" si="36"/>
        <v>0</v>
      </c>
      <c r="AN81" s="171">
        <f t="shared" si="36"/>
        <v>0</v>
      </c>
      <c r="AO81" s="171">
        <f t="shared" si="36"/>
        <v>0</v>
      </c>
      <c r="AP81" s="171">
        <f t="shared" si="36"/>
        <v>0</v>
      </c>
      <c r="AQ81" s="171">
        <f t="shared" si="36"/>
        <v>0</v>
      </c>
      <c r="AR81" s="171">
        <f t="shared" si="36"/>
        <v>0</v>
      </c>
      <c r="AS81" s="204">
        <f>SUM(AS28:AS67)</f>
        <v>0</v>
      </c>
    </row>
    <row r="82" spans="1:45" ht="13.5" thickBot="1">
      <c r="A82" s="546"/>
      <c r="B82" s="429">
        <f t="shared" si="24"/>
        <v>800</v>
      </c>
      <c r="C82" s="430" t="str">
        <f>VLOOKUP(B82,'Tipos de Defeitos'!B83:E185,Menu!$B$24+1,)</f>
        <v>Defeitos Internos - Taxa defeituosa (ppm)</v>
      </c>
      <c r="D82" s="242" t="str">
        <f t="shared" ref="D82:E82" si="37">IF(D24&gt;0,D81/D27*D24/D7*1000000,"")</f>
        <v/>
      </c>
      <c r="E82" s="242" t="str">
        <f t="shared" si="37"/>
        <v/>
      </c>
      <c r="F82" s="242" t="str">
        <f t="shared" ref="F82" si="38">IF(F24&gt;0,F81/F27*F24/F7*1000000,"")</f>
        <v/>
      </c>
      <c r="G82" s="242" t="str">
        <f t="shared" ref="G82:AS82" si="39">IF(G24&gt;0,G81/G27*G24/G7*1000000,"")</f>
        <v/>
      </c>
      <c r="H82" s="242" t="str">
        <f t="shared" si="39"/>
        <v/>
      </c>
      <c r="I82" s="242" t="str">
        <f t="shared" si="39"/>
        <v/>
      </c>
      <c r="J82" s="242" t="str">
        <f t="shared" si="39"/>
        <v/>
      </c>
      <c r="K82" s="242" t="str">
        <f t="shared" si="39"/>
        <v/>
      </c>
      <c r="L82" s="242" t="str">
        <f t="shared" si="39"/>
        <v/>
      </c>
      <c r="M82" s="242" t="str">
        <f t="shared" si="39"/>
        <v/>
      </c>
      <c r="N82" s="242" t="str">
        <f t="shared" si="39"/>
        <v/>
      </c>
      <c r="O82" s="242" t="str">
        <f t="shared" si="39"/>
        <v/>
      </c>
      <c r="P82" s="242" t="str">
        <f t="shared" si="39"/>
        <v/>
      </c>
      <c r="Q82" s="242" t="str">
        <f t="shared" si="39"/>
        <v/>
      </c>
      <c r="R82" s="242" t="str">
        <f t="shared" si="39"/>
        <v/>
      </c>
      <c r="S82" s="242" t="str">
        <f t="shared" si="39"/>
        <v/>
      </c>
      <c r="T82" s="242" t="str">
        <f t="shared" si="39"/>
        <v/>
      </c>
      <c r="U82" s="242" t="str">
        <f t="shared" si="39"/>
        <v/>
      </c>
      <c r="V82" s="242" t="str">
        <f t="shared" si="39"/>
        <v/>
      </c>
      <c r="W82" s="242" t="str">
        <f t="shared" si="39"/>
        <v/>
      </c>
      <c r="X82" s="242" t="str">
        <f t="shared" si="39"/>
        <v/>
      </c>
      <c r="Y82" s="242" t="str">
        <f t="shared" si="39"/>
        <v/>
      </c>
      <c r="Z82" s="242" t="str">
        <f t="shared" si="39"/>
        <v/>
      </c>
      <c r="AA82" s="242" t="str">
        <f t="shared" si="39"/>
        <v/>
      </c>
      <c r="AB82" s="242" t="str">
        <f t="shared" si="39"/>
        <v/>
      </c>
      <c r="AC82" s="242" t="str">
        <f t="shared" si="39"/>
        <v/>
      </c>
      <c r="AD82" s="242" t="str">
        <f t="shared" si="39"/>
        <v/>
      </c>
      <c r="AE82" s="242" t="str">
        <f t="shared" si="39"/>
        <v/>
      </c>
      <c r="AF82" s="242" t="str">
        <f t="shared" si="39"/>
        <v/>
      </c>
      <c r="AG82" s="242" t="str">
        <f t="shared" si="39"/>
        <v/>
      </c>
      <c r="AH82" s="242" t="str">
        <f t="shared" si="39"/>
        <v/>
      </c>
      <c r="AI82" s="242" t="str">
        <f t="shared" si="39"/>
        <v/>
      </c>
      <c r="AJ82" s="242" t="str">
        <f t="shared" si="39"/>
        <v/>
      </c>
      <c r="AK82" s="242" t="str">
        <f t="shared" si="39"/>
        <v/>
      </c>
      <c r="AL82" s="242" t="str">
        <f t="shared" si="39"/>
        <v/>
      </c>
      <c r="AM82" s="242" t="str">
        <f t="shared" si="39"/>
        <v/>
      </c>
      <c r="AN82" s="242" t="str">
        <f t="shared" si="39"/>
        <v/>
      </c>
      <c r="AO82" s="242" t="str">
        <f t="shared" si="39"/>
        <v/>
      </c>
      <c r="AP82" s="242" t="str">
        <f t="shared" si="39"/>
        <v/>
      </c>
      <c r="AQ82" s="242" t="str">
        <f t="shared" si="39"/>
        <v/>
      </c>
      <c r="AR82" s="288" t="str">
        <f t="shared" si="39"/>
        <v/>
      </c>
      <c r="AS82" s="378" t="str">
        <f t="shared" si="39"/>
        <v/>
      </c>
    </row>
    <row r="83" spans="1:45" ht="14.25" customHeight="1">
      <c r="A83" s="541" t="s">
        <v>214</v>
      </c>
      <c r="B83" s="425">
        <f t="shared" si="24"/>
        <v>810</v>
      </c>
      <c r="C83" s="426" t="str">
        <f>VLOOKUP(B83,'Tipos de Defeitos'!B84:E186,Menu!$B$24+1,)</f>
        <v>Amperagem (Moda)</v>
      </c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3"/>
      <c r="U83" s="243"/>
      <c r="V83" s="243"/>
      <c r="W83" s="243"/>
      <c r="X83" s="243"/>
      <c r="Y83" s="243"/>
      <c r="Z83" s="243"/>
      <c r="AA83" s="243"/>
      <c r="AB83" s="243"/>
      <c r="AC83" s="243"/>
      <c r="AD83" s="243"/>
      <c r="AE83" s="243"/>
      <c r="AF83" s="243"/>
      <c r="AG83" s="243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353"/>
      <c r="AS83" s="379" t="e">
        <f>AVERAGE(D83:AR83)</f>
        <v>#DIV/0!</v>
      </c>
    </row>
    <row r="84" spans="1:45">
      <c r="A84" s="542"/>
      <c r="B84" s="427">
        <f t="shared" si="24"/>
        <v>820</v>
      </c>
      <c r="C84" s="428" t="str">
        <f>VLOOKUP(B84,'Tipos de Defeitos'!B85:E187,Menu!$B$24+1,)</f>
        <v>Amperagem Ajustada</v>
      </c>
      <c r="D84" s="244" t="str">
        <f t="shared" ref="D84:E84" si="40">IF(D83&gt;0,D83-1," ")</f>
        <v xml:space="preserve"> </v>
      </c>
      <c r="E84" s="244" t="str">
        <f t="shared" si="40"/>
        <v xml:space="preserve"> </v>
      </c>
      <c r="F84" s="244" t="str">
        <f>IF(F83&gt;0,F83-1," ")</f>
        <v xml:space="preserve"> </v>
      </c>
      <c r="G84" s="244" t="str">
        <f t="shared" ref="G84:H84" si="41">IF(G83&gt;0,G83-1," ")</f>
        <v xml:space="preserve"> </v>
      </c>
      <c r="H84" s="244" t="str">
        <f t="shared" si="41"/>
        <v xml:space="preserve"> </v>
      </c>
      <c r="I84" s="244" t="str">
        <f t="shared" ref="I84:K84" si="42">IF(I83&gt;0,I83-1," ")</f>
        <v xml:space="preserve"> </v>
      </c>
      <c r="J84" s="244" t="str">
        <f t="shared" si="42"/>
        <v xml:space="preserve"> </v>
      </c>
      <c r="K84" s="244" t="str">
        <f t="shared" si="42"/>
        <v xml:space="preserve"> </v>
      </c>
      <c r="L84" s="244" t="str">
        <f t="shared" ref="L84" si="43">IF(L83&gt;0,L83-1," ")</f>
        <v xml:space="preserve"> </v>
      </c>
      <c r="M84" s="244" t="str">
        <f t="shared" ref="M84:O84" si="44">IF(M83&gt;0,M83-1," ")</f>
        <v xml:space="preserve"> </v>
      </c>
      <c r="N84" s="244" t="str">
        <f t="shared" si="44"/>
        <v xml:space="preserve"> </v>
      </c>
      <c r="O84" s="244" t="str">
        <f t="shared" si="44"/>
        <v xml:space="preserve"> </v>
      </c>
      <c r="P84" s="244" t="str">
        <f t="shared" ref="P84:W84" si="45">IF(P83&gt;0,P83-1," ")</f>
        <v xml:space="preserve"> </v>
      </c>
      <c r="Q84" s="244" t="str">
        <f t="shared" si="45"/>
        <v xml:space="preserve"> </v>
      </c>
      <c r="R84" s="244" t="str">
        <f t="shared" si="45"/>
        <v xml:space="preserve"> </v>
      </c>
      <c r="S84" s="244" t="str">
        <f t="shared" si="45"/>
        <v xml:space="preserve"> </v>
      </c>
      <c r="T84" s="244" t="str">
        <f t="shared" si="45"/>
        <v xml:space="preserve"> </v>
      </c>
      <c r="U84" s="244" t="str">
        <f t="shared" si="45"/>
        <v xml:space="preserve"> </v>
      </c>
      <c r="V84" s="244" t="str">
        <f t="shared" si="45"/>
        <v xml:space="preserve"> </v>
      </c>
      <c r="W84" s="244" t="str">
        <f t="shared" si="45"/>
        <v xml:space="preserve"> </v>
      </c>
      <c r="X84" s="244" t="str">
        <f t="shared" ref="X84:AM84" si="46">IF(X83&gt;0,X83-1," ")</f>
        <v xml:space="preserve"> </v>
      </c>
      <c r="Y84" s="244" t="str">
        <f t="shared" si="46"/>
        <v xml:space="preserve"> </v>
      </c>
      <c r="Z84" s="244" t="str">
        <f t="shared" si="46"/>
        <v xml:space="preserve"> </v>
      </c>
      <c r="AA84" s="244" t="str">
        <f t="shared" si="46"/>
        <v xml:space="preserve"> </v>
      </c>
      <c r="AB84" s="244" t="str">
        <f t="shared" ref="AB84" si="47">IF(AB83&gt;0,AB83-1," ")</f>
        <v xml:space="preserve"> </v>
      </c>
      <c r="AC84" s="244" t="str">
        <f t="shared" si="46"/>
        <v xml:space="preserve"> </v>
      </c>
      <c r="AD84" s="244" t="str">
        <f t="shared" ref="AD84:AE84" si="48">IF(AD83&gt;0,AD83-1," ")</f>
        <v xml:space="preserve"> </v>
      </c>
      <c r="AE84" s="244" t="str">
        <f t="shared" si="48"/>
        <v xml:space="preserve"> </v>
      </c>
      <c r="AF84" s="244" t="str">
        <f>IF(AF83&gt;0,AF83-1," ")</f>
        <v xml:space="preserve"> </v>
      </c>
      <c r="AG84" s="244" t="str">
        <f>IF(AG83&gt;0,AG83-1," ")</f>
        <v xml:space="preserve"> </v>
      </c>
      <c r="AH84" s="244" t="str">
        <f t="shared" si="46"/>
        <v xml:space="preserve"> </v>
      </c>
      <c r="AI84" s="244" t="str">
        <f>IF(AI83&gt;0,AI83-1," ")</f>
        <v xml:space="preserve"> </v>
      </c>
      <c r="AJ84" s="244" t="str">
        <f>IF(AJ83&gt;0,AJ83-1," ")</f>
        <v xml:space="preserve"> </v>
      </c>
      <c r="AK84" s="244" t="str">
        <f>IF(AK83&gt;0,AK83-1," ")</f>
        <v xml:space="preserve"> </v>
      </c>
      <c r="AL84" s="244" t="str">
        <f>IF(AL83&gt;0,AL83-1," ")</f>
        <v xml:space="preserve"> </v>
      </c>
      <c r="AM84" s="244" t="str">
        <f t="shared" si="46"/>
        <v xml:space="preserve"> </v>
      </c>
      <c r="AN84" s="244" t="str">
        <f t="shared" ref="AN84:AQ84" si="49">IF(AN83&gt;0,AN83-1," ")</f>
        <v xml:space="preserve"> </v>
      </c>
      <c r="AO84" s="244" t="str">
        <f t="shared" si="49"/>
        <v xml:space="preserve"> </v>
      </c>
      <c r="AP84" s="244" t="str">
        <f t="shared" si="49"/>
        <v xml:space="preserve"> </v>
      </c>
      <c r="AQ84" s="244" t="str">
        <f t="shared" si="49"/>
        <v xml:space="preserve"> </v>
      </c>
      <c r="AR84" s="354"/>
      <c r="AS84" s="380" t="e">
        <f>AS83-1</f>
        <v>#DIV/0!</v>
      </c>
    </row>
    <row r="85" spans="1:45" ht="13.5" thickBot="1">
      <c r="A85" s="543"/>
      <c r="B85" s="434">
        <f t="shared" si="24"/>
        <v>830</v>
      </c>
      <c r="C85" s="436" t="str">
        <f>VLOOKUP(B85,'Tipos de Defeitos'!B86:E188,Menu!$B$24+1,)</f>
        <v>Qtd Baterias analisadas (pçs)</v>
      </c>
      <c r="D85" s="245">
        <f t="shared" ref="D85:E85" si="50">D103</f>
        <v>0</v>
      </c>
      <c r="E85" s="245">
        <f t="shared" si="50"/>
        <v>0</v>
      </c>
      <c r="F85" s="245">
        <f t="shared" ref="F85" si="51">F103</f>
        <v>0</v>
      </c>
      <c r="G85" s="245">
        <f t="shared" ref="G85:H85" si="52">G103</f>
        <v>0</v>
      </c>
      <c r="H85" s="245">
        <f t="shared" si="52"/>
        <v>0</v>
      </c>
      <c r="I85" s="245">
        <f t="shared" ref="I85:K85" si="53">I103</f>
        <v>0</v>
      </c>
      <c r="J85" s="245">
        <f t="shared" si="53"/>
        <v>0</v>
      </c>
      <c r="K85" s="245">
        <f t="shared" si="53"/>
        <v>0</v>
      </c>
      <c r="L85" s="245">
        <f t="shared" ref="L85" si="54">L103</f>
        <v>0</v>
      </c>
      <c r="M85" s="245">
        <f t="shared" ref="M85:O85" si="55">M103</f>
        <v>0</v>
      </c>
      <c r="N85" s="245">
        <f t="shared" si="55"/>
        <v>0</v>
      </c>
      <c r="O85" s="245">
        <f t="shared" si="55"/>
        <v>0</v>
      </c>
      <c r="P85" s="245">
        <f t="shared" ref="P85:W85" si="56">P103</f>
        <v>0</v>
      </c>
      <c r="Q85" s="245">
        <f t="shared" si="56"/>
        <v>0</v>
      </c>
      <c r="R85" s="245">
        <f t="shared" si="56"/>
        <v>0</v>
      </c>
      <c r="S85" s="245">
        <f t="shared" si="56"/>
        <v>0</v>
      </c>
      <c r="T85" s="245">
        <f t="shared" si="56"/>
        <v>0</v>
      </c>
      <c r="U85" s="245">
        <f t="shared" si="56"/>
        <v>0</v>
      </c>
      <c r="V85" s="245">
        <f t="shared" si="56"/>
        <v>0</v>
      </c>
      <c r="W85" s="245">
        <f t="shared" si="56"/>
        <v>0</v>
      </c>
      <c r="X85" s="245">
        <f t="shared" ref="X85:AM85" si="57">X103</f>
        <v>0</v>
      </c>
      <c r="Y85" s="245">
        <f t="shared" si="57"/>
        <v>0</v>
      </c>
      <c r="Z85" s="245">
        <f t="shared" si="57"/>
        <v>0</v>
      </c>
      <c r="AA85" s="245">
        <f t="shared" si="57"/>
        <v>0</v>
      </c>
      <c r="AB85" s="245">
        <f t="shared" si="57"/>
        <v>0</v>
      </c>
      <c r="AC85" s="245">
        <f t="shared" si="57"/>
        <v>0</v>
      </c>
      <c r="AD85" s="245">
        <f t="shared" ref="AD85:AE85" si="58">AD103</f>
        <v>0</v>
      </c>
      <c r="AE85" s="245">
        <f t="shared" si="58"/>
        <v>0</v>
      </c>
      <c r="AF85" s="245">
        <f t="shared" si="57"/>
        <v>0</v>
      </c>
      <c r="AG85" s="245">
        <f t="shared" si="57"/>
        <v>0</v>
      </c>
      <c r="AH85" s="245">
        <f t="shared" si="57"/>
        <v>0</v>
      </c>
      <c r="AI85" s="245">
        <f t="shared" si="57"/>
        <v>0</v>
      </c>
      <c r="AJ85" s="245">
        <f t="shared" si="57"/>
        <v>0</v>
      </c>
      <c r="AK85" s="245">
        <f t="shared" si="57"/>
        <v>0</v>
      </c>
      <c r="AL85" s="245">
        <f t="shared" si="57"/>
        <v>0</v>
      </c>
      <c r="AM85" s="245">
        <f t="shared" si="57"/>
        <v>0</v>
      </c>
      <c r="AN85" s="245">
        <f t="shared" ref="AN85:AQ85" si="59">AN103</f>
        <v>0</v>
      </c>
      <c r="AO85" s="245">
        <f t="shared" si="59"/>
        <v>0</v>
      </c>
      <c r="AP85" s="245">
        <f t="shared" si="59"/>
        <v>0</v>
      </c>
      <c r="AQ85" s="245">
        <f t="shared" si="59"/>
        <v>0</v>
      </c>
      <c r="AR85" s="355"/>
      <c r="AS85" s="381">
        <f t="shared" ref="AS85:AS103" si="60">SUM(D85:AR85)</f>
        <v>0</v>
      </c>
    </row>
    <row r="86" spans="1:45">
      <c r="A86" s="544" t="s">
        <v>22</v>
      </c>
      <c r="B86" s="425">
        <f t="shared" si="24"/>
        <v>840</v>
      </c>
      <c r="C86" s="437" t="str">
        <f>VLOOKUP(B86,'Tipos de Defeitos'!B87:E189,Menu!$B$24+1,)</f>
        <v>Papel Separdor Duplo</v>
      </c>
      <c r="D86" s="228"/>
      <c r="E86" s="228"/>
      <c r="F86" s="227"/>
      <c r="G86" s="227"/>
      <c r="H86" s="227"/>
      <c r="I86" s="228"/>
      <c r="J86" s="228"/>
      <c r="K86" s="228"/>
      <c r="L86" s="228"/>
      <c r="M86" s="228"/>
      <c r="N86" s="228"/>
      <c r="O86" s="228"/>
      <c r="P86" s="228"/>
      <c r="Q86" s="228"/>
      <c r="R86" s="228"/>
      <c r="S86" s="228"/>
      <c r="T86" s="228"/>
      <c r="U86" s="228"/>
      <c r="V86" s="227"/>
      <c r="W86" s="227"/>
      <c r="X86" s="228"/>
      <c r="Y86" s="228"/>
      <c r="Z86" s="228"/>
      <c r="AA86" s="228"/>
      <c r="AB86" s="228"/>
      <c r="AC86" s="228"/>
      <c r="AD86" s="228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348"/>
      <c r="AS86" s="375">
        <f t="shared" si="60"/>
        <v>0</v>
      </c>
    </row>
    <row r="87" spans="1:45">
      <c r="A87" s="545"/>
      <c r="B87" s="427">
        <f t="shared" si="24"/>
        <v>850</v>
      </c>
      <c r="C87" s="433" t="str">
        <f>VLOOKUP(B87,'Tipos de Defeitos'!B88:E190,Menu!$B$24+1,)</f>
        <v>Pedra de Negro</v>
      </c>
      <c r="D87" s="217"/>
      <c r="E87" s="217"/>
      <c r="F87" s="212"/>
      <c r="G87" s="212"/>
      <c r="H87" s="212"/>
      <c r="I87" s="217"/>
      <c r="J87" s="217"/>
      <c r="K87" s="217"/>
      <c r="L87" s="217"/>
      <c r="M87" s="217"/>
      <c r="N87" s="217"/>
      <c r="O87" s="217"/>
      <c r="P87" s="217"/>
      <c r="Q87" s="217"/>
      <c r="R87" s="217"/>
      <c r="S87" s="217"/>
      <c r="T87" s="217"/>
      <c r="U87" s="217"/>
      <c r="V87" s="212"/>
      <c r="W87" s="212"/>
      <c r="X87" s="217"/>
      <c r="Y87" s="217"/>
      <c r="Z87" s="217"/>
      <c r="AA87" s="217"/>
      <c r="AB87" s="217"/>
      <c r="AC87" s="217"/>
      <c r="AD87" s="217"/>
      <c r="AE87" s="217"/>
      <c r="AF87" s="217"/>
      <c r="AG87" s="217"/>
      <c r="AH87" s="217"/>
      <c r="AI87" s="217"/>
      <c r="AJ87" s="217"/>
      <c r="AK87" s="217"/>
      <c r="AL87" s="217"/>
      <c r="AM87" s="217"/>
      <c r="AN87" s="217"/>
      <c r="AO87" s="217"/>
      <c r="AP87" s="217"/>
      <c r="AQ87" s="217"/>
      <c r="AR87" s="323"/>
      <c r="AS87" s="369">
        <f t="shared" si="60"/>
        <v>0</v>
      </c>
    </row>
    <row r="88" spans="1:45">
      <c r="A88" s="545"/>
      <c r="B88" s="427">
        <f t="shared" si="24"/>
        <v>860</v>
      </c>
      <c r="C88" s="433" t="str">
        <f>VLOOKUP(B88,'Tipos de Defeitos'!B89:E191,Menu!$B$24+1,)</f>
        <v>Pedra de Cl de Amônia</v>
      </c>
      <c r="D88" s="217"/>
      <c r="E88" s="217"/>
      <c r="F88" s="212"/>
      <c r="G88" s="212"/>
      <c r="H88" s="212"/>
      <c r="I88" s="217"/>
      <c r="J88" s="217"/>
      <c r="K88" s="217"/>
      <c r="L88" s="217"/>
      <c r="M88" s="217"/>
      <c r="N88" s="217"/>
      <c r="O88" s="217"/>
      <c r="P88" s="217"/>
      <c r="Q88" s="217"/>
      <c r="R88" s="217"/>
      <c r="S88" s="217"/>
      <c r="T88" s="217"/>
      <c r="U88" s="217"/>
      <c r="V88" s="212"/>
      <c r="W88" s="212"/>
      <c r="X88" s="217"/>
      <c r="Y88" s="217"/>
      <c r="Z88" s="217"/>
      <c r="AA88" s="217"/>
      <c r="AB88" s="217"/>
      <c r="AC88" s="217"/>
      <c r="AD88" s="217"/>
      <c r="AE88" s="217"/>
      <c r="AF88" s="217"/>
      <c r="AG88" s="217"/>
      <c r="AH88" s="217"/>
      <c r="AI88" s="217"/>
      <c r="AJ88" s="217"/>
      <c r="AK88" s="217"/>
      <c r="AL88" s="217"/>
      <c r="AM88" s="217"/>
      <c r="AN88" s="217"/>
      <c r="AO88" s="217"/>
      <c r="AP88" s="217"/>
      <c r="AQ88" s="217"/>
      <c r="AR88" s="323"/>
      <c r="AS88" s="369">
        <f t="shared" si="60"/>
        <v>0</v>
      </c>
    </row>
    <row r="89" spans="1:45">
      <c r="A89" s="545"/>
      <c r="B89" s="427">
        <f t="shared" si="24"/>
        <v>870</v>
      </c>
      <c r="C89" s="433" t="str">
        <f>VLOOKUP(B89,'Tipos de Defeitos'!B90:E192,Menu!$B$24+1,)</f>
        <v>Pelota de Manganês</v>
      </c>
      <c r="D89" s="217"/>
      <c r="E89" s="217"/>
      <c r="F89" s="212"/>
      <c r="G89" s="212"/>
      <c r="H89" s="212"/>
      <c r="I89" s="217"/>
      <c r="J89" s="217"/>
      <c r="K89" s="217"/>
      <c r="L89" s="217"/>
      <c r="M89" s="217"/>
      <c r="N89" s="217"/>
      <c r="O89" s="217"/>
      <c r="P89" s="217"/>
      <c r="Q89" s="217"/>
      <c r="R89" s="217"/>
      <c r="S89" s="217"/>
      <c r="T89" s="217"/>
      <c r="U89" s="217"/>
      <c r="V89" s="212"/>
      <c r="W89" s="212"/>
      <c r="X89" s="217"/>
      <c r="Y89" s="217"/>
      <c r="Z89" s="217"/>
      <c r="AA89" s="217"/>
      <c r="AB89" s="217"/>
      <c r="AC89" s="217"/>
      <c r="AD89" s="217"/>
      <c r="AE89" s="217"/>
      <c r="AF89" s="217"/>
      <c r="AG89" s="217"/>
      <c r="AH89" s="217"/>
      <c r="AI89" s="217"/>
      <c r="AJ89" s="217"/>
      <c r="AK89" s="217"/>
      <c r="AL89" s="217"/>
      <c r="AM89" s="217"/>
      <c r="AN89" s="217"/>
      <c r="AO89" s="217"/>
      <c r="AP89" s="217"/>
      <c r="AQ89" s="217"/>
      <c r="AR89" s="323"/>
      <c r="AS89" s="369">
        <f t="shared" si="60"/>
        <v>0</v>
      </c>
    </row>
    <row r="90" spans="1:45">
      <c r="A90" s="545"/>
      <c r="B90" s="427">
        <f t="shared" si="24"/>
        <v>880</v>
      </c>
      <c r="C90" s="433" t="str">
        <f>VLOOKUP(B90,'Tipos de Defeitos'!B91:E193,Menu!$B$24+1,)</f>
        <v>Bobina Baixa A</v>
      </c>
      <c r="D90" s="217"/>
      <c r="E90" s="217"/>
      <c r="F90" s="212"/>
      <c r="G90" s="212"/>
      <c r="H90" s="212"/>
      <c r="I90" s="217"/>
      <c r="J90" s="217"/>
      <c r="K90" s="217"/>
      <c r="L90" s="217"/>
      <c r="M90" s="217"/>
      <c r="N90" s="217"/>
      <c r="O90" s="217"/>
      <c r="P90" s="217"/>
      <c r="Q90" s="217"/>
      <c r="R90" s="217"/>
      <c r="S90" s="217"/>
      <c r="T90" s="217"/>
      <c r="U90" s="217"/>
      <c r="V90" s="212"/>
      <c r="W90" s="212"/>
      <c r="X90" s="217"/>
      <c r="Y90" s="217"/>
      <c r="Z90" s="217"/>
      <c r="AA90" s="217"/>
      <c r="AB90" s="217"/>
      <c r="AC90" s="217"/>
      <c r="AD90" s="217"/>
      <c r="AE90" s="217"/>
      <c r="AF90" s="217"/>
      <c r="AG90" s="217"/>
      <c r="AH90" s="217"/>
      <c r="AI90" s="217"/>
      <c r="AJ90" s="217"/>
      <c r="AK90" s="217"/>
      <c r="AL90" s="217"/>
      <c r="AM90" s="217"/>
      <c r="AN90" s="217"/>
      <c r="AO90" s="217"/>
      <c r="AP90" s="217"/>
      <c r="AQ90" s="217"/>
      <c r="AR90" s="323"/>
      <c r="AS90" s="369">
        <f t="shared" si="60"/>
        <v>0</v>
      </c>
    </row>
    <row r="91" spans="1:45">
      <c r="A91" s="545"/>
      <c r="B91" s="427">
        <f t="shared" si="24"/>
        <v>890</v>
      </c>
      <c r="C91" s="433" t="str">
        <f>VLOOKUP(B91,'Tipos de Defeitos'!B92:E194,Menu!$B$24+1,)</f>
        <v>Bobina Rachada</v>
      </c>
      <c r="D91" s="217"/>
      <c r="E91" s="217"/>
      <c r="F91" s="212"/>
      <c r="G91" s="212"/>
      <c r="H91" s="212"/>
      <c r="I91" s="217"/>
      <c r="J91" s="217"/>
      <c r="K91" s="217"/>
      <c r="L91" s="217"/>
      <c r="M91" s="217"/>
      <c r="N91" s="217"/>
      <c r="O91" s="217"/>
      <c r="P91" s="217"/>
      <c r="Q91" s="217"/>
      <c r="R91" s="217"/>
      <c r="S91" s="217"/>
      <c r="T91" s="217"/>
      <c r="U91" s="217"/>
      <c r="V91" s="212"/>
      <c r="W91" s="212"/>
      <c r="X91" s="217"/>
      <c r="Y91" s="217"/>
      <c r="Z91" s="217"/>
      <c r="AA91" s="217"/>
      <c r="AB91" s="217"/>
      <c r="AC91" s="217"/>
      <c r="AD91" s="217"/>
      <c r="AE91" s="217"/>
      <c r="AF91" s="217"/>
      <c r="AG91" s="217"/>
      <c r="AH91" s="217"/>
      <c r="AI91" s="217"/>
      <c r="AJ91" s="217"/>
      <c r="AK91" s="217"/>
      <c r="AL91" s="217"/>
      <c r="AM91" s="217"/>
      <c r="AN91" s="217"/>
      <c r="AO91" s="217"/>
      <c r="AP91" s="217"/>
      <c r="AQ91" s="217"/>
      <c r="AR91" s="323"/>
      <c r="AS91" s="369">
        <f t="shared" si="60"/>
        <v>0</v>
      </c>
    </row>
    <row r="92" spans="1:45">
      <c r="A92" s="545"/>
      <c r="B92" s="427">
        <f t="shared" si="24"/>
        <v>900</v>
      </c>
      <c r="C92" s="433" t="str">
        <f>VLOOKUP(B92,'Tipos de Defeitos'!B93:E195,Menu!$B$24+1,)</f>
        <v>Emenda de Papel</v>
      </c>
      <c r="D92" s="217"/>
      <c r="E92" s="217"/>
      <c r="F92" s="212"/>
      <c r="G92" s="212"/>
      <c r="H92" s="212"/>
      <c r="I92" s="217"/>
      <c r="J92" s="217"/>
      <c r="K92" s="217"/>
      <c r="L92" s="217"/>
      <c r="M92" s="217"/>
      <c r="N92" s="217"/>
      <c r="O92" s="217"/>
      <c r="P92" s="217"/>
      <c r="Q92" s="217"/>
      <c r="R92" s="217"/>
      <c r="S92" s="217"/>
      <c r="T92" s="217"/>
      <c r="U92" s="217"/>
      <c r="V92" s="212"/>
      <c r="W92" s="212"/>
      <c r="X92" s="217"/>
      <c r="Y92" s="217"/>
      <c r="Z92" s="217"/>
      <c r="AA92" s="217"/>
      <c r="AB92" s="217"/>
      <c r="AC92" s="217"/>
      <c r="AD92" s="217"/>
      <c r="AE92" s="217"/>
      <c r="AF92" s="217"/>
      <c r="AG92" s="217"/>
      <c r="AH92" s="217"/>
      <c r="AI92" s="217"/>
      <c r="AJ92" s="217"/>
      <c r="AK92" s="217"/>
      <c r="AL92" s="217"/>
      <c r="AM92" s="217"/>
      <c r="AN92" s="217"/>
      <c r="AO92" s="217"/>
      <c r="AP92" s="217"/>
      <c r="AQ92" s="217"/>
      <c r="AR92" s="323"/>
      <c r="AS92" s="369">
        <f t="shared" si="60"/>
        <v>0</v>
      </c>
    </row>
    <row r="93" spans="1:45">
      <c r="A93" s="545"/>
      <c r="B93" s="427">
        <f t="shared" si="24"/>
        <v>910</v>
      </c>
      <c r="C93" s="433" t="str">
        <f>VLOOKUP(B93,'Tipos de Defeitos'!B94:E196,Menu!$B$24+1,)</f>
        <v>Carvão Quebrado A</v>
      </c>
      <c r="D93" s="217"/>
      <c r="E93" s="217"/>
      <c r="F93" s="212"/>
      <c r="G93" s="212"/>
      <c r="H93" s="212"/>
      <c r="I93" s="217"/>
      <c r="J93" s="217"/>
      <c r="K93" s="217"/>
      <c r="L93" s="217"/>
      <c r="M93" s="217"/>
      <c r="N93" s="217"/>
      <c r="O93" s="217"/>
      <c r="P93" s="217"/>
      <c r="Q93" s="217"/>
      <c r="R93" s="217"/>
      <c r="S93" s="217"/>
      <c r="T93" s="217"/>
      <c r="U93" s="217"/>
      <c r="V93" s="212"/>
      <c r="W93" s="212"/>
      <c r="X93" s="217"/>
      <c r="Y93" s="217"/>
      <c r="Z93" s="217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323"/>
      <c r="AS93" s="369">
        <f t="shared" si="60"/>
        <v>0</v>
      </c>
    </row>
    <row r="94" spans="1:45">
      <c r="A94" s="545"/>
      <c r="B94" s="427">
        <f t="shared" si="24"/>
        <v>920</v>
      </c>
      <c r="C94" s="433" t="str">
        <f>VLOOKUP(B94,'Tipos de Defeitos'!B95:E197,Menu!$B$24+1,)</f>
        <v>Metade do Carvão</v>
      </c>
      <c r="D94" s="217"/>
      <c r="E94" s="217"/>
      <c r="F94" s="212"/>
      <c r="G94" s="212"/>
      <c r="H94" s="212"/>
      <c r="I94" s="217"/>
      <c r="J94" s="217"/>
      <c r="K94" s="217"/>
      <c r="L94" s="217"/>
      <c r="M94" s="217"/>
      <c r="N94" s="217"/>
      <c r="O94" s="217"/>
      <c r="P94" s="217"/>
      <c r="Q94" s="217"/>
      <c r="R94" s="217"/>
      <c r="S94" s="217"/>
      <c r="T94" s="217"/>
      <c r="U94" s="217"/>
      <c r="V94" s="212"/>
      <c r="W94" s="212"/>
      <c r="X94" s="217"/>
      <c r="Y94" s="217"/>
      <c r="Z94" s="217"/>
      <c r="AA94" s="217"/>
      <c r="AB94" s="217"/>
      <c r="AC94" s="217"/>
      <c r="AD94" s="217"/>
      <c r="AE94" s="217"/>
      <c r="AF94" s="217"/>
      <c r="AG94" s="217"/>
      <c r="AH94" s="217"/>
      <c r="AI94" s="217"/>
      <c r="AJ94" s="217"/>
      <c r="AK94" s="217"/>
      <c r="AL94" s="217"/>
      <c r="AM94" s="217"/>
      <c r="AN94" s="217"/>
      <c r="AO94" s="217"/>
      <c r="AP94" s="217"/>
      <c r="AQ94" s="217"/>
      <c r="AR94" s="323"/>
      <c r="AS94" s="369">
        <f t="shared" si="60"/>
        <v>0</v>
      </c>
    </row>
    <row r="95" spans="1:45">
      <c r="A95" s="545"/>
      <c r="B95" s="427">
        <f t="shared" si="24"/>
        <v>930</v>
      </c>
      <c r="C95" s="433" t="str">
        <f>VLOOKUP(B95,'Tipos de Defeitos'!B96:E198,Menu!$B$24+1,)</f>
        <v>Carvão Frouxo</v>
      </c>
      <c r="D95" s="217"/>
      <c r="E95" s="217"/>
      <c r="F95" s="212"/>
      <c r="G95" s="212"/>
      <c r="H95" s="212"/>
      <c r="I95" s="217"/>
      <c r="J95" s="217"/>
      <c r="K95" s="217"/>
      <c r="L95" s="217"/>
      <c r="M95" s="217"/>
      <c r="N95" s="217"/>
      <c r="O95" s="217"/>
      <c r="P95" s="217"/>
      <c r="Q95" s="217"/>
      <c r="R95" s="217"/>
      <c r="S95" s="217"/>
      <c r="T95" s="217"/>
      <c r="U95" s="217"/>
      <c r="V95" s="212"/>
      <c r="W95" s="212"/>
      <c r="X95" s="217"/>
      <c r="Y95" s="217"/>
      <c r="Z95" s="217"/>
      <c r="AA95" s="217"/>
      <c r="AB95" s="217"/>
      <c r="AC95" s="217"/>
      <c r="AD95" s="217"/>
      <c r="AE95" s="217"/>
      <c r="AF95" s="217"/>
      <c r="AG95" s="217"/>
      <c r="AH95" s="217"/>
      <c r="AI95" s="217"/>
      <c r="AJ95" s="217"/>
      <c r="AK95" s="217"/>
      <c r="AL95" s="217"/>
      <c r="AM95" s="217"/>
      <c r="AN95" s="217"/>
      <c r="AO95" s="217"/>
      <c r="AP95" s="217"/>
      <c r="AQ95" s="217"/>
      <c r="AR95" s="323"/>
      <c r="AS95" s="369">
        <f t="shared" si="60"/>
        <v>0</v>
      </c>
    </row>
    <row r="96" spans="1:45">
      <c r="A96" s="545"/>
      <c r="B96" s="427">
        <f t="shared" si="24"/>
        <v>940</v>
      </c>
      <c r="C96" s="433" t="str">
        <f>VLOOKUP(B96,'Tipos de Defeitos'!B97:E199,Menu!$B$24+1,)</f>
        <v>Tubo de Zinco Sujo</v>
      </c>
      <c r="D96" s="217"/>
      <c r="E96" s="217"/>
      <c r="F96" s="212"/>
      <c r="G96" s="212"/>
      <c r="H96" s="212"/>
      <c r="I96" s="217"/>
      <c r="J96" s="217"/>
      <c r="K96" s="217"/>
      <c r="L96" s="217"/>
      <c r="M96" s="217"/>
      <c r="N96" s="217"/>
      <c r="O96" s="217"/>
      <c r="P96" s="217"/>
      <c r="Q96" s="217"/>
      <c r="R96" s="217"/>
      <c r="S96" s="217"/>
      <c r="T96" s="217"/>
      <c r="U96" s="217"/>
      <c r="V96" s="212"/>
      <c r="W96" s="212"/>
      <c r="X96" s="217"/>
      <c r="Y96" s="217"/>
      <c r="Z96" s="217"/>
      <c r="AA96" s="217"/>
      <c r="AB96" s="217"/>
      <c r="AC96" s="217"/>
      <c r="AD96" s="217"/>
      <c r="AE96" s="217"/>
      <c r="AF96" s="217"/>
      <c r="AG96" s="217"/>
      <c r="AH96" s="217"/>
      <c r="AI96" s="217"/>
      <c r="AJ96" s="217"/>
      <c r="AK96" s="217"/>
      <c r="AL96" s="217"/>
      <c r="AM96" s="217"/>
      <c r="AN96" s="217"/>
      <c r="AO96" s="217"/>
      <c r="AP96" s="217"/>
      <c r="AQ96" s="217"/>
      <c r="AR96" s="323"/>
      <c r="AS96" s="369">
        <f t="shared" si="60"/>
        <v>0</v>
      </c>
    </row>
    <row r="97" spans="1:45">
      <c r="A97" s="545"/>
      <c r="B97" s="427">
        <f t="shared" si="24"/>
        <v>950</v>
      </c>
      <c r="C97" s="433" t="str">
        <f>VLOOKUP(B97,'Tipos de Defeitos'!B98:E200,Menu!$B$24+1,)</f>
        <v>Contem estranho</v>
      </c>
      <c r="D97" s="217"/>
      <c r="E97" s="217"/>
      <c r="F97" s="212"/>
      <c r="G97" s="212"/>
      <c r="H97" s="212"/>
      <c r="I97" s="217"/>
      <c r="J97" s="217"/>
      <c r="K97" s="217"/>
      <c r="L97" s="217"/>
      <c r="M97" s="217"/>
      <c r="N97" s="217"/>
      <c r="O97" s="217"/>
      <c r="P97" s="217"/>
      <c r="Q97" s="217"/>
      <c r="R97" s="217"/>
      <c r="S97" s="217"/>
      <c r="T97" s="217"/>
      <c r="U97" s="217"/>
      <c r="V97" s="212"/>
      <c r="W97" s="212"/>
      <c r="X97" s="217"/>
      <c r="Y97" s="217"/>
      <c r="Z97" s="217"/>
      <c r="AA97" s="217"/>
      <c r="AB97" s="217"/>
      <c r="AC97" s="217"/>
      <c r="AD97" s="217"/>
      <c r="AE97" s="217"/>
      <c r="AF97" s="217"/>
      <c r="AG97" s="217"/>
      <c r="AH97" s="217"/>
      <c r="AI97" s="217"/>
      <c r="AJ97" s="217"/>
      <c r="AK97" s="217"/>
      <c r="AL97" s="217"/>
      <c r="AM97" s="217"/>
      <c r="AN97" s="217"/>
      <c r="AO97" s="217"/>
      <c r="AP97" s="217"/>
      <c r="AQ97" s="217"/>
      <c r="AR97" s="323"/>
      <c r="AS97" s="369">
        <f t="shared" si="60"/>
        <v>0</v>
      </c>
    </row>
    <row r="98" spans="1:45">
      <c r="A98" s="545"/>
      <c r="B98" s="427">
        <f t="shared" si="24"/>
        <v>960</v>
      </c>
      <c r="C98" s="433" t="str">
        <f>VLOOKUP(B98,'Tipos de Defeitos'!B99:E201,Menu!$B$24+1,)</f>
        <v>Mistura seca</v>
      </c>
      <c r="D98" s="217"/>
      <c r="E98" s="217"/>
      <c r="F98" s="212"/>
      <c r="G98" s="212"/>
      <c r="H98" s="212"/>
      <c r="I98" s="217"/>
      <c r="J98" s="217"/>
      <c r="K98" s="217"/>
      <c r="L98" s="217"/>
      <c r="M98" s="217"/>
      <c r="N98" s="217"/>
      <c r="O98" s="217"/>
      <c r="P98" s="217"/>
      <c r="Q98" s="217"/>
      <c r="R98" s="217"/>
      <c r="S98" s="217"/>
      <c r="T98" s="217"/>
      <c r="U98" s="217"/>
      <c r="V98" s="212"/>
      <c r="W98" s="212"/>
      <c r="X98" s="217"/>
      <c r="Y98" s="217"/>
      <c r="Z98" s="217"/>
      <c r="AA98" s="217"/>
      <c r="AB98" s="217"/>
      <c r="AC98" s="217"/>
      <c r="AD98" s="217"/>
      <c r="AE98" s="217"/>
      <c r="AF98" s="217"/>
      <c r="AG98" s="217"/>
      <c r="AH98" s="217"/>
      <c r="AI98" s="217"/>
      <c r="AJ98" s="217"/>
      <c r="AK98" s="217"/>
      <c r="AL98" s="217"/>
      <c r="AM98" s="217"/>
      <c r="AN98" s="217"/>
      <c r="AO98" s="217"/>
      <c r="AP98" s="217"/>
      <c r="AQ98" s="217"/>
      <c r="AR98" s="323"/>
      <c r="AS98" s="369">
        <f t="shared" si="60"/>
        <v>0</v>
      </c>
    </row>
    <row r="99" spans="1:45">
      <c r="A99" s="545"/>
      <c r="B99" s="427">
        <f t="shared" si="24"/>
        <v>970</v>
      </c>
      <c r="C99" s="433" t="str">
        <f>VLOOKUP(B99,'Tipos de Defeitos'!B100:E202,Menu!$B$24+1,)</f>
        <v>Bottom Plate Amassado</v>
      </c>
      <c r="D99" s="217"/>
      <c r="E99" s="217"/>
      <c r="F99" s="212"/>
      <c r="G99" s="212"/>
      <c r="H99" s="212"/>
      <c r="I99" s="217"/>
      <c r="J99" s="217"/>
      <c r="K99" s="217"/>
      <c r="L99" s="217"/>
      <c r="M99" s="217"/>
      <c r="N99" s="217"/>
      <c r="O99" s="217"/>
      <c r="P99" s="217"/>
      <c r="Q99" s="217"/>
      <c r="R99" s="217"/>
      <c r="S99" s="217"/>
      <c r="T99" s="217"/>
      <c r="U99" s="217"/>
      <c r="V99" s="212"/>
      <c r="W99" s="212"/>
      <c r="X99" s="217"/>
      <c r="Y99" s="217"/>
      <c r="Z99" s="217"/>
      <c r="AA99" s="217"/>
      <c r="AB99" s="217"/>
      <c r="AC99" s="217"/>
      <c r="AD99" s="217"/>
      <c r="AE99" s="217"/>
      <c r="AF99" s="217"/>
      <c r="AG99" s="217"/>
      <c r="AH99" s="217"/>
      <c r="AI99" s="217"/>
      <c r="AJ99" s="217"/>
      <c r="AK99" s="217"/>
      <c r="AL99" s="217"/>
      <c r="AM99" s="217"/>
      <c r="AN99" s="217"/>
      <c r="AO99" s="217"/>
      <c r="AP99" s="217"/>
      <c r="AQ99" s="217"/>
      <c r="AR99" s="323"/>
      <c r="AS99" s="369">
        <f t="shared" si="60"/>
        <v>0</v>
      </c>
    </row>
    <row r="100" spans="1:45">
      <c r="A100" s="545"/>
      <c r="B100" s="427">
        <f t="shared" si="24"/>
        <v>980</v>
      </c>
      <c r="C100" s="433" t="str">
        <f>VLOOKUP(B100,'Tipos de Defeitos'!B101:E203,Menu!$B$24+1,)</f>
        <v>PVC Comprido</v>
      </c>
      <c r="D100" s="217"/>
      <c r="E100" s="217"/>
      <c r="F100" s="212"/>
      <c r="G100" s="212"/>
      <c r="H100" s="212"/>
      <c r="I100" s="217"/>
      <c r="J100" s="217"/>
      <c r="K100" s="217"/>
      <c r="L100" s="217"/>
      <c r="M100" s="217"/>
      <c r="N100" s="217"/>
      <c r="O100" s="217"/>
      <c r="P100" s="217"/>
      <c r="Q100" s="217"/>
      <c r="R100" s="217"/>
      <c r="S100" s="217"/>
      <c r="T100" s="217"/>
      <c r="U100" s="217"/>
      <c r="V100" s="212"/>
      <c r="W100" s="212"/>
      <c r="X100" s="217"/>
      <c r="Y100" s="217"/>
      <c r="Z100" s="217"/>
      <c r="AA100" s="217"/>
      <c r="AB100" s="217"/>
      <c r="AC100" s="217"/>
      <c r="AD100" s="217"/>
      <c r="AE100" s="217"/>
      <c r="AF100" s="217"/>
      <c r="AG100" s="217"/>
      <c r="AH100" s="217"/>
      <c r="AI100" s="217"/>
      <c r="AJ100" s="217"/>
      <c r="AK100" s="217"/>
      <c r="AL100" s="217"/>
      <c r="AM100" s="217"/>
      <c r="AN100" s="217"/>
      <c r="AO100" s="217"/>
      <c r="AP100" s="217"/>
      <c r="AQ100" s="217"/>
      <c r="AR100" s="323"/>
      <c r="AS100" s="369">
        <f t="shared" si="60"/>
        <v>0</v>
      </c>
    </row>
    <row r="101" spans="1:45">
      <c r="A101" s="545"/>
      <c r="B101" s="427">
        <f t="shared" si="24"/>
        <v>990</v>
      </c>
      <c r="C101" s="433" t="str">
        <f>VLOOKUP(B101,'Tipos de Defeitos'!B102:E204,Menu!$B$24+1,)</f>
        <v>Causa Desconhecida - Amperagem</v>
      </c>
      <c r="D101" s="217"/>
      <c r="E101" s="217"/>
      <c r="F101" s="212"/>
      <c r="G101" s="212"/>
      <c r="H101" s="212"/>
      <c r="I101" s="217"/>
      <c r="J101" s="217"/>
      <c r="K101" s="217"/>
      <c r="L101" s="217"/>
      <c r="M101" s="217"/>
      <c r="N101" s="217"/>
      <c r="O101" s="217"/>
      <c r="P101" s="217"/>
      <c r="Q101" s="217"/>
      <c r="R101" s="217"/>
      <c r="S101" s="217"/>
      <c r="T101" s="217"/>
      <c r="U101" s="217"/>
      <c r="V101" s="212"/>
      <c r="W101" s="212"/>
      <c r="X101" s="217"/>
      <c r="Y101" s="217"/>
      <c r="Z101" s="217"/>
      <c r="AA101" s="217"/>
      <c r="AB101" s="217"/>
      <c r="AC101" s="217"/>
      <c r="AD101" s="217"/>
      <c r="AE101" s="217"/>
      <c r="AF101" s="217"/>
      <c r="AG101" s="217"/>
      <c r="AH101" s="217"/>
      <c r="AI101" s="217"/>
      <c r="AJ101" s="217"/>
      <c r="AK101" s="217"/>
      <c r="AL101" s="217"/>
      <c r="AM101" s="217"/>
      <c r="AN101" s="217"/>
      <c r="AO101" s="217"/>
      <c r="AP101" s="217"/>
      <c r="AQ101" s="217"/>
      <c r="AR101" s="323"/>
      <c r="AS101" s="369">
        <f t="shared" si="60"/>
        <v>0</v>
      </c>
    </row>
    <row r="102" spans="1:45" ht="13.5" thickBot="1">
      <c r="A102" s="546"/>
      <c r="B102" s="434">
        <f t="shared" si="24"/>
        <v>1000</v>
      </c>
      <c r="C102" s="435" t="str">
        <f>VLOOKUP(B102,'Tipos de Defeitos'!B103:E205,Menu!$B$24+1,)</f>
        <v>Outros - Amperagem</v>
      </c>
      <c r="D102" s="225"/>
      <c r="E102" s="225"/>
      <c r="F102" s="224"/>
      <c r="G102" s="224"/>
      <c r="H102" s="224"/>
      <c r="I102" s="225"/>
      <c r="J102" s="225"/>
      <c r="K102" s="225"/>
      <c r="L102" s="225"/>
      <c r="M102" s="225"/>
      <c r="N102" s="225"/>
      <c r="O102" s="225"/>
      <c r="P102" s="225"/>
      <c r="Q102" s="225"/>
      <c r="R102" s="225"/>
      <c r="S102" s="225"/>
      <c r="T102" s="225"/>
      <c r="U102" s="225"/>
      <c r="V102" s="224"/>
      <c r="W102" s="224"/>
      <c r="X102" s="225"/>
      <c r="Y102" s="225"/>
      <c r="Z102" s="225"/>
      <c r="AA102" s="225"/>
      <c r="AB102" s="225"/>
      <c r="AC102" s="225"/>
      <c r="AD102" s="225"/>
      <c r="AE102" s="225"/>
      <c r="AF102" s="225"/>
      <c r="AG102" s="225"/>
      <c r="AH102" s="225"/>
      <c r="AI102" s="225"/>
      <c r="AJ102" s="225"/>
      <c r="AK102" s="225"/>
      <c r="AL102" s="225"/>
      <c r="AM102" s="225"/>
      <c r="AN102" s="225"/>
      <c r="AO102" s="225"/>
      <c r="AP102" s="225"/>
      <c r="AQ102" s="225"/>
      <c r="AR102" s="347"/>
      <c r="AS102" s="370">
        <f t="shared" si="60"/>
        <v>0</v>
      </c>
    </row>
    <row r="103" spans="1:45">
      <c r="A103" s="547" t="s">
        <v>99</v>
      </c>
      <c r="B103" s="425">
        <f t="shared" si="24"/>
        <v>1010</v>
      </c>
      <c r="C103" s="437" t="str">
        <f>VLOOKUP(B103,'Tipos de Defeitos'!B104:E206,Menu!$B$24+1,)</f>
        <v>Total</v>
      </c>
      <c r="D103" s="232">
        <f t="shared" ref="D103:E103" si="61">SUM(D86:D102)</f>
        <v>0</v>
      </c>
      <c r="E103" s="232">
        <f t="shared" si="61"/>
        <v>0</v>
      </c>
      <c r="F103" s="231">
        <f t="shared" ref="F103" si="62">SUM(F86:F102)</f>
        <v>0</v>
      </c>
      <c r="G103" s="231">
        <f t="shared" ref="G103:H103" si="63">SUM(G86:G102)</f>
        <v>0</v>
      </c>
      <c r="H103" s="231">
        <f t="shared" si="63"/>
        <v>0</v>
      </c>
      <c r="I103" s="232">
        <f t="shared" ref="I103:K103" si="64">SUM(I86:I102)</f>
        <v>0</v>
      </c>
      <c r="J103" s="232">
        <f t="shared" si="64"/>
        <v>0</v>
      </c>
      <c r="K103" s="232">
        <f t="shared" si="64"/>
        <v>0</v>
      </c>
      <c r="L103" s="232">
        <f t="shared" ref="L103" si="65">SUM(L86:L102)</f>
        <v>0</v>
      </c>
      <c r="M103" s="232">
        <f t="shared" ref="M103:O103" si="66">SUM(M86:M102)</f>
        <v>0</v>
      </c>
      <c r="N103" s="232">
        <f t="shared" si="66"/>
        <v>0</v>
      </c>
      <c r="O103" s="232">
        <f t="shared" si="66"/>
        <v>0</v>
      </c>
      <c r="P103" s="232">
        <f t="shared" ref="P103:W103" si="67">SUM(P86:P102)</f>
        <v>0</v>
      </c>
      <c r="Q103" s="232">
        <f t="shared" si="67"/>
        <v>0</v>
      </c>
      <c r="R103" s="232">
        <f t="shared" si="67"/>
        <v>0</v>
      </c>
      <c r="S103" s="232">
        <f t="shared" si="67"/>
        <v>0</v>
      </c>
      <c r="T103" s="232">
        <f t="shared" si="67"/>
        <v>0</v>
      </c>
      <c r="U103" s="232">
        <f t="shared" si="67"/>
        <v>0</v>
      </c>
      <c r="V103" s="231">
        <f t="shared" si="67"/>
        <v>0</v>
      </c>
      <c r="W103" s="231">
        <f t="shared" si="67"/>
        <v>0</v>
      </c>
      <c r="X103" s="232">
        <f t="shared" ref="X103:AA103" si="68">SUM(X86:X102)</f>
        <v>0</v>
      </c>
      <c r="Y103" s="232">
        <f t="shared" si="68"/>
        <v>0</v>
      </c>
      <c r="Z103" s="232">
        <f t="shared" si="68"/>
        <v>0</v>
      </c>
      <c r="AA103" s="232">
        <f t="shared" si="68"/>
        <v>0</v>
      </c>
      <c r="AB103" s="232">
        <f t="shared" ref="AB103" si="69">SUM(AB86:AB102)</f>
        <v>0</v>
      </c>
      <c r="AC103" s="232">
        <f t="shared" ref="AC103" si="70">SUM(AC86:AC102)</f>
        <v>0</v>
      </c>
      <c r="AD103" s="232">
        <f t="shared" ref="AD103:AM103" si="71">SUM(AD86:AD102)</f>
        <v>0</v>
      </c>
      <c r="AE103" s="232">
        <f t="shared" si="71"/>
        <v>0</v>
      </c>
      <c r="AF103" s="232">
        <f t="shared" si="71"/>
        <v>0</v>
      </c>
      <c r="AG103" s="232">
        <f t="shared" si="71"/>
        <v>0</v>
      </c>
      <c r="AH103" s="232">
        <f t="shared" si="71"/>
        <v>0</v>
      </c>
      <c r="AI103" s="232">
        <f t="shared" si="71"/>
        <v>0</v>
      </c>
      <c r="AJ103" s="232">
        <f t="shared" si="71"/>
        <v>0</v>
      </c>
      <c r="AK103" s="232">
        <f t="shared" si="71"/>
        <v>0</v>
      </c>
      <c r="AL103" s="232">
        <f t="shared" si="71"/>
        <v>0</v>
      </c>
      <c r="AM103" s="232">
        <f t="shared" si="71"/>
        <v>0</v>
      </c>
      <c r="AN103" s="232">
        <f t="shared" ref="AN103:AQ103" si="72">SUM(AN86:AN102)</f>
        <v>0</v>
      </c>
      <c r="AO103" s="232">
        <f t="shared" si="72"/>
        <v>0</v>
      </c>
      <c r="AP103" s="232">
        <f t="shared" si="72"/>
        <v>0</v>
      </c>
      <c r="AQ103" s="232">
        <f t="shared" si="72"/>
        <v>0</v>
      </c>
      <c r="AR103" s="360"/>
      <c r="AS103" s="382">
        <f t="shared" si="60"/>
        <v>0</v>
      </c>
    </row>
    <row r="104" spans="1:45">
      <c r="A104" s="548"/>
      <c r="B104" s="427">
        <f t="shared" si="24"/>
        <v>1020</v>
      </c>
      <c r="C104" s="433" t="str">
        <f>VLOOKUP(B104,'Tipos de Defeitos'!B105:E207,Menu!$B$24+1,)</f>
        <v>Taxa defeituosa (ppm)</v>
      </c>
      <c r="D104" s="229" t="str">
        <f t="shared" ref="D104:E104" si="73">IF(D27&lt;&gt;0,D103/D27*D24/D22*1000000,"")</f>
        <v/>
      </c>
      <c r="E104" s="229" t="str">
        <f t="shared" si="73"/>
        <v/>
      </c>
      <c r="F104" s="229" t="str">
        <f>IF(F27&lt;&gt;0,F103/F27*F24/F22*1000000,"")</f>
        <v/>
      </c>
      <c r="G104" s="229" t="str">
        <f>IF(G27&lt;&gt;0,G103/G27*G24/G22*1000000,"")</f>
        <v/>
      </c>
      <c r="H104" s="229" t="str">
        <f>IF(H27&lt;&gt;0,H103/H27*H24/H22*1000000,"")</f>
        <v/>
      </c>
      <c r="I104" s="229">
        <v>0</v>
      </c>
      <c r="J104" s="229" t="str">
        <f t="shared" ref="J104:AR104" si="74">IF(J27&lt;&gt;0,J103/J27*J24/J22*1000000,"")</f>
        <v/>
      </c>
      <c r="K104" s="229" t="str">
        <f t="shared" si="74"/>
        <v/>
      </c>
      <c r="L104" s="229" t="str">
        <f t="shared" si="74"/>
        <v/>
      </c>
      <c r="M104" s="229" t="str">
        <f t="shared" si="74"/>
        <v/>
      </c>
      <c r="N104" s="229" t="str">
        <f>IF(N27&lt;&gt;0,N103/N27*N24/N22*1000000,"")</f>
        <v/>
      </c>
      <c r="O104" s="229" t="str">
        <f>IF(O27&lt;&gt;0,O103/O27*O24/O22*1000000,"")</f>
        <v/>
      </c>
      <c r="P104" s="229" t="str">
        <f t="shared" si="74"/>
        <v/>
      </c>
      <c r="Q104" s="229" t="str">
        <f t="shared" si="74"/>
        <v/>
      </c>
      <c r="R104" s="229" t="str">
        <f t="shared" si="74"/>
        <v/>
      </c>
      <c r="S104" s="229" t="str">
        <f t="shared" si="74"/>
        <v/>
      </c>
      <c r="T104" s="229" t="str">
        <f t="shared" si="74"/>
        <v/>
      </c>
      <c r="U104" s="229" t="str">
        <f t="shared" si="74"/>
        <v/>
      </c>
      <c r="V104" s="229" t="str">
        <f t="shared" si="74"/>
        <v/>
      </c>
      <c r="W104" s="229" t="str">
        <f t="shared" si="74"/>
        <v/>
      </c>
      <c r="X104" s="229" t="str">
        <f t="shared" si="74"/>
        <v/>
      </c>
      <c r="Y104" s="229" t="str">
        <f t="shared" si="74"/>
        <v/>
      </c>
      <c r="Z104" s="229" t="str">
        <f t="shared" si="74"/>
        <v/>
      </c>
      <c r="AA104" s="229" t="str">
        <f t="shared" si="74"/>
        <v/>
      </c>
      <c r="AB104" s="229" t="str">
        <f t="shared" si="74"/>
        <v/>
      </c>
      <c r="AC104" s="229" t="str">
        <f t="shared" si="74"/>
        <v/>
      </c>
      <c r="AD104" s="229" t="str">
        <f t="shared" si="74"/>
        <v/>
      </c>
      <c r="AE104" s="229" t="str">
        <f t="shared" si="74"/>
        <v/>
      </c>
      <c r="AF104" s="229" t="str">
        <f t="shared" si="74"/>
        <v/>
      </c>
      <c r="AG104" s="229" t="str">
        <f t="shared" si="74"/>
        <v/>
      </c>
      <c r="AH104" s="229" t="str">
        <f t="shared" si="74"/>
        <v/>
      </c>
      <c r="AI104" s="229" t="str">
        <f t="shared" si="74"/>
        <v/>
      </c>
      <c r="AJ104" s="229" t="str">
        <f t="shared" si="74"/>
        <v/>
      </c>
      <c r="AK104" s="229" t="str">
        <f t="shared" si="74"/>
        <v/>
      </c>
      <c r="AL104" s="229" t="str">
        <f t="shared" si="74"/>
        <v/>
      </c>
      <c r="AM104" s="229" t="str">
        <f t="shared" si="74"/>
        <v/>
      </c>
      <c r="AN104" s="229" t="str">
        <f t="shared" si="74"/>
        <v/>
      </c>
      <c r="AO104" s="229" t="str">
        <f t="shared" si="74"/>
        <v/>
      </c>
      <c r="AP104" s="229" t="str">
        <f t="shared" si="74"/>
        <v/>
      </c>
      <c r="AQ104" s="229" t="str">
        <f t="shared" si="74"/>
        <v/>
      </c>
      <c r="AR104" s="358" t="str">
        <f t="shared" si="74"/>
        <v/>
      </c>
      <c r="AS104" s="383">
        <f>IF(AS103&gt;0,AS103/AS27*AS24/AS7*1000000,0)</f>
        <v>0</v>
      </c>
    </row>
    <row r="105" spans="1:45" ht="13.5" thickBot="1">
      <c r="A105" s="549"/>
      <c r="B105" s="429">
        <f t="shared" si="24"/>
        <v>1030</v>
      </c>
      <c r="C105" s="438" t="str">
        <f>VLOOKUP(B105,'Tipos de Defeitos'!B106:E208,Menu!$B$24+1,)</f>
        <v>Taxa Defeituosa Total (ppm)</v>
      </c>
      <c r="D105" s="233" t="str">
        <f t="shared" ref="D105:E105" si="75">IF(D24&gt;0,D24/D7*1000000,"")</f>
        <v/>
      </c>
      <c r="E105" s="233" t="str">
        <f t="shared" si="75"/>
        <v/>
      </c>
      <c r="F105" s="233" t="str">
        <f t="shared" ref="F105" si="76">IF(F24&gt;0,F24/F7*1000000,"")</f>
        <v/>
      </c>
      <c r="G105" s="233" t="str">
        <f t="shared" ref="G105:I105" si="77">IF(G24&gt;0,G24/G7*1000000,"")</f>
        <v/>
      </c>
      <c r="H105" s="233" t="str">
        <f t="shared" si="77"/>
        <v/>
      </c>
      <c r="I105" s="233" t="str">
        <f t="shared" si="77"/>
        <v/>
      </c>
      <c r="J105" s="233" t="str">
        <f t="shared" ref="J105:K105" si="78">IF(J24&gt;0,J24/J7*1000000,"")</f>
        <v/>
      </c>
      <c r="K105" s="233" t="str">
        <f t="shared" si="78"/>
        <v/>
      </c>
      <c r="L105" s="233" t="str">
        <f t="shared" ref="L105" si="79">IF(L24&gt;0,L24/L7*1000000,"")</f>
        <v/>
      </c>
      <c r="M105" s="233" t="str">
        <f t="shared" ref="M105:AR105" si="80">IF(M24&gt;0,M24/M7*1000000,"")</f>
        <v/>
      </c>
      <c r="N105" s="233" t="str">
        <f t="shared" si="80"/>
        <v/>
      </c>
      <c r="O105" s="233" t="str">
        <f t="shared" si="80"/>
        <v/>
      </c>
      <c r="P105" s="233" t="str">
        <f t="shared" si="80"/>
        <v/>
      </c>
      <c r="Q105" s="233" t="str">
        <f t="shared" si="80"/>
        <v/>
      </c>
      <c r="R105" s="233" t="str">
        <f t="shared" si="80"/>
        <v/>
      </c>
      <c r="S105" s="233" t="str">
        <f t="shared" si="80"/>
        <v/>
      </c>
      <c r="T105" s="233" t="str">
        <f t="shared" si="80"/>
        <v/>
      </c>
      <c r="U105" s="233" t="str">
        <f t="shared" si="80"/>
        <v/>
      </c>
      <c r="V105" s="233" t="str">
        <f t="shared" si="80"/>
        <v/>
      </c>
      <c r="W105" s="233" t="str">
        <f t="shared" si="80"/>
        <v/>
      </c>
      <c r="X105" s="233" t="str">
        <f t="shared" si="80"/>
        <v/>
      </c>
      <c r="Y105" s="233" t="str">
        <f t="shared" si="80"/>
        <v/>
      </c>
      <c r="Z105" s="233" t="str">
        <f t="shared" si="80"/>
        <v/>
      </c>
      <c r="AA105" s="233" t="str">
        <f t="shared" si="80"/>
        <v/>
      </c>
      <c r="AB105" s="233" t="str">
        <f t="shared" ref="AB105" si="81">IF(AB24&gt;0,AB24/AB7*1000000,"")</f>
        <v/>
      </c>
      <c r="AC105" s="233" t="str">
        <f t="shared" si="80"/>
        <v/>
      </c>
      <c r="AD105" s="233" t="str">
        <f t="shared" si="80"/>
        <v/>
      </c>
      <c r="AE105" s="233" t="str">
        <f t="shared" si="80"/>
        <v/>
      </c>
      <c r="AF105" s="233" t="str">
        <f t="shared" si="80"/>
        <v/>
      </c>
      <c r="AG105" s="233" t="str">
        <f t="shared" si="80"/>
        <v/>
      </c>
      <c r="AH105" s="233" t="str">
        <f t="shared" si="80"/>
        <v/>
      </c>
      <c r="AI105" s="233" t="str">
        <f t="shared" si="80"/>
        <v/>
      </c>
      <c r="AJ105" s="233" t="str">
        <f t="shared" si="80"/>
        <v/>
      </c>
      <c r="AK105" s="233" t="str">
        <f t="shared" si="80"/>
        <v/>
      </c>
      <c r="AL105" s="233" t="str">
        <f t="shared" si="80"/>
        <v/>
      </c>
      <c r="AM105" s="233" t="str">
        <f t="shared" si="80"/>
        <v/>
      </c>
      <c r="AN105" s="233" t="str">
        <f t="shared" ref="AN105:AQ105" si="82">IF(AN24&gt;0,AN24/AN7*1000000,"")</f>
        <v/>
      </c>
      <c r="AO105" s="233" t="str">
        <f t="shared" si="82"/>
        <v/>
      </c>
      <c r="AP105" s="233" t="str">
        <f t="shared" si="82"/>
        <v/>
      </c>
      <c r="AQ105" s="233" t="str">
        <f t="shared" si="82"/>
        <v/>
      </c>
      <c r="AR105" s="361" t="str">
        <f t="shared" si="80"/>
        <v/>
      </c>
      <c r="AS105" s="384" t="str">
        <f>IF(AS24&gt;0,AS24/AS7*1000000,"")</f>
        <v/>
      </c>
    </row>
    <row r="106" spans="1:45">
      <c r="C106" s="304" t="s">
        <v>258</v>
      </c>
      <c r="AQ106" s="269" t="s">
        <v>388</v>
      </c>
      <c r="AR106" s="269"/>
      <c r="AS106" s="269"/>
    </row>
    <row r="107" spans="1:45">
      <c r="AQ107" s="269"/>
      <c r="AR107" s="478" t="s">
        <v>389</v>
      </c>
      <c r="AS107" s="479" t="e">
        <f>AS78/AS27*AS24</f>
        <v>#DIV/0!</v>
      </c>
    </row>
    <row r="108" spans="1:45">
      <c r="AQ108" s="269"/>
      <c r="AR108" s="478" t="s">
        <v>390</v>
      </c>
      <c r="AS108" s="479" t="e">
        <f>AS103/AS27*AS24</f>
        <v>#DIV/0!</v>
      </c>
    </row>
    <row r="109" spans="1:45">
      <c r="AQ109" s="269"/>
      <c r="AR109" s="478" t="s">
        <v>391</v>
      </c>
      <c r="AS109" s="479" t="e">
        <f>AS81/AS27*AS24</f>
        <v>#DIV/0!</v>
      </c>
    </row>
    <row r="110" spans="1:45">
      <c r="AQ110" s="269"/>
      <c r="AR110" s="478" t="s">
        <v>392</v>
      </c>
      <c r="AS110" s="479" t="e">
        <f>SUM(AS86:AS98)/AS27*AS24</f>
        <v>#DIV/0!</v>
      </c>
    </row>
  </sheetData>
  <sheetProtection algorithmName="SHA-512" hashValue="1g1wPbpXFZeNdbeZ7UyCKbsKDzDJ+omwbfxHiISu/w+tUm2rVrMR5n2AFWzsXb8GoT3oI2pjK6n5ZqiUambILw==" saltValue="iM1EYCSbMs3vhEk8tYowpw==" spinCount="100000" sheet="1" objects="1" scenarios="1" selectLockedCells="1"/>
  <mergeCells count="7">
    <mergeCell ref="A83:A85"/>
    <mergeCell ref="A86:A102"/>
    <mergeCell ref="A103:A105"/>
    <mergeCell ref="A3:A22"/>
    <mergeCell ref="A23:A27"/>
    <mergeCell ref="A28:A77"/>
    <mergeCell ref="A78:A82"/>
  </mergeCells>
  <phoneticPr fontId="3"/>
  <conditionalFormatting sqref="B3:C105 G3:U5 AD8:AS22 X23:AS105 U23:U27 X3:AS7 G6:M6 O6:O7 Q6:U7 G23:S27 H7:K7 M7 G28:U105">
    <cfRule type="expression" dxfId="175" priority="1497">
      <formula>MOD(ROW(),2)=0</formula>
    </cfRule>
  </conditionalFormatting>
  <conditionalFormatting sqref="G27:S27 X27:AS27 U27">
    <cfRule type="expression" dxfId="174" priority="1496">
      <formula>G$27&lt;&gt;(G$78+G$85)</formula>
    </cfRule>
  </conditionalFormatting>
  <conditionalFormatting sqref="V3:W7 V23:W105">
    <cfRule type="expression" dxfId="173" priority="1471">
      <formula>MOD(ROW(),2)=0</formula>
    </cfRule>
  </conditionalFormatting>
  <conditionalFormatting sqref="V27:W27">
    <cfRule type="expression" dxfId="172" priority="1470">
      <formula>V$27&lt;&gt;(V$78+V$85)</formula>
    </cfRule>
  </conditionalFormatting>
  <conditionalFormatting sqref="F23:F105">
    <cfRule type="expression" dxfId="171" priority="1422">
      <formula>MOD(ROW(),2)=0</formula>
    </cfRule>
  </conditionalFormatting>
  <conditionalFormatting sqref="F27">
    <cfRule type="expression" dxfId="170" priority="1421">
      <formula>F$27&lt;&gt;(F$78+F$85)</formula>
    </cfRule>
  </conditionalFormatting>
  <conditionalFormatting sqref="T23:T27">
    <cfRule type="expression" dxfId="169" priority="1351">
      <formula>MOD(ROW(),2)=0</formula>
    </cfRule>
  </conditionalFormatting>
  <conditionalFormatting sqref="T27">
    <cfRule type="expression" dxfId="168" priority="1350">
      <formula>T$27&lt;&gt;(T$78+T$85)</formula>
    </cfRule>
  </conditionalFormatting>
  <conditionalFormatting sqref="N6:N7">
    <cfRule type="expression" dxfId="167" priority="1121">
      <formula>MOD(ROW(),2)=0</formula>
    </cfRule>
  </conditionalFormatting>
  <conditionalFormatting sqref="P6:P7">
    <cfRule type="expression" dxfId="166" priority="1108">
      <formula>MOD(ROW(),2)=0</formula>
    </cfRule>
  </conditionalFormatting>
  <conditionalFormatting sqref="F3:F5 F7">
    <cfRule type="expression" dxfId="165" priority="1028">
      <formula>MOD(ROW(),2)=0</formula>
    </cfRule>
  </conditionalFormatting>
  <conditionalFormatting sqref="F6">
    <cfRule type="expression" dxfId="164" priority="1027">
      <formula>MOD(ROW(),2)=0</formula>
    </cfRule>
  </conditionalFormatting>
  <conditionalFormatting sqref="AA8">
    <cfRule type="expression" dxfId="163" priority="627">
      <formula>MOD(ROW(),2)=0</formula>
    </cfRule>
  </conditionalFormatting>
  <conditionalFormatting sqref="AA10:AA11 AA13 AA16:AA21">
    <cfRule type="expression" dxfId="162" priority="626">
      <formula>MOD(ROW(),2)=0</formula>
    </cfRule>
  </conditionalFormatting>
  <conditionalFormatting sqref="AA14">
    <cfRule type="expression" dxfId="161" priority="625">
      <formula>MOD(ROW(),2)=0</formula>
    </cfRule>
  </conditionalFormatting>
  <conditionalFormatting sqref="AA9">
    <cfRule type="expression" dxfId="160" priority="624">
      <formula>MOD(ROW(),2)=0</formula>
    </cfRule>
  </conditionalFormatting>
  <conditionalFormatting sqref="AA15">
    <cfRule type="expression" dxfId="159" priority="623">
      <formula>MOD(ROW(),2)=0</formula>
    </cfRule>
  </conditionalFormatting>
  <conditionalFormatting sqref="AA12">
    <cfRule type="expression" dxfId="158" priority="622">
      <formula>MOD(ROW(),2)=0</formula>
    </cfRule>
  </conditionalFormatting>
  <conditionalFormatting sqref="AA22">
    <cfRule type="expression" dxfId="157" priority="621">
      <formula>MOD(ROW(),2)=0</formula>
    </cfRule>
  </conditionalFormatting>
  <conditionalFormatting sqref="AB8">
    <cfRule type="expression" dxfId="156" priority="620">
      <formula>MOD(ROW(),2)=0</formula>
    </cfRule>
  </conditionalFormatting>
  <conditionalFormatting sqref="AB10:AB11 AB13 AB16:AB21">
    <cfRule type="expression" dxfId="155" priority="619">
      <formula>MOD(ROW(),2)=0</formula>
    </cfRule>
  </conditionalFormatting>
  <conditionalFormatting sqref="AB14">
    <cfRule type="expression" dxfId="154" priority="618">
      <formula>MOD(ROW(),2)=0</formula>
    </cfRule>
  </conditionalFormatting>
  <conditionalFormatting sqref="AB9">
    <cfRule type="expression" dxfId="153" priority="617">
      <formula>MOD(ROW(),2)=0</formula>
    </cfRule>
  </conditionalFormatting>
  <conditionalFormatting sqref="AB15">
    <cfRule type="expression" dxfId="152" priority="616">
      <formula>MOD(ROW(),2)=0</formula>
    </cfRule>
  </conditionalFormatting>
  <conditionalFormatting sqref="AB12">
    <cfRule type="expression" dxfId="151" priority="615">
      <formula>MOD(ROW(),2)=0</formula>
    </cfRule>
  </conditionalFormatting>
  <conditionalFormatting sqref="AB22">
    <cfRule type="expression" dxfId="150" priority="614">
      <formula>MOD(ROW(),2)=0</formula>
    </cfRule>
  </conditionalFormatting>
  <conditionalFormatting sqref="AC8">
    <cfRule type="expression" dxfId="149" priority="613">
      <formula>MOD(ROW(),2)=0</formula>
    </cfRule>
  </conditionalFormatting>
  <conditionalFormatting sqref="AC10:AC11 AC13 AC16:AC21">
    <cfRule type="expression" dxfId="148" priority="612">
      <formula>MOD(ROW(),2)=0</formula>
    </cfRule>
  </conditionalFormatting>
  <conditionalFormatting sqref="AC14">
    <cfRule type="expression" dxfId="147" priority="611">
      <formula>MOD(ROW(),2)=0</formula>
    </cfRule>
  </conditionalFormatting>
  <conditionalFormatting sqref="AC9">
    <cfRule type="expression" dxfId="146" priority="610">
      <formula>MOD(ROW(),2)=0</formula>
    </cfRule>
  </conditionalFormatting>
  <conditionalFormatting sqref="AC15">
    <cfRule type="expression" dxfId="145" priority="609">
      <formula>MOD(ROW(),2)=0</formula>
    </cfRule>
  </conditionalFormatting>
  <conditionalFormatting sqref="AC12">
    <cfRule type="expression" dxfId="144" priority="608">
      <formula>MOD(ROW(),2)=0</formula>
    </cfRule>
  </conditionalFormatting>
  <conditionalFormatting sqref="AC22">
    <cfRule type="expression" dxfId="143" priority="607">
      <formula>MOD(ROW(),2)=0</formula>
    </cfRule>
  </conditionalFormatting>
  <conditionalFormatting sqref="G7">
    <cfRule type="expression" dxfId="142" priority="445">
      <formula>MOD(ROW(),2)=0</formula>
    </cfRule>
  </conditionalFormatting>
  <conditionalFormatting sqref="L7">
    <cfRule type="expression" dxfId="141" priority="388">
      <formula>MOD(ROW(),2)=0</formula>
    </cfRule>
  </conditionalFormatting>
  <conditionalFormatting sqref="D3:E6 D23:E105 E7">
    <cfRule type="expression" dxfId="140" priority="32">
      <formula>MOD(ROW(),2)=0</formula>
    </cfRule>
  </conditionalFormatting>
  <conditionalFormatting sqref="D27:E27">
    <cfRule type="expression" dxfId="139" priority="31">
      <formula>D$27&lt;&gt;(D$78+D$85)</formula>
    </cfRule>
  </conditionalFormatting>
  <conditionalFormatting sqref="D7">
    <cfRule type="expression" dxfId="138" priority="30">
      <formula>MOD(ROW(),2)=0</formula>
    </cfRule>
  </conditionalFormatting>
  <conditionalFormatting sqref="S8:Z8 D8:Q8">
    <cfRule type="expression" dxfId="137" priority="29">
      <formula>MOD(ROW(),2)=0</formula>
    </cfRule>
  </conditionalFormatting>
  <conditionalFormatting sqref="S19:Z20 S13:Z13 S11:Z11 D11:Q11 D13:Q13 D19:Q20">
    <cfRule type="expression" dxfId="136" priority="28">
      <formula>MOD(ROW(),2)=0</formula>
    </cfRule>
  </conditionalFormatting>
  <conditionalFormatting sqref="S9:Z9 D9:Q9">
    <cfRule type="expression" dxfId="135" priority="27">
      <formula>MOD(ROW(),2)=0</formula>
    </cfRule>
  </conditionalFormatting>
  <conditionalFormatting sqref="S12:Z12 D12:Q12">
    <cfRule type="expression" dxfId="134" priority="26">
      <formula>MOD(ROW(),2)=0</formula>
    </cfRule>
  </conditionalFormatting>
  <conditionalFormatting sqref="S22:Z22 D22:Q22">
    <cfRule type="expression" dxfId="133" priority="25">
      <formula>MOD(ROW(),2)=0</formula>
    </cfRule>
  </conditionalFormatting>
  <conditionalFormatting sqref="S16:Z18 D16:Q18">
    <cfRule type="expression" dxfId="132" priority="24">
      <formula>MOD(ROW(),2)=0</formula>
    </cfRule>
  </conditionalFormatting>
  <conditionalFormatting sqref="S14:Z14">
    <cfRule type="expression" dxfId="131" priority="23">
      <formula>MOD(ROW(),2)=0</formula>
    </cfRule>
  </conditionalFormatting>
  <conditionalFormatting sqref="S15:Z15 D14:Q15">
    <cfRule type="expression" dxfId="130" priority="22">
      <formula>MOD(ROW(),2)=0</formula>
    </cfRule>
  </conditionalFormatting>
  <conditionalFormatting sqref="S21:Z21 D21:Q21">
    <cfRule type="expression" dxfId="129" priority="21">
      <formula>MOD(ROW(),2)=0</formula>
    </cfRule>
  </conditionalFormatting>
  <conditionalFormatting sqref="S10:Z10 D10:Q10">
    <cfRule type="expression" dxfId="128" priority="20">
      <formula>MOD(ROW(),2)=0</formula>
    </cfRule>
  </conditionalFormatting>
  <conditionalFormatting sqref="R8">
    <cfRule type="expression" dxfId="127" priority="19">
      <formula>MOD(ROW(),2)=0</formula>
    </cfRule>
  </conditionalFormatting>
  <conditionalFormatting sqref="R11 R13 R19:R20">
    <cfRule type="expression" dxfId="126" priority="18">
      <formula>MOD(ROW(),2)=0</formula>
    </cfRule>
  </conditionalFormatting>
  <conditionalFormatting sqref="R9">
    <cfRule type="expression" dxfId="125" priority="17">
      <formula>MOD(ROW(),2)=0</formula>
    </cfRule>
  </conditionalFormatting>
  <conditionalFormatting sqref="R12">
    <cfRule type="expression" dxfId="124" priority="16">
      <formula>MOD(ROW(),2)=0</formula>
    </cfRule>
  </conditionalFormatting>
  <conditionalFormatting sqref="R22">
    <cfRule type="expression" dxfId="123" priority="15">
      <formula>MOD(ROW(),2)=0</formula>
    </cfRule>
  </conditionalFormatting>
  <conditionalFormatting sqref="R17:R18">
    <cfRule type="expression" dxfId="122" priority="14">
      <formula>MOD(ROW(),2)=0</formula>
    </cfRule>
  </conditionalFormatting>
  <conditionalFormatting sqref="R14:R15">
    <cfRule type="expression" dxfId="121" priority="13">
      <formula>MOD(ROW(),2)=0</formula>
    </cfRule>
  </conditionalFormatting>
  <conditionalFormatting sqref="R21">
    <cfRule type="expression" dxfId="120" priority="12">
      <formula>MOD(ROW(),2)=0</formula>
    </cfRule>
  </conditionalFormatting>
  <conditionalFormatting sqref="R10">
    <cfRule type="expression" dxfId="119" priority="11">
      <formula>MOD(ROW(),2)=0</formula>
    </cfRule>
  </conditionalFormatting>
  <conditionalFormatting sqref="R16">
    <cfRule type="expression" dxfId="118" priority="10">
      <formula>MOD(ROW(),2)=0</formula>
    </cfRule>
  </conditionalFormatting>
  <dataValidations count="1">
    <dataValidation type="list" allowBlank="1" showInputMessage="1" showErrorMessage="1" sqref="D6:AR6" xr:uid="{00000000-0002-0000-0300-000000000000}">
      <formula1>PRODUTOS</formula1>
    </dataValidation>
  </dataValidations>
  <pageMargins left="0.19685039370078741" right="0.19685039370078741" top="1.1811023622047245" bottom="0.55118110236220474" header="0.70866141732283472" footer="0.31496062992125984"/>
  <pageSetup paperSize="12" scale="45" orientation="landscape" horizontalDpi="300" verticalDpi="300" r:id="rId1"/>
  <headerFooter alignWithMargins="0">
    <oddHeader xml:space="preserve">&amp;L&amp;"SwitzerlandBlack,Negrito"&amp;16Panasonic&amp;"SwitzerlandBlack,Regular"
&amp;"Arial,Normal"&amp;9PILHAS / BATERIAS
&amp;C&amp;14CONTROLE DE FALHAS DE V e A&amp;16
&amp;12 UM-3 - Linha: 1&amp;RMÊS /  ANO
Dezembro/2003
Pág.: &amp;P / &amp;N&amp;"ＭＳ ゴシック,Regular"&amp;11  </oddHeader>
    <oddFooter>&amp;LF-7.115 Rev 01 (PGQ-7.03)&amp;R&amp;A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tnMenu_Click">
                <anchor moveWithCells="1" sizeWithCells="1">
                  <from>
                    <xdr:col>3</xdr:col>
                    <xdr:colOff>361950</xdr:colOff>
                    <xdr:row>0</xdr:row>
                    <xdr:rowOff>0</xdr:rowOff>
                  </from>
                  <to>
                    <xdr:col>5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>
    <tabColor rgb="FFFFC000"/>
  </sheetPr>
  <dimension ref="A1:AT110"/>
  <sheetViews>
    <sheetView zoomScaleNormal="100" workbookViewId="0">
      <pane xSplit="3" ySplit="7" topLeftCell="D8" activePane="bottomRight" state="frozen"/>
      <selection activeCell="C3" sqref="C3:C105"/>
      <selection pane="topRight" activeCell="C3" sqref="C3:C105"/>
      <selection pane="bottomLeft" activeCell="C3" sqref="C3:C105"/>
      <selection pane="bottomRight" activeCell="C10" sqref="C10"/>
    </sheetView>
  </sheetViews>
  <sheetFormatPr defaultColWidth="10.28515625" defaultRowHeight="12.75"/>
  <cols>
    <col min="1" max="1" width="3.5703125" style="303" customWidth="1"/>
    <col min="2" max="2" width="5" style="303" bestFit="1" customWidth="1"/>
    <col min="3" max="3" width="39.140625" style="303" bestFit="1" customWidth="1"/>
    <col min="4" max="4" width="12" style="303" customWidth="1"/>
    <col min="5" max="5" width="10.28515625" style="303" customWidth="1"/>
    <col min="6" max="6" width="11.7109375" style="303" customWidth="1"/>
    <col min="7" max="9" width="10.28515625" style="303" customWidth="1"/>
    <col min="10" max="11" width="11.7109375" style="303" bestFit="1" customWidth="1"/>
    <col min="12" max="14" width="10.28515625" style="303" customWidth="1"/>
    <col min="15" max="26" width="10.28515625" style="309" customWidth="1"/>
    <col min="27" max="44" width="10.28515625" style="303" customWidth="1"/>
    <col min="45" max="45" width="12.42578125" style="303" bestFit="1" customWidth="1"/>
    <col min="46" max="16384" width="10.28515625" style="303"/>
  </cols>
  <sheetData>
    <row r="1" spans="1:46" ht="31.5" customHeight="1" thickBot="1">
      <c r="B1" s="304"/>
      <c r="C1" s="305" t="str">
        <f>AS2</f>
        <v>L1 - Noite</v>
      </c>
      <c r="D1" s="311"/>
      <c r="E1" s="312"/>
      <c r="F1" s="312"/>
      <c r="G1" s="312"/>
      <c r="H1" s="312"/>
      <c r="I1" s="312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8"/>
      <c r="AB1" s="208"/>
      <c r="AC1" s="208"/>
      <c r="AD1" s="208"/>
      <c r="AE1" s="208"/>
      <c r="AF1" s="208"/>
      <c r="AG1" s="208"/>
    </row>
    <row r="2" spans="1:46" ht="13.5" thickBot="1">
      <c r="A2" s="421"/>
      <c r="B2" s="422" t="s">
        <v>86</v>
      </c>
      <c r="C2" s="423" t="s">
        <v>244</v>
      </c>
      <c r="D2" s="457" t="str">
        <f ca="1">'UM-3 - L1 - Dia'!D2:AR2</f>
        <v>03 / 2122</v>
      </c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6"/>
      <c r="R2" s="456"/>
      <c r="S2" s="456"/>
      <c r="T2" s="456"/>
      <c r="U2" s="456"/>
      <c r="V2" s="456"/>
      <c r="W2" s="456"/>
      <c r="X2" s="456"/>
      <c r="Y2" s="456"/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6"/>
      <c r="AP2" s="456"/>
      <c r="AQ2" s="456"/>
      <c r="AR2" s="456"/>
      <c r="AS2" s="404" t="s">
        <v>256</v>
      </c>
      <c r="AT2" s="404" t="s">
        <v>266</v>
      </c>
    </row>
    <row r="3" spans="1:46">
      <c r="A3" s="550" t="s">
        <v>198</v>
      </c>
      <c r="B3" s="425">
        <v>10</v>
      </c>
      <c r="C3" s="426" t="str">
        <f>VLOOKUP(B3,'Tipos de Defeitos'!B4:E106,Menu!$B$24+1,)</f>
        <v>Data da Montagem</v>
      </c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3"/>
      <c r="U3" s="213"/>
      <c r="V3" s="214"/>
      <c r="W3" s="214"/>
      <c r="X3" s="214"/>
      <c r="Y3" s="213"/>
      <c r="Z3" s="214"/>
      <c r="AA3" s="214"/>
      <c r="AB3" s="213"/>
      <c r="AC3" s="213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318"/>
      <c r="AS3" s="385" t="s">
        <v>20</v>
      </c>
      <c r="AT3" s="385" t="s">
        <v>20</v>
      </c>
    </row>
    <row r="4" spans="1:46">
      <c r="A4" s="551"/>
      <c r="B4" s="427">
        <f>(B3/10+1)*10</f>
        <v>20</v>
      </c>
      <c r="C4" s="428" t="str">
        <f>VLOOKUP(B4,'Tipos de Defeitos'!B5:E107,Menu!$B$24+1,)</f>
        <v>Data do Acabamento</v>
      </c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10"/>
      <c r="O4" s="210"/>
      <c r="P4" s="209"/>
      <c r="Q4" s="210"/>
      <c r="R4" s="210"/>
      <c r="S4" s="210"/>
      <c r="T4" s="210"/>
      <c r="U4" s="210"/>
      <c r="V4" s="209"/>
      <c r="W4" s="210"/>
      <c r="X4" s="210"/>
      <c r="Y4" s="209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320"/>
      <c r="AS4" s="408"/>
      <c r="AT4" s="386"/>
    </row>
    <row r="5" spans="1:46">
      <c r="A5" s="551"/>
      <c r="B5" s="427">
        <f t="shared" ref="B5:B71" si="0">(B4/10+1)*10</f>
        <v>30</v>
      </c>
      <c r="C5" s="428" t="str">
        <f>VLOOKUP(B5,'Tipos de Defeitos'!B6:E108,Menu!$B$24+1,)</f>
        <v>Descanso:</v>
      </c>
      <c r="D5" s="211" t="str">
        <f t="shared" ref="D5" si="1">IF(D4="","",D4-D3)</f>
        <v/>
      </c>
      <c r="E5" s="211" t="str">
        <f t="shared" ref="E5" si="2">IF(E4="","",E4-E3)</f>
        <v/>
      </c>
      <c r="F5" s="211" t="str">
        <f t="shared" ref="F5" si="3">IF(F4="","",F4-F3)</f>
        <v/>
      </c>
      <c r="G5" s="211" t="str">
        <f t="shared" ref="G5" si="4">IF(G4="","",G4-G3)</f>
        <v/>
      </c>
      <c r="H5" s="211" t="str">
        <f t="shared" ref="H5:AQ5" si="5">IF(H4="","",H4-H3)</f>
        <v/>
      </c>
      <c r="I5" s="211" t="str">
        <f t="shared" si="5"/>
        <v/>
      </c>
      <c r="J5" s="211" t="str">
        <f t="shared" si="5"/>
        <v/>
      </c>
      <c r="K5" s="211" t="str">
        <f t="shared" si="5"/>
        <v/>
      </c>
      <c r="L5" s="211" t="str">
        <f t="shared" si="5"/>
        <v/>
      </c>
      <c r="M5" s="211" t="str">
        <f t="shared" si="5"/>
        <v/>
      </c>
      <c r="N5" s="211" t="str">
        <f t="shared" si="5"/>
        <v/>
      </c>
      <c r="O5" s="211" t="str">
        <f t="shared" si="5"/>
        <v/>
      </c>
      <c r="P5" s="211" t="str">
        <f t="shared" si="5"/>
        <v/>
      </c>
      <c r="Q5" s="211" t="str">
        <f t="shared" si="5"/>
        <v/>
      </c>
      <c r="R5" s="211" t="str">
        <f t="shared" si="5"/>
        <v/>
      </c>
      <c r="S5" s="211" t="str">
        <f t="shared" si="5"/>
        <v/>
      </c>
      <c r="T5" s="211" t="str">
        <f t="shared" si="5"/>
        <v/>
      </c>
      <c r="U5" s="211" t="str">
        <f t="shared" si="5"/>
        <v/>
      </c>
      <c r="V5" s="211" t="str">
        <f t="shared" si="5"/>
        <v/>
      </c>
      <c r="W5" s="211" t="str">
        <f t="shared" si="5"/>
        <v/>
      </c>
      <c r="X5" s="211" t="str">
        <f t="shared" si="5"/>
        <v/>
      </c>
      <c r="Y5" s="211" t="str">
        <f t="shared" si="5"/>
        <v/>
      </c>
      <c r="Z5" s="211" t="str">
        <f t="shared" si="5"/>
        <v/>
      </c>
      <c r="AA5" s="211" t="str">
        <f t="shared" si="5"/>
        <v/>
      </c>
      <c r="AB5" s="211" t="str">
        <f t="shared" si="5"/>
        <v/>
      </c>
      <c r="AC5" s="211" t="str">
        <f t="shared" si="5"/>
        <v/>
      </c>
      <c r="AD5" s="211" t="str">
        <f t="shared" si="5"/>
        <v/>
      </c>
      <c r="AE5" s="211" t="str">
        <f t="shared" si="5"/>
        <v/>
      </c>
      <c r="AF5" s="211" t="str">
        <f t="shared" si="5"/>
        <v/>
      </c>
      <c r="AG5" s="211" t="str">
        <f t="shared" si="5"/>
        <v/>
      </c>
      <c r="AH5" s="211" t="str">
        <f t="shared" si="5"/>
        <v/>
      </c>
      <c r="AI5" s="211" t="str">
        <f t="shared" si="5"/>
        <v/>
      </c>
      <c r="AJ5" s="211" t="str">
        <f t="shared" si="5"/>
        <v/>
      </c>
      <c r="AK5" s="211" t="str">
        <f t="shared" si="5"/>
        <v/>
      </c>
      <c r="AL5" s="211" t="str">
        <f t="shared" si="5"/>
        <v/>
      </c>
      <c r="AM5" s="211" t="str">
        <f t="shared" si="5"/>
        <v/>
      </c>
      <c r="AN5" s="211" t="str">
        <f t="shared" si="5"/>
        <v/>
      </c>
      <c r="AO5" s="211" t="str">
        <f t="shared" si="5"/>
        <v/>
      </c>
      <c r="AP5" s="211" t="str">
        <f t="shared" ref="AP5" si="6">IF(AP4="","",AP4-AP3)</f>
        <v/>
      </c>
      <c r="AQ5" s="211" t="str">
        <f t="shared" si="5"/>
        <v/>
      </c>
      <c r="AR5" s="321" t="str">
        <f>IF(AR4="","",AR4-AR3)</f>
        <v/>
      </c>
      <c r="AS5" s="369"/>
      <c r="AT5" s="387"/>
    </row>
    <row r="6" spans="1:46">
      <c r="A6" s="551"/>
      <c r="B6" s="427">
        <f t="shared" si="0"/>
        <v>40</v>
      </c>
      <c r="C6" s="428" t="str">
        <f>VLOOKUP(B6,'Tipos de Defeitos'!B7:E109,Menu!$B$24+1,)</f>
        <v>Modelo</v>
      </c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217"/>
      <c r="AG6" s="217"/>
      <c r="AH6" s="217"/>
      <c r="AI6" s="217"/>
      <c r="AJ6" s="217"/>
      <c r="AK6" s="217"/>
      <c r="AL6" s="217"/>
      <c r="AM6" s="217"/>
      <c r="AN6" s="217"/>
      <c r="AO6" s="217"/>
      <c r="AP6" s="217"/>
      <c r="AQ6" s="217"/>
      <c r="AR6" s="323"/>
      <c r="AS6" s="409"/>
      <c r="AT6" s="387"/>
    </row>
    <row r="7" spans="1:46" ht="13.5" thickBot="1">
      <c r="A7" s="551"/>
      <c r="B7" s="429">
        <f t="shared" si="0"/>
        <v>50</v>
      </c>
      <c r="C7" s="430" t="str">
        <f>VLOOKUP(B7,'Tipos de Defeitos'!B8:E110,Menu!$B$24+1,)</f>
        <v>Qtd de Produção (pçs)</v>
      </c>
      <c r="D7" s="286"/>
      <c r="E7" s="286"/>
      <c r="F7" s="286"/>
      <c r="G7" s="286"/>
      <c r="H7" s="286"/>
      <c r="I7" s="286"/>
      <c r="J7" s="286"/>
      <c r="K7" s="286"/>
      <c r="L7" s="286"/>
      <c r="M7" s="286"/>
      <c r="N7" s="286"/>
      <c r="O7" s="286"/>
      <c r="P7" s="286"/>
      <c r="Q7" s="286"/>
      <c r="R7" s="286"/>
      <c r="S7" s="286"/>
      <c r="T7" s="286"/>
      <c r="U7" s="286"/>
      <c r="V7" s="325"/>
      <c r="W7" s="325"/>
      <c r="X7" s="325"/>
      <c r="Y7" s="325"/>
      <c r="Z7" s="325"/>
      <c r="AA7" s="325"/>
      <c r="AB7" s="325"/>
      <c r="AC7" s="325"/>
      <c r="AD7" s="325"/>
      <c r="AE7" s="325"/>
      <c r="AF7" s="326"/>
      <c r="AG7" s="326"/>
      <c r="AH7" s="326"/>
      <c r="AI7" s="326"/>
      <c r="AJ7" s="326"/>
      <c r="AK7" s="326"/>
      <c r="AL7" s="326"/>
      <c r="AM7" s="326"/>
      <c r="AN7" s="326"/>
      <c r="AO7" s="326"/>
      <c r="AP7" s="326"/>
      <c r="AQ7" s="326"/>
      <c r="AR7" s="327"/>
      <c r="AS7" s="388">
        <f t="array" ref="AS7">SUM(IF(D$5:AR$5&lt;&gt;"",D7:AR7))</f>
        <v>0</v>
      </c>
      <c r="AT7" s="389">
        <f>AS7+'UM-3 - L1 - Dia'!AS7</f>
        <v>0</v>
      </c>
    </row>
    <row r="8" spans="1:46">
      <c r="A8" s="551"/>
      <c r="B8" s="431">
        <f t="shared" si="0"/>
        <v>60</v>
      </c>
      <c r="C8" s="432" t="str">
        <f>VLOOKUP(B8,'Tipos de Defeitos'!B9:E111,Menu!$B$24+1,)</f>
        <v>GME - Fornecedor</v>
      </c>
      <c r="D8" s="253"/>
      <c r="E8" s="253"/>
      <c r="F8" s="253"/>
      <c r="G8" s="253"/>
      <c r="H8" s="253"/>
      <c r="I8" s="253"/>
      <c r="J8" s="253"/>
      <c r="K8" s="253"/>
      <c r="L8" s="253"/>
      <c r="M8" s="253"/>
      <c r="N8" s="253"/>
      <c r="O8" s="253"/>
      <c r="P8" s="253"/>
      <c r="Q8" s="253"/>
      <c r="R8" s="253"/>
      <c r="S8" s="253"/>
      <c r="T8" s="253"/>
      <c r="U8" s="253"/>
      <c r="V8" s="253"/>
      <c r="W8" s="253"/>
      <c r="X8" s="253"/>
      <c r="Y8" s="253"/>
      <c r="Z8" s="253"/>
      <c r="AA8" s="253"/>
      <c r="AB8" s="253"/>
      <c r="AC8" s="253"/>
      <c r="AD8" s="253"/>
      <c r="AE8" s="253"/>
      <c r="AF8" s="328"/>
      <c r="AG8" s="328"/>
      <c r="AH8" s="328"/>
      <c r="AI8" s="328"/>
      <c r="AJ8" s="328"/>
      <c r="AK8" s="328"/>
      <c r="AL8" s="328"/>
      <c r="AM8" s="328"/>
      <c r="AN8" s="328"/>
      <c r="AO8" s="328"/>
      <c r="AP8" s="328"/>
      <c r="AQ8" s="328"/>
      <c r="AR8" s="329"/>
      <c r="AS8" s="411"/>
      <c r="AT8" s="390"/>
    </row>
    <row r="9" spans="1:46">
      <c r="A9" s="551"/>
      <c r="B9" s="427">
        <f t="shared" si="0"/>
        <v>70</v>
      </c>
      <c r="C9" s="433" t="str">
        <f>VLOOKUP(B9,'Tipos de Defeitos'!B10:E112,Menu!$B$24+1,)</f>
        <v>Nº Lote</v>
      </c>
      <c r="D9" s="254"/>
      <c r="E9" s="254"/>
      <c r="F9" s="254"/>
      <c r="G9" s="254"/>
      <c r="H9" s="254"/>
      <c r="I9" s="254"/>
      <c r="J9" s="254"/>
      <c r="K9" s="254"/>
      <c r="L9" s="254"/>
      <c r="M9" s="254"/>
      <c r="N9" s="254"/>
      <c r="O9" s="254"/>
      <c r="P9" s="254"/>
      <c r="Q9" s="254"/>
      <c r="R9" s="254"/>
      <c r="S9" s="254"/>
      <c r="T9" s="254"/>
      <c r="U9" s="254"/>
      <c r="V9" s="254"/>
      <c r="W9" s="254"/>
      <c r="X9" s="254"/>
      <c r="Y9" s="254"/>
      <c r="Z9" s="254"/>
      <c r="AA9" s="254"/>
      <c r="AB9" s="254"/>
      <c r="AC9" s="254"/>
      <c r="AD9" s="254"/>
      <c r="AE9" s="254"/>
      <c r="AF9" s="330"/>
      <c r="AG9" s="330"/>
      <c r="AH9" s="330"/>
      <c r="AI9" s="330"/>
      <c r="AJ9" s="330"/>
      <c r="AK9" s="330"/>
      <c r="AL9" s="330"/>
      <c r="AM9" s="330"/>
      <c r="AN9" s="330"/>
      <c r="AO9" s="330"/>
      <c r="AP9" s="330"/>
      <c r="AQ9" s="330"/>
      <c r="AR9" s="331"/>
      <c r="AS9" s="409"/>
      <c r="AT9" s="387"/>
    </row>
    <row r="10" spans="1:46">
      <c r="A10" s="551"/>
      <c r="B10" s="427">
        <f t="shared" si="0"/>
        <v>80</v>
      </c>
      <c r="C10" s="433" t="str">
        <f>VLOOKUP(B10,'Tipos de Defeitos'!B11:E113,Menu!$B$24+1,)</f>
        <v>Qtd</v>
      </c>
      <c r="D10" s="253"/>
      <c r="E10" s="253"/>
      <c r="F10" s="253"/>
      <c r="G10" s="253"/>
      <c r="H10" s="253"/>
      <c r="I10" s="254"/>
      <c r="J10" s="254"/>
      <c r="K10" s="254"/>
      <c r="L10" s="254"/>
      <c r="M10" s="254"/>
      <c r="N10" s="254"/>
      <c r="O10" s="254"/>
      <c r="P10" s="254"/>
      <c r="Q10" s="254"/>
      <c r="R10" s="254"/>
      <c r="S10" s="254"/>
      <c r="T10" s="254"/>
      <c r="U10" s="254"/>
      <c r="V10" s="254"/>
      <c r="W10" s="254"/>
      <c r="X10" s="254"/>
      <c r="Y10" s="254"/>
      <c r="Z10" s="254"/>
      <c r="AA10" s="254"/>
      <c r="AB10" s="254"/>
      <c r="AC10" s="254"/>
      <c r="AD10" s="254"/>
      <c r="AE10" s="254"/>
      <c r="AF10" s="330"/>
      <c r="AG10" s="330"/>
      <c r="AH10" s="330"/>
      <c r="AI10" s="330"/>
      <c r="AJ10" s="330"/>
      <c r="AK10" s="330"/>
      <c r="AL10" s="330"/>
      <c r="AM10" s="330"/>
      <c r="AN10" s="330"/>
      <c r="AO10" s="330"/>
      <c r="AP10" s="330"/>
      <c r="AQ10" s="330"/>
      <c r="AR10" s="331"/>
      <c r="AS10" s="409"/>
      <c r="AT10" s="387"/>
    </row>
    <row r="11" spans="1:46">
      <c r="A11" s="551"/>
      <c r="B11" s="427">
        <f t="shared" si="0"/>
        <v>90</v>
      </c>
      <c r="C11" s="433" t="str">
        <f>VLOOKUP(B11,'Tipos de Defeitos'!B12:E114,Menu!$B$24+1,)</f>
        <v>GMT - Fornecedor</v>
      </c>
      <c r="D11" s="253"/>
      <c r="E11" s="253"/>
      <c r="F11" s="253"/>
      <c r="G11" s="253"/>
      <c r="H11" s="253"/>
      <c r="I11" s="254"/>
      <c r="J11" s="254"/>
      <c r="K11" s="254"/>
      <c r="L11" s="254"/>
      <c r="M11" s="254"/>
      <c r="N11" s="254"/>
      <c r="O11" s="254"/>
      <c r="P11" s="254"/>
      <c r="Q11" s="254"/>
      <c r="R11" s="254"/>
      <c r="S11" s="254"/>
      <c r="T11" s="254"/>
      <c r="U11" s="254"/>
      <c r="V11" s="254"/>
      <c r="W11" s="254"/>
      <c r="X11" s="254"/>
      <c r="Y11" s="254"/>
      <c r="Z11" s="254"/>
      <c r="AA11" s="254"/>
      <c r="AB11" s="254"/>
      <c r="AC11" s="254"/>
      <c r="AD11" s="254"/>
      <c r="AE11" s="254"/>
      <c r="AF11" s="330"/>
      <c r="AG11" s="330"/>
      <c r="AH11" s="330"/>
      <c r="AI11" s="330"/>
      <c r="AJ11" s="330"/>
      <c r="AK11" s="330"/>
      <c r="AL11" s="330"/>
      <c r="AM11" s="330"/>
      <c r="AN11" s="330"/>
      <c r="AO11" s="330"/>
      <c r="AP11" s="330"/>
      <c r="AQ11" s="330"/>
      <c r="AR11" s="331"/>
      <c r="AS11" s="409"/>
      <c r="AT11" s="387"/>
    </row>
    <row r="12" spans="1:46">
      <c r="A12" s="551"/>
      <c r="B12" s="427">
        <f t="shared" si="0"/>
        <v>100</v>
      </c>
      <c r="C12" s="433" t="str">
        <f>VLOOKUP(B12,'Tipos de Defeitos'!B13:E115,Menu!$B$24+1,)</f>
        <v>Nº Lote</v>
      </c>
      <c r="D12" s="253"/>
      <c r="E12" s="253"/>
      <c r="F12" s="253"/>
      <c r="G12" s="253"/>
      <c r="H12" s="253"/>
      <c r="I12" s="254"/>
      <c r="J12" s="254"/>
      <c r="K12" s="254"/>
      <c r="L12" s="254"/>
      <c r="M12" s="254"/>
      <c r="N12" s="254"/>
      <c r="O12" s="254"/>
      <c r="P12" s="254"/>
      <c r="Q12" s="254"/>
      <c r="R12" s="254"/>
      <c r="S12" s="254"/>
      <c r="T12" s="254"/>
      <c r="U12" s="254"/>
      <c r="V12" s="254"/>
      <c r="W12" s="254"/>
      <c r="X12" s="254"/>
      <c r="Y12" s="254"/>
      <c r="Z12" s="254"/>
      <c r="AA12" s="254"/>
      <c r="AB12" s="254"/>
      <c r="AC12" s="254"/>
      <c r="AD12" s="254"/>
      <c r="AE12" s="254"/>
      <c r="AF12" s="330"/>
      <c r="AG12" s="330"/>
      <c r="AH12" s="330"/>
      <c r="AI12" s="330"/>
      <c r="AJ12" s="330"/>
      <c r="AK12" s="330"/>
      <c r="AL12" s="330"/>
      <c r="AM12" s="330"/>
      <c r="AN12" s="330"/>
      <c r="AO12" s="330"/>
      <c r="AP12" s="330"/>
      <c r="AQ12" s="330"/>
      <c r="AR12" s="331"/>
      <c r="AS12" s="409"/>
      <c r="AT12" s="387"/>
    </row>
    <row r="13" spans="1:46">
      <c r="A13" s="551"/>
      <c r="B13" s="427">
        <f t="shared" si="0"/>
        <v>110</v>
      </c>
      <c r="C13" s="433" t="str">
        <f>VLOOKUP(B13,'Tipos de Defeitos'!B14:E116,Menu!$B$24+1,)</f>
        <v>Qtd</v>
      </c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4"/>
      <c r="R13" s="254"/>
      <c r="S13" s="254"/>
      <c r="T13" s="254"/>
      <c r="U13" s="254"/>
      <c r="V13" s="254"/>
      <c r="W13" s="254"/>
      <c r="X13" s="254"/>
      <c r="Y13" s="254"/>
      <c r="Z13" s="254"/>
      <c r="AA13" s="254"/>
      <c r="AB13" s="254"/>
      <c r="AC13" s="254"/>
      <c r="AD13" s="254"/>
      <c r="AE13" s="254"/>
      <c r="AF13" s="330"/>
      <c r="AG13" s="330"/>
      <c r="AH13" s="330"/>
      <c r="AI13" s="330"/>
      <c r="AJ13" s="330"/>
      <c r="AK13" s="330"/>
      <c r="AL13" s="330"/>
      <c r="AM13" s="330"/>
      <c r="AN13" s="330"/>
      <c r="AO13" s="330"/>
      <c r="AP13" s="330"/>
      <c r="AQ13" s="330"/>
      <c r="AR13" s="331"/>
      <c r="AS13" s="409"/>
      <c r="AT13" s="387"/>
    </row>
    <row r="14" spans="1:46">
      <c r="A14" s="551"/>
      <c r="B14" s="427">
        <f t="shared" si="0"/>
        <v>120</v>
      </c>
      <c r="C14" s="433" t="str">
        <f>VLOOKUP(B14,'Tipos de Defeitos'!B15:E117,Menu!$B$24+1,)</f>
        <v>GCA - Fornecedor</v>
      </c>
      <c r="D14" s="254"/>
      <c r="E14" s="254"/>
      <c r="F14" s="254"/>
      <c r="G14" s="254"/>
      <c r="H14" s="254"/>
      <c r="I14" s="254"/>
      <c r="J14" s="254"/>
      <c r="K14" s="254"/>
      <c r="L14" s="254"/>
      <c r="M14" s="254"/>
      <c r="N14" s="254"/>
      <c r="O14" s="254"/>
      <c r="P14" s="254"/>
      <c r="Q14" s="254"/>
      <c r="R14" s="254"/>
      <c r="S14" s="254"/>
      <c r="T14" s="254"/>
      <c r="U14" s="254"/>
      <c r="V14" s="254"/>
      <c r="W14" s="254"/>
      <c r="X14" s="254"/>
      <c r="Y14" s="254"/>
      <c r="Z14" s="254"/>
      <c r="AA14" s="254"/>
      <c r="AB14" s="254"/>
      <c r="AC14" s="254"/>
      <c r="AD14" s="254"/>
      <c r="AE14" s="254"/>
      <c r="AF14" s="330"/>
      <c r="AG14" s="330"/>
      <c r="AH14" s="330"/>
      <c r="AI14" s="330"/>
      <c r="AJ14" s="330"/>
      <c r="AK14" s="330"/>
      <c r="AL14" s="330"/>
      <c r="AM14" s="330"/>
      <c r="AN14" s="330"/>
      <c r="AO14" s="330"/>
      <c r="AP14" s="330"/>
      <c r="AQ14" s="330"/>
      <c r="AR14" s="331"/>
      <c r="AS14" s="409"/>
      <c r="AT14" s="387"/>
    </row>
    <row r="15" spans="1:46">
      <c r="A15" s="551"/>
      <c r="B15" s="427">
        <f t="shared" si="0"/>
        <v>130</v>
      </c>
      <c r="C15" s="433" t="str">
        <f>VLOOKUP(B15,'Tipos de Defeitos'!B16:E118,Menu!$B$24+1,)</f>
        <v>Lot.</v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330"/>
      <c r="AG15" s="254"/>
      <c r="AH15" s="330"/>
      <c r="AI15" s="330"/>
      <c r="AJ15" s="330"/>
      <c r="AK15" s="330"/>
      <c r="AL15" s="330"/>
      <c r="AM15" s="330"/>
      <c r="AN15" s="330"/>
      <c r="AO15" s="330"/>
      <c r="AP15" s="330"/>
      <c r="AQ15" s="330"/>
      <c r="AR15" s="331"/>
      <c r="AS15" s="409"/>
      <c r="AT15" s="387"/>
    </row>
    <row r="16" spans="1:46">
      <c r="A16" s="551"/>
      <c r="B16" s="427">
        <f t="shared" si="0"/>
        <v>140</v>
      </c>
      <c r="C16" s="433" t="str">
        <f>VLOOKUP(B16,'Tipos de Defeitos'!B17:E119,Menu!$B$24+1,)</f>
        <v>Qtd</v>
      </c>
      <c r="D16" s="254"/>
      <c r="E16" s="254"/>
      <c r="F16" s="254"/>
      <c r="G16" s="254"/>
      <c r="H16" s="254"/>
      <c r="I16" s="254"/>
      <c r="J16" s="254"/>
      <c r="K16" s="254"/>
      <c r="L16" s="254"/>
      <c r="M16" s="254"/>
      <c r="N16" s="254"/>
      <c r="O16" s="254"/>
      <c r="P16" s="254"/>
      <c r="Q16" s="254"/>
      <c r="R16" s="254"/>
      <c r="S16" s="254"/>
      <c r="T16" s="254"/>
      <c r="U16" s="254"/>
      <c r="V16" s="254"/>
      <c r="W16" s="254"/>
      <c r="X16" s="254"/>
      <c r="Y16" s="254"/>
      <c r="Z16" s="254"/>
      <c r="AA16" s="254"/>
      <c r="AB16" s="254"/>
      <c r="AC16" s="254"/>
      <c r="AD16" s="254"/>
      <c r="AE16" s="254"/>
      <c r="AF16" s="330"/>
      <c r="AG16" s="330"/>
      <c r="AH16" s="330"/>
      <c r="AI16" s="330"/>
      <c r="AJ16" s="330"/>
      <c r="AK16" s="330"/>
      <c r="AL16" s="330"/>
      <c r="AM16" s="330"/>
      <c r="AN16" s="330"/>
      <c r="AO16" s="330"/>
      <c r="AP16" s="330"/>
      <c r="AQ16" s="330"/>
      <c r="AR16" s="331"/>
      <c r="AS16" s="409"/>
      <c r="AT16" s="387"/>
    </row>
    <row r="17" spans="1:46">
      <c r="A17" s="551"/>
      <c r="B17" s="427">
        <f t="shared" si="0"/>
        <v>150</v>
      </c>
      <c r="C17" s="433" t="str">
        <f>VLOOKUP(B17,'Tipos de Defeitos'!B18:E120,Menu!$B$24+1,)</f>
        <v>GZO - Fornecedor</v>
      </c>
      <c r="D17" s="254"/>
      <c r="E17" s="254"/>
      <c r="F17" s="254"/>
      <c r="G17" s="254"/>
      <c r="H17" s="254"/>
      <c r="I17" s="254"/>
      <c r="J17" s="254"/>
      <c r="K17" s="254"/>
      <c r="L17" s="254"/>
      <c r="M17" s="254"/>
      <c r="N17" s="254"/>
      <c r="O17" s="254"/>
      <c r="P17" s="254"/>
      <c r="Q17" s="254"/>
      <c r="R17" s="254"/>
      <c r="S17" s="254"/>
      <c r="T17" s="254"/>
      <c r="U17" s="254"/>
      <c r="V17" s="254"/>
      <c r="W17" s="254"/>
      <c r="X17" s="254"/>
      <c r="Y17" s="254"/>
      <c r="Z17" s="254"/>
      <c r="AA17" s="254"/>
      <c r="AB17" s="254"/>
      <c r="AC17" s="254"/>
      <c r="AD17" s="254"/>
      <c r="AE17" s="254"/>
      <c r="AF17" s="330"/>
      <c r="AG17" s="330"/>
      <c r="AH17" s="330"/>
      <c r="AI17" s="330"/>
      <c r="AJ17" s="330"/>
      <c r="AK17" s="330"/>
      <c r="AL17" s="330"/>
      <c r="AM17" s="330"/>
      <c r="AN17" s="330"/>
      <c r="AO17" s="330"/>
      <c r="AP17" s="330"/>
      <c r="AQ17" s="330"/>
      <c r="AR17" s="331"/>
      <c r="AS17" s="409"/>
      <c r="AT17" s="387"/>
    </row>
    <row r="18" spans="1:46">
      <c r="A18" s="551"/>
      <c r="B18" s="427">
        <f t="shared" si="0"/>
        <v>160</v>
      </c>
      <c r="C18" s="433" t="str">
        <f>VLOOKUP(B18,'Tipos de Defeitos'!B19:E121,Menu!$B$24+1,)</f>
        <v>Nº Lote</v>
      </c>
      <c r="D18" s="254"/>
      <c r="E18" s="254"/>
      <c r="F18" s="254"/>
      <c r="G18" s="254"/>
      <c r="H18" s="254"/>
      <c r="I18" s="254"/>
      <c r="J18" s="254"/>
      <c r="K18" s="254"/>
      <c r="L18" s="254"/>
      <c r="M18" s="254"/>
      <c r="N18" s="254"/>
      <c r="O18" s="254"/>
      <c r="P18" s="254"/>
      <c r="Q18" s="254"/>
      <c r="R18" s="254"/>
      <c r="S18" s="254"/>
      <c r="T18" s="254"/>
      <c r="U18" s="254"/>
      <c r="V18" s="254"/>
      <c r="W18" s="254"/>
      <c r="X18" s="254"/>
      <c r="Y18" s="254"/>
      <c r="Z18" s="254"/>
      <c r="AA18" s="254"/>
      <c r="AB18" s="254"/>
      <c r="AC18" s="254"/>
      <c r="AD18" s="254"/>
      <c r="AE18" s="254"/>
      <c r="AF18" s="330"/>
      <c r="AG18" s="330"/>
      <c r="AH18" s="330"/>
      <c r="AI18" s="330"/>
      <c r="AJ18" s="330"/>
      <c r="AK18" s="330"/>
      <c r="AL18" s="330"/>
      <c r="AM18" s="330"/>
      <c r="AN18" s="330"/>
      <c r="AO18" s="330"/>
      <c r="AP18" s="330"/>
      <c r="AQ18" s="330"/>
      <c r="AR18" s="331"/>
      <c r="AS18" s="409"/>
      <c r="AT18" s="387"/>
    </row>
    <row r="19" spans="1:46">
      <c r="A19" s="552"/>
      <c r="B19" s="434">
        <f t="shared" si="0"/>
        <v>170</v>
      </c>
      <c r="C19" s="435" t="str">
        <f>VLOOKUP(B19,'Tipos de Defeitos'!B20:E122,Menu!$B$24+1,)</f>
        <v>Qtd</v>
      </c>
      <c r="D19" s="255"/>
      <c r="E19" s="255"/>
      <c r="F19" s="255"/>
      <c r="G19" s="255"/>
      <c r="H19" s="255"/>
      <c r="I19" s="255"/>
      <c r="J19" s="255"/>
      <c r="K19" s="255"/>
      <c r="L19" s="255"/>
      <c r="M19" s="255"/>
      <c r="N19" s="255"/>
      <c r="O19" s="255"/>
      <c r="P19" s="255"/>
      <c r="Q19" s="255"/>
      <c r="R19" s="255"/>
      <c r="S19" s="255"/>
      <c r="T19" s="255"/>
      <c r="U19" s="255"/>
      <c r="V19" s="255"/>
      <c r="W19" s="255"/>
      <c r="X19" s="255"/>
      <c r="Y19" s="255"/>
      <c r="Z19" s="255"/>
      <c r="AA19" s="255"/>
      <c r="AB19" s="255"/>
      <c r="AC19" s="255"/>
      <c r="AD19" s="255"/>
      <c r="AE19" s="255"/>
      <c r="AF19" s="334"/>
      <c r="AG19" s="334"/>
      <c r="AH19" s="334"/>
      <c r="AI19" s="334"/>
      <c r="AJ19" s="334"/>
      <c r="AK19" s="334"/>
      <c r="AL19" s="334"/>
      <c r="AM19" s="334"/>
      <c r="AN19" s="334"/>
      <c r="AO19" s="334"/>
      <c r="AP19" s="334"/>
      <c r="AQ19" s="334"/>
      <c r="AR19" s="335"/>
      <c r="AS19" s="413"/>
      <c r="AT19" s="391"/>
    </row>
    <row r="20" spans="1:46">
      <c r="A20" s="552"/>
      <c r="B20" s="434">
        <f t="shared" si="0"/>
        <v>180</v>
      </c>
      <c r="C20" s="435" t="str">
        <f>VLOOKUP(B20,'Tipos de Defeitos'!B21:E123,Menu!$B$24+1,)</f>
        <v>Solução nº 125 Qtd</v>
      </c>
      <c r="D20" s="255"/>
      <c r="E20" s="255"/>
      <c r="F20" s="255"/>
      <c r="G20" s="255"/>
      <c r="H20" s="255"/>
      <c r="I20" s="255"/>
      <c r="J20" s="255"/>
      <c r="K20" s="255"/>
      <c r="L20" s="255"/>
      <c r="M20" s="255"/>
      <c r="N20" s="255"/>
      <c r="O20" s="255"/>
      <c r="P20" s="255"/>
      <c r="Q20" s="255"/>
      <c r="R20" s="255"/>
      <c r="S20" s="255"/>
      <c r="T20" s="255"/>
      <c r="U20" s="255"/>
      <c r="V20" s="255"/>
      <c r="W20" s="255"/>
      <c r="X20" s="255"/>
      <c r="Y20" s="255"/>
      <c r="Z20" s="255"/>
      <c r="AA20" s="255"/>
      <c r="AB20" s="255"/>
      <c r="AC20" s="255"/>
      <c r="AD20" s="255"/>
      <c r="AE20" s="255"/>
      <c r="AF20" s="334"/>
      <c r="AG20" s="334"/>
      <c r="AH20" s="334"/>
      <c r="AI20" s="334"/>
      <c r="AJ20" s="334"/>
      <c r="AK20" s="334"/>
      <c r="AL20" s="334"/>
      <c r="AM20" s="334"/>
      <c r="AN20" s="334"/>
      <c r="AO20" s="334"/>
      <c r="AP20" s="334"/>
      <c r="AQ20" s="334"/>
      <c r="AR20" s="335"/>
      <c r="AS20" s="413"/>
      <c r="AT20" s="391"/>
    </row>
    <row r="21" spans="1:46">
      <c r="A21" s="552"/>
      <c r="B21" s="434">
        <f t="shared" si="0"/>
        <v>190</v>
      </c>
      <c r="C21" s="435" t="str">
        <f>VLOOKUP(B21,'Tipos de Defeitos'!B22:E124,Menu!$B$24+1,)</f>
        <v>Carvão - Fornecedor</v>
      </c>
      <c r="D21" s="255"/>
      <c r="E21" s="255"/>
      <c r="F21" s="255"/>
      <c r="G21" s="255"/>
      <c r="H21" s="255"/>
      <c r="I21" s="255"/>
      <c r="J21" s="255"/>
      <c r="K21" s="255"/>
      <c r="L21" s="255"/>
      <c r="M21" s="255"/>
      <c r="N21" s="255"/>
      <c r="O21" s="255"/>
      <c r="P21" s="255"/>
      <c r="Q21" s="255"/>
      <c r="R21" s="255"/>
      <c r="S21" s="255"/>
      <c r="T21" s="255"/>
      <c r="U21" s="255"/>
      <c r="V21" s="255"/>
      <c r="W21" s="255"/>
      <c r="X21" s="255"/>
      <c r="Y21" s="255"/>
      <c r="Z21" s="255"/>
      <c r="AA21" s="255"/>
      <c r="AB21" s="255"/>
      <c r="AC21" s="255"/>
      <c r="AD21" s="255"/>
      <c r="AE21" s="255"/>
      <c r="AF21" s="334"/>
      <c r="AG21" s="334"/>
      <c r="AH21" s="334"/>
      <c r="AI21" s="334"/>
      <c r="AJ21" s="334"/>
      <c r="AK21" s="334"/>
      <c r="AL21" s="334"/>
      <c r="AM21" s="334"/>
      <c r="AN21" s="334"/>
      <c r="AO21" s="334"/>
      <c r="AP21" s="334"/>
      <c r="AQ21" s="334"/>
      <c r="AR21" s="335"/>
      <c r="AS21" s="413"/>
      <c r="AT21" s="391"/>
    </row>
    <row r="22" spans="1:46" ht="13.5" thickBot="1">
      <c r="A22" s="553"/>
      <c r="B22" s="434">
        <f t="shared" si="0"/>
        <v>200</v>
      </c>
      <c r="C22" s="435" t="str">
        <f>VLOOKUP(B22,'Tipos de Defeitos'!B23:E125,Menu!$B$24+1,)</f>
        <v>Nº Lote</v>
      </c>
      <c r="D22" s="301"/>
      <c r="E22" s="301"/>
      <c r="F22" s="301"/>
      <c r="G22" s="301"/>
      <c r="H22" s="301"/>
      <c r="I22" s="301"/>
      <c r="J22" s="301"/>
      <c r="K22" s="301"/>
      <c r="L22" s="301"/>
      <c r="M22" s="301"/>
      <c r="N22" s="301"/>
      <c r="O22" s="301"/>
      <c r="P22" s="301"/>
      <c r="Q22" s="301"/>
      <c r="R22" s="301"/>
      <c r="S22" s="301"/>
      <c r="T22" s="301"/>
      <c r="U22" s="301"/>
      <c r="V22" s="336"/>
      <c r="W22" s="336"/>
      <c r="X22" s="336"/>
      <c r="Y22" s="336"/>
      <c r="Z22" s="336"/>
      <c r="AA22" s="336"/>
      <c r="AB22" s="336"/>
      <c r="AC22" s="336"/>
      <c r="AD22" s="336"/>
      <c r="AE22" s="336"/>
      <c r="AF22" s="336"/>
      <c r="AG22" s="336"/>
      <c r="AH22" s="336"/>
      <c r="AI22" s="336"/>
      <c r="AJ22" s="336"/>
      <c r="AK22" s="336"/>
      <c r="AL22" s="336"/>
      <c r="AM22" s="336"/>
      <c r="AN22" s="336"/>
      <c r="AO22" s="336"/>
      <c r="AP22" s="336"/>
      <c r="AQ22" s="336"/>
      <c r="AR22" s="337"/>
      <c r="AS22" s="414"/>
      <c r="AT22" s="392"/>
    </row>
    <row r="23" spans="1:46" ht="13.5" customHeight="1">
      <c r="A23" s="544" t="s">
        <v>214</v>
      </c>
      <c r="B23" s="425">
        <f t="shared" si="0"/>
        <v>210</v>
      </c>
      <c r="C23" s="426" t="str">
        <f>VLOOKUP(B23,'Tipos de Defeitos'!B24:E126,Menu!$B$24+1,)</f>
        <v>Qtd. Retestada (pçs)</v>
      </c>
      <c r="D23" s="221"/>
      <c r="E23" s="221"/>
      <c r="F23" s="221"/>
      <c r="G23" s="221"/>
      <c r="H23" s="221"/>
      <c r="I23" s="221"/>
      <c r="J23" s="222"/>
      <c r="K23" s="221"/>
      <c r="L23" s="221"/>
      <c r="M23" s="223"/>
      <c r="N23" s="223"/>
      <c r="O23" s="223"/>
      <c r="P23" s="223"/>
      <c r="Q23" s="223"/>
      <c r="R23" s="223"/>
      <c r="S23" s="223"/>
      <c r="T23" s="223"/>
      <c r="U23" s="223"/>
      <c r="V23" s="223"/>
      <c r="W23" s="223"/>
      <c r="X23" s="223"/>
      <c r="Y23" s="223"/>
      <c r="Z23" s="223"/>
      <c r="AA23" s="338"/>
      <c r="AB23" s="223"/>
      <c r="AC23" s="223"/>
      <c r="AD23" s="223"/>
      <c r="AE23" s="223"/>
      <c r="AF23" s="223"/>
      <c r="AG23" s="223"/>
      <c r="AH23" s="223"/>
      <c r="AI23" s="223"/>
      <c r="AJ23" s="223"/>
      <c r="AK23" s="223"/>
      <c r="AL23" s="223"/>
      <c r="AM23" s="223"/>
      <c r="AN23" s="223"/>
      <c r="AO23" s="223"/>
      <c r="AP23" s="223"/>
      <c r="AQ23" s="223"/>
      <c r="AR23" s="339"/>
      <c r="AS23" s="372">
        <f t="array" ref="AS23">SUM(IF(D$5:AR$5&lt;&gt;"",D23:AR23))</f>
        <v>0</v>
      </c>
      <c r="AT23" s="393">
        <f>AS23+'UM-3 - L1 - Dia'!AS23</f>
        <v>0</v>
      </c>
    </row>
    <row r="24" spans="1:46">
      <c r="A24" s="545"/>
      <c r="B24" s="427">
        <f t="shared" si="0"/>
        <v>220</v>
      </c>
      <c r="C24" s="428" t="str">
        <f>VLOOKUP(B24,'Tipos de Defeitos'!B25:E127,Menu!$B$24+1,)</f>
        <v>Defeitos (Qty)</v>
      </c>
      <c r="D24" s="215"/>
      <c r="E24" s="215"/>
      <c r="F24" s="215"/>
      <c r="G24" s="215"/>
      <c r="H24" s="212"/>
      <c r="I24" s="212"/>
      <c r="J24" s="212"/>
      <c r="K24" s="212"/>
      <c r="L24" s="215"/>
      <c r="M24" s="216"/>
      <c r="N24" s="216"/>
      <c r="O24" s="216"/>
      <c r="P24" s="216"/>
      <c r="Q24" s="216"/>
      <c r="R24" s="216"/>
      <c r="S24" s="217"/>
      <c r="T24" s="217"/>
      <c r="U24" s="217"/>
      <c r="V24" s="217"/>
      <c r="W24" s="217"/>
      <c r="X24" s="217"/>
      <c r="Y24" s="217"/>
      <c r="Z24" s="217"/>
      <c r="AA24" s="340"/>
      <c r="AB24" s="216"/>
      <c r="AC24" s="216"/>
      <c r="AD24" s="216"/>
      <c r="AE24" s="216"/>
      <c r="AF24" s="217"/>
      <c r="AG24" s="217"/>
      <c r="AH24" s="217"/>
      <c r="AI24" s="217"/>
      <c r="AJ24" s="217"/>
      <c r="AK24" s="217"/>
      <c r="AL24" s="217"/>
      <c r="AM24" s="217"/>
      <c r="AN24" s="216"/>
      <c r="AO24" s="216"/>
      <c r="AP24" s="216"/>
      <c r="AQ24" s="216"/>
      <c r="AR24" s="341"/>
      <c r="AS24" s="373">
        <f t="array" ref="AS24">SUM(IF(D$5:AR$5&lt;&gt;"",D24:AR24))</f>
        <v>0</v>
      </c>
      <c r="AT24" s="394">
        <f>AS24+'UM-3 - L1 - Dia'!AS24</f>
        <v>0</v>
      </c>
    </row>
    <row r="25" spans="1:46" ht="12.75" customHeight="1">
      <c r="A25" s="545"/>
      <c r="B25" s="427">
        <f t="shared" si="0"/>
        <v>230</v>
      </c>
      <c r="C25" s="428" t="str">
        <f>VLOOKUP(B25,'Tipos de Defeitos'!B26:E128,Menu!$B$24+1,)</f>
        <v>Voltagem (Moda)</v>
      </c>
      <c r="D25" s="218"/>
      <c r="E25" s="218"/>
      <c r="F25" s="218"/>
      <c r="G25" s="218"/>
      <c r="H25" s="218"/>
      <c r="I25" s="218"/>
      <c r="J25" s="212"/>
      <c r="K25" s="218"/>
      <c r="L25" s="218"/>
      <c r="M25" s="219"/>
      <c r="N25" s="219"/>
      <c r="O25" s="219"/>
      <c r="P25" s="219"/>
      <c r="Q25" s="219"/>
      <c r="R25" s="219"/>
      <c r="S25" s="219"/>
      <c r="T25" s="342"/>
      <c r="U25" s="219"/>
      <c r="V25" s="219"/>
      <c r="W25" s="219"/>
      <c r="X25" s="219"/>
      <c r="Y25" s="219"/>
      <c r="Z25" s="219"/>
      <c r="AA25" s="219"/>
      <c r="AB25" s="219"/>
      <c r="AC25" s="218"/>
      <c r="AD25" s="219"/>
      <c r="AE25" s="219"/>
      <c r="AF25" s="219"/>
      <c r="AG25" s="217"/>
      <c r="AH25" s="217"/>
      <c r="AI25" s="217"/>
      <c r="AJ25" s="217"/>
      <c r="AK25" s="217"/>
      <c r="AL25" s="217"/>
      <c r="AM25" s="217"/>
      <c r="AN25" s="219"/>
      <c r="AO25" s="219"/>
      <c r="AP25" s="219"/>
      <c r="AQ25" s="219"/>
      <c r="AR25" s="343"/>
      <c r="AS25" s="374" t="e">
        <f>AVERAGE(D25:AR25)</f>
        <v>#DIV/0!</v>
      </c>
      <c r="AT25" s="395"/>
    </row>
    <row r="26" spans="1:46">
      <c r="A26" s="545"/>
      <c r="B26" s="427">
        <f t="shared" si="0"/>
        <v>240</v>
      </c>
      <c r="C26" s="428" t="str">
        <f>VLOOKUP(B26,'Tipos de Defeitos'!B27:E129,Menu!$B$24+1,)</f>
        <v>Voltagem (ajustada)</v>
      </c>
      <c r="D26" s="220" t="str">
        <f t="shared" ref="D26" si="7">IF(D25&gt;0,D25-0.005," ")</f>
        <v xml:space="preserve"> </v>
      </c>
      <c r="E26" s="220" t="str">
        <f t="shared" ref="E26" si="8">IF(E25&gt;0,E25-0.005," ")</f>
        <v xml:space="preserve"> </v>
      </c>
      <c r="F26" s="220" t="str">
        <f t="shared" ref="F26:AR26" si="9">IF(F25&gt;0,F25-0.005," ")</f>
        <v xml:space="preserve"> </v>
      </c>
      <c r="G26" s="220" t="str">
        <f t="shared" ref="G26" si="10">IF(G25&gt;0,G25-0.005," ")</f>
        <v xml:space="preserve"> </v>
      </c>
      <c r="H26" s="220" t="str">
        <f t="shared" si="9"/>
        <v xml:space="preserve"> </v>
      </c>
      <c r="I26" s="220" t="str">
        <f t="shared" si="9"/>
        <v xml:space="preserve"> </v>
      </c>
      <c r="J26" s="220" t="str">
        <f t="shared" si="9"/>
        <v xml:space="preserve"> </v>
      </c>
      <c r="K26" s="220" t="str">
        <f t="shared" si="9"/>
        <v xml:space="preserve"> </v>
      </c>
      <c r="L26" s="220" t="str">
        <f t="shared" si="9"/>
        <v xml:space="preserve"> </v>
      </c>
      <c r="M26" s="220" t="str">
        <f t="shared" si="9"/>
        <v xml:space="preserve"> </v>
      </c>
      <c r="N26" s="220" t="str">
        <f t="shared" si="9"/>
        <v xml:space="preserve"> </v>
      </c>
      <c r="O26" s="220" t="str">
        <f t="shared" si="9"/>
        <v xml:space="preserve"> </v>
      </c>
      <c r="P26" s="220" t="str">
        <f t="shared" si="9"/>
        <v xml:space="preserve"> </v>
      </c>
      <c r="Q26" s="220" t="str">
        <f t="shared" si="9"/>
        <v xml:space="preserve"> </v>
      </c>
      <c r="R26" s="220" t="str">
        <f t="shared" si="9"/>
        <v xml:space="preserve"> </v>
      </c>
      <c r="S26" s="220" t="str">
        <f t="shared" si="9"/>
        <v xml:space="preserve"> </v>
      </c>
      <c r="T26" s="345" t="str">
        <f t="shared" si="9"/>
        <v xml:space="preserve"> </v>
      </c>
      <c r="U26" s="220" t="str">
        <f t="shared" si="9"/>
        <v xml:space="preserve"> </v>
      </c>
      <c r="V26" s="220" t="str">
        <f t="shared" si="9"/>
        <v xml:space="preserve"> </v>
      </c>
      <c r="W26" s="220" t="str">
        <f t="shared" si="9"/>
        <v xml:space="preserve"> </v>
      </c>
      <c r="X26" s="220" t="str">
        <f t="shared" si="9"/>
        <v xml:space="preserve"> </v>
      </c>
      <c r="Y26" s="220" t="str">
        <f t="shared" si="9"/>
        <v xml:space="preserve"> </v>
      </c>
      <c r="Z26" s="220" t="str">
        <f t="shared" si="9"/>
        <v xml:space="preserve"> </v>
      </c>
      <c r="AA26" s="220" t="str">
        <f t="shared" si="9"/>
        <v xml:space="preserve"> </v>
      </c>
      <c r="AB26" s="220" t="str">
        <f t="shared" si="9"/>
        <v xml:space="preserve"> </v>
      </c>
      <c r="AC26" s="220" t="str">
        <f t="shared" si="9"/>
        <v xml:space="preserve"> </v>
      </c>
      <c r="AD26" s="220" t="str">
        <f t="shared" si="9"/>
        <v xml:space="preserve"> </v>
      </c>
      <c r="AE26" s="220"/>
      <c r="AF26" s="220" t="str">
        <f t="shared" si="9"/>
        <v xml:space="preserve"> </v>
      </c>
      <c r="AG26" s="220" t="str">
        <f t="shared" si="9"/>
        <v xml:space="preserve"> </v>
      </c>
      <c r="AH26" s="220" t="str">
        <f t="shared" si="9"/>
        <v xml:space="preserve"> </v>
      </c>
      <c r="AI26" s="220" t="str">
        <f t="shared" si="9"/>
        <v xml:space="preserve"> </v>
      </c>
      <c r="AJ26" s="220" t="str">
        <f t="shared" si="9"/>
        <v xml:space="preserve"> </v>
      </c>
      <c r="AK26" s="220" t="str">
        <f t="shared" si="9"/>
        <v xml:space="preserve"> </v>
      </c>
      <c r="AL26" s="220" t="str">
        <f t="shared" si="9"/>
        <v xml:space="preserve"> </v>
      </c>
      <c r="AM26" s="220" t="str">
        <f t="shared" si="9"/>
        <v xml:space="preserve"> </v>
      </c>
      <c r="AN26" s="220" t="str">
        <f t="shared" si="9"/>
        <v xml:space="preserve"> </v>
      </c>
      <c r="AO26" s="220" t="str">
        <f t="shared" si="9"/>
        <v xml:space="preserve"> </v>
      </c>
      <c r="AP26" s="220" t="str">
        <f t="shared" ref="AP26" si="11">IF(AP25&gt;0,AP25-0.005," ")</f>
        <v xml:space="preserve"> </v>
      </c>
      <c r="AQ26" s="220" t="str">
        <f t="shared" si="9"/>
        <v xml:space="preserve"> </v>
      </c>
      <c r="AR26" s="346" t="str">
        <f t="shared" si="9"/>
        <v xml:space="preserve"> </v>
      </c>
      <c r="AS26" s="374" t="e">
        <f>AVERAGE(D26:AR26)</f>
        <v>#DIV/0!</v>
      </c>
      <c r="AT26" s="395"/>
    </row>
    <row r="27" spans="1:46" ht="13.5" thickBot="1">
      <c r="A27" s="546"/>
      <c r="B27" s="434">
        <f t="shared" si="0"/>
        <v>250</v>
      </c>
      <c r="C27" s="436" t="str">
        <f>VLOOKUP(B27,'Tipos de Defeitos'!B28:E130,Menu!$B$24+1,)</f>
        <v>Qtd. Analisada (pçs)</v>
      </c>
      <c r="D27" s="224"/>
      <c r="E27" s="224"/>
      <c r="F27" s="224"/>
      <c r="G27" s="224"/>
      <c r="H27" s="224"/>
      <c r="I27" s="224"/>
      <c r="J27" s="224"/>
      <c r="K27" s="224"/>
      <c r="L27" s="224"/>
      <c r="M27" s="224"/>
      <c r="N27" s="224"/>
      <c r="O27" s="224"/>
      <c r="P27" s="224"/>
      <c r="Q27" s="224"/>
      <c r="R27" s="224"/>
      <c r="S27" s="224"/>
      <c r="T27" s="224"/>
      <c r="U27" s="224"/>
      <c r="V27" s="224"/>
      <c r="W27" s="224"/>
      <c r="X27" s="224"/>
      <c r="Y27" s="224"/>
      <c r="Z27" s="224"/>
      <c r="AA27" s="224"/>
      <c r="AB27" s="224"/>
      <c r="AC27" s="224"/>
      <c r="AD27" s="225"/>
      <c r="AE27" s="225"/>
      <c r="AF27" s="225"/>
      <c r="AG27" s="225"/>
      <c r="AH27" s="225"/>
      <c r="AI27" s="225"/>
      <c r="AJ27" s="225"/>
      <c r="AK27" s="225"/>
      <c r="AL27" s="225"/>
      <c r="AM27" s="225"/>
      <c r="AN27" s="225"/>
      <c r="AO27" s="225"/>
      <c r="AP27" s="225"/>
      <c r="AQ27" s="225"/>
      <c r="AR27" s="347"/>
      <c r="AS27" s="371">
        <f t="array" ref="AS27">SUM(IF(D$5:AR$5&lt;&gt;"",D27:AR27))</f>
        <v>0</v>
      </c>
      <c r="AT27" s="225">
        <f>AS27+'UM-3 - L1 - Dia'!AS27</f>
        <v>0</v>
      </c>
    </row>
    <row r="28" spans="1:46">
      <c r="A28" s="545" t="s">
        <v>225</v>
      </c>
      <c r="B28" s="425">
        <f t="shared" si="0"/>
        <v>260</v>
      </c>
      <c r="C28" s="437" t="str">
        <f>VLOOKUP(B28,'Tipos de Defeitos'!B29:E131,Menu!$B$24+1,)</f>
        <v>Sem Papel Separador</v>
      </c>
      <c r="D28" s="227"/>
      <c r="E28" s="227"/>
      <c r="F28" s="227"/>
      <c r="G28" s="227"/>
      <c r="H28" s="227"/>
      <c r="I28" s="227"/>
      <c r="J28" s="227"/>
      <c r="K28" s="227"/>
      <c r="L28" s="227"/>
      <c r="M28" s="228"/>
      <c r="N28" s="228"/>
      <c r="O28" s="228"/>
      <c r="P28" s="228"/>
      <c r="Q28" s="228"/>
      <c r="R28" s="228"/>
      <c r="S28" s="228"/>
      <c r="T28" s="228"/>
      <c r="U28" s="228"/>
      <c r="V28" s="228"/>
      <c r="W28" s="228"/>
      <c r="X28" s="228"/>
      <c r="Y28" s="228"/>
      <c r="Z28" s="228"/>
      <c r="AA28" s="228"/>
      <c r="AB28" s="228"/>
      <c r="AC28" s="228"/>
      <c r="AD28" s="228"/>
      <c r="AE28" s="228"/>
      <c r="AF28" s="228"/>
      <c r="AG28" s="228"/>
      <c r="AH28" s="228"/>
      <c r="AI28" s="228"/>
      <c r="AJ28" s="228"/>
      <c r="AK28" s="228"/>
      <c r="AL28" s="228"/>
      <c r="AM28" s="228"/>
      <c r="AN28" s="228"/>
      <c r="AO28" s="228"/>
      <c r="AP28" s="228"/>
      <c r="AQ28" s="228"/>
      <c r="AR28" s="348"/>
      <c r="AS28" s="375">
        <f t="shared" ref="AS28:AS77" si="12">SUM(D28:AR28)</f>
        <v>0</v>
      </c>
      <c r="AT28" s="396">
        <f>AS28+'UM-3 - L1 - Dia'!AS28</f>
        <v>0</v>
      </c>
    </row>
    <row r="29" spans="1:46">
      <c r="A29" s="545"/>
      <c r="B29" s="427">
        <f t="shared" si="0"/>
        <v>270</v>
      </c>
      <c r="C29" s="433" t="str">
        <f>VLOOKUP(B29,'Tipos de Defeitos'!B30:E132,Menu!$B$24+1,)</f>
        <v>Papel Separador Cortado</v>
      </c>
      <c r="D29" s="212"/>
      <c r="E29" s="212"/>
      <c r="F29" s="212"/>
      <c r="G29" s="212"/>
      <c r="H29" s="212"/>
      <c r="I29" s="212"/>
      <c r="J29" s="212"/>
      <c r="K29" s="212"/>
      <c r="L29" s="212"/>
      <c r="M29" s="217"/>
      <c r="N29" s="217"/>
      <c r="O29" s="217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217"/>
      <c r="AQ29" s="217"/>
      <c r="AR29" s="323"/>
      <c r="AS29" s="369">
        <f t="shared" si="12"/>
        <v>0</v>
      </c>
      <c r="AT29" s="387">
        <f>AS29+'UM-3 - L1 - Dia'!AS29</f>
        <v>0</v>
      </c>
    </row>
    <row r="30" spans="1:46">
      <c r="A30" s="545"/>
      <c r="B30" s="427">
        <f t="shared" si="0"/>
        <v>280</v>
      </c>
      <c r="C30" s="433" t="str">
        <f>VLOOKUP(B30,'Tipos de Defeitos'!B31:E133,Menu!$B$24+1,)</f>
        <v>Papel Separador Rasgado</v>
      </c>
      <c r="D30" s="212"/>
      <c r="E30" s="212"/>
      <c r="F30" s="212"/>
      <c r="G30" s="212"/>
      <c r="H30" s="212"/>
      <c r="I30" s="212"/>
      <c r="J30" s="212"/>
      <c r="K30" s="212"/>
      <c r="L30" s="212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217"/>
      <c r="AP30" s="217"/>
      <c r="AQ30" s="217"/>
      <c r="AR30" s="323"/>
      <c r="AS30" s="369">
        <f t="shared" si="12"/>
        <v>0</v>
      </c>
      <c r="AT30" s="387">
        <f>AS30+'UM-3 - L1 - Dia'!AS30</f>
        <v>0</v>
      </c>
    </row>
    <row r="31" spans="1:46">
      <c r="A31" s="545"/>
      <c r="B31" s="427">
        <f t="shared" si="0"/>
        <v>290</v>
      </c>
      <c r="C31" s="433" t="str">
        <f>VLOOKUP(B31,'Tipos de Defeitos'!B32:E134,Menu!$B$24+1,)</f>
        <v>Papel Dobrado Sup.</v>
      </c>
      <c r="D31" s="212"/>
      <c r="E31" s="212"/>
      <c r="F31" s="212"/>
      <c r="G31" s="212"/>
      <c r="H31" s="212"/>
      <c r="I31" s="212"/>
      <c r="J31" s="212"/>
      <c r="K31" s="212"/>
      <c r="L31" s="212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217"/>
      <c r="AQ31" s="217"/>
      <c r="AR31" s="323"/>
      <c r="AS31" s="369">
        <f t="shared" si="12"/>
        <v>0</v>
      </c>
      <c r="AT31" s="387">
        <f>AS31+'UM-3 - L1 - Dia'!AS31</f>
        <v>0</v>
      </c>
    </row>
    <row r="32" spans="1:46">
      <c r="A32" s="545"/>
      <c r="B32" s="427">
        <f t="shared" si="0"/>
        <v>300</v>
      </c>
      <c r="C32" s="433" t="str">
        <f>VLOOKUP(B32,'Tipos de Defeitos'!B33:E135,Menu!$B$24+1,)</f>
        <v>Papel Dobrado Meio</v>
      </c>
      <c r="D32" s="212"/>
      <c r="E32" s="212"/>
      <c r="F32" s="212"/>
      <c r="G32" s="212"/>
      <c r="H32" s="212"/>
      <c r="I32" s="212"/>
      <c r="J32" s="212"/>
      <c r="K32" s="212"/>
      <c r="L32" s="212"/>
      <c r="M32" s="217"/>
      <c r="N32" s="217"/>
      <c r="O32" s="217"/>
      <c r="P32" s="217"/>
      <c r="Q32" s="217"/>
      <c r="R32" s="217"/>
      <c r="S32" s="217"/>
      <c r="T32" s="212"/>
      <c r="U32" s="212"/>
      <c r="V32" s="226"/>
      <c r="W32" s="226"/>
      <c r="X32" s="226"/>
      <c r="Y32" s="226"/>
      <c r="Z32" s="226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217"/>
      <c r="AP32" s="217"/>
      <c r="AQ32" s="217"/>
      <c r="AR32" s="323"/>
      <c r="AS32" s="369">
        <f t="shared" si="12"/>
        <v>0</v>
      </c>
      <c r="AT32" s="387">
        <f>AS32+'UM-3 - L1 - Dia'!AS32</f>
        <v>0</v>
      </c>
    </row>
    <row r="33" spans="1:46">
      <c r="A33" s="545"/>
      <c r="B33" s="427">
        <f t="shared" si="0"/>
        <v>310</v>
      </c>
      <c r="C33" s="433" t="str">
        <f>VLOOKUP(B33,'Tipos de Defeitos'!B34:E136,Menu!$B$24+1,)</f>
        <v>Papel Dobrado Inf.</v>
      </c>
      <c r="D33" s="212"/>
      <c r="E33" s="212"/>
      <c r="F33" s="212"/>
      <c r="G33" s="212"/>
      <c r="H33" s="212"/>
      <c r="I33" s="212"/>
      <c r="J33" s="212"/>
      <c r="K33" s="212"/>
      <c r="L33" s="212"/>
      <c r="M33" s="217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217"/>
      <c r="AQ33" s="217"/>
      <c r="AR33" s="323"/>
      <c r="AS33" s="369">
        <f t="shared" si="12"/>
        <v>0</v>
      </c>
      <c r="AT33" s="387">
        <f>AS33+'UM-3 - L1 - Dia'!AS33</f>
        <v>0</v>
      </c>
    </row>
    <row r="34" spans="1:46">
      <c r="A34" s="545"/>
      <c r="B34" s="427">
        <f t="shared" si="0"/>
        <v>320</v>
      </c>
      <c r="C34" s="433" t="str">
        <f>VLOOKUP(B34,'Tipos de Defeitos'!B35:E137,Menu!$B$24+1,)</f>
        <v>Papel Afundado</v>
      </c>
      <c r="D34" s="212"/>
      <c r="E34" s="212"/>
      <c r="F34" s="212"/>
      <c r="G34" s="212"/>
      <c r="H34" s="212"/>
      <c r="I34" s="212"/>
      <c r="J34" s="212"/>
      <c r="K34" s="212"/>
      <c r="L34" s="212"/>
      <c r="M34" s="217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217"/>
      <c r="AP34" s="217"/>
      <c r="AQ34" s="217"/>
      <c r="AR34" s="323"/>
      <c r="AS34" s="369">
        <f t="shared" si="12"/>
        <v>0</v>
      </c>
      <c r="AT34" s="387">
        <f>AS34+'UM-3 - L1 - Dia'!AS34</f>
        <v>0</v>
      </c>
    </row>
    <row r="35" spans="1:46">
      <c r="A35" s="545"/>
      <c r="B35" s="427">
        <f t="shared" si="0"/>
        <v>330</v>
      </c>
      <c r="C35" s="433" t="str">
        <f>VLOOKUP(B35,'Tipos de Defeitos'!B36:E138,Menu!$B$24+1,)</f>
        <v>Papel Deslocado</v>
      </c>
      <c r="D35" s="212"/>
      <c r="E35" s="212"/>
      <c r="F35" s="212"/>
      <c r="G35" s="212"/>
      <c r="H35" s="212"/>
      <c r="I35" s="212"/>
      <c r="J35" s="212"/>
      <c r="K35" s="212"/>
      <c r="L35" s="212"/>
      <c r="M35" s="217"/>
      <c r="N35" s="217"/>
      <c r="O35" s="217"/>
      <c r="P35" s="217"/>
      <c r="Q35" s="217"/>
      <c r="R35" s="217"/>
      <c r="S35" s="217"/>
      <c r="T35" s="217"/>
      <c r="U35" s="217"/>
      <c r="V35" s="217"/>
      <c r="W35" s="217"/>
      <c r="X35" s="217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217"/>
      <c r="AQ35" s="217"/>
      <c r="AR35" s="323"/>
      <c r="AS35" s="369">
        <f t="shared" si="12"/>
        <v>0</v>
      </c>
      <c r="AT35" s="387">
        <f>AS35+'UM-3 - L1 - Dia'!AS35</f>
        <v>0</v>
      </c>
    </row>
    <row r="36" spans="1:46">
      <c r="A36" s="545"/>
      <c r="B36" s="427">
        <f t="shared" si="0"/>
        <v>340</v>
      </c>
      <c r="C36" s="433" t="str">
        <f>VLOOKUP(B36,'Tipos de Defeitos'!B37:E139,Menu!$B$24+1,)</f>
        <v>Papel menor</v>
      </c>
      <c r="D36" s="212"/>
      <c r="E36" s="212"/>
      <c r="F36" s="212"/>
      <c r="G36" s="212"/>
      <c r="H36" s="212"/>
      <c r="I36" s="212"/>
      <c r="J36" s="212"/>
      <c r="K36" s="212"/>
      <c r="L36" s="212"/>
      <c r="M36" s="217"/>
      <c r="N36" s="217"/>
      <c r="O36" s="217"/>
      <c r="P36" s="217"/>
      <c r="Q36" s="217"/>
      <c r="R36" s="217"/>
      <c r="S36" s="217"/>
      <c r="T36" s="217"/>
      <c r="U36" s="217"/>
      <c r="V36" s="217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217"/>
      <c r="AP36" s="217"/>
      <c r="AQ36" s="217"/>
      <c r="AR36" s="323"/>
      <c r="AS36" s="369">
        <f t="shared" si="12"/>
        <v>0</v>
      </c>
      <c r="AT36" s="387">
        <f>AS36+'UM-3 - L1 - Dia'!AS36</f>
        <v>0</v>
      </c>
    </row>
    <row r="37" spans="1:46">
      <c r="A37" s="545"/>
      <c r="B37" s="427">
        <f t="shared" si="0"/>
        <v>350</v>
      </c>
      <c r="C37" s="433" t="str">
        <f>VLOOKUP(B37,'Tipos de Defeitos'!B38:E140,Menu!$B$24+1,)</f>
        <v>Sem Disco</v>
      </c>
      <c r="D37" s="212"/>
      <c r="E37" s="212"/>
      <c r="F37" s="212"/>
      <c r="G37" s="212"/>
      <c r="H37" s="212"/>
      <c r="I37" s="212"/>
      <c r="J37" s="212"/>
      <c r="K37" s="212"/>
      <c r="L37" s="212"/>
      <c r="M37" s="217"/>
      <c r="N37" s="217"/>
      <c r="O37" s="212"/>
      <c r="P37" s="212"/>
      <c r="Q37" s="217"/>
      <c r="R37" s="217"/>
      <c r="S37" s="217"/>
      <c r="T37" s="217"/>
      <c r="U37" s="217"/>
      <c r="V37" s="217"/>
      <c r="W37" s="217"/>
      <c r="X37" s="217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217"/>
      <c r="AP37" s="217"/>
      <c r="AQ37" s="217"/>
      <c r="AR37" s="323"/>
      <c r="AS37" s="369">
        <f t="shared" si="12"/>
        <v>0</v>
      </c>
      <c r="AT37" s="387">
        <f>AS37+'UM-3 - L1 - Dia'!AS37</f>
        <v>0</v>
      </c>
    </row>
    <row r="38" spans="1:46">
      <c r="A38" s="545"/>
      <c r="B38" s="427">
        <f t="shared" si="0"/>
        <v>360</v>
      </c>
      <c r="C38" s="433" t="str">
        <f>VLOOKUP(B38,'Tipos de Defeitos'!B39:E141,Menu!$B$24+1,)</f>
        <v>Disco Cortado</v>
      </c>
      <c r="D38" s="212"/>
      <c r="E38" s="212"/>
      <c r="F38" s="212"/>
      <c r="G38" s="212"/>
      <c r="H38" s="212"/>
      <c r="I38" s="212"/>
      <c r="J38" s="212"/>
      <c r="K38" s="212"/>
      <c r="L38" s="212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217"/>
      <c r="AP38" s="217"/>
      <c r="AQ38" s="217"/>
      <c r="AR38" s="323"/>
      <c r="AS38" s="369">
        <f t="shared" si="12"/>
        <v>0</v>
      </c>
      <c r="AT38" s="387">
        <f>AS38+'UM-3 - L1 - Dia'!AS38</f>
        <v>0</v>
      </c>
    </row>
    <row r="39" spans="1:46">
      <c r="A39" s="545"/>
      <c r="B39" s="427">
        <f t="shared" si="0"/>
        <v>370</v>
      </c>
      <c r="C39" s="433" t="str">
        <f>VLOOKUP(B39,'Tipos de Defeitos'!B40:E142,Menu!$B$24+1,)</f>
        <v>Disco Rasgado</v>
      </c>
      <c r="D39" s="212"/>
      <c r="E39" s="212"/>
      <c r="F39" s="212"/>
      <c r="G39" s="212"/>
      <c r="H39" s="212"/>
      <c r="I39" s="212"/>
      <c r="J39" s="212"/>
      <c r="K39" s="212"/>
      <c r="L39" s="212"/>
      <c r="M39" s="217"/>
      <c r="N39" s="217"/>
      <c r="O39" s="217"/>
      <c r="P39" s="217"/>
      <c r="Q39" s="217"/>
      <c r="R39" s="217"/>
      <c r="S39" s="217"/>
      <c r="T39" s="217"/>
      <c r="U39" s="217"/>
      <c r="V39" s="217"/>
      <c r="W39" s="217"/>
      <c r="X39" s="217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217"/>
      <c r="AP39" s="217"/>
      <c r="AQ39" s="217"/>
      <c r="AR39" s="323"/>
      <c r="AS39" s="369">
        <f t="shared" si="12"/>
        <v>0</v>
      </c>
      <c r="AT39" s="387">
        <f>AS39+'UM-3 - L1 - Dia'!AS39</f>
        <v>0</v>
      </c>
    </row>
    <row r="40" spans="1:46">
      <c r="A40" s="545"/>
      <c r="B40" s="427">
        <f t="shared" si="0"/>
        <v>380</v>
      </c>
      <c r="C40" s="433" t="str">
        <f>VLOOKUP(B40,'Tipos de Defeitos'!B41:E143,Menu!$B$24+1,)</f>
        <v>Disco Furado</v>
      </c>
      <c r="D40" s="212"/>
      <c r="E40" s="212"/>
      <c r="F40" s="212"/>
      <c r="G40" s="212"/>
      <c r="H40" s="212"/>
      <c r="I40" s="212"/>
      <c r="J40" s="212"/>
      <c r="K40" s="212"/>
      <c r="L40" s="212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217"/>
      <c r="AP40" s="217"/>
      <c r="AQ40" s="217"/>
      <c r="AR40" s="323"/>
      <c r="AS40" s="369">
        <f t="shared" si="12"/>
        <v>0</v>
      </c>
      <c r="AT40" s="387">
        <f>AS40+'UM-3 - L1 - Dia'!AS40</f>
        <v>0</v>
      </c>
    </row>
    <row r="41" spans="1:46">
      <c r="A41" s="545"/>
      <c r="B41" s="427">
        <f t="shared" si="0"/>
        <v>390</v>
      </c>
      <c r="C41" s="433" t="str">
        <f>VLOOKUP(B41,'Tipos de Defeitos'!B42:E144,Menu!$B$24+1,)</f>
        <v>Disco Dobrado</v>
      </c>
      <c r="D41" s="212"/>
      <c r="E41" s="212"/>
      <c r="F41" s="212"/>
      <c r="G41" s="212"/>
      <c r="H41" s="212"/>
      <c r="I41" s="212"/>
      <c r="J41" s="212"/>
      <c r="K41" s="212"/>
      <c r="L41" s="212"/>
      <c r="M41" s="217"/>
      <c r="N41" s="217"/>
      <c r="O41" s="217"/>
      <c r="P41" s="217"/>
      <c r="Q41" s="217"/>
      <c r="R41" s="217"/>
      <c r="S41" s="217"/>
      <c r="T41" s="217"/>
      <c r="U41" s="217"/>
      <c r="V41" s="217"/>
      <c r="W41" s="217"/>
      <c r="X41" s="217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217"/>
      <c r="AP41" s="217"/>
      <c r="AQ41" s="217"/>
      <c r="AR41" s="323"/>
      <c r="AS41" s="369">
        <f t="shared" si="12"/>
        <v>0</v>
      </c>
      <c r="AT41" s="387">
        <f>AS41+'UM-3 - L1 - Dia'!AS41</f>
        <v>0</v>
      </c>
    </row>
    <row r="42" spans="1:46">
      <c r="A42" s="545"/>
      <c r="B42" s="427">
        <f t="shared" si="0"/>
        <v>400</v>
      </c>
      <c r="C42" s="433" t="str">
        <f>VLOOKUP(B42,'Tipos de Defeitos'!B43:E145,Menu!$B$24+1,)</f>
        <v>Disco fora de centro / deslocado</v>
      </c>
      <c r="D42" s="212"/>
      <c r="E42" s="212"/>
      <c r="F42" s="212"/>
      <c r="G42" s="212"/>
      <c r="H42" s="212"/>
      <c r="I42" s="212"/>
      <c r="J42" s="212"/>
      <c r="K42" s="212"/>
      <c r="L42" s="212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217"/>
      <c r="AP42" s="217"/>
      <c r="AQ42" s="217"/>
      <c r="AR42" s="323"/>
      <c r="AS42" s="369">
        <f t="shared" si="12"/>
        <v>0</v>
      </c>
      <c r="AT42" s="387">
        <f>AS42+'UM-3 - L1 - Dia'!AS42</f>
        <v>0</v>
      </c>
    </row>
    <row r="43" spans="1:46">
      <c r="A43" s="545"/>
      <c r="B43" s="427">
        <f t="shared" si="0"/>
        <v>410</v>
      </c>
      <c r="C43" s="433" t="str">
        <f>VLOOKUP(B43,'Tipos de Defeitos'!B44:E146,Menu!$B$24+1,)</f>
        <v>Isolador fora de centro</v>
      </c>
      <c r="D43" s="212"/>
      <c r="E43" s="212"/>
      <c r="F43" s="212"/>
      <c r="G43" s="212"/>
      <c r="H43" s="212"/>
      <c r="I43" s="212"/>
      <c r="J43" s="212"/>
      <c r="K43" s="212"/>
      <c r="L43" s="212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217"/>
      <c r="AP43" s="217"/>
      <c r="AQ43" s="217"/>
      <c r="AR43" s="323"/>
      <c r="AS43" s="369">
        <f t="shared" si="12"/>
        <v>0</v>
      </c>
      <c r="AT43" s="387">
        <f>AS43+'UM-3 - L1 - Dia'!AS43</f>
        <v>0</v>
      </c>
    </row>
    <row r="44" spans="1:46">
      <c r="A44" s="545"/>
      <c r="B44" s="427">
        <f t="shared" si="0"/>
        <v>420</v>
      </c>
      <c r="C44" s="433" t="str">
        <f>VLOOKUP(B44,'Tipos de Defeitos'!B45:E147,Menu!$B$24+1,)</f>
        <v>Isolador afundado</v>
      </c>
      <c r="D44" s="212"/>
      <c r="E44" s="212"/>
      <c r="F44" s="212"/>
      <c r="G44" s="212"/>
      <c r="H44" s="212"/>
      <c r="I44" s="212"/>
      <c r="J44" s="212"/>
      <c r="K44" s="212"/>
      <c r="L44" s="212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217"/>
      <c r="AP44" s="217"/>
      <c r="AQ44" s="217"/>
      <c r="AR44" s="323"/>
      <c r="AS44" s="369">
        <f t="shared" si="12"/>
        <v>0</v>
      </c>
      <c r="AT44" s="387">
        <f>AS44+'UM-3 - L1 - Dia'!AS44</f>
        <v>0</v>
      </c>
    </row>
    <row r="45" spans="1:46">
      <c r="A45" s="545"/>
      <c r="B45" s="427">
        <f t="shared" si="0"/>
        <v>430</v>
      </c>
      <c r="C45" s="433" t="str">
        <f>VLOOKUP(B45,'Tipos de Defeitos'!B46:E148,Menu!$B$24+1,)</f>
        <v>Isolador Inclinado</v>
      </c>
      <c r="D45" s="212"/>
      <c r="E45" s="212"/>
      <c r="F45" s="212"/>
      <c r="G45" s="212"/>
      <c r="H45" s="212"/>
      <c r="I45" s="212"/>
      <c r="J45" s="212"/>
      <c r="K45" s="212"/>
      <c r="L45" s="212"/>
      <c r="M45" s="217"/>
      <c r="N45" s="217"/>
      <c r="O45" s="217"/>
      <c r="P45" s="217"/>
      <c r="Q45" s="217"/>
      <c r="R45" s="217"/>
      <c r="S45" s="217"/>
      <c r="T45" s="217"/>
      <c r="U45" s="217"/>
      <c r="V45" s="217"/>
      <c r="W45" s="217"/>
      <c r="X45" s="217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217"/>
      <c r="AP45" s="217"/>
      <c r="AQ45" s="217"/>
      <c r="AR45" s="323"/>
      <c r="AS45" s="369">
        <f t="shared" si="12"/>
        <v>0</v>
      </c>
      <c r="AT45" s="387">
        <f>AS45+'UM-3 - L1 - Dia'!AS45</f>
        <v>0</v>
      </c>
    </row>
    <row r="46" spans="1:46">
      <c r="A46" s="545"/>
      <c r="B46" s="427">
        <f t="shared" si="0"/>
        <v>440</v>
      </c>
      <c r="C46" s="433" t="str">
        <f>VLOOKUP(B46,'Tipos de Defeitos'!B47:E149,Menu!$B$24+1,)</f>
        <v>Papel sujo</v>
      </c>
      <c r="D46" s="212"/>
      <c r="E46" s="212"/>
      <c r="F46" s="212"/>
      <c r="G46" s="212"/>
      <c r="H46" s="212"/>
      <c r="I46" s="212"/>
      <c r="J46" s="212"/>
      <c r="K46" s="212"/>
      <c r="L46" s="212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217"/>
      <c r="AP46" s="217"/>
      <c r="AQ46" s="217"/>
      <c r="AR46" s="323"/>
      <c r="AS46" s="369">
        <f t="shared" si="12"/>
        <v>0</v>
      </c>
      <c r="AT46" s="387">
        <f>AS46+'UM-3 - L1 - Dia'!AS46</f>
        <v>0</v>
      </c>
    </row>
    <row r="47" spans="1:46">
      <c r="A47" s="545"/>
      <c r="B47" s="427">
        <f t="shared" si="0"/>
        <v>450</v>
      </c>
      <c r="C47" s="433" t="str">
        <f>VLOOKUP(B47,'Tipos de Defeitos'!B48:E150,Menu!$B$24+1,)</f>
        <v>Manchado</v>
      </c>
      <c r="D47" s="212"/>
      <c r="E47" s="212"/>
      <c r="F47" s="212"/>
      <c r="G47" s="212"/>
      <c r="H47" s="212"/>
      <c r="I47" s="212"/>
      <c r="J47" s="212"/>
      <c r="K47" s="212"/>
      <c r="L47" s="212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217"/>
      <c r="AP47" s="217"/>
      <c r="AQ47" s="217"/>
      <c r="AR47" s="323"/>
      <c r="AS47" s="369">
        <f t="shared" si="12"/>
        <v>0</v>
      </c>
      <c r="AT47" s="387">
        <f>AS47+'UM-3 - L1 - Dia'!AS47</f>
        <v>0</v>
      </c>
    </row>
    <row r="48" spans="1:46">
      <c r="A48" s="545"/>
      <c r="B48" s="427">
        <f t="shared" si="0"/>
        <v>460</v>
      </c>
      <c r="C48" s="433" t="str">
        <f>VLOOKUP(B48,'Tipos de Defeitos'!B49:E151,Menu!$B$24+1,)</f>
        <v>Manchado Superior</v>
      </c>
      <c r="D48" s="212"/>
      <c r="E48" s="212"/>
      <c r="F48" s="212"/>
      <c r="G48" s="212"/>
      <c r="H48" s="212"/>
      <c r="I48" s="212"/>
      <c r="J48" s="212"/>
      <c r="K48" s="212"/>
      <c r="L48" s="212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  <c r="Z48" s="217"/>
      <c r="AA48" s="217"/>
      <c r="AB48" s="217"/>
      <c r="AC48" s="217"/>
      <c r="AD48" s="217"/>
      <c r="AE48" s="217"/>
      <c r="AF48" s="217"/>
      <c r="AG48" s="217"/>
      <c r="AH48" s="217"/>
      <c r="AI48" s="217"/>
      <c r="AJ48" s="217"/>
      <c r="AK48" s="217"/>
      <c r="AL48" s="217"/>
      <c r="AM48" s="217"/>
      <c r="AN48" s="217"/>
      <c r="AO48" s="217"/>
      <c r="AP48" s="217"/>
      <c r="AQ48" s="217"/>
      <c r="AR48" s="323"/>
      <c r="AS48" s="369">
        <f t="shared" si="12"/>
        <v>0</v>
      </c>
      <c r="AT48" s="387">
        <f>AS48+'UM-3 - L1 - Dia'!AS48</f>
        <v>0</v>
      </c>
    </row>
    <row r="49" spans="1:46">
      <c r="A49" s="545"/>
      <c r="B49" s="427">
        <f t="shared" si="0"/>
        <v>470</v>
      </c>
      <c r="C49" s="433" t="str">
        <f>VLOOKUP(B49,'Tipos de Defeitos'!B50:E152,Menu!$B$24+1,)</f>
        <v>Ferro</v>
      </c>
      <c r="D49" s="212"/>
      <c r="E49" s="212"/>
      <c r="F49" s="212"/>
      <c r="G49" s="212"/>
      <c r="H49" s="212"/>
      <c r="I49" s="212"/>
      <c r="J49" s="212"/>
      <c r="K49" s="212"/>
      <c r="L49" s="212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217"/>
      <c r="AP49" s="217"/>
      <c r="AQ49" s="217"/>
      <c r="AR49" s="323"/>
      <c r="AS49" s="369">
        <f t="shared" si="12"/>
        <v>0</v>
      </c>
      <c r="AT49" s="387">
        <f>AS49+'UM-3 - L1 - Dia'!AS49</f>
        <v>0</v>
      </c>
    </row>
    <row r="50" spans="1:46">
      <c r="A50" s="545"/>
      <c r="B50" s="427">
        <f t="shared" si="0"/>
        <v>480</v>
      </c>
      <c r="C50" s="433" t="str">
        <f>VLOOKUP(B50,'Tipos de Defeitos'!B51:E153,Menu!$B$24+1,)</f>
        <v>Cobre</v>
      </c>
      <c r="D50" s="212"/>
      <c r="E50" s="212"/>
      <c r="F50" s="212"/>
      <c r="G50" s="212"/>
      <c r="H50" s="212"/>
      <c r="I50" s="212"/>
      <c r="J50" s="212"/>
      <c r="K50" s="212"/>
      <c r="L50" s="212"/>
      <c r="M50" s="217"/>
      <c r="N50" s="217"/>
      <c r="O50" s="217"/>
      <c r="P50" s="217"/>
      <c r="Q50" s="226"/>
      <c r="R50" s="217"/>
      <c r="S50" s="217"/>
      <c r="T50" s="217"/>
      <c r="U50" s="217"/>
      <c r="V50" s="217"/>
      <c r="W50" s="217"/>
      <c r="X50" s="217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217"/>
      <c r="AP50" s="217"/>
      <c r="AQ50" s="217"/>
      <c r="AR50" s="323"/>
      <c r="AS50" s="369">
        <f t="shared" si="12"/>
        <v>0</v>
      </c>
      <c r="AT50" s="387">
        <f>AS50+'UM-3 - L1 - Dia'!AS50</f>
        <v>0</v>
      </c>
    </row>
    <row r="51" spans="1:46">
      <c r="A51" s="545"/>
      <c r="B51" s="427">
        <f t="shared" si="0"/>
        <v>490</v>
      </c>
      <c r="C51" s="433" t="str">
        <f>VLOOKUP(B51,'Tipos de Defeitos'!B52:E154,Menu!$B$24+1,)</f>
        <v>Mistura no Tubo</v>
      </c>
      <c r="D51" s="212"/>
      <c r="E51" s="212"/>
      <c r="F51" s="212"/>
      <c r="G51" s="212"/>
      <c r="H51" s="212"/>
      <c r="I51" s="212"/>
      <c r="J51" s="212"/>
      <c r="K51" s="212"/>
      <c r="L51" s="212"/>
      <c r="M51" s="217"/>
      <c r="N51" s="217"/>
      <c r="O51" s="217"/>
      <c r="P51" s="217"/>
      <c r="Q51" s="217"/>
      <c r="R51" s="217"/>
      <c r="S51" s="217"/>
      <c r="T51" s="217"/>
      <c r="U51" s="217"/>
      <c r="V51" s="217"/>
      <c r="W51" s="217"/>
      <c r="X51" s="217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217"/>
      <c r="AP51" s="217"/>
      <c r="AQ51" s="217"/>
      <c r="AR51" s="323"/>
      <c r="AS51" s="369">
        <f t="shared" si="12"/>
        <v>0</v>
      </c>
      <c r="AT51" s="387">
        <f>AS51+'UM-3 - L1 - Dia'!AS51</f>
        <v>0</v>
      </c>
    </row>
    <row r="52" spans="1:46">
      <c r="A52" s="545"/>
      <c r="B52" s="427">
        <f t="shared" si="0"/>
        <v>500</v>
      </c>
      <c r="C52" s="433" t="str">
        <f>VLOOKUP(B52,'Tipos de Defeitos'!B53:E155,Menu!$B$24+1,)</f>
        <v>Pó de Mistura</v>
      </c>
      <c r="D52" s="212"/>
      <c r="E52" s="212"/>
      <c r="F52" s="212"/>
      <c r="G52" s="212"/>
      <c r="H52" s="212"/>
      <c r="I52" s="212"/>
      <c r="J52" s="212"/>
      <c r="K52" s="212"/>
      <c r="L52" s="212"/>
      <c r="M52" s="217"/>
      <c r="N52" s="217"/>
      <c r="O52" s="217"/>
      <c r="P52" s="217"/>
      <c r="Q52" s="217"/>
      <c r="R52" s="217"/>
      <c r="S52" s="349"/>
      <c r="T52" s="349"/>
      <c r="U52" s="349"/>
      <c r="V52" s="349"/>
      <c r="W52" s="349"/>
      <c r="X52" s="349"/>
      <c r="Y52" s="349"/>
      <c r="Z52" s="349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217"/>
      <c r="AP52" s="217"/>
      <c r="AQ52" s="217"/>
      <c r="AR52" s="323"/>
      <c r="AS52" s="369">
        <f t="shared" si="12"/>
        <v>0</v>
      </c>
      <c r="AT52" s="387">
        <f>AS52+'UM-3 - L1 - Dia'!AS52</f>
        <v>0</v>
      </c>
    </row>
    <row r="53" spans="1:46">
      <c r="A53" s="545"/>
      <c r="B53" s="427">
        <f t="shared" si="0"/>
        <v>510</v>
      </c>
      <c r="C53" s="433" t="str">
        <f>VLOOKUP(B53,'Tipos de Defeitos'!B54:E156,Menu!$B$24+1,)</f>
        <v>Bobina Baixa V</v>
      </c>
      <c r="D53" s="212"/>
      <c r="E53" s="212"/>
      <c r="F53" s="212"/>
      <c r="G53" s="212"/>
      <c r="H53" s="212"/>
      <c r="I53" s="212"/>
      <c r="J53" s="212"/>
      <c r="K53" s="212"/>
      <c r="L53" s="212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217"/>
      <c r="AP53" s="217"/>
      <c r="AQ53" s="217"/>
      <c r="AR53" s="323"/>
      <c r="AS53" s="369">
        <f t="shared" si="12"/>
        <v>0</v>
      </c>
      <c r="AT53" s="387">
        <f>AS53+'UM-3 - L1 - Dia'!AS53</f>
        <v>0</v>
      </c>
    </row>
    <row r="54" spans="1:46">
      <c r="A54" s="545"/>
      <c r="B54" s="427">
        <f t="shared" si="0"/>
        <v>520</v>
      </c>
      <c r="C54" s="433" t="str">
        <f>VLOOKUP(B54,'Tipos de Defeitos'!B55:E157,Menu!$B$24+1,)</f>
        <v>Bobina Alta</v>
      </c>
      <c r="D54" s="212"/>
      <c r="E54" s="212"/>
      <c r="F54" s="212"/>
      <c r="G54" s="212"/>
      <c r="H54" s="212"/>
      <c r="I54" s="212"/>
      <c r="J54" s="212"/>
      <c r="K54" s="212"/>
      <c r="L54" s="212"/>
      <c r="M54" s="217"/>
      <c r="N54" s="217"/>
      <c r="O54" s="217"/>
      <c r="P54" s="217"/>
      <c r="Q54" s="217"/>
      <c r="R54" s="217"/>
      <c r="S54" s="217"/>
      <c r="T54" s="217"/>
      <c r="U54" s="217"/>
      <c r="V54" s="217"/>
      <c r="W54" s="217"/>
      <c r="X54" s="217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217"/>
      <c r="AP54" s="217"/>
      <c r="AQ54" s="217"/>
      <c r="AR54" s="323"/>
      <c r="AS54" s="369">
        <f t="shared" si="12"/>
        <v>0</v>
      </c>
      <c r="AT54" s="387">
        <f>AS54+'UM-3 - L1 - Dia'!AS54</f>
        <v>0</v>
      </c>
    </row>
    <row r="55" spans="1:46">
      <c r="A55" s="545"/>
      <c r="B55" s="427">
        <f t="shared" si="0"/>
        <v>530</v>
      </c>
      <c r="C55" s="433" t="str">
        <f>VLOOKUP(B55,'Tipos de Defeitos'!B56:E158,Menu!$B$24+1,)</f>
        <v>Bobina Molhada</v>
      </c>
      <c r="D55" s="212"/>
      <c r="E55" s="212"/>
      <c r="F55" s="212"/>
      <c r="G55" s="212"/>
      <c r="H55" s="212"/>
      <c r="I55" s="212"/>
      <c r="J55" s="212"/>
      <c r="K55" s="212"/>
      <c r="L55" s="212"/>
      <c r="M55" s="217"/>
      <c r="N55" s="217"/>
      <c r="O55" s="217"/>
      <c r="P55" s="217"/>
      <c r="Q55" s="217"/>
      <c r="R55" s="217"/>
      <c r="S55" s="217"/>
      <c r="T55" s="217"/>
      <c r="U55" s="217"/>
      <c r="V55" s="217"/>
      <c r="W55" s="217"/>
      <c r="X55" s="217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217"/>
      <c r="AP55" s="217"/>
      <c r="AQ55" s="217"/>
      <c r="AR55" s="323"/>
      <c r="AS55" s="369">
        <f t="shared" si="12"/>
        <v>0</v>
      </c>
      <c r="AT55" s="387">
        <f>AS55+'UM-3 - L1 - Dia'!AS55</f>
        <v>0</v>
      </c>
    </row>
    <row r="56" spans="1:46">
      <c r="A56" s="545"/>
      <c r="B56" s="427">
        <f t="shared" si="0"/>
        <v>540</v>
      </c>
      <c r="C56" s="433" t="str">
        <f>VLOOKUP(B56,'Tipos de Defeitos'!B57:E159,Menu!$B$24+1,)</f>
        <v>Mistura seca</v>
      </c>
      <c r="D56" s="212"/>
      <c r="E56" s="212"/>
      <c r="F56" s="212"/>
      <c r="G56" s="212"/>
      <c r="H56" s="212"/>
      <c r="I56" s="212"/>
      <c r="J56" s="212"/>
      <c r="K56" s="212"/>
      <c r="L56" s="212"/>
      <c r="M56" s="217"/>
      <c r="N56" s="217"/>
      <c r="O56" s="217"/>
      <c r="P56" s="217"/>
      <c r="Q56" s="217"/>
      <c r="R56" s="217"/>
      <c r="S56" s="217"/>
      <c r="T56" s="217"/>
      <c r="U56" s="217"/>
      <c r="V56" s="217"/>
      <c r="W56" s="217"/>
      <c r="X56" s="217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217"/>
      <c r="AP56" s="217"/>
      <c r="AQ56" s="217"/>
      <c r="AR56" s="323"/>
      <c r="AS56" s="369">
        <f t="shared" si="12"/>
        <v>0</v>
      </c>
      <c r="AT56" s="387">
        <f>AS56+'UM-3 - L1 - Dia'!AS56</f>
        <v>0</v>
      </c>
    </row>
    <row r="57" spans="1:46">
      <c r="A57" s="545"/>
      <c r="B57" s="427">
        <f t="shared" si="0"/>
        <v>550</v>
      </c>
      <c r="C57" s="433" t="str">
        <f>VLOOKUP(B57,'Tipos de Defeitos'!B58:E160,Menu!$B$24+1,)</f>
        <v>Contem estranho</v>
      </c>
      <c r="D57" s="212"/>
      <c r="E57" s="212"/>
      <c r="F57" s="212"/>
      <c r="G57" s="212"/>
      <c r="H57" s="212"/>
      <c r="I57" s="212"/>
      <c r="J57" s="212"/>
      <c r="K57" s="212"/>
      <c r="L57" s="212"/>
      <c r="M57" s="217"/>
      <c r="N57" s="217"/>
      <c r="O57" s="217"/>
      <c r="P57" s="217"/>
      <c r="Q57" s="217"/>
      <c r="R57" s="217"/>
      <c r="S57" s="217"/>
      <c r="T57" s="217"/>
      <c r="U57" s="217"/>
      <c r="V57" s="217"/>
      <c r="W57" s="217"/>
      <c r="X57" s="217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217"/>
      <c r="AP57" s="217"/>
      <c r="AQ57" s="217"/>
      <c r="AR57" s="323"/>
      <c r="AS57" s="369">
        <f t="shared" si="12"/>
        <v>0</v>
      </c>
      <c r="AT57" s="387">
        <f>AS57+'UM-3 - L1 - Dia'!AS57</f>
        <v>0</v>
      </c>
    </row>
    <row r="58" spans="1:46">
      <c r="A58" s="545"/>
      <c r="B58" s="427">
        <f t="shared" si="0"/>
        <v>560</v>
      </c>
      <c r="C58" s="433" t="str">
        <f>VLOOKUP(B58,'Tipos de Defeitos'!B59:E161,Menu!$B$24+1,)</f>
        <v>Pedra de Óxido</v>
      </c>
      <c r="D58" s="212"/>
      <c r="E58" s="212"/>
      <c r="F58" s="212"/>
      <c r="G58" s="212"/>
      <c r="H58" s="212"/>
      <c r="I58" s="212"/>
      <c r="J58" s="212"/>
      <c r="K58" s="212"/>
      <c r="L58" s="212"/>
      <c r="M58" s="217"/>
      <c r="N58" s="217"/>
      <c r="O58" s="217"/>
      <c r="P58" s="217"/>
      <c r="Q58" s="217"/>
      <c r="R58" s="217"/>
      <c r="S58" s="217"/>
      <c r="T58" s="217"/>
      <c r="U58" s="217"/>
      <c r="V58" s="217"/>
      <c r="W58" s="217"/>
      <c r="X58" s="217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217"/>
      <c r="AP58" s="217"/>
      <c r="AQ58" s="217"/>
      <c r="AR58" s="323"/>
      <c r="AS58" s="369">
        <f t="shared" si="12"/>
        <v>0</v>
      </c>
      <c r="AT58" s="387">
        <f>AS58+'UM-3 - L1 - Dia'!AS58</f>
        <v>0</v>
      </c>
    </row>
    <row r="59" spans="1:46">
      <c r="A59" s="545"/>
      <c r="B59" s="427">
        <f t="shared" si="0"/>
        <v>570</v>
      </c>
      <c r="C59" s="433" t="str">
        <f>VLOOKUP(B59,'Tipos de Defeitos'!B60:E162,Menu!$B$24+1,)</f>
        <v>Carvão Quebrado V</v>
      </c>
      <c r="D59" s="212"/>
      <c r="E59" s="212"/>
      <c r="F59" s="212"/>
      <c r="G59" s="212"/>
      <c r="H59" s="212"/>
      <c r="I59" s="212"/>
      <c r="J59" s="212"/>
      <c r="K59" s="212"/>
      <c r="L59" s="212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17"/>
      <c r="X59" s="217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217"/>
      <c r="AP59" s="217"/>
      <c r="AQ59" s="217"/>
      <c r="AR59" s="323"/>
      <c r="AS59" s="369">
        <f t="shared" si="12"/>
        <v>0</v>
      </c>
      <c r="AT59" s="387">
        <f>AS59+'UM-3 - L1 - Dia'!AS59</f>
        <v>0</v>
      </c>
    </row>
    <row r="60" spans="1:46">
      <c r="A60" s="545"/>
      <c r="B60" s="427">
        <f t="shared" si="0"/>
        <v>580</v>
      </c>
      <c r="C60" s="433" t="str">
        <f>VLOOKUP(B60,'Tipos de Defeitos'!B61:E163,Menu!$B$24+1,)</f>
        <v>Sem Selante</v>
      </c>
      <c r="D60" s="212"/>
      <c r="E60" s="212"/>
      <c r="F60" s="212"/>
      <c r="G60" s="212"/>
      <c r="H60" s="212"/>
      <c r="I60" s="212"/>
      <c r="J60" s="212"/>
      <c r="K60" s="212"/>
      <c r="L60" s="212"/>
      <c r="M60" s="217"/>
      <c r="N60" s="217"/>
      <c r="O60" s="217"/>
      <c r="P60" s="217"/>
      <c r="Q60" s="217"/>
      <c r="R60" s="217"/>
      <c r="S60" s="217"/>
      <c r="T60" s="217"/>
      <c r="U60" s="217"/>
      <c r="V60" s="217"/>
      <c r="W60" s="217"/>
      <c r="X60" s="217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  <c r="AL60" s="217"/>
      <c r="AM60" s="217"/>
      <c r="AN60" s="217"/>
      <c r="AO60" s="217"/>
      <c r="AP60" s="217"/>
      <c r="AQ60" s="217"/>
      <c r="AR60" s="323"/>
      <c r="AS60" s="369">
        <f t="shared" si="12"/>
        <v>0</v>
      </c>
      <c r="AT60" s="387">
        <f>AS60+'UM-3 - L1 - Dia'!AS60</f>
        <v>0</v>
      </c>
    </row>
    <row r="61" spans="1:46">
      <c r="A61" s="545"/>
      <c r="B61" s="427">
        <f t="shared" si="0"/>
        <v>590</v>
      </c>
      <c r="C61" s="433" t="str">
        <f>VLOOKUP(B61,'Tipos de Defeitos'!B62:E164,Menu!$B$24+1,)</f>
        <v>PY c/ Falha de Injeção</v>
      </c>
      <c r="D61" s="212"/>
      <c r="E61" s="212"/>
      <c r="F61" s="212"/>
      <c r="G61" s="212"/>
      <c r="H61" s="212"/>
      <c r="I61" s="212"/>
      <c r="J61" s="212"/>
      <c r="K61" s="212"/>
      <c r="L61" s="212"/>
      <c r="M61" s="217"/>
      <c r="N61" s="217"/>
      <c r="O61" s="217"/>
      <c r="P61" s="217"/>
      <c r="Q61" s="217"/>
      <c r="R61" s="217"/>
      <c r="S61" s="217"/>
      <c r="T61" s="217"/>
      <c r="U61" s="217"/>
      <c r="V61" s="217"/>
      <c r="W61" s="217"/>
      <c r="X61" s="217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  <c r="AL61" s="217"/>
      <c r="AM61" s="217"/>
      <c r="AN61" s="217"/>
      <c r="AO61" s="217"/>
      <c r="AP61" s="217"/>
      <c r="AQ61" s="217"/>
      <c r="AR61" s="323"/>
      <c r="AS61" s="369">
        <f t="shared" si="12"/>
        <v>0</v>
      </c>
      <c r="AT61" s="387">
        <f>AS61+'UM-3 - L1 - Dia'!AS61</f>
        <v>0</v>
      </c>
    </row>
    <row r="62" spans="1:46">
      <c r="A62" s="545"/>
      <c r="B62" s="427">
        <f t="shared" si="0"/>
        <v>600</v>
      </c>
      <c r="C62" s="433" t="str">
        <f>VLOOKUP(B62,'Tipos de Defeitos'!B63:E165,Menu!$B$24+1,)</f>
        <v>Sem PY</v>
      </c>
      <c r="D62" s="212"/>
      <c r="E62" s="212"/>
      <c r="F62" s="212"/>
      <c r="G62" s="212"/>
      <c r="H62" s="212"/>
      <c r="I62" s="212"/>
      <c r="J62" s="212"/>
      <c r="K62" s="212"/>
      <c r="L62" s="212"/>
      <c r="M62" s="217"/>
      <c r="N62" s="217"/>
      <c r="O62" s="217"/>
      <c r="P62" s="217"/>
      <c r="Q62" s="217"/>
      <c r="R62" s="217"/>
      <c r="S62" s="217"/>
      <c r="T62" s="217"/>
      <c r="U62" s="217"/>
      <c r="V62" s="217"/>
      <c r="W62" s="217"/>
      <c r="X62" s="217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217"/>
      <c r="AP62" s="217"/>
      <c r="AQ62" s="217"/>
      <c r="AR62" s="323"/>
      <c r="AS62" s="369">
        <f t="shared" si="12"/>
        <v>0</v>
      </c>
      <c r="AT62" s="387">
        <f>AS62+'UM-3 - L1 - Dia'!AS62</f>
        <v>0</v>
      </c>
    </row>
    <row r="63" spans="1:46">
      <c r="A63" s="545"/>
      <c r="B63" s="427">
        <f t="shared" si="0"/>
        <v>610</v>
      </c>
      <c r="C63" s="433" t="str">
        <f>VLOOKUP(B63,'Tipos de Defeitos'!B64:E166,Menu!$B$24+1,)</f>
        <v>PY Fora de Centro</v>
      </c>
      <c r="D63" s="212"/>
      <c r="E63" s="212"/>
      <c r="F63" s="212"/>
      <c r="G63" s="212"/>
      <c r="H63" s="212"/>
      <c r="I63" s="212"/>
      <c r="J63" s="212"/>
      <c r="K63" s="212"/>
      <c r="L63" s="212"/>
      <c r="M63" s="217"/>
      <c r="N63" s="217"/>
      <c r="O63" s="217"/>
      <c r="P63" s="217"/>
      <c r="Q63" s="217"/>
      <c r="R63" s="217"/>
      <c r="S63" s="217"/>
      <c r="T63" s="217"/>
      <c r="U63" s="217"/>
      <c r="V63" s="217"/>
      <c r="W63" s="217"/>
      <c r="X63" s="217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217"/>
      <c r="AP63" s="217"/>
      <c r="AQ63" s="217"/>
      <c r="AR63" s="323"/>
      <c r="AS63" s="369">
        <f t="shared" si="12"/>
        <v>0</v>
      </c>
      <c r="AT63" s="387">
        <f>AS63+'UM-3 - L1 - Dia'!AS63</f>
        <v>0</v>
      </c>
    </row>
    <row r="64" spans="1:46">
      <c r="A64" s="545"/>
      <c r="B64" s="427">
        <f t="shared" si="0"/>
        <v>620</v>
      </c>
      <c r="C64" s="433" t="str">
        <f>VLOOKUP(B64,'Tipos de Defeitos'!B65:E167,Menu!$B$24+1,)</f>
        <v>PY Queimado</v>
      </c>
      <c r="D64" s="212"/>
      <c r="E64" s="212"/>
      <c r="F64" s="212"/>
      <c r="G64" s="212"/>
      <c r="H64" s="212"/>
      <c r="I64" s="212"/>
      <c r="J64" s="212"/>
      <c r="K64" s="212"/>
      <c r="L64" s="212"/>
      <c r="M64" s="217"/>
      <c r="N64" s="217"/>
      <c r="O64" s="217"/>
      <c r="P64" s="217"/>
      <c r="Q64" s="217"/>
      <c r="R64" s="217"/>
      <c r="S64" s="217"/>
      <c r="T64" s="217"/>
      <c r="U64" s="217"/>
      <c r="V64" s="217"/>
      <c r="W64" s="217"/>
      <c r="X64" s="217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217"/>
      <c r="AP64" s="217"/>
      <c r="AQ64" s="217"/>
      <c r="AR64" s="323"/>
      <c r="AS64" s="369">
        <f t="shared" si="12"/>
        <v>0</v>
      </c>
      <c r="AT64" s="387">
        <f>AS64+'UM-3 - L1 - Dia'!AS64</f>
        <v>0</v>
      </c>
    </row>
    <row r="65" spans="1:46">
      <c r="A65" s="545"/>
      <c r="B65" s="427">
        <f t="shared" si="0"/>
        <v>630</v>
      </c>
      <c r="C65" s="433" t="str">
        <f>VLOOKUP(B65,'Tipos de Defeitos'!B66:E168,Menu!$B$24+1,)</f>
        <v>Tb c/ Boca Amassada - Operador</v>
      </c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7"/>
      <c r="O65" s="217"/>
      <c r="P65" s="217"/>
      <c r="Q65" s="217"/>
      <c r="R65" s="217"/>
      <c r="S65" s="217"/>
      <c r="T65" s="217"/>
      <c r="U65" s="217"/>
      <c r="V65" s="217"/>
      <c r="W65" s="217"/>
      <c r="X65" s="217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  <c r="AL65" s="217"/>
      <c r="AM65" s="217"/>
      <c r="AN65" s="217"/>
      <c r="AO65" s="217"/>
      <c r="AP65" s="217"/>
      <c r="AQ65" s="217"/>
      <c r="AR65" s="323"/>
      <c r="AS65" s="369">
        <f t="shared" si="12"/>
        <v>0</v>
      </c>
      <c r="AT65" s="387">
        <f>AS65+'UM-3 - L1 - Dia'!AS65</f>
        <v>0</v>
      </c>
    </row>
    <row r="66" spans="1:46">
      <c r="A66" s="545"/>
      <c r="B66" s="427">
        <f t="shared" si="0"/>
        <v>640</v>
      </c>
      <c r="C66" s="433" t="str">
        <f>VLOOKUP(B66,'Tipos de Defeitos'!B67:E169,Menu!$B$24+1,)</f>
        <v>Tb c/ Boca Amassada - Câmera</v>
      </c>
      <c r="D66" s="212"/>
      <c r="E66" s="212"/>
      <c r="F66" s="212"/>
      <c r="G66" s="212"/>
      <c r="H66" s="212"/>
      <c r="I66" s="212"/>
      <c r="J66" s="212"/>
      <c r="K66" s="212"/>
      <c r="L66" s="212"/>
      <c r="M66" s="217"/>
      <c r="N66" s="217"/>
      <c r="O66" s="217"/>
      <c r="P66" s="217"/>
      <c r="Q66" s="217"/>
      <c r="R66" s="217"/>
      <c r="S66" s="217"/>
      <c r="T66" s="217"/>
      <c r="U66" s="217"/>
      <c r="V66" s="217"/>
      <c r="W66" s="217"/>
      <c r="X66" s="217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  <c r="AO66" s="217"/>
      <c r="AP66" s="217"/>
      <c r="AQ66" s="217"/>
      <c r="AR66" s="323"/>
      <c r="AS66" s="369">
        <f t="shared" si="12"/>
        <v>0</v>
      </c>
      <c r="AT66" s="387">
        <f>AS66+'UM-3 - L1 - Dia'!AS66</f>
        <v>0</v>
      </c>
    </row>
    <row r="67" spans="1:46">
      <c r="A67" s="545"/>
      <c r="B67" s="427">
        <f t="shared" si="0"/>
        <v>650</v>
      </c>
      <c r="C67" s="433" t="str">
        <f>VLOOKUP(B67,'Tipos de Defeitos'!B68:E170,Menu!$B$24+1,)</f>
        <v>Tb c/ Boca Amassada - recuperada</v>
      </c>
      <c r="D67" s="212"/>
      <c r="E67" s="212"/>
      <c r="F67" s="212"/>
      <c r="G67" s="212"/>
      <c r="H67" s="212"/>
      <c r="I67" s="212"/>
      <c r="J67" s="212"/>
      <c r="K67" s="212"/>
      <c r="L67" s="212"/>
      <c r="M67" s="217"/>
      <c r="N67" s="217"/>
      <c r="O67" s="217"/>
      <c r="P67" s="217"/>
      <c r="Q67" s="217"/>
      <c r="R67" s="217"/>
      <c r="S67" s="217"/>
      <c r="T67" s="217"/>
      <c r="U67" s="217"/>
      <c r="V67" s="217"/>
      <c r="W67" s="217"/>
      <c r="X67" s="217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  <c r="AO67" s="217"/>
      <c r="AP67" s="217"/>
      <c r="AQ67" s="217"/>
      <c r="AR67" s="323"/>
      <c r="AS67" s="369">
        <f t="shared" si="12"/>
        <v>0</v>
      </c>
      <c r="AT67" s="387">
        <f>AS67+'UM-3 - L1 - Dia'!AS67</f>
        <v>0</v>
      </c>
    </row>
    <row r="68" spans="1:46">
      <c r="A68" s="545"/>
      <c r="B68" s="427">
        <f t="shared" si="0"/>
        <v>660</v>
      </c>
      <c r="C68" s="433" t="str">
        <f>VLOOKUP(B68,'Tipos de Defeitos'!B69:E171,Menu!$B$24+1,)</f>
        <v>Tubo Rachado - Operador</v>
      </c>
      <c r="D68" s="212"/>
      <c r="E68" s="212"/>
      <c r="F68" s="212"/>
      <c r="G68" s="212"/>
      <c r="H68" s="212"/>
      <c r="I68" s="212"/>
      <c r="J68" s="212"/>
      <c r="K68" s="212"/>
      <c r="L68" s="212"/>
      <c r="M68" s="217"/>
      <c r="N68" s="217"/>
      <c r="O68" s="217"/>
      <c r="P68" s="217"/>
      <c r="Q68" s="217"/>
      <c r="R68" s="217"/>
      <c r="S68" s="217"/>
      <c r="T68" s="217"/>
      <c r="U68" s="217"/>
      <c r="V68" s="217"/>
      <c r="W68" s="217"/>
      <c r="X68" s="217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  <c r="AL68" s="217"/>
      <c r="AM68" s="217"/>
      <c r="AN68" s="217"/>
      <c r="AO68" s="217"/>
      <c r="AP68" s="217"/>
      <c r="AQ68" s="217"/>
      <c r="AR68" s="323"/>
      <c r="AS68" s="369">
        <f t="shared" si="12"/>
        <v>0</v>
      </c>
      <c r="AT68" s="387">
        <f>AS68+'UM-3 - L1 - Dia'!AS68</f>
        <v>0</v>
      </c>
    </row>
    <row r="69" spans="1:46">
      <c r="A69" s="545"/>
      <c r="B69" s="427">
        <f t="shared" si="0"/>
        <v>670</v>
      </c>
      <c r="C69" s="433" t="str">
        <f>VLOOKUP(B69,'Tipos de Defeitos'!B70:E172,Menu!$B$24+1,)</f>
        <v>Tubo Rachado - Câmera</v>
      </c>
      <c r="D69" s="212"/>
      <c r="E69" s="212"/>
      <c r="F69" s="212"/>
      <c r="G69" s="212"/>
      <c r="H69" s="212"/>
      <c r="I69" s="212"/>
      <c r="J69" s="212"/>
      <c r="K69" s="212"/>
      <c r="L69" s="212"/>
      <c r="M69" s="217"/>
      <c r="N69" s="217"/>
      <c r="O69" s="217"/>
      <c r="P69" s="217"/>
      <c r="Q69" s="217"/>
      <c r="R69" s="217"/>
      <c r="S69" s="217"/>
      <c r="T69" s="217"/>
      <c r="U69" s="217"/>
      <c r="V69" s="217"/>
      <c r="W69" s="217"/>
      <c r="X69" s="217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  <c r="AO69" s="217"/>
      <c r="AP69" s="217"/>
      <c r="AQ69" s="217"/>
      <c r="AR69" s="323"/>
      <c r="AS69" s="369">
        <f t="shared" si="12"/>
        <v>0</v>
      </c>
      <c r="AT69" s="387">
        <f>AS69+'UM-3 - L1 - Dia'!AS69</f>
        <v>0</v>
      </c>
    </row>
    <row r="70" spans="1:46">
      <c r="A70" s="545"/>
      <c r="B70" s="427">
        <f t="shared" si="0"/>
        <v>680</v>
      </c>
      <c r="C70" s="433" t="str">
        <f>VLOOKUP(B70,'Tipos de Defeitos'!B71:E173,Menu!$B$24+1,)</f>
        <v>Tubo de Zinco Amassado</v>
      </c>
      <c r="D70" s="212"/>
      <c r="E70" s="212"/>
      <c r="F70" s="212"/>
      <c r="G70" s="212"/>
      <c r="H70" s="212"/>
      <c r="I70" s="212"/>
      <c r="J70" s="212"/>
      <c r="K70" s="212"/>
      <c r="L70" s="212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  <c r="AO70" s="217"/>
      <c r="AP70" s="217"/>
      <c r="AQ70" s="217"/>
      <c r="AR70" s="323"/>
      <c r="AS70" s="369">
        <f t="shared" si="12"/>
        <v>0</v>
      </c>
      <c r="AT70" s="387">
        <f>AS70+'UM-3 - L1 - Dia'!AS70</f>
        <v>0</v>
      </c>
    </row>
    <row r="71" spans="1:46">
      <c r="A71" s="545"/>
      <c r="B71" s="427">
        <f t="shared" si="0"/>
        <v>690</v>
      </c>
      <c r="C71" s="433" t="str">
        <f>VLOOKUP(B71,'Tipos de Defeitos'!B72:E174,Menu!$B$24+1,)</f>
        <v>Tubo com Rebarba</v>
      </c>
      <c r="D71" s="212"/>
      <c r="E71" s="212"/>
      <c r="F71" s="212"/>
      <c r="G71" s="212"/>
      <c r="H71" s="212"/>
      <c r="I71" s="212"/>
      <c r="J71" s="212"/>
      <c r="K71" s="212"/>
      <c r="L71" s="212"/>
      <c r="M71" s="217"/>
      <c r="N71" s="217"/>
      <c r="O71" s="217"/>
      <c r="P71" s="217"/>
      <c r="Q71" s="217"/>
      <c r="R71" s="217"/>
      <c r="S71" s="217"/>
      <c r="T71" s="217"/>
      <c r="U71" s="217"/>
      <c r="V71" s="217"/>
      <c r="W71" s="217"/>
      <c r="X71" s="217"/>
      <c r="Y71" s="217"/>
      <c r="Z71" s="217"/>
      <c r="AA71" s="217"/>
      <c r="AB71" s="217"/>
      <c r="AC71" s="217"/>
      <c r="AD71" s="217"/>
      <c r="AE71" s="217"/>
      <c r="AF71" s="217"/>
      <c r="AG71" s="217"/>
      <c r="AH71" s="217"/>
      <c r="AI71" s="217"/>
      <c r="AJ71" s="217"/>
      <c r="AK71" s="217"/>
      <c r="AL71" s="217"/>
      <c r="AM71" s="217"/>
      <c r="AN71" s="217"/>
      <c r="AO71" s="217"/>
      <c r="AP71" s="217"/>
      <c r="AQ71" s="217"/>
      <c r="AR71" s="323"/>
      <c r="AS71" s="369">
        <f t="shared" si="12"/>
        <v>0</v>
      </c>
      <c r="AT71" s="387">
        <f>AS71+'UM-3 - L1 - Dia'!AS71</f>
        <v>0</v>
      </c>
    </row>
    <row r="72" spans="1:46">
      <c r="A72" s="545"/>
      <c r="B72" s="427">
        <f t="shared" ref="B72:B105" si="13">(B71/10+1)*10</f>
        <v>700</v>
      </c>
      <c r="C72" s="433" t="str">
        <f>VLOOKUP(B72,'Tipos de Defeitos'!B73:E175,Menu!$B$24+1,)</f>
        <v>Curto Circuito Externo</v>
      </c>
      <c r="D72" s="212"/>
      <c r="E72" s="212"/>
      <c r="F72" s="212"/>
      <c r="G72" s="212"/>
      <c r="H72" s="212"/>
      <c r="I72" s="212"/>
      <c r="J72" s="212"/>
      <c r="K72" s="212"/>
      <c r="L72" s="212"/>
      <c r="M72" s="217"/>
      <c r="N72" s="217"/>
      <c r="O72" s="217"/>
      <c r="P72" s="217"/>
      <c r="Q72" s="217"/>
      <c r="R72" s="217"/>
      <c r="S72" s="217"/>
      <c r="T72" s="217"/>
      <c r="U72" s="217"/>
      <c r="V72" s="217"/>
      <c r="W72" s="217"/>
      <c r="X72" s="217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  <c r="AL72" s="217"/>
      <c r="AM72" s="217"/>
      <c r="AN72" s="217"/>
      <c r="AO72" s="217"/>
      <c r="AP72" s="217"/>
      <c r="AQ72" s="217"/>
      <c r="AR72" s="323"/>
      <c r="AS72" s="369">
        <f t="shared" si="12"/>
        <v>0</v>
      </c>
      <c r="AT72" s="387">
        <f>AS72+'UM-3 - L1 - Dia'!AS72</f>
        <v>0</v>
      </c>
    </row>
    <row r="73" spans="1:46">
      <c r="A73" s="545"/>
      <c r="B73" s="427">
        <f t="shared" si="13"/>
        <v>710</v>
      </c>
      <c r="C73" s="433" t="str">
        <f>VLOOKUP(B73,'Tipos de Defeitos'!B74:E176,Menu!$B$24+1,)</f>
        <v>Curto Circ. Externo -  recuperada</v>
      </c>
      <c r="D73" s="212"/>
      <c r="E73" s="212"/>
      <c r="F73" s="212"/>
      <c r="G73" s="212"/>
      <c r="H73" s="212"/>
      <c r="I73" s="212"/>
      <c r="J73" s="212"/>
      <c r="K73" s="212"/>
      <c r="L73" s="212"/>
      <c r="M73" s="217"/>
      <c r="N73" s="217"/>
      <c r="O73" s="217"/>
      <c r="P73" s="217"/>
      <c r="Q73" s="217"/>
      <c r="R73" s="217"/>
      <c r="S73" s="217"/>
      <c r="T73" s="217"/>
      <c r="U73" s="217"/>
      <c r="V73" s="217"/>
      <c r="W73" s="217"/>
      <c r="X73" s="217"/>
      <c r="Y73" s="217"/>
      <c r="Z73" s="217"/>
      <c r="AA73" s="217"/>
      <c r="AB73" s="217"/>
      <c r="AC73" s="217"/>
      <c r="AD73" s="217"/>
      <c r="AE73" s="217"/>
      <c r="AF73" s="217"/>
      <c r="AG73" s="217"/>
      <c r="AH73" s="217"/>
      <c r="AI73" s="217"/>
      <c r="AJ73" s="217"/>
      <c r="AK73" s="217"/>
      <c r="AL73" s="217"/>
      <c r="AM73" s="217"/>
      <c r="AN73" s="217"/>
      <c r="AO73" s="217"/>
      <c r="AP73" s="217"/>
      <c r="AQ73" s="217"/>
      <c r="AR73" s="323"/>
      <c r="AS73" s="369">
        <f t="shared" si="12"/>
        <v>0</v>
      </c>
      <c r="AT73" s="387">
        <f>AS73+'UM-3 - L1 - Dia'!AS73</f>
        <v>0</v>
      </c>
    </row>
    <row r="74" spans="1:46">
      <c r="A74" s="545"/>
      <c r="B74" s="427">
        <f t="shared" si="13"/>
        <v>720</v>
      </c>
      <c r="C74" s="433" t="str">
        <f>VLOOKUP(B74,'Tipos de Defeitos'!B75:E177,Menu!$B$24+1,)</f>
        <v>Pilha recuperada do Acabamento</v>
      </c>
      <c r="D74" s="212"/>
      <c r="E74" s="212"/>
      <c r="F74" s="212"/>
      <c r="G74" s="212"/>
      <c r="H74" s="212"/>
      <c r="I74" s="212"/>
      <c r="J74" s="212"/>
      <c r="K74" s="212"/>
      <c r="L74" s="212"/>
      <c r="M74" s="217"/>
      <c r="N74" s="217"/>
      <c r="O74" s="217"/>
      <c r="P74" s="217"/>
      <c r="Q74" s="217"/>
      <c r="R74" s="217"/>
      <c r="S74" s="217"/>
      <c r="T74" s="217"/>
      <c r="U74" s="217"/>
      <c r="V74" s="217"/>
      <c r="W74" s="217"/>
      <c r="X74" s="217"/>
      <c r="Y74" s="217"/>
      <c r="Z74" s="217"/>
      <c r="AA74" s="217"/>
      <c r="AB74" s="217"/>
      <c r="AC74" s="217"/>
      <c r="AD74" s="217"/>
      <c r="AE74" s="217"/>
      <c r="AF74" s="217"/>
      <c r="AG74" s="217"/>
      <c r="AH74" s="217"/>
      <c r="AI74" s="217"/>
      <c r="AJ74" s="217"/>
      <c r="AK74" s="217"/>
      <c r="AL74" s="217"/>
      <c r="AM74" s="217"/>
      <c r="AN74" s="217"/>
      <c r="AO74" s="217"/>
      <c r="AP74" s="217"/>
      <c r="AQ74" s="217"/>
      <c r="AR74" s="323"/>
      <c r="AS74" s="369">
        <f t="shared" si="12"/>
        <v>0</v>
      </c>
      <c r="AT74" s="387">
        <f>AS74+'UM-3 - L1 - Dia'!AS74</f>
        <v>0</v>
      </c>
    </row>
    <row r="75" spans="1:46">
      <c r="A75" s="545"/>
      <c r="B75" s="427">
        <f t="shared" si="13"/>
        <v>730</v>
      </c>
      <c r="C75" s="433" t="str">
        <f>VLOOKUP(B75,'Tipos de Defeitos'!B76:E178,Menu!$B$24+1,)</f>
        <v>Causa Desconhecida - Voltagem</v>
      </c>
      <c r="D75" s="212"/>
      <c r="E75" s="212"/>
      <c r="F75" s="212"/>
      <c r="G75" s="212"/>
      <c r="H75" s="212"/>
      <c r="I75" s="212"/>
      <c r="J75" s="212"/>
      <c r="K75" s="212"/>
      <c r="L75" s="212"/>
      <c r="M75" s="217"/>
      <c r="N75" s="217"/>
      <c r="O75" s="217"/>
      <c r="P75" s="217"/>
      <c r="Q75" s="217"/>
      <c r="R75" s="217"/>
      <c r="S75" s="217"/>
      <c r="T75" s="217"/>
      <c r="U75" s="217"/>
      <c r="V75" s="217"/>
      <c r="W75" s="217"/>
      <c r="X75" s="217"/>
      <c r="Y75" s="217"/>
      <c r="Z75" s="217"/>
      <c r="AA75" s="217"/>
      <c r="AB75" s="217"/>
      <c r="AC75" s="217"/>
      <c r="AD75" s="217"/>
      <c r="AE75" s="217"/>
      <c r="AF75" s="217"/>
      <c r="AG75" s="217"/>
      <c r="AH75" s="217"/>
      <c r="AI75" s="217"/>
      <c r="AJ75" s="217"/>
      <c r="AK75" s="217"/>
      <c r="AL75" s="217"/>
      <c r="AM75" s="217"/>
      <c r="AN75" s="217"/>
      <c r="AO75" s="217"/>
      <c r="AP75" s="217"/>
      <c r="AQ75" s="217"/>
      <c r="AR75" s="323"/>
      <c r="AS75" s="369">
        <f t="shared" si="12"/>
        <v>0</v>
      </c>
      <c r="AT75" s="387">
        <f>AS75+'UM-3 - L1 - Dia'!AS75</f>
        <v>0</v>
      </c>
    </row>
    <row r="76" spans="1:46">
      <c r="A76" s="545"/>
      <c r="B76" s="427">
        <f t="shared" si="13"/>
        <v>740</v>
      </c>
      <c r="C76" s="433" t="str">
        <f>VLOOKUP(B76,'Tipos de Defeitos'!B77:E179,Menu!$B$24+1,)</f>
        <v>Pilha Boa</v>
      </c>
      <c r="D76" s="212"/>
      <c r="E76" s="212"/>
      <c r="F76" s="212"/>
      <c r="G76" s="212"/>
      <c r="H76" s="212"/>
      <c r="I76" s="212"/>
      <c r="J76" s="212"/>
      <c r="K76" s="212"/>
      <c r="L76" s="212"/>
      <c r="M76" s="217"/>
      <c r="N76" s="217"/>
      <c r="O76" s="217"/>
      <c r="P76" s="217"/>
      <c r="Q76" s="217"/>
      <c r="R76" s="217"/>
      <c r="S76" s="217"/>
      <c r="T76" s="217"/>
      <c r="U76" s="217"/>
      <c r="V76" s="217"/>
      <c r="W76" s="217"/>
      <c r="X76" s="217"/>
      <c r="Y76" s="217"/>
      <c r="Z76" s="217"/>
      <c r="AA76" s="217"/>
      <c r="AB76" s="217"/>
      <c r="AC76" s="217"/>
      <c r="AD76" s="217"/>
      <c r="AE76" s="217"/>
      <c r="AF76" s="217"/>
      <c r="AG76" s="217"/>
      <c r="AH76" s="217"/>
      <c r="AI76" s="217"/>
      <c r="AJ76" s="217"/>
      <c r="AK76" s="217"/>
      <c r="AL76" s="217"/>
      <c r="AM76" s="217"/>
      <c r="AN76" s="217"/>
      <c r="AO76" s="217"/>
      <c r="AP76" s="217"/>
      <c r="AQ76" s="217"/>
      <c r="AR76" s="323"/>
      <c r="AS76" s="369">
        <f t="shared" si="12"/>
        <v>0</v>
      </c>
      <c r="AT76" s="387">
        <f>AS76+'UM-3 - L1 - Dia'!AS76</f>
        <v>0</v>
      </c>
    </row>
    <row r="77" spans="1:46" ht="13.5" thickBot="1">
      <c r="A77" s="545"/>
      <c r="B77" s="434">
        <f t="shared" si="13"/>
        <v>750</v>
      </c>
      <c r="C77" s="435" t="str">
        <f>VLOOKUP(B77,'Tipos de Defeitos'!B78:E180,Menu!$B$24+1,)</f>
        <v>Outros - Voltagem</v>
      </c>
      <c r="D77" s="224"/>
      <c r="E77" s="224"/>
      <c r="F77" s="224"/>
      <c r="G77" s="224"/>
      <c r="H77" s="224"/>
      <c r="I77" s="224"/>
      <c r="J77" s="224"/>
      <c r="K77" s="224"/>
      <c r="L77" s="224"/>
      <c r="M77" s="225"/>
      <c r="N77" s="225"/>
      <c r="O77" s="225"/>
      <c r="P77" s="224"/>
      <c r="Q77" s="225"/>
      <c r="R77" s="225"/>
      <c r="S77" s="225"/>
      <c r="T77" s="225"/>
      <c r="U77" s="225"/>
      <c r="V77" s="225"/>
      <c r="W77" s="225"/>
      <c r="X77" s="225"/>
      <c r="Y77" s="225"/>
      <c r="Z77" s="225"/>
      <c r="AA77" s="225"/>
      <c r="AB77" s="225"/>
      <c r="AC77" s="225"/>
      <c r="AD77" s="225"/>
      <c r="AE77" s="225"/>
      <c r="AF77" s="225"/>
      <c r="AG77" s="225"/>
      <c r="AH77" s="225"/>
      <c r="AI77" s="225"/>
      <c r="AJ77" s="225"/>
      <c r="AK77" s="225"/>
      <c r="AL77" s="225"/>
      <c r="AM77" s="225"/>
      <c r="AN77" s="225"/>
      <c r="AO77" s="225"/>
      <c r="AP77" s="225"/>
      <c r="AQ77" s="225"/>
      <c r="AR77" s="347"/>
      <c r="AS77" s="369">
        <f t="shared" si="12"/>
        <v>0</v>
      </c>
      <c r="AT77" s="387">
        <f>AS77+'UM-3 - L1 - Dia'!AS77</f>
        <v>0</v>
      </c>
    </row>
    <row r="78" spans="1:46">
      <c r="A78" s="544" t="s">
        <v>99</v>
      </c>
      <c r="B78" s="425">
        <f t="shared" si="13"/>
        <v>760</v>
      </c>
      <c r="C78" s="426" t="str">
        <f>VLOOKUP(B78,'Tipos de Defeitos'!B79:E181,Menu!$B$24+1,)</f>
        <v>Total (pçs)</v>
      </c>
      <c r="D78" s="238">
        <f t="shared" ref="D78" si="14">SUM(D28:D77)</f>
        <v>0</v>
      </c>
      <c r="E78" s="238">
        <f t="shared" ref="E78" si="15">SUM(E28:E77)</f>
        <v>0</v>
      </c>
      <c r="F78" s="238">
        <f t="shared" ref="F78:AS78" si="16">SUM(F28:F77)</f>
        <v>0</v>
      </c>
      <c r="G78" s="238">
        <f t="shared" ref="G78" si="17">SUM(G28:G77)</f>
        <v>0</v>
      </c>
      <c r="H78" s="238">
        <f t="shared" si="16"/>
        <v>0</v>
      </c>
      <c r="I78" s="238">
        <f t="shared" si="16"/>
        <v>0</v>
      </c>
      <c r="J78" s="238">
        <f t="shared" si="16"/>
        <v>0</v>
      </c>
      <c r="K78" s="238">
        <f t="shared" si="16"/>
        <v>0</v>
      </c>
      <c r="L78" s="238">
        <f t="shared" si="16"/>
        <v>0</v>
      </c>
      <c r="M78" s="238">
        <f t="shared" si="16"/>
        <v>0</v>
      </c>
      <c r="N78" s="238">
        <f t="shared" si="16"/>
        <v>0</v>
      </c>
      <c r="O78" s="238">
        <f t="shared" si="16"/>
        <v>0</v>
      </c>
      <c r="P78" s="238">
        <f t="shared" si="16"/>
        <v>0</v>
      </c>
      <c r="Q78" s="238">
        <f t="shared" si="16"/>
        <v>0</v>
      </c>
      <c r="R78" s="238">
        <f t="shared" si="16"/>
        <v>0</v>
      </c>
      <c r="S78" s="238">
        <f t="shared" si="16"/>
        <v>0</v>
      </c>
      <c r="T78" s="238">
        <f t="shared" si="16"/>
        <v>0</v>
      </c>
      <c r="U78" s="238">
        <f t="shared" si="16"/>
        <v>0</v>
      </c>
      <c r="V78" s="238">
        <f t="shared" si="16"/>
        <v>0</v>
      </c>
      <c r="W78" s="238">
        <f t="shared" si="16"/>
        <v>0</v>
      </c>
      <c r="X78" s="238">
        <f t="shared" si="16"/>
        <v>0</v>
      </c>
      <c r="Y78" s="238">
        <f t="shared" si="16"/>
        <v>0</v>
      </c>
      <c r="Z78" s="238">
        <f t="shared" si="16"/>
        <v>0</v>
      </c>
      <c r="AA78" s="238">
        <f t="shared" si="16"/>
        <v>0</v>
      </c>
      <c r="AB78" s="238">
        <f t="shared" si="16"/>
        <v>0</v>
      </c>
      <c r="AC78" s="238">
        <f t="shared" si="16"/>
        <v>0</v>
      </c>
      <c r="AD78" s="238">
        <f t="shared" si="16"/>
        <v>0</v>
      </c>
      <c r="AE78" s="238">
        <f t="shared" si="16"/>
        <v>0</v>
      </c>
      <c r="AF78" s="238">
        <f t="shared" si="16"/>
        <v>0</v>
      </c>
      <c r="AG78" s="238">
        <f t="shared" si="16"/>
        <v>0</v>
      </c>
      <c r="AH78" s="238">
        <f t="shared" si="16"/>
        <v>0</v>
      </c>
      <c r="AI78" s="238">
        <f t="shared" si="16"/>
        <v>0</v>
      </c>
      <c r="AJ78" s="238">
        <f t="shared" si="16"/>
        <v>0</v>
      </c>
      <c r="AK78" s="238">
        <f t="shared" si="16"/>
        <v>0</v>
      </c>
      <c r="AL78" s="238">
        <f t="shared" si="16"/>
        <v>0</v>
      </c>
      <c r="AM78" s="238">
        <f t="shared" si="16"/>
        <v>0</v>
      </c>
      <c r="AN78" s="238">
        <f t="shared" si="16"/>
        <v>0</v>
      </c>
      <c r="AO78" s="238">
        <f t="shared" si="16"/>
        <v>0</v>
      </c>
      <c r="AP78" s="238">
        <f t="shared" ref="AP78" si="18">SUM(AP28:AP77)</f>
        <v>0</v>
      </c>
      <c r="AQ78" s="238">
        <f t="shared" si="16"/>
        <v>0</v>
      </c>
      <c r="AR78" s="350">
        <f t="shared" si="16"/>
        <v>0</v>
      </c>
      <c r="AS78" s="376">
        <f t="shared" si="16"/>
        <v>0</v>
      </c>
      <c r="AT78" s="397">
        <f>AS78+'UM-3 - L1 - Dia'!AS78</f>
        <v>0</v>
      </c>
    </row>
    <row r="79" spans="1:46">
      <c r="A79" s="545"/>
      <c r="B79" s="427">
        <f t="shared" si="13"/>
        <v>770</v>
      </c>
      <c r="C79" s="428" t="str">
        <f>VLOOKUP(B79,'Tipos de Defeitos'!B80:E182,Menu!$B$24+1,)</f>
        <v>1º Teste</v>
      </c>
      <c r="D79" s="240" t="str">
        <f t="shared" ref="D79" si="19">IF(D23&gt;0,D23/D22*1000000,"")</f>
        <v/>
      </c>
      <c r="E79" s="240" t="str">
        <f t="shared" ref="E79" si="20">IF(E23&gt;0,E23/E22*1000000,"")</f>
        <v/>
      </c>
      <c r="F79" s="240" t="str">
        <f t="shared" ref="F79:AR79" si="21">IF(F23&gt;0,F23/F22*1000000,"")</f>
        <v/>
      </c>
      <c r="G79" s="240" t="str">
        <f t="shared" ref="G79" si="22">IF(G23&gt;0,G23/G22*1000000,"")</f>
        <v/>
      </c>
      <c r="H79" s="240" t="str">
        <f t="shared" si="21"/>
        <v/>
      </c>
      <c r="I79" s="240" t="str">
        <f t="shared" si="21"/>
        <v/>
      </c>
      <c r="J79" s="240" t="str">
        <f t="shared" si="21"/>
        <v/>
      </c>
      <c r="K79" s="240" t="str">
        <f t="shared" si="21"/>
        <v/>
      </c>
      <c r="L79" s="240" t="str">
        <f t="shared" si="21"/>
        <v/>
      </c>
      <c r="M79" s="240" t="str">
        <f t="shared" si="21"/>
        <v/>
      </c>
      <c r="N79" s="240" t="str">
        <f t="shared" si="21"/>
        <v/>
      </c>
      <c r="O79" s="240" t="str">
        <f t="shared" si="21"/>
        <v/>
      </c>
      <c r="P79" s="240" t="str">
        <f t="shared" si="21"/>
        <v/>
      </c>
      <c r="Q79" s="240" t="str">
        <f t="shared" si="21"/>
        <v/>
      </c>
      <c r="R79" s="240" t="str">
        <f t="shared" si="21"/>
        <v/>
      </c>
      <c r="S79" s="240" t="str">
        <f t="shared" si="21"/>
        <v/>
      </c>
      <c r="T79" s="240" t="str">
        <f t="shared" si="21"/>
        <v/>
      </c>
      <c r="U79" s="240" t="str">
        <f t="shared" si="21"/>
        <v/>
      </c>
      <c r="V79" s="240" t="str">
        <f t="shared" si="21"/>
        <v/>
      </c>
      <c r="W79" s="240" t="str">
        <f t="shared" si="21"/>
        <v/>
      </c>
      <c r="X79" s="240" t="str">
        <f t="shared" si="21"/>
        <v/>
      </c>
      <c r="Y79" s="240" t="str">
        <f t="shared" si="21"/>
        <v/>
      </c>
      <c r="Z79" s="240" t="str">
        <f t="shared" si="21"/>
        <v/>
      </c>
      <c r="AA79" s="240" t="str">
        <f t="shared" si="21"/>
        <v/>
      </c>
      <c r="AB79" s="240" t="str">
        <f t="shared" si="21"/>
        <v/>
      </c>
      <c r="AC79" s="240" t="str">
        <f t="shared" si="21"/>
        <v/>
      </c>
      <c r="AD79" s="240" t="str">
        <f t="shared" si="21"/>
        <v/>
      </c>
      <c r="AE79" s="240" t="str">
        <f t="shared" si="21"/>
        <v/>
      </c>
      <c r="AF79" s="240" t="str">
        <f t="shared" si="21"/>
        <v/>
      </c>
      <c r="AG79" s="240" t="str">
        <f t="shared" si="21"/>
        <v/>
      </c>
      <c r="AH79" s="240" t="str">
        <f t="shared" si="21"/>
        <v/>
      </c>
      <c r="AI79" s="240" t="str">
        <f t="shared" si="21"/>
        <v/>
      </c>
      <c r="AJ79" s="240" t="str">
        <f t="shared" si="21"/>
        <v/>
      </c>
      <c r="AK79" s="240" t="str">
        <f t="shared" si="21"/>
        <v/>
      </c>
      <c r="AL79" s="240" t="str">
        <f t="shared" si="21"/>
        <v/>
      </c>
      <c r="AM79" s="240" t="str">
        <f t="shared" si="21"/>
        <v/>
      </c>
      <c r="AN79" s="240" t="str">
        <f t="shared" si="21"/>
        <v/>
      </c>
      <c r="AO79" s="240" t="str">
        <f t="shared" si="21"/>
        <v/>
      </c>
      <c r="AP79" s="240" t="str">
        <f t="shared" ref="AP79" si="23">IF(AP23&gt;0,AP23/AP22*1000000,"")</f>
        <v/>
      </c>
      <c r="AQ79" s="240" t="str">
        <f t="shared" si="21"/>
        <v/>
      </c>
      <c r="AR79" s="287" t="str">
        <f t="shared" si="21"/>
        <v/>
      </c>
      <c r="AS79" s="377" t="str">
        <f>IF(AS7&gt;0,AS23/AS7*1000000,"")</f>
        <v/>
      </c>
      <c r="AT79" s="398" t="str">
        <f>IF(AT7&gt;0,AT23/AT7*1000000,"")</f>
        <v/>
      </c>
    </row>
    <row r="80" spans="1:46">
      <c r="A80" s="545"/>
      <c r="B80" s="427">
        <f t="shared" si="13"/>
        <v>780</v>
      </c>
      <c r="C80" s="428" t="str">
        <f>VLOOKUP(B80,'Tipos de Defeitos'!B81:E183,Menu!$B$24+1,)</f>
        <v>Taxa defeituosa (ppm)</v>
      </c>
      <c r="D80" s="240" t="str">
        <f t="shared" ref="D80" si="24">IF(D24&lt;&gt;0,D78/D27*D24/D22*1000000,"")</f>
        <v/>
      </c>
      <c r="E80" s="240" t="str">
        <f t="shared" ref="E80" si="25">IF(E24&lt;&gt;0,E78/E27*E24/E22*1000000,"")</f>
        <v/>
      </c>
      <c r="F80" s="240" t="str">
        <f t="shared" ref="F80:AR80" si="26">IF(F24&lt;&gt;0,F78/F27*F24/F22*1000000,"")</f>
        <v/>
      </c>
      <c r="G80" s="240" t="str">
        <f t="shared" ref="G80" si="27">IF(G24&lt;&gt;0,G78/G27*G24/G22*1000000,"")</f>
        <v/>
      </c>
      <c r="H80" s="240" t="str">
        <f t="shared" si="26"/>
        <v/>
      </c>
      <c r="I80" s="240" t="str">
        <f t="shared" si="26"/>
        <v/>
      </c>
      <c r="J80" s="240" t="str">
        <f t="shared" si="26"/>
        <v/>
      </c>
      <c r="K80" s="240" t="str">
        <f t="shared" si="26"/>
        <v/>
      </c>
      <c r="L80" s="240" t="str">
        <f t="shared" si="26"/>
        <v/>
      </c>
      <c r="M80" s="240" t="str">
        <f t="shared" si="26"/>
        <v/>
      </c>
      <c r="N80" s="240" t="str">
        <f t="shared" si="26"/>
        <v/>
      </c>
      <c r="O80" s="240" t="str">
        <f t="shared" si="26"/>
        <v/>
      </c>
      <c r="P80" s="240" t="str">
        <f t="shared" si="26"/>
        <v/>
      </c>
      <c r="Q80" s="240" t="str">
        <f t="shared" si="26"/>
        <v/>
      </c>
      <c r="R80" s="240" t="str">
        <f t="shared" si="26"/>
        <v/>
      </c>
      <c r="S80" s="240" t="str">
        <f t="shared" si="26"/>
        <v/>
      </c>
      <c r="T80" s="240" t="str">
        <f t="shared" si="26"/>
        <v/>
      </c>
      <c r="U80" s="240" t="str">
        <f t="shared" si="26"/>
        <v/>
      </c>
      <c r="V80" s="240" t="str">
        <f t="shared" si="26"/>
        <v/>
      </c>
      <c r="W80" s="240" t="str">
        <f t="shared" si="26"/>
        <v/>
      </c>
      <c r="X80" s="240" t="str">
        <f t="shared" si="26"/>
        <v/>
      </c>
      <c r="Y80" s="240" t="str">
        <f t="shared" si="26"/>
        <v/>
      </c>
      <c r="Z80" s="240" t="str">
        <f t="shared" si="26"/>
        <v/>
      </c>
      <c r="AA80" s="240" t="str">
        <f t="shared" si="26"/>
        <v/>
      </c>
      <c r="AB80" s="240" t="str">
        <f t="shared" si="26"/>
        <v/>
      </c>
      <c r="AC80" s="240" t="str">
        <f t="shared" si="26"/>
        <v/>
      </c>
      <c r="AD80" s="240" t="str">
        <f t="shared" si="26"/>
        <v/>
      </c>
      <c r="AE80" s="240" t="str">
        <f t="shared" si="26"/>
        <v/>
      </c>
      <c r="AF80" s="240" t="str">
        <f t="shared" si="26"/>
        <v/>
      </c>
      <c r="AG80" s="240" t="str">
        <f t="shared" si="26"/>
        <v/>
      </c>
      <c r="AH80" s="240" t="str">
        <f t="shared" si="26"/>
        <v/>
      </c>
      <c r="AI80" s="240" t="str">
        <f t="shared" si="26"/>
        <v/>
      </c>
      <c r="AJ80" s="240" t="str">
        <f t="shared" si="26"/>
        <v/>
      </c>
      <c r="AK80" s="240" t="str">
        <f t="shared" si="26"/>
        <v/>
      </c>
      <c r="AL80" s="240" t="str">
        <f t="shared" si="26"/>
        <v/>
      </c>
      <c r="AM80" s="240" t="str">
        <f t="shared" si="26"/>
        <v/>
      </c>
      <c r="AN80" s="240" t="str">
        <f t="shared" si="26"/>
        <v/>
      </c>
      <c r="AO80" s="240" t="str">
        <f t="shared" si="26"/>
        <v/>
      </c>
      <c r="AP80" s="240" t="str">
        <f t="shared" ref="AP80" si="28">IF(AP24&lt;&gt;0,AP78/AP27*AP24/AP22*1000000,"")</f>
        <v/>
      </c>
      <c r="AQ80" s="240" t="str">
        <f t="shared" si="26"/>
        <v/>
      </c>
      <c r="AR80" s="287" t="str">
        <f t="shared" si="26"/>
        <v/>
      </c>
      <c r="AS80" s="377">
        <f>IF(AS7&gt;0,AS78/AS27*AS24/AS7*1000000,0)</f>
        <v>0</v>
      </c>
      <c r="AT80" s="398">
        <f>IF(AT7&gt;0,AT78/AT27*AT24/AT7*1000000,0)</f>
        <v>0</v>
      </c>
    </row>
    <row r="81" spans="1:46">
      <c r="A81" s="545"/>
      <c r="B81" s="427">
        <f t="shared" si="13"/>
        <v>790</v>
      </c>
      <c r="C81" s="428" t="str">
        <f>VLOOKUP(B81,'Tipos de Defeitos'!B82:E184,Menu!$B$24+1,)</f>
        <v>Qtd. Defeitos internos (pçs)</v>
      </c>
      <c r="D81" s="192">
        <f>SUM(D28:D71,D86:D98)</f>
        <v>0</v>
      </c>
      <c r="E81" s="192">
        <f>SUM(E28:E71,E86:E98)</f>
        <v>0</v>
      </c>
      <c r="F81" s="192">
        <f t="shared" ref="F81:AR81" si="29">SUM(F28:F71,F86:F98)</f>
        <v>0</v>
      </c>
      <c r="G81" s="192">
        <f t="shared" si="29"/>
        <v>0</v>
      </c>
      <c r="H81" s="192">
        <f t="shared" si="29"/>
        <v>0</v>
      </c>
      <c r="I81" s="192">
        <f t="shared" si="29"/>
        <v>0</v>
      </c>
      <c r="J81" s="192">
        <f t="shared" si="29"/>
        <v>0</v>
      </c>
      <c r="K81" s="192">
        <f t="shared" si="29"/>
        <v>0</v>
      </c>
      <c r="L81" s="192">
        <f t="shared" si="29"/>
        <v>0</v>
      </c>
      <c r="M81" s="192">
        <f t="shared" si="29"/>
        <v>0</v>
      </c>
      <c r="N81" s="192">
        <f t="shared" si="29"/>
        <v>0</v>
      </c>
      <c r="O81" s="192">
        <f t="shared" si="29"/>
        <v>0</v>
      </c>
      <c r="P81" s="192">
        <f t="shared" si="29"/>
        <v>0</v>
      </c>
      <c r="Q81" s="192">
        <f t="shared" si="29"/>
        <v>0</v>
      </c>
      <c r="R81" s="192">
        <f t="shared" si="29"/>
        <v>0</v>
      </c>
      <c r="S81" s="192">
        <f t="shared" si="29"/>
        <v>0</v>
      </c>
      <c r="T81" s="192">
        <f t="shared" si="29"/>
        <v>0</v>
      </c>
      <c r="U81" s="192">
        <f t="shared" si="29"/>
        <v>0</v>
      </c>
      <c r="V81" s="192">
        <f t="shared" si="29"/>
        <v>0</v>
      </c>
      <c r="W81" s="192">
        <f t="shared" si="29"/>
        <v>0</v>
      </c>
      <c r="X81" s="192">
        <f t="shared" si="29"/>
        <v>0</v>
      </c>
      <c r="Y81" s="192">
        <f t="shared" si="29"/>
        <v>0</v>
      </c>
      <c r="Z81" s="192">
        <f t="shared" si="29"/>
        <v>0</v>
      </c>
      <c r="AA81" s="192">
        <f t="shared" si="29"/>
        <v>0</v>
      </c>
      <c r="AB81" s="192">
        <f t="shared" si="29"/>
        <v>0</v>
      </c>
      <c r="AC81" s="192">
        <f t="shared" si="29"/>
        <v>0</v>
      </c>
      <c r="AD81" s="192">
        <f t="shared" si="29"/>
        <v>0</v>
      </c>
      <c r="AE81" s="192">
        <f t="shared" si="29"/>
        <v>0</v>
      </c>
      <c r="AF81" s="192">
        <f t="shared" si="29"/>
        <v>0</v>
      </c>
      <c r="AG81" s="192">
        <f t="shared" si="29"/>
        <v>0</v>
      </c>
      <c r="AH81" s="192">
        <f t="shared" si="29"/>
        <v>0</v>
      </c>
      <c r="AI81" s="192">
        <f t="shared" si="29"/>
        <v>0</v>
      </c>
      <c r="AJ81" s="192">
        <f t="shared" si="29"/>
        <v>0</v>
      </c>
      <c r="AK81" s="192">
        <f t="shared" si="29"/>
        <v>0</v>
      </c>
      <c r="AL81" s="192">
        <f t="shared" si="29"/>
        <v>0</v>
      </c>
      <c r="AM81" s="192">
        <f t="shared" si="29"/>
        <v>0</v>
      </c>
      <c r="AN81" s="192">
        <f t="shared" si="29"/>
        <v>0</v>
      </c>
      <c r="AO81" s="192">
        <f t="shared" si="29"/>
        <v>0</v>
      </c>
      <c r="AP81" s="192">
        <f t="shared" si="29"/>
        <v>0</v>
      </c>
      <c r="AQ81" s="192">
        <f t="shared" si="29"/>
        <v>0</v>
      </c>
      <c r="AR81" s="192">
        <f t="shared" si="29"/>
        <v>0</v>
      </c>
      <c r="AS81" s="204">
        <f t="shared" ref="AS81:AT81" si="30">SUM(AS28:AS67)</f>
        <v>0</v>
      </c>
      <c r="AT81" s="204">
        <f t="shared" si="30"/>
        <v>0</v>
      </c>
    </row>
    <row r="82" spans="1:46" ht="13.5" thickBot="1">
      <c r="A82" s="546"/>
      <c r="B82" s="429">
        <f t="shared" si="13"/>
        <v>800</v>
      </c>
      <c r="C82" s="430" t="str">
        <f>VLOOKUP(B82,'Tipos de Defeitos'!B83:E185,Menu!$B$24+1,)</f>
        <v>Defeitos Internos - Taxa defeituosa (ppm)</v>
      </c>
      <c r="D82" s="242" t="str">
        <f t="shared" ref="D82" si="31">IF(D24&gt;0,D81/D27*D24/D22*1000000,"")</f>
        <v/>
      </c>
      <c r="E82" s="242" t="str">
        <f t="shared" ref="E82" si="32">IF(E24&gt;0,E81/E27*E24/E22*1000000,"")</f>
        <v/>
      </c>
      <c r="F82" s="242" t="str">
        <f t="shared" ref="F82:AR82" si="33">IF(F24&gt;0,F81/F27*F24/F22*1000000,"")</f>
        <v/>
      </c>
      <c r="G82" s="242" t="str">
        <f t="shared" ref="G82" si="34">IF(G24&gt;0,G81/G27*G24/G22*1000000,"")</f>
        <v/>
      </c>
      <c r="H82" s="242" t="str">
        <f t="shared" si="33"/>
        <v/>
      </c>
      <c r="I82" s="242" t="str">
        <f t="shared" si="33"/>
        <v/>
      </c>
      <c r="J82" s="242" t="str">
        <f t="shared" si="33"/>
        <v/>
      </c>
      <c r="K82" s="242" t="str">
        <f t="shared" si="33"/>
        <v/>
      </c>
      <c r="L82" s="242" t="str">
        <f t="shared" si="33"/>
        <v/>
      </c>
      <c r="M82" s="242" t="str">
        <f t="shared" si="33"/>
        <v/>
      </c>
      <c r="N82" s="242" t="str">
        <f t="shared" si="33"/>
        <v/>
      </c>
      <c r="O82" s="242" t="str">
        <f t="shared" si="33"/>
        <v/>
      </c>
      <c r="P82" s="242" t="str">
        <f t="shared" si="33"/>
        <v/>
      </c>
      <c r="Q82" s="242" t="str">
        <f t="shared" si="33"/>
        <v/>
      </c>
      <c r="R82" s="242" t="str">
        <f t="shared" si="33"/>
        <v/>
      </c>
      <c r="S82" s="242" t="str">
        <f t="shared" si="33"/>
        <v/>
      </c>
      <c r="T82" s="242" t="str">
        <f t="shared" si="33"/>
        <v/>
      </c>
      <c r="U82" s="242" t="str">
        <f t="shared" si="33"/>
        <v/>
      </c>
      <c r="V82" s="242" t="str">
        <f t="shared" si="33"/>
        <v/>
      </c>
      <c r="W82" s="242" t="str">
        <f t="shared" si="33"/>
        <v/>
      </c>
      <c r="X82" s="242" t="str">
        <f t="shared" si="33"/>
        <v/>
      </c>
      <c r="Y82" s="242" t="str">
        <f t="shared" si="33"/>
        <v/>
      </c>
      <c r="Z82" s="242" t="str">
        <f t="shared" si="33"/>
        <v/>
      </c>
      <c r="AA82" s="242" t="str">
        <f t="shared" si="33"/>
        <v/>
      </c>
      <c r="AB82" s="242" t="str">
        <f t="shared" si="33"/>
        <v/>
      </c>
      <c r="AC82" s="242" t="str">
        <f t="shared" si="33"/>
        <v/>
      </c>
      <c r="AD82" s="242" t="str">
        <f t="shared" si="33"/>
        <v/>
      </c>
      <c r="AE82" s="242" t="str">
        <f t="shared" si="33"/>
        <v/>
      </c>
      <c r="AF82" s="242" t="str">
        <f t="shared" si="33"/>
        <v/>
      </c>
      <c r="AG82" s="242" t="str">
        <f t="shared" si="33"/>
        <v/>
      </c>
      <c r="AH82" s="242" t="str">
        <f t="shared" si="33"/>
        <v/>
      </c>
      <c r="AI82" s="242" t="str">
        <f t="shared" si="33"/>
        <v/>
      </c>
      <c r="AJ82" s="242" t="str">
        <f t="shared" si="33"/>
        <v/>
      </c>
      <c r="AK82" s="242" t="str">
        <f t="shared" si="33"/>
        <v/>
      </c>
      <c r="AL82" s="242" t="str">
        <f t="shared" si="33"/>
        <v/>
      </c>
      <c r="AM82" s="242" t="str">
        <f t="shared" si="33"/>
        <v/>
      </c>
      <c r="AN82" s="242" t="str">
        <f t="shared" si="33"/>
        <v/>
      </c>
      <c r="AO82" s="242" t="str">
        <f t="shared" si="33"/>
        <v/>
      </c>
      <c r="AP82" s="242" t="str">
        <f t="shared" ref="AP82" si="35">IF(AP24&gt;0,AP81/AP27*AP24/AP22*1000000,"")</f>
        <v/>
      </c>
      <c r="AQ82" s="242" t="str">
        <f t="shared" si="33"/>
        <v/>
      </c>
      <c r="AR82" s="288" t="str">
        <f t="shared" si="33"/>
        <v/>
      </c>
      <c r="AS82" s="378" t="str">
        <f t="shared" ref="AS82:AT82" si="36">IF(AS24&gt;0,AS81/AS27*AS24/AS7*1000000,"")</f>
        <v/>
      </c>
      <c r="AT82" s="378" t="str">
        <f t="shared" si="36"/>
        <v/>
      </c>
    </row>
    <row r="83" spans="1:46" ht="14.25" customHeight="1">
      <c r="A83" s="541" t="s">
        <v>214</v>
      </c>
      <c r="B83" s="425">
        <f t="shared" si="13"/>
        <v>810</v>
      </c>
      <c r="C83" s="426" t="str">
        <f>VLOOKUP(B83,'Tipos de Defeitos'!B84:E186,Menu!$B$24+1,)</f>
        <v>Amperagem (Moda)</v>
      </c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3"/>
      <c r="U83" s="243"/>
      <c r="V83" s="243"/>
      <c r="W83" s="243"/>
      <c r="X83" s="243"/>
      <c r="Y83" s="243"/>
      <c r="Z83" s="243"/>
      <c r="AA83" s="243"/>
      <c r="AB83" s="243"/>
      <c r="AC83" s="243"/>
      <c r="AD83" s="243"/>
      <c r="AE83" s="243"/>
      <c r="AF83" s="243"/>
      <c r="AG83" s="243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353"/>
      <c r="AS83" s="379" t="e">
        <f>AVERAGE(D83:AR83)</f>
        <v>#DIV/0!</v>
      </c>
      <c r="AT83" s="399"/>
    </row>
    <row r="84" spans="1:46">
      <c r="A84" s="542"/>
      <c r="B84" s="427">
        <f t="shared" si="13"/>
        <v>820</v>
      </c>
      <c r="C84" s="428" t="str">
        <f>VLOOKUP(B84,'Tipos de Defeitos'!B85:E187,Menu!$B$24+1,)</f>
        <v>Amperagem Ajustada</v>
      </c>
      <c r="D84" s="244" t="str">
        <f t="shared" ref="D84" si="37">IF(D83&gt;0,D83-1," ")</f>
        <v xml:space="preserve"> </v>
      </c>
      <c r="E84" s="244" t="str">
        <f t="shared" ref="E84" si="38">IF(E83&gt;0,E83-1," ")</f>
        <v xml:space="preserve"> </v>
      </c>
      <c r="F84" s="244" t="str">
        <f t="shared" ref="F84" si="39">IF(F83&gt;0,F83-1," ")</f>
        <v xml:space="preserve"> </v>
      </c>
      <c r="G84" s="244" t="str">
        <f t="shared" ref="G84" si="40">IF(G83&gt;0,G83-1," ")</f>
        <v xml:space="preserve"> </v>
      </c>
      <c r="H84" s="244" t="str">
        <f t="shared" ref="H84:AN84" si="41">IF(H83&gt;0,H83-1," ")</f>
        <v xml:space="preserve"> </v>
      </c>
      <c r="I84" s="244" t="str">
        <f t="shared" si="41"/>
        <v xml:space="preserve"> </v>
      </c>
      <c r="J84" s="244" t="str">
        <f t="shared" si="41"/>
        <v xml:space="preserve"> </v>
      </c>
      <c r="K84" s="244" t="str">
        <f t="shared" si="41"/>
        <v xml:space="preserve"> </v>
      </c>
      <c r="L84" s="244" t="str">
        <f t="shared" si="41"/>
        <v xml:space="preserve"> </v>
      </c>
      <c r="M84" s="244" t="str">
        <f t="shared" si="41"/>
        <v xml:space="preserve"> </v>
      </c>
      <c r="N84" s="244" t="str">
        <f t="shared" si="41"/>
        <v xml:space="preserve"> </v>
      </c>
      <c r="O84" s="244" t="str">
        <f t="shared" si="41"/>
        <v xml:space="preserve"> </v>
      </c>
      <c r="P84" s="244" t="str">
        <f t="shared" si="41"/>
        <v xml:space="preserve"> </v>
      </c>
      <c r="Q84" s="244" t="str">
        <f t="shared" si="41"/>
        <v xml:space="preserve"> </v>
      </c>
      <c r="R84" s="244" t="str">
        <f t="shared" si="41"/>
        <v xml:space="preserve"> </v>
      </c>
      <c r="S84" s="244" t="str">
        <f t="shared" si="41"/>
        <v xml:space="preserve"> </v>
      </c>
      <c r="T84" s="244" t="str">
        <f t="shared" si="41"/>
        <v xml:space="preserve"> </v>
      </c>
      <c r="U84" s="244" t="str">
        <f t="shared" si="41"/>
        <v xml:space="preserve"> </v>
      </c>
      <c r="V84" s="244" t="str">
        <f t="shared" si="41"/>
        <v xml:space="preserve"> </v>
      </c>
      <c r="W84" s="244" t="str">
        <f t="shared" si="41"/>
        <v xml:space="preserve"> </v>
      </c>
      <c r="X84" s="244" t="str">
        <f t="shared" si="41"/>
        <v xml:space="preserve"> </v>
      </c>
      <c r="Y84" s="244" t="str">
        <f t="shared" si="41"/>
        <v xml:space="preserve"> </v>
      </c>
      <c r="Z84" s="244" t="str">
        <f t="shared" si="41"/>
        <v xml:space="preserve"> </v>
      </c>
      <c r="AA84" s="244" t="str">
        <f t="shared" si="41"/>
        <v xml:space="preserve"> </v>
      </c>
      <c r="AB84" s="244" t="str">
        <f t="shared" si="41"/>
        <v xml:space="preserve"> </v>
      </c>
      <c r="AC84" s="244" t="str">
        <f t="shared" si="41"/>
        <v xml:space="preserve"> </v>
      </c>
      <c r="AD84" s="244" t="str">
        <f t="shared" si="41"/>
        <v xml:space="preserve"> </v>
      </c>
      <c r="AE84" s="244" t="str">
        <f t="shared" si="41"/>
        <v xml:space="preserve"> </v>
      </c>
      <c r="AF84" s="244" t="str">
        <f>IF(AF83&gt;0,AF83-1," ")</f>
        <v xml:space="preserve"> </v>
      </c>
      <c r="AG84" s="244" t="str">
        <f>IF(AG83&gt;0,AG83-1," ")</f>
        <v xml:space="preserve"> </v>
      </c>
      <c r="AH84" s="244" t="str">
        <f t="shared" si="41"/>
        <v xml:space="preserve"> </v>
      </c>
      <c r="AI84" s="244" t="str">
        <f>IF(AI83&gt;0,AI83-1," ")</f>
        <v xml:space="preserve"> </v>
      </c>
      <c r="AJ84" s="244" t="str">
        <f>IF(AJ83&gt;0,AJ83-1," ")</f>
        <v xml:space="preserve"> </v>
      </c>
      <c r="AK84" s="244" t="str">
        <f>IF(AK83&gt;0,AK83-1," ")</f>
        <v xml:space="preserve"> </v>
      </c>
      <c r="AL84" s="244" t="str">
        <f>IF(AL83&gt;0,AL83-1," ")</f>
        <v xml:space="preserve"> </v>
      </c>
      <c r="AM84" s="244" t="str">
        <f t="shared" si="41"/>
        <v xml:space="preserve"> </v>
      </c>
      <c r="AN84" s="244" t="str">
        <f t="shared" si="41"/>
        <v xml:space="preserve"> </v>
      </c>
      <c r="AO84" s="244"/>
      <c r="AP84" s="244"/>
      <c r="AQ84" s="244" t="str">
        <f>IF(AQ83&gt;0,AQ83-1," ")</f>
        <v xml:space="preserve"> </v>
      </c>
      <c r="AR84" s="354" t="str">
        <f>IF(AR83&gt;0,AR83-1," ")</f>
        <v xml:space="preserve"> </v>
      </c>
      <c r="AS84" s="380" t="e">
        <f>AS83-1</f>
        <v>#DIV/0!</v>
      </c>
      <c r="AT84" s="400"/>
    </row>
    <row r="85" spans="1:46" ht="13.5" thickBot="1">
      <c r="A85" s="543"/>
      <c r="B85" s="434">
        <f t="shared" si="13"/>
        <v>830</v>
      </c>
      <c r="C85" s="436" t="str">
        <f>VLOOKUP(B85,'Tipos de Defeitos'!B86:E188,Menu!$B$24+1,)</f>
        <v>Qtd Baterias analisadas (pçs)</v>
      </c>
      <c r="D85" s="245">
        <f t="shared" ref="D85" si="42">D103</f>
        <v>0</v>
      </c>
      <c r="E85" s="245">
        <f t="shared" ref="E85" si="43">E103</f>
        <v>0</v>
      </c>
      <c r="F85" s="245">
        <f t="shared" ref="F85:AR85" si="44">F103</f>
        <v>0</v>
      </c>
      <c r="G85" s="245">
        <f t="shared" ref="G85" si="45">G103</f>
        <v>0</v>
      </c>
      <c r="H85" s="245">
        <f t="shared" si="44"/>
        <v>0</v>
      </c>
      <c r="I85" s="245">
        <f t="shared" si="44"/>
        <v>0</v>
      </c>
      <c r="J85" s="245">
        <f t="shared" si="44"/>
        <v>0</v>
      </c>
      <c r="K85" s="245">
        <f t="shared" si="44"/>
        <v>0</v>
      </c>
      <c r="L85" s="245">
        <f t="shared" si="44"/>
        <v>0</v>
      </c>
      <c r="M85" s="245">
        <f t="shared" si="44"/>
        <v>0</v>
      </c>
      <c r="N85" s="245">
        <f t="shared" si="44"/>
        <v>0</v>
      </c>
      <c r="O85" s="245">
        <f t="shared" si="44"/>
        <v>0</v>
      </c>
      <c r="P85" s="245">
        <f t="shared" si="44"/>
        <v>0</v>
      </c>
      <c r="Q85" s="245">
        <f t="shared" si="44"/>
        <v>0</v>
      </c>
      <c r="R85" s="245">
        <f t="shared" si="44"/>
        <v>0</v>
      </c>
      <c r="S85" s="245">
        <f t="shared" si="44"/>
        <v>0</v>
      </c>
      <c r="T85" s="245">
        <f t="shared" si="44"/>
        <v>0</v>
      </c>
      <c r="U85" s="245">
        <f t="shared" si="44"/>
        <v>0</v>
      </c>
      <c r="V85" s="245">
        <f t="shared" si="44"/>
        <v>0</v>
      </c>
      <c r="W85" s="245">
        <f t="shared" si="44"/>
        <v>0</v>
      </c>
      <c r="X85" s="245">
        <f t="shared" si="44"/>
        <v>0</v>
      </c>
      <c r="Y85" s="245">
        <f t="shared" si="44"/>
        <v>0</v>
      </c>
      <c r="Z85" s="245">
        <f t="shared" si="44"/>
        <v>0</v>
      </c>
      <c r="AA85" s="245">
        <f t="shared" si="44"/>
        <v>0</v>
      </c>
      <c r="AB85" s="245">
        <f t="shared" si="44"/>
        <v>0</v>
      </c>
      <c r="AC85" s="245">
        <f t="shared" si="44"/>
        <v>0</v>
      </c>
      <c r="AD85" s="245">
        <f t="shared" si="44"/>
        <v>0</v>
      </c>
      <c r="AE85" s="245">
        <f t="shared" si="44"/>
        <v>0</v>
      </c>
      <c r="AF85" s="245">
        <f t="shared" si="44"/>
        <v>0</v>
      </c>
      <c r="AG85" s="245">
        <f t="shared" si="44"/>
        <v>0</v>
      </c>
      <c r="AH85" s="245">
        <f t="shared" si="44"/>
        <v>0</v>
      </c>
      <c r="AI85" s="245">
        <f t="shared" si="44"/>
        <v>0</v>
      </c>
      <c r="AJ85" s="245">
        <f t="shared" si="44"/>
        <v>0</v>
      </c>
      <c r="AK85" s="245">
        <f t="shared" si="44"/>
        <v>0</v>
      </c>
      <c r="AL85" s="245">
        <f t="shared" si="44"/>
        <v>0</v>
      </c>
      <c r="AM85" s="245">
        <f t="shared" si="44"/>
        <v>0</v>
      </c>
      <c r="AN85" s="245">
        <f t="shared" si="44"/>
        <v>0</v>
      </c>
      <c r="AO85" s="245">
        <f t="shared" si="44"/>
        <v>0</v>
      </c>
      <c r="AP85" s="245">
        <f t="shared" ref="AP85" si="46">AP103</f>
        <v>0</v>
      </c>
      <c r="AQ85" s="245">
        <f t="shared" si="44"/>
        <v>0</v>
      </c>
      <c r="AR85" s="355">
        <f t="shared" si="44"/>
        <v>0</v>
      </c>
      <c r="AS85" s="381">
        <f>SUM(D85:AR85)</f>
        <v>0</v>
      </c>
      <c r="AT85" s="401">
        <f>AS85+'UM-3 - L1 - Dia'!AS85</f>
        <v>0</v>
      </c>
    </row>
    <row r="86" spans="1:46">
      <c r="A86" s="544" t="s">
        <v>22</v>
      </c>
      <c r="B86" s="425">
        <f t="shared" si="13"/>
        <v>840</v>
      </c>
      <c r="C86" s="437" t="str">
        <f>VLOOKUP(B86,'Tipos de Defeitos'!B87:E189,Menu!$B$24+1,)</f>
        <v>Papel Separdor Duplo</v>
      </c>
      <c r="D86" s="227"/>
      <c r="E86" s="227"/>
      <c r="F86" s="227"/>
      <c r="G86" s="227"/>
      <c r="H86" s="227"/>
      <c r="I86" s="227"/>
      <c r="J86" s="227"/>
      <c r="K86" s="227"/>
      <c r="L86" s="227"/>
      <c r="M86" s="228"/>
      <c r="N86" s="228"/>
      <c r="O86" s="228"/>
      <c r="P86" s="228"/>
      <c r="Q86" s="228"/>
      <c r="R86" s="228"/>
      <c r="S86" s="228"/>
      <c r="T86" s="228"/>
      <c r="U86" s="228"/>
      <c r="V86" s="228"/>
      <c r="W86" s="228"/>
      <c r="X86" s="228"/>
      <c r="Y86" s="228"/>
      <c r="Z86" s="228"/>
      <c r="AA86" s="228"/>
      <c r="AB86" s="228"/>
      <c r="AC86" s="228"/>
      <c r="AD86" s="228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348"/>
      <c r="AS86" s="375">
        <f>SUM(D86:AR86)</f>
        <v>0</v>
      </c>
      <c r="AT86" s="396">
        <f>AS86+'UM-3 - L1 - Dia'!AS86</f>
        <v>0</v>
      </c>
    </row>
    <row r="87" spans="1:46">
      <c r="A87" s="545"/>
      <c r="B87" s="427">
        <f t="shared" si="13"/>
        <v>850</v>
      </c>
      <c r="C87" s="433" t="str">
        <f>VLOOKUP(B87,'Tipos de Defeitos'!B88:E190,Menu!$B$24+1,)</f>
        <v>Pedra de Negro</v>
      </c>
      <c r="D87" s="212"/>
      <c r="E87" s="212"/>
      <c r="F87" s="212"/>
      <c r="G87" s="212"/>
      <c r="H87" s="212"/>
      <c r="I87" s="212"/>
      <c r="J87" s="212"/>
      <c r="K87" s="212"/>
      <c r="L87" s="212"/>
      <c r="M87" s="217"/>
      <c r="N87" s="217"/>
      <c r="O87" s="217"/>
      <c r="P87" s="217"/>
      <c r="Q87" s="217"/>
      <c r="R87" s="217"/>
      <c r="S87" s="217"/>
      <c r="T87" s="217"/>
      <c r="U87" s="217"/>
      <c r="V87" s="217"/>
      <c r="W87" s="217"/>
      <c r="X87" s="217"/>
      <c r="Y87" s="217"/>
      <c r="Z87" s="217"/>
      <c r="AA87" s="217"/>
      <c r="AB87" s="217"/>
      <c r="AC87" s="217"/>
      <c r="AD87" s="217"/>
      <c r="AE87" s="217"/>
      <c r="AF87" s="217"/>
      <c r="AG87" s="217"/>
      <c r="AH87" s="217"/>
      <c r="AI87" s="217"/>
      <c r="AJ87" s="217"/>
      <c r="AK87" s="217"/>
      <c r="AL87" s="217"/>
      <c r="AM87" s="217"/>
      <c r="AN87" s="217"/>
      <c r="AO87" s="217"/>
      <c r="AP87" s="217"/>
      <c r="AQ87" s="217"/>
      <c r="AR87" s="323"/>
      <c r="AS87" s="369">
        <f t="shared" ref="AS87:AS102" si="47">SUM(D87:AR87)</f>
        <v>0</v>
      </c>
      <c r="AT87" s="387">
        <f>AS87+'UM-3 - L1 - Dia'!AS87</f>
        <v>0</v>
      </c>
    </row>
    <row r="88" spans="1:46">
      <c r="A88" s="545"/>
      <c r="B88" s="427">
        <f t="shared" si="13"/>
        <v>860</v>
      </c>
      <c r="C88" s="433" t="str">
        <f>VLOOKUP(B88,'Tipos de Defeitos'!B89:E191,Menu!$B$24+1,)</f>
        <v>Pedra de Cl de Amônia</v>
      </c>
      <c r="D88" s="212"/>
      <c r="E88" s="212"/>
      <c r="F88" s="212"/>
      <c r="G88" s="212"/>
      <c r="H88" s="212"/>
      <c r="I88" s="212"/>
      <c r="J88" s="212"/>
      <c r="K88" s="212"/>
      <c r="L88" s="212"/>
      <c r="M88" s="217"/>
      <c r="N88" s="217"/>
      <c r="O88" s="217"/>
      <c r="P88" s="217"/>
      <c r="Q88" s="217"/>
      <c r="R88" s="217"/>
      <c r="S88" s="217"/>
      <c r="T88" s="217"/>
      <c r="U88" s="217"/>
      <c r="V88" s="217"/>
      <c r="W88" s="217"/>
      <c r="X88" s="217"/>
      <c r="Y88" s="217"/>
      <c r="Z88" s="217"/>
      <c r="AA88" s="217"/>
      <c r="AB88" s="217"/>
      <c r="AC88" s="217"/>
      <c r="AD88" s="217"/>
      <c r="AE88" s="217"/>
      <c r="AF88" s="217"/>
      <c r="AG88" s="217"/>
      <c r="AH88" s="217"/>
      <c r="AI88" s="217"/>
      <c r="AJ88" s="217"/>
      <c r="AK88" s="217"/>
      <c r="AL88" s="217"/>
      <c r="AM88" s="217"/>
      <c r="AN88" s="217"/>
      <c r="AO88" s="217"/>
      <c r="AP88" s="217"/>
      <c r="AQ88" s="217"/>
      <c r="AR88" s="323"/>
      <c r="AS88" s="369">
        <f t="shared" si="47"/>
        <v>0</v>
      </c>
      <c r="AT88" s="387">
        <f>AS88+'UM-3 - L1 - Dia'!AS88</f>
        <v>0</v>
      </c>
    </row>
    <row r="89" spans="1:46">
      <c r="A89" s="545"/>
      <c r="B89" s="427">
        <f t="shared" si="13"/>
        <v>870</v>
      </c>
      <c r="C89" s="433" t="str">
        <f>VLOOKUP(B89,'Tipos de Defeitos'!B90:E192,Menu!$B$24+1,)</f>
        <v>Pelota de Manganês</v>
      </c>
      <c r="D89" s="212"/>
      <c r="E89" s="212"/>
      <c r="F89" s="212"/>
      <c r="G89" s="212"/>
      <c r="H89" s="212"/>
      <c r="I89" s="212"/>
      <c r="J89" s="212"/>
      <c r="K89" s="212"/>
      <c r="L89" s="212"/>
      <c r="M89" s="217"/>
      <c r="N89" s="217"/>
      <c r="O89" s="217"/>
      <c r="P89" s="217"/>
      <c r="Q89" s="217"/>
      <c r="R89" s="217"/>
      <c r="S89" s="217"/>
      <c r="T89" s="217"/>
      <c r="U89" s="217"/>
      <c r="V89" s="217"/>
      <c r="W89" s="217"/>
      <c r="X89" s="217"/>
      <c r="Y89" s="217"/>
      <c r="Z89" s="217"/>
      <c r="AA89" s="217"/>
      <c r="AB89" s="217"/>
      <c r="AC89" s="217"/>
      <c r="AD89" s="217"/>
      <c r="AE89" s="217"/>
      <c r="AF89" s="217"/>
      <c r="AG89" s="217"/>
      <c r="AH89" s="217"/>
      <c r="AI89" s="217"/>
      <c r="AJ89" s="217"/>
      <c r="AK89" s="217"/>
      <c r="AL89" s="217"/>
      <c r="AM89" s="217"/>
      <c r="AN89" s="217"/>
      <c r="AO89" s="217"/>
      <c r="AP89" s="217"/>
      <c r="AQ89" s="217"/>
      <c r="AR89" s="323"/>
      <c r="AS89" s="369">
        <f t="shared" si="47"/>
        <v>0</v>
      </c>
      <c r="AT89" s="387">
        <f>AS89+'UM-3 - L1 - Dia'!AS89</f>
        <v>0</v>
      </c>
    </row>
    <row r="90" spans="1:46">
      <c r="A90" s="545"/>
      <c r="B90" s="427">
        <f t="shared" si="13"/>
        <v>880</v>
      </c>
      <c r="C90" s="433" t="str">
        <f>VLOOKUP(B90,'Tipos de Defeitos'!B91:E193,Menu!$B$24+1,)</f>
        <v>Bobina Baixa A</v>
      </c>
      <c r="D90" s="212"/>
      <c r="E90" s="212"/>
      <c r="F90" s="212"/>
      <c r="G90" s="212"/>
      <c r="H90" s="212"/>
      <c r="I90" s="212"/>
      <c r="J90" s="212"/>
      <c r="K90" s="212"/>
      <c r="L90" s="212"/>
      <c r="M90" s="217"/>
      <c r="N90" s="217"/>
      <c r="O90" s="217"/>
      <c r="P90" s="217"/>
      <c r="Q90" s="217"/>
      <c r="R90" s="217"/>
      <c r="S90" s="217"/>
      <c r="T90" s="217"/>
      <c r="U90" s="217"/>
      <c r="V90" s="217"/>
      <c r="W90" s="217"/>
      <c r="X90" s="217"/>
      <c r="Y90" s="217"/>
      <c r="Z90" s="217"/>
      <c r="AA90" s="217"/>
      <c r="AB90" s="217"/>
      <c r="AC90" s="217"/>
      <c r="AD90" s="217"/>
      <c r="AE90" s="217"/>
      <c r="AF90" s="217"/>
      <c r="AG90" s="217"/>
      <c r="AH90" s="217"/>
      <c r="AI90" s="217"/>
      <c r="AJ90" s="217"/>
      <c r="AK90" s="217"/>
      <c r="AL90" s="217"/>
      <c r="AM90" s="217"/>
      <c r="AN90" s="217"/>
      <c r="AO90" s="217"/>
      <c r="AP90" s="217"/>
      <c r="AQ90" s="217"/>
      <c r="AR90" s="323"/>
      <c r="AS90" s="369">
        <f t="shared" si="47"/>
        <v>0</v>
      </c>
      <c r="AT90" s="387">
        <f>AS90+'UM-3 - L1 - Dia'!AS90</f>
        <v>0</v>
      </c>
    </row>
    <row r="91" spans="1:46">
      <c r="A91" s="545"/>
      <c r="B91" s="427">
        <f t="shared" si="13"/>
        <v>890</v>
      </c>
      <c r="C91" s="433" t="str">
        <f>VLOOKUP(B91,'Tipos de Defeitos'!B92:E194,Menu!$B$24+1,)</f>
        <v>Bobina Rachada</v>
      </c>
      <c r="D91" s="212"/>
      <c r="E91" s="212"/>
      <c r="F91" s="212"/>
      <c r="G91" s="212"/>
      <c r="H91" s="212"/>
      <c r="I91" s="212"/>
      <c r="J91" s="212"/>
      <c r="K91" s="212"/>
      <c r="L91" s="212"/>
      <c r="M91" s="217"/>
      <c r="N91" s="217"/>
      <c r="O91" s="217"/>
      <c r="P91" s="217"/>
      <c r="Q91" s="217"/>
      <c r="R91" s="217"/>
      <c r="S91" s="217"/>
      <c r="T91" s="217"/>
      <c r="U91" s="217"/>
      <c r="V91" s="217"/>
      <c r="W91" s="217"/>
      <c r="X91" s="217"/>
      <c r="Y91" s="217"/>
      <c r="Z91" s="217"/>
      <c r="AA91" s="217"/>
      <c r="AB91" s="217"/>
      <c r="AC91" s="217"/>
      <c r="AD91" s="217"/>
      <c r="AE91" s="217"/>
      <c r="AF91" s="217"/>
      <c r="AG91" s="217"/>
      <c r="AH91" s="217"/>
      <c r="AI91" s="217"/>
      <c r="AJ91" s="217"/>
      <c r="AK91" s="217"/>
      <c r="AL91" s="217"/>
      <c r="AM91" s="217"/>
      <c r="AN91" s="217"/>
      <c r="AO91" s="217"/>
      <c r="AP91" s="217"/>
      <c r="AQ91" s="217"/>
      <c r="AR91" s="323"/>
      <c r="AS91" s="369">
        <f t="shared" si="47"/>
        <v>0</v>
      </c>
      <c r="AT91" s="387">
        <f>AS91+'UM-3 - L1 - Dia'!AS91</f>
        <v>0</v>
      </c>
    </row>
    <row r="92" spans="1:46">
      <c r="A92" s="545"/>
      <c r="B92" s="427">
        <f t="shared" si="13"/>
        <v>900</v>
      </c>
      <c r="C92" s="433" t="str">
        <f>VLOOKUP(B92,'Tipos de Defeitos'!B93:E195,Menu!$B$24+1,)</f>
        <v>Emenda de Papel</v>
      </c>
      <c r="D92" s="212"/>
      <c r="E92" s="212"/>
      <c r="F92" s="212"/>
      <c r="G92" s="212"/>
      <c r="H92" s="212"/>
      <c r="I92" s="212"/>
      <c r="J92" s="212"/>
      <c r="K92" s="212"/>
      <c r="L92" s="212"/>
      <c r="M92" s="217"/>
      <c r="N92" s="217"/>
      <c r="O92" s="217"/>
      <c r="P92" s="217"/>
      <c r="Q92" s="217"/>
      <c r="R92" s="217"/>
      <c r="S92" s="356"/>
      <c r="T92" s="356"/>
      <c r="U92" s="356"/>
      <c r="V92" s="356"/>
      <c r="W92" s="356"/>
      <c r="X92" s="356"/>
      <c r="Y92" s="356"/>
      <c r="Z92" s="356"/>
      <c r="AA92" s="217"/>
      <c r="AB92" s="217"/>
      <c r="AC92" s="217"/>
      <c r="AD92" s="217"/>
      <c r="AE92" s="217"/>
      <c r="AF92" s="217"/>
      <c r="AG92" s="217"/>
      <c r="AH92" s="217"/>
      <c r="AI92" s="217"/>
      <c r="AJ92" s="217"/>
      <c r="AK92" s="217"/>
      <c r="AL92" s="217"/>
      <c r="AM92" s="217"/>
      <c r="AN92" s="217"/>
      <c r="AO92" s="217"/>
      <c r="AP92" s="217"/>
      <c r="AQ92" s="217"/>
      <c r="AR92" s="323"/>
      <c r="AS92" s="369">
        <f t="shared" si="47"/>
        <v>0</v>
      </c>
      <c r="AT92" s="387">
        <f>AS92+'UM-3 - L1 - Dia'!AS92</f>
        <v>0</v>
      </c>
    </row>
    <row r="93" spans="1:46">
      <c r="A93" s="545"/>
      <c r="B93" s="427">
        <f t="shared" si="13"/>
        <v>910</v>
      </c>
      <c r="C93" s="433" t="str">
        <f>VLOOKUP(B93,'Tipos de Defeitos'!B94:E196,Menu!$B$24+1,)</f>
        <v>Carvão Quebrado A</v>
      </c>
      <c r="D93" s="212"/>
      <c r="E93" s="212"/>
      <c r="F93" s="212"/>
      <c r="G93" s="212"/>
      <c r="H93" s="212"/>
      <c r="I93" s="212"/>
      <c r="J93" s="212"/>
      <c r="K93" s="212"/>
      <c r="L93" s="212"/>
      <c r="M93" s="217"/>
      <c r="N93" s="217"/>
      <c r="O93" s="217"/>
      <c r="P93" s="217"/>
      <c r="Q93" s="217"/>
      <c r="R93" s="217"/>
      <c r="S93" s="217"/>
      <c r="T93" s="356"/>
      <c r="U93" s="356"/>
      <c r="V93" s="356"/>
      <c r="W93" s="356"/>
      <c r="X93" s="356"/>
      <c r="Y93" s="356"/>
      <c r="Z93" s="356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323"/>
      <c r="AS93" s="369">
        <f t="shared" si="47"/>
        <v>0</v>
      </c>
      <c r="AT93" s="387">
        <f>AS93+'UM-3 - L1 - Dia'!AS93</f>
        <v>0</v>
      </c>
    </row>
    <row r="94" spans="1:46">
      <c r="A94" s="545"/>
      <c r="B94" s="427">
        <f t="shared" si="13"/>
        <v>920</v>
      </c>
      <c r="C94" s="433" t="str">
        <f>VLOOKUP(B94,'Tipos de Defeitos'!B95:E197,Menu!$B$24+1,)</f>
        <v>Metade do Carvão</v>
      </c>
      <c r="D94" s="212"/>
      <c r="E94" s="212"/>
      <c r="F94" s="212"/>
      <c r="G94" s="212"/>
      <c r="H94" s="212"/>
      <c r="I94" s="212"/>
      <c r="J94" s="212"/>
      <c r="K94" s="212"/>
      <c r="L94" s="212"/>
      <c r="M94" s="217"/>
      <c r="N94" s="217"/>
      <c r="O94" s="217"/>
      <c r="P94" s="217"/>
      <c r="Q94" s="217"/>
      <c r="R94" s="217"/>
      <c r="S94" s="356"/>
      <c r="T94" s="356"/>
      <c r="U94" s="356"/>
      <c r="V94" s="356"/>
      <c r="W94" s="356"/>
      <c r="X94" s="356"/>
      <c r="Y94" s="356"/>
      <c r="Z94" s="356"/>
      <c r="AA94" s="217"/>
      <c r="AB94" s="217"/>
      <c r="AC94" s="217"/>
      <c r="AD94" s="217"/>
      <c r="AE94" s="217"/>
      <c r="AF94" s="217"/>
      <c r="AG94" s="217"/>
      <c r="AH94" s="217"/>
      <c r="AI94" s="217"/>
      <c r="AJ94" s="217"/>
      <c r="AK94" s="217"/>
      <c r="AL94" s="217"/>
      <c r="AM94" s="217"/>
      <c r="AN94" s="217"/>
      <c r="AO94" s="217"/>
      <c r="AP94" s="217"/>
      <c r="AQ94" s="217"/>
      <c r="AR94" s="323"/>
      <c r="AS94" s="369">
        <f t="shared" si="47"/>
        <v>0</v>
      </c>
      <c r="AT94" s="387">
        <f>AS94+'UM-3 - L1 - Dia'!AS94</f>
        <v>0</v>
      </c>
    </row>
    <row r="95" spans="1:46">
      <c r="A95" s="545"/>
      <c r="B95" s="427">
        <f t="shared" si="13"/>
        <v>930</v>
      </c>
      <c r="C95" s="433" t="str">
        <f>VLOOKUP(B95,'Tipos de Defeitos'!B96:E198,Menu!$B$24+1,)</f>
        <v>Carvão Frouxo</v>
      </c>
      <c r="D95" s="212"/>
      <c r="E95" s="212"/>
      <c r="F95" s="212"/>
      <c r="G95" s="212"/>
      <c r="H95" s="212"/>
      <c r="I95" s="212"/>
      <c r="J95" s="212"/>
      <c r="K95" s="212"/>
      <c r="L95" s="212"/>
      <c r="M95" s="217"/>
      <c r="N95" s="217"/>
      <c r="O95" s="217"/>
      <c r="P95" s="217"/>
      <c r="Q95" s="217"/>
      <c r="R95" s="217"/>
      <c r="S95" s="356"/>
      <c r="T95" s="356"/>
      <c r="U95" s="356"/>
      <c r="V95" s="356"/>
      <c r="W95" s="356"/>
      <c r="X95" s="356"/>
      <c r="Y95" s="356"/>
      <c r="Z95" s="356"/>
      <c r="AA95" s="217"/>
      <c r="AB95" s="217"/>
      <c r="AC95" s="217"/>
      <c r="AD95" s="217"/>
      <c r="AE95" s="217"/>
      <c r="AF95" s="217"/>
      <c r="AG95" s="217"/>
      <c r="AH95" s="217"/>
      <c r="AI95" s="217"/>
      <c r="AJ95" s="217"/>
      <c r="AK95" s="217"/>
      <c r="AL95" s="217"/>
      <c r="AM95" s="217"/>
      <c r="AN95" s="217"/>
      <c r="AO95" s="217"/>
      <c r="AP95" s="217"/>
      <c r="AQ95" s="217"/>
      <c r="AR95" s="323"/>
      <c r="AS95" s="369">
        <f t="shared" si="47"/>
        <v>0</v>
      </c>
      <c r="AT95" s="387">
        <f>AS95+'UM-3 - L1 - Dia'!AS95</f>
        <v>0</v>
      </c>
    </row>
    <row r="96" spans="1:46">
      <c r="A96" s="545"/>
      <c r="B96" s="427">
        <f t="shared" si="13"/>
        <v>940</v>
      </c>
      <c r="C96" s="433" t="str">
        <f>VLOOKUP(B96,'Tipos de Defeitos'!B97:E199,Menu!$B$24+1,)</f>
        <v>Tubo de Zinco Sujo</v>
      </c>
      <c r="D96" s="212"/>
      <c r="E96" s="212"/>
      <c r="F96" s="212"/>
      <c r="G96" s="212"/>
      <c r="H96" s="212"/>
      <c r="I96" s="212"/>
      <c r="J96" s="212"/>
      <c r="K96" s="212"/>
      <c r="L96" s="212"/>
      <c r="M96" s="217"/>
      <c r="N96" s="217"/>
      <c r="O96" s="217"/>
      <c r="P96" s="217"/>
      <c r="Q96" s="217"/>
      <c r="R96" s="217"/>
      <c r="S96" s="356"/>
      <c r="T96" s="356"/>
      <c r="U96" s="356"/>
      <c r="V96" s="356"/>
      <c r="W96" s="356"/>
      <c r="X96" s="356"/>
      <c r="Y96" s="356"/>
      <c r="Z96" s="356"/>
      <c r="AA96" s="217"/>
      <c r="AB96" s="217"/>
      <c r="AC96" s="217"/>
      <c r="AD96" s="217"/>
      <c r="AE96" s="217"/>
      <c r="AF96" s="217"/>
      <c r="AG96" s="217"/>
      <c r="AH96" s="217"/>
      <c r="AI96" s="217"/>
      <c r="AJ96" s="217"/>
      <c r="AK96" s="217"/>
      <c r="AL96" s="217"/>
      <c r="AM96" s="217"/>
      <c r="AN96" s="217"/>
      <c r="AO96" s="217"/>
      <c r="AP96" s="217"/>
      <c r="AQ96" s="217"/>
      <c r="AR96" s="323"/>
      <c r="AS96" s="369">
        <f t="shared" si="47"/>
        <v>0</v>
      </c>
      <c r="AT96" s="387">
        <f>AS96+'UM-3 - L1 - Dia'!AS96</f>
        <v>0</v>
      </c>
    </row>
    <row r="97" spans="1:46">
      <c r="A97" s="545"/>
      <c r="B97" s="427">
        <f t="shared" si="13"/>
        <v>950</v>
      </c>
      <c r="C97" s="433" t="str">
        <f>VLOOKUP(B97,'Tipos de Defeitos'!B98:E200,Menu!$B$24+1,)</f>
        <v>Contem estranho</v>
      </c>
      <c r="D97" s="212"/>
      <c r="E97" s="212"/>
      <c r="F97" s="212"/>
      <c r="G97" s="212"/>
      <c r="H97" s="212"/>
      <c r="I97" s="212"/>
      <c r="J97" s="212"/>
      <c r="K97" s="212"/>
      <c r="L97" s="212"/>
      <c r="M97" s="217"/>
      <c r="N97" s="217"/>
      <c r="O97" s="217"/>
      <c r="P97" s="217"/>
      <c r="Q97" s="217"/>
      <c r="R97" s="217"/>
      <c r="S97" s="217"/>
      <c r="T97" s="217"/>
      <c r="U97" s="217"/>
      <c r="V97" s="217"/>
      <c r="W97" s="217"/>
      <c r="X97" s="217"/>
      <c r="Y97" s="217"/>
      <c r="Z97" s="217"/>
      <c r="AA97" s="217"/>
      <c r="AB97" s="217"/>
      <c r="AC97" s="217"/>
      <c r="AD97" s="217"/>
      <c r="AE97" s="217"/>
      <c r="AF97" s="217"/>
      <c r="AG97" s="217"/>
      <c r="AH97" s="217"/>
      <c r="AI97" s="217"/>
      <c r="AJ97" s="217"/>
      <c r="AK97" s="217"/>
      <c r="AL97" s="217"/>
      <c r="AM97" s="217"/>
      <c r="AN97" s="217"/>
      <c r="AO97" s="217"/>
      <c r="AP97" s="217"/>
      <c r="AQ97" s="217"/>
      <c r="AR97" s="323"/>
      <c r="AS97" s="369">
        <f t="shared" si="47"/>
        <v>0</v>
      </c>
      <c r="AT97" s="387">
        <f>AS97+'UM-3 - L1 - Dia'!AS97</f>
        <v>0</v>
      </c>
    </row>
    <row r="98" spans="1:46">
      <c r="A98" s="545"/>
      <c r="B98" s="427">
        <f t="shared" si="13"/>
        <v>960</v>
      </c>
      <c r="C98" s="433" t="str">
        <f>VLOOKUP(B98,'Tipos de Defeitos'!B99:E201,Menu!$B$24+1,)</f>
        <v>Mistura seca</v>
      </c>
      <c r="D98" s="212"/>
      <c r="E98" s="212"/>
      <c r="F98" s="212"/>
      <c r="G98" s="212"/>
      <c r="H98" s="212"/>
      <c r="I98" s="212"/>
      <c r="J98" s="212"/>
      <c r="K98" s="212"/>
      <c r="L98" s="212"/>
      <c r="M98" s="217"/>
      <c r="N98" s="217"/>
      <c r="O98" s="217"/>
      <c r="P98" s="217"/>
      <c r="Q98" s="217"/>
      <c r="R98" s="217"/>
      <c r="S98" s="217"/>
      <c r="T98" s="217"/>
      <c r="U98" s="217"/>
      <c r="V98" s="217"/>
      <c r="W98" s="217"/>
      <c r="X98" s="217"/>
      <c r="Y98" s="217"/>
      <c r="Z98" s="217"/>
      <c r="AA98" s="217"/>
      <c r="AB98" s="217"/>
      <c r="AC98" s="217"/>
      <c r="AD98" s="217"/>
      <c r="AE98" s="217"/>
      <c r="AF98" s="217"/>
      <c r="AG98" s="217"/>
      <c r="AH98" s="217"/>
      <c r="AI98" s="217"/>
      <c r="AJ98" s="217"/>
      <c r="AK98" s="217"/>
      <c r="AL98" s="217"/>
      <c r="AM98" s="217"/>
      <c r="AN98" s="217"/>
      <c r="AO98" s="217"/>
      <c r="AP98" s="217"/>
      <c r="AQ98" s="217"/>
      <c r="AR98" s="323"/>
      <c r="AS98" s="369">
        <f t="shared" si="47"/>
        <v>0</v>
      </c>
      <c r="AT98" s="387">
        <f>AS98+'UM-3 - L1 - Dia'!AS98</f>
        <v>0</v>
      </c>
    </row>
    <row r="99" spans="1:46">
      <c r="A99" s="545"/>
      <c r="B99" s="427">
        <f t="shared" si="13"/>
        <v>970</v>
      </c>
      <c r="C99" s="433" t="str">
        <f>VLOOKUP(B99,'Tipos de Defeitos'!B100:E202,Menu!$B$24+1,)</f>
        <v>Bottom Plate Amassado</v>
      </c>
      <c r="D99" s="212"/>
      <c r="E99" s="212"/>
      <c r="F99" s="212"/>
      <c r="G99" s="212"/>
      <c r="H99" s="212"/>
      <c r="I99" s="212"/>
      <c r="J99" s="212"/>
      <c r="K99" s="212"/>
      <c r="L99" s="212"/>
      <c r="M99" s="217"/>
      <c r="N99" s="217"/>
      <c r="O99" s="217"/>
      <c r="P99" s="217"/>
      <c r="Q99" s="217"/>
      <c r="R99" s="217"/>
      <c r="S99" s="217"/>
      <c r="T99" s="217"/>
      <c r="U99" s="217"/>
      <c r="V99" s="217"/>
      <c r="W99" s="217"/>
      <c r="X99" s="217"/>
      <c r="Y99" s="217"/>
      <c r="Z99" s="217"/>
      <c r="AA99" s="217"/>
      <c r="AB99" s="217"/>
      <c r="AC99" s="217"/>
      <c r="AD99" s="217"/>
      <c r="AE99" s="217"/>
      <c r="AF99" s="217"/>
      <c r="AG99" s="217"/>
      <c r="AH99" s="217"/>
      <c r="AI99" s="217"/>
      <c r="AJ99" s="217"/>
      <c r="AK99" s="217"/>
      <c r="AL99" s="217"/>
      <c r="AM99" s="217"/>
      <c r="AN99" s="217"/>
      <c r="AO99" s="217"/>
      <c r="AP99" s="217"/>
      <c r="AQ99" s="217"/>
      <c r="AR99" s="323"/>
      <c r="AS99" s="369">
        <f t="shared" si="47"/>
        <v>0</v>
      </c>
      <c r="AT99" s="387">
        <f>AS99+'UM-3 - L1 - Dia'!AS99</f>
        <v>0</v>
      </c>
    </row>
    <row r="100" spans="1:46">
      <c r="A100" s="545"/>
      <c r="B100" s="427">
        <f t="shared" si="13"/>
        <v>980</v>
      </c>
      <c r="C100" s="433" t="str">
        <f>VLOOKUP(B100,'Tipos de Defeitos'!B101:E203,Menu!$B$24+1,)</f>
        <v>PVC Comprido</v>
      </c>
      <c r="D100" s="212"/>
      <c r="E100" s="212"/>
      <c r="F100" s="212"/>
      <c r="G100" s="212"/>
      <c r="H100" s="212"/>
      <c r="I100" s="212"/>
      <c r="J100" s="212"/>
      <c r="K100" s="212"/>
      <c r="L100" s="212"/>
      <c r="M100" s="217"/>
      <c r="N100" s="217"/>
      <c r="O100" s="217"/>
      <c r="P100" s="217"/>
      <c r="Q100" s="217"/>
      <c r="R100" s="217"/>
      <c r="S100" s="217"/>
      <c r="T100" s="217"/>
      <c r="U100" s="217"/>
      <c r="V100" s="217"/>
      <c r="W100" s="217"/>
      <c r="X100" s="217"/>
      <c r="Y100" s="217"/>
      <c r="Z100" s="217"/>
      <c r="AA100" s="217"/>
      <c r="AB100" s="217"/>
      <c r="AC100" s="217"/>
      <c r="AD100" s="217"/>
      <c r="AE100" s="217"/>
      <c r="AF100" s="217"/>
      <c r="AG100" s="217"/>
      <c r="AH100" s="217"/>
      <c r="AI100" s="217"/>
      <c r="AJ100" s="217"/>
      <c r="AK100" s="217"/>
      <c r="AL100" s="217"/>
      <c r="AM100" s="217"/>
      <c r="AN100" s="217"/>
      <c r="AO100" s="217"/>
      <c r="AP100" s="217"/>
      <c r="AQ100" s="217"/>
      <c r="AR100" s="323"/>
      <c r="AS100" s="369">
        <f t="shared" si="47"/>
        <v>0</v>
      </c>
      <c r="AT100" s="387">
        <f>AS100+'UM-3 - L1 - Dia'!AS100</f>
        <v>0</v>
      </c>
    </row>
    <row r="101" spans="1:46">
      <c r="A101" s="545"/>
      <c r="B101" s="427">
        <f t="shared" si="13"/>
        <v>990</v>
      </c>
      <c r="C101" s="433" t="str">
        <f>VLOOKUP(B101,'Tipos de Defeitos'!B102:E204,Menu!$B$24+1,)</f>
        <v>Causa Desconhecida - Amperagem</v>
      </c>
      <c r="D101" s="212"/>
      <c r="E101" s="212"/>
      <c r="F101" s="212"/>
      <c r="G101" s="212"/>
      <c r="H101" s="212"/>
      <c r="I101" s="212"/>
      <c r="J101" s="212"/>
      <c r="K101" s="212"/>
      <c r="L101" s="212"/>
      <c r="M101" s="217"/>
      <c r="N101" s="217"/>
      <c r="O101" s="217"/>
      <c r="P101" s="217"/>
      <c r="Q101" s="217"/>
      <c r="R101" s="217"/>
      <c r="S101" s="217"/>
      <c r="T101" s="217"/>
      <c r="U101" s="217"/>
      <c r="V101" s="217"/>
      <c r="W101" s="217"/>
      <c r="X101" s="217"/>
      <c r="Y101" s="217"/>
      <c r="Z101" s="217"/>
      <c r="AA101" s="217"/>
      <c r="AB101" s="217"/>
      <c r="AC101" s="217"/>
      <c r="AD101" s="217"/>
      <c r="AE101" s="217"/>
      <c r="AF101" s="217"/>
      <c r="AG101" s="217"/>
      <c r="AH101" s="217"/>
      <c r="AI101" s="217"/>
      <c r="AJ101" s="217"/>
      <c r="AK101" s="217"/>
      <c r="AL101" s="217"/>
      <c r="AM101" s="217"/>
      <c r="AN101" s="217"/>
      <c r="AO101" s="217"/>
      <c r="AP101" s="217"/>
      <c r="AQ101" s="217"/>
      <c r="AR101" s="323"/>
      <c r="AS101" s="369">
        <f t="shared" si="47"/>
        <v>0</v>
      </c>
      <c r="AT101" s="387">
        <f>AS101+'UM-3 - L1 - Dia'!AS101</f>
        <v>0</v>
      </c>
    </row>
    <row r="102" spans="1:46" ht="13.5" thickBot="1">
      <c r="A102" s="546"/>
      <c r="B102" s="434">
        <f t="shared" si="13"/>
        <v>1000</v>
      </c>
      <c r="C102" s="435" t="str">
        <f>VLOOKUP(B102,'Tipos de Defeitos'!B103:E205,Menu!$B$24+1,)</f>
        <v>Outros - Amperagem</v>
      </c>
      <c r="D102" s="224"/>
      <c r="E102" s="224"/>
      <c r="F102" s="224"/>
      <c r="G102" s="224"/>
      <c r="H102" s="224"/>
      <c r="I102" s="224"/>
      <c r="J102" s="224"/>
      <c r="K102" s="224"/>
      <c r="L102" s="224"/>
      <c r="M102" s="225"/>
      <c r="N102" s="225"/>
      <c r="O102" s="225"/>
      <c r="P102" s="225"/>
      <c r="Q102" s="225"/>
      <c r="R102" s="225"/>
      <c r="S102" s="225"/>
      <c r="T102" s="225"/>
      <c r="U102" s="225"/>
      <c r="V102" s="225"/>
      <c r="W102" s="225"/>
      <c r="X102" s="225"/>
      <c r="Y102" s="225"/>
      <c r="Z102" s="225"/>
      <c r="AA102" s="225"/>
      <c r="AB102" s="225"/>
      <c r="AC102" s="225"/>
      <c r="AD102" s="225"/>
      <c r="AE102" s="225"/>
      <c r="AF102" s="225"/>
      <c r="AG102" s="225"/>
      <c r="AH102" s="225"/>
      <c r="AI102" s="225"/>
      <c r="AJ102" s="225"/>
      <c r="AK102" s="225"/>
      <c r="AL102" s="225"/>
      <c r="AM102" s="225"/>
      <c r="AN102" s="225"/>
      <c r="AO102" s="225"/>
      <c r="AP102" s="225"/>
      <c r="AQ102" s="225"/>
      <c r="AR102" s="347"/>
      <c r="AS102" s="370">
        <f t="shared" si="47"/>
        <v>0</v>
      </c>
      <c r="AT102" s="389">
        <f>AS102+'UM-3 - L1 - Dia'!AS102</f>
        <v>0</v>
      </c>
    </row>
    <row r="103" spans="1:46">
      <c r="A103" s="547" t="s">
        <v>99</v>
      </c>
      <c r="B103" s="425">
        <f t="shared" si="13"/>
        <v>1010</v>
      </c>
      <c r="C103" s="437" t="str">
        <f>VLOOKUP(B103,'Tipos de Defeitos'!B104:E206,Menu!$B$24+1,)</f>
        <v>Total</v>
      </c>
      <c r="D103" s="231">
        <f t="shared" ref="D103" si="48">SUM(D86:D102)</f>
        <v>0</v>
      </c>
      <c r="E103" s="231">
        <f t="shared" ref="E103" si="49">SUM(E86:E102)</f>
        <v>0</v>
      </c>
      <c r="F103" s="231">
        <f t="shared" ref="F103:AR103" si="50">SUM(F86:F102)</f>
        <v>0</v>
      </c>
      <c r="G103" s="231">
        <f t="shared" ref="G103" si="51">SUM(G86:G102)</f>
        <v>0</v>
      </c>
      <c r="H103" s="231">
        <f t="shared" si="50"/>
        <v>0</v>
      </c>
      <c r="I103" s="231">
        <f t="shared" si="50"/>
        <v>0</v>
      </c>
      <c r="J103" s="231">
        <f t="shared" si="50"/>
        <v>0</v>
      </c>
      <c r="K103" s="231">
        <f t="shared" si="50"/>
        <v>0</v>
      </c>
      <c r="L103" s="231">
        <f t="shared" si="50"/>
        <v>0</v>
      </c>
      <c r="M103" s="232">
        <f t="shared" si="50"/>
        <v>0</v>
      </c>
      <c r="N103" s="232">
        <f t="shared" si="50"/>
        <v>0</v>
      </c>
      <c r="O103" s="232">
        <f t="shared" si="50"/>
        <v>0</v>
      </c>
      <c r="P103" s="232">
        <f t="shared" si="50"/>
        <v>0</v>
      </c>
      <c r="Q103" s="232">
        <f t="shared" si="50"/>
        <v>0</v>
      </c>
      <c r="R103" s="232">
        <f t="shared" si="50"/>
        <v>0</v>
      </c>
      <c r="S103" s="232">
        <f t="shared" si="50"/>
        <v>0</v>
      </c>
      <c r="T103" s="232">
        <f t="shared" si="50"/>
        <v>0</v>
      </c>
      <c r="U103" s="232">
        <f t="shared" si="50"/>
        <v>0</v>
      </c>
      <c r="V103" s="232">
        <f t="shared" si="50"/>
        <v>0</v>
      </c>
      <c r="W103" s="232">
        <f t="shared" si="50"/>
        <v>0</v>
      </c>
      <c r="X103" s="232">
        <f t="shared" si="50"/>
        <v>0</v>
      </c>
      <c r="Y103" s="232">
        <f t="shared" si="50"/>
        <v>0</v>
      </c>
      <c r="Z103" s="232">
        <f t="shared" si="50"/>
        <v>0</v>
      </c>
      <c r="AA103" s="232">
        <f t="shared" si="50"/>
        <v>0</v>
      </c>
      <c r="AB103" s="232">
        <f t="shared" si="50"/>
        <v>0</v>
      </c>
      <c r="AC103" s="232">
        <f t="shared" si="50"/>
        <v>0</v>
      </c>
      <c r="AD103" s="232">
        <f t="shared" si="50"/>
        <v>0</v>
      </c>
      <c r="AE103" s="232">
        <f t="shared" si="50"/>
        <v>0</v>
      </c>
      <c r="AF103" s="232">
        <f t="shared" si="50"/>
        <v>0</v>
      </c>
      <c r="AG103" s="232">
        <f t="shared" si="50"/>
        <v>0</v>
      </c>
      <c r="AH103" s="232">
        <f t="shared" si="50"/>
        <v>0</v>
      </c>
      <c r="AI103" s="232">
        <f t="shared" si="50"/>
        <v>0</v>
      </c>
      <c r="AJ103" s="232">
        <f t="shared" si="50"/>
        <v>0</v>
      </c>
      <c r="AK103" s="232">
        <f t="shared" si="50"/>
        <v>0</v>
      </c>
      <c r="AL103" s="232">
        <f t="shared" si="50"/>
        <v>0</v>
      </c>
      <c r="AM103" s="232">
        <f t="shared" si="50"/>
        <v>0</v>
      </c>
      <c r="AN103" s="232">
        <f t="shared" si="50"/>
        <v>0</v>
      </c>
      <c r="AO103" s="232">
        <f>SUM(AO86:AO102)</f>
        <v>0</v>
      </c>
      <c r="AP103" s="232">
        <f>SUM(AP86:AP102)</f>
        <v>0</v>
      </c>
      <c r="AQ103" s="232">
        <f>SUM(AQ86:AQ102)</f>
        <v>0</v>
      </c>
      <c r="AR103" s="360">
        <f t="shared" si="50"/>
        <v>0</v>
      </c>
      <c r="AS103" s="375">
        <f>SUM(D103:AR103)</f>
        <v>0</v>
      </c>
      <c r="AT103" s="396">
        <f>AS103+'UM-3 - L1 - Dia'!AS103</f>
        <v>0</v>
      </c>
    </row>
    <row r="104" spans="1:46">
      <c r="A104" s="548"/>
      <c r="B104" s="427">
        <f t="shared" si="13"/>
        <v>1020</v>
      </c>
      <c r="C104" s="433" t="str">
        <f>VLOOKUP(B104,'Tipos de Defeitos'!B105:E207,Menu!$B$24+1,)</f>
        <v>Taxa defeituosa (ppm)</v>
      </c>
      <c r="D104" s="229" t="str">
        <f t="shared" ref="D104" si="52">IF(D24&lt;&gt;0,D103/D27*D24/D22*1000000,"")</f>
        <v/>
      </c>
      <c r="E104" s="229" t="str">
        <f t="shared" ref="E104" si="53">IF(E24&lt;&gt;0,E103/E27*E24/E22*1000000,"")</f>
        <v/>
      </c>
      <c r="F104" s="229" t="str">
        <f t="shared" ref="F104:X104" si="54">IF(F24&lt;&gt;0,F103/F27*F24/F22*1000000,"")</f>
        <v/>
      </c>
      <c r="G104" s="229" t="str">
        <f t="shared" ref="G104" si="55">IF(G24&lt;&gt;0,G103/G27*G24/G22*1000000,"")</f>
        <v/>
      </c>
      <c r="H104" s="229" t="str">
        <f t="shared" si="54"/>
        <v/>
      </c>
      <c r="I104" s="229" t="str">
        <f t="shared" si="54"/>
        <v/>
      </c>
      <c r="J104" s="229" t="str">
        <f t="shared" si="54"/>
        <v/>
      </c>
      <c r="K104" s="229" t="str">
        <f t="shared" si="54"/>
        <v/>
      </c>
      <c r="L104" s="229" t="str">
        <f t="shared" si="54"/>
        <v/>
      </c>
      <c r="M104" s="230" t="str">
        <f t="shared" si="54"/>
        <v/>
      </c>
      <c r="N104" s="230" t="str">
        <f t="shared" si="54"/>
        <v/>
      </c>
      <c r="O104" s="230" t="str">
        <f t="shared" si="54"/>
        <v/>
      </c>
      <c r="P104" s="230" t="str">
        <f t="shared" si="54"/>
        <v/>
      </c>
      <c r="Q104" s="230" t="str">
        <f t="shared" si="54"/>
        <v/>
      </c>
      <c r="R104" s="230" t="str">
        <f t="shared" si="54"/>
        <v/>
      </c>
      <c r="S104" s="230" t="str">
        <f t="shared" si="54"/>
        <v/>
      </c>
      <c r="T104" s="230" t="str">
        <f t="shared" si="54"/>
        <v/>
      </c>
      <c r="U104" s="230" t="str">
        <f t="shared" si="54"/>
        <v/>
      </c>
      <c r="V104" s="230" t="str">
        <f t="shared" si="54"/>
        <v/>
      </c>
      <c r="W104" s="230" t="str">
        <f t="shared" si="54"/>
        <v/>
      </c>
      <c r="X104" s="230" t="str">
        <f t="shared" si="54"/>
        <v/>
      </c>
      <c r="Y104" s="230"/>
      <c r="Z104" s="230" t="str">
        <f t="shared" ref="Z104:AR104" si="56">IF(Z24&lt;&gt;0,Z103/Z27*Z24/Z22*1000000,"")</f>
        <v/>
      </c>
      <c r="AA104" s="230" t="str">
        <f t="shared" si="56"/>
        <v/>
      </c>
      <c r="AB104" s="230" t="str">
        <f t="shared" si="56"/>
        <v/>
      </c>
      <c r="AC104" s="230" t="str">
        <f t="shared" si="56"/>
        <v/>
      </c>
      <c r="AD104" s="230" t="str">
        <f t="shared" si="56"/>
        <v/>
      </c>
      <c r="AE104" s="230" t="str">
        <f t="shared" si="56"/>
        <v/>
      </c>
      <c r="AF104" s="230" t="str">
        <f t="shared" si="56"/>
        <v/>
      </c>
      <c r="AG104" s="230" t="str">
        <f t="shared" si="56"/>
        <v/>
      </c>
      <c r="AH104" s="230" t="str">
        <f t="shared" si="56"/>
        <v/>
      </c>
      <c r="AI104" s="230" t="str">
        <f t="shared" si="56"/>
        <v/>
      </c>
      <c r="AJ104" s="230" t="str">
        <f t="shared" si="56"/>
        <v/>
      </c>
      <c r="AK104" s="230" t="str">
        <f t="shared" si="56"/>
        <v/>
      </c>
      <c r="AL104" s="230" t="str">
        <f t="shared" si="56"/>
        <v/>
      </c>
      <c r="AM104" s="230" t="str">
        <f t="shared" si="56"/>
        <v/>
      </c>
      <c r="AN104" s="230" t="str">
        <f t="shared" si="56"/>
        <v/>
      </c>
      <c r="AO104" s="230" t="str">
        <f t="shared" si="56"/>
        <v/>
      </c>
      <c r="AP104" s="230" t="str">
        <f t="shared" ref="AP104" si="57">IF(AP24&lt;&gt;0,AP103/AP27*AP24/AP22*1000000,"")</f>
        <v/>
      </c>
      <c r="AQ104" s="230" t="str">
        <f t="shared" si="56"/>
        <v/>
      </c>
      <c r="AR104" s="362" t="str">
        <f t="shared" si="56"/>
        <v/>
      </c>
      <c r="AS104" s="383">
        <f>IF(AS103&gt;0,AS103/AS27*AS24/AS7*1000000,0)</f>
        <v>0</v>
      </c>
      <c r="AT104" s="402">
        <f>IF(AT103&gt;0,AT103/AT27*AT24/AT7*1000000,0)</f>
        <v>0</v>
      </c>
    </row>
    <row r="105" spans="1:46" ht="13.5" thickBot="1">
      <c r="A105" s="549"/>
      <c r="B105" s="429">
        <f t="shared" si="13"/>
        <v>1030</v>
      </c>
      <c r="C105" s="438" t="str">
        <f>VLOOKUP(B105,'Tipos de Defeitos'!B106:E208,Menu!$B$24+1,)</f>
        <v>Taxa Defeituosa Total (ppm)</v>
      </c>
      <c r="D105" s="233" t="str">
        <f>IF(D24&gt;0,D24/D7*1000000,"")</f>
        <v/>
      </c>
      <c r="E105" s="233" t="str">
        <f>IF(E24&gt;0,E24/E7*1000000,"")</f>
        <v/>
      </c>
      <c r="F105" s="233" t="str">
        <f t="shared" ref="F105:J105" si="58">IF(F24&gt;0,F24/F7*1000000,"")</f>
        <v/>
      </c>
      <c r="G105" s="233" t="str">
        <f>IF(G24&gt;0,G24/G7*1000000,"")</f>
        <v/>
      </c>
      <c r="H105" s="233" t="str">
        <f t="shared" si="58"/>
        <v/>
      </c>
      <c r="I105" s="233" t="str">
        <f>IF(I24&gt;0,I24/I7*1000000,"")</f>
        <v/>
      </c>
      <c r="J105" s="233" t="str">
        <f t="shared" si="58"/>
        <v/>
      </c>
      <c r="K105" s="233" t="str">
        <f t="shared" ref="K105:U105" si="59">IF(K24&gt;0,K24/K7*1000000,"")</f>
        <v/>
      </c>
      <c r="L105" s="233" t="str">
        <f t="shared" si="59"/>
        <v/>
      </c>
      <c r="M105" s="233" t="str">
        <f t="shared" si="59"/>
        <v/>
      </c>
      <c r="N105" s="233" t="str">
        <f t="shared" si="59"/>
        <v/>
      </c>
      <c r="O105" s="233" t="str">
        <f t="shared" si="59"/>
        <v/>
      </c>
      <c r="P105" s="233" t="str">
        <f t="shared" si="59"/>
        <v/>
      </c>
      <c r="Q105" s="233" t="str">
        <f t="shared" si="59"/>
        <v/>
      </c>
      <c r="R105" s="233" t="str">
        <f t="shared" si="59"/>
        <v/>
      </c>
      <c r="S105" s="233" t="str">
        <f t="shared" si="59"/>
        <v/>
      </c>
      <c r="T105" s="233" t="str">
        <f t="shared" si="59"/>
        <v/>
      </c>
      <c r="U105" s="233" t="str">
        <f t="shared" si="59"/>
        <v/>
      </c>
      <c r="V105" s="363" t="str">
        <f t="shared" ref="V105:AR105" si="60">IF(V24&gt;0,V24/V22*1000000,"")</f>
        <v/>
      </c>
      <c r="W105" s="363" t="str">
        <f t="shared" si="60"/>
        <v/>
      </c>
      <c r="X105" s="363" t="str">
        <f t="shared" si="60"/>
        <v/>
      </c>
      <c r="Y105" s="363" t="str">
        <f t="shared" si="60"/>
        <v/>
      </c>
      <c r="Z105" s="363" t="str">
        <f t="shared" si="60"/>
        <v/>
      </c>
      <c r="AA105" s="363" t="str">
        <f t="shared" si="60"/>
        <v/>
      </c>
      <c r="AB105" s="363" t="str">
        <f t="shared" si="60"/>
        <v/>
      </c>
      <c r="AC105" s="363" t="str">
        <f t="shared" si="60"/>
        <v/>
      </c>
      <c r="AD105" s="363" t="str">
        <f t="shared" si="60"/>
        <v/>
      </c>
      <c r="AE105" s="363" t="str">
        <f t="shared" si="60"/>
        <v/>
      </c>
      <c r="AF105" s="363" t="str">
        <f t="shared" si="60"/>
        <v/>
      </c>
      <c r="AG105" s="363" t="str">
        <f t="shared" si="60"/>
        <v/>
      </c>
      <c r="AH105" s="363" t="str">
        <f t="shared" si="60"/>
        <v/>
      </c>
      <c r="AI105" s="363" t="str">
        <f t="shared" si="60"/>
        <v/>
      </c>
      <c r="AJ105" s="363" t="str">
        <f t="shared" si="60"/>
        <v/>
      </c>
      <c r="AK105" s="363" t="str">
        <f t="shared" si="60"/>
        <v/>
      </c>
      <c r="AL105" s="363" t="str">
        <f t="shared" si="60"/>
        <v/>
      </c>
      <c r="AM105" s="363" t="str">
        <f t="shared" si="60"/>
        <v/>
      </c>
      <c r="AN105" s="363" t="str">
        <f t="shared" si="60"/>
        <v/>
      </c>
      <c r="AO105" s="363" t="str">
        <f t="shared" si="60"/>
        <v/>
      </c>
      <c r="AP105" s="363" t="str">
        <f t="shared" ref="AP105" si="61">IF(AP24&gt;0,AP24/AP22*1000000,"")</f>
        <v/>
      </c>
      <c r="AQ105" s="363" t="str">
        <f t="shared" si="60"/>
        <v/>
      </c>
      <c r="AR105" s="364" t="str">
        <f t="shared" si="60"/>
        <v/>
      </c>
      <c r="AS105" s="384" t="str">
        <f>IF(AS24&gt;0,AS24/AS7*1000000,"")</f>
        <v/>
      </c>
      <c r="AT105" s="403" t="str">
        <f>IF(AT24&gt;0,AT24/AT7*1000000,"")</f>
        <v/>
      </c>
    </row>
    <row r="106" spans="1:46">
      <c r="AQ106" s="269" t="s">
        <v>388</v>
      </c>
      <c r="AR106" s="269"/>
      <c r="AS106" s="269"/>
      <c r="AT106" s="269"/>
    </row>
    <row r="107" spans="1:46">
      <c r="C107" s="304" t="s">
        <v>258</v>
      </c>
      <c r="AQ107" s="269"/>
      <c r="AR107" s="478" t="s">
        <v>389</v>
      </c>
      <c r="AS107" s="479">
        <f>IF(ISERR(AS78/AS27*AS24),0,AS78/AS27*AS24)</f>
        <v>0</v>
      </c>
      <c r="AT107" s="479" t="e">
        <f>AT78/AT27*AT24</f>
        <v>#DIV/0!</v>
      </c>
    </row>
    <row r="108" spans="1:46">
      <c r="AQ108" s="269"/>
      <c r="AR108" s="478" t="s">
        <v>390</v>
      </c>
      <c r="AS108" s="479">
        <f>IF(ISERR(AS103/AS27*AS24),0,AS103/AS27*AS24)</f>
        <v>0</v>
      </c>
      <c r="AT108" s="479" t="e">
        <f>AT103/AT27*AT24</f>
        <v>#DIV/0!</v>
      </c>
    </row>
    <row r="109" spans="1:46">
      <c r="AQ109" s="269"/>
      <c r="AR109" s="478" t="s">
        <v>391</v>
      </c>
      <c r="AS109" s="479">
        <f>IF(ISERR(AS81/AS27*AS24),0,AS81/AS27*AS24)</f>
        <v>0</v>
      </c>
      <c r="AT109" s="479" t="e">
        <f>AT81/AT27*AT24</f>
        <v>#DIV/0!</v>
      </c>
    </row>
    <row r="110" spans="1:46">
      <c r="AQ110" s="269"/>
      <c r="AR110" s="478" t="s">
        <v>392</v>
      </c>
      <c r="AS110" s="479">
        <f>IF(ISERR(SUM(AS86:AS98)/AS27*AS24),0,SUM(AS86:AS98)/AS27*AS24)</f>
        <v>0</v>
      </c>
      <c r="AT110" s="479" t="e">
        <f>SUM(AT86:AT98)/AT27*AT24</f>
        <v>#DIV/0!</v>
      </c>
    </row>
  </sheetData>
  <sheetProtection algorithmName="SHA-512" hashValue="9UW/OJlvNjmeuGSLfkXPAFmW+jYS1bBIUYdTG1EEYOCKr262tu8Jzyg2JghUNt+KdiQd3fj8QbstSnBf/OBL/Q==" saltValue="eKADdFLENVxLgeLdWViOZg==" spinCount="100000" sheet="1" objects="1" scenarios="1" selectLockedCells="1"/>
  <mergeCells count="7">
    <mergeCell ref="A86:A102"/>
    <mergeCell ref="A103:A105"/>
    <mergeCell ref="A3:A22"/>
    <mergeCell ref="A23:A27"/>
    <mergeCell ref="A28:A77"/>
    <mergeCell ref="A78:A82"/>
    <mergeCell ref="A83:A85"/>
  </mergeCells>
  <phoneticPr fontId="1" type="noConversion"/>
  <conditionalFormatting sqref="B3:C105 F3:AT7 F23:AT105 I8:AT22">
    <cfRule type="expression" dxfId="117" priority="40">
      <formula>MOD(ROW(),2)=0</formula>
    </cfRule>
  </conditionalFormatting>
  <conditionalFormatting sqref="F27:AT27">
    <cfRule type="expression" dxfId="116" priority="39">
      <formula>F$27&lt;&gt;(F$78+F$85)</formula>
    </cfRule>
  </conditionalFormatting>
  <conditionalFormatting sqref="E3:E7 E23:E105">
    <cfRule type="expression" dxfId="115" priority="36">
      <formula>MOD(ROW(),2)=0</formula>
    </cfRule>
  </conditionalFormatting>
  <conditionalFormatting sqref="E27">
    <cfRule type="expression" dxfId="114" priority="35">
      <formula>E$27&lt;&gt;(E$78+E$85)</formula>
    </cfRule>
  </conditionalFormatting>
  <conditionalFormatting sqref="D3:D7 D23:D105">
    <cfRule type="expression" dxfId="113" priority="32">
      <formula>MOD(ROW(),2)=0</formula>
    </cfRule>
  </conditionalFormatting>
  <conditionalFormatting sqref="D27">
    <cfRule type="expression" dxfId="112" priority="31">
      <formula>D$27&lt;&gt;(D$78+D$85)</formula>
    </cfRule>
  </conditionalFormatting>
  <conditionalFormatting sqref="D8:G8 D12:G12 D14:G14 D16:G16 D18:G18 D20:G20 D22:G22 D10:G10">
    <cfRule type="expression" dxfId="111" priority="10">
      <formula>MOD(ROW(),2)=0</formula>
    </cfRule>
  </conditionalFormatting>
  <conditionalFormatting sqref="D9:G9 D13:G13 D15:G15 D17:G17 D19:G19 D21:G21">
    <cfRule type="expression" dxfId="110" priority="9">
      <formula>MOD(ROW(),2)=0</formula>
    </cfRule>
  </conditionalFormatting>
  <conditionalFormatting sqref="D11:G11">
    <cfRule type="expression" dxfId="109" priority="8">
      <formula>MOD(ROW(),2)=0</formula>
    </cfRule>
  </conditionalFormatting>
  <conditionalFormatting sqref="D11:G11">
    <cfRule type="expression" dxfId="108" priority="7">
      <formula>MOD(ROW(),2)=0</formula>
    </cfRule>
  </conditionalFormatting>
  <conditionalFormatting sqref="D12:G12">
    <cfRule type="expression" dxfId="107" priority="6">
      <formula>MOD(ROW(),2)=0</formula>
    </cfRule>
  </conditionalFormatting>
  <conditionalFormatting sqref="H8 H12 H14 H16 H18 H20 H22 H10">
    <cfRule type="expression" dxfId="106" priority="5">
      <formula>MOD(ROW(),2)=0</formula>
    </cfRule>
  </conditionalFormatting>
  <conditionalFormatting sqref="H9 H13 H15 H17 H19 H21">
    <cfRule type="expression" dxfId="105" priority="4">
      <formula>MOD(ROW(),2)=0</formula>
    </cfRule>
  </conditionalFormatting>
  <conditionalFormatting sqref="H11">
    <cfRule type="expression" dxfId="104" priority="3">
      <formula>MOD(ROW(),2)=0</formula>
    </cfRule>
  </conditionalFormatting>
  <conditionalFormatting sqref="H11">
    <cfRule type="expression" dxfId="103" priority="2">
      <formula>MOD(ROW(),2)=0</formula>
    </cfRule>
  </conditionalFormatting>
  <conditionalFormatting sqref="H12">
    <cfRule type="expression" dxfId="102" priority="1">
      <formula>MOD(ROW(),2)=0</formula>
    </cfRule>
  </conditionalFormatting>
  <dataValidations count="1">
    <dataValidation type="list" allowBlank="1" showInputMessage="1" showErrorMessage="1" sqref="D6:AR6" xr:uid="{00000000-0002-0000-0400-000000000000}">
      <formula1>PRODUTOS</formula1>
    </dataValidation>
  </dataValidations>
  <pageMargins left="0.19685039370078741" right="0.19685039370078741" top="1.1811023622047245" bottom="0.55118110236220474" header="0.70866141732283472" footer="0.31496062992125984"/>
  <pageSetup paperSize="12" scale="45" orientation="landscape" horizontalDpi="300" verticalDpi="300" r:id="rId1"/>
  <headerFooter alignWithMargins="0">
    <oddHeader xml:space="preserve">&amp;L&amp;"SwitzerlandBlack,Negrito"&amp;16Panasonic&amp;"SwitzerlandBlack,Regular"
&amp;"Arial,Normal"&amp;9PILHAS / BATERIAS
&amp;C&amp;14CONTROLE DE FALHAS DE V e A&amp;RMÊS /  ANO
Dezembro/2003
Pág.: &amp;P / &amp;N&amp;"ＭＳ ゴシック,Regular"&amp;11  </oddHeader>
    <oddFooter>&amp;LF-7.115 Rev 01 (PGQ-7.03)&amp;R&amp;A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btnMenu_Click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>
    <tabColor theme="4" tint="0.79998168889431442"/>
  </sheetPr>
  <dimension ref="A1:AW127"/>
  <sheetViews>
    <sheetView zoomScaleNormal="100" workbookViewId="0">
      <pane xSplit="3" ySplit="7" topLeftCell="D8" activePane="bottomRight" state="frozen"/>
      <selection activeCell="C3" sqref="C3:C105"/>
      <selection pane="topRight" activeCell="C3" sqref="C3:C105"/>
      <selection pane="bottomLeft" activeCell="C3" sqref="C3:C105"/>
      <selection pane="bottomRight" activeCell="C10" sqref="C10"/>
    </sheetView>
  </sheetViews>
  <sheetFormatPr defaultColWidth="10.28515625" defaultRowHeight="12.75"/>
  <cols>
    <col min="1" max="1" width="3.5703125" style="303" customWidth="1"/>
    <col min="2" max="2" width="5" style="309" bestFit="1" customWidth="1"/>
    <col min="3" max="3" width="39.140625" style="303" bestFit="1" customWidth="1"/>
    <col min="4" max="14" width="10.28515625" style="303" customWidth="1"/>
    <col min="15" max="28" width="10.28515625" style="309" customWidth="1"/>
    <col min="29" max="44" width="10.28515625" style="303" customWidth="1"/>
    <col min="45" max="45" width="12.42578125" style="303" bestFit="1" customWidth="1"/>
    <col min="46" max="16384" width="10.28515625" style="303"/>
  </cols>
  <sheetData>
    <row r="1" spans="1:45" ht="31.5" customHeight="1" thickBot="1">
      <c r="B1" s="310"/>
      <c r="C1" s="305" t="str">
        <f>AS2</f>
        <v>L2 - Dia</v>
      </c>
      <c r="D1" s="312"/>
      <c r="E1" s="312"/>
      <c r="F1" s="312"/>
      <c r="G1" s="312"/>
      <c r="H1" s="312"/>
      <c r="I1" s="312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8"/>
      <c r="AB1" s="208"/>
      <c r="AC1" s="208"/>
      <c r="AD1" s="208"/>
      <c r="AE1" s="208"/>
      <c r="AF1" s="208"/>
      <c r="AG1" s="208"/>
      <c r="AH1" s="208"/>
      <c r="AI1" s="208"/>
      <c r="AJ1" s="208"/>
    </row>
    <row r="2" spans="1:45" ht="13.5" thickBot="1">
      <c r="A2" s="421"/>
      <c r="B2" s="439" t="s">
        <v>86</v>
      </c>
      <c r="C2" s="423" t="s">
        <v>244</v>
      </c>
      <c r="D2" s="454" t="str">
        <f ca="1">'UM-3 - L1 - Dia'!D2:AR2</f>
        <v>03 / 2122</v>
      </c>
      <c r="E2" s="454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6"/>
      <c r="R2" s="456"/>
      <c r="S2" s="456"/>
      <c r="T2" s="456"/>
      <c r="U2" s="456"/>
      <c r="V2" s="456"/>
      <c r="W2" s="456"/>
      <c r="X2" s="456"/>
      <c r="Y2" s="456"/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6"/>
      <c r="AP2" s="456"/>
      <c r="AQ2" s="456"/>
      <c r="AR2" s="456"/>
      <c r="AS2" s="424" t="s">
        <v>246</v>
      </c>
    </row>
    <row r="3" spans="1:45">
      <c r="A3" s="550" t="s">
        <v>198</v>
      </c>
      <c r="B3" s="440">
        <v>10</v>
      </c>
      <c r="C3" s="426" t="str">
        <f>VLOOKUP(B3,'Tipos de Defeitos'!B4:E106,Menu!$B$24+1,)</f>
        <v>Data da Montagem</v>
      </c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213"/>
      <c r="AC3" s="214"/>
      <c r="AD3" s="214"/>
      <c r="AE3" s="214"/>
      <c r="AF3" s="214"/>
      <c r="AG3" s="213"/>
      <c r="AH3" s="213"/>
      <c r="AI3" s="214"/>
      <c r="AJ3" s="213"/>
      <c r="AK3" s="214"/>
      <c r="AL3" s="214"/>
      <c r="AM3" s="214"/>
      <c r="AN3" s="214"/>
      <c r="AO3" s="214"/>
      <c r="AP3" s="214"/>
      <c r="AQ3" s="214"/>
      <c r="AR3" s="318"/>
      <c r="AS3" s="407"/>
    </row>
    <row r="4" spans="1:45">
      <c r="A4" s="551"/>
      <c r="B4" s="441">
        <f>(B3/10+1)*10</f>
        <v>20</v>
      </c>
      <c r="C4" s="428" t="str">
        <f>VLOOKUP(B4,'Tipos de Defeitos'!B5:E107,Menu!$B$24+1,)</f>
        <v>Data do Acabamento</v>
      </c>
      <c r="D4" s="209"/>
      <c r="E4" s="209"/>
      <c r="F4" s="209"/>
      <c r="G4" s="209"/>
      <c r="H4" s="209"/>
      <c r="I4" s="209"/>
      <c r="J4" s="209"/>
      <c r="K4" s="210"/>
      <c r="L4" s="210"/>
      <c r="M4" s="210"/>
      <c r="N4" s="210"/>
      <c r="O4" s="210"/>
      <c r="P4" s="209"/>
      <c r="Q4" s="209"/>
      <c r="R4" s="209"/>
      <c r="S4" s="209"/>
      <c r="T4" s="209"/>
      <c r="U4" s="209"/>
      <c r="V4" s="209"/>
      <c r="W4" s="209"/>
      <c r="X4" s="210"/>
      <c r="Y4" s="210"/>
      <c r="Z4" s="209"/>
      <c r="AA4" s="209"/>
      <c r="AB4" s="209"/>
      <c r="AC4" s="210"/>
      <c r="AD4" s="209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320"/>
      <c r="AS4" s="408"/>
    </row>
    <row r="5" spans="1:45">
      <c r="A5" s="551"/>
      <c r="B5" s="441">
        <f t="shared" ref="B5:B71" si="0">(B4/10+1)*10</f>
        <v>30</v>
      </c>
      <c r="C5" s="428" t="str">
        <f>VLOOKUP(B5,'Tipos de Defeitos'!B6:E108,Menu!$B$24+1,)</f>
        <v>Descanso:</v>
      </c>
      <c r="D5" s="211" t="str">
        <f t="shared" ref="D5:E5" si="1">IF(D4="","",D4-D3)</f>
        <v/>
      </c>
      <c r="E5" s="211" t="str">
        <f t="shared" si="1"/>
        <v/>
      </c>
      <c r="F5" s="211" t="str">
        <f t="shared" ref="F5" si="2">IF(F4="","",F4-F3)</f>
        <v/>
      </c>
      <c r="G5" s="211" t="str">
        <f t="shared" ref="G5" si="3">IF(G4="","",G4-G3)</f>
        <v/>
      </c>
      <c r="H5" s="211" t="str">
        <f t="shared" ref="H5" si="4">IF(H4="","",H4-H3)</f>
        <v/>
      </c>
      <c r="I5" s="211" t="str">
        <f t="shared" ref="I5:K5" si="5">IF(I4="","",I4-I3)</f>
        <v/>
      </c>
      <c r="J5" s="211" t="str">
        <f t="shared" si="5"/>
        <v/>
      </c>
      <c r="K5" s="211" t="str">
        <f t="shared" si="5"/>
        <v/>
      </c>
      <c r="L5" s="211" t="str">
        <f t="shared" ref="L5:S5" si="6">IF(L4="","",L4-L3)</f>
        <v/>
      </c>
      <c r="M5" s="211" t="str">
        <f t="shared" si="6"/>
        <v/>
      </c>
      <c r="N5" s="211" t="str">
        <f t="shared" ref="N5" si="7">IF(N4="","",N4-N3)</f>
        <v/>
      </c>
      <c r="O5" s="211" t="str">
        <f t="shared" si="6"/>
        <v/>
      </c>
      <c r="P5" s="211" t="str">
        <f t="shared" si="6"/>
        <v/>
      </c>
      <c r="Q5" s="211" t="str">
        <f t="shared" si="6"/>
        <v/>
      </c>
      <c r="R5" s="211" t="str">
        <f t="shared" si="6"/>
        <v/>
      </c>
      <c r="S5" s="211" t="str">
        <f t="shared" si="6"/>
        <v/>
      </c>
      <c r="T5" s="211" t="str">
        <f t="shared" ref="T5:X5" si="8">IF(T4="","",T4-T3)</f>
        <v/>
      </c>
      <c r="U5" s="211" t="str">
        <f t="shared" si="8"/>
        <v/>
      </c>
      <c r="V5" s="211" t="str">
        <f t="shared" si="8"/>
        <v/>
      </c>
      <c r="W5" s="211" t="str">
        <f t="shared" si="8"/>
        <v/>
      </c>
      <c r="X5" s="211" t="str">
        <f t="shared" si="8"/>
        <v/>
      </c>
      <c r="Y5" s="211" t="str">
        <f t="shared" ref="Y5:AR5" si="9">IF(Y4="","",Y4-Y3)</f>
        <v/>
      </c>
      <c r="Z5" s="211" t="str">
        <f t="shared" si="9"/>
        <v/>
      </c>
      <c r="AA5" s="211" t="str">
        <f t="shared" si="9"/>
        <v/>
      </c>
      <c r="AB5" s="211" t="str">
        <f t="shared" ref="AB5:AD5" si="10">IF(AB4="","",AB4-AB3)</f>
        <v/>
      </c>
      <c r="AC5" s="211" t="str">
        <f t="shared" si="10"/>
        <v/>
      </c>
      <c r="AD5" s="211" t="str">
        <f t="shared" si="10"/>
        <v/>
      </c>
      <c r="AE5" s="211" t="str">
        <f t="shared" si="9"/>
        <v/>
      </c>
      <c r="AF5" s="211" t="str">
        <f t="shared" si="9"/>
        <v/>
      </c>
      <c r="AG5" s="211" t="str">
        <f t="shared" si="9"/>
        <v/>
      </c>
      <c r="AH5" s="211" t="str">
        <f t="shared" si="9"/>
        <v/>
      </c>
      <c r="AI5" s="211" t="str">
        <f t="shared" si="9"/>
        <v/>
      </c>
      <c r="AJ5" s="211" t="str">
        <f t="shared" si="9"/>
        <v/>
      </c>
      <c r="AK5" s="211" t="str">
        <f t="shared" si="9"/>
        <v/>
      </c>
      <c r="AL5" s="211" t="str">
        <f t="shared" si="9"/>
        <v/>
      </c>
      <c r="AM5" s="211" t="str">
        <f t="shared" si="9"/>
        <v/>
      </c>
      <c r="AN5" s="211" t="str">
        <f t="shared" si="9"/>
        <v/>
      </c>
      <c r="AO5" s="211" t="str">
        <f t="shared" si="9"/>
        <v/>
      </c>
      <c r="AP5" s="211" t="str">
        <f t="shared" si="9"/>
        <v/>
      </c>
      <c r="AQ5" s="211" t="str">
        <f t="shared" si="9"/>
        <v/>
      </c>
      <c r="AR5" s="321" t="str">
        <f t="shared" si="9"/>
        <v/>
      </c>
      <c r="AS5" s="369"/>
    </row>
    <row r="6" spans="1:45">
      <c r="A6" s="551"/>
      <c r="B6" s="441">
        <f t="shared" si="0"/>
        <v>40</v>
      </c>
      <c r="C6" s="428" t="str">
        <f>VLOOKUP(B6,'Tipos de Defeitos'!B7:E109,Menu!$B$24+1,)</f>
        <v>Modelo</v>
      </c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212"/>
      <c r="AG6" s="212"/>
      <c r="AH6" s="212"/>
      <c r="AI6" s="212"/>
      <c r="AJ6" s="212"/>
      <c r="AK6" s="212"/>
      <c r="AL6" s="212"/>
      <c r="AM6" s="212"/>
      <c r="AN6" s="212"/>
      <c r="AO6" s="212"/>
      <c r="AP6" s="212"/>
      <c r="AQ6" s="212"/>
      <c r="AR6" s="323"/>
      <c r="AS6" s="409"/>
    </row>
    <row r="7" spans="1:45" ht="13.5" thickBot="1">
      <c r="A7" s="551"/>
      <c r="B7" s="442">
        <f t="shared" si="0"/>
        <v>50</v>
      </c>
      <c r="C7" s="430" t="str">
        <f>VLOOKUP(B7,'Tipos de Defeitos'!B8:E110,Menu!$B$24+1,)</f>
        <v>Qtd de Produção (pçs)</v>
      </c>
      <c r="D7" s="307"/>
      <c r="E7" s="307"/>
      <c r="F7" s="286"/>
      <c r="G7" s="286"/>
      <c r="H7" s="286"/>
      <c r="I7" s="286"/>
      <c r="J7" s="286"/>
      <c r="K7" s="286"/>
      <c r="L7" s="286"/>
      <c r="M7" s="286"/>
      <c r="N7" s="286"/>
      <c r="O7" s="286"/>
      <c r="P7" s="286"/>
      <c r="Q7" s="286"/>
      <c r="R7" s="286"/>
      <c r="S7" s="307"/>
      <c r="T7" s="307"/>
      <c r="U7" s="307"/>
      <c r="V7" s="307"/>
      <c r="W7" s="307"/>
      <c r="X7" s="307"/>
      <c r="Y7" s="307"/>
      <c r="Z7" s="307"/>
      <c r="AA7" s="286"/>
      <c r="AB7" s="286"/>
      <c r="AC7" s="286"/>
      <c r="AD7" s="286"/>
      <c r="AE7" s="286"/>
      <c r="AF7" s="286"/>
      <c r="AG7" s="325"/>
      <c r="AH7" s="325"/>
      <c r="AI7" s="326"/>
      <c r="AJ7" s="326"/>
      <c r="AK7" s="326"/>
      <c r="AL7" s="326"/>
      <c r="AM7" s="326"/>
      <c r="AN7" s="326"/>
      <c r="AO7" s="326"/>
      <c r="AP7" s="326"/>
      <c r="AQ7" s="326"/>
      <c r="AR7" s="327"/>
      <c r="AS7" s="370">
        <f t="array" ref="AS7">SUM(IF(D$5:AR$5&lt;&gt;"",D7:AR7))</f>
        <v>0</v>
      </c>
    </row>
    <row r="8" spans="1:45">
      <c r="A8" s="551"/>
      <c r="B8" s="443">
        <f t="shared" si="0"/>
        <v>60</v>
      </c>
      <c r="C8" s="432" t="str">
        <f>VLOOKUP(B8,'Tipos de Defeitos'!B9:E111,Menu!$B$24+1,)</f>
        <v>GME - Fornecedor</v>
      </c>
      <c r="D8" s="253"/>
      <c r="E8" s="253"/>
      <c r="F8" s="253"/>
      <c r="G8" s="253"/>
      <c r="H8" s="253"/>
      <c r="I8" s="253"/>
      <c r="J8" s="253"/>
      <c r="K8" s="253"/>
      <c r="L8" s="253"/>
      <c r="M8" s="253"/>
      <c r="N8" s="253"/>
      <c r="O8" s="253"/>
      <c r="P8" s="253"/>
      <c r="Q8" s="253"/>
      <c r="R8" s="253"/>
      <c r="S8" s="253"/>
      <c r="T8" s="253"/>
      <c r="U8" s="253"/>
      <c r="V8" s="253"/>
      <c r="W8" s="253"/>
      <c r="X8" s="253"/>
      <c r="Y8" s="253"/>
      <c r="Z8" s="253"/>
      <c r="AA8" s="253"/>
      <c r="AB8" s="253"/>
      <c r="AC8" s="253"/>
      <c r="AD8" s="253"/>
      <c r="AE8" s="253"/>
      <c r="AF8" s="253"/>
      <c r="AG8" s="253"/>
      <c r="AH8" s="405"/>
      <c r="AI8" s="405"/>
      <c r="AJ8" s="405"/>
      <c r="AK8" s="253"/>
      <c r="AL8" s="253"/>
      <c r="AM8" s="253"/>
      <c r="AN8" s="253"/>
      <c r="AO8" s="253"/>
      <c r="AP8" s="253"/>
      <c r="AQ8" s="253"/>
      <c r="AR8" s="329"/>
      <c r="AS8" s="411"/>
    </row>
    <row r="9" spans="1:45">
      <c r="A9" s="551"/>
      <c r="B9" s="441">
        <f t="shared" si="0"/>
        <v>70</v>
      </c>
      <c r="C9" s="433" t="str">
        <f>VLOOKUP(B9,'Tipos de Defeitos'!B10:E112,Menu!$B$24+1,)</f>
        <v>Nº Lote</v>
      </c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75"/>
      <c r="R9" s="475"/>
      <c r="S9" s="475"/>
      <c r="T9" s="475"/>
      <c r="U9" s="254"/>
      <c r="V9" s="254"/>
      <c r="W9" s="254"/>
      <c r="X9" s="254"/>
      <c r="Y9" s="254"/>
      <c r="Z9" s="254"/>
      <c r="AA9" s="254"/>
      <c r="AB9" s="254"/>
      <c r="AC9" s="254"/>
      <c r="AD9" s="254"/>
      <c r="AE9" s="254"/>
      <c r="AF9" s="254"/>
      <c r="AG9" s="254"/>
      <c r="AH9" s="254"/>
      <c r="AI9" s="254"/>
      <c r="AJ9" s="254"/>
      <c r="AK9" s="254"/>
      <c r="AL9" s="254"/>
      <c r="AM9" s="254"/>
      <c r="AN9" s="254"/>
      <c r="AO9" s="254"/>
      <c r="AP9" s="254"/>
      <c r="AQ9" s="254"/>
      <c r="AR9" s="331"/>
      <c r="AS9" s="409"/>
    </row>
    <row r="10" spans="1:45">
      <c r="A10" s="551"/>
      <c r="B10" s="441">
        <f t="shared" si="0"/>
        <v>80</v>
      </c>
      <c r="C10" s="433" t="str">
        <f>VLOOKUP(B10,'Tipos de Defeitos'!B11:E113,Menu!$B$24+1,)</f>
        <v>Qtd</v>
      </c>
      <c r="D10" s="254"/>
      <c r="E10" s="254"/>
      <c r="F10" s="254"/>
      <c r="G10" s="254"/>
      <c r="H10" s="254"/>
      <c r="I10" s="254"/>
      <c r="J10" s="254"/>
      <c r="K10" s="254"/>
      <c r="L10" s="254"/>
      <c r="M10" s="254"/>
      <c r="N10" s="254"/>
      <c r="O10" s="254"/>
      <c r="P10" s="254"/>
      <c r="Q10" s="254"/>
      <c r="R10" s="254"/>
      <c r="S10" s="254"/>
      <c r="T10" s="254"/>
      <c r="U10" s="254"/>
      <c r="V10" s="254"/>
      <c r="W10" s="254"/>
      <c r="X10" s="254"/>
      <c r="Y10" s="254"/>
      <c r="Z10" s="254"/>
      <c r="AA10" s="254"/>
      <c r="AB10" s="254"/>
      <c r="AC10" s="254"/>
      <c r="AD10" s="254"/>
      <c r="AE10" s="254"/>
      <c r="AF10" s="254"/>
      <c r="AG10" s="254"/>
      <c r="AH10" s="254"/>
      <c r="AI10" s="254"/>
      <c r="AJ10" s="254"/>
      <c r="AK10" s="254"/>
      <c r="AL10" s="254"/>
      <c r="AM10" s="254"/>
      <c r="AN10" s="254"/>
      <c r="AO10" s="254"/>
      <c r="AP10" s="254"/>
      <c r="AQ10" s="254"/>
      <c r="AR10" s="331"/>
      <c r="AS10" s="409"/>
    </row>
    <row r="11" spans="1:45">
      <c r="A11" s="551"/>
      <c r="B11" s="441">
        <f t="shared" si="0"/>
        <v>90</v>
      </c>
      <c r="C11" s="433" t="str">
        <f>VLOOKUP(B11,'Tipos de Defeitos'!B12:E114,Menu!$B$24+1,)</f>
        <v>GMT - Fornecedor</v>
      </c>
      <c r="D11" s="254"/>
      <c r="E11" s="254"/>
      <c r="F11" s="254"/>
      <c r="G11" s="254"/>
      <c r="H11" s="254"/>
      <c r="I11" s="254"/>
      <c r="J11" s="254"/>
      <c r="K11" s="254"/>
      <c r="L11" s="254"/>
      <c r="M11" s="254"/>
      <c r="N11" s="254"/>
      <c r="O11" s="254"/>
      <c r="P11" s="254"/>
      <c r="Q11" s="254"/>
      <c r="R11" s="254"/>
      <c r="S11" s="254"/>
      <c r="T11" s="254"/>
      <c r="U11" s="254"/>
      <c r="V11" s="254"/>
      <c r="W11" s="254"/>
      <c r="X11" s="254"/>
      <c r="Y11" s="254"/>
      <c r="Z11" s="254"/>
      <c r="AA11" s="254"/>
      <c r="AB11" s="254"/>
      <c r="AC11" s="254"/>
      <c r="AD11" s="254"/>
      <c r="AE11" s="254"/>
      <c r="AF11" s="254"/>
      <c r="AG11" s="254"/>
      <c r="AH11" s="254"/>
      <c r="AI11" s="254"/>
      <c r="AJ11" s="254"/>
      <c r="AK11" s="254"/>
      <c r="AL11" s="254"/>
      <c r="AM11" s="254"/>
      <c r="AN11" s="254"/>
      <c r="AO11" s="254"/>
      <c r="AP11" s="254"/>
      <c r="AQ11" s="254"/>
      <c r="AR11" s="331"/>
      <c r="AS11" s="409"/>
    </row>
    <row r="12" spans="1:45">
      <c r="A12" s="551"/>
      <c r="B12" s="441">
        <f t="shared" si="0"/>
        <v>100</v>
      </c>
      <c r="C12" s="433" t="str">
        <f>VLOOKUP(B12,'Tipos de Defeitos'!B13:E115,Menu!$B$24+1,)</f>
        <v>Nº Lote</v>
      </c>
      <c r="D12" s="254"/>
      <c r="E12" s="254"/>
      <c r="F12" s="254"/>
      <c r="G12" s="254"/>
      <c r="H12" s="254"/>
      <c r="I12" s="254"/>
      <c r="J12" s="254"/>
      <c r="K12" s="254"/>
      <c r="L12" s="254"/>
      <c r="M12" s="254"/>
      <c r="N12" s="254"/>
      <c r="O12" s="254"/>
      <c r="P12" s="254"/>
      <c r="Q12" s="254"/>
      <c r="R12" s="254"/>
      <c r="S12" s="254"/>
      <c r="T12" s="254"/>
      <c r="U12" s="254"/>
      <c r="V12" s="254"/>
      <c r="W12" s="254"/>
      <c r="X12" s="254"/>
      <c r="Y12" s="254"/>
      <c r="Z12" s="254"/>
      <c r="AA12" s="254"/>
      <c r="AB12" s="254"/>
      <c r="AC12" s="254"/>
      <c r="AD12" s="254"/>
      <c r="AE12" s="254"/>
      <c r="AF12" s="254"/>
      <c r="AG12" s="254"/>
      <c r="AH12" s="254"/>
      <c r="AI12" s="254"/>
      <c r="AJ12" s="254"/>
      <c r="AK12" s="254"/>
      <c r="AL12" s="254"/>
      <c r="AM12" s="254"/>
      <c r="AN12" s="254"/>
      <c r="AO12" s="254"/>
      <c r="AP12" s="254"/>
      <c r="AQ12" s="254"/>
      <c r="AR12" s="331"/>
      <c r="AS12" s="409"/>
    </row>
    <row r="13" spans="1:45">
      <c r="A13" s="551"/>
      <c r="B13" s="441">
        <f t="shared" si="0"/>
        <v>110</v>
      </c>
      <c r="C13" s="433" t="str">
        <f>VLOOKUP(B13,'Tipos de Defeitos'!B14:E116,Menu!$B$24+1,)</f>
        <v>Qtd</v>
      </c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4"/>
      <c r="R13" s="254"/>
      <c r="S13" s="254"/>
      <c r="T13" s="254"/>
      <c r="U13" s="254"/>
      <c r="V13" s="254"/>
      <c r="W13" s="254"/>
      <c r="X13" s="254"/>
      <c r="Y13" s="254"/>
      <c r="Z13" s="254"/>
      <c r="AA13" s="254"/>
      <c r="AB13" s="254"/>
      <c r="AC13" s="254"/>
      <c r="AD13" s="254"/>
      <c r="AE13" s="254"/>
      <c r="AF13" s="254"/>
      <c r="AG13" s="254"/>
      <c r="AH13" s="254"/>
      <c r="AI13" s="254"/>
      <c r="AJ13" s="254"/>
      <c r="AK13" s="254"/>
      <c r="AL13" s="254"/>
      <c r="AM13" s="254"/>
      <c r="AN13" s="254"/>
      <c r="AO13" s="254"/>
      <c r="AP13" s="254"/>
      <c r="AQ13" s="254"/>
      <c r="AR13" s="331"/>
      <c r="AS13" s="409"/>
    </row>
    <row r="14" spans="1:45">
      <c r="A14" s="551"/>
      <c r="B14" s="441">
        <f t="shared" si="0"/>
        <v>120</v>
      </c>
      <c r="C14" s="433" t="str">
        <f>VLOOKUP(B14,'Tipos de Defeitos'!B15:E117,Menu!$B$24+1,)</f>
        <v>GCA - Fornecedor</v>
      </c>
      <c r="D14" s="254"/>
      <c r="E14" s="254"/>
      <c r="F14" s="254"/>
      <c r="G14" s="254"/>
      <c r="H14" s="254"/>
      <c r="I14" s="254"/>
      <c r="J14" s="254"/>
      <c r="K14" s="254"/>
      <c r="L14" s="254"/>
      <c r="M14" s="254"/>
      <c r="N14" s="254"/>
      <c r="O14" s="254"/>
      <c r="P14" s="254"/>
      <c r="Q14" s="254"/>
      <c r="R14" s="254"/>
      <c r="S14" s="254"/>
      <c r="T14" s="254"/>
      <c r="U14" s="254"/>
      <c r="V14" s="254"/>
      <c r="W14" s="254"/>
      <c r="X14" s="254"/>
      <c r="Y14" s="254"/>
      <c r="Z14" s="254"/>
      <c r="AA14" s="254"/>
      <c r="AB14" s="254"/>
      <c r="AC14" s="254"/>
      <c r="AD14" s="254"/>
      <c r="AE14" s="254"/>
      <c r="AF14" s="254"/>
      <c r="AG14" s="254"/>
      <c r="AH14" s="254"/>
      <c r="AI14" s="254"/>
      <c r="AJ14" s="254"/>
      <c r="AK14" s="254"/>
      <c r="AL14" s="254"/>
      <c r="AM14" s="254"/>
      <c r="AN14" s="254"/>
      <c r="AO14" s="254"/>
      <c r="AP14" s="254"/>
      <c r="AQ14" s="254"/>
      <c r="AR14" s="331"/>
      <c r="AS14" s="409"/>
    </row>
    <row r="15" spans="1:45">
      <c r="A15" s="551"/>
      <c r="B15" s="441">
        <f t="shared" si="0"/>
        <v>130</v>
      </c>
      <c r="C15" s="433" t="str">
        <f>VLOOKUP(B15,'Tipos de Defeitos'!B16:E118,Menu!$B$24+1,)</f>
        <v>Lot.</v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4"/>
      <c r="AJ15" s="254"/>
      <c r="AK15" s="254"/>
      <c r="AL15" s="254"/>
      <c r="AM15" s="254"/>
      <c r="AN15" s="254"/>
      <c r="AO15" s="254"/>
      <c r="AP15" s="254"/>
      <c r="AQ15" s="254"/>
      <c r="AR15" s="331"/>
      <c r="AS15" s="409"/>
    </row>
    <row r="16" spans="1:45">
      <c r="A16" s="551"/>
      <c r="B16" s="441">
        <f t="shared" si="0"/>
        <v>140</v>
      </c>
      <c r="C16" s="433" t="str">
        <f>VLOOKUP(B16,'Tipos de Defeitos'!B17:E119,Menu!$B$24+1,)</f>
        <v>Qtd</v>
      </c>
      <c r="D16" s="254"/>
      <c r="E16" s="254"/>
      <c r="F16" s="254"/>
      <c r="G16" s="254"/>
      <c r="H16" s="254"/>
      <c r="I16" s="254"/>
      <c r="J16" s="254"/>
      <c r="K16" s="254"/>
      <c r="L16" s="254"/>
      <c r="M16" s="254"/>
      <c r="N16" s="254"/>
      <c r="O16" s="254"/>
      <c r="P16" s="254"/>
      <c r="Q16" s="254"/>
      <c r="R16" s="254"/>
      <c r="S16" s="254"/>
      <c r="T16" s="254"/>
      <c r="U16" s="254"/>
      <c r="V16" s="254"/>
      <c r="W16" s="254"/>
      <c r="X16" s="254"/>
      <c r="Y16" s="254"/>
      <c r="Z16" s="254"/>
      <c r="AA16" s="254"/>
      <c r="AB16" s="254"/>
      <c r="AC16" s="254"/>
      <c r="AD16" s="254"/>
      <c r="AE16" s="254"/>
      <c r="AF16" s="254"/>
      <c r="AG16" s="254"/>
      <c r="AH16" s="254"/>
      <c r="AI16" s="254"/>
      <c r="AJ16" s="254"/>
      <c r="AK16" s="254"/>
      <c r="AL16" s="254"/>
      <c r="AM16" s="254"/>
      <c r="AN16" s="254"/>
      <c r="AO16" s="254"/>
      <c r="AP16" s="254"/>
      <c r="AQ16" s="254"/>
      <c r="AR16" s="331"/>
      <c r="AS16" s="409"/>
    </row>
    <row r="17" spans="1:49">
      <c r="A17" s="551"/>
      <c r="B17" s="441">
        <f t="shared" si="0"/>
        <v>150</v>
      </c>
      <c r="C17" s="433" t="str">
        <f>VLOOKUP(B17,'Tipos de Defeitos'!B18:E120,Menu!$B$24+1,)</f>
        <v>GZO - Fornecedor</v>
      </c>
      <c r="D17" s="254"/>
      <c r="E17" s="254"/>
      <c r="F17" s="254"/>
      <c r="G17" s="254"/>
      <c r="H17" s="254"/>
      <c r="I17" s="254"/>
      <c r="J17" s="254"/>
      <c r="K17" s="254"/>
      <c r="L17" s="254"/>
      <c r="M17" s="254"/>
      <c r="N17" s="254"/>
      <c r="O17" s="254"/>
      <c r="P17" s="254"/>
      <c r="Q17" s="254"/>
      <c r="R17" s="254"/>
      <c r="S17" s="254"/>
      <c r="T17" s="254"/>
      <c r="U17" s="254"/>
      <c r="V17" s="254"/>
      <c r="W17" s="254"/>
      <c r="X17" s="254"/>
      <c r="Y17" s="254"/>
      <c r="Z17" s="254"/>
      <c r="AA17" s="254"/>
      <c r="AB17" s="254"/>
      <c r="AC17" s="254"/>
      <c r="AD17" s="254"/>
      <c r="AE17" s="254"/>
      <c r="AF17" s="254"/>
      <c r="AG17" s="254"/>
      <c r="AH17" s="254"/>
      <c r="AI17" s="254"/>
      <c r="AJ17" s="254"/>
      <c r="AK17" s="254"/>
      <c r="AL17" s="254"/>
      <c r="AM17" s="254"/>
      <c r="AN17" s="254"/>
      <c r="AO17" s="254"/>
      <c r="AP17" s="254"/>
      <c r="AQ17" s="254"/>
      <c r="AR17" s="331"/>
      <c r="AS17" s="409"/>
    </row>
    <row r="18" spans="1:49">
      <c r="A18" s="551"/>
      <c r="B18" s="441">
        <f t="shared" si="0"/>
        <v>160</v>
      </c>
      <c r="C18" s="433" t="str">
        <f>VLOOKUP(B18,'Tipos de Defeitos'!B19:E121,Menu!$B$24+1,)</f>
        <v>Nº Lote</v>
      </c>
      <c r="D18" s="254"/>
      <c r="E18" s="254"/>
      <c r="F18" s="254"/>
      <c r="G18" s="254"/>
      <c r="H18" s="254"/>
      <c r="I18" s="254"/>
      <c r="J18" s="254"/>
      <c r="K18" s="254"/>
      <c r="L18" s="254"/>
      <c r="M18" s="254"/>
      <c r="N18" s="254"/>
      <c r="O18" s="254"/>
      <c r="P18" s="254"/>
      <c r="Q18" s="254"/>
      <c r="R18" s="254"/>
      <c r="S18" s="254"/>
      <c r="T18" s="254"/>
      <c r="U18" s="254"/>
      <c r="V18" s="254"/>
      <c r="W18" s="254"/>
      <c r="X18" s="254"/>
      <c r="Y18" s="254"/>
      <c r="Z18" s="254"/>
      <c r="AA18" s="254"/>
      <c r="AB18" s="254"/>
      <c r="AC18" s="254"/>
      <c r="AD18" s="254"/>
      <c r="AE18" s="254"/>
      <c r="AF18" s="254"/>
      <c r="AG18" s="333"/>
      <c r="AH18" s="254"/>
      <c r="AI18" s="254"/>
      <c r="AJ18" s="254"/>
      <c r="AK18" s="254"/>
      <c r="AL18" s="254"/>
      <c r="AM18" s="254"/>
      <c r="AN18" s="254"/>
      <c r="AO18" s="254"/>
      <c r="AP18" s="254"/>
      <c r="AQ18" s="254"/>
      <c r="AR18" s="331"/>
      <c r="AS18" s="409"/>
    </row>
    <row r="19" spans="1:49">
      <c r="A19" s="552"/>
      <c r="B19" s="444">
        <f t="shared" si="0"/>
        <v>170</v>
      </c>
      <c r="C19" s="435" t="str">
        <f>VLOOKUP(B19,'Tipos de Defeitos'!B20:E122,Menu!$B$24+1,)</f>
        <v>Qtd</v>
      </c>
      <c r="D19" s="255"/>
      <c r="E19" s="255"/>
      <c r="F19" s="255"/>
      <c r="G19" s="255"/>
      <c r="H19" s="255"/>
      <c r="I19" s="255"/>
      <c r="J19" s="255"/>
      <c r="K19" s="255"/>
      <c r="L19" s="255"/>
      <c r="M19" s="255"/>
      <c r="N19" s="255"/>
      <c r="O19" s="255"/>
      <c r="P19" s="255"/>
      <c r="Q19" s="255"/>
      <c r="R19" s="255"/>
      <c r="S19" s="255"/>
      <c r="T19" s="255"/>
      <c r="U19" s="255"/>
      <c r="V19" s="255"/>
      <c r="W19" s="255"/>
      <c r="X19" s="255"/>
      <c r="Y19" s="255"/>
      <c r="Z19" s="255"/>
      <c r="AA19" s="255"/>
      <c r="AB19" s="255"/>
      <c r="AC19" s="255"/>
      <c r="AD19" s="255"/>
      <c r="AE19" s="255"/>
      <c r="AF19" s="255"/>
      <c r="AG19" s="255"/>
      <c r="AH19" s="255"/>
      <c r="AI19" s="255"/>
      <c r="AJ19" s="255"/>
      <c r="AK19" s="255"/>
      <c r="AL19" s="255"/>
      <c r="AM19" s="255"/>
      <c r="AN19" s="255"/>
      <c r="AO19" s="255"/>
      <c r="AP19" s="255"/>
      <c r="AQ19" s="255"/>
      <c r="AR19" s="335"/>
      <c r="AS19" s="413"/>
    </row>
    <row r="20" spans="1:49">
      <c r="A20" s="552"/>
      <c r="B20" s="444">
        <f t="shared" si="0"/>
        <v>180</v>
      </c>
      <c r="C20" s="435" t="str">
        <f>VLOOKUP(B20,'Tipos de Defeitos'!B21:E123,Menu!$B$24+1,)</f>
        <v>Solução nº 125 Qtd</v>
      </c>
      <c r="D20" s="255"/>
      <c r="E20" s="255"/>
      <c r="F20" s="255"/>
      <c r="G20" s="255"/>
      <c r="H20" s="255"/>
      <c r="I20" s="255"/>
      <c r="J20" s="255"/>
      <c r="K20" s="255"/>
      <c r="L20" s="255"/>
      <c r="M20" s="255"/>
      <c r="N20" s="255"/>
      <c r="O20" s="255"/>
      <c r="P20" s="255"/>
      <c r="Q20" s="255"/>
      <c r="R20" s="255"/>
      <c r="S20" s="255"/>
      <c r="T20" s="255"/>
      <c r="U20" s="255"/>
      <c r="V20" s="255"/>
      <c r="W20" s="255"/>
      <c r="X20" s="255"/>
      <c r="Y20" s="255"/>
      <c r="Z20" s="255"/>
      <c r="AA20" s="255"/>
      <c r="AB20" s="255"/>
      <c r="AC20" s="255"/>
      <c r="AD20" s="255"/>
      <c r="AE20" s="255"/>
      <c r="AF20" s="255"/>
      <c r="AG20" s="255"/>
      <c r="AH20" s="255"/>
      <c r="AI20" s="255"/>
      <c r="AJ20" s="255"/>
      <c r="AK20" s="255"/>
      <c r="AL20" s="255"/>
      <c r="AM20" s="255"/>
      <c r="AN20" s="255"/>
      <c r="AO20" s="255"/>
      <c r="AP20" s="255"/>
      <c r="AQ20" s="255"/>
      <c r="AR20" s="335"/>
      <c r="AS20" s="413"/>
    </row>
    <row r="21" spans="1:49">
      <c r="A21" s="552"/>
      <c r="B21" s="444">
        <f t="shared" si="0"/>
        <v>190</v>
      </c>
      <c r="C21" s="435" t="str">
        <f>VLOOKUP(B21,'Tipos de Defeitos'!B22:E124,Menu!$B$24+1,)</f>
        <v>Carvão - Fornecedor</v>
      </c>
      <c r="D21" s="255"/>
      <c r="E21" s="255"/>
      <c r="F21" s="255"/>
      <c r="G21" s="255"/>
      <c r="H21" s="255"/>
      <c r="I21" s="255"/>
      <c r="J21" s="255"/>
      <c r="K21" s="255"/>
      <c r="L21" s="255"/>
      <c r="M21" s="255"/>
      <c r="N21" s="255"/>
      <c r="O21" s="255"/>
      <c r="P21" s="255"/>
      <c r="Q21" s="255"/>
      <c r="R21" s="255"/>
      <c r="S21" s="255"/>
      <c r="T21" s="255"/>
      <c r="U21" s="255"/>
      <c r="V21" s="255"/>
      <c r="W21" s="255"/>
      <c r="X21" s="255"/>
      <c r="Y21" s="255"/>
      <c r="Z21" s="255"/>
      <c r="AA21" s="255"/>
      <c r="AB21" s="255"/>
      <c r="AC21" s="255"/>
      <c r="AD21" s="255"/>
      <c r="AE21" s="255"/>
      <c r="AF21" s="255"/>
      <c r="AG21" s="255"/>
      <c r="AH21" s="255"/>
      <c r="AI21" s="255"/>
      <c r="AJ21" s="255"/>
      <c r="AK21" s="255"/>
      <c r="AL21" s="255"/>
      <c r="AM21" s="255"/>
      <c r="AN21" s="255"/>
      <c r="AO21" s="255"/>
      <c r="AP21" s="255"/>
      <c r="AQ21" s="255"/>
      <c r="AR21" s="335"/>
      <c r="AS21" s="413"/>
    </row>
    <row r="22" spans="1:49" ht="13.5" thickBot="1">
      <c r="A22" s="553"/>
      <c r="B22" s="444">
        <f t="shared" si="0"/>
        <v>200</v>
      </c>
      <c r="C22" s="435" t="str">
        <f>VLOOKUP(B22,'Tipos de Defeitos'!B23:E125,Menu!$B$24+1,)</f>
        <v>Nº Lote</v>
      </c>
      <c r="D22" s="256"/>
      <c r="E22" s="256"/>
      <c r="F22" s="256"/>
      <c r="G22" s="256"/>
      <c r="H22" s="256"/>
      <c r="I22" s="256"/>
      <c r="J22" s="256"/>
      <c r="K22" s="256"/>
      <c r="L22" s="256"/>
      <c r="M22" s="256"/>
      <c r="N22" s="256"/>
      <c r="O22" s="256"/>
      <c r="P22" s="256"/>
      <c r="Q22" s="256"/>
      <c r="R22" s="256"/>
      <c r="S22" s="256"/>
      <c r="T22" s="256"/>
      <c r="U22" s="256"/>
      <c r="V22" s="256"/>
      <c r="W22" s="256"/>
      <c r="X22" s="256"/>
      <c r="Y22" s="256"/>
      <c r="Z22" s="256"/>
      <c r="AA22" s="256"/>
      <c r="AB22" s="256"/>
      <c r="AC22" s="256"/>
      <c r="AD22" s="256"/>
      <c r="AE22" s="256"/>
      <c r="AF22" s="256"/>
      <c r="AG22" s="256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  <c r="AR22" s="337"/>
      <c r="AS22" s="414"/>
    </row>
    <row r="23" spans="1:49" ht="13.5" customHeight="1">
      <c r="A23" s="544" t="s">
        <v>214</v>
      </c>
      <c r="B23" s="440">
        <f t="shared" si="0"/>
        <v>210</v>
      </c>
      <c r="C23" s="426" t="str">
        <f>VLOOKUP(B23,'Tipos de Defeitos'!B24:E126,Menu!$B$24+1,)</f>
        <v>Qtd. Retestada (pçs)</v>
      </c>
      <c r="D23" s="222"/>
      <c r="E23" s="222"/>
      <c r="F23" s="222"/>
      <c r="G23" s="221"/>
      <c r="H23" s="221"/>
      <c r="I23" s="223"/>
      <c r="J23" s="223"/>
      <c r="K23" s="223"/>
      <c r="L23" s="223"/>
      <c r="M23" s="223"/>
      <c r="N23" s="223"/>
      <c r="O23" s="223"/>
      <c r="P23" s="221"/>
      <c r="Q23" s="221"/>
      <c r="R23" s="256"/>
      <c r="S23" s="223"/>
      <c r="T23" s="223"/>
      <c r="U23" s="223"/>
      <c r="V23" s="223"/>
      <c r="W23" s="223"/>
      <c r="X23" s="223"/>
      <c r="Y23" s="223"/>
      <c r="Z23" s="221"/>
      <c r="AA23" s="221"/>
      <c r="AB23" s="221"/>
      <c r="AC23" s="338"/>
      <c r="AD23" s="338"/>
      <c r="AE23" s="338"/>
      <c r="AF23" s="338"/>
      <c r="AG23" s="223"/>
      <c r="AH23" s="223"/>
      <c r="AI23" s="223"/>
      <c r="AJ23" s="223"/>
      <c r="AK23" s="223"/>
      <c r="AL23" s="223"/>
      <c r="AM23" s="223"/>
      <c r="AN23" s="223"/>
      <c r="AO23" s="223"/>
      <c r="AP23" s="223"/>
      <c r="AQ23" s="223"/>
      <c r="AR23" s="339"/>
      <c r="AS23" s="372">
        <f t="array" ref="AS23">SUM(IF(D$5:AR$5&lt;&gt;"",D23:AR23))</f>
        <v>0</v>
      </c>
    </row>
    <row r="24" spans="1:49">
      <c r="A24" s="545"/>
      <c r="B24" s="441">
        <f t="shared" si="0"/>
        <v>220</v>
      </c>
      <c r="C24" s="428" t="str">
        <f>VLOOKUP(B24,'Tipos de Defeitos'!B25:E127,Menu!$B$24+1,)</f>
        <v>Defeitos (Qty)</v>
      </c>
      <c r="D24" s="458"/>
      <c r="E24" s="458"/>
      <c r="F24" s="458"/>
      <c r="G24" s="215"/>
      <c r="H24" s="212"/>
      <c r="I24" s="217"/>
      <c r="J24" s="217"/>
      <c r="K24" s="216"/>
      <c r="L24" s="216"/>
      <c r="M24" s="216"/>
      <c r="N24" s="216"/>
      <c r="O24" s="216"/>
      <c r="P24" s="212"/>
      <c r="Q24" s="212"/>
      <c r="R24" s="215"/>
      <c r="S24" s="216"/>
      <c r="T24" s="216"/>
      <c r="U24" s="216"/>
      <c r="V24" s="216"/>
      <c r="W24" s="216"/>
      <c r="X24" s="216"/>
      <c r="Y24" s="216"/>
      <c r="Z24" s="212"/>
      <c r="AA24" s="212"/>
      <c r="AB24" s="212"/>
      <c r="AC24" s="340"/>
      <c r="AD24" s="340"/>
      <c r="AE24" s="340"/>
      <c r="AF24" s="340"/>
      <c r="AG24" s="216"/>
      <c r="AH24" s="216"/>
      <c r="AI24" s="217"/>
      <c r="AJ24" s="217"/>
      <c r="AK24" s="217"/>
      <c r="AL24" s="217"/>
      <c r="AM24" s="217"/>
      <c r="AN24" s="217"/>
      <c r="AO24" s="217"/>
      <c r="AP24" s="217"/>
      <c r="AQ24" s="217"/>
      <c r="AR24" s="323"/>
      <c r="AS24" s="373">
        <f t="array" ref="AS24">SUM(IF(D$5:AR$5&lt;&gt;"",D24:AR24))</f>
        <v>0</v>
      </c>
    </row>
    <row r="25" spans="1:49" ht="12.75" customHeight="1">
      <c r="A25" s="545"/>
      <c r="B25" s="441">
        <f t="shared" si="0"/>
        <v>230</v>
      </c>
      <c r="C25" s="428" t="str">
        <f>VLOOKUP(B25,'Tipos de Defeitos'!B26:E128,Menu!$B$24+1,)</f>
        <v>Voltagem (Moda)</v>
      </c>
      <c r="D25" s="218"/>
      <c r="E25" s="218"/>
      <c r="F25" s="218"/>
      <c r="G25" s="218"/>
      <c r="H25" s="212"/>
      <c r="I25" s="218"/>
      <c r="J25" s="219"/>
      <c r="K25" s="219"/>
      <c r="L25" s="218"/>
      <c r="M25" s="218"/>
      <c r="N25" s="218"/>
      <c r="O25" s="218"/>
      <c r="P25" s="218"/>
      <c r="Q25" s="218"/>
      <c r="R25" s="218"/>
      <c r="S25" s="219"/>
      <c r="T25" s="219"/>
      <c r="U25" s="219"/>
      <c r="V25" s="219"/>
      <c r="W25" s="219"/>
      <c r="X25" s="219"/>
      <c r="Y25" s="219"/>
      <c r="Z25" s="212"/>
      <c r="AA25" s="212"/>
      <c r="AB25" s="212"/>
      <c r="AC25" s="219"/>
      <c r="AD25" s="219"/>
      <c r="AE25" s="219"/>
      <c r="AF25" s="219"/>
      <c r="AG25" s="219"/>
      <c r="AH25" s="218"/>
      <c r="AI25" s="219"/>
      <c r="AJ25" s="217"/>
      <c r="AK25" s="217"/>
      <c r="AL25" s="217"/>
      <c r="AM25" s="217"/>
      <c r="AN25" s="217"/>
      <c r="AO25" s="217"/>
      <c r="AP25" s="217"/>
      <c r="AQ25" s="217"/>
      <c r="AR25" s="323"/>
      <c r="AS25" s="374" t="e">
        <f>AVERAGE(D25:AR25)</f>
        <v>#DIV/0!</v>
      </c>
    </row>
    <row r="26" spans="1:49">
      <c r="A26" s="545"/>
      <c r="B26" s="441">
        <f t="shared" si="0"/>
        <v>240</v>
      </c>
      <c r="C26" s="428" t="str">
        <f>VLOOKUP(B26,'Tipos de Defeitos'!B27:E129,Menu!$B$24+1,)</f>
        <v>Voltagem (ajustada)</v>
      </c>
      <c r="D26" s="220" t="str">
        <f t="shared" ref="D26:G26" si="11">IF(D25&gt;0,D25-0.005," ")</f>
        <v xml:space="preserve"> </v>
      </c>
      <c r="E26" s="220" t="str">
        <f t="shared" si="11"/>
        <v xml:space="preserve"> </v>
      </c>
      <c r="F26" s="220" t="str">
        <f t="shared" si="11"/>
        <v xml:space="preserve"> </v>
      </c>
      <c r="G26" s="220" t="str">
        <f t="shared" si="11"/>
        <v xml:space="preserve"> </v>
      </c>
      <c r="H26" s="220" t="str">
        <f t="shared" ref="H26" si="12">IF(H25&gt;0,H25-0.005," ")</f>
        <v xml:space="preserve"> </v>
      </c>
      <c r="I26" s="220" t="str">
        <f t="shared" ref="I26:J26" si="13">IF(I25&gt;0,I25-0.005," ")</f>
        <v xml:space="preserve"> </v>
      </c>
      <c r="J26" s="220" t="str">
        <f t="shared" si="13"/>
        <v xml:space="preserve"> </v>
      </c>
      <c r="K26" s="220" t="str">
        <f t="shared" ref="K26:AR26" si="14">IF(K25&gt;0,K25-0.005," ")</f>
        <v xml:space="preserve"> </v>
      </c>
      <c r="L26" s="220" t="str">
        <f t="shared" si="14"/>
        <v xml:space="preserve"> </v>
      </c>
      <c r="M26" s="220" t="str">
        <f t="shared" si="14"/>
        <v xml:space="preserve"> </v>
      </c>
      <c r="N26" s="220" t="str">
        <f t="shared" si="14"/>
        <v xml:space="preserve"> </v>
      </c>
      <c r="O26" s="220" t="str">
        <f>IF(O25&gt;0,O25-0.003," ")</f>
        <v xml:space="preserve"> </v>
      </c>
      <c r="P26" s="220" t="str">
        <f>IF(P25&gt;0,P25-0.005," ")</f>
        <v xml:space="preserve"> </v>
      </c>
      <c r="Q26" s="220" t="str">
        <f>IF(Q25&gt;0,Q25-0.004," ")</f>
        <v xml:space="preserve"> </v>
      </c>
      <c r="R26" s="220" t="str">
        <f>IF(R25&gt;0,R25-0.003," ")</f>
        <v xml:space="preserve"> </v>
      </c>
      <c r="S26" s="220" t="str">
        <f>IF(S25&gt;0,S25-0.003," ")</f>
        <v xml:space="preserve"> </v>
      </c>
      <c r="T26" s="220" t="str">
        <f>IF(T25&gt;0,T25-0.003," ")</f>
        <v xml:space="preserve"> </v>
      </c>
      <c r="U26" s="220" t="str">
        <f t="shared" si="14"/>
        <v xml:space="preserve"> </v>
      </c>
      <c r="V26" s="220" t="str">
        <f t="shared" si="14"/>
        <v xml:space="preserve"> </v>
      </c>
      <c r="W26" s="220" t="str">
        <f t="shared" si="14"/>
        <v xml:space="preserve"> </v>
      </c>
      <c r="X26" s="220" t="str">
        <f t="shared" si="14"/>
        <v xml:space="preserve"> </v>
      </c>
      <c r="Y26" s="220" t="str">
        <f t="shared" ref="Y26" si="15">IF(Y25&gt;0,Y25-0.005," ")</f>
        <v xml:space="preserve"> </v>
      </c>
      <c r="Z26" s="220" t="str">
        <f t="shared" si="14"/>
        <v xml:space="preserve"> </v>
      </c>
      <c r="AA26" s="220" t="str">
        <f t="shared" si="14"/>
        <v xml:space="preserve"> </v>
      </c>
      <c r="AB26" s="220" t="str">
        <f t="shared" ref="AB26:AD26" si="16">IF(AB25&gt;0,AB25-0.005," ")</f>
        <v xml:space="preserve"> </v>
      </c>
      <c r="AC26" s="220" t="str">
        <f t="shared" si="16"/>
        <v xml:space="preserve"> </v>
      </c>
      <c r="AD26" s="220" t="str">
        <f t="shared" si="16"/>
        <v xml:space="preserve"> </v>
      </c>
      <c r="AE26" s="220" t="str">
        <f t="shared" si="14"/>
        <v xml:space="preserve"> </v>
      </c>
      <c r="AF26" s="220" t="str">
        <f t="shared" si="14"/>
        <v xml:space="preserve"> </v>
      </c>
      <c r="AG26" s="220" t="str">
        <f t="shared" si="14"/>
        <v xml:space="preserve"> </v>
      </c>
      <c r="AH26" s="220" t="str">
        <f t="shared" si="14"/>
        <v xml:space="preserve"> </v>
      </c>
      <c r="AI26" s="220" t="str">
        <f t="shared" si="14"/>
        <v xml:space="preserve"> </v>
      </c>
      <c r="AJ26" s="220" t="str">
        <f t="shared" si="14"/>
        <v xml:space="preserve"> </v>
      </c>
      <c r="AK26" s="220" t="str">
        <f t="shared" si="14"/>
        <v xml:space="preserve"> </v>
      </c>
      <c r="AL26" s="220" t="str">
        <f t="shared" si="14"/>
        <v xml:space="preserve"> </v>
      </c>
      <c r="AM26" s="220" t="str">
        <f t="shared" si="14"/>
        <v xml:space="preserve"> </v>
      </c>
      <c r="AN26" s="220" t="str">
        <f t="shared" si="14"/>
        <v xml:space="preserve"> </v>
      </c>
      <c r="AO26" s="220" t="str">
        <f t="shared" si="14"/>
        <v xml:space="preserve"> </v>
      </c>
      <c r="AP26" s="220" t="str">
        <f t="shared" si="14"/>
        <v xml:space="preserve"> </v>
      </c>
      <c r="AQ26" s="220" t="str">
        <f t="shared" si="14"/>
        <v xml:space="preserve"> </v>
      </c>
      <c r="AR26" s="346" t="str">
        <f t="shared" si="14"/>
        <v xml:space="preserve"> </v>
      </c>
      <c r="AS26" s="374" t="e">
        <f>AVERAGE(D26:AR26)</f>
        <v>#DIV/0!</v>
      </c>
    </row>
    <row r="27" spans="1:49" ht="13.5" thickBot="1">
      <c r="A27" s="546"/>
      <c r="B27" s="444">
        <f t="shared" si="0"/>
        <v>250</v>
      </c>
      <c r="C27" s="436" t="str">
        <f>VLOOKUP(B27,'Tipos de Defeitos'!B28:E130,Menu!$B$24+1,)</f>
        <v>Qtd. Analisada (pçs)</v>
      </c>
      <c r="D27" s="224"/>
      <c r="E27" s="224"/>
      <c r="F27" s="224"/>
      <c r="G27" s="224"/>
      <c r="H27" s="224"/>
      <c r="I27" s="224"/>
      <c r="J27" s="224"/>
      <c r="K27" s="224"/>
      <c r="L27" s="224"/>
      <c r="M27" s="224"/>
      <c r="N27" s="224"/>
      <c r="O27" s="224"/>
      <c r="P27" s="224"/>
      <c r="Q27" s="224"/>
      <c r="R27" s="224"/>
      <c r="S27" s="224"/>
      <c r="T27" s="224"/>
      <c r="U27" s="224"/>
      <c r="V27" s="224"/>
      <c r="W27" s="224"/>
      <c r="X27" s="224"/>
      <c r="Y27" s="224"/>
      <c r="Z27" s="224"/>
      <c r="AA27" s="224"/>
      <c r="AB27" s="224"/>
      <c r="AC27" s="224"/>
      <c r="AD27" s="224"/>
      <c r="AE27" s="224"/>
      <c r="AF27" s="224"/>
      <c r="AG27" s="224"/>
      <c r="AH27" s="224"/>
      <c r="AI27" s="224"/>
      <c r="AJ27" s="225"/>
      <c r="AK27" s="225"/>
      <c r="AL27" s="225"/>
      <c r="AM27" s="225"/>
      <c r="AN27" s="225"/>
      <c r="AO27" s="225"/>
      <c r="AP27" s="225"/>
      <c r="AQ27" s="225"/>
      <c r="AR27" s="347"/>
      <c r="AS27" s="371">
        <f t="array" ref="AS27">SUM(IF(D$5:AR$5&lt;&gt;"",D27:AR27))</f>
        <v>0</v>
      </c>
    </row>
    <row r="28" spans="1:49">
      <c r="A28" s="545" t="s">
        <v>225</v>
      </c>
      <c r="B28" s="440">
        <f t="shared" si="0"/>
        <v>260</v>
      </c>
      <c r="C28" s="437" t="str">
        <f>VLOOKUP(B28,'Tipos de Defeitos'!B29:E131,Menu!$B$24+1,)</f>
        <v>Sem Papel Separador</v>
      </c>
      <c r="D28" s="227"/>
      <c r="E28" s="227"/>
      <c r="F28" s="227"/>
      <c r="G28" s="227"/>
      <c r="H28" s="227"/>
      <c r="I28" s="227"/>
      <c r="J28" s="227"/>
      <c r="K28" s="227"/>
      <c r="L28" s="228"/>
      <c r="M28" s="228"/>
      <c r="N28" s="228"/>
      <c r="O28" s="228"/>
      <c r="P28" s="228"/>
      <c r="Q28" s="228"/>
      <c r="R28" s="228"/>
      <c r="S28" s="228"/>
      <c r="T28" s="228"/>
      <c r="U28" s="227"/>
      <c r="V28" s="228"/>
      <c r="W28" s="228"/>
      <c r="X28" s="228"/>
      <c r="Y28" s="228"/>
      <c r="Z28" s="228"/>
      <c r="AA28" s="228"/>
      <c r="AB28" s="228"/>
      <c r="AC28" s="228"/>
      <c r="AD28" s="228"/>
      <c r="AE28" s="228"/>
      <c r="AF28" s="228"/>
      <c r="AG28" s="228"/>
      <c r="AH28" s="228"/>
      <c r="AI28" s="228"/>
      <c r="AJ28" s="228"/>
      <c r="AK28" s="228"/>
      <c r="AL28" s="228"/>
      <c r="AM28" s="228"/>
      <c r="AN28" s="228"/>
      <c r="AO28" s="228"/>
      <c r="AP28" s="228"/>
      <c r="AQ28" s="228"/>
      <c r="AR28" s="348"/>
      <c r="AS28" s="375">
        <f t="shared" ref="AS28:AS59" si="17">SUM(D28:AR28)</f>
        <v>0</v>
      </c>
      <c r="AV28" s="309" t="e">
        <f>(AS28/$AS$78)*100</f>
        <v>#DIV/0!</v>
      </c>
    </row>
    <row r="29" spans="1:49">
      <c r="A29" s="545"/>
      <c r="B29" s="441">
        <f t="shared" si="0"/>
        <v>270</v>
      </c>
      <c r="C29" s="433" t="str">
        <f>VLOOKUP(B29,'Tipos de Defeitos'!B30:E132,Menu!$B$24+1,)</f>
        <v>Papel Separador Cortado</v>
      </c>
      <c r="D29" s="212"/>
      <c r="E29" s="212"/>
      <c r="F29" s="212"/>
      <c r="G29" s="212"/>
      <c r="H29" s="212"/>
      <c r="I29" s="212"/>
      <c r="J29" s="212"/>
      <c r="K29" s="212"/>
      <c r="L29" s="217"/>
      <c r="M29" s="217"/>
      <c r="N29" s="217"/>
      <c r="O29" s="217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217"/>
      <c r="AQ29" s="217"/>
      <c r="AR29" s="323"/>
      <c r="AS29" s="369">
        <f t="shared" si="17"/>
        <v>0</v>
      </c>
      <c r="AV29" s="309" t="e">
        <f t="shared" ref="AV29:AV77" si="18">(AS29/$AS$78)*100</f>
        <v>#DIV/0!</v>
      </c>
    </row>
    <row r="30" spans="1:49">
      <c r="A30" s="545"/>
      <c r="B30" s="441">
        <f t="shared" si="0"/>
        <v>280</v>
      </c>
      <c r="C30" s="433" t="str">
        <f>VLOOKUP(B30,'Tipos de Defeitos'!B31:E133,Menu!$B$24+1,)</f>
        <v>Papel Separador Rasgado</v>
      </c>
      <c r="D30" s="212"/>
      <c r="E30" s="212"/>
      <c r="F30" s="212"/>
      <c r="G30" s="212"/>
      <c r="H30" s="212"/>
      <c r="I30" s="212"/>
      <c r="J30" s="212"/>
      <c r="K30" s="212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217"/>
      <c r="AP30" s="217"/>
      <c r="AQ30" s="217"/>
      <c r="AR30" s="323"/>
      <c r="AS30" s="369">
        <f t="shared" si="17"/>
        <v>0</v>
      </c>
      <c r="AV30" s="309" t="e">
        <f t="shared" si="18"/>
        <v>#DIV/0!</v>
      </c>
    </row>
    <row r="31" spans="1:49">
      <c r="A31" s="545"/>
      <c r="B31" s="441">
        <f t="shared" si="0"/>
        <v>290</v>
      </c>
      <c r="C31" s="433" t="str">
        <f>VLOOKUP(B31,'Tipos de Defeitos'!B32:E134,Menu!$B$24+1,)</f>
        <v>Papel Dobrado Sup.</v>
      </c>
      <c r="D31" s="212"/>
      <c r="E31" s="212"/>
      <c r="F31" s="212"/>
      <c r="G31" s="212"/>
      <c r="H31" s="212"/>
      <c r="I31" s="212"/>
      <c r="J31" s="212"/>
      <c r="K31" s="212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217"/>
      <c r="AQ31" s="217"/>
      <c r="AR31" s="323"/>
      <c r="AS31" s="369">
        <f t="shared" si="17"/>
        <v>0</v>
      </c>
      <c r="AV31" s="309" t="e">
        <f t="shared" si="18"/>
        <v>#DIV/0!</v>
      </c>
      <c r="AW31" s="303">
        <v>1</v>
      </c>
    </row>
    <row r="32" spans="1:49">
      <c r="A32" s="545"/>
      <c r="B32" s="441">
        <f t="shared" si="0"/>
        <v>300</v>
      </c>
      <c r="C32" s="433" t="str">
        <f>VLOOKUP(B32,'Tipos de Defeitos'!B33:E135,Menu!$B$24+1,)</f>
        <v>Papel Dobrado Meio</v>
      </c>
      <c r="D32" s="212"/>
      <c r="E32" s="212"/>
      <c r="F32" s="212"/>
      <c r="G32" s="212"/>
      <c r="H32" s="212"/>
      <c r="I32" s="212"/>
      <c r="J32" s="212"/>
      <c r="K32" s="212"/>
      <c r="L32" s="217"/>
      <c r="M32" s="217"/>
      <c r="N32" s="217"/>
      <c r="O32" s="217"/>
      <c r="P32" s="217"/>
      <c r="Q32" s="212"/>
      <c r="R32" s="212"/>
      <c r="S32" s="217"/>
      <c r="T32" s="217"/>
      <c r="U32" s="217"/>
      <c r="V32" s="217"/>
      <c r="W32" s="217"/>
      <c r="X32" s="217"/>
      <c r="Y32" s="226"/>
      <c r="Z32" s="226"/>
      <c r="AA32" s="226"/>
      <c r="AB32" s="226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217"/>
      <c r="AP32" s="217"/>
      <c r="AQ32" s="217"/>
      <c r="AR32" s="323"/>
      <c r="AS32" s="369">
        <f t="shared" si="17"/>
        <v>0</v>
      </c>
      <c r="AV32" s="309" t="e">
        <f t="shared" si="18"/>
        <v>#DIV/0!</v>
      </c>
    </row>
    <row r="33" spans="1:49">
      <c r="A33" s="545"/>
      <c r="B33" s="441">
        <f t="shared" si="0"/>
        <v>310</v>
      </c>
      <c r="C33" s="433" t="str">
        <f>VLOOKUP(B33,'Tipos de Defeitos'!B34:E136,Menu!$B$24+1,)</f>
        <v>Papel Dobrado Inf.</v>
      </c>
      <c r="D33" s="212"/>
      <c r="E33" s="212"/>
      <c r="F33" s="212"/>
      <c r="G33" s="212"/>
      <c r="H33" s="212"/>
      <c r="I33" s="212"/>
      <c r="J33" s="212"/>
      <c r="K33" s="212"/>
      <c r="L33" s="217"/>
      <c r="M33" s="217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217"/>
      <c r="AQ33" s="217"/>
      <c r="AR33" s="323"/>
      <c r="AS33" s="369">
        <f t="shared" si="17"/>
        <v>0</v>
      </c>
      <c r="AV33" s="309" t="e">
        <f t="shared" si="18"/>
        <v>#DIV/0!</v>
      </c>
      <c r="AW33" s="303">
        <v>3</v>
      </c>
    </row>
    <row r="34" spans="1:49">
      <c r="A34" s="545"/>
      <c r="B34" s="441">
        <f t="shared" si="0"/>
        <v>320</v>
      </c>
      <c r="C34" s="433" t="str">
        <f>VLOOKUP(B34,'Tipos de Defeitos'!B35:E137,Menu!$B$24+1,)</f>
        <v>Papel Afundado</v>
      </c>
      <c r="D34" s="212"/>
      <c r="E34" s="212"/>
      <c r="F34" s="212"/>
      <c r="G34" s="212"/>
      <c r="H34" s="212"/>
      <c r="I34" s="212"/>
      <c r="J34" s="212"/>
      <c r="K34" s="212"/>
      <c r="L34" s="212"/>
      <c r="M34" s="217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217"/>
      <c r="AP34" s="217"/>
      <c r="AQ34" s="217"/>
      <c r="AR34" s="323"/>
      <c r="AS34" s="369">
        <f t="shared" si="17"/>
        <v>0</v>
      </c>
      <c r="AV34" s="309" t="e">
        <f t="shared" si="18"/>
        <v>#DIV/0!</v>
      </c>
    </row>
    <row r="35" spans="1:49">
      <c r="A35" s="545"/>
      <c r="B35" s="441">
        <f t="shared" si="0"/>
        <v>330</v>
      </c>
      <c r="C35" s="433" t="str">
        <f>VLOOKUP(B35,'Tipos de Defeitos'!B36:E138,Menu!$B$24+1,)</f>
        <v>Papel Deslocado</v>
      </c>
      <c r="D35" s="212"/>
      <c r="E35" s="212"/>
      <c r="F35" s="212"/>
      <c r="G35" s="212"/>
      <c r="H35" s="212"/>
      <c r="I35" s="212"/>
      <c r="J35" s="212"/>
      <c r="K35" s="212"/>
      <c r="L35" s="217"/>
      <c r="M35" s="217"/>
      <c r="N35" s="217"/>
      <c r="O35" s="217"/>
      <c r="P35" s="217"/>
      <c r="Q35" s="217"/>
      <c r="R35" s="217"/>
      <c r="S35" s="217"/>
      <c r="T35" s="217"/>
      <c r="U35" s="217"/>
      <c r="V35" s="217"/>
      <c r="W35" s="217"/>
      <c r="X35" s="217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217"/>
      <c r="AQ35" s="217"/>
      <c r="AR35" s="323"/>
      <c r="AS35" s="369">
        <f t="shared" si="17"/>
        <v>0</v>
      </c>
      <c r="AV35" s="309" t="e">
        <f t="shared" si="18"/>
        <v>#DIV/0!</v>
      </c>
    </row>
    <row r="36" spans="1:49">
      <c r="A36" s="545"/>
      <c r="B36" s="441">
        <f t="shared" si="0"/>
        <v>340</v>
      </c>
      <c r="C36" s="433" t="str">
        <f>VLOOKUP(B36,'Tipos de Defeitos'!B37:E139,Menu!$B$24+1,)</f>
        <v>Papel menor</v>
      </c>
      <c r="D36" s="212"/>
      <c r="E36" s="212"/>
      <c r="F36" s="212"/>
      <c r="G36" s="212"/>
      <c r="H36" s="212"/>
      <c r="I36" s="212"/>
      <c r="J36" s="212"/>
      <c r="K36" s="212"/>
      <c r="L36" s="217"/>
      <c r="M36" s="217"/>
      <c r="N36" s="217"/>
      <c r="O36" s="217"/>
      <c r="P36" s="217"/>
      <c r="Q36" s="217"/>
      <c r="R36" s="217"/>
      <c r="S36" s="217"/>
      <c r="T36" s="217"/>
      <c r="U36" s="217"/>
      <c r="V36" s="217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217"/>
      <c r="AP36" s="217"/>
      <c r="AQ36" s="217"/>
      <c r="AR36" s="323"/>
      <c r="AS36" s="369">
        <f t="shared" si="17"/>
        <v>0</v>
      </c>
      <c r="AV36" s="309" t="e">
        <f t="shared" si="18"/>
        <v>#DIV/0!</v>
      </c>
    </row>
    <row r="37" spans="1:49">
      <c r="A37" s="545"/>
      <c r="B37" s="441">
        <f t="shared" si="0"/>
        <v>350</v>
      </c>
      <c r="C37" s="433" t="str">
        <f>VLOOKUP(B37,'Tipos de Defeitos'!B38:E140,Menu!$B$24+1,)</f>
        <v>Sem Disco</v>
      </c>
      <c r="D37" s="212"/>
      <c r="E37" s="212"/>
      <c r="F37" s="212"/>
      <c r="G37" s="212"/>
      <c r="H37" s="212"/>
      <c r="I37" s="212"/>
      <c r="J37" s="212"/>
      <c r="K37" s="212"/>
      <c r="L37" s="217"/>
      <c r="M37" s="217"/>
      <c r="N37" s="217"/>
      <c r="O37" s="217"/>
      <c r="P37" s="217"/>
      <c r="Q37" s="217"/>
      <c r="R37" s="212"/>
      <c r="S37" s="212"/>
      <c r="T37" s="212"/>
      <c r="U37" s="217"/>
      <c r="V37" s="217"/>
      <c r="W37" s="217"/>
      <c r="X37" s="217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217"/>
      <c r="AP37" s="217"/>
      <c r="AQ37" s="217"/>
      <c r="AR37" s="323"/>
      <c r="AS37" s="369">
        <f t="shared" si="17"/>
        <v>0</v>
      </c>
      <c r="AV37" s="309" t="e">
        <f t="shared" si="18"/>
        <v>#DIV/0!</v>
      </c>
    </row>
    <row r="38" spans="1:49">
      <c r="A38" s="545"/>
      <c r="B38" s="441">
        <f t="shared" si="0"/>
        <v>360</v>
      </c>
      <c r="C38" s="433" t="str">
        <f>VLOOKUP(B38,'Tipos de Defeitos'!B39:E141,Menu!$B$24+1,)</f>
        <v>Disco Cortado</v>
      </c>
      <c r="D38" s="212"/>
      <c r="E38" s="212"/>
      <c r="F38" s="212"/>
      <c r="G38" s="212"/>
      <c r="H38" s="212"/>
      <c r="I38" s="212"/>
      <c r="J38" s="212"/>
      <c r="K38" s="212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217"/>
      <c r="AP38" s="217"/>
      <c r="AQ38" s="217"/>
      <c r="AR38" s="323"/>
      <c r="AS38" s="369">
        <f t="shared" si="17"/>
        <v>0</v>
      </c>
      <c r="AV38" s="309" t="e">
        <f t="shared" si="18"/>
        <v>#DIV/0!</v>
      </c>
    </row>
    <row r="39" spans="1:49">
      <c r="A39" s="545"/>
      <c r="B39" s="441">
        <f t="shared" si="0"/>
        <v>370</v>
      </c>
      <c r="C39" s="433" t="str">
        <f>VLOOKUP(B39,'Tipos de Defeitos'!B40:E142,Menu!$B$24+1,)</f>
        <v>Disco Rasgado</v>
      </c>
      <c r="D39" s="212"/>
      <c r="E39" s="212"/>
      <c r="F39" s="212"/>
      <c r="G39" s="212"/>
      <c r="H39" s="212"/>
      <c r="I39" s="212"/>
      <c r="J39" s="212"/>
      <c r="K39" s="212"/>
      <c r="L39" s="217"/>
      <c r="M39" s="217"/>
      <c r="N39" s="217"/>
      <c r="O39" s="217"/>
      <c r="P39" s="217"/>
      <c r="Q39" s="217"/>
      <c r="R39" s="217"/>
      <c r="S39" s="217"/>
      <c r="T39" s="217"/>
      <c r="U39" s="217"/>
      <c r="V39" s="217"/>
      <c r="W39" s="217"/>
      <c r="X39" s="217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217"/>
      <c r="AP39" s="217"/>
      <c r="AQ39" s="217"/>
      <c r="AR39" s="323"/>
      <c r="AS39" s="369">
        <f t="shared" si="17"/>
        <v>0</v>
      </c>
      <c r="AV39" s="309" t="e">
        <f t="shared" si="18"/>
        <v>#DIV/0!</v>
      </c>
    </row>
    <row r="40" spans="1:49">
      <c r="A40" s="545"/>
      <c r="B40" s="441">
        <f t="shared" si="0"/>
        <v>380</v>
      </c>
      <c r="C40" s="433" t="str">
        <f>VLOOKUP(B40,'Tipos de Defeitos'!B41:E143,Menu!$B$24+1,)</f>
        <v>Disco Furado</v>
      </c>
      <c r="D40" s="212"/>
      <c r="E40" s="212"/>
      <c r="F40" s="212"/>
      <c r="G40" s="212"/>
      <c r="H40" s="212"/>
      <c r="I40" s="212"/>
      <c r="J40" s="212"/>
      <c r="K40" s="212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217"/>
      <c r="AP40" s="217"/>
      <c r="AQ40" s="217"/>
      <c r="AR40" s="323"/>
      <c r="AS40" s="369">
        <f t="shared" si="17"/>
        <v>0</v>
      </c>
      <c r="AV40" s="309" t="e">
        <f t="shared" si="18"/>
        <v>#DIV/0!</v>
      </c>
    </row>
    <row r="41" spans="1:49">
      <c r="A41" s="545"/>
      <c r="B41" s="441">
        <f t="shared" si="0"/>
        <v>390</v>
      </c>
      <c r="C41" s="433" t="str">
        <f>VLOOKUP(B41,'Tipos de Defeitos'!B42:E144,Menu!$B$24+1,)</f>
        <v>Disco Dobrado</v>
      </c>
      <c r="D41" s="212"/>
      <c r="E41" s="212"/>
      <c r="F41" s="212"/>
      <c r="G41" s="212"/>
      <c r="H41" s="212"/>
      <c r="I41" s="212"/>
      <c r="J41" s="212"/>
      <c r="K41" s="212"/>
      <c r="L41" s="217"/>
      <c r="M41" s="217"/>
      <c r="N41" s="217"/>
      <c r="O41" s="217"/>
      <c r="P41" s="217"/>
      <c r="Q41" s="217"/>
      <c r="R41" s="217"/>
      <c r="S41" s="217"/>
      <c r="T41" s="217"/>
      <c r="U41" s="217"/>
      <c r="V41" s="217"/>
      <c r="W41" s="217"/>
      <c r="X41" s="217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217"/>
      <c r="AP41" s="217"/>
      <c r="AQ41" s="217"/>
      <c r="AR41" s="323"/>
      <c r="AS41" s="369">
        <f t="shared" si="17"/>
        <v>0</v>
      </c>
      <c r="AV41" s="309" t="e">
        <f t="shared" si="18"/>
        <v>#DIV/0!</v>
      </c>
    </row>
    <row r="42" spans="1:49">
      <c r="A42" s="545"/>
      <c r="B42" s="441">
        <f t="shared" si="0"/>
        <v>400</v>
      </c>
      <c r="C42" s="433" t="str">
        <f>VLOOKUP(B42,'Tipos de Defeitos'!B43:E145,Menu!$B$24+1,)</f>
        <v>Disco fora de centro / deslocado</v>
      </c>
      <c r="D42" s="212"/>
      <c r="E42" s="212"/>
      <c r="F42" s="212"/>
      <c r="G42" s="212"/>
      <c r="H42" s="212"/>
      <c r="I42" s="212"/>
      <c r="J42" s="212"/>
      <c r="K42" s="212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217"/>
      <c r="AP42" s="217"/>
      <c r="AQ42" s="217"/>
      <c r="AR42" s="323"/>
      <c r="AS42" s="369">
        <f t="shared" si="17"/>
        <v>0</v>
      </c>
      <c r="AV42" s="309" t="e">
        <f t="shared" si="18"/>
        <v>#DIV/0!</v>
      </c>
    </row>
    <row r="43" spans="1:49">
      <c r="A43" s="545"/>
      <c r="B43" s="441">
        <f t="shared" si="0"/>
        <v>410</v>
      </c>
      <c r="C43" s="433" t="str">
        <f>VLOOKUP(B43,'Tipos de Defeitos'!B44:E146,Menu!$B$24+1,)</f>
        <v>Isolador fora de centro</v>
      </c>
      <c r="D43" s="212"/>
      <c r="E43" s="212"/>
      <c r="F43" s="212"/>
      <c r="G43" s="212"/>
      <c r="H43" s="212"/>
      <c r="I43" s="212"/>
      <c r="J43" s="212"/>
      <c r="K43" s="212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217"/>
      <c r="AP43" s="217"/>
      <c r="AQ43" s="217"/>
      <c r="AR43" s="323"/>
      <c r="AS43" s="369">
        <f t="shared" si="17"/>
        <v>0</v>
      </c>
      <c r="AV43" s="309" t="e">
        <f t="shared" si="18"/>
        <v>#DIV/0!</v>
      </c>
    </row>
    <row r="44" spans="1:49">
      <c r="A44" s="545"/>
      <c r="B44" s="441">
        <f t="shared" si="0"/>
        <v>420</v>
      </c>
      <c r="C44" s="433" t="str">
        <f>VLOOKUP(B44,'Tipos de Defeitos'!B45:E147,Menu!$B$24+1,)</f>
        <v>Isolador afundado</v>
      </c>
      <c r="D44" s="212"/>
      <c r="E44" s="212"/>
      <c r="F44" s="212"/>
      <c r="G44" s="212"/>
      <c r="H44" s="212"/>
      <c r="I44" s="212"/>
      <c r="J44" s="212"/>
      <c r="K44" s="212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217"/>
      <c r="AP44" s="217"/>
      <c r="AQ44" s="217"/>
      <c r="AR44" s="323"/>
      <c r="AS44" s="369">
        <f t="shared" si="17"/>
        <v>0</v>
      </c>
      <c r="AV44" s="309" t="e">
        <f t="shared" si="18"/>
        <v>#DIV/0!</v>
      </c>
    </row>
    <row r="45" spans="1:49">
      <c r="A45" s="545"/>
      <c r="B45" s="441">
        <f t="shared" si="0"/>
        <v>430</v>
      </c>
      <c r="C45" s="433" t="str">
        <f>VLOOKUP(B45,'Tipos de Defeitos'!B46:E148,Menu!$B$24+1,)</f>
        <v>Isolador Inclinado</v>
      </c>
      <c r="D45" s="212"/>
      <c r="E45" s="212"/>
      <c r="F45" s="212"/>
      <c r="G45" s="212"/>
      <c r="H45" s="212"/>
      <c r="I45" s="212"/>
      <c r="J45" s="212"/>
      <c r="K45" s="212"/>
      <c r="L45" s="217"/>
      <c r="M45" s="217"/>
      <c r="N45" s="217"/>
      <c r="O45" s="217"/>
      <c r="P45" s="217"/>
      <c r="Q45" s="217"/>
      <c r="R45" s="217"/>
      <c r="S45" s="217"/>
      <c r="T45" s="217"/>
      <c r="U45" s="217"/>
      <c r="V45" s="217"/>
      <c r="W45" s="217"/>
      <c r="X45" s="217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217"/>
      <c r="AP45" s="217"/>
      <c r="AQ45" s="217"/>
      <c r="AR45" s="323"/>
      <c r="AS45" s="369">
        <f t="shared" si="17"/>
        <v>0</v>
      </c>
      <c r="AV45" s="309" t="e">
        <f t="shared" si="18"/>
        <v>#DIV/0!</v>
      </c>
    </row>
    <row r="46" spans="1:49">
      <c r="A46" s="545"/>
      <c r="B46" s="441">
        <f t="shared" si="0"/>
        <v>440</v>
      </c>
      <c r="C46" s="433" t="str">
        <f>VLOOKUP(B46,'Tipos de Defeitos'!B47:E149,Menu!$B$24+1,)</f>
        <v>Papel sujo</v>
      </c>
      <c r="D46" s="212"/>
      <c r="E46" s="212"/>
      <c r="F46" s="212"/>
      <c r="G46" s="212"/>
      <c r="H46" s="212"/>
      <c r="I46" s="212"/>
      <c r="J46" s="212"/>
      <c r="K46" s="212"/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  <c r="Z46" s="406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217"/>
      <c r="AP46" s="217"/>
      <c r="AQ46" s="217"/>
      <c r="AR46" s="323"/>
      <c r="AS46" s="369">
        <f t="shared" si="17"/>
        <v>0</v>
      </c>
      <c r="AV46" s="309" t="e">
        <f t="shared" si="18"/>
        <v>#DIV/0!</v>
      </c>
      <c r="AW46" s="303">
        <v>2</v>
      </c>
    </row>
    <row r="47" spans="1:49">
      <c r="A47" s="545"/>
      <c r="B47" s="441">
        <f t="shared" si="0"/>
        <v>450</v>
      </c>
      <c r="C47" s="433" t="str">
        <f>VLOOKUP(B47,'Tipos de Defeitos'!B48:E150,Menu!$B$24+1,)</f>
        <v>Manchado</v>
      </c>
      <c r="D47" s="212"/>
      <c r="E47" s="212"/>
      <c r="F47" s="212"/>
      <c r="G47" s="212"/>
      <c r="H47" s="212"/>
      <c r="I47" s="212"/>
      <c r="J47" s="212"/>
      <c r="K47" s="212"/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217"/>
      <c r="AP47" s="217"/>
      <c r="AQ47" s="217"/>
      <c r="AR47" s="323"/>
      <c r="AS47" s="369">
        <f t="shared" si="17"/>
        <v>0</v>
      </c>
      <c r="AV47" s="309" t="e">
        <f t="shared" si="18"/>
        <v>#DIV/0!</v>
      </c>
    </row>
    <row r="48" spans="1:49">
      <c r="A48" s="545"/>
      <c r="B48" s="441">
        <f t="shared" si="0"/>
        <v>460</v>
      </c>
      <c r="C48" s="433" t="str">
        <f>VLOOKUP(B48,'Tipos de Defeitos'!B49:E151,Menu!$B$24+1,)</f>
        <v>Manchado Superior</v>
      </c>
      <c r="D48" s="212"/>
      <c r="E48" s="212"/>
      <c r="F48" s="212"/>
      <c r="G48" s="212"/>
      <c r="H48" s="212"/>
      <c r="I48" s="212"/>
      <c r="J48" s="212"/>
      <c r="K48" s="212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  <c r="Z48" s="217"/>
      <c r="AA48" s="217"/>
      <c r="AB48" s="217"/>
      <c r="AC48" s="217"/>
      <c r="AD48" s="217"/>
      <c r="AE48" s="217"/>
      <c r="AF48" s="217"/>
      <c r="AG48" s="217"/>
      <c r="AH48" s="217"/>
      <c r="AI48" s="217"/>
      <c r="AJ48" s="217"/>
      <c r="AK48" s="217"/>
      <c r="AL48" s="217"/>
      <c r="AM48" s="217"/>
      <c r="AN48" s="217"/>
      <c r="AO48" s="217"/>
      <c r="AP48" s="217"/>
      <c r="AQ48" s="217"/>
      <c r="AR48" s="323"/>
      <c r="AS48" s="369">
        <f t="shared" si="17"/>
        <v>0</v>
      </c>
      <c r="AV48" s="309" t="e">
        <f t="shared" si="18"/>
        <v>#DIV/0!</v>
      </c>
    </row>
    <row r="49" spans="1:48">
      <c r="A49" s="545"/>
      <c r="B49" s="441">
        <f t="shared" si="0"/>
        <v>470</v>
      </c>
      <c r="C49" s="433" t="str">
        <f>VLOOKUP(B49,'Tipos de Defeitos'!B50:E152,Menu!$B$24+1,)</f>
        <v>Ferro</v>
      </c>
      <c r="D49" s="212"/>
      <c r="E49" s="212"/>
      <c r="F49" s="212"/>
      <c r="G49" s="212"/>
      <c r="H49" s="212"/>
      <c r="I49" s="212"/>
      <c r="J49" s="212"/>
      <c r="K49" s="212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217"/>
      <c r="AP49" s="217"/>
      <c r="AQ49" s="217"/>
      <c r="AR49" s="323"/>
      <c r="AS49" s="369">
        <f t="shared" si="17"/>
        <v>0</v>
      </c>
      <c r="AV49" s="309" t="e">
        <f t="shared" si="18"/>
        <v>#DIV/0!</v>
      </c>
    </row>
    <row r="50" spans="1:48">
      <c r="A50" s="545"/>
      <c r="B50" s="441">
        <f t="shared" si="0"/>
        <v>480</v>
      </c>
      <c r="C50" s="433" t="str">
        <f>VLOOKUP(B50,'Tipos de Defeitos'!B51:E153,Menu!$B$24+1,)</f>
        <v>Cobre</v>
      </c>
      <c r="D50" s="212"/>
      <c r="E50" s="212"/>
      <c r="F50" s="212"/>
      <c r="G50" s="212"/>
      <c r="H50" s="212"/>
      <c r="I50" s="212"/>
      <c r="J50" s="212"/>
      <c r="K50" s="212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217"/>
      <c r="W50" s="217"/>
      <c r="X50" s="217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217"/>
      <c r="AP50" s="217"/>
      <c r="AQ50" s="217"/>
      <c r="AR50" s="323"/>
      <c r="AS50" s="369">
        <f t="shared" si="17"/>
        <v>0</v>
      </c>
      <c r="AV50" s="309" t="e">
        <f t="shared" si="18"/>
        <v>#DIV/0!</v>
      </c>
    </row>
    <row r="51" spans="1:48">
      <c r="A51" s="545"/>
      <c r="B51" s="441">
        <f t="shared" si="0"/>
        <v>490</v>
      </c>
      <c r="C51" s="433" t="str">
        <f>VLOOKUP(B51,'Tipos de Defeitos'!B52:E154,Menu!$B$24+1,)</f>
        <v>Mistura no Tubo</v>
      </c>
      <c r="D51" s="212"/>
      <c r="E51" s="212"/>
      <c r="F51" s="212"/>
      <c r="G51" s="212"/>
      <c r="H51" s="212"/>
      <c r="I51" s="212"/>
      <c r="J51" s="212"/>
      <c r="K51" s="212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217"/>
      <c r="W51" s="217"/>
      <c r="X51" s="217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217"/>
      <c r="AP51" s="217"/>
      <c r="AQ51" s="217"/>
      <c r="AR51" s="323"/>
      <c r="AS51" s="369">
        <f t="shared" si="17"/>
        <v>0</v>
      </c>
      <c r="AV51" s="309" t="e">
        <f t="shared" si="18"/>
        <v>#DIV/0!</v>
      </c>
    </row>
    <row r="52" spans="1:48">
      <c r="A52" s="545"/>
      <c r="B52" s="441">
        <f t="shared" si="0"/>
        <v>500</v>
      </c>
      <c r="C52" s="433" t="str">
        <f>VLOOKUP(B52,'Tipos de Defeitos'!B53:E155,Menu!$B$24+1,)</f>
        <v>Pó de Mistura</v>
      </c>
      <c r="D52" s="212"/>
      <c r="E52" s="212"/>
      <c r="F52" s="212"/>
      <c r="G52" s="212"/>
      <c r="H52" s="212"/>
      <c r="I52" s="212"/>
      <c r="J52" s="212"/>
      <c r="K52" s="212"/>
      <c r="L52" s="217"/>
      <c r="M52" s="217"/>
      <c r="N52" s="217"/>
      <c r="O52" s="217"/>
      <c r="P52" s="217"/>
      <c r="Q52" s="217"/>
      <c r="R52" s="217"/>
      <c r="S52" s="217"/>
      <c r="T52" s="217"/>
      <c r="U52" s="217"/>
      <c r="V52" s="217"/>
      <c r="W52" s="217"/>
      <c r="X52" s="217"/>
      <c r="Y52" s="349"/>
      <c r="Z52" s="349"/>
      <c r="AA52" s="349"/>
      <c r="AB52" s="349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217"/>
      <c r="AP52" s="217"/>
      <c r="AQ52" s="217"/>
      <c r="AR52" s="323"/>
      <c r="AS52" s="369">
        <f t="shared" si="17"/>
        <v>0</v>
      </c>
      <c r="AV52" s="309" t="e">
        <f t="shared" si="18"/>
        <v>#DIV/0!</v>
      </c>
    </row>
    <row r="53" spans="1:48">
      <c r="A53" s="545"/>
      <c r="B53" s="441">
        <f t="shared" si="0"/>
        <v>510</v>
      </c>
      <c r="C53" s="433" t="str">
        <f>VLOOKUP(B53,'Tipos de Defeitos'!B54:E156,Menu!$B$24+1,)</f>
        <v>Bobina Baixa V</v>
      </c>
      <c r="D53" s="212"/>
      <c r="E53" s="212"/>
      <c r="F53" s="212"/>
      <c r="G53" s="212"/>
      <c r="H53" s="212"/>
      <c r="I53" s="212"/>
      <c r="J53" s="212"/>
      <c r="K53" s="212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217"/>
      <c r="AP53" s="217"/>
      <c r="AQ53" s="217"/>
      <c r="AR53" s="323"/>
      <c r="AS53" s="369">
        <f t="shared" si="17"/>
        <v>0</v>
      </c>
      <c r="AV53" s="309" t="e">
        <f t="shared" si="18"/>
        <v>#DIV/0!</v>
      </c>
    </row>
    <row r="54" spans="1:48">
      <c r="A54" s="545"/>
      <c r="B54" s="441">
        <f t="shared" si="0"/>
        <v>520</v>
      </c>
      <c r="C54" s="433" t="str">
        <f>VLOOKUP(B54,'Tipos de Defeitos'!B55:E157,Menu!$B$24+1,)</f>
        <v>Bobina Alta</v>
      </c>
      <c r="D54" s="212"/>
      <c r="E54" s="212"/>
      <c r="F54" s="212"/>
      <c r="G54" s="212"/>
      <c r="H54" s="212"/>
      <c r="I54" s="212"/>
      <c r="J54" s="212"/>
      <c r="K54" s="212"/>
      <c r="L54" s="217"/>
      <c r="M54" s="217"/>
      <c r="N54" s="217"/>
      <c r="O54" s="217"/>
      <c r="P54" s="217"/>
      <c r="Q54" s="217"/>
      <c r="R54" s="217"/>
      <c r="S54" s="217"/>
      <c r="T54" s="217"/>
      <c r="U54" s="217"/>
      <c r="V54" s="217"/>
      <c r="W54" s="217"/>
      <c r="X54" s="217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217"/>
      <c r="AP54" s="217"/>
      <c r="AQ54" s="217"/>
      <c r="AR54" s="323"/>
      <c r="AS54" s="369">
        <f t="shared" si="17"/>
        <v>0</v>
      </c>
      <c r="AV54" s="309" t="e">
        <f t="shared" si="18"/>
        <v>#DIV/0!</v>
      </c>
    </row>
    <row r="55" spans="1:48">
      <c r="A55" s="545"/>
      <c r="B55" s="441">
        <f t="shared" si="0"/>
        <v>530</v>
      </c>
      <c r="C55" s="433" t="str">
        <f>VLOOKUP(B55,'Tipos de Defeitos'!B56:E158,Menu!$B$24+1,)</f>
        <v>Bobina Molhada</v>
      </c>
      <c r="D55" s="212"/>
      <c r="E55" s="212"/>
      <c r="F55" s="212"/>
      <c r="G55" s="212"/>
      <c r="H55" s="212"/>
      <c r="I55" s="212"/>
      <c r="J55" s="212"/>
      <c r="K55" s="212"/>
      <c r="L55" s="217"/>
      <c r="M55" s="217"/>
      <c r="N55" s="217"/>
      <c r="O55" s="217"/>
      <c r="P55" s="217"/>
      <c r="Q55" s="217"/>
      <c r="R55" s="217"/>
      <c r="S55" s="217"/>
      <c r="T55" s="217"/>
      <c r="U55" s="217"/>
      <c r="V55" s="217"/>
      <c r="W55" s="217"/>
      <c r="X55" s="217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217"/>
      <c r="AP55" s="217"/>
      <c r="AQ55" s="217"/>
      <c r="AR55" s="323"/>
      <c r="AS55" s="369">
        <f t="shared" si="17"/>
        <v>0</v>
      </c>
      <c r="AV55" s="309" t="e">
        <f t="shared" si="18"/>
        <v>#DIV/0!</v>
      </c>
    </row>
    <row r="56" spans="1:48">
      <c r="A56" s="545"/>
      <c r="B56" s="441">
        <f t="shared" si="0"/>
        <v>540</v>
      </c>
      <c r="C56" s="433" t="str">
        <f>VLOOKUP(B56,'Tipos de Defeitos'!B57:E159,Menu!$B$24+1,)</f>
        <v>Mistura seca</v>
      </c>
      <c r="D56" s="212"/>
      <c r="E56" s="212"/>
      <c r="F56" s="212"/>
      <c r="G56" s="212"/>
      <c r="H56" s="212"/>
      <c r="I56" s="212"/>
      <c r="J56" s="212"/>
      <c r="K56" s="212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217"/>
      <c r="W56" s="217"/>
      <c r="X56" s="217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217"/>
      <c r="AP56" s="217"/>
      <c r="AQ56" s="217"/>
      <c r="AR56" s="323"/>
      <c r="AS56" s="369">
        <f t="shared" si="17"/>
        <v>0</v>
      </c>
      <c r="AV56" s="309" t="e">
        <f t="shared" si="18"/>
        <v>#DIV/0!</v>
      </c>
    </row>
    <row r="57" spans="1:48">
      <c r="A57" s="545"/>
      <c r="B57" s="441">
        <f t="shared" si="0"/>
        <v>550</v>
      </c>
      <c r="C57" s="433" t="str">
        <f>VLOOKUP(B57,'Tipos de Defeitos'!B58:E160,Menu!$B$24+1,)</f>
        <v>Contem estranho</v>
      </c>
      <c r="D57" s="212"/>
      <c r="E57" s="212"/>
      <c r="F57" s="212"/>
      <c r="G57" s="212"/>
      <c r="H57" s="212"/>
      <c r="I57" s="212"/>
      <c r="J57" s="212"/>
      <c r="K57" s="212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217"/>
      <c r="W57" s="217"/>
      <c r="X57" s="217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217"/>
      <c r="AP57" s="217"/>
      <c r="AQ57" s="217"/>
      <c r="AR57" s="323"/>
      <c r="AS57" s="369">
        <f t="shared" si="17"/>
        <v>0</v>
      </c>
      <c r="AV57" s="309" t="e">
        <f t="shared" si="18"/>
        <v>#DIV/0!</v>
      </c>
    </row>
    <row r="58" spans="1:48">
      <c r="A58" s="545"/>
      <c r="B58" s="441">
        <f t="shared" si="0"/>
        <v>560</v>
      </c>
      <c r="C58" s="433" t="str">
        <f>VLOOKUP(B58,'Tipos de Defeitos'!B59:E161,Menu!$B$24+1,)</f>
        <v>Pedra de Óxido</v>
      </c>
      <c r="D58" s="212"/>
      <c r="E58" s="212"/>
      <c r="F58" s="212"/>
      <c r="G58" s="212"/>
      <c r="H58" s="212"/>
      <c r="I58" s="212"/>
      <c r="J58" s="212"/>
      <c r="K58" s="212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217"/>
      <c r="W58" s="217"/>
      <c r="X58" s="217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217"/>
      <c r="AP58" s="217"/>
      <c r="AQ58" s="217"/>
      <c r="AR58" s="323"/>
      <c r="AS58" s="369">
        <f t="shared" si="17"/>
        <v>0</v>
      </c>
      <c r="AV58" s="309" t="e">
        <f t="shared" si="18"/>
        <v>#DIV/0!</v>
      </c>
    </row>
    <row r="59" spans="1:48">
      <c r="A59" s="545"/>
      <c r="B59" s="441">
        <f t="shared" si="0"/>
        <v>570</v>
      </c>
      <c r="C59" s="433" t="str">
        <f>VLOOKUP(B59,'Tipos de Defeitos'!B60:E162,Menu!$B$24+1,)</f>
        <v>Carvão Quebrado V</v>
      </c>
      <c r="D59" s="212"/>
      <c r="E59" s="212"/>
      <c r="F59" s="212"/>
      <c r="G59" s="212"/>
      <c r="H59" s="212"/>
      <c r="I59" s="212"/>
      <c r="J59" s="212"/>
      <c r="K59" s="212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17"/>
      <c r="X59" s="217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217"/>
      <c r="AP59" s="217"/>
      <c r="AQ59" s="217"/>
      <c r="AR59" s="323"/>
      <c r="AS59" s="369">
        <f t="shared" si="17"/>
        <v>0</v>
      </c>
      <c r="AV59" s="309" t="e">
        <f t="shared" si="18"/>
        <v>#DIV/0!</v>
      </c>
    </row>
    <row r="60" spans="1:48">
      <c r="A60" s="545"/>
      <c r="B60" s="441">
        <f t="shared" si="0"/>
        <v>580</v>
      </c>
      <c r="C60" s="433" t="str">
        <f>VLOOKUP(B60,'Tipos de Defeitos'!B61:E163,Menu!$B$24+1,)</f>
        <v>Sem Selante</v>
      </c>
      <c r="D60" s="212"/>
      <c r="E60" s="212"/>
      <c r="F60" s="212"/>
      <c r="G60" s="212"/>
      <c r="H60" s="212"/>
      <c r="I60" s="212"/>
      <c r="J60" s="212"/>
      <c r="K60" s="212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217"/>
      <c r="W60" s="217"/>
      <c r="X60" s="217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  <c r="AL60" s="217"/>
      <c r="AM60" s="217"/>
      <c r="AN60" s="217"/>
      <c r="AO60" s="217"/>
      <c r="AP60" s="217"/>
      <c r="AQ60" s="217"/>
      <c r="AR60" s="323"/>
      <c r="AS60" s="369">
        <f t="shared" ref="AS60:AS77" si="19">SUM(D60:AR60)</f>
        <v>0</v>
      </c>
      <c r="AV60" s="309" t="e">
        <f t="shared" si="18"/>
        <v>#DIV/0!</v>
      </c>
    </row>
    <row r="61" spans="1:48">
      <c r="A61" s="545"/>
      <c r="B61" s="441">
        <f t="shared" si="0"/>
        <v>590</v>
      </c>
      <c r="C61" s="433" t="str">
        <f>VLOOKUP(B61,'Tipos de Defeitos'!B62:E164,Menu!$B$24+1,)</f>
        <v>PY c/ Falha de Injeção</v>
      </c>
      <c r="D61" s="212"/>
      <c r="E61" s="212"/>
      <c r="F61" s="212"/>
      <c r="G61" s="212"/>
      <c r="H61" s="212"/>
      <c r="I61" s="212"/>
      <c r="J61" s="212"/>
      <c r="K61" s="212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217"/>
      <c r="W61" s="217"/>
      <c r="X61" s="217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  <c r="AL61" s="217"/>
      <c r="AM61" s="217"/>
      <c r="AN61" s="217"/>
      <c r="AO61" s="217"/>
      <c r="AP61" s="217"/>
      <c r="AQ61" s="217"/>
      <c r="AR61" s="323"/>
      <c r="AS61" s="369">
        <f t="shared" si="19"/>
        <v>0</v>
      </c>
      <c r="AV61" s="309" t="e">
        <f t="shared" si="18"/>
        <v>#DIV/0!</v>
      </c>
    </row>
    <row r="62" spans="1:48">
      <c r="A62" s="545"/>
      <c r="B62" s="441">
        <f t="shared" si="0"/>
        <v>600</v>
      </c>
      <c r="C62" s="433" t="str">
        <f>VLOOKUP(B62,'Tipos de Defeitos'!B63:E165,Menu!$B$24+1,)</f>
        <v>Sem PY</v>
      </c>
      <c r="D62" s="212"/>
      <c r="E62" s="212"/>
      <c r="F62" s="212"/>
      <c r="G62" s="212"/>
      <c r="H62" s="212"/>
      <c r="I62" s="212"/>
      <c r="J62" s="212"/>
      <c r="K62" s="212"/>
      <c r="L62" s="217"/>
      <c r="M62" s="217"/>
      <c r="N62" s="217"/>
      <c r="O62" s="217"/>
      <c r="P62" s="217"/>
      <c r="Q62" s="217"/>
      <c r="R62" s="217"/>
      <c r="S62" s="217"/>
      <c r="T62" s="217"/>
      <c r="U62" s="217"/>
      <c r="V62" s="217"/>
      <c r="W62" s="217"/>
      <c r="X62" s="217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217"/>
      <c r="AP62" s="217"/>
      <c r="AQ62" s="217"/>
      <c r="AR62" s="323"/>
      <c r="AS62" s="369">
        <f t="shared" si="19"/>
        <v>0</v>
      </c>
      <c r="AV62" s="309" t="e">
        <f t="shared" si="18"/>
        <v>#DIV/0!</v>
      </c>
    </row>
    <row r="63" spans="1:48">
      <c r="A63" s="545"/>
      <c r="B63" s="441">
        <f t="shared" si="0"/>
        <v>610</v>
      </c>
      <c r="C63" s="433" t="str">
        <f>VLOOKUP(B63,'Tipos de Defeitos'!B64:E166,Menu!$B$24+1,)</f>
        <v>PY Fora de Centro</v>
      </c>
      <c r="D63" s="212"/>
      <c r="E63" s="212"/>
      <c r="F63" s="212"/>
      <c r="G63" s="212"/>
      <c r="H63" s="212"/>
      <c r="I63" s="212"/>
      <c r="J63" s="212"/>
      <c r="K63" s="212"/>
      <c r="L63" s="217"/>
      <c r="M63" s="217"/>
      <c r="N63" s="217"/>
      <c r="O63" s="217"/>
      <c r="P63" s="217"/>
      <c r="Q63" s="217"/>
      <c r="R63" s="217"/>
      <c r="S63" s="217"/>
      <c r="T63" s="217"/>
      <c r="U63" s="217"/>
      <c r="V63" s="217"/>
      <c r="W63" s="217"/>
      <c r="X63" s="217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217"/>
      <c r="AP63" s="217"/>
      <c r="AQ63" s="217"/>
      <c r="AR63" s="323"/>
      <c r="AS63" s="369">
        <f t="shared" si="19"/>
        <v>0</v>
      </c>
      <c r="AV63" s="309" t="e">
        <f t="shared" si="18"/>
        <v>#DIV/0!</v>
      </c>
    </row>
    <row r="64" spans="1:48">
      <c r="A64" s="545"/>
      <c r="B64" s="441">
        <f t="shared" si="0"/>
        <v>620</v>
      </c>
      <c r="C64" s="433" t="str">
        <f>VLOOKUP(B64,'Tipos de Defeitos'!B65:E167,Menu!$B$24+1,)</f>
        <v>PY Queimado</v>
      </c>
      <c r="D64" s="212"/>
      <c r="E64" s="212"/>
      <c r="F64" s="212"/>
      <c r="G64" s="212"/>
      <c r="H64" s="212"/>
      <c r="I64" s="212"/>
      <c r="J64" s="212"/>
      <c r="K64" s="212"/>
      <c r="L64" s="217"/>
      <c r="M64" s="217"/>
      <c r="N64" s="217"/>
      <c r="O64" s="217"/>
      <c r="P64" s="217"/>
      <c r="Q64" s="217"/>
      <c r="R64" s="217"/>
      <c r="S64" s="217"/>
      <c r="T64" s="217"/>
      <c r="U64" s="217"/>
      <c r="V64" s="217"/>
      <c r="W64" s="217"/>
      <c r="X64" s="217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217"/>
      <c r="AP64" s="217"/>
      <c r="AQ64" s="217"/>
      <c r="AR64" s="323"/>
      <c r="AS64" s="369">
        <f t="shared" si="19"/>
        <v>0</v>
      </c>
      <c r="AV64" s="309" t="e">
        <f t="shared" si="18"/>
        <v>#DIV/0!</v>
      </c>
    </row>
    <row r="65" spans="1:48">
      <c r="A65" s="545"/>
      <c r="B65" s="441">
        <f t="shared" si="0"/>
        <v>630</v>
      </c>
      <c r="C65" s="433" t="str">
        <f>VLOOKUP(B65,'Tipos de Defeitos'!B66:E168,Menu!$B$24+1,)</f>
        <v>Tb c/ Boca Amassada - Operador</v>
      </c>
      <c r="D65" s="212"/>
      <c r="E65" s="212"/>
      <c r="F65" s="212"/>
      <c r="G65" s="212"/>
      <c r="H65" s="212"/>
      <c r="I65" s="212"/>
      <c r="J65" s="212"/>
      <c r="K65" s="212"/>
      <c r="L65" s="212"/>
      <c r="M65" s="217"/>
      <c r="N65" s="217"/>
      <c r="O65" s="212"/>
      <c r="P65" s="217"/>
      <c r="Q65" s="217"/>
      <c r="R65" s="217"/>
      <c r="S65" s="217"/>
      <c r="T65" s="217"/>
      <c r="U65" s="217"/>
      <c r="V65" s="217"/>
      <c r="W65" s="217"/>
      <c r="X65" s="217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  <c r="AL65" s="217"/>
      <c r="AM65" s="217"/>
      <c r="AN65" s="217"/>
      <c r="AO65" s="217"/>
      <c r="AP65" s="217"/>
      <c r="AQ65" s="217"/>
      <c r="AR65" s="323"/>
      <c r="AS65" s="369">
        <f t="shared" si="19"/>
        <v>0</v>
      </c>
      <c r="AT65" s="314" t="e">
        <f>AS65/$AS$27*$AS$24</f>
        <v>#DIV/0!</v>
      </c>
      <c r="AV65" s="309" t="e">
        <f t="shared" si="18"/>
        <v>#DIV/0!</v>
      </c>
    </row>
    <row r="66" spans="1:48">
      <c r="A66" s="545"/>
      <c r="B66" s="441">
        <f t="shared" si="0"/>
        <v>640</v>
      </c>
      <c r="C66" s="433" t="str">
        <f>VLOOKUP(B66,'Tipos de Defeitos'!B67:E169,Menu!$B$24+1,)</f>
        <v>Tb c/ Boca Amassada - Câmera</v>
      </c>
      <c r="D66" s="212"/>
      <c r="E66" s="212"/>
      <c r="F66" s="212"/>
      <c r="G66" s="212"/>
      <c r="H66" s="212"/>
      <c r="I66" s="212"/>
      <c r="J66" s="212"/>
      <c r="K66" s="212"/>
      <c r="L66" s="217"/>
      <c r="M66" s="217"/>
      <c r="N66" s="217"/>
      <c r="O66" s="217"/>
      <c r="P66" s="217"/>
      <c r="Q66" s="217"/>
      <c r="R66" s="217"/>
      <c r="S66" s="217"/>
      <c r="T66" s="217"/>
      <c r="U66" s="217"/>
      <c r="V66" s="217"/>
      <c r="W66" s="217"/>
      <c r="X66" s="217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  <c r="AO66" s="217"/>
      <c r="AP66" s="217"/>
      <c r="AQ66" s="217"/>
      <c r="AR66" s="323"/>
      <c r="AS66" s="369">
        <f t="shared" si="19"/>
        <v>0</v>
      </c>
      <c r="AT66" s="314" t="e">
        <f t="shared" ref="AT66:AT71" si="20">AS66/$AS$27*$AS$24</f>
        <v>#DIV/0!</v>
      </c>
      <c r="AV66" s="309" t="e">
        <f t="shared" si="18"/>
        <v>#DIV/0!</v>
      </c>
    </row>
    <row r="67" spans="1:48">
      <c r="A67" s="545"/>
      <c r="B67" s="441">
        <f t="shared" si="0"/>
        <v>650</v>
      </c>
      <c r="C67" s="433" t="str">
        <f>VLOOKUP(B67,'Tipos de Defeitos'!B68:E170,Menu!$B$24+1,)</f>
        <v>Tb c/ Boca Amassada - recuperada</v>
      </c>
      <c r="D67" s="212"/>
      <c r="E67" s="212"/>
      <c r="F67" s="212"/>
      <c r="G67" s="212"/>
      <c r="H67" s="212"/>
      <c r="I67" s="212"/>
      <c r="J67" s="212"/>
      <c r="K67" s="212"/>
      <c r="L67" s="217"/>
      <c r="M67" s="217"/>
      <c r="N67" s="217"/>
      <c r="O67" s="217"/>
      <c r="P67" s="217"/>
      <c r="Q67" s="217"/>
      <c r="R67" s="217"/>
      <c r="S67" s="217"/>
      <c r="T67" s="217"/>
      <c r="U67" s="217"/>
      <c r="V67" s="217"/>
      <c r="W67" s="217"/>
      <c r="X67" s="217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  <c r="AO67" s="217"/>
      <c r="AP67" s="217"/>
      <c r="AQ67" s="217"/>
      <c r="AR67" s="323"/>
      <c r="AS67" s="369">
        <f t="shared" si="19"/>
        <v>0</v>
      </c>
      <c r="AT67" s="314" t="e">
        <f t="shared" si="20"/>
        <v>#DIV/0!</v>
      </c>
      <c r="AV67" s="309" t="e">
        <f t="shared" si="18"/>
        <v>#DIV/0!</v>
      </c>
    </row>
    <row r="68" spans="1:48">
      <c r="A68" s="545"/>
      <c r="B68" s="441">
        <f t="shared" si="0"/>
        <v>660</v>
      </c>
      <c r="C68" s="433" t="str">
        <f>VLOOKUP(B68,'Tipos de Defeitos'!B69:E171,Menu!$B$24+1,)</f>
        <v>Tubo Rachado - Operador</v>
      </c>
      <c r="D68" s="212"/>
      <c r="E68" s="212"/>
      <c r="F68" s="212"/>
      <c r="G68" s="212"/>
      <c r="H68" s="212"/>
      <c r="I68" s="212"/>
      <c r="J68" s="212"/>
      <c r="K68" s="212"/>
      <c r="L68" s="217"/>
      <c r="M68" s="217"/>
      <c r="N68" s="217"/>
      <c r="O68" s="217"/>
      <c r="P68" s="217"/>
      <c r="Q68" s="217"/>
      <c r="R68" s="217"/>
      <c r="S68" s="217"/>
      <c r="T68" s="217"/>
      <c r="U68" s="217"/>
      <c r="V68" s="217"/>
      <c r="W68" s="217"/>
      <c r="X68" s="217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  <c r="AL68" s="217"/>
      <c r="AM68" s="217"/>
      <c r="AN68" s="217"/>
      <c r="AO68" s="217"/>
      <c r="AP68" s="217"/>
      <c r="AQ68" s="217"/>
      <c r="AR68" s="323"/>
      <c r="AS68" s="369">
        <f t="shared" si="19"/>
        <v>0</v>
      </c>
      <c r="AT68" s="314" t="e">
        <f t="shared" si="20"/>
        <v>#DIV/0!</v>
      </c>
      <c r="AV68" s="309" t="e">
        <f t="shared" si="18"/>
        <v>#DIV/0!</v>
      </c>
    </row>
    <row r="69" spans="1:48">
      <c r="A69" s="545"/>
      <c r="B69" s="441">
        <f t="shared" si="0"/>
        <v>670</v>
      </c>
      <c r="C69" s="433" t="str">
        <f>VLOOKUP(B69,'Tipos de Defeitos'!B70:E172,Menu!$B$24+1,)</f>
        <v>Tubo Rachado - Câmera</v>
      </c>
      <c r="D69" s="212"/>
      <c r="E69" s="212"/>
      <c r="F69" s="212"/>
      <c r="G69" s="212"/>
      <c r="H69" s="212"/>
      <c r="I69" s="212"/>
      <c r="J69" s="212"/>
      <c r="K69" s="212"/>
      <c r="L69" s="217"/>
      <c r="M69" s="217"/>
      <c r="N69" s="217"/>
      <c r="O69" s="217"/>
      <c r="P69" s="217"/>
      <c r="Q69" s="217"/>
      <c r="R69" s="217"/>
      <c r="S69" s="217"/>
      <c r="T69" s="217"/>
      <c r="U69" s="217"/>
      <c r="V69" s="217"/>
      <c r="W69" s="217"/>
      <c r="X69" s="217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  <c r="AO69" s="217"/>
      <c r="AP69" s="217"/>
      <c r="AQ69" s="217"/>
      <c r="AR69" s="323"/>
      <c r="AS69" s="369">
        <f t="shared" si="19"/>
        <v>0</v>
      </c>
      <c r="AT69" s="314" t="e">
        <f t="shared" si="20"/>
        <v>#DIV/0!</v>
      </c>
      <c r="AV69" s="309" t="e">
        <f t="shared" si="18"/>
        <v>#DIV/0!</v>
      </c>
    </row>
    <row r="70" spans="1:48">
      <c r="A70" s="545"/>
      <c r="B70" s="441">
        <f t="shared" si="0"/>
        <v>680</v>
      </c>
      <c r="C70" s="433" t="str">
        <f>VLOOKUP(B70,'Tipos de Defeitos'!B71:E173,Menu!$B$24+1,)</f>
        <v>Tubo de Zinco Amassado</v>
      </c>
      <c r="D70" s="212"/>
      <c r="E70" s="212"/>
      <c r="F70" s="212"/>
      <c r="G70" s="212"/>
      <c r="H70" s="212"/>
      <c r="I70" s="212"/>
      <c r="J70" s="212"/>
      <c r="K70" s="212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  <c r="AO70" s="217"/>
      <c r="AP70" s="217"/>
      <c r="AQ70" s="217"/>
      <c r="AR70" s="323"/>
      <c r="AS70" s="369">
        <f t="shared" si="19"/>
        <v>0</v>
      </c>
      <c r="AT70" s="314" t="e">
        <f t="shared" si="20"/>
        <v>#DIV/0!</v>
      </c>
      <c r="AV70" s="309" t="e">
        <f t="shared" si="18"/>
        <v>#DIV/0!</v>
      </c>
    </row>
    <row r="71" spans="1:48">
      <c r="A71" s="545"/>
      <c r="B71" s="441">
        <f t="shared" si="0"/>
        <v>690</v>
      </c>
      <c r="C71" s="433" t="str">
        <f>VLOOKUP(B71,'Tipos de Defeitos'!B72:E174,Menu!$B$24+1,)</f>
        <v>Tubo com Rebarba</v>
      </c>
      <c r="D71" s="212"/>
      <c r="E71" s="212"/>
      <c r="F71" s="212"/>
      <c r="G71" s="212"/>
      <c r="H71" s="212"/>
      <c r="I71" s="212"/>
      <c r="J71" s="212"/>
      <c r="K71" s="212"/>
      <c r="L71" s="217"/>
      <c r="M71" s="217"/>
      <c r="N71" s="217"/>
      <c r="O71" s="217"/>
      <c r="P71" s="217"/>
      <c r="Q71" s="217"/>
      <c r="R71" s="217"/>
      <c r="S71" s="217"/>
      <c r="T71" s="217"/>
      <c r="U71" s="217"/>
      <c r="V71" s="217"/>
      <c r="W71" s="217"/>
      <c r="X71" s="217"/>
      <c r="Y71" s="217"/>
      <c r="Z71" s="217"/>
      <c r="AA71" s="217"/>
      <c r="AB71" s="217"/>
      <c r="AC71" s="217"/>
      <c r="AD71" s="217"/>
      <c r="AE71" s="217"/>
      <c r="AF71" s="217"/>
      <c r="AG71" s="217"/>
      <c r="AH71" s="217"/>
      <c r="AI71" s="217"/>
      <c r="AJ71" s="217"/>
      <c r="AK71" s="217"/>
      <c r="AL71" s="217"/>
      <c r="AM71" s="217"/>
      <c r="AN71" s="217"/>
      <c r="AO71" s="217"/>
      <c r="AP71" s="217"/>
      <c r="AQ71" s="217"/>
      <c r="AR71" s="323"/>
      <c r="AS71" s="369">
        <f t="shared" si="19"/>
        <v>0</v>
      </c>
      <c r="AT71" s="314" t="e">
        <f t="shared" si="20"/>
        <v>#DIV/0!</v>
      </c>
      <c r="AV71" s="309" t="e">
        <f t="shared" si="18"/>
        <v>#DIV/0!</v>
      </c>
    </row>
    <row r="72" spans="1:48">
      <c r="A72" s="545"/>
      <c r="B72" s="441">
        <f t="shared" ref="B72:B105" si="21">(B71/10+1)*10</f>
        <v>700</v>
      </c>
      <c r="C72" s="433" t="str">
        <f>VLOOKUP(B72,'Tipos de Defeitos'!B73:E175,Menu!$B$24+1,)</f>
        <v>Curto Circuito Externo</v>
      </c>
      <c r="D72" s="212"/>
      <c r="E72" s="212"/>
      <c r="F72" s="212"/>
      <c r="G72" s="212"/>
      <c r="H72" s="212"/>
      <c r="I72" s="212"/>
      <c r="J72" s="212"/>
      <c r="K72" s="212"/>
      <c r="L72" s="217"/>
      <c r="M72" s="217"/>
      <c r="N72" s="217"/>
      <c r="O72" s="217"/>
      <c r="P72" s="217"/>
      <c r="Q72" s="217"/>
      <c r="R72" s="217"/>
      <c r="S72" s="217"/>
      <c r="T72" s="217"/>
      <c r="U72" s="217"/>
      <c r="V72" s="217"/>
      <c r="W72" s="217"/>
      <c r="X72" s="217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  <c r="AL72" s="217"/>
      <c r="AM72" s="217"/>
      <c r="AN72" s="217"/>
      <c r="AO72" s="217"/>
      <c r="AP72" s="217"/>
      <c r="AQ72" s="217"/>
      <c r="AR72" s="323"/>
      <c r="AS72" s="369">
        <f t="shared" si="19"/>
        <v>0</v>
      </c>
      <c r="AV72" s="309" t="e">
        <f t="shared" si="18"/>
        <v>#DIV/0!</v>
      </c>
    </row>
    <row r="73" spans="1:48">
      <c r="A73" s="545"/>
      <c r="B73" s="441">
        <f t="shared" si="21"/>
        <v>710</v>
      </c>
      <c r="C73" s="433" t="str">
        <f>VLOOKUP(B73,'Tipos de Defeitos'!B74:E176,Menu!$B$24+1,)</f>
        <v>Curto Circ. Externo -  recuperada</v>
      </c>
      <c r="D73" s="212"/>
      <c r="E73" s="212"/>
      <c r="F73" s="212"/>
      <c r="G73" s="212"/>
      <c r="H73" s="212"/>
      <c r="I73" s="212"/>
      <c r="J73" s="212"/>
      <c r="K73" s="212"/>
      <c r="L73" s="217"/>
      <c r="M73" s="217"/>
      <c r="N73" s="217"/>
      <c r="O73" s="217"/>
      <c r="P73" s="217"/>
      <c r="Q73" s="217"/>
      <c r="R73" s="217"/>
      <c r="S73" s="217"/>
      <c r="T73" s="217"/>
      <c r="U73" s="217"/>
      <c r="V73" s="217"/>
      <c r="W73" s="217"/>
      <c r="X73" s="217"/>
      <c r="Y73" s="217"/>
      <c r="Z73" s="217"/>
      <c r="AA73" s="217"/>
      <c r="AB73" s="217"/>
      <c r="AC73" s="217"/>
      <c r="AD73" s="217"/>
      <c r="AE73" s="217"/>
      <c r="AF73" s="217"/>
      <c r="AG73" s="217"/>
      <c r="AH73" s="217"/>
      <c r="AI73" s="217"/>
      <c r="AJ73" s="217"/>
      <c r="AK73" s="217"/>
      <c r="AL73" s="217"/>
      <c r="AM73" s="217"/>
      <c r="AN73" s="217"/>
      <c r="AO73" s="217"/>
      <c r="AP73" s="217"/>
      <c r="AQ73" s="217"/>
      <c r="AR73" s="323"/>
      <c r="AS73" s="369">
        <f t="shared" si="19"/>
        <v>0</v>
      </c>
      <c r="AV73" s="309" t="e">
        <f t="shared" si="18"/>
        <v>#DIV/0!</v>
      </c>
    </row>
    <row r="74" spans="1:48">
      <c r="A74" s="545"/>
      <c r="B74" s="441">
        <f t="shared" si="21"/>
        <v>720</v>
      </c>
      <c r="C74" s="433" t="str">
        <f>VLOOKUP(B74,'Tipos de Defeitos'!B75:E177,Menu!$B$24+1,)</f>
        <v>Pilha recuperada do Acabamento</v>
      </c>
      <c r="D74" s="212"/>
      <c r="E74" s="212"/>
      <c r="F74" s="212"/>
      <c r="G74" s="212"/>
      <c r="H74" s="212"/>
      <c r="I74" s="212"/>
      <c r="J74" s="212"/>
      <c r="K74" s="212"/>
      <c r="L74" s="217"/>
      <c r="M74" s="217"/>
      <c r="N74" s="217"/>
      <c r="O74" s="217"/>
      <c r="P74" s="217"/>
      <c r="Q74" s="217"/>
      <c r="R74" s="217"/>
      <c r="S74" s="217"/>
      <c r="T74" s="217"/>
      <c r="U74" s="217"/>
      <c r="V74" s="217"/>
      <c r="W74" s="217"/>
      <c r="X74" s="217"/>
      <c r="Y74" s="217"/>
      <c r="Z74" s="217"/>
      <c r="AA74" s="217"/>
      <c r="AB74" s="217"/>
      <c r="AC74" s="217"/>
      <c r="AD74" s="217"/>
      <c r="AE74" s="217"/>
      <c r="AF74" s="217"/>
      <c r="AG74" s="217"/>
      <c r="AH74" s="217"/>
      <c r="AI74" s="217"/>
      <c r="AJ74" s="217"/>
      <c r="AK74" s="217"/>
      <c r="AL74" s="217"/>
      <c r="AM74" s="217"/>
      <c r="AN74" s="217"/>
      <c r="AO74" s="217"/>
      <c r="AP74" s="217"/>
      <c r="AQ74" s="217"/>
      <c r="AR74" s="323"/>
      <c r="AS74" s="369">
        <f t="shared" si="19"/>
        <v>0</v>
      </c>
      <c r="AV74" s="309" t="e">
        <f t="shared" si="18"/>
        <v>#DIV/0!</v>
      </c>
    </row>
    <row r="75" spans="1:48">
      <c r="A75" s="545"/>
      <c r="B75" s="441">
        <f t="shared" si="21"/>
        <v>730</v>
      </c>
      <c r="C75" s="433" t="str">
        <f>VLOOKUP(B75,'Tipos de Defeitos'!B76:E178,Menu!$B$24+1,)</f>
        <v>Causa Desconhecida - Voltagem</v>
      </c>
      <c r="D75" s="212"/>
      <c r="E75" s="212"/>
      <c r="F75" s="212"/>
      <c r="G75" s="212"/>
      <c r="H75" s="212"/>
      <c r="I75" s="212"/>
      <c r="J75" s="212"/>
      <c r="K75" s="212"/>
      <c r="L75" s="217"/>
      <c r="M75" s="217"/>
      <c r="N75" s="217"/>
      <c r="O75" s="217"/>
      <c r="P75" s="217"/>
      <c r="Q75" s="217"/>
      <c r="R75" s="217"/>
      <c r="S75" s="217"/>
      <c r="T75" s="217"/>
      <c r="U75" s="217"/>
      <c r="V75" s="217"/>
      <c r="W75" s="217"/>
      <c r="X75" s="217"/>
      <c r="Y75" s="217"/>
      <c r="Z75" s="217"/>
      <c r="AA75" s="217"/>
      <c r="AB75" s="217"/>
      <c r="AC75" s="217"/>
      <c r="AD75" s="217"/>
      <c r="AE75" s="217"/>
      <c r="AF75" s="217"/>
      <c r="AG75" s="217"/>
      <c r="AH75" s="217"/>
      <c r="AI75" s="217"/>
      <c r="AJ75" s="217"/>
      <c r="AK75" s="217"/>
      <c r="AL75" s="217"/>
      <c r="AM75" s="217"/>
      <c r="AN75" s="217"/>
      <c r="AO75" s="217"/>
      <c r="AP75" s="217"/>
      <c r="AQ75" s="217"/>
      <c r="AR75" s="323"/>
      <c r="AS75" s="369">
        <f t="shared" si="19"/>
        <v>0</v>
      </c>
      <c r="AV75" s="309" t="e">
        <f t="shared" si="18"/>
        <v>#DIV/0!</v>
      </c>
    </row>
    <row r="76" spans="1:48">
      <c r="A76" s="545"/>
      <c r="B76" s="441">
        <f t="shared" si="21"/>
        <v>740</v>
      </c>
      <c r="C76" s="433" t="str">
        <f>VLOOKUP(B76,'Tipos de Defeitos'!B77:E179,Menu!$B$24+1,)</f>
        <v>Pilha Boa</v>
      </c>
      <c r="D76" s="212"/>
      <c r="E76" s="212"/>
      <c r="F76" s="212"/>
      <c r="G76" s="212"/>
      <c r="H76" s="212"/>
      <c r="I76" s="212"/>
      <c r="J76" s="212"/>
      <c r="K76" s="212"/>
      <c r="L76" s="217"/>
      <c r="M76" s="217"/>
      <c r="N76" s="217"/>
      <c r="O76" s="217"/>
      <c r="P76" s="217"/>
      <c r="Q76" s="217"/>
      <c r="R76" s="217"/>
      <c r="S76" s="217"/>
      <c r="T76" s="217"/>
      <c r="U76" s="217"/>
      <c r="V76" s="217"/>
      <c r="W76" s="217"/>
      <c r="X76" s="217"/>
      <c r="Y76" s="217"/>
      <c r="Z76" s="217"/>
      <c r="AA76" s="217"/>
      <c r="AB76" s="217"/>
      <c r="AC76" s="217"/>
      <c r="AD76" s="217"/>
      <c r="AE76" s="217"/>
      <c r="AF76" s="217"/>
      <c r="AG76" s="217"/>
      <c r="AH76" s="217"/>
      <c r="AI76" s="217"/>
      <c r="AJ76" s="217"/>
      <c r="AK76" s="217"/>
      <c r="AL76" s="217"/>
      <c r="AM76" s="217"/>
      <c r="AN76" s="217"/>
      <c r="AO76" s="217"/>
      <c r="AP76" s="217"/>
      <c r="AQ76" s="217"/>
      <c r="AR76" s="323"/>
      <c r="AS76" s="369">
        <f t="shared" si="19"/>
        <v>0</v>
      </c>
      <c r="AV76" s="309" t="e">
        <f t="shared" si="18"/>
        <v>#DIV/0!</v>
      </c>
    </row>
    <row r="77" spans="1:48" ht="13.5" thickBot="1">
      <c r="A77" s="545"/>
      <c r="B77" s="444">
        <f t="shared" si="21"/>
        <v>750</v>
      </c>
      <c r="C77" s="435" t="str">
        <f>VLOOKUP(B77,'Tipos de Defeitos'!B78:E180,Menu!$B$24+1,)</f>
        <v>Outros - Voltagem</v>
      </c>
      <c r="D77" s="224"/>
      <c r="E77" s="224"/>
      <c r="F77" s="224"/>
      <c r="G77" s="224"/>
      <c r="H77" s="224"/>
      <c r="I77" s="224"/>
      <c r="J77" s="224"/>
      <c r="K77" s="224"/>
      <c r="L77" s="225"/>
      <c r="M77" s="225"/>
      <c r="N77" s="225"/>
      <c r="O77" s="225"/>
      <c r="P77" s="225"/>
      <c r="Q77" s="225"/>
      <c r="R77" s="225"/>
      <c r="S77" s="224"/>
      <c r="T77" s="225"/>
      <c r="U77" s="225"/>
      <c r="V77" s="225"/>
      <c r="W77" s="225"/>
      <c r="X77" s="225"/>
      <c r="Y77" s="225"/>
      <c r="Z77" s="225"/>
      <c r="AA77" s="225"/>
      <c r="AB77" s="225"/>
      <c r="AC77" s="225"/>
      <c r="AD77" s="225"/>
      <c r="AE77" s="225"/>
      <c r="AF77" s="225"/>
      <c r="AG77" s="225"/>
      <c r="AH77" s="225"/>
      <c r="AI77" s="225"/>
      <c r="AJ77" s="225"/>
      <c r="AK77" s="225"/>
      <c r="AL77" s="225"/>
      <c r="AM77" s="225"/>
      <c r="AN77" s="225"/>
      <c r="AO77" s="225"/>
      <c r="AP77" s="225"/>
      <c r="AQ77" s="225"/>
      <c r="AR77" s="347"/>
      <c r="AS77" s="369">
        <f t="shared" si="19"/>
        <v>0</v>
      </c>
      <c r="AV77" s="309" t="e">
        <f t="shared" si="18"/>
        <v>#DIV/0!</v>
      </c>
    </row>
    <row r="78" spans="1:48">
      <c r="A78" s="544" t="s">
        <v>99</v>
      </c>
      <c r="B78" s="440">
        <f t="shared" si="21"/>
        <v>760</v>
      </c>
      <c r="C78" s="426" t="str">
        <f>VLOOKUP(B78,'Tipos de Defeitos'!B79:E181,Menu!$B$24+1,)</f>
        <v>Total (pçs)</v>
      </c>
      <c r="D78" s="238">
        <f t="shared" ref="D78:G78" si="22">SUM(D28:D77)</f>
        <v>0</v>
      </c>
      <c r="E78" s="238">
        <f t="shared" si="22"/>
        <v>0</v>
      </c>
      <c r="F78" s="238">
        <f t="shared" si="22"/>
        <v>0</v>
      </c>
      <c r="G78" s="238">
        <f t="shared" si="22"/>
        <v>0</v>
      </c>
      <c r="H78" s="238">
        <f t="shared" ref="H78" si="23">SUM(H28:H77)</f>
        <v>0</v>
      </c>
      <c r="I78" s="238">
        <f t="shared" ref="I78:J78" si="24">SUM(I28:I77)</f>
        <v>0</v>
      </c>
      <c r="J78" s="238">
        <f t="shared" si="24"/>
        <v>0</v>
      </c>
      <c r="K78" s="238">
        <f t="shared" ref="K78:AR78" si="25">SUM(K28:K77)</f>
        <v>0</v>
      </c>
      <c r="L78" s="238">
        <f t="shared" si="25"/>
        <v>0</v>
      </c>
      <c r="M78" s="238">
        <f t="shared" si="25"/>
        <v>0</v>
      </c>
      <c r="N78" s="238">
        <f t="shared" ref="N78" si="26">SUM(N28:N77)</f>
        <v>0</v>
      </c>
      <c r="O78" s="238">
        <f t="shared" ref="O78:T78" si="27">SUM(O28:O77)</f>
        <v>0</v>
      </c>
      <c r="P78" s="238">
        <f t="shared" si="27"/>
        <v>0</v>
      </c>
      <c r="Q78" s="238">
        <f t="shared" si="27"/>
        <v>0</v>
      </c>
      <c r="R78" s="238">
        <f t="shared" si="27"/>
        <v>0</v>
      </c>
      <c r="S78" s="238">
        <f t="shared" si="27"/>
        <v>0</v>
      </c>
      <c r="T78" s="238">
        <f t="shared" si="27"/>
        <v>0</v>
      </c>
      <c r="U78" s="238">
        <f t="shared" si="25"/>
        <v>0</v>
      </c>
      <c r="V78" s="238">
        <f t="shared" si="25"/>
        <v>0</v>
      </c>
      <c r="W78" s="238">
        <f t="shared" si="25"/>
        <v>0</v>
      </c>
      <c r="X78" s="238">
        <f t="shared" si="25"/>
        <v>0</v>
      </c>
      <c r="Y78" s="238">
        <f t="shared" si="25"/>
        <v>0</v>
      </c>
      <c r="Z78" s="238">
        <f t="shared" si="25"/>
        <v>0</v>
      </c>
      <c r="AA78" s="238">
        <f t="shared" si="25"/>
        <v>0</v>
      </c>
      <c r="AB78" s="238">
        <f t="shared" ref="AB78:AD78" si="28">SUM(AB28:AB77)</f>
        <v>0</v>
      </c>
      <c r="AC78" s="238">
        <f t="shared" si="28"/>
        <v>0</v>
      </c>
      <c r="AD78" s="238">
        <f t="shared" si="28"/>
        <v>0</v>
      </c>
      <c r="AE78" s="238">
        <f t="shared" si="25"/>
        <v>0</v>
      </c>
      <c r="AF78" s="238">
        <f t="shared" ref="AF78" si="29">SUM(AF28:AF77)</f>
        <v>0</v>
      </c>
      <c r="AG78" s="238">
        <f t="shared" si="25"/>
        <v>0</v>
      </c>
      <c r="AH78" s="238">
        <f t="shared" si="25"/>
        <v>0</v>
      </c>
      <c r="AI78" s="238">
        <f t="shared" si="25"/>
        <v>0</v>
      </c>
      <c r="AJ78" s="238">
        <f t="shared" si="25"/>
        <v>0</v>
      </c>
      <c r="AK78" s="238">
        <f t="shared" si="25"/>
        <v>0</v>
      </c>
      <c r="AL78" s="238">
        <f t="shared" si="25"/>
        <v>0</v>
      </c>
      <c r="AM78" s="238">
        <f t="shared" si="25"/>
        <v>0</v>
      </c>
      <c r="AN78" s="238">
        <f t="shared" si="25"/>
        <v>0</v>
      </c>
      <c r="AO78" s="238">
        <f t="shared" si="25"/>
        <v>0</v>
      </c>
      <c r="AP78" s="238">
        <f t="shared" si="25"/>
        <v>0</v>
      </c>
      <c r="AQ78" s="238">
        <f t="shared" si="25"/>
        <v>0</v>
      </c>
      <c r="AR78" s="350">
        <f t="shared" si="25"/>
        <v>0</v>
      </c>
      <c r="AS78" s="376">
        <f t="shared" ref="AS78" si="30">SUM(AS28:AS77)</f>
        <v>0</v>
      </c>
    </row>
    <row r="79" spans="1:48">
      <c r="A79" s="545"/>
      <c r="B79" s="441">
        <f t="shared" si="21"/>
        <v>770</v>
      </c>
      <c r="C79" s="428" t="str">
        <f>VLOOKUP(B79,'Tipos de Defeitos'!B80:E182,Menu!$B$24+1,)</f>
        <v>1º Teste</v>
      </c>
      <c r="D79" s="240" t="str">
        <f t="shared" ref="D79:G79" si="31">IF(D23&gt;0,D23/D7*1000000,"")</f>
        <v/>
      </c>
      <c r="E79" s="240" t="str">
        <f t="shared" si="31"/>
        <v/>
      </c>
      <c r="F79" s="240" t="str">
        <f t="shared" si="31"/>
        <v/>
      </c>
      <c r="G79" s="240" t="str">
        <f t="shared" si="31"/>
        <v/>
      </c>
      <c r="H79" s="240" t="str">
        <f t="shared" ref="H79" si="32">IF(H23&gt;0,H23/H7*1000000,"")</f>
        <v/>
      </c>
      <c r="I79" s="240" t="str">
        <f t="shared" ref="I79:J79" si="33">IF(I23&gt;0,I23/I7*1000000,"")</f>
        <v/>
      </c>
      <c r="J79" s="240" t="str">
        <f t="shared" si="33"/>
        <v/>
      </c>
      <c r="K79" s="240" t="str">
        <f t="shared" ref="K79:AR79" si="34">IF(K23&gt;0,K23/K7*1000000,"")</f>
        <v/>
      </c>
      <c r="L79" s="240" t="str">
        <f t="shared" si="34"/>
        <v/>
      </c>
      <c r="M79" s="240" t="str">
        <f t="shared" si="34"/>
        <v/>
      </c>
      <c r="N79" s="240" t="str">
        <f t="shared" ref="N79" si="35">IF(N23&gt;0,N23/N7*1000000,"")</f>
        <v/>
      </c>
      <c r="O79" s="240" t="str">
        <f t="shared" ref="O79:T79" si="36">IF(O23&gt;0,O23/O7*1000000,"")</f>
        <v/>
      </c>
      <c r="P79" s="240" t="str">
        <f t="shared" si="36"/>
        <v/>
      </c>
      <c r="Q79" s="240" t="str">
        <f t="shared" si="36"/>
        <v/>
      </c>
      <c r="R79" s="240" t="str">
        <f t="shared" si="36"/>
        <v/>
      </c>
      <c r="S79" s="240" t="str">
        <f t="shared" si="36"/>
        <v/>
      </c>
      <c r="T79" s="240" t="str">
        <f t="shared" si="36"/>
        <v/>
      </c>
      <c r="U79" s="240" t="str">
        <f t="shared" si="34"/>
        <v/>
      </c>
      <c r="V79" s="240" t="str">
        <f t="shared" si="34"/>
        <v/>
      </c>
      <c r="W79" s="240" t="str">
        <f t="shared" si="34"/>
        <v/>
      </c>
      <c r="X79" s="240" t="str">
        <f t="shared" si="34"/>
        <v/>
      </c>
      <c r="Y79" s="240" t="str">
        <f t="shared" si="34"/>
        <v/>
      </c>
      <c r="Z79" s="240" t="str">
        <f t="shared" si="34"/>
        <v/>
      </c>
      <c r="AA79" s="240" t="str">
        <f t="shared" si="34"/>
        <v/>
      </c>
      <c r="AB79" s="240" t="str">
        <f t="shared" ref="AB79:AD79" si="37">IF(AB23&gt;0,AB23/AB7*1000000,"")</f>
        <v/>
      </c>
      <c r="AC79" s="240" t="str">
        <f t="shared" si="37"/>
        <v/>
      </c>
      <c r="AD79" s="240" t="str">
        <f t="shared" si="37"/>
        <v/>
      </c>
      <c r="AE79" s="240" t="str">
        <f t="shared" si="34"/>
        <v/>
      </c>
      <c r="AF79" s="240" t="str">
        <f t="shared" ref="AF79" si="38">IF(AF23&gt;0,AF23/AF7*1000000,"")</f>
        <v/>
      </c>
      <c r="AG79" s="240" t="str">
        <f t="shared" si="34"/>
        <v/>
      </c>
      <c r="AH79" s="240" t="str">
        <f t="shared" si="34"/>
        <v/>
      </c>
      <c r="AI79" s="240" t="str">
        <f t="shared" si="34"/>
        <v/>
      </c>
      <c r="AJ79" s="240" t="str">
        <f t="shared" si="34"/>
        <v/>
      </c>
      <c r="AK79" s="240" t="str">
        <f t="shared" si="34"/>
        <v/>
      </c>
      <c r="AL79" s="240" t="str">
        <f t="shared" si="34"/>
        <v/>
      </c>
      <c r="AM79" s="240" t="str">
        <f t="shared" si="34"/>
        <v/>
      </c>
      <c r="AN79" s="240" t="str">
        <f t="shared" si="34"/>
        <v/>
      </c>
      <c r="AO79" s="240" t="str">
        <f t="shared" si="34"/>
        <v/>
      </c>
      <c r="AP79" s="240" t="str">
        <f t="shared" si="34"/>
        <v/>
      </c>
      <c r="AQ79" s="240" t="str">
        <f t="shared" si="34"/>
        <v/>
      </c>
      <c r="AR79" s="287" t="str">
        <f t="shared" si="34"/>
        <v/>
      </c>
      <c r="AS79" s="377" t="str">
        <f>IF(AS7&gt;0,AS23/AS7*1000000,"")</f>
        <v/>
      </c>
    </row>
    <row r="80" spans="1:48">
      <c r="A80" s="545"/>
      <c r="B80" s="441">
        <f t="shared" si="21"/>
        <v>780</v>
      </c>
      <c r="C80" s="428" t="str">
        <f>VLOOKUP(B80,'Tipos de Defeitos'!B81:E183,Menu!$B$24+1,)</f>
        <v>Taxa defeituosa (ppm)</v>
      </c>
      <c r="D80" s="240" t="str">
        <f t="shared" ref="D80:G80" si="39">IF(D27&lt;&gt;0,D78/D27*D24/D7*1000000,"")</f>
        <v/>
      </c>
      <c r="E80" s="240" t="str">
        <f t="shared" si="39"/>
        <v/>
      </c>
      <c r="F80" s="240" t="str">
        <f t="shared" si="39"/>
        <v/>
      </c>
      <c r="G80" s="240" t="str">
        <f t="shared" si="39"/>
        <v/>
      </c>
      <c r="H80" s="240" t="str">
        <f t="shared" ref="H80" si="40">IF(H27&lt;&gt;0,H78/H27*H24/H7*1000000,"")</f>
        <v/>
      </c>
      <c r="I80" s="240" t="str">
        <f t="shared" ref="I80:J80" si="41">IF(I27&lt;&gt;0,I78/I27*I24/I7*1000000,"")</f>
        <v/>
      </c>
      <c r="J80" s="240" t="str">
        <f t="shared" si="41"/>
        <v/>
      </c>
      <c r="K80" s="240" t="str">
        <f t="shared" ref="K80:AR80" si="42">IF(K27&lt;&gt;0,K78/K27*K24/K7*1000000,"")</f>
        <v/>
      </c>
      <c r="L80" s="240" t="str">
        <f t="shared" si="42"/>
        <v/>
      </c>
      <c r="M80" s="240" t="str">
        <f t="shared" si="42"/>
        <v/>
      </c>
      <c r="N80" s="240" t="str">
        <f t="shared" ref="N80" si="43">IF(N27&lt;&gt;0,N78/N27*N24/N7*1000000,"")</f>
        <v/>
      </c>
      <c r="O80" s="240" t="str">
        <f t="shared" ref="O80:T80" si="44">IF(O27&lt;&gt;0,O78/O27*O24/O7*1000000,"")</f>
        <v/>
      </c>
      <c r="P80" s="240" t="str">
        <f t="shared" si="44"/>
        <v/>
      </c>
      <c r="Q80" s="240" t="str">
        <f t="shared" si="44"/>
        <v/>
      </c>
      <c r="R80" s="240" t="str">
        <f t="shared" si="44"/>
        <v/>
      </c>
      <c r="S80" s="240" t="str">
        <f t="shared" si="44"/>
        <v/>
      </c>
      <c r="T80" s="240" t="str">
        <f t="shared" si="44"/>
        <v/>
      </c>
      <c r="U80" s="240" t="str">
        <f t="shared" si="42"/>
        <v/>
      </c>
      <c r="V80" s="240" t="str">
        <f t="shared" si="42"/>
        <v/>
      </c>
      <c r="W80" s="240" t="str">
        <f t="shared" si="42"/>
        <v/>
      </c>
      <c r="X80" s="240" t="str">
        <f t="shared" si="42"/>
        <v/>
      </c>
      <c r="Y80" s="240" t="str">
        <f t="shared" si="42"/>
        <v/>
      </c>
      <c r="Z80" s="240" t="str">
        <f t="shared" si="42"/>
        <v/>
      </c>
      <c r="AA80" s="240" t="str">
        <f t="shared" si="42"/>
        <v/>
      </c>
      <c r="AB80" s="240" t="str">
        <f t="shared" ref="AB80:AD80" si="45">IF(AB27&lt;&gt;0,AB78/AB27*AB24/AB7*1000000,"")</f>
        <v/>
      </c>
      <c r="AC80" s="240" t="str">
        <f t="shared" si="45"/>
        <v/>
      </c>
      <c r="AD80" s="240" t="str">
        <f t="shared" si="45"/>
        <v/>
      </c>
      <c r="AE80" s="240" t="str">
        <f t="shared" si="42"/>
        <v/>
      </c>
      <c r="AF80" s="240" t="str">
        <f t="shared" ref="AF80" si="46">IF(AF27&lt;&gt;0,AF78/AF27*AF24/AF7*1000000,"")</f>
        <v/>
      </c>
      <c r="AG80" s="240" t="str">
        <f t="shared" si="42"/>
        <v/>
      </c>
      <c r="AH80" s="240" t="str">
        <f t="shared" si="42"/>
        <v/>
      </c>
      <c r="AI80" s="240" t="str">
        <f t="shared" si="42"/>
        <v/>
      </c>
      <c r="AJ80" s="240" t="str">
        <f t="shared" si="42"/>
        <v/>
      </c>
      <c r="AK80" s="240" t="str">
        <f t="shared" si="42"/>
        <v/>
      </c>
      <c r="AL80" s="240" t="str">
        <f t="shared" si="42"/>
        <v/>
      </c>
      <c r="AM80" s="240" t="str">
        <f t="shared" si="42"/>
        <v/>
      </c>
      <c r="AN80" s="240" t="str">
        <f t="shared" si="42"/>
        <v/>
      </c>
      <c r="AO80" s="240" t="str">
        <f t="shared" si="42"/>
        <v/>
      </c>
      <c r="AP80" s="240" t="str">
        <f t="shared" si="42"/>
        <v/>
      </c>
      <c r="AQ80" s="240" t="str">
        <f t="shared" si="42"/>
        <v/>
      </c>
      <c r="AR80" s="287" t="str">
        <f t="shared" si="42"/>
        <v/>
      </c>
      <c r="AS80" s="377">
        <f>IF(AS7&gt;0,AS78/AS27*AS24/AS7*1000000,0)</f>
        <v>0</v>
      </c>
    </row>
    <row r="81" spans="1:47">
      <c r="A81" s="545"/>
      <c r="B81" s="441">
        <f t="shared" si="21"/>
        <v>790</v>
      </c>
      <c r="C81" s="428" t="str">
        <f>VLOOKUP(B81,'Tipos de Defeitos'!B82:E184,Menu!$B$24+1,)</f>
        <v>Qtd. Defeitos internos (pçs)</v>
      </c>
      <c r="D81" s="171">
        <f t="shared" ref="D81:G81" si="47">SUM(D28:D71,D86:D98)</f>
        <v>0</v>
      </c>
      <c r="E81" s="171">
        <f t="shared" si="47"/>
        <v>0</v>
      </c>
      <c r="F81" s="171">
        <f t="shared" si="47"/>
        <v>0</v>
      </c>
      <c r="G81" s="171">
        <f t="shared" si="47"/>
        <v>0</v>
      </c>
      <c r="H81" s="171">
        <f t="shared" ref="H81" si="48">SUM(H28:H71,H86:H98)</f>
        <v>0</v>
      </c>
      <c r="I81" s="171">
        <f t="shared" ref="I81:AR81" si="49">SUM(I28:I71,I86:I98)</f>
        <v>0</v>
      </c>
      <c r="J81" s="171">
        <f t="shared" si="49"/>
        <v>0</v>
      </c>
      <c r="K81" s="171">
        <f t="shared" si="49"/>
        <v>0</v>
      </c>
      <c r="L81" s="171">
        <f t="shared" si="49"/>
        <v>0</v>
      </c>
      <c r="M81" s="171">
        <f t="shared" si="49"/>
        <v>0</v>
      </c>
      <c r="N81" s="171">
        <f t="shared" si="49"/>
        <v>0</v>
      </c>
      <c r="O81" s="171">
        <f t="shared" si="49"/>
        <v>0</v>
      </c>
      <c r="P81" s="171">
        <f t="shared" si="49"/>
        <v>0</v>
      </c>
      <c r="Q81" s="171">
        <f t="shared" si="49"/>
        <v>0</v>
      </c>
      <c r="R81" s="171">
        <f t="shared" si="49"/>
        <v>0</v>
      </c>
      <c r="S81" s="171">
        <f t="shared" si="49"/>
        <v>0</v>
      </c>
      <c r="T81" s="171">
        <f t="shared" si="49"/>
        <v>0</v>
      </c>
      <c r="U81" s="171">
        <f t="shared" si="49"/>
        <v>0</v>
      </c>
      <c r="V81" s="171">
        <f t="shared" si="49"/>
        <v>0</v>
      </c>
      <c r="W81" s="171">
        <f t="shared" si="49"/>
        <v>0</v>
      </c>
      <c r="X81" s="171">
        <f t="shared" si="49"/>
        <v>0</v>
      </c>
      <c r="Y81" s="171">
        <f t="shared" si="49"/>
        <v>0</v>
      </c>
      <c r="Z81" s="171">
        <f t="shared" si="49"/>
        <v>0</v>
      </c>
      <c r="AA81" s="171">
        <f t="shared" si="49"/>
        <v>0</v>
      </c>
      <c r="AB81" s="171">
        <f t="shared" si="49"/>
        <v>0</v>
      </c>
      <c r="AC81" s="171">
        <f t="shared" si="49"/>
        <v>0</v>
      </c>
      <c r="AD81" s="171">
        <f t="shared" si="49"/>
        <v>0</v>
      </c>
      <c r="AE81" s="171">
        <f t="shared" si="49"/>
        <v>0</v>
      </c>
      <c r="AF81" s="171">
        <f t="shared" si="49"/>
        <v>0</v>
      </c>
      <c r="AG81" s="171">
        <f t="shared" si="49"/>
        <v>0</v>
      </c>
      <c r="AH81" s="171">
        <f t="shared" si="49"/>
        <v>0</v>
      </c>
      <c r="AI81" s="171">
        <f t="shared" si="49"/>
        <v>0</v>
      </c>
      <c r="AJ81" s="171">
        <f t="shared" si="49"/>
        <v>0</v>
      </c>
      <c r="AK81" s="171">
        <f t="shared" si="49"/>
        <v>0</v>
      </c>
      <c r="AL81" s="171">
        <f t="shared" si="49"/>
        <v>0</v>
      </c>
      <c r="AM81" s="171">
        <f t="shared" si="49"/>
        <v>0</v>
      </c>
      <c r="AN81" s="171">
        <f t="shared" si="49"/>
        <v>0</v>
      </c>
      <c r="AO81" s="171">
        <f t="shared" si="49"/>
        <v>0</v>
      </c>
      <c r="AP81" s="171">
        <f t="shared" si="49"/>
        <v>0</v>
      </c>
      <c r="AQ81" s="171">
        <f t="shared" si="49"/>
        <v>0</v>
      </c>
      <c r="AR81" s="171">
        <f t="shared" si="49"/>
        <v>0</v>
      </c>
      <c r="AS81" s="204">
        <f t="shared" ref="AS81" si="50">SUM(AS28:AS67)</f>
        <v>0</v>
      </c>
    </row>
    <row r="82" spans="1:47" ht="13.5" thickBot="1">
      <c r="A82" s="546"/>
      <c r="B82" s="442">
        <f t="shared" si="21"/>
        <v>800</v>
      </c>
      <c r="C82" s="430" t="str">
        <f>VLOOKUP(B82,'Tipos de Defeitos'!B83:E185,Menu!$B$24+1,)</f>
        <v>Defeitos Internos - Taxa defeituosa (ppm)</v>
      </c>
      <c r="D82" s="242" t="str">
        <f t="shared" ref="D82:G82" si="51">IF(D24&gt;0,D81/D27*D24/D7*1000000,"")</f>
        <v/>
      </c>
      <c r="E82" s="242" t="str">
        <f t="shared" si="51"/>
        <v/>
      </c>
      <c r="F82" s="242" t="str">
        <f t="shared" si="51"/>
        <v/>
      </c>
      <c r="G82" s="242" t="str">
        <f t="shared" si="51"/>
        <v/>
      </c>
      <c r="H82" s="242" t="str">
        <f t="shared" ref="H82" si="52">IF(H24&gt;0,H81/H27*H24/H7*1000000,"")</f>
        <v/>
      </c>
      <c r="I82" s="242" t="str">
        <f t="shared" ref="I82:J82" si="53">IF(I24&gt;0,I81/I27*I24/I7*1000000,"")</f>
        <v/>
      </c>
      <c r="J82" s="242" t="str">
        <f t="shared" si="53"/>
        <v/>
      </c>
      <c r="K82" s="242" t="str">
        <f t="shared" ref="K82:AR82" si="54">IF(K24&gt;0,K81/K27*K24/K7*1000000,"")</f>
        <v/>
      </c>
      <c r="L82" s="242" t="str">
        <f t="shared" si="54"/>
        <v/>
      </c>
      <c r="M82" s="242" t="str">
        <f t="shared" si="54"/>
        <v/>
      </c>
      <c r="N82" s="242" t="str">
        <f t="shared" ref="N82" si="55">IF(N24&gt;0,N81/N27*N24/N7*1000000,"")</f>
        <v/>
      </c>
      <c r="O82" s="242" t="str">
        <f t="shared" ref="O82:T82" si="56">IF(O24&gt;0,O81/O27*O24/O7*1000000,"")</f>
        <v/>
      </c>
      <c r="P82" s="242" t="str">
        <f t="shared" si="56"/>
        <v/>
      </c>
      <c r="Q82" s="242" t="str">
        <f t="shared" si="56"/>
        <v/>
      </c>
      <c r="R82" s="242" t="str">
        <f t="shared" si="56"/>
        <v/>
      </c>
      <c r="S82" s="242" t="str">
        <f t="shared" si="56"/>
        <v/>
      </c>
      <c r="T82" s="242" t="str">
        <f t="shared" si="56"/>
        <v/>
      </c>
      <c r="U82" s="242" t="str">
        <f t="shared" si="54"/>
        <v/>
      </c>
      <c r="V82" s="242" t="str">
        <f t="shared" si="54"/>
        <v/>
      </c>
      <c r="W82" s="242" t="str">
        <f t="shared" si="54"/>
        <v/>
      </c>
      <c r="X82" s="242" t="str">
        <f t="shared" si="54"/>
        <v/>
      </c>
      <c r="Y82" s="242" t="str">
        <f t="shared" si="54"/>
        <v/>
      </c>
      <c r="Z82" s="242" t="str">
        <f t="shared" si="54"/>
        <v/>
      </c>
      <c r="AA82" s="242" t="str">
        <f t="shared" si="54"/>
        <v/>
      </c>
      <c r="AB82" s="242" t="str">
        <f t="shared" ref="AB82:AD82" si="57">IF(AB24&gt;0,AB81/AB27*AB24/AB7*1000000,"")</f>
        <v/>
      </c>
      <c r="AC82" s="242" t="str">
        <f t="shared" si="57"/>
        <v/>
      </c>
      <c r="AD82" s="242" t="str">
        <f t="shared" si="57"/>
        <v/>
      </c>
      <c r="AE82" s="242" t="str">
        <f t="shared" si="54"/>
        <v/>
      </c>
      <c r="AF82" s="242" t="str">
        <f t="shared" ref="AF82" si="58">IF(AF24&gt;0,AF81/AF27*AF24/AF7*1000000,"")</f>
        <v/>
      </c>
      <c r="AG82" s="242" t="str">
        <f t="shared" si="54"/>
        <v/>
      </c>
      <c r="AH82" s="242" t="str">
        <f t="shared" si="54"/>
        <v/>
      </c>
      <c r="AI82" s="242" t="str">
        <f t="shared" si="54"/>
        <v/>
      </c>
      <c r="AJ82" s="242" t="str">
        <f t="shared" si="54"/>
        <v/>
      </c>
      <c r="AK82" s="242" t="str">
        <f t="shared" si="54"/>
        <v/>
      </c>
      <c r="AL82" s="242" t="str">
        <f t="shared" si="54"/>
        <v/>
      </c>
      <c r="AM82" s="242" t="str">
        <f t="shared" si="54"/>
        <v/>
      </c>
      <c r="AN82" s="242" t="str">
        <f t="shared" si="54"/>
        <v/>
      </c>
      <c r="AO82" s="242" t="str">
        <f t="shared" si="54"/>
        <v/>
      </c>
      <c r="AP82" s="242" t="str">
        <f t="shared" si="54"/>
        <v/>
      </c>
      <c r="AQ82" s="242" t="str">
        <f t="shared" si="54"/>
        <v/>
      </c>
      <c r="AR82" s="288" t="str">
        <f t="shared" si="54"/>
        <v/>
      </c>
      <c r="AS82" s="378" t="str">
        <f t="shared" ref="AS82" si="59">IF(AS24&gt;0,AS81/AS27*AS24/AS7*1000000,"")</f>
        <v/>
      </c>
    </row>
    <row r="83" spans="1:47" ht="14.25" customHeight="1">
      <c r="A83" s="541" t="s">
        <v>214</v>
      </c>
      <c r="B83" s="440">
        <f t="shared" si="21"/>
        <v>810</v>
      </c>
      <c r="C83" s="426" t="str">
        <f>VLOOKUP(B83,'Tipos de Defeitos'!B84:E186,Menu!$B$24+1,)</f>
        <v>Amperagem (Moda)</v>
      </c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3"/>
      <c r="U83" s="243"/>
      <c r="V83" s="243"/>
      <c r="W83" s="243"/>
      <c r="X83" s="243"/>
      <c r="Y83" s="243"/>
      <c r="Z83" s="243"/>
      <c r="AA83" s="243"/>
      <c r="AB83" s="243"/>
      <c r="AC83" s="243"/>
      <c r="AD83" s="243"/>
      <c r="AE83" s="243"/>
      <c r="AF83" s="243"/>
      <c r="AG83" s="243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353"/>
      <c r="AS83" s="379" t="e">
        <f>AVERAGE(D83:AR83)</f>
        <v>#DIV/0!</v>
      </c>
    </row>
    <row r="84" spans="1:47">
      <c r="A84" s="542"/>
      <c r="B84" s="441">
        <f t="shared" si="21"/>
        <v>820</v>
      </c>
      <c r="C84" s="428" t="str">
        <f>VLOOKUP(B84,'Tipos de Defeitos'!B85:E187,Menu!$B$24+1,)</f>
        <v>Amperagem Ajustada</v>
      </c>
      <c r="D84" s="244" t="str">
        <f t="shared" ref="D84:G84" si="60">IF(D83&gt;0,D83-1," ")</f>
        <v xml:space="preserve"> </v>
      </c>
      <c r="E84" s="244" t="str">
        <f t="shared" si="60"/>
        <v xml:space="preserve"> </v>
      </c>
      <c r="F84" s="244" t="str">
        <f t="shared" si="60"/>
        <v xml:space="preserve"> </v>
      </c>
      <c r="G84" s="244" t="str">
        <f t="shared" si="60"/>
        <v xml:space="preserve"> </v>
      </c>
      <c r="H84" s="244" t="str">
        <f t="shared" ref="H84" si="61">IF(H83&gt;0,H83-1," ")</f>
        <v xml:space="preserve"> </v>
      </c>
      <c r="I84" s="244" t="str">
        <f t="shared" ref="I84:J84" si="62">IF(I83&gt;0,I83-1," ")</f>
        <v xml:space="preserve"> </v>
      </c>
      <c r="J84" s="244" t="str">
        <f t="shared" si="62"/>
        <v xml:space="preserve"> </v>
      </c>
      <c r="K84" s="244" t="str">
        <f t="shared" ref="K84:AR84" si="63">IF(K83&gt;0,K83-1," ")</f>
        <v xml:space="preserve"> </v>
      </c>
      <c r="L84" s="244" t="str">
        <f t="shared" si="63"/>
        <v xml:space="preserve"> </v>
      </c>
      <c r="M84" s="244" t="str">
        <f t="shared" si="63"/>
        <v xml:space="preserve"> </v>
      </c>
      <c r="N84" s="244" t="str">
        <f t="shared" si="63"/>
        <v xml:space="preserve"> </v>
      </c>
      <c r="O84" s="244" t="str">
        <f t="shared" ref="O84:T84" si="64">IF(O83&gt;0,O83-1," ")</f>
        <v xml:space="preserve"> </v>
      </c>
      <c r="P84" s="244" t="str">
        <f t="shared" si="64"/>
        <v xml:space="preserve"> </v>
      </c>
      <c r="Q84" s="244" t="str">
        <f t="shared" si="64"/>
        <v xml:space="preserve"> </v>
      </c>
      <c r="R84" s="244" t="str">
        <f t="shared" si="64"/>
        <v xml:space="preserve"> </v>
      </c>
      <c r="S84" s="244" t="str">
        <f t="shared" si="64"/>
        <v xml:space="preserve"> </v>
      </c>
      <c r="T84" s="244" t="str">
        <f t="shared" si="64"/>
        <v xml:space="preserve"> </v>
      </c>
      <c r="U84" s="244" t="str">
        <f t="shared" si="63"/>
        <v xml:space="preserve"> </v>
      </c>
      <c r="V84" s="244" t="str">
        <f t="shared" si="63"/>
        <v xml:space="preserve"> </v>
      </c>
      <c r="W84" s="244" t="str">
        <f t="shared" si="63"/>
        <v xml:space="preserve"> </v>
      </c>
      <c r="X84" s="244" t="str">
        <f t="shared" si="63"/>
        <v xml:space="preserve"> </v>
      </c>
      <c r="Y84" s="244" t="str">
        <f t="shared" si="63"/>
        <v xml:space="preserve"> </v>
      </c>
      <c r="Z84" s="244" t="str">
        <f t="shared" si="63"/>
        <v xml:space="preserve"> </v>
      </c>
      <c r="AA84" s="244" t="str">
        <f t="shared" si="63"/>
        <v xml:space="preserve"> </v>
      </c>
      <c r="AB84" s="244" t="str">
        <f t="shared" ref="AB84:AD84" si="65">IF(AB83&gt;0,AB83-1," ")</f>
        <v xml:space="preserve"> </v>
      </c>
      <c r="AC84" s="244" t="str">
        <f t="shared" si="65"/>
        <v xml:space="preserve"> </v>
      </c>
      <c r="AD84" s="244" t="str">
        <f t="shared" si="65"/>
        <v xml:space="preserve"> </v>
      </c>
      <c r="AE84" s="244" t="str">
        <f t="shared" si="63"/>
        <v xml:space="preserve"> </v>
      </c>
      <c r="AF84" s="244" t="str">
        <f t="shared" ref="AF84" si="66">IF(AF83&gt;0,AF83-1," ")</f>
        <v xml:space="preserve"> </v>
      </c>
      <c r="AG84" s="244" t="str">
        <f t="shared" si="63"/>
        <v xml:space="preserve"> </v>
      </c>
      <c r="AH84" s="244" t="str">
        <f t="shared" si="63"/>
        <v xml:space="preserve"> </v>
      </c>
      <c r="AI84" s="244" t="str">
        <f t="shared" si="63"/>
        <v xml:space="preserve"> </v>
      </c>
      <c r="AJ84" s="244" t="str">
        <f t="shared" si="63"/>
        <v xml:space="preserve"> </v>
      </c>
      <c r="AK84" s="244" t="str">
        <f t="shared" si="63"/>
        <v xml:space="preserve"> </v>
      </c>
      <c r="AL84" s="244" t="str">
        <f t="shared" si="63"/>
        <v xml:space="preserve"> </v>
      </c>
      <c r="AM84" s="244" t="str">
        <f t="shared" si="63"/>
        <v xml:space="preserve"> </v>
      </c>
      <c r="AN84" s="244" t="str">
        <f t="shared" si="63"/>
        <v xml:space="preserve"> </v>
      </c>
      <c r="AO84" s="244" t="str">
        <f t="shared" si="63"/>
        <v xml:space="preserve"> </v>
      </c>
      <c r="AP84" s="244" t="str">
        <f t="shared" si="63"/>
        <v xml:space="preserve"> </v>
      </c>
      <c r="AQ84" s="244" t="str">
        <f t="shared" si="63"/>
        <v xml:space="preserve"> </v>
      </c>
      <c r="AR84" s="354" t="str">
        <f t="shared" si="63"/>
        <v xml:space="preserve"> </v>
      </c>
      <c r="AS84" s="380" t="e">
        <f>AS83-1</f>
        <v>#DIV/0!</v>
      </c>
    </row>
    <row r="85" spans="1:47" ht="13.5" thickBot="1">
      <c r="A85" s="543"/>
      <c r="B85" s="444">
        <f t="shared" si="21"/>
        <v>830</v>
      </c>
      <c r="C85" s="436" t="str">
        <f>VLOOKUP(B85,'Tipos de Defeitos'!B86:E188,Menu!$B$24+1,)</f>
        <v>Qtd Baterias analisadas (pçs)</v>
      </c>
      <c r="D85" s="245">
        <f t="shared" ref="D85:G85" si="67">D103</f>
        <v>0</v>
      </c>
      <c r="E85" s="245">
        <f t="shared" si="67"/>
        <v>0</v>
      </c>
      <c r="F85" s="245">
        <f t="shared" si="67"/>
        <v>0</v>
      </c>
      <c r="G85" s="245">
        <f t="shared" si="67"/>
        <v>0</v>
      </c>
      <c r="H85" s="245">
        <f t="shared" ref="H85" si="68">H103</f>
        <v>0</v>
      </c>
      <c r="I85" s="245">
        <f t="shared" ref="I85:J85" si="69">I103</f>
        <v>0</v>
      </c>
      <c r="J85" s="245">
        <f t="shared" si="69"/>
        <v>0</v>
      </c>
      <c r="K85" s="245">
        <f t="shared" ref="K85:AR85" si="70">K103</f>
        <v>0</v>
      </c>
      <c r="L85" s="245">
        <f t="shared" si="70"/>
        <v>0</v>
      </c>
      <c r="M85" s="245">
        <f t="shared" si="70"/>
        <v>0</v>
      </c>
      <c r="N85" s="245">
        <f t="shared" ref="N85" si="71">N103</f>
        <v>0</v>
      </c>
      <c r="O85" s="245">
        <f t="shared" ref="O85:T85" si="72">O103</f>
        <v>0</v>
      </c>
      <c r="P85" s="245">
        <f t="shared" si="72"/>
        <v>0</v>
      </c>
      <c r="Q85" s="245">
        <f t="shared" si="72"/>
        <v>0</v>
      </c>
      <c r="R85" s="245">
        <f t="shared" si="72"/>
        <v>0</v>
      </c>
      <c r="S85" s="245">
        <f t="shared" si="72"/>
        <v>0</v>
      </c>
      <c r="T85" s="245">
        <f t="shared" si="72"/>
        <v>0</v>
      </c>
      <c r="U85" s="245">
        <f t="shared" si="70"/>
        <v>0</v>
      </c>
      <c r="V85" s="245">
        <f t="shared" si="70"/>
        <v>0</v>
      </c>
      <c r="W85" s="245">
        <f t="shared" si="70"/>
        <v>0</v>
      </c>
      <c r="X85" s="245">
        <f t="shared" si="70"/>
        <v>0</v>
      </c>
      <c r="Y85" s="245">
        <f t="shared" si="70"/>
        <v>0</v>
      </c>
      <c r="Z85" s="245">
        <f t="shared" si="70"/>
        <v>0</v>
      </c>
      <c r="AA85" s="245">
        <f t="shared" si="70"/>
        <v>0</v>
      </c>
      <c r="AB85" s="245">
        <f t="shared" ref="AB85:AD85" si="73">AB103</f>
        <v>0</v>
      </c>
      <c r="AC85" s="245">
        <f t="shared" si="73"/>
        <v>0</v>
      </c>
      <c r="AD85" s="245">
        <f t="shared" si="73"/>
        <v>0</v>
      </c>
      <c r="AE85" s="245">
        <f t="shared" si="70"/>
        <v>0</v>
      </c>
      <c r="AF85" s="245">
        <f t="shared" ref="AF85" si="74">AF103</f>
        <v>0</v>
      </c>
      <c r="AG85" s="245">
        <f t="shared" si="70"/>
        <v>0</v>
      </c>
      <c r="AH85" s="245">
        <f t="shared" si="70"/>
        <v>0</v>
      </c>
      <c r="AI85" s="245">
        <f t="shared" si="70"/>
        <v>0</v>
      </c>
      <c r="AJ85" s="245">
        <f t="shared" si="70"/>
        <v>0</v>
      </c>
      <c r="AK85" s="245">
        <f t="shared" si="70"/>
        <v>0</v>
      </c>
      <c r="AL85" s="245">
        <f t="shared" si="70"/>
        <v>0</v>
      </c>
      <c r="AM85" s="245">
        <f t="shared" si="70"/>
        <v>0</v>
      </c>
      <c r="AN85" s="245">
        <f t="shared" si="70"/>
        <v>0</v>
      </c>
      <c r="AO85" s="245">
        <f t="shared" si="70"/>
        <v>0</v>
      </c>
      <c r="AP85" s="245">
        <f t="shared" si="70"/>
        <v>0</v>
      </c>
      <c r="AQ85" s="245">
        <f t="shared" si="70"/>
        <v>0</v>
      </c>
      <c r="AR85" s="355">
        <f t="shared" si="70"/>
        <v>0</v>
      </c>
      <c r="AS85" s="381">
        <f t="shared" ref="AS85:AS103" si="75">SUM(D85:AR85)</f>
        <v>0</v>
      </c>
    </row>
    <row r="86" spans="1:47">
      <c r="A86" s="544" t="s">
        <v>22</v>
      </c>
      <c r="B86" s="440">
        <f t="shared" si="21"/>
        <v>840</v>
      </c>
      <c r="C86" s="437" t="str">
        <f>VLOOKUP(B86,'Tipos de Defeitos'!B87:E189,Menu!$B$24+1,)</f>
        <v>Papel Separdor Duplo</v>
      </c>
      <c r="D86" s="227"/>
      <c r="E86" s="227"/>
      <c r="F86" s="227"/>
      <c r="G86" s="227"/>
      <c r="H86" s="227"/>
      <c r="I86" s="227"/>
      <c r="J86" s="227"/>
      <c r="K86" s="227"/>
      <c r="L86" s="227"/>
      <c r="M86" s="227"/>
      <c r="N86" s="227"/>
      <c r="O86" s="227"/>
      <c r="P86" s="227"/>
      <c r="Q86" s="227"/>
      <c r="R86" s="227"/>
      <c r="S86" s="227"/>
      <c r="T86" s="227"/>
      <c r="U86" s="227"/>
      <c r="V86" s="227"/>
      <c r="W86" s="227"/>
      <c r="X86" s="227"/>
      <c r="Y86" s="227"/>
      <c r="Z86" s="227"/>
      <c r="AA86" s="227"/>
      <c r="AB86" s="227"/>
      <c r="AC86" s="227"/>
      <c r="AD86" s="227"/>
      <c r="AE86" s="227"/>
      <c r="AF86" s="227"/>
      <c r="AG86" s="227"/>
      <c r="AH86" s="227"/>
      <c r="AI86" s="227"/>
      <c r="AJ86" s="227"/>
      <c r="AK86" s="227"/>
      <c r="AL86" s="227"/>
      <c r="AM86" s="227"/>
      <c r="AN86" s="227"/>
      <c r="AO86" s="227"/>
      <c r="AP86" s="227"/>
      <c r="AQ86" s="227"/>
      <c r="AR86" s="348"/>
      <c r="AS86" s="375">
        <f t="shared" si="75"/>
        <v>0</v>
      </c>
    </row>
    <row r="87" spans="1:47">
      <c r="A87" s="545"/>
      <c r="B87" s="441">
        <f t="shared" si="21"/>
        <v>850</v>
      </c>
      <c r="C87" s="433" t="str">
        <f>VLOOKUP(B87,'Tipos de Defeitos'!B88:E190,Menu!$B$24+1,)</f>
        <v>Pedra de Negro</v>
      </c>
      <c r="D87" s="212"/>
      <c r="E87" s="212"/>
      <c r="F87" s="212"/>
      <c r="G87" s="212"/>
      <c r="H87" s="212"/>
      <c r="I87" s="212"/>
      <c r="J87" s="212"/>
      <c r="K87" s="212"/>
      <c r="L87" s="212"/>
      <c r="M87" s="212"/>
      <c r="N87" s="212"/>
      <c r="O87" s="212"/>
      <c r="P87" s="212"/>
      <c r="Q87" s="212"/>
      <c r="R87" s="212"/>
      <c r="S87" s="212"/>
      <c r="T87" s="212"/>
      <c r="U87" s="212"/>
      <c r="V87" s="212"/>
      <c r="W87" s="212"/>
      <c r="X87" s="212"/>
      <c r="Y87" s="212"/>
      <c r="Z87" s="212"/>
      <c r="AA87" s="212"/>
      <c r="AB87" s="212"/>
      <c r="AC87" s="212"/>
      <c r="AD87" s="212"/>
      <c r="AE87" s="212"/>
      <c r="AF87" s="212"/>
      <c r="AG87" s="212"/>
      <c r="AH87" s="212"/>
      <c r="AI87" s="212"/>
      <c r="AJ87" s="212"/>
      <c r="AK87" s="212"/>
      <c r="AL87" s="212"/>
      <c r="AM87" s="212"/>
      <c r="AN87" s="212"/>
      <c r="AO87" s="212"/>
      <c r="AP87" s="212"/>
      <c r="AQ87" s="212"/>
      <c r="AR87" s="323"/>
      <c r="AS87" s="369">
        <f t="shared" si="75"/>
        <v>0</v>
      </c>
      <c r="AU87" s="304" t="s">
        <v>106</v>
      </c>
    </row>
    <row r="88" spans="1:47">
      <c r="A88" s="545"/>
      <c r="B88" s="441">
        <f t="shared" si="21"/>
        <v>860</v>
      </c>
      <c r="C88" s="433" t="str">
        <f>VLOOKUP(B88,'Tipos de Defeitos'!B89:E191,Menu!$B$24+1,)</f>
        <v>Pedra de Cl de Amônia</v>
      </c>
      <c r="D88" s="212"/>
      <c r="E88" s="212"/>
      <c r="F88" s="212"/>
      <c r="G88" s="212"/>
      <c r="H88" s="212"/>
      <c r="I88" s="212"/>
      <c r="J88" s="212"/>
      <c r="K88" s="212"/>
      <c r="L88" s="212"/>
      <c r="M88" s="212"/>
      <c r="N88" s="212"/>
      <c r="O88" s="212"/>
      <c r="P88" s="212"/>
      <c r="Q88" s="212"/>
      <c r="R88" s="212"/>
      <c r="S88" s="212"/>
      <c r="T88" s="212"/>
      <c r="U88" s="212"/>
      <c r="V88" s="212"/>
      <c r="W88" s="212"/>
      <c r="X88" s="212"/>
      <c r="Y88" s="212"/>
      <c r="Z88" s="212"/>
      <c r="AA88" s="212"/>
      <c r="AB88" s="212"/>
      <c r="AC88" s="212"/>
      <c r="AD88" s="212"/>
      <c r="AE88" s="212"/>
      <c r="AF88" s="212"/>
      <c r="AG88" s="212"/>
      <c r="AH88" s="212"/>
      <c r="AI88" s="212"/>
      <c r="AJ88" s="212"/>
      <c r="AK88" s="212"/>
      <c r="AL88" s="212"/>
      <c r="AM88" s="212"/>
      <c r="AN88" s="212"/>
      <c r="AO88" s="212"/>
      <c r="AP88" s="212"/>
      <c r="AQ88" s="212"/>
      <c r="AR88" s="323"/>
      <c r="AS88" s="369">
        <f t="shared" si="75"/>
        <v>0</v>
      </c>
    </row>
    <row r="89" spans="1:47">
      <c r="A89" s="545"/>
      <c r="B89" s="441">
        <f t="shared" si="21"/>
        <v>870</v>
      </c>
      <c r="C89" s="433" t="str">
        <f>VLOOKUP(B89,'Tipos de Defeitos'!B90:E192,Menu!$B$24+1,)</f>
        <v>Pelota de Manganês</v>
      </c>
      <c r="D89" s="212"/>
      <c r="E89" s="212"/>
      <c r="F89" s="212"/>
      <c r="G89" s="212"/>
      <c r="H89" s="212"/>
      <c r="I89" s="212"/>
      <c r="J89" s="212"/>
      <c r="K89" s="212"/>
      <c r="L89" s="212"/>
      <c r="M89" s="212"/>
      <c r="N89" s="212"/>
      <c r="O89" s="212"/>
      <c r="P89" s="212"/>
      <c r="Q89" s="212"/>
      <c r="R89" s="212"/>
      <c r="S89" s="212"/>
      <c r="T89" s="212"/>
      <c r="U89" s="212"/>
      <c r="V89" s="212"/>
      <c r="W89" s="212"/>
      <c r="X89" s="212"/>
      <c r="Y89" s="212"/>
      <c r="Z89" s="212"/>
      <c r="AA89" s="212"/>
      <c r="AB89" s="212"/>
      <c r="AC89" s="212"/>
      <c r="AD89" s="212"/>
      <c r="AE89" s="212"/>
      <c r="AF89" s="212"/>
      <c r="AG89" s="212"/>
      <c r="AH89" s="212"/>
      <c r="AI89" s="212"/>
      <c r="AJ89" s="212"/>
      <c r="AK89" s="212"/>
      <c r="AL89" s="212"/>
      <c r="AM89" s="212"/>
      <c r="AN89" s="212"/>
      <c r="AO89" s="212"/>
      <c r="AP89" s="212"/>
      <c r="AQ89" s="212"/>
      <c r="AR89" s="323"/>
      <c r="AS89" s="369">
        <f t="shared" si="75"/>
        <v>0</v>
      </c>
    </row>
    <row r="90" spans="1:47">
      <c r="A90" s="545"/>
      <c r="B90" s="441">
        <f t="shared" si="21"/>
        <v>880</v>
      </c>
      <c r="C90" s="433" t="str">
        <f>VLOOKUP(B90,'Tipos de Defeitos'!B91:E193,Menu!$B$24+1,)</f>
        <v>Bobina Baixa A</v>
      </c>
      <c r="D90" s="212"/>
      <c r="E90" s="212"/>
      <c r="F90" s="212"/>
      <c r="G90" s="212"/>
      <c r="H90" s="212"/>
      <c r="I90" s="212"/>
      <c r="J90" s="212"/>
      <c r="K90" s="212"/>
      <c r="L90" s="212"/>
      <c r="M90" s="212"/>
      <c r="N90" s="212"/>
      <c r="O90" s="212"/>
      <c r="P90" s="212"/>
      <c r="Q90" s="212"/>
      <c r="R90" s="212"/>
      <c r="S90" s="212"/>
      <c r="T90" s="212"/>
      <c r="U90" s="212"/>
      <c r="V90" s="212"/>
      <c r="W90" s="212"/>
      <c r="X90" s="212"/>
      <c r="Y90" s="212"/>
      <c r="Z90" s="212"/>
      <c r="AA90" s="212"/>
      <c r="AB90" s="212"/>
      <c r="AC90" s="212"/>
      <c r="AD90" s="212"/>
      <c r="AE90" s="212"/>
      <c r="AF90" s="212"/>
      <c r="AG90" s="212"/>
      <c r="AH90" s="212"/>
      <c r="AI90" s="212"/>
      <c r="AJ90" s="212"/>
      <c r="AK90" s="212"/>
      <c r="AL90" s="212"/>
      <c r="AM90" s="212"/>
      <c r="AN90" s="212"/>
      <c r="AO90" s="212"/>
      <c r="AP90" s="212"/>
      <c r="AQ90" s="212"/>
      <c r="AR90" s="323"/>
      <c r="AS90" s="369">
        <f t="shared" si="75"/>
        <v>0</v>
      </c>
    </row>
    <row r="91" spans="1:47">
      <c r="A91" s="545"/>
      <c r="B91" s="441">
        <f t="shared" si="21"/>
        <v>890</v>
      </c>
      <c r="C91" s="433" t="str">
        <f>VLOOKUP(B91,'Tipos de Defeitos'!B92:E194,Menu!$B$24+1,)</f>
        <v>Bobina Rachada</v>
      </c>
      <c r="D91" s="212"/>
      <c r="E91" s="212"/>
      <c r="F91" s="212"/>
      <c r="G91" s="212"/>
      <c r="H91" s="212"/>
      <c r="I91" s="212"/>
      <c r="J91" s="212"/>
      <c r="K91" s="212"/>
      <c r="L91" s="212"/>
      <c r="M91" s="212"/>
      <c r="N91" s="212"/>
      <c r="O91" s="212"/>
      <c r="P91" s="212"/>
      <c r="Q91" s="212"/>
      <c r="R91" s="212"/>
      <c r="S91" s="212"/>
      <c r="T91" s="212"/>
      <c r="U91" s="212"/>
      <c r="V91" s="212"/>
      <c r="W91" s="212"/>
      <c r="X91" s="212"/>
      <c r="Y91" s="212"/>
      <c r="Z91" s="212"/>
      <c r="AA91" s="212"/>
      <c r="AB91" s="212"/>
      <c r="AC91" s="212"/>
      <c r="AD91" s="212"/>
      <c r="AE91" s="212"/>
      <c r="AF91" s="212"/>
      <c r="AG91" s="212"/>
      <c r="AH91" s="212"/>
      <c r="AI91" s="212"/>
      <c r="AJ91" s="212"/>
      <c r="AK91" s="212"/>
      <c r="AL91" s="212"/>
      <c r="AM91" s="212"/>
      <c r="AN91" s="212"/>
      <c r="AO91" s="212"/>
      <c r="AP91" s="212"/>
      <c r="AQ91" s="212"/>
      <c r="AR91" s="323"/>
      <c r="AS91" s="369">
        <f t="shared" si="75"/>
        <v>0</v>
      </c>
    </row>
    <row r="92" spans="1:47">
      <c r="A92" s="545"/>
      <c r="B92" s="441">
        <f t="shared" si="21"/>
        <v>900</v>
      </c>
      <c r="C92" s="433" t="str">
        <f>VLOOKUP(B92,'Tipos de Defeitos'!B93:E195,Menu!$B$24+1,)</f>
        <v>Emenda de Papel</v>
      </c>
      <c r="D92" s="212"/>
      <c r="E92" s="212"/>
      <c r="F92" s="212"/>
      <c r="G92" s="212"/>
      <c r="H92" s="212"/>
      <c r="I92" s="212"/>
      <c r="J92" s="212"/>
      <c r="K92" s="212"/>
      <c r="L92" s="212"/>
      <c r="M92" s="212"/>
      <c r="N92" s="212"/>
      <c r="O92" s="212"/>
      <c r="P92" s="212"/>
      <c r="Q92" s="212"/>
      <c r="R92" s="212"/>
      <c r="S92" s="212"/>
      <c r="T92" s="212"/>
      <c r="U92" s="212"/>
      <c r="V92" s="212"/>
      <c r="W92" s="212"/>
      <c r="X92" s="212"/>
      <c r="Y92" s="212"/>
      <c r="Z92" s="212"/>
      <c r="AA92" s="212"/>
      <c r="AB92" s="212"/>
      <c r="AC92" s="212"/>
      <c r="AD92" s="212"/>
      <c r="AE92" s="212"/>
      <c r="AF92" s="212"/>
      <c r="AG92" s="212"/>
      <c r="AH92" s="212"/>
      <c r="AI92" s="212"/>
      <c r="AJ92" s="212"/>
      <c r="AK92" s="212"/>
      <c r="AL92" s="212"/>
      <c r="AM92" s="212"/>
      <c r="AN92" s="212"/>
      <c r="AO92" s="212"/>
      <c r="AP92" s="212"/>
      <c r="AQ92" s="212"/>
      <c r="AR92" s="323"/>
      <c r="AS92" s="369">
        <f t="shared" si="75"/>
        <v>0</v>
      </c>
    </row>
    <row r="93" spans="1:47">
      <c r="A93" s="545"/>
      <c r="B93" s="441">
        <f t="shared" si="21"/>
        <v>910</v>
      </c>
      <c r="C93" s="433" t="str">
        <f>VLOOKUP(B93,'Tipos de Defeitos'!B94:E196,Menu!$B$24+1,)</f>
        <v>Carvão Quebrado A</v>
      </c>
      <c r="D93" s="212"/>
      <c r="E93" s="212"/>
      <c r="F93" s="212"/>
      <c r="G93" s="212"/>
      <c r="H93" s="212"/>
      <c r="I93" s="212"/>
      <c r="J93" s="212"/>
      <c r="K93" s="212"/>
      <c r="L93" s="212"/>
      <c r="M93" s="212"/>
      <c r="N93" s="212"/>
      <c r="O93" s="212"/>
      <c r="P93" s="212"/>
      <c r="Q93" s="212"/>
      <c r="R93" s="212"/>
      <c r="S93" s="212"/>
      <c r="T93" s="212"/>
      <c r="U93" s="212"/>
      <c r="V93" s="212"/>
      <c r="W93" s="212"/>
      <c r="X93" s="212"/>
      <c r="Y93" s="212"/>
      <c r="Z93" s="212"/>
      <c r="AA93" s="212"/>
      <c r="AB93" s="212"/>
      <c r="AC93" s="212"/>
      <c r="AD93" s="212"/>
      <c r="AE93" s="212"/>
      <c r="AF93" s="212"/>
      <c r="AG93" s="212"/>
      <c r="AH93" s="212"/>
      <c r="AI93" s="212"/>
      <c r="AJ93" s="212"/>
      <c r="AK93" s="212"/>
      <c r="AL93" s="212"/>
      <c r="AM93" s="212"/>
      <c r="AN93" s="212"/>
      <c r="AO93" s="212"/>
      <c r="AP93" s="212"/>
      <c r="AQ93" s="212"/>
      <c r="AR93" s="323"/>
      <c r="AS93" s="369">
        <f t="shared" si="75"/>
        <v>0</v>
      </c>
    </row>
    <row r="94" spans="1:47">
      <c r="A94" s="545"/>
      <c r="B94" s="441">
        <f t="shared" si="21"/>
        <v>920</v>
      </c>
      <c r="C94" s="433" t="str">
        <f>VLOOKUP(B94,'Tipos de Defeitos'!B95:E197,Menu!$B$24+1,)</f>
        <v>Metade do Carvão</v>
      </c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2"/>
      <c r="P94" s="212"/>
      <c r="Q94" s="212"/>
      <c r="R94" s="212"/>
      <c r="S94" s="212"/>
      <c r="T94" s="212"/>
      <c r="U94" s="212"/>
      <c r="V94" s="212"/>
      <c r="W94" s="212"/>
      <c r="X94" s="212"/>
      <c r="Y94" s="212"/>
      <c r="Z94" s="212"/>
      <c r="AA94" s="212"/>
      <c r="AB94" s="212"/>
      <c r="AC94" s="212"/>
      <c r="AD94" s="212"/>
      <c r="AE94" s="212"/>
      <c r="AF94" s="212"/>
      <c r="AG94" s="212"/>
      <c r="AH94" s="212"/>
      <c r="AI94" s="212"/>
      <c r="AJ94" s="212"/>
      <c r="AK94" s="212"/>
      <c r="AL94" s="212"/>
      <c r="AM94" s="212"/>
      <c r="AN94" s="212"/>
      <c r="AO94" s="212"/>
      <c r="AP94" s="212"/>
      <c r="AQ94" s="212"/>
      <c r="AR94" s="323"/>
      <c r="AS94" s="369">
        <f t="shared" si="75"/>
        <v>0</v>
      </c>
    </row>
    <row r="95" spans="1:47">
      <c r="A95" s="545"/>
      <c r="B95" s="441">
        <f t="shared" si="21"/>
        <v>930</v>
      </c>
      <c r="C95" s="433" t="str">
        <f>VLOOKUP(B95,'Tipos de Defeitos'!B96:E198,Menu!$B$24+1,)</f>
        <v>Carvão Frouxo</v>
      </c>
      <c r="D95" s="212"/>
      <c r="E95" s="212"/>
      <c r="F95" s="212"/>
      <c r="G95" s="212"/>
      <c r="H95" s="212"/>
      <c r="I95" s="212"/>
      <c r="J95" s="212"/>
      <c r="K95" s="212"/>
      <c r="L95" s="212"/>
      <c r="M95" s="212"/>
      <c r="N95" s="212"/>
      <c r="O95" s="212"/>
      <c r="P95" s="212"/>
      <c r="Q95" s="212"/>
      <c r="R95" s="212"/>
      <c r="S95" s="212"/>
      <c r="T95" s="212"/>
      <c r="U95" s="212"/>
      <c r="V95" s="212"/>
      <c r="W95" s="212"/>
      <c r="X95" s="212"/>
      <c r="Y95" s="212"/>
      <c r="Z95" s="212"/>
      <c r="AA95" s="212"/>
      <c r="AB95" s="212"/>
      <c r="AC95" s="212"/>
      <c r="AD95" s="212"/>
      <c r="AE95" s="212"/>
      <c r="AF95" s="212"/>
      <c r="AG95" s="212"/>
      <c r="AH95" s="212"/>
      <c r="AI95" s="212"/>
      <c r="AJ95" s="212"/>
      <c r="AK95" s="212"/>
      <c r="AL95" s="212"/>
      <c r="AM95" s="212"/>
      <c r="AN95" s="212"/>
      <c r="AO95" s="212"/>
      <c r="AP95" s="212"/>
      <c r="AQ95" s="212"/>
      <c r="AR95" s="323"/>
      <c r="AS95" s="369">
        <f t="shared" si="75"/>
        <v>0</v>
      </c>
    </row>
    <row r="96" spans="1:47">
      <c r="A96" s="545"/>
      <c r="B96" s="441">
        <f t="shared" si="21"/>
        <v>940</v>
      </c>
      <c r="C96" s="433" t="str">
        <f>VLOOKUP(B96,'Tipos de Defeitos'!B97:E199,Menu!$B$24+1,)</f>
        <v>Tubo de Zinco Sujo</v>
      </c>
      <c r="D96" s="212"/>
      <c r="E96" s="212"/>
      <c r="F96" s="212"/>
      <c r="G96" s="212"/>
      <c r="H96" s="212"/>
      <c r="I96" s="212"/>
      <c r="J96" s="212"/>
      <c r="K96" s="212"/>
      <c r="L96" s="212"/>
      <c r="M96" s="212"/>
      <c r="N96" s="212"/>
      <c r="O96" s="212"/>
      <c r="P96" s="212"/>
      <c r="Q96" s="212"/>
      <c r="R96" s="212"/>
      <c r="S96" s="212"/>
      <c r="T96" s="212"/>
      <c r="U96" s="212"/>
      <c r="V96" s="212"/>
      <c r="W96" s="212"/>
      <c r="X96" s="212"/>
      <c r="Y96" s="212"/>
      <c r="Z96" s="212"/>
      <c r="AA96" s="212"/>
      <c r="AB96" s="212"/>
      <c r="AC96" s="212"/>
      <c r="AD96" s="212"/>
      <c r="AE96" s="212"/>
      <c r="AF96" s="212"/>
      <c r="AG96" s="212"/>
      <c r="AH96" s="212"/>
      <c r="AI96" s="212"/>
      <c r="AJ96" s="212"/>
      <c r="AK96" s="212"/>
      <c r="AL96" s="212"/>
      <c r="AM96" s="212"/>
      <c r="AN96" s="212"/>
      <c r="AO96" s="212"/>
      <c r="AP96" s="212"/>
      <c r="AQ96" s="212"/>
      <c r="AR96" s="323"/>
      <c r="AS96" s="369">
        <f t="shared" si="75"/>
        <v>0</v>
      </c>
    </row>
    <row r="97" spans="1:45">
      <c r="A97" s="545"/>
      <c r="B97" s="441">
        <f t="shared" si="21"/>
        <v>950</v>
      </c>
      <c r="C97" s="433" t="str">
        <f>VLOOKUP(B97,'Tipos de Defeitos'!B98:E200,Menu!$B$24+1,)</f>
        <v>Contem estranho</v>
      </c>
      <c r="D97" s="212"/>
      <c r="E97" s="212"/>
      <c r="F97" s="212"/>
      <c r="G97" s="212"/>
      <c r="H97" s="212"/>
      <c r="I97" s="212"/>
      <c r="J97" s="212"/>
      <c r="K97" s="212"/>
      <c r="L97" s="212"/>
      <c r="M97" s="212"/>
      <c r="N97" s="212"/>
      <c r="O97" s="212"/>
      <c r="P97" s="212"/>
      <c r="Q97" s="212"/>
      <c r="R97" s="212"/>
      <c r="S97" s="212"/>
      <c r="T97" s="212"/>
      <c r="U97" s="212"/>
      <c r="V97" s="212"/>
      <c r="W97" s="212"/>
      <c r="X97" s="212"/>
      <c r="Y97" s="212"/>
      <c r="Z97" s="212"/>
      <c r="AA97" s="212"/>
      <c r="AB97" s="212"/>
      <c r="AC97" s="212"/>
      <c r="AD97" s="212"/>
      <c r="AE97" s="212"/>
      <c r="AF97" s="212"/>
      <c r="AG97" s="212"/>
      <c r="AH97" s="212"/>
      <c r="AI97" s="212"/>
      <c r="AJ97" s="212"/>
      <c r="AK97" s="212"/>
      <c r="AL97" s="212"/>
      <c r="AM97" s="212"/>
      <c r="AN97" s="212"/>
      <c r="AO97" s="212"/>
      <c r="AP97" s="212"/>
      <c r="AQ97" s="212"/>
      <c r="AR97" s="323"/>
      <c r="AS97" s="369">
        <f t="shared" si="75"/>
        <v>0</v>
      </c>
    </row>
    <row r="98" spans="1:45">
      <c r="A98" s="545"/>
      <c r="B98" s="441">
        <f t="shared" si="21"/>
        <v>960</v>
      </c>
      <c r="C98" s="433" t="str">
        <f>VLOOKUP(B98,'Tipos de Defeitos'!B99:E201,Menu!$B$24+1,)</f>
        <v>Mistura seca</v>
      </c>
      <c r="D98" s="212"/>
      <c r="E98" s="212"/>
      <c r="F98" s="212"/>
      <c r="G98" s="212"/>
      <c r="H98" s="212"/>
      <c r="I98" s="212"/>
      <c r="J98" s="212"/>
      <c r="K98" s="212"/>
      <c r="L98" s="212"/>
      <c r="M98" s="212"/>
      <c r="N98" s="212"/>
      <c r="O98" s="212"/>
      <c r="P98" s="212"/>
      <c r="Q98" s="212"/>
      <c r="R98" s="212"/>
      <c r="S98" s="212"/>
      <c r="T98" s="212"/>
      <c r="U98" s="212"/>
      <c r="V98" s="212"/>
      <c r="W98" s="212"/>
      <c r="X98" s="212"/>
      <c r="Y98" s="212"/>
      <c r="Z98" s="212"/>
      <c r="AA98" s="212"/>
      <c r="AB98" s="212"/>
      <c r="AC98" s="212"/>
      <c r="AD98" s="212"/>
      <c r="AE98" s="212"/>
      <c r="AF98" s="212"/>
      <c r="AG98" s="212"/>
      <c r="AH98" s="212"/>
      <c r="AI98" s="212"/>
      <c r="AJ98" s="212"/>
      <c r="AK98" s="212"/>
      <c r="AL98" s="212"/>
      <c r="AM98" s="212"/>
      <c r="AN98" s="212"/>
      <c r="AO98" s="212"/>
      <c r="AP98" s="212"/>
      <c r="AQ98" s="212"/>
      <c r="AR98" s="323"/>
      <c r="AS98" s="369">
        <f t="shared" si="75"/>
        <v>0</v>
      </c>
    </row>
    <row r="99" spans="1:45">
      <c r="A99" s="545"/>
      <c r="B99" s="441">
        <f t="shared" si="21"/>
        <v>970</v>
      </c>
      <c r="C99" s="433" t="str">
        <f>VLOOKUP(B99,'Tipos de Defeitos'!B100:E202,Menu!$B$24+1,)</f>
        <v>Bottom Plate Amassado</v>
      </c>
      <c r="D99" s="212"/>
      <c r="E99" s="212"/>
      <c r="F99" s="212"/>
      <c r="G99" s="212"/>
      <c r="H99" s="212"/>
      <c r="I99" s="212"/>
      <c r="J99" s="212"/>
      <c r="K99" s="212"/>
      <c r="L99" s="212"/>
      <c r="M99" s="212"/>
      <c r="N99" s="212"/>
      <c r="O99" s="212"/>
      <c r="P99" s="212"/>
      <c r="Q99" s="212"/>
      <c r="R99" s="212"/>
      <c r="S99" s="212"/>
      <c r="T99" s="212"/>
      <c r="U99" s="212"/>
      <c r="V99" s="212"/>
      <c r="W99" s="212"/>
      <c r="X99" s="212"/>
      <c r="Y99" s="212"/>
      <c r="Z99" s="212"/>
      <c r="AA99" s="212"/>
      <c r="AB99" s="212"/>
      <c r="AC99" s="212"/>
      <c r="AD99" s="212"/>
      <c r="AE99" s="212"/>
      <c r="AF99" s="212"/>
      <c r="AG99" s="212"/>
      <c r="AH99" s="212"/>
      <c r="AI99" s="212"/>
      <c r="AJ99" s="212"/>
      <c r="AK99" s="212"/>
      <c r="AL99" s="212"/>
      <c r="AM99" s="212"/>
      <c r="AN99" s="212"/>
      <c r="AO99" s="212"/>
      <c r="AP99" s="212"/>
      <c r="AQ99" s="212"/>
      <c r="AR99" s="323"/>
      <c r="AS99" s="369">
        <f t="shared" si="75"/>
        <v>0</v>
      </c>
    </row>
    <row r="100" spans="1:45">
      <c r="A100" s="545"/>
      <c r="B100" s="441">
        <f t="shared" si="21"/>
        <v>980</v>
      </c>
      <c r="C100" s="433" t="str">
        <f>VLOOKUP(B100,'Tipos de Defeitos'!B101:E203,Menu!$B$24+1,)</f>
        <v>PVC Comprido</v>
      </c>
      <c r="D100" s="212"/>
      <c r="E100" s="212"/>
      <c r="F100" s="212"/>
      <c r="G100" s="212"/>
      <c r="H100" s="212"/>
      <c r="I100" s="212"/>
      <c r="J100" s="212"/>
      <c r="K100" s="212"/>
      <c r="L100" s="212"/>
      <c r="M100" s="212"/>
      <c r="N100" s="212"/>
      <c r="O100" s="212"/>
      <c r="P100" s="212"/>
      <c r="Q100" s="212"/>
      <c r="R100" s="212"/>
      <c r="S100" s="212"/>
      <c r="T100" s="212"/>
      <c r="U100" s="212"/>
      <c r="V100" s="212"/>
      <c r="W100" s="212"/>
      <c r="X100" s="212"/>
      <c r="Y100" s="212"/>
      <c r="Z100" s="212"/>
      <c r="AA100" s="212"/>
      <c r="AB100" s="212"/>
      <c r="AC100" s="212"/>
      <c r="AD100" s="212"/>
      <c r="AE100" s="212"/>
      <c r="AF100" s="212"/>
      <c r="AG100" s="212"/>
      <c r="AH100" s="212"/>
      <c r="AI100" s="212"/>
      <c r="AJ100" s="212"/>
      <c r="AK100" s="212"/>
      <c r="AL100" s="212"/>
      <c r="AM100" s="212"/>
      <c r="AN100" s="212"/>
      <c r="AO100" s="212"/>
      <c r="AP100" s="212"/>
      <c r="AQ100" s="212"/>
      <c r="AR100" s="323"/>
      <c r="AS100" s="369">
        <f t="shared" si="75"/>
        <v>0</v>
      </c>
    </row>
    <row r="101" spans="1:45">
      <c r="A101" s="545"/>
      <c r="B101" s="441">
        <f t="shared" si="21"/>
        <v>990</v>
      </c>
      <c r="C101" s="433" t="str">
        <f>VLOOKUP(B101,'Tipos de Defeitos'!B102:E204,Menu!$B$24+1,)</f>
        <v>Causa Desconhecida - Amperagem</v>
      </c>
      <c r="D101" s="212"/>
      <c r="E101" s="212"/>
      <c r="F101" s="212"/>
      <c r="G101" s="212"/>
      <c r="H101" s="212"/>
      <c r="I101" s="212"/>
      <c r="J101" s="212"/>
      <c r="K101" s="212"/>
      <c r="L101" s="212"/>
      <c r="M101" s="212"/>
      <c r="N101" s="212"/>
      <c r="O101" s="212"/>
      <c r="P101" s="212"/>
      <c r="Q101" s="212"/>
      <c r="R101" s="212"/>
      <c r="S101" s="212"/>
      <c r="T101" s="212"/>
      <c r="U101" s="212"/>
      <c r="V101" s="212"/>
      <c r="W101" s="212"/>
      <c r="X101" s="212"/>
      <c r="Y101" s="212"/>
      <c r="Z101" s="212"/>
      <c r="AA101" s="212"/>
      <c r="AB101" s="212"/>
      <c r="AC101" s="212"/>
      <c r="AD101" s="212"/>
      <c r="AE101" s="212"/>
      <c r="AF101" s="212"/>
      <c r="AG101" s="212"/>
      <c r="AH101" s="212"/>
      <c r="AI101" s="212"/>
      <c r="AJ101" s="212"/>
      <c r="AK101" s="212"/>
      <c r="AL101" s="212"/>
      <c r="AM101" s="212"/>
      <c r="AN101" s="212"/>
      <c r="AO101" s="212"/>
      <c r="AP101" s="212"/>
      <c r="AQ101" s="212"/>
      <c r="AR101" s="323"/>
      <c r="AS101" s="369">
        <f t="shared" si="75"/>
        <v>0</v>
      </c>
    </row>
    <row r="102" spans="1:45" ht="13.5" thickBot="1">
      <c r="A102" s="546"/>
      <c r="B102" s="444">
        <f t="shared" si="21"/>
        <v>1000</v>
      </c>
      <c r="C102" s="435" t="str">
        <f>VLOOKUP(B102,'Tipos de Defeitos'!B103:E205,Menu!$B$24+1,)</f>
        <v>Outros - Amperagem</v>
      </c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24"/>
      <c r="S102" s="224"/>
      <c r="T102" s="224"/>
      <c r="U102" s="224"/>
      <c r="V102" s="224"/>
      <c r="W102" s="224"/>
      <c r="X102" s="224"/>
      <c r="Y102" s="224"/>
      <c r="Z102" s="224"/>
      <c r="AA102" s="224"/>
      <c r="AB102" s="224"/>
      <c r="AC102" s="224"/>
      <c r="AD102" s="224"/>
      <c r="AE102" s="224"/>
      <c r="AF102" s="224"/>
      <c r="AG102" s="224"/>
      <c r="AH102" s="224"/>
      <c r="AI102" s="224"/>
      <c r="AJ102" s="224"/>
      <c r="AK102" s="224"/>
      <c r="AL102" s="224"/>
      <c r="AM102" s="224"/>
      <c r="AN102" s="224"/>
      <c r="AO102" s="224"/>
      <c r="AP102" s="224"/>
      <c r="AQ102" s="224"/>
      <c r="AR102" s="347"/>
      <c r="AS102" s="370">
        <f t="shared" si="75"/>
        <v>0</v>
      </c>
    </row>
    <row r="103" spans="1:45">
      <c r="A103" s="547" t="s">
        <v>99</v>
      </c>
      <c r="B103" s="440">
        <f t="shared" si="21"/>
        <v>1010</v>
      </c>
      <c r="C103" s="437" t="str">
        <f>VLOOKUP(B103,'Tipos de Defeitos'!B104:E206,Menu!$B$24+1,)</f>
        <v>Total</v>
      </c>
      <c r="D103" s="231">
        <f t="shared" ref="D103:G103" si="76">SUM(D86:D102)</f>
        <v>0</v>
      </c>
      <c r="E103" s="231">
        <f t="shared" si="76"/>
        <v>0</v>
      </c>
      <c r="F103" s="231">
        <f t="shared" si="76"/>
        <v>0</v>
      </c>
      <c r="G103" s="231">
        <f t="shared" si="76"/>
        <v>0</v>
      </c>
      <c r="H103" s="231">
        <f t="shared" ref="H103" si="77">SUM(H86:H102)</f>
        <v>0</v>
      </c>
      <c r="I103" s="231">
        <f t="shared" ref="I103:J103" si="78">SUM(I86:I102)</f>
        <v>0</v>
      </c>
      <c r="J103" s="231">
        <f t="shared" si="78"/>
        <v>0</v>
      </c>
      <c r="K103" s="231">
        <f t="shared" ref="K103:AR103" si="79">SUM(K86:K102)</f>
        <v>0</v>
      </c>
      <c r="L103" s="231">
        <f t="shared" si="79"/>
        <v>0</v>
      </c>
      <c r="M103" s="231">
        <f t="shared" si="79"/>
        <v>0</v>
      </c>
      <c r="N103" s="231">
        <f t="shared" ref="N103" si="80">SUM(N86:N102)</f>
        <v>0</v>
      </c>
      <c r="O103" s="231">
        <f t="shared" ref="O103:T103" si="81">SUM(O86:O102)</f>
        <v>0</v>
      </c>
      <c r="P103" s="231">
        <f t="shared" si="81"/>
        <v>0</v>
      </c>
      <c r="Q103" s="231">
        <f t="shared" si="81"/>
        <v>0</v>
      </c>
      <c r="R103" s="231">
        <f t="shared" si="81"/>
        <v>0</v>
      </c>
      <c r="S103" s="231">
        <f t="shared" si="81"/>
        <v>0</v>
      </c>
      <c r="T103" s="231">
        <f t="shared" si="81"/>
        <v>0</v>
      </c>
      <c r="U103" s="231">
        <f t="shared" si="79"/>
        <v>0</v>
      </c>
      <c r="V103" s="231">
        <f t="shared" si="79"/>
        <v>0</v>
      </c>
      <c r="W103" s="231">
        <f t="shared" si="79"/>
        <v>0</v>
      </c>
      <c r="X103" s="231">
        <f t="shared" si="79"/>
        <v>0</v>
      </c>
      <c r="Y103" s="231">
        <f t="shared" si="79"/>
        <v>0</v>
      </c>
      <c r="Z103" s="231">
        <f t="shared" si="79"/>
        <v>0</v>
      </c>
      <c r="AA103" s="231">
        <f t="shared" si="79"/>
        <v>0</v>
      </c>
      <c r="AB103" s="231">
        <f t="shared" ref="AB103:AD103" si="82">SUM(AB86:AB102)</f>
        <v>0</v>
      </c>
      <c r="AC103" s="231">
        <f t="shared" si="82"/>
        <v>0</v>
      </c>
      <c r="AD103" s="231">
        <f t="shared" si="82"/>
        <v>0</v>
      </c>
      <c r="AE103" s="231">
        <f t="shared" si="79"/>
        <v>0</v>
      </c>
      <c r="AF103" s="231">
        <f t="shared" ref="AF103" si="83">SUM(AF86:AF102)</f>
        <v>0</v>
      </c>
      <c r="AG103" s="231">
        <f t="shared" si="79"/>
        <v>0</v>
      </c>
      <c r="AH103" s="231">
        <f t="shared" si="79"/>
        <v>0</v>
      </c>
      <c r="AI103" s="231">
        <f t="shared" si="79"/>
        <v>0</v>
      </c>
      <c r="AJ103" s="231">
        <f t="shared" si="79"/>
        <v>0</v>
      </c>
      <c r="AK103" s="231">
        <f t="shared" si="79"/>
        <v>0</v>
      </c>
      <c r="AL103" s="231">
        <f t="shared" si="79"/>
        <v>0</v>
      </c>
      <c r="AM103" s="231">
        <f t="shared" si="79"/>
        <v>0</v>
      </c>
      <c r="AN103" s="231">
        <f t="shared" si="79"/>
        <v>0</v>
      </c>
      <c r="AO103" s="231">
        <f t="shared" si="79"/>
        <v>0</v>
      </c>
      <c r="AP103" s="231">
        <f t="shared" si="79"/>
        <v>0</v>
      </c>
      <c r="AQ103" s="231">
        <f t="shared" si="79"/>
        <v>0</v>
      </c>
      <c r="AR103" s="360">
        <f t="shared" si="79"/>
        <v>0</v>
      </c>
      <c r="AS103" s="375">
        <f t="shared" si="75"/>
        <v>0</v>
      </c>
    </row>
    <row r="104" spans="1:45">
      <c r="A104" s="548"/>
      <c r="B104" s="441">
        <f t="shared" si="21"/>
        <v>1020</v>
      </c>
      <c r="C104" s="433" t="str">
        <f>VLOOKUP(B104,'Tipos de Defeitos'!B105:E207,Menu!$B$24+1,)</f>
        <v>Taxa defeituosa (ppm)</v>
      </c>
      <c r="D104" s="229" t="str">
        <f t="shared" ref="D104:G104" si="84">IF(D27&lt;&gt;0,D103/D27*D24/D22*1000000,"")</f>
        <v/>
      </c>
      <c r="E104" s="229" t="str">
        <f t="shared" si="84"/>
        <v/>
      </c>
      <c r="F104" s="229" t="str">
        <f t="shared" si="84"/>
        <v/>
      </c>
      <c r="G104" s="229" t="str">
        <f t="shared" si="84"/>
        <v/>
      </c>
      <c r="H104" s="229" t="str">
        <f t="shared" ref="H104" si="85">IF(H27&lt;&gt;0,H103/H27*H24/H22*1000000,"")</f>
        <v/>
      </c>
      <c r="I104" s="229" t="str">
        <f t="shared" ref="I104:J104" si="86">IF(I27&lt;&gt;0,I103/I27*I24/I22*1000000,"")</f>
        <v/>
      </c>
      <c r="J104" s="229" t="str">
        <f t="shared" si="86"/>
        <v/>
      </c>
      <c r="K104" s="229" t="str">
        <f t="shared" ref="K104:AR104" si="87">IF(K27&lt;&gt;0,K103/K27*K24/K22*1000000,"")</f>
        <v/>
      </c>
      <c r="L104" s="229" t="str">
        <f t="shared" si="87"/>
        <v/>
      </c>
      <c r="M104" s="229" t="str">
        <f t="shared" si="87"/>
        <v/>
      </c>
      <c r="N104" s="229" t="str">
        <f t="shared" ref="N104" si="88">IF(N27&lt;&gt;0,N103/N27*N24/N22*1000000,"")</f>
        <v/>
      </c>
      <c r="O104" s="229" t="str">
        <f t="shared" ref="O104:T104" si="89">IF(O27&lt;&gt;0,O103/O27*O24/O22*1000000,"")</f>
        <v/>
      </c>
      <c r="P104" s="229" t="str">
        <f t="shared" si="89"/>
        <v/>
      </c>
      <c r="Q104" s="229" t="str">
        <f t="shared" si="89"/>
        <v/>
      </c>
      <c r="R104" s="229" t="str">
        <f t="shared" si="89"/>
        <v/>
      </c>
      <c r="S104" s="229" t="str">
        <f t="shared" si="89"/>
        <v/>
      </c>
      <c r="T104" s="229" t="str">
        <f t="shared" si="89"/>
        <v/>
      </c>
      <c r="U104" s="229" t="str">
        <f t="shared" si="87"/>
        <v/>
      </c>
      <c r="V104" s="229" t="str">
        <f t="shared" si="87"/>
        <v/>
      </c>
      <c r="W104" s="229" t="str">
        <f t="shared" si="87"/>
        <v/>
      </c>
      <c r="X104" s="229" t="str">
        <f t="shared" si="87"/>
        <v/>
      </c>
      <c r="Y104" s="229" t="str">
        <f t="shared" si="87"/>
        <v/>
      </c>
      <c r="Z104" s="229" t="str">
        <f t="shared" si="87"/>
        <v/>
      </c>
      <c r="AA104" s="229" t="str">
        <f t="shared" si="87"/>
        <v/>
      </c>
      <c r="AB104" s="229" t="str">
        <f t="shared" ref="AB104:AD104" si="90">IF(AB27&lt;&gt;0,AB103/AB27*AB24/AB22*1000000,"")</f>
        <v/>
      </c>
      <c r="AC104" s="229" t="str">
        <f t="shared" si="90"/>
        <v/>
      </c>
      <c r="AD104" s="229" t="str">
        <f t="shared" si="90"/>
        <v/>
      </c>
      <c r="AE104" s="229" t="str">
        <f t="shared" si="87"/>
        <v/>
      </c>
      <c r="AF104" s="229" t="str">
        <f t="shared" ref="AF104" si="91">IF(AF27&lt;&gt;0,AF103/AF27*AF24/AF22*1000000,"")</f>
        <v/>
      </c>
      <c r="AG104" s="229" t="str">
        <f t="shared" si="87"/>
        <v/>
      </c>
      <c r="AH104" s="229" t="str">
        <f t="shared" si="87"/>
        <v/>
      </c>
      <c r="AI104" s="229" t="str">
        <f t="shared" si="87"/>
        <v/>
      </c>
      <c r="AJ104" s="229" t="str">
        <f t="shared" si="87"/>
        <v/>
      </c>
      <c r="AK104" s="229" t="str">
        <f t="shared" si="87"/>
        <v/>
      </c>
      <c r="AL104" s="229" t="str">
        <f t="shared" si="87"/>
        <v/>
      </c>
      <c r="AM104" s="229" t="str">
        <f t="shared" si="87"/>
        <v/>
      </c>
      <c r="AN104" s="229" t="str">
        <f t="shared" si="87"/>
        <v/>
      </c>
      <c r="AO104" s="229" t="str">
        <f t="shared" si="87"/>
        <v/>
      </c>
      <c r="AP104" s="229" t="str">
        <f t="shared" si="87"/>
        <v/>
      </c>
      <c r="AQ104" s="229" t="str">
        <f t="shared" si="87"/>
        <v/>
      </c>
      <c r="AR104" s="358" t="str">
        <f t="shared" si="87"/>
        <v/>
      </c>
      <c r="AS104" s="383">
        <f>IF(AS103&gt;0,AS103/AS27*AS24/AS7*1000000,0)</f>
        <v>0</v>
      </c>
    </row>
    <row r="105" spans="1:45" ht="13.5" thickBot="1">
      <c r="A105" s="549"/>
      <c r="B105" s="442">
        <f t="shared" si="21"/>
        <v>1030</v>
      </c>
      <c r="C105" s="438" t="str">
        <f>VLOOKUP(B105,'Tipos de Defeitos'!B106:E208,Menu!$B$24+1,)</f>
        <v>Taxa Defeituosa Total (ppm)</v>
      </c>
      <c r="D105" s="233" t="str">
        <f t="shared" ref="D105:G105" si="92">IF(D24&gt;0,D24/D7*1000000,"")</f>
        <v/>
      </c>
      <c r="E105" s="233" t="str">
        <f t="shared" si="92"/>
        <v/>
      </c>
      <c r="F105" s="233" t="str">
        <f t="shared" si="92"/>
        <v/>
      </c>
      <c r="G105" s="233" t="str">
        <f t="shared" si="92"/>
        <v/>
      </c>
      <c r="H105" s="233" t="str">
        <f t="shared" ref="H105" si="93">IF(H24&gt;0,H24/H7*1000000,"")</f>
        <v/>
      </c>
      <c r="I105" s="233" t="str">
        <f t="shared" ref="I105:J105" si="94">IF(I24&gt;0,I24/I7*1000000,"")</f>
        <v/>
      </c>
      <c r="J105" s="233" t="str">
        <f t="shared" si="94"/>
        <v/>
      </c>
      <c r="K105" s="233" t="str">
        <f t="shared" ref="K105:AR105" si="95">IF(K24&gt;0,K24/K7*1000000,"")</f>
        <v/>
      </c>
      <c r="L105" s="233" t="str">
        <f t="shared" si="95"/>
        <v/>
      </c>
      <c r="M105" s="233" t="str">
        <f t="shared" si="95"/>
        <v/>
      </c>
      <c r="N105" s="233" t="str">
        <f t="shared" ref="N105" si="96">IF(N24&gt;0,N24/N7*1000000,"")</f>
        <v/>
      </c>
      <c r="O105" s="233" t="str">
        <f t="shared" ref="O105:T105" si="97">IF(O24&gt;0,O24/O7*1000000,"")</f>
        <v/>
      </c>
      <c r="P105" s="233" t="str">
        <f t="shared" si="97"/>
        <v/>
      </c>
      <c r="Q105" s="233" t="str">
        <f t="shared" si="97"/>
        <v/>
      </c>
      <c r="R105" s="233" t="str">
        <f t="shared" si="97"/>
        <v/>
      </c>
      <c r="S105" s="233" t="str">
        <f t="shared" si="97"/>
        <v/>
      </c>
      <c r="T105" s="233" t="str">
        <f t="shared" si="97"/>
        <v/>
      </c>
      <c r="U105" s="233" t="str">
        <f t="shared" si="95"/>
        <v/>
      </c>
      <c r="V105" s="233" t="str">
        <f t="shared" si="95"/>
        <v/>
      </c>
      <c r="W105" s="233" t="str">
        <f t="shared" si="95"/>
        <v/>
      </c>
      <c r="X105" s="233" t="str">
        <f t="shared" si="95"/>
        <v/>
      </c>
      <c r="Y105" s="233" t="str">
        <f t="shared" si="95"/>
        <v/>
      </c>
      <c r="Z105" s="233" t="str">
        <f t="shared" si="95"/>
        <v/>
      </c>
      <c r="AA105" s="233" t="str">
        <f t="shared" si="95"/>
        <v/>
      </c>
      <c r="AB105" s="233" t="str">
        <f t="shared" ref="AB105:AD105" si="98">IF(AB24&gt;0,AB24/AB7*1000000,"")</f>
        <v/>
      </c>
      <c r="AC105" s="233" t="str">
        <f t="shared" si="98"/>
        <v/>
      </c>
      <c r="AD105" s="233" t="str">
        <f t="shared" si="98"/>
        <v/>
      </c>
      <c r="AE105" s="233" t="str">
        <f t="shared" si="95"/>
        <v/>
      </c>
      <c r="AF105" s="233" t="str">
        <f t="shared" ref="AF105" si="99">IF(AF24&gt;0,AF24/AF7*1000000,"")</f>
        <v/>
      </c>
      <c r="AG105" s="233" t="str">
        <f t="shared" si="95"/>
        <v/>
      </c>
      <c r="AH105" s="233" t="str">
        <f t="shared" si="95"/>
        <v/>
      </c>
      <c r="AI105" s="233" t="str">
        <f t="shared" si="95"/>
        <v/>
      </c>
      <c r="AJ105" s="233" t="str">
        <f t="shared" si="95"/>
        <v/>
      </c>
      <c r="AK105" s="233" t="str">
        <f t="shared" si="95"/>
        <v/>
      </c>
      <c r="AL105" s="233" t="str">
        <f t="shared" si="95"/>
        <v/>
      </c>
      <c r="AM105" s="233" t="str">
        <f t="shared" si="95"/>
        <v/>
      </c>
      <c r="AN105" s="233" t="str">
        <f t="shared" si="95"/>
        <v/>
      </c>
      <c r="AO105" s="233" t="str">
        <f t="shared" si="95"/>
        <v/>
      </c>
      <c r="AP105" s="233" t="str">
        <f t="shared" si="95"/>
        <v/>
      </c>
      <c r="AQ105" s="233" t="str">
        <f t="shared" si="95"/>
        <v/>
      </c>
      <c r="AR105" s="361" t="str">
        <f t="shared" si="95"/>
        <v/>
      </c>
      <c r="AS105" s="384" t="str">
        <f>IF(AS24&gt;0,AS24/AS7*1000000,"")</f>
        <v/>
      </c>
    </row>
    <row r="106" spans="1:45">
      <c r="C106" s="304" t="s">
        <v>259</v>
      </c>
      <c r="AQ106" s="269" t="s">
        <v>388</v>
      </c>
      <c r="AR106" s="269"/>
      <c r="AS106" s="269"/>
    </row>
    <row r="107" spans="1:45">
      <c r="D107" s="316"/>
      <c r="E107" s="316"/>
      <c r="F107" s="316"/>
      <c r="G107" s="316"/>
      <c r="H107" s="316"/>
      <c r="I107" s="316"/>
      <c r="J107" s="316"/>
      <c r="K107" s="316"/>
      <c r="L107" s="316"/>
      <c r="M107" s="316"/>
      <c r="N107" s="316"/>
      <c r="AQ107" s="269"/>
      <c r="AR107" s="478" t="s">
        <v>389</v>
      </c>
      <c r="AS107" s="479" t="e">
        <f>AS78/AS27*AS24</f>
        <v>#DIV/0!</v>
      </c>
    </row>
    <row r="108" spans="1:45">
      <c r="D108" s="316"/>
      <c r="E108" s="316"/>
      <c r="F108" s="316"/>
      <c r="G108" s="316"/>
      <c r="H108" s="316"/>
      <c r="I108" s="316"/>
      <c r="J108" s="316"/>
      <c r="K108" s="316"/>
      <c r="L108" s="316"/>
      <c r="M108" s="316"/>
      <c r="N108" s="316"/>
      <c r="AQ108" s="269"/>
      <c r="AR108" s="478" t="s">
        <v>390</v>
      </c>
      <c r="AS108" s="479" t="e">
        <f>AS103/AS27*AS24</f>
        <v>#DIV/0!</v>
      </c>
    </row>
    <row r="109" spans="1:45">
      <c r="D109" s="316"/>
      <c r="E109" s="316"/>
      <c r="F109" s="316"/>
      <c r="G109" s="316"/>
      <c r="H109" s="316"/>
      <c r="I109" s="316"/>
      <c r="J109" s="316"/>
      <c r="K109" s="316"/>
      <c r="L109" s="316"/>
      <c r="M109" s="316"/>
      <c r="N109" s="316"/>
      <c r="AQ109" s="269"/>
      <c r="AR109" s="478" t="s">
        <v>391</v>
      </c>
      <c r="AS109" s="479" t="e">
        <f>AS81/AS27*AS24</f>
        <v>#DIV/0!</v>
      </c>
    </row>
    <row r="110" spans="1:45">
      <c r="D110" s="316"/>
      <c r="E110" s="316"/>
      <c r="F110" s="316"/>
      <c r="G110" s="316"/>
      <c r="H110" s="316"/>
      <c r="I110" s="316"/>
      <c r="J110" s="316"/>
      <c r="K110" s="316"/>
      <c r="L110" s="316"/>
      <c r="M110" s="316"/>
      <c r="N110" s="316"/>
      <c r="AQ110" s="269"/>
      <c r="AR110" s="478" t="s">
        <v>392</v>
      </c>
      <c r="AS110" s="479" t="e">
        <f>SUM(AS86:AS98)/AS27*AS24</f>
        <v>#DIV/0!</v>
      </c>
    </row>
    <row r="111" spans="1:45">
      <c r="D111" s="316"/>
      <c r="E111" s="316"/>
      <c r="F111" s="316"/>
      <c r="G111" s="316"/>
      <c r="H111" s="316"/>
      <c r="I111" s="316"/>
      <c r="J111" s="316"/>
      <c r="K111" s="316"/>
      <c r="L111" s="316"/>
      <c r="M111" s="316"/>
      <c r="N111" s="316"/>
    </row>
    <row r="112" spans="1:45">
      <c r="D112" s="316"/>
      <c r="E112" s="316"/>
      <c r="F112" s="316"/>
      <c r="G112" s="316"/>
      <c r="H112" s="316"/>
      <c r="I112" s="316"/>
      <c r="J112" s="316"/>
      <c r="K112" s="316"/>
      <c r="L112" s="316"/>
      <c r="M112" s="316"/>
      <c r="N112" s="316"/>
    </row>
    <row r="113" spans="4:14">
      <c r="D113" s="316"/>
      <c r="E113" s="316"/>
      <c r="F113" s="316"/>
      <c r="G113" s="316"/>
      <c r="H113" s="316"/>
      <c r="I113" s="316"/>
      <c r="J113" s="316"/>
      <c r="K113" s="316"/>
      <c r="L113" s="316"/>
      <c r="M113" s="316"/>
      <c r="N113" s="316"/>
    </row>
    <row r="114" spans="4:14">
      <c r="D114" s="316"/>
      <c r="E114" s="316"/>
      <c r="F114" s="316"/>
      <c r="G114" s="316"/>
      <c r="H114" s="316"/>
      <c r="I114" s="316"/>
      <c r="J114" s="316"/>
      <c r="K114" s="316"/>
      <c r="L114" s="316"/>
      <c r="M114" s="316"/>
      <c r="N114" s="316"/>
    </row>
    <row r="115" spans="4:14">
      <c r="D115" s="316"/>
      <c r="E115" s="316"/>
      <c r="F115" s="316"/>
      <c r="G115" s="316"/>
      <c r="H115" s="316"/>
      <c r="I115" s="316"/>
      <c r="J115" s="316"/>
      <c r="K115" s="316"/>
      <c r="L115" s="316"/>
      <c r="M115" s="316"/>
      <c r="N115" s="316"/>
    </row>
    <row r="116" spans="4:14">
      <c r="D116" s="316"/>
      <c r="E116" s="316"/>
      <c r="F116" s="316"/>
      <c r="G116" s="316"/>
      <c r="H116" s="316"/>
      <c r="I116" s="316"/>
      <c r="J116" s="316"/>
      <c r="K116" s="316"/>
      <c r="L116" s="316"/>
      <c r="M116" s="316"/>
      <c r="N116" s="316"/>
    </row>
    <row r="117" spans="4:14">
      <c r="D117" s="316"/>
      <c r="E117" s="316"/>
      <c r="F117" s="316"/>
      <c r="G117" s="316"/>
      <c r="H117" s="316"/>
      <c r="I117" s="316"/>
      <c r="J117" s="316"/>
      <c r="K117" s="316"/>
      <c r="L117" s="316"/>
      <c r="M117" s="316"/>
      <c r="N117" s="316"/>
    </row>
    <row r="118" spans="4:14">
      <c r="D118" s="316"/>
      <c r="E118" s="316"/>
      <c r="F118" s="316"/>
      <c r="G118" s="316"/>
      <c r="H118" s="316"/>
      <c r="I118" s="316"/>
      <c r="J118" s="316"/>
      <c r="K118" s="316"/>
      <c r="L118" s="316"/>
      <c r="M118" s="316"/>
      <c r="N118" s="316"/>
    </row>
    <row r="119" spans="4:14">
      <c r="D119" s="316"/>
      <c r="E119" s="316"/>
      <c r="F119" s="316"/>
      <c r="G119" s="316"/>
      <c r="H119" s="316"/>
      <c r="I119" s="316"/>
      <c r="J119" s="316"/>
      <c r="K119" s="316"/>
      <c r="L119" s="316"/>
      <c r="M119" s="316"/>
      <c r="N119" s="316"/>
    </row>
    <row r="120" spans="4:14">
      <c r="D120" s="316"/>
      <c r="E120" s="316"/>
      <c r="F120" s="316"/>
      <c r="G120" s="316"/>
      <c r="H120" s="316"/>
      <c r="I120" s="316"/>
      <c r="J120" s="316"/>
      <c r="K120" s="316"/>
      <c r="L120" s="316"/>
      <c r="M120" s="316"/>
      <c r="N120" s="316"/>
    </row>
    <row r="121" spans="4:14">
      <c r="D121" s="316"/>
      <c r="E121" s="316"/>
      <c r="F121" s="316"/>
      <c r="G121" s="316"/>
      <c r="H121" s="316"/>
      <c r="I121" s="316"/>
      <c r="J121" s="316"/>
      <c r="K121" s="316"/>
      <c r="L121" s="316"/>
      <c r="M121" s="316"/>
      <c r="N121" s="316"/>
    </row>
    <row r="122" spans="4:14">
      <c r="D122" s="316"/>
      <c r="E122" s="316"/>
      <c r="F122" s="316"/>
      <c r="G122" s="316"/>
      <c r="H122" s="316"/>
      <c r="I122" s="316"/>
      <c r="J122" s="316"/>
      <c r="K122" s="316"/>
      <c r="L122" s="316"/>
      <c r="M122" s="316"/>
      <c r="N122" s="316"/>
    </row>
    <row r="123" spans="4:14">
      <c r="D123" s="316"/>
      <c r="E123" s="316"/>
      <c r="F123" s="316"/>
      <c r="G123" s="316"/>
      <c r="H123" s="316"/>
      <c r="I123" s="316"/>
      <c r="J123" s="316"/>
      <c r="K123" s="316"/>
      <c r="L123" s="316"/>
      <c r="M123" s="316"/>
      <c r="N123" s="316"/>
    </row>
    <row r="124" spans="4:14">
      <c r="D124" s="316"/>
      <c r="E124" s="316"/>
      <c r="F124" s="316"/>
      <c r="G124" s="316"/>
      <c r="H124" s="316"/>
      <c r="I124" s="316"/>
      <c r="J124" s="316"/>
      <c r="K124" s="316"/>
      <c r="L124" s="316"/>
      <c r="M124" s="316"/>
      <c r="N124" s="316"/>
    </row>
    <row r="125" spans="4:14">
      <c r="D125" s="316"/>
      <c r="E125" s="316"/>
      <c r="F125" s="316"/>
      <c r="G125" s="316"/>
      <c r="H125" s="316"/>
      <c r="I125" s="316"/>
      <c r="J125" s="316"/>
      <c r="K125" s="316"/>
      <c r="L125" s="316"/>
      <c r="M125" s="316"/>
      <c r="N125" s="316"/>
    </row>
    <row r="126" spans="4:14">
      <c r="D126" s="316"/>
      <c r="E126" s="316"/>
      <c r="F126" s="316"/>
      <c r="G126" s="316"/>
      <c r="H126" s="316"/>
      <c r="I126" s="316"/>
      <c r="J126" s="316"/>
      <c r="K126" s="316"/>
      <c r="L126" s="316"/>
      <c r="M126" s="316"/>
      <c r="N126" s="316"/>
    </row>
    <row r="127" spans="4:14">
      <c r="D127" s="316"/>
      <c r="E127" s="316"/>
      <c r="F127" s="316"/>
      <c r="G127" s="316"/>
      <c r="H127" s="316"/>
      <c r="I127" s="316"/>
      <c r="J127" s="316"/>
      <c r="K127" s="316"/>
      <c r="L127" s="316"/>
      <c r="M127" s="316"/>
      <c r="N127" s="316"/>
    </row>
  </sheetData>
  <sheetProtection algorithmName="SHA-512" hashValue="RzIgsXcYHjg2j6agq0l76PwM8rpnvnA8BoF1AyFnV7asu2HXttdTlBmTXYx20Jx81jlFj20m6+wV5dgWEJuY0w==" saltValue="hDv07B1yOSr9WW43Tsb8dA==" spinCount="100000" sheet="1" objects="1" scenarios="1" selectLockedCells="1"/>
  <mergeCells count="7">
    <mergeCell ref="A86:A102"/>
    <mergeCell ref="A103:A105"/>
    <mergeCell ref="A3:A22"/>
    <mergeCell ref="A23:A27"/>
    <mergeCell ref="A28:A77"/>
    <mergeCell ref="A78:A82"/>
    <mergeCell ref="A83:A85"/>
  </mergeCells>
  <phoneticPr fontId="1" type="noConversion"/>
  <conditionalFormatting sqref="B3:C105 I23:N27 P24:X27 Z23:AS27 AE8:AS22 P23:Q23 S23:X23 I3:AS7 I28:AS105">
    <cfRule type="expression" dxfId="101" priority="594">
      <formula>MOD(ROW(),2)=0</formula>
    </cfRule>
  </conditionalFormatting>
  <conditionalFormatting sqref="I27:N27 P27:X27 Z27:AS27">
    <cfRule type="expression" dxfId="100" priority="593">
      <formula>I$27&lt;&gt;(I$78+I$85)</formula>
    </cfRule>
  </conditionalFormatting>
  <conditionalFormatting sqref="O23:O27">
    <cfRule type="expression" dxfId="99" priority="583">
      <formula>MOD(ROW(),2)=0</formula>
    </cfRule>
  </conditionalFormatting>
  <conditionalFormatting sqref="O27">
    <cfRule type="expression" dxfId="98" priority="582">
      <formula>O$27&lt;&gt;(O$78+O$85)</formula>
    </cfRule>
  </conditionalFormatting>
  <conditionalFormatting sqref="Y23:Y27">
    <cfRule type="expression" dxfId="97" priority="571">
      <formula>MOD(ROW(),2)=0</formula>
    </cfRule>
  </conditionalFormatting>
  <conditionalFormatting sqref="Y27">
    <cfRule type="expression" dxfId="96" priority="570">
      <formula>Y$27&lt;&gt;(Y$78+Y$85)</formula>
    </cfRule>
  </conditionalFormatting>
  <conditionalFormatting sqref="H28:H105">
    <cfRule type="expression" dxfId="95" priority="566">
      <formula>MOD(ROW(),2)=0</formula>
    </cfRule>
  </conditionalFormatting>
  <conditionalFormatting sqref="H3:H7 H23:H27">
    <cfRule type="expression" dxfId="94" priority="532">
      <formula>MOD(ROW(),2)=0</formula>
    </cfRule>
  </conditionalFormatting>
  <conditionalFormatting sqref="H27">
    <cfRule type="expression" dxfId="93" priority="531">
      <formula>H$27&lt;&gt;(H$78+H$85)</formula>
    </cfRule>
  </conditionalFormatting>
  <conditionalFormatting sqref="G3:G7 D23:G105">
    <cfRule type="expression" dxfId="92" priority="528">
      <formula>MOD(ROW(),2)=0</formula>
    </cfRule>
  </conditionalFormatting>
  <conditionalFormatting sqref="D27:G27">
    <cfRule type="expression" dxfId="91" priority="527">
      <formula>D$27&lt;&gt;(D$78+D$85)</formula>
    </cfRule>
  </conditionalFormatting>
  <conditionalFormatting sqref="R23">
    <cfRule type="expression" dxfId="90" priority="451">
      <formula>MOD(ROW(),2)=0</formula>
    </cfRule>
  </conditionalFormatting>
  <conditionalFormatting sqref="AC10:AC22">
    <cfRule type="expression" dxfId="89" priority="427">
      <formula>MOD(ROW(),2)=0</formula>
    </cfRule>
  </conditionalFormatting>
  <conditionalFormatting sqref="AC8:AC9">
    <cfRule type="expression" dxfId="88" priority="426">
      <formula>MOD(ROW(),2)=0</formula>
    </cfRule>
  </conditionalFormatting>
  <conditionalFormatting sqref="AD10:AD22">
    <cfRule type="expression" dxfId="87" priority="425">
      <formula>MOD(ROW(),2)=0</formula>
    </cfRule>
  </conditionalFormatting>
  <conditionalFormatting sqref="AD8:AD9">
    <cfRule type="expression" dxfId="86" priority="424">
      <formula>MOD(ROW(),2)=0</formula>
    </cfRule>
  </conditionalFormatting>
  <conditionalFormatting sqref="F3:F7">
    <cfRule type="expression" dxfId="85" priority="423">
      <formula>MOD(ROW(),2)=0</formula>
    </cfRule>
  </conditionalFormatting>
  <conditionalFormatting sqref="E4">
    <cfRule type="expression" dxfId="84" priority="374">
      <formula>MOD(ROW(),2)=0</formula>
    </cfRule>
  </conditionalFormatting>
  <conditionalFormatting sqref="AA10:AA22">
    <cfRule type="expression" dxfId="83" priority="249">
      <formula>MOD(ROW(),2)=0</formula>
    </cfRule>
  </conditionalFormatting>
  <conditionalFormatting sqref="AA8:AA9">
    <cfRule type="expression" dxfId="82" priority="248">
      <formula>MOD(ROW(),2)=0</formula>
    </cfRule>
  </conditionalFormatting>
  <conditionalFormatting sqref="AB10:AB22">
    <cfRule type="expression" dxfId="81" priority="247">
      <formula>MOD(ROW(),2)=0</formula>
    </cfRule>
  </conditionalFormatting>
  <conditionalFormatting sqref="AB8:AB9">
    <cfRule type="expression" dxfId="80" priority="246">
      <formula>MOD(ROW(),2)=0</formula>
    </cfRule>
  </conditionalFormatting>
  <conditionalFormatting sqref="U10:U22">
    <cfRule type="expression" dxfId="79" priority="211">
      <formula>MOD(ROW(),2)=0</formula>
    </cfRule>
  </conditionalFormatting>
  <conditionalFormatting sqref="U8:U9">
    <cfRule type="expression" dxfId="78" priority="210">
      <formula>MOD(ROW(),2)=0</formula>
    </cfRule>
  </conditionalFormatting>
  <conditionalFormatting sqref="V10:V22">
    <cfRule type="expression" dxfId="77" priority="209">
      <formula>MOD(ROW(),2)=0</formula>
    </cfRule>
  </conditionalFormatting>
  <conditionalFormatting sqref="V8:V9">
    <cfRule type="expression" dxfId="76" priority="208">
      <formula>MOD(ROW(),2)=0</formula>
    </cfRule>
  </conditionalFormatting>
  <conditionalFormatting sqref="W10:W22">
    <cfRule type="expression" dxfId="75" priority="207">
      <formula>MOD(ROW(),2)=0</formula>
    </cfRule>
  </conditionalFormatting>
  <conditionalFormatting sqref="W8:W9">
    <cfRule type="expression" dxfId="74" priority="206">
      <formula>MOD(ROW(),2)=0</formula>
    </cfRule>
  </conditionalFormatting>
  <conditionalFormatting sqref="X10:X22">
    <cfRule type="expression" dxfId="73" priority="205">
      <formula>MOD(ROW(),2)=0</formula>
    </cfRule>
  </conditionalFormatting>
  <conditionalFormatting sqref="X8:X9">
    <cfRule type="expression" dxfId="72" priority="204">
      <formula>MOD(ROW(),2)=0</formula>
    </cfRule>
  </conditionalFormatting>
  <conditionalFormatting sqref="Y10:Y20">
    <cfRule type="expression" dxfId="71" priority="203">
      <formula>MOD(ROW(),2)=0</formula>
    </cfRule>
  </conditionalFormatting>
  <conditionalFormatting sqref="Y8:Y9">
    <cfRule type="expression" dxfId="70" priority="202">
      <formula>MOD(ROW(),2)=0</formula>
    </cfRule>
  </conditionalFormatting>
  <conditionalFormatting sqref="Y21:Y22">
    <cfRule type="expression" dxfId="69" priority="201">
      <formula>MOD(ROW(),2)=0</formula>
    </cfRule>
  </conditionalFormatting>
  <conditionalFormatting sqref="Z10:Z20">
    <cfRule type="expression" dxfId="68" priority="200">
      <formula>MOD(ROW(),2)=0</formula>
    </cfRule>
  </conditionalFormatting>
  <conditionalFormatting sqref="Z8:Z9">
    <cfRule type="expression" dxfId="67" priority="199">
      <formula>MOD(ROW(),2)=0</formula>
    </cfRule>
  </conditionalFormatting>
  <conditionalFormatting sqref="Z21:Z22">
    <cfRule type="expression" dxfId="66" priority="198">
      <formula>MOD(ROW(),2)=0</formula>
    </cfRule>
  </conditionalFormatting>
  <conditionalFormatting sqref="D10:R20">
    <cfRule type="expression" dxfId="65" priority="30">
      <formula>MOD(ROW(),2)=0</formula>
    </cfRule>
  </conditionalFormatting>
  <conditionalFormatting sqref="D8:R9">
    <cfRule type="expression" dxfId="64" priority="29">
      <formula>MOD(ROW(),2)=0</formula>
    </cfRule>
  </conditionalFormatting>
  <conditionalFormatting sqref="D22:R22">
    <cfRule type="expression" dxfId="63" priority="28">
      <formula>MOD(ROW(),2)=0</formula>
    </cfRule>
  </conditionalFormatting>
  <conditionalFormatting sqref="D21:R21">
    <cfRule type="expression" dxfId="62" priority="27">
      <formula>MOD(ROW(),2)=0</formula>
    </cfRule>
  </conditionalFormatting>
  <conditionalFormatting sqref="E3">
    <cfRule type="expression" dxfId="61" priority="18">
      <formula>MOD(ROW(),2)=0</formula>
    </cfRule>
  </conditionalFormatting>
  <conditionalFormatting sqref="D4:D5 E5">
    <cfRule type="expression" dxfId="60" priority="16">
      <formula>MOD(ROW(),2)=0</formula>
    </cfRule>
  </conditionalFormatting>
  <conditionalFormatting sqref="D3">
    <cfRule type="expression" dxfId="59" priority="15">
      <formula>MOD(ROW(),2)=0</formula>
    </cfRule>
  </conditionalFormatting>
  <conditionalFormatting sqref="D6:D7">
    <cfRule type="expression" dxfId="58" priority="14">
      <formula>MOD(ROW(),2)=0</formula>
    </cfRule>
  </conditionalFormatting>
  <conditionalFormatting sqref="E6:E7">
    <cfRule type="expression" dxfId="57" priority="9">
      <formula>MOD(ROW(),2)=0</formula>
    </cfRule>
  </conditionalFormatting>
  <conditionalFormatting sqref="S10:S20">
    <cfRule type="expression" dxfId="56" priority="8">
      <formula>MOD(ROW(),2)=0</formula>
    </cfRule>
  </conditionalFormatting>
  <conditionalFormatting sqref="S8:S9">
    <cfRule type="expression" dxfId="55" priority="7">
      <formula>MOD(ROW(),2)=0</formula>
    </cfRule>
  </conditionalFormatting>
  <conditionalFormatting sqref="S22">
    <cfRule type="expression" dxfId="54" priority="6">
      <formula>MOD(ROW(),2)=0</formula>
    </cfRule>
  </conditionalFormatting>
  <conditionalFormatting sqref="S21">
    <cfRule type="expression" dxfId="53" priority="5">
      <formula>MOD(ROW(),2)=0</formula>
    </cfRule>
  </conditionalFormatting>
  <conditionalFormatting sqref="T10:T20">
    <cfRule type="expression" dxfId="52" priority="4">
      <formula>MOD(ROW(),2)=0</formula>
    </cfRule>
  </conditionalFormatting>
  <conditionalFormatting sqref="T8:T9">
    <cfRule type="expression" dxfId="51" priority="3">
      <formula>MOD(ROW(),2)=0</formula>
    </cfRule>
  </conditionalFormatting>
  <conditionalFormatting sqref="T22">
    <cfRule type="expression" dxfId="50" priority="2">
      <formula>MOD(ROW(),2)=0</formula>
    </cfRule>
  </conditionalFormatting>
  <conditionalFormatting sqref="T21">
    <cfRule type="expression" dxfId="49" priority="1">
      <formula>MOD(ROW(),2)=0</formula>
    </cfRule>
  </conditionalFormatting>
  <dataValidations count="1">
    <dataValidation type="list" allowBlank="1" showInputMessage="1" showErrorMessage="1" sqref="D6:AR6" xr:uid="{00000000-0002-0000-0500-000000000000}">
      <formula1>PRODUTOS</formula1>
    </dataValidation>
  </dataValidations>
  <pageMargins left="0.19685039370078741" right="0.19685039370078741" top="1.1811023622047245" bottom="0.55118110236220474" header="0.70866141732283472" footer="0.31496062992125984"/>
  <pageSetup paperSize="12" scale="45" orientation="landscape" horizontalDpi="300" verticalDpi="300" r:id="rId1"/>
  <headerFooter alignWithMargins="0">
    <oddHeader xml:space="preserve">&amp;L&amp;"SwitzerlandBlack,Negrito"&amp;16Panasonic&amp;"SwitzerlandBlack,Regular"
&amp;"Arial,Normal"&amp;9PILHAS / BATERIAS
&amp;C&amp;14CONTROLE DE FALHAS DE V e A&amp;16
&amp;12 UM-3 - Linha: 1&amp;RMÊS /  ANO
Dezembro/2003
Pág.: &amp;P / &amp;N&amp;"ＭＳ ゴシック,Regular"&amp;11  </oddHeader>
    <oddFooter>&amp;LF-7.115 Rev 01 (PGQ-7.03)&amp;R&amp;A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btnMenu_Click">
                <anchor moveWithCells="1" siz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>
    <tabColor theme="3" tint="0.59999389629810485"/>
  </sheetPr>
  <dimension ref="A1:AX110"/>
  <sheetViews>
    <sheetView zoomScaleNormal="100" workbookViewId="0">
      <pane xSplit="3" ySplit="6" topLeftCell="I7" activePane="bottomRight" state="frozen"/>
      <selection activeCell="C3" sqref="C3:C105"/>
      <selection pane="topRight" activeCell="C3" sqref="C3:C105"/>
      <selection pane="bottomLeft" activeCell="C3" sqref="C3:C105"/>
      <selection pane="bottomRight" activeCell="C10" sqref="C10"/>
    </sheetView>
  </sheetViews>
  <sheetFormatPr defaultColWidth="10.28515625" defaultRowHeight="12.75"/>
  <cols>
    <col min="1" max="1" width="3.5703125" style="303" customWidth="1"/>
    <col min="2" max="2" width="5" style="309" bestFit="1" customWidth="1"/>
    <col min="3" max="3" width="39.140625" style="303" bestFit="1" customWidth="1"/>
    <col min="4" max="9" width="10.28515625" style="303" customWidth="1"/>
    <col min="10" max="10" width="11.7109375" style="303" bestFit="1" customWidth="1"/>
    <col min="11" max="13" width="10.28515625" style="303" customWidth="1"/>
    <col min="14" max="27" width="10.28515625" style="309" customWidth="1"/>
    <col min="28" max="44" width="10.28515625" style="303" customWidth="1"/>
    <col min="45" max="45" width="12.42578125" style="303" bestFit="1" customWidth="1"/>
    <col min="46" max="46" width="10" style="303" bestFit="1" customWidth="1"/>
    <col min="47" max="16384" width="10.28515625" style="303"/>
  </cols>
  <sheetData>
    <row r="1" spans="1:46" ht="31.5" customHeight="1" thickBot="1">
      <c r="B1" s="310"/>
      <c r="C1" s="305" t="str">
        <f>AS2</f>
        <v xml:space="preserve"> </v>
      </c>
      <c r="D1" s="311"/>
      <c r="E1" s="311"/>
      <c r="F1" s="312"/>
      <c r="G1" s="312"/>
      <c r="H1" s="312"/>
      <c r="I1" s="312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8"/>
      <c r="AB1" s="208"/>
      <c r="AC1" s="208"/>
      <c r="AD1" s="208"/>
      <c r="AE1" s="208"/>
      <c r="AF1" s="208"/>
      <c r="AG1" s="208"/>
      <c r="AH1" s="208"/>
    </row>
    <row r="2" spans="1:46" ht="13.5" thickBot="1">
      <c r="A2" s="421"/>
      <c r="B2" s="439" t="s">
        <v>86</v>
      </c>
      <c r="C2" s="423" t="s">
        <v>244</v>
      </c>
      <c r="D2" s="457" t="str">
        <f ca="1">'UM-3 - L1 - Dia'!D2:AR2</f>
        <v>03 / 2122</v>
      </c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6"/>
      <c r="R2" s="456"/>
      <c r="S2" s="456"/>
      <c r="T2" s="456"/>
      <c r="U2" s="456"/>
      <c r="V2" s="456"/>
      <c r="W2" s="456"/>
      <c r="X2" s="456"/>
      <c r="Y2" s="456"/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6"/>
      <c r="AP2" s="456"/>
      <c r="AQ2" s="456"/>
      <c r="AR2" s="456"/>
      <c r="AS2" s="313" t="s">
        <v>106</v>
      </c>
      <c r="AT2" s="313" t="s">
        <v>266</v>
      </c>
    </row>
    <row r="3" spans="1:46">
      <c r="A3" s="550" t="s">
        <v>198</v>
      </c>
      <c r="B3" s="440">
        <v>10</v>
      </c>
      <c r="C3" s="426" t="str">
        <f>VLOOKUP(B3,'Tipos de Defeitos'!B4:E106,Menu!$B$24+1,)</f>
        <v>Data da Montagem</v>
      </c>
      <c r="D3" s="213"/>
      <c r="E3" s="213"/>
      <c r="F3" s="213"/>
      <c r="G3" s="213"/>
      <c r="H3" s="213"/>
      <c r="I3" s="213"/>
      <c r="J3" s="213"/>
      <c r="K3" s="317"/>
      <c r="L3" s="317"/>
      <c r="M3" s="213"/>
      <c r="N3" s="213"/>
      <c r="O3" s="213"/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214"/>
      <c r="AC3" s="214"/>
      <c r="AD3" s="213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318"/>
      <c r="AS3" s="407" t="s">
        <v>20</v>
      </c>
      <c r="AT3" s="407" t="s">
        <v>20</v>
      </c>
    </row>
    <row r="4" spans="1:46">
      <c r="A4" s="551"/>
      <c r="B4" s="441">
        <f>(B3/10+1)*10</f>
        <v>20</v>
      </c>
      <c r="C4" s="428" t="str">
        <f>VLOOKUP(B4,'Tipos de Defeitos'!B5:E107,Menu!$B$24+1,)</f>
        <v>Data do Acabamento</v>
      </c>
      <c r="D4" s="209"/>
      <c r="E4" s="209"/>
      <c r="F4" s="209"/>
      <c r="G4" s="209"/>
      <c r="H4" s="209"/>
      <c r="I4" s="209"/>
      <c r="J4" s="209"/>
      <c r="K4" s="319"/>
      <c r="L4" s="319"/>
      <c r="M4" s="209"/>
      <c r="N4" s="209"/>
      <c r="O4" s="209"/>
      <c r="P4" s="210"/>
      <c r="Q4" s="210"/>
      <c r="R4" s="209"/>
      <c r="S4" s="210"/>
      <c r="T4" s="209"/>
      <c r="U4" s="210"/>
      <c r="V4" s="209"/>
      <c r="W4" s="210"/>
      <c r="X4" s="210"/>
      <c r="Y4" s="209"/>
      <c r="Z4" s="209"/>
      <c r="AA4" s="209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320"/>
      <c r="AS4" s="408"/>
      <c r="AT4" s="408"/>
    </row>
    <row r="5" spans="1:46">
      <c r="A5" s="551"/>
      <c r="B5" s="441">
        <f t="shared" ref="B5:B71" si="0">(B4/10+1)*10</f>
        <v>30</v>
      </c>
      <c r="C5" s="428" t="str">
        <f>VLOOKUP(B5,'Tipos de Defeitos'!B6:E108,Menu!$B$24+1,)</f>
        <v>Descanso:</v>
      </c>
      <c r="D5" s="211" t="str">
        <f t="shared" ref="D5:F5" si="1">IF(D4="","",D4-D3)</f>
        <v/>
      </c>
      <c r="E5" s="211" t="str">
        <f t="shared" si="1"/>
        <v/>
      </c>
      <c r="F5" s="211" t="str">
        <f t="shared" si="1"/>
        <v/>
      </c>
      <c r="G5" s="211" t="str">
        <f t="shared" ref="G5" si="2">IF(G4="","",G4-G3)</f>
        <v/>
      </c>
      <c r="H5" s="211" t="str">
        <f t="shared" ref="H5" si="3">IF(H4="","",H4-H3)</f>
        <v/>
      </c>
      <c r="I5" s="211" t="str">
        <f t="shared" ref="I5" si="4">IF(I4="","",I4-I3)</f>
        <v/>
      </c>
      <c r="J5" s="211" t="str">
        <f t="shared" ref="J5:M5" si="5">IF(J4="","",J4-J3)</f>
        <v/>
      </c>
      <c r="K5" s="211" t="str">
        <f t="shared" si="5"/>
        <v/>
      </c>
      <c r="L5" s="211" t="str">
        <f t="shared" ref="L5" si="6">IF(L4="","",L4-L3)</f>
        <v/>
      </c>
      <c r="M5" s="211" t="str">
        <f t="shared" si="5"/>
        <v/>
      </c>
      <c r="N5" s="211" t="str">
        <f t="shared" ref="N5" si="7">IF(N4="","",N4-N3)</f>
        <v/>
      </c>
      <c r="O5" s="211" t="str">
        <f t="shared" ref="O5:AR5" si="8">IF(O4="","",O4-O3)</f>
        <v/>
      </c>
      <c r="P5" s="211" t="str">
        <f t="shared" si="8"/>
        <v/>
      </c>
      <c r="Q5" s="211" t="str">
        <f t="shared" si="8"/>
        <v/>
      </c>
      <c r="R5" s="211" t="str">
        <f t="shared" si="8"/>
        <v/>
      </c>
      <c r="S5" s="211" t="str">
        <f t="shared" si="8"/>
        <v/>
      </c>
      <c r="T5" s="211" t="str">
        <f t="shared" si="8"/>
        <v/>
      </c>
      <c r="U5" s="211" t="str">
        <f t="shared" si="8"/>
        <v/>
      </c>
      <c r="V5" s="211" t="str">
        <f t="shared" si="8"/>
        <v/>
      </c>
      <c r="W5" s="211" t="str">
        <f t="shared" si="8"/>
        <v/>
      </c>
      <c r="X5" s="211" t="str">
        <f t="shared" si="8"/>
        <v/>
      </c>
      <c r="Y5" s="211" t="str">
        <f>IF(Y4="","",Y4-Y3)</f>
        <v/>
      </c>
      <c r="Z5" s="211" t="str">
        <f>IF(Z4="","",Z4-Z3)</f>
        <v/>
      </c>
      <c r="AA5" s="211" t="str">
        <f t="shared" ref="AA5:AC5" si="9">IF(AA4="","",AA4-AA3)</f>
        <v/>
      </c>
      <c r="AB5" s="211" t="str">
        <f t="shared" si="9"/>
        <v/>
      </c>
      <c r="AC5" s="211" t="str">
        <f t="shared" si="9"/>
        <v/>
      </c>
      <c r="AD5" s="211" t="str">
        <f t="shared" si="8"/>
        <v/>
      </c>
      <c r="AE5" s="211" t="str">
        <f t="shared" si="8"/>
        <v/>
      </c>
      <c r="AF5" s="211" t="str">
        <f t="shared" si="8"/>
        <v/>
      </c>
      <c r="AG5" s="211" t="str">
        <f t="shared" si="8"/>
        <v/>
      </c>
      <c r="AH5" s="211" t="str">
        <f t="shared" si="8"/>
        <v/>
      </c>
      <c r="AI5" s="211" t="str">
        <f t="shared" si="8"/>
        <v/>
      </c>
      <c r="AJ5" s="211" t="str">
        <f t="shared" si="8"/>
        <v/>
      </c>
      <c r="AK5" s="211" t="str">
        <f t="shared" si="8"/>
        <v/>
      </c>
      <c r="AL5" s="211" t="str">
        <f t="shared" si="8"/>
        <v/>
      </c>
      <c r="AM5" s="211" t="str">
        <f t="shared" si="8"/>
        <v/>
      </c>
      <c r="AN5" s="211" t="str">
        <f t="shared" si="8"/>
        <v/>
      </c>
      <c r="AO5" s="211" t="str">
        <f t="shared" si="8"/>
        <v/>
      </c>
      <c r="AP5" s="211"/>
      <c r="AQ5" s="211" t="str">
        <f t="shared" si="8"/>
        <v/>
      </c>
      <c r="AR5" s="321" t="str">
        <f t="shared" si="8"/>
        <v/>
      </c>
      <c r="AS5" s="369"/>
      <c r="AT5" s="409"/>
    </row>
    <row r="6" spans="1:46">
      <c r="A6" s="551"/>
      <c r="B6" s="441">
        <f t="shared" si="0"/>
        <v>40</v>
      </c>
      <c r="C6" s="428" t="str">
        <f>VLOOKUP(B6,'Tipos de Defeitos'!B7:E109,Menu!$B$24+1,)</f>
        <v>Modelo</v>
      </c>
      <c r="D6" s="212"/>
      <c r="E6" s="212"/>
      <c r="F6" s="212"/>
      <c r="G6" s="212"/>
      <c r="H6" s="212"/>
      <c r="I6" s="212"/>
      <c r="J6" s="212"/>
      <c r="K6" s="322"/>
      <c r="L6" s="322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212"/>
      <c r="AG6" s="217"/>
      <c r="AH6" s="217"/>
      <c r="AI6" s="217"/>
      <c r="AJ6" s="217"/>
      <c r="AK6" s="217"/>
      <c r="AL6" s="217"/>
      <c r="AM6" s="217"/>
      <c r="AN6" s="217"/>
      <c r="AO6" s="217"/>
      <c r="AP6" s="217"/>
      <c r="AQ6" s="217"/>
      <c r="AR6" s="323"/>
      <c r="AS6" s="409"/>
      <c r="AT6" s="409"/>
    </row>
    <row r="7" spans="1:46" ht="13.5" thickBot="1">
      <c r="A7" s="551"/>
      <c r="B7" s="442">
        <f t="shared" si="0"/>
        <v>50</v>
      </c>
      <c r="C7" s="430" t="str">
        <f>VLOOKUP(B7,'Tipos de Defeitos'!B8:E110,Menu!$B$24+1,)</f>
        <v>Qtd de Produção (pçs)</v>
      </c>
      <c r="D7" s="307"/>
      <c r="E7" s="307"/>
      <c r="F7" s="286"/>
      <c r="G7" s="286"/>
      <c r="H7" s="286"/>
      <c r="I7" s="286"/>
      <c r="J7" s="286"/>
      <c r="K7" s="324"/>
      <c r="L7" s="324"/>
      <c r="M7" s="286"/>
      <c r="N7" s="286"/>
      <c r="O7" s="307"/>
      <c r="P7" s="307"/>
      <c r="Q7" s="307"/>
      <c r="R7" s="307"/>
      <c r="S7" s="307"/>
      <c r="T7" s="307"/>
      <c r="U7" s="286"/>
      <c r="V7" s="286"/>
      <c r="W7" s="286"/>
      <c r="X7" s="286"/>
      <c r="Y7" s="286"/>
      <c r="Z7" s="286"/>
      <c r="AA7" s="286"/>
      <c r="AB7" s="325"/>
      <c r="AC7" s="325"/>
      <c r="AD7" s="325"/>
      <c r="AE7" s="325"/>
      <c r="AF7" s="325"/>
      <c r="AG7" s="326"/>
      <c r="AH7" s="326"/>
      <c r="AI7" s="326"/>
      <c r="AJ7" s="326"/>
      <c r="AK7" s="326"/>
      <c r="AL7" s="326"/>
      <c r="AM7" s="326"/>
      <c r="AN7" s="326"/>
      <c r="AO7" s="326"/>
      <c r="AP7" s="326"/>
      <c r="AQ7" s="326"/>
      <c r="AR7" s="327"/>
      <c r="AS7" s="370">
        <f t="array" ref="AS7">SUM(IF(E$5:AR$5&lt;&gt;"",E7:AR7))</f>
        <v>0</v>
      </c>
      <c r="AT7" s="410">
        <f>AS7+'UM-3 - L2 - Dia'!AS7</f>
        <v>0</v>
      </c>
    </row>
    <row r="8" spans="1:46">
      <c r="A8" s="551"/>
      <c r="B8" s="443">
        <f t="shared" si="0"/>
        <v>60</v>
      </c>
      <c r="C8" s="432" t="str">
        <f>VLOOKUP(B8,'Tipos de Defeitos'!B9:E111,Menu!$B$24+1,)</f>
        <v>GME - Fornecedor</v>
      </c>
      <c r="D8" s="480"/>
      <c r="E8" s="480"/>
      <c r="F8" s="480"/>
      <c r="G8" s="480"/>
      <c r="H8" s="480"/>
      <c r="I8" s="480"/>
      <c r="J8" s="480"/>
      <c r="K8" s="480"/>
      <c r="L8" s="480"/>
      <c r="M8" s="480"/>
      <c r="N8" s="480"/>
      <c r="O8" s="480"/>
      <c r="P8" s="480"/>
      <c r="Q8" s="480"/>
      <c r="R8" s="480"/>
      <c r="S8" s="480"/>
      <c r="T8" s="480"/>
      <c r="U8" s="253"/>
      <c r="V8" s="253"/>
      <c r="W8" s="253"/>
      <c r="X8" s="253"/>
      <c r="Y8" s="253"/>
      <c r="Z8" s="253"/>
      <c r="AA8" s="253"/>
      <c r="AB8" s="253"/>
      <c r="AC8" s="253"/>
      <c r="AD8" s="253"/>
      <c r="AE8" s="253"/>
      <c r="AF8" s="253"/>
      <c r="AG8" s="328"/>
      <c r="AH8" s="328"/>
      <c r="AI8" s="328"/>
      <c r="AJ8" s="328"/>
      <c r="AK8" s="328"/>
      <c r="AL8" s="328"/>
      <c r="AM8" s="328"/>
      <c r="AN8" s="328"/>
      <c r="AO8" s="328"/>
      <c r="AP8" s="328"/>
      <c r="AQ8" s="328"/>
      <c r="AR8" s="329"/>
      <c r="AS8" s="411"/>
      <c r="AT8" s="411"/>
    </row>
    <row r="9" spans="1:46">
      <c r="A9" s="551"/>
      <c r="B9" s="441">
        <f t="shared" si="0"/>
        <v>70</v>
      </c>
      <c r="C9" s="433" t="str">
        <f>VLOOKUP(B9,'Tipos de Defeitos'!B10:E112,Menu!$B$24+1,)</f>
        <v>Nº Lote</v>
      </c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75"/>
      <c r="R9" s="475"/>
      <c r="S9" s="475"/>
      <c r="T9" s="475"/>
      <c r="U9" s="254"/>
      <c r="V9" s="254"/>
      <c r="W9" s="254"/>
      <c r="X9" s="254"/>
      <c r="Y9" s="254"/>
      <c r="Z9" s="254"/>
      <c r="AA9" s="254"/>
      <c r="AB9" s="254"/>
      <c r="AC9" s="254"/>
      <c r="AD9" s="254"/>
      <c r="AE9" s="254"/>
      <c r="AF9" s="254"/>
      <c r="AG9" s="330"/>
      <c r="AH9" s="330"/>
      <c r="AI9" s="330"/>
      <c r="AJ9" s="330"/>
      <c r="AK9" s="330"/>
      <c r="AL9" s="330"/>
      <c r="AM9" s="330"/>
      <c r="AN9" s="330"/>
      <c r="AO9" s="330"/>
      <c r="AP9" s="330"/>
      <c r="AQ9" s="330"/>
      <c r="AR9" s="331"/>
      <c r="AS9" s="409"/>
      <c r="AT9" s="409"/>
    </row>
    <row r="10" spans="1:46">
      <c r="A10" s="551"/>
      <c r="B10" s="441">
        <f t="shared" si="0"/>
        <v>80</v>
      </c>
      <c r="C10" s="433" t="str">
        <f>VLOOKUP(B10,'Tipos de Defeitos'!B11:E113,Menu!$B$24+1,)</f>
        <v>Qtd</v>
      </c>
      <c r="D10" s="254"/>
      <c r="E10" s="254"/>
      <c r="F10" s="254"/>
      <c r="G10" s="254"/>
      <c r="H10" s="254"/>
      <c r="I10" s="254"/>
      <c r="J10" s="254"/>
      <c r="K10" s="254"/>
      <c r="L10" s="254"/>
      <c r="M10" s="254"/>
      <c r="N10" s="254"/>
      <c r="O10" s="254"/>
      <c r="P10" s="254"/>
      <c r="Q10" s="254"/>
      <c r="R10" s="254"/>
      <c r="S10" s="254"/>
      <c r="T10" s="254"/>
      <c r="U10" s="254"/>
      <c r="V10" s="254"/>
      <c r="W10" s="254"/>
      <c r="X10" s="254"/>
      <c r="Y10" s="254"/>
      <c r="Z10" s="254"/>
      <c r="AA10" s="254"/>
      <c r="AB10" s="254"/>
      <c r="AC10" s="254"/>
      <c r="AD10" s="254"/>
      <c r="AE10" s="254"/>
      <c r="AF10" s="254"/>
      <c r="AG10" s="330"/>
      <c r="AH10" s="330"/>
      <c r="AI10" s="330"/>
      <c r="AJ10" s="330"/>
      <c r="AK10" s="330"/>
      <c r="AL10" s="330"/>
      <c r="AM10" s="330"/>
      <c r="AN10" s="330"/>
      <c r="AO10" s="330"/>
      <c r="AP10" s="330"/>
      <c r="AQ10" s="330"/>
      <c r="AR10" s="331"/>
      <c r="AS10" s="409"/>
      <c r="AT10" s="409"/>
    </row>
    <row r="11" spans="1:46">
      <c r="A11" s="551"/>
      <c r="B11" s="441">
        <f t="shared" si="0"/>
        <v>90</v>
      </c>
      <c r="C11" s="433" t="str">
        <f>VLOOKUP(B11,'Tipos de Defeitos'!B12:E114,Menu!$B$24+1,)</f>
        <v>GMT - Fornecedor</v>
      </c>
      <c r="D11" s="254"/>
      <c r="E11" s="254"/>
      <c r="F11" s="254"/>
      <c r="G11" s="254"/>
      <c r="H11" s="254"/>
      <c r="I11" s="254"/>
      <c r="J11" s="254"/>
      <c r="K11" s="254"/>
      <c r="L11" s="254"/>
      <c r="M11" s="254"/>
      <c r="N11" s="254"/>
      <c r="O11" s="254"/>
      <c r="P11" s="254"/>
      <c r="Q11" s="254"/>
      <c r="R11" s="254"/>
      <c r="S11" s="254"/>
      <c r="T11" s="254"/>
      <c r="U11" s="257"/>
      <c r="V11" s="257"/>
      <c r="W11" s="257"/>
      <c r="X11" s="257"/>
      <c r="Y11" s="257"/>
      <c r="Z11" s="257"/>
      <c r="AA11" s="257"/>
      <c r="AB11" s="257"/>
      <c r="AC11" s="332"/>
      <c r="AD11" s="257"/>
      <c r="AE11" s="254"/>
      <c r="AF11" s="254"/>
      <c r="AG11" s="330"/>
      <c r="AH11" s="330"/>
      <c r="AI11" s="330"/>
      <c r="AJ11" s="330"/>
      <c r="AK11" s="330"/>
      <c r="AL11" s="330"/>
      <c r="AM11" s="330"/>
      <c r="AN11" s="330"/>
      <c r="AO11" s="330"/>
      <c r="AP11" s="330"/>
      <c r="AQ11" s="330"/>
      <c r="AR11" s="331"/>
      <c r="AS11" s="409"/>
      <c r="AT11" s="409"/>
    </row>
    <row r="12" spans="1:46">
      <c r="A12" s="551"/>
      <c r="B12" s="441">
        <f t="shared" si="0"/>
        <v>100</v>
      </c>
      <c r="C12" s="433" t="str">
        <f>VLOOKUP(B12,'Tipos de Defeitos'!B13:E115,Menu!$B$24+1,)</f>
        <v>Nº Lote</v>
      </c>
      <c r="D12" s="412"/>
      <c r="E12" s="412"/>
      <c r="F12" s="412"/>
      <c r="G12" s="412"/>
      <c r="H12" s="412"/>
      <c r="I12" s="412"/>
      <c r="J12" s="412"/>
      <c r="K12" s="412"/>
      <c r="L12" s="412"/>
      <c r="M12" s="412"/>
      <c r="N12" s="412"/>
      <c r="O12" s="412"/>
      <c r="P12" s="412"/>
      <c r="Q12" s="412"/>
      <c r="R12" s="412"/>
      <c r="S12" s="412"/>
      <c r="T12" s="412"/>
      <c r="U12" s="412"/>
      <c r="V12" s="412"/>
      <c r="W12" s="412"/>
      <c r="X12" s="412"/>
      <c r="Y12" s="412"/>
      <c r="Z12" s="412"/>
      <c r="AA12" s="412"/>
      <c r="AB12" s="412"/>
      <c r="AC12" s="254"/>
      <c r="AD12" s="412"/>
      <c r="AE12" s="254"/>
      <c r="AF12" s="254"/>
      <c r="AG12" s="330"/>
      <c r="AH12" s="330"/>
      <c r="AI12" s="330"/>
      <c r="AJ12" s="330"/>
      <c r="AK12" s="330"/>
      <c r="AL12" s="330"/>
      <c r="AM12" s="330"/>
      <c r="AN12" s="330"/>
      <c r="AO12" s="330"/>
      <c r="AP12" s="330"/>
      <c r="AQ12" s="330"/>
      <c r="AR12" s="331"/>
      <c r="AS12" s="409"/>
      <c r="AT12" s="409"/>
    </row>
    <row r="13" spans="1:46">
      <c r="A13" s="551"/>
      <c r="B13" s="441">
        <f t="shared" si="0"/>
        <v>110</v>
      </c>
      <c r="C13" s="433" t="str">
        <f>VLOOKUP(B13,'Tipos de Defeitos'!B14:E116,Menu!$B$24+1,)</f>
        <v>Qtd</v>
      </c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4"/>
      <c r="R13" s="254"/>
      <c r="S13" s="254"/>
      <c r="T13" s="254"/>
      <c r="U13" s="254"/>
      <c r="V13" s="254"/>
      <c r="W13" s="254"/>
      <c r="X13" s="254"/>
      <c r="Y13" s="254"/>
      <c r="Z13" s="254"/>
      <c r="AA13" s="254"/>
      <c r="AB13" s="254"/>
      <c r="AC13" s="254"/>
      <c r="AD13" s="254"/>
      <c r="AE13" s="254"/>
      <c r="AF13" s="254"/>
      <c r="AG13" s="330"/>
      <c r="AH13" s="330"/>
      <c r="AI13" s="330"/>
      <c r="AJ13" s="330"/>
      <c r="AK13" s="330"/>
      <c r="AL13" s="330"/>
      <c r="AM13" s="330"/>
      <c r="AN13" s="330"/>
      <c r="AO13" s="330"/>
      <c r="AP13" s="330"/>
      <c r="AQ13" s="330"/>
      <c r="AR13" s="331"/>
      <c r="AS13" s="409"/>
      <c r="AT13" s="409"/>
    </row>
    <row r="14" spans="1:46">
      <c r="A14" s="551"/>
      <c r="B14" s="441">
        <f t="shared" si="0"/>
        <v>120</v>
      </c>
      <c r="C14" s="433" t="str">
        <f>VLOOKUP(B14,'Tipos de Defeitos'!B15:E117,Menu!$B$24+1,)</f>
        <v>GCA - Fornecedor</v>
      </c>
      <c r="D14" s="254"/>
      <c r="E14" s="254"/>
      <c r="F14" s="254"/>
      <c r="G14" s="254"/>
      <c r="H14" s="254"/>
      <c r="I14" s="254"/>
      <c r="J14" s="254"/>
      <c r="K14" s="254"/>
      <c r="L14" s="254"/>
      <c r="M14" s="254"/>
      <c r="N14" s="254"/>
      <c r="O14" s="254"/>
      <c r="P14" s="254"/>
      <c r="Q14" s="254"/>
      <c r="R14" s="254"/>
      <c r="S14" s="254"/>
      <c r="T14" s="254"/>
      <c r="U14" s="254"/>
      <c r="V14" s="254"/>
      <c r="W14" s="254"/>
      <c r="X14" s="254"/>
      <c r="Y14" s="254"/>
      <c r="Z14" s="254"/>
      <c r="AA14" s="254"/>
      <c r="AB14" s="254"/>
      <c r="AC14" s="254"/>
      <c r="AD14" s="254"/>
      <c r="AE14" s="254"/>
      <c r="AF14" s="254"/>
      <c r="AG14" s="330"/>
      <c r="AH14" s="330"/>
      <c r="AI14" s="330"/>
      <c r="AJ14" s="330"/>
      <c r="AK14" s="330"/>
      <c r="AL14" s="330"/>
      <c r="AM14" s="330"/>
      <c r="AN14" s="330"/>
      <c r="AO14" s="330"/>
      <c r="AP14" s="330"/>
      <c r="AQ14" s="330"/>
      <c r="AR14" s="331"/>
      <c r="AS14" s="409"/>
      <c r="AT14" s="409"/>
    </row>
    <row r="15" spans="1:46">
      <c r="A15" s="551"/>
      <c r="B15" s="441">
        <f t="shared" si="0"/>
        <v>130</v>
      </c>
      <c r="C15" s="433" t="str">
        <f>VLOOKUP(B15,'Tipos de Defeitos'!B16:E118,Menu!$B$24+1,)</f>
        <v>Lot.</v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333"/>
      <c r="AD15" s="254"/>
      <c r="AE15" s="254"/>
      <c r="AF15" s="254"/>
      <c r="AG15" s="330"/>
      <c r="AH15" s="330"/>
      <c r="AI15" s="330"/>
      <c r="AJ15" s="330"/>
      <c r="AK15" s="330"/>
      <c r="AL15" s="330"/>
      <c r="AM15" s="330"/>
      <c r="AN15" s="330"/>
      <c r="AO15" s="330"/>
      <c r="AP15" s="330"/>
      <c r="AQ15" s="330"/>
      <c r="AR15" s="331"/>
      <c r="AS15" s="409"/>
      <c r="AT15" s="409"/>
    </row>
    <row r="16" spans="1:46">
      <c r="A16" s="551"/>
      <c r="B16" s="441">
        <f t="shared" si="0"/>
        <v>140</v>
      </c>
      <c r="C16" s="433" t="str">
        <f>VLOOKUP(B16,'Tipos de Defeitos'!B17:E119,Menu!$B$24+1,)</f>
        <v>Qtd</v>
      </c>
      <c r="D16" s="254"/>
      <c r="E16" s="254"/>
      <c r="F16" s="254"/>
      <c r="G16" s="254"/>
      <c r="H16" s="254"/>
      <c r="I16" s="254"/>
      <c r="J16" s="254"/>
      <c r="K16" s="254"/>
      <c r="L16" s="254"/>
      <c r="M16" s="254"/>
      <c r="N16" s="254"/>
      <c r="O16" s="254"/>
      <c r="P16" s="254"/>
      <c r="Q16" s="254"/>
      <c r="R16" s="254"/>
      <c r="S16" s="254"/>
      <c r="T16" s="254"/>
      <c r="U16" s="254"/>
      <c r="V16" s="254"/>
      <c r="W16" s="254"/>
      <c r="X16" s="254"/>
      <c r="Y16" s="254"/>
      <c r="Z16" s="254"/>
      <c r="AA16" s="254"/>
      <c r="AB16" s="254"/>
      <c r="AC16" s="254"/>
      <c r="AD16" s="254"/>
      <c r="AE16" s="254"/>
      <c r="AF16" s="254"/>
      <c r="AG16" s="330"/>
      <c r="AH16" s="330"/>
      <c r="AI16" s="330"/>
      <c r="AJ16" s="330"/>
      <c r="AK16" s="330"/>
      <c r="AL16" s="330"/>
      <c r="AM16" s="330"/>
      <c r="AN16" s="330"/>
      <c r="AO16" s="330"/>
      <c r="AP16" s="330"/>
      <c r="AQ16" s="330"/>
      <c r="AR16" s="331"/>
      <c r="AS16" s="409"/>
      <c r="AT16" s="409"/>
    </row>
    <row r="17" spans="1:49">
      <c r="A17" s="551"/>
      <c r="B17" s="441">
        <f t="shared" si="0"/>
        <v>150</v>
      </c>
      <c r="C17" s="433" t="str">
        <f>VLOOKUP(B17,'Tipos de Defeitos'!B18:E120,Menu!$B$24+1,)</f>
        <v>GZO - Fornecedor</v>
      </c>
      <c r="D17" s="254"/>
      <c r="E17" s="254"/>
      <c r="F17" s="254"/>
      <c r="G17" s="254"/>
      <c r="H17" s="254"/>
      <c r="I17" s="254"/>
      <c r="J17" s="254"/>
      <c r="K17" s="254"/>
      <c r="L17" s="254"/>
      <c r="M17" s="254"/>
      <c r="N17" s="254"/>
      <c r="O17" s="254"/>
      <c r="P17" s="254"/>
      <c r="Q17" s="254"/>
      <c r="R17" s="254"/>
      <c r="S17" s="254"/>
      <c r="T17" s="254"/>
      <c r="U17" s="254"/>
      <c r="V17" s="254"/>
      <c r="W17" s="254"/>
      <c r="X17" s="254"/>
      <c r="Y17" s="254"/>
      <c r="Z17" s="254"/>
      <c r="AA17" s="254"/>
      <c r="AB17" s="254"/>
      <c r="AC17" s="254"/>
      <c r="AD17" s="254"/>
      <c r="AE17" s="254"/>
      <c r="AF17" s="254"/>
      <c r="AG17" s="330"/>
      <c r="AH17" s="330"/>
      <c r="AI17" s="330"/>
      <c r="AJ17" s="330"/>
      <c r="AK17" s="330"/>
      <c r="AL17" s="330"/>
      <c r="AM17" s="330"/>
      <c r="AN17" s="330"/>
      <c r="AO17" s="330"/>
      <c r="AP17" s="330"/>
      <c r="AQ17" s="330"/>
      <c r="AR17" s="331"/>
      <c r="AS17" s="409"/>
      <c r="AT17" s="409"/>
    </row>
    <row r="18" spans="1:49">
      <c r="A18" s="551"/>
      <c r="B18" s="441">
        <f t="shared" si="0"/>
        <v>160</v>
      </c>
      <c r="C18" s="433" t="str">
        <f>VLOOKUP(B18,'Tipos de Defeitos'!B19:E121,Menu!$B$24+1,)</f>
        <v>Nº Lote</v>
      </c>
      <c r="D18" s="254"/>
      <c r="E18" s="254"/>
      <c r="F18" s="254"/>
      <c r="G18" s="254"/>
      <c r="H18" s="254"/>
      <c r="I18" s="254"/>
      <c r="J18" s="254"/>
      <c r="K18" s="254"/>
      <c r="L18" s="254"/>
      <c r="M18" s="254"/>
      <c r="N18" s="254"/>
      <c r="O18" s="254"/>
      <c r="P18" s="254"/>
      <c r="Q18" s="254"/>
      <c r="R18" s="254"/>
      <c r="S18" s="254"/>
      <c r="T18" s="254"/>
      <c r="U18" s="254"/>
      <c r="V18" s="254"/>
      <c r="W18" s="254"/>
      <c r="X18" s="254"/>
      <c r="Y18" s="254"/>
      <c r="Z18" s="254"/>
      <c r="AA18" s="254"/>
      <c r="AB18" s="254"/>
      <c r="AC18" s="333"/>
      <c r="AD18" s="254"/>
      <c r="AE18" s="254"/>
      <c r="AF18" s="254"/>
      <c r="AG18" s="330"/>
      <c r="AH18" s="330"/>
      <c r="AI18" s="330"/>
      <c r="AJ18" s="330"/>
      <c r="AK18" s="330"/>
      <c r="AL18" s="330"/>
      <c r="AM18" s="330"/>
      <c r="AN18" s="330"/>
      <c r="AO18" s="330"/>
      <c r="AP18" s="330"/>
      <c r="AQ18" s="330"/>
      <c r="AR18" s="331"/>
      <c r="AS18" s="409"/>
      <c r="AT18" s="409"/>
    </row>
    <row r="19" spans="1:49">
      <c r="A19" s="552"/>
      <c r="B19" s="444">
        <f t="shared" si="0"/>
        <v>170</v>
      </c>
      <c r="C19" s="435" t="str">
        <f>VLOOKUP(B19,'Tipos de Defeitos'!B20:E122,Menu!$B$24+1,)</f>
        <v>Qtd</v>
      </c>
      <c r="D19" s="255"/>
      <c r="E19" s="255"/>
      <c r="F19" s="255"/>
      <c r="G19" s="255"/>
      <c r="H19" s="255"/>
      <c r="I19" s="255"/>
      <c r="J19" s="255"/>
      <c r="K19" s="255"/>
      <c r="L19" s="255"/>
      <c r="M19" s="255"/>
      <c r="N19" s="255"/>
      <c r="O19" s="255"/>
      <c r="P19" s="255"/>
      <c r="Q19" s="255"/>
      <c r="R19" s="255"/>
      <c r="S19" s="255"/>
      <c r="T19" s="255"/>
      <c r="U19" s="255"/>
      <c r="V19" s="255"/>
      <c r="W19" s="255"/>
      <c r="X19" s="255"/>
      <c r="Y19" s="255"/>
      <c r="Z19" s="255"/>
      <c r="AA19" s="255"/>
      <c r="AB19" s="255"/>
      <c r="AC19" s="255"/>
      <c r="AD19" s="255"/>
      <c r="AE19" s="255"/>
      <c r="AF19" s="255"/>
      <c r="AG19" s="334"/>
      <c r="AH19" s="334"/>
      <c r="AI19" s="334"/>
      <c r="AJ19" s="334"/>
      <c r="AK19" s="334"/>
      <c r="AL19" s="334"/>
      <c r="AM19" s="334"/>
      <c r="AN19" s="334"/>
      <c r="AO19" s="334"/>
      <c r="AP19" s="334"/>
      <c r="AQ19" s="334"/>
      <c r="AR19" s="335"/>
      <c r="AS19" s="413"/>
      <c r="AT19" s="413"/>
    </row>
    <row r="20" spans="1:49">
      <c r="A20" s="552"/>
      <c r="B20" s="444">
        <f t="shared" si="0"/>
        <v>180</v>
      </c>
      <c r="C20" s="435" t="str">
        <f>VLOOKUP(B20,'Tipos de Defeitos'!B21:E123,Menu!$B$24+1,)</f>
        <v>Solução nº 125 Qtd</v>
      </c>
      <c r="D20" s="255"/>
      <c r="E20" s="255"/>
      <c r="F20" s="255"/>
      <c r="G20" s="255"/>
      <c r="H20" s="255"/>
      <c r="I20" s="255"/>
      <c r="J20" s="255"/>
      <c r="K20" s="255"/>
      <c r="L20" s="255"/>
      <c r="M20" s="255"/>
      <c r="N20" s="255"/>
      <c r="O20" s="255"/>
      <c r="P20" s="255"/>
      <c r="Q20" s="255"/>
      <c r="R20" s="255"/>
      <c r="S20" s="255"/>
      <c r="T20" s="255"/>
      <c r="U20" s="255"/>
      <c r="V20" s="255"/>
      <c r="W20" s="255"/>
      <c r="X20" s="255"/>
      <c r="Y20" s="255"/>
      <c r="Z20" s="255"/>
      <c r="AA20" s="255"/>
      <c r="AB20" s="255"/>
      <c r="AC20" s="255"/>
      <c r="AD20" s="255"/>
      <c r="AE20" s="255"/>
      <c r="AF20" s="255"/>
      <c r="AG20" s="334"/>
      <c r="AH20" s="334"/>
      <c r="AI20" s="334"/>
      <c r="AJ20" s="334"/>
      <c r="AK20" s="334"/>
      <c r="AL20" s="334"/>
      <c r="AM20" s="334"/>
      <c r="AN20" s="334"/>
      <c r="AO20" s="334"/>
      <c r="AP20" s="334"/>
      <c r="AQ20" s="334"/>
      <c r="AR20" s="335"/>
      <c r="AS20" s="413"/>
      <c r="AT20" s="413"/>
    </row>
    <row r="21" spans="1:49">
      <c r="A21" s="552"/>
      <c r="B21" s="444">
        <f t="shared" si="0"/>
        <v>190</v>
      </c>
      <c r="C21" s="435" t="str">
        <f>VLOOKUP(B21,'Tipos de Defeitos'!B22:E124,Menu!$B$24+1,)</f>
        <v>Carvão - Fornecedor</v>
      </c>
      <c r="D21" s="255"/>
      <c r="E21" s="255"/>
      <c r="F21" s="255"/>
      <c r="G21" s="255"/>
      <c r="H21" s="255"/>
      <c r="I21" s="255"/>
      <c r="J21" s="255"/>
      <c r="K21" s="255"/>
      <c r="L21" s="255"/>
      <c r="M21" s="255"/>
      <c r="N21" s="255"/>
      <c r="O21" s="255"/>
      <c r="P21" s="255"/>
      <c r="Q21" s="255"/>
      <c r="R21" s="255"/>
      <c r="S21" s="255"/>
      <c r="T21" s="255"/>
      <c r="U21" s="255"/>
      <c r="V21" s="255"/>
      <c r="W21" s="255"/>
      <c r="X21" s="255"/>
      <c r="Y21" s="255"/>
      <c r="Z21" s="255"/>
      <c r="AA21" s="255"/>
      <c r="AB21" s="255"/>
      <c r="AC21" s="255"/>
      <c r="AD21" s="255"/>
      <c r="AE21" s="255"/>
      <c r="AF21" s="255"/>
      <c r="AG21" s="334"/>
      <c r="AH21" s="334"/>
      <c r="AI21" s="334"/>
      <c r="AJ21" s="334"/>
      <c r="AK21" s="334"/>
      <c r="AL21" s="334"/>
      <c r="AM21" s="334"/>
      <c r="AN21" s="334"/>
      <c r="AO21" s="334"/>
      <c r="AP21" s="334"/>
      <c r="AQ21" s="334"/>
      <c r="AR21" s="335"/>
      <c r="AS21" s="413"/>
      <c r="AT21" s="413"/>
    </row>
    <row r="22" spans="1:49" ht="13.5" thickBot="1">
      <c r="A22" s="553"/>
      <c r="B22" s="444">
        <f t="shared" si="0"/>
        <v>200</v>
      </c>
      <c r="C22" s="435" t="str">
        <f>VLOOKUP(B22,'Tipos de Defeitos'!B23:E125,Menu!$B$24+1,)</f>
        <v>Nº Lote</v>
      </c>
      <c r="D22" s="256"/>
      <c r="E22" s="256"/>
      <c r="F22" s="256"/>
      <c r="G22" s="256"/>
      <c r="H22" s="256"/>
      <c r="I22" s="256"/>
      <c r="J22" s="256"/>
      <c r="K22" s="256"/>
      <c r="L22" s="256"/>
      <c r="M22" s="256"/>
      <c r="N22" s="256"/>
      <c r="O22" s="256"/>
      <c r="P22" s="256"/>
      <c r="Q22" s="256"/>
      <c r="R22" s="256"/>
      <c r="S22" s="256"/>
      <c r="T22" s="256"/>
      <c r="U22" s="256"/>
      <c r="V22" s="256"/>
      <c r="W22" s="256"/>
      <c r="X22" s="256"/>
      <c r="Y22" s="256"/>
      <c r="Z22" s="256"/>
      <c r="AA22" s="256"/>
      <c r="AB22" s="256"/>
      <c r="AC22" s="256"/>
      <c r="AD22" s="256"/>
      <c r="AE22" s="336"/>
      <c r="AF22" s="336"/>
      <c r="AG22" s="336"/>
      <c r="AH22" s="336"/>
      <c r="AI22" s="336"/>
      <c r="AJ22" s="336"/>
      <c r="AK22" s="336"/>
      <c r="AL22" s="336"/>
      <c r="AM22" s="336"/>
      <c r="AN22" s="336"/>
      <c r="AO22" s="336"/>
      <c r="AP22" s="336"/>
      <c r="AQ22" s="336"/>
      <c r="AR22" s="337"/>
      <c r="AS22" s="414"/>
      <c r="AT22" s="414"/>
    </row>
    <row r="23" spans="1:49" ht="13.5" customHeight="1">
      <c r="A23" s="544" t="s">
        <v>214</v>
      </c>
      <c r="B23" s="440">
        <f t="shared" si="0"/>
        <v>210</v>
      </c>
      <c r="C23" s="426" t="str">
        <f>VLOOKUP(B23,'Tipos de Defeitos'!B24:E126,Menu!$B$24+1,)</f>
        <v>Qtd. Retestada (pçs)</v>
      </c>
      <c r="D23" s="221"/>
      <c r="E23" s="221"/>
      <c r="F23" s="221"/>
      <c r="G23" s="221"/>
      <c r="H23" s="221"/>
      <c r="I23" s="221"/>
      <c r="J23" s="221"/>
      <c r="K23" s="234"/>
      <c r="L23" s="234"/>
      <c r="M23" s="223"/>
      <c r="N23" s="223"/>
      <c r="O23" s="223"/>
      <c r="P23" s="223"/>
      <c r="Q23" s="223"/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338"/>
      <c r="AC23" s="223"/>
      <c r="AD23" s="223"/>
      <c r="AE23" s="223"/>
      <c r="AF23" s="223"/>
      <c r="AG23" s="223"/>
      <c r="AH23" s="223"/>
      <c r="AI23" s="223"/>
      <c r="AJ23" s="223"/>
      <c r="AK23" s="223"/>
      <c r="AL23" s="223"/>
      <c r="AM23" s="223"/>
      <c r="AN23" s="223"/>
      <c r="AO23" s="223"/>
      <c r="AP23" s="223"/>
      <c r="AQ23" s="223"/>
      <c r="AR23" s="339"/>
      <c r="AS23" s="372">
        <f t="array" ref="AS23">SUM(IF(E$5:AR$5&lt;&gt;"",E23:AR23))</f>
        <v>0</v>
      </c>
      <c r="AT23" s="415">
        <f>AS23+'UM-3 - L2 - Dia'!AS23</f>
        <v>0</v>
      </c>
    </row>
    <row r="24" spans="1:49">
      <c r="A24" s="545"/>
      <c r="B24" s="441">
        <f t="shared" si="0"/>
        <v>220</v>
      </c>
      <c r="C24" s="428" t="str">
        <f>VLOOKUP(B24,'Tipos de Defeitos'!B25:E127,Menu!$B$24+1,)</f>
        <v>Defeitos (Qty)</v>
      </c>
      <c r="D24" s="212"/>
      <c r="E24" s="212"/>
      <c r="F24" s="212"/>
      <c r="G24" s="212"/>
      <c r="H24" s="212"/>
      <c r="I24" s="215"/>
      <c r="J24" s="215"/>
      <c r="K24" s="235"/>
      <c r="L24" s="235"/>
      <c r="M24" s="216"/>
      <c r="N24" s="216"/>
      <c r="O24" s="216"/>
      <c r="P24" s="216"/>
      <c r="Q24" s="216"/>
      <c r="R24" s="216"/>
      <c r="S24" s="217"/>
      <c r="T24" s="217"/>
      <c r="U24" s="217"/>
      <c r="V24" s="217"/>
      <c r="W24" s="217"/>
      <c r="X24" s="217"/>
      <c r="Y24" s="217"/>
      <c r="Z24" s="217"/>
      <c r="AA24" s="217"/>
      <c r="AB24" s="340"/>
      <c r="AC24" s="216"/>
      <c r="AD24" s="216"/>
      <c r="AE24" s="216"/>
      <c r="AF24" s="216"/>
      <c r="AG24" s="217"/>
      <c r="AH24" s="217"/>
      <c r="AI24" s="217"/>
      <c r="AJ24" s="217"/>
      <c r="AK24" s="217"/>
      <c r="AL24" s="217"/>
      <c r="AM24" s="217"/>
      <c r="AN24" s="217"/>
      <c r="AO24" s="216"/>
      <c r="AP24" s="216"/>
      <c r="AQ24" s="216"/>
      <c r="AR24" s="341"/>
      <c r="AS24" s="373">
        <f t="array" ref="AS24">SUM(IF(E$5:AR$5&lt;&gt;"",E24:AR24))</f>
        <v>0</v>
      </c>
      <c r="AT24" s="416">
        <f>AS24+'UM-3 - L2 - Dia'!AS24</f>
        <v>0</v>
      </c>
    </row>
    <row r="25" spans="1:49" ht="12.75" customHeight="1">
      <c r="A25" s="545"/>
      <c r="B25" s="441">
        <f t="shared" si="0"/>
        <v>230</v>
      </c>
      <c r="C25" s="428" t="str">
        <f>VLOOKUP(B25,'Tipos de Defeitos'!B26:E128,Menu!$B$24+1,)</f>
        <v>Voltagem (Moda)</v>
      </c>
      <c r="D25" s="218"/>
      <c r="E25" s="218"/>
      <c r="F25" s="218"/>
      <c r="G25" s="218"/>
      <c r="H25" s="218"/>
      <c r="I25" s="218"/>
      <c r="J25" s="218"/>
      <c r="K25" s="236"/>
      <c r="L25" s="236"/>
      <c r="M25" s="219"/>
      <c r="N25" s="219"/>
      <c r="O25" s="219"/>
      <c r="P25" s="219"/>
      <c r="Q25" s="219"/>
      <c r="R25" s="218"/>
      <c r="S25" s="219"/>
      <c r="T25" s="342"/>
      <c r="U25" s="219"/>
      <c r="V25" s="219"/>
      <c r="W25" s="219"/>
      <c r="X25" s="219"/>
      <c r="Y25" s="219"/>
      <c r="Z25" s="219"/>
      <c r="AA25" s="219"/>
      <c r="AB25" s="219"/>
      <c r="AC25" s="219"/>
      <c r="AD25" s="218"/>
      <c r="AE25" s="219"/>
      <c r="AF25" s="219"/>
      <c r="AG25" s="219"/>
      <c r="AH25" s="217"/>
      <c r="AI25" s="217"/>
      <c r="AJ25" s="217"/>
      <c r="AK25" s="217"/>
      <c r="AL25" s="217"/>
      <c r="AM25" s="217"/>
      <c r="AN25" s="217"/>
      <c r="AO25" s="219"/>
      <c r="AP25" s="219"/>
      <c r="AQ25" s="219"/>
      <c r="AR25" s="343"/>
      <c r="AS25" s="374" t="e">
        <f>AVERAGE(E25:AR25)</f>
        <v>#DIV/0!</v>
      </c>
      <c r="AT25" s="417"/>
    </row>
    <row r="26" spans="1:49">
      <c r="A26" s="545"/>
      <c r="B26" s="441">
        <f t="shared" si="0"/>
        <v>240</v>
      </c>
      <c r="C26" s="428" t="str">
        <f>VLOOKUP(B26,'Tipos de Defeitos'!B27:E129,Menu!$B$24+1,)</f>
        <v>Voltagem (ajustada)</v>
      </c>
      <c r="D26" s="220" t="str">
        <f t="shared" ref="D26:G26" si="10">IF(D25&gt;0,D25-0.005," ")</f>
        <v xml:space="preserve"> </v>
      </c>
      <c r="E26" s="220" t="str">
        <f t="shared" si="10"/>
        <v xml:space="preserve"> </v>
      </c>
      <c r="F26" s="220" t="str">
        <f t="shared" si="10"/>
        <v xml:space="preserve"> </v>
      </c>
      <c r="G26" s="220" t="str">
        <f t="shared" si="10"/>
        <v xml:space="preserve"> </v>
      </c>
      <c r="H26" s="220" t="str">
        <f t="shared" ref="H26" si="11">IF(H25&gt;0,H25-0.005," ")</f>
        <v xml:space="preserve"> </v>
      </c>
      <c r="I26" s="220" t="str">
        <f t="shared" ref="I26" si="12">IF(I25&gt;0,I25-0.005," ")</f>
        <v xml:space="preserve"> </v>
      </c>
      <c r="J26" s="220" t="str">
        <f t="shared" ref="J26:AR26" si="13">IF(J25&gt;0,J25-0.005," ")</f>
        <v xml:space="preserve"> </v>
      </c>
      <c r="K26" s="344" t="str">
        <f t="shared" si="13"/>
        <v xml:space="preserve"> </v>
      </c>
      <c r="L26" s="344" t="str">
        <f t="shared" ref="L26" si="14">IF(L25&gt;0,L25-0.005," ")</f>
        <v xml:space="preserve"> </v>
      </c>
      <c r="M26" s="220" t="str">
        <f>IF(M25&gt;0,M25-0.003," ")</f>
        <v xml:space="preserve"> </v>
      </c>
      <c r="N26" s="220" t="str">
        <f t="shared" si="13"/>
        <v xml:space="preserve"> </v>
      </c>
      <c r="O26" s="220" t="str">
        <f>IF(O25&gt;0,O25-0.003," ")</f>
        <v xml:space="preserve"> </v>
      </c>
      <c r="P26" s="220" t="str">
        <f>IF(P25&gt;0,P25-0.003," ")</f>
        <v xml:space="preserve"> </v>
      </c>
      <c r="Q26" s="220" t="str">
        <f>IF(Q25&gt;0,Q25-0.003," ")</f>
        <v xml:space="preserve"> </v>
      </c>
      <c r="R26" s="220" t="str">
        <f t="shared" si="13"/>
        <v xml:space="preserve"> </v>
      </c>
      <c r="S26" s="220" t="str">
        <f t="shared" si="13"/>
        <v xml:space="preserve"> </v>
      </c>
      <c r="T26" s="345" t="str">
        <f t="shared" si="13"/>
        <v xml:space="preserve"> </v>
      </c>
      <c r="U26" s="220" t="str">
        <f t="shared" si="13"/>
        <v xml:space="preserve"> </v>
      </c>
      <c r="V26" s="220" t="str">
        <f t="shared" si="13"/>
        <v xml:space="preserve"> </v>
      </c>
      <c r="W26" s="220" t="str">
        <f t="shared" si="13"/>
        <v xml:space="preserve"> </v>
      </c>
      <c r="X26" s="220" t="str">
        <f t="shared" si="13"/>
        <v xml:space="preserve"> </v>
      </c>
      <c r="Y26" s="220" t="str">
        <f t="shared" si="13"/>
        <v xml:space="preserve"> </v>
      </c>
      <c r="Z26" s="220" t="str">
        <f t="shared" si="13"/>
        <v xml:space="preserve"> </v>
      </c>
      <c r="AA26" s="220" t="str">
        <f t="shared" si="13"/>
        <v xml:space="preserve"> </v>
      </c>
      <c r="AB26" s="220" t="str">
        <f t="shared" si="13"/>
        <v xml:space="preserve"> </v>
      </c>
      <c r="AC26" s="220" t="str">
        <f t="shared" si="13"/>
        <v xml:space="preserve"> </v>
      </c>
      <c r="AD26" s="220" t="str">
        <f t="shared" si="13"/>
        <v xml:space="preserve"> </v>
      </c>
      <c r="AE26" s="220" t="str">
        <f t="shared" si="13"/>
        <v xml:space="preserve"> </v>
      </c>
      <c r="AF26" s="220"/>
      <c r="AG26" s="220" t="str">
        <f t="shared" si="13"/>
        <v xml:space="preserve"> </v>
      </c>
      <c r="AH26" s="220" t="str">
        <f t="shared" si="13"/>
        <v xml:space="preserve"> </v>
      </c>
      <c r="AI26" s="220" t="str">
        <f t="shared" si="13"/>
        <v xml:space="preserve"> </v>
      </c>
      <c r="AJ26" s="220" t="str">
        <f t="shared" si="13"/>
        <v xml:space="preserve"> </v>
      </c>
      <c r="AK26" s="220" t="str">
        <f t="shared" si="13"/>
        <v xml:space="preserve"> </v>
      </c>
      <c r="AL26" s="220" t="str">
        <f t="shared" si="13"/>
        <v xml:space="preserve"> </v>
      </c>
      <c r="AM26" s="220" t="str">
        <f t="shared" si="13"/>
        <v xml:space="preserve"> </v>
      </c>
      <c r="AN26" s="220" t="str">
        <f t="shared" si="13"/>
        <v xml:space="preserve"> </v>
      </c>
      <c r="AO26" s="220" t="str">
        <f t="shared" si="13"/>
        <v xml:space="preserve"> </v>
      </c>
      <c r="AP26" s="220"/>
      <c r="AQ26" s="220" t="str">
        <f t="shared" si="13"/>
        <v xml:space="preserve"> </v>
      </c>
      <c r="AR26" s="346" t="str">
        <f t="shared" si="13"/>
        <v xml:space="preserve"> </v>
      </c>
      <c r="AS26" s="374" t="e">
        <f>AVERAGE(E26:AR26)</f>
        <v>#DIV/0!</v>
      </c>
      <c r="AT26" s="417"/>
    </row>
    <row r="27" spans="1:49" ht="13.5" thickBot="1">
      <c r="A27" s="546"/>
      <c r="B27" s="444">
        <f t="shared" si="0"/>
        <v>250</v>
      </c>
      <c r="C27" s="436" t="str">
        <f>VLOOKUP(B27,'Tipos de Defeitos'!B28:E130,Menu!$B$24+1,)</f>
        <v>Qtd. Analisada (pçs)</v>
      </c>
      <c r="D27" s="224"/>
      <c r="E27" s="224"/>
      <c r="F27" s="224"/>
      <c r="G27" s="224"/>
      <c r="H27" s="224"/>
      <c r="I27" s="224"/>
      <c r="J27" s="224"/>
      <c r="K27" s="224"/>
      <c r="L27" s="224"/>
      <c r="M27" s="224"/>
      <c r="N27" s="224"/>
      <c r="O27" s="224"/>
      <c r="P27" s="224"/>
      <c r="Q27" s="224"/>
      <c r="R27" s="224"/>
      <c r="S27" s="224"/>
      <c r="T27" s="224"/>
      <c r="U27" s="224"/>
      <c r="V27" s="224"/>
      <c r="W27" s="224"/>
      <c r="X27" s="224"/>
      <c r="Y27" s="224"/>
      <c r="Z27" s="224"/>
      <c r="AA27" s="224"/>
      <c r="AB27" s="224"/>
      <c r="AC27" s="224"/>
      <c r="AD27" s="224"/>
      <c r="AE27" s="225"/>
      <c r="AF27" s="225"/>
      <c r="AG27" s="225"/>
      <c r="AH27" s="225"/>
      <c r="AI27" s="225"/>
      <c r="AJ27" s="225"/>
      <c r="AK27" s="225"/>
      <c r="AL27" s="225"/>
      <c r="AM27" s="225"/>
      <c r="AN27" s="225"/>
      <c r="AO27" s="225"/>
      <c r="AP27" s="225"/>
      <c r="AQ27" s="225"/>
      <c r="AR27" s="347"/>
      <c r="AS27" s="371">
        <f t="array" ref="AS27">SUM(IF(E$5:AR$5&lt;&gt;"",E27:AR27))</f>
        <v>0</v>
      </c>
      <c r="AT27" s="413">
        <f>AS27+'UM-3 - L2 - Dia'!AS27</f>
        <v>0</v>
      </c>
    </row>
    <row r="28" spans="1:49">
      <c r="A28" s="545" t="s">
        <v>225</v>
      </c>
      <c r="B28" s="440">
        <f t="shared" si="0"/>
        <v>260</v>
      </c>
      <c r="C28" s="437" t="str">
        <f>VLOOKUP(B28,'Tipos de Defeitos'!B29:E131,Menu!$B$24+1,)</f>
        <v>Sem Papel Separador</v>
      </c>
      <c r="D28" s="227"/>
      <c r="E28" s="227"/>
      <c r="F28" s="227"/>
      <c r="G28" s="227"/>
      <c r="H28" s="227"/>
      <c r="I28" s="227"/>
      <c r="J28" s="227"/>
      <c r="K28" s="227"/>
      <c r="L28" s="227"/>
      <c r="M28" s="228"/>
      <c r="N28" s="228"/>
      <c r="O28" s="228"/>
      <c r="P28" s="228"/>
      <c r="Q28" s="228"/>
      <c r="R28" s="228"/>
      <c r="S28" s="228"/>
      <c r="T28" s="228"/>
      <c r="U28" s="228"/>
      <c r="V28" s="228"/>
      <c r="W28" s="228"/>
      <c r="X28" s="228"/>
      <c r="Y28" s="228"/>
      <c r="Z28" s="228"/>
      <c r="AA28" s="228"/>
      <c r="AB28" s="228"/>
      <c r="AC28" s="228"/>
      <c r="AD28" s="228"/>
      <c r="AE28" s="228"/>
      <c r="AF28" s="228"/>
      <c r="AG28" s="228"/>
      <c r="AH28" s="228"/>
      <c r="AI28" s="228"/>
      <c r="AJ28" s="228"/>
      <c r="AK28" s="228"/>
      <c r="AL28" s="228"/>
      <c r="AM28" s="228"/>
      <c r="AN28" s="228"/>
      <c r="AO28" s="228"/>
      <c r="AP28" s="228"/>
      <c r="AQ28" s="228"/>
      <c r="AR28" s="348"/>
      <c r="AS28" s="375">
        <f t="shared" ref="AS28:AS59" si="15">SUM(E28:AR28)</f>
        <v>0</v>
      </c>
      <c r="AT28" s="418">
        <f>AS28+'UM-3 - L2 - Dia'!AS28</f>
        <v>0</v>
      </c>
      <c r="AU28" s="314" t="e">
        <f>AT28/$AT$27*$AT$24</f>
        <v>#DIV/0!</v>
      </c>
      <c r="AW28" s="315" t="e">
        <f>(AS28/$AS$78)*100</f>
        <v>#DIV/0!</v>
      </c>
    </row>
    <row r="29" spans="1:49">
      <c r="A29" s="545"/>
      <c r="B29" s="441">
        <f t="shared" si="0"/>
        <v>270</v>
      </c>
      <c r="C29" s="433" t="str">
        <f>VLOOKUP(B29,'Tipos de Defeitos'!B30:E132,Menu!$B$24+1,)</f>
        <v>Papel Separador Cortado</v>
      </c>
      <c r="D29" s="212"/>
      <c r="E29" s="212"/>
      <c r="F29" s="212"/>
      <c r="G29" s="212"/>
      <c r="H29" s="212"/>
      <c r="I29" s="212"/>
      <c r="J29" s="212"/>
      <c r="K29" s="212"/>
      <c r="L29" s="212"/>
      <c r="M29" s="217"/>
      <c r="N29" s="217"/>
      <c r="O29" s="217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217"/>
      <c r="AQ29" s="217"/>
      <c r="AR29" s="323"/>
      <c r="AS29" s="369">
        <f t="shared" si="15"/>
        <v>0</v>
      </c>
      <c r="AT29" s="409">
        <f>AS29+'UM-3 - L2 - Dia'!AS29</f>
        <v>0</v>
      </c>
      <c r="AU29" s="314" t="e">
        <f t="shared" ref="AU29:AU36" si="16">AT29/$AT$27*$AT$24</f>
        <v>#DIV/0!</v>
      </c>
      <c r="AW29" s="315" t="e">
        <f t="shared" ref="AW29:AW77" si="17">(AS29/$AS$78)*100</f>
        <v>#DIV/0!</v>
      </c>
    </row>
    <row r="30" spans="1:49">
      <c r="A30" s="545"/>
      <c r="B30" s="441">
        <f t="shared" si="0"/>
        <v>280</v>
      </c>
      <c r="C30" s="433" t="str">
        <f>VLOOKUP(B30,'Tipos de Defeitos'!B31:E133,Menu!$B$24+1,)</f>
        <v>Papel Separador Rasgado</v>
      </c>
      <c r="D30" s="212"/>
      <c r="E30" s="212"/>
      <c r="F30" s="212"/>
      <c r="G30" s="212"/>
      <c r="H30" s="212"/>
      <c r="I30" s="212"/>
      <c r="J30" s="212"/>
      <c r="K30" s="212"/>
      <c r="L30" s="212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217"/>
      <c r="AP30" s="217"/>
      <c r="AQ30" s="217"/>
      <c r="AR30" s="323"/>
      <c r="AS30" s="369">
        <f t="shared" si="15"/>
        <v>0</v>
      </c>
      <c r="AT30" s="409">
        <f>AS30+'UM-3 - L2 - Dia'!AS30</f>
        <v>0</v>
      </c>
      <c r="AU30" s="314" t="e">
        <f t="shared" si="16"/>
        <v>#DIV/0!</v>
      </c>
      <c r="AW30" s="315" t="e">
        <f t="shared" si="17"/>
        <v>#DIV/0!</v>
      </c>
    </row>
    <row r="31" spans="1:49">
      <c r="A31" s="545"/>
      <c r="B31" s="441">
        <f t="shared" si="0"/>
        <v>290</v>
      </c>
      <c r="C31" s="433" t="str">
        <f>VLOOKUP(B31,'Tipos de Defeitos'!B32:E134,Menu!$B$24+1,)</f>
        <v>Papel Dobrado Sup.</v>
      </c>
      <c r="D31" s="212"/>
      <c r="E31" s="212"/>
      <c r="F31" s="212"/>
      <c r="G31" s="212"/>
      <c r="H31" s="212"/>
      <c r="I31" s="212"/>
      <c r="J31" s="212"/>
      <c r="K31" s="212"/>
      <c r="L31" s="212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217"/>
      <c r="AQ31" s="217"/>
      <c r="AR31" s="323"/>
      <c r="AS31" s="369">
        <f t="shared" si="15"/>
        <v>0</v>
      </c>
      <c r="AT31" s="409">
        <f>AS31+'UM-3 - L2 - Dia'!AS31</f>
        <v>0</v>
      </c>
      <c r="AU31" s="314" t="e">
        <f t="shared" si="16"/>
        <v>#DIV/0!</v>
      </c>
      <c r="AW31" s="315" t="e">
        <f t="shared" si="17"/>
        <v>#DIV/0!</v>
      </c>
    </row>
    <row r="32" spans="1:49">
      <c r="A32" s="545"/>
      <c r="B32" s="441">
        <f t="shared" si="0"/>
        <v>300</v>
      </c>
      <c r="C32" s="433" t="str">
        <f>VLOOKUP(B32,'Tipos de Defeitos'!B33:E135,Menu!$B$24+1,)</f>
        <v>Papel Dobrado Meio</v>
      </c>
      <c r="D32" s="226"/>
      <c r="E32" s="226"/>
      <c r="F32" s="226"/>
      <c r="G32" s="226"/>
      <c r="H32" s="226"/>
      <c r="I32" s="212"/>
      <c r="J32" s="212"/>
      <c r="K32" s="212"/>
      <c r="L32" s="212"/>
      <c r="M32" s="217"/>
      <c r="N32" s="217"/>
      <c r="O32" s="217"/>
      <c r="P32" s="217"/>
      <c r="Q32" s="217"/>
      <c r="R32" s="217"/>
      <c r="S32" s="217"/>
      <c r="T32" s="212"/>
      <c r="U32" s="212"/>
      <c r="V32" s="226"/>
      <c r="W32" s="226"/>
      <c r="X32" s="226"/>
      <c r="Y32" s="226"/>
      <c r="Z32" s="226"/>
      <c r="AA32" s="226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217"/>
      <c r="AP32" s="217"/>
      <c r="AQ32" s="217"/>
      <c r="AR32" s="323"/>
      <c r="AS32" s="369">
        <f t="shared" si="15"/>
        <v>0</v>
      </c>
      <c r="AT32" s="409">
        <f>AS32+'UM-3 - L2 - Dia'!AS32</f>
        <v>0</v>
      </c>
      <c r="AU32" s="314" t="e">
        <f t="shared" si="16"/>
        <v>#DIV/0!</v>
      </c>
      <c r="AW32" s="315" t="e">
        <f t="shared" si="17"/>
        <v>#DIV/0!</v>
      </c>
    </row>
    <row r="33" spans="1:50">
      <c r="A33" s="545"/>
      <c r="B33" s="441">
        <f t="shared" si="0"/>
        <v>310</v>
      </c>
      <c r="C33" s="433" t="str">
        <f>VLOOKUP(B33,'Tipos de Defeitos'!B34:E136,Menu!$B$24+1,)</f>
        <v>Papel Dobrado Inf.</v>
      </c>
      <c r="D33" s="212"/>
      <c r="E33" s="212"/>
      <c r="F33" s="212"/>
      <c r="G33" s="212"/>
      <c r="H33" s="212"/>
      <c r="I33" s="212"/>
      <c r="J33" s="212"/>
      <c r="K33" s="212"/>
      <c r="L33" s="212"/>
      <c r="M33" s="212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217"/>
      <c r="AQ33" s="217"/>
      <c r="AR33" s="323"/>
      <c r="AS33" s="369">
        <f t="shared" si="15"/>
        <v>0</v>
      </c>
      <c r="AT33" s="409">
        <f>AS33+'UM-3 - L2 - Dia'!AS33</f>
        <v>0</v>
      </c>
      <c r="AU33" s="314" t="e">
        <f t="shared" si="16"/>
        <v>#DIV/0!</v>
      </c>
      <c r="AW33" s="315" t="e">
        <f t="shared" si="17"/>
        <v>#DIV/0!</v>
      </c>
    </row>
    <row r="34" spans="1:50">
      <c r="A34" s="545"/>
      <c r="B34" s="441">
        <f t="shared" si="0"/>
        <v>320</v>
      </c>
      <c r="C34" s="433" t="str">
        <f>VLOOKUP(B34,'Tipos de Defeitos'!B35:E137,Menu!$B$24+1,)</f>
        <v>Papel Afundado</v>
      </c>
      <c r="D34" s="212"/>
      <c r="E34" s="212"/>
      <c r="F34" s="212"/>
      <c r="G34" s="212"/>
      <c r="H34" s="212"/>
      <c r="I34" s="212"/>
      <c r="J34" s="212"/>
      <c r="K34" s="212"/>
      <c r="L34" s="212"/>
      <c r="M34" s="217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217"/>
      <c r="AP34" s="217"/>
      <c r="AQ34" s="217"/>
      <c r="AR34" s="323"/>
      <c r="AS34" s="369">
        <f t="shared" si="15"/>
        <v>0</v>
      </c>
      <c r="AT34" s="409">
        <f>AS34+'UM-3 - L2 - Dia'!AS34</f>
        <v>0</v>
      </c>
      <c r="AU34" s="314" t="e">
        <f t="shared" si="16"/>
        <v>#DIV/0!</v>
      </c>
      <c r="AW34" s="315" t="e">
        <f t="shared" si="17"/>
        <v>#DIV/0!</v>
      </c>
    </row>
    <row r="35" spans="1:50">
      <c r="A35" s="545"/>
      <c r="B35" s="441">
        <f t="shared" si="0"/>
        <v>330</v>
      </c>
      <c r="C35" s="433" t="str">
        <f>VLOOKUP(B35,'Tipos de Defeitos'!B36:E138,Menu!$B$24+1,)</f>
        <v>Papel Deslocado</v>
      </c>
      <c r="D35" s="212"/>
      <c r="E35" s="212"/>
      <c r="F35" s="212"/>
      <c r="G35" s="212"/>
      <c r="H35" s="212"/>
      <c r="I35" s="212"/>
      <c r="J35" s="212"/>
      <c r="K35" s="212"/>
      <c r="L35" s="212"/>
      <c r="M35" s="217"/>
      <c r="N35" s="217"/>
      <c r="O35" s="217"/>
      <c r="P35" s="217"/>
      <c r="Q35" s="217"/>
      <c r="R35" s="217"/>
      <c r="S35" s="217"/>
      <c r="T35" s="217"/>
      <c r="U35" s="217"/>
      <c r="V35" s="217"/>
      <c r="W35" s="217"/>
      <c r="X35" s="217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217"/>
      <c r="AQ35" s="217"/>
      <c r="AR35" s="323"/>
      <c r="AS35" s="369">
        <f t="shared" si="15"/>
        <v>0</v>
      </c>
      <c r="AT35" s="409">
        <f>AS35+'UM-3 - L2 - Dia'!AS35</f>
        <v>0</v>
      </c>
      <c r="AU35" s="314" t="e">
        <f t="shared" si="16"/>
        <v>#DIV/0!</v>
      </c>
      <c r="AW35" s="315" t="e">
        <f t="shared" si="17"/>
        <v>#DIV/0!</v>
      </c>
    </row>
    <row r="36" spans="1:50">
      <c r="A36" s="545"/>
      <c r="B36" s="441">
        <f t="shared" si="0"/>
        <v>340</v>
      </c>
      <c r="C36" s="433" t="str">
        <f>VLOOKUP(B36,'Tipos de Defeitos'!B37:E139,Menu!$B$24+1,)</f>
        <v>Papel menor</v>
      </c>
      <c r="D36" s="212"/>
      <c r="E36" s="212"/>
      <c r="F36" s="212"/>
      <c r="G36" s="212"/>
      <c r="H36" s="212"/>
      <c r="I36" s="212"/>
      <c r="J36" s="212"/>
      <c r="K36" s="212"/>
      <c r="L36" s="212"/>
      <c r="M36" s="217"/>
      <c r="N36" s="217"/>
      <c r="O36" s="217"/>
      <c r="P36" s="217"/>
      <c r="Q36" s="217"/>
      <c r="R36" s="217"/>
      <c r="S36" s="217"/>
      <c r="T36" s="217"/>
      <c r="U36" s="217"/>
      <c r="V36" s="217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217"/>
      <c r="AP36" s="217"/>
      <c r="AQ36" s="217"/>
      <c r="AR36" s="323"/>
      <c r="AS36" s="369">
        <f t="shared" si="15"/>
        <v>0</v>
      </c>
      <c r="AT36" s="409">
        <f>AS36+'UM-3 - L2 - Dia'!AS36</f>
        <v>0</v>
      </c>
      <c r="AU36" s="314" t="e">
        <f t="shared" si="16"/>
        <v>#DIV/0!</v>
      </c>
      <c r="AW36" s="315" t="e">
        <f t="shared" si="17"/>
        <v>#DIV/0!</v>
      </c>
    </row>
    <row r="37" spans="1:50">
      <c r="A37" s="545"/>
      <c r="B37" s="441">
        <f t="shared" si="0"/>
        <v>350</v>
      </c>
      <c r="C37" s="433" t="str">
        <f>VLOOKUP(B37,'Tipos de Defeitos'!B38:E140,Menu!$B$24+1,)</f>
        <v>Sem Disco</v>
      </c>
      <c r="D37" s="212"/>
      <c r="E37" s="212"/>
      <c r="F37" s="212"/>
      <c r="G37" s="212"/>
      <c r="H37" s="212"/>
      <c r="I37" s="212"/>
      <c r="J37" s="212"/>
      <c r="K37" s="212"/>
      <c r="L37" s="212"/>
      <c r="M37" s="217"/>
      <c r="N37" s="217"/>
      <c r="O37" s="212"/>
      <c r="P37" s="217"/>
      <c r="Q37" s="217"/>
      <c r="R37" s="217"/>
      <c r="S37" s="217"/>
      <c r="T37" s="217"/>
      <c r="U37" s="217"/>
      <c r="V37" s="217"/>
      <c r="W37" s="217"/>
      <c r="X37" s="217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217"/>
      <c r="AP37" s="217"/>
      <c r="AQ37" s="217"/>
      <c r="AR37" s="323"/>
      <c r="AS37" s="369">
        <f t="shared" si="15"/>
        <v>0</v>
      </c>
      <c r="AT37" s="409">
        <f>AS37+'UM-3 - L2 - Dia'!AS37</f>
        <v>0</v>
      </c>
      <c r="AU37" s="314" t="e">
        <f>SUM(AU28:AU36)</f>
        <v>#DIV/0!</v>
      </c>
      <c r="AV37" s="314" t="e">
        <f>AU37/AT7*1000000</f>
        <v>#DIV/0!</v>
      </c>
      <c r="AW37" s="315" t="e">
        <f t="shared" si="17"/>
        <v>#DIV/0!</v>
      </c>
    </row>
    <row r="38" spans="1:50">
      <c r="A38" s="545"/>
      <c r="B38" s="441">
        <f t="shared" si="0"/>
        <v>360</v>
      </c>
      <c r="C38" s="433" t="str">
        <f>VLOOKUP(B38,'Tipos de Defeitos'!B39:E141,Menu!$B$24+1,)</f>
        <v>Disco Cortado</v>
      </c>
      <c r="D38" s="212"/>
      <c r="E38" s="212"/>
      <c r="F38" s="212"/>
      <c r="G38" s="212"/>
      <c r="H38" s="212"/>
      <c r="I38" s="212"/>
      <c r="J38" s="212"/>
      <c r="K38" s="212"/>
      <c r="L38" s="212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217"/>
      <c r="AP38" s="217"/>
      <c r="AQ38" s="217"/>
      <c r="AR38" s="323"/>
      <c r="AS38" s="369">
        <f t="shared" si="15"/>
        <v>0</v>
      </c>
      <c r="AT38" s="409">
        <f>AS38+'UM-3 - L2 - Dia'!AS38</f>
        <v>0</v>
      </c>
      <c r="AW38" s="315" t="e">
        <f t="shared" si="17"/>
        <v>#DIV/0!</v>
      </c>
    </row>
    <row r="39" spans="1:50">
      <c r="A39" s="545"/>
      <c r="B39" s="441">
        <f t="shared" si="0"/>
        <v>370</v>
      </c>
      <c r="C39" s="433" t="str">
        <f>VLOOKUP(B39,'Tipos de Defeitos'!B40:E142,Menu!$B$24+1,)</f>
        <v>Disco Rasgado</v>
      </c>
      <c r="D39" s="212"/>
      <c r="E39" s="212"/>
      <c r="F39" s="212"/>
      <c r="G39" s="212"/>
      <c r="H39" s="212"/>
      <c r="I39" s="212"/>
      <c r="J39" s="212"/>
      <c r="K39" s="212"/>
      <c r="L39" s="212"/>
      <c r="M39" s="217"/>
      <c r="N39" s="217"/>
      <c r="O39" s="217"/>
      <c r="P39" s="217"/>
      <c r="Q39" s="217"/>
      <c r="R39" s="217"/>
      <c r="S39" s="217"/>
      <c r="T39" s="217"/>
      <c r="U39" s="217"/>
      <c r="V39" s="217"/>
      <c r="W39" s="217"/>
      <c r="X39" s="217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217"/>
      <c r="AP39" s="217"/>
      <c r="AQ39" s="217"/>
      <c r="AR39" s="323"/>
      <c r="AS39" s="369">
        <f t="shared" si="15"/>
        <v>0</v>
      </c>
      <c r="AT39" s="409">
        <f>AS39+'UM-3 - L2 - Dia'!AS39</f>
        <v>0</v>
      </c>
      <c r="AW39" s="315" t="e">
        <f t="shared" si="17"/>
        <v>#DIV/0!</v>
      </c>
    </row>
    <row r="40" spans="1:50">
      <c r="A40" s="545"/>
      <c r="B40" s="441">
        <f t="shared" si="0"/>
        <v>380</v>
      </c>
      <c r="C40" s="433" t="str">
        <f>VLOOKUP(B40,'Tipos de Defeitos'!B41:E143,Menu!$B$24+1,)</f>
        <v>Disco Furado</v>
      </c>
      <c r="D40" s="212"/>
      <c r="E40" s="212"/>
      <c r="F40" s="212"/>
      <c r="G40" s="212"/>
      <c r="H40" s="212"/>
      <c r="I40" s="212"/>
      <c r="J40" s="212"/>
      <c r="K40" s="212"/>
      <c r="L40" s="212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217"/>
      <c r="AP40" s="217"/>
      <c r="AQ40" s="217"/>
      <c r="AR40" s="323"/>
      <c r="AS40" s="369">
        <f t="shared" si="15"/>
        <v>0</v>
      </c>
      <c r="AT40" s="409">
        <f>AS40+'UM-3 - L2 - Dia'!AS40</f>
        <v>0</v>
      </c>
      <c r="AW40" s="315" t="e">
        <f t="shared" si="17"/>
        <v>#DIV/0!</v>
      </c>
    </row>
    <row r="41" spans="1:50">
      <c r="A41" s="545"/>
      <c r="B41" s="441">
        <f t="shared" si="0"/>
        <v>390</v>
      </c>
      <c r="C41" s="433" t="str">
        <f>VLOOKUP(B41,'Tipos de Defeitos'!B42:E144,Menu!$B$24+1,)</f>
        <v>Disco Dobrado</v>
      </c>
      <c r="D41" s="212"/>
      <c r="E41" s="212"/>
      <c r="F41" s="212"/>
      <c r="G41" s="212"/>
      <c r="H41" s="212"/>
      <c r="I41" s="212"/>
      <c r="J41" s="212"/>
      <c r="K41" s="212"/>
      <c r="L41" s="212"/>
      <c r="M41" s="217"/>
      <c r="N41" s="217"/>
      <c r="O41" s="217"/>
      <c r="P41" s="217"/>
      <c r="Q41" s="217"/>
      <c r="R41" s="217"/>
      <c r="S41" s="217"/>
      <c r="T41" s="217"/>
      <c r="U41" s="217"/>
      <c r="V41" s="217"/>
      <c r="W41" s="217"/>
      <c r="X41" s="217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217"/>
      <c r="AP41" s="217"/>
      <c r="AQ41" s="217"/>
      <c r="AR41" s="323"/>
      <c r="AS41" s="369">
        <f t="shared" si="15"/>
        <v>0</v>
      </c>
      <c r="AT41" s="409">
        <f>AS41+'UM-3 - L2 - Dia'!AS41</f>
        <v>0</v>
      </c>
      <c r="AW41" s="315" t="e">
        <f t="shared" si="17"/>
        <v>#DIV/0!</v>
      </c>
    </row>
    <row r="42" spans="1:50">
      <c r="A42" s="545"/>
      <c r="B42" s="441">
        <f t="shared" si="0"/>
        <v>400</v>
      </c>
      <c r="C42" s="433" t="str">
        <f>VLOOKUP(B42,'Tipos de Defeitos'!B43:E145,Menu!$B$24+1,)</f>
        <v>Disco fora de centro / deslocado</v>
      </c>
      <c r="D42" s="212"/>
      <c r="E42" s="212"/>
      <c r="F42" s="212"/>
      <c r="G42" s="212"/>
      <c r="H42" s="212"/>
      <c r="I42" s="212"/>
      <c r="J42" s="212"/>
      <c r="K42" s="212"/>
      <c r="L42" s="212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217"/>
      <c r="AP42" s="217"/>
      <c r="AQ42" s="217"/>
      <c r="AR42" s="323"/>
      <c r="AS42" s="369">
        <f t="shared" si="15"/>
        <v>0</v>
      </c>
      <c r="AT42" s="409">
        <f>AS42+'UM-3 - L2 - Dia'!AS42</f>
        <v>0</v>
      </c>
      <c r="AW42" s="315" t="e">
        <f t="shared" si="17"/>
        <v>#DIV/0!</v>
      </c>
    </row>
    <row r="43" spans="1:50">
      <c r="A43" s="545"/>
      <c r="B43" s="441">
        <f t="shared" si="0"/>
        <v>410</v>
      </c>
      <c r="C43" s="433" t="str">
        <f>VLOOKUP(B43,'Tipos de Defeitos'!B44:E146,Menu!$B$24+1,)</f>
        <v>Isolador fora de centro</v>
      </c>
      <c r="D43" s="212"/>
      <c r="E43" s="212"/>
      <c r="F43" s="212"/>
      <c r="G43" s="212"/>
      <c r="H43" s="212"/>
      <c r="I43" s="212"/>
      <c r="J43" s="212"/>
      <c r="K43" s="212"/>
      <c r="L43" s="212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217"/>
      <c r="AP43" s="217"/>
      <c r="AQ43" s="217"/>
      <c r="AR43" s="323"/>
      <c r="AS43" s="369">
        <f t="shared" si="15"/>
        <v>0</v>
      </c>
      <c r="AT43" s="409">
        <f>AS43+'UM-3 - L2 - Dia'!AS43</f>
        <v>0</v>
      </c>
      <c r="AW43" s="315" t="e">
        <f t="shared" si="17"/>
        <v>#DIV/0!</v>
      </c>
    </row>
    <row r="44" spans="1:50">
      <c r="A44" s="545"/>
      <c r="B44" s="441">
        <f t="shared" si="0"/>
        <v>420</v>
      </c>
      <c r="C44" s="433" t="str">
        <f>VLOOKUP(B44,'Tipos de Defeitos'!B45:E147,Menu!$B$24+1,)</f>
        <v>Isolador afundado</v>
      </c>
      <c r="D44" s="212"/>
      <c r="E44" s="212"/>
      <c r="F44" s="212"/>
      <c r="G44" s="212"/>
      <c r="H44" s="212"/>
      <c r="I44" s="212"/>
      <c r="J44" s="212"/>
      <c r="K44" s="212"/>
      <c r="L44" s="212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217"/>
      <c r="AP44" s="217"/>
      <c r="AQ44" s="217"/>
      <c r="AR44" s="323"/>
      <c r="AS44" s="369">
        <f t="shared" si="15"/>
        <v>0</v>
      </c>
      <c r="AT44" s="409">
        <f>AS44+'UM-3 - L2 - Dia'!AS44</f>
        <v>0</v>
      </c>
      <c r="AW44" s="315" t="e">
        <f t="shared" si="17"/>
        <v>#DIV/0!</v>
      </c>
    </row>
    <row r="45" spans="1:50">
      <c r="A45" s="545"/>
      <c r="B45" s="441">
        <f t="shared" si="0"/>
        <v>430</v>
      </c>
      <c r="C45" s="433" t="str">
        <f>VLOOKUP(B45,'Tipos de Defeitos'!B46:E148,Menu!$B$24+1,)</f>
        <v>Isolador Inclinado</v>
      </c>
      <c r="D45" s="212"/>
      <c r="E45" s="212"/>
      <c r="F45" s="212"/>
      <c r="G45" s="212"/>
      <c r="H45" s="212"/>
      <c r="I45" s="212"/>
      <c r="J45" s="212"/>
      <c r="K45" s="212"/>
      <c r="L45" s="212"/>
      <c r="M45" s="217"/>
      <c r="N45" s="217"/>
      <c r="O45" s="217"/>
      <c r="P45" s="217"/>
      <c r="Q45" s="217"/>
      <c r="R45" s="217"/>
      <c r="S45" s="217"/>
      <c r="T45" s="217"/>
      <c r="U45" s="217"/>
      <c r="V45" s="217"/>
      <c r="W45" s="217"/>
      <c r="X45" s="217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217"/>
      <c r="AP45" s="217"/>
      <c r="AQ45" s="217"/>
      <c r="AR45" s="323"/>
      <c r="AS45" s="369">
        <f t="shared" si="15"/>
        <v>0</v>
      </c>
      <c r="AT45" s="409">
        <f>AS45+'UM-3 - L2 - Dia'!AS45</f>
        <v>0</v>
      </c>
      <c r="AW45" s="315" t="e">
        <f t="shared" si="17"/>
        <v>#DIV/0!</v>
      </c>
    </row>
    <row r="46" spans="1:50">
      <c r="A46" s="545"/>
      <c r="B46" s="441">
        <f t="shared" si="0"/>
        <v>440</v>
      </c>
      <c r="C46" s="433" t="str">
        <f>VLOOKUP(B46,'Tipos de Defeitos'!B47:E149,Menu!$B$24+1,)</f>
        <v>Papel sujo</v>
      </c>
      <c r="D46" s="212"/>
      <c r="E46" s="212"/>
      <c r="F46" s="212"/>
      <c r="G46" s="212"/>
      <c r="H46" s="212"/>
      <c r="I46" s="212"/>
      <c r="J46" s="212"/>
      <c r="K46" s="212"/>
      <c r="L46" s="212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217"/>
      <c r="AP46" s="217"/>
      <c r="AQ46" s="217"/>
      <c r="AR46" s="323"/>
      <c r="AS46" s="369">
        <f t="shared" si="15"/>
        <v>0</v>
      </c>
      <c r="AT46" s="409">
        <f>AS46+'UM-3 - L2 - Dia'!AS46</f>
        <v>0</v>
      </c>
      <c r="AW46" s="315" t="e">
        <f t="shared" si="17"/>
        <v>#DIV/0!</v>
      </c>
    </row>
    <row r="47" spans="1:50">
      <c r="A47" s="545"/>
      <c r="B47" s="441">
        <f t="shared" si="0"/>
        <v>450</v>
      </c>
      <c r="C47" s="433" t="str">
        <f>VLOOKUP(B47,'Tipos de Defeitos'!B48:E150,Menu!$B$24+1,)</f>
        <v>Manchado</v>
      </c>
      <c r="D47" s="212"/>
      <c r="E47" s="212"/>
      <c r="F47" s="212"/>
      <c r="G47" s="212"/>
      <c r="H47" s="212"/>
      <c r="I47" s="212"/>
      <c r="J47" s="212"/>
      <c r="K47" s="212"/>
      <c r="L47" s="212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217"/>
      <c r="AP47" s="217"/>
      <c r="AQ47" s="217"/>
      <c r="AR47" s="323"/>
      <c r="AS47" s="369">
        <f t="shared" si="15"/>
        <v>0</v>
      </c>
      <c r="AT47" s="409">
        <f>AS47+'UM-3 - L2 - Dia'!AS47</f>
        <v>0</v>
      </c>
      <c r="AW47" s="315" t="e">
        <f t="shared" si="17"/>
        <v>#DIV/0!</v>
      </c>
      <c r="AX47" s="303">
        <v>2</v>
      </c>
    </row>
    <row r="48" spans="1:50">
      <c r="A48" s="545"/>
      <c r="B48" s="441">
        <f t="shared" si="0"/>
        <v>460</v>
      </c>
      <c r="C48" s="433" t="str">
        <f>VLOOKUP(B48,'Tipos de Defeitos'!B49:E151,Menu!$B$24+1,)</f>
        <v>Manchado Superior</v>
      </c>
      <c r="D48" s="212"/>
      <c r="E48" s="212"/>
      <c r="F48" s="212"/>
      <c r="G48" s="212"/>
      <c r="H48" s="212"/>
      <c r="I48" s="212"/>
      <c r="J48" s="212"/>
      <c r="K48" s="212"/>
      <c r="L48" s="212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  <c r="Z48" s="217"/>
      <c r="AA48" s="217"/>
      <c r="AB48" s="217"/>
      <c r="AC48" s="217"/>
      <c r="AD48" s="217"/>
      <c r="AE48" s="217"/>
      <c r="AF48" s="217"/>
      <c r="AG48" s="217"/>
      <c r="AH48" s="217"/>
      <c r="AI48" s="217"/>
      <c r="AJ48" s="217"/>
      <c r="AK48" s="217"/>
      <c r="AL48" s="217"/>
      <c r="AM48" s="217"/>
      <c r="AN48" s="217"/>
      <c r="AO48" s="217"/>
      <c r="AP48" s="217"/>
      <c r="AQ48" s="217"/>
      <c r="AR48" s="323"/>
      <c r="AS48" s="369">
        <f t="shared" si="15"/>
        <v>0</v>
      </c>
      <c r="AT48" s="409">
        <f>AS48+'UM-3 - L2 - Dia'!AS48</f>
        <v>0</v>
      </c>
      <c r="AW48" s="315" t="e">
        <f t="shared" si="17"/>
        <v>#DIV/0!</v>
      </c>
    </row>
    <row r="49" spans="1:50">
      <c r="A49" s="545"/>
      <c r="B49" s="441">
        <f t="shared" si="0"/>
        <v>470</v>
      </c>
      <c r="C49" s="433" t="str">
        <f>VLOOKUP(B49,'Tipos de Defeitos'!B50:E152,Menu!$B$24+1,)</f>
        <v>Ferro</v>
      </c>
      <c r="D49" s="212"/>
      <c r="E49" s="212"/>
      <c r="F49" s="212"/>
      <c r="G49" s="212"/>
      <c r="H49" s="212"/>
      <c r="I49" s="212"/>
      <c r="J49" s="212"/>
      <c r="K49" s="212"/>
      <c r="L49" s="212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217"/>
      <c r="AP49" s="217"/>
      <c r="AQ49" s="217"/>
      <c r="AR49" s="323"/>
      <c r="AS49" s="369">
        <f t="shared" si="15"/>
        <v>0</v>
      </c>
      <c r="AT49" s="409">
        <f>AS49+'UM-3 - L2 - Dia'!AS49</f>
        <v>0</v>
      </c>
      <c r="AW49" s="315" t="e">
        <f t="shared" si="17"/>
        <v>#DIV/0!</v>
      </c>
    </row>
    <row r="50" spans="1:50">
      <c r="A50" s="545"/>
      <c r="B50" s="441">
        <f t="shared" si="0"/>
        <v>480</v>
      </c>
      <c r="C50" s="433" t="str">
        <f>VLOOKUP(B50,'Tipos de Defeitos'!B51:E153,Menu!$B$24+1,)</f>
        <v>Cobre</v>
      </c>
      <c r="D50" s="212"/>
      <c r="E50" s="212"/>
      <c r="F50" s="212"/>
      <c r="G50" s="212"/>
      <c r="H50" s="212"/>
      <c r="I50" s="212"/>
      <c r="J50" s="212"/>
      <c r="K50" s="212"/>
      <c r="L50" s="212"/>
      <c r="M50" s="217"/>
      <c r="N50" s="217"/>
      <c r="O50" s="217"/>
      <c r="P50" s="226"/>
      <c r="Q50" s="217"/>
      <c r="R50" s="217"/>
      <c r="S50" s="217"/>
      <c r="T50" s="217"/>
      <c r="U50" s="217"/>
      <c r="V50" s="217"/>
      <c r="W50" s="217"/>
      <c r="X50" s="217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217"/>
      <c r="AP50" s="217"/>
      <c r="AQ50" s="217"/>
      <c r="AR50" s="323"/>
      <c r="AS50" s="369">
        <f t="shared" si="15"/>
        <v>0</v>
      </c>
      <c r="AT50" s="409">
        <f>AS50+'UM-3 - L2 - Dia'!AS50</f>
        <v>0</v>
      </c>
      <c r="AW50" s="315" t="e">
        <f t="shared" si="17"/>
        <v>#DIV/0!</v>
      </c>
    </row>
    <row r="51" spans="1:50">
      <c r="A51" s="545"/>
      <c r="B51" s="441">
        <f t="shared" si="0"/>
        <v>490</v>
      </c>
      <c r="C51" s="433" t="str">
        <f>VLOOKUP(B51,'Tipos de Defeitos'!B52:E154,Menu!$B$24+1,)</f>
        <v>Mistura no Tubo</v>
      </c>
      <c r="D51" s="212"/>
      <c r="E51" s="212"/>
      <c r="F51" s="212"/>
      <c r="G51" s="212"/>
      <c r="H51" s="212"/>
      <c r="I51" s="212"/>
      <c r="J51" s="212"/>
      <c r="K51" s="212"/>
      <c r="L51" s="212"/>
      <c r="M51" s="217"/>
      <c r="N51" s="217"/>
      <c r="O51" s="217"/>
      <c r="P51" s="217"/>
      <c r="Q51" s="217"/>
      <c r="R51" s="217"/>
      <c r="S51" s="217"/>
      <c r="T51" s="217"/>
      <c r="U51" s="217"/>
      <c r="V51" s="217"/>
      <c r="W51" s="217"/>
      <c r="X51" s="217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217"/>
      <c r="AP51" s="217"/>
      <c r="AQ51" s="217"/>
      <c r="AR51" s="323"/>
      <c r="AS51" s="369">
        <f t="shared" si="15"/>
        <v>0</v>
      </c>
      <c r="AT51" s="409">
        <f>AS51+'UM-3 - L2 - Dia'!AS51</f>
        <v>0</v>
      </c>
      <c r="AW51" s="315" t="e">
        <f t="shared" si="17"/>
        <v>#DIV/0!</v>
      </c>
    </row>
    <row r="52" spans="1:50">
      <c r="A52" s="545"/>
      <c r="B52" s="441">
        <f t="shared" si="0"/>
        <v>500</v>
      </c>
      <c r="C52" s="433" t="str">
        <f>VLOOKUP(B52,'Tipos de Defeitos'!B53:E155,Menu!$B$24+1,)</f>
        <v>Pó de Mistura</v>
      </c>
      <c r="D52" s="285"/>
      <c r="E52" s="285"/>
      <c r="F52" s="285"/>
      <c r="G52" s="285"/>
      <c r="H52" s="285"/>
      <c r="I52" s="212"/>
      <c r="J52" s="212"/>
      <c r="K52" s="212"/>
      <c r="L52" s="212"/>
      <c r="M52" s="217"/>
      <c r="N52" s="217"/>
      <c r="O52" s="217"/>
      <c r="P52" s="217"/>
      <c r="Q52" s="217"/>
      <c r="R52" s="217"/>
      <c r="S52" s="349"/>
      <c r="T52" s="349"/>
      <c r="U52" s="349"/>
      <c r="V52" s="349"/>
      <c r="W52" s="349"/>
      <c r="X52" s="349"/>
      <c r="Y52" s="349"/>
      <c r="Z52" s="349"/>
      <c r="AA52" s="349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217"/>
      <c r="AP52" s="217"/>
      <c r="AQ52" s="217"/>
      <c r="AR52" s="323"/>
      <c r="AS52" s="369">
        <f t="shared" si="15"/>
        <v>0</v>
      </c>
      <c r="AT52" s="409">
        <f>AS52+'UM-3 - L2 - Dia'!AS52</f>
        <v>0</v>
      </c>
      <c r="AW52" s="315" t="e">
        <f t="shared" si="17"/>
        <v>#DIV/0!</v>
      </c>
    </row>
    <row r="53" spans="1:50">
      <c r="A53" s="545"/>
      <c r="B53" s="441">
        <f t="shared" si="0"/>
        <v>510</v>
      </c>
      <c r="C53" s="433" t="str">
        <f>VLOOKUP(B53,'Tipos de Defeitos'!B54:E156,Menu!$B$24+1,)</f>
        <v>Bobina Baixa V</v>
      </c>
      <c r="D53" s="212"/>
      <c r="E53" s="212"/>
      <c r="F53" s="212"/>
      <c r="G53" s="212"/>
      <c r="H53" s="212"/>
      <c r="I53" s="212"/>
      <c r="J53" s="212"/>
      <c r="K53" s="212"/>
      <c r="L53" s="212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217"/>
      <c r="AP53" s="217"/>
      <c r="AQ53" s="217"/>
      <c r="AR53" s="323"/>
      <c r="AS53" s="369">
        <f t="shared" si="15"/>
        <v>0</v>
      </c>
      <c r="AT53" s="409">
        <f>AS53+'UM-3 - L2 - Dia'!AS53</f>
        <v>0</v>
      </c>
      <c r="AW53" s="315" t="e">
        <f t="shared" si="17"/>
        <v>#DIV/0!</v>
      </c>
      <c r="AX53" s="303">
        <v>3</v>
      </c>
    </row>
    <row r="54" spans="1:50">
      <c r="A54" s="545"/>
      <c r="B54" s="441">
        <f t="shared" si="0"/>
        <v>520</v>
      </c>
      <c r="C54" s="433" t="str">
        <f>VLOOKUP(B54,'Tipos de Defeitos'!B55:E157,Menu!$B$24+1,)</f>
        <v>Bobina Alta</v>
      </c>
      <c r="D54" s="212"/>
      <c r="E54" s="212"/>
      <c r="F54" s="212"/>
      <c r="G54" s="212"/>
      <c r="H54" s="212"/>
      <c r="I54" s="212"/>
      <c r="J54" s="212"/>
      <c r="K54" s="212"/>
      <c r="L54" s="212"/>
      <c r="M54" s="217"/>
      <c r="N54" s="217"/>
      <c r="O54" s="217"/>
      <c r="P54" s="217"/>
      <c r="Q54" s="217"/>
      <c r="R54" s="217"/>
      <c r="S54" s="217"/>
      <c r="T54" s="217"/>
      <c r="U54" s="217"/>
      <c r="V54" s="217"/>
      <c r="W54" s="217"/>
      <c r="X54" s="217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217"/>
      <c r="AP54" s="217"/>
      <c r="AQ54" s="217"/>
      <c r="AR54" s="323"/>
      <c r="AS54" s="369">
        <f t="shared" si="15"/>
        <v>0</v>
      </c>
      <c r="AT54" s="409">
        <f>AS54+'UM-3 - L2 - Dia'!AS54</f>
        <v>0</v>
      </c>
      <c r="AW54" s="315" t="e">
        <f t="shared" si="17"/>
        <v>#DIV/0!</v>
      </c>
    </row>
    <row r="55" spans="1:50">
      <c r="A55" s="545"/>
      <c r="B55" s="441">
        <f t="shared" si="0"/>
        <v>530</v>
      </c>
      <c r="C55" s="433" t="str">
        <f>VLOOKUP(B55,'Tipos de Defeitos'!B56:E158,Menu!$B$24+1,)</f>
        <v>Bobina Molhada</v>
      </c>
      <c r="D55" s="212"/>
      <c r="E55" s="212"/>
      <c r="F55" s="212"/>
      <c r="G55" s="212"/>
      <c r="H55" s="212"/>
      <c r="I55" s="212"/>
      <c r="J55" s="212"/>
      <c r="K55" s="212"/>
      <c r="L55" s="212"/>
      <c r="M55" s="217"/>
      <c r="N55" s="217"/>
      <c r="O55" s="217"/>
      <c r="P55" s="217"/>
      <c r="Q55" s="217"/>
      <c r="R55" s="217"/>
      <c r="S55" s="217"/>
      <c r="T55" s="217"/>
      <c r="U55" s="217"/>
      <c r="V55" s="217"/>
      <c r="W55" s="217"/>
      <c r="X55" s="217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217"/>
      <c r="AP55" s="217"/>
      <c r="AQ55" s="217"/>
      <c r="AR55" s="323"/>
      <c r="AS55" s="369">
        <f t="shared" si="15"/>
        <v>0</v>
      </c>
      <c r="AT55" s="409">
        <f>AS55+'UM-3 - L2 - Dia'!AS55</f>
        <v>0</v>
      </c>
      <c r="AW55" s="315" t="e">
        <f t="shared" si="17"/>
        <v>#DIV/0!</v>
      </c>
    </row>
    <row r="56" spans="1:50">
      <c r="A56" s="545"/>
      <c r="B56" s="441">
        <f t="shared" si="0"/>
        <v>540</v>
      </c>
      <c r="C56" s="433" t="str">
        <f>VLOOKUP(B56,'Tipos de Defeitos'!B57:E159,Menu!$B$24+1,)</f>
        <v>Mistura seca</v>
      </c>
      <c r="D56" s="212"/>
      <c r="E56" s="212"/>
      <c r="F56" s="212"/>
      <c r="G56" s="212"/>
      <c r="H56" s="212"/>
      <c r="I56" s="212"/>
      <c r="J56" s="212"/>
      <c r="K56" s="212"/>
      <c r="L56" s="212"/>
      <c r="M56" s="217"/>
      <c r="N56" s="217"/>
      <c r="O56" s="217"/>
      <c r="P56" s="217"/>
      <c r="Q56" s="217"/>
      <c r="R56" s="217"/>
      <c r="S56" s="217"/>
      <c r="T56" s="217"/>
      <c r="U56" s="217"/>
      <c r="V56" s="217"/>
      <c r="W56" s="217"/>
      <c r="X56" s="217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217"/>
      <c r="AP56" s="217"/>
      <c r="AQ56" s="217"/>
      <c r="AR56" s="323"/>
      <c r="AS56" s="369">
        <f t="shared" si="15"/>
        <v>0</v>
      </c>
      <c r="AT56" s="409">
        <f>AS56+'UM-3 - L2 - Dia'!AS56</f>
        <v>0</v>
      </c>
      <c r="AW56" s="315" t="e">
        <f t="shared" si="17"/>
        <v>#DIV/0!</v>
      </c>
    </row>
    <row r="57" spans="1:50">
      <c r="A57" s="545"/>
      <c r="B57" s="441">
        <f t="shared" si="0"/>
        <v>550</v>
      </c>
      <c r="C57" s="433" t="str">
        <f>VLOOKUP(B57,'Tipos de Defeitos'!B58:E160,Menu!$B$24+1,)</f>
        <v>Contem estranho</v>
      </c>
      <c r="D57" s="212"/>
      <c r="E57" s="212"/>
      <c r="F57" s="212"/>
      <c r="G57" s="212"/>
      <c r="H57" s="212"/>
      <c r="I57" s="212"/>
      <c r="J57" s="212"/>
      <c r="K57" s="212"/>
      <c r="L57" s="212"/>
      <c r="M57" s="217"/>
      <c r="N57" s="217"/>
      <c r="O57" s="217"/>
      <c r="P57" s="217"/>
      <c r="Q57" s="217"/>
      <c r="R57" s="217"/>
      <c r="S57" s="217"/>
      <c r="T57" s="217"/>
      <c r="U57" s="217"/>
      <c r="V57" s="217"/>
      <c r="W57" s="217"/>
      <c r="X57" s="217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217"/>
      <c r="AP57" s="217"/>
      <c r="AQ57" s="217"/>
      <c r="AR57" s="323"/>
      <c r="AS57" s="369">
        <f t="shared" si="15"/>
        <v>0</v>
      </c>
      <c r="AT57" s="409">
        <f>AS57+'UM-3 - L2 - Dia'!AS57</f>
        <v>0</v>
      </c>
      <c r="AW57" s="315" t="e">
        <f t="shared" si="17"/>
        <v>#DIV/0!</v>
      </c>
    </row>
    <row r="58" spans="1:50">
      <c r="A58" s="545"/>
      <c r="B58" s="441">
        <f t="shared" si="0"/>
        <v>560</v>
      </c>
      <c r="C58" s="433" t="str">
        <f>VLOOKUP(B58,'Tipos de Defeitos'!B59:E161,Menu!$B$24+1,)</f>
        <v>Pedra de Óxido</v>
      </c>
      <c r="D58" s="212"/>
      <c r="E58" s="212"/>
      <c r="F58" s="212"/>
      <c r="G58" s="212"/>
      <c r="H58" s="212"/>
      <c r="I58" s="212"/>
      <c r="J58" s="212"/>
      <c r="K58" s="212"/>
      <c r="L58" s="212"/>
      <c r="M58" s="217"/>
      <c r="N58" s="217"/>
      <c r="O58" s="217"/>
      <c r="P58" s="217"/>
      <c r="Q58" s="217"/>
      <c r="R58" s="217"/>
      <c r="S58" s="217"/>
      <c r="T58" s="217"/>
      <c r="U58" s="217"/>
      <c r="V58" s="217"/>
      <c r="W58" s="217"/>
      <c r="X58" s="217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217"/>
      <c r="AP58" s="217"/>
      <c r="AQ58" s="217"/>
      <c r="AR58" s="323"/>
      <c r="AS58" s="369">
        <f t="shared" si="15"/>
        <v>0</v>
      </c>
      <c r="AT58" s="409">
        <f>AS58+'UM-3 - L2 - Dia'!AS58</f>
        <v>0</v>
      </c>
      <c r="AW58" s="315" t="e">
        <f t="shared" si="17"/>
        <v>#DIV/0!</v>
      </c>
    </row>
    <row r="59" spans="1:50">
      <c r="A59" s="545"/>
      <c r="B59" s="441">
        <f t="shared" si="0"/>
        <v>570</v>
      </c>
      <c r="C59" s="433" t="str">
        <f>VLOOKUP(B59,'Tipos de Defeitos'!B60:E162,Menu!$B$24+1,)</f>
        <v>Carvão Quebrado V</v>
      </c>
      <c r="D59" s="212"/>
      <c r="E59" s="212"/>
      <c r="F59" s="212"/>
      <c r="G59" s="212"/>
      <c r="H59" s="212"/>
      <c r="I59" s="212"/>
      <c r="J59" s="212"/>
      <c r="K59" s="212"/>
      <c r="L59" s="212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17"/>
      <c r="X59" s="217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217"/>
      <c r="AP59" s="217"/>
      <c r="AQ59" s="217"/>
      <c r="AR59" s="323"/>
      <c r="AS59" s="369">
        <f t="shared" si="15"/>
        <v>0</v>
      </c>
      <c r="AT59" s="409">
        <f>AS59+'UM-3 - L2 - Dia'!AS59</f>
        <v>0</v>
      </c>
      <c r="AW59" s="315" t="e">
        <f t="shared" si="17"/>
        <v>#DIV/0!</v>
      </c>
    </row>
    <row r="60" spans="1:50">
      <c r="A60" s="545"/>
      <c r="B60" s="441">
        <f t="shared" si="0"/>
        <v>580</v>
      </c>
      <c r="C60" s="433" t="str">
        <f>VLOOKUP(B60,'Tipos de Defeitos'!B61:E163,Menu!$B$24+1,)</f>
        <v>Sem Selante</v>
      </c>
      <c r="D60" s="212"/>
      <c r="E60" s="212"/>
      <c r="F60" s="212"/>
      <c r="G60" s="212"/>
      <c r="H60" s="212"/>
      <c r="I60" s="212"/>
      <c r="J60" s="212"/>
      <c r="K60" s="212"/>
      <c r="L60" s="212"/>
      <c r="M60" s="217"/>
      <c r="N60" s="217"/>
      <c r="O60" s="217"/>
      <c r="P60" s="217"/>
      <c r="Q60" s="217"/>
      <c r="R60" s="217"/>
      <c r="S60" s="217"/>
      <c r="T60" s="217"/>
      <c r="U60" s="217"/>
      <c r="V60" s="217"/>
      <c r="W60" s="217"/>
      <c r="X60" s="217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  <c r="AL60" s="217"/>
      <c r="AM60" s="217"/>
      <c r="AN60" s="217"/>
      <c r="AO60" s="217"/>
      <c r="AP60" s="217"/>
      <c r="AQ60" s="217"/>
      <c r="AR60" s="323"/>
      <c r="AS60" s="369">
        <f t="shared" ref="AS60:AS77" si="18">SUM(E60:AR60)</f>
        <v>0</v>
      </c>
      <c r="AT60" s="409">
        <f>AS60+'UM-3 - L2 - Dia'!AS60</f>
        <v>0</v>
      </c>
      <c r="AW60" s="315" t="e">
        <f t="shared" si="17"/>
        <v>#DIV/0!</v>
      </c>
    </row>
    <row r="61" spans="1:50">
      <c r="A61" s="545"/>
      <c r="B61" s="441">
        <f t="shared" si="0"/>
        <v>590</v>
      </c>
      <c r="C61" s="433" t="str">
        <f>VLOOKUP(B61,'Tipos de Defeitos'!B62:E164,Menu!$B$24+1,)</f>
        <v>PY c/ Falha de Injeção</v>
      </c>
      <c r="D61" s="212"/>
      <c r="E61" s="212"/>
      <c r="F61" s="212"/>
      <c r="G61" s="212"/>
      <c r="H61" s="212"/>
      <c r="I61" s="212"/>
      <c r="J61" s="212"/>
      <c r="K61" s="212"/>
      <c r="L61" s="212"/>
      <c r="M61" s="217"/>
      <c r="N61" s="217"/>
      <c r="O61" s="217"/>
      <c r="P61" s="217"/>
      <c r="Q61" s="217"/>
      <c r="R61" s="217"/>
      <c r="S61" s="217"/>
      <c r="T61" s="217"/>
      <c r="U61" s="217"/>
      <c r="V61" s="217"/>
      <c r="W61" s="217"/>
      <c r="X61" s="217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  <c r="AL61" s="217"/>
      <c r="AM61" s="217"/>
      <c r="AN61" s="217"/>
      <c r="AO61" s="217"/>
      <c r="AP61" s="217"/>
      <c r="AQ61" s="217"/>
      <c r="AR61" s="323"/>
      <c r="AS61" s="369">
        <f t="shared" si="18"/>
        <v>0</v>
      </c>
      <c r="AT61" s="409">
        <f>AS61+'UM-3 - L2 - Dia'!AS61</f>
        <v>0</v>
      </c>
      <c r="AW61" s="315" t="e">
        <f t="shared" si="17"/>
        <v>#DIV/0!</v>
      </c>
    </row>
    <row r="62" spans="1:50">
      <c r="A62" s="545"/>
      <c r="B62" s="441">
        <f t="shared" si="0"/>
        <v>600</v>
      </c>
      <c r="C62" s="433" t="str">
        <f>VLOOKUP(B62,'Tipos de Defeitos'!B63:E165,Menu!$B$24+1,)</f>
        <v>Sem PY</v>
      </c>
      <c r="D62" s="212"/>
      <c r="E62" s="212"/>
      <c r="F62" s="212"/>
      <c r="G62" s="212"/>
      <c r="H62" s="212"/>
      <c r="I62" s="212"/>
      <c r="J62" s="212"/>
      <c r="K62" s="212"/>
      <c r="L62" s="212"/>
      <c r="M62" s="217"/>
      <c r="N62" s="217"/>
      <c r="O62" s="217"/>
      <c r="P62" s="217"/>
      <c r="Q62" s="217"/>
      <c r="R62" s="217"/>
      <c r="S62" s="217"/>
      <c r="T62" s="217"/>
      <c r="U62" s="217"/>
      <c r="V62" s="217"/>
      <c r="W62" s="217"/>
      <c r="X62" s="217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217"/>
      <c r="AP62" s="217"/>
      <c r="AQ62" s="217"/>
      <c r="AR62" s="323"/>
      <c r="AS62" s="369">
        <f t="shared" si="18"/>
        <v>0</v>
      </c>
      <c r="AT62" s="409">
        <f>AS62+'UM-3 - L2 - Dia'!AS62</f>
        <v>0</v>
      </c>
      <c r="AW62" s="315" t="e">
        <f t="shared" si="17"/>
        <v>#DIV/0!</v>
      </c>
    </row>
    <row r="63" spans="1:50">
      <c r="A63" s="545"/>
      <c r="B63" s="441">
        <f t="shared" si="0"/>
        <v>610</v>
      </c>
      <c r="C63" s="433" t="str">
        <f>VLOOKUP(B63,'Tipos de Defeitos'!B64:E166,Menu!$B$24+1,)</f>
        <v>PY Fora de Centro</v>
      </c>
      <c r="D63" s="212"/>
      <c r="E63" s="212"/>
      <c r="F63" s="212"/>
      <c r="G63" s="212"/>
      <c r="H63" s="212"/>
      <c r="I63" s="212"/>
      <c r="J63" s="212"/>
      <c r="K63" s="212"/>
      <c r="L63" s="212"/>
      <c r="M63" s="217"/>
      <c r="N63" s="217"/>
      <c r="O63" s="217"/>
      <c r="P63" s="217"/>
      <c r="Q63" s="217"/>
      <c r="R63" s="217"/>
      <c r="S63" s="217"/>
      <c r="T63" s="217"/>
      <c r="U63" s="217"/>
      <c r="V63" s="217"/>
      <c r="W63" s="217"/>
      <c r="X63" s="217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217"/>
      <c r="AP63" s="217"/>
      <c r="AQ63" s="217"/>
      <c r="AR63" s="323"/>
      <c r="AS63" s="369">
        <f t="shared" si="18"/>
        <v>0</v>
      </c>
      <c r="AT63" s="409">
        <f>AS63+'UM-3 - L2 - Dia'!AS63</f>
        <v>0</v>
      </c>
      <c r="AW63" s="315" t="e">
        <f t="shared" si="17"/>
        <v>#DIV/0!</v>
      </c>
    </row>
    <row r="64" spans="1:50">
      <c r="A64" s="545"/>
      <c r="B64" s="441">
        <f t="shared" si="0"/>
        <v>620</v>
      </c>
      <c r="C64" s="433" t="str">
        <f>VLOOKUP(B64,'Tipos de Defeitos'!B65:E167,Menu!$B$24+1,)</f>
        <v>PY Queimado</v>
      </c>
      <c r="D64" s="212"/>
      <c r="E64" s="212"/>
      <c r="F64" s="212"/>
      <c r="G64" s="212"/>
      <c r="H64" s="212"/>
      <c r="I64" s="212"/>
      <c r="J64" s="212"/>
      <c r="K64" s="212"/>
      <c r="L64" s="212"/>
      <c r="M64" s="217"/>
      <c r="N64" s="217"/>
      <c r="O64" s="217"/>
      <c r="P64" s="217"/>
      <c r="Q64" s="217"/>
      <c r="R64" s="217"/>
      <c r="S64" s="217"/>
      <c r="T64" s="217"/>
      <c r="U64" s="217"/>
      <c r="V64" s="217"/>
      <c r="W64" s="217"/>
      <c r="X64" s="217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217"/>
      <c r="AP64" s="217"/>
      <c r="AQ64" s="217"/>
      <c r="AR64" s="323"/>
      <c r="AS64" s="369">
        <f t="shared" si="18"/>
        <v>0</v>
      </c>
      <c r="AT64" s="409">
        <f>AS64+'UM-3 - L2 - Dia'!AS64</f>
        <v>0</v>
      </c>
      <c r="AW64" s="315" t="e">
        <f t="shared" si="17"/>
        <v>#DIV/0!</v>
      </c>
    </row>
    <row r="65" spans="1:49">
      <c r="A65" s="545"/>
      <c r="B65" s="441">
        <f t="shared" si="0"/>
        <v>630</v>
      </c>
      <c r="C65" s="433" t="str">
        <f>VLOOKUP(B65,'Tipos de Defeitos'!B66:E168,Menu!$B$24+1,)</f>
        <v>Tb c/ Boca Amassada - Operador</v>
      </c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7"/>
      <c r="O65" s="217"/>
      <c r="P65" s="217"/>
      <c r="Q65" s="217"/>
      <c r="R65" s="217"/>
      <c r="S65" s="217"/>
      <c r="T65" s="217"/>
      <c r="U65" s="217"/>
      <c r="V65" s="217"/>
      <c r="W65" s="217"/>
      <c r="X65" s="217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  <c r="AL65" s="217"/>
      <c r="AM65" s="217"/>
      <c r="AN65" s="217"/>
      <c r="AO65" s="217"/>
      <c r="AP65" s="217"/>
      <c r="AQ65" s="217"/>
      <c r="AR65" s="323"/>
      <c r="AS65" s="369">
        <f t="shared" si="18"/>
        <v>0</v>
      </c>
      <c r="AT65" s="409">
        <f>AS65+'UM-3 - L2 - Dia'!AS65</f>
        <v>0</v>
      </c>
      <c r="AW65" s="315" t="e">
        <f t="shared" si="17"/>
        <v>#DIV/0!</v>
      </c>
    </row>
    <row r="66" spans="1:49">
      <c r="A66" s="545"/>
      <c r="B66" s="441">
        <f t="shared" si="0"/>
        <v>640</v>
      </c>
      <c r="C66" s="433" t="str">
        <f>VLOOKUP(B66,'Tipos de Defeitos'!B67:E169,Menu!$B$24+1,)</f>
        <v>Tb c/ Boca Amassada - Câmera</v>
      </c>
      <c r="D66" s="212"/>
      <c r="E66" s="212"/>
      <c r="F66" s="212"/>
      <c r="G66" s="212"/>
      <c r="H66" s="212"/>
      <c r="I66" s="212"/>
      <c r="J66" s="212"/>
      <c r="K66" s="212"/>
      <c r="L66" s="212"/>
      <c r="M66" s="217"/>
      <c r="N66" s="217"/>
      <c r="O66" s="217"/>
      <c r="P66" s="217"/>
      <c r="Q66" s="217"/>
      <c r="R66" s="217"/>
      <c r="S66" s="217"/>
      <c r="T66" s="217"/>
      <c r="U66" s="217"/>
      <c r="V66" s="217"/>
      <c r="W66" s="217"/>
      <c r="X66" s="217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  <c r="AO66" s="217"/>
      <c r="AP66" s="217"/>
      <c r="AQ66" s="217"/>
      <c r="AR66" s="323"/>
      <c r="AS66" s="369">
        <f t="shared" si="18"/>
        <v>0</v>
      </c>
      <c r="AT66" s="409">
        <f>AS66+'UM-3 - L2 - Dia'!AS66</f>
        <v>0</v>
      </c>
      <c r="AW66" s="315" t="e">
        <f t="shared" si="17"/>
        <v>#DIV/0!</v>
      </c>
    </row>
    <row r="67" spans="1:49">
      <c r="A67" s="545"/>
      <c r="B67" s="441">
        <f t="shared" si="0"/>
        <v>650</v>
      </c>
      <c r="C67" s="433" t="str">
        <f>VLOOKUP(B67,'Tipos de Defeitos'!B68:E170,Menu!$B$24+1,)</f>
        <v>Tb c/ Boca Amassada - recuperada</v>
      </c>
      <c r="D67" s="212"/>
      <c r="E67" s="212"/>
      <c r="F67" s="212"/>
      <c r="G67" s="212"/>
      <c r="H67" s="212"/>
      <c r="I67" s="212"/>
      <c r="J67" s="212"/>
      <c r="K67" s="212"/>
      <c r="L67" s="212"/>
      <c r="M67" s="217"/>
      <c r="N67" s="217"/>
      <c r="O67" s="217"/>
      <c r="P67" s="217"/>
      <c r="Q67" s="217"/>
      <c r="R67" s="217"/>
      <c r="S67" s="217"/>
      <c r="T67" s="217"/>
      <c r="U67" s="217"/>
      <c r="V67" s="217"/>
      <c r="W67" s="217"/>
      <c r="X67" s="217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  <c r="AO67" s="217"/>
      <c r="AP67" s="217"/>
      <c r="AQ67" s="217"/>
      <c r="AR67" s="323"/>
      <c r="AS67" s="369">
        <f t="shared" si="18"/>
        <v>0</v>
      </c>
      <c r="AT67" s="409">
        <f>AS67+'UM-3 - L2 - Dia'!AS67</f>
        <v>0</v>
      </c>
      <c r="AW67" s="315" t="e">
        <f t="shared" si="17"/>
        <v>#DIV/0!</v>
      </c>
    </row>
    <row r="68" spans="1:49">
      <c r="A68" s="545"/>
      <c r="B68" s="441">
        <f t="shared" si="0"/>
        <v>660</v>
      </c>
      <c r="C68" s="433" t="str">
        <f>VLOOKUP(B68,'Tipos de Defeitos'!B69:E171,Menu!$B$24+1,)</f>
        <v>Tubo Rachado - Operador</v>
      </c>
      <c r="D68" s="212"/>
      <c r="E68" s="212"/>
      <c r="F68" s="212"/>
      <c r="G68" s="212"/>
      <c r="H68" s="212"/>
      <c r="I68" s="212"/>
      <c r="J68" s="212"/>
      <c r="K68" s="212"/>
      <c r="L68" s="212"/>
      <c r="M68" s="217"/>
      <c r="N68" s="217"/>
      <c r="O68" s="217"/>
      <c r="P68" s="217"/>
      <c r="Q68" s="217"/>
      <c r="R68" s="217"/>
      <c r="S68" s="217"/>
      <c r="T68" s="217"/>
      <c r="U68" s="217"/>
      <c r="V68" s="217"/>
      <c r="W68" s="217"/>
      <c r="X68" s="217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  <c r="AL68" s="217"/>
      <c r="AM68" s="217"/>
      <c r="AN68" s="217"/>
      <c r="AO68" s="217"/>
      <c r="AP68" s="217"/>
      <c r="AQ68" s="217"/>
      <c r="AR68" s="323"/>
      <c r="AS68" s="369">
        <f t="shared" si="18"/>
        <v>0</v>
      </c>
      <c r="AT68" s="409">
        <f>AS68+'UM-3 - L2 - Dia'!AS68</f>
        <v>0</v>
      </c>
      <c r="AW68" s="315" t="e">
        <f t="shared" si="17"/>
        <v>#DIV/0!</v>
      </c>
    </row>
    <row r="69" spans="1:49">
      <c r="A69" s="545"/>
      <c r="B69" s="441">
        <f t="shared" si="0"/>
        <v>670</v>
      </c>
      <c r="C69" s="433" t="str">
        <f>VLOOKUP(B69,'Tipos de Defeitos'!B70:E172,Menu!$B$24+1,)</f>
        <v>Tubo Rachado - Câmera</v>
      </c>
      <c r="D69" s="212"/>
      <c r="E69" s="212"/>
      <c r="F69" s="212"/>
      <c r="G69" s="212"/>
      <c r="H69" s="212"/>
      <c r="I69" s="212"/>
      <c r="J69" s="212"/>
      <c r="K69" s="212"/>
      <c r="L69" s="212"/>
      <c r="M69" s="217"/>
      <c r="N69" s="217"/>
      <c r="O69" s="217"/>
      <c r="P69" s="217"/>
      <c r="Q69" s="217"/>
      <c r="R69" s="217"/>
      <c r="S69" s="217"/>
      <c r="T69" s="217"/>
      <c r="U69" s="217"/>
      <c r="V69" s="217"/>
      <c r="W69" s="217"/>
      <c r="X69" s="217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  <c r="AO69" s="217"/>
      <c r="AP69" s="217"/>
      <c r="AQ69" s="217"/>
      <c r="AR69" s="323"/>
      <c r="AS69" s="369">
        <f t="shared" si="18"/>
        <v>0</v>
      </c>
      <c r="AT69" s="409">
        <f>AS69+'UM-3 - L2 - Dia'!AS69</f>
        <v>0</v>
      </c>
      <c r="AW69" s="315" t="e">
        <f t="shared" si="17"/>
        <v>#DIV/0!</v>
      </c>
    </row>
    <row r="70" spans="1:49">
      <c r="A70" s="545"/>
      <c r="B70" s="441">
        <f t="shared" si="0"/>
        <v>680</v>
      </c>
      <c r="C70" s="433" t="str">
        <f>VLOOKUP(B70,'Tipos de Defeitos'!B71:E173,Menu!$B$24+1,)</f>
        <v>Tubo de Zinco Amassado</v>
      </c>
      <c r="D70" s="212"/>
      <c r="E70" s="212"/>
      <c r="F70" s="212"/>
      <c r="G70" s="212"/>
      <c r="H70" s="212"/>
      <c r="I70" s="212"/>
      <c r="J70" s="212"/>
      <c r="K70" s="212"/>
      <c r="L70" s="212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  <c r="AO70" s="217"/>
      <c r="AP70" s="217"/>
      <c r="AQ70" s="217"/>
      <c r="AR70" s="323"/>
      <c r="AS70" s="369">
        <f t="shared" si="18"/>
        <v>0</v>
      </c>
      <c r="AT70" s="409">
        <f>AS70+'UM-3 - L2 - Dia'!AS70</f>
        <v>0</v>
      </c>
      <c r="AW70" s="315" t="e">
        <f t="shared" si="17"/>
        <v>#DIV/0!</v>
      </c>
    </row>
    <row r="71" spans="1:49">
      <c r="A71" s="545"/>
      <c r="B71" s="441">
        <f t="shared" si="0"/>
        <v>690</v>
      </c>
      <c r="C71" s="433" t="str">
        <f>VLOOKUP(B71,'Tipos de Defeitos'!B72:E174,Menu!$B$24+1,)</f>
        <v>Tubo com Rebarba</v>
      </c>
      <c r="D71" s="212"/>
      <c r="E71" s="212"/>
      <c r="F71" s="212"/>
      <c r="G71" s="212"/>
      <c r="H71" s="212"/>
      <c r="I71" s="212"/>
      <c r="J71" s="212"/>
      <c r="K71" s="212"/>
      <c r="L71" s="212"/>
      <c r="M71" s="217"/>
      <c r="N71" s="217"/>
      <c r="O71" s="217"/>
      <c r="P71" s="217"/>
      <c r="Q71" s="217"/>
      <c r="R71" s="217"/>
      <c r="S71" s="217"/>
      <c r="T71" s="217"/>
      <c r="U71" s="217"/>
      <c r="V71" s="217"/>
      <c r="W71" s="217"/>
      <c r="X71" s="217"/>
      <c r="Y71" s="217"/>
      <c r="Z71" s="217"/>
      <c r="AA71" s="217"/>
      <c r="AB71" s="217"/>
      <c r="AC71" s="217"/>
      <c r="AD71" s="217"/>
      <c r="AE71" s="217"/>
      <c r="AF71" s="217"/>
      <c r="AG71" s="217"/>
      <c r="AH71" s="217"/>
      <c r="AI71" s="217"/>
      <c r="AJ71" s="217"/>
      <c r="AK71" s="217"/>
      <c r="AL71" s="217"/>
      <c r="AM71" s="217"/>
      <c r="AN71" s="217"/>
      <c r="AO71" s="217"/>
      <c r="AP71" s="217"/>
      <c r="AQ71" s="217"/>
      <c r="AR71" s="323"/>
      <c r="AS71" s="369">
        <f t="shared" si="18"/>
        <v>0</v>
      </c>
      <c r="AT71" s="409">
        <f>AS71+'UM-3 - L2 - Dia'!AS71</f>
        <v>0</v>
      </c>
      <c r="AW71" s="315" t="e">
        <f t="shared" si="17"/>
        <v>#DIV/0!</v>
      </c>
    </row>
    <row r="72" spans="1:49">
      <c r="A72" s="545"/>
      <c r="B72" s="441">
        <f t="shared" ref="B72:B105" si="19">(B71/10+1)*10</f>
        <v>700</v>
      </c>
      <c r="C72" s="433" t="str">
        <f>VLOOKUP(B72,'Tipos de Defeitos'!B73:E175,Menu!$B$24+1,)</f>
        <v>Curto Circuito Externo</v>
      </c>
      <c r="D72" s="212"/>
      <c r="E72" s="212"/>
      <c r="F72" s="212"/>
      <c r="G72" s="212"/>
      <c r="H72" s="212"/>
      <c r="I72" s="212"/>
      <c r="J72" s="212"/>
      <c r="K72" s="212"/>
      <c r="L72" s="212"/>
      <c r="M72" s="217"/>
      <c r="N72" s="217"/>
      <c r="O72" s="217"/>
      <c r="P72" s="217"/>
      <c r="Q72" s="217"/>
      <c r="R72" s="217"/>
      <c r="S72" s="217"/>
      <c r="T72" s="217"/>
      <c r="U72" s="217"/>
      <c r="V72" s="217"/>
      <c r="W72" s="217"/>
      <c r="X72" s="217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  <c r="AL72" s="217"/>
      <c r="AM72" s="217"/>
      <c r="AN72" s="217"/>
      <c r="AO72" s="217"/>
      <c r="AP72" s="217"/>
      <c r="AQ72" s="217"/>
      <c r="AR72" s="323"/>
      <c r="AS72" s="369">
        <f t="shared" si="18"/>
        <v>0</v>
      </c>
      <c r="AT72" s="409">
        <f>AS72+'UM-3 - L2 - Dia'!AS72</f>
        <v>0</v>
      </c>
      <c r="AW72" s="315" t="e">
        <f t="shared" si="17"/>
        <v>#DIV/0!</v>
      </c>
    </row>
    <row r="73" spans="1:49">
      <c r="A73" s="545"/>
      <c r="B73" s="441">
        <f t="shared" si="19"/>
        <v>710</v>
      </c>
      <c r="C73" s="433" t="str">
        <f>VLOOKUP(B73,'Tipos de Defeitos'!B74:E176,Menu!$B$24+1,)</f>
        <v>Curto Circ. Externo -  recuperada</v>
      </c>
      <c r="D73" s="212"/>
      <c r="E73" s="212"/>
      <c r="F73" s="212"/>
      <c r="G73" s="212"/>
      <c r="H73" s="212"/>
      <c r="I73" s="212"/>
      <c r="J73" s="212"/>
      <c r="K73" s="212"/>
      <c r="L73" s="212"/>
      <c r="M73" s="217"/>
      <c r="N73" s="217"/>
      <c r="O73" s="217"/>
      <c r="P73" s="217"/>
      <c r="Q73" s="217"/>
      <c r="R73" s="217"/>
      <c r="S73" s="217"/>
      <c r="T73" s="217"/>
      <c r="U73" s="217"/>
      <c r="V73" s="217"/>
      <c r="W73" s="217"/>
      <c r="X73" s="217"/>
      <c r="Y73" s="217"/>
      <c r="Z73" s="217"/>
      <c r="AA73" s="217"/>
      <c r="AB73" s="217"/>
      <c r="AC73" s="217"/>
      <c r="AD73" s="217"/>
      <c r="AE73" s="217"/>
      <c r="AF73" s="217"/>
      <c r="AG73" s="217"/>
      <c r="AH73" s="217"/>
      <c r="AI73" s="217"/>
      <c r="AJ73" s="217"/>
      <c r="AK73" s="217"/>
      <c r="AL73" s="217"/>
      <c r="AM73" s="217"/>
      <c r="AN73" s="217"/>
      <c r="AO73" s="217"/>
      <c r="AP73" s="217"/>
      <c r="AQ73" s="217"/>
      <c r="AR73" s="323"/>
      <c r="AS73" s="369">
        <f t="shared" si="18"/>
        <v>0</v>
      </c>
      <c r="AT73" s="409">
        <f>AS73+'UM-3 - L2 - Dia'!AS73</f>
        <v>0</v>
      </c>
      <c r="AW73" s="315" t="e">
        <f t="shared" si="17"/>
        <v>#DIV/0!</v>
      </c>
    </row>
    <row r="74" spans="1:49">
      <c r="A74" s="545"/>
      <c r="B74" s="441">
        <f t="shared" si="19"/>
        <v>720</v>
      </c>
      <c r="C74" s="433" t="str">
        <f>VLOOKUP(B74,'Tipos de Defeitos'!B75:E177,Menu!$B$24+1,)</f>
        <v>Pilha recuperada do Acabamento</v>
      </c>
      <c r="D74" s="212"/>
      <c r="E74" s="212"/>
      <c r="F74" s="212"/>
      <c r="G74" s="212"/>
      <c r="H74" s="212"/>
      <c r="I74" s="212"/>
      <c r="J74" s="212"/>
      <c r="K74" s="212"/>
      <c r="L74" s="212"/>
      <c r="M74" s="217"/>
      <c r="N74" s="217"/>
      <c r="O74" s="217"/>
      <c r="P74" s="217"/>
      <c r="Q74" s="217"/>
      <c r="R74" s="217"/>
      <c r="S74" s="217"/>
      <c r="T74" s="217"/>
      <c r="U74" s="217"/>
      <c r="V74" s="217"/>
      <c r="W74" s="217"/>
      <c r="X74" s="217"/>
      <c r="Y74" s="217"/>
      <c r="Z74" s="217"/>
      <c r="AA74" s="217"/>
      <c r="AB74" s="217"/>
      <c r="AC74" s="217"/>
      <c r="AD74" s="217"/>
      <c r="AE74" s="217"/>
      <c r="AF74" s="217"/>
      <c r="AG74" s="217"/>
      <c r="AH74" s="217"/>
      <c r="AI74" s="217"/>
      <c r="AJ74" s="217"/>
      <c r="AK74" s="217"/>
      <c r="AL74" s="217"/>
      <c r="AM74" s="217"/>
      <c r="AN74" s="217"/>
      <c r="AO74" s="217"/>
      <c r="AP74" s="217"/>
      <c r="AQ74" s="217"/>
      <c r="AR74" s="323"/>
      <c r="AS74" s="369">
        <f t="shared" si="18"/>
        <v>0</v>
      </c>
      <c r="AT74" s="409">
        <f>AS74+'UM-3 - L2 - Dia'!AS74</f>
        <v>0</v>
      </c>
      <c r="AW74" s="315" t="e">
        <f t="shared" si="17"/>
        <v>#DIV/0!</v>
      </c>
    </row>
    <row r="75" spans="1:49">
      <c r="A75" s="545"/>
      <c r="B75" s="441">
        <f t="shared" si="19"/>
        <v>730</v>
      </c>
      <c r="C75" s="433" t="str">
        <f>VLOOKUP(B75,'Tipos de Defeitos'!B76:E178,Menu!$B$24+1,)</f>
        <v>Causa Desconhecida - Voltagem</v>
      </c>
      <c r="D75" s="212"/>
      <c r="E75" s="212"/>
      <c r="F75" s="212"/>
      <c r="G75" s="212"/>
      <c r="H75" s="212"/>
      <c r="I75" s="212"/>
      <c r="J75" s="212"/>
      <c r="K75" s="212"/>
      <c r="L75" s="212"/>
      <c r="M75" s="217"/>
      <c r="N75" s="217"/>
      <c r="O75" s="217"/>
      <c r="P75" s="217"/>
      <c r="Q75" s="217"/>
      <c r="R75" s="217"/>
      <c r="S75" s="217"/>
      <c r="T75" s="217"/>
      <c r="U75" s="217"/>
      <c r="V75" s="217"/>
      <c r="W75" s="217"/>
      <c r="X75" s="217"/>
      <c r="Y75" s="217"/>
      <c r="Z75" s="217"/>
      <c r="AA75" s="217"/>
      <c r="AB75" s="217"/>
      <c r="AC75" s="217"/>
      <c r="AD75" s="217"/>
      <c r="AE75" s="217"/>
      <c r="AF75" s="217"/>
      <c r="AG75" s="217"/>
      <c r="AH75" s="217"/>
      <c r="AI75" s="217"/>
      <c r="AJ75" s="217"/>
      <c r="AK75" s="217"/>
      <c r="AL75" s="217"/>
      <c r="AM75" s="217"/>
      <c r="AN75" s="217"/>
      <c r="AO75" s="217"/>
      <c r="AP75" s="217"/>
      <c r="AQ75" s="217"/>
      <c r="AR75" s="323"/>
      <c r="AS75" s="369">
        <f t="shared" si="18"/>
        <v>0</v>
      </c>
      <c r="AT75" s="409">
        <f>AS75+'UM-3 - L2 - Dia'!AS75</f>
        <v>0</v>
      </c>
      <c r="AW75" s="315" t="e">
        <f t="shared" si="17"/>
        <v>#DIV/0!</v>
      </c>
    </row>
    <row r="76" spans="1:49">
      <c r="A76" s="545"/>
      <c r="B76" s="441">
        <f t="shared" si="19"/>
        <v>740</v>
      </c>
      <c r="C76" s="433" t="str">
        <f>VLOOKUP(B76,'Tipos de Defeitos'!B77:E179,Menu!$B$24+1,)</f>
        <v>Pilha Boa</v>
      </c>
      <c r="D76" s="212"/>
      <c r="E76" s="212"/>
      <c r="F76" s="212"/>
      <c r="G76" s="212"/>
      <c r="H76" s="212"/>
      <c r="I76" s="212"/>
      <c r="J76" s="212"/>
      <c r="K76" s="212"/>
      <c r="L76" s="212"/>
      <c r="M76" s="217"/>
      <c r="N76" s="217"/>
      <c r="O76" s="217"/>
      <c r="P76" s="217"/>
      <c r="Q76" s="217"/>
      <c r="R76" s="217"/>
      <c r="S76" s="217"/>
      <c r="T76" s="217"/>
      <c r="U76" s="217"/>
      <c r="V76" s="217"/>
      <c r="W76" s="217"/>
      <c r="X76" s="217"/>
      <c r="Y76" s="217"/>
      <c r="Z76" s="217"/>
      <c r="AA76" s="217"/>
      <c r="AB76" s="217"/>
      <c r="AC76" s="217"/>
      <c r="AD76" s="217"/>
      <c r="AE76" s="217"/>
      <c r="AF76" s="217"/>
      <c r="AG76" s="217"/>
      <c r="AH76" s="217"/>
      <c r="AI76" s="217"/>
      <c r="AJ76" s="217"/>
      <c r="AK76" s="217"/>
      <c r="AL76" s="217"/>
      <c r="AM76" s="217"/>
      <c r="AN76" s="217"/>
      <c r="AO76" s="217"/>
      <c r="AP76" s="217"/>
      <c r="AQ76" s="217"/>
      <c r="AR76" s="323"/>
      <c r="AS76" s="369">
        <f t="shared" si="18"/>
        <v>0</v>
      </c>
      <c r="AT76" s="409">
        <f>AS76+'UM-3 - L2 - Dia'!AS76</f>
        <v>0</v>
      </c>
      <c r="AW76" s="315" t="e">
        <f t="shared" si="17"/>
        <v>#DIV/0!</v>
      </c>
    </row>
    <row r="77" spans="1:49" ht="13.5" thickBot="1">
      <c r="A77" s="545"/>
      <c r="B77" s="444">
        <f t="shared" si="19"/>
        <v>750</v>
      </c>
      <c r="C77" s="435" t="str">
        <f>VLOOKUP(B77,'Tipos de Defeitos'!B78:E180,Menu!$B$24+1,)</f>
        <v>Outros - Voltagem</v>
      </c>
      <c r="D77" s="325"/>
      <c r="E77" s="325"/>
      <c r="F77" s="325"/>
      <c r="G77" s="325"/>
      <c r="H77" s="224"/>
      <c r="I77" s="224"/>
      <c r="J77" s="325"/>
      <c r="K77" s="325"/>
      <c r="L77" s="325"/>
      <c r="M77" s="326"/>
      <c r="N77" s="326"/>
      <c r="O77" s="325"/>
      <c r="P77" s="326"/>
      <c r="Q77" s="326"/>
      <c r="R77" s="326"/>
      <c r="S77" s="326"/>
      <c r="T77" s="326"/>
      <c r="U77" s="326"/>
      <c r="V77" s="326"/>
      <c r="W77" s="326"/>
      <c r="X77" s="326"/>
      <c r="Y77" s="326"/>
      <c r="Z77" s="326"/>
      <c r="AA77" s="326"/>
      <c r="AB77" s="326"/>
      <c r="AC77" s="326"/>
      <c r="AD77" s="326"/>
      <c r="AE77" s="326"/>
      <c r="AF77" s="326"/>
      <c r="AG77" s="326"/>
      <c r="AH77" s="326"/>
      <c r="AI77" s="326"/>
      <c r="AJ77" s="326"/>
      <c r="AK77" s="326"/>
      <c r="AL77" s="326"/>
      <c r="AM77" s="326"/>
      <c r="AN77" s="326"/>
      <c r="AO77" s="326"/>
      <c r="AP77" s="326"/>
      <c r="AQ77" s="326"/>
      <c r="AR77" s="327"/>
      <c r="AS77" s="369">
        <f t="shared" si="18"/>
        <v>0</v>
      </c>
      <c r="AT77" s="409">
        <f>AS77+'UM-3 - L2 - Dia'!AS77</f>
        <v>0</v>
      </c>
      <c r="AW77" s="315" t="e">
        <f t="shared" si="17"/>
        <v>#DIV/0!</v>
      </c>
    </row>
    <row r="78" spans="1:49">
      <c r="A78" s="544" t="s">
        <v>99</v>
      </c>
      <c r="B78" s="440">
        <f t="shared" si="19"/>
        <v>760</v>
      </c>
      <c r="C78" s="426" t="str">
        <f>VLOOKUP(B78,'Tipos de Defeitos'!B79:E181,Menu!$B$24+1,)</f>
        <v>Total (pçs)</v>
      </c>
      <c r="D78" s="238">
        <f t="shared" ref="D78:G78" si="20">SUM(D28:D77)</f>
        <v>0</v>
      </c>
      <c r="E78" s="238">
        <f t="shared" si="20"/>
        <v>0</v>
      </c>
      <c r="F78" s="238">
        <f t="shared" si="20"/>
        <v>0</v>
      </c>
      <c r="G78" s="238">
        <f t="shared" si="20"/>
        <v>0</v>
      </c>
      <c r="H78" s="238">
        <f t="shared" ref="H78:AR78" si="21">SUM(H28:H77)</f>
        <v>0</v>
      </c>
      <c r="I78" s="238">
        <f t="shared" si="21"/>
        <v>0</v>
      </c>
      <c r="J78" s="238">
        <f t="shared" si="21"/>
        <v>0</v>
      </c>
      <c r="K78" s="238">
        <f t="shared" si="21"/>
        <v>0</v>
      </c>
      <c r="L78" s="238">
        <f t="shared" si="21"/>
        <v>0</v>
      </c>
      <c r="M78" s="238">
        <f t="shared" si="21"/>
        <v>0</v>
      </c>
      <c r="N78" s="238">
        <f t="shared" si="21"/>
        <v>0</v>
      </c>
      <c r="O78" s="238">
        <f t="shared" si="21"/>
        <v>0</v>
      </c>
      <c r="P78" s="238">
        <f t="shared" si="21"/>
        <v>0</v>
      </c>
      <c r="Q78" s="238">
        <f t="shared" si="21"/>
        <v>0</v>
      </c>
      <c r="R78" s="238">
        <f t="shared" ref="R78" si="22">SUM(R28:R77)</f>
        <v>0</v>
      </c>
      <c r="S78" s="238">
        <f t="shared" si="21"/>
        <v>0</v>
      </c>
      <c r="T78" s="238">
        <f t="shared" si="21"/>
        <v>0</v>
      </c>
      <c r="U78" s="238">
        <f t="shared" si="21"/>
        <v>0</v>
      </c>
      <c r="V78" s="238">
        <f t="shared" si="21"/>
        <v>0</v>
      </c>
      <c r="W78" s="238">
        <f t="shared" si="21"/>
        <v>0</v>
      </c>
      <c r="X78" s="238">
        <f t="shared" si="21"/>
        <v>0</v>
      </c>
      <c r="Y78" s="238">
        <f t="shared" si="21"/>
        <v>0</v>
      </c>
      <c r="Z78" s="238">
        <f t="shared" si="21"/>
        <v>0</v>
      </c>
      <c r="AA78" s="238">
        <f t="shared" si="21"/>
        <v>0</v>
      </c>
      <c r="AB78" s="238">
        <f t="shared" si="21"/>
        <v>0</v>
      </c>
      <c r="AC78" s="238">
        <f t="shared" si="21"/>
        <v>0</v>
      </c>
      <c r="AD78" s="238">
        <f t="shared" si="21"/>
        <v>0</v>
      </c>
      <c r="AE78" s="238">
        <f t="shared" si="21"/>
        <v>0</v>
      </c>
      <c r="AF78" s="238">
        <f t="shared" si="21"/>
        <v>0</v>
      </c>
      <c r="AG78" s="238">
        <f t="shared" si="21"/>
        <v>0</v>
      </c>
      <c r="AH78" s="238">
        <f t="shared" si="21"/>
        <v>0</v>
      </c>
      <c r="AI78" s="238">
        <f t="shared" si="21"/>
        <v>0</v>
      </c>
      <c r="AJ78" s="238">
        <f t="shared" si="21"/>
        <v>0</v>
      </c>
      <c r="AK78" s="238">
        <f t="shared" si="21"/>
        <v>0</v>
      </c>
      <c r="AL78" s="238">
        <f t="shared" si="21"/>
        <v>0</v>
      </c>
      <c r="AM78" s="238">
        <f t="shared" si="21"/>
        <v>0</v>
      </c>
      <c r="AN78" s="238">
        <f t="shared" si="21"/>
        <v>0</v>
      </c>
      <c r="AO78" s="238">
        <f t="shared" si="21"/>
        <v>0</v>
      </c>
      <c r="AP78" s="238">
        <f t="shared" si="21"/>
        <v>0</v>
      </c>
      <c r="AQ78" s="238">
        <f t="shared" si="21"/>
        <v>0</v>
      </c>
      <c r="AR78" s="350">
        <f t="shared" si="21"/>
        <v>0</v>
      </c>
      <c r="AS78" s="376">
        <f t="shared" ref="AS78" si="23">SUM(AS28:AS77)</f>
        <v>0</v>
      </c>
      <c r="AT78" s="397">
        <f>AS78+'UM-3 - L2 - Dia'!AS78</f>
        <v>0</v>
      </c>
    </row>
    <row r="79" spans="1:49">
      <c r="A79" s="545"/>
      <c r="B79" s="441">
        <f t="shared" si="19"/>
        <v>770</v>
      </c>
      <c r="C79" s="428" t="str">
        <f>VLOOKUP(B79,'Tipos de Defeitos'!B80:E182,Menu!$B$24+1,)</f>
        <v>1º Teste</v>
      </c>
      <c r="D79" s="239" t="str">
        <f t="shared" ref="D79:G79" si="24">IF(D23&gt;0,D23/D7*1000000,"")</f>
        <v/>
      </c>
      <c r="E79" s="239" t="str">
        <f t="shared" si="24"/>
        <v/>
      </c>
      <c r="F79" s="239" t="str">
        <f t="shared" si="24"/>
        <v/>
      </c>
      <c r="G79" s="239" t="str">
        <f t="shared" si="24"/>
        <v/>
      </c>
      <c r="H79" s="239" t="str">
        <f t="shared" ref="H79:AR79" si="25">IF(H23&gt;0,H23/H7*1000000,"")</f>
        <v/>
      </c>
      <c r="I79" s="239" t="str">
        <f t="shared" si="25"/>
        <v/>
      </c>
      <c r="J79" s="240" t="str">
        <f t="shared" si="25"/>
        <v/>
      </c>
      <c r="K79" s="239" t="str">
        <f t="shared" si="25"/>
        <v/>
      </c>
      <c r="L79" s="239" t="str">
        <f t="shared" ref="L79" si="26">IF(L23&gt;0,L23/L7*1000000,"")</f>
        <v/>
      </c>
      <c r="M79" s="239" t="str">
        <f t="shared" si="25"/>
        <v/>
      </c>
      <c r="N79" s="239" t="str">
        <f t="shared" si="25"/>
        <v/>
      </c>
      <c r="O79" s="239" t="str">
        <f t="shared" si="25"/>
        <v/>
      </c>
      <c r="P79" s="239" t="str">
        <f t="shared" si="25"/>
        <v/>
      </c>
      <c r="Q79" s="239" t="str">
        <f t="shared" si="25"/>
        <v/>
      </c>
      <c r="R79" s="239" t="str">
        <f t="shared" ref="R79" si="27">IF(R23&gt;0,R23/R7*1000000,"")</f>
        <v/>
      </c>
      <c r="S79" s="239" t="str">
        <f t="shared" si="25"/>
        <v/>
      </c>
      <c r="T79" s="239" t="str">
        <f t="shared" si="25"/>
        <v/>
      </c>
      <c r="U79" s="239" t="str">
        <f t="shared" si="25"/>
        <v/>
      </c>
      <c r="V79" s="239" t="str">
        <f t="shared" si="25"/>
        <v/>
      </c>
      <c r="W79" s="239" t="str">
        <f t="shared" si="25"/>
        <v/>
      </c>
      <c r="X79" s="239" t="str">
        <f t="shared" si="25"/>
        <v/>
      </c>
      <c r="Y79" s="239" t="str">
        <f t="shared" si="25"/>
        <v/>
      </c>
      <c r="Z79" s="239" t="str">
        <f t="shared" si="25"/>
        <v/>
      </c>
      <c r="AA79" s="239" t="str">
        <f t="shared" si="25"/>
        <v/>
      </c>
      <c r="AB79" s="239" t="str">
        <f t="shared" si="25"/>
        <v/>
      </c>
      <c r="AC79" s="240" t="str">
        <f t="shared" si="25"/>
        <v/>
      </c>
      <c r="AD79" s="239" t="str">
        <f t="shared" si="25"/>
        <v/>
      </c>
      <c r="AE79" s="239" t="str">
        <f t="shared" si="25"/>
        <v/>
      </c>
      <c r="AF79" s="239" t="str">
        <f t="shared" si="25"/>
        <v/>
      </c>
      <c r="AG79" s="239" t="str">
        <f t="shared" si="25"/>
        <v/>
      </c>
      <c r="AH79" s="239" t="str">
        <f t="shared" si="25"/>
        <v/>
      </c>
      <c r="AI79" s="239" t="str">
        <f t="shared" si="25"/>
        <v/>
      </c>
      <c r="AJ79" s="239" t="str">
        <f t="shared" si="25"/>
        <v/>
      </c>
      <c r="AK79" s="239" t="str">
        <f t="shared" si="25"/>
        <v/>
      </c>
      <c r="AL79" s="239" t="str">
        <f t="shared" si="25"/>
        <v/>
      </c>
      <c r="AM79" s="239" t="str">
        <f t="shared" si="25"/>
        <v/>
      </c>
      <c r="AN79" s="239" t="str">
        <f t="shared" si="25"/>
        <v/>
      </c>
      <c r="AO79" s="239" t="str">
        <f t="shared" si="25"/>
        <v/>
      </c>
      <c r="AP79" s="239" t="str">
        <f t="shared" si="25"/>
        <v/>
      </c>
      <c r="AQ79" s="239" t="str">
        <f t="shared" si="25"/>
        <v/>
      </c>
      <c r="AR79" s="351" t="str">
        <f t="shared" si="25"/>
        <v/>
      </c>
      <c r="AS79" s="377" t="str">
        <f>IF(AS7&gt;0,AS23/AS7*1000000,"")</f>
        <v/>
      </c>
      <c r="AT79" s="398" t="str">
        <f>IF(AT7&gt;0,AT23/AT7*1000000,"")</f>
        <v/>
      </c>
    </row>
    <row r="80" spans="1:49" ht="13.5" thickBot="1">
      <c r="A80" s="545"/>
      <c r="B80" s="441">
        <f t="shared" si="19"/>
        <v>780</v>
      </c>
      <c r="C80" s="428" t="str">
        <f>VLOOKUP(B80,'Tipos de Defeitos'!B81:E183,Menu!$B$24+1,)</f>
        <v>Taxa defeituosa (ppm)</v>
      </c>
      <c r="D80" s="239" t="str">
        <f t="shared" ref="D80:G80" si="28">IF(D27&lt;&gt;0,D78/D27*D24/D7*1000000,"")</f>
        <v/>
      </c>
      <c r="E80" s="239" t="str">
        <f t="shared" si="28"/>
        <v/>
      </c>
      <c r="F80" s="239" t="str">
        <f t="shared" si="28"/>
        <v/>
      </c>
      <c r="G80" s="239" t="str">
        <f t="shared" si="28"/>
        <v/>
      </c>
      <c r="H80" s="239" t="str">
        <f t="shared" ref="H80:AR80" si="29">IF(H27&lt;&gt;0,H78/H27*H24/H7*1000000,"")</f>
        <v/>
      </c>
      <c r="I80" s="239" t="str">
        <f t="shared" si="29"/>
        <v/>
      </c>
      <c r="J80" s="240" t="str">
        <f t="shared" si="29"/>
        <v/>
      </c>
      <c r="K80" s="239" t="str">
        <f t="shared" si="29"/>
        <v/>
      </c>
      <c r="L80" s="239" t="str">
        <f t="shared" ref="L80" si="30">IF(L27&lt;&gt;0,L78/L27*L24/L7*1000000,"")</f>
        <v/>
      </c>
      <c r="M80" s="239" t="str">
        <f t="shared" si="29"/>
        <v/>
      </c>
      <c r="N80" s="239" t="str">
        <f t="shared" si="29"/>
        <v/>
      </c>
      <c r="O80" s="239" t="str">
        <f t="shared" si="29"/>
        <v/>
      </c>
      <c r="P80" s="239" t="str">
        <f t="shared" si="29"/>
        <v/>
      </c>
      <c r="Q80" s="239" t="str">
        <f t="shared" si="29"/>
        <v/>
      </c>
      <c r="R80" s="239" t="str">
        <f t="shared" ref="R80" si="31">IF(R27&lt;&gt;0,R78/R27*R24/R7*1000000,"")</f>
        <v/>
      </c>
      <c r="S80" s="239" t="str">
        <f t="shared" si="29"/>
        <v/>
      </c>
      <c r="T80" s="239" t="str">
        <f t="shared" si="29"/>
        <v/>
      </c>
      <c r="U80" s="239" t="str">
        <f t="shared" si="29"/>
        <v/>
      </c>
      <c r="V80" s="239" t="str">
        <f t="shared" si="29"/>
        <v/>
      </c>
      <c r="W80" s="239" t="str">
        <f t="shared" si="29"/>
        <v/>
      </c>
      <c r="X80" s="239" t="str">
        <f t="shared" si="29"/>
        <v/>
      </c>
      <c r="Y80" s="239" t="str">
        <f t="shared" si="29"/>
        <v/>
      </c>
      <c r="Z80" s="239" t="str">
        <f t="shared" si="29"/>
        <v/>
      </c>
      <c r="AA80" s="239" t="str">
        <f t="shared" si="29"/>
        <v/>
      </c>
      <c r="AB80" s="239" t="str">
        <f t="shared" si="29"/>
        <v/>
      </c>
      <c r="AC80" s="240" t="str">
        <f t="shared" si="29"/>
        <v/>
      </c>
      <c r="AD80" s="239" t="str">
        <f t="shared" si="29"/>
        <v/>
      </c>
      <c r="AE80" s="239" t="str">
        <f t="shared" si="29"/>
        <v/>
      </c>
      <c r="AF80" s="239" t="str">
        <f t="shared" si="29"/>
        <v/>
      </c>
      <c r="AG80" s="239" t="str">
        <f t="shared" si="29"/>
        <v/>
      </c>
      <c r="AH80" s="239" t="str">
        <f t="shared" si="29"/>
        <v/>
      </c>
      <c r="AI80" s="239" t="str">
        <f t="shared" si="29"/>
        <v/>
      </c>
      <c r="AJ80" s="239" t="str">
        <f t="shared" si="29"/>
        <v/>
      </c>
      <c r="AK80" s="239" t="str">
        <f t="shared" si="29"/>
        <v/>
      </c>
      <c r="AL80" s="239" t="str">
        <f t="shared" si="29"/>
        <v/>
      </c>
      <c r="AM80" s="239" t="str">
        <f t="shared" si="29"/>
        <v/>
      </c>
      <c r="AN80" s="239" t="str">
        <f t="shared" si="29"/>
        <v/>
      </c>
      <c r="AO80" s="239" t="str">
        <f t="shared" si="29"/>
        <v/>
      </c>
      <c r="AP80" s="239" t="str">
        <f t="shared" si="29"/>
        <v/>
      </c>
      <c r="AQ80" s="239" t="str">
        <f t="shared" si="29"/>
        <v/>
      </c>
      <c r="AR80" s="351" t="str">
        <f t="shared" si="29"/>
        <v/>
      </c>
      <c r="AS80" s="377">
        <f>IF(AS7&gt;0,AS78/AS27*AS24/AS7*1000000,0)</f>
        <v>0</v>
      </c>
      <c r="AT80" s="398">
        <f>IF(AT7&gt;0,AT78/AT27*AT24/AT7*1000000,0)</f>
        <v>0</v>
      </c>
    </row>
    <row r="81" spans="1:46">
      <c r="A81" s="545"/>
      <c r="B81" s="441">
        <f t="shared" si="19"/>
        <v>790</v>
      </c>
      <c r="C81" s="428" t="str">
        <f>VLOOKUP(B81,'Tipos de Defeitos'!B82:E184,Menu!$B$24+1,)</f>
        <v>Qtd. Defeitos internos (pçs)</v>
      </c>
      <c r="D81" s="171">
        <f t="shared" ref="D81:G81" si="32">SUM(D28:D67,D86:D98)</f>
        <v>0</v>
      </c>
      <c r="E81" s="171">
        <f t="shared" si="32"/>
        <v>0</v>
      </c>
      <c r="F81" s="171">
        <f t="shared" si="32"/>
        <v>0</v>
      </c>
      <c r="G81" s="171">
        <f t="shared" si="32"/>
        <v>0</v>
      </c>
      <c r="H81" s="171">
        <f t="shared" ref="H81:AR81" si="33">SUM(H28:H67,H86:H98)</f>
        <v>0</v>
      </c>
      <c r="I81" s="171">
        <f t="shared" si="33"/>
        <v>0</v>
      </c>
      <c r="J81" s="171">
        <f t="shared" si="33"/>
        <v>0</v>
      </c>
      <c r="K81" s="171">
        <f t="shared" si="33"/>
        <v>0</v>
      </c>
      <c r="L81" s="171">
        <f t="shared" si="33"/>
        <v>0</v>
      </c>
      <c r="M81" s="171">
        <f t="shared" si="33"/>
        <v>0</v>
      </c>
      <c r="N81" s="171">
        <f t="shared" si="33"/>
        <v>0</v>
      </c>
      <c r="O81" s="171">
        <f t="shared" si="33"/>
        <v>0</v>
      </c>
      <c r="P81" s="171">
        <f t="shared" si="33"/>
        <v>0</v>
      </c>
      <c r="Q81" s="171">
        <f t="shared" si="33"/>
        <v>0</v>
      </c>
      <c r="R81" s="171">
        <f t="shared" si="33"/>
        <v>0</v>
      </c>
      <c r="S81" s="171">
        <f t="shared" si="33"/>
        <v>0</v>
      </c>
      <c r="T81" s="171">
        <f t="shared" si="33"/>
        <v>0</v>
      </c>
      <c r="U81" s="171">
        <f t="shared" si="33"/>
        <v>0</v>
      </c>
      <c r="V81" s="171">
        <f t="shared" si="33"/>
        <v>0</v>
      </c>
      <c r="W81" s="171">
        <f t="shared" si="33"/>
        <v>0</v>
      </c>
      <c r="X81" s="171">
        <f t="shared" si="33"/>
        <v>0</v>
      </c>
      <c r="Y81" s="171">
        <f t="shared" si="33"/>
        <v>0</v>
      </c>
      <c r="Z81" s="171">
        <f t="shared" si="33"/>
        <v>0</v>
      </c>
      <c r="AA81" s="171">
        <f t="shared" si="33"/>
        <v>0</v>
      </c>
      <c r="AB81" s="171">
        <f t="shared" si="33"/>
        <v>0</v>
      </c>
      <c r="AC81" s="171">
        <f t="shared" si="33"/>
        <v>0</v>
      </c>
      <c r="AD81" s="171">
        <f t="shared" si="33"/>
        <v>0</v>
      </c>
      <c r="AE81" s="171">
        <f t="shared" si="33"/>
        <v>0</v>
      </c>
      <c r="AF81" s="171">
        <f t="shared" si="33"/>
        <v>0</v>
      </c>
      <c r="AG81" s="171">
        <f t="shared" si="33"/>
        <v>0</v>
      </c>
      <c r="AH81" s="171">
        <f t="shared" si="33"/>
        <v>0</v>
      </c>
      <c r="AI81" s="171">
        <f t="shared" si="33"/>
        <v>0</v>
      </c>
      <c r="AJ81" s="171">
        <f t="shared" si="33"/>
        <v>0</v>
      </c>
      <c r="AK81" s="171">
        <f t="shared" si="33"/>
        <v>0</v>
      </c>
      <c r="AL81" s="171">
        <f t="shared" si="33"/>
        <v>0</v>
      </c>
      <c r="AM81" s="171">
        <f t="shared" si="33"/>
        <v>0</v>
      </c>
      <c r="AN81" s="171">
        <f t="shared" si="33"/>
        <v>0</v>
      </c>
      <c r="AO81" s="171">
        <f t="shared" si="33"/>
        <v>0</v>
      </c>
      <c r="AP81" s="171">
        <f t="shared" si="33"/>
        <v>0</v>
      </c>
      <c r="AQ81" s="171">
        <f t="shared" si="33"/>
        <v>0</v>
      </c>
      <c r="AR81" s="171">
        <f t="shared" si="33"/>
        <v>0</v>
      </c>
      <c r="AS81" s="204">
        <f t="shared" ref="AS81" si="34">SUM(AS28:AS67)</f>
        <v>0</v>
      </c>
      <c r="AT81" s="397">
        <f>AS81+'UM-3 - L2 - Dia'!AS81</f>
        <v>0</v>
      </c>
    </row>
    <row r="82" spans="1:46" ht="13.5" thickBot="1">
      <c r="A82" s="546"/>
      <c r="B82" s="442">
        <f t="shared" si="19"/>
        <v>800</v>
      </c>
      <c r="C82" s="430" t="str">
        <f>VLOOKUP(B82,'Tipos de Defeitos'!B83:E185,Menu!$B$24+1,)</f>
        <v>Defeitos Internos - Taxa defeituosa (ppm)</v>
      </c>
      <c r="D82" s="241" t="str">
        <f t="shared" ref="D82:G82" si="35">IF(D27&gt;0,D81/D27*D24/D7*1000000,"")</f>
        <v/>
      </c>
      <c r="E82" s="241" t="str">
        <f t="shared" si="35"/>
        <v/>
      </c>
      <c r="F82" s="241" t="str">
        <f t="shared" si="35"/>
        <v/>
      </c>
      <c r="G82" s="241" t="str">
        <f t="shared" si="35"/>
        <v/>
      </c>
      <c r="H82" s="241" t="str">
        <f t="shared" ref="H82" si="36">IF(H27&gt;0,H81/H27*H24/H7*1000000,"")</f>
        <v/>
      </c>
      <c r="I82" s="241" t="str">
        <f t="shared" ref="I82" si="37">IF(I27&gt;0,I81/I27*I24/I7*1000000,"")</f>
        <v/>
      </c>
      <c r="J82" s="242" t="str">
        <f t="shared" ref="J82" si="38">IF(J27&gt;0,J81/J27*J24/J7*1000000,"")</f>
        <v/>
      </c>
      <c r="K82" s="241" t="str">
        <f t="shared" ref="K82" si="39">IF(K27&gt;0,K81/K27*K24/K7*1000000,"")</f>
        <v/>
      </c>
      <c r="L82" s="241" t="str">
        <f t="shared" ref="L82" si="40">IF(L27&gt;0,L81/L27*L24/L7*1000000,"")</f>
        <v/>
      </c>
      <c r="M82" s="241" t="str">
        <f t="shared" ref="M82" si="41">IF(M27&gt;0,M81/M27*M24/M7*1000000,"")</f>
        <v/>
      </c>
      <c r="N82" s="241" t="str">
        <f t="shared" ref="N82" si="42">IF(N27&gt;0,N81/N27*N24/N7*1000000,"")</f>
        <v/>
      </c>
      <c r="O82" s="241" t="str">
        <f t="shared" ref="O82:P82" si="43">IF(O27&gt;0,O81/O27*O24/O7*1000000,"")</f>
        <v/>
      </c>
      <c r="P82" s="241" t="str">
        <f t="shared" si="43"/>
        <v/>
      </c>
      <c r="Q82" s="241" t="str">
        <f t="shared" ref="Q82:R82" si="44">IF(Q27&gt;0,Q81/Q27*Q24/Q7*1000000,"")</f>
        <v/>
      </c>
      <c r="R82" s="241" t="str">
        <f t="shared" si="44"/>
        <v/>
      </c>
      <c r="S82" s="241" t="str">
        <f t="shared" ref="S82" si="45">IF(S27&gt;0,S81/S27*S24/S7*1000000,"")</f>
        <v/>
      </c>
      <c r="T82" s="241" t="str">
        <f t="shared" ref="T82" si="46">IF(T27&gt;0,T81/T27*T24/T7*1000000,"")</f>
        <v/>
      </c>
      <c r="U82" s="241" t="str">
        <f t="shared" ref="U82" si="47">IF(U27&gt;0,U81/U27*U24/U7*1000000,"")</f>
        <v/>
      </c>
      <c r="V82" s="241" t="str">
        <f t="shared" ref="V82" si="48">IF(V27&gt;0,V81/V27*V24/V7*1000000,"")</f>
        <v/>
      </c>
      <c r="W82" s="241" t="str">
        <f t="shared" ref="W82" si="49">IF(W27&gt;0,W81/W27*W24/W7*1000000,"")</f>
        <v/>
      </c>
      <c r="X82" s="241" t="str">
        <f t="shared" ref="X82" si="50">IF(X27&gt;0,X81/X27*X24/X7*1000000,"")</f>
        <v/>
      </c>
      <c r="Y82" s="241" t="str">
        <f t="shared" ref="Y82:Z82" si="51">IF(Y27&gt;0,Y81/Y27*Y24/Y7*1000000,"")</f>
        <v/>
      </c>
      <c r="Z82" s="241" t="str">
        <f t="shared" si="51"/>
        <v/>
      </c>
      <c r="AA82" s="241" t="str">
        <f t="shared" ref="AA82" si="52">IF(AA27&gt;0,AA81/AA27*AA24/AA7*1000000,"")</f>
        <v/>
      </c>
      <c r="AB82" s="241" t="str">
        <f t="shared" ref="AB82" si="53">IF(AB27&gt;0,AB81/AB27*AB24/AB7*1000000,"")</f>
        <v/>
      </c>
      <c r="AC82" s="242" t="str">
        <f t="shared" ref="AC82" si="54">IF(AC27&gt;0,AC81/AC27*AC24/AC7*1000000,"")</f>
        <v/>
      </c>
      <c r="AD82" s="241" t="str">
        <f t="shared" ref="AD82" si="55">IF(AD27&gt;0,AD81/AD27*AD24/AD7*1000000,"")</f>
        <v/>
      </c>
      <c r="AE82" s="241" t="str">
        <f t="shared" ref="AE82" si="56">IF(AE27&gt;0,AE81/AE27*AE24/AE7*1000000,"")</f>
        <v/>
      </c>
      <c r="AF82" s="241" t="str">
        <f t="shared" ref="AF82" si="57">IF(AF27&gt;0,AF81/AF27*AF24/AF7*1000000,"")</f>
        <v/>
      </c>
      <c r="AG82" s="241" t="str">
        <f t="shared" ref="AG82" si="58">IF(AG27&gt;0,AG81/AG27*AG24/AG7*1000000,"")</f>
        <v/>
      </c>
      <c r="AH82" s="241" t="str">
        <f t="shared" ref="AH82" si="59">IF(AH27&gt;0,AH81/AH27*AH24/AH7*1000000,"")</f>
        <v/>
      </c>
      <c r="AI82" s="241" t="str">
        <f t="shared" ref="AI82" si="60">IF(AI27&gt;0,AI81/AI27*AI24/AI7*1000000,"")</f>
        <v/>
      </c>
      <c r="AJ82" s="241" t="str">
        <f t="shared" ref="AJ82" si="61">IF(AJ27&gt;0,AJ81/AJ27*AJ24/AJ7*1000000,"")</f>
        <v/>
      </c>
      <c r="AK82" s="241" t="str">
        <f t="shared" ref="AK82" si="62">IF(AK27&gt;0,AK81/AK27*AK24/AK7*1000000,"")</f>
        <v/>
      </c>
      <c r="AL82" s="241" t="str">
        <f t="shared" ref="AL82" si="63">IF(AL27&gt;0,AL81/AL27*AL24/AL7*1000000,"")</f>
        <v/>
      </c>
      <c r="AM82" s="241" t="str">
        <f t="shared" ref="AM82" si="64">IF(AM27&gt;0,AM81/AM27*AM24/AM7*1000000,"")</f>
        <v/>
      </c>
      <c r="AN82" s="241" t="str">
        <f t="shared" ref="AN82" si="65">IF(AN27&gt;0,AN81/AN27*AN24/AN7*1000000,"")</f>
        <v/>
      </c>
      <c r="AO82" s="241" t="str">
        <f t="shared" ref="AO82" si="66">IF(AO27&gt;0,AO81/AO27*AO24/AO7*1000000,"")</f>
        <v/>
      </c>
      <c r="AP82" s="241" t="str">
        <f t="shared" ref="AP82" si="67">IF(AP27&gt;0,AP81/AP27*AP24/AP7*1000000,"")</f>
        <v/>
      </c>
      <c r="AQ82" s="241" t="str">
        <f t="shared" ref="AQ82" si="68">IF(AQ27&gt;0,AQ81/AQ27*AQ24/AQ7*1000000,"")</f>
        <v/>
      </c>
      <c r="AR82" s="352" t="str">
        <f t="shared" ref="AR82" si="69">IF(AR27&gt;0,AR81/AR27*AR24/AR7*1000000,"")</f>
        <v/>
      </c>
      <c r="AS82" s="378" t="str">
        <f>IF(AS24&gt;0,AS81/AS27*AS24/AS7*1000000,"")</f>
        <v/>
      </c>
      <c r="AT82" s="378" t="str">
        <f>IF(AT24&gt;0,AT81/AT27*AT24/AT7*1000000,"")</f>
        <v/>
      </c>
    </row>
    <row r="83" spans="1:46" ht="14.25" customHeight="1">
      <c r="A83" s="541" t="s">
        <v>214</v>
      </c>
      <c r="B83" s="440">
        <f t="shared" si="19"/>
        <v>810</v>
      </c>
      <c r="C83" s="426" t="str">
        <f>VLOOKUP(B83,'Tipos de Defeitos'!B84:E186,Menu!$B$24+1,)</f>
        <v>Amperagem (Moda)</v>
      </c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3"/>
      <c r="U83" s="243"/>
      <c r="V83" s="243"/>
      <c r="W83" s="243"/>
      <c r="X83" s="243"/>
      <c r="Y83" s="243"/>
      <c r="Z83" s="243"/>
      <c r="AA83" s="243"/>
      <c r="AB83" s="243"/>
      <c r="AC83" s="243"/>
      <c r="AD83" s="243"/>
      <c r="AE83" s="243"/>
      <c r="AF83" s="243"/>
      <c r="AG83" s="243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353"/>
      <c r="AS83" s="379" t="e">
        <f>AVERAGE(E83:AR83)</f>
        <v>#DIV/0!</v>
      </c>
      <c r="AT83" s="399"/>
    </row>
    <row r="84" spans="1:46">
      <c r="A84" s="542"/>
      <c r="B84" s="441">
        <f t="shared" si="19"/>
        <v>820</v>
      </c>
      <c r="C84" s="428" t="str">
        <f>VLOOKUP(B84,'Tipos de Defeitos'!B85:E187,Menu!$B$24+1,)</f>
        <v>Amperagem Ajustada</v>
      </c>
      <c r="D84" s="244" t="str">
        <f t="shared" ref="D84:G84" si="70">IF(D83&gt;0,D83-1," ")</f>
        <v xml:space="preserve"> </v>
      </c>
      <c r="E84" s="244" t="str">
        <f t="shared" si="70"/>
        <v xml:space="preserve"> </v>
      </c>
      <c r="F84" s="244" t="str">
        <f t="shared" si="70"/>
        <v xml:space="preserve"> </v>
      </c>
      <c r="G84" s="244" t="str">
        <f t="shared" si="70"/>
        <v xml:space="preserve"> </v>
      </c>
      <c r="H84" s="244" t="str">
        <f t="shared" ref="H84" si="71">IF(H83&gt;0,H83-1," ")</f>
        <v xml:space="preserve"> </v>
      </c>
      <c r="I84" s="244" t="str">
        <f t="shared" ref="I84:AO84" si="72">IF(I83&gt;0,I83-1," ")</f>
        <v xml:space="preserve"> </v>
      </c>
      <c r="J84" s="244" t="str">
        <f t="shared" si="72"/>
        <v xml:space="preserve"> </v>
      </c>
      <c r="K84" s="244" t="str">
        <f t="shared" ref="K84" si="73">IF(K83&gt;0,K83-1," ")</f>
        <v xml:space="preserve"> </v>
      </c>
      <c r="L84" s="244" t="str">
        <f t="shared" si="72"/>
        <v xml:space="preserve"> </v>
      </c>
      <c r="M84" s="244" t="str">
        <f t="shared" si="72"/>
        <v xml:space="preserve"> </v>
      </c>
      <c r="N84" s="244" t="str">
        <f t="shared" si="72"/>
        <v xml:space="preserve"> </v>
      </c>
      <c r="O84" s="244" t="str">
        <f t="shared" si="72"/>
        <v xml:space="preserve"> </v>
      </c>
      <c r="P84" s="244" t="str">
        <f t="shared" si="72"/>
        <v xml:space="preserve"> </v>
      </c>
      <c r="Q84" s="244" t="str">
        <f t="shared" si="72"/>
        <v xml:space="preserve"> </v>
      </c>
      <c r="R84" s="244" t="str">
        <f t="shared" si="72"/>
        <v xml:space="preserve"> </v>
      </c>
      <c r="S84" s="244" t="str">
        <f t="shared" si="72"/>
        <v xml:space="preserve"> </v>
      </c>
      <c r="T84" s="244" t="str">
        <f t="shared" si="72"/>
        <v xml:space="preserve"> </v>
      </c>
      <c r="U84" s="244" t="str">
        <f t="shared" si="72"/>
        <v xml:space="preserve"> </v>
      </c>
      <c r="V84" s="244" t="str">
        <f t="shared" si="72"/>
        <v xml:space="preserve"> </v>
      </c>
      <c r="W84" s="244" t="str">
        <f t="shared" si="72"/>
        <v xml:space="preserve"> </v>
      </c>
      <c r="X84" s="244" t="str">
        <f t="shared" si="72"/>
        <v xml:space="preserve"> </v>
      </c>
      <c r="Y84" s="244" t="str">
        <f t="shared" si="72"/>
        <v xml:space="preserve"> </v>
      </c>
      <c r="Z84" s="244" t="str">
        <f t="shared" si="72"/>
        <v xml:space="preserve"> </v>
      </c>
      <c r="AA84" s="244" t="str">
        <f t="shared" si="72"/>
        <v xml:space="preserve"> </v>
      </c>
      <c r="AB84" s="244" t="str">
        <f t="shared" si="72"/>
        <v xml:space="preserve"> </v>
      </c>
      <c r="AC84" s="244" t="str">
        <f t="shared" si="72"/>
        <v xml:space="preserve"> </v>
      </c>
      <c r="AD84" s="244" t="str">
        <f t="shared" si="72"/>
        <v xml:space="preserve"> </v>
      </c>
      <c r="AE84" s="244" t="str">
        <f t="shared" si="72"/>
        <v xml:space="preserve"> </v>
      </c>
      <c r="AF84" s="244" t="str">
        <f t="shared" si="72"/>
        <v xml:space="preserve"> </v>
      </c>
      <c r="AG84" s="244" t="str">
        <f>IF(AG83&gt;0,AG83-1," ")</f>
        <v xml:space="preserve"> </v>
      </c>
      <c r="AH84" s="244" t="str">
        <f>IF(AH83&gt;0,AH83-1," ")</f>
        <v xml:space="preserve"> </v>
      </c>
      <c r="AI84" s="244" t="str">
        <f t="shared" si="72"/>
        <v xml:space="preserve"> </v>
      </c>
      <c r="AJ84" s="244" t="str">
        <f>IF(AJ83&gt;0,AJ83-1," ")</f>
        <v xml:space="preserve"> </v>
      </c>
      <c r="AK84" s="244" t="str">
        <f>IF(AK83&gt;0,AK83-1," ")</f>
        <v xml:space="preserve"> </v>
      </c>
      <c r="AL84" s="244" t="str">
        <f>IF(AL83&gt;0,AL83-1," ")</f>
        <v xml:space="preserve"> </v>
      </c>
      <c r="AM84" s="244" t="str">
        <f>IF(AM83&gt;0,AM83-1," ")</f>
        <v xml:space="preserve"> </v>
      </c>
      <c r="AN84" s="244" t="str">
        <f t="shared" si="72"/>
        <v xml:space="preserve"> </v>
      </c>
      <c r="AO84" s="244" t="str">
        <f t="shared" si="72"/>
        <v xml:space="preserve"> </v>
      </c>
      <c r="AP84" s="244"/>
      <c r="AQ84" s="244" t="str">
        <f>IF(AQ83&gt;0,AQ83-1," ")</f>
        <v xml:space="preserve"> </v>
      </c>
      <c r="AR84" s="354" t="str">
        <f>IF(AR83&gt;0,AR83-1," ")</f>
        <v xml:space="preserve"> </v>
      </c>
      <c r="AS84" s="380" t="e">
        <f>AS83-1</f>
        <v>#DIV/0!</v>
      </c>
      <c r="AT84" s="400"/>
    </row>
    <row r="85" spans="1:46" ht="13.5" thickBot="1">
      <c r="A85" s="543"/>
      <c r="B85" s="444">
        <f t="shared" si="19"/>
        <v>830</v>
      </c>
      <c r="C85" s="436" t="str">
        <f>VLOOKUP(B85,'Tipos de Defeitos'!B86:E188,Menu!$B$24+1,)</f>
        <v>Qtd Baterias analisadas (pçs)</v>
      </c>
      <c r="D85" s="245">
        <f t="shared" ref="D85:G85" si="74">D103</f>
        <v>0</v>
      </c>
      <c r="E85" s="245">
        <f t="shared" si="74"/>
        <v>0</v>
      </c>
      <c r="F85" s="245">
        <f t="shared" si="74"/>
        <v>0</v>
      </c>
      <c r="G85" s="245">
        <f t="shared" si="74"/>
        <v>0</v>
      </c>
      <c r="H85" s="245">
        <f t="shared" ref="H85" si="75">H103</f>
        <v>0</v>
      </c>
      <c r="I85" s="245">
        <f t="shared" ref="I85:AR85" si="76">I103</f>
        <v>0</v>
      </c>
      <c r="J85" s="245">
        <f t="shared" si="76"/>
        <v>0</v>
      </c>
      <c r="K85" s="245">
        <f t="shared" si="76"/>
        <v>0</v>
      </c>
      <c r="L85" s="245">
        <f t="shared" si="76"/>
        <v>0</v>
      </c>
      <c r="M85" s="245">
        <f t="shared" si="76"/>
        <v>0</v>
      </c>
      <c r="N85" s="245">
        <f t="shared" si="76"/>
        <v>0</v>
      </c>
      <c r="O85" s="245">
        <f t="shared" si="76"/>
        <v>0</v>
      </c>
      <c r="P85" s="245">
        <f t="shared" si="76"/>
        <v>0</v>
      </c>
      <c r="Q85" s="245">
        <f t="shared" si="76"/>
        <v>0</v>
      </c>
      <c r="R85" s="245">
        <f t="shared" si="76"/>
        <v>0</v>
      </c>
      <c r="S85" s="245">
        <f t="shared" si="76"/>
        <v>0</v>
      </c>
      <c r="T85" s="245">
        <f t="shared" si="76"/>
        <v>0</v>
      </c>
      <c r="U85" s="245">
        <f t="shared" si="76"/>
        <v>0</v>
      </c>
      <c r="V85" s="245">
        <f t="shared" si="76"/>
        <v>0</v>
      </c>
      <c r="W85" s="245">
        <f t="shared" si="76"/>
        <v>0</v>
      </c>
      <c r="X85" s="245">
        <f t="shared" si="76"/>
        <v>0</v>
      </c>
      <c r="Y85" s="245">
        <f t="shared" si="76"/>
        <v>0</v>
      </c>
      <c r="Z85" s="245">
        <f t="shared" si="76"/>
        <v>0</v>
      </c>
      <c r="AA85" s="245">
        <f t="shared" si="76"/>
        <v>0</v>
      </c>
      <c r="AB85" s="245">
        <f t="shared" si="76"/>
        <v>0</v>
      </c>
      <c r="AC85" s="245">
        <f t="shared" si="76"/>
        <v>0</v>
      </c>
      <c r="AD85" s="245">
        <f t="shared" si="76"/>
        <v>0</v>
      </c>
      <c r="AE85" s="245">
        <f t="shared" si="76"/>
        <v>0</v>
      </c>
      <c r="AF85" s="245">
        <f t="shared" si="76"/>
        <v>0</v>
      </c>
      <c r="AG85" s="245">
        <f t="shared" si="76"/>
        <v>0</v>
      </c>
      <c r="AH85" s="245">
        <f t="shared" si="76"/>
        <v>0</v>
      </c>
      <c r="AI85" s="245">
        <f t="shared" si="76"/>
        <v>0</v>
      </c>
      <c r="AJ85" s="245">
        <f t="shared" si="76"/>
        <v>0</v>
      </c>
      <c r="AK85" s="245">
        <f t="shared" si="76"/>
        <v>0</v>
      </c>
      <c r="AL85" s="245">
        <f t="shared" si="76"/>
        <v>0</v>
      </c>
      <c r="AM85" s="245">
        <f t="shared" si="76"/>
        <v>0</v>
      </c>
      <c r="AN85" s="245">
        <f t="shared" si="76"/>
        <v>0</v>
      </c>
      <c r="AO85" s="245">
        <f t="shared" si="76"/>
        <v>0</v>
      </c>
      <c r="AP85" s="245"/>
      <c r="AQ85" s="245">
        <f t="shared" si="76"/>
        <v>0</v>
      </c>
      <c r="AR85" s="355">
        <f t="shared" si="76"/>
        <v>0</v>
      </c>
      <c r="AS85" s="381">
        <f t="shared" ref="AS85:AS103" si="77">SUM(E85:AR85)</f>
        <v>0</v>
      </c>
      <c r="AT85" s="401">
        <f>AS85+'UM-3 - L2 - Dia'!AS85</f>
        <v>0</v>
      </c>
    </row>
    <row r="86" spans="1:46">
      <c r="A86" s="544" t="s">
        <v>22</v>
      </c>
      <c r="B86" s="440">
        <f t="shared" si="19"/>
        <v>840</v>
      </c>
      <c r="C86" s="437" t="str">
        <f>VLOOKUP(B86,'Tipos de Defeitos'!B87:E189,Menu!$B$24+1,)</f>
        <v>Papel Separdor Duplo</v>
      </c>
      <c r="D86" s="227"/>
      <c r="E86" s="227"/>
      <c r="F86" s="227"/>
      <c r="G86" s="227"/>
      <c r="H86" s="227"/>
      <c r="I86" s="227"/>
      <c r="J86" s="227"/>
      <c r="K86" s="227"/>
      <c r="L86" s="228"/>
      <c r="M86" s="228"/>
      <c r="N86" s="228"/>
      <c r="O86" s="228"/>
      <c r="P86" s="228"/>
      <c r="Q86" s="228"/>
      <c r="R86" s="228"/>
      <c r="S86" s="228"/>
      <c r="T86" s="228"/>
      <c r="U86" s="228"/>
      <c r="V86" s="228"/>
      <c r="W86" s="228"/>
      <c r="X86" s="228"/>
      <c r="Y86" s="228"/>
      <c r="Z86" s="228"/>
      <c r="AA86" s="228"/>
      <c r="AB86" s="228"/>
      <c r="AC86" s="228"/>
      <c r="AD86" s="228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348"/>
      <c r="AS86" s="375">
        <f t="shared" si="77"/>
        <v>0</v>
      </c>
      <c r="AT86" s="418">
        <f>AS86+'UM-3 - L2 - Dia'!AS86</f>
        <v>0</v>
      </c>
    </row>
    <row r="87" spans="1:46">
      <c r="A87" s="545"/>
      <c r="B87" s="441">
        <f t="shared" si="19"/>
        <v>850</v>
      </c>
      <c r="C87" s="433" t="str">
        <f>VLOOKUP(B87,'Tipos de Defeitos'!B88:E190,Menu!$B$24+1,)</f>
        <v>Pedra de Negro</v>
      </c>
      <c r="D87" s="212"/>
      <c r="E87" s="212"/>
      <c r="F87" s="212"/>
      <c r="G87" s="212"/>
      <c r="H87" s="212"/>
      <c r="I87" s="212"/>
      <c r="J87" s="212"/>
      <c r="K87" s="212"/>
      <c r="L87" s="217"/>
      <c r="M87" s="217"/>
      <c r="N87" s="217"/>
      <c r="O87" s="217"/>
      <c r="P87" s="217"/>
      <c r="Q87" s="217"/>
      <c r="R87" s="217"/>
      <c r="S87" s="217"/>
      <c r="T87" s="217"/>
      <c r="U87" s="217"/>
      <c r="V87" s="217"/>
      <c r="W87" s="217"/>
      <c r="X87" s="217"/>
      <c r="Y87" s="217"/>
      <c r="Z87" s="217"/>
      <c r="AA87" s="217"/>
      <c r="AB87" s="217"/>
      <c r="AC87" s="217"/>
      <c r="AD87" s="217"/>
      <c r="AE87" s="217"/>
      <c r="AF87" s="217"/>
      <c r="AG87" s="217"/>
      <c r="AH87" s="217"/>
      <c r="AI87" s="217"/>
      <c r="AJ87" s="217"/>
      <c r="AK87" s="217"/>
      <c r="AL87" s="217"/>
      <c r="AM87" s="217"/>
      <c r="AN87" s="217"/>
      <c r="AO87" s="217"/>
      <c r="AP87" s="217"/>
      <c r="AQ87" s="217"/>
      <c r="AR87" s="323"/>
      <c r="AS87" s="369">
        <f t="shared" si="77"/>
        <v>0</v>
      </c>
      <c r="AT87" s="409">
        <f>AS87+'UM-3 - L2 - Dia'!AS87</f>
        <v>0</v>
      </c>
    </row>
    <row r="88" spans="1:46">
      <c r="A88" s="545"/>
      <c r="B88" s="441">
        <f t="shared" si="19"/>
        <v>860</v>
      </c>
      <c r="C88" s="433" t="str">
        <f>VLOOKUP(B88,'Tipos de Defeitos'!B89:E191,Menu!$B$24+1,)</f>
        <v>Pedra de Cl de Amônia</v>
      </c>
      <c r="D88" s="212"/>
      <c r="E88" s="212"/>
      <c r="F88" s="212"/>
      <c r="G88" s="212"/>
      <c r="H88" s="212"/>
      <c r="I88" s="212"/>
      <c r="J88" s="212"/>
      <c r="K88" s="212"/>
      <c r="L88" s="217"/>
      <c r="M88" s="217"/>
      <c r="N88" s="217"/>
      <c r="O88" s="217"/>
      <c r="P88" s="217"/>
      <c r="Q88" s="217"/>
      <c r="R88" s="217"/>
      <c r="S88" s="217"/>
      <c r="T88" s="217"/>
      <c r="U88" s="217"/>
      <c r="V88" s="217"/>
      <c r="W88" s="217"/>
      <c r="X88" s="217"/>
      <c r="Y88" s="217"/>
      <c r="Z88" s="217"/>
      <c r="AA88" s="217"/>
      <c r="AB88" s="217"/>
      <c r="AC88" s="217"/>
      <c r="AD88" s="217"/>
      <c r="AE88" s="217"/>
      <c r="AF88" s="217"/>
      <c r="AG88" s="217"/>
      <c r="AH88" s="217"/>
      <c r="AI88" s="217"/>
      <c r="AJ88" s="217"/>
      <c r="AK88" s="217"/>
      <c r="AL88" s="217"/>
      <c r="AM88" s="217"/>
      <c r="AN88" s="217"/>
      <c r="AO88" s="217"/>
      <c r="AP88" s="217"/>
      <c r="AQ88" s="217"/>
      <c r="AR88" s="323"/>
      <c r="AS88" s="369">
        <f t="shared" si="77"/>
        <v>0</v>
      </c>
      <c r="AT88" s="409">
        <f>AS88+'UM-3 - L2 - Dia'!AS88</f>
        <v>0</v>
      </c>
    </row>
    <row r="89" spans="1:46">
      <c r="A89" s="545"/>
      <c r="B89" s="441">
        <f t="shared" si="19"/>
        <v>870</v>
      </c>
      <c r="C89" s="433" t="str">
        <f>VLOOKUP(B89,'Tipos de Defeitos'!B90:E192,Menu!$B$24+1,)</f>
        <v>Pelota de Manganês</v>
      </c>
      <c r="D89" s="212"/>
      <c r="E89" s="212"/>
      <c r="F89" s="212"/>
      <c r="G89" s="212"/>
      <c r="H89" s="212"/>
      <c r="I89" s="212"/>
      <c r="J89" s="212"/>
      <c r="K89" s="212"/>
      <c r="L89" s="217"/>
      <c r="M89" s="217"/>
      <c r="N89" s="217"/>
      <c r="O89" s="217"/>
      <c r="P89" s="217"/>
      <c r="Q89" s="217"/>
      <c r="R89" s="217"/>
      <c r="S89" s="217"/>
      <c r="T89" s="217"/>
      <c r="U89" s="217"/>
      <c r="V89" s="217"/>
      <c r="W89" s="217"/>
      <c r="X89" s="217"/>
      <c r="Y89" s="217"/>
      <c r="Z89" s="217"/>
      <c r="AA89" s="217"/>
      <c r="AB89" s="217"/>
      <c r="AC89" s="217"/>
      <c r="AD89" s="217"/>
      <c r="AE89" s="217"/>
      <c r="AF89" s="217"/>
      <c r="AG89" s="217"/>
      <c r="AH89" s="217"/>
      <c r="AI89" s="217"/>
      <c r="AJ89" s="217"/>
      <c r="AK89" s="217"/>
      <c r="AL89" s="217"/>
      <c r="AM89" s="217"/>
      <c r="AN89" s="217"/>
      <c r="AO89" s="217"/>
      <c r="AP89" s="217"/>
      <c r="AQ89" s="217"/>
      <c r="AR89" s="323"/>
      <c r="AS89" s="369">
        <f t="shared" si="77"/>
        <v>0</v>
      </c>
      <c r="AT89" s="409">
        <f>AS89+'UM-3 - L2 - Dia'!AS89</f>
        <v>0</v>
      </c>
    </row>
    <row r="90" spans="1:46">
      <c r="A90" s="545"/>
      <c r="B90" s="441">
        <f t="shared" si="19"/>
        <v>880</v>
      </c>
      <c r="C90" s="433" t="str">
        <f>VLOOKUP(B90,'Tipos de Defeitos'!B91:E193,Menu!$B$24+1,)</f>
        <v>Bobina Baixa A</v>
      </c>
      <c r="D90" s="212"/>
      <c r="E90" s="212"/>
      <c r="F90" s="212"/>
      <c r="G90" s="212"/>
      <c r="H90" s="212"/>
      <c r="I90" s="212"/>
      <c r="J90" s="212"/>
      <c r="K90" s="212"/>
      <c r="L90" s="217"/>
      <c r="M90" s="217"/>
      <c r="N90" s="217"/>
      <c r="O90" s="217"/>
      <c r="P90" s="217"/>
      <c r="Q90" s="217"/>
      <c r="R90" s="217"/>
      <c r="S90" s="217"/>
      <c r="T90" s="217"/>
      <c r="U90" s="217"/>
      <c r="V90" s="217"/>
      <c r="W90" s="217"/>
      <c r="X90" s="217"/>
      <c r="Y90" s="217"/>
      <c r="Z90" s="217"/>
      <c r="AA90" s="217"/>
      <c r="AB90" s="217"/>
      <c r="AC90" s="217"/>
      <c r="AD90" s="217"/>
      <c r="AE90" s="217"/>
      <c r="AF90" s="217"/>
      <c r="AG90" s="217"/>
      <c r="AH90" s="217"/>
      <c r="AI90" s="217"/>
      <c r="AJ90" s="217"/>
      <c r="AK90" s="217"/>
      <c r="AL90" s="217"/>
      <c r="AM90" s="217"/>
      <c r="AN90" s="217"/>
      <c r="AO90" s="217"/>
      <c r="AP90" s="217"/>
      <c r="AQ90" s="217"/>
      <c r="AR90" s="323"/>
      <c r="AS90" s="369">
        <f t="shared" si="77"/>
        <v>0</v>
      </c>
      <c r="AT90" s="409">
        <f>AS90+'UM-3 - L2 - Dia'!AS90</f>
        <v>0</v>
      </c>
    </row>
    <row r="91" spans="1:46">
      <c r="A91" s="545"/>
      <c r="B91" s="441">
        <f t="shared" si="19"/>
        <v>890</v>
      </c>
      <c r="C91" s="433" t="str">
        <f>VLOOKUP(B91,'Tipos de Defeitos'!B92:E194,Menu!$B$24+1,)</f>
        <v>Bobina Rachada</v>
      </c>
      <c r="D91" s="212"/>
      <c r="E91" s="212"/>
      <c r="F91" s="212"/>
      <c r="G91" s="212"/>
      <c r="H91" s="212"/>
      <c r="I91" s="212"/>
      <c r="J91" s="212"/>
      <c r="K91" s="212"/>
      <c r="L91" s="217"/>
      <c r="M91" s="217"/>
      <c r="N91" s="217"/>
      <c r="O91" s="217"/>
      <c r="P91" s="217"/>
      <c r="Q91" s="217"/>
      <c r="R91" s="217"/>
      <c r="S91" s="217"/>
      <c r="T91" s="217"/>
      <c r="U91" s="217"/>
      <c r="V91" s="217"/>
      <c r="W91" s="217"/>
      <c r="X91" s="217"/>
      <c r="Y91" s="217"/>
      <c r="Z91" s="217"/>
      <c r="AA91" s="217"/>
      <c r="AB91" s="217"/>
      <c r="AC91" s="217"/>
      <c r="AD91" s="217"/>
      <c r="AE91" s="217"/>
      <c r="AF91" s="217"/>
      <c r="AG91" s="217"/>
      <c r="AH91" s="217"/>
      <c r="AI91" s="217"/>
      <c r="AJ91" s="217"/>
      <c r="AK91" s="217"/>
      <c r="AL91" s="217"/>
      <c r="AM91" s="217"/>
      <c r="AN91" s="217"/>
      <c r="AO91" s="217"/>
      <c r="AP91" s="217"/>
      <c r="AQ91" s="217"/>
      <c r="AR91" s="323"/>
      <c r="AS91" s="369">
        <f t="shared" si="77"/>
        <v>0</v>
      </c>
      <c r="AT91" s="409">
        <f>AS91+'UM-3 - L2 - Dia'!AS91</f>
        <v>0</v>
      </c>
    </row>
    <row r="92" spans="1:46">
      <c r="A92" s="545"/>
      <c r="B92" s="441">
        <f t="shared" si="19"/>
        <v>900</v>
      </c>
      <c r="C92" s="433" t="str">
        <f>VLOOKUP(B92,'Tipos de Defeitos'!B93:E195,Menu!$B$24+1,)</f>
        <v>Emenda de Papel</v>
      </c>
      <c r="D92" s="302"/>
      <c r="E92" s="302"/>
      <c r="F92" s="302"/>
      <c r="G92" s="302"/>
      <c r="H92" s="212"/>
      <c r="I92" s="212"/>
      <c r="J92" s="212"/>
      <c r="K92" s="212"/>
      <c r="L92" s="217"/>
      <c r="M92" s="217"/>
      <c r="N92" s="217"/>
      <c r="O92" s="217"/>
      <c r="P92" s="217"/>
      <c r="Q92" s="217"/>
      <c r="R92" s="217"/>
      <c r="S92" s="217"/>
      <c r="T92" s="356"/>
      <c r="U92" s="356"/>
      <c r="V92" s="356"/>
      <c r="W92" s="356"/>
      <c r="X92" s="356"/>
      <c r="Y92" s="356"/>
      <c r="Z92" s="356"/>
      <c r="AA92" s="356"/>
      <c r="AB92" s="217"/>
      <c r="AC92" s="217"/>
      <c r="AD92" s="217"/>
      <c r="AE92" s="217"/>
      <c r="AF92" s="217"/>
      <c r="AG92" s="217"/>
      <c r="AH92" s="217"/>
      <c r="AI92" s="217"/>
      <c r="AJ92" s="217"/>
      <c r="AK92" s="217"/>
      <c r="AL92" s="217"/>
      <c r="AM92" s="217"/>
      <c r="AN92" s="217"/>
      <c r="AO92" s="217"/>
      <c r="AP92" s="217"/>
      <c r="AQ92" s="217"/>
      <c r="AR92" s="323"/>
      <c r="AS92" s="369">
        <f t="shared" si="77"/>
        <v>0</v>
      </c>
      <c r="AT92" s="409">
        <f>AS92+'UM-3 - L2 - Dia'!AS92</f>
        <v>0</v>
      </c>
    </row>
    <row r="93" spans="1:46">
      <c r="A93" s="545"/>
      <c r="B93" s="441">
        <f t="shared" si="19"/>
        <v>910</v>
      </c>
      <c r="C93" s="433" t="str">
        <f>VLOOKUP(B93,'Tipos de Defeitos'!B94:E196,Menu!$B$24+1,)</f>
        <v>Carvão Quebrado A</v>
      </c>
      <c r="D93" s="302"/>
      <c r="E93" s="302"/>
      <c r="F93" s="302"/>
      <c r="G93" s="302"/>
      <c r="H93" s="212"/>
      <c r="I93" s="212"/>
      <c r="J93" s="212"/>
      <c r="K93" s="212"/>
      <c r="L93" s="217"/>
      <c r="M93" s="217"/>
      <c r="N93" s="217"/>
      <c r="O93" s="217"/>
      <c r="P93" s="217"/>
      <c r="Q93" s="217"/>
      <c r="R93" s="217"/>
      <c r="S93" s="217"/>
      <c r="T93" s="356"/>
      <c r="U93" s="356"/>
      <c r="V93" s="356"/>
      <c r="W93" s="356"/>
      <c r="X93" s="356"/>
      <c r="Y93" s="356"/>
      <c r="Z93" s="356"/>
      <c r="AA93" s="356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323"/>
      <c r="AS93" s="369">
        <f t="shared" si="77"/>
        <v>0</v>
      </c>
      <c r="AT93" s="409">
        <f>AS93+'UM-3 - L2 - Dia'!AS93</f>
        <v>0</v>
      </c>
    </row>
    <row r="94" spans="1:46">
      <c r="A94" s="545"/>
      <c r="B94" s="441">
        <f t="shared" si="19"/>
        <v>920</v>
      </c>
      <c r="C94" s="433" t="str">
        <f>VLOOKUP(B94,'Tipos de Defeitos'!B95:E197,Menu!$B$24+1,)</f>
        <v>Metade do Carvão</v>
      </c>
      <c r="D94" s="302"/>
      <c r="E94" s="302"/>
      <c r="F94" s="302"/>
      <c r="G94" s="302"/>
      <c r="H94" s="212"/>
      <c r="I94" s="212"/>
      <c r="J94" s="212"/>
      <c r="K94" s="212"/>
      <c r="L94" s="217"/>
      <c r="M94" s="217"/>
      <c r="N94" s="217"/>
      <c r="O94" s="217"/>
      <c r="P94" s="217"/>
      <c r="Q94" s="217"/>
      <c r="R94" s="217"/>
      <c r="S94" s="356"/>
      <c r="T94" s="356"/>
      <c r="U94" s="356"/>
      <c r="V94" s="356"/>
      <c r="W94" s="356"/>
      <c r="X94" s="356"/>
      <c r="Y94" s="356"/>
      <c r="Z94" s="356"/>
      <c r="AA94" s="356"/>
      <c r="AB94" s="217"/>
      <c r="AC94" s="217"/>
      <c r="AD94" s="217"/>
      <c r="AE94" s="217"/>
      <c r="AF94" s="217"/>
      <c r="AG94" s="217"/>
      <c r="AH94" s="217"/>
      <c r="AI94" s="217"/>
      <c r="AJ94" s="217"/>
      <c r="AK94" s="217"/>
      <c r="AL94" s="217"/>
      <c r="AM94" s="217"/>
      <c r="AN94" s="217"/>
      <c r="AO94" s="217"/>
      <c r="AP94" s="217"/>
      <c r="AQ94" s="217"/>
      <c r="AR94" s="323"/>
      <c r="AS94" s="369">
        <f t="shared" si="77"/>
        <v>0</v>
      </c>
      <c r="AT94" s="409">
        <f>AS94+'UM-3 - L2 - Dia'!AS94</f>
        <v>0</v>
      </c>
    </row>
    <row r="95" spans="1:46">
      <c r="A95" s="545"/>
      <c r="B95" s="441">
        <f t="shared" si="19"/>
        <v>930</v>
      </c>
      <c r="C95" s="433" t="str">
        <f>VLOOKUP(B95,'Tipos de Defeitos'!B96:E198,Menu!$B$24+1,)</f>
        <v>Carvão Frouxo</v>
      </c>
      <c r="D95" s="302"/>
      <c r="E95" s="302"/>
      <c r="F95" s="302"/>
      <c r="G95" s="302"/>
      <c r="H95" s="212"/>
      <c r="I95" s="212"/>
      <c r="J95" s="212"/>
      <c r="K95" s="212"/>
      <c r="L95" s="217"/>
      <c r="M95" s="217"/>
      <c r="N95" s="217"/>
      <c r="O95" s="217"/>
      <c r="P95" s="217"/>
      <c r="Q95" s="217"/>
      <c r="R95" s="217"/>
      <c r="S95" s="356"/>
      <c r="T95" s="356"/>
      <c r="U95" s="217"/>
      <c r="V95" s="356"/>
      <c r="W95" s="356"/>
      <c r="X95" s="356"/>
      <c r="Y95" s="356"/>
      <c r="Z95" s="356"/>
      <c r="AA95" s="356"/>
      <c r="AB95" s="217"/>
      <c r="AC95" s="217"/>
      <c r="AD95" s="217"/>
      <c r="AE95" s="217"/>
      <c r="AF95" s="217"/>
      <c r="AG95" s="217"/>
      <c r="AH95" s="217"/>
      <c r="AI95" s="217"/>
      <c r="AJ95" s="217"/>
      <c r="AK95" s="217"/>
      <c r="AL95" s="217"/>
      <c r="AM95" s="217"/>
      <c r="AN95" s="217"/>
      <c r="AO95" s="217"/>
      <c r="AP95" s="217"/>
      <c r="AQ95" s="217"/>
      <c r="AR95" s="323"/>
      <c r="AS95" s="369">
        <f t="shared" si="77"/>
        <v>0</v>
      </c>
      <c r="AT95" s="409">
        <f>AS95+'UM-3 - L2 - Dia'!AS95</f>
        <v>0</v>
      </c>
    </row>
    <row r="96" spans="1:46">
      <c r="A96" s="545"/>
      <c r="B96" s="441">
        <f t="shared" si="19"/>
        <v>940</v>
      </c>
      <c r="C96" s="433" t="str">
        <f>VLOOKUP(B96,'Tipos de Defeitos'!B97:E199,Menu!$B$24+1,)</f>
        <v>Tubo de Zinco Sujo</v>
      </c>
      <c r="D96" s="302"/>
      <c r="E96" s="302"/>
      <c r="F96" s="302"/>
      <c r="G96" s="302"/>
      <c r="H96" s="212"/>
      <c r="I96" s="212"/>
      <c r="J96" s="212"/>
      <c r="K96" s="212"/>
      <c r="L96" s="217"/>
      <c r="M96" s="217"/>
      <c r="N96" s="217"/>
      <c r="O96" s="217"/>
      <c r="P96" s="217"/>
      <c r="Q96" s="217"/>
      <c r="R96" s="217"/>
      <c r="S96" s="356"/>
      <c r="T96" s="356"/>
      <c r="U96" s="356"/>
      <c r="V96" s="356"/>
      <c r="W96" s="356"/>
      <c r="X96" s="356"/>
      <c r="Y96" s="356"/>
      <c r="Z96" s="356"/>
      <c r="AA96" s="356"/>
      <c r="AB96" s="217"/>
      <c r="AC96" s="217"/>
      <c r="AD96" s="217"/>
      <c r="AE96" s="217"/>
      <c r="AF96" s="217"/>
      <c r="AG96" s="217"/>
      <c r="AH96" s="217"/>
      <c r="AI96" s="217"/>
      <c r="AJ96" s="217"/>
      <c r="AK96" s="217"/>
      <c r="AL96" s="217"/>
      <c r="AM96" s="217"/>
      <c r="AN96" s="217"/>
      <c r="AO96" s="217"/>
      <c r="AP96" s="217"/>
      <c r="AQ96" s="217"/>
      <c r="AR96" s="323"/>
      <c r="AS96" s="369">
        <f t="shared" si="77"/>
        <v>0</v>
      </c>
      <c r="AT96" s="409">
        <f>AS96+'UM-3 - L2 - Dia'!AS96</f>
        <v>0</v>
      </c>
    </row>
    <row r="97" spans="1:46">
      <c r="A97" s="545"/>
      <c r="B97" s="441">
        <f t="shared" si="19"/>
        <v>950</v>
      </c>
      <c r="C97" s="433" t="str">
        <f>VLOOKUP(B97,'Tipos de Defeitos'!B98:E200,Menu!$B$24+1,)</f>
        <v>Contem estranho</v>
      </c>
      <c r="D97" s="212"/>
      <c r="E97" s="212"/>
      <c r="F97" s="212"/>
      <c r="G97" s="212"/>
      <c r="H97" s="212"/>
      <c r="I97" s="212"/>
      <c r="J97" s="212"/>
      <c r="K97" s="212"/>
      <c r="L97" s="217"/>
      <c r="M97" s="217"/>
      <c r="N97" s="217"/>
      <c r="O97" s="217"/>
      <c r="P97" s="217"/>
      <c r="Q97" s="217"/>
      <c r="R97" s="217"/>
      <c r="S97" s="217"/>
      <c r="T97" s="217"/>
      <c r="U97" s="217"/>
      <c r="V97" s="217"/>
      <c r="W97" s="217"/>
      <c r="X97" s="217"/>
      <c r="Y97" s="217"/>
      <c r="Z97" s="217"/>
      <c r="AA97" s="217"/>
      <c r="AB97" s="217"/>
      <c r="AC97" s="217"/>
      <c r="AD97" s="217"/>
      <c r="AE97" s="217"/>
      <c r="AF97" s="217"/>
      <c r="AG97" s="217"/>
      <c r="AH97" s="217"/>
      <c r="AI97" s="217"/>
      <c r="AJ97" s="217"/>
      <c r="AK97" s="217"/>
      <c r="AL97" s="217"/>
      <c r="AM97" s="217"/>
      <c r="AN97" s="217"/>
      <c r="AO97" s="217"/>
      <c r="AP97" s="217"/>
      <c r="AQ97" s="217"/>
      <c r="AR97" s="323"/>
      <c r="AS97" s="369">
        <f t="shared" si="77"/>
        <v>0</v>
      </c>
      <c r="AT97" s="409">
        <f>AS97+'UM-3 - L2 - Dia'!AS97</f>
        <v>0</v>
      </c>
    </row>
    <row r="98" spans="1:46">
      <c r="A98" s="545"/>
      <c r="B98" s="441">
        <f t="shared" si="19"/>
        <v>960</v>
      </c>
      <c r="C98" s="433" t="str">
        <f>VLOOKUP(B98,'Tipos de Defeitos'!B99:E201,Menu!$B$24+1,)</f>
        <v>Mistura seca</v>
      </c>
      <c r="D98" s="212"/>
      <c r="E98" s="212"/>
      <c r="F98" s="212"/>
      <c r="G98" s="212"/>
      <c r="H98" s="212"/>
      <c r="I98" s="212"/>
      <c r="J98" s="212"/>
      <c r="K98" s="212"/>
      <c r="L98" s="217"/>
      <c r="M98" s="217"/>
      <c r="N98" s="217"/>
      <c r="O98" s="217"/>
      <c r="P98" s="217"/>
      <c r="Q98" s="217"/>
      <c r="R98" s="217"/>
      <c r="S98" s="217"/>
      <c r="T98" s="217"/>
      <c r="U98" s="217"/>
      <c r="V98" s="217"/>
      <c r="W98" s="217"/>
      <c r="X98" s="217"/>
      <c r="Y98" s="217"/>
      <c r="Z98" s="217"/>
      <c r="AA98" s="217"/>
      <c r="AB98" s="217"/>
      <c r="AC98" s="217"/>
      <c r="AD98" s="217"/>
      <c r="AE98" s="217"/>
      <c r="AF98" s="217"/>
      <c r="AG98" s="217"/>
      <c r="AH98" s="217"/>
      <c r="AI98" s="217"/>
      <c r="AJ98" s="217"/>
      <c r="AK98" s="217"/>
      <c r="AL98" s="217"/>
      <c r="AM98" s="217"/>
      <c r="AN98" s="217"/>
      <c r="AO98" s="217"/>
      <c r="AP98" s="217"/>
      <c r="AQ98" s="217"/>
      <c r="AR98" s="323"/>
      <c r="AS98" s="369">
        <f t="shared" si="77"/>
        <v>0</v>
      </c>
      <c r="AT98" s="409">
        <f>AS98+'UM-3 - L2 - Dia'!AS98</f>
        <v>0</v>
      </c>
    </row>
    <row r="99" spans="1:46">
      <c r="A99" s="545"/>
      <c r="B99" s="441">
        <f t="shared" si="19"/>
        <v>970</v>
      </c>
      <c r="C99" s="433" t="str">
        <f>VLOOKUP(B99,'Tipos de Defeitos'!B100:E202,Menu!$B$24+1,)</f>
        <v>Bottom Plate Amassado</v>
      </c>
      <c r="D99" s="212"/>
      <c r="E99" s="212"/>
      <c r="F99" s="212"/>
      <c r="G99" s="212"/>
      <c r="H99" s="212"/>
      <c r="I99" s="212"/>
      <c r="J99" s="212"/>
      <c r="K99" s="212"/>
      <c r="L99" s="217"/>
      <c r="M99" s="217"/>
      <c r="N99" s="217"/>
      <c r="O99" s="217"/>
      <c r="P99" s="217"/>
      <c r="Q99" s="217"/>
      <c r="R99" s="217"/>
      <c r="S99" s="217"/>
      <c r="T99" s="217"/>
      <c r="U99" s="217"/>
      <c r="V99" s="217"/>
      <c r="W99" s="217"/>
      <c r="X99" s="217"/>
      <c r="Y99" s="217"/>
      <c r="Z99" s="217"/>
      <c r="AA99" s="217"/>
      <c r="AB99" s="217"/>
      <c r="AC99" s="217"/>
      <c r="AD99" s="217"/>
      <c r="AE99" s="217"/>
      <c r="AF99" s="217"/>
      <c r="AG99" s="217"/>
      <c r="AH99" s="217"/>
      <c r="AI99" s="217"/>
      <c r="AJ99" s="217"/>
      <c r="AK99" s="217"/>
      <c r="AL99" s="217"/>
      <c r="AM99" s="217"/>
      <c r="AN99" s="217"/>
      <c r="AO99" s="217"/>
      <c r="AP99" s="217"/>
      <c r="AQ99" s="217"/>
      <c r="AR99" s="323"/>
      <c r="AS99" s="369">
        <f t="shared" si="77"/>
        <v>0</v>
      </c>
      <c r="AT99" s="409">
        <f>AS99+'UM-3 - L2 - Dia'!AS99</f>
        <v>0</v>
      </c>
    </row>
    <row r="100" spans="1:46">
      <c r="A100" s="545"/>
      <c r="B100" s="441">
        <f t="shared" si="19"/>
        <v>980</v>
      </c>
      <c r="C100" s="433" t="str">
        <f>VLOOKUP(B100,'Tipos de Defeitos'!B101:E203,Menu!$B$24+1,)</f>
        <v>PVC Comprido</v>
      </c>
      <c r="D100" s="212"/>
      <c r="E100" s="212"/>
      <c r="F100" s="212"/>
      <c r="G100" s="212"/>
      <c r="H100" s="212"/>
      <c r="I100" s="212"/>
      <c r="J100" s="212"/>
      <c r="K100" s="212"/>
      <c r="L100" s="217"/>
      <c r="M100" s="217"/>
      <c r="N100" s="217"/>
      <c r="O100" s="217"/>
      <c r="P100" s="217"/>
      <c r="Q100" s="217"/>
      <c r="R100" s="217"/>
      <c r="S100" s="217"/>
      <c r="T100" s="217"/>
      <c r="U100" s="217"/>
      <c r="V100" s="217"/>
      <c r="W100" s="217"/>
      <c r="X100" s="217"/>
      <c r="Y100" s="217"/>
      <c r="Z100" s="217"/>
      <c r="AA100" s="217"/>
      <c r="AB100" s="217"/>
      <c r="AC100" s="217"/>
      <c r="AD100" s="217"/>
      <c r="AE100" s="217"/>
      <c r="AF100" s="217"/>
      <c r="AG100" s="217"/>
      <c r="AH100" s="217"/>
      <c r="AI100" s="217"/>
      <c r="AJ100" s="217"/>
      <c r="AK100" s="217"/>
      <c r="AL100" s="217"/>
      <c r="AM100" s="217"/>
      <c r="AN100" s="217"/>
      <c r="AO100" s="217"/>
      <c r="AP100" s="217"/>
      <c r="AQ100" s="217"/>
      <c r="AR100" s="323"/>
      <c r="AS100" s="369">
        <f t="shared" si="77"/>
        <v>0</v>
      </c>
      <c r="AT100" s="409">
        <f>AS100+'UM-3 - L2 - Dia'!AS100</f>
        <v>0</v>
      </c>
    </row>
    <row r="101" spans="1:46">
      <c r="A101" s="545"/>
      <c r="B101" s="441">
        <f t="shared" si="19"/>
        <v>990</v>
      </c>
      <c r="C101" s="433" t="str">
        <f>VLOOKUP(B101,'Tipos de Defeitos'!B102:E204,Menu!$B$24+1,)</f>
        <v>Causa Desconhecida - Amperagem</v>
      </c>
      <c r="D101" s="212"/>
      <c r="E101" s="212"/>
      <c r="F101" s="212"/>
      <c r="G101" s="212"/>
      <c r="H101" s="212"/>
      <c r="I101" s="212"/>
      <c r="J101" s="212"/>
      <c r="K101" s="212"/>
      <c r="L101" s="217"/>
      <c r="M101" s="217"/>
      <c r="N101" s="217"/>
      <c r="O101" s="217"/>
      <c r="P101" s="217"/>
      <c r="Q101" s="217"/>
      <c r="R101" s="217"/>
      <c r="S101" s="217"/>
      <c r="T101" s="217"/>
      <c r="U101" s="217"/>
      <c r="V101" s="217"/>
      <c r="W101" s="217"/>
      <c r="X101" s="217"/>
      <c r="Y101" s="217"/>
      <c r="Z101" s="217"/>
      <c r="AA101" s="217"/>
      <c r="AB101" s="217"/>
      <c r="AC101" s="217"/>
      <c r="AD101" s="217"/>
      <c r="AE101" s="217"/>
      <c r="AF101" s="217"/>
      <c r="AG101" s="217"/>
      <c r="AH101" s="217"/>
      <c r="AI101" s="217"/>
      <c r="AJ101" s="217"/>
      <c r="AK101" s="217"/>
      <c r="AL101" s="217"/>
      <c r="AM101" s="217"/>
      <c r="AN101" s="217"/>
      <c r="AO101" s="217"/>
      <c r="AP101" s="217"/>
      <c r="AQ101" s="217"/>
      <c r="AR101" s="323"/>
      <c r="AS101" s="369">
        <f t="shared" si="77"/>
        <v>0</v>
      </c>
      <c r="AT101" s="409">
        <f>AS101+'UM-3 - L2 - Dia'!AS101</f>
        <v>0</v>
      </c>
    </row>
    <row r="102" spans="1:46" ht="13.5" thickBot="1">
      <c r="A102" s="546"/>
      <c r="B102" s="444">
        <f t="shared" si="19"/>
        <v>1000</v>
      </c>
      <c r="C102" s="435" t="str">
        <f>VLOOKUP(B102,'Tipos de Defeitos'!B103:E205,Menu!$B$24+1,)</f>
        <v>Outros - Amperagem</v>
      </c>
      <c r="D102" s="224"/>
      <c r="E102" s="224"/>
      <c r="F102" s="224"/>
      <c r="G102" s="224"/>
      <c r="H102" s="224"/>
      <c r="I102" s="224"/>
      <c r="J102" s="224"/>
      <c r="K102" s="224"/>
      <c r="L102" s="225"/>
      <c r="M102" s="225"/>
      <c r="N102" s="225"/>
      <c r="O102" s="225"/>
      <c r="P102" s="225"/>
      <c r="Q102" s="225"/>
      <c r="R102" s="225"/>
      <c r="S102" s="225"/>
      <c r="T102" s="225"/>
      <c r="U102" s="225"/>
      <c r="V102" s="225"/>
      <c r="W102" s="225"/>
      <c r="X102" s="225"/>
      <c r="Y102" s="225"/>
      <c r="Z102" s="225"/>
      <c r="AA102" s="225"/>
      <c r="AB102" s="225"/>
      <c r="AC102" s="225"/>
      <c r="AD102" s="225"/>
      <c r="AE102" s="225"/>
      <c r="AF102" s="225"/>
      <c r="AG102" s="225"/>
      <c r="AH102" s="225"/>
      <c r="AI102" s="225"/>
      <c r="AJ102" s="225"/>
      <c r="AK102" s="225"/>
      <c r="AL102" s="225"/>
      <c r="AM102" s="225"/>
      <c r="AN102" s="225"/>
      <c r="AO102" s="225"/>
      <c r="AP102" s="225"/>
      <c r="AQ102" s="225"/>
      <c r="AR102" s="347"/>
      <c r="AS102" s="370">
        <f t="shared" si="77"/>
        <v>0</v>
      </c>
      <c r="AT102" s="410">
        <f>AS102+'UM-3 - L2 - Dia'!AS102</f>
        <v>0</v>
      </c>
    </row>
    <row r="103" spans="1:46">
      <c r="A103" s="547" t="s">
        <v>99</v>
      </c>
      <c r="B103" s="440">
        <f t="shared" si="19"/>
        <v>1010</v>
      </c>
      <c r="C103" s="437" t="str">
        <f>VLOOKUP(B103,'Tipos de Defeitos'!B104:E206,Menu!$B$24+1,)</f>
        <v>Total</v>
      </c>
      <c r="D103" s="231">
        <f t="shared" ref="D103:G103" si="78">SUM(D86:D102)</f>
        <v>0</v>
      </c>
      <c r="E103" s="231">
        <f t="shared" si="78"/>
        <v>0</v>
      </c>
      <c r="F103" s="231">
        <f t="shared" si="78"/>
        <v>0</v>
      </c>
      <c r="G103" s="231">
        <f t="shared" si="78"/>
        <v>0</v>
      </c>
      <c r="H103" s="231">
        <f t="shared" ref="H103:AR103" si="79">SUM(H86:H102)</f>
        <v>0</v>
      </c>
      <c r="I103" s="231">
        <f t="shared" si="79"/>
        <v>0</v>
      </c>
      <c r="J103" s="231">
        <f t="shared" ref="J103" si="80">SUM(J86:J102)</f>
        <v>0</v>
      </c>
      <c r="K103" s="231">
        <f t="shared" si="79"/>
        <v>0</v>
      </c>
      <c r="L103" s="231">
        <f t="shared" si="79"/>
        <v>0</v>
      </c>
      <c r="M103" s="231">
        <f t="shared" si="79"/>
        <v>0</v>
      </c>
      <c r="N103" s="231">
        <f t="shared" si="79"/>
        <v>0</v>
      </c>
      <c r="O103" s="231">
        <f t="shared" si="79"/>
        <v>0</v>
      </c>
      <c r="P103" s="231">
        <f t="shared" ref="P103" si="81">SUM(P86:P102)</f>
        <v>0</v>
      </c>
      <c r="Q103" s="231">
        <f t="shared" si="79"/>
        <v>0</v>
      </c>
      <c r="R103" s="231">
        <f t="shared" ref="R103" si="82">SUM(R86:R102)</f>
        <v>0</v>
      </c>
      <c r="S103" s="231">
        <f t="shared" si="79"/>
        <v>0</v>
      </c>
      <c r="T103" s="231">
        <f t="shared" si="79"/>
        <v>0</v>
      </c>
      <c r="U103" s="231">
        <f t="shared" si="79"/>
        <v>0</v>
      </c>
      <c r="V103" s="231">
        <f t="shared" si="79"/>
        <v>0</v>
      </c>
      <c r="W103" s="231">
        <f t="shared" si="79"/>
        <v>0</v>
      </c>
      <c r="X103" s="231">
        <f t="shared" si="79"/>
        <v>0</v>
      </c>
      <c r="Y103" s="231">
        <f t="shared" si="79"/>
        <v>0</v>
      </c>
      <c r="Z103" s="231">
        <f t="shared" ref="Z103" si="83">SUM(Z86:Z102)</f>
        <v>0</v>
      </c>
      <c r="AA103" s="231">
        <f t="shared" si="79"/>
        <v>0</v>
      </c>
      <c r="AB103" s="231">
        <f t="shared" si="79"/>
        <v>0</v>
      </c>
      <c r="AC103" s="231">
        <f t="shared" si="79"/>
        <v>0</v>
      </c>
      <c r="AD103" s="231">
        <f t="shared" si="79"/>
        <v>0</v>
      </c>
      <c r="AE103" s="231">
        <f t="shared" si="79"/>
        <v>0</v>
      </c>
      <c r="AF103" s="231">
        <f t="shared" si="79"/>
        <v>0</v>
      </c>
      <c r="AG103" s="231">
        <f t="shared" si="79"/>
        <v>0</v>
      </c>
      <c r="AH103" s="231">
        <f t="shared" si="79"/>
        <v>0</v>
      </c>
      <c r="AI103" s="231">
        <f t="shared" si="79"/>
        <v>0</v>
      </c>
      <c r="AJ103" s="231">
        <f t="shared" si="79"/>
        <v>0</v>
      </c>
      <c r="AK103" s="231">
        <f t="shared" si="79"/>
        <v>0</v>
      </c>
      <c r="AL103" s="231">
        <f t="shared" si="79"/>
        <v>0</v>
      </c>
      <c r="AM103" s="231">
        <f t="shared" si="79"/>
        <v>0</v>
      </c>
      <c r="AN103" s="231">
        <f t="shared" si="79"/>
        <v>0</v>
      </c>
      <c r="AO103" s="231">
        <f t="shared" si="79"/>
        <v>0</v>
      </c>
      <c r="AP103" s="231">
        <f t="shared" si="79"/>
        <v>0</v>
      </c>
      <c r="AQ103" s="231">
        <f t="shared" si="79"/>
        <v>0</v>
      </c>
      <c r="AR103" s="357">
        <f t="shared" si="79"/>
        <v>0</v>
      </c>
      <c r="AS103" s="375">
        <f t="shared" si="77"/>
        <v>0</v>
      </c>
      <c r="AT103" s="418">
        <f>AS103+'UM-3 - L2 - Dia'!AS103</f>
        <v>0</v>
      </c>
    </row>
    <row r="104" spans="1:46">
      <c r="A104" s="548"/>
      <c r="B104" s="441">
        <f t="shared" si="19"/>
        <v>1020</v>
      </c>
      <c r="C104" s="433" t="str">
        <f>VLOOKUP(B104,'Tipos de Defeitos'!B105:E207,Menu!$B$24+1,)</f>
        <v>Taxa defeituosa (ppm)</v>
      </c>
      <c r="D104" s="229" t="str">
        <f t="shared" ref="D104:G104" si="84">IF(D27&lt;&gt;0,D103/D27*D24/D22*1000000,"")</f>
        <v/>
      </c>
      <c r="E104" s="229" t="str">
        <f t="shared" si="84"/>
        <v/>
      </c>
      <c r="F104" s="229" t="str">
        <f t="shared" si="84"/>
        <v/>
      </c>
      <c r="G104" s="229" t="str">
        <f t="shared" si="84"/>
        <v/>
      </c>
      <c r="H104" s="229" t="str">
        <f t="shared" ref="H104" si="85">IF(H27&lt;&gt;0,H103/H27*H24/H22*1000000,"")</f>
        <v/>
      </c>
      <c r="I104" s="229" t="str">
        <f t="shared" ref="I104" si="86">IF(I27&lt;&gt;0,I103/I27*I24/I22*1000000,"")</f>
        <v/>
      </c>
      <c r="J104" s="229" t="str">
        <f t="shared" ref="J104" si="87">IF(J27&lt;&gt;0,J103/J27*J24/J22*1000000,"")</f>
        <v/>
      </c>
      <c r="K104" s="229" t="str">
        <f t="shared" ref="K104" si="88">IF(K27&lt;&gt;0,K103/K27*K24/K22*1000000,"")</f>
        <v/>
      </c>
      <c r="L104" s="229" t="str">
        <f t="shared" ref="L104" si="89">IF(L27&lt;&gt;0,L103/L27*L24/L22*1000000,"")</f>
        <v/>
      </c>
      <c r="M104" s="229" t="str">
        <f t="shared" ref="M104" si="90">IF(M27&lt;&gt;0,M103/M27*M24/M22*1000000,"")</f>
        <v/>
      </c>
      <c r="N104" s="229" t="str">
        <f t="shared" ref="N104" si="91">IF(N27&lt;&gt;0,N103/N27*N24/N22*1000000,"")</f>
        <v/>
      </c>
      <c r="O104" s="229" t="str">
        <f t="shared" ref="O104" si="92">IF(O27&lt;&gt;0,O103/O27*O24/O22*1000000,"")</f>
        <v/>
      </c>
      <c r="P104" s="229" t="str">
        <f t="shared" ref="P104" si="93">IF(P27&lt;&gt;0,P103/P27*P24/P22*1000000,"")</f>
        <v/>
      </c>
      <c r="Q104" s="229" t="str">
        <f t="shared" ref="Q104:R104" si="94">IF(Q27&lt;&gt;0,Q103/Q27*Q24/Q22*1000000,"")</f>
        <v/>
      </c>
      <c r="R104" s="229" t="str">
        <f t="shared" si="94"/>
        <v/>
      </c>
      <c r="S104" s="229" t="str">
        <f t="shared" ref="S104" si="95">IF(S27&lt;&gt;0,S103/S27*S24/S22*1000000,"")</f>
        <v/>
      </c>
      <c r="T104" s="229" t="str">
        <f t="shared" ref="T104" si="96">IF(T27&lt;&gt;0,T103/T27*T24/T22*1000000,"")</f>
        <v/>
      </c>
      <c r="U104" s="229" t="str">
        <f t="shared" ref="U104" si="97">IF(U27&lt;&gt;0,U103/U27*U24/U22*1000000,"")</f>
        <v/>
      </c>
      <c r="V104" s="229" t="str">
        <f t="shared" ref="V104" si="98">IF(V27&lt;&gt;0,V103/V27*V24/V22*1000000,"")</f>
        <v/>
      </c>
      <c r="W104" s="229" t="str">
        <f t="shared" ref="W104" si="99">IF(W27&lt;&gt;0,W103/W27*W24/W22*1000000,"")</f>
        <v/>
      </c>
      <c r="X104" s="229" t="str">
        <f t="shared" ref="X104" si="100">IF(X27&lt;&gt;0,X103/X27*X24/X22*1000000,"")</f>
        <v/>
      </c>
      <c r="Y104" s="229" t="str">
        <f t="shared" ref="Y104:Z104" si="101">IF(Y27&lt;&gt;0,Y103/Y27*Y24/Y22*1000000,"")</f>
        <v/>
      </c>
      <c r="Z104" s="229" t="str">
        <f t="shared" si="101"/>
        <v/>
      </c>
      <c r="AA104" s="229" t="str">
        <f t="shared" ref="AA104" si="102">IF(AA27&lt;&gt;0,AA103/AA27*AA24/AA22*1000000,"")</f>
        <v/>
      </c>
      <c r="AB104" s="229" t="str">
        <f t="shared" ref="AB104" si="103">IF(AB27&lt;&gt;0,AB103/AB27*AB24/AB22*1000000,"")</f>
        <v/>
      </c>
      <c r="AC104" s="229" t="str">
        <f t="shared" ref="AC104" si="104">IF(AC27&lt;&gt;0,AC103/AC27*AC24/AC22*1000000,"")</f>
        <v/>
      </c>
      <c r="AD104" s="229" t="str">
        <f t="shared" ref="AD104" si="105">IF(AD27&lt;&gt;0,AD103/AD27*AD24/AD22*1000000,"")</f>
        <v/>
      </c>
      <c r="AE104" s="229" t="str">
        <f t="shared" ref="AE104" si="106">IF(AE27&lt;&gt;0,AE103/AE27*AE24/AE22*1000000,"")</f>
        <v/>
      </c>
      <c r="AF104" s="229" t="str">
        <f t="shared" ref="AF104" si="107">IF(AF27&lt;&gt;0,AF103/AF27*AF24/AF22*1000000,"")</f>
        <v/>
      </c>
      <c r="AG104" s="229" t="str">
        <f t="shared" ref="AG104" si="108">IF(AG27&lt;&gt;0,AG103/AG27*AG24/AG22*1000000,"")</f>
        <v/>
      </c>
      <c r="AH104" s="229" t="str">
        <f t="shared" ref="AH104" si="109">IF(AH27&lt;&gt;0,AH103/AH27*AH24/AH22*1000000,"")</f>
        <v/>
      </c>
      <c r="AI104" s="229" t="str">
        <f t="shared" ref="AI104" si="110">IF(AI27&lt;&gt;0,AI103/AI27*AI24/AI22*1000000,"")</f>
        <v/>
      </c>
      <c r="AJ104" s="229" t="str">
        <f t="shared" ref="AJ104" si="111">IF(AJ27&lt;&gt;0,AJ103/AJ27*AJ24/AJ22*1000000,"")</f>
        <v/>
      </c>
      <c r="AK104" s="229" t="str">
        <f t="shared" ref="AK104" si="112">IF(AK27&lt;&gt;0,AK103/AK27*AK24/AK22*1000000,"")</f>
        <v/>
      </c>
      <c r="AL104" s="229" t="str">
        <f t="shared" ref="AL104" si="113">IF(AL27&lt;&gt;0,AL103/AL27*AL24/AL22*1000000,"")</f>
        <v/>
      </c>
      <c r="AM104" s="229" t="str">
        <f t="shared" ref="AM104" si="114">IF(AM27&lt;&gt;0,AM103/AM27*AM24/AM22*1000000,"")</f>
        <v/>
      </c>
      <c r="AN104" s="229" t="str">
        <f t="shared" ref="AN104" si="115">IF(AN27&lt;&gt;0,AN103/AN27*AN24/AN22*1000000,"")</f>
        <v/>
      </c>
      <c r="AO104" s="229" t="str">
        <f t="shared" ref="AO104" si="116">IF(AO27&lt;&gt;0,AO103/AO27*AO24/AO22*1000000,"")</f>
        <v/>
      </c>
      <c r="AP104" s="229" t="str">
        <f t="shared" ref="AP104" si="117">IF(AP27&lt;&gt;0,AP103/AP27*AP24/AP22*1000000,"")</f>
        <v/>
      </c>
      <c r="AQ104" s="229" t="str">
        <f t="shared" ref="AQ104" si="118">IF(AQ27&lt;&gt;0,AQ103/AQ27*AQ24/AQ22*1000000,"")</f>
        <v/>
      </c>
      <c r="AR104" s="358" t="str">
        <f t="shared" ref="AR104" si="119">IF(AR27&lt;&gt;0,AR103/AR27*AR24/AR22*1000000,"")</f>
        <v/>
      </c>
      <c r="AS104" s="383">
        <f>IF(AS103&gt;0,AS103/AS27*AS24/AS7*1000000,0)</f>
        <v>0</v>
      </c>
      <c r="AT104" s="419">
        <f>IF(AT103&gt;0,AT103/AT27*AT24/AT7*1000000,0)</f>
        <v>0</v>
      </c>
    </row>
    <row r="105" spans="1:46" ht="13.5" thickBot="1">
      <c r="A105" s="549"/>
      <c r="B105" s="442">
        <f t="shared" si="19"/>
        <v>1030</v>
      </c>
      <c r="C105" s="438" t="str">
        <f>VLOOKUP(B105,'Tipos de Defeitos'!B106:E208,Menu!$B$24+1,)</f>
        <v>Taxa Defeituosa Total (ppm)</v>
      </c>
      <c r="D105" s="237" t="str">
        <f t="shared" ref="D105:G105" si="120">IF(D27&gt;0,D24/D7*1000000,"")</f>
        <v/>
      </c>
      <c r="E105" s="237" t="str">
        <f t="shared" si="120"/>
        <v/>
      </c>
      <c r="F105" s="237" t="str">
        <f t="shared" si="120"/>
        <v/>
      </c>
      <c r="G105" s="237" t="str">
        <f t="shared" si="120"/>
        <v/>
      </c>
      <c r="H105" s="237" t="str">
        <f t="shared" ref="H105:AR105" si="121">IF(H27&gt;0,H24/H7*1000000,"")</f>
        <v/>
      </c>
      <c r="I105" s="237" t="str">
        <f t="shared" si="121"/>
        <v/>
      </c>
      <c r="J105" s="233" t="str">
        <f t="shared" si="121"/>
        <v/>
      </c>
      <c r="K105" s="237" t="str">
        <f t="shared" ref="K105" si="122">IF(K27&gt;0,K24/K7*1000000,"")</f>
        <v/>
      </c>
      <c r="L105" s="237" t="str">
        <f t="shared" si="121"/>
        <v/>
      </c>
      <c r="M105" s="237" t="str">
        <f t="shared" si="121"/>
        <v/>
      </c>
      <c r="N105" s="237" t="str">
        <f t="shared" si="121"/>
        <v/>
      </c>
      <c r="O105" s="237" t="str">
        <f t="shared" si="121"/>
        <v/>
      </c>
      <c r="P105" s="237" t="str">
        <f t="shared" ref="P105" si="123">IF(P27&gt;0,P24/P7*1000000,"")</f>
        <v/>
      </c>
      <c r="Q105" s="237" t="str">
        <f t="shared" si="121"/>
        <v/>
      </c>
      <c r="R105" s="237" t="str">
        <f t="shared" ref="R105" si="124">IF(R27&gt;0,R24/R7*1000000,"")</f>
        <v/>
      </c>
      <c r="S105" s="237" t="str">
        <f t="shared" si="121"/>
        <v/>
      </c>
      <c r="T105" s="237" t="str">
        <f t="shared" si="121"/>
        <v/>
      </c>
      <c r="U105" s="237" t="str">
        <f t="shared" si="121"/>
        <v/>
      </c>
      <c r="V105" s="237" t="str">
        <f t="shared" si="121"/>
        <v/>
      </c>
      <c r="W105" s="237" t="str">
        <f t="shared" si="121"/>
        <v/>
      </c>
      <c r="X105" s="237" t="str">
        <f t="shared" si="121"/>
        <v/>
      </c>
      <c r="Y105" s="237" t="str">
        <f t="shared" si="121"/>
        <v/>
      </c>
      <c r="Z105" s="237" t="str">
        <f t="shared" ref="Z105" si="125">IF(Z27&gt;0,Z24/Z7*1000000,"")</f>
        <v/>
      </c>
      <c r="AA105" s="237" t="str">
        <f t="shared" si="121"/>
        <v/>
      </c>
      <c r="AB105" s="237" t="str">
        <f t="shared" si="121"/>
        <v/>
      </c>
      <c r="AC105" s="233" t="str">
        <f t="shared" si="121"/>
        <v/>
      </c>
      <c r="AD105" s="237" t="str">
        <f t="shared" si="121"/>
        <v/>
      </c>
      <c r="AE105" s="237" t="str">
        <f t="shared" si="121"/>
        <v/>
      </c>
      <c r="AF105" s="237" t="str">
        <f t="shared" si="121"/>
        <v/>
      </c>
      <c r="AG105" s="237" t="str">
        <f t="shared" si="121"/>
        <v/>
      </c>
      <c r="AH105" s="237" t="str">
        <f t="shared" si="121"/>
        <v/>
      </c>
      <c r="AI105" s="237" t="str">
        <f t="shared" si="121"/>
        <v/>
      </c>
      <c r="AJ105" s="237" t="str">
        <f t="shared" si="121"/>
        <v/>
      </c>
      <c r="AK105" s="237" t="str">
        <f t="shared" si="121"/>
        <v/>
      </c>
      <c r="AL105" s="237" t="str">
        <f t="shared" si="121"/>
        <v/>
      </c>
      <c r="AM105" s="237" t="str">
        <f t="shared" si="121"/>
        <v/>
      </c>
      <c r="AN105" s="237" t="str">
        <f t="shared" si="121"/>
        <v/>
      </c>
      <c r="AO105" s="237" t="str">
        <f t="shared" si="121"/>
        <v/>
      </c>
      <c r="AP105" s="237" t="str">
        <f t="shared" si="121"/>
        <v/>
      </c>
      <c r="AQ105" s="237" t="str">
        <f t="shared" si="121"/>
        <v/>
      </c>
      <c r="AR105" s="359" t="str">
        <f t="shared" si="121"/>
        <v/>
      </c>
      <c r="AS105" s="384" t="str">
        <f>IF(AS24&gt;0,AS24/AS7*1000000,"")</f>
        <v/>
      </c>
      <c r="AT105" s="420" t="str">
        <f>IF(AT24&gt;0,AT24/AT7*1000000,"")</f>
        <v/>
      </c>
    </row>
    <row r="106" spans="1:46">
      <c r="C106" s="304" t="s">
        <v>260</v>
      </c>
      <c r="AQ106" s="269" t="s">
        <v>388</v>
      </c>
      <c r="AR106" s="269"/>
      <c r="AS106" s="269"/>
      <c r="AT106" s="269"/>
    </row>
    <row r="107" spans="1:46">
      <c r="AQ107" s="269"/>
      <c r="AR107" s="478" t="s">
        <v>389</v>
      </c>
      <c r="AS107" s="479" t="e">
        <f>AS78/AS27*AS24</f>
        <v>#DIV/0!</v>
      </c>
      <c r="AT107" s="479" t="e">
        <f>AT78/AT27*AT24</f>
        <v>#DIV/0!</v>
      </c>
    </row>
    <row r="108" spans="1:46">
      <c r="AQ108" s="269"/>
      <c r="AR108" s="478" t="s">
        <v>390</v>
      </c>
      <c r="AS108" s="479" t="e">
        <f>AS103/AS27*AS24</f>
        <v>#DIV/0!</v>
      </c>
      <c r="AT108" s="479" t="e">
        <f>AT103/AT27*AT24</f>
        <v>#DIV/0!</v>
      </c>
    </row>
    <row r="109" spans="1:46">
      <c r="AQ109" s="269"/>
      <c r="AR109" s="478" t="s">
        <v>391</v>
      </c>
      <c r="AS109" s="479" t="e">
        <f>AS81/AS27*AS24</f>
        <v>#DIV/0!</v>
      </c>
      <c r="AT109" s="479" t="e">
        <f>AT81/AT27*AT24</f>
        <v>#DIV/0!</v>
      </c>
    </row>
    <row r="110" spans="1:46">
      <c r="AQ110" s="269"/>
      <c r="AR110" s="478" t="s">
        <v>392</v>
      </c>
      <c r="AS110" s="479" t="e">
        <f>SUM(AS86:AS98)/AS27*AS24</f>
        <v>#DIV/0!</v>
      </c>
      <c r="AT110" s="479" t="e">
        <f>SUM(AT86:AT98)/AT27*AT24</f>
        <v>#DIV/0!</v>
      </c>
    </row>
  </sheetData>
  <sheetProtection algorithmName="SHA-512" hashValue="/4yJQJeGufAXCg1NexofNLGhs4OHlFyDmHcAGHcguev1Ywvt5HlMczb16Ev34jZIeP2PrPpLvzY5YV4jcOPKsg==" saltValue="KEi5HTxUhd02qpT+39dfIw==" spinCount="100000" sheet="1" objects="1" scenarios="1" selectLockedCells="1"/>
  <mergeCells count="7">
    <mergeCell ref="A86:A102"/>
    <mergeCell ref="A103:A105"/>
    <mergeCell ref="A3:A22"/>
    <mergeCell ref="A23:A27"/>
    <mergeCell ref="A28:A77"/>
    <mergeCell ref="A78:A82"/>
    <mergeCell ref="A83:A85"/>
  </mergeCells>
  <phoneticPr fontId="1" type="noConversion"/>
  <conditionalFormatting sqref="B3:C105 Z8:AT22 H28:AT105 I23:AT27 I3:AT7">
    <cfRule type="expression" dxfId="48" priority="496">
      <formula>MOD(ROW(),2)=0</formula>
    </cfRule>
  </conditionalFormatting>
  <conditionalFormatting sqref="I27:AT27">
    <cfRule type="expression" dxfId="47" priority="495">
      <formula>I$27&lt;&gt;(I$78+I$85)</formula>
    </cfRule>
  </conditionalFormatting>
  <conditionalFormatting sqref="Y8:Y22">
    <cfRule type="expression" dxfId="46" priority="451">
      <formula>MOD(ROW(),2)=0</formula>
    </cfRule>
  </conditionalFormatting>
  <conditionalFormatting sqref="H3:H7 H23:H27">
    <cfRule type="expression" dxfId="45" priority="449">
      <formula>MOD(ROW(),2)=0</formula>
    </cfRule>
  </conditionalFormatting>
  <conditionalFormatting sqref="H27">
    <cfRule type="expression" dxfId="44" priority="448">
      <formula>H$27&lt;&gt;(H$78+H$85)</formula>
    </cfRule>
  </conditionalFormatting>
  <conditionalFormatting sqref="D23:G105 G3:G7">
    <cfRule type="expression" dxfId="43" priority="400">
      <formula>MOD(ROW(),2)=0</formula>
    </cfRule>
  </conditionalFormatting>
  <conditionalFormatting sqref="D27:G27">
    <cfRule type="expression" dxfId="42" priority="399">
      <formula>D$27&lt;&gt;(D$78+D$85)</formula>
    </cfRule>
  </conditionalFormatting>
  <conditionalFormatting sqref="D3:F6 D7 F7">
    <cfRule type="expression" dxfId="41" priority="373">
      <formula>MOD(ROW(),2)=0</formula>
    </cfRule>
  </conditionalFormatting>
  <conditionalFormatting sqref="U8 U13:U21 U10:U11">
    <cfRule type="expression" dxfId="40" priority="240">
      <formula>MOD(ROW(),2)=0</formula>
    </cfRule>
  </conditionalFormatting>
  <conditionalFormatting sqref="U22">
    <cfRule type="expression" dxfId="39" priority="239">
      <formula>MOD(ROW(),2)=0</formula>
    </cfRule>
  </conditionalFormatting>
  <conditionalFormatting sqref="U12">
    <cfRule type="expression" dxfId="38" priority="238">
      <formula>MOD(ROW(),2)=0</formula>
    </cfRule>
  </conditionalFormatting>
  <conditionalFormatting sqref="U9">
    <cfRule type="expression" dxfId="37" priority="237">
      <formula>MOD(ROW(),2)=0</formula>
    </cfRule>
  </conditionalFormatting>
  <conditionalFormatting sqref="V8 V13:V21 V10:V11">
    <cfRule type="expression" dxfId="36" priority="236">
      <formula>MOD(ROW(),2)=0</formula>
    </cfRule>
  </conditionalFormatting>
  <conditionalFormatting sqref="V22">
    <cfRule type="expression" dxfId="35" priority="235">
      <formula>MOD(ROW(),2)=0</formula>
    </cfRule>
  </conditionalFormatting>
  <conditionalFormatting sqref="V12">
    <cfRule type="expression" dxfId="34" priority="234">
      <formula>MOD(ROW(),2)=0</formula>
    </cfRule>
  </conditionalFormatting>
  <conditionalFormatting sqref="V9">
    <cfRule type="expression" dxfId="33" priority="233">
      <formula>MOD(ROW(),2)=0</formula>
    </cfRule>
  </conditionalFormatting>
  <conditionalFormatting sqref="X8 X13:X21 X10:X11">
    <cfRule type="expression" dxfId="32" priority="228">
      <formula>MOD(ROW(),2)=0</formula>
    </cfRule>
  </conditionalFormatting>
  <conditionalFormatting sqref="X22">
    <cfRule type="expression" dxfId="31" priority="227">
      <formula>MOD(ROW(),2)=0</formula>
    </cfRule>
  </conditionalFormatting>
  <conditionalFormatting sqref="X12">
    <cfRule type="expression" dxfId="30" priority="226">
      <formula>MOD(ROW(),2)=0</formula>
    </cfRule>
  </conditionalFormatting>
  <conditionalFormatting sqref="X9">
    <cfRule type="expression" dxfId="29" priority="225">
      <formula>MOD(ROW(),2)=0</formula>
    </cfRule>
  </conditionalFormatting>
  <conditionalFormatting sqref="W8 W13:W21 W10:W11">
    <cfRule type="expression" dxfId="28" priority="224">
      <formula>MOD(ROW(),2)=0</formula>
    </cfRule>
  </conditionalFormatting>
  <conditionalFormatting sqref="W22">
    <cfRule type="expression" dxfId="27" priority="223">
      <formula>MOD(ROW(),2)=0</formula>
    </cfRule>
  </conditionalFormatting>
  <conditionalFormatting sqref="W12">
    <cfRule type="expression" dxfId="26" priority="222">
      <formula>MOD(ROW(),2)=0</formula>
    </cfRule>
  </conditionalFormatting>
  <conditionalFormatting sqref="W9">
    <cfRule type="expression" dxfId="25" priority="221">
      <formula>MOD(ROW(),2)=0</formula>
    </cfRule>
  </conditionalFormatting>
  <conditionalFormatting sqref="D22:S22">
    <cfRule type="expression" dxfId="24" priority="45">
      <formula>MOD(ROW(),2)=0</formula>
    </cfRule>
  </conditionalFormatting>
  <conditionalFormatting sqref="D8:S8 D10:S10 D14:S14 D16:S16 D18:S18 D20:S20">
    <cfRule type="expression" dxfId="23" priority="44">
      <formula>MOD(ROW(),2)=0</formula>
    </cfRule>
  </conditionalFormatting>
  <conditionalFormatting sqref="D12:S12">
    <cfRule type="expression" dxfId="22" priority="43">
      <formula>MOD(ROW(),2)=0</formula>
    </cfRule>
  </conditionalFormatting>
  <conditionalFormatting sqref="D11:S11 D13:S13 D15:S15 D17:S17 D19:S19">
    <cfRule type="expression" dxfId="21" priority="17">
      <formula>MOD(ROW(),2)=0</formula>
    </cfRule>
  </conditionalFormatting>
  <conditionalFormatting sqref="D9:S9">
    <cfRule type="expression" dxfId="20" priority="16">
      <formula>MOD(ROW(),2)=0</formula>
    </cfRule>
  </conditionalFormatting>
  <conditionalFormatting sqref="D21:S21">
    <cfRule type="expression" dxfId="19" priority="14">
      <formula>MOD(ROW(),2)=0</formula>
    </cfRule>
  </conditionalFormatting>
  <conditionalFormatting sqref="E7">
    <cfRule type="expression" dxfId="18" priority="13">
      <formula>MOD(ROW(),2)=0</formula>
    </cfRule>
  </conditionalFormatting>
  <conditionalFormatting sqref="T22">
    <cfRule type="expression" dxfId="17" priority="6">
      <formula>MOD(ROW(),2)=0</formula>
    </cfRule>
  </conditionalFormatting>
  <conditionalFormatting sqref="T8 T10 T14 T16 T18 T20">
    <cfRule type="expression" dxfId="16" priority="5">
      <formula>MOD(ROW(),2)=0</formula>
    </cfRule>
  </conditionalFormatting>
  <conditionalFormatting sqref="T12">
    <cfRule type="expression" dxfId="15" priority="4">
      <formula>MOD(ROW(),2)=0</formula>
    </cfRule>
  </conditionalFormatting>
  <conditionalFormatting sqref="T11 T13 T15 T17 T19">
    <cfRule type="expression" dxfId="14" priority="3">
      <formula>MOD(ROW(),2)=0</formula>
    </cfRule>
  </conditionalFormatting>
  <conditionalFormatting sqref="T9">
    <cfRule type="expression" dxfId="13" priority="2">
      <formula>MOD(ROW(),2)=0</formula>
    </cfRule>
  </conditionalFormatting>
  <conditionalFormatting sqref="T21">
    <cfRule type="expression" dxfId="12" priority="1">
      <formula>MOD(ROW(),2)=0</formula>
    </cfRule>
  </conditionalFormatting>
  <dataValidations count="1">
    <dataValidation type="list" allowBlank="1" showInputMessage="1" showErrorMessage="1" sqref="D6:AR6" xr:uid="{00000000-0002-0000-0600-000000000000}">
      <formula1>PRODUTOS</formula1>
    </dataValidation>
  </dataValidations>
  <pageMargins left="0.19685039370078741" right="0.19685039370078741" top="1.1811023622047245" bottom="0.55118110236220474" header="0.70866141732283472" footer="0.31496062992125984"/>
  <pageSetup paperSize="12" scale="45" orientation="landscape" horizontalDpi="300" verticalDpi="300" r:id="rId1"/>
  <headerFooter alignWithMargins="0">
    <oddHeader xml:space="preserve">&amp;L&amp;"SwitzerlandBlack,Negrito"&amp;16Panasonic&amp;"SwitzerlandBlack,Regular"
&amp;"Arial,Normal"&amp;9PILHAS / BATERIAS
&amp;C&amp;14CONTROLE DE FALHAS DE V e A&amp;16
&amp;12 UM-3 - Linha: 1&amp;RMÊS /  ANO
Dezembro/2003
Pág.: &amp;P / &amp;N&amp;"ＭＳ ゴシック,Regular"&amp;11  </oddHeader>
    <oddFooter>&amp;LF-7.115 Rev 01 (PGQ-7.03)&amp;R&amp;A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btnMenu_Click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2"/>
  <dimension ref="A1:AA89"/>
  <sheetViews>
    <sheetView zoomScaleNormal="100" workbookViewId="0">
      <selection activeCell="M6" sqref="M6"/>
    </sheetView>
  </sheetViews>
  <sheetFormatPr defaultRowHeight="12.75"/>
  <cols>
    <col min="1" max="1" width="5" style="154" customWidth="1"/>
    <col min="2" max="2" width="5" bestFit="1" customWidth="1"/>
    <col min="3" max="3" width="31" bestFit="1" customWidth="1"/>
    <col min="4" max="10" width="10.140625" customWidth="1"/>
    <col min="11" max="11" width="1.7109375" customWidth="1"/>
    <col min="12" max="12" width="4.5703125" bestFit="1" customWidth="1"/>
    <col min="13" max="13" width="7.140625" bestFit="1" customWidth="1"/>
    <col min="14" max="14" width="6" bestFit="1" customWidth="1"/>
    <col min="15" max="15" width="7.140625" bestFit="1" customWidth="1"/>
    <col min="16" max="16" width="1.5703125" customWidth="1"/>
    <col min="17" max="17" width="4.5703125" style="154" bestFit="1" customWidth="1"/>
    <col min="18" max="18" width="5.140625" bestFit="1" customWidth="1"/>
    <col min="19" max="19" width="33.42578125" style="272" bestFit="1" customWidth="1"/>
    <col min="20" max="20" width="4.5703125" bestFit="1" customWidth="1"/>
    <col min="21" max="21" width="7.28515625" bestFit="1" customWidth="1"/>
  </cols>
  <sheetData>
    <row r="1" spans="1:27" ht="13.5" thickBot="1">
      <c r="B1" s="152"/>
      <c r="C1" s="152" t="s">
        <v>101</v>
      </c>
      <c r="D1" s="269" t="s">
        <v>272</v>
      </c>
      <c r="E1" s="169" t="s">
        <v>271</v>
      </c>
      <c r="F1" s="169" t="s">
        <v>264</v>
      </c>
      <c r="G1" s="169" t="s">
        <v>273</v>
      </c>
      <c r="H1" s="169" t="s">
        <v>274</v>
      </c>
      <c r="I1" s="169" t="s">
        <v>265</v>
      </c>
      <c r="J1" s="169" t="s">
        <v>275</v>
      </c>
    </row>
    <row r="2" spans="1:27">
      <c r="B2" s="178">
        <v>10</v>
      </c>
      <c r="C2" s="179" t="str">
        <f>VLOOKUP(B2,'Tipos de Defeitos'!B3:E105,Menu!$B$24+1,)</f>
        <v>Data da Montagem</v>
      </c>
      <c r="D2" s="179" t="s">
        <v>20</v>
      </c>
      <c r="E2" s="238" t="s">
        <v>20</v>
      </c>
      <c r="F2" s="289" t="s">
        <v>20</v>
      </c>
      <c r="G2" s="289" t="s">
        <v>20</v>
      </c>
      <c r="H2" s="289" t="s">
        <v>20</v>
      </c>
      <c r="I2" s="289" t="s">
        <v>20</v>
      </c>
      <c r="J2" s="350" t="s">
        <v>20</v>
      </c>
      <c r="K2" s="260"/>
      <c r="L2" s="261"/>
      <c r="M2" s="260"/>
      <c r="N2" s="261"/>
      <c r="O2" s="260"/>
      <c r="P2" s="261"/>
      <c r="Q2" s="260"/>
      <c r="R2" s="261"/>
      <c r="S2" s="273"/>
      <c r="T2" s="261"/>
      <c r="U2" s="260"/>
      <c r="Z2" t="s">
        <v>289</v>
      </c>
      <c r="AA2" s="459">
        <f>COUNTIF($W$12:$W$78,"&lt;1")+1</f>
        <v>1</v>
      </c>
    </row>
    <row r="3" spans="1:27">
      <c r="B3" s="181">
        <v>20</v>
      </c>
      <c r="C3" s="182" t="str">
        <f>VLOOKUP(B3,'Tipos de Defeitos'!B4:E106,Menu!$B$24+1,)</f>
        <v>Data do Acabamento</v>
      </c>
      <c r="D3" s="182"/>
      <c r="E3" s="182"/>
      <c r="F3" s="290"/>
      <c r="G3" s="290"/>
      <c r="H3" s="290"/>
      <c r="I3" s="290"/>
      <c r="J3" s="262"/>
      <c r="K3" s="260"/>
      <c r="L3" s="261"/>
      <c r="M3" s="260"/>
      <c r="N3" s="261"/>
      <c r="O3" s="260"/>
      <c r="P3" s="261"/>
      <c r="Q3" s="260"/>
      <c r="R3" s="261"/>
      <c r="S3" s="273"/>
      <c r="T3" s="261"/>
      <c r="U3" s="260"/>
      <c r="Z3" t="s">
        <v>290</v>
      </c>
      <c r="AA3" t="str">
        <f ca="1">OFFSET($S$12,0,0,COUNTIF($W$12:$W$78,"&lt;1")+1,1)</f>
        <v>Outros - Amperagem</v>
      </c>
    </row>
    <row r="4" spans="1:27">
      <c r="B4" s="181">
        <v>30</v>
      </c>
      <c r="C4" s="182" t="str">
        <f>VLOOKUP(B4,'Tipos de Defeitos'!B5:E107,Menu!$B$24+1,)</f>
        <v>Descanso:</v>
      </c>
      <c r="D4" s="182"/>
      <c r="E4" s="182"/>
      <c r="F4" s="290"/>
      <c r="G4" s="290"/>
      <c r="H4" s="290"/>
      <c r="I4" s="290"/>
      <c r="J4" s="262"/>
      <c r="K4" s="260"/>
      <c r="L4" s="261"/>
      <c r="M4" s="260"/>
      <c r="N4" s="261"/>
      <c r="O4" s="260"/>
      <c r="P4" s="261"/>
      <c r="Q4" s="260"/>
      <c r="R4" s="261"/>
      <c r="S4" s="273"/>
      <c r="T4" s="261"/>
      <c r="U4" s="260"/>
    </row>
    <row r="5" spans="1:27">
      <c r="B5" s="181">
        <v>40</v>
      </c>
      <c r="C5" s="182" t="str">
        <f>VLOOKUP(B5,'Tipos de Defeitos'!B6:E108,Menu!$B$24+1,)</f>
        <v>Modelo</v>
      </c>
      <c r="D5" s="182"/>
      <c r="E5" s="182"/>
      <c r="F5" s="290"/>
      <c r="G5" s="290"/>
      <c r="H5" s="290"/>
      <c r="I5" s="290"/>
      <c r="J5" s="262"/>
      <c r="K5" s="260"/>
      <c r="L5" s="261"/>
      <c r="M5" s="260"/>
      <c r="N5" s="261"/>
      <c r="O5" s="260"/>
      <c r="P5" s="261"/>
      <c r="Q5" s="260"/>
      <c r="R5" s="261"/>
      <c r="S5" s="273"/>
      <c r="T5" s="261"/>
      <c r="U5" s="260"/>
    </row>
    <row r="6" spans="1:27">
      <c r="B6" s="181">
        <v>50</v>
      </c>
      <c r="C6" s="182" t="str">
        <f>VLOOKUP(B6,'Tipos de Defeitos'!B7:E109,Menu!$B$24+1,)</f>
        <v>Qtd de Produção (pçs)</v>
      </c>
      <c r="D6" s="182">
        <f>'UM-3 - L1 - Dia'!$AS7</f>
        <v>0</v>
      </c>
      <c r="E6" s="182">
        <f>'UM-3 - L1 - Noite'!$AS7</f>
        <v>0</v>
      </c>
      <c r="F6" s="290">
        <f t="shared" ref="F6:F8" si="0">E6+D6</f>
        <v>0</v>
      </c>
      <c r="G6" s="290">
        <f>'UM-3 - L2 - Dia'!AS7</f>
        <v>0</v>
      </c>
      <c r="H6" s="290">
        <f>'UM-3 - L2 - Noite'!AS7</f>
        <v>0</v>
      </c>
      <c r="I6" s="290">
        <f>G6+H6</f>
        <v>0</v>
      </c>
      <c r="J6" s="262">
        <f>I6+F6</f>
        <v>0</v>
      </c>
      <c r="K6" s="260"/>
      <c r="L6" s="261"/>
      <c r="M6" s="260"/>
      <c r="N6" s="261"/>
      <c r="O6" s="260"/>
      <c r="P6" s="261"/>
      <c r="Q6" s="260"/>
      <c r="R6" s="261"/>
      <c r="S6" s="273"/>
      <c r="T6" s="261"/>
      <c r="U6" s="260"/>
    </row>
    <row r="7" spans="1:27">
      <c r="B7" s="181">
        <v>210</v>
      </c>
      <c r="C7" s="182" t="str">
        <f>VLOOKUP(B7,'Tipos de Defeitos'!B8:E110,Menu!$B$24+1,)</f>
        <v>Qtd. Retestada (pçs)</v>
      </c>
      <c r="D7" s="293">
        <f>'UM-3 - L1 - Dia'!$AS23</f>
        <v>0</v>
      </c>
      <c r="E7" s="293">
        <f>'UM-3 - L1 - Noite'!$AS23</f>
        <v>0</v>
      </c>
      <c r="F7" s="290">
        <f t="shared" si="0"/>
        <v>0</v>
      </c>
      <c r="G7" s="445">
        <f>'UM-3 - L2 - Dia'!AS23</f>
        <v>0</v>
      </c>
      <c r="H7" s="445">
        <f>'UM-3 - L2 - Noite'!AS23</f>
        <v>0</v>
      </c>
      <c r="I7" s="290">
        <f t="shared" ref="I7:I8" si="1">G7+H7</f>
        <v>0</v>
      </c>
      <c r="J7" s="262">
        <f>I7+F7</f>
        <v>0</v>
      </c>
      <c r="K7" s="260"/>
      <c r="L7" s="261"/>
      <c r="M7" s="260"/>
      <c r="N7" s="261"/>
      <c r="O7" s="260"/>
      <c r="P7" s="261"/>
      <c r="Q7" s="260"/>
      <c r="R7" s="261"/>
      <c r="S7" s="273"/>
      <c r="T7" s="261"/>
      <c r="U7" s="260"/>
    </row>
    <row r="8" spans="1:27">
      <c r="B8" s="181">
        <v>220</v>
      </c>
      <c r="C8" s="182" t="str">
        <f>VLOOKUP(B8,'Tipos de Defeitos'!B9:E111,Menu!$B$24+1,)</f>
        <v>Defeitos (Qty)</v>
      </c>
      <c r="D8" s="293">
        <f>'UM-3 - L1 - Dia'!$AS24</f>
        <v>0</v>
      </c>
      <c r="E8" s="293">
        <f>'UM-3 - L1 - Noite'!$AS24</f>
        <v>0</v>
      </c>
      <c r="F8" s="290">
        <f t="shared" si="0"/>
        <v>0</v>
      </c>
      <c r="G8" s="446">
        <f>'UM-3 - L2 - Dia'!AS24</f>
        <v>0</v>
      </c>
      <c r="H8" s="446">
        <f>'UM-3 - L2 - Noite'!AS24</f>
        <v>0</v>
      </c>
      <c r="I8" s="290">
        <f t="shared" si="1"/>
        <v>0</v>
      </c>
      <c r="J8" s="262">
        <f>I8+F8</f>
        <v>0</v>
      </c>
      <c r="K8" s="260"/>
      <c r="L8" s="261"/>
      <c r="M8" s="260"/>
      <c r="N8" s="261"/>
      <c r="O8" s="260"/>
      <c r="P8" s="261"/>
      <c r="Q8" s="260"/>
      <c r="R8" s="261"/>
      <c r="S8" s="273"/>
      <c r="T8" s="261"/>
      <c r="U8" s="260"/>
    </row>
    <row r="9" spans="1:27" ht="13.5" thickBot="1">
      <c r="B9" s="249">
        <v>230</v>
      </c>
      <c r="C9" s="201" t="str">
        <f>VLOOKUP(B9,'Tipos de Defeitos'!B10:E112,Menu!$B$24+1,)</f>
        <v>Voltagem (Moda)</v>
      </c>
      <c r="D9" s="296"/>
      <c r="E9" s="296"/>
      <c r="F9" s="246"/>
      <c r="G9" s="246"/>
      <c r="H9" s="246"/>
      <c r="I9" s="246"/>
      <c r="J9" s="355"/>
      <c r="K9" s="260"/>
      <c r="L9" s="261"/>
      <c r="M9" s="260"/>
      <c r="N9" s="261"/>
      <c r="O9" s="260"/>
      <c r="P9" s="261"/>
      <c r="Q9" s="260"/>
      <c r="R9" s="261"/>
      <c r="S9" s="273"/>
      <c r="T9" s="261"/>
      <c r="U9" s="260"/>
    </row>
    <row r="10" spans="1:27" ht="13.5" thickBot="1">
      <c r="B10" s="266">
        <v>240</v>
      </c>
      <c r="C10" s="267" t="str">
        <f>VLOOKUP(B10,'Tipos de Defeitos'!B11:E113,Menu!$B$24+1,)</f>
        <v>Voltagem (ajustada)</v>
      </c>
      <c r="D10" s="297"/>
      <c r="E10" s="297"/>
      <c r="F10" s="291"/>
      <c r="G10" s="291"/>
      <c r="H10" s="291"/>
      <c r="I10" s="291"/>
      <c r="J10" s="447"/>
      <c r="K10" s="260"/>
      <c r="L10" s="554" t="s">
        <v>95</v>
      </c>
      <c r="M10" s="555"/>
      <c r="N10" s="555"/>
      <c r="O10" s="556"/>
      <c r="P10" s="261"/>
      <c r="Q10" s="554" t="s">
        <v>99</v>
      </c>
      <c r="R10" s="555"/>
      <c r="S10" s="555"/>
      <c r="T10" s="555"/>
      <c r="U10" s="556"/>
    </row>
    <row r="11" spans="1:27">
      <c r="A11" s="154" t="s">
        <v>96</v>
      </c>
      <c r="B11" s="178">
        <v>250</v>
      </c>
      <c r="C11" s="179" t="str">
        <f>VLOOKUP(B11,'Tipos de Defeitos'!B12:E114,Menu!$B$24+1,)</f>
        <v>Qtd. Analisada (pçs)</v>
      </c>
      <c r="D11" s="294">
        <f>'UM-3 - L1 - Dia'!$AS27</f>
        <v>0</v>
      </c>
      <c r="E11" s="294">
        <f>'UM-3 - L1 - Noite'!$AS27</f>
        <v>0</v>
      </c>
      <c r="F11" s="289">
        <f t="shared" ref="F11:F74" si="2">E11+D11</f>
        <v>0</v>
      </c>
      <c r="G11" s="289">
        <f>'UM-3 - L2 - Dia'!AS27</f>
        <v>0</v>
      </c>
      <c r="H11" s="289">
        <f>'UM-3 - L2 - Noite'!AS27</f>
        <v>0</v>
      </c>
      <c r="I11" s="289">
        <f t="shared" ref="I11:I74" si="3">G11+H11</f>
        <v>0</v>
      </c>
      <c r="J11" s="262">
        <f>I11+F11</f>
        <v>0</v>
      </c>
      <c r="K11" s="260"/>
      <c r="L11" s="247" t="s">
        <v>93</v>
      </c>
      <c r="M11" s="258" t="s">
        <v>91</v>
      </c>
      <c r="N11" s="259" t="s">
        <v>92</v>
      </c>
      <c r="O11" s="265" t="s">
        <v>94</v>
      </c>
      <c r="P11" s="261"/>
      <c r="Q11" s="248" t="s">
        <v>93</v>
      </c>
      <c r="R11" s="259" t="s">
        <v>85</v>
      </c>
      <c r="S11" s="274" t="s">
        <v>50</v>
      </c>
      <c r="T11" s="259" t="s">
        <v>100</v>
      </c>
      <c r="U11" s="265" t="s">
        <v>78</v>
      </c>
      <c r="V11" s="169" t="s">
        <v>262</v>
      </c>
      <c r="W11" s="169" t="s">
        <v>263</v>
      </c>
      <c r="X11" s="169" t="s">
        <v>270</v>
      </c>
    </row>
    <row r="12" spans="1:27">
      <c r="A12" s="154">
        <v>1</v>
      </c>
      <c r="B12" s="181">
        <v>260</v>
      </c>
      <c r="C12" s="172" t="str">
        <f>VLOOKUP(B12,'Tipos de Defeitos'!B13:E115,Menu!$B$24+1,)</f>
        <v>Sem Papel Separador</v>
      </c>
      <c r="D12" s="295">
        <f>'UM-3 - L1 - Dia'!$AS28</f>
        <v>0</v>
      </c>
      <c r="E12" s="295">
        <f>'UM-3 - L1 - Noite'!$AS28</f>
        <v>0</v>
      </c>
      <c r="F12" s="290">
        <f t="shared" si="2"/>
        <v>0</v>
      </c>
      <c r="G12" s="290">
        <f>'UM-3 - L2 - Dia'!AS28</f>
        <v>0</v>
      </c>
      <c r="H12" s="290">
        <f>'UM-3 - L2 - Noite'!AS28</f>
        <v>0</v>
      </c>
      <c r="I12" s="290">
        <f t="shared" si="3"/>
        <v>0</v>
      </c>
      <c r="J12" s="262">
        <f t="shared" ref="J12:J75" si="4">I12+F12</f>
        <v>0</v>
      </c>
      <c r="K12" s="260"/>
      <c r="L12" s="270">
        <v>1</v>
      </c>
      <c r="M12" s="171">
        <f t="shared" ref="M12:M43" si="5">F12*1000+A12</f>
        <v>1</v>
      </c>
      <c r="N12" s="172">
        <f>LARGE(M$12:M$78,L12)</f>
        <v>67</v>
      </c>
      <c r="O12" s="262">
        <f>MATCH(N12,M$12:M$78,)</f>
        <v>67</v>
      </c>
      <c r="P12" s="269"/>
      <c r="Q12" s="181">
        <v>1</v>
      </c>
      <c r="R12" s="172">
        <f t="shared" ref="R12:R43" si="6">VLOOKUP($O12,$A$12:$J$78,2,0)</f>
        <v>1000</v>
      </c>
      <c r="S12" s="275" t="str">
        <f t="shared" ref="S12:S43" si="7">VLOOKUP($O12,$A$12:$J$78,3,0)</f>
        <v>Outros - Amperagem</v>
      </c>
      <c r="T12" s="172">
        <f t="shared" ref="T12:T43" si="8">VLOOKUP($O12,$A$12:$J$78,6,0)</f>
        <v>0</v>
      </c>
      <c r="U12" s="287">
        <f t="shared" ref="U12:U43" si="9">VLOOKUP($O12,$A$12:$J$78,7,0)</f>
        <v>0</v>
      </c>
      <c r="V12">
        <f>T12</f>
        <v>0</v>
      </c>
      <c r="W12" s="460" t="e">
        <f>V12/$V$78*100</f>
        <v>#DIV/0!</v>
      </c>
      <c r="X12" s="298" t="e">
        <f>IF(W12&lt;=80,U12,0)</f>
        <v>#DIV/0!</v>
      </c>
    </row>
    <row r="13" spans="1:27">
      <c r="A13" s="154">
        <v>2</v>
      </c>
      <c r="B13" s="181">
        <v>270</v>
      </c>
      <c r="C13" s="172" t="str">
        <f>VLOOKUP(B13,'Tipos de Defeitos'!B14:E116,Menu!$B$24+1,)</f>
        <v>Papel Separador Cortado</v>
      </c>
      <c r="D13" s="295">
        <f>'UM-3 - L1 - Dia'!$AS29</f>
        <v>0</v>
      </c>
      <c r="E13" s="295">
        <f>'UM-3 - L1 - Noite'!$AS29</f>
        <v>0</v>
      </c>
      <c r="F13" s="290">
        <f t="shared" si="2"/>
        <v>0</v>
      </c>
      <c r="G13" s="290">
        <f>'UM-3 - L2 - Dia'!AS29</f>
        <v>0</v>
      </c>
      <c r="H13" s="290">
        <f>'UM-3 - L2 - Noite'!AS29</f>
        <v>0</v>
      </c>
      <c r="I13" s="290">
        <f t="shared" si="3"/>
        <v>0</v>
      </c>
      <c r="J13" s="262">
        <f t="shared" si="4"/>
        <v>0</v>
      </c>
      <c r="K13" s="260"/>
      <c r="L13" s="270">
        <v>2</v>
      </c>
      <c r="M13" s="171">
        <f t="shared" si="5"/>
        <v>2</v>
      </c>
      <c r="N13" s="172">
        <f t="shared" ref="N13:N76" si="10">LARGE(M$12:M$78,L13)</f>
        <v>66</v>
      </c>
      <c r="O13" s="262">
        <f t="shared" ref="O13:O76" si="11">MATCH(N13,M$12:M$78,)</f>
        <v>66</v>
      </c>
      <c r="P13" s="269"/>
      <c r="Q13" s="181">
        <v>2</v>
      </c>
      <c r="R13" s="172">
        <f t="shared" si="6"/>
        <v>990</v>
      </c>
      <c r="S13" s="275" t="str">
        <f t="shared" si="7"/>
        <v>Causa Desconhecida - Amperagem</v>
      </c>
      <c r="T13" s="172">
        <f t="shared" si="8"/>
        <v>0</v>
      </c>
      <c r="U13" s="287">
        <f t="shared" si="9"/>
        <v>0</v>
      </c>
      <c r="V13">
        <f>T13+V12</f>
        <v>0</v>
      </c>
      <c r="W13" s="460" t="e">
        <f t="shared" ref="W13:W76" si="12">V13/$V$78*100</f>
        <v>#DIV/0!</v>
      </c>
      <c r="X13" s="298" t="e">
        <f t="shared" ref="X13:X76" si="13">IF(W13&lt;=80,U13,0)</f>
        <v>#DIV/0!</v>
      </c>
    </row>
    <row r="14" spans="1:27">
      <c r="A14" s="154">
        <v>3</v>
      </c>
      <c r="B14" s="181">
        <v>280</v>
      </c>
      <c r="C14" s="172" t="str">
        <f>VLOOKUP(B14,'Tipos de Defeitos'!B15:E117,Menu!$B$24+1,)</f>
        <v>Papel Separador Rasgado</v>
      </c>
      <c r="D14" s="295">
        <f>'UM-3 - L1 - Dia'!$AS30</f>
        <v>0</v>
      </c>
      <c r="E14" s="295">
        <f>'UM-3 - L1 - Noite'!$AS30</f>
        <v>0</v>
      </c>
      <c r="F14" s="290">
        <f t="shared" si="2"/>
        <v>0</v>
      </c>
      <c r="G14" s="290">
        <f>'UM-3 - L2 - Dia'!AS30</f>
        <v>0</v>
      </c>
      <c r="H14" s="290">
        <f>'UM-3 - L2 - Noite'!AS30</f>
        <v>0</v>
      </c>
      <c r="I14" s="290">
        <f t="shared" si="3"/>
        <v>0</v>
      </c>
      <c r="J14" s="262">
        <f t="shared" si="4"/>
        <v>0</v>
      </c>
      <c r="K14" s="260"/>
      <c r="L14" s="270">
        <v>3</v>
      </c>
      <c r="M14" s="171">
        <f t="shared" si="5"/>
        <v>3</v>
      </c>
      <c r="N14" s="172">
        <f t="shared" si="10"/>
        <v>65</v>
      </c>
      <c r="O14" s="262">
        <f t="shared" si="11"/>
        <v>65</v>
      </c>
      <c r="P14" s="269"/>
      <c r="Q14" s="181">
        <v>3</v>
      </c>
      <c r="R14" s="172">
        <f t="shared" si="6"/>
        <v>980</v>
      </c>
      <c r="S14" s="275" t="str">
        <f t="shared" si="7"/>
        <v>PVC Comprido</v>
      </c>
      <c r="T14" s="172">
        <f t="shared" si="8"/>
        <v>0</v>
      </c>
      <c r="U14" s="287">
        <f t="shared" si="9"/>
        <v>0</v>
      </c>
      <c r="V14">
        <f t="shared" ref="V14:V77" si="14">T14+V13</f>
        <v>0</v>
      </c>
      <c r="W14" s="460" t="e">
        <f t="shared" si="12"/>
        <v>#DIV/0!</v>
      </c>
      <c r="X14" s="298" t="e">
        <f t="shared" si="13"/>
        <v>#DIV/0!</v>
      </c>
    </row>
    <row r="15" spans="1:27">
      <c r="A15" s="154">
        <v>4</v>
      </c>
      <c r="B15" s="181">
        <v>290</v>
      </c>
      <c r="C15" s="172" t="str">
        <f>VLOOKUP(B15,'Tipos de Defeitos'!B16:E118,Menu!$B$24+1,)</f>
        <v>Papel Dobrado Sup.</v>
      </c>
      <c r="D15" s="295">
        <f>'UM-3 - L1 - Dia'!$AS31</f>
        <v>0</v>
      </c>
      <c r="E15" s="295">
        <f>'UM-3 - L1 - Noite'!$AS31</f>
        <v>0</v>
      </c>
      <c r="F15" s="290">
        <f t="shared" si="2"/>
        <v>0</v>
      </c>
      <c r="G15" s="290">
        <f>'UM-3 - L2 - Dia'!AS31</f>
        <v>0</v>
      </c>
      <c r="H15" s="290">
        <f>'UM-3 - L2 - Noite'!AS31</f>
        <v>0</v>
      </c>
      <c r="I15" s="290">
        <f t="shared" si="3"/>
        <v>0</v>
      </c>
      <c r="J15" s="262">
        <f t="shared" si="4"/>
        <v>0</v>
      </c>
      <c r="K15" s="260"/>
      <c r="L15" s="270">
        <v>4</v>
      </c>
      <c r="M15" s="171">
        <f t="shared" si="5"/>
        <v>4</v>
      </c>
      <c r="N15" s="172">
        <f t="shared" si="10"/>
        <v>64</v>
      </c>
      <c r="O15" s="262">
        <f t="shared" si="11"/>
        <v>64</v>
      </c>
      <c r="P15" s="269"/>
      <c r="Q15" s="181">
        <v>4</v>
      </c>
      <c r="R15" s="172">
        <f t="shared" si="6"/>
        <v>970</v>
      </c>
      <c r="S15" s="275" t="str">
        <f t="shared" si="7"/>
        <v>Bottom Plate Amassado</v>
      </c>
      <c r="T15" s="172">
        <f t="shared" si="8"/>
        <v>0</v>
      </c>
      <c r="U15" s="287">
        <f t="shared" si="9"/>
        <v>0</v>
      </c>
      <c r="V15">
        <f t="shared" si="14"/>
        <v>0</v>
      </c>
      <c r="W15" s="460" t="e">
        <f t="shared" si="12"/>
        <v>#DIV/0!</v>
      </c>
      <c r="X15" s="298" t="e">
        <f t="shared" si="13"/>
        <v>#DIV/0!</v>
      </c>
    </row>
    <row r="16" spans="1:27">
      <c r="A16" s="154">
        <v>5</v>
      </c>
      <c r="B16" s="181">
        <v>300</v>
      </c>
      <c r="C16" s="172" t="str">
        <f>VLOOKUP(B16,'Tipos de Defeitos'!B17:E119,Menu!$B$24+1,)</f>
        <v>Papel Dobrado Meio</v>
      </c>
      <c r="D16" s="295">
        <f>'UM-3 - L1 - Dia'!$AS32</f>
        <v>0</v>
      </c>
      <c r="E16" s="295">
        <f>'UM-3 - L1 - Noite'!$AS32</f>
        <v>0</v>
      </c>
      <c r="F16" s="290">
        <f t="shared" si="2"/>
        <v>0</v>
      </c>
      <c r="G16" s="290">
        <f>'UM-3 - L2 - Dia'!AS32</f>
        <v>0</v>
      </c>
      <c r="H16" s="290">
        <f>'UM-3 - L2 - Noite'!AS32</f>
        <v>0</v>
      </c>
      <c r="I16" s="290">
        <f t="shared" si="3"/>
        <v>0</v>
      </c>
      <c r="J16" s="262">
        <f t="shared" si="4"/>
        <v>0</v>
      </c>
      <c r="K16" s="260"/>
      <c r="L16" s="270">
        <v>5</v>
      </c>
      <c r="M16" s="171">
        <f t="shared" si="5"/>
        <v>5</v>
      </c>
      <c r="N16" s="172">
        <f t="shared" si="10"/>
        <v>63</v>
      </c>
      <c r="O16" s="262">
        <f t="shared" si="11"/>
        <v>63</v>
      </c>
      <c r="P16" s="269"/>
      <c r="Q16" s="181">
        <v>5</v>
      </c>
      <c r="R16" s="172">
        <f t="shared" si="6"/>
        <v>960</v>
      </c>
      <c r="S16" s="275" t="str">
        <f t="shared" si="7"/>
        <v>Mistura seca</v>
      </c>
      <c r="T16" s="172">
        <f t="shared" si="8"/>
        <v>0</v>
      </c>
      <c r="U16" s="287">
        <f t="shared" si="9"/>
        <v>0</v>
      </c>
      <c r="V16">
        <f t="shared" si="14"/>
        <v>0</v>
      </c>
      <c r="W16" s="460" t="e">
        <f t="shared" si="12"/>
        <v>#DIV/0!</v>
      </c>
      <c r="X16" s="298" t="e">
        <f t="shared" si="13"/>
        <v>#DIV/0!</v>
      </c>
    </row>
    <row r="17" spans="1:24">
      <c r="A17" s="154">
        <v>6</v>
      </c>
      <c r="B17" s="181">
        <v>310</v>
      </c>
      <c r="C17" s="172" t="str">
        <f>VLOOKUP(B17,'Tipos de Defeitos'!B18:E120,Menu!$B$24+1,)</f>
        <v>Papel Dobrado Inf.</v>
      </c>
      <c r="D17" s="295">
        <f>'UM-3 - L1 - Dia'!$AS33</f>
        <v>0</v>
      </c>
      <c r="E17" s="295">
        <f>'UM-3 - L1 - Noite'!$AS33</f>
        <v>0</v>
      </c>
      <c r="F17" s="290">
        <f t="shared" si="2"/>
        <v>0</v>
      </c>
      <c r="G17" s="290">
        <f>'UM-3 - L2 - Dia'!AS33</f>
        <v>0</v>
      </c>
      <c r="H17" s="290">
        <f>'UM-3 - L2 - Noite'!AS33</f>
        <v>0</v>
      </c>
      <c r="I17" s="290">
        <f t="shared" si="3"/>
        <v>0</v>
      </c>
      <c r="J17" s="262">
        <f t="shared" si="4"/>
        <v>0</v>
      </c>
      <c r="K17" s="260"/>
      <c r="L17" s="270">
        <v>6</v>
      </c>
      <c r="M17" s="171">
        <f t="shared" si="5"/>
        <v>6</v>
      </c>
      <c r="N17" s="172">
        <f t="shared" si="10"/>
        <v>62</v>
      </c>
      <c r="O17" s="262">
        <f t="shared" si="11"/>
        <v>62</v>
      </c>
      <c r="P17" s="269"/>
      <c r="Q17" s="181">
        <v>6</v>
      </c>
      <c r="R17" s="172">
        <f t="shared" si="6"/>
        <v>950</v>
      </c>
      <c r="S17" s="275" t="str">
        <f t="shared" si="7"/>
        <v>Contem estranho</v>
      </c>
      <c r="T17" s="172">
        <f t="shared" si="8"/>
        <v>0</v>
      </c>
      <c r="U17" s="287">
        <f t="shared" si="9"/>
        <v>0</v>
      </c>
      <c r="V17">
        <f t="shared" si="14"/>
        <v>0</v>
      </c>
      <c r="W17" s="460" t="e">
        <f t="shared" si="12"/>
        <v>#DIV/0!</v>
      </c>
      <c r="X17" s="298" t="e">
        <f t="shared" si="13"/>
        <v>#DIV/0!</v>
      </c>
    </row>
    <row r="18" spans="1:24">
      <c r="A18" s="154">
        <v>7</v>
      </c>
      <c r="B18" s="181">
        <v>320</v>
      </c>
      <c r="C18" s="172" t="str">
        <f>VLOOKUP(B18,'Tipos de Defeitos'!B19:E121,Menu!$B$24+1,)</f>
        <v>Papel Afundado</v>
      </c>
      <c r="D18" s="295">
        <f>'UM-3 - L1 - Dia'!$AS34</f>
        <v>0</v>
      </c>
      <c r="E18" s="295">
        <f>'UM-3 - L1 - Noite'!$AS34</f>
        <v>0</v>
      </c>
      <c r="F18" s="290">
        <f t="shared" si="2"/>
        <v>0</v>
      </c>
      <c r="G18" s="290">
        <f>'UM-3 - L2 - Dia'!AS34</f>
        <v>0</v>
      </c>
      <c r="H18" s="290">
        <f>'UM-3 - L2 - Noite'!AS34</f>
        <v>0</v>
      </c>
      <c r="I18" s="290">
        <f t="shared" si="3"/>
        <v>0</v>
      </c>
      <c r="J18" s="262">
        <f t="shared" si="4"/>
        <v>0</v>
      </c>
      <c r="K18" s="260"/>
      <c r="L18" s="270">
        <v>7</v>
      </c>
      <c r="M18" s="171">
        <f t="shared" si="5"/>
        <v>7</v>
      </c>
      <c r="N18" s="172">
        <f t="shared" si="10"/>
        <v>61</v>
      </c>
      <c r="O18" s="262">
        <f t="shared" si="11"/>
        <v>61</v>
      </c>
      <c r="P18" s="269"/>
      <c r="Q18" s="181">
        <v>7</v>
      </c>
      <c r="R18" s="172">
        <f t="shared" si="6"/>
        <v>940</v>
      </c>
      <c r="S18" s="275" t="str">
        <f t="shared" si="7"/>
        <v>Tubo de Zinco Sujo</v>
      </c>
      <c r="T18" s="172">
        <f t="shared" si="8"/>
        <v>0</v>
      </c>
      <c r="U18" s="287">
        <f t="shared" si="9"/>
        <v>0</v>
      </c>
      <c r="V18">
        <f t="shared" si="14"/>
        <v>0</v>
      </c>
      <c r="W18" s="460" t="e">
        <f t="shared" si="12"/>
        <v>#DIV/0!</v>
      </c>
      <c r="X18" s="298" t="e">
        <f t="shared" si="13"/>
        <v>#DIV/0!</v>
      </c>
    </row>
    <row r="19" spans="1:24">
      <c r="A19" s="154">
        <v>8</v>
      </c>
      <c r="B19" s="181">
        <v>330</v>
      </c>
      <c r="C19" s="172" t="str">
        <f>VLOOKUP(B19,'Tipos de Defeitos'!B20:E122,Menu!$B$24+1,)</f>
        <v>Papel Deslocado</v>
      </c>
      <c r="D19" s="295">
        <f>'UM-3 - L1 - Dia'!$AS35</f>
        <v>0</v>
      </c>
      <c r="E19" s="295">
        <f>'UM-3 - L1 - Noite'!$AS35</f>
        <v>0</v>
      </c>
      <c r="F19" s="290">
        <f t="shared" si="2"/>
        <v>0</v>
      </c>
      <c r="G19" s="290">
        <f>'UM-3 - L2 - Dia'!AS35</f>
        <v>0</v>
      </c>
      <c r="H19" s="290">
        <f>'UM-3 - L2 - Noite'!AS35</f>
        <v>0</v>
      </c>
      <c r="I19" s="290">
        <f t="shared" si="3"/>
        <v>0</v>
      </c>
      <c r="J19" s="262">
        <f t="shared" si="4"/>
        <v>0</v>
      </c>
      <c r="K19" s="260"/>
      <c r="L19" s="270">
        <v>8</v>
      </c>
      <c r="M19" s="171">
        <f t="shared" si="5"/>
        <v>8</v>
      </c>
      <c r="N19" s="172">
        <f t="shared" si="10"/>
        <v>60</v>
      </c>
      <c r="O19" s="262">
        <f t="shared" si="11"/>
        <v>60</v>
      </c>
      <c r="P19" s="269"/>
      <c r="Q19" s="181">
        <v>8</v>
      </c>
      <c r="R19" s="172">
        <f t="shared" si="6"/>
        <v>930</v>
      </c>
      <c r="S19" s="275" t="str">
        <f t="shared" si="7"/>
        <v>Carvão Frouxo</v>
      </c>
      <c r="T19" s="172">
        <f t="shared" si="8"/>
        <v>0</v>
      </c>
      <c r="U19" s="287">
        <f t="shared" si="9"/>
        <v>0</v>
      </c>
      <c r="V19">
        <f t="shared" si="14"/>
        <v>0</v>
      </c>
      <c r="W19" s="460" t="e">
        <f t="shared" si="12"/>
        <v>#DIV/0!</v>
      </c>
      <c r="X19" s="298" t="e">
        <f t="shared" si="13"/>
        <v>#DIV/0!</v>
      </c>
    </row>
    <row r="20" spans="1:24">
      <c r="A20" s="154">
        <v>9</v>
      </c>
      <c r="B20" s="181">
        <v>340</v>
      </c>
      <c r="C20" s="172" t="str">
        <f>VLOOKUP(B20,'Tipos de Defeitos'!B21:E123,Menu!$B$24+1,)</f>
        <v>Papel menor</v>
      </c>
      <c r="D20" s="295">
        <f>'UM-3 - L1 - Dia'!$AS36</f>
        <v>0</v>
      </c>
      <c r="E20" s="295">
        <f>'UM-3 - L1 - Noite'!$AS36</f>
        <v>0</v>
      </c>
      <c r="F20" s="290">
        <f t="shared" si="2"/>
        <v>0</v>
      </c>
      <c r="G20" s="290">
        <f>'UM-3 - L2 - Dia'!AS36</f>
        <v>0</v>
      </c>
      <c r="H20" s="290">
        <f>'UM-3 - L2 - Noite'!AS36</f>
        <v>0</v>
      </c>
      <c r="I20" s="290">
        <f t="shared" si="3"/>
        <v>0</v>
      </c>
      <c r="J20" s="262">
        <f t="shared" si="4"/>
        <v>0</v>
      </c>
      <c r="K20" s="260"/>
      <c r="L20" s="270">
        <v>9</v>
      </c>
      <c r="M20" s="171">
        <f t="shared" si="5"/>
        <v>9</v>
      </c>
      <c r="N20" s="172">
        <f t="shared" si="10"/>
        <v>59</v>
      </c>
      <c r="O20" s="262">
        <f t="shared" si="11"/>
        <v>59</v>
      </c>
      <c r="P20" s="269"/>
      <c r="Q20" s="181">
        <v>9</v>
      </c>
      <c r="R20" s="172">
        <f t="shared" si="6"/>
        <v>920</v>
      </c>
      <c r="S20" s="275" t="str">
        <f t="shared" si="7"/>
        <v>Metade do Carvão</v>
      </c>
      <c r="T20" s="172">
        <f t="shared" si="8"/>
        <v>0</v>
      </c>
      <c r="U20" s="287">
        <f t="shared" si="9"/>
        <v>0</v>
      </c>
      <c r="V20">
        <f t="shared" si="14"/>
        <v>0</v>
      </c>
      <c r="W20" s="460" t="e">
        <f t="shared" si="12"/>
        <v>#DIV/0!</v>
      </c>
      <c r="X20" s="298" t="e">
        <f t="shared" si="13"/>
        <v>#DIV/0!</v>
      </c>
    </row>
    <row r="21" spans="1:24">
      <c r="A21" s="154">
        <v>10</v>
      </c>
      <c r="B21" s="181">
        <v>350</v>
      </c>
      <c r="C21" s="172" t="str">
        <f>VLOOKUP(B21,'Tipos de Defeitos'!B22:E124,Menu!$B$24+1,)</f>
        <v>Sem Disco</v>
      </c>
      <c r="D21" s="295">
        <f>'UM-3 - L1 - Dia'!$AS37</f>
        <v>0</v>
      </c>
      <c r="E21" s="295">
        <f>'UM-3 - L1 - Noite'!$AS37</f>
        <v>0</v>
      </c>
      <c r="F21" s="290">
        <f t="shared" si="2"/>
        <v>0</v>
      </c>
      <c r="G21" s="290">
        <f>'UM-3 - L2 - Dia'!AS37</f>
        <v>0</v>
      </c>
      <c r="H21" s="290">
        <f>'UM-3 - L2 - Noite'!AS37</f>
        <v>0</v>
      </c>
      <c r="I21" s="290">
        <f t="shared" si="3"/>
        <v>0</v>
      </c>
      <c r="J21" s="262">
        <f t="shared" si="4"/>
        <v>0</v>
      </c>
      <c r="K21" s="260"/>
      <c r="L21" s="270">
        <v>10</v>
      </c>
      <c r="M21" s="171">
        <f t="shared" si="5"/>
        <v>10</v>
      </c>
      <c r="N21" s="172">
        <f t="shared" si="10"/>
        <v>58</v>
      </c>
      <c r="O21" s="262">
        <f t="shared" si="11"/>
        <v>58</v>
      </c>
      <c r="P21" s="269"/>
      <c r="Q21" s="181">
        <v>10</v>
      </c>
      <c r="R21" s="172">
        <f t="shared" si="6"/>
        <v>910</v>
      </c>
      <c r="S21" s="275" t="str">
        <f t="shared" si="7"/>
        <v>Carvão Quebrado A</v>
      </c>
      <c r="T21" s="172">
        <f t="shared" si="8"/>
        <v>0</v>
      </c>
      <c r="U21" s="287">
        <f t="shared" si="9"/>
        <v>0</v>
      </c>
      <c r="V21">
        <f t="shared" si="14"/>
        <v>0</v>
      </c>
      <c r="W21" s="460" t="e">
        <f t="shared" si="12"/>
        <v>#DIV/0!</v>
      </c>
      <c r="X21" s="298" t="e">
        <f t="shared" si="13"/>
        <v>#DIV/0!</v>
      </c>
    </row>
    <row r="22" spans="1:24">
      <c r="A22" s="154">
        <v>11</v>
      </c>
      <c r="B22" s="181">
        <v>360</v>
      </c>
      <c r="C22" s="172" t="str">
        <f>VLOOKUP(B22,'Tipos de Defeitos'!B23:E125,Menu!$B$24+1,)</f>
        <v>Disco Cortado</v>
      </c>
      <c r="D22" s="295">
        <f>'UM-3 - L1 - Dia'!$AS38</f>
        <v>0</v>
      </c>
      <c r="E22" s="295">
        <f>'UM-3 - L1 - Noite'!$AS38</f>
        <v>0</v>
      </c>
      <c r="F22" s="290">
        <f t="shared" si="2"/>
        <v>0</v>
      </c>
      <c r="G22" s="290">
        <f>'UM-3 - L2 - Dia'!AS38</f>
        <v>0</v>
      </c>
      <c r="H22" s="290">
        <f>'UM-3 - L2 - Noite'!AS38</f>
        <v>0</v>
      </c>
      <c r="I22" s="290">
        <f t="shared" si="3"/>
        <v>0</v>
      </c>
      <c r="J22" s="262">
        <f t="shared" si="4"/>
        <v>0</v>
      </c>
      <c r="K22" s="260"/>
      <c r="L22" s="270">
        <v>11</v>
      </c>
      <c r="M22" s="171">
        <f t="shared" si="5"/>
        <v>11</v>
      </c>
      <c r="N22" s="172">
        <f t="shared" si="10"/>
        <v>57</v>
      </c>
      <c r="O22" s="262">
        <f t="shared" si="11"/>
        <v>57</v>
      </c>
      <c r="P22" s="269"/>
      <c r="Q22" s="181">
        <v>11</v>
      </c>
      <c r="R22" s="172">
        <f t="shared" si="6"/>
        <v>900</v>
      </c>
      <c r="S22" s="275" t="str">
        <f t="shared" si="7"/>
        <v>Emenda de Papel</v>
      </c>
      <c r="T22" s="172">
        <f t="shared" si="8"/>
        <v>0</v>
      </c>
      <c r="U22" s="287">
        <f t="shared" si="9"/>
        <v>0</v>
      </c>
      <c r="V22">
        <f t="shared" si="14"/>
        <v>0</v>
      </c>
      <c r="W22" s="460" t="e">
        <f t="shared" si="12"/>
        <v>#DIV/0!</v>
      </c>
      <c r="X22" s="298" t="e">
        <f t="shared" si="13"/>
        <v>#DIV/0!</v>
      </c>
    </row>
    <row r="23" spans="1:24">
      <c r="A23" s="154">
        <v>12</v>
      </c>
      <c r="B23" s="181">
        <v>370</v>
      </c>
      <c r="C23" s="172" t="str">
        <f>VLOOKUP(B23,'Tipos de Defeitos'!B24:E126,Menu!$B$24+1,)</f>
        <v>Disco Rasgado</v>
      </c>
      <c r="D23" s="295">
        <f>'UM-3 - L1 - Dia'!$AS39</f>
        <v>0</v>
      </c>
      <c r="E23" s="295">
        <f>'UM-3 - L1 - Noite'!$AS39</f>
        <v>0</v>
      </c>
      <c r="F23" s="290">
        <f t="shared" si="2"/>
        <v>0</v>
      </c>
      <c r="G23" s="290">
        <f>'UM-3 - L2 - Dia'!AS39</f>
        <v>0</v>
      </c>
      <c r="H23" s="290">
        <f>'UM-3 - L2 - Noite'!AS39</f>
        <v>0</v>
      </c>
      <c r="I23" s="290">
        <f t="shared" si="3"/>
        <v>0</v>
      </c>
      <c r="J23" s="262">
        <f t="shared" si="4"/>
        <v>0</v>
      </c>
      <c r="K23" s="260"/>
      <c r="L23" s="270">
        <v>12</v>
      </c>
      <c r="M23" s="171">
        <f t="shared" si="5"/>
        <v>12</v>
      </c>
      <c r="N23" s="172">
        <f t="shared" si="10"/>
        <v>56</v>
      </c>
      <c r="O23" s="262">
        <f t="shared" si="11"/>
        <v>56</v>
      </c>
      <c r="P23" s="269"/>
      <c r="Q23" s="181">
        <v>12</v>
      </c>
      <c r="R23" s="172">
        <f t="shared" si="6"/>
        <v>890</v>
      </c>
      <c r="S23" s="275" t="str">
        <f t="shared" si="7"/>
        <v>Bobina Rachada</v>
      </c>
      <c r="T23" s="172">
        <f t="shared" si="8"/>
        <v>0</v>
      </c>
      <c r="U23" s="287">
        <f t="shared" si="9"/>
        <v>0</v>
      </c>
      <c r="V23">
        <f t="shared" si="14"/>
        <v>0</v>
      </c>
      <c r="W23" s="460" t="e">
        <f t="shared" si="12"/>
        <v>#DIV/0!</v>
      </c>
      <c r="X23" s="298" t="e">
        <f t="shared" si="13"/>
        <v>#DIV/0!</v>
      </c>
    </row>
    <row r="24" spans="1:24">
      <c r="A24" s="154">
        <v>13</v>
      </c>
      <c r="B24" s="181">
        <v>380</v>
      </c>
      <c r="C24" s="172" t="str">
        <f>VLOOKUP(B24,'Tipos de Defeitos'!B25:E127,Menu!$B$24+1,)</f>
        <v>Disco Furado</v>
      </c>
      <c r="D24" s="295">
        <f>'UM-3 - L1 - Dia'!$AS40</f>
        <v>0</v>
      </c>
      <c r="E24" s="295">
        <f>'UM-3 - L1 - Noite'!$AS40</f>
        <v>0</v>
      </c>
      <c r="F24" s="290">
        <f t="shared" si="2"/>
        <v>0</v>
      </c>
      <c r="G24" s="290">
        <f>'UM-3 - L2 - Dia'!AS40</f>
        <v>0</v>
      </c>
      <c r="H24" s="290">
        <f>'UM-3 - L2 - Noite'!AS40</f>
        <v>0</v>
      </c>
      <c r="I24" s="290">
        <f t="shared" si="3"/>
        <v>0</v>
      </c>
      <c r="J24" s="262">
        <f t="shared" si="4"/>
        <v>0</v>
      </c>
      <c r="K24" s="260"/>
      <c r="L24" s="270">
        <v>13</v>
      </c>
      <c r="M24" s="171">
        <f t="shared" si="5"/>
        <v>13</v>
      </c>
      <c r="N24" s="172">
        <f t="shared" si="10"/>
        <v>55</v>
      </c>
      <c r="O24" s="262">
        <f t="shared" si="11"/>
        <v>55</v>
      </c>
      <c r="P24" s="269"/>
      <c r="Q24" s="181">
        <v>13</v>
      </c>
      <c r="R24" s="172">
        <f t="shared" si="6"/>
        <v>880</v>
      </c>
      <c r="S24" s="275" t="str">
        <f t="shared" si="7"/>
        <v>Bobina Baixa A</v>
      </c>
      <c r="T24" s="172">
        <f t="shared" si="8"/>
        <v>0</v>
      </c>
      <c r="U24" s="287">
        <f t="shared" si="9"/>
        <v>0</v>
      </c>
      <c r="V24">
        <f t="shared" si="14"/>
        <v>0</v>
      </c>
      <c r="W24" s="460" t="e">
        <f t="shared" si="12"/>
        <v>#DIV/0!</v>
      </c>
      <c r="X24" s="298" t="e">
        <f t="shared" si="13"/>
        <v>#DIV/0!</v>
      </c>
    </row>
    <row r="25" spans="1:24">
      <c r="A25" s="154">
        <v>14</v>
      </c>
      <c r="B25" s="181">
        <v>390</v>
      </c>
      <c r="C25" s="172" t="str">
        <f>VLOOKUP(B25,'Tipos de Defeitos'!B26:E128,Menu!$B$24+1,)</f>
        <v>Disco Dobrado</v>
      </c>
      <c r="D25" s="295">
        <f>'UM-3 - L1 - Dia'!$AS41</f>
        <v>0</v>
      </c>
      <c r="E25" s="295">
        <f>'UM-3 - L1 - Noite'!$AS41</f>
        <v>0</v>
      </c>
      <c r="F25" s="290">
        <f t="shared" si="2"/>
        <v>0</v>
      </c>
      <c r="G25" s="290">
        <f>'UM-3 - L2 - Dia'!AS41</f>
        <v>0</v>
      </c>
      <c r="H25" s="290">
        <f>'UM-3 - L2 - Noite'!AS41</f>
        <v>0</v>
      </c>
      <c r="I25" s="290">
        <f t="shared" si="3"/>
        <v>0</v>
      </c>
      <c r="J25" s="262">
        <f t="shared" si="4"/>
        <v>0</v>
      </c>
      <c r="K25" s="260"/>
      <c r="L25" s="270">
        <v>14</v>
      </c>
      <c r="M25" s="171">
        <f t="shared" si="5"/>
        <v>14</v>
      </c>
      <c r="N25" s="172">
        <f t="shared" si="10"/>
        <v>54</v>
      </c>
      <c r="O25" s="262">
        <f t="shared" si="11"/>
        <v>54</v>
      </c>
      <c r="P25" s="269"/>
      <c r="Q25" s="181">
        <v>14</v>
      </c>
      <c r="R25" s="172">
        <f t="shared" si="6"/>
        <v>870</v>
      </c>
      <c r="S25" s="275" t="str">
        <f t="shared" si="7"/>
        <v>Pelota de Manganês</v>
      </c>
      <c r="T25" s="172">
        <f t="shared" si="8"/>
        <v>0</v>
      </c>
      <c r="U25" s="287">
        <f t="shared" si="9"/>
        <v>0</v>
      </c>
      <c r="V25">
        <f t="shared" si="14"/>
        <v>0</v>
      </c>
      <c r="W25" s="460" t="e">
        <f t="shared" si="12"/>
        <v>#DIV/0!</v>
      </c>
      <c r="X25" s="298" t="e">
        <f t="shared" si="13"/>
        <v>#DIV/0!</v>
      </c>
    </row>
    <row r="26" spans="1:24">
      <c r="A26" s="154">
        <v>15</v>
      </c>
      <c r="B26" s="181">
        <v>400</v>
      </c>
      <c r="C26" s="172" t="str">
        <f>VLOOKUP(B26,'Tipos de Defeitos'!B27:E129,Menu!$B$24+1,)</f>
        <v>Disco fora de centro / deslocado</v>
      </c>
      <c r="D26" s="295">
        <f>'UM-3 - L1 - Dia'!$AS42</f>
        <v>0</v>
      </c>
      <c r="E26" s="295">
        <f>'UM-3 - L1 - Noite'!$AS42</f>
        <v>0</v>
      </c>
      <c r="F26" s="290">
        <f t="shared" si="2"/>
        <v>0</v>
      </c>
      <c r="G26" s="290">
        <f>'UM-3 - L2 - Dia'!AS42</f>
        <v>0</v>
      </c>
      <c r="H26" s="290">
        <f>'UM-3 - L2 - Noite'!AS42</f>
        <v>0</v>
      </c>
      <c r="I26" s="290">
        <f t="shared" si="3"/>
        <v>0</v>
      </c>
      <c r="J26" s="262">
        <f t="shared" si="4"/>
        <v>0</v>
      </c>
      <c r="K26" s="260"/>
      <c r="L26" s="270">
        <v>15</v>
      </c>
      <c r="M26" s="171">
        <f t="shared" si="5"/>
        <v>15</v>
      </c>
      <c r="N26" s="172">
        <f t="shared" si="10"/>
        <v>53</v>
      </c>
      <c r="O26" s="262">
        <f t="shared" si="11"/>
        <v>53</v>
      </c>
      <c r="P26" s="269"/>
      <c r="Q26" s="181">
        <v>15</v>
      </c>
      <c r="R26" s="172">
        <f t="shared" si="6"/>
        <v>860</v>
      </c>
      <c r="S26" s="275" t="str">
        <f t="shared" si="7"/>
        <v>Pedra de Cl de Amônia</v>
      </c>
      <c r="T26" s="172">
        <f t="shared" si="8"/>
        <v>0</v>
      </c>
      <c r="U26" s="287">
        <f t="shared" si="9"/>
        <v>0</v>
      </c>
      <c r="V26">
        <f t="shared" si="14"/>
        <v>0</v>
      </c>
      <c r="W26" s="460" t="e">
        <f t="shared" si="12"/>
        <v>#DIV/0!</v>
      </c>
      <c r="X26" s="298" t="e">
        <f t="shared" si="13"/>
        <v>#DIV/0!</v>
      </c>
    </row>
    <row r="27" spans="1:24">
      <c r="A27" s="154">
        <v>16</v>
      </c>
      <c r="B27" s="181">
        <v>410</v>
      </c>
      <c r="C27" s="172" t="str">
        <f>VLOOKUP(B27,'Tipos de Defeitos'!B28:E130,Menu!$B$24+1,)</f>
        <v>Isolador fora de centro</v>
      </c>
      <c r="D27" s="295">
        <f>'UM-3 - L1 - Dia'!$AS43</f>
        <v>0</v>
      </c>
      <c r="E27" s="295">
        <f>'UM-3 - L1 - Noite'!$AS43</f>
        <v>0</v>
      </c>
      <c r="F27" s="290">
        <f t="shared" si="2"/>
        <v>0</v>
      </c>
      <c r="G27" s="290">
        <f>'UM-3 - L2 - Dia'!AS43</f>
        <v>0</v>
      </c>
      <c r="H27" s="290">
        <f>'UM-3 - L2 - Noite'!AS43</f>
        <v>0</v>
      </c>
      <c r="I27" s="290">
        <f t="shared" si="3"/>
        <v>0</v>
      </c>
      <c r="J27" s="262">
        <f t="shared" si="4"/>
        <v>0</v>
      </c>
      <c r="K27" s="260"/>
      <c r="L27" s="270">
        <v>16</v>
      </c>
      <c r="M27" s="171">
        <f t="shared" si="5"/>
        <v>16</v>
      </c>
      <c r="N27" s="172">
        <f t="shared" si="10"/>
        <v>52</v>
      </c>
      <c r="O27" s="262">
        <f t="shared" si="11"/>
        <v>52</v>
      </c>
      <c r="P27" s="269"/>
      <c r="Q27" s="181">
        <v>16</v>
      </c>
      <c r="R27" s="172">
        <f t="shared" si="6"/>
        <v>850</v>
      </c>
      <c r="S27" s="275" t="str">
        <f t="shared" si="7"/>
        <v>Pedra de Negro</v>
      </c>
      <c r="T27" s="172">
        <f t="shared" si="8"/>
        <v>0</v>
      </c>
      <c r="U27" s="287">
        <f t="shared" si="9"/>
        <v>0</v>
      </c>
      <c r="V27">
        <f t="shared" si="14"/>
        <v>0</v>
      </c>
      <c r="W27" s="460" t="e">
        <f t="shared" si="12"/>
        <v>#DIV/0!</v>
      </c>
      <c r="X27" s="298" t="e">
        <f t="shared" si="13"/>
        <v>#DIV/0!</v>
      </c>
    </row>
    <row r="28" spans="1:24">
      <c r="A28" s="154">
        <v>17</v>
      </c>
      <c r="B28" s="181">
        <v>420</v>
      </c>
      <c r="C28" s="172" t="str">
        <f>VLOOKUP(B28,'Tipos de Defeitos'!B29:E131,Menu!$B$24+1,)</f>
        <v>Isolador afundado</v>
      </c>
      <c r="D28" s="295">
        <f>'UM-3 - L1 - Dia'!$AS44</f>
        <v>0</v>
      </c>
      <c r="E28" s="295">
        <f>'UM-3 - L1 - Noite'!$AS44</f>
        <v>0</v>
      </c>
      <c r="F28" s="290">
        <f t="shared" si="2"/>
        <v>0</v>
      </c>
      <c r="G28" s="290">
        <f>'UM-3 - L2 - Dia'!AS44</f>
        <v>0</v>
      </c>
      <c r="H28" s="290">
        <f>'UM-3 - L2 - Noite'!AS44</f>
        <v>0</v>
      </c>
      <c r="I28" s="290">
        <f t="shared" si="3"/>
        <v>0</v>
      </c>
      <c r="J28" s="262">
        <f t="shared" si="4"/>
        <v>0</v>
      </c>
      <c r="K28" s="260"/>
      <c r="L28" s="270">
        <v>17</v>
      </c>
      <c r="M28" s="171">
        <f t="shared" si="5"/>
        <v>17</v>
      </c>
      <c r="N28" s="172">
        <f t="shared" si="10"/>
        <v>51</v>
      </c>
      <c r="O28" s="262">
        <f t="shared" si="11"/>
        <v>51</v>
      </c>
      <c r="P28" s="269"/>
      <c r="Q28" s="181">
        <v>17</v>
      </c>
      <c r="R28" s="172">
        <f t="shared" si="6"/>
        <v>840</v>
      </c>
      <c r="S28" s="275" t="str">
        <f t="shared" si="7"/>
        <v>Papel Separdor Duplo</v>
      </c>
      <c r="T28" s="172">
        <f t="shared" si="8"/>
        <v>0</v>
      </c>
      <c r="U28" s="287">
        <f t="shared" si="9"/>
        <v>0</v>
      </c>
      <c r="V28">
        <f t="shared" si="14"/>
        <v>0</v>
      </c>
      <c r="W28" s="460" t="e">
        <f t="shared" si="12"/>
        <v>#DIV/0!</v>
      </c>
      <c r="X28" s="298" t="e">
        <f t="shared" si="13"/>
        <v>#DIV/0!</v>
      </c>
    </row>
    <row r="29" spans="1:24">
      <c r="A29" s="154">
        <v>18</v>
      </c>
      <c r="B29" s="181">
        <v>430</v>
      </c>
      <c r="C29" s="172" t="str">
        <f>VLOOKUP(B29,'Tipos de Defeitos'!B30:E132,Menu!$B$24+1,)</f>
        <v>Isolador Inclinado</v>
      </c>
      <c r="D29" s="295">
        <f>'UM-3 - L1 - Dia'!$AS45</f>
        <v>0</v>
      </c>
      <c r="E29" s="295">
        <f>'UM-3 - L1 - Noite'!$AS45</f>
        <v>0</v>
      </c>
      <c r="F29" s="290">
        <f t="shared" si="2"/>
        <v>0</v>
      </c>
      <c r="G29" s="290">
        <f>'UM-3 - L2 - Dia'!AS45</f>
        <v>0</v>
      </c>
      <c r="H29" s="290">
        <f>'UM-3 - L2 - Noite'!AS45</f>
        <v>0</v>
      </c>
      <c r="I29" s="290">
        <f t="shared" si="3"/>
        <v>0</v>
      </c>
      <c r="J29" s="262">
        <f t="shared" si="4"/>
        <v>0</v>
      </c>
      <c r="K29" s="260"/>
      <c r="L29" s="270">
        <v>18</v>
      </c>
      <c r="M29" s="171">
        <f t="shared" si="5"/>
        <v>18</v>
      </c>
      <c r="N29" s="172">
        <f t="shared" si="10"/>
        <v>50</v>
      </c>
      <c r="O29" s="262">
        <f t="shared" si="11"/>
        <v>50</v>
      </c>
      <c r="P29" s="269"/>
      <c r="Q29" s="181">
        <v>18</v>
      </c>
      <c r="R29" s="172">
        <f t="shared" si="6"/>
        <v>750</v>
      </c>
      <c r="S29" s="275" t="str">
        <f t="shared" si="7"/>
        <v>Outros - Voltagem</v>
      </c>
      <c r="T29" s="172">
        <f t="shared" si="8"/>
        <v>0</v>
      </c>
      <c r="U29" s="287">
        <f t="shared" si="9"/>
        <v>0</v>
      </c>
      <c r="V29">
        <f t="shared" si="14"/>
        <v>0</v>
      </c>
      <c r="W29" s="460" t="e">
        <f t="shared" si="12"/>
        <v>#DIV/0!</v>
      </c>
      <c r="X29" s="298" t="e">
        <f t="shared" si="13"/>
        <v>#DIV/0!</v>
      </c>
    </row>
    <row r="30" spans="1:24">
      <c r="A30" s="154">
        <v>19</v>
      </c>
      <c r="B30" s="181">
        <v>440</v>
      </c>
      <c r="C30" s="172" t="str">
        <f>VLOOKUP(B30,'Tipos de Defeitos'!B31:E133,Menu!$B$24+1,)</f>
        <v>Papel sujo</v>
      </c>
      <c r="D30" s="295">
        <f>'UM-3 - L1 - Dia'!$AS46</f>
        <v>0</v>
      </c>
      <c r="E30" s="295">
        <f>'UM-3 - L1 - Noite'!$AS46</f>
        <v>0</v>
      </c>
      <c r="F30" s="290">
        <f t="shared" si="2"/>
        <v>0</v>
      </c>
      <c r="G30" s="290">
        <f>'UM-3 - L2 - Dia'!AS46</f>
        <v>0</v>
      </c>
      <c r="H30" s="290">
        <f>'UM-3 - L2 - Noite'!AS46</f>
        <v>0</v>
      </c>
      <c r="I30" s="290">
        <f t="shared" si="3"/>
        <v>0</v>
      </c>
      <c r="J30" s="262">
        <f t="shared" si="4"/>
        <v>0</v>
      </c>
      <c r="K30" s="260"/>
      <c r="L30" s="270">
        <v>19</v>
      </c>
      <c r="M30" s="171">
        <f t="shared" si="5"/>
        <v>19</v>
      </c>
      <c r="N30" s="172">
        <f t="shared" si="10"/>
        <v>49</v>
      </c>
      <c r="O30" s="262">
        <f t="shared" si="11"/>
        <v>49</v>
      </c>
      <c r="P30" s="269"/>
      <c r="Q30" s="181">
        <v>19</v>
      </c>
      <c r="R30" s="172">
        <f t="shared" si="6"/>
        <v>740</v>
      </c>
      <c r="S30" s="275" t="str">
        <f t="shared" si="7"/>
        <v>Pilha Boa</v>
      </c>
      <c r="T30" s="172">
        <f t="shared" si="8"/>
        <v>0</v>
      </c>
      <c r="U30" s="287">
        <f t="shared" si="9"/>
        <v>0</v>
      </c>
      <c r="V30">
        <f t="shared" si="14"/>
        <v>0</v>
      </c>
      <c r="W30" s="460" t="e">
        <f t="shared" si="12"/>
        <v>#DIV/0!</v>
      </c>
      <c r="X30" s="298" t="e">
        <f t="shared" si="13"/>
        <v>#DIV/0!</v>
      </c>
    </row>
    <row r="31" spans="1:24">
      <c r="A31" s="154">
        <v>20</v>
      </c>
      <c r="B31" s="181">
        <v>450</v>
      </c>
      <c r="C31" s="172" t="str">
        <f>VLOOKUP(B31,'Tipos de Defeitos'!B32:E134,Menu!$B$24+1,)</f>
        <v>Manchado</v>
      </c>
      <c r="D31" s="295">
        <f>'UM-3 - L1 - Dia'!$AS47</f>
        <v>0</v>
      </c>
      <c r="E31" s="295">
        <f>'UM-3 - L1 - Noite'!$AS47</f>
        <v>0</v>
      </c>
      <c r="F31" s="290">
        <f t="shared" si="2"/>
        <v>0</v>
      </c>
      <c r="G31" s="290">
        <f>'UM-3 - L2 - Dia'!AS47</f>
        <v>0</v>
      </c>
      <c r="H31" s="290">
        <f>'UM-3 - L2 - Noite'!AS47</f>
        <v>0</v>
      </c>
      <c r="I31" s="290">
        <f t="shared" si="3"/>
        <v>0</v>
      </c>
      <c r="J31" s="262">
        <f t="shared" si="4"/>
        <v>0</v>
      </c>
      <c r="K31" s="260"/>
      <c r="L31" s="270">
        <v>20</v>
      </c>
      <c r="M31" s="171">
        <f t="shared" si="5"/>
        <v>20</v>
      </c>
      <c r="N31" s="172">
        <f t="shared" si="10"/>
        <v>48</v>
      </c>
      <c r="O31" s="262">
        <f t="shared" si="11"/>
        <v>48</v>
      </c>
      <c r="P31" s="269"/>
      <c r="Q31" s="181">
        <v>20</v>
      </c>
      <c r="R31" s="172">
        <f t="shared" si="6"/>
        <v>730</v>
      </c>
      <c r="S31" s="275" t="str">
        <f t="shared" si="7"/>
        <v>Causa Desconhecida - Voltagem</v>
      </c>
      <c r="T31" s="172">
        <f t="shared" si="8"/>
        <v>0</v>
      </c>
      <c r="U31" s="287">
        <f t="shared" si="9"/>
        <v>0</v>
      </c>
      <c r="V31">
        <f t="shared" si="14"/>
        <v>0</v>
      </c>
      <c r="W31" s="460" t="e">
        <f t="shared" si="12"/>
        <v>#DIV/0!</v>
      </c>
      <c r="X31" s="298" t="e">
        <f t="shared" si="13"/>
        <v>#DIV/0!</v>
      </c>
    </row>
    <row r="32" spans="1:24">
      <c r="A32" s="154">
        <v>21</v>
      </c>
      <c r="B32" s="181">
        <v>460</v>
      </c>
      <c r="C32" s="172" t="str">
        <f>VLOOKUP(B32,'Tipos de Defeitos'!B33:E135,Menu!$B$24+1,)</f>
        <v>Manchado Superior</v>
      </c>
      <c r="D32" s="295">
        <f>'UM-3 - L1 - Dia'!$AS48</f>
        <v>0</v>
      </c>
      <c r="E32" s="295">
        <f>'UM-3 - L1 - Noite'!$AS48</f>
        <v>0</v>
      </c>
      <c r="F32" s="290">
        <f t="shared" si="2"/>
        <v>0</v>
      </c>
      <c r="G32" s="290">
        <f>'UM-3 - L2 - Dia'!AS48</f>
        <v>0</v>
      </c>
      <c r="H32" s="290">
        <f>'UM-3 - L2 - Noite'!AS48</f>
        <v>0</v>
      </c>
      <c r="I32" s="290">
        <f t="shared" si="3"/>
        <v>0</v>
      </c>
      <c r="J32" s="262">
        <f t="shared" si="4"/>
        <v>0</v>
      </c>
      <c r="K32" s="260"/>
      <c r="L32" s="270">
        <v>21</v>
      </c>
      <c r="M32" s="171">
        <f t="shared" si="5"/>
        <v>21</v>
      </c>
      <c r="N32" s="172">
        <f t="shared" si="10"/>
        <v>47</v>
      </c>
      <c r="O32" s="262">
        <f t="shared" si="11"/>
        <v>47</v>
      </c>
      <c r="P32" s="269"/>
      <c r="Q32" s="181">
        <v>21</v>
      </c>
      <c r="R32" s="172">
        <f t="shared" si="6"/>
        <v>720</v>
      </c>
      <c r="S32" s="275" t="str">
        <f t="shared" si="7"/>
        <v>Pilha recuperada do Acabamento</v>
      </c>
      <c r="T32" s="172">
        <f t="shared" si="8"/>
        <v>0</v>
      </c>
      <c r="U32" s="287">
        <f t="shared" si="9"/>
        <v>0</v>
      </c>
      <c r="V32">
        <f t="shared" si="14"/>
        <v>0</v>
      </c>
      <c r="W32" s="460" t="e">
        <f t="shared" si="12"/>
        <v>#DIV/0!</v>
      </c>
      <c r="X32" s="298" t="e">
        <f t="shared" si="13"/>
        <v>#DIV/0!</v>
      </c>
    </row>
    <row r="33" spans="1:24">
      <c r="A33" s="154">
        <v>22</v>
      </c>
      <c r="B33" s="181">
        <v>470</v>
      </c>
      <c r="C33" s="172" t="str">
        <f>VLOOKUP(B33,'Tipos de Defeitos'!B34:E136,Menu!$B$24+1,)</f>
        <v>Ferro</v>
      </c>
      <c r="D33" s="295">
        <f>'UM-3 - L1 - Dia'!$AS49</f>
        <v>0</v>
      </c>
      <c r="E33" s="295">
        <f>'UM-3 - L1 - Noite'!$AS49</f>
        <v>0</v>
      </c>
      <c r="F33" s="290">
        <f t="shared" si="2"/>
        <v>0</v>
      </c>
      <c r="G33" s="290">
        <f>'UM-3 - L2 - Dia'!AS49</f>
        <v>0</v>
      </c>
      <c r="H33" s="290">
        <f>'UM-3 - L2 - Noite'!AS49</f>
        <v>0</v>
      </c>
      <c r="I33" s="290">
        <f t="shared" si="3"/>
        <v>0</v>
      </c>
      <c r="J33" s="262">
        <f t="shared" si="4"/>
        <v>0</v>
      </c>
      <c r="K33" s="260"/>
      <c r="L33" s="270">
        <v>22</v>
      </c>
      <c r="M33" s="171">
        <f t="shared" si="5"/>
        <v>22</v>
      </c>
      <c r="N33" s="172">
        <f t="shared" si="10"/>
        <v>46</v>
      </c>
      <c r="O33" s="262">
        <f t="shared" si="11"/>
        <v>46</v>
      </c>
      <c r="P33" s="269"/>
      <c r="Q33" s="181">
        <v>22</v>
      </c>
      <c r="R33" s="172">
        <f t="shared" si="6"/>
        <v>710</v>
      </c>
      <c r="S33" s="275" t="str">
        <f t="shared" si="7"/>
        <v>Curto Circ. Externo -  recuperada</v>
      </c>
      <c r="T33" s="172">
        <f t="shared" si="8"/>
        <v>0</v>
      </c>
      <c r="U33" s="287">
        <f t="shared" si="9"/>
        <v>0</v>
      </c>
      <c r="V33">
        <f t="shared" si="14"/>
        <v>0</v>
      </c>
      <c r="W33" s="460" t="e">
        <f t="shared" si="12"/>
        <v>#DIV/0!</v>
      </c>
      <c r="X33" s="298" t="e">
        <f t="shared" si="13"/>
        <v>#DIV/0!</v>
      </c>
    </row>
    <row r="34" spans="1:24">
      <c r="A34" s="154">
        <v>23</v>
      </c>
      <c r="B34" s="181">
        <v>480</v>
      </c>
      <c r="C34" s="172" t="str">
        <f>VLOOKUP(B34,'Tipos de Defeitos'!B35:E137,Menu!$B$24+1,)</f>
        <v>Cobre</v>
      </c>
      <c r="D34" s="295">
        <f>'UM-3 - L1 - Dia'!$AS50</f>
        <v>0</v>
      </c>
      <c r="E34" s="295">
        <f>'UM-3 - L1 - Noite'!$AS50</f>
        <v>0</v>
      </c>
      <c r="F34" s="290">
        <f t="shared" si="2"/>
        <v>0</v>
      </c>
      <c r="G34" s="290">
        <f>'UM-3 - L2 - Dia'!AS50</f>
        <v>0</v>
      </c>
      <c r="H34" s="290">
        <f>'UM-3 - L2 - Noite'!AS50</f>
        <v>0</v>
      </c>
      <c r="I34" s="290">
        <f t="shared" si="3"/>
        <v>0</v>
      </c>
      <c r="J34" s="262">
        <f t="shared" si="4"/>
        <v>0</v>
      </c>
      <c r="K34" s="260"/>
      <c r="L34" s="270">
        <v>23</v>
      </c>
      <c r="M34" s="171">
        <f t="shared" si="5"/>
        <v>23</v>
      </c>
      <c r="N34" s="172">
        <f t="shared" si="10"/>
        <v>45</v>
      </c>
      <c r="O34" s="262">
        <f t="shared" si="11"/>
        <v>45</v>
      </c>
      <c r="P34" s="269"/>
      <c r="Q34" s="181">
        <v>23</v>
      </c>
      <c r="R34" s="172">
        <f t="shared" si="6"/>
        <v>700</v>
      </c>
      <c r="S34" s="275" t="str">
        <f t="shared" si="7"/>
        <v>Curto Circuito Externo</v>
      </c>
      <c r="T34" s="172">
        <f t="shared" si="8"/>
        <v>0</v>
      </c>
      <c r="U34" s="287">
        <f t="shared" si="9"/>
        <v>0</v>
      </c>
      <c r="V34">
        <f t="shared" si="14"/>
        <v>0</v>
      </c>
      <c r="W34" s="460" t="e">
        <f t="shared" si="12"/>
        <v>#DIV/0!</v>
      </c>
      <c r="X34" s="298" t="e">
        <f t="shared" si="13"/>
        <v>#DIV/0!</v>
      </c>
    </row>
    <row r="35" spans="1:24">
      <c r="A35" s="154">
        <v>24</v>
      </c>
      <c r="B35" s="181">
        <v>490</v>
      </c>
      <c r="C35" s="172" t="str">
        <f>VLOOKUP(B35,'Tipos de Defeitos'!B36:E138,Menu!$B$24+1,)</f>
        <v>Mistura no Tubo</v>
      </c>
      <c r="D35" s="295">
        <f>'UM-3 - L1 - Dia'!$AS51</f>
        <v>0</v>
      </c>
      <c r="E35" s="295">
        <f>'UM-3 - L1 - Noite'!$AS51</f>
        <v>0</v>
      </c>
      <c r="F35" s="290">
        <f t="shared" si="2"/>
        <v>0</v>
      </c>
      <c r="G35" s="290">
        <f>'UM-3 - L2 - Dia'!AS51</f>
        <v>0</v>
      </c>
      <c r="H35" s="290">
        <f>'UM-3 - L2 - Noite'!AS51</f>
        <v>0</v>
      </c>
      <c r="I35" s="290">
        <f t="shared" si="3"/>
        <v>0</v>
      </c>
      <c r="J35" s="262">
        <f t="shared" si="4"/>
        <v>0</v>
      </c>
      <c r="K35" s="260"/>
      <c r="L35" s="270">
        <v>24</v>
      </c>
      <c r="M35" s="171">
        <f t="shared" si="5"/>
        <v>24</v>
      </c>
      <c r="N35" s="172">
        <f t="shared" si="10"/>
        <v>44</v>
      </c>
      <c r="O35" s="262">
        <f t="shared" si="11"/>
        <v>44</v>
      </c>
      <c r="P35" s="269"/>
      <c r="Q35" s="181">
        <v>24</v>
      </c>
      <c r="R35" s="172">
        <f t="shared" si="6"/>
        <v>690</v>
      </c>
      <c r="S35" s="275" t="str">
        <f t="shared" si="7"/>
        <v>Tubo com Rebarba</v>
      </c>
      <c r="T35" s="172">
        <f t="shared" si="8"/>
        <v>0</v>
      </c>
      <c r="U35" s="287">
        <f t="shared" si="9"/>
        <v>0</v>
      </c>
      <c r="V35">
        <f t="shared" si="14"/>
        <v>0</v>
      </c>
      <c r="W35" s="460" t="e">
        <f t="shared" si="12"/>
        <v>#DIV/0!</v>
      </c>
      <c r="X35" s="298" t="e">
        <f t="shared" si="13"/>
        <v>#DIV/0!</v>
      </c>
    </row>
    <row r="36" spans="1:24">
      <c r="A36" s="154">
        <v>25</v>
      </c>
      <c r="B36" s="181">
        <v>500</v>
      </c>
      <c r="C36" s="172" t="str">
        <f>VLOOKUP(B36,'Tipos de Defeitos'!B37:E139,Menu!$B$24+1,)</f>
        <v>Pó de Mistura</v>
      </c>
      <c r="D36" s="295">
        <f>'UM-3 - L1 - Dia'!$AS52</f>
        <v>0</v>
      </c>
      <c r="E36" s="295">
        <f>'UM-3 - L1 - Noite'!$AS52</f>
        <v>0</v>
      </c>
      <c r="F36" s="290">
        <f t="shared" si="2"/>
        <v>0</v>
      </c>
      <c r="G36" s="290">
        <f>'UM-3 - L2 - Dia'!AS52</f>
        <v>0</v>
      </c>
      <c r="H36" s="290">
        <f>'UM-3 - L2 - Noite'!AS52</f>
        <v>0</v>
      </c>
      <c r="I36" s="290">
        <f t="shared" si="3"/>
        <v>0</v>
      </c>
      <c r="J36" s="262">
        <f t="shared" si="4"/>
        <v>0</v>
      </c>
      <c r="K36" s="260"/>
      <c r="L36" s="270">
        <v>25</v>
      </c>
      <c r="M36" s="171">
        <f t="shared" si="5"/>
        <v>25</v>
      </c>
      <c r="N36" s="172">
        <f t="shared" si="10"/>
        <v>43</v>
      </c>
      <c r="O36" s="262">
        <f t="shared" si="11"/>
        <v>43</v>
      </c>
      <c r="P36" s="269"/>
      <c r="Q36" s="181">
        <v>25</v>
      </c>
      <c r="R36" s="172">
        <f t="shared" si="6"/>
        <v>680</v>
      </c>
      <c r="S36" s="275" t="str">
        <f t="shared" si="7"/>
        <v>Tubo de Zinco Amassado</v>
      </c>
      <c r="T36" s="172">
        <f t="shared" si="8"/>
        <v>0</v>
      </c>
      <c r="U36" s="287">
        <f t="shared" si="9"/>
        <v>0</v>
      </c>
      <c r="V36">
        <f t="shared" si="14"/>
        <v>0</v>
      </c>
      <c r="W36" s="460" t="e">
        <f t="shared" si="12"/>
        <v>#DIV/0!</v>
      </c>
      <c r="X36" s="298" t="e">
        <f t="shared" si="13"/>
        <v>#DIV/0!</v>
      </c>
    </row>
    <row r="37" spans="1:24">
      <c r="A37" s="154">
        <v>26</v>
      </c>
      <c r="B37" s="181">
        <v>510</v>
      </c>
      <c r="C37" s="172" t="str">
        <f>VLOOKUP(B37,'Tipos de Defeitos'!B38:E140,Menu!$B$24+1,)</f>
        <v>Bobina Baixa V</v>
      </c>
      <c r="D37" s="295">
        <f>'UM-3 - L1 - Dia'!$AS53</f>
        <v>0</v>
      </c>
      <c r="E37" s="295">
        <f>'UM-3 - L1 - Noite'!$AS53</f>
        <v>0</v>
      </c>
      <c r="F37" s="290">
        <f t="shared" si="2"/>
        <v>0</v>
      </c>
      <c r="G37" s="290">
        <f>'UM-3 - L2 - Dia'!AS53</f>
        <v>0</v>
      </c>
      <c r="H37" s="290">
        <f>'UM-3 - L2 - Noite'!AS53</f>
        <v>0</v>
      </c>
      <c r="I37" s="290">
        <f t="shared" si="3"/>
        <v>0</v>
      </c>
      <c r="J37" s="262">
        <f t="shared" si="4"/>
        <v>0</v>
      </c>
      <c r="K37" s="260"/>
      <c r="L37" s="270">
        <v>26</v>
      </c>
      <c r="M37" s="171">
        <f t="shared" si="5"/>
        <v>26</v>
      </c>
      <c r="N37" s="172">
        <f t="shared" si="10"/>
        <v>42</v>
      </c>
      <c r="O37" s="262">
        <f t="shared" si="11"/>
        <v>42</v>
      </c>
      <c r="P37" s="269"/>
      <c r="Q37" s="181">
        <v>26</v>
      </c>
      <c r="R37" s="172">
        <f t="shared" si="6"/>
        <v>670</v>
      </c>
      <c r="S37" s="275" t="str">
        <f t="shared" si="7"/>
        <v>Tubo Rachado - Câmera</v>
      </c>
      <c r="T37" s="172">
        <f t="shared" si="8"/>
        <v>0</v>
      </c>
      <c r="U37" s="287">
        <f t="shared" si="9"/>
        <v>0</v>
      </c>
      <c r="V37">
        <f t="shared" si="14"/>
        <v>0</v>
      </c>
      <c r="W37" s="460" t="e">
        <f t="shared" si="12"/>
        <v>#DIV/0!</v>
      </c>
      <c r="X37" s="298" t="e">
        <f t="shared" si="13"/>
        <v>#DIV/0!</v>
      </c>
    </row>
    <row r="38" spans="1:24">
      <c r="A38" s="154">
        <v>27</v>
      </c>
      <c r="B38" s="181">
        <v>520</v>
      </c>
      <c r="C38" s="172" t="str">
        <f>VLOOKUP(B38,'Tipos de Defeitos'!B39:E141,Menu!$B$24+1,)</f>
        <v>Bobina Alta</v>
      </c>
      <c r="D38" s="295">
        <f>'UM-3 - L1 - Dia'!$AS54</f>
        <v>0</v>
      </c>
      <c r="E38" s="295">
        <f>'UM-3 - L1 - Noite'!$AS54</f>
        <v>0</v>
      </c>
      <c r="F38" s="290">
        <f t="shared" si="2"/>
        <v>0</v>
      </c>
      <c r="G38" s="290">
        <f>'UM-3 - L2 - Dia'!AS54</f>
        <v>0</v>
      </c>
      <c r="H38" s="290">
        <f>'UM-3 - L2 - Noite'!AS54</f>
        <v>0</v>
      </c>
      <c r="I38" s="290">
        <f t="shared" si="3"/>
        <v>0</v>
      </c>
      <c r="J38" s="262">
        <f t="shared" si="4"/>
        <v>0</v>
      </c>
      <c r="K38" s="260"/>
      <c r="L38" s="270">
        <v>27</v>
      </c>
      <c r="M38" s="171">
        <f t="shared" si="5"/>
        <v>27</v>
      </c>
      <c r="N38" s="172">
        <f t="shared" si="10"/>
        <v>41</v>
      </c>
      <c r="O38" s="262">
        <f t="shared" si="11"/>
        <v>41</v>
      </c>
      <c r="P38" s="269"/>
      <c r="Q38" s="181">
        <v>27</v>
      </c>
      <c r="R38" s="172">
        <f t="shared" si="6"/>
        <v>660</v>
      </c>
      <c r="S38" s="275" t="str">
        <f t="shared" si="7"/>
        <v>Tubo Rachado - Operador</v>
      </c>
      <c r="T38" s="172">
        <f t="shared" si="8"/>
        <v>0</v>
      </c>
      <c r="U38" s="287">
        <f t="shared" si="9"/>
        <v>0</v>
      </c>
      <c r="V38">
        <f t="shared" si="14"/>
        <v>0</v>
      </c>
      <c r="W38" s="460" t="e">
        <f t="shared" si="12"/>
        <v>#DIV/0!</v>
      </c>
      <c r="X38" s="298" t="e">
        <f t="shared" si="13"/>
        <v>#DIV/0!</v>
      </c>
    </row>
    <row r="39" spans="1:24">
      <c r="A39" s="154">
        <v>28</v>
      </c>
      <c r="B39" s="181">
        <v>530</v>
      </c>
      <c r="C39" s="172" t="str">
        <f>VLOOKUP(B39,'Tipos de Defeitos'!B40:E142,Menu!$B$24+1,)</f>
        <v>Bobina Molhada</v>
      </c>
      <c r="D39" s="295">
        <f>'UM-3 - L1 - Dia'!$AS55</f>
        <v>0</v>
      </c>
      <c r="E39" s="295">
        <f>'UM-3 - L1 - Noite'!$AS55</f>
        <v>0</v>
      </c>
      <c r="F39" s="290">
        <f t="shared" si="2"/>
        <v>0</v>
      </c>
      <c r="G39" s="290">
        <f>'UM-3 - L2 - Dia'!AS55</f>
        <v>0</v>
      </c>
      <c r="H39" s="290">
        <f>'UM-3 - L2 - Noite'!AS55</f>
        <v>0</v>
      </c>
      <c r="I39" s="290">
        <f t="shared" si="3"/>
        <v>0</v>
      </c>
      <c r="J39" s="262">
        <f t="shared" si="4"/>
        <v>0</v>
      </c>
      <c r="K39" s="260"/>
      <c r="L39" s="270">
        <v>28</v>
      </c>
      <c r="M39" s="171">
        <f t="shared" si="5"/>
        <v>28</v>
      </c>
      <c r="N39" s="172">
        <f t="shared" si="10"/>
        <v>40</v>
      </c>
      <c r="O39" s="262">
        <f t="shared" si="11"/>
        <v>40</v>
      </c>
      <c r="P39" s="269"/>
      <c r="Q39" s="181">
        <v>28</v>
      </c>
      <c r="R39" s="172">
        <f t="shared" si="6"/>
        <v>650</v>
      </c>
      <c r="S39" s="275" t="str">
        <f t="shared" si="7"/>
        <v>Tb c/ Boca Amassada - recuperada</v>
      </c>
      <c r="T39" s="172">
        <f t="shared" si="8"/>
        <v>0</v>
      </c>
      <c r="U39" s="287">
        <f t="shared" si="9"/>
        <v>0</v>
      </c>
      <c r="V39">
        <f t="shared" si="14"/>
        <v>0</v>
      </c>
      <c r="W39" s="460" t="e">
        <f t="shared" si="12"/>
        <v>#DIV/0!</v>
      </c>
      <c r="X39" s="298" t="e">
        <f t="shared" si="13"/>
        <v>#DIV/0!</v>
      </c>
    </row>
    <row r="40" spans="1:24">
      <c r="A40" s="154">
        <v>29</v>
      </c>
      <c r="B40" s="181">
        <v>540</v>
      </c>
      <c r="C40" s="172" t="str">
        <f>VLOOKUP(B40,'Tipos de Defeitos'!B41:E143,Menu!$B$24+1,)</f>
        <v>Mistura seca</v>
      </c>
      <c r="D40" s="295">
        <f>'UM-3 - L1 - Dia'!$AS56</f>
        <v>0</v>
      </c>
      <c r="E40" s="295">
        <f>'UM-3 - L1 - Noite'!$AS56</f>
        <v>0</v>
      </c>
      <c r="F40" s="290">
        <f t="shared" si="2"/>
        <v>0</v>
      </c>
      <c r="G40" s="290">
        <f>'UM-3 - L2 - Dia'!AS56</f>
        <v>0</v>
      </c>
      <c r="H40" s="290">
        <f>'UM-3 - L2 - Noite'!AS56</f>
        <v>0</v>
      </c>
      <c r="I40" s="290">
        <f t="shared" si="3"/>
        <v>0</v>
      </c>
      <c r="J40" s="262">
        <f t="shared" si="4"/>
        <v>0</v>
      </c>
      <c r="K40" s="260"/>
      <c r="L40" s="270">
        <v>29</v>
      </c>
      <c r="M40" s="171">
        <f t="shared" si="5"/>
        <v>29</v>
      </c>
      <c r="N40" s="172">
        <f t="shared" si="10"/>
        <v>39</v>
      </c>
      <c r="O40" s="262">
        <f t="shared" si="11"/>
        <v>39</v>
      </c>
      <c r="P40" s="269"/>
      <c r="Q40" s="181">
        <v>29</v>
      </c>
      <c r="R40" s="172">
        <f t="shared" si="6"/>
        <v>640</v>
      </c>
      <c r="S40" s="275" t="str">
        <f t="shared" si="7"/>
        <v>Tb c/ Boca Amassada - Câmera</v>
      </c>
      <c r="T40" s="172">
        <f t="shared" si="8"/>
        <v>0</v>
      </c>
      <c r="U40" s="287">
        <f t="shared" si="9"/>
        <v>0</v>
      </c>
      <c r="V40">
        <f t="shared" si="14"/>
        <v>0</v>
      </c>
      <c r="W40" s="460" t="e">
        <f t="shared" si="12"/>
        <v>#DIV/0!</v>
      </c>
      <c r="X40" s="298" t="e">
        <f t="shared" si="13"/>
        <v>#DIV/0!</v>
      </c>
    </row>
    <row r="41" spans="1:24">
      <c r="A41" s="154">
        <v>30</v>
      </c>
      <c r="B41" s="181">
        <v>550</v>
      </c>
      <c r="C41" s="172" t="str">
        <f>VLOOKUP(B41,'Tipos de Defeitos'!B42:E144,Menu!$B$24+1,)</f>
        <v>Contem estranho</v>
      </c>
      <c r="D41" s="295">
        <f>'UM-3 - L1 - Dia'!$AS57</f>
        <v>0</v>
      </c>
      <c r="E41" s="295">
        <f>'UM-3 - L1 - Noite'!$AS57</f>
        <v>0</v>
      </c>
      <c r="F41" s="290">
        <f t="shared" si="2"/>
        <v>0</v>
      </c>
      <c r="G41" s="290">
        <f>'UM-3 - L2 - Dia'!AS57</f>
        <v>0</v>
      </c>
      <c r="H41" s="290">
        <f>'UM-3 - L2 - Noite'!AS57</f>
        <v>0</v>
      </c>
      <c r="I41" s="290">
        <f t="shared" si="3"/>
        <v>0</v>
      </c>
      <c r="J41" s="262">
        <f t="shared" si="4"/>
        <v>0</v>
      </c>
      <c r="K41" s="260"/>
      <c r="L41" s="270">
        <v>30</v>
      </c>
      <c r="M41" s="171">
        <f t="shared" si="5"/>
        <v>30</v>
      </c>
      <c r="N41" s="172">
        <f t="shared" si="10"/>
        <v>38</v>
      </c>
      <c r="O41" s="262">
        <f t="shared" si="11"/>
        <v>38</v>
      </c>
      <c r="P41" s="269"/>
      <c r="Q41" s="181">
        <v>30</v>
      </c>
      <c r="R41" s="172">
        <f t="shared" si="6"/>
        <v>630</v>
      </c>
      <c r="S41" s="275" t="str">
        <f t="shared" si="7"/>
        <v>Tb c/ Boca Amassada - Operador</v>
      </c>
      <c r="T41" s="172">
        <f t="shared" si="8"/>
        <v>0</v>
      </c>
      <c r="U41" s="287">
        <f t="shared" si="9"/>
        <v>0</v>
      </c>
      <c r="V41">
        <f t="shared" si="14"/>
        <v>0</v>
      </c>
      <c r="W41" s="460" t="e">
        <f t="shared" si="12"/>
        <v>#DIV/0!</v>
      </c>
      <c r="X41" s="298" t="e">
        <f t="shared" si="13"/>
        <v>#DIV/0!</v>
      </c>
    </row>
    <row r="42" spans="1:24">
      <c r="A42" s="154">
        <v>31</v>
      </c>
      <c r="B42" s="181">
        <v>560</v>
      </c>
      <c r="C42" s="172" t="str">
        <f>VLOOKUP(B42,'Tipos de Defeitos'!B43:E145,Menu!$B$24+1,)</f>
        <v>Pedra de Óxido</v>
      </c>
      <c r="D42" s="295">
        <f>'UM-3 - L1 - Dia'!$AS58</f>
        <v>0</v>
      </c>
      <c r="E42" s="295">
        <f>'UM-3 - L1 - Noite'!$AS58</f>
        <v>0</v>
      </c>
      <c r="F42" s="290">
        <f t="shared" si="2"/>
        <v>0</v>
      </c>
      <c r="G42" s="290">
        <f>'UM-3 - L2 - Dia'!AS58</f>
        <v>0</v>
      </c>
      <c r="H42" s="290">
        <f>'UM-3 - L2 - Noite'!AS58</f>
        <v>0</v>
      </c>
      <c r="I42" s="290">
        <f t="shared" si="3"/>
        <v>0</v>
      </c>
      <c r="J42" s="262">
        <f t="shared" si="4"/>
        <v>0</v>
      </c>
      <c r="K42" s="260"/>
      <c r="L42" s="270">
        <v>31</v>
      </c>
      <c r="M42" s="171">
        <f t="shared" si="5"/>
        <v>31</v>
      </c>
      <c r="N42" s="172">
        <f t="shared" si="10"/>
        <v>37</v>
      </c>
      <c r="O42" s="262">
        <f t="shared" si="11"/>
        <v>37</v>
      </c>
      <c r="P42" s="269"/>
      <c r="Q42" s="181">
        <v>31</v>
      </c>
      <c r="R42" s="172">
        <f t="shared" si="6"/>
        <v>620</v>
      </c>
      <c r="S42" s="275" t="str">
        <f t="shared" si="7"/>
        <v>PY Queimado</v>
      </c>
      <c r="T42" s="172">
        <f t="shared" si="8"/>
        <v>0</v>
      </c>
      <c r="U42" s="287">
        <f t="shared" si="9"/>
        <v>0</v>
      </c>
      <c r="V42">
        <f t="shared" si="14"/>
        <v>0</v>
      </c>
      <c r="W42" s="460" t="e">
        <f t="shared" si="12"/>
        <v>#DIV/0!</v>
      </c>
      <c r="X42" s="298" t="e">
        <f t="shared" si="13"/>
        <v>#DIV/0!</v>
      </c>
    </row>
    <row r="43" spans="1:24">
      <c r="A43" s="154">
        <v>32</v>
      </c>
      <c r="B43" s="181">
        <v>570</v>
      </c>
      <c r="C43" s="172" t="str">
        <f>VLOOKUP(B43,'Tipos de Defeitos'!B44:E146,Menu!$B$24+1,)</f>
        <v>Carvão Quebrado V</v>
      </c>
      <c r="D43" s="295">
        <f>'UM-3 - L1 - Dia'!$AS59</f>
        <v>0</v>
      </c>
      <c r="E43" s="295">
        <f>'UM-3 - L1 - Noite'!$AS59</f>
        <v>0</v>
      </c>
      <c r="F43" s="290">
        <f t="shared" si="2"/>
        <v>0</v>
      </c>
      <c r="G43" s="290">
        <f>'UM-3 - L2 - Dia'!AS59</f>
        <v>0</v>
      </c>
      <c r="H43" s="290">
        <f>'UM-3 - L2 - Noite'!AS59</f>
        <v>0</v>
      </c>
      <c r="I43" s="290">
        <f t="shared" si="3"/>
        <v>0</v>
      </c>
      <c r="J43" s="262">
        <f t="shared" si="4"/>
        <v>0</v>
      </c>
      <c r="K43" s="260"/>
      <c r="L43" s="270">
        <v>32</v>
      </c>
      <c r="M43" s="171">
        <f t="shared" si="5"/>
        <v>32</v>
      </c>
      <c r="N43" s="172">
        <f t="shared" si="10"/>
        <v>36</v>
      </c>
      <c r="O43" s="262">
        <f t="shared" si="11"/>
        <v>36</v>
      </c>
      <c r="P43" s="269"/>
      <c r="Q43" s="181">
        <v>32</v>
      </c>
      <c r="R43" s="172">
        <f t="shared" si="6"/>
        <v>610</v>
      </c>
      <c r="S43" s="275" t="str">
        <f t="shared" si="7"/>
        <v>PY Fora de Centro</v>
      </c>
      <c r="T43" s="172">
        <f t="shared" si="8"/>
        <v>0</v>
      </c>
      <c r="U43" s="287">
        <f t="shared" si="9"/>
        <v>0</v>
      </c>
      <c r="V43">
        <f t="shared" si="14"/>
        <v>0</v>
      </c>
      <c r="W43" s="460" t="e">
        <f t="shared" si="12"/>
        <v>#DIV/0!</v>
      </c>
      <c r="X43" s="298" t="e">
        <f t="shared" si="13"/>
        <v>#DIV/0!</v>
      </c>
    </row>
    <row r="44" spans="1:24">
      <c r="A44" s="154">
        <v>33</v>
      </c>
      <c r="B44" s="181">
        <v>580</v>
      </c>
      <c r="C44" s="172" t="str">
        <f>VLOOKUP(B44,'Tipos de Defeitos'!B45:E147,Menu!$B$24+1,)</f>
        <v>Sem Selante</v>
      </c>
      <c r="D44" s="295">
        <f>'UM-3 - L1 - Dia'!$AS60</f>
        <v>0</v>
      </c>
      <c r="E44" s="295">
        <f>'UM-3 - L1 - Noite'!$AS60</f>
        <v>0</v>
      </c>
      <c r="F44" s="290">
        <f t="shared" si="2"/>
        <v>0</v>
      </c>
      <c r="G44" s="290">
        <f>'UM-3 - L2 - Dia'!AS60</f>
        <v>0</v>
      </c>
      <c r="H44" s="290">
        <f>'UM-3 - L2 - Noite'!AS60</f>
        <v>0</v>
      </c>
      <c r="I44" s="290">
        <f t="shared" si="3"/>
        <v>0</v>
      </c>
      <c r="J44" s="262">
        <f t="shared" si="4"/>
        <v>0</v>
      </c>
      <c r="K44" s="260"/>
      <c r="L44" s="270">
        <v>33</v>
      </c>
      <c r="M44" s="171">
        <f t="shared" ref="M44:M78" si="15">F44*1000+A44</f>
        <v>33</v>
      </c>
      <c r="N44" s="172">
        <f t="shared" si="10"/>
        <v>35</v>
      </c>
      <c r="O44" s="262">
        <f t="shared" si="11"/>
        <v>35</v>
      </c>
      <c r="P44" s="269"/>
      <c r="Q44" s="181">
        <v>33</v>
      </c>
      <c r="R44" s="172">
        <f t="shared" ref="R44:R78" si="16">VLOOKUP($O44,$A$12:$J$78,2,0)</f>
        <v>600</v>
      </c>
      <c r="S44" s="275" t="str">
        <f t="shared" ref="S44:S78" si="17">VLOOKUP($O44,$A$12:$J$78,3,0)</f>
        <v>Sem PY</v>
      </c>
      <c r="T44" s="172">
        <f t="shared" ref="T44:T78" si="18">VLOOKUP($O44,$A$12:$J$78,6,0)</f>
        <v>0</v>
      </c>
      <c r="U44" s="287">
        <f t="shared" ref="U44:U78" si="19">VLOOKUP($O44,$A$12:$J$78,7,0)</f>
        <v>0</v>
      </c>
      <c r="V44">
        <f t="shared" si="14"/>
        <v>0</v>
      </c>
      <c r="W44" s="460" t="e">
        <f t="shared" si="12"/>
        <v>#DIV/0!</v>
      </c>
      <c r="X44" s="298" t="e">
        <f t="shared" si="13"/>
        <v>#DIV/0!</v>
      </c>
    </row>
    <row r="45" spans="1:24">
      <c r="A45" s="154">
        <v>34</v>
      </c>
      <c r="B45" s="181">
        <v>590</v>
      </c>
      <c r="C45" s="172" t="str">
        <f>VLOOKUP(B45,'Tipos de Defeitos'!B46:E148,Menu!$B$24+1,)</f>
        <v>PY c/ Falha de Injeção</v>
      </c>
      <c r="D45" s="295">
        <f>'UM-3 - L1 - Dia'!$AS61</f>
        <v>0</v>
      </c>
      <c r="E45" s="295">
        <f>'UM-3 - L1 - Noite'!$AS61</f>
        <v>0</v>
      </c>
      <c r="F45" s="290">
        <f t="shared" si="2"/>
        <v>0</v>
      </c>
      <c r="G45" s="290">
        <f>'UM-3 - L2 - Dia'!AS61</f>
        <v>0</v>
      </c>
      <c r="H45" s="290">
        <f>'UM-3 - L2 - Noite'!AS61</f>
        <v>0</v>
      </c>
      <c r="I45" s="290">
        <f t="shared" si="3"/>
        <v>0</v>
      </c>
      <c r="J45" s="262">
        <f t="shared" si="4"/>
        <v>0</v>
      </c>
      <c r="K45" s="260"/>
      <c r="L45" s="270">
        <v>34</v>
      </c>
      <c r="M45" s="171">
        <f t="shared" si="15"/>
        <v>34</v>
      </c>
      <c r="N45" s="172">
        <f t="shared" si="10"/>
        <v>34</v>
      </c>
      <c r="O45" s="262">
        <f t="shared" si="11"/>
        <v>34</v>
      </c>
      <c r="P45" s="269"/>
      <c r="Q45" s="181">
        <v>34</v>
      </c>
      <c r="R45" s="172">
        <f t="shared" si="16"/>
        <v>590</v>
      </c>
      <c r="S45" s="275" t="str">
        <f t="shared" si="17"/>
        <v>PY c/ Falha de Injeção</v>
      </c>
      <c r="T45" s="172">
        <f t="shared" si="18"/>
        <v>0</v>
      </c>
      <c r="U45" s="287">
        <f t="shared" si="19"/>
        <v>0</v>
      </c>
      <c r="V45">
        <f t="shared" si="14"/>
        <v>0</v>
      </c>
      <c r="W45" s="460" t="e">
        <f t="shared" si="12"/>
        <v>#DIV/0!</v>
      </c>
      <c r="X45" s="298" t="e">
        <f t="shared" si="13"/>
        <v>#DIV/0!</v>
      </c>
    </row>
    <row r="46" spans="1:24">
      <c r="A46" s="154">
        <v>35</v>
      </c>
      <c r="B46" s="181">
        <v>600</v>
      </c>
      <c r="C46" s="172" t="str">
        <f>VLOOKUP(B46,'Tipos de Defeitos'!B47:E149,Menu!$B$24+1,)</f>
        <v>Sem PY</v>
      </c>
      <c r="D46" s="295">
        <f>'UM-3 - L1 - Dia'!$AS62</f>
        <v>0</v>
      </c>
      <c r="E46" s="295">
        <f>'UM-3 - L1 - Noite'!$AS62</f>
        <v>0</v>
      </c>
      <c r="F46" s="290">
        <f t="shared" si="2"/>
        <v>0</v>
      </c>
      <c r="G46" s="290">
        <f>'UM-3 - L2 - Dia'!AS62</f>
        <v>0</v>
      </c>
      <c r="H46" s="290">
        <f>'UM-3 - L2 - Noite'!AS62</f>
        <v>0</v>
      </c>
      <c r="I46" s="290">
        <f t="shared" si="3"/>
        <v>0</v>
      </c>
      <c r="J46" s="262">
        <f t="shared" si="4"/>
        <v>0</v>
      </c>
      <c r="K46" s="260"/>
      <c r="L46" s="270">
        <v>35</v>
      </c>
      <c r="M46" s="171">
        <f t="shared" si="15"/>
        <v>35</v>
      </c>
      <c r="N46" s="172">
        <f t="shared" si="10"/>
        <v>33</v>
      </c>
      <c r="O46" s="262">
        <f t="shared" si="11"/>
        <v>33</v>
      </c>
      <c r="P46" s="269"/>
      <c r="Q46" s="181">
        <v>35</v>
      </c>
      <c r="R46" s="172">
        <f t="shared" si="16"/>
        <v>580</v>
      </c>
      <c r="S46" s="275" t="str">
        <f t="shared" si="17"/>
        <v>Sem Selante</v>
      </c>
      <c r="T46" s="172">
        <f t="shared" si="18"/>
        <v>0</v>
      </c>
      <c r="U46" s="287">
        <f t="shared" si="19"/>
        <v>0</v>
      </c>
      <c r="V46">
        <f t="shared" si="14"/>
        <v>0</v>
      </c>
      <c r="W46" s="460" t="e">
        <f t="shared" si="12"/>
        <v>#DIV/0!</v>
      </c>
      <c r="X46" s="298" t="e">
        <f t="shared" si="13"/>
        <v>#DIV/0!</v>
      </c>
    </row>
    <row r="47" spans="1:24">
      <c r="A47" s="154">
        <v>36</v>
      </c>
      <c r="B47" s="181">
        <v>610</v>
      </c>
      <c r="C47" s="172" t="str">
        <f>VLOOKUP(B47,'Tipos de Defeitos'!B48:E150,Menu!$B$24+1,)</f>
        <v>PY Fora de Centro</v>
      </c>
      <c r="D47" s="295">
        <f>'UM-3 - L1 - Dia'!$AS63</f>
        <v>0</v>
      </c>
      <c r="E47" s="295">
        <f>'UM-3 - L1 - Noite'!$AS63</f>
        <v>0</v>
      </c>
      <c r="F47" s="290">
        <f t="shared" si="2"/>
        <v>0</v>
      </c>
      <c r="G47" s="290">
        <f>'UM-3 - L2 - Dia'!AS63</f>
        <v>0</v>
      </c>
      <c r="H47" s="290">
        <f>'UM-3 - L2 - Noite'!AS63</f>
        <v>0</v>
      </c>
      <c r="I47" s="290">
        <f t="shared" si="3"/>
        <v>0</v>
      </c>
      <c r="J47" s="262">
        <f t="shared" si="4"/>
        <v>0</v>
      </c>
      <c r="K47" s="260"/>
      <c r="L47" s="270">
        <v>36</v>
      </c>
      <c r="M47" s="171">
        <f t="shared" si="15"/>
        <v>36</v>
      </c>
      <c r="N47" s="172">
        <f t="shared" si="10"/>
        <v>32</v>
      </c>
      <c r="O47" s="262">
        <f t="shared" si="11"/>
        <v>32</v>
      </c>
      <c r="P47" s="269"/>
      <c r="Q47" s="181">
        <v>36</v>
      </c>
      <c r="R47" s="172">
        <f t="shared" si="16"/>
        <v>570</v>
      </c>
      <c r="S47" s="275" t="str">
        <f t="shared" si="17"/>
        <v>Carvão Quebrado V</v>
      </c>
      <c r="T47" s="172">
        <f t="shared" si="18"/>
        <v>0</v>
      </c>
      <c r="U47" s="287">
        <f t="shared" si="19"/>
        <v>0</v>
      </c>
      <c r="V47">
        <f t="shared" si="14"/>
        <v>0</v>
      </c>
      <c r="W47" s="460" t="e">
        <f t="shared" si="12"/>
        <v>#DIV/0!</v>
      </c>
      <c r="X47" s="298" t="e">
        <f t="shared" si="13"/>
        <v>#DIV/0!</v>
      </c>
    </row>
    <row r="48" spans="1:24">
      <c r="A48" s="154">
        <v>37</v>
      </c>
      <c r="B48" s="181">
        <v>620</v>
      </c>
      <c r="C48" s="172" t="str">
        <f>VLOOKUP(B48,'Tipos de Defeitos'!B49:E151,Menu!$B$24+1,)</f>
        <v>PY Queimado</v>
      </c>
      <c r="D48" s="295">
        <f>'UM-3 - L1 - Dia'!$AS64</f>
        <v>0</v>
      </c>
      <c r="E48" s="295">
        <f>'UM-3 - L1 - Noite'!$AS64</f>
        <v>0</v>
      </c>
      <c r="F48" s="290">
        <f t="shared" si="2"/>
        <v>0</v>
      </c>
      <c r="G48" s="290">
        <f>'UM-3 - L2 - Dia'!AS64</f>
        <v>0</v>
      </c>
      <c r="H48" s="290">
        <f>'UM-3 - L2 - Noite'!AS64</f>
        <v>0</v>
      </c>
      <c r="I48" s="290">
        <f t="shared" si="3"/>
        <v>0</v>
      </c>
      <c r="J48" s="262">
        <f t="shared" si="4"/>
        <v>0</v>
      </c>
      <c r="K48" s="260"/>
      <c r="L48" s="270">
        <v>37</v>
      </c>
      <c r="M48" s="171">
        <f t="shared" si="15"/>
        <v>37</v>
      </c>
      <c r="N48" s="172">
        <f t="shared" si="10"/>
        <v>31</v>
      </c>
      <c r="O48" s="262">
        <f t="shared" si="11"/>
        <v>31</v>
      </c>
      <c r="P48" s="269"/>
      <c r="Q48" s="181">
        <v>37</v>
      </c>
      <c r="R48" s="172">
        <f t="shared" si="16"/>
        <v>560</v>
      </c>
      <c r="S48" s="275" t="str">
        <f t="shared" si="17"/>
        <v>Pedra de Óxido</v>
      </c>
      <c r="T48" s="172">
        <f t="shared" si="18"/>
        <v>0</v>
      </c>
      <c r="U48" s="287">
        <f t="shared" si="19"/>
        <v>0</v>
      </c>
      <c r="V48">
        <f t="shared" si="14"/>
        <v>0</v>
      </c>
      <c r="W48" s="460" t="e">
        <f t="shared" si="12"/>
        <v>#DIV/0!</v>
      </c>
      <c r="X48" s="298" t="e">
        <f t="shared" si="13"/>
        <v>#DIV/0!</v>
      </c>
    </row>
    <row r="49" spans="1:24">
      <c r="A49" s="154">
        <v>38</v>
      </c>
      <c r="B49" s="181">
        <v>630</v>
      </c>
      <c r="C49" s="172" t="str">
        <f>VLOOKUP(B49,'Tipos de Defeitos'!B50:E152,Menu!$B$24+1,)</f>
        <v>Tb c/ Boca Amassada - Operador</v>
      </c>
      <c r="D49" s="295">
        <f>'UM-3 - L1 - Dia'!$AS65</f>
        <v>0</v>
      </c>
      <c r="E49" s="295">
        <f>'UM-3 - L1 - Noite'!$AS65</f>
        <v>0</v>
      </c>
      <c r="F49" s="290">
        <f t="shared" si="2"/>
        <v>0</v>
      </c>
      <c r="G49" s="290">
        <f>'UM-3 - L2 - Dia'!AS65</f>
        <v>0</v>
      </c>
      <c r="H49" s="290">
        <f>'UM-3 - L2 - Noite'!AS65</f>
        <v>0</v>
      </c>
      <c r="I49" s="290">
        <f t="shared" si="3"/>
        <v>0</v>
      </c>
      <c r="J49" s="262">
        <f t="shared" si="4"/>
        <v>0</v>
      </c>
      <c r="K49" s="260"/>
      <c r="L49" s="270">
        <v>38</v>
      </c>
      <c r="M49" s="171">
        <f t="shared" si="15"/>
        <v>38</v>
      </c>
      <c r="N49" s="172">
        <f t="shared" si="10"/>
        <v>30</v>
      </c>
      <c r="O49" s="262">
        <f t="shared" si="11"/>
        <v>30</v>
      </c>
      <c r="P49" s="269"/>
      <c r="Q49" s="181">
        <v>38</v>
      </c>
      <c r="R49" s="172">
        <f t="shared" si="16"/>
        <v>550</v>
      </c>
      <c r="S49" s="275" t="str">
        <f t="shared" si="17"/>
        <v>Contem estranho</v>
      </c>
      <c r="T49" s="172">
        <f t="shared" si="18"/>
        <v>0</v>
      </c>
      <c r="U49" s="287">
        <f t="shared" si="19"/>
        <v>0</v>
      </c>
      <c r="V49">
        <f t="shared" si="14"/>
        <v>0</v>
      </c>
      <c r="W49" s="460" t="e">
        <f t="shared" si="12"/>
        <v>#DIV/0!</v>
      </c>
      <c r="X49" s="298" t="e">
        <f t="shared" si="13"/>
        <v>#DIV/0!</v>
      </c>
    </row>
    <row r="50" spans="1:24">
      <c r="A50" s="154">
        <v>39</v>
      </c>
      <c r="B50" s="181">
        <v>640</v>
      </c>
      <c r="C50" s="172" t="str">
        <f>VLOOKUP(B50,'Tipos de Defeitos'!B51:E153,Menu!$B$24+1,)</f>
        <v>Tb c/ Boca Amassada - Câmera</v>
      </c>
      <c r="D50" s="295">
        <f>'UM-3 - L1 - Dia'!$AS66</f>
        <v>0</v>
      </c>
      <c r="E50" s="295">
        <f>'UM-3 - L1 - Noite'!$AS66</f>
        <v>0</v>
      </c>
      <c r="F50" s="290">
        <f t="shared" si="2"/>
        <v>0</v>
      </c>
      <c r="G50" s="290">
        <f>'UM-3 - L2 - Dia'!AS66</f>
        <v>0</v>
      </c>
      <c r="H50" s="290">
        <f>'UM-3 - L2 - Noite'!AS66</f>
        <v>0</v>
      </c>
      <c r="I50" s="290">
        <f t="shared" si="3"/>
        <v>0</v>
      </c>
      <c r="J50" s="262">
        <f t="shared" si="4"/>
        <v>0</v>
      </c>
      <c r="K50" s="260"/>
      <c r="L50" s="270">
        <v>39</v>
      </c>
      <c r="M50" s="171">
        <f t="shared" si="15"/>
        <v>39</v>
      </c>
      <c r="N50" s="172">
        <f t="shared" si="10"/>
        <v>29</v>
      </c>
      <c r="O50" s="262">
        <f t="shared" si="11"/>
        <v>29</v>
      </c>
      <c r="P50" s="269"/>
      <c r="Q50" s="181">
        <v>39</v>
      </c>
      <c r="R50" s="172">
        <f t="shared" si="16"/>
        <v>540</v>
      </c>
      <c r="S50" s="275" t="str">
        <f t="shared" si="17"/>
        <v>Mistura seca</v>
      </c>
      <c r="T50" s="172">
        <f t="shared" si="18"/>
        <v>0</v>
      </c>
      <c r="U50" s="287">
        <f t="shared" si="19"/>
        <v>0</v>
      </c>
      <c r="V50">
        <f t="shared" si="14"/>
        <v>0</v>
      </c>
      <c r="W50" s="460" t="e">
        <f t="shared" si="12"/>
        <v>#DIV/0!</v>
      </c>
      <c r="X50" s="298" t="e">
        <f t="shared" si="13"/>
        <v>#DIV/0!</v>
      </c>
    </row>
    <row r="51" spans="1:24">
      <c r="A51" s="154">
        <v>40</v>
      </c>
      <c r="B51" s="181">
        <v>650</v>
      </c>
      <c r="C51" s="172" t="str">
        <f>VLOOKUP(B51,'Tipos de Defeitos'!B52:E154,Menu!$B$24+1,)</f>
        <v>Tb c/ Boca Amassada - recuperada</v>
      </c>
      <c r="D51" s="295">
        <f>'UM-3 - L1 - Dia'!$AS67</f>
        <v>0</v>
      </c>
      <c r="E51" s="295">
        <f>'UM-3 - L1 - Noite'!$AS67</f>
        <v>0</v>
      </c>
      <c r="F51" s="290">
        <f t="shared" si="2"/>
        <v>0</v>
      </c>
      <c r="G51" s="290">
        <f>'UM-3 - L2 - Dia'!AS67</f>
        <v>0</v>
      </c>
      <c r="H51" s="290">
        <f>'UM-3 - L2 - Noite'!AS67</f>
        <v>0</v>
      </c>
      <c r="I51" s="290">
        <f t="shared" si="3"/>
        <v>0</v>
      </c>
      <c r="J51" s="262">
        <f t="shared" si="4"/>
        <v>0</v>
      </c>
      <c r="K51" s="260"/>
      <c r="L51" s="270">
        <v>40</v>
      </c>
      <c r="M51" s="171">
        <f t="shared" si="15"/>
        <v>40</v>
      </c>
      <c r="N51" s="172">
        <f t="shared" si="10"/>
        <v>28</v>
      </c>
      <c r="O51" s="262">
        <f t="shared" si="11"/>
        <v>28</v>
      </c>
      <c r="P51" s="269"/>
      <c r="Q51" s="181">
        <v>40</v>
      </c>
      <c r="R51" s="172">
        <f t="shared" si="16"/>
        <v>530</v>
      </c>
      <c r="S51" s="275" t="str">
        <f t="shared" si="17"/>
        <v>Bobina Molhada</v>
      </c>
      <c r="T51" s="172">
        <f t="shared" si="18"/>
        <v>0</v>
      </c>
      <c r="U51" s="287">
        <f t="shared" si="19"/>
        <v>0</v>
      </c>
      <c r="V51">
        <f t="shared" si="14"/>
        <v>0</v>
      </c>
      <c r="W51" s="460" t="e">
        <f t="shared" si="12"/>
        <v>#DIV/0!</v>
      </c>
      <c r="X51" s="298" t="e">
        <f t="shared" si="13"/>
        <v>#DIV/0!</v>
      </c>
    </row>
    <row r="52" spans="1:24">
      <c r="A52" s="154">
        <v>41</v>
      </c>
      <c r="B52" s="181">
        <v>660</v>
      </c>
      <c r="C52" s="172" t="str">
        <f>VLOOKUP(B52,'Tipos de Defeitos'!B53:E155,Menu!$B$24+1,)</f>
        <v>Tubo Rachado - Operador</v>
      </c>
      <c r="D52" s="295">
        <f>'UM-3 - L1 - Dia'!$AS68</f>
        <v>0</v>
      </c>
      <c r="E52" s="295">
        <f>'UM-3 - L1 - Noite'!$AS68</f>
        <v>0</v>
      </c>
      <c r="F52" s="290">
        <f t="shared" si="2"/>
        <v>0</v>
      </c>
      <c r="G52" s="290">
        <f>'UM-3 - L2 - Dia'!AS68</f>
        <v>0</v>
      </c>
      <c r="H52" s="290">
        <f>'UM-3 - L2 - Noite'!AS68</f>
        <v>0</v>
      </c>
      <c r="I52" s="290">
        <f t="shared" si="3"/>
        <v>0</v>
      </c>
      <c r="J52" s="262">
        <f t="shared" si="4"/>
        <v>0</v>
      </c>
      <c r="K52" s="260"/>
      <c r="L52" s="270">
        <v>41</v>
      </c>
      <c r="M52" s="171">
        <f t="shared" si="15"/>
        <v>41</v>
      </c>
      <c r="N52" s="172">
        <f t="shared" si="10"/>
        <v>27</v>
      </c>
      <c r="O52" s="262">
        <f t="shared" si="11"/>
        <v>27</v>
      </c>
      <c r="P52" s="269"/>
      <c r="Q52" s="181">
        <v>41</v>
      </c>
      <c r="R52" s="172">
        <f t="shared" si="16"/>
        <v>520</v>
      </c>
      <c r="S52" s="275" t="str">
        <f t="shared" si="17"/>
        <v>Bobina Alta</v>
      </c>
      <c r="T52" s="172">
        <f t="shared" si="18"/>
        <v>0</v>
      </c>
      <c r="U52" s="287">
        <f t="shared" si="19"/>
        <v>0</v>
      </c>
      <c r="V52">
        <f t="shared" si="14"/>
        <v>0</v>
      </c>
      <c r="W52" s="460" t="e">
        <f t="shared" si="12"/>
        <v>#DIV/0!</v>
      </c>
      <c r="X52" s="298" t="e">
        <f t="shared" si="13"/>
        <v>#DIV/0!</v>
      </c>
    </row>
    <row r="53" spans="1:24">
      <c r="A53" s="154">
        <v>42</v>
      </c>
      <c r="B53" s="181">
        <v>670</v>
      </c>
      <c r="C53" s="172" t="str">
        <f>VLOOKUP(B53,'Tipos de Defeitos'!B54:E156,Menu!$B$24+1,)</f>
        <v>Tubo Rachado - Câmera</v>
      </c>
      <c r="D53" s="295">
        <f>'UM-3 - L1 - Dia'!$AS69</f>
        <v>0</v>
      </c>
      <c r="E53" s="295">
        <f>'UM-3 - L1 - Noite'!$AS69</f>
        <v>0</v>
      </c>
      <c r="F53" s="290">
        <f t="shared" si="2"/>
        <v>0</v>
      </c>
      <c r="G53" s="290">
        <f>'UM-3 - L2 - Dia'!AS69</f>
        <v>0</v>
      </c>
      <c r="H53" s="290">
        <f>'UM-3 - L2 - Noite'!AS69</f>
        <v>0</v>
      </c>
      <c r="I53" s="290">
        <f t="shared" si="3"/>
        <v>0</v>
      </c>
      <c r="J53" s="262">
        <f t="shared" si="4"/>
        <v>0</v>
      </c>
      <c r="K53" s="260"/>
      <c r="L53" s="270">
        <v>42</v>
      </c>
      <c r="M53" s="171">
        <f t="shared" si="15"/>
        <v>42</v>
      </c>
      <c r="N53" s="172">
        <f t="shared" si="10"/>
        <v>26</v>
      </c>
      <c r="O53" s="262">
        <f t="shared" si="11"/>
        <v>26</v>
      </c>
      <c r="P53" s="269"/>
      <c r="Q53" s="181">
        <v>42</v>
      </c>
      <c r="R53" s="172">
        <f t="shared" si="16"/>
        <v>510</v>
      </c>
      <c r="S53" s="275" t="str">
        <f t="shared" si="17"/>
        <v>Bobina Baixa V</v>
      </c>
      <c r="T53" s="172">
        <f t="shared" si="18"/>
        <v>0</v>
      </c>
      <c r="U53" s="287">
        <f t="shared" si="19"/>
        <v>0</v>
      </c>
      <c r="V53">
        <f t="shared" si="14"/>
        <v>0</v>
      </c>
      <c r="W53" s="460" t="e">
        <f t="shared" si="12"/>
        <v>#DIV/0!</v>
      </c>
      <c r="X53" s="298" t="e">
        <f t="shared" si="13"/>
        <v>#DIV/0!</v>
      </c>
    </row>
    <row r="54" spans="1:24">
      <c r="A54" s="154">
        <v>43</v>
      </c>
      <c r="B54" s="181">
        <v>680</v>
      </c>
      <c r="C54" s="172" t="str">
        <f>VLOOKUP(B54,'Tipos de Defeitos'!B55:E157,Menu!$B$24+1,)</f>
        <v>Tubo de Zinco Amassado</v>
      </c>
      <c r="D54" s="295">
        <f>'UM-3 - L1 - Dia'!$AS70</f>
        <v>0</v>
      </c>
      <c r="E54" s="295">
        <f>'UM-3 - L1 - Noite'!$AS70</f>
        <v>0</v>
      </c>
      <c r="F54" s="290">
        <f t="shared" si="2"/>
        <v>0</v>
      </c>
      <c r="G54" s="290">
        <f>'UM-3 - L2 - Dia'!AS70</f>
        <v>0</v>
      </c>
      <c r="H54" s="290">
        <f>'UM-3 - L2 - Noite'!AS70</f>
        <v>0</v>
      </c>
      <c r="I54" s="290">
        <f t="shared" si="3"/>
        <v>0</v>
      </c>
      <c r="J54" s="262">
        <f t="shared" si="4"/>
        <v>0</v>
      </c>
      <c r="K54" s="260"/>
      <c r="L54" s="270">
        <v>43</v>
      </c>
      <c r="M54" s="171">
        <f t="shared" si="15"/>
        <v>43</v>
      </c>
      <c r="N54" s="172">
        <f t="shared" si="10"/>
        <v>25</v>
      </c>
      <c r="O54" s="262">
        <f t="shared" si="11"/>
        <v>25</v>
      </c>
      <c r="P54" s="269"/>
      <c r="Q54" s="181">
        <v>43</v>
      </c>
      <c r="R54" s="172">
        <f t="shared" si="16"/>
        <v>500</v>
      </c>
      <c r="S54" s="275" t="str">
        <f t="shared" si="17"/>
        <v>Pó de Mistura</v>
      </c>
      <c r="T54" s="172">
        <f t="shared" si="18"/>
        <v>0</v>
      </c>
      <c r="U54" s="287">
        <f t="shared" si="19"/>
        <v>0</v>
      </c>
      <c r="V54">
        <f t="shared" si="14"/>
        <v>0</v>
      </c>
      <c r="W54" s="460" t="e">
        <f t="shared" si="12"/>
        <v>#DIV/0!</v>
      </c>
      <c r="X54" s="298" t="e">
        <f t="shared" si="13"/>
        <v>#DIV/0!</v>
      </c>
    </row>
    <row r="55" spans="1:24">
      <c r="A55" s="154">
        <v>44</v>
      </c>
      <c r="B55" s="181">
        <v>690</v>
      </c>
      <c r="C55" s="172" t="str">
        <f>VLOOKUP(B55,'Tipos de Defeitos'!B56:E158,Menu!$B$24+1,)</f>
        <v>Tubo com Rebarba</v>
      </c>
      <c r="D55" s="295">
        <f>'UM-3 - L1 - Dia'!$AS71</f>
        <v>0</v>
      </c>
      <c r="E55" s="295">
        <f>'UM-3 - L1 - Noite'!$AS71</f>
        <v>0</v>
      </c>
      <c r="F55" s="290">
        <f t="shared" si="2"/>
        <v>0</v>
      </c>
      <c r="G55" s="290">
        <f>'UM-3 - L2 - Dia'!AS71</f>
        <v>0</v>
      </c>
      <c r="H55" s="290">
        <f>'UM-3 - L2 - Noite'!AS71</f>
        <v>0</v>
      </c>
      <c r="I55" s="290">
        <f t="shared" si="3"/>
        <v>0</v>
      </c>
      <c r="J55" s="262">
        <f t="shared" si="4"/>
        <v>0</v>
      </c>
      <c r="K55" s="260"/>
      <c r="L55" s="270">
        <v>44</v>
      </c>
      <c r="M55" s="171">
        <f t="shared" si="15"/>
        <v>44</v>
      </c>
      <c r="N55" s="172">
        <f t="shared" si="10"/>
        <v>24</v>
      </c>
      <c r="O55" s="262">
        <f t="shared" si="11"/>
        <v>24</v>
      </c>
      <c r="P55" s="269"/>
      <c r="Q55" s="181">
        <v>44</v>
      </c>
      <c r="R55" s="172">
        <f t="shared" si="16"/>
        <v>490</v>
      </c>
      <c r="S55" s="275" t="str">
        <f t="shared" si="17"/>
        <v>Mistura no Tubo</v>
      </c>
      <c r="T55" s="172">
        <f t="shared" si="18"/>
        <v>0</v>
      </c>
      <c r="U55" s="287">
        <f t="shared" si="19"/>
        <v>0</v>
      </c>
      <c r="V55">
        <f t="shared" si="14"/>
        <v>0</v>
      </c>
      <c r="W55" s="460" t="e">
        <f t="shared" si="12"/>
        <v>#DIV/0!</v>
      </c>
      <c r="X55" s="298" t="e">
        <f t="shared" si="13"/>
        <v>#DIV/0!</v>
      </c>
    </row>
    <row r="56" spans="1:24">
      <c r="A56" s="154">
        <v>45</v>
      </c>
      <c r="B56" s="181">
        <v>700</v>
      </c>
      <c r="C56" s="172" t="str">
        <f>VLOOKUP(B56,'Tipos de Defeitos'!B57:E159,Menu!$B$24+1,)</f>
        <v>Curto Circuito Externo</v>
      </c>
      <c r="D56" s="295">
        <f>'UM-3 - L1 - Dia'!$AS72</f>
        <v>0</v>
      </c>
      <c r="E56" s="295">
        <f>'UM-3 - L1 - Noite'!$AS72</f>
        <v>0</v>
      </c>
      <c r="F56" s="290">
        <f t="shared" si="2"/>
        <v>0</v>
      </c>
      <c r="G56" s="290">
        <f>'UM-3 - L2 - Dia'!AS72</f>
        <v>0</v>
      </c>
      <c r="H56" s="290">
        <f>'UM-3 - L2 - Noite'!AS72</f>
        <v>0</v>
      </c>
      <c r="I56" s="290">
        <f t="shared" si="3"/>
        <v>0</v>
      </c>
      <c r="J56" s="262">
        <f t="shared" si="4"/>
        <v>0</v>
      </c>
      <c r="K56" s="260"/>
      <c r="L56" s="270">
        <v>45</v>
      </c>
      <c r="M56" s="171">
        <f t="shared" si="15"/>
        <v>45</v>
      </c>
      <c r="N56" s="172">
        <f t="shared" si="10"/>
        <v>23</v>
      </c>
      <c r="O56" s="262">
        <f t="shared" si="11"/>
        <v>23</v>
      </c>
      <c r="P56" s="269"/>
      <c r="Q56" s="181">
        <v>45</v>
      </c>
      <c r="R56" s="172">
        <f t="shared" si="16"/>
        <v>480</v>
      </c>
      <c r="S56" s="275" t="str">
        <f t="shared" si="17"/>
        <v>Cobre</v>
      </c>
      <c r="T56" s="172">
        <f t="shared" si="18"/>
        <v>0</v>
      </c>
      <c r="U56" s="287">
        <f t="shared" si="19"/>
        <v>0</v>
      </c>
      <c r="V56">
        <f t="shared" si="14"/>
        <v>0</v>
      </c>
      <c r="W56" s="460" t="e">
        <f t="shared" si="12"/>
        <v>#DIV/0!</v>
      </c>
      <c r="X56" s="298" t="e">
        <f t="shared" si="13"/>
        <v>#DIV/0!</v>
      </c>
    </row>
    <row r="57" spans="1:24">
      <c r="A57" s="154">
        <v>46</v>
      </c>
      <c r="B57" s="181">
        <v>710</v>
      </c>
      <c r="C57" s="172" t="str">
        <f>VLOOKUP(B57,'Tipos de Defeitos'!B58:E160,Menu!$B$24+1,)</f>
        <v>Curto Circ. Externo -  recuperada</v>
      </c>
      <c r="D57" s="295">
        <f>'UM-3 - L1 - Dia'!$AS73</f>
        <v>0</v>
      </c>
      <c r="E57" s="295">
        <f>'UM-3 - L1 - Noite'!$AS73</f>
        <v>0</v>
      </c>
      <c r="F57" s="290">
        <f t="shared" si="2"/>
        <v>0</v>
      </c>
      <c r="G57" s="290">
        <f>'UM-3 - L2 - Dia'!AS73</f>
        <v>0</v>
      </c>
      <c r="H57" s="290">
        <f>'UM-3 - L2 - Noite'!AS73</f>
        <v>0</v>
      </c>
      <c r="I57" s="290">
        <f t="shared" si="3"/>
        <v>0</v>
      </c>
      <c r="J57" s="262">
        <f t="shared" si="4"/>
        <v>0</v>
      </c>
      <c r="K57" s="260"/>
      <c r="L57" s="270">
        <v>46</v>
      </c>
      <c r="M57" s="171">
        <f t="shared" si="15"/>
        <v>46</v>
      </c>
      <c r="N57" s="172">
        <f t="shared" si="10"/>
        <v>22</v>
      </c>
      <c r="O57" s="262">
        <f t="shared" si="11"/>
        <v>22</v>
      </c>
      <c r="P57" s="269"/>
      <c r="Q57" s="181">
        <v>46</v>
      </c>
      <c r="R57" s="172">
        <f t="shared" si="16"/>
        <v>470</v>
      </c>
      <c r="S57" s="275" t="str">
        <f t="shared" si="17"/>
        <v>Ferro</v>
      </c>
      <c r="T57" s="172">
        <f t="shared" si="18"/>
        <v>0</v>
      </c>
      <c r="U57" s="287">
        <f t="shared" si="19"/>
        <v>0</v>
      </c>
      <c r="V57">
        <f t="shared" si="14"/>
        <v>0</v>
      </c>
      <c r="W57" s="460" t="e">
        <f t="shared" si="12"/>
        <v>#DIV/0!</v>
      </c>
      <c r="X57" s="298" t="e">
        <f t="shared" si="13"/>
        <v>#DIV/0!</v>
      </c>
    </row>
    <row r="58" spans="1:24">
      <c r="A58" s="154">
        <v>47</v>
      </c>
      <c r="B58" s="181">
        <v>720</v>
      </c>
      <c r="C58" s="172" t="str">
        <f>VLOOKUP(B58,'Tipos de Defeitos'!B59:E161,Menu!$B$24+1,)</f>
        <v>Pilha recuperada do Acabamento</v>
      </c>
      <c r="D58" s="295">
        <f>'UM-3 - L1 - Dia'!$AS74</f>
        <v>0</v>
      </c>
      <c r="E58" s="295">
        <f>'UM-3 - L1 - Noite'!$AS74</f>
        <v>0</v>
      </c>
      <c r="F58" s="290">
        <f t="shared" si="2"/>
        <v>0</v>
      </c>
      <c r="G58" s="290">
        <f>'UM-3 - L2 - Dia'!AS74</f>
        <v>0</v>
      </c>
      <c r="H58" s="290">
        <f>'UM-3 - L2 - Noite'!AS74</f>
        <v>0</v>
      </c>
      <c r="I58" s="290">
        <f t="shared" si="3"/>
        <v>0</v>
      </c>
      <c r="J58" s="262">
        <f t="shared" si="4"/>
        <v>0</v>
      </c>
      <c r="K58" s="260"/>
      <c r="L58" s="270">
        <v>47</v>
      </c>
      <c r="M58" s="171">
        <f t="shared" si="15"/>
        <v>47</v>
      </c>
      <c r="N58" s="172">
        <f t="shared" si="10"/>
        <v>21</v>
      </c>
      <c r="O58" s="262">
        <f t="shared" si="11"/>
        <v>21</v>
      </c>
      <c r="P58" s="269"/>
      <c r="Q58" s="181">
        <v>47</v>
      </c>
      <c r="R58" s="172">
        <f t="shared" si="16"/>
        <v>460</v>
      </c>
      <c r="S58" s="275" t="str">
        <f t="shared" si="17"/>
        <v>Manchado Superior</v>
      </c>
      <c r="T58" s="172">
        <f t="shared" si="18"/>
        <v>0</v>
      </c>
      <c r="U58" s="287">
        <f t="shared" si="19"/>
        <v>0</v>
      </c>
      <c r="V58">
        <f t="shared" si="14"/>
        <v>0</v>
      </c>
      <c r="W58" s="460" t="e">
        <f t="shared" si="12"/>
        <v>#DIV/0!</v>
      </c>
      <c r="X58" s="298" t="e">
        <f t="shared" si="13"/>
        <v>#DIV/0!</v>
      </c>
    </row>
    <row r="59" spans="1:24">
      <c r="A59" s="154">
        <v>48</v>
      </c>
      <c r="B59" s="181">
        <v>730</v>
      </c>
      <c r="C59" s="172" t="str">
        <f>VLOOKUP(B59,'Tipos de Defeitos'!B60:E162,Menu!$B$24+1,)</f>
        <v>Causa Desconhecida - Voltagem</v>
      </c>
      <c r="D59" s="295">
        <f>'UM-3 - L1 - Dia'!$AS75</f>
        <v>0</v>
      </c>
      <c r="E59" s="295">
        <f>'UM-3 - L1 - Noite'!$AS75</f>
        <v>0</v>
      </c>
      <c r="F59" s="290">
        <f t="shared" si="2"/>
        <v>0</v>
      </c>
      <c r="G59" s="290">
        <f>'UM-3 - L2 - Dia'!AS75</f>
        <v>0</v>
      </c>
      <c r="H59" s="290">
        <f>'UM-3 - L2 - Noite'!AS75</f>
        <v>0</v>
      </c>
      <c r="I59" s="290">
        <f t="shared" si="3"/>
        <v>0</v>
      </c>
      <c r="J59" s="262">
        <f t="shared" si="4"/>
        <v>0</v>
      </c>
      <c r="K59" s="260"/>
      <c r="L59" s="270">
        <v>48</v>
      </c>
      <c r="M59" s="171">
        <f t="shared" si="15"/>
        <v>48</v>
      </c>
      <c r="N59" s="172">
        <f t="shared" si="10"/>
        <v>20</v>
      </c>
      <c r="O59" s="262">
        <f t="shared" si="11"/>
        <v>20</v>
      </c>
      <c r="P59" s="269"/>
      <c r="Q59" s="181">
        <v>48</v>
      </c>
      <c r="R59" s="172">
        <f t="shared" si="16"/>
        <v>450</v>
      </c>
      <c r="S59" s="275" t="str">
        <f t="shared" si="17"/>
        <v>Manchado</v>
      </c>
      <c r="T59" s="172">
        <f t="shared" si="18"/>
        <v>0</v>
      </c>
      <c r="U59" s="287">
        <f t="shared" si="19"/>
        <v>0</v>
      </c>
      <c r="V59">
        <f t="shared" si="14"/>
        <v>0</v>
      </c>
      <c r="W59" s="460" t="e">
        <f t="shared" si="12"/>
        <v>#DIV/0!</v>
      </c>
      <c r="X59" s="298" t="e">
        <f t="shared" si="13"/>
        <v>#DIV/0!</v>
      </c>
    </row>
    <row r="60" spans="1:24">
      <c r="A60" s="154">
        <v>49</v>
      </c>
      <c r="B60" s="181">
        <v>740</v>
      </c>
      <c r="C60" s="172" t="str">
        <f>VLOOKUP(B60,'Tipos de Defeitos'!B61:E163,Menu!$B$24+1,)</f>
        <v>Pilha Boa</v>
      </c>
      <c r="D60" s="295">
        <f>'UM-3 - L1 - Dia'!$AS76</f>
        <v>0</v>
      </c>
      <c r="E60" s="295">
        <f>'UM-3 - L1 - Noite'!$AS76</f>
        <v>0</v>
      </c>
      <c r="F60" s="290">
        <f t="shared" si="2"/>
        <v>0</v>
      </c>
      <c r="G60" s="290">
        <f>'UM-3 - L2 - Dia'!AS76</f>
        <v>0</v>
      </c>
      <c r="H60" s="290">
        <f>'UM-3 - L2 - Noite'!AS76</f>
        <v>0</v>
      </c>
      <c r="I60" s="290">
        <f t="shared" si="3"/>
        <v>0</v>
      </c>
      <c r="J60" s="262">
        <f t="shared" si="4"/>
        <v>0</v>
      </c>
      <c r="K60" s="260"/>
      <c r="L60" s="270">
        <v>49</v>
      </c>
      <c r="M60" s="171">
        <f t="shared" si="15"/>
        <v>49</v>
      </c>
      <c r="N60" s="172">
        <f t="shared" si="10"/>
        <v>19</v>
      </c>
      <c r="O60" s="262">
        <f t="shared" si="11"/>
        <v>19</v>
      </c>
      <c r="P60" s="269"/>
      <c r="Q60" s="181">
        <v>49</v>
      </c>
      <c r="R60" s="172">
        <f t="shared" si="16"/>
        <v>440</v>
      </c>
      <c r="S60" s="275" t="str">
        <f t="shared" si="17"/>
        <v>Papel sujo</v>
      </c>
      <c r="T60" s="172">
        <f t="shared" si="18"/>
        <v>0</v>
      </c>
      <c r="U60" s="287">
        <f t="shared" si="19"/>
        <v>0</v>
      </c>
      <c r="V60">
        <f t="shared" si="14"/>
        <v>0</v>
      </c>
      <c r="W60" s="460" t="e">
        <f t="shared" si="12"/>
        <v>#DIV/0!</v>
      </c>
      <c r="X60" s="298" t="e">
        <f t="shared" si="13"/>
        <v>#DIV/0!</v>
      </c>
    </row>
    <row r="61" spans="1:24">
      <c r="A61" s="154">
        <v>50</v>
      </c>
      <c r="B61" s="181">
        <v>750</v>
      </c>
      <c r="C61" s="172" t="str">
        <f>VLOOKUP(B61,'Tipos de Defeitos'!B62:E164,Menu!$B$24+1,)</f>
        <v>Outros - Voltagem</v>
      </c>
      <c r="D61" s="295">
        <f>'UM-3 - L1 - Dia'!$AS77</f>
        <v>0</v>
      </c>
      <c r="E61" s="295">
        <f>'UM-3 - L1 - Noite'!$AS77</f>
        <v>0</v>
      </c>
      <c r="F61" s="290">
        <f t="shared" si="2"/>
        <v>0</v>
      </c>
      <c r="G61" s="290">
        <f>'UM-3 - L2 - Dia'!AS77</f>
        <v>0</v>
      </c>
      <c r="H61" s="290">
        <f>'UM-3 - L2 - Noite'!AS77</f>
        <v>0</v>
      </c>
      <c r="I61" s="290">
        <f t="shared" si="3"/>
        <v>0</v>
      </c>
      <c r="J61" s="262">
        <f t="shared" si="4"/>
        <v>0</v>
      </c>
      <c r="K61" s="260"/>
      <c r="L61" s="270">
        <v>50</v>
      </c>
      <c r="M61" s="171">
        <f t="shared" si="15"/>
        <v>50</v>
      </c>
      <c r="N61" s="172">
        <f t="shared" si="10"/>
        <v>18</v>
      </c>
      <c r="O61" s="262">
        <f t="shared" si="11"/>
        <v>18</v>
      </c>
      <c r="P61" s="269"/>
      <c r="Q61" s="181">
        <v>50</v>
      </c>
      <c r="R61" s="172">
        <f t="shared" si="16"/>
        <v>430</v>
      </c>
      <c r="S61" s="275" t="str">
        <f t="shared" si="17"/>
        <v>Isolador Inclinado</v>
      </c>
      <c r="T61" s="172">
        <f t="shared" si="18"/>
        <v>0</v>
      </c>
      <c r="U61" s="287">
        <f t="shared" si="19"/>
        <v>0</v>
      </c>
      <c r="V61">
        <f t="shared" si="14"/>
        <v>0</v>
      </c>
      <c r="W61" s="460" t="e">
        <f t="shared" si="12"/>
        <v>#DIV/0!</v>
      </c>
      <c r="X61" s="298" t="e">
        <f t="shared" si="13"/>
        <v>#DIV/0!</v>
      </c>
    </row>
    <row r="62" spans="1:24">
      <c r="A62" s="154">
        <v>51</v>
      </c>
      <c r="B62" s="181">
        <v>840</v>
      </c>
      <c r="C62" s="172" t="str">
        <f>VLOOKUP(B62,'Tipos de Defeitos'!B63:E165,Menu!$B$24+1,)</f>
        <v>Papel Separdor Duplo</v>
      </c>
      <c r="D62" s="295">
        <f>'UM-3 - L1 - Dia'!$AS86</f>
        <v>0</v>
      </c>
      <c r="E62" s="295">
        <f>'UM-3 - L1 - Noite'!$AS86</f>
        <v>0</v>
      </c>
      <c r="F62" s="290">
        <f t="shared" si="2"/>
        <v>0</v>
      </c>
      <c r="G62" s="290">
        <f>'UM-3 - L2 - Dia'!AS86</f>
        <v>0</v>
      </c>
      <c r="H62" s="290">
        <f>'UM-3 - L2 - Noite'!AS86</f>
        <v>0</v>
      </c>
      <c r="I62" s="290">
        <f t="shared" si="3"/>
        <v>0</v>
      </c>
      <c r="J62" s="262">
        <f t="shared" si="4"/>
        <v>0</v>
      </c>
      <c r="K62" s="260"/>
      <c r="L62" s="270">
        <v>51</v>
      </c>
      <c r="M62" s="171">
        <f t="shared" si="15"/>
        <v>51</v>
      </c>
      <c r="N62" s="172">
        <f t="shared" si="10"/>
        <v>17</v>
      </c>
      <c r="O62" s="262">
        <f t="shared" si="11"/>
        <v>17</v>
      </c>
      <c r="P62" s="269"/>
      <c r="Q62" s="181">
        <v>51</v>
      </c>
      <c r="R62" s="172">
        <f t="shared" si="16"/>
        <v>420</v>
      </c>
      <c r="S62" s="275" t="str">
        <f t="shared" si="17"/>
        <v>Isolador afundado</v>
      </c>
      <c r="T62" s="172">
        <f t="shared" si="18"/>
        <v>0</v>
      </c>
      <c r="U62" s="287">
        <f t="shared" si="19"/>
        <v>0</v>
      </c>
      <c r="V62">
        <f t="shared" si="14"/>
        <v>0</v>
      </c>
      <c r="W62" s="460" t="e">
        <f t="shared" si="12"/>
        <v>#DIV/0!</v>
      </c>
      <c r="X62" s="298" t="e">
        <f t="shared" si="13"/>
        <v>#DIV/0!</v>
      </c>
    </row>
    <row r="63" spans="1:24">
      <c r="A63" s="154">
        <v>52</v>
      </c>
      <c r="B63" s="181">
        <v>850</v>
      </c>
      <c r="C63" s="172" t="str">
        <f>VLOOKUP(B63,'Tipos de Defeitos'!B64:E166,Menu!$B$24+1,)</f>
        <v>Pedra de Negro</v>
      </c>
      <c r="D63" s="295">
        <f>'UM-3 - L1 - Dia'!$AS87</f>
        <v>0</v>
      </c>
      <c r="E63" s="295">
        <f>'UM-3 - L1 - Noite'!$AS87</f>
        <v>0</v>
      </c>
      <c r="F63" s="290">
        <f t="shared" si="2"/>
        <v>0</v>
      </c>
      <c r="G63" s="290">
        <f>'UM-3 - L2 - Dia'!AS87</f>
        <v>0</v>
      </c>
      <c r="H63" s="290">
        <f>'UM-3 - L2 - Noite'!AS87</f>
        <v>0</v>
      </c>
      <c r="I63" s="290">
        <f t="shared" si="3"/>
        <v>0</v>
      </c>
      <c r="J63" s="262">
        <f t="shared" si="4"/>
        <v>0</v>
      </c>
      <c r="K63" s="260"/>
      <c r="L63" s="270">
        <v>52</v>
      </c>
      <c r="M63" s="171">
        <f t="shared" si="15"/>
        <v>52</v>
      </c>
      <c r="N63" s="172">
        <f t="shared" si="10"/>
        <v>16</v>
      </c>
      <c r="O63" s="262">
        <f t="shared" si="11"/>
        <v>16</v>
      </c>
      <c r="P63" s="269"/>
      <c r="Q63" s="181">
        <v>52</v>
      </c>
      <c r="R63" s="172">
        <f t="shared" si="16"/>
        <v>410</v>
      </c>
      <c r="S63" s="275" t="str">
        <f t="shared" si="17"/>
        <v>Isolador fora de centro</v>
      </c>
      <c r="T63" s="172">
        <f t="shared" si="18"/>
        <v>0</v>
      </c>
      <c r="U63" s="287">
        <f t="shared" si="19"/>
        <v>0</v>
      </c>
      <c r="V63">
        <f t="shared" si="14"/>
        <v>0</v>
      </c>
      <c r="W63" s="460" t="e">
        <f t="shared" si="12"/>
        <v>#DIV/0!</v>
      </c>
      <c r="X63" s="298" t="e">
        <f t="shared" si="13"/>
        <v>#DIV/0!</v>
      </c>
    </row>
    <row r="64" spans="1:24">
      <c r="A64" s="154">
        <v>53</v>
      </c>
      <c r="B64" s="181">
        <v>860</v>
      </c>
      <c r="C64" s="172" t="str">
        <f>VLOOKUP(B64,'Tipos de Defeitos'!B65:E167,Menu!$B$24+1,)</f>
        <v>Pedra de Cl de Amônia</v>
      </c>
      <c r="D64" s="295">
        <f>'UM-3 - L1 - Dia'!$AS88</f>
        <v>0</v>
      </c>
      <c r="E64" s="295">
        <f>'UM-3 - L1 - Noite'!$AS88</f>
        <v>0</v>
      </c>
      <c r="F64" s="290">
        <f t="shared" si="2"/>
        <v>0</v>
      </c>
      <c r="G64" s="290">
        <f>'UM-3 - L2 - Dia'!AS88</f>
        <v>0</v>
      </c>
      <c r="H64" s="290">
        <f>'UM-3 - L2 - Noite'!AS88</f>
        <v>0</v>
      </c>
      <c r="I64" s="290">
        <f t="shared" si="3"/>
        <v>0</v>
      </c>
      <c r="J64" s="262">
        <f t="shared" si="4"/>
        <v>0</v>
      </c>
      <c r="K64" s="260"/>
      <c r="L64" s="270">
        <v>53</v>
      </c>
      <c r="M64" s="171">
        <f t="shared" si="15"/>
        <v>53</v>
      </c>
      <c r="N64" s="172">
        <f t="shared" si="10"/>
        <v>15</v>
      </c>
      <c r="O64" s="262">
        <f t="shared" si="11"/>
        <v>15</v>
      </c>
      <c r="P64" s="269"/>
      <c r="Q64" s="181">
        <v>53</v>
      </c>
      <c r="R64" s="172">
        <f t="shared" si="16"/>
        <v>400</v>
      </c>
      <c r="S64" s="275" t="str">
        <f t="shared" si="17"/>
        <v>Disco fora de centro / deslocado</v>
      </c>
      <c r="T64" s="172">
        <f t="shared" si="18"/>
        <v>0</v>
      </c>
      <c r="U64" s="287">
        <f t="shared" si="19"/>
        <v>0</v>
      </c>
      <c r="V64">
        <f t="shared" si="14"/>
        <v>0</v>
      </c>
      <c r="W64" s="460" t="e">
        <f t="shared" si="12"/>
        <v>#DIV/0!</v>
      </c>
      <c r="X64" s="298" t="e">
        <f t="shared" si="13"/>
        <v>#DIV/0!</v>
      </c>
    </row>
    <row r="65" spans="1:24">
      <c r="A65" s="154">
        <v>54</v>
      </c>
      <c r="B65" s="181">
        <v>870</v>
      </c>
      <c r="C65" s="172" t="str">
        <f>VLOOKUP(B65,'Tipos de Defeitos'!B66:E168,Menu!$B$24+1,)</f>
        <v>Pelota de Manganês</v>
      </c>
      <c r="D65" s="295">
        <f>'UM-3 - L1 - Dia'!$AS89</f>
        <v>0</v>
      </c>
      <c r="E65" s="295">
        <f>'UM-3 - L1 - Noite'!$AS89</f>
        <v>0</v>
      </c>
      <c r="F65" s="290">
        <f t="shared" si="2"/>
        <v>0</v>
      </c>
      <c r="G65" s="290">
        <f>'UM-3 - L2 - Dia'!AS89</f>
        <v>0</v>
      </c>
      <c r="H65" s="290">
        <f>'UM-3 - L2 - Noite'!AS89</f>
        <v>0</v>
      </c>
      <c r="I65" s="290">
        <f t="shared" si="3"/>
        <v>0</v>
      </c>
      <c r="J65" s="262">
        <f t="shared" si="4"/>
        <v>0</v>
      </c>
      <c r="K65" s="260"/>
      <c r="L65" s="270">
        <v>54</v>
      </c>
      <c r="M65" s="171">
        <f t="shared" si="15"/>
        <v>54</v>
      </c>
      <c r="N65" s="172">
        <f t="shared" si="10"/>
        <v>14</v>
      </c>
      <c r="O65" s="262">
        <f t="shared" si="11"/>
        <v>14</v>
      </c>
      <c r="P65" s="269"/>
      <c r="Q65" s="181">
        <v>54</v>
      </c>
      <c r="R65" s="172">
        <f t="shared" si="16"/>
        <v>390</v>
      </c>
      <c r="S65" s="275" t="str">
        <f t="shared" si="17"/>
        <v>Disco Dobrado</v>
      </c>
      <c r="T65" s="172">
        <f t="shared" si="18"/>
        <v>0</v>
      </c>
      <c r="U65" s="287">
        <f t="shared" si="19"/>
        <v>0</v>
      </c>
      <c r="V65">
        <f t="shared" si="14"/>
        <v>0</v>
      </c>
      <c r="W65" s="460" t="e">
        <f t="shared" si="12"/>
        <v>#DIV/0!</v>
      </c>
      <c r="X65" s="298" t="e">
        <f t="shared" si="13"/>
        <v>#DIV/0!</v>
      </c>
    </row>
    <row r="66" spans="1:24">
      <c r="A66" s="154">
        <v>55</v>
      </c>
      <c r="B66" s="181">
        <v>880</v>
      </c>
      <c r="C66" s="172" t="str">
        <f>VLOOKUP(B66,'Tipos de Defeitos'!B67:E169,Menu!$B$24+1,)</f>
        <v>Bobina Baixa A</v>
      </c>
      <c r="D66" s="295">
        <f>'UM-3 - L1 - Dia'!$AS90</f>
        <v>0</v>
      </c>
      <c r="E66" s="295">
        <f>'UM-3 - L1 - Noite'!$AS90</f>
        <v>0</v>
      </c>
      <c r="F66" s="290">
        <f t="shared" si="2"/>
        <v>0</v>
      </c>
      <c r="G66" s="290">
        <f>'UM-3 - L2 - Dia'!AS90</f>
        <v>0</v>
      </c>
      <c r="H66" s="290">
        <f>'UM-3 - L2 - Noite'!AS90</f>
        <v>0</v>
      </c>
      <c r="I66" s="290">
        <f t="shared" si="3"/>
        <v>0</v>
      </c>
      <c r="J66" s="262">
        <f t="shared" si="4"/>
        <v>0</v>
      </c>
      <c r="K66" s="260"/>
      <c r="L66" s="270">
        <v>55</v>
      </c>
      <c r="M66" s="171">
        <f t="shared" si="15"/>
        <v>55</v>
      </c>
      <c r="N66" s="172">
        <f t="shared" si="10"/>
        <v>13</v>
      </c>
      <c r="O66" s="262">
        <f t="shared" si="11"/>
        <v>13</v>
      </c>
      <c r="P66" s="269"/>
      <c r="Q66" s="181">
        <v>55</v>
      </c>
      <c r="R66" s="172">
        <f t="shared" si="16"/>
        <v>380</v>
      </c>
      <c r="S66" s="275" t="str">
        <f t="shared" si="17"/>
        <v>Disco Furado</v>
      </c>
      <c r="T66" s="172">
        <f t="shared" si="18"/>
        <v>0</v>
      </c>
      <c r="U66" s="287">
        <f t="shared" si="19"/>
        <v>0</v>
      </c>
      <c r="V66">
        <f t="shared" si="14"/>
        <v>0</v>
      </c>
      <c r="W66" s="460" t="e">
        <f t="shared" si="12"/>
        <v>#DIV/0!</v>
      </c>
      <c r="X66" s="298" t="e">
        <f t="shared" si="13"/>
        <v>#DIV/0!</v>
      </c>
    </row>
    <row r="67" spans="1:24">
      <c r="A67" s="154">
        <v>56</v>
      </c>
      <c r="B67" s="181">
        <v>890</v>
      </c>
      <c r="C67" s="172" t="str">
        <f>VLOOKUP(B67,'Tipos de Defeitos'!B68:E170,Menu!$B$24+1,)</f>
        <v>Bobina Rachada</v>
      </c>
      <c r="D67" s="295">
        <f>'UM-3 - L1 - Dia'!$AS91</f>
        <v>0</v>
      </c>
      <c r="E67" s="295">
        <f>'UM-3 - L1 - Noite'!$AS91</f>
        <v>0</v>
      </c>
      <c r="F67" s="290">
        <f t="shared" si="2"/>
        <v>0</v>
      </c>
      <c r="G67" s="290">
        <f>'UM-3 - L2 - Dia'!AS91</f>
        <v>0</v>
      </c>
      <c r="H67" s="290">
        <f>'UM-3 - L2 - Noite'!AS91</f>
        <v>0</v>
      </c>
      <c r="I67" s="290">
        <f t="shared" si="3"/>
        <v>0</v>
      </c>
      <c r="J67" s="262">
        <f t="shared" si="4"/>
        <v>0</v>
      </c>
      <c r="K67" s="260"/>
      <c r="L67" s="270">
        <v>56</v>
      </c>
      <c r="M67" s="171">
        <f t="shared" si="15"/>
        <v>56</v>
      </c>
      <c r="N67" s="172">
        <f t="shared" si="10"/>
        <v>12</v>
      </c>
      <c r="O67" s="262">
        <f t="shared" si="11"/>
        <v>12</v>
      </c>
      <c r="P67" s="269"/>
      <c r="Q67" s="181">
        <v>56</v>
      </c>
      <c r="R67" s="172">
        <f t="shared" si="16"/>
        <v>370</v>
      </c>
      <c r="S67" s="275" t="str">
        <f t="shared" si="17"/>
        <v>Disco Rasgado</v>
      </c>
      <c r="T67" s="172">
        <f t="shared" si="18"/>
        <v>0</v>
      </c>
      <c r="U67" s="287">
        <f t="shared" si="19"/>
        <v>0</v>
      </c>
      <c r="V67">
        <f t="shared" si="14"/>
        <v>0</v>
      </c>
      <c r="W67" s="460" t="e">
        <f t="shared" si="12"/>
        <v>#DIV/0!</v>
      </c>
      <c r="X67" s="298" t="e">
        <f t="shared" si="13"/>
        <v>#DIV/0!</v>
      </c>
    </row>
    <row r="68" spans="1:24">
      <c r="A68" s="154">
        <v>57</v>
      </c>
      <c r="B68" s="181">
        <v>900</v>
      </c>
      <c r="C68" s="172" t="str">
        <f>VLOOKUP(B68,'Tipos de Defeitos'!B69:E171,Menu!$B$24+1,)</f>
        <v>Emenda de Papel</v>
      </c>
      <c r="D68" s="295">
        <f>'UM-3 - L1 - Dia'!$AS92</f>
        <v>0</v>
      </c>
      <c r="E68" s="295">
        <f>'UM-3 - L1 - Noite'!$AS92</f>
        <v>0</v>
      </c>
      <c r="F68" s="290">
        <f t="shared" si="2"/>
        <v>0</v>
      </c>
      <c r="G68" s="290">
        <f>'UM-3 - L2 - Dia'!AS92</f>
        <v>0</v>
      </c>
      <c r="H68" s="290">
        <f>'UM-3 - L2 - Noite'!AS92</f>
        <v>0</v>
      </c>
      <c r="I68" s="290">
        <f t="shared" si="3"/>
        <v>0</v>
      </c>
      <c r="J68" s="262">
        <f t="shared" si="4"/>
        <v>0</v>
      </c>
      <c r="K68" s="260"/>
      <c r="L68" s="270">
        <v>57</v>
      </c>
      <c r="M68" s="171">
        <f t="shared" si="15"/>
        <v>57</v>
      </c>
      <c r="N68" s="172">
        <f t="shared" si="10"/>
        <v>11</v>
      </c>
      <c r="O68" s="262">
        <f t="shared" si="11"/>
        <v>11</v>
      </c>
      <c r="P68" s="269"/>
      <c r="Q68" s="181">
        <v>57</v>
      </c>
      <c r="R68" s="172">
        <f t="shared" si="16"/>
        <v>360</v>
      </c>
      <c r="S68" s="275" t="str">
        <f t="shared" si="17"/>
        <v>Disco Cortado</v>
      </c>
      <c r="T68" s="172">
        <f t="shared" si="18"/>
        <v>0</v>
      </c>
      <c r="U68" s="287">
        <f t="shared" si="19"/>
        <v>0</v>
      </c>
      <c r="V68">
        <f t="shared" si="14"/>
        <v>0</v>
      </c>
      <c r="W68" s="460" t="e">
        <f t="shared" si="12"/>
        <v>#DIV/0!</v>
      </c>
      <c r="X68" s="298" t="e">
        <f t="shared" si="13"/>
        <v>#DIV/0!</v>
      </c>
    </row>
    <row r="69" spans="1:24">
      <c r="A69" s="154">
        <v>58</v>
      </c>
      <c r="B69" s="181">
        <v>910</v>
      </c>
      <c r="C69" s="172" t="str">
        <f>VLOOKUP(B69,'Tipos de Defeitos'!B70:E172,Menu!$B$24+1,)</f>
        <v>Carvão Quebrado A</v>
      </c>
      <c r="D69" s="295">
        <f>'UM-3 - L1 - Dia'!$AS93</f>
        <v>0</v>
      </c>
      <c r="E69" s="295">
        <f>'UM-3 - L1 - Noite'!$AS93</f>
        <v>0</v>
      </c>
      <c r="F69" s="290">
        <f t="shared" si="2"/>
        <v>0</v>
      </c>
      <c r="G69" s="290">
        <f>'UM-3 - L2 - Dia'!AS93</f>
        <v>0</v>
      </c>
      <c r="H69" s="290">
        <f>'UM-3 - L2 - Noite'!AS93</f>
        <v>0</v>
      </c>
      <c r="I69" s="290">
        <f t="shared" si="3"/>
        <v>0</v>
      </c>
      <c r="J69" s="262">
        <f t="shared" si="4"/>
        <v>0</v>
      </c>
      <c r="K69" s="260"/>
      <c r="L69" s="270">
        <v>58</v>
      </c>
      <c r="M69" s="171">
        <f t="shared" si="15"/>
        <v>58</v>
      </c>
      <c r="N69" s="172">
        <f t="shared" si="10"/>
        <v>10</v>
      </c>
      <c r="O69" s="262">
        <f t="shared" si="11"/>
        <v>10</v>
      </c>
      <c r="P69" s="269"/>
      <c r="Q69" s="181">
        <v>58</v>
      </c>
      <c r="R69" s="172">
        <f t="shared" si="16"/>
        <v>350</v>
      </c>
      <c r="S69" s="275" t="str">
        <f t="shared" si="17"/>
        <v>Sem Disco</v>
      </c>
      <c r="T69" s="172">
        <f t="shared" si="18"/>
        <v>0</v>
      </c>
      <c r="U69" s="287">
        <f t="shared" si="19"/>
        <v>0</v>
      </c>
      <c r="V69">
        <f t="shared" si="14"/>
        <v>0</v>
      </c>
      <c r="W69" s="460" t="e">
        <f t="shared" si="12"/>
        <v>#DIV/0!</v>
      </c>
      <c r="X69" s="298" t="e">
        <f t="shared" si="13"/>
        <v>#DIV/0!</v>
      </c>
    </row>
    <row r="70" spans="1:24">
      <c r="A70" s="154">
        <v>59</v>
      </c>
      <c r="B70" s="181">
        <v>920</v>
      </c>
      <c r="C70" s="172" t="str">
        <f>VLOOKUP(B70,'Tipos de Defeitos'!B71:E173,Menu!$B$24+1,)</f>
        <v>Metade do Carvão</v>
      </c>
      <c r="D70" s="295">
        <f>'UM-3 - L1 - Dia'!$AS94</f>
        <v>0</v>
      </c>
      <c r="E70" s="295">
        <f>'UM-3 - L1 - Noite'!$AS94</f>
        <v>0</v>
      </c>
      <c r="F70" s="290">
        <f t="shared" si="2"/>
        <v>0</v>
      </c>
      <c r="G70" s="290">
        <f>'UM-3 - L2 - Dia'!AS94</f>
        <v>0</v>
      </c>
      <c r="H70" s="290">
        <f>'UM-3 - L2 - Noite'!AS94</f>
        <v>0</v>
      </c>
      <c r="I70" s="290">
        <f t="shared" si="3"/>
        <v>0</v>
      </c>
      <c r="J70" s="262">
        <f t="shared" si="4"/>
        <v>0</v>
      </c>
      <c r="K70" s="260"/>
      <c r="L70" s="270">
        <v>59</v>
      </c>
      <c r="M70" s="171">
        <f t="shared" si="15"/>
        <v>59</v>
      </c>
      <c r="N70" s="172">
        <f t="shared" si="10"/>
        <v>9</v>
      </c>
      <c r="O70" s="262">
        <f t="shared" si="11"/>
        <v>9</v>
      </c>
      <c r="P70" s="269"/>
      <c r="Q70" s="181">
        <v>59</v>
      </c>
      <c r="R70" s="172">
        <f t="shared" si="16"/>
        <v>340</v>
      </c>
      <c r="S70" s="275" t="str">
        <f t="shared" si="17"/>
        <v>Papel menor</v>
      </c>
      <c r="T70" s="172">
        <f t="shared" si="18"/>
        <v>0</v>
      </c>
      <c r="U70" s="287">
        <f t="shared" si="19"/>
        <v>0</v>
      </c>
      <c r="V70">
        <f t="shared" si="14"/>
        <v>0</v>
      </c>
      <c r="W70" s="460" t="e">
        <f t="shared" si="12"/>
        <v>#DIV/0!</v>
      </c>
      <c r="X70" s="298" t="e">
        <f t="shared" si="13"/>
        <v>#DIV/0!</v>
      </c>
    </row>
    <row r="71" spans="1:24">
      <c r="A71" s="154">
        <v>60</v>
      </c>
      <c r="B71" s="181">
        <v>930</v>
      </c>
      <c r="C71" s="172" t="str">
        <f>VLOOKUP(B71,'Tipos de Defeitos'!B72:E174,Menu!$B$24+1,)</f>
        <v>Carvão Frouxo</v>
      </c>
      <c r="D71" s="295">
        <f>'UM-3 - L1 - Dia'!$AS95</f>
        <v>0</v>
      </c>
      <c r="E71" s="295">
        <f>'UM-3 - L1 - Noite'!$AS95</f>
        <v>0</v>
      </c>
      <c r="F71" s="290">
        <f t="shared" si="2"/>
        <v>0</v>
      </c>
      <c r="G71" s="290">
        <f>'UM-3 - L2 - Dia'!AS95</f>
        <v>0</v>
      </c>
      <c r="H71" s="290">
        <f>'UM-3 - L2 - Noite'!AS95</f>
        <v>0</v>
      </c>
      <c r="I71" s="290">
        <f t="shared" si="3"/>
        <v>0</v>
      </c>
      <c r="J71" s="262">
        <f t="shared" si="4"/>
        <v>0</v>
      </c>
      <c r="K71" s="260"/>
      <c r="L71" s="270">
        <v>60</v>
      </c>
      <c r="M71" s="171">
        <f t="shared" si="15"/>
        <v>60</v>
      </c>
      <c r="N71" s="172">
        <f t="shared" si="10"/>
        <v>8</v>
      </c>
      <c r="O71" s="262">
        <f t="shared" si="11"/>
        <v>8</v>
      </c>
      <c r="P71" s="269"/>
      <c r="Q71" s="181">
        <v>60</v>
      </c>
      <c r="R71" s="172">
        <f t="shared" si="16"/>
        <v>330</v>
      </c>
      <c r="S71" s="275" t="str">
        <f t="shared" si="17"/>
        <v>Papel Deslocado</v>
      </c>
      <c r="T71" s="172">
        <f t="shared" si="18"/>
        <v>0</v>
      </c>
      <c r="U71" s="287">
        <f t="shared" si="19"/>
        <v>0</v>
      </c>
      <c r="V71">
        <f t="shared" si="14"/>
        <v>0</v>
      </c>
      <c r="W71" s="460" t="e">
        <f t="shared" si="12"/>
        <v>#DIV/0!</v>
      </c>
      <c r="X71" s="298" t="e">
        <f t="shared" si="13"/>
        <v>#DIV/0!</v>
      </c>
    </row>
    <row r="72" spans="1:24">
      <c r="A72" s="154">
        <v>61</v>
      </c>
      <c r="B72" s="181">
        <v>940</v>
      </c>
      <c r="C72" s="172" t="str">
        <f>VLOOKUP(B72,'Tipos de Defeitos'!B73:E175,Menu!$B$24+1,)</f>
        <v>Tubo de Zinco Sujo</v>
      </c>
      <c r="D72" s="295">
        <f>'UM-3 - L1 - Dia'!$AS96</f>
        <v>0</v>
      </c>
      <c r="E72" s="295">
        <f>'UM-3 - L1 - Noite'!$AS96</f>
        <v>0</v>
      </c>
      <c r="F72" s="290">
        <f t="shared" si="2"/>
        <v>0</v>
      </c>
      <c r="G72" s="290">
        <f>'UM-3 - L2 - Dia'!AS96</f>
        <v>0</v>
      </c>
      <c r="H72" s="290">
        <f>'UM-3 - L2 - Noite'!AS96</f>
        <v>0</v>
      </c>
      <c r="I72" s="290">
        <f t="shared" si="3"/>
        <v>0</v>
      </c>
      <c r="J72" s="262">
        <f t="shared" si="4"/>
        <v>0</v>
      </c>
      <c r="K72" s="260"/>
      <c r="L72" s="270">
        <v>61</v>
      </c>
      <c r="M72" s="171">
        <f t="shared" si="15"/>
        <v>61</v>
      </c>
      <c r="N72" s="172">
        <f t="shared" si="10"/>
        <v>7</v>
      </c>
      <c r="O72" s="262">
        <f t="shared" si="11"/>
        <v>7</v>
      </c>
      <c r="P72" s="269"/>
      <c r="Q72" s="181">
        <v>61</v>
      </c>
      <c r="R72" s="172">
        <f t="shared" si="16"/>
        <v>320</v>
      </c>
      <c r="S72" s="275" t="str">
        <f t="shared" si="17"/>
        <v>Papel Afundado</v>
      </c>
      <c r="T72" s="172">
        <f t="shared" si="18"/>
        <v>0</v>
      </c>
      <c r="U72" s="287">
        <f t="shared" si="19"/>
        <v>0</v>
      </c>
      <c r="V72">
        <f t="shared" si="14"/>
        <v>0</v>
      </c>
      <c r="W72" s="460" t="e">
        <f t="shared" si="12"/>
        <v>#DIV/0!</v>
      </c>
      <c r="X72" s="298" t="e">
        <f t="shared" si="13"/>
        <v>#DIV/0!</v>
      </c>
    </row>
    <row r="73" spans="1:24">
      <c r="A73" s="154">
        <v>62</v>
      </c>
      <c r="B73" s="181">
        <v>950</v>
      </c>
      <c r="C73" s="172" t="str">
        <f>VLOOKUP(B73,'Tipos de Defeitos'!B74:E176,Menu!$B$24+1,)</f>
        <v>Contem estranho</v>
      </c>
      <c r="D73" s="295">
        <f>'UM-3 - L1 - Dia'!$AS97</f>
        <v>0</v>
      </c>
      <c r="E73" s="295">
        <f>'UM-3 - L1 - Noite'!$AS97</f>
        <v>0</v>
      </c>
      <c r="F73" s="290">
        <f t="shared" si="2"/>
        <v>0</v>
      </c>
      <c r="G73" s="290">
        <f>'UM-3 - L2 - Dia'!AS97</f>
        <v>0</v>
      </c>
      <c r="H73" s="290">
        <f>'UM-3 - L2 - Noite'!AS97</f>
        <v>0</v>
      </c>
      <c r="I73" s="290">
        <f t="shared" si="3"/>
        <v>0</v>
      </c>
      <c r="J73" s="262">
        <f t="shared" si="4"/>
        <v>0</v>
      </c>
      <c r="K73" s="260"/>
      <c r="L73" s="270">
        <v>62</v>
      </c>
      <c r="M73" s="171">
        <f t="shared" si="15"/>
        <v>62</v>
      </c>
      <c r="N73" s="172">
        <f t="shared" si="10"/>
        <v>6</v>
      </c>
      <c r="O73" s="262">
        <f t="shared" si="11"/>
        <v>6</v>
      </c>
      <c r="P73" s="269"/>
      <c r="Q73" s="181">
        <v>62</v>
      </c>
      <c r="R73" s="172">
        <f t="shared" si="16"/>
        <v>310</v>
      </c>
      <c r="S73" s="275" t="str">
        <f t="shared" si="17"/>
        <v>Papel Dobrado Inf.</v>
      </c>
      <c r="T73" s="172">
        <f t="shared" si="18"/>
        <v>0</v>
      </c>
      <c r="U73" s="287">
        <f t="shared" si="19"/>
        <v>0</v>
      </c>
      <c r="V73">
        <f t="shared" si="14"/>
        <v>0</v>
      </c>
      <c r="W73" s="460" t="e">
        <f t="shared" si="12"/>
        <v>#DIV/0!</v>
      </c>
      <c r="X73" s="298" t="e">
        <f t="shared" si="13"/>
        <v>#DIV/0!</v>
      </c>
    </row>
    <row r="74" spans="1:24">
      <c r="A74" s="154">
        <v>63</v>
      </c>
      <c r="B74" s="181">
        <v>960</v>
      </c>
      <c r="C74" s="172" t="str">
        <f>VLOOKUP(B74,'Tipos de Defeitos'!B75:E177,Menu!$B$24+1,)</f>
        <v>Mistura seca</v>
      </c>
      <c r="D74" s="295">
        <f>'UM-3 - L1 - Dia'!$AS98</f>
        <v>0</v>
      </c>
      <c r="E74" s="295">
        <f>'UM-3 - L1 - Noite'!$AS98</f>
        <v>0</v>
      </c>
      <c r="F74" s="290">
        <f t="shared" si="2"/>
        <v>0</v>
      </c>
      <c r="G74" s="290">
        <f>'UM-3 - L2 - Dia'!AS98</f>
        <v>0</v>
      </c>
      <c r="H74" s="290">
        <f>'UM-3 - L2 - Noite'!AS98</f>
        <v>0</v>
      </c>
      <c r="I74" s="290">
        <f t="shared" si="3"/>
        <v>0</v>
      </c>
      <c r="J74" s="262">
        <f t="shared" si="4"/>
        <v>0</v>
      </c>
      <c r="K74" s="260"/>
      <c r="L74" s="270">
        <v>63</v>
      </c>
      <c r="M74" s="171">
        <f t="shared" si="15"/>
        <v>63</v>
      </c>
      <c r="N74" s="172">
        <f t="shared" si="10"/>
        <v>5</v>
      </c>
      <c r="O74" s="262">
        <f t="shared" si="11"/>
        <v>5</v>
      </c>
      <c r="P74" s="269"/>
      <c r="Q74" s="181">
        <v>63</v>
      </c>
      <c r="R74" s="172">
        <f t="shared" si="16"/>
        <v>300</v>
      </c>
      <c r="S74" s="275" t="str">
        <f t="shared" si="17"/>
        <v>Papel Dobrado Meio</v>
      </c>
      <c r="T74" s="172">
        <f t="shared" si="18"/>
        <v>0</v>
      </c>
      <c r="U74" s="287">
        <f t="shared" si="19"/>
        <v>0</v>
      </c>
      <c r="V74">
        <f t="shared" si="14"/>
        <v>0</v>
      </c>
      <c r="W74" s="460" t="e">
        <f t="shared" si="12"/>
        <v>#DIV/0!</v>
      </c>
      <c r="X74" s="298" t="e">
        <f t="shared" si="13"/>
        <v>#DIV/0!</v>
      </c>
    </row>
    <row r="75" spans="1:24">
      <c r="A75" s="154">
        <v>64</v>
      </c>
      <c r="B75" s="181">
        <v>970</v>
      </c>
      <c r="C75" s="172" t="str">
        <f>VLOOKUP(B75,'Tipos de Defeitos'!B76:E178,Menu!$B$24+1,)</f>
        <v>Bottom Plate Amassado</v>
      </c>
      <c r="D75" s="295">
        <f>'UM-3 - L1 - Dia'!$AS99</f>
        <v>0</v>
      </c>
      <c r="E75" s="295">
        <f>'UM-3 - L1 - Noite'!$AS99</f>
        <v>0</v>
      </c>
      <c r="F75" s="290">
        <f t="shared" ref="F75:F78" si="20">E75+D75</f>
        <v>0</v>
      </c>
      <c r="G75" s="290">
        <f>'UM-3 - L2 - Dia'!AS99</f>
        <v>0</v>
      </c>
      <c r="H75" s="290">
        <f>'UM-3 - L2 - Noite'!AS99</f>
        <v>0</v>
      </c>
      <c r="I75" s="290">
        <f t="shared" ref="I75:I78" si="21">G75+H75</f>
        <v>0</v>
      </c>
      <c r="J75" s="262">
        <f t="shared" si="4"/>
        <v>0</v>
      </c>
      <c r="K75" s="260"/>
      <c r="L75" s="270">
        <v>64</v>
      </c>
      <c r="M75" s="171">
        <f t="shared" si="15"/>
        <v>64</v>
      </c>
      <c r="N75" s="172">
        <f t="shared" si="10"/>
        <v>4</v>
      </c>
      <c r="O75" s="262">
        <f t="shared" si="11"/>
        <v>4</v>
      </c>
      <c r="P75" s="269"/>
      <c r="Q75" s="181">
        <v>64</v>
      </c>
      <c r="R75" s="172">
        <f t="shared" si="16"/>
        <v>290</v>
      </c>
      <c r="S75" s="275" t="str">
        <f t="shared" si="17"/>
        <v>Papel Dobrado Sup.</v>
      </c>
      <c r="T75" s="172">
        <f t="shared" si="18"/>
        <v>0</v>
      </c>
      <c r="U75" s="287">
        <f t="shared" si="19"/>
        <v>0</v>
      </c>
      <c r="V75">
        <f t="shared" si="14"/>
        <v>0</v>
      </c>
      <c r="W75" s="460" t="e">
        <f t="shared" si="12"/>
        <v>#DIV/0!</v>
      </c>
      <c r="X75" s="298" t="e">
        <f t="shared" si="13"/>
        <v>#DIV/0!</v>
      </c>
    </row>
    <row r="76" spans="1:24">
      <c r="A76" s="154">
        <v>65</v>
      </c>
      <c r="B76" s="181">
        <v>980</v>
      </c>
      <c r="C76" s="172" t="str">
        <f>VLOOKUP(B76,'Tipos de Defeitos'!B77:E179,Menu!$B$24+1,)</f>
        <v>PVC Comprido</v>
      </c>
      <c r="D76" s="295">
        <f>'UM-3 - L1 - Dia'!$AS100</f>
        <v>0</v>
      </c>
      <c r="E76" s="295">
        <f>'UM-3 - L1 - Noite'!$AS100</f>
        <v>0</v>
      </c>
      <c r="F76" s="290">
        <f t="shared" si="20"/>
        <v>0</v>
      </c>
      <c r="G76" s="290">
        <f>'UM-3 - L2 - Dia'!AS100</f>
        <v>0</v>
      </c>
      <c r="H76" s="290">
        <f>'UM-3 - L2 - Noite'!AS100</f>
        <v>0</v>
      </c>
      <c r="I76" s="290">
        <f t="shared" si="21"/>
        <v>0</v>
      </c>
      <c r="J76" s="262">
        <f t="shared" ref="J76:J78" si="22">I76+F76</f>
        <v>0</v>
      </c>
      <c r="K76" s="260"/>
      <c r="L76" s="270">
        <v>65</v>
      </c>
      <c r="M76" s="171">
        <f t="shared" si="15"/>
        <v>65</v>
      </c>
      <c r="N76" s="172">
        <f t="shared" si="10"/>
        <v>3</v>
      </c>
      <c r="O76" s="262">
        <f t="shared" si="11"/>
        <v>3</v>
      </c>
      <c r="P76" s="269"/>
      <c r="Q76" s="181">
        <v>65</v>
      </c>
      <c r="R76" s="172">
        <f t="shared" si="16"/>
        <v>280</v>
      </c>
      <c r="S76" s="275" t="str">
        <f t="shared" si="17"/>
        <v>Papel Separador Rasgado</v>
      </c>
      <c r="T76" s="172">
        <f t="shared" si="18"/>
        <v>0</v>
      </c>
      <c r="U76" s="287">
        <f t="shared" si="19"/>
        <v>0</v>
      </c>
      <c r="V76">
        <f t="shared" si="14"/>
        <v>0</v>
      </c>
      <c r="W76" s="460" t="e">
        <f t="shared" si="12"/>
        <v>#DIV/0!</v>
      </c>
      <c r="X76" s="298" t="e">
        <f t="shared" si="13"/>
        <v>#DIV/0!</v>
      </c>
    </row>
    <row r="77" spans="1:24">
      <c r="A77" s="154">
        <v>66</v>
      </c>
      <c r="B77" s="181">
        <v>990</v>
      </c>
      <c r="C77" s="172" t="str">
        <f>VLOOKUP(B77,'Tipos de Defeitos'!B78:E180,Menu!$B$24+1,)</f>
        <v>Causa Desconhecida - Amperagem</v>
      </c>
      <c r="D77" s="295">
        <f>'UM-3 - L1 - Dia'!$AS101</f>
        <v>0</v>
      </c>
      <c r="E77" s="295">
        <f>'UM-3 - L1 - Noite'!$AS101</f>
        <v>0</v>
      </c>
      <c r="F77" s="290">
        <f t="shared" si="20"/>
        <v>0</v>
      </c>
      <c r="G77" s="290">
        <f>'UM-3 - L2 - Dia'!AS101</f>
        <v>0</v>
      </c>
      <c r="H77" s="290">
        <f>'UM-3 - L2 - Noite'!AS101</f>
        <v>0</v>
      </c>
      <c r="I77" s="290">
        <f t="shared" si="21"/>
        <v>0</v>
      </c>
      <c r="J77" s="262">
        <f t="shared" si="22"/>
        <v>0</v>
      </c>
      <c r="K77" s="260"/>
      <c r="L77" s="270">
        <v>66</v>
      </c>
      <c r="M77" s="171">
        <f t="shared" si="15"/>
        <v>66</v>
      </c>
      <c r="N77" s="172">
        <f t="shared" ref="N77:N78" si="23">LARGE(M$12:M$78,L77)</f>
        <v>2</v>
      </c>
      <c r="O77" s="262">
        <f t="shared" ref="O77:O78" si="24">MATCH(N77,M$12:M$78,)</f>
        <v>2</v>
      </c>
      <c r="P77" s="269"/>
      <c r="Q77" s="181">
        <v>66</v>
      </c>
      <c r="R77" s="172">
        <f t="shared" si="16"/>
        <v>270</v>
      </c>
      <c r="S77" s="275" t="str">
        <f t="shared" si="17"/>
        <v>Papel Separador Cortado</v>
      </c>
      <c r="T77" s="172">
        <f t="shared" si="18"/>
        <v>0</v>
      </c>
      <c r="U77" s="287">
        <f t="shared" si="19"/>
        <v>0</v>
      </c>
      <c r="V77">
        <f t="shared" si="14"/>
        <v>0</v>
      </c>
      <c r="W77" s="460" t="e">
        <f t="shared" ref="W77:W78" si="25">V77/$V$78*100</f>
        <v>#DIV/0!</v>
      </c>
      <c r="X77" s="298" t="e">
        <f t="shared" ref="X77:X78" si="26">IF(W77&lt;=80,U77,0)</f>
        <v>#DIV/0!</v>
      </c>
    </row>
    <row r="78" spans="1:24" ht="13.5" thickBot="1">
      <c r="A78" s="154">
        <v>67</v>
      </c>
      <c r="B78" s="184">
        <v>1000</v>
      </c>
      <c r="C78" s="189" t="str">
        <f>VLOOKUP(B78,'Tipos de Defeitos'!B79:E181,Menu!$B$24+1,)</f>
        <v>Outros - Amperagem</v>
      </c>
      <c r="D78" s="299">
        <f>'UM-3 - L1 - Dia'!$AS102</f>
        <v>0</v>
      </c>
      <c r="E78" s="299">
        <f>'UM-3 - L1 - Noite'!$AS102</f>
        <v>0</v>
      </c>
      <c r="F78" s="292">
        <f t="shared" si="20"/>
        <v>0</v>
      </c>
      <c r="G78" s="292">
        <f>'UM-3 - L2 - Dia'!AS102</f>
        <v>0</v>
      </c>
      <c r="H78" s="292">
        <f>'UM-3 - L2 - Noite'!AS102</f>
        <v>0</v>
      </c>
      <c r="I78" s="292">
        <f t="shared" si="21"/>
        <v>0</v>
      </c>
      <c r="J78" s="264">
        <f t="shared" si="22"/>
        <v>0</v>
      </c>
      <c r="K78" s="260"/>
      <c r="L78" s="271">
        <v>67</v>
      </c>
      <c r="M78" s="263">
        <f t="shared" si="15"/>
        <v>67</v>
      </c>
      <c r="N78" s="189">
        <f t="shared" si="23"/>
        <v>1</v>
      </c>
      <c r="O78" s="264">
        <f t="shared" si="24"/>
        <v>1</v>
      </c>
      <c r="P78" s="269"/>
      <c r="Q78" s="184">
        <v>67</v>
      </c>
      <c r="R78" s="189">
        <f t="shared" si="16"/>
        <v>260</v>
      </c>
      <c r="S78" s="276" t="str">
        <f t="shared" si="17"/>
        <v>Sem Papel Separador</v>
      </c>
      <c r="T78" s="189">
        <f t="shared" si="18"/>
        <v>0</v>
      </c>
      <c r="U78" s="288">
        <f t="shared" si="19"/>
        <v>0</v>
      </c>
      <c r="V78">
        <f t="shared" ref="V78" si="27">T78+V77</f>
        <v>0</v>
      </c>
      <c r="W78" s="460" t="e">
        <f t="shared" si="25"/>
        <v>#DIV/0!</v>
      </c>
      <c r="X78" s="298" t="e">
        <f t="shared" si="26"/>
        <v>#DIV/0!</v>
      </c>
    </row>
    <row r="79" spans="1:24">
      <c r="B79" s="153"/>
      <c r="C79" s="169" t="s">
        <v>276</v>
      </c>
      <c r="D79" s="300" t="e">
        <f>D8/D6*1000000</f>
        <v>#DIV/0!</v>
      </c>
      <c r="E79" s="300" t="e">
        <f t="shared" ref="E79:J79" si="28">E8/E6*1000000</f>
        <v>#DIV/0!</v>
      </c>
      <c r="F79" s="300" t="e">
        <f t="shared" si="28"/>
        <v>#DIV/0!</v>
      </c>
      <c r="G79" s="300" t="e">
        <f t="shared" si="28"/>
        <v>#DIV/0!</v>
      </c>
      <c r="H79" s="300" t="e">
        <f t="shared" si="28"/>
        <v>#DIV/0!</v>
      </c>
      <c r="I79" s="300" t="e">
        <f t="shared" si="28"/>
        <v>#DIV/0!</v>
      </c>
      <c r="J79" s="300" t="e">
        <f t="shared" si="28"/>
        <v>#DIV/0!</v>
      </c>
    </row>
    <row r="80" spans="1:24">
      <c r="C80" s="169" t="s">
        <v>280</v>
      </c>
      <c r="D80" s="300">
        <v>800</v>
      </c>
    </row>
    <row r="81" spans="4:4">
      <c r="D81" s="300"/>
    </row>
    <row r="82" spans="4:4">
      <c r="D82" s="300"/>
    </row>
    <row r="83" spans="4:4">
      <c r="D83" s="300"/>
    </row>
    <row r="84" spans="4:4">
      <c r="D84" s="300"/>
    </row>
    <row r="85" spans="4:4">
      <c r="D85" s="300"/>
    </row>
    <row r="86" spans="4:4">
      <c r="D86" s="300"/>
    </row>
    <row r="87" spans="4:4">
      <c r="D87" s="300"/>
    </row>
    <row r="88" spans="4:4">
      <c r="D88" s="300"/>
    </row>
    <row r="89" spans="4:4">
      <c r="D89" s="300"/>
    </row>
  </sheetData>
  <sheetProtection algorithmName="SHA-512" hashValue="4w/q3oc5QP5jjodMz1+EH6+oM4X1fCm8f+Cni0sZGCpXIyzjAo7slOvQ/Z9ynh6zeLQiC24FuCbk9LqUCwsLmg==" saltValue="kH5QQboFfnxq2NpBO2CaMg==" spinCount="100000" sheet="1" objects="1" scenarios="1" selectLockedCells="1"/>
  <mergeCells count="2">
    <mergeCell ref="L10:O10"/>
    <mergeCell ref="Q10:U10"/>
  </mergeCells>
  <conditionalFormatting sqref="A2:C78 D2:U9 D10:K78">
    <cfRule type="expression" dxfId="11" priority="3">
      <formula>MOD(ROW(),2)=0</formula>
    </cfRule>
  </conditionalFormatting>
  <conditionalFormatting sqref="L10:U78">
    <cfRule type="expression" dxfId="10" priority="1">
      <formula>MOD(ROW(),2)=0</formula>
    </cfRule>
  </conditionalFormatting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4"/>
  <dimension ref="A1:V79"/>
  <sheetViews>
    <sheetView zoomScaleNormal="100" workbookViewId="0">
      <selection activeCell="D12" sqref="D12"/>
    </sheetView>
  </sheetViews>
  <sheetFormatPr defaultRowHeight="12.75"/>
  <cols>
    <col min="1" max="1" width="5" style="154" customWidth="1"/>
    <col min="2" max="2" width="5" bestFit="1" customWidth="1"/>
    <col min="3" max="3" width="31" bestFit="1" customWidth="1"/>
    <col min="6" max="6" width="1.7109375" customWidth="1"/>
    <col min="7" max="7" width="4.5703125" bestFit="1" customWidth="1"/>
    <col min="8" max="8" width="7.140625" bestFit="1" customWidth="1"/>
    <col min="9" max="9" width="7" bestFit="1" customWidth="1"/>
    <col min="10" max="10" width="7.140625" bestFit="1" customWidth="1"/>
    <col min="11" max="11" width="1.5703125" customWidth="1"/>
    <col min="12" max="12" width="4.5703125" style="154" bestFit="1" customWidth="1"/>
    <col min="13" max="13" width="5.140625" bestFit="1" customWidth="1"/>
    <col min="14" max="14" width="33.42578125" style="272" bestFit="1" customWidth="1"/>
    <col min="15" max="15" width="4.5703125" bestFit="1" customWidth="1"/>
    <col min="16" max="16" width="7.28515625" bestFit="1" customWidth="1"/>
  </cols>
  <sheetData>
    <row r="1" spans="1:22" ht="13.5" thickBot="1">
      <c r="B1" s="152"/>
      <c r="C1" s="152" t="s">
        <v>101</v>
      </c>
      <c r="D1" t="str">
        <f>INDEX(RASCUNHO!D1:J1,1,Menu!B22)</f>
        <v>L1 - D+N</v>
      </c>
      <c r="E1" t="s">
        <v>78</v>
      </c>
    </row>
    <row r="2" spans="1:22">
      <c r="B2" s="178">
        <v>10</v>
      </c>
      <c r="C2" s="179" t="str">
        <f>VLOOKUP(B2,'Tipos de Defeitos'!B3:E105,Menu!$B$24+1,)</f>
        <v>Data da Montagem</v>
      </c>
      <c r="D2" s="238" t="s">
        <v>20</v>
      </c>
      <c r="E2" s="277"/>
      <c r="F2" s="260"/>
      <c r="G2" s="261"/>
      <c r="H2" s="260"/>
      <c r="I2" s="261"/>
      <c r="J2" s="260"/>
      <c r="K2" s="261"/>
      <c r="L2" s="260"/>
      <c r="M2" s="261"/>
      <c r="N2" s="273"/>
      <c r="O2" s="261"/>
      <c r="P2" s="260"/>
      <c r="S2">
        <f>IF(LEFT(D1,2)="L1",860,750)</f>
        <v>860</v>
      </c>
      <c r="U2" t="s">
        <v>289</v>
      </c>
      <c r="V2" s="459">
        <f>COUNTIF($R$12:$R$78,"&lt;1")+1</f>
        <v>1</v>
      </c>
    </row>
    <row r="3" spans="1:22">
      <c r="B3" s="181">
        <v>20</v>
      </c>
      <c r="C3" s="182" t="str">
        <f>VLOOKUP(B3,'Tipos de Defeitos'!B4:E106,Menu!$B$24+1,)</f>
        <v>Data do Acabamento</v>
      </c>
      <c r="D3" s="171"/>
      <c r="E3" s="278"/>
      <c r="F3" s="260"/>
      <c r="G3" s="261"/>
      <c r="H3" s="260"/>
      <c r="I3" s="261"/>
      <c r="J3" s="260"/>
      <c r="K3" s="261"/>
      <c r="L3" s="260"/>
      <c r="M3" s="261"/>
      <c r="N3" s="273"/>
      <c r="O3" s="261"/>
      <c r="P3" s="260"/>
      <c r="U3" t="s">
        <v>290</v>
      </c>
      <c r="V3" t="str">
        <f ca="1">OFFSET($N$12,0,0,COUNTIF($R$12:$R$78,"&lt;1")+1,1)</f>
        <v>Outros - Amperagem</v>
      </c>
    </row>
    <row r="4" spans="1:22">
      <c r="B4" s="181">
        <v>30</v>
      </c>
      <c r="C4" s="182" t="str">
        <f>VLOOKUP(B4,'Tipos de Defeitos'!B5:E107,Menu!$B$24+1,)</f>
        <v>Descanso:</v>
      </c>
      <c r="D4" s="171"/>
      <c r="E4" s="278"/>
      <c r="F4" s="260"/>
      <c r="G4" s="261"/>
      <c r="H4" s="260"/>
      <c r="I4" s="261"/>
      <c r="J4" s="260"/>
      <c r="K4" s="261"/>
      <c r="L4" s="260"/>
      <c r="M4" s="261"/>
      <c r="N4" s="273"/>
      <c r="O4" s="261"/>
      <c r="P4" s="260"/>
    </row>
    <row r="5" spans="1:22">
      <c r="B5" s="181">
        <v>40</v>
      </c>
      <c r="C5" s="182" t="str">
        <f>VLOOKUP(B5,'Tipos de Defeitos'!B6:E108,Menu!$B$24+1,)</f>
        <v>Modelo</v>
      </c>
      <c r="D5" s="171"/>
      <c r="E5" s="278"/>
      <c r="F5" s="260"/>
      <c r="G5" s="261"/>
      <c r="H5" s="260"/>
      <c r="I5" s="261"/>
      <c r="J5" s="260"/>
      <c r="K5" s="261"/>
      <c r="L5" s="260"/>
      <c r="M5" s="261"/>
      <c r="N5" s="273"/>
      <c r="O5" s="261"/>
      <c r="P5" s="260"/>
    </row>
    <row r="6" spans="1:22">
      <c r="B6" s="181">
        <v>50</v>
      </c>
      <c r="C6" s="182" t="str">
        <f>VLOOKUP(B6,'Tipos de Defeitos'!B7:E109,Menu!$B$24+1,)</f>
        <v>Qtd de Produção (pçs)</v>
      </c>
      <c r="D6" s="171">
        <f>INDEX(RASCUNHO!$D$6:$J$79,MATCH('Dados do Gráfico'!C6,RASCUNHO!$C$6:$C$78,0),Menu!$B$22)</f>
        <v>0</v>
      </c>
      <c r="E6" s="278"/>
      <c r="F6" s="260"/>
      <c r="G6" s="261"/>
      <c r="H6" s="260"/>
      <c r="I6" s="261"/>
      <c r="J6" s="260"/>
      <c r="K6" s="261"/>
      <c r="L6" s="260"/>
      <c r="M6" s="261"/>
      <c r="N6" s="273"/>
      <c r="O6" s="261"/>
      <c r="P6" s="260"/>
    </row>
    <row r="7" spans="1:22">
      <c r="B7" s="181">
        <v>210</v>
      </c>
      <c r="C7" s="182" t="str">
        <f>VLOOKUP(B7,'Tipos de Defeitos'!B8:E110,Menu!$B$24+1,)</f>
        <v>Qtd. Retestada (pçs)</v>
      </c>
      <c r="D7" s="171">
        <f>INDEX(RASCUNHO!$D$6:$J$79,MATCH('Dados do Gráfico'!C7,RASCUNHO!$C$6:$C$78,0),Menu!$B$22)</f>
        <v>0</v>
      </c>
      <c r="E7" s="278"/>
      <c r="F7" s="260"/>
      <c r="G7" s="261"/>
      <c r="H7" s="260"/>
      <c r="I7" s="261"/>
      <c r="J7" s="260"/>
      <c r="K7" s="261"/>
      <c r="L7" s="260"/>
      <c r="M7" s="261"/>
      <c r="N7" s="273"/>
      <c r="O7" s="261"/>
      <c r="P7" s="260"/>
    </row>
    <row r="8" spans="1:22">
      <c r="B8" s="181">
        <v>220</v>
      </c>
      <c r="C8" s="182" t="str">
        <f>VLOOKUP(B8,'Tipos de Defeitos'!B9:E111,Menu!$B$24+1,)</f>
        <v>Defeitos (Qty)</v>
      </c>
      <c r="D8" s="171">
        <f>INDEX(RASCUNHO!$D$6:$J$79,MATCH('Dados do Gráfico'!C8,RASCUNHO!$C$6:$C$78,0),Menu!$B$22)</f>
        <v>0</v>
      </c>
      <c r="E8" s="284" t="e">
        <f>D8/D6*1000000</f>
        <v>#DIV/0!</v>
      </c>
      <c r="F8" s="260"/>
      <c r="G8" s="261"/>
      <c r="H8" s="260"/>
      <c r="I8" s="261"/>
      <c r="J8" s="260"/>
      <c r="K8" s="261"/>
      <c r="L8" s="260"/>
      <c r="M8" s="261"/>
      <c r="N8" s="273"/>
      <c r="O8" s="261"/>
      <c r="P8" s="260"/>
    </row>
    <row r="9" spans="1:22" ht="13.5" thickBot="1">
      <c r="B9" s="249">
        <v>230</v>
      </c>
      <c r="C9" s="201" t="str">
        <f>VLOOKUP(B9,'Tipos de Defeitos'!B10:E112,Menu!$B$24+1,)</f>
        <v>Voltagem (Moda)</v>
      </c>
      <c r="D9" s="245">
        <f>INDEX(RASCUNHO!$D$6:$J$79,MATCH('Dados do Gráfico'!C9,RASCUNHO!$C$6:$C$78,0),Menu!$B$22)</f>
        <v>0</v>
      </c>
      <c r="E9" s="279"/>
      <c r="F9" s="260"/>
      <c r="G9" s="261"/>
      <c r="H9" s="260"/>
      <c r="I9" s="261"/>
      <c r="J9" s="260"/>
      <c r="K9" s="261"/>
      <c r="L9" s="260"/>
      <c r="M9" s="261"/>
      <c r="N9" s="273"/>
      <c r="O9" s="261"/>
      <c r="P9" s="260"/>
    </row>
    <row r="10" spans="1:22" ht="13.5" thickBot="1">
      <c r="B10" s="266">
        <v>240</v>
      </c>
      <c r="C10" s="267" t="str">
        <f>VLOOKUP(B10,'Tipos de Defeitos'!B11:E113,Menu!$B$24+1,)</f>
        <v>Voltagem (ajustada)</v>
      </c>
      <c r="D10" s="268">
        <f>INDEX(RASCUNHO!$D$6:$J$79,MATCH('Dados do Gráfico'!C10,RASCUNHO!$C$6:$C$78,0),Menu!$B$22)</f>
        <v>0</v>
      </c>
      <c r="E10" s="280"/>
      <c r="F10" s="260"/>
      <c r="G10" s="554" t="s">
        <v>95</v>
      </c>
      <c r="H10" s="555"/>
      <c r="I10" s="555"/>
      <c r="J10" s="556"/>
      <c r="K10" s="261"/>
      <c r="L10" s="554" t="s">
        <v>99</v>
      </c>
      <c r="M10" s="555"/>
      <c r="N10" s="555"/>
      <c r="O10" s="555"/>
      <c r="P10" s="556"/>
    </row>
    <row r="11" spans="1:22">
      <c r="A11" s="154" t="s">
        <v>96</v>
      </c>
      <c r="B11" s="178">
        <v>250</v>
      </c>
      <c r="C11" s="179" t="str">
        <f>VLOOKUP(B11,'Tipos de Defeitos'!B12:E114,Menu!$B$24+1,)</f>
        <v>Qtd. Analisada (pçs)</v>
      </c>
      <c r="D11" s="238">
        <f>INDEX(RASCUNHO!$D$6:$J$79,MATCH('Dados do Gráfico'!C11,RASCUNHO!$C$6:$C$78,0),Menu!$B$22)</f>
        <v>0</v>
      </c>
      <c r="E11" s="277"/>
      <c r="F11" s="260"/>
      <c r="G11" s="247" t="s">
        <v>93</v>
      </c>
      <c r="H11" s="258" t="s">
        <v>91</v>
      </c>
      <c r="I11" s="259" t="s">
        <v>92</v>
      </c>
      <c r="J11" s="265" t="s">
        <v>94</v>
      </c>
      <c r="K11" s="261"/>
      <c r="L11" s="248" t="s">
        <v>93</v>
      </c>
      <c r="M11" s="259" t="s">
        <v>85</v>
      </c>
      <c r="N11" s="274" t="s">
        <v>50</v>
      </c>
      <c r="O11" s="259" t="s">
        <v>100</v>
      </c>
      <c r="P11" s="265" t="s">
        <v>78</v>
      </c>
      <c r="Q11" s="169" t="s">
        <v>262</v>
      </c>
      <c r="R11" s="169" t="s">
        <v>263</v>
      </c>
      <c r="S11" s="169" t="s">
        <v>270</v>
      </c>
    </row>
    <row r="12" spans="1:22">
      <c r="A12" s="154">
        <v>1</v>
      </c>
      <c r="B12" s="181">
        <v>260</v>
      </c>
      <c r="C12" s="172" t="str">
        <f>VLOOKUP(B12,'Tipos de Defeitos'!B13:E115,Menu!$B$24+1,)</f>
        <v>Sem Papel Separador</v>
      </c>
      <c r="D12" s="171">
        <f>INDEX(RASCUNHO!$D$6:$J$79,MATCH('Dados do Gráfico'!C12,RASCUNHO!$C$6:$C$78,0),Menu!$B$22)</f>
        <v>0</v>
      </c>
      <c r="E12" s="281" t="e">
        <f>D12/D$11*D$8/D$6*1000000</f>
        <v>#DIV/0!</v>
      </c>
      <c r="F12" s="260"/>
      <c r="G12" s="270">
        <v>1</v>
      </c>
      <c r="H12" s="171">
        <f>D12*1000+A12</f>
        <v>1</v>
      </c>
      <c r="I12" s="172">
        <f>LARGE(H$12:H$78,G12)</f>
        <v>67</v>
      </c>
      <c r="J12" s="262">
        <f>MATCH(I12,H$12:H$78,)</f>
        <v>67</v>
      </c>
      <c r="K12" s="269"/>
      <c r="L12" s="181">
        <v>1</v>
      </c>
      <c r="M12" s="172">
        <f>VLOOKUP($J12,$A$12:$E$78,2,0)</f>
        <v>1000</v>
      </c>
      <c r="N12" s="275" t="str">
        <f>VLOOKUP($J12,$A$12:$E$78,3,0)</f>
        <v>Outros - Amperagem</v>
      </c>
      <c r="O12" s="172">
        <f>VLOOKUP($J12,$A$12:$E$78,4,0)</f>
        <v>0</v>
      </c>
      <c r="P12" s="287" t="e">
        <f>VLOOKUP($J12,$A$12:$E$78,5,0)</f>
        <v>#DIV/0!</v>
      </c>
      <c r="Q12">
        <f>O12</f>
        <v>0</v>
      </c>
      <c r="R12" s="460" t="e">
        <f>Q12/$Q$78*100</f>
        <v>#DIV/0!</v>
      </c>
      <c r="S12" s="298" t="e">
        <f>IF(($E$8&gt;$S$2)*(R12&lt;=0.8),0,P12)</f>
        <v>#DIV/0!</v>
      </c>
    </row>
    <row r="13" spans="1:22">
      <c r="A13" s="154">
        <v>2</v>
      </c>
      <c r="B13" s="181">
        <v>270</v>
      </c>
      <c r="C13" s="172" t="str">
        <f>VLOOKUP(B13,'Tipos de Defeitos'!B14:E116,Menu!$B$24+1,)</f>
        <v>Papel Separador Cortado</v>
      </c>
      <c r="D13" s="171">
        <f>INDEX(RASCUNHO!$D$6:$J$79,MATCH('Dados do Gráfico'!C13,RASCUNHO!$C$6:$C$78,0),Menu!$B$22)</f>
        <v>0</v>
      </c>
      <c r="E13" s="281" t="e">
        <f t="shared" ref="E13:E76" si="0">D13/D$11*D$8/D$6*1000000</f>
        <v>#DIV/0!</v>
      </c>
      <c r="F13" s="260"/>
      <c r="G13" s="270">
        <v>2</v>
      </c>
      <c r="H13" s="171">
        <f t="shared" ref="H13:H76" si="1">D13*1000+A13</f>
        <v>2</v>
      </c>
      <c r="I13" s="172">
        <f t="shared" ref="I13:I76" si="2">LARGE(H$12:H$78,G13)</f>
        <v>66</v>
      </c>
      <c r="J13" s="262">
        <f t="shared" ref="J13:J76" si="3">MATCH(I13,H$12:H$78,)</f>
        <v>66</v>
      </c>
      <c r="K13" s="269"/>
      <c r="L13" s="181">
        <v>2</v>
      </c>
      <c r="M13" s="172">
        <f t="shared" ref="M13:M76" si="4">VLOOKUP($J13,$A$12:$E$78,2,0)</f>
        <v>990</v>
      </c>
      <c r="N13" s="275" t="str">
        <f t="shared" ref="N13:N76" si="5">VLOOKUP($J13,$A$12:$E$78,3,0)</f>
        <v>Causa Desconhecida - Amperagem</v>
      </c>
      <c r="O13" s="172">
        <f>VLOOKUP($J13,$A$12:$E$78,4,0)</f>
        <v>0</v>
      </c>
      <c r="P13" s="287" t="e">
        <f t="shared" ref="P13:P76" si="6">VLOOKUP($J13,$A$12:$E$78,5,0)</f>
        <v>#DIV/0!</v>
      </c>
      <c r="Q13">
        <f>O13+Q12</f>
        <v>0</v>
      </c>
      <c r="R13" s="460" t="e">
        <f t="shared" ref="R13:R76" si="7">Q13/$Q$78*100</f>
        <v>#DIV/0!</v>
      </c>
      <c r="S13" s="298" t="e">
        <f t="shared" ref="S13:S76" si="8">IF(($E$8&gt;$S$2)*(R13&lt;=0.8),0,P13)</f>
        <v>#DIV/0!</v>
      </c>
    </row>
    <row r="14" spans="1:22">
      <c r="A14" s="154">
        <v>3</v>
      </c>
      <c r="B14" s="181">
        <v>280</v>
      </c>
      <c r="C14" s="172" t="str">
        <f>VLOOKUP(B14,'Tipos de Defeitos'!B15:E117,Menu!$B$24+1,)</f>
        <v>Papel Separador Rasgado</v>
      </c>
      <c r="D14" s="171">
        <f>INDEX(RASCUNHO!$D$6:$J$79,MATCH('Dados do Gráfico'!C14,RASCUNHO!$C$6:$C$78,0),Menu!$B$22)</f>
        <v>0</v>
      </c>
      <c r="E14" s="281" t="e">
        <f t="shared" si="0"/>
        <v>#DIV/0!</v>
      </c>
      <c r="F14" s="260"/>
      <c r="G14" s="270">
        <v>3</v>
      </c>
      <c r="H14" s="171">
        <f t="shared" si="1"/>
        <v>3</v>
      </c>
      <c r="I14" s="172">
        <f t="shared" si="2"/>
        <v>65</v>
      </c>
      <c r="J14" s="262">
        <f t="shared" si="3"/>
        <v>65</v>
      </c>
      <c r="K14" s="269"/>
      <c r="L14" s="181">
        <v>3</v>
      </c>
      <c r="M14" s="172">
        <f t="shared" si="4"/>
        <v>980</v>
      </c>
      <c r="N14" s="275" t="str">
        <f t="shared" si="5"/>
        <v>PVC Comprido</v>
      </c>
      <c r="O14" s="172">
        <f t="shared" ref="O14:O76" si="9">VLOOKUP($J14,$A$12:$E$78,4,0)</f>
        <v>0</v>
      </c>
      <c r="P14" s="287" t="e">
        <f t="shared" si="6"/>
        <v>#DIV/0!</v>
      </c>
      <c r="Q14">
        <f t="shared" ref="Q14:Q77" si="10">O14+Q13</f>
        <v>0</v>
      </c>
      <c r="R14" s="460" t="e">
        <f t="shared" si="7"/>
        <v>#DIV/0!</v>
      </c>
      <c r="S14" s="298" t="e">
        <f t="shared" si="8"/>
        <v>#DIV/0!</v>
      </c>
    </row>
    <row r="15" spans="1:22">
      <c r="A15" s="154">
        <v>4</v>
      </c>
      <c r="B15" s="181">
        <v>290</v>
      </c>
      <c r="C15" s="172" t="str">
        <f>VLOOKUP(B15,'Tipos de Defeitos'!B16:E118,Menu!$B$24+1,)</f>
        <v>Papel Dobrado Sup.</v>
      </c>
      <c r="D15" s="171">
        <f>INDEX(RASCUNHO!$D$6:$J$79,MATCH('Dados do Gráfico'!C15,RASCUNHO!$C$6:$C$78,0),Menu!$B$22)</f>
        <v>0</v>
      </c>
      <c r="E15" s="281" t="e">
        <f t="shared" si="0"/>
        <v>#DIV/0!</v>
      </c>
      <c r="F15" s="260"/>
      <c r="G15" s="270">
        <v>4</v>
      </c>
      <c r="H15" s="171">
        <f t="shared" si="1"/>
        <v>4</v>
      </c>
      <c r="I15" s="172">
        <f t="shared" si="2"/>
        <v>64</v>
      </c>
      <c r="J15" s="262">
        <f t="shared" si="3"/>
        <v>64</v>
      </c>
      <c r="K15" s="269"/>
      <c r="L15" s="181">
        <v>4</v>
      </c>
      <c r="M15" s="172">
        <f t="shared" si="4"/>
        <v>970</v>
      </c>
      <c r="N15" s="275" t="str">
        <f t="shared" si="5"/>
        <v>Bottom Plate Amassado</v>
      </c>
      <c r="O15" s="172">
        <f t="shared" si="9"/>
        <v>0</v>
      </c>
      <c r="P15" s="287" t="e">
        <f t="shared" si="6"/>
        <v>#DIV/0!</v>
      </c>
      <c r="Q15">
        <f t="shared" si="10"/>
        <v>0</v>
      </c>
      <c r="R15" s="460" t="e">
        <f t="shared" si="7"/>
        <v>#DIV/0!</v>
      </c>
      <c r="S15" s="298" t="e">
        <f t="shared" si="8"/>
        <v>#DIV/0!</v>
      </c>
    </row>
    <row r="16" spans="1:22">
      <c r="A16" s="154">
        <v>5</v>
      </c>
      <c r="B16" s="181">
        <v>300</v>
      </c>
      <c r="C16" s="172" t="str">
        <f>VLOOKUP(B16,'Tipos de Defeitos'!B17:E119,Menu!$B$24+1,)</f>
        <v>Papel Dobrado Meio</v>
      </c>
      <c r="D16" s="171">
        <f>INDEX(RASCUNHO!$D$6:$J$79,MATCH('Dados do Gráfico'!C16,RASCUNHO!$C$6:$C$78,0),Menu!$B$22)</f>
        <v>0</v>
      </c>
      <c r="E16" s="281" t="e">
        <f t="shared" si="0"/>
        <v>#DIV/0!</v>
      </c>
      <c r="F16" s="260"/>
      <c r="G16" s="270">
        <v>5</v>
      </c>
      <c r="H16" s="171">
        <f t="shared" si="1"/>
        <v>5</v>
      </c>
      <c r="I16" s="172">
        <f t="shared" si="2"/>
        <v>63</v>
      </c>
      <c r="J16" s="262">
        <f t="shared" si="3"/>
        <v>63</v>
      </c>
      <c r="K16" s="269"/>
      <c r="L16" s="181">
        <v>5</v>
      </c>
      <c r="M16" s="172">
        <f t="shared" si="4"/>
        <v>960</v>
      </c>
      <c r="N16" s="275" t="str">
        <f t="shared" si="5"/>
        <v>Mistura seca</v>
      </c>
      <c r="O16" s="172">
        <f t="shared" si="9"/>
        <v>0</v>
      </c>
      <c r="P16" s="287" t="e">
        <f t="shared" si="6"/>
        <v>#DIV/0!</v>
      </c>
      <c r="Q16">
        <f t="shared" si="10"/>
        <v>0</v>
      </c>
      <c r="R16" s="460" t="e">
        <f t="shared" si="7"/>
        <v>#DIV/0!</v>
      </c>
      <c r="S16" s="298" t="e">
        <f t="shared" si="8"/>
        <v>#DIV/0!</v>
      </c>
    </row>
    <row r="17" spans="1:19">
      <c r="A17" s="154">
        <v>6</v>
      </c>
      <c r="B17" s="181">
        <v>310</v>
      </c>
      <c r="C17" s="172" t="str">
        <f>VLOOKUP(B17,'Tipos de Defeitos'!B18:E120,Menu!$B$24+1,)</f>
        <v>Papel Dobrado Inf.</v>
      </c>
      <c r="D17" s="171">
        <f>INDEX(RASCUNHO!$D$6:$J$79,MATCH('Dados do Gráfico'!C17,RASCUNHO!$C$6:$C$78,0),Menu!$B$22)</f>
        <v>0</v>
      </c>
      <c r="E17" s="281" t="e">
        <f t="shared" si="0"/>
        <v>#DIV/0!</v>
      </c>
      <c r="F17" s="260"/>
      <c r="G17" s="270">
        <v>6</v>
      </c>
      <c r="H17" s="171">
        <f t="shared" si="1"/>
        <v>6</v>
      </c>
      <c r="I17" s="172">
        <f t="shared" si="2"/>
        <v>62</v>
      </c>
      <c r="J17" s="262">
        <f t="shared" si="3"/>
        <v>62</v>
      </c>
      <c r="K17" s="269"/>
      <c r="L17" s="181">
        <v>6</v>
      </c>
      <c r="M17" s="172">
        <f t="shared" si="4"/>
        <v>950</v>
      </c>
      <c r="N17" s="275" t="str">
        <f t="shared" si="5"/>
        <v>Contem estranho</v>
      </c>
      <c r="O17" s="172">
        <f t="shared" si="9"/>
        <v>0</v>
      </c>
      <c r="P17" s="287" t="e">
        <f t="shared" si="6"/>
        <v>#DIV/0!</v>
      </c>
      <c r="Q17">
        <f t="shared" si="10"/>
        <v>0</v>
      </c>
      <c r="R17" s="460" t="e">
        <f t="shared" si="7"/>
        <v>#DIV/0!</v>
      </c>
      <c r="S17" s="298" t="e">
        <f t="shared" si="8"/>
        <v>#DIV/0!</v>
      </c>
    </row>
    <row r="18" spans="1:19">
      <c r="A18" s="154">
        <v>7</v>
      </c>
      <c r="B18" s="181">
        <v>320</v>
      </c>
      <c r="C18" s="172" t="str">
        <f>VLOOKUP(B18,'Tipos de Defeitos'!B19:E121,Menu!$B$24+1,)</f>
        <v>Papel Afundado</v>
      </c>
      <c r="D18" s="171">
        <f>INDEX(RASCUNHO!$D$6:$J$79,MATCH('Dados do Gráfico'!C18,RASCUNHO!$C$6:$C$78,0),Menu!$B$22)</f>
        <v>0</v>
      </c>
      <c r="E18" s="281" t="e">
        <f t="shared" si="0"/>
        <v>#DIV/0!</v>
      </c>
      <c r="F18" s="260"/>
      <c r="G18" s="270">
        <v>7</v>
      </c>
      <c r="H18" s="171">
        <f t="shared" si="1"/>
        <v>7</v>
      </c>
      <c r="I18" s="172">
        <f t="shared" si="2"/>
        <v>61</v>
      </c>
      <c r="J18" s="262">
        <f t="shared" si="3"/>
        <v>61</v>
      </c>
      <c r="K18" s="269"/>
      <c r="L18" s="181">
        <v>7</v>
      </c>
      <c r="M18" s="172">
        <f t="shared" si="4"/>
        <v>940</v>
      </c>
      <c r="N18" s="275" t="str">
        <f t="shared" si="5"/>
        <v>Tubo de Zinco Sujo</v>
      </c>
      <c r="O18" s="172">
        <f t="shared" si="9"/>
        <v>0</v>
      </c>
      <c r="P18" s="287" t="e">
        <f t="shared" si="6"/>
        <v>#DIV/0!</v>
      </c>
      <c r="Q18">
        <f t="shared" si="10"/>
        <v>0</v>
      </c>
      <c r="R18" s="460" t="e">
        <f t="shared" si="7"/>
        <v>#DIV/0!</v>
      </c>
      <c r="S18" s="298" t="e">
        <f t="shared" si="8"/>
        <v>#DIV/0!</v>
      </c>
    </row>
    <row r="19" spans="1:19">
      <c r="A19" s="154">
        <v>8</v>
      </c>
      <c r="B19" s="181">
        <v>330</v>
      </c>
      <c r="C19" s="172" t="str">
        <f>VLOOKUP(B19,'Tipos de Defeitos'!B20:E122,Menu!$B$24+1,)</f>
        <v>Papel Deslocado</v>
      </c>
      <c r="D19" s="171">
        <f>INDEX(RASCUNHO!$D$6:$J$79,MATCH('Dados do Gráfico'!C19,RASCUNHO!$C$6:$C$78,0),Menu!$B$22)</f>
        <v>0</v>
      </c>
      <c r="E19" s="281" t="e">
        <f t="shared" si="0"/>
        <v>#DIV/0!</v>
      </c>
      <c r="F19" s="260"/>
      <c r="G19" s="270">
        <v>8</v>
      </c>
      <c r="H19" s="171">
        <f t="shared" si="1"/>
        <v>8</v>
      </c>
      <c r="I19" s="172">
        <f t="shared" si="2"/>
        <v>60</v>
      </c>
      <c r="J19" s="262">
        <f t="shared" si="3"/>
        <v>60</v>
      </c>
      <c r="K19" s="269"/>
      <c r="L19" s="181">
        <v>8</v>
      </c>
      <c r="M19" s="172">
        <f t="shared" si="4"/>
        <v>930</v>
      </c>
      <c r="N19" s="275" t="str">
        <f t="shared" si="5"/>
        <v>Carvão Frouxo</v>
      </c>
      <c r="O19" s="172">
        <f t="shared" si="9"/>
        <v>0</v>
      </c>
      <c r="P19" s="287" t="e">
        <f t="shared" si="6"/>
        <v>#DIV/0!</v>
      </c>
      <c r="Q19">
        <f t="shared" si="10"/>
        <v>0</v>
      </c>
      <c r="R19" s="460" t="e">
        <f t="shared" si="7"/>
        <v>#DIV/0!</v>
      </c>
      <c r="S19" s="298" t="e">
        <f t="shared" si="8"/>
        <v>#DIV/0!</v>
      </c>
    </row>
    <row r="20" spans="1:19">
      <c r="A20" s="154">
        <v>9</v>
      </c>
      <c r="B20" s="181">
        <v>340</v>
      </c>
      <c r="C20" s="172" t="str">
        <f>VLOOKUP(B20,'Tipos de Defeitos'!B21:E123,Menu!$B$24+1,)</f>
        <v>Papel menor</v>
      </c>
      <c r="D20" s="171">
        <f>INDEX(RASCUNHO!$D$6:$J$79,MATCH('Dados do Gráfico'!C20,RASCUNHO!$C$6:$C$78,0),Menu!$B$22)</f>
        <v>0</v>
      </c>
      <c r="E20" s="281" t="e">
        <f t="shared" si="0"/>
        <v>#DIV/0!</v>
      </c>
      <c r="F20" s="260"/>
      <c r="G20" s="270">
        <v>9</v>
      </c>
      <c r="H20" s="171">
        <f t="shared" si="1"/>
        <v>9</v>
      </c>
      <c r="I20" s="172">
        <f t="shared" si="2"/>
        <v>59</v>
      </c>
      <c r="J20" s="262">
        <f t="shared" si="3"/>
        <v>59</v>
      </c>
      <c r="K20" s="269"/>
      <c r="L20" s="181">
        <v>9</v>
      </c>
      <c r="M20" s="172">
        <f t="shared" si="4"/>
        <v>920</v>
      </c>
      <c r="N20" s="275" t="str">
        <f t="shared" si="5"/>
        <v>Metade do Carvão</v>
      </c>
      <c r="O20" s="172">
        <f t="shared" si="9"/>
        <v>0</v>
      </c>
      <c r="P20" s="287" t="e">
        <f t="shared" si="6"/>
        <v>#DIV/0!</v>
      </c>
      <c r="Q20">
        <f t="shared" si="10"/>
        <v>0</v>
      </c>
      <c r="R20" s="460" t="e">
        <f t="shared" si="7"/>
        <v>#DIV/0!</v>
      </c>
      <c r="S20" s="298" t="e">
        <f t="shared" si="8"/>
        <v>#DIV/0!</v>
      </c>
    </row>
    <row r="21" spans="1:19">
      <c r="A21" s="154">
        <v>10</v>
      </c>
      <c r="B21" s="181">
        <v>350</v>
      </c>
      <c r="C21" s="172" t="str">
        <f>VLOOKUP(B21,'Tipos de Defeitos'!B22:E124,Menu!$B$24+1,)</f>
        <v>Sem Disco</v>
      </c>
      <c r="D21" s="171">
        <f>INDEX(RASCUNHO!$D$6:$J$79,MATCH('Dados do Gráfico'!C21,RASCUNHO!$C$6:$C$78,0),Menu!$B$22)</f>
        <v>0</v>
      </c>
      <c r="E21" s="281" t="e">
        <f t="shared" si="0"/>
        <v>#DIV/0!</v>
      </c>
      <c r="F21" s="260"/>
      <c r="G21" s="270">
        <v>10</v>
      </c>
      <c r="H21" s="171">
        <f t="shared" si="1"/>
        <v>10</v>
      </c>
      <c r="I21" s="172">
        <f t="shared" si="2"/>
        <v>58</v>
      </c>
      <c r="J21" s="262">
        <f t="shared" si="3"/>
        <v>58</v>
      </c>
      <c r="K21" s="269"/>
      <c r="L21" s="181">
        <v>10</v>
      </c>
      <c r="M21" s="172">
        <f t="shared" si="4"/>
        <v>910</v>
      </c>
      <c r="N21" s="275" t="str">
        <f t="shared" si="5"/>
        <v>Carvão Quebrado A</v>
      </c>
      <c r="O21" s="172">
        <f t="shared" si="9"/>
        <v>0</v>
      </c>
      <c r="P21" s="287" t="e">
        <f t="shared" si="6"/>
        <v>#DIV/0!</v>
      </c>
      <c r="Q21">
        <f t="shared" si="10"/>
        <v>0</v>
      </c>
      <c r="R21" s="460" t="e">
        <f t="shared" si="7"/>
        <v>#DIV/0!</v>
      </c>
      <c r="S21" s="298" t="e">
        <f t="shared" si="8"/>
        <v>#DIV/0!</v>
      </c>
    </row>
    <row r="22" spans="1:19">
      <c r="A22" s="154">
        <v>11</v>
      </c>
      <c r="B22" s="181">
        <v>360</v>
      </c>
      <c r="C22" s="172" t="str">
        <f>VLOOKUP(B22,'Tipos de Defeitos'!B23:E125,Menu!$B$24+1,)</f>
        <v>Disco Cortado</v>
      </c>
      <c r="D22" s="171">
        <f>INDEX(RASCUNHO!$D$6:$J$79,MATCH('Dados do Gráfico'!C22,RASCUNHO!$C$6:$C$78,0),Menu!$B$22)</f>
        <v>0</v>
      </c>
      <c r="E22" s="281" t="e">
        <f t="shared" si="0"/>
        <v>#DIV/0!</v>
      </c>
      <c r="F22" s="260"/>
      <c r="G22" s="270">
        <v>11</v>
      </c>
      <c r="H22" s="171">
        <f t="shared" si="1"/>
        <v>11</v>
      </c>
      <c r="I22" s="172">
        <f t="shared" si="2"/>
        <v>57</v>
      </c>
      <c r="J22" s="262">
        <f t="shared" si="3"/>
        <v>57</v>
      </c>
      <c r="K22" s="269"/>
      <c r="L22" s="181">
        <v>11</v>
      </c>
      <c r="M22" s="172">
        <f t="shared" si="4"/>
        <v>900</v>
      </c>
      <c r="N22" s="275" t="str">
        <f t="shared" si="5"/>
        <v>Emenda de Papel</v>
      </c>
      <c r="O22" s="172">
        <f t="shared" si="9"/>
        <v>0</v>
      </c>
      <c r="P22" s="287" t="e">
        <f t="shared" si="6"/>
        <v>#DIV/0!</v>
      </c>
      <c r="Q22">
        <f t="shared" si="10"/>
        <v>0</v>
      </c>
      <c r="R22" s="460" t="e">
        <f t="shared" si="7"/>
        <v>#DIV/0!</v>
      </c>
      <c r="S22" s="298" t="e">
        <f t="shared" si="8"/>
        <v>#DIV/0!</v>
      </c>
    </row>
    <row r="23" spans="1:19">
      <c r="A23" s="154">
        <v>12</v>
      </c>
      <c r="B23" s="181">
        <v>370</v>
      </c>
      <c r="C23" s="172" t="str">
        <f>VLOOKUP(B23,'Tipos de Defeitos'!B24:E126,Menu!$B$24+1,)</f>
        <v>Disco Rasgado</v>
      </c>
      <c r="D23" s="171">
        <f>INDEX(RASCUNHO!$D$6:$J$79,MATCH('Dados do Gráfico'!C23,RASCUNHO!$C$6:$C$78,0),Menu!$B$22)</f>
        <v>0</v>
      </c>
      <c r="E23" s="281" t="e">
        <f t="shared" si="0"/>
        <v>#DIV/0!</v>
      </c>
      <c r="F23" s="260"/>
      <c r="G23" s="270">
        <v>12</v>
      </c>
      <c r="H23" s="171">
        <f t="shared" si="1"/>
        <v>12</v>
      </c>
      <c r="I23" s="172">
        <f t="shared" si="2"/>
        <v>56</v>
      </c>
      <c r="J23" s="262">
        <f t="shared" si="3"/>
        <v>56</v>
      </c>
      <c r="K23" s="269"/>
      <c r="L23" s="181">
        <v>12</v>
      </c>
      <c r="M23" s="172">
        <f t="shared" si="4"/>
        <v>890</v>
      </c>
      <c r="N23" s="275" t="str">
        <f t="shared" si="5"/>
        <v>Bobina Rachada</v>
      </c>
      <c r="O23" s="172">
        <f t="shared" si="9"/>
        <v>0</v>
      </c>
      <c r="P23" s="287" t="e">
        <f t="shared" si="6"/>
        <v>#DIV/0!</v>
      </c>
      <c r="Q23">
        <f t="shared" si="10"/>
        <v>0</v>
      </c>
      <c r="R23" s="460" t="e">
        <f t="shared" si="7"/>
        <v>#DIV/0!</v>
      </c>
      <c r="S23" s="298" t="e">
        <f t="shared" si="8"/>
        <v>#DIV/0!</v>
      </c>
    </row>
    <row r="24" spans="1:19">
      <c r="A24" s="154">
        <v>13</v>
      </c>
      <c r="B24" s="181">
        <v>380</v>
      </c>
      <c r="C24" s="172" t="str">
        <f>VLOOKUP(B24,'Tipos de Defeitos'!B25:E127,Menu!$B$24+1,)</f>
        <v>Disco Furado</v>
      </c>
      <c r="D24" s="171">
        <f>INDEX(RASCUNHO!$D$6:$J$79,MATCH('Dados do Gráfico'!C24,RASCUNHO!$C$6:$C$78,0),Menu!$B$22)</f>
        <v>0</v>
      </c>
      <c r="E24" s="281" t="e">
        <f t="shared" si="0"/>
        <v>#DIV/0!</v>
      </c>
      <c r="F24" s="260"/>
      <c r="G24" s="270">
        <v>13</v>
      </c>
      <c r="H24" s="171">
        <f t="shared" si="1"/>
        <v>13</v>
      </c>
      <c r="I24" s="172">
        <f t="shared" si="2"/>
        <v>55</v>
      </c>
      <c r="J24" s="262">
        <f t="shared" si="3"/>
        <v>55</v>
      </c>
      <c r="K24" s="269"/>
      <c r="L24" s="181">
        <v>13</v>
      </c>
      <c r="M24" s="172">
        <f t="shared" si="4"/>
        <v>880</v>
      </c>
      <c r="N24" s="275" t="str">
        <f t="shared" si="5"/>
        <v>Bobina Baixa A</v>
      </c>
      <c r="O24" s="172">
        <f t="shared" si="9"/>
        <v>0</v>
      </c>
      <c r="P24" s="287" t="e">
        <f t="shared" si="6"/>
        <v>#DIV/0!</v>
      </c>
      <c r="Q24">
        <f t="shared" si="10"/>
        <v>0</v>
      </c>
      <c r="R24" s="460" t="e">
        <f t="shared" si="7"/>
        <v>#DIV/0!</v>
      </c>
      <c r="S24" s="298" t="e">
        <f t="shared" si="8"/>
        <v>#DIV/0!</v>
      </c>
    </row>
    <row r="25" spans="1:19">
      <c r="A25" s="154">
        <v>14</v>
      </c>
      <c r="B25" s="181">
        <v>390</v>
      </c>
      <c r="C25" s="172" t="str">
        <f>VLOOKUP(B25,'Tipos de Defeitos'!B26:E128,Menu!$B$24+1,)</f>
        <v>Disco Dobrado</v>
      </c>
      <c r="D25" s="171">
        <f>INDEX(RASCUNHO!$D$6:$J$79,MATCH('Dados do Gráfico'!C25,RASCUNHO!$C$6:$C$78,0),Menu!$B$22)</f>
        <v>0</v>
      </c>
      <c r="E25" s="281" t="e">
        <f t="shared" si="0"/>
        <v>#DIV/0!</v>
      </c>
      <c r="F25" s="260"/>
      <c r="G25" s="270">
        <v>14</v>
      </c>
      <c r="H25" s="171">
        <f t="shared" si="1"/>
        <v>14</v>
      </c>
      <c r="I25" s="172">
        <f t="shared" si="2"/>
        <v>54</v>
      </c>
      <c r="J25" s="262">
        <f t="shared" si="3"/>
        <v>54</v>
      </c>
      <c r="K25" s="269"/>
      <c r="L25" s="181">
        <v>14</v>
      </c>
      <c r="M25" s="172">
        <f t="shared" si="4"/>
        <v>870</v>
      </c>
      <c r="N25" s="275" t="str">
        <f t="shared" si="5"/>
        <v>Pelota de Manganês</v>
      </c>
      <c r="O25" s="172">
        <f t="shared" si="9"/>
        <v>0</v>
      </c>
      <c r="P25" s="287" t="e">
        <f t="shared" si="6"/>
        <v>#DIV/0!</v>
      </c>
      <c r="Q25">
        <f t="shared" si="10"/>
        <v>0</v>
      </c>
      <c r="R25" s="460" t="e">
        <f t="shared" si="7"/>
        <v>#DIV/0!</v>
      </c>
      <c r="S25" s="298" t="e">
        <f t="shared" si="8"/>
        <v>#DIV/0!</v>
      </c>
    </row>
    <row r="26" spans="1:19">
      <c r="A26" s="154">
        <v>15</v>
      </c>
      <c r="B26" s="181">
        <v>400</v>
      </c>
      <c r="C26" s="172" t="str">
        <f>VLOOKUP(B26,'Tipos de Defeitos'!B27:E129,Menu!$B$24+1,)</f>
        <v>Disco fora de centro / deslocado</v>
      </c>
      <c r="D26" s="171">
        <f>INDEX(RASCUNHO!$D$6:$J$79,MATCH('Dados do Gráfico'!C26,RASCUNHO!$C$6:$C$78,0),Menu!$B$22)</f>
        <v>0</v>
      </c>
      <c r="E26" s="281" t="e">
        <f t="shared" si="0"/>
        <v>#DIV/0!</v>
      </c>
      <c r="F26" s="260"/>
      <c r="G26" s="270">
        <v>15</v>
      </c>
      <c r="H26" s="171">
        <f t="shared" si="1"/>
        <v>15</v>
      </c>
      <c r="I26" s="172">
        <f t="shared" si="2"/>
        <v>53</v>
      </c>
      <c r="J26" s="262">
        <f t="shared" si="3"/>
        <v>53</v>
      </c>
      <c r="K26" s="269"/>
      <c r="L26" s="181">
        <v>15</v>
      </c>
      <c r="M26" s="172">
        <f t="shared" si="4"/>
        <v>860</v>
      </c>
      <c r="N26" s="275" t="str">
        <f t="shared" si="5"/>
        <v>Pedra de Cl de Amônia</v>
      </c>
      <c r="O26" s="172">
        <f t="shared" si="9"/>
        <v>0</v>
      </c>
      <c r="P26" s="287" t="e">
        <f t="shared" si="6"/>
        <v>#DIV/0!</v>
      </c>
      <c r="Q26">
        <f t="shared" si="10"/>
        <v>0</v>
      </c>
      <c r="R26" s="460" t="e">
        <f t="shared" si="7"/>
        <v>#DIV/0!</v>
      </c>
      <c r="S26" s="298" t="e">
        <f t="shared" si="8"/>
        <v>#DIV/0!</v>
      </c>
    </row>
    <row r="27" spans="1:19">
      <c r="A27" s="154">
        <v>16</v>
      </c>
      <c r="B27" s="181">
        <v>410</v>
      </c>
      <c r="C27" s="172" t="str">
        <f>VLOOKUP(B27,'Tipos de Defeitos'!B28:E130,Menu!$B$24+1,)</f>
        <v>Isolador fora de centro</v>
      </c>
      <c r="D27" s="171">
        <f>INDEX(RASCUNHO!$D$6:$J$79,MATCH('Dados do Gráfico'!C27,RASCUNHO!$C$6:$C$78,0),Menu!$B$22)</f>
        <v>0</v>
      </c>
      <c r="E27" s="281" t="e">
        <f t="shared" si="0"/>
        <v>#DIV/0!</v>
      </c>
      <c r="F27" s="260"/>
      <c r="G27" s="270">
        <v>16</v>
      </c>
      <c r="H27" s="171">
        <f t="shared" si="1"/>
        <v>16</v>
      </c>
      <c r="I27" s="172">
        <f t="shared" si="2"/>
        <v>52</v>
      </c>
      <c r="J27" s="262">
        <f t="shared" si="3"/>
        <v>52</v>
      </c>
      <c r="K27" s="269"/>
      <c r="L27" s="181">
        <v>16</v>
      </c>
      <c r="M27" s="172">
        <f t="shared" si="4"/>
        <v>850</v>
      </c>
      <c r="N27" s="275" t="str">
        <f t="shared" si="5"/>
        <v>Pedra de Negro</v>
      </c>
      <c r="O27" s="172">
        <f t="shared" si="9"/>
        <v>0</v>
      </c>
      <c r="P27" s="287" t="e">
        <f t="shared" si="6"/>
        <v>#DIV/0!</v>
      </c>
      <c r="Q27">
        <f t="shared" si="10"/>
        <v>0</v>
      </c>
      <c r="R27" s="460" t="e">
        <f t="shared" si="7"/>
        <v>#DIV/0!</v>
      </c>
      <c r="S27" s="298" t="e">
        <f t="shared" si="8"/>
        <v>#DIV/0!</v>
      </c>
    </row>
    <row r="28" spans="1:19">
      <c r="A28" s="154">
        <v>17</v>
      </c>
      <c r="B28" s="181">
        <v>420</v>
      </c>
      <c r="C28" s="172" t="str">
        <f>VLOOKUP(B28,'Tipos de Defeitos'!B29:E131,Menu!$B$24+1,)</f>
        <v>Isolador afundado</v>
      </c>
      <c r="D28" s="171">
        <f>INDEX(RASCUNHO!$D$6:$J$79,MATCH('Dados do Gráfico'!C28,RASCUNHO!$C$6:$C$78,0),Menu!$B$22)</f>
        <v>0</v>
      </c>
      <c r="E28" s="281" t="e">
        <f t="shared" si="0"/>
        <v>#DIV/0!</v>
      </c>
      <c r="F28" s="260"/>
      <c r="G28" s="270">
        <v>17</v>
      </c>
      <c r="H28" s="171">
        <f t="shared" si="1"/>
        <v>17</v>
      </c>
      <c r="I28" s="172">
        <f t="shared" si="2"/>
        <v>51</v>
      </c>
      <c r="J28" s="262">
        <f t="shared" si="3"/>
        <v>51</v>
      </c>
      <c r="K28" s="269"/>
      <c r="L28" s="181">
        <v>17</v>
      </c>
      <c r="M28" s="172">
        <f t="shared" si="4"/>
        <v>840</v>
      </c>
      <c r="N28" s="275" t="str">
        <f t="shared" si="5"/>
        <v>Papel Separdor Duplo</v>
      </c>
      <c r="O28" s="172">
        <f t="shared" si="9"/>
        <v>0</v>
      </c>
      <c r="P28" s="287" t="e">
        <f t="shared" si="6"/>
        <v>#DIV/0!</v>
      </c>
      <c r="Q28">
        <f t="shared" si="10"/>
        <v>0</v>
      </c>
      <c r="R28" s="460" t="e">
        <f t="shared" si="7"/>
        <v>#DIV/0!</v>
      </c>
      <c r="S28" s="298" t="e">
        <f t="shared" si="8"/>
        <v>#DIV/0!</v>
      </c>
    </row>
    <row r="29" spans="1:19">
      <c r="A29" s="154">
        <v>18</v>
      </c>
      <c r="B29" s="181">
        <v>430</v>
      </c>
      <c r="C29" s="172" t="str">
        <f>VLOOKUP(B29,'Tipos de Defeitos'!B30:E132,Menu!$B$24+1,)</f>
        <v>Isolador Inclinado</v>
      </c>
      <c r="D29" s="171">
        <f>INDEX(RASCUNHO!$D$6:$J$79,MATCH('Dados do Gráfico'!C29,RASCUNHO!$C$6:$C$78,0),Menu!$B$22)</f>
        <v>0</v>
      </c>
      <c r="E29" s="281" t="e">
        <f t="shared" si="0"/>
        <v>#DIV/0!</v>
      </c>
      <c r="F29" s="260"/>
      <c r="G29" s="270">
        <v>18</v>
      </c>
      <c r="H29" s="171">
        <f t="shared" si="1"/>
        <v>18</v>
      </c>
      <c r="I29" s="172">
        <f t="shared" si="2"/>
        <v>50</v>
      </c>
      <c r="J29" s="262">
        <f t="shared" si="3"/>
        <v>50</v>
      </c>
      <c r="K29" s="269"/>
      <c r="L29" s="181">
        <v>18</v>
      </c>
      <c r="M29" s="172">
        <f t="shared" si="4"/>
        <v>750</v>
      </c>
      <c r="N29" s="275" t="str">
        <f t="shared" si="5"/>
        <v>Outros - Voltagem</v>
      </c>
      <c r="O29" s="172">
        <f t="shared" si="9"/>
        <v>0</v>
      </c>
      <c r="P29" s="287" t="e">
        <f t="shared" si="6"/>
        <v>#DIV/0!</v>
      </c>
      <c r="Q29">
        <f t="shared" si="10"/>
        <v>0</v>
      </c>
      <c r="R29" s="460" t="e">
        <f t="shared" si="7"/>
        <v>#DIV/0!</v>
      </c>
      <c r="S29" s="298" t="e">
        <f t="shared" si="8"/>
        <v>#DIV/0!</v>
      </c>
    </row>
    <row r="30" spans="1:19">
      <c r="A30" s="154">
        <v>19</v>
      </c>
      <c r="B30" s="181">
        <v>440</v>
      </c>
      <c r="C30" s="172" t="str">
        <f>VLOOKUP(B30,'Tipos de Defeitos'!B31:E133,Menu!$B$24+1,)</f>
        <v>Papel sujo</v>
      </c>
      <c r="D30" s="171">
        <f>INDEX(RASCUNHO!$D$6:$J$79,MATCH('Dados do Gráfico'!C30,RASCUNHO!$C$6:$C$78,0),Menu!$B$22)</f>
        <v>0</v>
      </c>
      <c r="E30" s="281" t="e">
        <f t="shared" si="0"/>
        <v>#DIV/0!</v>
      </c>
      <c r="F30" s="260"/>
      <c r="G30" s="270">
        <v>19</v>
      </c>
      <c r="H30" s="171">
        <f t="shared" si="1"/>
        <v>19</v>
      </c>
      <c r="I30" s="172">
        <f t="shared" si="2"/>
        <v>49</v>
      </c>
      <c r="J30" s="262">
        <f t="shared" si="3"/>
        <v>49</v>
      </c>
      <c r="K30" s="269"/>
      <c r="L30" s="181">
        <v>19</v>
      </c>
      <c r="M30" s="172">
        <f t="shared" si="4"/>
        <v>740</v>
      </c>
      <c r="N30" s="275" t="str">
        <f t="shared" si="5"/>
        <v>Pilha Boa</v>
      </c>
      <c r="O30" s="172">
        <f t="shared" si="9"/>
        <v>0</v>
      </c>
      <c r="P30" s="287" t="e">
        <f t="shared" si="6"/>
        <v>#DIV/0!</v>
      </c>
      <c r="Q30">
        <f t="shared" si="10"/>
        <v>0</v>
      </c>
      <c r="R30" s="460" t="e">
        <f t="shared" si="7"/>
        <v>#DIV/0!</v>
      </c>
      <c r="S30" s="298" t="e">
        <f t="shared" si="8"/>
        <v>#DIV/0!</v>
      </c>
    </row>
    <row r="31" spans="1:19">
      <c r="A31" s="154">
        <v>20</v>
      </c>
      <c r="B31" s="181">
        <v>450</v>
      </c>
      <c r="C31" s="172" t="str">
        <f>VLOOKUP(B31,'Tipos de Defeitos'!B32:E134,Menu!$B$24+1,)</f>
        <v>Manchado</v>
      </c>
      <c r="D31" s="171">
        <f>INDEX(RASCUNHO!$D$6:$J$79,MATCH('Dados do Gráfico'!C31,RASCUNHO!$C$6:$C$78,0),Menu!$B$22)</f>
        <v>0</v>
      </c>
      <c r="E31" s="281" t="e">
        <f t="shared" si="0"/>
        <v>#DIV/0!</v>
      </c>
      <c r="F31" s="260"/>
      <c r="G31" s="270">
        <v>20</v>
      </c>
      <c r="H31" s="171">
        <f t="shared" si="1"/>
        <v>20</v>
      </c>
      <c r="I31" s="172">
        <f t="shared" si="2"/>
        <v>48</v>
      </c>
      <c r="J31" s="262">
        <f t="shared" si="3"/>
        <v>48</v>
      </c>
      <c r="K31" s="269"/>
      <c r="L31" s="181">
        <v>20</v>
      </c>
      <c r="M31" s="172">
        <f t="shared" si="4"/>
        <v>730</v>
      </c>
      <c r="N31" s="275" t="str">
        <f t="shared" si="5"/>
        <v>Causa Desconhecida - Voltagem</v>
      </c>
      <c r="O31" s="172">
        <f t="shared" si="9"/>
        <v>0</v>
      </c>
      <c r="P31" s="287" t="e">
        <f t="shared" si="6"/>
        <v>#DIV/0!</v>
      </c>
      <c r="Q31">
        <f t="shared" si="10"/>
        <v>0</v>
      </c>
      <c r="R31" s="460" t="e">
        <f t="shared" si="7"/>
        <v>#DIV/0!</v>
      </c>
      <c r="S31" s="298" t="e">
        <f t="shared" si="8"/>
        <v>#DIV/0!</v>
      </c>
    </row>
    <row r="32" spans="1:19">
      <c r="A32" s="154">
        <v>21</v>
      </c>
      <c r="B32" s="181">
        <v>460</v>
      </c>
      <c r="C32" s="172" t="str">
        <f>VLOOKUP(B32,'Tipos de Defeitos'!B33:E135,Menu!$B$24+1,)</f>
        <v>Manchado Superior</v>
      </c>
      <c r="D32" s="171">
        <f>INDEX(RASCUNHO!$D$6:$J$79,MATCH('Dados do Gráfico'!C32,RASCUNHO!$C$6:$C$78,0),Menu!$B$22)</f>
        <v>0</v>
      </c>
      <c r="E32" s="281" t="e">
        <f t="shared" si="0"/>
        <v>#DIV/0!</v>
      </c>
      <c r="F32" s="260"/>
      <c r="G32" s="270">
        <v>21</v>
      </c>
      <c r="H32" s="171">
        <f t="shared" si="1"/>
        <v>21</v>
      </c>
      <c r="I32" s="172">
        <f t="shared" si="2"/>
        <v>47</v>
      </c>
      <c r="J32" s="262">
        <f t="shared" si="3"/>
        <v>47</v>
      </c>
      <c r="K32" s="269"/>
      <c r="L32" s="181">
        <v>21</v>
      </c>
      <c r="M32" s="172">
        <f t="shared" si="4"/>
        <v>720</v>
      </c>
      <c r="N32" s="275" t="str">
        <f t="shared" si="5"/>
        <v>Pilha recuperada do Acabamento</v>
      </c>
      <c r="O32" s="172">
        <f t="shared" si="9"/>
        <v>0</v>
      </c>
      <c r="P32" s="287" t="e">
        <f t="shared" si="6"/>
        <v>#DIV/0!</v>
      </c>
      <c r="Q32">
        <f t="shared" si="10"/>
        <v>0</v>
      </c>
      <c r="R32" s="460" t="e">
        <f t="shared" si="7"/>
        <v>#DIV/0!</v>
      </c>
      <c r="S32" s="298" t="e">
        <f t="shared" si="8"/>
        <v>#DIV/0!</v>
      </c>
    </row>
    <row r="33" spans="1:19">
      <c r="A33" s="154">
        <v>22</v>
      </c>
      <c r="B33" s="181">
        <v>470</v>
      </c>
      <c r="C33" s="172" t="str">
        <f>VLOOKUP(B33,'Tipos de Defeitos'!B34:E136,Menu!$B$24+1,)</f>
        <v>Ferro</v>
      </c>
      <c r="D33" s="171">
        <f>INDEX(RASCUNHO!$D$6:$J$79,MATCH('Dados do Gráfico'!C33,RASCUNHO!$C$6:$C$78,0),Menu!$B$22)</f>
        <v>0</v>
      </c>
      <c r="E33" s="281" t="e">
        <f t="shared" si="0"/>
        <v>#DIV/0!</v>
      </c>
      <c r="F33" s="260"/>
      <c r="G33" s="270">
        <v>22</v>
      </c>
      <c r="H33" s="171">
        <f t="shared" si="1"/>
        <v>22</v>
      </c>
      <c r="I33" s="172">
        <f t="shared" si="2"/>
        <v>46</v>
      </c>
      <c r="J33" s="262">
        <f t="shared" si="3"/>
        <v>46</v>
      </c>
      <c r="K33" s="269"/>
      <c r="L33" s="181">
        <v>22</v>
      </c>
      <c r="M33" s="172">
        <f t="shared" si="4"/>
        <v>710</v>
      </c>
      <c r="N33" s="275" t="str">
        <f t="shared" si="5"/>
        <v>Curto Circ. Externo -  recuperada</v>
      </c>
      <c r="O33" s="172">
        <f t="shared" si="9"/>
        <v>0</v>
      </c>
      <c r="P33" s="287" t="e">
        <f t="shared" si="6"/>
        <v>#DIV/0!</v>
      </c>
      <c r="Q33">
        <f t="shared" si="10"/>
        <v>0</v>
      </c>
      <c r="R33" s="460" t="e">
        <f t="shared" si="7"/>
        <v>#DIV/0!</v>
      </c>
      <c r="S33" s="298" t="e">
        <f t="shared" si="8"/>
        <v>#DIV/0!</v>
      </c>
    </row>
    <row r="34" spans="1:19">
      <c r="A34" s="154">
        <v>23</v>
      </c>
      <c r="B34" s="181">
        <v>480</v>
      </c>
      <c r="C34" s="172" t="str">
        <f>VLOOKUP(B34,'Tipos de Defeitos'!B35:E137,Menu!$B$24+1,)</f>
        <v>Cobre</v>
      </c>
      <c r="D34" s="171">
        <f>INDEX(RASCUNHO!$D$6:$J$79,MATCH('Dados do Gráfico'!C34,RASCUNHO!$C$6:$C$78,0),Menu!$B$22)</f>
        <v>0</v>
      </c>
      <c r="E34" s="281" t="e">
        <f t="shared" si="0"/>
        <v>#DIV/0!</v>
      </c>
      <c r="F34" s="260"/>
      <c r="G34" s="270">
        <v>23</v>
      </c>
      <c r="H34" s="171">
        <f t="shared" si="1"/>
        <v>23</v>
      </c>
      <c r="I34" s="172">
        <f t="shared" si="2"/>
        <v>45</v>
      </c>
      <c r="J34" s="262">
        <f t="shared" si="3"/>
        <v>45</v>
      </c>
      <c r="K34" s="269"/>
      <c r="L34" s="181">
        <v>23</v>
      </c>
      <c r="M34" s="172">
        <f t="shared" si="4"/>
        <v>700</v>
      </c>
      <c r="N34" s="275" t="str">
        <f t="shared" si="5"/>
        <v>Curto Circuito Externo</v>
      </c>
      <c r="O34" s="172">
        <f t="shared" si="9"/>
        <v>0</v>
      </c>
      <c r="P34" s="287" t="e">
        <f t="shared" si="6"/>
        <v>#DIV/0!</v>
      </c>
      <c r="Q34">
        <f t="shared" si="10"/>
        <v>0</v>
      </c>
      <c r="R34" s="460" t="e">
        <f t="shared" si="7"/>
        <v>#DIV/0!</v>
      </c>
      <c r="S34" s="298" t="e">
        <f t="shared" si="8"/>
        <v>#DIV/0!</v>
      </c>
    </row>
    <row r="35" spans="1:19">
      <c r="A35" s="154">
        <v>24</v>
      </c>
      <c r="B35" s="181">
        <v>490</v>
      </c>
      <c r="C35" s="172" t="str">
        <f>VLOOKUP(B35,'Tipos de Defeitos'!B36:E138,Menu!$B$24+1,)</f>
        <v>Mistura no Tubo</v>
      </c>
      <c r="D35" s="171">
        <f>INDEX(RASCUNHO!$D$6:$J$79,MATCH('Dados do Gráfico'!C35,RASCUNHO!$C$6:$C$78,0),Menu!$B$22)</f>
        <v>0</v>
      </c>
      <c r="E35" s="281" t="e">
        <f t="shared" si="0"/>
        <v>#DIV/0!</v>
      </c>
      <c r="F35" s="260"/>
      <c r="G35" s="270">
        <v>24</v>
      </c>
      <c r="H35" s="171">
        <f t="shared" si="1"/>
        <v>24</v>
      </c>
      <c r="I35" s="172">
        <f t="shared" si="2"/>
        <v>44</v>
      </c>
      <c r="J35" s="262">
        <f t="shared" si="3"/>
        <v>44</v>
      </c>
      <c r="K35" s="269"/>
      <c r="L35" s="181">
        <v>24</v>
      </c>
      <c r="M35" s="172">
        <f t="shared" si="4"/>
        <v>690</v>
      </c>
      <c r="N35" s="275" t="str">
        <f t="shared" si="5"/>
        <v>Tubo com Rebarba</v>
      </c>
      <c r="O35" s="172">
        <f t="shared" si="9"/>
        <v>0</v>
      </c>
      <c r="P35" s="287" t="e">
        <f t="shared" si="6"/>
        <v>#DIV/0!</v>
      </c>
      <c r="Q35">
        <f t="shared" si="10"/>
        <v>0</v>
      </c>
      <c r="R35" s="460" t="e">
        <f t="shared" si="7"/>
        <v>#DIV/0!</v>
      </c>
      <c r="S35" s="298" t="e">
        <f t="shared" si="8"/>
        <v>#DIV/0!</v>
      </c>
    </row>
    <row r="36" spans="1:19">
      <c r="A36" s="154">
        <v>25</v>
      </c>
      <c r="B36" s="181">
        <v>500</v>
      </c>
      <c r="C36" s="172" t="str">
        <f>VLOOKUP(B36,'Tipos de Defeitos'!B37:E139,Menu!$B$24+1,)</f>
        <v>Pó de Mistura</v>
      </c>
      <c r="D36" s="171">
        <f>INDEX(RASCUNHO!$D$6:$J$79,MATCH('Dados do Gráfico'!C36,RASCUNHO!$C$6:$C$78,0),Menu!$B$22)</f>
        <v>0</v>
      </c>
      <c r="E36" s="281" t="e">
        <f t="shared" si="0"/>
        <v>#DIV/0!</v>
      </c>
      <c r="F36" s="260"/>
      <c r="G36" s="270">
        <v>25</v>
      </c>
      <c r="H36" s="171">
        <f t="shared" si="1"/>
        <v>25</v>
      </c>
      <c r="I36" s="172">
        <f t="shared" si="2"/>
        <v>43</v>
      </c>
      <c r="J36" s="262">
        <f t="shared" si="3"/>
        <v>43</v>
      </c>
      <c r="K36" s="269"/>
      <c r="L36" s="181">
        <v>25</v>
      </c>
      <c r="M36" s="172">
        <f t="shared" si="4"/>
        <v>680</v>
      </c>
      <c r="N36" s="275" t="str">
        <f t="shared" si="5"/>
        <v>Tubo de Zinco Amassado</v>
      </c>
      <c r="O36" s="172">
        <f t="shared" si="9"/>
        <v>0</v>
      </c>
      <c r="P36" s="287" t="e">
        <f t="shared" si="6"/>
        <v>#DIV/0!</v>
      </c>
      <c r="Q36">
        <f t="shared" si="10"/>
        <v>0</v>
      </c>
      <c r="R36" s="460" t="e">
        <f t="shared" si="7"/>
        <v>#DIV/0!</v>
      </c>
      <c r="S36" s="298" t="e">
        <f t="shared" si="8"/>
        <v>#DIV/0!</v>
      </c>
    </row>
    <row r="37" spans="1:19">
      <c r="A37" s="154">
        <v>26</v>
      </c>
      <c r="B37" s="181">
        <v>510</v>
      </c>
      <c r="C37" s="172" t="str">
        <f>VLOOKUP(B37,'Tipos de Defeitos'!B38:E140,Menu!$B$24+1,)</f>
        <v>Bobina Baixa V</v>
      </c>
      <c r="D37" s="171">
        <f>INDEX(RASCUNHO!$D$6:$J$79,MATCH('Dados do Gráfico'!C37,RASCUNHO!$C$6:$C$78,0),Menu!$B$22)</f>
        <v>0</v>
      </c>
      <c r="E37" s="281" t="e">
        <f t="shared" si="0"/>
        <v>#DIV/0!</v>
      </c>
      <c r="F37" s="260"/>
      <c r="G37" s="270">
        <v>26</v>
      </c>
      <c r="H37" s="171">
        <f t="shared" si="1"/>
        <v>26</v>
      </c>
      <c r="I37" s="172">
        <f t="shared" si="2"/>
        <v>42</v>
      </c>
      <c r="J37" s="262">
        <f t="shared" si="3"/>
        <v>42</v>
      </c>
      <c r="K37" s="269"/>
      <c r="L37" s="181">
        <v>26</v>
      </c>
      <c r="M37" s="172">
        <f t="shared" si="4"/>
        <v>670</v>
      </c>
      <c r="N37" s="275" t="str">
        <f t="shared" si="5"/>
        <v>Tubo Rachado - Câmera</v>
      </c>
      <c r="O37" s="172">
        <f t="shared" si="9"/>
        <v>0</v>
      </c>
      <c r="P37" s="287" t="e">
        <f t="shared" si="6"/>
        <v>#DIV/0!</v>
      </c>
      <c r="Q37">
        <f t="shared" si="10"/>
        <v>0</v>
      </c>
      <c r="R37" s="460" t="e">
        <f t="shared" si="7"/>
        <v>#DIV/0!</v>
      </c>
      <c r="S37" s="298" t="e">
        <f t="shared" si="8"/>
        <v>#DIV/0!</v>
      </c>
    </row>
    <row r="38" spans="1:19">
      <c r="A38" s="154">
        <v>27</v>
      </c>
      <c r="B38" s="181">
        <v>520</v>
      </c>
      <c r="C38" s="172" t="str">
        <f>VLOOKUP(B38,'Tipos de Defeitos'!B39:E141,Menu!$B$24+1,)</f>
        <v>Bobina Alta</v>
      </c>
      <c r="D38" s="171">
        <f>INDEX(RASCUNHO!$D$6:$J$79,MATCH('Dados do Gráfico'!C38,RASCUNHO!$C$6:$C$78,0),Menu!$B$22)</f>
        <v>0</v>
      </c>
      <c r="E38" s="281" t="e">
        <f t="shared" si="0"/>
        <v>#DIV/0!</v>
      </c>
      <c r="F38" s="260"/>
      <c r="G38" s="270">
        <v>27</v>
      </c>
      <c r="H38" s="171">
        <f t="shared" si="1"/>
        <v>27</v>
      </c>
      <c r="I38" s="172">
        <f t="shared" si="2"/>
        <v>41</v>
      </c>
      <c r="J38" s="262">
        <f t="shared" si="3"/>
        <v>41</v>
      </c>
      <c r="K38" s="269"/>
      <c r="L38" s="181">
        <v>27</v>
      </c>
      <c r="M38" s="172">
        <f t="shared" si="4"/>
        <v>660</v>
      </c>
      <c r="N38" s="275" t="str">
        <f t="shared" si="5"/>
        <v>Tubo Rachado - Operador</v>
      </c>
      <c r="O38" s="172">
        <f t="shared" si="9"/>
        <v>0</v>
      </c>
      <c r="P38" s="287" t="e">
        <f t="shared" si="6"/>
        <v>#DIV/0!</v>
      </c>
      <c r="Q38">
        <f t="shared" si="10"/>
        <v>0</v>
      </c>
      <c r="R38" s="460" t="e">
        <f t="shared" si="7"/>
        <v>#DIV/0!</v>
      </c>
      <c r="S38" s="298" t="e">
        <f t="shared" si="8"/>
        <v>#DIV/0!</v>
      </c>
    </row>
    <row r="39" spans="1:19">
      <c r="A39" s="154">
        <v>28</v>
      </c>
      <c r="B39" s="181">
        <v>530</v>
      </c>
      <c r="C39" s="172" t="str">
        <f>VLOOKUP(B39,'Tipos de Defeitos'!B40:E142,Menu!$B$24+1,)</f>
        <v>Bobina Molhada</v>
      </c>
      <c r="D39" s="171">
        <f>INDEX(RASCUNHO!$D$6:$J$79,MATCH('Dados do Gráfico'!C39,RASCUNHO!$C$6:$C$78,0),Menu!$B$22)</f>
        <v>0</v>
      </c>
      <c r="E39" s="281" t="e">
        <f t="shared" si="0"/>
        <v>#DIV/0!</v>
      </c>
      <c r="F39" s="260"/>
      <c r="G39" s="270">
        <v>28</v>
      </c>
      <c r="H39" s="171">
        <f t="shared" si="1"/>
        <v>28</v>
      </c>
      <c r="I39" s="172">
        <f t="shared" si="2"/>
        <v>40</v>
      </c>
      <c r="J39" s="262">
        <f t="shared" si="3"/>
        <v>40</v>
      </c>
      <c r="K39" s="269"/>
      <c r="L39" s="181">
        <v>28</v>
      </c>
      <c r="M39" s="172">
        <f t="shared" si="4"/>
        <v>650</v>
      </c>
      <c r="N39" s="275" t="str">
        <f t="shared" si="5"/>
        <v>Tb c/ Boca Amassada - recuperada</v>
      </c>
      <c r="O39" s="172">
        <f t="shared" si="9"/>
        <v>0</v>
      </c>
      <c r="P39" s="287" t="e">
        <f t="shared" si="6"/>
        <v>#DIV/0!</v>
      </c>
      <c r="Q39">
        <f t="shared" si="10"/>
        <v>0</v>
      </c>
      <c r="R39" s="460" t="e">
        <f t="shared" si="7"/>
        <v>#DIV/0!</v>
      </c>
      <c r="S39" s="298" t="e">
        <f t="shared" si="8"/>
        <v>#DIV/0!</v>
      </c>
    </row>
    <row r="40" spans="1:19">
      <c r="A40" s="154">
        <v>29</v>
      </c>
      <c r="B40" s="181">
        <v>540</v>
      </c>
      <c r="C40" s="172" t="str">
        <f>VLOOKUP(B40,'Tipos de Defeitos'!B41:E143,Menu!$B$24+1,)</f>
        <v>Mistura seca</v>
      </c>
      <c r="D40" s="171">
        <f>INDEX(RASCUNHO!$D$6:$J$79,MATCH('Dados do Gráfico'!C40,RASCUNHO!$C$6:$C$78,0),Menu!$B$22)</f>
        <v>0</v>
      </c>
      <c r="E40" s="281" t="e">
        <f t="shared" si="0"/>
        <v>#DIV/0!</v>
      </c>
      <c r="F40" s="260"/>
      <c r="G40" s="270">
        <v>29</v>
      </c>
      <c r="H40" s="171">
        <f t="shared" si="1"/>
        <v>29</v>
      </c>
      <c r="I40" s="172">
        <f t="shared" si="2"/>
        <v>39</v>
      </c>
      <c r="J40" s="262">
        <f t="shared" si="3"/>
        <v>39</v>
      </c>
      <c r="K40" s="269"/>
      <c r="L40" s="181">
        <v>29</v>
      </c>
      <c r="M40" s="172">
        <f t="shared" si="4"/>
        <v>640</v>
      </c>
      <c r="N40" s="275" t="str">
        <f t="shared" si="5"/>
        <v>Tb c/ Boca Amassada - Câmera</v>
      </c>
      <c r="O40" s="172">
        <f t="shared" si="9"/>
        <v>0</v>
      </c>
      <c r="P40" s="287" t="e">
        <f t="shared" si="6"/>
        <v>#DIV/0!</v>
      </c>
      <c r="Q40">
        <f t="shared" si="10"/>
        <v>0</v>
      </c>
      <c r="R40" s="460" t="e">
        <f t="shared" si="7"/>
        <v>#DIV/0!</v>
      </c>
      <c r="S40" s="298" t="e">
        <f t="shared" si="8"/>
        <v>#DIV/0!</v>
      </c>
    </row>
    <row r="41" spans="1:19">
      <c r="A41" s="154">
        <v>30</v>
      </c>
      <c r="B41" s="181">
        <v>550</v>
      </c>
      <c r="C41" s="172" t="str">
        <f>VLOOKUP(B41,'Tipos de Defeitos'!B42:E144,Menu!$B$24+1,)</f>
        <v>Contem estranho</v>
      </c>
      <c r="D41" s="171">
        <f>INDEX(RASCUNHO!$D$6:$J$79,MATCH('Dados do Gráfico'!C41,RASCUNHO!$C$6:$C$78,0),Menu!$B$22)</f>
        <v>0</v>
      </c>
      <c r="E41" s="281" t="e">
        <f t="shared" si="0"/>
        <v>#DIV/0!</v>
      </c>
      <c r="F41" s="260"/>
      <c r="G41" s="270">
        <v>30</v>
      </c>
      <c r="H41" s="171">
        <f t="shared" si="1"/>
        <v>30</v>
      </c>
      <c r="I41" s="172">
        <f t="shared" si="2"/>
        <v>38</v>
      </c>
      <c r="J41" s="262">
        <f t="shared" si="3"/>
        <v>38</v>
      </c>
      <c r="K41" s="269"/>
      <c r="L41" s="181">
        <v>30</v>
      </c>
      <c r="M41" s="172">
        <f t="shared" si="4"/>
        <v>630</v>
      </c>
      <c r="N41" s="275" t="str">
        <f t="shared" si="5"/>
        <v>Tb c/ Boca Amassada - Operador</v>
      </c>
      <c r="O41" s="172">
        <f t="shared" si="9"/>
        <v>0</v>
      </c>
      <c r="P41" s="287" t="e">
        <f t="shared" si="6"/>
        <v>#DIV/0!</v>
      </c>
      <c r="Q41">
        <f t="shared" si="10"/>
        <v>0</v>
      </c>
      <c r="R41" s="460" t="e">
        <f t="shared" si="7"/>
        <v>#DIV/0!</v>
      </c>
      <c r="S41" s="298" t="e">
        <f t="shared" si="8"/>
        <v>#DIV/0!</v>
      </c>
    </row>
    <row r="42" spans="1:19">
      <c r="A42" s="154">
        <v>31</v>
      </c>
      <c r="B42" s="181">
        <v>560</v>
      </c>
      <c r="C42" s="172" t="str">
        <f>VLOOKUP(B42,'Tipos de Defeitos'!B43:E145,Menu!$B$24+1,)</f>
        <v>Pedra de Óxido</v>
      </c>
      <c r="D42" s="171">
        <f>INDEX(RASCUNHO!$D$6:$J$79,MATCH('Dados do Gráfico'!C42,RASCUNHO!$C$6:$C$78,0),Menu!$B$22)</f>
        <v>0</v>
      </c>
      <c r="E42" s="281" t="e">
        <f t="shared" si="0"/>
        <v>#DIV/0!</v>
      </c>
      <c r="F42" s="260"/>
      <c r="G42" s="270">
        <v>31</v>
      </c>
      <c r="H42" s="171">
        <f t="shared" si="1"/>
        <v>31</v>
      </c>
      <c r="I42" s="172">
        <f t="shared" si="2"/>
        <v>37</v>
      </c>
      <c r="J42" s="262">
        <f t="shared" si="3"/>
        <v>37</v>
      </c>
      <c r="K42" s="269"/>
      <c r="L42" s="181">
        <v>31</v>
      </c>
      <c r="M42" s="172">
        <f t="shared" si="4"/>
        <v>620</v>
      </c>
      <c r="N42" s="275" t="str">
        <f t="shared" si="5"/>
        <v>PY Queimado</v>
      </c>
      <c r="O42" s="172">
        <f t="shared" si="9"/>
        <v>0</v>
      </c>
      <c r="P42" s="287" t="e">
        <f t="shared" si="6"/>
        <v>#DIV/0!</v>
      </c>
      <c r="Q42">
        <f t="shared" si="10"/>
        <v>0</v>
      </c>
      <c r="R42" s="460" t="e">
        <f t="shared" si="7"/>
        <v>#DIV/0!</v>
      </c>
      <c r="S42" s="298" t="e">
        <f t="shared" si="8"/>
        <v>#DIV/0!</v>
      </c>
    </row>
    <row r="43" spans="1:19">
      <c r="A43" s="154">
        <v>32</v>
      </c>
      <c r="B43" s="181">
        <v>570</v>
      </c>
      <c r="C43" s="172" t="str">
        <f>VLOOKUP(B43,'Tipos de Defeitos'!B44:E146,Menu!$B$24+1,)</f>
        <v>Carvão Quebrado V</v>
      </c>
      <c r="D43" s="171">
        <f>INDEX(RASCUNHO!$D$6:$J$79,MATCH('Dados do Gráfico'!C43,RASCUNHO!$C$6:$C$78,0),Menu!$B$22)</f>
        <v>0</v>
      </c>
      <c r="E43" s="281" t="e">
        <f t="shared" si="0"/>
        <v>#DIV/0!</v>
      </c>
      <c r="F43" s="260"/>
      <c r="G43" s="270">
        <v>32</v>
      </c>
      <c r="H43" s="171">
        <f t="shared" si="1"/>
        <v>32</v>
      </c>
      <c r="I43" s="172">
        <f t="shared" si="2"/>
        <v>36</v>
      </c>
      <c r="J43" s="262">
        <f t="shared" si="3"/>
        <v>36</v>
      </c>
      <c r="K43" s="269"/>
      <c r="L43" s="181">
        <v>32</v>
      </c>
      <c r="M43" s="172">
        <f t="shared" si="4"/>
        <v>610</v>
      </c>
      <c r="N43" s="275" t="str">
        <f t="shared" si="5"/>
        <v>PY Fora de Centro</v>
      </c>
      <c r="O43" s="172">
        <f t="shared" si="9"/>
        <v>0</v>
      </c>
      <c r="P43" s="287" t="e">
        <f t="shared" si="6"/>
        <v>#DIV/0!</v>
      </c>
      <c r="Q43">
        <f t="shared" si="10"/>
        <v>0</v>
      </c>
      <c r="R43" s="460" t="e">
        <f t="shared" si="7"/>
        <v>#DIV/0!</v>
      </c>
      <c r="S43" s="298" t="e">
        <f t="shared" si="8"/>
        <v>#DIV/0!</v>
      </c>
    </row>
    <row r="44" spans="1:19">
      <c r="A44" s="154">
        <v>33</v>
      </c>
      <c r="B44" s="181">
        <v>580</v>
      </c>
      <c r="C44" s="172" t="str">
        <f>VLOOKUP(B44,'Tipos de Defeitos'!B45:E147,Menu!$B$24+1,)</f>
        <v>Sem Selante</v>
      </c>
      <c r="D44" s="171">
        <f>INDEX(RASCUNHO!$D$6:$J$79,MATCH('Dados do Gráfico'!C44,RASCUNHO!$C$6:$C$78,0),Menu!$B$22)</f>
        <v>0</v>
      </c>
      <c r="E44" s="281" t="e">
        <f t="shared" si="0"/>
        <v>#DIV/0!</v>
      </c>
      <c r="F44" s="260"/>
      <c r="G44" s="270">
        <v>33</v>
      </c>
      <c r="H44" s="171">
        <f t="shared" si="1"/>
        <v>33</v>
      </c>
      <c r="I44" s="172">
        <f t="shared" si="2"/>
        <v>35</v>
      </c>
      <c r="J44" s="262">
        <f t="shared" si="3"/>
        <v>35</v>
      </c>
      <c r="K44" s="269"/>
      <c r="L44" s="181">
        <v>33</v>
      </c>
      <c r="M44" s="172">
        <f t="shared" si="4"/>
        <v>600</v>
      </c>
      <c r="N44" s="275" t="str">
        <f t="shared" si="5"/>
        <v>Sem PY</v>
      </c>
      <c r="O44" s="172">
        <f t="shared" si="9"/>
        <v>0</v>
      </c>
      <c r="P44" s="287" t="e">
        <f t="shared" si="6"/>
        <v>#DIV/0!</v>
      </c>
      <c r="Q44">
        <f t="shared" si="10"/>
        <v>0</v>
      </c>
      <c r="R44" s="460" t="e">
        <f t="shared" si="7"/>
        <v>#DIV/0!</v>
      </c>
      <c r="S44" s="298" t="e">
        <f t="shared" si="8"/>
        <v>#DIV/0!</v>
      </c>
    </row>
    <row r="45" spans="1:19">
      <c r="A45" s="154">
        <v>34</v>
      </c>
      <c r="B45" s="181">
        <v>590</v>
      </c>
      <c r="C45" s="172" t="str">
        <f>VLOOKUP(B45,'Tipos de Defeitos'!B46:E148,Menu!$B$24+1,)</f>
        <v>PY c/ Falha de Injeção</v>
      </c>
      <c r="D45" s="171">
        <f>INDEX(RASCUNHO!$D$6:$J$79,MATCH('Dados do Gráfico'!C45,RASCUNHO!$C$6:$C$78,0),Menu!$B$22)</f>
        <v>0</v>
      </c>
      <c r="E45" s="281" t="e">
        <f t="shared" si="0"/>
        <v>#DIV/0!</v>
      </c>
      <c r="F45" s="260"/>
      <c r="G45" s="270">
        <v>34</v>
      </c>
      <c r="H45" s="171">
        <f t="shared" si="1"/>
        <v>34</v>
      </c>
      <c r="I45" s="172">
        <f t="shared" si="2"/>
        <v>34</v>
      </c>
      <c r="J45" s="262">
        <f t="shared" si="3"/>
        <v>34</v>
      </c>
      <c r="K45" s="269"/>
      <c r="L45" s="181">
        <v>34</v>
      </c>
      <c r="M45" s="172">
        <f t="shared" si="4"/>
        <v>590</v>
      </c>
      <c r="N45" s="275" t="str">
        <f t="shared" si="5"/>
        <v>PY c/ Falha de Injeção</v>
      </c>
      <c r="O45" s="172">
        <f t="shared" si="9"/>
        <v>0</v>
      </c>
      <c r="P45" s="287" t="e">
        <f t="shared" si="6"/>
        <v>#DIV/0!</v>
      </c>
      <c r="Q45">
        <f t="shared" si="10"/>
        <v>0</v>
      </c>
      <c r="R45" s="460" t="e">
        <f t="shared" si="7"/>
        <v>#DIV/0!</v>
      </c>
      <c r="S45" s="298" t="e">
        <f t="shared" si="8"/>
        <v>#DIV/0!</v>
      </c>
    </row>
    <row r="46" spans="1:19">
      <c r="A46" s="154">
        <v>35</v>
      </c>
      <c r="B46" s="181">
        <v>600</v>
      </c>
      <c r="C46" s="172" t="str">
        <f>VLOOKUP(B46,'Tipos de Defeitos'!B47:E149,Menu!$B$24+1,)</f>
        <v>Sem PY</v>
      </c>
      <c r="D46" s="171">
        <f>INDEX(RASCUNHO!$D$6:$J$79,MATCH('Dados do Gráfico'!C46,RASCUNHO!$C$6:$C$78,0),Menu!$B$22)</f>
        <v>0</v>
      </c>
      <c r="E46" s="281" t="e">
        <f t="shared" si="0"/>
        <v>#DIV/0!</v>
      </c>
      <c r="F46" s="260"/>
      <c r="G46" s="270">
        <v>35</v>
      </c>
      <c r="H46" s="171">
        <f t="shared" si="1"/>
        <v>35</v>
      </c>
      <c r="I46" s="172">
        <f t="shared" si="2"/>
        <v>33</v>
      </c>
      <c r="J46" s="262">
        <f t="shared" si="3"/>
        <v>33</v>
      </c>
      <c r="K46" s="269"/>
      <c r="L46" s="181">
        <v>35</v>
      </c>
      <c r="M46" s="172">
        <f t="shared" si="4"/>
        <v>580</v>
      </c>
      <c r="N46" s="275" t="str">
        <f t="shared" si="5"/>
        <v>Sem Selante</v>
      </c>
      <c r="O46" s="172">
        <f t="shared" si="9"/>
        <v>0</v>
      </c>
      <c r="P46" s="287" t="e">
        <f t="shared" si="6"/>
        <v>#DIV/0!</v>
      </c>
      <c r="Q46">
        <f t="shared" si="10"/>
        <v>0</v>
      </c>
      <c r="R46" s="460" t="e">
        <f t="shared" si="7"/>
        <v>#DIV/0!</v>
      </c>
      <c r="S46" s="298" t="e">
        <f t="shared" si="8"/>
        <v>#DIV/0!</v>
      </c>
    </row>
    <row r="47" spans="1:19">
      <c r="A47" s="154">
        <v>36</v>
      </c>
      <c r="B47" s="181">
        <v>610</v>
      </c>
      <c r="C47" s="172" t="str">
        <f>VLOOKUP(B47,'Tipos de Defeitos'!B48:E150,Menu!$B$24+1,)</f>
        <v>PY Fora de Centro</v>
      </c>
      <c r="D47" s="171">
        <f>INDEX(RASCUNHO!$D$6:$J$79,MATCH('Dados do Gráfico'!C47,RASCUNHO!$C$6:$C$78,0),Menu!$B$22)</f>
        <v>0</v>
      </c>
      <c r="E47" s="281" t="e">
        <f t="shared" si="0"/>
        <v>#DIV/0!</v>
      </c>
      <c r="F47" s="260"/>
      <c r="G47" s="270">
        <v>36</v>
      </c>
      <c r="H47" s="171">
        <f t="shared" si="1"/>
        <v>36</v>
      </c>
      <c r="I47" s="172">
        <f t="shared" si="2"/>
        <v>32</v>
      </c>
      <c r="J47" s="262">
        <f t="shared" si="3"/>
        <v>32</v>
      </c>
      <c r="K47" s="269"/>
      <c r="L47" s="181">
        <v>36</v>
      </c>
      <c r="M47" s="172">
        <f t="shared" si="4"/>
        <v>570</v>
      </c>
      <c r="N47" s="275" t="str">
        <f t="shared" si="5"/>
        <v>Carvão Quebrado V</v>
      </c>
      <c r="O47" s="172">
        <f t="shared" si="9"/>
        <v>0</v>
      </c>
      <c r="P47" s="287" t="e">
        <f t="shared" si="6"/>
        <v>#DIV/0!</v>
      </c>
      <c r="Q47">
        <f t="shared" si="10"/>
        <v>0</v>
      </c>
      <c r="R47" s="460" t="e">
        <f t="shared" si="7"/>
        <v>#DIV/0!</v>
      </c>
      <c r="S47" s="298" t="e">
        <f t="shared" si="8"/>
        <v>#DIV/0!</v>
      </c>
    </row>
    <row r="48" spans="1:19">
      <c r="A48" s="154">
        <v>37</v>
      </c>
      <c r="B48" s="181">
        <v>620</v>
      </c>
      <c r="C48" s="172" t="str">
        <f>VLOOKUP(B48,'Tipos de Defeitos'!B49:E151,Menu!$B$24+1,)</f>
        <v>PY Queimado</v>
      </c>
      <c r="D48" s="171">
        <f>INDEX(RASCUNHO!$D$6:$J$79,MATCH('Dados do Gráfico'!C48,RASCUNHO!$C$6:$C$78,0),Menu!$B$22)</f>
        <v>0</v>
      </c>
      <c r="E48" s="281" t="e">
        <f t="shared" si="0"/>
        <v>#DIV/0!</v>
      </c>
      <c r="F48" s="260"/>
      <c r="G48" s="270">
        <v>37</v>
      </c>
      <c r="H48" s="171">
        <f t="shared" si="1"/>
        <v>37</v>
      </c>
      <c r="I48" s="172">
        <f t="shared" si="2"/>
        <v>31</v>
      </c>
      <c r="J48" s="262">
        <f t="shared" si="3"/>
        <v>31</v>
      </c>
      <c r="K48" s="269"/>
      <c r="L48" s="181">
        <v>37</v>
      </c>
      <c r="M48" s="172">
        <f t="shared" si="4"/>
        <v>560</v>
      </c>
      <c r="N48" s="275" t="str">
        <f t="shared" si="5"/>
        <v>Pedra de Óxido</v>
      </c>
      <c r="O48" s="172">
        <f t="shared" si="9"/>
        <v>0</v>
      </c>
      <c r="P48" s="287" t="e">
        <f t="shared" si="6"/>
        <v>#DIV/0!</v>
      </c>
      <c r="Q48">
        <f t="shared" si="10"/>
        <v>0</v>
      </c>
      <c r="R48" s="460" t="e">
        <f t="shared" si="7"/>
        <v>#DIV/0!</v>
      </c>
      <c r="S48" s="298" t="e">
        <f t="shared" si="8"/>
        <v>#DIV/0!</v>
      </c>
    </row>
    <row r="49" spans="1:19">
      <c r="A49" s="154">
        <v>38</v>
      </c>
      <c r="B49" s="181">
        <v>630</v>
      </c>
      <c r="C49" s="172" t="str">
        <f>VLOOKUP(B49,'Tipos de Defeitos'!B50:E152,Menu!$B$24+1,)</f>
        <v>Tb c/ Boca Amassada - Operador</v>
      </c>
      <c r="D49" s="171">
        <f>INDEX(RASCUNHO!$D$6:$J$79,MATCH('Dados do Gráfico'!C49,RASCUNHO!$C$6:$C$78,0),Menu!$B$22)</f>
        <v>0</v>
      </c>
      <c r="E49" s="281" t="e">
        <f t="shared" si="0"/>
        <v>#DIV/0!</v>
      </c>
      <c r="F49" s="260"/>
      <c r="G49" s="270">
        <v>38</v>
      </c>
      <c r="H49" s="171">
        <f t="shared" si="1"/>
        <v>38</v>
      </c>
      <c r="I49" s="172">
        <f t="shared" si="2"/>
        <v>30</v>
      </c>
      <c r="J49" s="262">
        <f t="shared" si="3"/>
        <v>30</v>
      </c>
      <c r="K49" s="269"/>
      <c r="L49" s="181">
        <v>38</v>
      </c>
      <c r="M49" s="172">
        <f t="shared" si="4"/>
        <v>550</v>
      </c>
      <c r="N49" s="275" t="str">
        <f t="shared" si="5"/>
        <v>Contem estranho</v>
      </c>
      <c r="O49" s="172">
        <f t="shared" si="9"/>
        <v>0</v>
      </c>
      <c r="P49" s="287" t="e">
        <f t="shared" si="6"/>
        <v>#DIV/0!</v>
      </c>
      <c r="Q49">
        <f t="shared" si="10"/>
        <v>0</v>
      </c>
      <c r="R49" s="460" t="e">
        <f t="shared" si="7"/>
        <v>#DIV/0!</v>
      </c>
      <c r="S49" s="298" t="e">
        <f t="shared" si="8"/>
        <v>#DIV/0!</v>
      </c>
    </row>
    <row r="50" spans="1:19">
      <c r="A50" s="154">
        <v>39</v>
      </c>
      <c r="B50" s="181">
        <v>640</v>
      </c>
      <c r="C50" s="172" t="str">
        <f>VLOOKUP(B50,'Tipos de Defeitos'!B51:E153,Menu!$B$24+1,)</f>
        <v>Tb c/ Boca Amassada - Câmera</v>
      </c>
      <c r="D50" s="171">
        <f>INDEX(RASCUNHO!$D$6:$J$79,MATCH('Dados do Gráfico'!C50,RASCUNHO!$C$6:$C$78,0),Menu!$B$22)</f>
        <v>0</v>
      </c>
      <c r="E50" s="281" t="e">
        <f t="shared" si="0"/>
        <v>#DIV/0!</v>
      </c>
      <c r="F50" s="260"/>
      <c r="G50" s="270">
        <v>39</v>
      </c>
      <c r="H50" s="171">
        <f t="shared" si="1"/>
        <v>39</v>
      </c>
      <c r="I50" s="172">
        <f t="shared" si="2"/>
        <v>29</v>
      </c>
      <c r="J50" s="262">
        <f t="shared" si="3"/>
        <v>29</v>
      </c>
      <c r="K50" s="269"/>
      <c r="L50" s="181">
        <v>39</v>
      </c>
      <c r="M50" s="172">
        <f t="shared" si="4"/>
        <v>540</v>
      </c>
      <c r="N50" s="275" t="str">
        <f t="shared" si="5"/>
        <v>Mistura seca</v>
      </c>
      <c r="O50" s="172">
        <f t="shared" si="9"/>
        <v>0</v>
      </c>
      <c r="P50" s="287" t="e">
        <f t="shared" si="6"/>
        <v>#DIV/0!</v>
      </c>
      <c r="Q50">
        <f t="shared" si="10"/>
        <v>0</v>
      </c>
      <c r="R50" s="460" t="e">
        <f t="shared" si="7"/>
        <v>#DIV/0!</v>
      </c>
      <c r="S50" s="298" t="e">
        <f t="shared" si="8"/>
        <v>#DIV/0!</v>
      </c>
    </row>
    <row r="51" spans="1:19">
      <c r="A51" s="154">
        <v>40</v>
      </c>
      <c r="B51" s="181">
        <v>650</v>
      </c>
      <c r="C51" s="172" t="str">
        <f>VLOOKUP(B51,'Tipos de Defeitos'!B52:E154,Menu!$B$24+1,)</f>
        <v>Tb c/ Boca Amassada - recuperada</v>
      </c>
      <c r="D51" s="171">
        <f>INDEX(RASCUNHO!$D$6:$J$79,MATCH('Dados do Gráfico'!C51,RASCUNHO!$C$6:$C$78,0),Menu!$B$22)</f>
        <v>0</v>
      </c>
      <c r="E51" s="281" t="e">
        <f t="shared" si="0"/>
        <v>#DIV/0!</v>
      </c>
      <c r="F51" s="260"/>
      <c r="G51" s="270">
        <v>40</v>
      </c>
      <c r="H51" s="171">
        <f t="shared" si="1"/>
        <v>40</v>
      </c>
      <c r="I51" s="172">
        <f t="shared" si="2"/>
        <v>28</v>
      </c>
      <c r="J51" s="262">
        <f t="shared" si="3"/>
        <v>28</v>
      </c>
      <c r="K51" s="269"/>
      <c r="L51" s="181">
        <v>40</v>
      </c>
      <c r="M51" s="172">
        <f t="shared" si="4"/>
        <v>530</v>
      </c>
      <c r="N51" s="275" t="str">
        <f t="shared" si="5"/>
        <v>Bobina Molhada</v>
      </c>
      <c r="O51" s="172">
        <f t="shared" si="9"/>
        <v>0</v>
      </c>
      <c r="P51" s="287" t="e">
        <f t="shared" si="6"/>
        <v>#DIV/0!</v>
      </c>
      <c r="Q51">
        <f t="shared" si="10"/>
        <v>0</v>
      </c>
      <c r="R51" s="460" t="e">
        <f t="shared" si="7"/>
        <v>#DIV/0!</v>
      </c>
      <c r="S51" s="298" t="e">
        <f t="shared" si="8"/>
        <v>#DIV/0!</v>
      </c>
    </row>
    <row r="52" spans="1:19">
      <c r="A52" s="154">
        <v>41</v>
      </c>
      <c r="B52" s="181">
        <v>660</v>
      </c>
      <c r="C52" s="172" t="str">
        <f>VLOOKUP(B52,'Tipos de Defeitos'!B53:E155,Menu!$B$24+1,)</f>
        <v>Tubo Rachado - Operador</v>
      </c>
      <c r="D52" s="171">
        <f>INDEX(RASCUNHO!$D$6:$J$79,MATCH('Dados do Gráfico'!C52,RASCUNHO!$C$6:$C$78,0),Menu!$B$22)</f>
        <v>0</v>
      </c>
      <c r="E52" s="281" t="e">
        <f t="shared" si="0"/>
        <v>#DIV/0!</v>
      </c>
      <c r="F52" s="260"/>
      <c r="G52" s="270">
        <v>41</v>
      </c>
      <c r="H52" s="171">
        <f t="shared" si="1"/>
        <v>41</v>
      </c>
      <c r="I52" s="172">
        <f t="shared" si="2"/>
        <v>27</v>
      </c>
      <c r="J52" s="262">
        <f t="shared" si="3"/>
        <v>27</v>
      </c>
      <c r="K52" s="269"/>
      <c r="L52" s="181">
        <v>41</v>
      </c>
      <c r="M52" s="172">
        <f t="shared" si="4"/>
        <v>520</v>
      </c>
      <c r="N52" s="275" t="str">
        <f t="shared" si="5"/>
        <v>Bobina Alta</v>
      </c>
      <c r="O52" s="172">
        <f t="shared" si="9"/>
        <v>0</v>
      </c>
      <c r="P52" s="287" t="e">
        <f t="shared" si="6"/>
        <v>#DIV/0!</v>
      </c>
      <c r="Q52">
        <f t="shared" si="10"/>
        <v>0</v>
      </c>
      <c r="R52" s="460" t="e">
        <f t="shared" si="7"/>
        <v>#DIV/0!</v>
      </c>
      <c r="S52" s="298" t="e">
        <f t="shared" si="8"/>
        <v>#DIV/0!</v>
      </c>
    </row>
    <row r="53" spans="1:19">
      <c r="A53" s="154">
        <v>42</v>
      </c>
      <c r="B53" s="181">
        <v>670</v>
      </c>
      <c r="C53" s="172" t="str">
        <f>VLOOKUP(B53,'Tipos de Defeitos'!B54:E156,Menu!$B$24+1,)</f>
        <v>Tubo Rachado - Câmera</v>
      </c>
      <c r="D53" s="171">
        <f>INDEX(RASCUNHO!$D$6:$J$79,MATCH('Dados do Gráfico'!C53,RASCUNHO!$C$6:$C$78,0),Menu!$B$22)</f>
        <v>0</v>
      </c>
      <c r="E53" s="281" t="e">
        <f t="shared" si="0"/>
        <v>#DIV/0!</v>
      </c>
      <c r="F53" s="260"/>
      <c r="G53" s="270">
        <v>42</v>
      </c>
      <c r="H53" s="171">
        <f t="shared" si="1"/>
        <v>42</v>
      </c>
      <c r="I53" s="172">
        <f t="shared" si="2"/>
        <v>26</v>
      </c>
      <c r="J53" s="262">
        <f t="shared" si="3"/>
        <v>26</v>
      </c>
      <c r="K53" s="269"/>
      <c r="L53" s="181">
        <v>42</v>
      </c>
      <c r="M53" s="172">
        <f t="shared" si="4"/>
        <v>510</v>
      </c>
      <c r="N53" s="275" t="str">
        <f t="shared" si="5"/>
        <v>Bobina Baixa V</v>
      </c>
      <c r="O53" s="172">
        <f t="shared" si="9"/>
        <v>0</v>
      </c>
      <c r="P53" s="287" t="e">
        <f t="shared" si="6"/>
        <v>#DIV/0!</v>
      </c>
      <c r="Q53">
        <f t="shared" si="10"/>
        <v>0</v>
      </c>
      <c r="R53" s="460" t="e">
        <f t="shared" si="7"/>
        <v>#DIV/0!</v>
      </c>
      <c r="S53" s="298" t="e">
        <f t="shared" si="8"/>
        <v>#DIV/0!</v>
      </c>
    </row>
    <row r="54" spans="1:19">
      <c r="A54" s="154">
        <v>43</v>
      </c>
      <c r="B54" s="181">
        <v>680</v>
      </c>
      <c r="C54" s="172" t="str">
        <f>VLOOKUP(B54,'Tipos de Defeitos'!B55:E157,Menu!$B$24+1,)</f>
        <v>Tubo de Zinco Amassado</v>
      </c>
      <c r="D54" s="171">
        <f>INDEX(RASCUNHO!$D$6:$J$79,MATCH('Dados do Gráfico'!C54,RASCUNHO!$C$6:$C$78,0),Menu!$B$22)</f>
        <v>0</v>
      </c>
      <c r="E54" s="281" t="e">
        <f t="shared" si="0"/>
        <v>#DIV/0!</v>
      </c>
      <c r="F54" s="260"/>
      <c r="G54" s="270">
        <v>43</v>
      </c>
      <c r="H54" s="171">
        <f t="shared" si="1"/>
        <v>43</v>
      </c>
      <c r="I54" s="172">
        <f t="shared" si="2"/>
        <v>25</v>
      </c>
      <c r="J54" s="262">
        <f t="shared" si="3"/>
        <v>25</v>
      </c>
      <c r="K54" s="269"/>
      <c r="L54" s="181">
        <v>43</v>
      </c>
      <c r="M54" s="172">
        <f t="shared" si="4"/>
        <v>500</v>
      </c>
      <c r="N54" s="275" t="str">
        <f t="shared" si="5"/>
        <v>Pó de Mistura</v>
      </c>
      <c r="O54" s="172">
        <f t="shared" si="9"/>
        <v>0</v>
      </c>
      <c r="P54" s="287" t="e">
        <f t="shared" si="6"/>
        <v>#DIV/0!</v>
      </c>
      <c r="Q54">
        <f t="shared" si="10"/>
        <v>0</v>
      </c>
      <c r="R54" s="460" t="e">
        <f t="shared" si="7"/>
        <v>#DIV/0!</v>
      </c>
      <c r="S54" s="298" t="e">
        <f t="shared" si="8"/>
        <v>#DIV/0!</v>
      </c>
    </row>
    <row r="55" spans="1:19">
      <c r="A55" s="154">
        <v>44</v>
      </c>
      <c r="B55" s="181">
        <v>690</v>
      </c>
      <c r="C55" s="172" t="str">
        <f>VLOOKUP(B55,'Tipos de Defeitos'!B56:E158,Menu!$B$24+1,)</f>
        <v>Tubo com Rebarba</v>
      </c>
      <c r="D55" s="171">
        <f>INDEX(RASCUNHO!$D$6:$J$79,MATCH('Dados do Gráfico'!C55,RASCUNHO!$C$6:$C$78,0),Menu!$B$22)</f>
        <v>0</v>
      </c>
      <c r="E55" s="281" t="e">
        <f t="shared" si="0"/>
        <v>#DIV/0!</v>
      </c>
      <c r="F55" s="260"/>
      <c r="G55" s="270">
        <v>44</v>
      </c>
      <c r="H55" s="171">
        <f t="shared" si="1"/>
        <v>44</v>
      </c>
      <c r="I55" s="172">
        <f t="shared" si="2"/>
        <v>24</v>
      </c>
      <c r="J55" s="262">
        <f t="shared" si="3"/>
        <v>24</v>
      </c>
      <c r="K55" s="269"/>
      <c r="L55" s="181">
        <v>44</v>
      </c>
      <c r="M55" s="172">
        <f t="shared" si="4"/>
        <v>490</v>
      </c>
      <c r="N55" s="275" t="str">
        <f t="shared" si="5"/>
        <v>Mistura no Tubo</v>
      </c>
      <c r="O55" s="172">
        <f t="shared" si="9"/>
        <v>0</v>
      </c>
      <c r="P55" s="287" t="e">
        <f t="shared" si="6"/>
        <v>#DIV/0!</v>
      </c>
      <c r="Q55">
        <f t="shared" si="10"/>
        <v>0</v>
      </c>
      <c r="R55" s="460" t="e">
        <f t="shared" si="7"/>
        <v>#DIV/0!</v>
      </c>
      <c r="S55" s="298" t="e">
        <f t="shared" si="8"/>
        <v>#DIV/0!</v>
      </c>
    </row>
    <row r="56" spans="1:19">
      <c r="A56" s="154">
        <v>45</v>
      </c>
      <c r="B56" s="181">
        <v>700</v>
      </c>
      <c r="C56" s="172" t="str">
        <f>VLOOKUP(B56,'Tipos de Defeitos'!B57:E159,Menu!$B$24+1,)</f>
        <v>Curto Circuito Externo</v>
      </c>
      <c r="D56" s="171">
        <f>INDEX(RASCUNHO!$D$6:$J$79,MATCH('Dados do Gráfico'!C56,RASCUNHO!$C$6:$C$78,0),Menu!$B$22)</f>
        <v>0</v>
      </c>
      <c r="E56" s="281" t="e">
        <f t="shared" si="0"/>
        <v>#DIV/0!</v>
      </c>
      <c r="F56" s="260"/>
      <c r="G56" s="270">
        <v>45</v>
      </c>
      <c r="H56" s="171">
        <f t="shared" si="1"/>
        <v>45</v>
      </c>
      <c r="I56" s="172">
        <f t="shared" si="2"/>
        <v>23</v>
      </c>
      <c r="J56" s="262">
        <f t="shared" si="3"/>
        <v>23</v>
      </c>
      <c r="K56" s="269"/>
      <c r="L56" s="181">
        <v>45</v>
      </c>
      <c r="M56" s="172">
        <f t="shared" si="4"/>
        <v>480</v>
      </c>
      <c r="N56" s="275" t="str">
        <f t="shared" si="5"/>
        <v>Cobre</v>
      </c>
      <c r="O56" s="172">
        <f t="shared" si="9"/>
        <v>0</v>
      </c>
      <c r="P56" s="287" t="e">
        <f t="shared" si="6"/>
        <v>#DIV/0!</v>
      </c>
      <c r="Q56">
        <f t="shared" si="10"/>
        <v>0</v>
      </c>
      <c r="R56" s="460" t="e">
        <f t="shared" si="7"/>
        <v>#DIV/0!</v>
      </c>
      <c r="S56" s="298" t="e">
        <f t="shared" si="8"/>
        <v>#DIV/0!</v>
      </c>
    </row>
    <row r="57" spans="1:19">
      <c r="A57" s="154">
        <v>46</v>
      </c>
      <c r="B57" s="181">
        <v>710</v>
      </c>
      <c r="C57" s="172" t="str">
        <f>VLOOKUP(B57,'Tipos de Defeitos'!B58:E160,Menu!$B$24+1,)</f>
        <v>Curto Circ. Externo -  recuperada</v>
      </c>
      <c r="D57" s="171">
        <f>INDEX(RASCUNHO!$D$6:$J$79,MATCH('Dados do Gráfico'!C57,RASCUNHO!$C$6:$C$78,0),Menu!$B$22)</f>
        <v>0</v>
      </c>
      <c r="E57" s="281" t="e">
        <f t="shared" si="0"/>
        <v>#DIV/0!</v>
      </c>
      <c r="F57" s="260"/>
      <c r="G57" s="270">
        <v>46</v>
      </c>
      <c r="H57" s="171">
        <f t="shared" si="1"/>
        <v>46</v>
      </c>
      <c r="I57" s="172">
        <f t="shared" si="2"/>
        <v>22</v>
      </c>
      <c r="J57" s="262">
        <f t="shared" si="3"/>
        <v>22</v>
      </c>
      <c r="K57" s="269"/>
      <c r="L57" s="181">
        <v>46</v>
      </c>
      <c r="M57" s="172">
        <f t="shared" si="4"/>
        <v>470</v>
      </c>
      <c r="N57" s="275" t="str">
        <f t="shared" si="5"/>
        <v>Ferro</v>
      </c>
      <c r="O57" s="172">
        <f t="shared" si="9"/>
        <v>0</v>
      </c>
      <c r="P57" s="287" t="e">
        <f t="shared" si="6"/>
        <v>#DIV/0!</v>
      </c>
      <c r="Q57">
        <f t="shared" si="10"/>
        <v>0</v>
      </c>
      <c r="R57" s="460" t="e">
        <f t="shared" si="7"/>
        <v>#DIV/0!</v>
      </c>
      <c r="S57" s="298" t="e">
        <f t="shared" si="8"/>
        <v>#DIV/0!</v>
      </c>
    </row>
    <row r="58" spans="1:19">
      <c r="A58" s="154">
        <v>47</v>
      </c>
      <c r="B58" s="181">
        <v>720</v>
      </c>
      <c r="C58" s="172" t="str">
        <f>VLOOKUP(B58,'Tipos de Defeitos'!B59:E161,Menu!$B$24+1,)</f>
        <v>Pilha recuperada do Acabamento</v>
      </c>
      <c r="D58" s="171">
        <f>INDEX(RASCUNHO!$D$6:$J$79,MATCH('Dados do Gráfico'!C58,RASCUNHO!$C$6:$C$78,0),Menu!$B$22)</f>
        <v>0</v>
      </c>
      <c r="E58" s="281" t="e">
        <f t="shared" si="0"/>
        <v>#DIV/0!</v>
      </c>
      <c r="F58" s="260"/>
      <c r="G58" s="270">
        <v>47</v>
      </c>
      <c r="H58" s="171">
        <f t="shared" si="1"/>
        <v>47</v>
      </c>
      <c r="I58" s="172">
        <f t="shared" si="2"/>
        <v>21</v>
      </c>
      <c r="J58" s="262">
        <f t="shared" si="3"/>
        <v>21</v>
      </c>
      <c r="K58" s="269"/>
      <c r="L58" s="181">
        <v>47</v>
      </c>
      <c r="M58" s="172">
        <f t="shared" si="4"/>
        <v>460</v>
      </c>
      <c r="N58" s="275" t="str">
        <f t="shared" si="5"/>
        <v>Manchado Superior</v>
      </c>
      <c r="O58" s="172">
        <f t="shared" si="9"/>
        <v>0</v>
      </c>
      <c r="P58" s="287" t="e">
        <f t="shared" si="6"/>
        <v>#DIV/0!</v>
      </c>
      <c r="Q58">
        <f t="shared" si="10"/>
        <v>0</v>
      </c>
      <c r="R58" s="460" t="e">
        <f t="shared" si="7"/>
        <v>#DIV/0!</v>
      </c>
      <c r="S58" s="298" t="e">
        <f t="shared" si="8"/>
        <v>#DIV/0!</v>
      </c>
    </row>
    <row r="59" spans="1:19">
      <c r="A59" s="154">
        <v>48</v>
      </c>
      <c r="B59" s="181">
        <v>730</v>
      </c>
      <c r="C59" s="172" t="str">
        <f>VLOOKUP(B59,'Tipos de Defeitos'!B60:E162,Menu!$B$24+1,)</f>
        <v>Causa Desconhecida - Voltagem</v>
      </c>
      <c r="D59" s="171">
        <f>INDEX(RASCUNHO!$D$6:$J$79,MATCH('Dados do Gráfico'!C59,RASCUNHO!$C$6:$C$78,0),Menu!$B$22)</f>
        <v>0</v>
      </c>
      <c r="E59" s="281" t="e">
        <f t="shared" si="0"/>
        <v>#DIV/0!</v>
      </c>
      <c r="F59" s="260"/>
      <c r="G59" s="270">
        <v>48</v>
      </c>
      <c r="H59" s="171">
        <f t="shared" si="1"/>
        <v>48</v>
      </c>
      <c r="I59" s="172">
        <f t="shared" si="2"/>
        <v>20</v>
      </c>
      <c r="J59" s="262">
        <f t="shared" si="3"/>
        <v>20</v>
      </c>
      <c r="K59" s="269"/>
      <c r="L59" s="181">
        <v>48</v>
      </c>
      <c r="M59" s="172">
        <f t="shared" si="4"/>
        <v>450</v>
      </c>
      <c r="N59" s="275" t="str">
        <f t="shared" si="5"/>
        <v>Manchado</v>
      </c>
      <c r="O59" s="172">
        <f t="shared" si="9"/>
        <v>0</v>
      </c>
      <c r="P59" s="287" t="e">
        <f t="shared" si="6"/>
        <v>#DIV/0!</v>
      </c>
      <c r="Q59">
        <f t="shared" si="10"/>
        <v>0</v>
      </c>
      <c r="R59" s="460" t="e">
        <f t="shared" si="7"/>
        <v>#DIV/0!</v>
      </c>
      <c r="S59" s="298" t="e">
        <f t="shared" si="8"/>
        <v>#DIV/0!</v>
      </c>
    </row>
    <row r="60" spans="1:19">
      <c r="A60" s="154">
        <v>49</v>
      </c>
      <c r="B60" s="181">
        <v>740</v>
      </c>
      <c r="C60" s="172" t="str">
        <f>VLOOKUP(B60,'Tipos de Defeitos'!B61:E163,Menu!$B$24+1,)</f>
        <v>Pilha Boa</v>
      </c>
      <c r="D60" s="171">
        <f>INDEX(RASCUNHO!$D$6:$J$79,MATCH('Dados do Gráfico'!C60,RASCUNHO!$C$6:$C$78,0),Menu!$B$22)</f>
        <v>0</v>
      </c>
      <c r="E60" s="281" t="e">
        <f t="shared" si="0"/>
        <v>#DIV/0!</v>
      </c>
      <c r="F60" s="260"/>
      <c r="G60" s="270">
        <v>49</v>
      </c>
      <c r="H60" s="171">
        <f t="shared" si="1"/>
        <v>49</v>
      </c>
      <c r="I60" s="172">
        <f t="shared" si="2"/>
        <v>19</v>
      </c>
      <c r="J60" s="262">
        <f t="shared" si="3"/>
        <v>19</v>
      </c>
      <c r="K60" s="269"/>
      <c r="L60" s="181">
        <v>49</v>
      </c>
      <c r="M60" s="172">
        <f t="shared" si="4"/>
        <v>440</v>
      </c>
      <c r="N60" s="275" t="str">
        <f t="shared" si="5"/>
        <v>Papel sujo</v>
      </c>
      <c r="O60" s="172">
        <f t="shared" si="9"/>
        <v>0</v>
      </c>
      <c r="P60" s="287" t="e">
        <f t="shared" si="6"/>
        <v>#DIV/0!</v>
      </c>
      <c r="Q60">
        <f t="shared" si="10"/>
        <v>0</v>
      </c>
      <c r="R60" s="460" t="e">
        <f t="shared" si="7"/>
        <v>#DIV/0!</v>
      </c>
      <c r="S60" s="298" t="e">
        <f t="shared" si="8"/>
        <v>#DIV/0!</v>
      </c>
    </row>
    <row r="61" spans="1:19">
      <c r="A61" s="154">
        <v>50</v>
      </c>
      <c r="B61" s="181">
        <v>750</v>
      </c>
      <c r="C61" s="172" t="str">
        <f>VLOOKUP(B61,'Tipos de Defeitos'!B62:E164,Menu!$B$24+1,)</f>
        <v>Outros - Voltagem</v>
      </c>
      <c r="D61" s="171">
        <f>INDEX(RASCUNHO!$D$6:$J$79,MATCH('Dados do Gráfico'!C61,RASCUNHO!$C$6:$C$78,0),Menu!$B$22)</f>
        <v>0</v>
      </c>
      <c r="E61" s="281" t="e">
        <f t="shared" si="0"/>
        <v>#DIV/0!</v>
      </c>
      <c r="F61" s="260"/>
      <c r="G61" s="270">
        <v>50</v>
      </c>
      <c r="H61" s="171">
        <f t="shared" si="1"/>
        <v>50</v>
      </c>
      <c r="I61" s="172">
        <f t="shared" si="2"/>
        <v>18</v>
      </c>
      <c r="J61" s="262">
        <f t="shared" si="3"/>
        <v>18</v>
      </c>
      <c r="K61" s="269"/>
      <c r="L61" s="181">
        <v>50</v>
      </c>
      <c r="M61" s="172">
        <f t="shared" si="4"/>
        <v>430</v>
      </c>
      <c r="N61" s="275" t="str">
        <f t="shared" si="5"/>
        <v>Isolador Inclinado</v>
      </c>
      <c r="O61" s="172">
        <f t="shared" si="9"/>
        <v>0</v>
      </c>
      <c r="P61" s="287" t="e">
        <f t="shared" si="6"/>
        <v>#DIV/0!</v>
      </c>
      <c r="Q61">
        <f t="shared" si="10"/>
        <v>0</v>
      </c>
      <c r="R61" s="460" t="e">
        <f t="shared" si="7"/>
        <v>#DIV/0!</v>
      </c>
      <c r="S61" s="298" t="e">
        <f t="shared" si="8"/>
        <v>#DIV/0!</v>
      </c>
    </row>
    <row r="62" spans="1:19">
      <c r="A62" s="154">
        <v>51</v>
      </c>
      <c r="B62" s="181">
        <v>840</v>
      </c>
      <c r="C62" s="172" t="str">
        <f>VLOOKUP(B62,'Tipos de Defeitos'!B63:E165,Menu!$B$24+1,)</f>
        <v>Papel Separdor Duplo</v>
      </c>
      <c r="D62" s="171">
        <f>INDEX(RASCUNHO!$D$6:$J$79,MATCH('Dados do Gráfico'!C62,RASCUNHO!$C$6:$C$78,0),Menu!$B$22)</f>
        <v>0</v>
      </c>
      <c r="E62" s="281" t="e">
        <f t="shared" si="0"/>
        <v>#DIV/0!</v>
      </c>
      <c r="F62" s="260"/>
      <c r="G62" s="270">
        <v>51</v>
      </c>
      <c r="H62" s="171">
        <f t="shared" si="1"/>
        <v>51</v>
      </c>
      <c r="I62" s="172">
        <f t="shared" si="2"/>
        <v>17</v>
      </c>
      <c r="J62" s="262">
        <f t="shared" si="3"/>
        <v>17</v>
      </c>
      <c r="K62" s="269"/>
      <c r="L62" s="181">
        <v>51</v>
      </c>
      <c r="M62" s="172">
        <f t="shared" si="4"/>
        <v>420</v>
      </c>
      <c r="N62" s="275" t="str">
        <f t="shared" si="5"/>
        <v>Isolador afundado</v>
      </c>
      <c r="O62" s="172">
        <f t="shared" si="9"/>
        <v>0</v>
      </c>
      <c r="P62" s="287" t="e">
        <f t="shared" si="6"/>
        <v>#DIV/0!</v>
      </c>
      <c r="Q62">
        <f t="shared" si="10"/>
        <v>0</v>
      </c>
      <c r="R62" s="460" t="e">
        <f t="shared" si="7"/>
        <v>#DIV/0!</v>
      </c>
      <c r="S62" s="298" t="e">
        <f t="shared" si="8"/>
        <v>#DIV/0!</v>
      </c>
    </row>
    <row r="63" spans="1:19">
      <c r="A63" s="154">
        <v>52</v>
      </c>
      <c r="B63" s="181">
        <v>850</v>
      </c>
      <c r="C63" s="172" t="str">
        <f>VLOOKUP(B63,'Tipos de Defeitos'!B64:E166,Menu!$B$24+1,)</f>
        <v>Pedra de Negro</v>
      </c>
      <c r="D63" s="171">
        <f>INDEX(RASCUNHO!$D$6:$J$79,MATCH('Dados do Gráfico'!C63,RASCUNHO!$C$6:$C$78,0),Menu!$B$22)</f>
        <v>0</v>
      </c>
      <c r="E63" s="281" t="e">
        <f t="shared" si="0"/>
        <v>#DIV/0!</v>
      </c>
      <c r="F63" s="260"/>
      <c r="G63" s="270">
        <v>52</v>
      </c>
      <c r="H63" s="171">
        <f t="shared" si="1"/>
        <v>52</v>
      </c>
      <c r="I63" s="172">
        <f t="shared" si="2"/>
        <v>16</v>
      </c>
      <c r="J63" s="262">
        <f t="shared" si="3"/>
        <v>16</v>
      </c>
      <c r="K63" s="269"/>
      <c r="L63" s="181">
        <v>52</v>
      </c>
      <c r="M63" s="172">
        <f t="shared" si="4"/>
        <v>410</v>
      </c>
      <c r="N63" s="275" t="str">
        <f t="shared" si="5"/>
        <v>Isolador fora de centro</v>
      </c>
      <c r="O63" s="172">
        <f t="shared" si="9"/>
        <v>0</v>
      </c>
      <c r="P63" s="287" t="e">
        <f t="shared" si="6"/>
        <v>#DIV/0!</v>
      </c>
      <c r="Q63">
        <f t="shared" si="10"/>
        <v>0</v>
      </c>
      <c r="R63" s="460" t="e">
        <f t="shared" si="7"/>
        <v>#DIV/0!</v>
      </c>
      <c r="S63" s="298" t="e">
        <f t="shared" si="8"/>
        <v>#DIV/0!</v>
      </c>
    </row>
    <row r="64" spans="1:19">
      <c r="A64" s="154">
        <v>53</v>
      </c>
      <c r="B64" s="181">
        <v>860</v>
      </c>
      <c r="C64" s="172" t="str">
        <f>VLOOKUP(B64,'Tipos de Defeitos'!B65:E167,Menu!$B$24+1,)</f>
        <v>Pedra de Cl de Amônia</v>
      </c>
      <c r="D64" s="171">
        <f>INDEX(RASCUNHO!$D$6:$J$79,MATCH('Dados do Gráfico'!C64,RASCUNHO!$C$6:$C$78,0),Menu!$B$22)</f>
        <v>0</v>
      </c>
      <c r="E64" s="281" t="e">
        <f t="shared" si="0"/>
        <v>#DIV/0!</v>
      </c>
      <c r="F64" s="260"/>
      <c r="G64" s="270">
        <v>53</v>
      </c>
      <c r="H64" s="171">
        <f t="shared" si="1"/>
        <v>53</v>
      </c>
      <c r="I64" s="172">
        <f t="shared" si="2"/>
        <v>15</v>
      </c>
      <c r="J64" s="262">
        <f t="shared" si="3"/>
        <v>15</v>
      </c>
      <c r="K64" s="269"/>
      <c r="L64" s="181">
        <v>53</v>
      </c>
      <c r="M64" s="172">
        <f t="shared" si="4"/>
        <v>400</v>
      </c>
      <c r="N64" s="275" t="str">
        <f t="shared" si="5"/>
        <v>Disco fora de centro / deslocado</v>
      </c>
      <c r="O64" s="172">
        <f t="shared" si="9"/>
        <v>0</v>
      </c>
      <c r="P64" s="287" t="e">
        <f t="shared" si="6"/>
        <v>#DIV/0!</v>
      </c>
      <c r="Q64">
        <f t="shared" si="10"/>
        <v>0</v>
      </c>
      <c r="R64" s="460" t="e">
        <f t="shared" si="7"/>
        <v>#DIV/0!</v>
      </c>
      <c r="S64" s="298" t="e">
        <f t="shared" si="8"/>
        <v>#DIV/0!</v>
      </c>
    </row>
    <row r="65" spans="1:19">
      <c r="A65" s="154">
        <v>54</v>
      </c>
      <c r="B65" s="181">
        <v>870</v>
      </c>
      <c r="C65" s="172" t="str">
        <f>VLOOKUP(B65,'Tipos de Defeitos'!B66:E168,Menu!$B$24+1,)</f>
        <v>Pelota de Manganês</v>
      </c>
      <c r="D65" s="171">
        <f>INDEX(RASCUNHO!$D$6:$J$79,MATCH('Dados do Gráfico'!C65,RASCUNHO!$C$6:$C$78,0),Menu!$B$22)</f>
        <v>0</v>
      </c>
      <c r="E65" s="281" t="e">
        <f t="shared" si="0"/>
        <v>#DIV/0!</v>
      </c>
      <c r="F65" s="260"/>
      <c r="G65" s="270">
        <v>54</v>
      </c>
      <c r="H65" s="171">
        <f t="shared" si="1"/>
        <v>54</v>
      </c>
      <c r="I65" s="172">
        <f t="shared" si="2"/>
        <v>14</v>
      </c>
      <c r="J65" s="262">
        <f t="shared" si="3"/>
        <v>14</v>
      </c>
      <c r="K65" s="269"/>
      <c r="L65" s="181">
        <v>54</v>
      </c>
      <c r="M65" s="172">
        <f t="shared" si="4"/>
        <v>390</v>
      </c>
      <c r="N65" s="275" t="str">
        <f t="shared" si="5"/>
        <v>Disco Dobrado</v>
      </c>
      <c r="O65" s="172">
        <f t="shared" si="9"/>
        <v>0</v>
      </c>
      <c r="P65" s="287" t="e">
        <f t="shared" si="6"/>
        <v>#DIV/0!</v>
      </c>
      <c r="Q65">
        <f t="shared" si="10"/>
        <v>0</v>
      </c>
      <c r="R65" s="460" t="e">
        <f t="shared" si="7"/>
        <v>#DIV/0!</v>
      </c>
      <c r="S65" s="298" t="e">
        <f t="shared" si="8"/>
        <v>#DIV/0!</v>
      </c>
    </row>
    <row r="66" spans="1:19">
      <c r="A66" s="154">
        <v>55</v>
      </c>
      <c r="B66" s="181">
        <v>880</v>
      </c>
      <c r="C66" s="172" t="str">
        <f>VLOOKUP(B66,'Tipos de Defeitos'!B67:E169,Menu!$B$24+1,)</f>
        <v>Bobina Baixa A</v>
      </c>
      <c r="D66" s="171">
        <f>INDEX(RASCUNHO!$D$6:$J$79,MATCH('Dados do Gráfico'!C66,RASCUNHO!$C$6:$C$78,0),Menu!$B$22)</f>
        <v>0</v>
      </c>
      <c r="E66" s="281" t="e">
        <f t="shared" si="0"/>
        <v>#DIV/0!</v>
      </c>
      <c r="F66" s="260"/>
      <c r="G66" s="270">
        <v>55</v>
      </c>
      <c r="H66" s="171">
        <f t="shared" si="1"/>
        <v>55</v>
      </c>
      <c r="I66" s="172">
        <f t="shared" si="2"/>
        <v>13</v>
      </c>
      <c r="J66" s="262">
        <f t="shared" si="3"/>
        <v>13</v>
      </c>
      <c r="K66" s="269"/>
      <c r="L66" s="181">
        <v>55</v>
      </c>
      <c r="M66" s="172">
        <f t="shared" si="4"/>
        <v>380</v>
      </c>
      <c r="N66" s="275" t="str">
        <f t="shared" si="5"/>
        <v>Disco Furado</v>
      </c>
      <c r="O66" s="172">
        <f t="shared" si="9"/>
        <v>0</v>
      </c>
      <c r="P66" s="287" t="e">
        <f t="shared" si="6"/>
        <v>#DIV/0!</v>
      </c>
      <c r="Q66">
        <f t="shared" si="10"/>
        <v>0</v>
      </c>
      <c r="R66" s="460" t="e">
        <f t="shared" si="7"/>
        <v>#DIV/0!</v>
      </c>
      <c r="S66" s="298" t="e">
        <f t="shared" si="8"/>
        <v>#DIV/0!</v>
      </c>
    </row>
    <row r="67" spans="1:19">
      <c r="A67" s="154">
        <v>56</v>
      </c>
      <c r="B67" s="181">
        <v>890</v>
      </c>
      <c r="C67" s="172" t="str">
        <f>VLOOKUP(B67,'Tipos de Defeitos'!B68:E170,Menu!$B$24+1,)</f>
        <v>Bobina Rachada</v>
      </c>
      <c r="D67" s="171">
        <f>INDEX(RASCUNHO!$D$6:$J$79,MATCH('Dados do Gráfico'!C67,RASCUNHO!$C$6:$C$78,0),Menu!$B$22)</f>
        <v>0</v>
      </c>
      <c r="E67" s="281" t="e">
        <f t="shared" si="0"/>
        <v>#DIV/0!</v>
      </c>
      <c r="F67" s="260"/>
      <c r="G67" s="270">
        <v>56</v>
      </c>
      <c r="H67" s="171">
        <f t="shared" si="1"/>
        <v>56</v>
      </c>
      <c r="I67" s="172">
        <f t="shared" si="2"/>
        <v>12</v>
      </c>
      <c r="J67" s="262">
        <f t="shared" si="3"/>
        <v>12</v>
      </c>
      <c r="K67" s="269"/>
      <c r="L67" s="181">
        <v>56</v>
      </c>
      <c r="M67" s="172">
        <f t="shared" si="4"/>
        <v>370</v>
      </c>
      <c r="N67" s="275" t="str">
        <f t="shared" si="5"/>
        <v>Disco Rasgado</v>
      </c>
      <c r="O67" s="172">
        <f t="shared" si="9"/>
        <v>0</v>
      </c>
      <c r="P67" s="287" t="e">
        <f t="shared" si="6"/>
        <v>#DIV/0!</v>
      </c>
      <c r="Q67">
        <f t="shared" si="10"/>
        <v>0</v>
      </c>
      <c r="R67" s="460" t="e">
        <f t="shared" si="7"/>
        <v>#DIV/0!</v>
      </c>
      <c r="S67" s="298" t="e">
        <f t="shared" si="8"/>
        <v>#DIV/0!</v>
      </c>
    </row>
    <row r="68" spans="1:19">
      <c r="A68" s="154">
        <v>57</v>
      </c>
      <c r="B68" s="181">
        <v>900</v>
      </c>
      <c r="C68" s="172" t="str">
        <f>VLOOKUP(B68,'Tipos de Defeitos'!B69:E171,Menu!$B$24+1,)</f>
        <v>Emenda de Papel</v>
      </c>
      <c r="D68" s="171">
        <f>INDEX(RASCUNHO!$D$6:$J$79,MATCH('Dados do Gráfico'!C68,RASCUNHO!$C$6:$C$78,0),Menu!$B$22)</f>
        <v>0</v>
      </c>
      <c r="E68" s="281" t="e">
        <f t="shared" si="0"/>
        <v>#DIV/0!</v>
      </c>
      <c r="F68" s="260"/>
      <c r="G68" s="270">
        <v>57</v>
      </c>
      <c r="H68" s="171">
        <f t="shared" si="1"/>
        <v>57</v>
      </c>
      <c r="I68" s="172">
        <f t="shared" si="2"/>
        <v>11</v>
      </c>
      <c r="J68" s="262">
        <f t="shared" si="3"/>
        <v>11</v>
      </c>
      <c r="K68" s="269"/>
      <c r="L68" s="181">
        <v>57</v>
      </c>
      <c r="M68" s="172">
        <f t="shared" si="4"/>
        <v>360</v>
      </c>
      <c r="N68" s="275" t="str">
        <f t="shared" si="5"/>
        <v>Disco Cortado</v>
      </c>
      <c r="O68" s="172">
        <f t="shared" si="9"/>
        <v>0</v>
      </c>
      <c r="P68" s="287" t="e">
        <f t="shared" si="6"/>
        <v>#DIV/0!</v>
      </c>
      <c r="Q68">
        <f t="shared" si="10"/>
        <v>0</v>
      </c>
      <c r="R68" s="460" t="e">
        <f t="shared" si="7"/>
        <v>#DIV/0!</v>
      </c>
      <c r="S68" s="298" t="e">
        <f t="shared" si="8"/>
        <v>#DIV/0!</v>
      </c>
    </row>
    <row r="69" spans="1:19">
      <c r="A69" s="154">
        <v>58</v>
      </c>
      <c r="B69" s="181">
        <v>910</v>
      </c>
      <c r="C69" s="172" t="str">
        <f>VLOOKUP(B69,'Tipos de Defeitos'!B70:E172,Menu!$B$24+1,)</f>
        <v>Carvão Quebrado A</v>
      </c>
      <c r="D69" s="171">
        <f>INDEX(RASCUNHO!$D$6:$J$79,MATCH('Dados do Gráfico'!C69,RASCUNHO!$C$6:$C$78,0),Menu!$B$22)</f>
        <v>0</v>
      </c>
      <c r="E69" s="281" t="e">
        <f t="shared" si="0"/>
        <v>#DIV/0!</v>
      </c>
      <c r="F69" s="260"/>
      <c r="G69" s="270">
        <v>58</v>
      </c>
      <c r="H69" s="171">
        <f t="shared" si="1"/>
        <v>58</v>
      </c>
      <c r="I69" s="172">
        <f t="shared" si="2"/>
        <v>10</v>
      </c>
      <c r="J69" s="262">
        <f t="shared" si="3"/>
        <v>10</v>
      </c>
      <c r="K69" s="269"/>
      <c r="L69" s="181">
        <v>58</v>
      </c>
      <c r="M69" s="172">
        <f t="shared" si="4"/>
        <v>350</v>
      </c>
      <c r="N69" s="275" t="str">
        <f t="shared" si="5"/>
        <v>Sem Disco</v>
      </c>
      <c r="O69" s="172">
        <f t="shared" si="9"/>
        <v>0</v>
      </c>
      <c r="P69" s="287" t="e">
        <f t="shared" si="6"/>
        <v>#DIV/0!</v>
      </c>
      <c r="Q69">
        <f t="shared" si="10"/>
        <v>0</v>
      </c>
      <c r="R69" s="460" t="e">
        <f t="shared" si="7"/>
        <v>#DIV/0!</v>
      </c>
      <c r="S69" s="298" t="e">
        <f t="shared" si="8"/>
        <v>#DIV/0!</v>
      </c>
    </row>
    <row r="70" spans="1:19">
      <c r="A70" s="154">
        <v>59</v>
      </c>
      <c r="B70" s="181">
        <v>920</v>
      </c>
      <c r="C70" s="172" t="str">
        <f>VLOOKUP(B70,'Tipos de Defeitos'!B71:E173,Menu!$B$24+1,)</f>
        <v>Metade do Carvão</v>
      </c>
      <c r="D70" s="171">
        <f>INDEX(RASCUNHO!$D$6:$J$79,MATCH('Dados do Gráfico'!C70,RASCUNHO!$C$6:$C$78,0),Menu!$B$22)</f>
        <v>0</v>
      </c>
      <c r="E70" s="281" t="e">
        <f t="shared" si="0"/>
        <v>#DIV/0!</v>
      </c>
      <c r="F70" s="260"/>
      <c r="G70" s="270">
        <v>59</v>
      </c>
      <c r="H70" s="171">
        <f t="shared" si="1"/>
        <v>59</v>
      </c>
      <c r="I70" s="172">
        <f t="shared" si="2"/>
        <v>9</v>
      </c>
      <c r="J70" s="262">
        <f t="shared" si="3"/>
        <v>9</v>
      </c>
      <c r="K70" s="269"/>
      <c r="L70" s="181">
        <v>59</v>
      </c>
      <c r="M70" s="172">
        <f t="shared" si="4"/>
        <v>340</v>
      </c>
      <c r="N70" s="275" t="str">
        <f t="shared" si="5"/>
        <v>Papel menor</v>
      </c>
      <c r="O70" s="172">
        <f t="shared" si="9"/>
        <v>0</v>
      </c>
      <c r="P70" s="287" t="e">
        <f t="shared" si="6"/>
        <v>#DIV/0!</v>
      </c>
      <c r="Q70">
        <f t="shared" si="10"/>
        <v>0</v>
      </c>
      <c r="R70" s="460" t="e">
        <f t="shared" si="7"/>
        <v>#DIV/0!</v>
      </c>
      <c r="S70" s="298" t="e">
        <f t="shared" si="8"/>
        <v>#DIV/0!</v>
      </c>
    </row>
    <row r="71" spans="1:19">
      <c r="A71" s="154">
        <v>60</v>
      </c>
      <c r="B71" s="181">
        <v>930</v>
      </c>
      <c r="C71" s="172" t="str">
        <f>VLOOKUP(B71,'Tipos de Defeitos'!B72:E174,Menu!$B$24+1,)</f>
        <v>Carvão Frouxo</v>
      </c>
      <c r="D71" s="171">
        <f>INDEX(RASCUNHO!$D$6:$J$79,MATCH('Dados do Gráfico'!C71,RASCUNHO!$C$6:$C$78,0),Menu!$B$22)</f>
        <v>0</v>
      </c>
      <c r="E71" s="281" t="e">
        <f t="shared" si="0"/>
        <v>#DIV/0!</v>
      </c>
      <c r="F71" s="260"/>
      <c r="G71" s="270">
        <v>60</v>
      </c>
      <c r="H71" s="171">
        <f t="shared" si="1"/>
        <v>60</v>
      </c>
      <c r="I71" s="172">
        <f t="shared" si="2"/>
        <v>8</v>
      </c>
      <c r="J71" s="262">
        <f t="shared" si="3"/>
        <v>8</v>
      </c>
      <c r="K71" s="269"/>
      <c r="L71" s="181">
        <v>60</v>
      </c>
      <c r="M71" s="172">
        <f t="shared" si="4"/>
        <v>330</v>
      </c>
      <c r="N71" s="275" t="str">
        <f t="shared" si="5"/>
        <v>Papel Deslocado</v>
      </c>
      <c r="O71" s="172">
        <f t="shared" si="9"/>
        <v>0</v>
      </c>
      <c r="P71" s="287" t="e">
        <f t="shared" si="6"/>
        <v>#DIV/0!</v>
      </c>
      <c r="Q71">
        <f t="shared" si="10"/>
        <v>0</v>
      </c>
      <c r="R71" s="460" t="e">
        <f t="shared" si="7"/>
        <v>#DIV/0!</v>
      </c>
      <c r="S71" s="298" t="e">
        <f t="shared" si="8"/>
        <v>#DIV/0!</v>
      </c>
    </row>
    <row r="72" spans="1:19">
      <c r="A72" s="154">
        <v>61</v>
      </c>
      <c r="B72" s="181">
        <v>940</v>
      </c>
      <c r="C72" s="172" t="str">
        <f>VLOOKUP(B72,'Tipos de Defeitos'!B73:E175,Menu!$B$24+1,)</f>
        <v>Tubo de Zinco Sujo</v>
      </c>
      <c r="D72" s="171">
        <f>INDEX(RASCUNHO!$D$6:$J$79,MATCH('Dados do Gráfico'!C72,RASCUNHO!$C$6:$C$78,0),Menu!$B$22)</f>
        <v>0</v>
      </c>
      <c r="E72" s="281" t="e">
        <f t="shared" si="0"/>
        <v>#DIV/0!</v>
      </c>
      <c r="F72" s="260"/>
      <c r="G72" s="270">
        <v>61</v>
      </c>
      <c r="H72" s="171">
        <f t="shared" si="1"/>
        <v>61</v>
      </c>
      <c r="I72" s="172">
        <f t="shared" si="2"/>
        <v>7</v>
      </c>
      <c r="J72" s="262">
        <f t="shared" si="3"/>
        <v>7</v>
      </c>
      <c r="K72" s="269"/>
      <c r="L72" s="181">
        <v>61</v>
      </c>
      <c r="M72" s="172">
        <f t="shared" si="4"/>
        <v>320</v>
      </c>
      <c r="N72" s="275" t="str">
        <f t="shared" si="5"/>
        <v>Papel Afundado</v>
      </c>
      <c r="O72" s="172">
        <f t="shared" si="9"/>
        <v>0</v>
      </c>
      <c r="P72" s="287" t="e">
        <f t="shared" si="6"/>
        <v>#DIV/0!</v>
      </c>
      <c r="Q72">
        <f t="shared" si="10"/>
        <v>0</v>
      </c>
      <c r="R72" s="460" t="e">
        <f t="shared" si="7"/>
        <v>#DIV/0!</v>
      </c>
      <c r="S72" s="298" t="e">
        <f t="shared" si="8"/>
        <v>#DIV/0!</v>
      </c>
    </row>
    <row r="73" spans="1:19">
      <c r="A73" s="154">
        <v>62</v>
      </c>
      <c r="B73" s="181">
        <v>950</v>
      </c>
      <c r="C73" s="172" t="str">
        <f>VLOOKUP(B73,'Tipos de Defeitos'!B74:E176,Menu!$B$24+1,)</f>
        <v>Contem estranho</v>
      </c>
      <c r="D73" s="171">
        <f>INDEX(RASCUNHO!$D$6:$J$79,MATCH('Dados do Gráfico'!C73,RASCUNHO!$C$6:$C$78,0),Menu!$B$22)</f>
        <v>0</v>
      </c>
      <c r="E73" s="281" t="e">
        <f t="shared" si="0"/>
        <v>#DIV/0!</v>
      </c>
      <c r="F73" s="260"/>
      <c r="G73" s="270">
        <v>62</v>
      </c>
      <c r="H73" s="171">
        <f t="shared" si="1"/>
        <v>62</v>
      </c>
      <c r="I73" s="172">
        <f t="shared" si="2"/>
        <v>6</v>
      </c>
      <c r="J73" s="262">
        <f t="shared" si="3"/>
        <v>6</v>
      </c>
      <c r="K73" s="269"/>
      <c r="L73" s="181">
        <v>62</v>
      </c>
      <c r="M73" s="172">
        <f t="shared" si="4"/>
        <v>310</v>
      </c>
      <c r="N73" s="275" t="str">
        <f t="shared" si="5"/>
        <v>Papel Dobrado Inf.</v>
      </c>
      <c r="O73" s="172">
        <f t="shared" si="9"/>
        <v>0</v>
      </c>
      <c r="P73" s="287" t="e">
        <f t="shared" si="6"/>
        <v>#DIV/0!</v>
      </c>
      <c r="Q73">
        <f t="shared" si="10"/>
        <v>0</v>
      </c>
      <c r="R73" s="460" t="e">
        <f t="shared" si="7"/>
        <v>#DIV/0!</v>
      </c>
      <c r="S73" s="298" t="e">
        <f t="shared" si="8"/>
        <v>#DIV/0!</v>
      </c>
    </row>
    <row r="74" spans="1:19">
      <c r="A74" s="154">
        <v>63</v>
      </c>
      <c r="B74" s="181">
        <v>960</v>
      </c>
      <c r="C74" s="172" t="str">
        <f>VLOOKUP(B74,'Tipos de Defeitos'!B75:E177,Menu!$B$24+1,)</f>
        <v>Mistura seca</v>
      </c>
      <c r="D74" s="171">
        <f>INDEX(RASCUNHO!$D$6:$J$79,MATCH('Dados do Gráfico'!C74,RASCUNHO!$C$6:$C$78,0),Menu!$B$22)</f>
        <v>0</v>
      </c>
      <c r="E74" s="281" t="e">
        <f t="shared" si="0"/>
        <v>#DIV/0!</v>
      </c>
      <c r="F74" s="260"/>
      <c r="G74" s="270">
        <v>63</v>
      </c>
      <c r="H74" s="171">
        <f t="shared" si="1"/>
        <v>63</v>
      </c>
      <c r="I74" s="172">
        <f t="shared" si="2"/>
        <v>5</v>
      </c>
      <c r="J74" s="262">
        <f t="shared" si="3"/>
        <v>5</v>
      </c>
      <c r="K74" s="269"/>
      <c r="L74" s="181">
        <v>63</v>
      </c>
      <c r="M74" s="172">
        <f t="shared" si="4"/>
        <v>300</v>
      </c>
      <c r="N74" s="275" t="str">
        <f t="shared" si="5"/>
        <v>Papel Dobrado Meio</v>
      </c>
      <c r="O74" s="172">
        <f t="shared" si="9"/>
        <v>0</v>
      </c>
      <c r="P74" s="287" t="e">
        <f t="shared" si="6"/>
        <v>#DIV/0!</v>
      </c>
      <c r="Q74">
        <f t="shared" si="10"/>
        <v>0</v>
      </c>
      <c r="R74" s="460" t="e">
        <f t="shared" si="7"/>
        <v>#DIV/0!</v>
      </c>
      <c r="S74" s="298" t="e">
        <f t="shared" si="8"/>
        <v>#DIV/0!</v>
      </c>
    </row>
    <row r="75" spans="1:19">
      <c r="A75" s="154">
        <v>64</v>
      </c>
      <c r="B75" s="181">
        <v>970</v>
      </c>
      <c r="C75" s="172" t="str">
        <f>VLOOKUP(B75,'Tipos de Defeitos'!B76:E178,Menu!$B$24+1,)</f>
        <v>Bottom Plate Amassado</v>
      </c>
      <c r="D75" s="171">
        <f>INDEX(RASCUNHO!$D$6:$J$79,MATCH('Dados do Gráfico'!C75,RASCUNHO!$C$6:$C$78,0),Menu!$B$22)</f>
        <v>0</v>
      </c>
      <c r="E75" s="281" t="e">
        <f t="shared" si="0"/>
        <v>#DIV/0!</v>
      </c>
      <c r="F75" s="260"/>
      <c r="G75" s="270">
        <v>64</v>
      </c>
      <c r="H75" s="171">
        <f t="shared" si="1"/>
        <v>64</v>
      </c>
      <c r="I75" s="172">
        <f t="shared" si="2"/>
        <v>4</v>
      </c>
      <c r="J75" s="262">
        <f t="shared" si="3"/>
        <v>4</v>
      </c>
      <c r="K75" s="269"/>
      <c r="L75" s="181">
        <v>64</v>
      </c>
      <c r="M75" s="172">
        <f t="shared" si="4"/>
        <v>290</v>
      </c>
      <c r="N75" s="275" t="str">
        <f t="shared" si="5"/>
        <v>Papel Dobrado Sup.</v>
      </c>
      <c r="O75" s="172">
        <f t="shared" si="9"/>
        <v>0</v>
      </c>
      <c r="P75" s="287" t="e">
        <f t="shared" si="6"/>
        <v>#DIV/0!</v>
      </c>
      <c r="Q75">
        <f t="shared" si="10"/>
        <v>0</v>
      </c>
      <c r="R75" s="460" t="e">
        <f t="shared" si="7"/>
        <v>#DIV/0!</v>
      </c>
      <c r="S75" s="298" t="e">
        <f t="shared" si="8"/>
        <v>#DIV/0!</v>
      </c>
    </row>
    <row r="76" spans="1:19">
      <c r="A76" s="154">
        <v>65</v>
      </c>
      <c r="B76" s="181">
        <v>980</v>
      </c>
      <c r="C76" s="172" t="str">
        <f>VLOOKUP(B76,'Tipos de Defeitos'!B77:E179,Menu!$B$24+1,)</f>
        <v>PVC Comprido</v>
      </c>
      <c r="D76" s="171">
        <f>INDEX(RASCUNHO!$D$6:$J$79,MATCH('Dados do Gráfico'!C76,RASCUNHO!$C$6:$C$78,0),Menu!$B$22)</f>
        <v>0</v>
      </c>
      <c r="E76" s="281" t="e">
        <f t="shared" si="0"/>
        <v>#DIV/0!</v>
      </c>
      <c r="F76" s="260"/>
      <c r="G76" s="270">
        <v>65</v>
      </c>
      <c r="H76" s="171">
        <f t="shared" si="1"/>
        <v>65</v>
      </c>
      <c r="I76" s="172">
        <f t="shared" si="2"/>
        <v>3</v>
      </c>
      <c r="J76" s="262">
        <f t="shared" si="3"/>
        <v>3</v>
      </c>
      <c r="K76" s="269"/>
      <c r="L76" s="181">
        <v>65</v>
      </c>
      <c r="M76" s="172">
        <f t="shared" si="4"/>
        <v>280</v>
      </c>
      <c r="N76" s="275" t="str">
        <f t="shared" si="5"/>
        <v>Papel Separador Rasgado</v>
      </c>
      <c r="O76" s="172">
        <f t="shared" si="9"/>
        <v>0</v>
      </c>
      <c r="P76" s="287" t="e">
        <f t="shared" si="6"/>
        <v>#DIV/0!</v>
      </c>
      <c r="Q76">
        <f t="shared" si="10"/>
        <v>0</v>
      </c>
      <c r="R76" s="460" t="e">
        <f t="shared" si="7"/>
        <v>#DIV/0!</v>
      </c>
      <c r="S76" s="298" t="e">
        <f t="shared" si="8"/>
        <v>#DIV/0!</v>
      </c>
    </row>
    <row r="77" spans="1:19">
      <c r="A77" s="154">
        <v>66</v>
      </c>
      <c r="B77" s="181">
        <v>990</v>
      </c>
      <c r="C77" s="172" t="str">
        <f>VLOOKUP(B77,'Tipos de Defeitos'!B78:E180,Menu!$B$24+1,)</f>
        <v>Causa Desconhecida - Amperagem</v>
      </c>
      <c r="D77" s="171">
        <f>INDEX(RASCUNHO!$D$6:$J$79,MATCH('Dados do Gráfico'!C77,RASCUNHO!$C$6:$C$78,0),Menu!$B$22)</f>
        <v>0</v>
      </c>
      <c r="E77" s="281" t="e">
        <f t="shared" ref="E77:E78" si="11">D77/D$11*D$8/D$6*1000000</f>
        <v>#DIV/0!</v>
      </c>
      <c r="F77" s="260"/>
      <c r="G77" s="270">
        <v>66</v>
      </c>
      <c r="H77" s="171">
        <f t="shared" ref="H77:H78" si="12">D77*1000+A77</f>
        <v>66</v>
      </c>
      <c r="I77" s="172">
        <f t="shared" ref="I77:I78" si="13">LARGE(H$12:H$78,G77)</f>
        <v>2</v>
      </c>
      <c r="J77" s="262">
        <f t="shared" ref="J77:J78" si="14">MATCH(I77,H$12:H$78,)</f>
        <v>2</v>
      </c>
      <c r="K77" s="269"/>
      <c r="L77" s="181">
        <v>66</v>
      </c>
      <c r="M77" s="172">
        <f t="shared" ref="M77:M78" si="15">VLOOKUP($J77,$A$12:$E$78,2,0)</f>
        <v>270</v>
      </c>
      <c r="N77" s="275" t="str">
        <f t="shared" ref="N77:N78" si="16">VLOOKUP($J77,$A$12:$E$78,3,0)</f>
        <v>Papel Separador Cortado</v>
      </c>
      <c r="O77" s="172">
        <f t="shared" ref="O77:O78" si="17">VLOOKUP($J77,$A$12:$E$78,4,0)</f>
        <v>0</v>
      </c>
      <c r="P77" s="287" t="e">
        <f t="shared" ref="P77:P78" si="18">VLOOKUP($J77,$A$12:$E$78,5,0)</f>
        <v>#DIV/0!</v>
      </c>
      <c r="Q77">
        <f t="shared" si="10"/>
        <v>0</v>
      </c>
      <c r="R77" s="460" t="e">
        <f t="shared" ref="R77:R78" si="19">Q77/$Q$78*100</f>
        <v>#DIV/0!</v>
      </c>
      <c r="S77" s="298" t="e">
        <f t="shared" ref="S77:S78" si="20">IF(($E$8&gt;$S$2)*(R77&lt;=0.8),0,P77)</f>
        <v>#DIV/0!</v>
      </c>
    </row>
    <row r="78" spans="1:19" ht="13.5" thickBot="1">
      <c r="A78" s="154">
        <v>67</v>
      </c>
      <c r="B78" s="184">
        <v>1000</v>
      </c>
      <c r="C78" s="189" t="str">
        <f>VLOOKUP(B78,'Tipos de Defeitos'!B79:E181,Menu!$B$24+1,)</f>
        <v>Outros - Amperagem</v>
      </c>
      <c r="D78" s="263">
        <f>INDEX(RASCUNHO!$D$6:$J$79,MATCH('Dados do Gráfico'!C78,RASCUNHO!$C$6:$C$78,0),Menu!$B$22)</f>
        <v>0</v>
      </c>
      <c r="E78" s="282" t="e">
        <f t="shared" si="11"/>
        <v>#DIV/0!</v>
      </c>
      <c r="F78" s="260"/>
      <c r="G78" s="271">
        <v>67</v>
      </c>
      <c r="H78" s="263">
        <f t="shared" si="12"/>
        <v>67</v>
      </c>
      <c r="I78" s="189">
        <f t="shared" si="13"/>
        <v>1</v>
      </c>
      <c r="J78" s="264">
        <f t="shared" si="14"/>
        <v>1</v>
      </c>
      <c r="K78" s="269"/>
      <c r="L78" s="184">
        <v>67</v>
      </c>
      <c r="M78" s="189">
        <f t="shared" si="15"/>
        <v>260</v>
      </c>
      <c r="N78" s="276" t="str">
        <f t="shared" si="16"/>
        <v>Sem Papel Separador</v>
      </c>
      <c r="O78" s="189">
        <f t="shared" si="17"/>
        <v>0</v>
      </c>
      <c r="P78" s="288" t="e">
        <f t="shared" si="18"/>
        <v>#DIV/0!</v>
      </c>
      <c r="Q78">
        <f t="shared" ref="Q78" si="21">O78+Q77</f>
        <v>0</v>
      </c>
      <c r="R78" s="460" t="e">
        <f t="shared" si="19"/>
        <v>#DIV/0!</v>
      </c>
      <c r="S78" s="298" t="e">
        <f t="shared" si="20"/>
        <v>#DIV/0!</v>
      </c>
    </row>
    <row r="79" spans="1:19">
      <c r="B79" s="153"/>
      <c r="C79" s="169" t="s">
        <v>277</v>
      </c>
      <c r="D79" s="448" t="e">
        <f>INDEX(RASCUNHO!$D$6:$J$79,MATCH('Dados do Gráfico'!C79,RASCUNHO!$C$6:$C$79,0),Menu!$C$23)</f>
        <v>#DIV/0!</v>
      </c>
    </row>
  </sheetData>
  <sheetProtection algorithmName="SHA-512" hashValue="DBf/Wh5ANOcivTrFlItz5ANd2VdUqOE7/1SVDeXMby1KZsbGgv4lygRQqUQFAlfeDUE7O1a1KQEjq8AqX8cBGA==" saltValue="lT9eLrxVGMX2QYSfgUphTg==" spinCount="100000" sheet="1" objects="1" scenarios="1" selectLockedCells="1"/>
  <sortState xmlns:xlrd2="http://schemas.microsoft.com/office/spreadsheetml/2017/richdata2" ref="A54:B69">
    <sortCondition descending="1" ref="B2"/>
  </sortState>
  <mergeCells count="2">
    <mergeCell ref="G10:J10"/>
    <mergeCell ref="L10:P10"/>
  </mergeCells>
  <phoneticPr fontId="0" type="noConversion"/>
  <conditionalFormatting sqref="B2:C6">
    <cfRule type="expression" dxfId="9" priority="8">
      <formula>MOD(ROW(),2)=0</formula>
    </cfRule>
  </conditionalFormatting>
  <conditionalFormatting sqref="B7:C11">
    <cfRule type="expression" dxfId="8" priority="7">
      <formula>MOD(ROW(),2)=0</formula>
    </cfRule>
  </conditionalFormatting>
  <conditionalFormatting sqref="B12:C61">
    <cfRule type="expression" dxfId="7" priority="6">
      <formula>MOD(ROW(),2)=0</formula>
    </cfRule>
  </conditionalFormatting>
  <conditionalFormatting sqref="B62:C78">
    <cfRule type="expression" dxfId="6" priority="5">
      <formula>MOD(ROW(),2)=0</formula>
    </cfRule>
  </conditionalFormatting>
  <conditionalFormatting sqref="D2:P6">
    <cfRule type="expression" dxfId="5" priority="4">
      <formula>MOD(ROW(),2)=0</formula>
    </cfRule>
  </conditionalFormatting>
  <conditionalFormatting sqref="D7:P9 D11:P11 D10:G10 K10:L10">
    <cfRule type="expression" dxfId="4" priority="3">
      <formula>MOD(ROW(),2)=0</formula>
    </cfRule>
  </conditionalFormatting>
  <conditionalFormatting sqref="D12:P61 E62:E77">
    <cfRule type="expression" dxfId="3" priority="2">
      <formula>MOD(ROW(),2)=0</formula>
    </cfRule>
  </conditionalFormatting>
  <conditionalFormatting sqref="D78:P78 D62:D77 F62:P77">
    <cfRule type="expression" dxfId="2" priority="1">
      <formula>MOD(ROW(),2)=0</formula>
    </cfRule>
  </conditionalFormatting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9">
    <pageSetUpPr fitToPage="1"/>
  </sheetPr>
  <dimension ref="A2:C40"/>
  <sheetViews>
    <sheetView tabSelected="1" zoomScaleNormal="100" workbookViewId="0">
      <selection activeCell="Q11" sqref="Q11"/>
    </sheetView>
  </sheetViews>
  <sheetFormatPr defaultRowHeight="12.75"/>
  <sheetData>
    <row r="2" spans="2:3">
      <c r="B2" s="169" t="s">
        <v>278</v>
      </c>
    </row>
    <row r="3" spans="2:3">
      <c r="B3" s="169" t="s">
        <v>40</v>
      </c>
      <c r="C3" s="169" t="s">
        <v>36</v>
      </c>
    </row>
    <row r="4" spans="2:3">
      <c r="B4">
        <v>1</v>
      </c>
      <c r="C4" s="169" t="s">
        <v>44</v>
      </c>
    </row>
    <row r="5" spans="2:3">
      <c r="B5">
        <v>1</v>
      </c>
      <c r="C5" s="169" t="s">
        <v>45</v>
      </c>
    </row>
    <row r="6" spans="2:3">
      <c r="B6">
        <v>1</v>
      </c>
      <c r="C6" s="169" t="s">
        <v>266</v>
      </c>
    </row>
    <row r="7" spans="2:3">
      <c r="B7">
        <v>2</v>
      </c>
      <c r="C7" s="169" t="s">
        <v>44</v>
      </c>
    </row>
    <row r="8" spans="2:3">
      <c r="B8">
        <v>2</v>
      </c>
      <c r="C8" s="169" t="s">
        <v>45</v>
      </c>
    </row>
    <row r="9" spans="2:3">
      <c r="B9">
        <v>2</v>
      </c>
      <c r="C9" s="169" t="s">
        <v>266</v>
      </c>
    </row>
    <row r="10" spans="2:3">
      <c r="B10" s="169" t="s">
        <v>279</v>
      </c>
      <c r="C10" s="169" t="s">
        <v>20</v>
      </c>
    </row>
    <row r="40" spans="1:1">
      <c r="A40" s="169" t="s">
        <v>106</v>
      </c>
    </row>
  </sheetData>
  <sheetProtection algorithmName="SHA-512" hashValue="pJe74dIXPRikStIKwuOWLIDyJCgGZbMNm3U54sdcO0TtNsC1y4dSI+88CBUUoIYA0d7HVdsq+ZNAL2/fBBjDxA==" saltValue="e6R8RAuXYGCNFAco1C58CQ==" spinCount="100000" sheet="1" objects="1" scenarios="1" selectLockedCells="1"/>
  <phoneticPr fontId="0" type="noConversion"/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7" r:id="rId4" name="Button 3">
              <controlPr defaultSize="0" print="0" autoFill="0" autoPict="0" macro="[0]!btnMenu_Click">
                <anchor moveWithCells="1" sizeWithCells="1">
                  <from>
                    <xdr:col>12</xdr:col>
                    <xdr:colOff>381000</xdr:colOff>
                    <xdr:row>1</xdr:row>
                    <xdr:rowOff>19050</xdr:rowOff>
                  </from>
                  <to>
                    <xdr:col>14</xdr:col>
                    <xdr:colOff>333375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17</vt:i4>
      </vt:variant>
    </vt:vector>
  </HeadingPairs>
  <TitlesOfParts>
    <vt:vector size="27" baseType="lpstr">
      <vt:lpstr>Menu</vt:lpstr>
      <vt:lpstr>Falhas Por Modelo</vt:lpstr>
      <vt:lpstr>Tipos de Defeitos</vt:lpstr>
      <vt:lpstr>UM-3 - L1 - Dia</vt:lpstr>
      <vt:lpstr>UM-3 - L1 - Noite</vt:lpstr>
      <vt:lpstr>UM-3 - L2 - Dia</vt:lpstr>
      <vt:lpstr>UM-3 - L2 - Noite</vt:lpstr>
      <vt:lpstr>RASCUNHO</vt:lpstr>
      <vt:lpstr>Dados do Gráfico</vt:lpstr>
      <vt:lpstr>Paretos VA</vt:lpstr>
      <vt:lpstr>A_RATIO_L1D</vt:lpstr>
      <vt:lpstr>A_RATIO_L1N</vt:lpstr>
      <vt:lpstr>A_RATIO_L2D</vt:lpstr>
      <vt:lpstr>A_RATIO_L2N</vt:lpstr>
      <vt:lpstr>'Falhas Por Modelo'!Area_de_impressao</vt:lpstr>
      <vt:lpstr>'Paretos VA'!Area_de_impressao</vt:lpstr>
      <vt:lpstr>PRODUTOS</vt:lpstr>
      <vt:lpstr>Total_Falhas_L1_Dia</vt:lpstr>
      <vt:lpstr>Total_Falhas_L1_Noite</vt:lpstr>
      <vt:lpstr>Total_Falhas_L2_Dia</vt:lpstr>
      <vt:lpstr>Total_Falhas_L2_Noite</vt:lpstr>
      <vt:lpstr>total_va_ratio_l1d</vt:lpstr>
      <vt:lpstr>total_va_ratio_l2d</vt:lpstr>
      <vt:lpstr>V_RATIO_L1D</vt:lpstr>
      <vt:lpstr>V_RATIO_L1N</vt:lpstr>
      <vt:lpstr>V_RATIO_L2D</vt:lpstr>
      <vt:lpstr>V_RATIO_L2N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Panasonic do Brasil LTDA</dc:creator>
  <cp:lastModifiedBy>Osvaldo Martins Torquati</cp:lastModifiedBy>
  <cp:lastPrinted>2020-09-30T03:59:19Z</cp:lastPrinted>
  <dcterms:created xsi:type="dcterms:W3CDTF">2003-07-23T18:28:53Z</dcterms:created>
  <dcterms:modified xsi:type="dcterms:W3CDTF">2022-02-21T11:25:55Z</dcterms:modified>
</cp:coreProperties>
</file>