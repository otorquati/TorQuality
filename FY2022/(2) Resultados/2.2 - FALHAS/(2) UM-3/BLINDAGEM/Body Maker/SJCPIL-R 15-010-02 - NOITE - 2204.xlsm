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BLINDAGEM\Body Maker\"/>
    </mc:Choice>
  </mc:AlternateContent>
  <xr:revisionPtr revIDLastSave="0" documentId="13_ncr:1_{55EC8882-8271-4E8B-BD3B-C267D87A8012}" xr6:coauthVersionLast="47" xr6:coauthVersionMax="47" xr10:uidLastSave="{00000000-0000-0000-0000-000000000000}"/>
  <workbookProtection workbookPassword="CE4F" lockStructure="1"/>
  <bookViews>
    <workbookView xWindow="-120" yWindow="-120" windowWidth="29040" windowHeight="16440" activeTab="7" xr2:uid="{00000000-000D-0000-FFFF-FFFF00000000}"/>
  </bookViews>
  <sheets>
    <sheet name="Instruções de Uso" sheetId="8" r:id="rId1"/>
    <sheet name="Máq. 1" sheetId="1" r:id="rId2"/>
    <sheet name="Máq. 2" sheetId="2" r:id="rId3"/>
    <sheet name="Máq. 3" sheetId="3" r:id="rId4"/>
    <sheet name="Máq. 4" sheetId="4" r:id="rId5"/>
    <sheet name="Máq. 5" sheetId="5" r:id="rId6"/>
    <sheet name="Resumo Diário" sheetId="9" r:id="rId7"/>
    <sheet name="Pareto" sheetId="11" r:id="rId8"/>
    <sheet name="Planilha1" sheetId="10" state="hidden" r:id="rId9"/>
  </sheets>
  <externalReferences>
    <externalReference r:id="rId10"/>
    <externalReference r:id="rId11"/>
    <externalReference r:id="rId12"/>
  </externalReferences>
  <definedNames>
    <definedName name="_xlnm.Print_Area" localSheetId="1">'Máq. 1'!$A$1:$AC$31</definedName>
    <definedName name="_xlnm.Print_Area" localSheetId="2">'Máq. 2'!$A$1:$AC$31</definedName>
    <definedName name="_xlnm.Print_Area" localSheetId="3">'Máq. 3'!$A$1:$AC$31</definedName>
    <definedName name="_xlnm.Print_Area" localSheetId="4">'Máq. 4'!$A$1:$AC$31</definedName>
    <definedName name="_xlnm.Print_Area" localSheetId="5">'Máq. 5'!$A$1:$AC$31</definedName>
    <definedName name="_xlnm.Print_Area" localSheetId="6">'Resumo Diário'!$A$1:$AH$29</definedName>
    <definedName name="FALHAS_TOTAL_M1N">'Máq. 1'!$AC$16</definedName>
    <definedName name="FALHAS_TOTAL_M2N">'Máq. 2'!$AC$16</definedName>
    <definedName name="FALHAS_TOTAL_M3N">'Máq. 3'!$AC$16</definedName>
    <definedName name="FALHAS_TOTAL_M4N">'Máq. 4'!$AC$16</definedName>
    <definedName name="FALHAS_TOTAL_M5N">'Máq. 5'!$AC$16</definedName>
    <definedName name="PERIODO">'Máq. 1'!$AA$2</definedName>
    <definedName name="PROD_TOTAL_M1N">'Máq. 1'!$AC$5</definedName>
    <definedName name="PROD_TOTAL_M2N">'Máq. 2'!$AC$5</definedName>
    <definedName name="PROD_TOTAL_M3N">'Máq. 3'!$AC$5</definedName>
    <definedName name="PROD_TOTAL_M4N">'Máq. 4'!$AC$5</definedName>
    <definedName name="PROD_TOTAL_M5N">'Máq. 5'!$AC$5</definedName>
    <definedName name="produtos" localSheetId="0">'[1]Resumo de Falhas'!$C$1:$L$1</definedName>
    <definedName name="produtos">'[2]Resumo de Falhas'!$C$1:$L$1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" i="1" l="1"/>
  <c r="AC2" i="4" s="1"/>
  <c r="E16" i="5"/>
  <c r="E17" i="5" s="1"/>
  <c r="C32" i="1"/>
  <c r="G16" i="5"/>
  <c r="AC2" i="3" l="1"/>
  <c r="AC2" i="2"/>
  <c r="AC2" i="5"/>
  <c r="AC15" i="2"/>
  <c r="AC14" i="2"/>
  <c r="AC13" i="2"/>
  <c r="AC12" i="2"/>
  <c r="AC11" i="2"/>
  <c r="AC10" i="2"/>
  <c r="AC9" i="2"/>
  <c r="AC8" i="2"/>
  <c r="AC7" i="2"/>
  <c r="AC6" i="2"/>
  <c r="AC15" i="3"/>
  <c r="AC14" i="3"/>
  <c r="AC13" i="3"/>
  <c r="AC12" i="3"/>
  <c r="AC11" i="3"/>
  <c r="AC10" i="3"/>
  <c r="AC9" i="3"/>
  <c r="AC8" i="3"/>
  <c r="AC7" i="3"/>
  <c r="AC6" i="3"/>
  <c r="AC15" i="4"/>
  <c r="AC14" i="4"/>
  <c r="AC13" i="4"/>
  <c r="AC12" i="4"/>
  <c r="AC11" i="4"/>
  <c r="AC10" i="4"/>
  <c r="AC9" i="4"/>
  <c r="AC8" i="4"/>
  <c r="AC7" i="4"/>
  <c r="AC6" i="4"/>
  <c r="AC15" i="5"/>
  <c r="AC14" i="5"/>
  <c r="AC13" i="5"/>
  <c r="AC12" i="5"/>
  <c r="AC11" i="5"/>
  <c r="AC10" i="5"/>
  <c r="AC9" i="5"/>
  <c r="AC8" i="5"/>
  <c r="AC7" i="5"/>
  <c r="AC6" i="5"/>
  <c r="AC15" i="1"/>
  <c r="C12" i="10" s="1"/>
  <c r="AC14" i="1"/>
  <c r="AC13" i="1"/>
  <c r="AC12" i="1"/>
  <c r="AC11" i="1"/>
  <c r="AC10" i="1"/>
  <c r="AC9" i="1"/>
  <c r="AC8" i="1"/>
  <c r="AC7" i="1"/>
  <c r="AC6" i="1"/>
  <c r="AC5" i="2"/>
  <c r="AN6" i="9" s="1"/>
  <c r="AC5" i="3"/>
  <c r="AO6" i="9" s="1"/>
  <c r="AC5" i="4"/>
  <c r="AP6" i="9" s="1"/>
  <c r="AC5" i="5"/>
  <c r="AQ6" i="9" s="1"/>
  <c r="AC5" i="1"/>
  <c r="AM6" i="9" s="1"/>
  <c r="AQ10" i="9" l="1"/>
  <c r="G6" i="10"/>
  <c r="AQ7" i="9"/>
  <c r="G3" i="10"/>
  <c r="AQ11" i="9"/>
  <c r="G7" i="10"/>
  <c r="AQ8" i="9"/>
  <c r="G4" i="10"/>
  <c r="AQ9" i="9"/>
  <c r="G5" i="10"/>
  <c r="AQ12" i="9"/>
  <c r="G8" i="10"/>
  <c r="AQ15" i="9"/>
  <c r="G11" i="10"/>
  <c r="G2" i="10"/>
  <c r="AQ13" i="9"/>
  <c r="G9" i="10"/>
  <c r="AQ16" i="9"/>
  <c r="G12" i="10"/>
  <c r="AQ14" i="9"/>
  <c r="G10" i="10"/>
  <c r="AP8" i="9"/>
  <c r="F4" i="10"/>
  <c r="AP9" i="9"/>
  <c r="F5" i="10"/>
  <c r="AP14" i="9"/>
  <c r="F10" i="10"/>
  <c r="AP15" i="9"/>
  <c r="F11" i="10"/>
  <c r="AP16" i="9"/>
  <c r="F12" i="10"/>
  <c r="AP10" i="9"/>
  <c r="F6" i="10"/>
  <c r="AP13" i="9"/>
  <c r="F9" i="10"/>
  <c r="AP11" i="9"/>
  <c r="F7" i="10"/>
  <c r="AP7" i="9"/>
  <c r="F3" i="10"/>
  <c r="F2" i="10"/>
  <c r="AP12" i="9"/>
  <c r="F8" i="10"/>
  <c r="AO13" i="9"/>
  <c r="E9" i="10"/>
  <c r="AO15" i="9"/>
  <c r="E11" i="10"/>
  <c r="AO11" i="9"/>
  <c r="E7" i="10"/>
  <c r="E2" i="10"/>
  <c r="AO16" i="9"/>
  <c r="E12" i="10"/>
  <c r="AO7" i="9"/>
  <c r="E3" i="10"/>
  <c r="AO8" i="9"/>
  <c r="E4" i="10"/>
  <c r="AO9" i="9"/>
  <c r="E5" i="10"/>
  <c r="AO12" i="9"/>
  <c r="E8" i="10"/>
  <c r="AO14" i="9"/>
  <c r="E10" i="10"/>
  <c r="AO10" i="9"/>
  <c r="E6" i="10"/>
  <c r="AN9" i="9"/>
  <c r="D5" i="10"/>
  <c r="AN10" i="9"/>
  <c r="D6" i="10"/>
  <c r="AN12" i="9"/>
  <c r="D8" i="10"/>
  <c r="AN13" i="9"/>
  <c r="D9" i="10"/>
  <c r="AN14" i="9"/>
  <c r="D10" i="10"/>
  <c r="AN11" i="9"/>
  <c r="D7" i="10"/>
  <c r="D2" i="10"/>
  <c r="AN7" i="9"/>
  <c r="D3" i="10"/>
  <c r="AN15" i="9"/>
  <c r="D11" i="10"/>
  <c r="AN8" i="9"/>
  <c r="D4" i="10"/>
  <c r="AN16" i="9"/>
  <c r="D12" i="10"/>
  <c r="AM15" i="9"/>
  <c r="C11" i="10"/>
  <c r="AM9" i="9"/>
  <c r="C5" i="10"/>
  <c r="AM7" i="9"/>
  <c r="C3" i="10"/>
  <c r="C2" i="10"/>
  <c r="AM10" i="9"/>
  <c r="C6" i="10"/>
  <c r="AM12" i="9"/>
  <c r="C8" i="10"/>
  <c r="AM13" i="9"/>
  <c r="C9" i="10"/>
  <c r="AM8" i="9"/>
  <c r="C4" i="10"/>
  <c r="AM11" i="9"/>
  <c r="C7" i="10"/>
  <c r="AM14" i="9"/>
  <c r="C10" i="10"/>
  <c r="C16" i="5"/>
  <c r="C17" i="5" s="1"/>
  <c r="AR10" i="9" l="1"/>
  <c r="H12" i="10"/>
  <c r="AR16" i="9"/>
  <c r="AR11" i="9"/>
  <c r="H7" i="10"/>
  <c r="H9" i="10"/>
  <c r="H11" i="10"/>
  <c r="AR8" i="9"/>
  <c r="G13" i="10"/>
  <c r="G14" i="10" s="1"/>
  <c r="AQ17" i="9"/>
  <c r="AQ18" i="9" s="1"/>
  <c r="AR15" i="9"/>
  <c r="F13" i="10"/>
  <c r="F14" i="10" s="1"/>
  <c r="AR12" i="9"/>
  <c r="AP17" i="9"/>
  <c r="AP18" i="9" s="1"/>
  <c r="E13" i="10"/>
  <c r="E14" i="10" s="1"/>
  <c r="AO17" i="9"/>
  <c r="AO18" i="9" s="1"/>
  <c r="H10" i="10"/>
  <c r="AR14" i="9"/>
  <c r="H5" i="10"/>
  <c r="H6" i="10"/>
  <c r="AR9" i="9"/>
  <c r="AR6" i="9"/>
  <c r="AN17" i="9"/>
  <c r="AN18" i="9" s="1"/>
  <c r="AR13" i="9"/>
  <c r="H8" i="10"/>
  <c r="H4" i="10"/>
  <c r="H2" i="10"/>
  <c r="D13" i="10"/>
  <c r="D14" i="10" s="1"/>
  <c r="C13" i="10"/>
  <c r="C14" i="10" s="1"/>
  <c r="H3" i="10"/>
  <c r="AR7" i="9"/>
  <c r="AM17" i="9"/>
  <c r="X16" i="5"/>
  <c r="X17" i="5" s="1"/>
  <c r="Y16" i="5"/>
  <c r="Y17" i="5" s="1"/>
  <c r="Z16" i="5"/>
  <c r="Z17" i="5" s="1"/>
  <c r="AA16" i="5"/>
  <c r="AA17" i="5" s="1"/>
  <c r="AB16" i="5"/>
  <c r="AB17" i="5" s="1"/>
  <c r="X16" i="2"/>
  <c r="X17" i="2" s="1"/>
  <c r="Y16" i="2"/>
  <c r="Y17" i="2" s="1"/>
  <c r="Z16" i="2"/>
  <c r="Z17" i="2" s="1"/>
  <c r="AA16" i="2"/>
  <c r="AA17" i="2" s="1"/>
  <c r="AB16" i="2"/>
  <c r="AB17" i="2" s="1"/>
  <c r="X16" i="1"/>
  <c r="X17" i="1" s="1"/>
  <c r="Y16" i="1"/>
  <c r="Y17" i="1" s="1"/>
  <c r="Z16" i="1"/>
  <c r="Z17" i="1" s="1"/>
  <c r="AA16" i="1"/>
  <c r="AA17" i="1" s="1"/>
  <c r="AB16" i="1"/>
  <c r="AB17" i="1" s="1"/>
  <c r="AS16" i="9" l="1"/>
  <c r="AS10" i="9"/>
  <c r="AS15" i="9"/>
  <c r="AS11" i="9"/>
  <c r="AS12" i="9"/>
  <c r="AS8" i="9"/>
  <c r="AS14" i="9"/>
  <c r="AS9" i="9"/>
  <c r="AS13" i="9"/>
  <c r="AT12" i="9"/>
  <c r="AT13" i="9"/>
  <c r="AS7" i="9"/>
  <c r="AT14" i="9"/>
  <c r="AT15" i="9"/>
  <c r="AT11" i="9"/>
  <c r="AT8" i="9"/>
  <c r="AT16" i="9"/>
  <c r="AT9" i="9"/>
  <c r="AT7" i="9"/>
  <c r="AT10" i="9"/>
  <c r="AM18" i="9"/>
  <c r="AR17" i="9"/>
  <c r="AR18" i="9" s="1"/>
  <c r="H13" i="10"/>
  <c r="H14" i="10" s="1"/>
  <c r="I11" i="10"/>
  <c r="J11" i="10" s="1"/>
  <c r="I12" i="10"/>
  <c r="J12" i="10" s="1"/>
  <c r="I4" i="10"/>
  <c r="J4" i="10" s="1"/>
  <c r="I5" i="10"/>
  <c r="J5" i="10" s="1"/>
  <c r="I7" i="10"/>
  <c r="J7" i="10" s="1"/>
  <c r="I3" i="10"/>
  <c r="J3" i="10" s="1"/>
  <c r="I8" i="10"/>
  <c r="J8" i="10" s="1"/>
  <c r="I6" i="10"/>
  <c r="J6" i="10" s="1"/>
  <c r="I9" i="10"/>
  <c r="J9" i="10" s="1"/>
  <c r="I10" i="10"/>
  <c r="J10" i="10" s="1"/>
  <c r="D16" i="2"/>
  <c r="K11" i="10" l="1"/>
  <c r="L11" i="10"/>
  <c r="M11" i="10" s="1"/>
  <c r="AW10" i="9"/>
  <c r="AU10" i="9"/>
  <c r="AV10" i="9" s="1"/>
  <c r="K12" i="10"/>
  <c r="L12" i="10"/>
  <c r="M12" i="10" s="1"/>
  <c r="L6" i="10"/>
  <c r="M6" i="10" s="1"/>
  <c r="K6" i="10"/>
  <c r="AW7" i="9"/>
  <c r="AX7" i="9" s="1"/>
  <c r="AU7" i="9"/>
  <c r="AV7" i="9" s="1"/>
  <c r="AW13" i="9"/>
  <c r="AU13" i="9"/>
  <c r="AV13" i="9" s="1"/>
  <c r="AU14" i="9"/>
  <c r="AV14" i="9" s="1"/>
  <c r="AW14" i="9"/>
  <c r="AW12" i="9"/>
  <c r="AU12" i="9"/>
  <c r="AV12" i="9" s="1"/>
  <c r="L10" i="10"/>
  <c r="M10" i="10" s="1"/>
  <c r="K10" i="10"/>
  <c r="L9" i="10"/>
  <c r="M9" i="10" s="1"/>
  <c r="K9" i="10"/>
  <c r="L8" i="10"/>
  <c r="M8" i="10" s="1"/>
  <c r="K8" i="10"/>
  <c r="AW9" i="9"/>
  <c r="AU9" i="9"/>
  <c r="AV9" i="9" s="1"/>
  <c r="L3" i="10"/>
  <c r="K3" i="10"/>
  <c r="AW16" i="9"/>
  <c r="AU16" i="9"/>
  <c r="AV16" i="9" s="1"/>
  <c r="L7" i="10"/>
  <c r="M7" i="10" s="1"/>
  <c r="K7" i="10"/>
  <c r="AW8" i="9"/>
  <c r="AU8" i="9"/>
  <c r="AV8" i="9" s="1"/>
  <c r="L5" i="10"/>
  <c r="M5" i="10" s="1"/>
  <c r="K5" i="10"/>
  <c r="AW11" i="9"/>
  <c r="AU11" i="9"/>
  <c r="AV11" i="9" s="1"/>
  <c r="K4" i="10"/>
  <c r="L4" i="10"/>
  <c r="M4" i="10" s="1"/>
  <c r="AU15" i="9"/>
  <c r="AV15" i="9" s="1"/>
  <c r="AW15" i="9"/>
  <c r="G16" i="2"/>
  <c r="N3" i="10" l="1"/>
  <c r="N4" i="10" s="1"/>
  <c r="N5" i="10" s="1"/>
  <c r="N6" i="10" s="1"/>
  <c r="N7" i="10" s="1"/>
  <c r="M3" i="10"/>
  <c r="AX8" i="9"/>
  <c r="AX9" i="9" s="1"/>
  <c r="AX10" i="9" s="1"/>
  <c r="AX11" i="9" s="1"/>
  <c r="AX12" i="9" s="1"/>
  <c r="AX13" i="9" s="1"/>
  <c r="AX14" i="9" s="1"/>
  <c r="AX15" i="9" s="1"/>
  <c r="F16" i="4"/>
  <c r="F16" i="3"/>
  <c r="AX16" i="9" l="1"/>
  <c r="AY15" i="9" s="1"/>
  <c r="N8" i="10"/>
  <c r="L16" i="4"/>
  <c r="AZ15" i="9" l="1"/>
  <c r="AY16" i="9"/>
  <c r="AY7" i="9"/>
  <c r="AY8" i="9"/>
  <c r="AY9" i="9"/>
  <c r="AY10" i="9"/>
  <c r="AY11" i="9"/>
  <c r="AY12" i="9"/>
  <c r="AY13" i="9"/>
  <c r="AY14" i="9"/>
  <c r="N9" i="10"/>
  <c r="I16" i="5"/>
  <c r="AZ11" i="9" l="1"/>
  <c r="AZ8" i="9"/>
  <c r="AZ12" i="9"/>
  <c r="AZ10" i="9"/>
  <c r="AZ7" i="9"/>
  <c r="AZ14" i="9"/>
  <c r="AZ16" i="9"/>
  <c r="AZ13" i="9"/>
  <c r="N10" i="10"/>
  <c r="K16" i="4"/>
  <c r="N11" i="10" l="1"/>
  <c r="F16" i="5"/>
  <c r="G17" i="5"/>
  <c r="N12" i="10" l="1"/>
  <c r="I16" i="3"/>
  <c r="O12" i="10" l="1"/>
  <c r="O3" i="10"/>
  <c r="O4" i="10"/>
  <c r="O5" i="10"/>
  <c r="O6" i="10"/>
  <c r="O7" i="10"/>
  <c r="O8" i="10"/>
  <c r="O9" i="10"/>
  <c r="O10" i="10"/>
  <c r="O11" i="10"/>
  <c r="N16" i="5"/>
  <c r="I16" i="4" l="1"/>
  <c r="H16" i="4" l="1"/>
  <c r="W5" i="9" l="1" a="1"/>
  <c r="W5" i="9" s="1"/>
  <c r="X5" i="9" a="1"/>
  <c r="X5" i="9" s="1"/>
  <c r="Y5" i="9" a="1"/>
  <c r="Y5" i="9" s="1"/>
  <c r="Z5" i="9" a="1"/>
  <c r="Z5" i="9" s="1"/>
  <c r="AA5" i="9" a="1"/>
  <c r="AA5" i="9" s="1"/>
  <c r="AB5" i="9" a="1"/>
  <c r="AB5" i="9" s="1"/>
  <c r="AC5" i="9" a="1"/>
  <c r="AC5" i="9" s="1"/>
  <c r="AD5" i="9" a="1"/>
  <c r="AD5" i="9" s="1"/>
  <c r="AE5" i="9" a="1"/>
  <c r="AE5" i="9" s="1"/>
  <c r="AF5" i="9" a="1"/>
  <c r="AF5" i="9" s="1"/>
  <c r="W6" i="9" a="1"/>
  <c r="W6" i="9" s="1"/>
  <c r="X6" i="9" a="1"/>
  <c r="X6" i="9" s="1"/>
  <c r="Y6" i="9" a="1"/>
  <c r="Y6" i="9" s="1"/>
  <c r="Z6" i="9" a="1"/>
  <c r="Z6" i="9" s="1"/>
  <c r="AA6" i="9" a="1"/>
  <c r="AA6" i="9" s="1"/>
  <c r="AB6" i="9" a="1"/>
  <c r="AB6" i="9" s="1"/>
  <c r="AC6" i="9" a="1"/>
  <c r="AC6" i="9" s="1"/>
  <c r="AD6" i="9" a="1"/>
  <c r="AD6" i="9" s="1"/>
  <c r="AE6" i="9" a="1"/>
  <c r="AE6" i="9" s="1"/>
  <c r="AF6" i="9" a="1"/>
  <c r="AF6" i="9" s="1"/>
  <c r="W7" i="9" a="1"/>
  <c r="W7" i="9" s="1"/>
  <c r="X7" i="9" a="1"/>
  <c r="X7" i="9" s="1"/>
  <c r="Y7" i="9" a="1"/>
  <c r="Y7" i="9" s="1"/>
  <c r="Z7" i="9" a="1"/>
  <c r="Z7" i="9" s="1"/>
  <c r="AA7" i="9" a="1"/>
  <c r="AA7" i="9" s="1"/>
  <c r="AB7" i="9" a="1"/>
  <c r="AB7" i="9" s="1"/>
  <c r="AC7" i="9" a="1"/>
  <c r="AC7" i="9" s="1"/>
  <c r="AD7" i="9" a="1"/>
  <c r="AD7" i="9" s="1"/>
  <c r="AE7" i="9" a="1"/>
  <c r="AE7" i="9" s="1"/>
  <c r="AF7" i="9" a="1"/>
  <c r="AF7" i="9" s="1"/>
  <c r="W8" i="9" a="1"/>
  <c r="W8" i="9" s="1"/>
  <c r="X8" i="9" a="1"/>
  <c r="X8" i="9" s="1"/>
  <c r="Y8" i="9" a="1"/>
  <c r="Y8" i="9" s="1"/>
  <c r="Z8" i="9" a="1"/>
  <c r="Z8" i="9" s="1"/>
  <c r="AA8" i="9" a="1"/>
  <c r="AA8" i="9" s="1"/>
  <c r="AB8" i="9" a="1"/>
  <c r="AB8" i="9" s="1"/>
  <c r="AC8" i="9" a="1"/>
  <c r="AC8" i="9" s="1"/>
  <c r="AD8" i="9" a="1"/>
  <c r="AD8" i="9" s="1"/>
  <c r="AE8" i="9" a="1"/>
  <c r="AE8" i="9" s="1"/>
  <c r="AF8" i="9" a="1"/>
  <c r="AF8" i="9" s="1"/>
  <c r="W9" i="9" a="1"/>
  <c r="W9" i="9" s="1"/>
  <c r="X9" i="9" a="1"/>
  <c r="X9" i="9" s="1"/>
  <c r="Y9" i="9" a="1"/>
  <c r="Y9" i="9" s="1"/>
  <c r="Z9" i="9" a="1"/>
  <c r="Z9" i="9" s="1"/>
  <c r="AA9" i="9" a="1"/>
  <c r="AA9" i="9" s="1"/>
  <c r="AB9" i="9" a="1"/>
  <c r="AB9" i="9" s="1"/>
  <c r="AC9" i="9" a="1"/>
  <c r="AC9" i="9" s="1"/>
  <c r="AD9" i="9" a="1"/>
  <c r="AD9" i="9" s="1"/>
  <c r="AE9" i="9" a="1"/>
  <c r="AE9" i="9" s="1"/>
  <c r="AF9" i="9" a="1"/>
  <c r="AF9" i="9" s="1"/>
  <c r="W10" i="9" a="1"/>
  <c r="W10" i="9" s="1"/>
  <c r="X10" i="9" a="1"/>
  <c r="X10" i="9" s="1"/>
  <c r="Y10" i="9" a="1"/>
  <c r="Y10" i="9" s="1"/>
  <c r="Z10" i="9" a="1"/>
  <c r="Z10" i="9" s="1"/>
  <c r="AA10" i="9" a="1"/>
  <c r="AA10" i="9" s="1"/>
  <c r="AB10" i="9" a="1"/>
  <c r="AB10" i="9" s="1"/>
  <c r="AC10" i="9" a="1"/>
  <c r="AC10" i="9" s="1"/>
  <c r="AD10" i="9" a="1"/>
  <c r="AD10" i="9" s="1"/>
  <c r="AE10" i="9" a="1"/>
  <c r="AE10" i="9" s="1"/>
  <c r="AF10" i="9" a="1"/>
  <c r="AF10" i="9" s="1"/>
  <c r="W11" i="9" a="1"/>
  <c r="W11" i="9" s="1"/>
  <c r="X11" i="9" a="1"/>
  <c r="X11" i="9" s="1"/>
  <c r="Y11" i="9" a="1"/>
  <c r="Y11" i="9" s="1"/>
  <c r="Z11" i="9" a="1"/>
  <c r="Z11" i="9" s="1"/>
  <c r="AA11" i="9" a="1"/>
  <c r="AA11" i="9" s="1"/>
  <c r="AB11" i="9" a="1"/>
  <c r="AB11" i="9" s="1"/>
  <c r="AC11" i="9" a="1"/>
  <c r="AC11" i="9" s="1"/>
  <c r="AD11" i="9" a="1"/>
  <c r="AD11" i="9" s="1"/>
  <c r="AE11" i="9" a="1"/>
  <c r="AE11" i="9" s="1"/>
  <c r="AF11" i="9" a="1"/>
  <c r="AF11" i="9" s="1"/>
  <c r="W12" i="9" a="1"/>
  <c r="W12" i="9" s="1"/>
  <c r="X12" i="9" a="1"/>
  <c r="X12" i="9" s="1"/>
  <c r="Y12" i="9" a="1"/>
  <c r="Y12" i="9" s="1"/>
  <c r="Z12" i="9" a="1"/>
  <c r="Z12" i="9" s="1"/>
  <c r="AA12" i="9" a="1"/>
  <c r="AA12" i="9" s="1"/>
  <c r="AB12" i="9" a="1"/>
  <c r="AB12" i="9" s="1"/>
  <c r="AC12" i="9" a="1"/>
  <c r="AC12" i="9" s="1"/>
  <c r="AD12" i="9" a="1"/>
  <c r="AD12" i="9" s="1"/>
  <c r="AE12" i="9" a="1"/>
  <c r="AE12" i="9" s="1"/>
  <c r="AF12" i="9" a="1"/>
  <c r="AF12" i="9" s="1"/>
  <c r="W13" i="9" a="1"/>
  <c r="W13" i="9" s="1"/>
  <c r="X13" i="9" a="1"/>
  <c r="X13" i="9" s="1"/>
  <c r="Y13" i="9" a="1"/>
  <c r="Y13" i="9" s="1"/>
  <c r="Z13" i="9" a="1"/>
  <c r="Z13" i="9" s="1"/>
  <c r="AA13" i="9" a="1"/>
  <c r="AA13" i="9" s="1"/>
  <c r="AB13" i="9" a="1"/>
  <c r="AB13" i="9" s="1"/>
  <c r="AC13" i="9" a="1"/>
  <c r="AC13" i="9" s="1"/>
  <c r="AD13" i="9" a="1"/>
  <c r="AD13" i="9" s="1"/>
  <c r="AE13" i="9" a="1"/>
  <c r="AE13" i="9" s="1"/>
  <c r="AF13" i="9" a="1"/>
  <c r="AF13" i="9" s="1"/>
  <c r="W14" i="9" a="1"/>
  <c r="W14" i="9" s="1"/>
  <c r="X14" i="9" a="1"/>
  <c r="X14" i="9" s="1"/>
  <c r="Y14" i="9" a="1"/>
  <c r="Y14" i="9" s="1"/>
  <c r="Z14" i="9" a="1"/>
  <c r="Z14" i="9" s="1"/>
  <c r="AA14" i="9" a="1"/>
  <c r="AA14" i="9" s="1"/>
  <c r="AB14" i="9" a="1"/>
  <c r="AB14" i="9" s="1"/>
  <c r="AC14" i="9" a="1"/>
  <c r="AC14" i="9" s="1"/>
  <c r="AD14" i="9" a="1"/>
  <c r="AD14" i="9" s="1"/>
  <c r="AE14" i="9" a="1"/>
  <c r="AE14" i="9" s="1"/>
  <c r="AF14" i="9" a="1"/>
  <c r="AF14" i="9" s="1"/>
  <c r="W15" i="9" a="1"/>
  <c r="W15" i="9" s="1"/>
  <c r="X15" i="9" a="1"/>
  <c r="X15" i="9" s="1"/>
  <c r="Y15" i="9" a="1"/>
  <c r="Y15" i="9" s="1"/>
  <c r="Z15" i="9" a="1"/>
  <c r="Z15" i="9" s="1"/>
  <c r="AA15" i="9" a="1"/>
  <c r="AA15" i="9" s="1"/>
  <c r="AB15" i="9" a="1"/>
  <c r="AB15" i="9" s="1"/>
  <c r="AC15" i="9" a="1"/>
  <c r="AC15" i="9" s="1"/>
  <c r="AD15" i="9" a="1"/>
  <c r="AD15" i="9" s="1"/>
  <c r="AE15" i="9" a="1"/>
  <c r="AE15" i="9" s="1"/>
  <c r="AF15" i="9" a="1"/>
  <c r="AF15" i="9" s="1"/>
  <c r="AG5" i="9" a="1"/>
  <c r="AG5" i="9" s="1"/>
  <c r="AD16" i="9" l="1"/>
  <c r="AD17" i="9" s="1"/>
  <c r="X16" i="9"/>
  <c r="X17" i="9" s="1"/>
  <c r="AF16" i="9"/>
  <c r="AF17" i="9" s="1"/>
  <c r="Z16" i="9"/>
  <c r="Z17" i="9" s="1"/>
  <c r="AB16" i="9"/>
  <c r="AB17" i="9" s="1"/>
  <c r="AE16" i="9"/>
  <c r="AE17" i="9" s="1"/>
  <c r="W16" i="9"/>
  <c r="W17" i="9" s="1"/>
  <c r="Y16" i="9"/>
  <c r="Y17" i="9" s="1"/>
  <c r="AA16" i="9"/>
  <c r="AA17" i="9" s="1"/>
  <c r="AC16" i="9"/>
  <c r="AC17" i="9" s="1"/>
  <c r="S14" i="9"/>
  <c r="AG15" i="9" a="1"/>
  <c r="AG15" i="9" s="1"/>
  <c r="V15" i="9" a="1"/>
  <c r="V15" i="9" s="1"/>
  <c r="U15" i="9" a="1"/>
  <c r="U15" i="9" s="1"/>
  <c r="T15" i="9" a="1"/>
  <c r="T15" i="9" s="1"/>
  <c r="S15" i="9" a="1"/>
  <c r="S15" i="9" s="1"/>
  <c r="R15" i="9" a="1"/>
  <c r="R15" i="9" s="1"/>
  <c r="Q15" i="9" a="1"/>
  <c r="Q15" i="9" s="1"/>
  <c r="P15" i="9" a="1"/>
  <c r="P15" i="9" s="1"/>
  <c r="O15" i="9" a="1"/>
  <c r="O15" i="9" s="1"/>
  <c r="N15" i="9" a="1"/>
  <c r="N15" i="9" s="1"/>
  <c r="M15" i="9" a="1"/>
  <c r="M15" i="9" s="1"/>
  <c r="L15" i="9" a="1"/>
  <c r="L15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AG14" i="9" a="1"/>
  <c r="AG14" i="9" s="1"/>
  <c r="V14" i="9" a="1"/>
  <c r="V14" i="9" s="1"/>
  <c r="U14" i="9" a="1"/>
  <c r="U14" i="9" s="1"/>
  <c r="T14" i="9" a="1"/>
  <c r="T14" i="9" s="1"/>
  <c r="R14" i="9" a="1"/>
  <c r="R14" i="9" s="1"/>
  <c r="Q14" i="9" a="1"/>
  <c r="Q14" i="9" s="1"/>
  <c r="P14" i="9" a="1"/>
  <c r="P14" i="9" s="1"/>
  <c r="O14" i="9" a="1"/>
  <c r="O14" i="9" s="1"/>
  <c r="N14" i="9" a="1"/>
  <c r="N14" i="9" s="1"/>
  <c r="M14" i="9" a="1"/>
  <c r="M14" i="9" s="1"/>
  <c r="L14" i="9" a="1"/>
  <c r="L14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AG13" i="9" a="1"/>
  <c r="AG13" i="9" s="1"/>
  <c r="V13" i="9" a="1"/>
  <c r="V13" i="9" s="1"/>
  <c r="U13" i="9" a="1"/>
  <c r="U13" i="9" s="1"/>
  <c r="T13" i="9" a="1"/>
  <c r="T13" i="9" s="1"/>
  <c r="S13" i="9" a="1"/>
  <c r="S13" i="9" s="1"/>
  <c r="R13" i="9" a="1"/>
  <c r="R13" i="9" s="1"/>
  <c r="Q13" i="9" a="1"/>
  <c r="Q13" i="9" s="1"/>
  <c r="P13" i="9" a="1"/>
  <c r="P13" i="9" s="1"/>
  <c r="O13" i="9" a="1"/>
  <c r="O13" i="9" s="1"/>
  <c r="N13" i="9" a="1"/>
  <c r="N13" i="9" s="1"/>
  <c r="M13" i="9" a="1"/>
  <c r="M13" i="9" s="1"/>
  <c r="L13" i="9" a="1"/>
  <c r="L13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AG12" i="9" a="1"/>
  <c r="AG12" i="9" s="1"/>
  <c r="V12" i="9" a="1"/>
  <c r="V12" i="9" s="1"/>
  <c r="U12" i="9" a="1"/>
  <c r="U12" i="9" s="1"/>
  <c r="T12" i="9" a="1"/>
  <c r="T12" i="9" s="1"/>
  <c r="S12" i="9" a="1"/>
  <c r="S12" i="9" s="1"/>
  <c r="R12" i="9" a="1"/>
  <c r="R12" i="9" s="1"/>
  <c r="Q12" i="9" a="1"/>
  <c r="Q12" i="9" s="1"/>
  <c r="P12" i="9" a="1"/>
  <c r="P12" i="9" s="1"/>
  <c r="O12" i="9" a="1"/>
  <c r="O12" i="9" s="1"/>
  <c r="N12" i="9" a="1"/>
  <c r="N12" i="9" s="1"/>
  <c r="M12" i="9" a="1"/>
  <c r="M12" i="9" s="1"/>
  <c r="L12" i="9" a="1"/>
  <c r="L12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AG11" i="9" a="1"/>
  <c r="AG11" i="9" s="1"/>
  <c r="V11" i="9" a="1"/>
  <c r="V11" i="9" s="1"/>
  <c r="U11" i="9" a="1"/>
  <c r="U11" i="9" s="1"/>
  <c r="T11" i="9" a="1"/>
  <c r="T11" i="9" s="1"/>
  <c r="S11" i="9" a="1"/>
  <c r="S11" i="9" s="1"/>
  <c r="R11" i="9" a="1"/>
  <c r="R11" i="9" s="1"/>
  <c r="Q11" i="9" a="1"/>
  <c r="Q11" i="9" s="1"/>
  <c r="P11" i="9" a="1"/>
  <c r="P11" i="9" s="1"/>
  <c r="O11" i="9" a="1"/>
  <c r="O11" i="9" s="1"/>
  <c r="N11" i="9" a="1"/>
  <c r="N11" i="9" s="1"/>
  <c r="M11" i="9" a="1"/>
  <c r="M11" i="9" s="1"/>
  <c r="L11" i="9" a="1"/>
  <c r="L11" i="9" s="1"/>
  <c r="K11" i="9" a="1"/>
  <c r="K11" i="9" s="1"/>
  <c r="J11" i="9" a="1"/>
  <c r="J11" i="9" s="1"/>
  <c r="I11" i="9" a="1"/>
  <c r="I11" i="9" s="1"/>
  <c r="H11" i="9" a="1"/>
  <c r="H11" i="9" s="1"/>
  <c r="G11" i="9" a="1"/>
  <c r="G11" i="9" s="1"/>
  <c r="F11" i="9" a="1"/>
  <c r="F11" i="9" s="1"/>
  <c r="E11" i="9" a="1"/>
  <c r="E11" i="9" s="1"/>
  <c r="D11" i="9" a="1"/>
  <c r="D11" i="9" s="1"/>
  <c r="C11" i="9" a="1"/>
  <c r="C11" i="9" s="1"/>
  <c r="AG10" i="9" a="1"/>
  <c r="AG10" i="9" s="1"/>
  <c r="V10" i="9" a="1"/>
  <c r="V10" i="9" s="1"/>
  <c r="U10" i="9" a="1"/>
  <c r="U10" i="9" s="1"/>
  <c r="T10" i="9" a="1"/>
  <c r="T10" i="9" s="1"/>
  <c r="S10" i="9" a="1"/>
  <c r="S10" i="9" s="1"/>
  <c r="R10" i="9" a="1"/>
  <c r="R10" i="9" s="1"/>
  <c r="Q10" i="9" a="1"/>
  <c r="Q10" i="9" s="1"/>
  <c r="P10" i="9" a="1"/>
  <c r="P10" i="9" s="1"/>
  <c r="O10" i="9" a="1"/>
  <c r="O10" i="9" s="1"/>
  <c r="N10" i="9" a="1"/>
  <c r="N10" i="9" s="1"/>
  <c r="M10" i="9" a="1"/>
  <c r="M10" i="9" s="1"/>
  <c r="L10" i="9" a="1"/>
  <c r="L10" i="9" s="1"/>
  <c r="K10" i="9" a="1"/>
  <c r="K10" i="9" s="1"/>
  <c r="J10" i="9" a="1"/>
  <c r="J10" i="9" s="1"/>
  <c r="I10" i="9" a="1"/>
  <c r="I10" i="9" s="1"/>
  <c r="H10" i="9" a="1"/>
  <c r="H10" i="9" s="1"/>
  <c r="G10" i="9" a="1"/>
  <c r="G10" i="9" s="1"/>
  <c r="F10" i="9" a="1"/>
  <c r="F10" i="9" s="1"/>
  <c r="E10" i="9" a="1"/>
  <c r="E10" i="9" s="1"/>
  <c r="D10" i="9" a="1"/>
  <c r="D10" i="9" s="1"/>
  <c r="C10" i="9" a="1"/>
  <c r="C10" i="9" s="1"/>
  <c r="AG9" i="9" a="1"/>
  <c r="AG9" i="9" s="1"/>
  <c r="V9" i="9" a="1"/>
  <c r="V9" i="9" s="1"/>
  <c r="U9" i="9" a="1"/>
  <c r="U9" i="9" s="1"/>
  <c r="T9" i="9" a="1"/>
  <c r="T9" i="9" s="1"/>
  <c r="S9" i="9" a="1"/>
  <c r="S9" i="9" s="1"/>
  <c r="R9" i="9" a="1"/>
  <c r="R9" i="9" s="1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F9" i="9" a="1"/>
  <c r="F9" i="9" s="1"/>
  <c r="E9" i="9" a="1"/>
  <c r="E9" i="9" s="1"/>
  <c r="D9" i="9" a="1"/>
  <c r="D9" i="9" s="1"/>
  <c r="C9" i="9" a="1"/>
  <c r="C9" i="9" s="1"/>
  <c r="AG8" i="9" a="1"/>
  <c r="AG8" i="9" s="1"/>
  <c r="V8" i="9" a="1"/>
  <c r="V8" i="9" s="1"/>
  <c r="U8" i="9" a="1"/>
  <c r="U8" i="9" s="1"/>
  <c r="T8" i="9" a="1"/>
  <c r="T8" i="9" s="1"/>
  <c r="S8" i="9" a="1"/>
  <c r="S8" i="9" s="1"/>
  <c r="R8" i="9" a="1"/>
  <c r="R8" i="9" s="1"/>
  <c r="Q8" i="9" a="1"/>
  <c r="Q8" i="9" s="1"/>
  <c r="P8" i="9" a="1"/>
  <c r="P8" i="9" s="1"/>
  <c r="O8" i="9" a="1"/>
  <c r="O8" i="9" s="1"/>
  <c r="N8" i="9" a="1"/>
  <c r="N8" i="9" s="1"/>
  <c r="M8" i="9" a="1"/>
  <c r="M8" i="9" s="1"/>
  <c r="L8" i="9" a="1"/>
  <c r="L8" i="9" s="1"/>
  <c r="K8" i="9" a="1"/>
  <c r="K8" i="9" s="1"/>
  <c r="J8" i="9" a="1"/>
  <c r="J8" i="9" s="1"/>
  <c r="I8" i="9" a="1"/>
  <c r="I8" i="9" s="1"/>
  <c r="H8" i="9" a="1"/>
  <c r="H8" i="9" s="1"/>
  <c r="G8" i="9" a="1"/>
  <c r="G8" i="9" s="1"/>
  <c r="F8" i="9" a="1"/>
  <c r="F8" i="9" s="1"/>
  <c r="E8" i="9" a="1"/>
  <c r="E8" i="9" s="1"/>
  <c r="D8" i="9" a="1"/>
  <c r="D8" i="9" s="1"/>
  <c r="C8" i="9" a="1"/>
  <c r="C8" i="9" s="1"/>
  <c r="AG7" i="9" a="1"/>
  <c r="AG7" i="9" s="1"/>
  <c r="V7" i="9" a="1"/>
  <c r="V7" i="9" s="1"/>
  <c r="U7" i="9" a="1"/>
  <c r="U7" i="9" s="1"/>
  <c r="T7" i="9" a="1"/>
  <c r="T7" i="9" s="1"/>
  <c r="S7" i="9" a="1"/>
  <c r="S7" i="9" s="1"/>
  <c r="R7" i="9" a="1"/>
  <c r="R7" i="9" s="1"/>
  <c r="Q7" i="9" a="1"/>
  <c r="Q7" i="9" s="1"/>
  <c r="P7" i="9" a="1"/>
  <c r="P7" i="9" s="1"/>
  <c r="O7" i="9" a="1"/>
  <c r="O7" i="9" s="1"/>
  <c r="N7" i="9" a="1"/>
  <c r="N7" i="9" s="1"/>
  <c r="M7" i="9" a="1"/>
  <c r="M7" i="9" s="1"/>
  <c r="L7" i="9" a="1"/>
  <c r="L7" i="9" s="1"/>
  <c r="K7" i="9" a="1"/>
  <c r="K7" i="9" s="1"/>
  <c r="J7" i="9" a="1"/>
  <c r="J7" i="9" s="1"/>
  <c r="I7" i="9" a="1"/>
  <c r="I7" i="9" s="1"/>
  <c r="H7" i="9" a="1"/>
  <c r="H7" i="9" s="1"/>
  <c r="G7" i="9" a="1"/>
  <c r="G7" i="9" s="1"/>
  <c r="F7" i="9" a="1"/>
  <c r="F7" i="9" s="1"/>
  <c r="E7" i="9" a="1"/>
  <c r="E7" i="9" s="1"/>
  <c r="D7" i="9" a="1"/>
  <c r="D7" i="9" s="1"/>
  <c r="C7" i="9" a="1"/>
  <c r="C7" i="9" s="1"/>
  <c r="AG6" i="9" a="1"/>
  <c r="AG6" i="9" s="1"/>
  <c r="V6" i="9" a="1"/>
  <c r="V6" i="9" s="1"/>
  <c r="U6" i="9" a="1"/>
  <c r="U6" i="9" s="1"/>
  <c r="T6" i="9" a="1"/>
  <c r="T6" i="9" s="1"/>
  <c r="S6" i="9" a="1"/>
  <c r="S6" i="9" s="1"/>
  <c r="R6" i="9" a="1"/>
  <c r="R6" i="9" s="1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6" i="9" a="1"/>
  <c r="C6" i="9" s="1"/>
  <c r="C18" i="9"/>
  <c r="C32" i="9"/>
  <c r="V5" i="9" a="1"/>
  <c r="V5" i="9" s="1"/>
  <c r="U5" i="9" a="1"/>
  <c r="U5" i="9" s="1"/>
  <c r="T5" i="9" a="1"/>
  <c r="T5" i="9" s="1"/>
  <c r="S5" i="9" a="1"/>
  <c r="S5" i="9" s="1"/>
  <c r="R5" i="9" a="1"/>
  <c r="R5" i="9" s="1"/>
  <c r="Q5" i="9" a="1"/>
  <c r="Q5" i="9" s="1"/>
  <c r="P5" i="9" a="1"/>
  <c r="P5" i="9" s="1"/>
  <c r="O5" i="9" a="1"/>
  <c r="O5" i="9" s="1"/>
  <c r="N5" i="9" a="1"/>
  <c r="N5" i="9" s="1"/>
  <c r="M5" i="9" a="1"/>
  <c r="M5" i="9" s="1"/>
  <c r="L5" i="9" a="1"/>
  <c r="L5" i="9" s="1"/>
  <c r="K5" i="9" a="1"/>
  <c r="K5" i="9" s="1"/>
  <c r="J5" i="9" a="1"/>
  <c r="J5" i="9" s="1"/>
  <c r="I5" i="9" a="1"/>
  <c r="I5" i="9" s="1"/>
  <c r="H5" i="9" a="1"/>
  <c r="H5" i="9" s="1"/>
  <c r="G5" i="9" a="1"/>
  <c r="G5" i="9" s="1"/>
  <c r="F5" i="9" a="1"/>
  <c r="F5" i="9" s="1"/>
  <c r="E5" i="9" a="1"/>
  <c r="E5" i="9" s="1"/>
  <c r="D5" i="9" a="1"/>
  <c r="D5" i="9" s="1"/>
  <c r="C5" i="9" a="1"/>
  <c r="C5" i="9" s="1"/>
  <c r="P16" i="9" l="1"/>
  <c r="E16" i="9"/>
  <c r="I16" i="9"/>
  <c r="T16" i="9"/>
  <c r="M16" i="9"/>
  <c r="F16" i="9"/>
  <c r="F17" i="9" s="1"/>
  <c r="J16" i="9"/>
  <c r="J17" i="9" s="1"/>
  <c r="Q16" i="9"/>
  <c r="U16" i="9"/>
  <c r="G16" i="9"/>
  <c r="G17" i="9" s="1"/>
  <c r="N16" i="9"/>
  <c r="N17" i="9" s="1"/>
  <c r="R16" i="9"/>
  <c r="R17" i="9" s="1"/>
  <c r="V16" i="9"/>
  <c r="V17" i="9" s="1"/>
  <c r="AG16" i="9"/>
  <c r="AG17" i="9" s="1"/>
  <c r="D16" i="9"/>
  <c r="H16" i="9"/>
  <c r="L16" i="9"/>
  <c r="K16" i="9"/>
  <c r="O16" i="9"/>
  <c r="O17" i="9" s="1"/>
  <c r="S16" i="9"/>
  <c r="C16" i="9"/>
  <c r="C17" i="9" s="1"/>
  <c r="AH11" i="9"/>
  <c r="AH6" i="9"/>
  <c r="AH14" i="9"/>
  <c r="AH10" i="9"/>
  <c r="AH5" i="9"/>
  <c r="AF32" i="9"/>
  <c r="AE32" i="9"/>
  <c r="U32" i="9"/>
  <c r="S32" i="9"/>
  <c r="R32" i="9"/>
  <c r="Q32" i="9"/>
  <c r="O32" i="9"/>
  <c r="N32" i="9"/>
  <c r="M32" i="9"/>
  <c r="K32" i="9"/>
  <c r="J32" i="9"/>
  <c r="I32" i="9"/>
  <c r="G32" i="9"/>
  <c r="F32" i="9"/>
  <c r="AH32" i="9"/>
  <c r="AG32" i="9"/>
  <c r="T32" i="9"/>
  <c r="P32" i="9"/>
  <c r="L32" i="9"/>
  <c r="H32" i="9"/>
  <c r="D32" i="9"/>
  <c r="AG18" i="9"/>
  <c r="AF18" i="9"/>
  <c r="AE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AH13" i="9"/>
  <c r="AF2" i="9"/>
  <c r="AH12" i="9" l="1"/>
  <c r="AH15" i="9"/>
  <c r="AH8" i="9"/>
  <c r="AH7" i="9"/>
  <c r="AH9" i="9"/>
  <c r="S17" i="9"/>
  <c r="H17" i="9"/>
  <c r="L17" i="9"/>
  <c r="P17" i="9"/>
  <c r="T17" i="9"/>
  <c r="E17" i="9"/>
  <c r="I17" i="9"/>
  <c r="M17" i="9"/>
  <c r="Q17" i="9"/>
  <c r="U17" i="9"/>
  <c r="E32" i="9"/>
  <c r="D17" i="9"/>
  <c r="AH16" i="9" l="1"/>
  <c r="M16" i="1"/>
  <c r="AH17" i="9" l="1"/>
  <c r="C16" i="1"/>
  <c r="C17" i="1" s="1"/>
  <c r="V16" i="1" l="1"/>
  <c r="W16" i="1"/>
  <c r="W17" i="1" s="1"/>
  <c r="Q16" i="1" l="1"/>
  <c r="L16" i="2" l="1"/>
  <c r="V17" i="1" l="1"/>
  <c r="Y16" i="4"/>
  <c r="Y17" i="4" s="1"/>
  <c r="Z16" i="4"/>
  <c r="Z17" i="4" s="1"/>
  <c r="AA16" i="4"/>
  <c r="AA17" i="4" s="1"/>
  <c r="AB16" i="4"/>
  <c r="AB17" i="4" s="1"/>
  <c r="Y16" i="3"/>
  <c r="Y17" i="3" s="1"/>
  <c r="Z16" i="3"/>
  <c r="Z17" i="3" s="1"/>
  <c r="AA16" i="3"/>
  <c r="AA17" i="3" s="1"/>
  <c r="AB16" i="3"/>
  <c r="AB17" i="3" s="1"/>
  <c r="R16" i="2"/>
  <c r="R17" i="2" s="1"/>
  <c r="S16" i="2"/>
  <c r="S17" i="2" s="1"/>
  <c r="T16" i="2"/>
  <c r="T17" i="2" s="1"/>
  <c r="U16" i="2"/>
  <c r="U17" i="2" s="1"/>
  <c r="V16" i="2"/>
  <c r="W16" i="2"/>
  <c r="W17" i="2" s="1"/>
  <c r="V17" i="2" l="1"/>
  <c r="Q16" i="2"/>
  <c r="P16" i="2"/>
  <c r="O16" i="2"/>
  <c r="N16" i="2"/>
  <c r="M16" i="2"/>
  <c r="K16" i="2"/>
  <c r="J16" i="2"/>
  <c r="I16" i="2"/>
  <c r="H16" i="2"/>
  <c r="F16" i="2"/>
  <c r="E16" i="2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H16" i="3"/>
  <c r="G16" i="3"/>
  <c r="E16" i="3"/>
  <c r="D16" i="3"/>
  <c r="W16" i="4"/>
  <c r="V16" i="4"/>
  <c r="U16" i="4"/>
  <c r="T16" i="4"/>
  <c r="S16" i="4"/>
  <c r="R16" i="4"/>
  <c r="Q16" i="4"/>
  <c r="P16" i="4"/>
  <c r="O16" i="4"/>
  <c r="N16" i="4"/>
  <c r="M16" i="4"/>
  <c r="J16" i="4"/>
  <c r="G16" i="4"/>
  <c r="E16" i="4"/>
  <c r="D16" i="4"/>
  <c r="W16" i="5"/>
  <c r="V16" i="5"/>
  <c r="U16" i="5"/>
  <c r="T16" i="5"/>
  <c r="S16" i="5"/>
  <c r="R16" i="5"/>
  <c r="Q16" i="5"/>
  <c r="P16" i="5"/>
  <c r="O16" i="5"/>
  <c r="M16" i="5"/>
  <c r="L16" i="5"/>
  <c r="K16" i="5"/>
  <c r="J16" i="5"/>
  <c r="H16" i="5"/>
  <c r="D16" i="5"/>
  <c r="U16" i="1"/>
  <c r="T16" i="1"/>
  <c r="S16" i="1"/>
  <c r="R16" i="1"/>
  <c r="P16" i="1"/>
  <c r="O16" i="1"/>
  <c r="N16" i="1"/>
  <c r="L16" i="1"/>
  <c r="K16" i="1"/>
  <c r="J16" i="1"/>
  <c r="I16" i="1"/>
  <c r="H16" i="1"/>
  <c r="G16" i="1"/>
  <c r="F16" i="1"/>
  <c r="E16" i="1"/>
  <c r="D16" i="1"/>
  <c r="C16" i="2"/>
  <c r="C16" i="3"/>
  <c r="C16" i="4"/>
  <c r="AC16" i="2" l="1"/>
  <c r="AC16" i="5"/>
  <c r="AC16" i="3"/>
  <c r="AC16" i="1"/>
  <c r="K17" i="9"/>
  <c r="AH7" i="5" l="1"/>
  <c r="AH8" i="5"/>
  <c r="AH9" i="5"/>
  <c r="AH10" i="5"/>
  <c r="AH11" i="5"/>
  <c r="AH12" i="5"/>
  <c r="AH13" i="5"/>
  <c r="AH14" i="5"/>
  <c r="AH6" i="5"/>
  <c r="AE7" i="5" l="1"/>
  <c r="K17" i="2" l="1"/>
  <c r="W17" i="3"/>
  <c r="V17" i="3"/>
  <c r="U17" i="3"/>
  <c r="W17" i="4"/>
  <c r="V17" i="4"/>
  <c r="U17" i="4"/>
  <c r="T17" i="4"/>
  <c r="W17" i="5"/>
  <c r="V17" i="5"/>
  <c r="U17" i="5"/>
  <c r="U17" i="1"/>
  <c r="E17" i="1"/>
  <c r="H17" i="3" l="1"/>
  <c r="F17" i="3"/>
  <c r="F17" i="1"/>
  <c r="F17" i="5"/>
  <c r="F17" i="4"/>
  <c r="L17" i="4"/>
  <c r="H17" i="5"/>
  <c r="H17" i="4"/>
  <c r="H17" i="1"/>
  <c r="L17" i="2"/>
  <c r="G17" i="3"/>
  <c r="G17" i="1"/>
  <c r="G17" i="4"/>
  <c r="E17" i="3"/>
  <c r="AC34" i="5"/>
  <c r="AB34" i="5"/>
  <c r="AA34" i="5"/>
  <c r="Z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AB18" i="5"/>
  <c r="AA18" i="5"/>
  <c r="Z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T17" i="5"/>
  <c r="S17" i="5"/>
  <c r="K17" i="5"/>
  <c r="I17" i="5"/>
  <c r="AC34" i="4"/>
  <c r="AB34" i="4"/>
  <c r="AA34" i="4"/>
  <c r="Z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AB18" i="4"/>
  <c r="AA18" i="4"/>
  <c r="Z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K17" i="4"/>
  <c r="D17" i="4"/>
  <c r="AC34" i="3"/>
  <c r="AB34" i="3"/>
  <c r="AA34" i="3"/>
  <c r="Z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AB18" i="3"/>
  <c r="AA18" i="3"/>
  <c r="Z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T17" i="3"/>
  <c r="S17" i="3"/>
  <c r="P17" i="3"/>
  <c r="D17" i="3"/>
  <c r="AC34" i="2"/>
  <c r="AB34" i="2"/>
  <c r="AA34" i="2"/>
  <c r="Z34" i="2"/>
  <c r="W34" i="2"/>
  <c r="V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AB18" i="2"/>
  <c r="AA18" i="2"/>
  <c r="Z18" i="2"/>
  <c r="W18" i="2"/>
  <c r="V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P17" i="2"/>
  <c r="I17" i="2"/>
  <c r="D17" i="2"/>
  <c r="Q17" i="5" l="1"/>
  <c r="O17" i="5"/>
  <c r="J17" i="5"/>
  <c r="K17" i="3"/>
  <c r="P17" i="5"/>
  <c r="P17" i="4"/>
  <c r="O17" i="2"/>
  <c r="L17" i="5"/>
  <c r="J17" i="4"/>
  <c r="M17" i="5"/>
  <c r="R17" i="5"/>
  <c r="C17" i="3"/>
  <c r="M17" i="3"/>
  <c r="M17" i="2"/>
  <c r="S17" i="4"/>
  <c r="N17" i="2"/>
  <c r="I17" i="4"/>
  <c r="AC34" i="1"/>
  <c r="AB34" i="1"/>
  <c r="AA34" i="1"/>
  <c r="Z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AB18" i="1"/>
  <c r="AA18" i="1"/>
  <c r="Z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AE11" i="5"/>
  <c r="T17" i="1"/>
  <c r="S17" i="1"/>
  <c r="AZ9" i="9" l="1"/>
  <c r="AE14" i="5"/>
  <c r="AE12" i="5"/>
  <c r="AE15" i="5"/>
  <c r="AE9" i="5"/>
  <c r="AE10" i="5"/>
  <c r="AE8" i="5"/>
  <c r="AE6" i="5"/>
  <c r="J17" i="2"/>
  <c r="O17" i="4"/>
  <c r="Q17" i="4"/>
  <c r="Q17" i="3"/>
  <c r="Q17" i="2"/>
  <c r="J17" i="3"/>
  <c r="F17" i="2"/>
  <c r="J17" i="1"/>
  <c r="D17" i="5"/>
  <c r="L17" i="3"/>
  <c r="AE5" i="5"/>
  <c r="AF7" i="5" s="1"/>
  <c r="O17" i="3"/>
  <c r="H17" i="2"/>
  <c r="I17" i="3"/>
  <c r="M17" i="4"/>
  <c r="C17" i="4"/>
  <c r="R17" i="4"/>
  <c r="R17" i="3"/>
  <c r="C17" i="2"/>
  <c r="G17" i="2"/>
  <c r="E17" i="2"/>
  <c r="E17" i="4"/>
  <c r="N17" i="5"/>
  <c r="N17" i="4"/>
  <c r="N17" i="3"/>
  <c r="AC16" i="4"/>
  <c r="K17" i="1"/>
  <c r="AE13" i="5" l="1"/>
  <c r="AF13" i="5" s="1"/>
  <c r="Q17" i="1"/>
  <c r="O17" i="1"/>
  <c r="AI7" i="5"/>
  <c r="AJ7" i="5"/>
  <c r="AF11" i="5"/>
  <c r="AF8" i="5"/>
  <c r="AF12" i="5"/>
  <c r="AF15" i="5"/>
  <c r="AF9" i="5"/>
  <c r="AF6" i="5"/>
  <c r="AF10" i="5"/>
  <c r="AF14" i="5"/>
  <c r="P17" i="1"/>
  <c r="M17" i="1"/>
  <c r="AC17" i="5"/>
  <c r="AC17" i="4"/>
  <c r="AC17" i="3"/>
  <c r="AC17" i="2"/>
  <c r="L17" i="1"/>
  <c r="R17" i="1"/>
  <c r="I17" i="1"/>
  <c r="D17" i="1"/>
  <c r="N17" i="1"/>
  <c r="AE16" i="5" l="1"/>
  <c r="AE17" i="5" s="1"/>
  <c r="AJ6" i="5"/>
  <c r="AI6" i="5"/>
  <c r="AJ12" i="5"/>
  <c r="AI12" i="5"/>
  <c r="AJ13" i="5"/>
  <c r="AI13" i="5"/>
  <c r="AJ8" i="5"/>
  <c r="AI8" i="5"/>
  <c r="AJ14" i="5"/>
  <c r="AI14" i="5"/>
  <c r="AJ9" i="5"/>
  <c r="AI9" i="5"/>
  <c r="AJ10" i="5"/>
  <c r="AI10" i="5"/>
  <c r="AJ15" i="5"/>
  <c r="AI15" i="5"/>
  <c r="AJ11" i="5"/>
  <c r="AI11" i="5"/>
  <c r="AC17" i="1"/>
  <c r="AK7" i="5" l="1"/>
  <c r="AL7" i="5" s="1"/>
  <c r="AM7" i="5" s="1"/>
  <c r="AK13" i="5"/>
  <c r="AL13" i="5" s="1"/>
  <c r="AM13" i="5" s="1"/>
  <c r="AK6" i="5"/>
  <c r="AL6" i="5" s="1"/>
  <c r="AM6" i="5" s="1"/>
  <c r="AK9" i="5"/>
  <c r="AL9" i="5" s="1"/>
  <c r="AM9" i="5" s="1"/>
  <c r="AK11" i="5"/>
  <c r="AL11" i="5" s="1"/>
  <c r="AM11" i="5" s="1"/>
  <c r="AK12" i="5"/>
  <c r="AL12" i="5" s="1"/>
  <c r="AN12" i="5" s="1"/>
  <c r="AK8" i="5"/>
  <c r="AL8" i="5" s="1"/>
  <c r="AM8" i="5" s="1"/>
  <c r="AK15" i="5"/>
  <c r="AL15" i="5" s="1"/>
  <c r="AN15" i="5" s="1"/>
  <c r="AK14" i="5"/>
  <c r="AL14" i="5" s="1"/>
  <c r="AK10" i="5"/>
  <c r="AL10" i="5" s="1"/>
  <c r="AN7" i="5" l="1"/>
  <c r="AM15" i="5"/>
  <c r="AN11" i="5"/>
  <c r="AN13" i="5"/>
  <c r="AM12" i="5"/>
  <c r="AN6" i="5"/>
  <c r="AN8" i="5"/>
  <c r="AN9" i="5"/>
  <c r="AM10" i="5"/>
  <c r="AN10" i="5"/>
  <c r="AM14" i="5"/>
  <c r="AN14" i="5"/>
  <c r="C30" i="9" l="1"/>
  <c r="D30" i="9" s="1"/>
  <c r="E30" i="9" s="1"/>
  <c r="F30" i="9" s="1"/>
  <c r="G30" i="9" s="1"/>
  <c r="H30" i="9" s="1"/>
  <c r="I30" i="9" s="1"/>
  <c r="J30" i="9" s="1"/>
  <c r="K30" i="9" s="1"/>
  <c r="L30" i="9" s="1"/>
  <c r="M30" i="9" s="1"/>
  <c r="N30" i="9" s="1"/>
  <c r="O30" i="9" s="1"/>
  <c r="P30" i="9" s="1"/>
  <c r="Q30" i="9" s="1"/>
  <c r="R30" i="9" s="1"/>
  <c r="S30" i="9" s="1"/>
  <c r="T30" i="9" s="1"/>
  <c r="U30" i="9" s="1"/>
  <c r="V30" i="9" s="1"/>
  <c r="W30" i="9" s="1"/>
  <c r="X30" i="9" s="1"/>
  <c r="Y30" i="9" s="1"/>
  <c r="Z30" i="9" s="1"/>
  <c r="AA30" i="9" s="1"/>
  <c r="AB30" i="9" s="1"/>
  <c r="AC30" i="9" s="1"/>
  <c r="AD30" i="9" s="1"/>
  <c r="AE30" i="9" s="1"/>
  <c r="AF30" i="9" s="1"/>
  <c r="AG30" i="9" s="1"/>
  <c r="AH30" i="9" s="1"/>
  <c r="C32" i="5"/>
  <c r="C32" i="2"/>
  <c r="C32" i="4"/>
  <c r="C3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Teramoto</author>
  </authors>
  <commentList>
    <comment ref="AD5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Marcelo Teramoto:</t>
        </r>
        <r>
          <rPr>
            <sz val="9"/>
            <color indexed="81"/>
            <rFont val="Segoe UI"/>
            <family val="2"/>
          </rPr>
          <t xml:space="preserve">
Produção de Fevereiro (planilha marca conforme o dia e não o mês).</t>
        </r>
      </text>
    </comment>
  </commentList>
</comments>
</file>

<file path=xl/sharedStrings.xml><?xml version="1.0" encoding="utf-8"?>
<sst xmlns="http://schemas.openxmlformats.org/spreadsheetml/2006/main" count="257" uniqueCount="61">
  <si>
    <t>FALHAS DA BLINDAGEM - BODY MAKER UM-3</t>
  </si>
  <si>
    <t>TURNO:</t>
  </si>
  <si>
    <t>DIA</t>
  </si>
  <si>
    <t>TOTAL</t>
  </si>
  <si>
    <t>PRODUÇÃO</t>
  </si>
  <si>
    <t>FALHAS DA BODY MAKER</t>
  </si>
  <si>
    <t>CHAPA ABERTA</t>
  </si>
  <si>
    <t>CHAPA FECHADA</t>
  </si>
  <si>
    <t>BARRIGA</t>
  </si>
  <si>
    <t>DUAS CHAPAS</t>
  </si>
  <si>
    <t>RISCADA</t>
  </si>
  <si>
    <t>MANCHADA</t>
  </si>
  <si>
    <t>MONTAGEM / OUTROS</t>
  </si>
  <si>
    <t>TOTAL GERAL</t>
  </si>
  <si>
    <t>ppm</t>
  </si>
  <si>
    <t>Inspetor:</t>
  </si>
  <si>
    <t>Produção:</t>
  </si>
  <si>
    <t>Controle da Qualidade</t>
  </si>
  <si>
    <t>Data:</t>
  </si>
  <si>
    <t>Objetivo</t>
  </si>
  <si>
    <t>Data</t>
  </si>
  <si>
    <t>Ocorrências</t>
  </si>
  <si>
    <t>MÁQ. Nº: 1</t>
  </si>
  <si>
    <t>MÁQ. Nº: 5</t>
  </si>
  <si>
    <t>MÁQ. Nº: 4</t>
  </si>
  <si>
    <t>MÁQ. Nº: 3</t>
  </si>
  <si>
    <t>Falhas</t>
  </si>
  <si>
    <t>Resumo</t>
  </si>
  <si>
    <t>MAIOR</t>
  </si>
  <si>
    <t>CORRESP</t>
  </si>
  <si>
    <t>Calculo</t>
  </si>
  <si>
    <t>AMASSADO ALIMENTADOR</t>
  </si>
  <si>
    <t>AMASSADO 
MEIA-LUA</t>
  </si>
  <si>
    <t>AMASSADO FLANGER</t>
  </si>
  <si>
    <t>Planilhas Bloqueadas após fechamento do mês:</t>
  </si>
  <si>
    <t>Senhas: PANA.AAMM.CQ</t>
  </si>
  <si>
    <t>AA - Ano com 2 digitos</t>
  </si>
  <si>
    <t>MM - Mês com 2 dígitos</t>
  </si>
  <si>
    <t>FALHAS DA BLINDAGEM - BODY MAKER UM-3 - RESUMO</t>
  </si>
  <si>
    <t xml:space="preserve">   </t>
  </si>
  <si>
    <t>Visto CQ</t>
  </si>
  <si>
    <t>Visto Supervisor</t>
  </si>
  <si>
    <t>MÁQ. Nº: 2</t>
  </si>
  <si>
    <t xml:space="preserve"> </t>
  </si>
  <si>
    <t>Produção</t>
  </si>
  <si>
    <t>Máq. 1</t>
  </si>
  <si>
    <t>Máq. 2</t>
  </si>
  <si>
    <t>Máq. 3</t>
  </si>
  <si>
    <t>Máq. 4</t>
  </si>
  <si>
    <t>Máq. 5</t>
  </si>
  <si>
    <t>Total</t>
  </si>
  <si>
    <t>Maior</t>
  </si>
  <si>
    <t>Corresp</t>
  </si>
  <si>
    <t>Ac.</t>
  </si>
  <si>
    <t>Ac. %</t>
  </si>
  <si>
    <t>Tipo de Falha</t>
  </si>
  <si>
    <t>Ac</t>
  </si>
  <si>
    <t>Ac%</t>
  </si>
  <si>
    <t>Problemas</t>
  </si>
  <si>
    <t>Máqinas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</si>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</sst>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color rgb="FF000000"/>
      <name val="Segoe UI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51">
    <xf numFmtId="0" fontId="0" fillId="0" borderId="0" xfId="0"/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0" xfId="0" applyFont="1"/>
    <xf numFmtId="1" fontId="1" fillId="0" borderId="12" xfId="0" applyNumberFormat="1" applyFont="1" applyBorder="1" applyAlignment="1" applyProtection="1">
      <alignment horizontal="center" vertical="center" shrinkToFit="1"/>
      <protection locked="0"/>
    </xf>
    <xf numFmtId="1" fontId="1" fillId="0" borderId="13" xfId="0" applyNumberFormat="1" applyFont="1" applyBorder="1" applyAlignment="1" applyProtection="1">
      <alignment horizontal="center" vertical="center" shrinkToFit="1"/>
      <protection locked="0"/>
    </xf>
    <xf numFmtId="1" fontId="1" fillId="0" borderId="14" xfId="0" applyNumberFormat="1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>
      <alignment vertical="center"/>
    </xf>
    <xf numFmtId="1" fontId="4" fillId="0" borderId="17" xfId="0" applyNumberFormat="1" applyFont="1" applyBorder="1" applyAlignment="1" applyProtection="1">
      <alignment horizontal="center" vertical="center" shrinkToFit="1"/>
      <protection locked="0"/>
    </xf>
    <xf numFmtId="1" fontId="4" fillId="0" borderId="18" xfId="0" applyNumberFormat="1" applyFont="1" applyBorder="1" applyAlignment="1" applyProtection="1">
      <alignment horizontal="center" vertical="center" shrinkToFit="1"/>
      <protection locked="0"/>
    </xf>
    <xf numFmtId="1" fontId="4" fillId="0" borderId="19" xfId="0" applyNumberFormat="1" applyFont="1" applyBorder="1" applyAlignment="1" applyProtection="1">
      <alignment horizontal="center" vertical="center" shrinkToFit="1"/>
      <protection locked="0"/>
    </xf>
    <xf numFmtId="1" fontId="4" fillId="0" borderId="2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 shrinkToFit="1"/>
    </xf>
    <xf numFmtId="1" fontId="4" fillId="0" borderId="24" xfId="0" applyNumberFormat="1" applyFont="1" applyBorder="1" applyAlignment="1">
      <alignment horizontal="center" vertical="center" shrinkToFit="1"/>
    </xf>
    <xf numFmtId="1" fontId="4" fillId="0" borderId="26" xfId="0" applyNumberFormat="1" applyFont="1" applyBorder="1" applyAlignment="1">
      <alignment horizontal="center" vertical="center" shrinkToFit="1"/>
    </xf>
    <xf numFmtId="1" fontId="1" fillId="0" borderId="24" xfId="0" applyNumberFormat="1" applyFont="1" applyBorder="1" applyAlignment="1" applyProtection="1">
      <alignment horizontal="center" vertical="center" shrinkToFit="1"/>
      <protection locked="0"/>
    </xf>
    <xf numFmtId="1" fontId="1" fillId="0" borderId="25" xfId="0" applyNumberFormat="1" applyFont="1" applyBorder="1" applyAlignment="1" applyProtection="1">
      <alignment horizontal="center" vertical="center" shrinkToFit="1"/>
      <protection locked="0"/>
    </xf>
    <xf numFmtId="0" fontId="4" fillId="0" borderId="26" xfId="0" applyFont="1" applyBorder="1" applyAlignment="1">
      <alignment horizontal="center" vertical="center"/>
    </xf>
    <xf numFmtId="1" fontId="4" fillId="0" borderId="23" xfId="0" applyNumberFormat="1" applyFont="1" applyBorder="1" applyAlignment="1" applyProtection="1">
      <alignment horizontal="center" vertical="center" shrinkToFit="1"/>
      <protection locked="0"/>
    </xf>
    <xf numFmtId="1" fontId="4" fillId="0" borderId="24" xfId="0" applyNumberFormat="1" applyFont="1" applyBorder="1" applyAlignment="1" applyProtection="1">
      <alignment horizontal="center" vertical="center" shrinkToFit="1"/>
      <protection locked="0"/>
    </xf>
    <xf numFmtId="1" fontId="4" fillId="0" borderId="25" xfId="0" applyNumberFormat="1" applyFont="1" applyBorder="1" applyAlignment="1" applyProtection="1">
      <alignment horizontal="center" vertical="center" shrinkToFit="1"/>
      <protection locked="0"/>
    </xf>
    <xf numFmtId="1" fontId="1" fillId="0" borderId="30" xfId="0" applyNumberFormat="1" applyFont="1" applyBorder="1" applyAlignment="1" applyProtection="1">
      <alignment horizontal="center" vertical="center" shrinkToFit="1"/>
      <protection locked="0"/>
    </xf>
    <xf numFmtId="1" fontId="1" fillId="0" borderId="31" xfId="0" applyNumberFormat="1" applyFont="1" applyBorder="1" applyAlignment="1" applyProtection="1">
      <alignment horizontal="center" vertical="center" shrinkToFit="1"/>
      <protection locked="0"/>
    </xf>
    <xf numFmtId="0" fontId="4" fillId="0" borderId="32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shrinkToFit="1"/>
    </xf>
    <xf numFmtId="1" fontId="4" fillId="0" borderId="13" xfId="0" applyNumberFormat="1" applyFont="1" applyBorder="1" applyAlignment="1">
      <alignment horizontal="center" shrinkToFit="1"/>
    </xf>
    <xf numFmtId="1" fontId="4" fillId="0" borderId="14" xfId="0" applyNumberFormat="1" applyFont="1" applyBorder="1" applyAlignment="1">
      <alignment horizontal="center" shrinkToFit="1"/>
    </xf>
    <xf numFmtId="0" fontId="0" fillId="0" borderId="34" xfId="0" applyBorder="1"/>
    <xf numFmtId="0" fontId="0" fillId="0" borderId="0" xfId="0" applyAlignment="1">
      <alignment horizontal="centerContinuous" vertical="center"/>
    </xf>
    <xf numFmtId="0" fontId="0" fillId="0" borderId="0" xfId="0" applyAlignment="1">
      <alignment horizontal="right" vertical="center"/>
    </xf>
    <xf numFmtId="0" fontId="0" fillId="0" borderId="36" xfId="0" applyBorder="1" applyAlignment="1">
      <alignment horizontal="center" vertical="center"/>
    </xf>
    <xf numFmtId="0" fontId="7" fillId="0" borderId="37" xfId="0" applyFont="1" applyBorder="1" applyAlignment="1">
      <alignment horizontal="left" vertical="top"/>
    </xf>
    <xf numFmtId="0" fontId="1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shrinkToFit="1"/>
    </xf>
    <xf numFmtId="0" fontId="4" fillId="0" borderId="4" xfId="0" applyFont="1" applyBorder="1"/>
    <xf numFmtId="0" fontId="4" fillId="0" borderId="38" xfId="0" applyFont="1" applyBorder="1" applyAlignment="1">
      <alignment horizontal="center" shrinkToFit="1"/>
    </xf>
    <xf numFmtId="0" fontId="7" fillId="0" borderId="35" xfId="0" applyFont="1" applyBorder="1" applyAlignment="1">
      <alignment horizontal="left" vertical="center"/>
    </xf>
    <xf numFmtId="0" fontId="1" fillId="0" borderId="36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shrinkToFit="1"/>
    </xf>
    <xf numFmtId="0" fontId="4" fillId="0" borderId="36" xfId="0" applyFont="1" applyBorder="1"/>
    <xf numFmtId="0" fontId="4" fillId="0" borderId="39" xfId="0" applyFont="1" applyBorder="1" applyAlignment="1">
      <alignment horizontal="center" shrinkToFit="1"/>
    </xf>
    <xf numFmtId="0" fontId="6" fillId="0" borderId="0" xfId="0" applyFont="1" applyAlignment="1">
      <alignment horizontal="left" vertical="center"/>
    </xf>
    <xf numFmtId="0" fontId="7" fillId="0" borderId="24" xfId="0" applyFont="1" applyBorder="1" applyAlignment="1">
      <alignment horizontal="center"/>
    </xf>
    <xf numFmtId="0" fontId="0" fillId="0" borderId="24" xfId="0" applyBorder="1"/>
    <xf numFmtId="0" fontId="7" fillId="0" borderId="24" xfId="0" applyFont="1" applyBorder="1" applyAlignment="1">
      <alignment horizontal="center" vertical="center" textRotation="90"/>
    </xf>
    <xf numFmtId="0" fontId="0" fillId="0" borderId="24" xfId="0" applyBorder="1" applyAlignment="1" applyProtection="1">
      <alignment horizontal="center" textRotation="90"/>
      <protection locked="0"/>
    </xf>
    <xf numFmtId="0" fontId="0" fillId="0" borderId="24" xfId="0" applyBorder="1" applyAlignment="1" applyProtection="1">
      <alignment textRotation="90"/>
      <protection locked="0"/>
    </xf>
    <xf numFmtId="0" fontId="0" fillId="0" borderId="24" xfId="0" applyBorder="1" applyAlignment="1">
      <alignment textRotation="90"/>
    </xf>
    <xf numFmtId="0" fontId="0" fillId="0" borderId="0" xfId="0" applyAlignment="1">
      <alignment horizontal="center" vertical="center" wrapText="1"/>
    </xf>
    <xf numFmtId="0" fontId="0" fillId="0" borderId="34" xfId="0" applyBorder="1" applyAlignment="1">
      <alignment vertical="center"/>
    </xf>
    <xf numFmtId="0" fontId="1" fillId="0" borderId="0" xfId="0" applyFont="1" applyAlignment="1">
      <alignment wrapText="1"/>
    </xf>
    <xf numFmtId="1" fontId="4" fillId="0" borderId="17" xfId="0" applyNumberFormat="1" applyFont="1" applyBorder="1" applyAlignment="1">
      <alignment horizont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24" xfId="0" applyFont="1" applyBorder="1"/>
    <xf numFmtId="1" fontId="4" fillId="0" borderId="24" xfId="0" applyNumberFormat="1" applyFont="1" applyBorder="1" applyAlignment="1">
      <alignment vertical="center"/>
    </xf>
    <xf numFmtId="1" fontId="0" fillId="0" borderId="24" xfId="0" applyNumberFormat="1" applyBorder="1" applyAlignment="1" applyProtection="1">
      <alignment horizontal="center" vertical="center" shrinkToFit="1"/>
      <protection locked="0"/>
    </xf>
    <xf numFmtId="0" fontId="4" fillId="0" borderId="24" xfId="0" applyFont="1" applyBorder="1" applyAlignment="1">
      <alignment vertical="center"/>
    </xf>
    <xf numFmtId="0" fontId="4" fillId="0" borderId="6" xfId="0" applyFont="1" applyBorder="1" applyAlignment="1">
      <alignment horizontal="left" vertical="center" wrapText="1"/>
    </xf>
    <xf numFmtId="0" fontId="4" fillId="0" borderId="22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/>
    </xf>
    <xf numFmtId="1" fontId="4" fillId="0" borderId="24" xfId="0" applyNumberFormat="1" applyFont="1" applyBorder="1" applyAlignment="1">
      <alignment horizontal="right" vertical="center"/>
    </xf>
    <xf numFmtId="0" fontId="4" fillId="0" borderId="28" xfId="0" applyFont="1" applyBorder="1" applyAlignment="1">
      <alignment horizontal="left" vertical="center" wrapText="1"/>
    </xf>
    <xf numFmtId="1" fontId="1" fillId="0" borderId="29" xfId="0" applyNumberFormat="1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horizontal="center"/>
    </xf>
    <xf numFmtId="0" fontId="0" fillId="0" borderId="40" xfId="0" applyBorder="1" applyAlignment="1">
      <alignment horizontal="center" vertical="center"/>
    </xf>
    <xf numFmtId="1" fontId="4" fillId="0" borderId="41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/>
    </xf>
    <xf numFmtId="0" fontId="9" fillId="2" borderId="0" xfId="1" applyFont="1" applyFill="1"/>
    <xf numFmtId="0" fontId="1" fillId="2" borderId="0" xfId="1" applyFill="1"/>
    <xf numFmtId="0" fontId="10" fillId="2" borderId="0" xfId="1" applyFont="1" applyFill="1"/>
    <xf numFmtId="0" fontId="11" fillId="2" borderId="0" xfId="1" applyFont="1" applyFill="1"/>
    <xf numFmtId="1" fontId="4" fillId="0" borderId="30" xfId="0" applyNumberFormat="1" applyFont="1" applyBorder="1" applyAlignment="1" applyProtection="1">
      <alignment horizontal="center" vertical="center" shrinkToFit="1"/>
      <protection locked="0"/>
    </xf>
    <xf numFmtId="1" fontId="0" fillId="0" borderId="13" xfId="0" applyNumberFormat="1" applyBorder="1" applyAlignment="1" applyProtection="1">
      <alignment horizontal="center" vertical="center" shrinkToFit="1"/>
      <protection locked="0"/>
    </xf>
    <xf numFmtId="1" fontId="4" fillId="0" borderId="31" xfId="0" applyNumberFormat="1" applyFont="1" applyBorder="1" applyAlignment="1" applyProtection="1">
      <alignment horizontal="center" vertical="center" shrinkToFit="1"/>
      <protection locked="0"/>
    </xf>
    <xf numFmtId="0" fontId="4" fillId="0" borderId="29" xfId="0" quotePrefix="1" applyFont="1" applyBorder="1" applyAlignment="1">
      <alignment horizontal="center" vertical="center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1" fontId="4" fillId="0" borderId="29" xfId="0" applyNumberFormat="1" applyFont="1" applyBorder="1" applyAlignment="1" applyProtection="1">
      <alignment horizontal="center" vertical="center" shrinkToFit="1"/>
      <protection locked="0"/>
    </xf>
    <xf numFmtId="1" fontId="0" fillId="0" borderId="12" xfId="0" applyNumberFormat="1" applyBorder="1" applyAlignment="1" applyProtection="1">
      <alignment horizontal="center" vertical="center" shrinkToFit="1"/>
      <protection locked="0"/>
    </xf>
    <xf numFmtId="1" fontId="0" fillId="0" borderId="14" xfId="0" applyNumberFormat="1" applyBorder="1" applyAlignment="1" applyProtection="1">
      <alignment horizontal="center" vertical="center" shrinkToFit="1"/>
      <protection locked="0"/>
    </xf>
    <xf numFmtId="0" fontId="4" fillId="0" borderId="33" xfId="0" applyFont="1" applyBorder="1" applyAlignment="1">
      <alignment vertical="center"/>
    </xf>
    <xf numFmtId="0" fontId="4" fillId="0" borderId="24" xfId="0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shrinkToFit="1"/>
    </xf>
    <xf numFmtId="0" fontId="4" fillId="0" borderId="34" xfId="0" applyFont="1" applyBorder="1" applyAlignment="1">
      <alignment horizontal="center" shrinkToFit="1"/>
    </xf>
    <xf numFmtId="0" fontId="4" fillId="0" borderId="18" xfId="0" applyFont="1" applyBorder="1" applyAlignment="1">
      <alignment horizontal="center" vertical="center" textRotation="90"/>
    </xf>
    <xf numFmtId="0" fontId="0" fillId="0" borderId="6" xfId="0" applyBorder="1"/>
    <xf numFmtId="0" fontId="4" fillId="0" borderId="13" xfId="0" applyFont="1" applyBorder="1" applyAlignment="1">
      <alignment horizontal="center" vertical="center" textRotation="90"/>
    </xf>
    <xf numFmtId="0" fontId="0" fillId="0" borderId="11" xfId="0" applyBorder="1"/>
    <xf numFmtId="1" fontId="1" fillId="0" borderId="12" xfId="0" applyNumberFormat="1" applyFont="1" applyBorder="1" applyAlignment="1">
      <alignment horizontal="center" vertical="center" shrinkToFit="1"/>
    </xf>
    <xf numFmtId="1" fontId="1" fillId="0" borderId="13" xfId="0" applyNumberFormat="1" applyFont="1" applyBorder="1" applyAlignment="1">
      <alignment horizontal="center" vertical="center" shrinkToFit="1"/>
    </xf>
    <xf numFmtId="1" fontId="4" fillId="0" borderId="17" xfId="0" applyNumberFormat="1" applyFont="1" applyBorder="1" applyAlignment="1">
      <alignment horizontal="center" vertical="center" shrinkToFit="1"/>
    </xf>
    <xf numFmtId="1" fontId="4" fillId="0" borderId="18" xfId="0" applyNumberFormat="1" applyFont="1" applyBorder="1" applyAlignment="1">
      <alignment horizontal="center" vertical="center" shrinkToFit="1"/>
    </xf>
    <xf numFmtId="1" fontId="1" fillId="0" borderId="24" xfId="0" applyNumberFormat="1" applyFon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" fontId="1" fillId="0" borderId="29" xfId="0" applyNumberFormat="1" applyFont="1" applyBorder="1" applyAlignment="1">
      <alignment horizontal="center" vertical="center" shrinkToFit="1"/>
    </xf>
    <xf numFmtId="1" fontId="1" fillId="0" borderId="30" xfId="0" applyNumberFormat="1" applyFont="1" applyBorder="1" applyAlignment="1">
      <alignment horizontal="center" vertical="center" shrinkToFit="1"/>
    </xf>
    <xf numFmtId="1" fontId="4" fillId="0" borderId="30" xfId="0" applyNumberFormat="1" applyFont="1" applyBorder="1" applyAlignment="1">
      <alignment horizontal="center" vertical="center" shrinkToFit="1"/>
    </xf>
    <xf numFmtId="1" fontId="5" fillId="0" borderId="30" xfId="0" applyNumberFormat="1" applyFont="1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textRotation="90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0" borderId="29" xfId="0" quotePrefix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3" fontId="0" fillId="0" borderId="0" xfId="0" applyNumberFormat="1"/>
    <xf numFmtId="0" fontId="0" fillId="0" borderId="0" xfId="0" applyAlignment="1">
      <alignment horizontal="center"/>
    </xf>
    <xf numFmtId="1" fontId="4" fillId="0" borderId="0" xfId="0" applyNumberFormat="1" applyFont="1" applyAlignment="1">
      <alignment vertical="center"/>
    </xf>
    <xf numFmtId="0" fontId="10" fillId="0" borderId="4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10" fillId="0" borderId="42" xfId="0" quotePrefix="1" applyFont="1" applyBorder="1" applyAlignment="1">
      <alignment horizontal="center" vertical="center" wrapText="1"/>
    </xf>
    <xf numFmtId="0" fontId="10" fillId="0" borderId="43" xfId="0" quotePrefix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 textRotation="90"/>
    </xf>
    <xf numFmtId="0" fontId="5" fillId="0" borderId="21" xfId="0" applyFont="1" applyBorder="1" applyAlignment="1">
      <alignment horizontal="center" vertical="center" textRotation="90"/>
    </xf>
    <xf numFmtId="0" fontId="1" fillId="0" borderId="27" xfId="0" applyFont="1" applyBorder="1" applyAlignment="1">
      <alignment horizontal="left" vertical="center"/>
    </xf>
    <xf numFmtId="0" fontId="1" fillId="0" borderId="28" xfId="0" applyFont="1" applyBorder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textRotation="90"/>
    </xf>
    <xf numFmtId="0" fontId="10" fillId="0" borderId="43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textRotation="90"/>
    </xf>
    <xf numFmtId="0" fontId="0" fillId="0" borderId="35" xfId="0" applyBorder="1" applyAlignment="1">
      <alignment horizontal="center" vertical="center" textRotation="90"/>
    </xf>
    <xf numFmtId="0" fontId="4" fillId="0" borderId="4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14319412521588E-2"/>
          <c:y val="4.2606620571498499E-2"/>
          <c:w val="0.85329684784994697"/>
          <c:h val="0.91729547818637946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1'!$C$17:$AB$17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1-418F-8114-F3D06939B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07528"/>
        <c:axId val="169254656"/>
      </c:lineChart>
      <c:scatterChart>
        <c:scatterStyle val="lineMarker"/>
        <c:varyColors val="0"/>
        <c:ser>
          <c:idx val="0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1'!$C$32:$AB$32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41-418F-8114-F3D06939B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06816"/>
        <c:axId val="224107600"/>
      </c:scatterChart>
      <c:catAx>
        <c:axId val="223507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69254656"/>
        <c:crosses val="autoZero"/>
        <c:auto val="1"/>
        <c:lblAlgn val="ctr"/>
        <c:lblOffset val="100"/>
        <c:noMultiLvlLbl val="0"/>
      </c:catAx>
      <c:valAx>
        <c:axId val="169254656"/>
        <c:scaling>
          <c:orientation val="minMax"/>
          <c:max val="15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507528"/>
        <c:crosses val="autoZero"/>
        <c:crossBetween val="between"/>
        <c:majorUnit val="250"/>
      </c:valAx>
      <c:valAx>
        <c:axId val="2241076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4106816"/>
        <c:crosses val="max"/>
        <c:crossBetween val="midCat"/>
      </c:valAx>
      <c:valAx>
        <c:axId val="22410681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410760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466431474600596E-2"/>
          <c:y val="4.2606620571498499E-2"/>
          <c:w val="0.85115169888261422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2'!$C$17:$AB$17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93-41A9-84E0-CA6A10C5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108776"/>
        <c:axId val="224106424"/>
      </c:lineChart>
      <c:scatterChart>
        <c:scatterStyle val="lineMarker"/>
        <c:varyColors val="0"/>
        <c:ser>
          <c:idx val="1"/>
          <c:order val="1"/>
          <c:tx>
            <c:strRef>
              <c:f>'Máq. 2'!$A$32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2'!$C$32:$AB$32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3-41A9-84E0-CA6A10C5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07208"/>
        <c:axId val="224107992"/>
      </c:scatterChart>
      <c:catAx>
        <c:axId val="224108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4106424"/>
        <c:crosses val="autoZero"/>
        <c:auto val="1"/>
        <c:lblAlgn val="ctr"/>
        <c:lblOffset val="100"/>
        <c:noMultiLvlLbl val="0"/>
      </c:catAx>
      <c:valAx>
        <c:axId val="224106424"/>
        <c:scaling>
          <c:orientation val="minMax"/>
          <c:max val="15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4108776"/>
        <c:crosses val="autoZero"/>
        <c:crossBetween val="between"/>
        <c:majorUnit val="250"/>
        <c:minorUnit val="50"/>
      </c:valAx>
      <c:valAx>
        <c:axId val="224107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4107208"/>
        <c:crosses val="max"/>
        <c:crossBetween val="midCat"/>
      </c:valAx>
      <c:valAx>
        <c:axId val="22410720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410799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778830031254605E-2"/>
          <c:y val="4.2606625907578646E-2"/>
          <c:w val="0.85151972528135855"/>
          <c:h val="0.91729547818637946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3'!$C$17:$Y$17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C-4540-910C-CF057F480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108384"/>
        <c:axId val="224109168"/>
      </c:lineChart>
      <c:scatterChart>
        <c:scatterStyle val="lineMarker"/>
        <c:varyColors val="0"/>
        <c:ser>
          <c:idx val="1"/>
          <c:order val="0"/>
          <c:tx>
            <c:strRef>
              <c:f>'Máq. 3'!$A$32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3'!$C$32:$AB$32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0C-4540-910C-CF057F480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53912"/>
        <c:axId val="225155872"/>
      </c:scatterChart>
      <c:catAx>
        <c:axId val="224108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4109168"/>
        <c:crosses val="autoZero"/>
        <c:auto val="1"/>
        <c:lblAlgn val="ctr"/>
        <c:lblOffset val="100"/>
        <c:noMultiLvlLbl val="0"/>
      </c:catAx>
      <c:valAx>
        <c:axId val="224109168"/>
        <c:scaling>
          <c:orientation val="minMax"/>
          <c:max val="15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4108384"/>
        <c:crosses val="autoZero"/>
        <c:crossBetween val="between"/>
        <c:majorUnit val="250"/>
      </c:valAx>
      <c:valAx>
        <c:axId val="2251558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5153912"/>
        <c:crosses val="max"/>
        <c:crossBetween val="midCat"/>
      </c:valAx>
      <c:valAx>
        <c:axId val="22515391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51558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534522313554141E-2"/>
          <c:y val="4.2606620571498499E-2"/>
          <c:w val="0.86207203315939851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4'!$C$17:$AB$17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A3-4288-A11F-F465A7B39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53128"/>
        <c:axId val="225152344"/>
      </c:lineChart>
      <c:scatterChart>
        <c:scatterStyle val="lineMarker"/>
        <c:varyColors val="0"/>
        <c:ser>
          <c:idx val="1"/>
          <c:order val="1"/>
          <c:tx>
            <c:strRef>
              <c:f>'Máq. 4'!$A$32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4'!$C$32:$AB$32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A3-4288-A11F-F465A7B39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51168"/>
        <c:axId val="225156264"/>
      </c:scatterChart>
      <c:catAx>
        <c:axId val="2251531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5152344"/>
        <c:crosses val="autoZero"/>
        <c:auto val="1"/>
        <c:lblAlgn val="ctr"/>
        <c:lblOffset val="100"/>
        <c:noMultiLvlLbl val="0"/>
      </c:catAx>
      <c:valAx>
        <c:axId val="225152344"/>
        <c:scaling>
          <c:orientation val="minMax"/>
          <c:max val="15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153128"/>
        <c:crosses val="autoZero"/>
        <c:crossBetween val="between"/>
        <c:majorUnit val="250"/>
      </c:valAx>
      <c:valAx>
        <c:axId val="2251562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5151168"/>
        <c:crosses val="max"/>
        <c:crossBetween val="midCat"/>
      </c:valAx>
      <c:valAx>
        <c:axId val="22515116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515626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770674321587146E-2"/>
          <c:y val="4.2606620571498499E-2"/>
          <c:w val="0.85640708795557285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'Máq. 5'!$C$17:$Y$17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487E-85B8-B04A3B171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48816"/>
        <c:axId val="225151560"/>
      </c:lineChart>
      <c:scatterChart>
        <c:scatterStyle val="lineMarker"/>
        <c:varyColors val="0"/>
        <c:ser>
          <c:idx val="1"/>
          <c:order val="1"/>
          <c:tx>
            <c:strRef>
              <c:f>'Máq. 5'!$A$32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'Máq. 5'!$C$32:$AB$32</c:f>
              <c:numCache>
                <c:formatCode>General</c:formatCode>
                <c:ptCount val="26"/>
                <c:pt idx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C-487E-85B8-B04A3B171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51952"/>
        <c:axId val="225152736"/>
      </c:scatterChart>
      <c:catAx>
        <c:axId val="2251488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5151560"/>
        <c:crosses val="autoZero"/>
        <c:auto val="1"/>
        <c:lblAlgn val="ctr"/>
        <c:lblOffset val="100"/>
        <c:noMultiLvlLbl val="0"/>
      </c:catAx>
      <c:valAx>
        <c:axId val="225151560"/>
        <c:scaling>
          <c:orientation val="minMax"/>
          <c:max val="15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148816"/>
        <c:crosses val="autoZero"/>
        <c:crossBetween val="between"/>
        <c:majorUnit val="250"/>
      </c:valAx>
      <c:valAx>
        <c:axId val="2251527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5151952"/>
        <c:crosses val="max"/>
        <c:crossBetween val="midCat"/>
      </c:valAx>
      <c:valAx>
        <c:axId val="22515195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515273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190114919787884E-2"/>
          <c:y val="4.2606620571498499E-2"/>
          <c:w val="0.86398766382015657"/>
          <c:h val="0.91729547818637946"/>
        </c:manualLayout>
      </c:layout>
      <c:lineChart>
        <c:grouping val="standard"/>
        <c:varyColors val="0"/>
        <c:ser>
          <c:idx val="1"/>
          <c:order val="0"/>
          <c:tx>
            <c:strRef>
              <c:f>'Resumo Diário'!$A$30</c:f>
              <c:strCache>
                <c:ptCount val="1"/>
                <c:pt idx="0">
                  <c:v>Objetivo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'Resumo Diário'!$C$30:$AG$30</c:f>
              <c:numCache>
                <c:formatCode>General</c:formatCode>
                <c:ptCount val="3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800</c:v>
                </c:pt>
                <c:pt idx="3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F6-4BB2-944C-A5C774C3EDB1}"/>
            </c:ext>
          </c:extLst>
        </c:ser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'Resumo Diário'!$C$17:$AD$17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F6-4BB2-944C-A5C774C3E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150384"/>
        <c:axId val="225155480"/>
      </c:lineChart>
      <c:catAx>
        <c:axId val="225150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5155480"/>
        <c:crosses val="autoZero"/>
        <c:auto val="1"/>
        <c:lblAlgn val="ctr"/>
        <c:lblOffset val="100"/>
        <c:tickMarkSkip val="1"/>
        <c:noMultiLvlLbl val="0"/>
      </c:catAx>
      <c:valAx>
        <c:axId val="225155480"/>
        <c:scaling>
          <c:orientation val="minMax"/>
          <c:max val="2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150384"/>
        <c:crosses val="autoZero"/>
        <c:crossBetween val="between"/>
        <c:majorUnit val="25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Falhas da Blindagem UM-3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Diário'!$AW$5</c:f>
              <c:strCache>
                <c:ptCount val="1"/>
                <c:pt idx="0">
                  <c:v>ppm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45000"/>
                    <a:lumOff val="55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Diário'!$AV$7:$AV$15</c:f>
              <c:strCache>
                <c:ptCount val="9"/>
                <c:pt idx="0">
                  <c:v>AMASSADO ALIMENTADOR</c:v>
                </c:pt>
                <c:pt idx="1">
                  <c:v>AMASSADO ALIMENTADOR</c:v>
                </c:pt>
                <c:pt idx="2">
                  <c:v>AMASSADO ALIMENTADOR</c:v>
                </c:pt>
                <c:pt idx="3">
                  <c:v>AMASSADO ALIMENTADOR</c:v>
                </c:pt>
                <c:pt idx="4">
                  <c:v>AMASSADO ALIMENTADOR</c:v>
                </c:pt>
                <c:pt idx="5">
                  <c:v>AMASSADO ALIMENTADOR</c:v>
                </c:pt>
                <c:pt idx="6">
                  <c:v>AMASSADO ALIMENTADOR</c:v>
                </c:pt>
                <c:pt idx="7">
                  <c:v>AMASSADO ALIMENTADOR</c:v>
                </c:pt>
                <c:pt idx="8">
                  <c:v>AMASSADO ALIMENTADOR</c:v>
                </c:pt>
              </c:strCache>
            </c:strRef>
          </c:cat>
          <c:val>
            <c:numRef>
              <c:f>'Resumo Diário'!$AW$7:$AW$16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1-45A4-8E67-26BAEEE552C5}"/>
            </c:ext>
          </c:extLst>
        </c:ser>
        <c:ser>
          <c:idx val="1"/>
          <c:order val="1"/>
          <c:tx>
            <c:strRef>
              <c:f>'Resumo Diário'!$AZ$5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'Resumo Diário'!$AV$7:$AV$15</c:f>
              <c:strCache>
                <c:ptCount val="9"/>
                <c:pt idx="0">
                  <c:v>AMASSADO ALIMENTADOR</c:v>
                </c:pt>
                <c:pt idx="1">
                  <c:v>AMASSADO ALIMENTADOR</c:v>
                </c:pt>
                <c:pt idx="2">
                  <c:v>AMASSADO ALIMENTADOR</c:v>
                </c:pt>
                <c:pt idx="3">
                  <c:v>AMASSADO ALIMENTADOR</c:v>
                </c:pt>
                <c:pt idx="4">
                  <c:v>AMASSADO ALIMENTADOR</c:v>
                </c:pt>
                <c:pt idx="5">
                  <c:v>AMASSADO ALIMENTADOR</c:v>
                </c:pt>
                <c:pt idx="6">
                  <c:v>AMASSADO ALIMENTADOR</c:v>
                </c:pt>
                <c:pt idx="7">
                  <c:v>AMASSADO ALIMENTADOR</c:v>
                </c:pt>
                <c:pt idx="8">
                  <c:v>AMASSADO ALIMENTADOR</c:v>
                </c:pt>
              </c:strCache>
            </c:strRef>
          </c:cat>
          <c:val>
            <c:numRef>
              <c:f>'Resumo Diário'!$AZ$7:$AZ$15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B1-45A4-8E67-26BAEEE552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25150776"/>
        <c:axId val="225154304"/>
      </c:barChart>
      <c:lineChart>
        <c:grouping val="standard"/>
        <c:varyColors val="0"/>
        <c:ser>
          <c:idx val="2"/>
          <c:order val="2"/>
          <c:tx>
            <c:strRef>
              <c:f>'Resumo Diário'!$AY$5</c:f>
              <c:strCache>
                <c:ptCount val="1"/>
                <c:pt idx="0">
                  <c:v>Ac%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Diário'!$AV$7:$AV$16</c:f>
              <c:strCache>
                <c:ptCount val="10"/>
                <c:pt idx="0">
                  <c:v>AMASSADO ALIMENTADOR</c:v>
                </c:pt>
                <c:pt idx="1">
                  <c:v>AMASSADO ALIMENTADOR</c:v>
                </c:pt>
                <c:pt idx="2">
                  <c:v>AMASSADO ALIMENTADOR</c:v>
                </c:pt>
                <c:pt idx="3">
                  <c:v>AMASSADO ALIMENTADOR</c:v>
                </c:pt>
                <c:pt idx="4">
                  <c:v>AMASSADO ALIMENTADOR</c:v>
                </c:pt>
                <c:pt idx="5">
                  <c:v>AMASSADO ALIMENTADOR</c:v>
                </c:pt>
                <c:pt idx="6">
                  <c:v>AMASSADO ALIMENTADOR</c:v>
                </c:pt>
                <c:pt idx="7">
                  <c:v>AMASSADO ALIMENTADOR</c:v>
                </c:pt>
                <c:pt idx="8">
                  <c:v>AMASSADO ALIMENTADOR</c:v>
                </c:pt>
                <c:pt idx="9">
                  <c:v>AMASSADO ALIMENTADOR</c:v>
                </c:pt>
              </c:strCache>
            </c:strRef>
          </c:cat>
          <c:val>
            <c:numRef>
              <c:f>'Resumo Diário'!$AY$7:$AY$16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B1-45A4-8E67-26BAEEE55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55088"/>
        <c:axId val="225154696"/>
      </c:lineChart>
      <c:catAx>
        <c:axId val="225150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Tipo de Falha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5154304"/>
        <c:crosses val="autoZero"/>
        <c:auto val="1"/>
        <c:lblAlgn val="ctr"/>
        <c:lblOffset val="100"/>
        <c:noMultiLvlLbl val="0"/>
      </c:catAx>
      <c:valAx>
        <c:axId val="22515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5150776"/>
        <c:crosses val="autoZero"/>
        <c:crossBetween val="between"/>
      </c:valAx>
      <c:valAx>
        <c:axId val="2251546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5155088"/>
        <c:crosses val="max"/>
        <c:crossBetween val="between"/>
      </c:valAx>
      <c:catAx>
        <c:axId val="22515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5154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80314965" l="0.51181102362204722" r="0.51181102362204722" t="0.78740157480314965" header="0.31496062992125984" footer="0.31496062992125984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135164</xdr:colOff>
      <xdr:row>17</xdr:row>
      <xdr:rowOff>60325</xdr:rowOff>
    </xdr:from>
    <xdr:to>
      <xdr:col>29</xdr:col>
      <xdr:colOff>63953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276225</xdr:colOff>
          <xdr:row>1</xdr:row>
          <xdr:rowOff>219075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447675</xdr:colOff>
          <xdr:row>2</xdr:row>
          <xdr:rowOff>57150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0.95571</cdr:x>
      <cdr:y>0.44621</cdr:y>
    </cdr:from>
    <cdr:to>
      <cdr:x>0.98752</cdr:x>
      <cdr:y>0.74411</cdr:y>
    </cdr:to>
    <cdr:sp macro="" textlink="">
      <cdr:nvSpPr>
        <cdr:cNvPr id="2" name="Seta para baixo 1"/>
        <cdr:cNvSpPr/>
      </cdr:nvSpPr>
      <cdr:spPr>
        <a:xfrm xmlns:a="http://schemas.openxmlformats.org/drawingml/2006/main">
          <a:off x="18029011" y="2225675"/>
          <a:ext cx="600075" cy="148590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vert="vert270" anchor="ctr"/>
        <a:lstStyle xmlns:a="http://schemas.openxmlformats.org/drawingml/2006/main"/>
        <a:p xmlns:a="http://schemas.openxmlformats.org/drawingml/2006/main">
          <a:pPr algn="ctr"/>
          <a:r>
            <a:rPr lang="pt-BR" sz="2000" b="1"/>
            <a:t>MELHOR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41275</xdr:colOff>
      <xdr:row>17</xdr:row>
      <xdr:rowOff>41275</xdr:rowOff>
    </xdr:from>
    <xdr:to>
      <xdr:col>29</xdr:col>
      <xdr:colOff>228600</xdr:colOff>
      <xdr:row>26</xdr:row>
      <xdr:rowOff>361950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295275</xdr:colOff>
          <xdr:row>1</xdr:row>
          <xdr:rowOff>219075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0.94566</cdr:x>
      <cdr:y>0.43538</cdr:y>
    </cdr:from>
    <cdr:to>
      <cdr:x>0.97785</cdr:x>
      <cdr:y>0.74086</cdr:y>
    </cdr:to>
    <cdr:sp macro="" textlink="">
      <cdr:nvSpPr>
        <cdr:cNvPr id="3" name="Seta para baixo 2"/>
        <cdr:cNvSpPr/>
      </cdr:nvSpPr>
      <cdr:spPr>
        <a:xfrm xmlns:a="http://schemas.openxmlformats.org/drawingml/2006/main">
          <a:off x="17624425" y="2117725"/>
          <a:ext cx="600075" cy="148590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 b="1"/>
            <a:t>MELHOR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17</xdr:row>
      <xdr:rowOff>60325</xdr:rowOff>
    </xdr:from>
    <xdr:to>
      <xdr:col>29</xdr:col>
      <xdr:colOff>200025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295275</xdr:colOff>
          <xdr:row>1</xdr:row>
          <xdr:rowOff>200025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0.94668</cdr:x>
      <cdr:y>0.43794</cdr:y>
    </cdr:from>
    <cdr:to>
      <cdr:x>0.97888</cdr:x>
      <cdr:y>0.73584</cdr:y>
    </cdr:to>
    <cdr:sp macro="" textlink="">
      <cdr:nvSpPr>
        <cdr:cNvPr id="3" name="Seta para baixo 2"/>
        <cdr:cNvSpPr/>
      </cdr:nvSpPr>
      <cdr:spPr>
        <a:xfrm xmlns:a="http://schemas.openxmlformats.org/drawingml/2006/main">
          <a:off x="17643475" y="2184400"/>
          <a:ext cx="600075" cy="148590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 b="1"/>
            <a:t>MELHOR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17</xdr:row>
      <xdr:rowOff>60325</xdr:rowOff>
    </xdr:from>
    <xdr:to>
      <xdr:col>29</xdr:col>
      <xdr:colOff>200025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85725</xdr:rowOff>
        </xdr:from>
        <xdr:to>
          <xdr:col>22</xdr:col>
          <xdr:colOff>295275</xdr:colOff>
          <xdr:row>1</xdr:row>
          <xdr:rowOff>200025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219075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0.94566</cdr:x>
      <cdr:y>0.4513</cdr:y>
    </cdr:from>
    <cdr:to>
      <cdr:x>0.97785</cdr:x>
      <cdr:y>0.7492</cdr:y>
    </cdr:to>
    <cdr:sp macro="" textlink="">
      <cdr:nvSpPr>
        <cdr:cNvPr id="3" name="Seta para baixo 2"/>
        <cdr:cNvSpPr/>
      </cdr:nvSpPr>
      <cdr:spPr>
        <a:xfrm xmlns:a="http://schemas.openxmlformats.org/drawingml/2006/main">
          <a:off x="17624425" y="2251075"/>
          <a:ext cx="600075" cy="148590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 b="1"/>
            <a:t>MELHOR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17</xdr:row>
      <xdr:rowOff>60325</xdr:rowOff>
    </xdr:from>
    <xdr:to>
      <xdr:col>29</xdr:col>
      <xdr:colOff>200025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295275</xdr:colOff>
          <xdr:row>1</xdr:row>
          <xdr:rowOff>200025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  <xdr:twoCellAnchor>
    <xdr:from>
      <xdr:col>28</xdr:col>
      <xdr:colOff>304800</xdr:colOff>
      <xdr:row>21</xdr:row>
      <xdr:rowOff>238125</xdr:rowOff>
    </xdr:from>
    <xdr:to>
      <xdr:col>28</xdr:col>
      <xdr:colOff>904875</xdr:colOff>
      <xdr:row>24</xdr:row>
      <xdr:rowOff>209550</xdr:rowOff>
    </xdr:to>
    <xdr:sp macro="" textlink="">
      <xdr:nvSpPr>
        <xdr:cNvPr id="6" name="Seta para baix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7897475" y="8439150"/>
          <a:ext cx="600075" cy="1485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270" wrap="square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000" b="1"/>
            <a:t>MELHOR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17</xdr:row>
      <xdr:rowOff>60325</xdr:rowOff>
    </xdr:from>
    <xdr:to>
      <xdr:col>34</xdr:col>
      <xdr:colOff>200025</xdr:colOff>
      <xdr:row>27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0</xdr:row>
          <xdr:rowOff>95250</xdr:rowOff>
        </xdr:from>
        <xdr:to>
          <xdr:col>22</xdr:col>
          <xdr:colOff>295275</xdr:colOff>
          <xdr:row>1</xdr:row>
          <xdr:rowOff>200025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1</xdr:row>
          <xdr:rowOff>228600</xdr:rowOff>
        </xdr:from>
        <xdr:to>
          <xdr:col>22</xdr:col>
          <xdr:colOff>466725</xdr:colOff>
          <xdr:row>2</xdr:row>
          <xdr:rowOff>57150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NOTURNO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20</xdr:col>
      <xdr:colOff>0</xdr:colOff>
      <xdr:row>45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PUB\QUALIDADE\2015\2%20-%20Resultados\2.2%20-%20FALHAS\UM-1\ACABAMENTO\F-7.58%20Rev%2006%20-%20150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PUB\QUALIDADE\2015\2%20-%20Resultados\2.2%20-%20FALHAS\UM-3\ACABAMENTO\F-7.58%20Rev%2006-%20Shrink%20-%20150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UB\QUALIDADE\FY2021\(1)%20Quality%20Business%20Plan\1.3%20-%20Medi&#231;&#227;o%20e%20Monitoramento\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F-7.58 Rev 06 - D"/>
      <sheetName val="F-7.58 Rev 06 - N"/>
      <sheetName val="Resumo de Falhas"/>
      <sheetName val="Total por Defeito"/>
    </sheetNames>
    <sheetDataSet>
      <sheetData sheetId="0"/>
      <sheetData sheetId="1"/>
      <sheetData sheetId="2"/>
      <sheetData sheetId="3">
        <row r="1">
          <cell r="C1" t="str">
            <v>SH</v>
          </cell>
          <cell r="D1" t="str">
            <v>COL</v>
          </cell>
          <cell r="E1" t="str">
            <v>PH</v>
          </cell>
          <cell r="F1">
            <v>1250</v>
          </cell>
          <cell r="G1" t="str">
            <v>NHT</v>
          </cell>
          <cell r="H1" t="str">
            <v>NEO</v>
          </cell>
          <cell r="I1" t="str">
            <v>NP</v>
          </cell>
          <cell r="J1" t="str">
            <v>BIC</v>
          </cell>
          <cell r="K1" t="str">
            <v>GT</v>
          </cell>
          <cell r="L1" t="str">
            <v>SN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F-7.58 Rev 06 - D"/>
      <sheetName val="F-7.58 Rev 06 - N"/>
      <sheetName val="Resumo de Falhas"/>
      <sheetName val="Total por Defeito"/>
    </sheetNames>
    <sheetDataSet>
      <sheetData sheetId="0"/>
      <sheetData sheetId="1"/>
      <sheetData sheetId="2"/>
      <sheetData sheetId="3">
        <row r="1">
          <cell r="C1" t="str">
            <v>SH1</v>
          </cell>
          <cell r="D1" t="str">
            <v>SH2</v>
          </cell>
          <cell r="E1" t="str">
            <v>COL</v>
          </cell>
          <cell r="F1" t="str">
            <v>PH</v>
          </cell>
          <cell r="G1">
            <v>1215</v>
          </cell>
          <cell r="H1" t="str">
            <v>TSHB</v>
          </cell>
          <cell r="I1" t="str">
            <v>SN</v>
          </cell>
          <cell r="J1">
            <v>0</v>
          </cell>
          <cell r="K1">
            <v>0</v>
          </cell>
          <cell r="L1">
            <v>0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32">
          <cell r="Y32">
            <v>800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7"/>
  <dimension ref="B2:S39"/>
  <sheetViews>
    <sheetView zoomScaleNormal="100" workbookViewId="0">
      <selection activeCell="C4" sqref="C4"/>
    </sheetView>
  </sheetViews>
  <sheetFormatPr defaultRowHeight="12.75" x14ac:dyDescent="0.2"/>
  <cols>
    <col min="1" max="16384" width="9.140625" style="80"/>
  </cols>
  <sheetData>
    <row r="2" spans="2:19" ht="27" x14ac:dyDescent="0.35"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</row>
    <row r="7" spans="2:19" ht="18" x14ac:dyDescent="0.25">
      <c r="N7" s="81"/>
    </row>
    <row r="8" spans="2:19" ht="18" x14ac:dyDescent="0.25">
      <c r="N8" s="81"/>
    </row>
    <row r="9" spans="2:19" ht="18" x14ac:dyDescent="0.25">
      <c r="H9" s="81"/>
    </row>
    <row r="11" spans="2:19" ht="18" x14ac:dyDescent="0.25">
      <c r="H11" s="81"/>
      <c r="I11" s="81"/>
      <c r="K11" s="81"/>
      <c r="M11" s="81"/>
      <c r="N11" s="81"/>
      <c r="O11" s="81"/>
      <c r="P11" s="81"/>
      <c r="Q11" s="81"/>
      <c r="R11" s="81"/>
      <c r="S11" s="81"/>
    </row>
    <row r="12" spans="2:19" ht="18" x14ac:dyDescent="0.25"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</row>
    <row r="13" spans="2:19" ht="18" x14ac:dyDescent="0.25">
      <c r="B13" s="81"/>
      <c r="C13" s="81"/>
      <c r="D13" s="81"/>
      <c r="E13" s="81"/>
      <c r="F13" s="81"/>
      <c r="G13" s="81"/>
      <c r="H13" s="81"/>
      <c r="I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2:19" ht="18" x14ac:dyDescent="0.25"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2:19" ht="18" x14ac:dyDescent="0.25"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2:19" ht="18" x14ac:dyDescent="0.25"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</row>
    <row r="17" spans="2:14" ht="18" x14ac:dyDescent="0.25"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</row>
    <row r="18" spans="2:14" ht="18" x14ac:dyDescent="0.25"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</row>
    <row r="19" spans="2:14" ht="18" x14ac:dyDescent="0.25"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</row>
    <row r="20" spans="2:14" ht="18" x14ac:dyDescent="0.25"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</row>
    <row r="21" spans="2:14" ht="18" x14ac:dyDescent="0.25"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</row>
    <row r="22" spans="2:14" ht="18" x14ac:dyDescent="0.25"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</row>
    <row r="23" spans="2:14" ht="18" x14ac:dyDescent="0.25"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</row>
    <row r="24" spans="2:14" ht="18" x14ac:dyDescent="0.25"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</row>
    <row r="25" spans="2:14" ht="18" x14ac:dyDescent="0.25"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</row>
    <row r="35" spans="2:6" x14ac:dyDescent="0.2">
      <c r="B35" s="82" t="s">
        <v>34</v>
      </c>
      <c r="C35" s="82"/>
      <c r="D35" s="82"/>
      <c r="E35" s="82"/>
      <c r="F35" s="82"/>
    </row>
    <row r="36" spans="2:6" x14ac:dyDescent="0.2">
      <c r="B36" s="82" t="s">
        <v>35</v>
      </c>
      <c r="C36" s="82"/>
      <c r="D36" s="82"/>
      <c r="E36" s="82"/>
      <c r="F36" s="82"/>
    </row>
    <row r="37" spans="2:6" x14ac:dyDescent="0.2">
      <c r="B37" s="82"/>
      <c r="C37" s="82"/>
      <c r="D37" s="82"/>
      <c r="E37" s="82"/>
      <c r="F37" s="82"/>
    </row>
    <row r="38" spans="2:6" x14ac:dyDescent="0.2">
      <c r="B38" s="82" t="s">
        <v>36</v>
      </c>
      <c r="C38" s="82"/>
      <c r="D38" s="82"/>
      <c r="E38" s="82"/>
      <c r="F38" s="82"/>
    </row>
    <row r="39" spans="2:6" x14ac:dyDescent="0.2">
      <c r="B39" s="82" t="s">
        <v>37</v>
      </c>
      <c r="C39" s="82"/>
      <c r="D39" s="82"/>
      <c r="E39" s="82"/>
      <c r="F39" s="82"/>
    </row>
  </sheetData>
  <sheetProtection algorithmName="SHA-512" hashValue="Wxbq/mZYpTs0zQgu/VRlaVXbcbyvD0JtCZfoC1GGIxzBsqato6gdW2NAkurBQB1J8XzsPdacdABS9PW2UFsHGg==" saltValue="SHkeqUtg9Voa3fvrfB1K1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1:DK35"/>
  <sheetViews>
    <sheetView showZeros="0" topLeftCell="A19" zoomScaleNormal="100" zoomScaleSheetLayoutView="50" workbookViewId="0">
      <selection activeCell="W35" sqref="W35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6" width="9.28515625" customWidth="1"/>
    <col min="27" max="28" width="9.140625" customWidth="1"/>
    <col min="29" max="29" width="16.7109375" customWidth="1"/>
  </cols>
  <sheetData>
    <row r="1" spans="1:115" ht="13.5" thickBot="1" x14ac:dyDescent="0.25"/>
    <row r="2" spans="1:115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22</v>
      </c>
      <c r="Q2" s="131"/>
      <c r="R2" s="131"/>
      <c r="S2" s="59"/>
      <c r="T2" s="4" t="s">
        <v>1</v>
      </c>
      <c r="Z2" s="3"/>
      <c r="AA2" s="129" t="s">
        <v>60</v>
      </c>
      <c r="AB2" s="130"/>
      <c r="AC2" s="123" t="str">
        <f ca="1">RIGHT(LEFT(CELL("filename"),SEARCH(".xl",CELL("Filename"))-1),2)&amp;"/2022"</f>
        <v>03/2022</v>
      </c>
    </row>
    <row r="3" spans="1:115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89"/>
      <c r="AA3" s="89"/>
      <c r="AB3" s="89"/>
      <c r="AC3" s="39"/>
    </row>
    <row r="4" spans="1:115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8"/>
      <c r="AC4" s="8" t="s">
        <v>3</v>
      </c>
    </row>
    <row r="5" spans="1:115" s="13" customFormat="1" ht="30" customHeight="1" thickBot="1" x14ac:dyDescent="0.25">
      <c r="A5" s="134" t="s">
        <v>4</v>
      </c>
      <c r="B5" s="135"/>
      <c r="C5" s="92"/>
      <c r="D5" s="84"/>
      <c r="E5" s="84"/>
      <c r="F5" s="92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93"/>
      <c r="AC5" s="61">
        <f>SUM(C5:AB5)</f>
        <v>0</v>
      </c>
      <c r="DK5" s="13">
        <v>58</v>
      </c>
    </row>
    <row r="6" spans="1:115" s="13" customFormat="1" ht="30" customHeight="1" x14ac:dyDescent="0.2">
      <c r="A6" s="136" t="s">
        <v>5</v>
      </c>
      <c r="B6" s="66" t="s">
        <v>31</v>
      </c>
      <c r="C6" s="14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  <c r="AC6" s="17">
        <f t="shared" ref="AC6:AC15" si="0">SUM(C6:AB6)</f>
        <v>0</v>
      </c>
    </row>
    <row r="7" spans="1:115" s="13" customFormat="1" ht="30" customHeight="1" x14ac:dyDescent="0.2">
      <c r="A7" s="137"/>
      <c r="B7" s="67" t="s">
        <v>32</v>
      </c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6"/>
      <c r="AC7" s="20">
        <f t="shared" si="0"/>
        <v>0</v>
      </c>
    </row>
    <row r="8" spans="1:115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6"/>
      <c r="AC8" s="20">
        <f t="shared" si="0"/>
        <v>0</v>
      </c>
    </row>
    <row r="9" spans="1:115" s="13" customFormat="1" ht="30" customHeight="1" x14ac:dyDescent="0.2">
      <c r="A9" s="137"/>
      <c r="B9" s="67" t="s">
        <v>7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6"/>
      <c r="AC9" s="20">
        <f t="shared" si="0"/>
        <v>0</v>
      </c>
    </row>
    <row r="10" spans="1:115" s="13" customFormat="1" ht="30" customHeight="1" x14ac:dyDescent="0.2">
      <c r="A10" s="137"/>
      <c r="B10" s="67" t="s">
        <v>33</v>
      </c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6"/>
      <c r="AC10" s="20">
        <f t="shared" si="0"/>
        <v>0</v>
      </c>
    </row>
    <row r="11" spans="1:115" s="13" customFormat="1" ht="30" customHeight="1" x14ac:dyDescent="0.2">
      <c r="A11" s="137"/>
      <c r="B11" s="67" t="s">
        <v>8</v>
      </c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1"/>
      <c r="U11" s="21"/>
      <c r="V11" s="25"/>
      <c r="W11" s="25"/>
      <c r="X11" s="25"/>
      <c r="Y11" s="25"/>
      <c r="Z11" s="25"/>
      <c r="AA11" s="25"/>
      <c r="AB11" s="22"/>
      <c r="AC11" s="23">
        <f t="shared" si="0"/>
        <v>0</v>
      </c>
    </row>
    <row r="12" spans="1:115" s="13" customFormat="1" ht="30" customHeight="1" x14ac:dyDescent="0.2">
      <c r="A12" s="137"/>
      <c r="B12" s="67" t="s">
        <v>9</v>
      </c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6"/>
      <c r="AC12" s="23">
        <f t="shared" si="0"/>
        <v>0</v>
      </c>
    </row>
    <row r="13" spans="1:115" s="13" customFormat="1" ht="30" customHeight="1" x14ac:dyDescent="0.2">
      <c r="A13" s="137"/>
      <c r="B13" s="67" t="s">
        <v>10</v>
      </c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6"/>
      <c r="AC13" s="20">
        <f t="shared" si="0"/>
        <v>0</v>
      </c>
    </row>
    <row r="14" spans="1:115" s="13" customFormat="1" ht="30" customHeight="1" x14ac:dyDescent="0.2">
      <c r="A14" s="137"/>
      <c r="B14" s="70" t="s">
        <v>11</v>
      </c>
      <c r="C14" s="91"/>
      <c r="D14" s="83"/>
      <c r="E14" s="83"/>
      <c r="F14" s="83"/>
      <c r="G14" s="115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27"/>
      <c r="U14" s="27"/>
      <c r="V14" s="83"/>
      <c r="W14" s="83"/>
      <c r="X14" s="83"/>
      <c r="Y14" s="83"/>
      <c r="Z14" s="83"/>
      <c r="AA14" s="83"/>
      <c r="AB14" s="28"/>
      <c r="AC14" s="29">
        <f t="shared" si="0"/>
        <v>0</v>
      </c>
      <c r="AD14" s="94"/>
    </row>
    <row r="15" spans="1:115" s="13" customFormat="1" ht="30" customHeight="1" thickBot="1" x14ac:dyDescent="0.25">
      <c r="A15" s="138" t="s">
        <v>12</v>
      </c>
      <c r="B15" s="139"/>
      <c r="C15" s="116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27"/>
      <c r="V15" s="83"/>
      <c r="W15" s="83"/>
      <c r="X15" s="83"/>
      <c r="Y15" s="83"/>
      <c r="Z15" s="83"/>
      <c r="AA15" s="83"/>
      <c r="AB15" s="85"/>
      <c r="AC15" s="29">
        <f t="shared" si="0"/>
        <v>0</v>
      </c>
    </row>
    <row r="16" spans="1:115" s="13" customFormat="1" ht="30" customHeight="1" x14ac:dyDescent="0.2">
      <c r="A16" s="124" t="s">
        <v>13</v>
      </c>
      <c r="B16" s="140"/>
      <c r="C16" s="60">
        <f>SUM(C6:C15)</f>
        <v>0</v>
      </c>
      <c r="D16" s="30">
        <f t="shared" ref="D16:W16" si="1">SUM(D6:D15)</f>
        <v>0</v>
      </c>
      <c r="E16" s="30">
        <f t="shared" si="1"/>
        <v>0</v>
      </c>
      <c r="F16" s="30">
        <f t="shared" si="1"/>
        <v>0</v>
      </c>
      <c r="G16" s="30">
        <f>SUM(G6:G15)</f>
        <v>0</v>
      </c>
      <c r="H16" s="30">
        <f t="shared" si="1"/>
        <v>0</v>
      </c>
      <c r="I16" s="30">
        <f t="shared" si="1"/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>
        <f t="shared" si="1"/>
        <v>0</v>
      </c>
      <c r="P16" s="30">
        <f t="shared" si="1"/>
        <v>0</v>
      </c>
      <c r="Q16" s="30">
        <f t="shared" si="1"/>
        <v>0</v>
      </c>
      <c r="R16" s="30">
        <f t="shared" si="1"/>
        <v>0</v>
      </c>
      <c r="S16" s="30">
        <f t="shared" si="1"/>
        <v>0</v>
      </c>
      <c r="T16" s="30">
        <f t="shared" si="1"/>
        <v>0</v>
      </c>
      <c r="U16" s="30">
        <f t="shared" si="1"/>
        <v>0</v>
      </c>
      <c r="V16" s="30">
        <f t="shared" si="1"/>
        <v>0</v>
      </c>
      <c r="W16" s="30">
        <f t="shared" si="1"/>
        <v>0</v>
      </c>
      <c r="X16" s="30">
        <f>SUM(X6:X15)</f>
        <v>0</v>
      </c>
      <c r="Y16" s="30">
        <f>SUM(Y6:Y15)</f>
        <v>0</v>
      </c>
      <c r="Z16" s="30">
        <f>SUM(Z6:Z15)</f>
        <v>0</v>
      </c>
      <c r="AA16" s="30">
        <f>SUM(AA6:AA15)</f>
        <v>0</v>
      </c>
      <c r="AB16" s="30">
        <f>SUM(AB6:AB15)</f>
        <v>0</v>
      </c>
      <c r="AC16" s="17">
        <f>SUM(C16:AB16)</f>
        <v>0</v>
      </c>
    </row>
    <row r="17" spans="1:29" s="13" customFormat="1" ht="30" customHeight="1" thickBot="1" x14ac:dyDescent="0.25">
      <c r="A17" s="126" t="s">
        <v>14</v>
      </c>
      <c r="B17" s="141"/>
      <c r="C17" s="33" t="str">
        <f>IF(ISERR(C16/C5),"",C16/C5*1000000)</f>
        <v/>
      </c>
      <c r="D17" s="34" t="str">
        <f t="shared" ref="D17:AC17" si="2">IF(ISERR(D16/D5),"",D16/D5*1000000)</f>
        <v/>
      </c>
      <c r="E17" s="34" t="str">
        <f t="shared" si="2"/>
        <v/>
      </c>
      <c r="F17" s="34" t="str">
        <f t="shared" si="2"/>
        <v/>
      </c>
      <c r="G17" s="34" t="str">
        <f t="shared" si="2"/>
        <v/>
      </c>
      <c r="H17" s="34" t="str">
        <f t="shared" si="2"/>
        <v/>
      </c>
      <c r="I17" s="34" t="str">
        <f t="shared" si="2"/>
        <v/>
      </c>
      <c r="J17" s="34" t="str">
        <f t="shared" si="2"/>
        <v/>
      </c>
      <c r="K17" s="34" t="str">
        <f t="shared" si="2"/>
        <v/>
      </c>
      <c r="L17" s="34" t="str">
        <f t="shared" si="2"/>
        <v/>
      </c>
      <c r="M17" s="34" t="str">
        <f t="shared" si="2"/>
        <v/>
      </c>
      <c r="N17" s="34" t="str">
        <f t="shared" si="2"/>
        <v/>
      </c>
      <c r="O17" s="34" t="str">
        <f t="shared" si="2"/>
        <v/>
      </c>
      <c r="P17" s="34" t="str">
        <f t="shared" si="2"/>
        <v/>
      </c>
      <c r="Q17" s="34" t="str">
        <f t="shared" si="2"/>
        <v/>
      </c>
      <c r="R17" s="34" t="str">
        <f t="shared" si="2"/>
        <v/>
      </c>
      <c r="S17" s="34" t="str">
        <f>IF(ISERR(S16/S5),"",S16/S5*1000000)</f>
        <v/>
      </c>
      <c r="T17" s="34" t="str">
        <f>IF(ISERR(T16/T5),"",T16/T5*1000000)</f>
        <v/>
      </c>
      <c r="U17" s="34" t="str">
        <f t="shared" si="2"/>
        <v/>
      </c>
      <c r="V17" s="34" t="str">
        <f t="shared" ref="V17:AB17" si="3">IF(ISERR(V16/V5),"",V16/V5*1000000)</f>
        <v/>
      </c>
      <c r="W17" s="34" t="str">
        <f t="shared" si="3"/>
        <v/>
      </c>
      <c r="X17" s="34" t="str">
        <f t="shared" si="3"/>
        <v/>
      </c>
      <c r="Y17" s="34" t="str">
        <f t="shared" si="3"/>
        <v/>
      </c>
      <c r="Z17" s="34" t="str">
        <f t="shared" si="3"/>
        <v/>
      </c>
      <c r="AA17" s="34" t="str">
        <f t="shared" si="3"/>
        <v/>
      </c>
      <c r="AB17" s="34" t="str">
        <f t="shared" si="3"/>
        <v/>
      </c>
      <c r="AC17" s="61" t="str">
        <f t="shared" si="2"/>
        <v/>
      </c>
    </row>
    <row r="18" spans="1:29" ht="39.950000000000003" customHeight="1" x14ac:dyDescent="0.2">
      <c r="A18" s="142"/>
      <c r="B18" s="5"/>
      <c r="C18" s="128">
        <f>C35</f>
        <v>0</v>
      </c>
      <c r="D18" s="128">
        <f t="shared" ref="D18:AB18" si="4">D35</f>
        <v>0</v>
      </c>
      <c r="E18" s="128">
        <f t="shared" si="4"/>
        <v>0</v>
      </c>
      <c r="F18" s="128">
        <f t="shared" si="4"/>
        <v>0</v>
      </c>
      <c r="G18" s="128">
        <f t="shared" si="4"/>
        <v>0</v>
      </c>
      <c r="H18" s="128">
        <f t="shared" si="4"/>
        <v>0</v>
      </c>
      <c r="I18" s="128">
        <f t="shared" si="4"/>
        <v>0</v>
      </c>
      <c r="J18" s="128">
        <f t="shared" si="4"/>
        <v>0</v>
      </c>
      <c r="K18" s="128">
        <f t="shared" si="4"/>
        <v>0</v>
      </c>
      <c r="L18" s="128">
        <f t="shared" si="4"/>
        <v>0</v>
      </c>
      <c r="M18" s="128">
        <f t="shared" si="4"/>
        <v>0</v>
      </c>
      <c r="N18" s="128">
        <f t="shared" si="4"/>
        <v>0</v>
      </c>
      <c r="O18" s="128">
        <f t="shared" si="4"/>
        <v>0</v>
      </c>
      <c r="P18" s="128">
        <f t="shared" si="4"/>
        <v>0</v>
      </c>
      <c r="Q18" s="128">
        <f t="shared" si="4"/>
        <v>0</v>
      </c>
      <c r="R18" s="128">
        <f t="shared" si="4"/>
        <v>0</v>
      </c>
      <c r="S18" s="128">
        <f t="shared" si="4"/>
        <v>0</v>
      </c>
      <c r="T18" s="128">
        <f t="shared" si="4"/>
        <v>0</v>
      </c>
      <c r="U18" s="128">
        <f t="shared" si="4"/>
        <v>0</v>
      </c>
      <c r="V18" s="90"/>
      <c r="W18" s="90"/>
      <c r="X18" s="90"/>
      <c r="Y18" s="90"/>
      <c r="Z18" s="128">
        <f t="shared" si="4"/>
        <v>0</v>
      </c>
      <c r="AA18" s="128">
        <f t="shared" si="4"/>
        <v>0</v>
      </c>
      <c r="AB18" s="128">
        <f t="shared" si="4"/>
        <v>0</v>
      </c>
      <c r="AC18" s="36"/>
    </row>
    <row r="19" spans="1:29" ht="39.950000000000003" customHeight="1" x14ac:dyDescent="0.2">
      <c r="A19" s="142"/>
      <c r="B19" s="3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90"/>
      <c r="W19" s="90"/>
      <c r="X19" s="90"/>
      <c r="Y19" s="90"/>
      <c r="Z19" s="128"/>
      <c r="AA19" s="128"/>
      <c r="AB19" s="128"/>
      <c r="AC19" s="36"/>
    </row>
    <row r="20" spans="1:29" ht="39.950000000000003" customHeight="1" x14ac:dyDescent="0.2">
      <c r="A20" s="142"/>
      <c r="B20" s="3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90"/>
      <c r="W20" s="90"/>
      <c r="X20" s="90"/>
      <c r="Y20" s="90"/>
      <c r="Z20" s="128"/>
      <c r="AA20" s="128"/>
      <c r="AB20" s="128"/>
      <c r="AC20" s="36"/>
    </row>
    <row r="21" spans="1:29" ht="39.950000000000003" customHeight="1" x14ac:dyDescent="0.2">
      <c r="A21" s="142"/>
      <c r="B21" s="89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90"/>
      <c r="W21" s="90"/>
      <c r="X21" s="90"/>
      <c r="Y21" s="90"/>
      <c r="Z21" s="128"/>
      <c r="AA21" s="128"/>
      <c r="AB21" s="128"/>
      <c r="AC21" s="36"/>
    </row>
    <row r="22" spans="1:29" ht="39.950000000000003" customHeight="1" x14ac:dyDescent="0.2">
      <c r="A22" s="142"/>
      <c r="B22" s="89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90"/>
      <c r="W22" s="90"/>
      <c r="X22" s="90"/>
      <c r="Y22" s="90"/>
      <c r="Z22" s="128"/>
      <c r="AA22" s="128"/>
      <c r="AB22" s="128"/>
      <c r="AC22" s="36"/>
    </row>
    <row r="23" spans="1:29" ht="39.950000000000003" customHeight="1" x14ac:dyDescent="0.2">
      <c r="A23" s="142"/>
      <c r="B23" s="89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90"/>
      <c r="W23" s="90"/>
      <c r="X23" s="90"/>
      <c r="Y23" s="90"/>
      <c r="Z23" s="128"/>
      <c r="AA23" s="128"/>
      <c r="AB23" s="128"/>
      <c r="AC23" s="36"/>
    </row>
    <row r="24" spans="1:29" ht="39.950000000000003" customHeight="1" x14ac:dyDescent="0.2">
      <c r="A24" s="142"/>
      <c r="B24" s="89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90"/>
      <c r="W24" s="90"/>
      <c r="X24" s="90"/>
      <c r="Y24" s="90"/>
      <c r="Z24" s="128"/>
      <c r="AA24" s="128"/>
      <c r="AB24" s="128"/>
      <c r="AC24" s="36"/>
    </row>
    <row r="25" spans="1:29" ht="39.950000000000003" customHeight="1" x14ac:dyDescent="0.2">
      <c r="A25" s="142"/>
      <c r="B25" s="89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90"/>
      <c r="W25" s="90"/>
      <c r="X25" s="90"/>
      <c r="Y25" s="90"/>
      <c r="Z25" s="128"/>
      <c r="AA25" s="128"/>
      <c r="AB25" s="128"/>
      <c r="AC25" s="36"/>
    </row>
    <row r="26" spans="1:29" ht="39.950000000000003" customHeight="1" x14ac:dyDescent="0.2">
      <c r="A26" s="142"/>
      <c r="B26" s="89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90"/>
      <c r="W26" s="90"/>
      <c r="X26" s="90"/>
      <c r="Y26" s="90"/>
      <c r="Z26" s="128"/>
      <c r="AA26" s="128"/>
      <c r="AB26" s="128"/>
      <c r="AC26" s="36"/>
    </row>
    <row r="27" spans="1:29" ht="39.950000000000003" customHeight="1" thickBot="1" x14ac:dyDescent="0.25">
      <c r="A27" s="142"/>
      <c r="B27" s="89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90"/>
      <c r="W27" s="90"/>
      <c r="X27" s="90"/>
      <c r="Y27" s="90"/>
      <c r="Z27" s="128"/>
      <c r="AA27" s="128"/>
      <c r="AB27" s="128"/>
      <c r="AC27" s="36"/>
    </row>
    <row r="28" spans="1:29" ht="30" customHeight="1" x14ac:dyDescent="0.2">
      <c r="A28" s="124" t="s">
        <v>41</v>
      </c>
      <c r="B28" s="125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29" ht="30" customHeight="1" thickBot="1" x14ac:dyDescent="0.25">
      <c r="A29" s="126" t="s">
        <v>40</v>
      </c>
      <c r="B29" s="127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29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29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29" ht="24" customHeight="1" x14ac:dyDescent="0.2">
      <c r="A32" s="50" t="s">
        <v>19</v>
      </c>
      <c r="B32" s="50"/>
      <c r="C32">
        <f>'[3]SJCPIL 16-006-08'!$Y$32</f>
        <v>800</v>
      </c>
    </row>
    <row r="34" spans="2:29" ht="15.75" x14ac:dyDescent="0.25">
      <c r="B34" s="51" t="s">
        <v>20</v>
      </c>
      <c r="C34" s="52">
        <f t="shared" ref="C34:AC34" si="5">C4</f>
        <v>0</v>
      </c>
      <c r="D34" s="52">
        <f t="shared" si="5"/>
        <v>0</v>
      </c>
      <c r="E34" s="52">
        <f t="shared" si="5"/>
        <v>0</v>
      </c>
      <c r="F34" s="52">
        <f t="shared" si="5"/>
        <v>0</v>
      </c>
      <c r="G34" s="52">
        <f t="shared" si="5"/>
        <v>0</v>
      </c>
      <c r="H34" s="52">
        <f t="shared" si="5"/>
        <v>0</v>
      </c>
      <c r="I34" s="52">
        <f t="shared" si="5"/>
        <v>0</v>
      </c>
      <c r="J34" s="52">
        <f t="shared" si="5"/>
        <v>0</v>
      </c>
      <c r="K34" s="52">
        <f t="shared" si="5"/>
        <v>0</v>
      </c>
      <c r="L34" s="52">
        <f t="shared" si="5"/>
        <v>0</v>
      </c>
      <c r="M34" s="52">
        <f t="shared" si="5"/>
        <v>0</v>
      </c>
      <c r="N34" s="52">
        <f t="shared" si="5"/>
        <v>0</v>
      </c>
      <c r="O34" s="52">
        <f t="shared" si="5"/>
        <v>0</v>
      </c>
      <c r="P34" s="52">
        <f t="shared" si="5"/>
        <v>0</v>
      </c>
      <c r="Q34" s="52">
        <f t="shared" si="5"/>
        <v>0</v>
      </c>
      <c r="R34" s="52">
        <f t="shared" si="5"/>
        <v>0</v>
      </c>
      <c r="S34" s="52">
        <f t="shared" si="5"/>
        <v>0</v>
      </c>
      <c r="T34" s="52">
        <f t="shared" si="5"/>
        <v>0</v>
      </c>
      <c r="U34" s="52">
        <f t="shared" si="5"/>
        <v>0</v>
      </c>
      <c r="V34" s="52"/>
      <c r="W34" s="52"/>
      <c r="X34" s="52"/>
      <c r="Y34" s="52"/>
      <c r="Z34" s="52">
        <f t="shared" si="5"/>
        <v>0</v>
      </c>
      <c r="AA34" s="52">
        <f t="shared" si="5"/>
        <v>0</v>
      </c>
      <c r="AB34" s="52">
        <f t="shared" si="5"/>
        <v>0</v>
      </c>
      <c r="AC34" s="52" t="str">
        <f t="shared" si="5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5"/>
      <c r="AA35" s="54"/>
      <c r="AB35" s="55"/>
      <c r="AC35" s="56"/>
    </row>
  </sheetData>
  <sheetProtection algorithmName="SHA-512" hashValue="nM013oD9ehrbGhLqNX1u+VNn1l98uZvwmNGezk43XK5UWBPMwzGMO5b/xwAhtYq67G4d2wpXoVXuAyCSu/VNvA==" saltValue="CXiOpaa7Fx4yYOXqTx+sag==" spinCount="100000" sheet="1" objects="1" scenarios="1" selectLockedCells="1"/>
  <mergeCells count="33">
    <mergeCell ref="AA2:AB2"/>
    <mergeCell ref="P2:R2"/>
    <mergeCell ref="D18:D27"/>
    <mergeCell ref="A4:B4"/>
    <mergeCell ref="A5:B5"/>
    <mergeCell ref="A6:A14"/>
    <mergeCell ref="A15:B15"/>
    <mergeCell ref="A16:B16"/>
    <mergeCell ref="A17:B17"/>
    <mergeCell ref="A18:A27"/>
    <mergeCell ref="C18:C27"/>
    <mergeCell ref="P18:P27"/>
    <mergeCell ref="E18:E27"/>
    <mergeCell ref="F18:F27"/>
    <mergeCell ref="G18:G27"/>
    <mergeCell ref="H18:H27"/>
    <mergeCell ref="AB18:AB27"/>
    <mergeCell ref="Q18:Q27"/>
    <mergeCell ref="R18:R27"/>
    <mergeCell ref="S18:S27"/>
    <mergeCell ref="T18:T27"/>
    <mergeCell ref="U18:U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0" orientation="landscape" r:id="rId1"/>
  <headerFooter alignWithMargins="0">
    <oddFooter>&amp;RSJCPIL-R 15-010-02</oddFooter>
  </headerFooter>
  <ignoredErrors>
    <ignoredError sqref="L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276225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447675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pageSetUpPr fitToPage="1"/>
  </sheetPr>
  <dimension ref="A1:AD35"/>
  <sheetViews>
    <sheetView showZeros="0" zoomScaleNormal="100" zoomScaleSheetLayoutView="71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8" width="9.140625" customWidth="1"/>
    <col min="29" max="29" width="16.7109375" customWidth="1"/>
    <col min="30" max="30" width="12.7109375" bestFit="1" customWidth="1"/>
  </cols>
  <sheetData>
    <row r="1" spans="1:30" ht="13.5" thickBot="1" x14ac:dyDescent="0.25"/>
    <row r="2" spans="1:30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42</v>
      </c>
      <c r="Q2" s="131"/>
      <c r="R2" s="131"/>
      <c r="S2" s="59"/>
      <c r="T2" s="4" t="s">
        <v>1</v>
      </c>
      <c r="W2" s="59"/>
      <c r="X2" s="59"/>
      <c r="Z2" s="3"/>
      <c r="AA2" s="129" t="s">
        <v>60</v>
      </c>
      <c r="AB2" s="143"/>
      <c r="AC2" s="123" t="str">
        <f ca="1">'Máq. 1'!AC2</f>
        <v>03/2022</v>
      </c>
      <c r="AD2" s="57"/>
    </row>
    <row r="3" spans="1:30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R3" s="5"/>
      <c r="S3" s="5"/>
      <c r="T3" s="5"/>
      <c r="U3" s="5"/>
      <c r="Y3" s="57"/>
      <c r="Z3" s="89"/>
      <c r="AA3" s="89"/>
      <c r="AB3" s="89"/>
      <c r="AC3" s="89"/>
      <c r="AD3" s="89"/>
    </row>
    <row r="4" spans="1:30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8"/>
      <c r="Y4" s="87"/>
      <c r="Z4" s="87"/>
      <c r="AA4" s="87"/>
      <c r="AB4" s="87"/>
      <c r="AC4" s="78" t="s">
        <v>3</v>
      </c>
      <c r="AD4" s="75"/>
    </row>
    <row r="5" spans="1:30" s="13" customFormat="1" ht="30" customHeight="1" thickBot="1" x14ac:dyDescent="0.25">
      <c r="A5" s="134" t="s">
        <v>4</v>
      </c>
      <c r="B5" s="135"/>
      <c r="C5" s="10"/>
      <c r="D5" s="11"/>
      <c r="E5" s="10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  <c r="Y5" s="11"/>
      <c r="Z5" s="11"/>
      <c r="AA5" s="11"/>
      <c r="AB5" s="11"/>
      <c r="AC5" s="61">
        <f>SUM(C5:AB5)</f>
        <v>0</v>
      </c>
      <c r="AD5" s="72"/>
    </row>
    <row r="6" spans="1:30" s="13" customFormat="1" ht="30" customHeight="1" x14ac:dyDescent="0.2">
      <c r="A6" s="136" t="s">
        <v>5</v>
      </c>
      <c r="B6" s="66" t="s">
        <v>31</v>
      </c>
      <c r="C6" s="14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6"/>
      <c r="Y6" s="15"/>
      <c r="Z6" s="15"/>
      <c r="AA6" s="15"/>
      <c r="AB6" s="15"/>
      <c r="AC6" s="77">
        <f t="shared" ref="AC6:AC15" si="0">SUM(C6:AB6)</f>
        <v>0</v>
      </c>
      <c r="AD6" s="73"/>
    </row>
    <row r="7" spans="1:30" s="13" customFormat="1" ht="30" customHeight="1" x14ac:dyDescent="0.2">
      <c r="A7" s="137"/>
      <c r="B7" s="67" t="s">
        <v>32</v>
      </c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6"/>
      <c r="Y7" s="25"/>
      <c r="Z7" s="25"/>
      <c r="AA7" s="25"/>
      <c r="AB7" s="25"/>
      <c r="AC7" s="20">
        <f t="shared" si="0"/>
        <v>0</v>
      </c>
      <c r="AD7" s="74"/>
    </row>
    <row r="8" spans="1:30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6"/>
      <c r="Y8" s="25"/>
      <c r="Z8" s="25"/>
      <c r="AA8" s="25"/>
      <c r="AB8" s="25"/>
      <c r="AC8" s="20">
        <f t="shared" si="0"/>
        <v>0</v>
      </c>
      <c r="AD8" s="74"/>
    </row>
    <row r="9" spans="1:30" s="13" customFormat="1" ht="30" customHeight="1" x14ac:dyDescent="0.2">
      <c r="A9" s="137"/>
      <c r="B9" s="67" t="s">
        <v>7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6"/>
      <c r="Y9" s="25"/>
      <c r="Z9" s="25"/>
      <c r="AA9" s="25"/>
      <c r="AB9" s="25"/>
      <c r="AC9" s="20">
        <f t="shared" si="0"/>
        <v>0</v>
      </c>
      <c r="AD9" s="74"/>
    </row>
    <row r="10" spans="1:30" s="13" customFormat="1" ht="30" customHeight="1" x14ac:dyDescent="0.2">
      <c r="A10" s="137"/>
      <c r="B10" s="67" t="s">
        <v>33</v>
      </c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  <c r="Y10" s="25"/>
      <c r="Z10" s="25"/>
      <c r="AA10" s="25"/>
      <c r="AB10" s="25"/>
      <c r="AC10" s="20">
        <f t="shared" si="0"/>
        <v>0</v>
      </c>
      <c r="AD10" s="74"/>
    </row>
    <row r="11" spans="1:30" s="13" customFormat="1" ht="30" customHeight="1" x14ac:dyDescent="0.2">
      <c r="A11" s="137"/>
      <c r="B11" s="67" t="s">
        <v>8</v>
      </c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64"/>
      <c r="N11" s="64"/>
      <c r="O11" s="25"/>
      <c r="P11" s="25"/>
      <c r="Q11" s="25"/>
      <c r="R11" s="25"/>
      <c r="S11" s="25"/>
      <c r="T11" s="21"/>
      <c r="U11" s="25"/>
      <c r="V11" s="21"/>
      <c r="W11" s="21"/>
      <c r="X11" s="22"/>
      <c r="Y11" s="21"/>
      <c r="Z11" s="21"/>
      <c r="AA11" s="21"/>
      <c r="AB11" s="21"/>
      <c r="AC11" s="23">
        <f t="shared" si="0"/>
        <v>0</v>
      </c>
      <c r="AD11" s="72"/>
    </row>
    <row r="12" spans="1:30" s="13" customFormat="1" ht="30" customHeight="1" x14ac:dyDescent="0.2">
      <c r="A12" s="137"/>
      <c r="B12" s="67" t="s">
        <v>9</v>
      </c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6"/>
      <c r="Y12" s="25"/>
      <c r="Z12" s="25"/>
      <c r="AA12" s="25"/>
      <c r="AB12" s="25"/>
      <c r="AC12" s="23">
        <f t="shared" si="0"/>
        <v>0</v>
      </c>
      <c r="AD12" s="72"/>
    </row>
    <row r="13" spans="1:30" s="13" customFormat="1" ht="30" customHeight="1" x14ac:dyDescent="0.2">
      <c r="A13" s="137"/>
      <c r="B13" s="67" t="s">
        <v>10</v>
      </c>
      <c r="C13" s="24"/>
      <c r="D13" s="25"/>
      <c r="E13" s="24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6"/>
      <c r="Y13" s="25"/>
      <c r="Z13" s="25"/>
      <c r="AA13" s="25"/>
      <c r="AB13" s="25"/>
      <c r="AC13" s="20">
        <f t="shared" si="0"/>
        <v>0</v>
      </c>
      <c r="AD13" s="74"/>
    </row>
    <row r="14" spans="1:30" s="13" customFormat="1" ht="30" customHeight="1" x14ac:dyDescent="0.2">
      <c r="A14" s="137"/>
      <c r="B14" s="70" t="s">
        <v>11</v>
      </c>
      <c r="C14" s="91"/>
      <c r="D14" s="27"/>
      <c r="E14" s="71"/>
      <c r="F14" s="27"/>
      <c r="G14" s="27"/>
      <c r="H14" s="27"/>
      <c r="I14" s="27"/>
      <c r="J14" s="27"/>
      <c r="K14" s="27"/>
      <c r="L14" s="27"/>
      <c r="M14" s="27"/>
      <c r="N14" s="27"/>
      <c r="O14" s="83"/>
      <c r="P14" s="83"/>
      <c r="Q14" s="27"/>
      <c r="R14" s="27"/>
      <c r="S14" s="27"/>
      <c r="T14" s="27"/>
      <c r="U14" s="27"/>
      <c r="V14" s="83"/>
      <c r="W14" s="27"/>
      <c r="X14" s="28"/>
      <c r="Y14" s="27"/>
      <c r="Z14" s="27"/>
      <c r="AA14" s="27"/>
      <c r="AB14" s="27"/>
      <c r="AC14" s="29">
        <f t="shared" si="0"/>
        <v>0</v>
      </c>
      <c r="AD14" s="72"/>
    </row>
    <row r="15" spans="1:30" s="13" customFormat="1" ht="30" customHeight="1" thickBot="1" x14ac:dyDescent="0.25">
      <c r="A15" s="138" t="s">
        <v>12</v>
      </c>
      <c r="B15" s="139"/>
      <c r="C15" s="116"/>
      <c r="D15" s="83"/>
      <c r="E15" s="116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5"/>
      <c r="Y15" s="83"/>
      <c r="Z15" s="83"/>
      <c r="AA15" s="83"/>
      <c r="AB15" s="83"/>
      <c r="AC15" s="29">
        <f t="shared" si="0"/>
        <v>0</v>
      </c>
      <c r="AD15" s="72"/>
    </row>
    <row r="16" spans="1:30" s="13" customFormat="1" ht="30" customHeight="1" x14ac:dyDescent="0.2">
      <c r="A16" s="124" t="s">
        <v>13</v>
      </c>
      <c r="B16" s="140"/>
      <c r="C16" s="60">
        <f>SUM(C6:C15)</f>
        <v>0</v>
      </c>
      <c r="D16" s="30">
        <f t="shared" ref="D16:Q16" si="1">SUM(D6:D15)</f>
        <v>0</v>
      </c>
      <c r="E16" s="30">
        <f t="shared" si="1"/>
        <v>0</v>
      </c>
      <c r="F16" s="30">
        <f t="shared" si="1"/>
        <v>0</v>
      </c>
      <c r="G16" s="30">
        <f t="shared" si="1"/>
        <v>0</v>
      </c>
      <c r="H16" s="30">
        <f t="shared" si="1"/>
        <v>0</v>
      </c>
      <c r="I16" s="30">
        <f t="shared" si="1"/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>
        <f t="shared" si="1"/>
        <v>0</v>
      </c>
      <c r="P16" s="30">
        <f t="shared" si="1"/>
        <v>0</v>
      </c>
      <c r="Q16" s="30">
        <f t="shared" si="1"/>
        <v>0</v>
      </c>
      <c r="R16" s="30">
        <f t="shared" ref="R16:W16" si="2">SUM(R6:R15)</f>
        <v>0</v>
      </c>
      <c r="S16" s="30">
        <f t="shared" si="2"/>
        <v>0</v>
      </c>
      <c r="T16" s="30">
        <f t="shared" si="2"/>
        <v>0</v>
      </c>
      <c r="U16" s="30">
        <f t="shared" si="2"/>
        <v>0</v>
      </c>
      <c r="V16" s="30">
        <f t="shared" si="2"/>
        <v>0</v>
      </c>
      <c r="W16" s="30">
        <f t="shared" si="2"/>
        <v>0</v>
      </c>
      <c r="X16" s="30">
        <f>SUM(X6:X15)</f>
        <v>0</v>
      </c>
      <c r="Y16" s="30">
        <f>SUM(Y6:Y15)</f>
        <v>0</v>
      </c>
      <c r="Z16" s="30">
        <f>SUM(Z6:Z15)</f>
        <v>0</v>
      </c>
      <c r="AA16" s="30">
        <f>SUM(AA6:AA15)</f>
        <v>0</v>
      </c>
      <c r="AB16" s="30">
        <f>SUM(AB6:AB15)</f>
        <v>0</v>
      </c>
      <c r="AC16" s="17">
        <f>SUM(C16:AB16)</f>
        <v>0</v>
      </c>
      <c r="AD16" s="72"/>
    </row>
    <row r="17" spans="1:30" s="13" customFormat="1" ht="30" customHeight="1" thickBot="1" x14ac:dyDescent="0.25">
      <c r="A17" s="126" t="s">
        <v>14</v>
      </c>
      <c r="B17" s="141"/>
      <c r="C17" s="33" t="str">
        <f t="shared" ref="C17:Q17" si="3">IF(ISERR(C16/C5),"",C16/C5*1000000)</f>
        <v/>
      </c>
      <c r="D17" s="34" t="str">
        <f t="shared" si="3"/>
        <v/>
      </c>
      <c r="E17" s="34" t="str">
        <f t="shared" si="3"/>
        <v/>
      </c>
      <c r="F17" s="34" t="str">
        <f t="shared" si="3"/>
        <v/>
      </c>
      <c r="G17" s="34" t="str">
        <f t="shared" si="3"/>
        <v/>
      </c>
      <c r="H17" s="34" t="str">
        <f t="shared" si="3"/>
        <v/>
      </c>
      <c r="I17" s="34" t="str">
        <f t="shared" si="3"/>
        <v/>
      </c>
      <c r="J17" s="34" t="str">
        <f t="shared" si="3"/>
        <v/>
      </c>
      <c r="K17" s="34" t="str">
        <f t="shared" si="3"/>
        <v/>
      </c>
      <c r="L17" s="34" t="str">
        <f t="shared" si="3"/>
        <v/>
      </c>
      <c r="M17" s="34" t="str">
        <f t="shared" si="3"/>
        <v/>
      </c>
      <c r="N17" s="34" t="str">
        <f t="shared" si="3"/>
        <v/>
      </c>
      <c r="O17" s="34" t="str">
        <f t="shared" si="3"/>
        <v/>
      </c>
      <c r="P17" s="34" t="str">
        <f t="shared" si="3"/>
        <v/>
      </c>
      <c r="Q17" s="34" t="str">
        <f t="shared" si="3"/>
        <v/>
      </c>
      <c r="R17" s="34" t="str">
        <f t="shared" ref="R17:W17" si="4">IF(ISERR(R16/R5),"",R16/R5*1000000)</f>
        <v/>
      </c>
      <c r="S17" s="34" t="str">
        <f t="shared" si="4"/>
        <v/>
      </c>
      <c r="T17" s="34" t="str">
        <f t="shared" si="4"/>
        <v/>
      </c>
      <c r="U17" s="34" t="str">
        <f t="shared" si="4"/>
        <v/>
      </c>
      <c r="V17" s="34" t="str">
        <f t="shared" si="4"/>
        <v/>
      </c>
      <c r="W17" s="34" t="str">
        <f t="shared" si="4"/>
        <v/>
      </c>
      <c r="X17" s="34" t="str">
        <f t="shared" ref="X17:AC17" si="5">IF(ISERR(X16/X5),"",X16/X5*1000000)</f>
        <v/>
      </c>
      <c r="Y17" s="34" t="str">
        <f t="shared" si="5"/>
        <v/>
      </c>
      <c r="Z17" s="34" t="str">
        <f t="shared" si="5"/>
        <v/>
      </c>
      <c r="AA17" s="34" t="str">
        <f t="shared" si="5"/>
        <v/>
      </c>
      <c r="AB17" s="34" t="str">
        <f t="shared" si="5"/>
        <v/>
      </c>
      <c r="AC17" s="61" t="str">
        <f t="shared" si="5"/>
        <v/>
      </c>
      <c r="AD17" s="73"/>
    </row>
    <row r="18" spans="1:30" ht="39.950000000000003" customHeight="1" x14ac:dyDescent="0.2">
      <c r="A18" s="142"/>
      <c r="B18" s="5"/>
      <c r="C18" s="128">
        <f>C35</f>
        <v>0</v>
      </c>
      <c r="D18" s="128">
        <f t="shared" ref="D18:AB18" si="6">D35</f>
        <v>0</v>
      </c>
      <c r="E18" s="128">
        <f t="shared" si="6"/>
        <v>0</v>
      </c>
      <c r="F18" s="128">
        <f t="shared" si="6"/>
        <v>0</v>
      </c>
      <c r="G18" s="128">
        <f t="shared" si="6"/>
        <v>0</v>
      </c>
      <c r="H18" s="128">
        <f t="shared" si="6"/>
        <v>0</v>
      </c>
      <c r="I18" s="128">
        <f t="shared" si="6"/>
        <v>0</v>
      </c>
      <c r="J18" s="128">
        <f t="shared" si="6"/>
        <v>0</v>
      </c>
      <c r="K18" s="128">
        <f t="shared" si="6"/>
        <v>0</v>
      </c>
      <c r="L18" s="128">
        <f t="shared" si="6"/>
        <v>0</v>
      </c>
      <c r="M18" s="128">
        <f t="shared" si="6"/>
        <v>0</v>
      </c>
      <c r="N18" s="128">
        <f t="shared" si="6"/>
        <v>0</v>
      </c>
      <c r="O18" s="128">
        <f t="shared" si="6"/>
        <v>0</v>
      </c>
      <c r="P18" s="128">
        <f t="shared" si="6"/>
        <v>0</v>
      </c>
      <c r="Q18" s="128">
        <f t="shared" si="6"/>
        <v>0</v>
      </c>
      <c r="R18" s="90"/>
      <c r="S18" s="90"/>
      <c r="T18" s="90"/>
      <c r="U18" s="90"/>
      <c r="V18" s="128">
        <f t="shared" si="6"/>
        <v>0</v>
      </c>
      <c r="W18" s="128">
        <f t="shared" si="6"/>
        <v>0</v>
      </c>
      <c r="X18" s="90"/>
      <c r="Y18" s="90"/>
      <c r="Z18" s="128">
        <f t="shared" si="6"/>
        <v>0</v>
      </c>
      <c r="AA18" s="128">
        <f t="shared" si="6"/>
        <v>0</v>
      </c>
      <c r="AB18" s="128">
        <f t="shared" si="6"/>
        <v>0</v>
      </c>
      <c r="AC18" s="36"/>
    </row>
    <row r="19" spans="1:30" ht="39.950000000000003" customHeight="1" x14ac:dyDescent="0.2">
      <c r="A19" s="142"/>
      <c r="B19" s="3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90"/>
      <c r="S19" s="90"/>
      <c r="T19" s="90"/>
      <c r="U19" s="90"/>
      <c r="V19" s="128"/>
      <c r="W19" s="128"/>
      <c r="X19" s="90"/>
      <c r="Y19" s="90"/>
      <c r="Z19" s="128"/>
      <c r="AA19" s="128"/>
      <c r="AB19" s="128"/>
      <c r="AC19" s="36"/>
    </row>
    <row r="20" spans="1:30" ht="39.950000000000003" customHeight="1" x14ac:dyDescent="0.2">
      <c r="A20" s="142"/>
      <c r="B20" s="3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90"/>
      <c r="S20" s="90"/>
      <c r="T20" s="90"/>
      <c r="U20" s="90"/>
      <c r="V20" s="128"/>
      <c r="W20" s="128"/>
      <c r="X20" s="90"/>
      <c r="Y20" s="90"/>
      <c r="Z20" s="128"/>
      <c r="AA20" s="128"/>
      <c r="AB20" s="128"/>
      <c r="AC20" s="36"/>
    </row>
    <row r="21" spans="1:30" ht="39.950000000000003" customHeight="1" x14ac:dyDescent="0.2">
      <c r="A21" s="142"/>
      <c r="B21" s="89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90"/>
      <c r="S21" s="90"/>
      <c r="T21" s="90"/>
      <c r="U21" s="90"/>
      <c r="V21" s="128"/>
      <c r="W21" s="128"/>
      <c r="X21" s="90"/>
      <c r="Y21" s="90"/>
      <c r="Z21" s="128"/>
      <c r="AA21" s="128"/>
      <c r="AB21" s="128"/>
      <c r="AC21" s="36"/>
    </row>
    <row r="22" spans="1:30" ht="39.950000000000003" customHeight="1" x14ac:dyDescent="0.2">
      <c r="A22" s="142"/>
      <c r="B22" s="89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90"/>
      <c r="S22" s="90"/>
      <c r="T22" s="90"/>
      <c r="U22" s="90"/>
      <c r="V22" s="128"/>
      <c r="W22" s="128"/>
      <c r="X22" s="90"/>
      <c r="Y22" s="90"/>
      <c r="Z22" s="128"/>
      <c r="AA22" s="128"/>
      <c r="AB22" s="128"/>
      <c r="AC22" s="36"/>
    </row>
    <row r="23" spans="1:30" ht="39.950000000000003" customHeight="1" x14ac:dyDescent="0.2">
      <c r="A23" s="142"/>
      <c r="B23" s="89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90"/>
      <c r="S23" s="90"/>
      <c r="T23" s="90"/>
      <c r="U23" s="90"/>
      <c r="V23" s="128"/>
      <c r="W23" s="128"/>
      <c r="X23" s="90"/>
      <c r="Y23" s="90"/>
      <c r="Z23" s="128"/>
      <c r="AA23" s="128"/>
      <c r="AB23" s="128"/>
      <c r="AC23" s="36"/>
    </row>
    <row r="24" spans="1:30" ht="39.950000000000003" customHeight="1" x14ac:dyDescent="0.2">
      <c r="A24" s="142"/>
      <c r="B24" s="89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90"/>
      <c r="S24" s="90"/>
      <c r="T24" s="90"/>
      <c r="U24" s="90"/>
      <c r="V24" s="128"/>
      <c r="W24" s="128"/>
      <c r="X24" s="90"/>
      <c r="Y24" s="90"/>
      <c r="Z24" s="128"/>
      <c r="AA24" s="128"/>
      <c r="AB24" s="128"/>
      <c r="AC24" s="36"/>
    </row>
    <row r="25" spans="1:30" ht="39.950000000000003" customHeight="1" x14ac:dyDescent="0.2">
      <c r="A25" s="142"/>
      <c r="B25" s="89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90"/>
      <c r="S25" s="90"/>
      <c r="T25" s="90"/>
      <c r="U25" s="90"/>
      <c r="V25" s="128"/>
      <c r="W25" s="128"/>
      <c r="X25" s="90"/>
      <c r="Y25" s="90"/>
      <c r="Z25" s="128"/>
      <c r="AA25" s="128"/>
      <c r="AB25" s="128"/>
      <c r="AC25" s="36"/>
    </row>
    <row r="26" spans="1:30" ht="39.950000000000003" customHeight="1" x14ac:dyDescent="0.2">
      <c r="A26" s="142"/>
      <c r="B26" s="89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90"/>
      <c r="S26" s="90"/>
      <c r="T26" s="90"/>
      <c r="U26" s="90"/>
      <c r="V26" s="128"/>
      <c r="W26" s="128"/>
      <c r="X26" s="90"/>
      <c r="Y26" s="90"/>
      <c r="Z26" s="128"/>
      <c r="AA26" s="128"/>
      <c r="AB26" s="128"/>
      <c r="AC26" s="36"/>
    </row>
    <row r="27" spans="1:30" ht="39.950000000000003" customHeight="1" thickBot="1" x14ac:dyDescent="0.25">
      <c r="A27" s="142"/>
      <c r="B27" s="89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90"/>
      <c r="S27" s="90"/>
      <c r="T27" s="90"/>
      <c r="U27" s="90"/>
      <c r="V27" s="128"/>
      <c r="W27" s="128"/>
      <c r="X27" s="90"/>
      <c r="Y27" s="90"/>
      <c r="Z27" s="128"/>
      <c r="AA27" s="128"/>
      <c r="AB27" s="128"/>
      <c r="AC27" s="36"/>
    </row>
    <row r="28" spans="1:30" ht="30" customHeight="1" x14ac:dyDescent="0.2">
      <c r="A28" s="124" t="s">
        <v>41</v>
      </c>
      <c r="B28" s="125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30" ht="30" customHeight="1" thickBot="1" x14ac:dyDescent="0.25">
      <c r="A29" s="126" t="s">
        <v>40</v>
      </c>
      <c r="B29" s="127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30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30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30" ht="24" customHeight="1" x14ac:dyDescent="0.2">
      <c r="A32" s="50" t="s">
        <v>19</v>
      </c>
      <c r="B32" s="50"/>
      <c r="C32">
        <f>'Máq. 1'!$C$32</f>
        <v>800</v>
      </c>
    </row>
    <row r="34" spans="2:29" ht="15.75" x14ac:dyDescent="0.25">
      <c r="B34" s="51" t="s">
        <v>20</v>
      </c>
      <c r="C34" s="52">
        <f t="shared" ref="C34:AC34" si="7">C4</f>
        <v>0</v>
      </c>
      <c r="D34" s="52">
        <f t="shared" si="7"/>
        <v>0</v>
      </c>
      <c r="E34" s="52">
        <f t="shared" si="7"/>
        <v>0</v>
      </c>
      <c r="F34" s="52">
        <f t="shared" si="7"/>
        <v>0</v>
      </c>
      <c r="G34" s="52">
        <f t="shared" si="7"/>
        <v>0</v>
      </c>
      <c r="H34" s="52">
        <f t="shared" si="7"/>
        <v>0</v>
      </c>
      <c r="I34" s="52">
        <f t="shared" si="7"/>
        <v>0</v>
      </c>
      <c r="J34" s="52">
        <f t="shared" si="7"/>
        <v>0</v>
      </c>
      <c r="K34" s="52">
        <f t="shared" si="7"/>
        <v>0</v>
      </c>
      <c r="L34" s="52">
        <f t="shared" si="7"/>
        <v>0</v>
      </c>
      <c r="M34" s="52">
        <f t="shared" si="7"/>
        <v>0</v>
      </c>
      <c r="N34" s="52">
        <f t="shared" si="7"/>
        <v>0</v>
      </c>
      <c r="O34" s="52">
        <f t="shared" si="7"/>
        <v>0</v>
      </c>
      <c r="P34" s="52">
        <f t="shared" si="7"/>
        <v>0</v>
      </c>
      <c r="Q34" s="52">
        <f t="shared" si="7"/>
        <v>0</v>
      </c>
      <c r="R34" s="52"/>
      <c r="S34" s="52"/>
      <c r="T34" s="52"/>
      <c r="U34" s="52"/>
      <c r="V34" s="52">
        <f>R4</f>
        <v>0</v>
      </c>
      <c r="W34" s="52">
        <f>S4</f>
        <v>0</v>
      </c>
      <c r="X34" s="52"/>
      <c r="Y34" s="52"/>
      <c r="Z34" s="52">
        <f>V4</f>
        <v>0</v>
      </c>
      <c r="AA34" s="52">
        <f>W4</f>
        <v>0</v>
      </c>
      <c r="AB34" s="52" t="e">
        <f>#REF!</f>
        <v>#REF!</v>
      </c>
      <c r="AC34" s="52" t="str">
        <f t="shared" si="7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5"/>
      <c r="T35" s="54"/>
      <c r="U35" s="54"/>
      <c r="V35" s="54"/>
      <c r="W35" s="54"/>
      <c r="X35" s="54"/>
      <c r="Y35" s="55"/>
      <c r="Z35" s="55"/>
      <c r="AA35" s="55"/>
      <c r="AB35" s="55"/>
      <c r="AC35" s="56"/>
    </row>
  </sheetData>
  <sheetProtection algorithmName="SHA-512" hashValue="LK6S1ixwOetuB+IfH0+BD7Z/cfjaJ3xt8GMVk2HNqkqSpG6rXiuDM0u6Yi6HxuQKOYv+qaeJytZaKRs6kUx2aQ==" saltValue="JZ/fMpXTzpUTcPGJ4kZf5g==" spinCount="100000" sheet="1" objects="1" scenarios="1" selectLockedCells="1"/>
  <mergeCells count="31">
    <mergeCell ref="A15:B15"/>
    <mergeCell ref="A16:B16"/>
    <mergeCell ref="A17:B17"/>
    <mergeCell ref="A18:A27"/>
    <mergeCell ref="C18:C27"/>
    <mergeCell ref="A4:B4"/>
    <mergeCell ref="A5:B5"/>
    <mergeCell ref="A6:A14"/>
    <mergeCell ref="P2:R2"/>
    <mergeCell ref="AA2:AB2"/>
    <mergeCell ref="AB18:AB27"/>
    <mergeCell ref="Q18:Q27"/>
    <mergeCell ref="V18:V27"/>
    <mergeCell ref="W18:W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D18:D27"/>
    <mergeCell ref="P18:P27"/>
    <mergeCell ref="E18:E27"/>
    <mergeCell ref="F18:F27"/>
    <mergeCell ref="G18:G27"/>
    <mergeCell ref="H18:H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2" orientation="landscape" r:id="rId1"/>
  <headerFooter alignWithMargins="0">
    <oddFooter>&amp;RSJCPIL-R 15-010-02</oddFooter>
  </headerFooter>
  <ignoredErrors>
    <ignoredError sqref="C16:F16 H16:W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295275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pageSetUpPr fitToPage="1"/>
  </sheetPr>
  <dimension ref="A1:AD35"/>
  <sheetViews>
    <sheetView showZeros="0" zoomScaleNormal="10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8" width="9.140625" customWidth="1"/>
    <col min="29" max="29" width="16.7109375" customWidth="1"/>
  </cols>
  <sheetData>
    <row r="1" spans="1:30" ht="13.5" thickBot="1" x14ac:dyDescent="0.25"/>
    <row r="2" spans="1:30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25</v>
      </c>
      <c r="Q2" s="131"/>
      <c r="R2" s="131"/>
      <c r="S2" s="59"/>
      <c r="T2" s="4" t="s">
        <v>1</v>
      </c>
      <c r="Z2" s="3"/>
      <c r="AA2" s="129" t="s">
        <v>60</v>
      </c>
      <c r="AB2" s="143"/>
      <c r="AC2" s="123" t="str">
        <f ca="1">'Máq. 1'!AC2</f>
        <v>03/2022</v>
      </c>
      <c r="AD2" s="57"/>
    </row>
    <row r="3" spans="1:30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89"/>
      <c r="AA3" s="89"/>
      <c r="AB3" s="89"/>
      <c r="AC3" s="39"/>
      <c r="AD3" s="89"/>
    </row>
    <row r="4" spans="1:30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" t="s">
        <v>3</v>
      </c>
      <c r="AD4" s="75"/>
    </row>
    <row r="5" spans="1:30" s="13" customFormat="1" ht="30" customHeight="1" thickBot="1" x14ac:dyDescent="0.25">
      <c r="A5" s="134" t="s">
        <v>4</v>
      </c>
      <c r="B5" s="135"/>
      <c r="C5" s="10"/>
      <c r="D5" s="11"/>
      <c r="E5" s="11"/>
      <c r="F5" s="11"/>
      <c r="G5" s="11"/>
      <c r="H5" s="11"/>
      <c r="I5" s="11"/>
      <c r="J5" s="11"/>
      <c r="K5" s="11"/>
      <c r="L5" s="84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2"/>
      <c r="Y5" s="11"/>
      <c r="Z5" s="11"/>
      <c r="AA5" s="11"/>
      <c r="AB5" s="11"/>
      <c r="AC5" s="61">
        <f>SUM(C5:AB5)</f>
        <v>0</v>
      </c>
      <c r="AD5" s="72"/>
    </row>
    <row r="6" spans="1:30" s="13" customFormat="1" ht="30" customHeight="1" x14ac:dyDescent="0.2">
      <c r="A6" s="136" t="s">
        <v>5</v>
      </c>
      <c r="B6" s="66" t="s">
        <v>31</v>
      </c>
      <c r="C6" s="14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6"/>
      <c r="Y6" s="15"/>
      <c r="Z6" s="15"/>
      <c r="AA6" s="15"/>
      <c r="AB6" s="15"/>
      <c r="AC6" s="17">
        <f t="shared" ref="AC6:AC15" si="0">SUM(C6:AB6)</f>
        <v>0</v>
      </c>
      <c r="AD6" s="73"/>
    </row>
    <row r="7" spans="1:30" s="13" customFormat="1" ht="30" customHeight="1" x14ac:dyDescent="0.2">
      <c r="A7" s="137"/>
      <c r="B7" s="67" t="s">
        <v>32</v>
      </c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6"/>
      <c r="Y7" s="25"/>
      <c r="Z7" s="25"/>
      <c r="AA7" s="25"/>
      <c r="AB7" s="25"/>
      <c r="AC7" s="20">
        <f t="shared" si="0"/>
        <v>0</v>
      </c>
      <c r="AD7" s="74"/>
    </row>
    <row r="8" spans="1:30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6"/>
      <c r="Y8" s="25"/>
      <c r="Z8" s="25"/>
      <c r="AA8" s="25"/>
      <c r="AB8" s="25"/>
      <c r="AC8" s="20">
        <f t="shared" si="0"/>
        <v>0</v>
      </c>
      <c r="AD8" s="74"/>
    </row>
    <row r="9" spans="1:30" s="13" customFormat="1" ht="30" customHeight="1" x14ac:dyDescent="0.2">
      <c r="A9" s="137"/>
      <c r="B9" s="67" t="s">
        <v>7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6"/>
      <c r="Y9" s="25"/>
      <c r="Z9" s="25"/>
      <c r="AA9" s="25"/>
      <c r="AB9" s="25"/>
      <c r="AC9" s="20">
        <f t="shared" si="0"/>
        <v>0</v>
      </c>
      <c r="AD9" s="74"/>
    </row>
    <row r="10" spans="1:30" s="13" customFormat="1" ht="30" customHeight="1" x14ac:dyDescent="0.2">
      <c r="A10" s="137"/>
      <c r="B10" s="67" t="s">
        <v>33</v>
      </c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  <c r="Y10" s="25"/>
      <c r="Z10" s="25"/>
      <c r="AA10" s="25"/>
      <c r="AB10" s="25"/>
      <c r="AC10" s="20">
        <f t="shared" si="0"/>
        <v>0</v>
      </c>
      <c r="AD10" s="74"/>
    </row>
    <row r="11" spans="1:30" s="13" customFormat="1" ht="30" customHeight="1" x14ac:dyDescent="0.2">
      <c r="A11" s="137"/>
      <c r="B11" s="67" t="s">
        <v>8</v>
      </c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6"/>
      <c r="Y11" s="25"/>
      <c r="Z11" s="25"/>
      <c r="AA11" s="25"/>
      <c r="AB11" s="25"/>
      <c r="AC11" s="23">
        <f t="shared" si="0"/>
        <v>0</v>
      </c>
      <c r="AD11" s="72"/>
    </row>
    <row r="12" spans="1:30" s="13" customFormat="1" ht="30" customHeight="1" x14ac:dyDescent="0.2">
      <c r="A12" s="137"/>
      <c r="B12" s="67" t="s">
        <v>9</v>
      </c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6"/>
      <c r="Y12" s="25"/>
      <c r="Z12" s="25"/>
      <c r="AA12" s="25"/>
      <c r="AB12" s="25"/>
      <c r="AC12" s="23">
        <f t="shared" si="0"/>
        <v>0</v>
      </c>
      <c r="AD12" s="72"/>
    </row>
    <row r="13" spans="1:30" s="13" customFormat="1" ht="30" customHeight="1" x14ac:dyDescent="0.2">
      <c r="A13" s="137"/>
      <c r="B13" s="67" t="s">
        <v>10</v>
      </c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6"/>
      <c r="Y13" s="25"/>
      <c r="Z13" s="25"/>
      <c r="AA13" s="25"/>
      <c r="AB13" s="25"/>
      <c r="AC13" s="20">
        <f t="shared" si="0"/>
        <v>0</v>
      </c>
      <c r="AD13" s="74"/>
    </row>
    <row r="14" spans="1:30" s="13" customFormat="1" ht="30" customHeight="1" x14ac:dyDescent="0.2">
      <c r="A14" s="137"/>
      <c r="B14" s="70" t="s">
        <v>11</v>
      </c>
      <c r="C14" s="91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5"/>
      <c r="Y14" s="83"/>
      <c r="Z14" s="83"/>
      <c r="AA14" s="83"/>
      <c r="AB14" s="83"/>
      <c r="AC14" s="29">
        <f t="shared" si="0"/>
        <v>0</v>
      </c>
      <c r="AD14" s="72"/>
    </row>
    <row r="15" spans="1:30" s="13" customFormat="1" ht="30" customHeight="1" thickBot="1" x14ac:dyDescent="0.25">
      <c r="A15" s="138" t="s">
        <v>12</v>
      </c>
      <c r="B15" s="139"/>
      <c r="C15" s="116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5"/>
      <c r="Y15" s="83"/>
      <c r="Z15" s="83"/>
      <c r="AA15" s="83"/>
      <c r="AB15" s="83"/>
      <c r="AC15" s="29">
        <f t="shared" si="0"/>
        <v>0</v>
      </c>
      <c r="AD15" s="72"/>
    </row>
    <row r="16" spans="1:30" s="13" customFormat="1" ht="30" customHeight="1" x14ac:dyDescent="0.2">
      <c r="A16" s="124" t="s">
        <v>13</v>
      </c>
      <c r="B16" s="140"/>
      <c r="C16" s="60">
        <f>SUM(C6:C15)</f>
        <v>0</v>
      </c>
      <c r="D16" s="30">
        <f t="shared" ref="D16:U16" si="1">SUM(D6:D15)</f>
        <v>0</v>
      </c>
      <c r="E16" s="30">
        <f t="shared" si="1"/>
        <v>0</v>
      </c>
      <c r="F16" s="30">
        <f t="shared" si="1"/>
        <v>0</v>
      </c>
      <c r="G16" s="30">
        <f t="shared" si="1"/>
        <v>0</v>
      </c>
      <c r="H16" s="30">
        <f t="shared" si="1"/>
        <v>0</v>
      </c>
      <c r="I16" s="30">
        <f t="shared" si="1"/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>
        <f t="shared" si="1"/>
        <v>0</v>
      </c>
      <c r="P16" s="30">
        <f t="shared" si="1"/>
        <v>0</v>
      </c>
      <c r="Q16" s="30">
        <f t="shared" si="1"/>
        <v>0</v>
      </c>
      <c r="R16" s="30">
        <f t="shared" si="1"/>
        <v>0</v>
      </c>
      <c r="S16" s="30">
        <f t="shared" si="1"/>
        <v>0</v>
      </c>
      <c r="T16" s="30">
        <f t="shared" si="1"/>
        <v>0</v>
      </c>
      <c r="U16" s="30">
        <f t="shared" si="1"/>
        <v>0</v>
      </c>
      <c r="V16" s="30">
        <f>SUM(V6:V15)</f>
        <v>0</v>
      </c>
      <c r="W16" s="30">
        <f>SUM(W6:W15)</f>
        <v>0</v>
      </c>
      <c r="X16" s="31"/>
      <c r="Y16" s="31">
        <f>SUM(Y6:Y15)</f>
        <v>0</v>
      </c>
      <c r="Z16" s="31">
        <f>SUM(Z6:Z15)</f>
        <v>0</v>
      </c>
      <c r="AA16" s="31">
        <f>SUM(AA6:AA15)</f>
        <v>0</v>
      </c>
      <c r="AB16" s="31">
        <f>SUM(AB6:AB15)</f>
        <v>0</v>
      </c>
      <c r="AC16" s="17">
        <f>SUM(C16:AB16)</f>
        <v>0</v>
      </c>
      <c r="AD16" s="72"/>
    </row>
    <row r="17" spans="1:30" s="13" customFormat="1" ht="30" customHeight="1" thickBot="1" x14ac:dyDescent="0.25">
      <c r="A17" s="126" t="s">
        <v>14</v>
      </c>
      <c r="B17" s="141"/>
      <c r="C17" s="33" t="str">
        <f t="shared" ref="C17:AC17" si="2">IF(ISERR(C16/C5),"",C16/C5*1000000)</f>
        <v/>
      </c>
      <c r="D17" s="34" t="str">
        <f t="shared" si="2"/>
        <v/>
      </c>
      <c r="E17" s="34" t="str">
        <f t="shared" si="2"/>
        <v/>
      </c>
      <c r="F17" s="34" t="str">
        <f t="shared" si="2"/>
        <v/>
      </c>
      <c r="G17" s="34" t="str">
        <f t="shared" si="2"/>
        <v/>
      </c>
      <c r="H17" s="34" t="str">
        <f t="shared" si="2"/>
        <v/>
      </c>
      <c r="I17" s="34" t="str">
        <f t="shared" si="2"/>
        <v/>
      </c>
      <c r="J17" s="34" t="str">
        <f t="shared" si="2"/>
        <v/>
      </c>
      <c r="K17" s="34" t="str">
        <f t="shared" si="2"/>
        <v/>
      </c>
      <c r="L17" s="34" t="str">
        <f t="shared" si="2"/>
        <v/>
      </c>
      <c r="M17" s="34" t="str">
        <f t="shared" si="2"/>
        <v/>
      </c>
      <c r="N17" s="34" t="str">
        <f t="shared" si="2"/>
        <v/>
      </c>
      <c r="O17" s="34" t="str">
        <f t="shared" si="2"/>
        <v/>
      </c>
      <c r="P17" s="34" t="str">
        <f t="shared" si="2"/>
        <v/>
      </c>
      <c r="Q17" s="34" t="str">
        <f t="shared" si="2"/>
        <v/>
      </c>
      <c r="R17" s="34" t="str">
        <f t="shared" si="2"/>
        <v/>
      </c>
      <c r="S17" s="34" t="str">
        <f t="shared" si="2"/>
        <v/>
      </c>
      <c r="T17" s="34" t="str">
        <f t="shared" si="2"/>
        <v/>
      </c>
      <c r="U17" s="34" t="str">
        <f t="shared" si="2"/>
        <v/>
      </c>
      <c r="V17" s="34" t="str">
        <f>IF(ISERR(V16/V5),"",V16/V5*1000000)</f>
        <v/>
      </c>
      <c r="W17" s="34" t="str">
        <f>IF(ISERR(W16/W5),"",W16/W5*1000000)</f>
        <v/>
      </c>
      <c r="X17" s="35"/>
      <c r="Y17" s="35" t="str">
        <f>IF(ISERR(Y16/Y5),"",Y16/Y5*1000000)</f>
        <v/>
      </c>
      <c r="Z17" s="35" t="str">
        <f>IF(ISERR(Z16/Z5),"",Z16/Z5*1000000)</f>
        <v/>
      </c>
      <c r="AA17" s="35" t="str">
        <f>IF(ISERR(AA16/AA5),"",AA16/AA5*1000000)</f>
        <v/>
      </c>
      <c r="AB17" s="35" t="str">
        <f>IF(ISERR(AB16/AB5),"",AB16/AB5*1000000)</f>
        <v/>
      </c>
      <c r="AC17" s="61" t="str">
        <f t="shared" si="2"/>
        <v/>
      </c>
      <c r="AD17" s="73"/>
    </row>
    <row r="18" spans="1:30" ht="39.950000000000003" customHeight="1" x14ac:dyDescent="0.2">
      <c r="A18" s="142"/>
      <c r="B18" s="5"/>
      <c r="C18" s="128">
        <f>C35</f>
        <v>0</v>
      </c>
      <c r="D18" s="128">
        <f t="shared" ref="D18:AB18" si="3">D35</f>
        <v>0</v>
      </c>
      <c r="E18" s="128">
        <f t="shared" si="3"/>
        <v>0</v>
      </c>
      <c r="F18" s="128">
        <f t="shared" si="3"/>
        <v>0</v>
      </c>
      <c r="G18" s="128">
        <f t="shared" si="3"/>
        <v>0</v>
      </c>
      <c r="H18" s="128">
        <f t="shared" si="3"/>
        <v>0</v>
      </c>
      <c r="I18" s="128">
        <f t="shared" si="3"/>
        <v>0</v>
      </c>
      <c r="J18" s="128">
        <f t="shared" si="3"/>
        <v>0</v>
      </c>
      <c r="K18" s="128">
        <f t="shared" si="3"/>
        <v>0</v>
      </c>
      <c r="L18" s="128">
        <f t="shared" si="3"/>
        <v>0</v>
      </c>
      <c r="M18" s="128">
        <f t="shared" si="3"/>
        <v>0</v>
      </c>
      <c r="N18" s="128">
        <f t="shared" si="3"/>
        <v>0</v>
      </c>
      <c r="O18" s="128">
        <f t="shared" si="3"/>
        <v>0</v>
      </c>
      <c r="P18" s="128">
        <f t="shared" si="3"/>
        <v>0</v>
      </c>
      <c r="Q18" s="128">
        <f t="shared" si="3"/>
        <v>0</v>
      </c>
      <c r="R18" s="128">
        <f t="shared" si="3"/>
        <v>0</v>
      </c>
      <c r="S18" s="128">
        <f t="shared" si="3"/>
        <v>0</v>
      </c>
      <c r="T18" s="128">
        <f t="shared" si="3"/>
        <v>0</v>
      </c>
      <c r="U18" s="128">
        <f t="shared" si="3"/>
        <v>0</v>
      </c>
      <c r="V18" s="90"/>
      <c r="W18" s="90"/>
      <c r="X18" s="90"/>
      <c r="Y18" s="90"/>
      <c r="Z18" s="128">
        <f t="shared" si="3"/>
        <v>0</v>
      </c>
      <c r="AA18" s="128">
        <f t="shared" si="3"/>
        <v>0</v>
      </c>
      <c r="AB18" s="128">
        <f t="shared" si="3"/>
        <v>0</v>
      </c>
      <c r="AC18" s="36"/>
    </row>
    <row r="19" spans="1:30" ht="39.950000000000003" customHeight="1" x14ac:dyDescent="0.2">
      <c r="A19" s="142"/>
      <c r="B19" s="3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90"/>
      <c r="W19" s="90"/>
      <c r="X19" s="90"/>
      <c r="Y19" s="90"/>
      <c r="Z19" s="128"/>
      <c r="AA19" s="128"/>
      <c r="AB19" s="128"/>
      <c r="AC19" s="36"/>
    </row>
    <row r="20" spans="1:30" ht="39.950000000000003" customHeight="1" x14ac:dyDescent="0.2">
      <c r="A20" s="142"/>
      <c r="B20" s="3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90"/>
      <c r="W20" s="90"/>
      <c r="X20" s="90"/>
      <c r="Y20" s="90"/>
      <c r="Z20" s="128"/>
      <c r="AA20" s="128"/>
      <c r="AB20" s="128"/>
      <c r="AC20" s="36"/>
    </row>
    <row r="21" spans="1:30" ht="39.950000000000003" customHeight="1" x14ac:dyDescent="0.2">
      <c r="A21" s="142"/>
      <c r="B21" s="89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90"/>
      <c r="W21" s="90"/>
      <c r="X21" s="90"/>
      <c r="Y21" s="90"/>
      <c r="Z21" s="128"/>
      <c r="AA21" s="128"/>
      <c r="AB21" s="128"/>
      <c r="AC21" s="36"/>
    </row>
    <row r="22" spans="1:30" ht="39.950000000000003" customHeight="1" x14ac:dyDescent="0.2">
      <c r="A22" s="142"/>
      <c r="B22" s="89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90"/>
      <c r="W22" s="90"/>
      <c r="X22" s="90"/>
      <c r="Y22" s="90"/>
      <c r="Z22" s="128"/>
      <c r="AA22" s="128"/>
      <c r="AB22" s="128"/>
      <c r="AC22" s="36"/>
    </row>
    <row r="23" spans="1:30" ht="39.950000000000003" customHeight="1" x14ac:dyDescent="0.2">
      <c r="A23" s="142"/>
      <c r="B23" s="89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90"/>
      <c r="W23" s="90"/>
      <c r="X23" s="90"/>
      <c r="Y23" s="90"/>
      <c r="Z23" s="128"/>
      <c r="AA23" s="128"/>
      <c r="AB23" s="128"/>
      <c r="AC23" s="36"/>
    </row>
    <row r="24" spans="1:30" ht="39.950000000000003" customHeight="1" x14ac:dyDescent="0.2">
      <c r="A24" s="142"/>
      <c r="B24" s="89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90"/>
      <c r="W24" s="90"/>
      <c r="X24" s="90"/>
      <c r="Y24" s="90"/>
      <c r="Z24" s="128"/>
      <c r="AA24" s="128"/>
      <c r="AB24" s="128"/>
      <c r="AC24" s="36"/>
    </row>
    <row r="25" spans="1:30" ht="39.950000000000003" customHeight="1" x14ac:dyDescent="0.2">
      <c r="A25" s="142"/>
      <c r="B25" s="89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90"/>
      <c r="W25" s="90"/>
      <c r="X25" s="90"/>
      <c r="Y25" s="90"/>
      <c r="Z25" s="128"/>
      <c r="AA25" s="128"/>
      <c r="AB25" s="128"/>
      <c r="AC25" s="36"/>
    </row>
    <row r="26" spans="1:30" ht="39.950000000000003" customHeight="1" x14ac:dyDescent="0.2">
      <c r="A26" s="142"/>
      <c r="B26" s="89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90"/>
      <c r="W26" s="90"/>
      <c r="X26" s="90"/>
      <c r="Y26" s="90"/>
      <c r="Z26" s="128"/>
      <c r="AA26" s="128"/>
      <c r="AB26" s="128"/>
      <c r="AC26" s="36"/>
    </row>
    <row r="27" spans="1:30" ht="39.950000000000003" customHeight="1" thickBot="1" x14ac:dyDescent="0.25">
      <c r="A27" s="142"/>
      <c r="B27" s="89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90"/>
      <c r="W27" s="90"/>
      <c r="X27" s="90"/>
      <c r="Y27" s="90"/>
      <c r="Z27" s="128"/>
      <c r="AA27" s="128"/>
      <c r="AB27" s="128"/>
      <c r="AC27" s="36"/>
    </row>
    <row r="28" spans="1:30" ht="30" customHeight="1" x14ac:dyDescent="0.2">
      <c r="A28" s="124" t="s">
        <v>41</v>
      </c>
      <c r="B28" s="125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30" ht="30" customHeight="1" thickBot="1" x14ac:dyDescent="0.25">
      <c r="A29" s="126" t="s">
        <v>40</v>
      </c>
      <c r="B29" s="127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30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30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30" ht="24" customHeight="1" x14ac:dyDescent="0.2">
      <c r="A32" s="50" t="s">
        <v>19</v>
      </c>
      <c r="B32" s="50"/>
      <c r="C32">
        <f>'Máq. 1'!$C$32</f>
        <v>800</v>
      </c>
    </row>
    <row r="34" spans="2:29" ht="15.75" x14ac:dyDescent="0.25">
      <c r="B34" s="51" t="s">
        <v>20</v>
      </c>
      <c r="C34" s="52">
        <f t="shared" ref="C34:AC34" si="4">C4</f>
        <v>0</v>
      </c>
      <c r="D34" s="52">
        <f t="shared" si="4"/>
        <v>0</v>
      </c>
      <c r="E34" s="52">
        <f t="shared" si="4"/>
        <v>0</v>
      </c>
      <c r="F34" s="52">
        <f t="shared" si="4"/>
        <v>0</v>
      </c>
      <c r="G34" s="52">
        <f t="shared" si="4"/>
        <v>0</v>
      </c>
      <c r="H34" s="52">
        <f t="shared" si="4"/>
        <v>0</v>
      </c>
      <c r="I34" s="52">
        <f t="shared" si="4"/>
        <v>0</v>
      </c>
      <c r="J34" s="52">
        <f t="shared" si="4"/>
        <v>0</v>
      </c>
      <c r="K34" s="52">
        <f t="shared" si="4"/>
        <v>0</v>
      </c>
      <c r="L34" s="52">
        <f t="shared" si="4"/>
        <v>0</v>
      </c>
      <c r="M34" s="52">
        <f t="shared" si="4"/>
        <v>0</v>
      </c>
      <c r="N34" s="52">
        <f t="shared" si="4"/>
        <v>0</v>
      </c>
      <c r="O34" s="52">
        <f t="shared" si="4"/>
        <v>0</v>
      </c>
      <c r="P34" s="52">
        <f t="shared" si="4"/>
        <v>0</v>
      </c>
      <c r="Q34" s="52">
        <f t="shared" si="4"/>
        <v>0</v>
      </c>
      <c r="R34" s="52">
        <f t="shared" si="4"/>
        <v>0</v>
      </c>
      <c r="S34" s="52">
        <f t="shared" si="4"/>
        <v>0</v>
      </c>
      <c r="T34" s="52">
        <f t="shared" si="4"/>
        <v>0</v>
      </c>
      <c r="U34" s="52">
        <f t="shared" si="4"/>
        <v>0</v>
      </c>
      <c r="V34" s="52"/>
      <c r="W34" s="52"/>
      <c r="X34" s="52"/>
      <c r="Y34" s="52"/>
      <c r="Z34" s="52">
        <f>V4</f>
        <v>0</v>
      </c>
      <c r="AA34" s="52">
        <f>W4</f>
        <v>0</v>
      </c>
      <c r="AB34" s="52" t="e">
        <f>#REF!</f>
        <v>#REF!</v>
      </c>
      <c r="AC34" s="52" t="str">
        <f t="shared" si="4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114"/>
      <c r="K35" s="11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5"/>
      <c r="Z35" s="55"/>
      <c r="AA35" s="55"/>
      <c r="AB35" s="55"/>
      <c r="AC35" s="56"/>
    </row>
  </sheetData>
  <sheetProtection algorithmName="SHA-512" hashValue="EKtVQZH10H04IOUs97SGVvyRG0yOhikJVNf/M2jJmE14FSiCJK3m+IhgM+IhEzKAODNZykRf8gi7C1UrT++qJg==" saltValue="hIBdX32f5D2bWumnQEkSdw==" spinCount="100000" sheet="1" objects="1" scenarios="1" selectLockedCells="1"/>
  <mergeCells count="33">
    <mergeCell ref="A15:B15"/>
    <mergeCell ref="A16:B16"/>
    <mergeCell ref="A17:B17"/>
    <mergeCell ref="A18:A27"/>
    <mergeCell ref="C18:C27"/>
    <mergeCell ref="P2:R2"/>
    <mergeCell ref="A4:B4"/>
    <mergeCell ref="A5:B5"/>
    <mergeCell ref="A6:A14"/>
    <mergeCell ref="AA2:AB2"/>
    <mergeCell ref="AB18:AB27"/>
    <mergeCell ref="Q18:Q27"/>
    <mergeCell ref="R18:R27"/>
    <mergeCell ref="S18:S27"/>
    <mergeCell ref="T18:T27"/>
    <mergeCell ref="U18:U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D18:D27"/>
    <mergeCell ref="P18:P27"/>
    <mergeCell ref="E18:E27"/>
    <mergeCell ref="F18:F27"/>
    <mergeCell ref="G18:G27"/>
    <mergeCell ref="H18:H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2" orientation="landscape" r:id="rId1"/>
  <headerFooter alignWithMargins="0">
    <oddFooter>&amp;RSJCPIL-R 15-010-02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pageSetUpPr fitToPage="1"/>
  </sheetPr>
  <dimension ref="A1:AD35"/>
  <sheetViews>
    <sheetView showZeros="0" zoomScaleNormal="10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8" width="9.140625" customWidth="1"/>
    <col min="29" max="29" width="16.7109375" customWidth="1"/>
    <col min="30" max="30" width="12.7109375" bestFit="1" customWidth="1"/>
  </cols>
  <sheetData>
    <row r="1" spans="1:30" ht="13.5" thickBot="1" x14ac:dyDescent="0.25"/>
    <row r="2" spans="1:30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24</v>
      </c>
      <c r="Q2" s="131"/>
      <c r="R2" s="131"/>
      <c r="S2" s="59"/>
      <c r="T2" s="4" t="s">
        <v>1</v>
      </c>
      <c r="Z2" s="3"/>
      <c r="AA2" s="129" t="s">
        <v>60</v>
      </c>
      <c r="AB2" s="143"/>
      <c r="AC2" s="123" t="str">
        <f ca="1">'Máq. 1'!AC2</f>
        <v>03/2022</v>
      </c>
      <c r="AD2" s="57"/>
    </row>
    <row r="3" spans="1:30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89"/>
      <c r="AA3" s="89"/>
      <c r="AB3" s="89"/>
      <c r="AC3" s="39"/>
      <c r="AD3" s="76"/>
    </row>
    <row r="4" spans="1:30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" t="s">
        <v>3</v>
      </c>
      <c r="AD4" s="75"/>
    </row>
    <row r="5" spans="1:30" s="13" customFormat="1" ht="30" customHeight="1" thickBot="1" x14ac:dyDescent="0.25">
      <c r="A5" s="134" t="s">
        <v>4</v>
      </c>
      <c r="B5" s="135"/>
      <c r="C5" s="10"/>
      <c r="D5" s="11"/>
      <c r="E5" s="11"/>
      <c r="F5" s="11"/>
      <c r="G5" s="11"/>
      <c r="H5" s="11"/>
      <c r="I5" s="11"/>
      <c r="J5" s="84"/>
      <c r="K5" s="11"/>
      <c r="L5" s="84"/>
      <c r="M5" s="11"/>
      <c r="N5" s="11"/>
      <c r="O5" s="11"/>
      <c r="P5" s="84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61">
        <f>SUM(C5:AB5)</f>
        <v>0</v>
      </c>
      <c r="AD5" s="72"/>
    </row>
    <row r="6" spans="1:30" s="13" customFormat="1" ht="30" customHeight="1" x14ac:dyDescent="0.2">
      <c r="A6" s="136" t="s">
        <v>5</v>
      </c>
      <c r="B6" s="66" t="s">
        <v>31</v>
      </c>
      <c r="C6" s="14"/>
      <c r="D6" s="15"/>
      <c r="E6" s="15"/>
      <c r="F6" s="15"/>
      <c r="G6" s="15"/>
      <c r="H6" s="15"/>
      <c r="I6" s="15"/>
      <c r="J6" s="15"/>
      <c r="K6" s="15"/>
      <c r="L6" s="25"/>
      <c r="M6" s="25"/>
      <c r="N6" s="2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7">
        <f t="shared" ref="AC6:AC15" si="0">SUM(C6:AB6)</f>
        <v>0</v>
      </c>
      <c r="AD6" s="73"/>
    </row>
    <row r="7" spans="1:30" s="13" customFormat="1" ht="30" customHeight="1" x14ac:dyDescent="0.2">
      <c r="A7" s="137"/>
      <c r="B7" s="67" t="s">
        <v>32</v>
      </c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0">
        <f t="shared" si="0"/>
        <v>0</v>
      </c>
      <c r="AD7" s="74"/>
    </row>
    <row r="8" spans="1:30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0">
        <f t="shared" si="0"/>
        <v>0</v>
      </c>
      <c r="AD8" s="74"/>
    </row>
    <row r="9" spans="1:30" s="13" customFormat="1" ht="30" customHeight="1" x14ac:dyDescent="0.2">
      <c r="A9" s="137"/>
      <c r="B9" s="67" t="s">
        <v>7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0">
        <f t="shared" si="0"/>
        <v>0</v>
      </c>
      <c r="AD9" s="74"/>
    </row>
    <row r="10" spans="1:30" s="13" customFormat="1" ht="30" customHeight="1" x14ac:dyDescent="0.2">
      <c r="A10" s="137"/>
      <c r="B10" s="67" t="s">
        <v>33</v>
      </c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0">
        <f t="shared" si="0"/>
        <v>0</v>
      </c>
      <c r="AD10" s="74"/>
    </row>
    <row r="11" spans="1:30" s="13" customFormat="1" ht="30" customHeight="1" x14ac:dyDescent="0.2">
      <c r="A11" s="137"/>
      <c r="B11" s="67" t="s">
        <v>8</v>
      </c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3">
        <f t="shared" si="0"/>
        <v>0</v>
      </c>
      <c r="AD11" s="72"/>
    </row>
    <row r="12" spans="1:30" s="13" customFormat="1" ht="30" customHeight="1" x14ac:dyDescent="0.2">
      <c r="A12" s="137"/>
      <c r="B12" s="67" t="s">
        <v>9</v>
      </c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3">
        <f t="shared" si="0"/>
        <v>0</v>
      </c>
      <c r="AD12" s="72"/>
    </row>
    <row r="13" spans="1:30" s="13" customFormat="1" ht="30" customHeight="1" x14ac:dyDescent="0.2">
      <c r="A13" s="137"/>
      <c r="B13" s="67" t="s">
        <v>10</v>
      </c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0">
        <f t="shared" si="0"/>
        <v>0</v>
      </c>
      <c r="AD13" s="74"/>
    </row>
    <row r="14" spans="1:30" s="13" customFormat="1" ht="30" customHeight="1" x14ac:dyDescent="0.2">
      <c r="A14" s="137"/>
      <c r="B14" s="70" t="s">
        <v>11</v>
      </c>
      <c r="C14" s="91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29">
        <f t="shared" si="0"/>
        <v>0</v>
      </c>
      <c r="AD14" s="72"/>
    </row>
    <row r="15" spans="1:30" s="13" customFormat="1" ht="30" customHeight="1" thickBot="1" x14ac:dyDescent="0.25">
      <c r="A15" s="138" t="s">
        <v>12</v>
      </c>
      <c r="B15" s="139"/>
      <c r="C15" s="116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29">
        <f t="shared" si="0"/>
        <v>0</v>
      </c>
      <c r="AD15" s="72"/>
    </row>
    <row r="16" spans="1:30" s="13" customFormat="1" ht="30" customHeight="1" x14ac:dyDescent="0.2">
      <c r="A16" s="124" t="s">
        <v>13</v>
      </c>
      <c r="B16" s="140"/>
      <c r="C16" s="60">
        <f>SUM(C6:C15)</f>
        <v>0</v>
      </c>
      <c r="D16" s="30">
        <f t="shared" ref="D16:U16" si="1">SUM(D6:D15)</f>
        <v>0</v>
      </c>
      <c r="E16" s="30">
        <f t="shared" si="1"/>
        <v>0</v>
      </c>
      <c r="F16" s="30">
        <f t="shared" si="1"/>
        <v>0</v>
      </c>
      <c r="G16" s="30">
        <f t="shared" si="1"/>
        <v>0</v>
      </c>
      <c r="H16" s="30">
        <f t="shared" si="1"/>
        <v>0</v>
      </c>
      <c r="I16" s="30">
        <f t="shared" si="1"/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>
        <f t="shared" si="1"/>
        <v>0</v>
      </c>
      <c r="P16" s="30">
        <f t="shared" si="1"/>
        <v>0</v>
      </c>
      <c r="Q16" s="30">
        <f t="shared" si="1"/>
        <v>0</v>
      </c>
      <c r="R16" s="30">
        <f t="shared" si="1"/>
        <v>0</v>
      </c>
      <c r="S16" s="30">
        <f t="shared" si="1"/>
        <v>0</v>
      </c>
      <c r="T16" s="30">
        <f t="shared" si="1"/>
        <v>0</v>
      </c>
      <c r="U16" s="30">
        <f t="shared" si="1"/>
        <v>0</v>
      </c>
      <c r="V16" s="30">
        <f>SUM(V6:V15)</f>
        <v>0</v>
      </c>
      <c r="W16" s="30">
        <f>SUM(W6:W15)</f>
        <v>0</v>
      </c>
      <c r="X16" s="30"/>
      <c r="Y16" s="30">
        <f>SUM(Y6:Y15)</f>
        <v>0</v>
      </c>
      <c r="Z16" s="30">
        <f>SUM(Z6:Z15)</f>
        <v>0</v>
      </c>
      <c r="AA16" s="30">
        <f>SUM(AA6:AA15)</f>
        <v>0</v>
      </c>
      <c r="AB16" s="30">
        <f>SUM(AB6:AB15)</f>
        <v>0</v>
      </c>
      <c r="AC16" s="32">
        <f>SUM(C16:AB16)</f>
        <v>0</v>
      </c>
      <c r="AD16" s="72"/>
    </row>
    <row r="17" spans="1:30" s="13" customFormat="1" ht="30" customHeight="1" thickBot="1" x14ac:dyDescent="0.25">
      <c r="A17" s="126" t="s">
        <v>14</v>
      </c>
      <c r="B17" s="141"/>
      <c r="C17" s="33" t="str">
        <f t="shared" ref="C17:U17" si="2">IF(ISERR(C16/C5),"",C16/C5*1000000)</f>
        <v/>
      </c>
      <c r="D17" s="34" t="str">
        <f t="shared" si="2"/>
        <v/>
      </c>
      <c r="E17" s="34" t="str">
        <f t="shared" si="2"/>
        <v/>
      </c>
      <c r="F17" s="34" t="str">
        <f t="shared" si="2"/>
        <v/>
      </c>
      <c r="G17" s="34" t="str">
        <f t="shared" si="2"/>
        <v/>
      </c>
      <c r="H17" s="34" t="str">
        <f t="shared" si="2"/>
        <v/>
      </c>
      <c r="I17" s="34" t="str">
        <f t="shared" si="2"/>
        <v/>
      </c>
      <c r="J17" s="34" t="str">
        <f t="shared" si="2"/>
        <v/>
      </c>
      <c r="K17" s="34" t="str">
        <f t="shared" si="2"/>
        <v/>
      </c>
      <c r="L17" s="34" t="str">
        <f t="shared" si="2"/>
        <v/>
      </c>
      <c r="M17" s="34" t="str">
        <f t="shared" si="2"/>
        <v/>
      </c>
      <c r="N17" s="34" t="str">
        <f t="shared" si="2"/>
        <v/>
      </c>
      <c r="O17" s="34" t="str">
        <f t="shared" si="2"/>
        <v/>
      </c>
      <c r="P17" s="34" t="str">
        <f t="shared" si="2"/>
        <v/>
      </c>
      <c r="Q17" s="34" t="str">
        <f t="shared" si="2"/>
        <v/>
      </c>
      <c r="R17" s="34" t="str">
        <f t="shared" si="2"/>
        <v/>
      </c>
      <c r="S17" s="34" t="str">
        <f t="shared" si="2"/>
        <v/>
      </c>
      <c r="T17" s="34" t="str">
        <f t="shared" si="2"/>
        <v/>
      </c>
      <c r="U17" s="34" t="str">
        <f t="shared" si="2"/>
        <v/>
      </c>
      <c r="V17" s="34" t="str">
        <f>IF(ISERR(V16/V5),"",V16/V5*1000000)</f>
        <v/>
      </c>
      <c r="W17" s="34" t="str">
        <f>IF(ISERR(W16/W5),"",W16/W5*1000000)</f>
        <v/>
      </c>
      <c r="X17" s="34"/>
      <c r="Y17" s="34" t="str">
        <f>IF(ISERR(Y16/Y5),"",Y16/Y5*1000000)</f>
        <v/>
      </c>
      <c r="Z17" s="34" t="str">
        <f>IF(ISERR(Z16/Z5),"",Z16/Z5*1000000)</f>
        <v/>
      </c>
      <c r="AA17" s="34" t="str">
        <f>IF(ISERR(AA16/AA5),"",AA16/AA5*1000000)</f>
        <v/>
      </c>
      <c r="AB17" s="34" t="str">
        <f>IF(ISERR(AB16/AB5),"",AB16/AB5*1000000)</f>
        <v/>
      </c>
      <c r="AC17" s="61" t="str">
        <f>IF(ISERR(AC16/AC5),"",AC16/AC5*1000000)</f>
        <v/>
      </c>
      <c r="AD17" s="73"/>
    </row>
    <row r="18" spans="1:30" ht="39.950000000000003" customHeight="1" x14ac:dyDescent="0.2">
      <c r="A18" s="142"/>
      <c r="B18" s="5"/>
      <c r="C18" s="128">
        <f>C35</f>
        <v>0</v>
      </c>
      <c r="D18" s="128">
        <f t="shared" ref="D18:AB18" si="3">D35</f>
        <v>0</v>
      </c>
      <c r="E18" s="128">
        <f t="shared" si="3"/>
        <v>0</v>
      </c>
      <c r="F18" s="128">
        <f t="shared" si="3"/>
        <v>0</v>
      </c>
      <c r="G18" s="128">
        <f t="shared" si="3"/>
        <v>0</v>
      </c>
      <c r="H18" s="128">
        <f t="shared" si="3"/>
        <v>0</v>
      </c>
      <c r="I18" s="128">
        <f t="shared" si="3"/>
        <v>0</v>
      </c>
      <c r="J18" s="128">
        <f t="shared" si="3"/>
        <v>0</v>
      </c>
      <c r="K18" s="128">
        <f t="shared" si="3"/>
        <v>0</v>
      </c>
      <c r="L18" s="128">
        <f t="shared" si="3"/>
        <v>0</v>
      </c>
      <c r="M18" s="128">
        <f t="shared" si="3"/>
        <v>0</v>
      </c>
      <c r="N18" s="128">
        <f t="shared" si="3"/>
        <v>0</v>
      </c>
      <c r="O18" s="128">
        <f t="shared" si="3"/>
        <v>0</v>
      </c>
      <c r="P18" s="128">
        <f t="shared" si="3"/>
        <v>0</v>
      </c>
      <c r="Q18" s="128">
        <f t="shared" si="3"/>
        <v>0</v>
      </c>
      <c r="R18" s="128">
        <f t="shared" si="3"/>
        <v>0</v>
      </c>
      <c r="S18" s="128">
        <f t="shared" si="3"/>
        <v>0</v>
      </c>
      <c r="T18" s="128">
        <f t="shared" si="3"/>
        <v>0</v>
      </c>
      <c r="U18" s="128">
        <f t="shared" si="3"/>
        <v>0</v>
      </c>
      <c r="V18" s="90"/>
      <c r="W18" s="90"/>
      <c r="X18" s="90"/>
      <c r="Y18" s="90"/>
      <c r="Z18" s="128">
        <f t="shared" si="3"/>
        <v>0</v>
      </c>
      <c r="AA18" s="128">
        <f t="shared" si="3"/>
        <v>0</v>
      </c>
      <c r="AB18" s="128">
        <f t="shared" si="3"/>
        <v>0</v>
      </c>
      <c r="AC18" s="36"/>
    </row>
    <row r="19" spans="1:30" ht="39.950000000000003" customHeight="1" x14ac:dyDescent="0.2">
      <c r="A19" s="142"/>
      <c r="B19" s="3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90"/>
      <c r="W19" s="90"/>
      <c r="X19" s="90"/>
      <c r="Y19" s="90"/>
      <c r="Z19" s="128"/>
      <c r="AA19" s="128"/>
      <c r="AB19" s="128"/>
      <c r="AC19" s="36"/>
    </row>
    <row r="20" spans="1:30" ht="39.950000000000003" customHeight="1" x14ac:dyDescent="0.2">
      <c r="A20" s="142"/>
      <c r="B20" s="3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90"/>
      <c r="W20" s="90"/>
      <c r="X20" s="90"/>
      <c r="Y20" s="90"/>
      <c r="Z20" s="128"/>
      <c r="AA20" s="128"/>
      <c r="AB20" s="128"/>
      <c r="AC20" s="36"/>
    </row>
    <row r="21" spans="1:30" ht="39.950000000000003" customHeight="1" x14ac:dyDescent="0.2">
      <c r="A21" s="142"/>
      <c r="B21" s="89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90"/>
      <c r="W21" s="90"/>
      <c r="X21" s="90"/>
      <c r="Y21" s="90"/>
      <c r="Z21" s="128"/>
      <c r="AA21" s="128"/>
      <c r="AB21" s="128"/>
      <c r="AC21" s="36"/>
    </row>
    <row r="22" spans="1:30" ht="39.950000000000003" customHeight="1" x14ac:dyDescent="0.2">
      <c r="A22" s="142"/>
      <c r="B22" s="89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90"/>
      <c r="W22" s="90"/>
      <c r="X22" s="90"/>
      <c r="Y22" s="90"/>
      <c r="Z22" s="128"/>
      <c r="AA22" s="128"/>
      <c r="AB22" s="128"/>
      <c r="AC22" s="36"/>
    </row>
    <row r="23" spans="1:30" ht="39.950000000000003" customHeight="1" x14ac:dyDescent="0.2">
      <c r="A23" s="142"/>
      <c r="B23" s="89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90"/>
      <c r="W23" s="90"/>
      <c r="X23" s="90"/>
      <c r="Y23" s="90"/>
      <c r="Z23" s="128"/>
      <c r="AA23" s="128"/>
      <c r="AB23" s="128"/>
      <c r="AC23" s="36"/>
    </row>
    <row r="24" spans="1:30" ht="39.950000000000003" customHeight="1" x14ac:dyDescent="0.2">
      <c r="A24" s="142"/>
      <c r="B24" s="89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90"/>
      <c r="W24" s="90"/>
      <c r="X24" s="90"/>
      <c r="Y24" s="90"/>
      <c r="Z24" s="128"/>
      <c r="AA24" s="128"/>
      <c r="AB24" s="128"/>
      <c r="AC24" s="36"/>
    </row>
    <row r="25" spans="1:30" ht="39.950000000000003" customHeight="1" x14ac:dyDescent="0.2">
      <c r="A25" s="142"/>
      <c r="B25" s="89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90"/>
      <c r="W25" s="90"/>
      <c r="X25" s="90"/>
      <c r="Y25" s="90"/>
      <c r="Z25" s="128"/>
      <c r="AA25" s="128"/>
      <c r="AB25" s="128"/>
      <c r="AC25" s="36"/>
    </row>
    <row r="26" spans="1:30" ht="39.950000000000003" customHeight="1" x14ac:dyDescent="0.2">
      <c r="A26" s="142"/>
      <c r="B26" s="89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90"/>
      <c r="W26" s="90"/>
      <c r="X26" s="90"/>
      <c r="Y26" s="90"/>
      <c r="Z26" s="128"/>
      <c r="AA26" s="128"/>
      <c r="AB26" s="128"/>
      <c r="AC26" s="36"/>
    </row>
    <row r="27" spans="1:30" ht="39.950000000000003" customHeight="1" thickBot="1" x14ac:dyDescent="0.25">
      <c r="A27" s="142"/>
      <c r="B27" s="89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90"/>
      <c r="W27" s="90"/>
      <c r="X27" s="90"/>
      <c r="Y27" s="90"/>
      <c r="Z27" s="128"/>
      <c r="AA27" s="128"/>
      <c r="AB27" s="128"/>
      <c r="AC27" s="36"/>
    </row>
    <row r="28" spans="1:30" ht="30" customHeight="1" x14ac:dyDescent="0.2">
      <c r="A28" s="124" t="s">
        <v>41</v>
      </c>
      <c r="B28" s="125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30" ht="30" customHeight="1" thickBot="1" x14ac:dyDescent="0.25">
      <c r="A29" s="126" t="s">
        <v>40</v>
      </c>
      <c r="B29" s="127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30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30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30" ht="24" customHeight="1" x14ac:dyDescent="0.2">
      <c r="A32" s="50" t="s">
        <v>19</v>
      </c>
      <c r="B32" s="50"/>
      <c r="C32">
        <f>'Máq. 1'!$C$32</f>
        <v>800</v>
      </c>
    </row>
    <row r="34" spans="2:29" ht="15.75" x14ac:dyDescent="0.25">
      <c r="B34" s="51" t="s">
        <v>20</v>
      </c>
      <c r="C34" s="52">
        <f t="shared" ref="C34:AC34" si="4">C4</f>
        <v>0</v>
      </c>
      <c r="D34" s="52">
        <f t="shared" si="4"/>
        <v>0</v>
      </c>
      <c r="E34" s="52">
        <f t="shared" si="4"/>
        <v>0</v>
      </c>
      <c r="F34" s="52">
        <f t="shared" si="4"/>
        <v>0</v>
      </c>
      <c r="G34" s="52">
        <f t="shared" si="4"/>
        <v>0</v>
      </c>
      <c r="H34" s="52">
        <f t="shared" si="4"/>
        <v>0</v>
      </c>
      <c r="I34" s="52">
        <f t="shared" si="4"/>
        <v>0</v>
      </c>
      <c r="J34" s="52">
        <f t="shared" si="4"/>
        <v>0</v>
      </c>
      <c r="K34" s="52">
        <f t="shared" si="4"/>
        <v>0</v>
      </c>
      <c r="L34" s="52">
        <f t="shared" si="4"/>
        <v>0</v>
      </c>
      <c r="M34" s="52">
        <f t="shared" si="4"/>
        <v>0</v>
      </c>
      <c r="N34" s="52">
        <f t="shared" si="4"/>
        <v>0</v>
      </c>
      <c r="O34" s="52">
        <f t="shared" si="4"/>
        <v>0</v>
      </c>
      <c r="P34" s="52">
        <f t="shared" si="4"/>
        <v>0</v>
      </c>
      <c r="Q34" s="52">
        <f t="shared" si="4"/>
        <v>0</v>
      </c>
      <c r="R34" s="52">
        <f t="shared" si="4"/>
        <v>0</v>
      </c>
      <c r="S34" s="52">
        <f t="shared" si="4"/>
        <v>0</v>
      </c>
      <c r="T34" s="52">
        <f t="shared" si="4"/>
        <v>0</v>
      </c>
      <c r="U34" s="52">
        <f t="shared" si="4"/>
        <v>0</v>
      </c>
      <c r="V34" s="52"/>
      <c r="W34" s="52"/>
      <c r="X34" s="52"/>
      <c r="Y34" s="52"/>
      <c r="Z34" s="52">
        <f>V4</f>
        <v>0</v>
      </c>
      <c r="AA34" s="52">
        <f>W4</f>
        <v>0</v>
      </c>
      <c r="AB34" s="52">
        <f t="shared" si="4"/>
        <v>0</v>
      </c>
      <c r="AC34" s="52" t="str">
        <f t="shared" si="4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6"/>
    </row>
  </sheetData>
  <sheetProtection algorithmName="SHA-512" hashValue="pF7ykNJw1djvKIhdkz+AUaBGGHXv7AIDJaIGNxzxp5mX5DFVQwEfo5zKhrr2G9Io//fdZHxKXLrnc+DPAAT73Q==" saltValue="vc6LEXVE2l4GXfqxv8x/sQ==" spinCount="100000" sheet="1" objects="1" scenarios="1" selectLockedCells="1"/>
  <mergeCells count="33">
    <mergeCell ref="A15:B15"/>
    <mergeCell ref="A16:B16"/>
    <mergeCell ref="A17:B17"/>
    <mergeCell ref="A18:A27"/>
    <mergeCell ref="C18:C27"/>
    <mergeCell ref="P2:R2"/>
    <mergeCell ref="A4:B4"/>
    <mergeCell ref="A5:B5"/>
    <mergeCell ref="A6:A14"/>
    <mergeCell ref="AA2:AB2"/>
    <mergeCell ref="AB18:AB27"/>
    <mergeCell ref="Q18:Q27"/>
    <mergeCell ref="R18:R27"/>
    <mergeCell ref="S18:S27"/>
    <mergeCell ref="T18:T27"/>
    <mergeCell ref="U18:U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D18:D27"/>
    <mergeCell ref="P18:P27"/>
    <mergeCell ref="E18:E27"/>
    <mergeCell ref="F18:F27"/>
    <mergeCell ref="G18:G27"/>
    <mergeCell ref="H18:H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2" orientation="landscape" r:id="rId1"/>
  <headerFooter alignWithMargins="0">
    <oddFooter>&amp;RSJCPIL-R 15-010-02</oddFooter>
  </headerFooter>
  <ignoredErrors>
    <ignoredError sqref="C16:E16 I16:J16 L16:V16 G16:H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85725</xdr:rowOff>
                  </from>
                  <to>
                    <xdr:col>22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219075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>
    <pageSetUpPr fitToPage="1"/>
  </sheetPr>
  <dimension ref="A1:AN35"/>
  <sheetViews>
    <sheetView showZeros="0" topLeftCell="A4" zoomScaleNormal="10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8" width="9.140625" customWidth="1"/>
    <col min="29" max="29" width="16.7109375" customWidth="1"/>
    <col min="34" max="34" width="31.28515625" customWidth="1"/>
    <col min="35" max="35" width="5.85546875" bestFit="1" customWidth="1"/>
    <col min="39" max="39" width="28" bestFit="1" customWidth="1"/>
  </cols>
  <sheetData>
    <row r="1" spans="1:40" ht="13.5" thickBot="1" x14ac:dyDescent="0.25"/>
    <row r="2" spans="1:40" ht="34.5" customHeight="1" thickBot="1" x14ac:dyDescent="0.25">
      <c r="C2" s="1" t="s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31" t="s">
        <v>23</v>
      </c>
      <c r="Q2" s="131"/>
      <c r="R2" s="131"/>
      <c r="S2" s="59"/>
      <c r="T2" s="4" t="s">
        <v>1</v>
      </c>
      <c r="Z2" s="3"/>
      <c r="AA2" s="129" t="s">
        <v>60</v>
      </c>
      <c r="AB2" s="143"/>
      <c r="AC2" s="123" t="str">
        <f ca="1">'Máq. 1'!AC2</f>
        <v>03/2022</v>
      </c>
      <c r="AD2" s="57"/>
    </row>
    <row r="3" spans="1:40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89"/>
      <c r="AA3" s="89"/>
      <c r="AB3" s="89"/>
      <c r="AC3" s="39"/>
      <c r="AD3" s="89"/>
    </row>
    <row r="4" spans="1:40" s="9" customFormat="1" ht="30" customHeight="1" x14ac:dyDescent="0.2">
      <c r="A4" s="132" t="s">
        <v>2</v>
      </c>
      <c r="B4" s="133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8"/>
      <c r="Y4" s="87"/>
      <c r="Z4" s="87"/>
      <c r="AA4" s="87"/>
      <c r="AB4" s="87"/>
      <c r="AC4" s="8" t="s">
        <v>3</v>
      </c>
      <c r="AD4" s="75"/>
      <c r="AE4" s="62" t="s">
        <v>27</v>
      </c>
      <c r="AF4" s="62" t="s">
        <v>14</v>
      </c>
    </row>
    <row r="5" spans="1:40" s="13" customFormat="1" ht="30" customHeight="1" thickBot="1" x14ac:dyDescent="0.25">
      <c r="A5" s="134" t="s">
        <v>4</v>
      </c>
      <c r="B5" s="135"/>
      <c r="C5" s="92"/>
      <c r="D5" s="92"/>
      <c r="E5" s="84"/>
      <c r="F5" s="84"/>
      <c r="G5" s="84"/>
      <c r="H5" s="84"/>
      <c r="I5" s="84"/>
      <c r="J5" s="84"/>
      <c r="K5" s="84"/>
      <c r="L5" s="84"/>
      <c r="M5" s="11"/>
      <c r="N5" s="11"/>
      <c r="O5" s="84"/>
      <c r="P5" s="84"/>
      <c r="Q5" s="84"/>
      <c r="R5" s="84"/>
      <c r="S5" s="84"/>
      <c r="T5" s="84"/>
      <c r="U5" s="84"/>
      <c r="V5" s="84"/>
      <c r="W5" s="84"/>
      <c r="X5" s="93"/>
      <c r="Y5" s="84"/>
      <c r="Z5" s="84"/>
      <c r="AA5" s="84"/>
      <c r="AB5" s="84"/>
      <c r="AC5" s="61">
        <f>SUM(C5:AB5)</f>
        <v>0</v>
      </c>
      <c r="AD5" s="72"/>
      <c r="AE5" s="65" t="e">
        <f>PROD_TOTAL_M5D+PROD_TOTAL_M4D+PROD_TOTAL_M3D+PROD_TOTAL_M2D+PROD_TOTAL_M1D</f>
        <v>#NAME?</v>
      </c>
      <c r="AF5" s="65"/>
      <c r="AH5" s="65" t="s">
        <v>26</v>
      </c>
      <c r="AI5" s="65"/>
      <c r="AJ5" s="65" t="s">
        <v>30</v>
      </c>
      <c r="AK5" s="65" t="s">
        <v>28</v>
      </c>
      <c r="AL5" s="65" t="s">
        <v>29</v>
      </c>
      <c r="AM5" s="65"/>
      <c r="AN5" s="65"/>
    </row>
    <row r="6" spans="1:40" s="13" customFormat="1" ht="30" customHeight="1" x14ac:dyDescent="0.2">
      <c r="A6" s="136" t="s">
        <v>5</v>
      </c>
      <c r="B6" s="66" t="s">
        <v>31</v>
      </c>
      <c r="C6" s="14"/>
      <c r="D6" s="14"/>
      <c r="E6" s="15"/>
      <c r="F6" s="15"/>
      <c r="G6" s="15"/>
      <c r="H6" s="15"/>
      <c r="I6" s="15"/>
      <c r="J6" s="15"/>
      <c r="K6" s="15"/>
      <c r="L6" s="15"/>
      <c r="M6" s="25"/>
      <c r="N6" s="25"/>
      <c r="O6" s="15"/>
      <c r="P6" s="15"/>
      <c r="Q6" s="95"/>
      <c r="R6" s="15"/>
      <c r="S6" s="15"/>
      <c r="T6" s="15"/>
      <c r="U6" s="25"/>
      <c r="V6" s="25"/>
      <c r="W6" s="15"/>
      <c r="X6" s="16"/>
      <c r="Y6" s="15"/>
      <c r="Z6" s="15"/>
      <c r="AA6" s="15"/>
      <c r="AB6" s="15"/>
      <c r="AC6" s="17">
        <f t="shared" ref="AC6:AC15" si="0">SUM(C6:AB6)</f>
        <v>0</v>
      </c>
      <c r="AD6" s="73"/>
      <c r="AE6" s="63">
        <f>AC6+'Máq. 4'!AC6+'Máq. 3'!AC6+'Máq. 2'!AC6+'Máq. 1'!AC6</f>
        <v>0</v>
      </c>
      <c r="AF6" s="65" t="e">
        <f>AE6/AE$5*1000000</f>
        <v>#NAME?</v>
      </c>
      <c r="AG6" s="13">
        <v>1</v>
      </c>
      <c r="AH6" s="68" t="str">
        <f t="shared" ref="AH6:AH14" si="1">B6</f>
        <v>AMASSADO ALIMENTADOR</v>
      </c>
      <c r="AI6" s="69" t="e">
        <f t="shared" ref="AI6:AI15" si="2">AF6</f>
        <v>#NAME?</v>
      </c>
      <c r="AJ6" s="65" t="e">
        <f t="shared" ref="AJ6:AJ15" si="3">AF6*10+AG6</f>
        <v>#NAME?</v>
      </c>
      <c r="AK6" s="65" t="e">
        <f t="shared" ref="AK6:AK15" si="4">LARGE(AJ$6:AJ$15,AG6)</f>
        <v>#NAME?</v>
      </c>
      <c r="AL6" s="65" t="e">
        <f t="shared" ref="AL6:AL15" si="5">MATCH(AK6,AJ$6:AJ$15,0)</f>
        <v>#NAME?</v>
      </c>
      <c r="AM6" s="65" t="e">
        <f t="shared" ref="AM6:AM15" si="6">VLOOKUP(AL6,AG$6:AH$15,2,)</f>
        <v>#NAME?</v>
      </c>
      <c r="AN6" s="63" t="e">
        <f t="shared" ref="AN6:AN15" si="7">VLOOKUP(AL6,AG$6:AI$15,3,)</f>
        <v>#NAME?</v>
      </c>
    </row>
    <row r="7" spans="1:40" s="13" customFormat="1" ht="30" customHeight="1" x14ac:dyDescent="0.2">
      <c r="A7" s="137"/>
      <c r="B7" s="67" t="s">
        <v>32</v>
      </c>
      <c r="C7" s="24"/>
      <c r="D7" s="24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6"/>
      <c r="Y7" s="25"/>
      <c r="Z7" s="25"/>
      <c r="AA7" s="25"/>
      <c r="AB7" s="25"/>
      <c r="AC7" s="20">
        <f t="shared" si="0"/>
        <v>0</v>
      </c>
      <c r="AD7" s="74"/>
      <c r="AE7" s="63">
        <f>AC7+'Máq. 4'!AC7+'Máq. 3'!AC7+'Máq. 2'!AC7+'Máq. 1'!AC7</f>
        <v>0</v>
      </c>
      <c r="AF7" s="63" t="e">
        <f t="shared" ref="AF7:AF15" si="8">AE7/AE$5*1000000</f>
        <v>#NAME?</v>
      </c>
      <c r="AG7" s="13">
        <v>2</v>
      </c>
      <c r="AH7" s="68" t="str">
        <f t="shared" si="1"/>
        <v>AMASSADO 
MEIA-LUA</v>
      </c>
      <c r="AI7" s="69" t="e">
        <f t="shared" si="2"/>
        <v>#NAME?</v>
      </c>
      <c r="AJ7" s="65" t="e">
        <f t="shared" si="3"/>
        <v>#NAME?</v>
      </c>
      <c r="AK7" s="65" t="e">
        <f t="shared" si="4"/>
        <v>#NAME?</v>
      </c>
      <c r="AL7" s="65" t="e">
        <f t="shared" si="5"/>
        <v>#NAME?</v>
      </c>
      <c r="AM7" s="65" t="e">
        <f t="shared" si="6"/>
        <v>#NAME?</v>
      </c>
      <c r="AN7" s="63" t="e">
        <f t="shared" si="7"/>
        <v>#NAME?</v>
      </c>
    </row>
    <row r="8" spans="1:40" s="13" customFormat="1" ht="30" customHeight="1" x14ac:dyDescent="0.2">
      <c r="A8" s="137"/>
      <c r="B8" s="6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6"/>
      <c r="Y8" s="25"/>
      <c r="Z8" s="25"/>
      <c r="AA8" s="25"/>
      <c r="AB8" s="25"/>
      <c r="AC8" s="20">
        <f t="shared" si="0"/>
        <v>0</v>
      </c>
      <c r="AD8" s="74"/>
      <c r="AE8" s="63">
        <f>AC8+'Máq. 4'!AC8+'Máq. 3'!AC8+'Máq. 2'!AC8+'Máq. 1'!AC8</f>
        <v>0</v>
      </c>
      <c r="AF8" s="63" t="e">
        <f t="shared" si="8"/>
        <v>#NAME?</v>
      </c>
      <c r="AG8" s="13">
        <v>3</v>
      </c>
      <c r="AH8" s="68" t="str">
        <f t="shared" si="1"/>
        <v>CHAPA ABERTA</v>
      </c>
      <c r="AI8" s="69" t="e">
        <f t="shared" si="2"/>
        <v>#NAME?</v>
      </c>
      <c r="AJ8" s="65" t="e">
        <f t="shared" si="3"/>
        <v>#NAME?</v>
      </c>
      <c r="AK8" s="65" t="e">
        <f t="shared" si="4"/>
        <v>#NAME?</v>
      </c>
      <c r="AL8" s="65" t="e">
        <f t="shared" si="5"/>
        <v>#NAME?</v>
      </c>
      <c r="AM8" s="65" t="e">
        <f t="shared" si="6"/>
        <v>#NAME?</v>
      </c>
      <c r="AN8" s="63" t="e">
        <f t="shared" si="7"/>
        <v>#NAME?</v>
      </c>
    </row>
    <row r="9" spans="1:40" s="13" customFormat="1" ht="30" customHeight="1" x14ac:dyDescent="0.2">
      <c r="A9" s="137"/>
      <c r="B9" s="67" t="s">
        <v>7</v>
      </c>
      <c r="C9" s="24"/>
      <c r="D9" s="24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6"/>
      <c r="Y9" s="25"/>
      <c r="Z9" s="25"/>
      <c r="AA9" s="25"/>
      <c r="AB9" s="25"/>
      <c r="AC9" s="20">
        <f t="shared" si="0"/>
        <v>0</v>
      </c>
      <c r="AD9" s="74"/>
      <c r="AE9" s="63">
        <f>AC9+'Máq. 4'!AC9+'Máq. 3'!AC9+'Máq. 2'!AC9+'Máq. 1'!AC9</f>
        <v>0</v>
      </c>
      <c r="AF9" s="63" t="e">
        <f t="shared" si="8"/>
        <v>#NAME?</v>
      </c>
      <c r="AG9" s="13">
        <v>4</v>
      </c>
      <c r="AH9" s="68" t="str">
        <f t="shared" si="1"/>
        <v>CHAPA FECHADA</v>
      </c>
      <c r="AI9" s="69" t="e">
        <f t="shared" si="2"/>
        <v>#NAME?</v>
      </c>
      <c r="AJ9" s="65" t="e">
        <f t="shared" si="3"/>
        <v>#NAME?</v>
      </c>
      <c r="AK9" s="65" t="e">
        <f t="shared" si="4"/>
        <v>#NAME?</v>
      </c>
      <c r="AL9" s="65" t="e">
        <f t="shared" si="5"/>
        <v>#NAME?</v>
      </c>
      <c r="AM9" s="65" t="e">
        <f t="shared" si="6"/>
        <v>#NAME?</v>
      </c>
      <c r="AN9" s="63" t="e">
        <f t="shared" si="7"/>
        <v>#NAME?</v>
      </c>
    </row>
    <row r="10" spans="1:40" s="13" customFormat="1" ht="30" customHeight="1" x14ac:dyDescent="0.2">
      <c r="A10" s="137"/>
      <c r="B10" s="67" t="s">
        <v>33</v>
      </c>
      <c r="C10" s="24"/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  <c r="Y10" s="25"/>
      <c r="Z10" s="25"/>
      <c r="AA10" s="25"/>
      <c r="AB10" s="25"/>
      <c r="AC10" s="20">
        <f t="shared" si="0"/>
        <v>0</v>
      </c>
      <c r="AD10" s="74"/>
      <c r="AE10" s="63">
        <f>AC10+'Máq. 4'!AC10+'Máq. 3'!AC10+'Máq. 2'!AC10+'Máq. 1'!AC10</f>
        <v>0</v>
      </c>
      <c r="AF10" s="63" t="e">
        <f t="shared" si="8"/>
        <v>#NAME?</v>
      </c>
      <c r="AG10" s="13">
        <v>5</v>
      </c>
      <c r="AH10" s="68" t="str">
        <f t="shared" si="1"/>
        <v>AMASSADO FLANGER</v>
      </c>
      <c r="AI10" s="69" t="e">
        <f t="shared" si="2"/>
        <v>#NAME?</v>
      </c>
      <c r="AJ10" s="65" t="e">
        <f t="shared" si="3"/>
        <v>#NAME?</v>
      </c>
      <c r="AK10" s="65" t="e">
        <f t="shared" si="4"/>
        <v>#NAME?</v>
      </c>
      <c r="AL10" s="65" t="e">
        <f t="shared" si="5"/>
        <v>#NAME?</v>
      </c>
      <c r="AM10" s="65" t="e">
        <f t="shared" si="6"/>
        <v>#NAME?</v>
      </c>
      <c r="AN10" s="63" t="e">
        <f t="shared" si="7"/>
        <v>#NAME?</v>
      </c>
    </row>
    <row r="11" spans="1:40" s="13" customFormat="1" ht="30" customHeight="1" x14ac:dyDescent="0.2">
      <c r="A11" s="137"/>
      <c r="B11" s="67" t="s">
        <v>8</v>
      </c>
      <c r="C11" s="24"/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6"/>
      <c r="Y11" s="25"/>
      <c r="Z11" s="25"/>
      <c r="AA11" s="25"/>
      <c r="AB11" s="25"/>
      <c r="AC11" s="23">
        <f t="shared" si="0"/>
        <v>0</v>
      </c>
      <c r="AD11" s="72"/>
      <c r="AE11" s="63">
        <f>AC11+'Máq. 4'!AC11+'Máq. 3'!AC11+'Máq. 2'!AC11+'Máq. 1'!AC11</f>
        <v>0</v>
      </c>
      <c r="AF11" s="63" t="e">
        <f t="shared" si="8"/>
        <v>#NAME?</v>
      </c>
      <c r="AG11" s="13">
        <v>6</v>
      </c>
      <c r="AH11" s="68" t="str">
        <f t="shared" si="1"/>
        <v>BARRIGA</v>
      </c>
      <c r="AI11" s="69" t="e">
        <f t="shared" si="2"/>
        <v>#NAME?</v>
      </c>
      <c r="AJ11" s="65" t="e">
        <f t="shared" si="3"/>
        <v>#NAME?</v>
      </c>
      <c r="AK11" s="65" t="e">
        <f t="shared" si="4"/>
        <v>#NAME?</v>
      </c>
      <c r="AL11" s="65" t="e">
        <f t="shared" si="5"/>
        <v>#NAME?</v>
      </c>
      <c r="AM11" s="65" t="e">
        <f t="shared" si="6"/>
        <v>#NAME?</v>
      </c>
      <c r="AN11" s="63" t="e">
        <f t="shared" si="7"/>
        <v>#NAME?</v>
      </c>
    </row>
    <row r="12" spans="1:40" s="13" customFormat="1" ht="30" customHeight="1" x14ac:dyDescent="0.2">
      <c r="A12" s="137"/>
      <c r="B12" s="67" t="s">
        <v>9</v>
      </c>
      <c r="C12" s="24"/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6"/>
      <c r="Y12" s="25"/>
      <c r="Z12" s="25"/>
      <c r="AA12" s="25"/>
      <c r="AB12" s="25"/>
      <c r="AC12" s="23">
        <f t="shared" si="0"/>
        <v>0</v>
      </c>
      <c r="AD12" s="72"/>
      <c r="AE12" s="63">
        <f>AC12+'Máq. 4'!AC12+'Máq. 3'!AC12+'Máq. 2'!AC12+'Máq. 1'!AC12</f>
        <v>0</v>
      </c>
      <c r="AF12" s="63" t="e">
        <f t="shared" si="8"/>
        <v>#NAME?</v>
      </c>
      <c r="AG12" s="13">
        <v>7</v>
      </c>
      <c r="AH12" s="68" t="str">
        <f t="shared" si="1"/>
        <v>DUAS CHAPAS</v>
      </c>
      <c r="AI12" s="69" t="e">
        <f t="shared" si="2"/>
        <v>#NAME?</v>
      </c>
      <c r="AJ12" s="65" t="e">
        <f t="shared" si="3"/>
        <v>#NAME?</v>
      </c>
      <c r="AK12" s="65" t="e">
        <f t="shared" si="4"/>
        <v>#NAME?</v>
      </c>
      <c r="AL12" s="65" t="e">
        <f t="shared" si="5"/>
        <v>#NAME?</v>
      </c>
      <c r="AM12" s="65" t="e">
        <f t="shared" si="6"/>
        <v>#NAME?</v>
      </c>
      <c r="AN12" s="63" t="e">
        <f t="shared" si="7"/>
        <v>#NAME?</v>
      </c>
    </row>
    <row r="13" spans="1:40" s="13" customFormat="1" ht="30" customHeight="1" x14ac:dyDescent="0.2">
      <c r="A13" s="137"/>
      <c r="B13" s="67" t="s">
        <v>10</v>
      </c>
      <c r="C13" s="24"/>
      <c r="D13" s="24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6"/>
      <c r="Y13" s="25"/>
      <c r="Z13" s="25"/>
      <c r="AA13" s="25"/>
      <c r="AB13" s="25"/>
      <c r="AC13" s="20">
        <f t="shared" si="0"/>
        <v>0</v>
      </c>
      <c r="AD13" s="74"/>
      <c r="AE13" s="63">
        <f>AC13+'Máq. 4'!AC13+'Máq. 3'!AC13+'Máq. 2'!AC13+'Máq. 1'!AC13</f>
        <v>0</v>
      </c>
      <c r="AF13" s="63" t="e">
        <f t="shared" si="8"/>
        <v>#NAME?</v>
      </c>
      <c r="AG13" s="13">
        <v>8</v>
      </c>
      <c r="AH13" s="68" t="str">
        <f t="shared" si="1"/>
        <v>RISCADA</v>
      </c>
      <c r="AI13" s="69" t="e">
        <f t="shared" si="2"/>
        <v>#NAME?</v>
      </c>
      <c r="AJ13" s="65" t="e">
        <f t="shared" si="3"/>
        <v>#NAME?</v>
      </c>
      <c r="AK13" s="65" t="e">
        <f t="shared" si="4"/>
        <v>#NAME?</v>
      </c>
      <c r="AL13" s="65" t="e">
        <f t="shared" si="5"/>
        <v>#NAME?</v>
      </c>
      <c r="AM13" s="65" t="e">
        <f t="shared" si="6"/>
        <v>#NAME?</v>
      </c>
      <c r="AN13" s="63" t="e">
        <f t="shared" si="7"/>
        <v>#NAME?</v>
      </c>
    </row>
    <row r="14" spans="1:40" s="13" customFormat="1" ht="30" customHeight="1" x14ac:dyDescent="0.2">
      <c r="A14" s="137"/>
      <c r="B14" s="70" t="s">
        <v>11</v>
      </c>
      <c r="C14" s="91"/>
      <c r="D14" s="91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5"/>
      <c r="Y14" s="83"/>
      <c r="Z14" s="83"/>
      <c r="AA14" s="83"/>
      <c r="AB14" s="83"/>
      <c r="AC14" s="29">
        <f t="shared" si="0"/>
        <v>0</v>
      </c>
      <c r="AD14" s="72"/>
      <c r="AE14" s="63">
        <f>AC14+'Máq. 4'!AC14+'Máq. 3'!AC14+'Máq. 2'!AC14+'Máq. 1'!AC14</f>
        <v>0</v>
      </c>
      <c r="AF14" s="63" t="e">
        <f t="shared" si="8"/>
        <v>#NAME?</v>
      </c>
      <c r="AG14" s="13">
        <v>9</v>
      </c>
      <c r="AH14" s="68" t="str">
        <f t="shared" si="1"/>
        <v>MANCHADA</v>
      </c>
      <c r="AI14" s="69" t="e">
        <f t="shared" si="2"/>
        <v>#NAME?</v>
      </c>
      <c r="AJ14" s="65" t="e">
        <f t="shared" si="3"/>
        <v>#NAME?</v>
      </c>
      <c r="AK14" s="65" t="e">
        <f t="shared" si="4"/>
        <v>#NAME?</v>
      </c>
      <c r="AL14" s="65" t="e">
        <f t="shared" si="5"/>
        <v>#NAME?</v>
      </c>
      <c r="AM14" s="65" t="e">
        <f t="shared" si="6"/>
        <v>#NAME?</v>
      </c>
      <c r="AN14" s="63" t="e">
        <f t="shared" si="7"/>
        <v>#NAME?</v>
      </c>
    </row>
    <row r="15" spans="1:40" s="13" customFormat="1" ht="30" customHeight="1" thickBot="1" x14ac:dyDescent="0.25">
      <c r="A15" s="138" t="s">
        <v>12</v>
      </c>
      <c r="B15" s="139"/>
      <c r="C15" s="116"/>
      <c r="D15" s="116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5"/>
      <c r="Y15" s="83"/>
      <c r="Z15" s="83"/>
      <c r="AA15" s="83"/>
      <c r="AB15" s="83"/>
      <c r="AC15" s="29">
        <f t="shared" si="0"/>
        <v>0</v>
      </c>
      <c r="AD15" s="72"/>
      <c r="AE15" s="63">
        <f>AC15+'Máq. 4'!AC15+'Máq. 3'!AC15+'Máq. 2'!AC15+'Máq. 1'!AC15</f>
        <v>0</v>
      </c>
      <c r="AF15" s="65" t="e">
        <f t="shared" si="8"/>
        <v>#NAME?</v>
      </c>
      <c r="AG15" s="13">
        <v>10</v>
      </c>
      <c r="AH15" s="65" t="s">
        <v>12</v>
      </c>
      <c r="AI15" s="69" t="e">
        <f t="shared" si="2"/>
        <v>#NAME?</v>
      </c>
      <c r="AJ15" s="65" t="e">
        <f t="shared" si="3"/>
        <v>#NAME?</v>
      </c>
      <c r="AK15" s="65" t="e">
        <f t="shared" si="4"/>
        <v>#NAME?</v>
      </c>
      <c r="AL15" s="65" t="e">
        <f t="shared" si="5"/>
        <v>#NAME?</v>
      </c>
      <c r="AM15" s="65" t="e">
        <f t="shared" si="6"/>
        <v>#NAME?</v>
      </c>
      <c r="AN15" s="63" t="e">
        <f t="shared" si="7"/>
        <v>#NAME?</v>
      </c>
    </row>
    <row r="16" spans="1:40" s="13" customFormat="1" ht="30" customHeight="1" x14ac:dyDescent="0.2">
      <c r="A16" s="124" t="s">
        <v>13</v>
      </c>
      <c r="B16" s="140"/>
      <c r="C16" s="60">
        <f>SUM(C6:C15)</f>
        <v>0</v>
      </c>
      <c r="D16" s="30">
        <f t="shared" ref="D16:U16" si="9">SUM(D6:D15)</f>
        <v>0</v>
      </c>
      <c r="E16" s="30">
        <f t="shared" ref="E16" si="10">SUM(E6:E15)</f>
        <v>0</v>
      </c>
      <c r="F16" s="30">
        <f t="shared" si="9"/>
        <v>0</v>
      </c>
      <c r="G16" s="30">
        <f t="shared" si="9"/>
        <v>0</v>
      </c>
      <c r="H16" s="30">
        <f t="shared" si="9"/>
        <v>0</v>
      </c>
      <c r="I16" s="30">
        <f t="shared" si="9"/>
        <v>0</v>
      </c>
      <c r="J16" s="30">
        <f t="shared" si="9"/>
        <v>0</v>
      </c>
      <c r="K16" s="30">
        <f t="shared" si="9"/>
        <v>0</v>
      </c>
      <c r="L16" s="30">
        <f t="shared" si="9"/>
        <v>0</v>
      </c>
      <c r="M16" s="30">
        <f t="shared" si="9"/>
        <v>0</v>
      </c>
      <c r="N16" s="30">
        <f t="shared" si="9"/>
        <v>0</v>
      </c>
      <c r="O16" s="30">
        <f t="shared" si="9"/>
        <v>0</v>
      </c>
      <c r="P16" s="30">
        <f t="shared" si="9"/>
        <v>0</v>
      </c>
      <c r="Q16" s="30">
        <f t="shared" si="9"/>
        <v>0</v>
      </c>
      <c r="R16" s="30">
        <f t="shared" si="9"/>
        <v>0</v>
      </c>
      <c r="S16" s="30">
        <f t="shared" si="9"/>
        <v>0</v>
      </c>
      <c r="T16" s="30">
        <f t="shared" si="9"/>
        <v>0</v>
      </c>
      <c r="U16" s="30">
        <f t="shared" si="9"/>
        <v>0</v>
      </c>
      <c r="V16" s="30">
        <f t="shared" ref="V16:AB16" si="11">SUM(V6:V15)</f>
        <v>0</v>
      </c>
      <c r="W16" s="30">
        <f t="shared" si="11"/>
        <v>0</v>
      </c>
      <c r="X16" s="30">
        <f t="shared" si="11"/>
        <v>0</v>
      </c>
      <c r="Y16" s="30">
        <f t="shared" si="11"/>
        <v>0</v>
      </c>
      <c r="Z16" s="30">
        <f t="shared" si="11"/>
        <v>0</v>
      </c>
      <c r="AA16" s="30">
        <f t="shared" si="11"/>
        <v>0</v>
      </c>
      <c r="AB16" s="30">
        <f t="shared" si="11"/>
        <v>0</v>
      </c>
      <c r="AC16" s="17">
        <f>SUM(C16:AB16)</f>
        <v>0</v>
      </c>
      <c r="AD16" s="72"/>
      <c r="AE16" s="63">
        <f>AC16+'Máq. 4'!AC16+'Máq. 3'!AC16+'Máq. 2'!AC16+'Máq. 1'!AC16</f>
        <v>0</v>
      </c>
      <c r="AF16" s="65"/>
    </row>
    <row r="17" spans="1:32" s="13" customFormat="1" ht="30" customHeight="1" thickBot="1" x14ac:dyDescent="0.25">
      <c r="A17" s="126" t="s">
        <v>14</v>
      </c>
      <c r="B17" s="141"/>
      <c r="C17" s="33" t="str">
        <f t="shared" ref="C17:AC17" si="12">IF(ISERR(C16/C5),"",C16/C5*1000000)</f>
        <v/>
      </c>
      <c r="D17" s="34" t="str">
        <f t="shared" si="12"/>
        <v/>
      </c>
      <c r="E17" s="34" t="str">
        <f t="shared" ref="E17" si="13">IF(ISERR(E16/E5),"",E16/E5*1000000)</f>
        <v/>
      </c>
      <c r="F17" s="34" t="str">
        <f t="shared" si="12"/>
        <v/>
      </c>
      <c r="G17" s="34" t="str">
        <f>IF(ISERR(G16/G5),"",G16/G5*1000000)</f>
        <v/>
      </c>
      <c r="H17" s="34" t="str">
        <f t="shared" si="12"/>
        <v/>
      </c>
      <c r="I17" s="34" t="str">
        <f t="shared" si="12"/>
        <v/>
      </c>
      <c r="J17" s="34" t="str">
        <f t="shared" si="12"/>
        <v/>
      </c>
      <c r="K17" s="34" t="str">
        <f t="shared" si="12"/>
        <v/>
      </c>
      <c r="L17" s="34" t="str">
        <f t="shared" si="12"/>
        <v/>
      </c>
      <c r="M17" s="34" t="str">
        <f t="shared" si="12"/>
        <v/>
      </c>
      <c r="N17" s="34" t="str">
        <f t="shared" si="12"/>
        <v/>
      </c>
      <c r="O17" s="34" t="str">
        <f t="shared" si="12"/>
        <v/>
      </c>
      <c r="P17" s="34" t="str">
        <f t="shared" si="12"/>
        <v/>
      </c>
      <c r="Q17" s="34" t="str">
        <f t="shared" si="12"/>
        <v/>
      </c>
      <c r="R17" s="34" t="str">
        <f t="shared" si="12"/>
        <v/>
      </c>
      <c r="S17" s="34" t="str">
        <f t="shared" si="12"/>
        <v/>
      </c>
      <c r="T17" s="34" t="str">
        <f t="shared" si="12"/>
        <v/>
      </c>
      <c r="U17" s="34" t="str">
        <f t="shared" si="12"/>
        <v/>
      </c>
      <c r="V17" s="34" t="str">
        <f t="shared" ref="V17:AB17" si="14">IF(ISERR(V16/V5),"",V16/V5*1000000)</f>
        <v/>
      </c>
      <c r="W17" s="34" t="str">
        <f t="shared" si="14"/>
        <v/>
      </c>
      <c r="X17" s="34" t="str">
        <f t="shared" si="14"/>
        <v/>
      </c>
      <c r="Y17" s="34" t="str">
        <f t="shared" si="14"/>
        <v/>
      </c>
      <c r="Z17" s="34" t="str">
        <f t="shared" si="14"/>
        <v/>
      </c>
      <c r="AA17" s="34" t="str">
        <f t="shared" si="14"/>
        <v/>
      </c>
      <c r="AB17" s="34" t="str">
        <f t="shared" si="14"/>
        <v/>
      </c>
      <c r="AC17" s="61" t="str">
        <f t="shared" si="12"/>
        <v/>
      </c>
      <c r="AD17" s="73"/>
      <c r="AE17" s="63" t="e">
        <f>AE16/AE5*1000000</f>
        <v>#NAME?</v>
      </c>
      <c r="AF17" s="65"/>
    </row>
    <row r="18" spans="1:32" ht="39.950000000000003" customHeight="1" x14ac:dyDescent="0.2">
      <c r="A18" s="142"/>
      <c r="B18" s="5"/>
      <c r="C18" s="128">
        <f>C35</f>
        <v>0</v>
      </c>
      <c r="D18" s="128">
        <f t="shared" ref="D18:AB18" si="15">D35</f>
        <v>0</v>
      </c>
      <c r="E18" s="128">
        <f t="shared" si="15"/>
        <v>0</v>
      </c>
      <c r="F18" s="128">
        <f t="shared" si="15"/>
        <v>0</v>
      </c>
      <c r="G18" s="128">
        <f t="shared" si="15"/>
        <v>0</v>
      </c>
      <c r="H18" s="128">
        <f t="shared" si="15"/>
        <v>0</v>
      </c>
      <c r="I18" s="128">
        <f t="shared" si="15"/>
        <v>0</v>
      </c>
      <c r="J18" s="128">
        <f t="shared" si="15"/>
        <v>0</v>
      </c>
      <c r="K18" s="128">
        <f t="shared" si="15"/>
        <v>0</v>
      </c>
      <c r="L18" s="128">
        <f t="shared" si="15"/>
        <v>0</v>
      </c>
      <c r="M18" s="128">
        <f t="shared" si="15"/>
        <v>0</v>
      </c>
      <c r="N18" s="128">
        <f t="shared" si="15"/>
        <v>0</v>
      </c>
      <c r="O18" s="128">
        <f t="shared" si="15"/>
        <v>0</v>
      </c>
      <c r="P18" s="128">
        <f t="shared" si="15"/>
        <v>0</v>
      </c>
      <c r="Q18" s="128">
        <f t="shared" si="15"/>
        <v>0</v>
      </c>
      <c r="R18" s="128">
        <f t="shared" si="15"/>
        <v>0</v>
      </c>
      <c r="S18" s="128">
        <f t="shared" si="15"/>
        <v>0</v>
      </c>
      <c r="T18" s="128">
        <f t="shared" si="15"/>
        <v>0</v>
      </c>
      <c r="U18" s="128">
        <f t="shared" si="15"/>
        <v>0</v>
      </c>
      <c r="V18" s="90"/>
      <c r="W18" s="90"/>
      <c r="X18" s="90"/>
      <c r="Y18" s="90"/>
      <c r="Z18" s="128">
        <f t="shared" si="15"/>
        <v>0</v>
      </c>
      <c r="AA18" s="128">
        <f t="shared" si="15"/>
        <v>0</v>
      </c>
      <c r="AB18" s="128">
        <f t="shared" si="15"/>
        <v>0</v>
      </c>
      <c r="AC18" s="36"/>
    </row>
    <row r="19" spans="1:32" ht="39.950000000000003" customHeight="1" x14ac:dyDescent="0.2">
      <c r="A19" s="142"/>
      <c r="B19" s="3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90"/>
      <c r="W19" s="90"/>
      <c r="X19" s="90"/>
      <c r="Y19" s="90"/>
      <c r="Z19" s="128"/>
      <c r="AA19" s="128"/>
      <c r="AB19" s="128"/>
      <c r="AC19" s="36"/>
    </row>
    <row r="20" spans="1:32" ht="39.950000000000003" customHeight="1" x14ac:dyDescent="0.2">
      <c r="A20" s="142"/>
      <c r="B20" s="3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90"/>
      <c r="W20" s="90"/>
      <c r="X20" s="90"/>
      <c r="Y20" s="90"/>
      <c r="Z20" s="128"/>
      <c r="AA20" s="128"/>
      <c r="AB20" s="128"/>
      <c r="AC20" s="36"/>
    </row>
    <row r="21" spans="1:32" ht="39.950000000000003" customHeight="1" x14ac:dyDescent="0.2">
      <c r="A21" s="142"/>
      <c r="B21" s="89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90"/>
      <c r="W21" s="90"/>
      <c r="X21" s="90"/>
      <c r="Y21" s="90"/>
      <c r="Z21" s="128"/>
      <c r="AA21" s="128"/>
      <c r="AB21" s="128"/>
      <c r="AC21" s="36"/>
    </row>
    <row r="22" spans="1:32" ht="39.950000000000003" customHeight="1" x14ac:dyDescent="0.2">
      <c r="A22" s="142"/>
      <c r="B22" s="89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90"/>
      <c r="W22" s="90"/>
      <c r="X22" s="90"/>
      <c r="Y22" s="90"/>
      <c r="Z22" s="128"/>
      <c r="AA22" s="128"/>
      <c r="AB22" s="128"/>
      <c r="AC22" s="36"/>
    </row>
    <row r="23" spans="1:32" ht="39.950000000000003" customHeight="1" x14ac:dyDescent="0.2">
      <c r="A23" s="142"/>
      <c r="B23" s="89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90"/>
      <c r="W23" s="90"/>
      <c r="X23" s="90"/>
      <c r="Y23" s="90"/>
      <c r="Z23" s="128"/>
      <c r="AA23" s="128"/>
      <c r="AB23" s="128"/>
      <c r="AC23" s="36"/>
    </row>
    <row r="24" spans="1:32" ht="39.950000000000003" customHeight="1" x14ac:dyDescent="0.2">
      <c r="A24" s="142"/>
      <c r="B24" s="89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90"/>
      <c r="W24" s="90"/>
      <c r="X24" s="90"/>
      <c r="Y24" s="90"/>
      <c r="Z24" s="128"/>
      <c r="AA24" s="128"/>
      <c r="AB24" s="128"/>
      <c r="AC24" s="36"/>
    </row>
    <row r="25" spans="1:32" ht="39.950000000000003" customHeight="1" x14ac:dyDescent="0.2">
      <c r="A25" s="142"/>
      <c r="B25" s="89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90"/>
      <c r="W25" s="90"/>
      <c r="X25" s="90"/>
      <c r="Y25" s="90"/>
      <c r="Z25" s="128"/>
      <c r="AA25" s="128"/>
      <c r="AB25" s="128"/>
      <c r="AC25" s="36"/>
    </row>
    <row r="26" spans="1:32" ht="39.950000000000003" customHeight="1" x14ac:dyDescent="0.2">
      <c r="A26" s="142"/>
      <c r="B26" s="89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90"/>
      <c r="W26" s="90"/>
      <c r="X26" s="90"/>
      <c r="Y26" s="90"/>
      <c r="Z26" s="128"/>
      <c r="AA26" s="128"/>
      <c r="AB26" s="128"/>
      <c r="AC26" s="36"/>
    </row>
    <row r="27" spans="1:32" ht="39.950000000000003" customHeight="1" thickBot="1" x14ac:dyDescent="0.25">
      <c r="A27" s="142"/>
      <c r="B27" s="89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90"/>
      <c r="W27" s="90"/>
      <c r="X27" s="90"/>
      <c r="Y27" s="90"/>
      <c r="Z27" s="128"/>
      <c r="AA27" s="128"/>
      <c r="AB27" s="128"/>
      <c r="AC27" s="36"/>
    </row>
    <row r="28" spans="1:32" ht="30" customHeight="1" x14ac:dyDescent="0.2">
      <c r="A28" s="124" t="s">
        <v>41</v>
      </c>
      <c r="B28" s="125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1"/>
    </row>
    <row r="29" spans="1:32" ht="30" customHeight="1" thickBot="1" x14ac:dyDescent="0.25">
      <c r="A29" s="126" t="s">
        <v>40</v>
      </c>
      <c r="B29" s="127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3"/>
    </row>
    <row r="30" spans="1:32" s="9" customFormat="1" ht="29.25" customHeight="1" x14ac:dyDescent="0.2">
      <c r="A30" s="96" t="s">
        <v>15</v>
      </c>
      <c r="B30" s="97"/>
      <c r="C30" s="98"/>
      <c r="D30" s="98"/>
      <c r="E30" s="98"/>
      <c r="F30" s="98"/>
      <c r="G30" s="98"/>
      <c r="H30" s="98"/>
      <c r="I30" s="96" t="s">
        <v>16</v>
      </c>
      <c r="K30" s="98"/>
      <c r="M30" s="98"/>
      <c r="N30" s="98"/>
      <c r="O30" s="98"/>
      <c r="Q30" s="99"/>
      <c r="R30" s="96" t="s">
        <v>17</v>
      </c>
      <c r="S30" s="98"/>
      <c r="U30" s="98"/>
      <c r="V30" s="98"/>
      <c r="W30" s="98"/>
      <c r="X30" s="98"/>
      <c r="Y30" s="98"/>
      <c r="Z30" s="98"/>
      <c r="AA30" s="98"/>
      <c r="AB30" s="98"/>
      <c r="AC30" s="99"/>
    </row>
    <row r="31" spans="1:32" s="9" customFormat="1" ht="16.5" thickBot="1" x14ac:dyDescent="0.25">
      <c r="A31" s="45" t="s">
        <v>18</v>
      </c>
      <c r="B31" s="46"/>
      <c r="C31" s="47"/>
      <c r="D31" s="47"/>
      <c r="E31" s="47"/>
      <c r="F31" s="47"/>
      <c r="G31" s="47"/>
      <c r="H31" s="47"/>
      <c r="I31" s="45" t="s">
        <v>18</v>
      </c>
      <c r="J31" s="48"/>
      <c r="K31" s="47"/>
      <c r="L31" s="48"/>
      <c r="M31" s="47"/>
      <c r="N31" s="47"/>
      <c r="O31" s="47"/>
      <c r="P31" s="48"/>
      <c r="Q31" s="49"/>
      <c r="R31" s="45" t="s">
        <v>18</v>
      </c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9"/>
    </row>
    <row r="32" spans="1:32" ht="24" customHeight="1" x14ac:dyDescent="0.2">
      <c r="A32" s="50" t="s">
        <v>19</v>
      </c>
      <c r="B32" s="50"/>
      <c r="C32">
        <f>'Máq. 1'!$C$32</f>
        <v>800</v>
      </c>
    </row>
    <row r="34" spans="2:29" ht="15.75" x14ac:dyDescent="0.25">
      <c r="B34" s="51" t="s">
        <v>20</v>
      </c>
      <c r="C34" s="52">
        <f t="shared" ref="C34:AC34" si="16">C4</f>
        <v>0</v>
      </c>
      <c r="D34" s="52">
        <f>D4</f>
        <v>0</v>
      </c>
      <c r="E34" s="52">
        <f>E4</f>
        <v>0</v>
      </c>
      <c r="F34" s="52">
        <f t="shared" si="16"/>
        <v>0</v>
      </c>
      <c r="G34" s="52">
        <f t="shared" si="16"/>
        <v>0</v>
      </c>
      <c r="H34" s="52">
        <f t="shared" si="16"/>
        <v>0</v>
      </c>
      <c r="I34" s="52">
        <f t="shared" si="16"/>
        <v>0</v>
      </c>
      <c r="J34" s="52">
        <f t="shared" si="16"/>
        <v>0</v>
      </c>
      <c r="K34" s="52">
        <f t="shared" si="16"/>
        <v>0</v>
      </c>
      <c r="L34" s="52">
        <f t="shared" si="16"/>
        <v>0</v>
      </c>
      <c r="M34" s="52">
        <f t="shared" si="16"/>
        <v>0</v>
      </c>
      <c r="N34" s="52">
        <f t="shared" si="16"/>
        <v>0</v>
      </c>
      <c r="O34" s="52">
        <f t="shared" si="16"/>
        <v>0</v>
      </c>
      <c r="P34" s="52">
        <f t="shared" si="16"/>
        <v>0</v>
      </c>
      <c r="Q34" s="52">
        <f t="shared" si="16"/>
        <v>0</v>
      </c>
      <c r="R34" s="52">
        <f t="shared" si="16"/>
        <v>0</v>
      </c>
      <c r="S34" s="52">
        <f t="shared" si="16"/>
        <v>0</v>
      </c>
      <c r="T34" s="52">
        <f t="shared" si="16"/>
        <v>0</v>
      </c>
      <c r="U34" s="52">
        <f t="shared" si="16"/>
        <v>0</v>
      </c>
      <c r="V34" s="52"/>
      <c r="W34" s="52"/>
      <c r="X34" s="52"/>
      <c r="Y34" s="52"/>
      <c r="Z34" s="52">
        <f>V4</f>
        <v>0</v>
      </c>
      <c r="AA34" s="52">
        <f>W4</f>
        <v>0</v>
      </c>
      <c r="AB34" s="52" t="e">
        <f>#REF!</f>
        <v>#REF!</v>
      </c>
      <c r="AC34" s="52" t="str">
        <f t="shared" si="16"/>
        <v>TOTAL</v>
      </c>
    </row>
    <row r="35" spans="2:29" ht="157.5" customHeight="1" x14ac:dyDescent="0.2">
      <c r="B35" s="53" t="s">
        <v>21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5"/>
      <c r="Q35" s="54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6"/>
    </row>
  </sheetData>
  <sheetProtection algorithmName="SHA-512" hashValue="8U/KnjOBFZBW7F8x8vDTo1Wn6lqYUBmLBG+8G7VW+0CpD5XOns5DbPEnzgTnkmi4cYuLi5OZBbf9qH4qhgOtiw==" saltValue="SMTauo49Q/20OHgIbUR1AQ==" spinCount="100000" sheet="1" objects="1" scenarios="1" selectLockedCells="1"/>
  <mergeCells count="33">
    <mergeCell ref="A15:B15"/>
    <mergeCell ref="A16:B16"/>
    <mergeCell ref="A17:B17"/>
    <mergeCell ref="A18:A27"/>
    <mergeCell ref="C18:C27"/>
    <mergeCell ref="P2:R2"/>
    <mergeCell ref="A4:B4"/>
    <mergeCell ref="A5:B5"/>
    <mergeCell ref="A6:A14"/>
    <mergeCell ref="AA2:AB2"/>
    <mergeCell ref="AB18:AB27"/>
    <mergeCell ref="Q18:Q27"/>
    <mergeCell ref="R18:R27"/>
    <mergeCell ref="S18:S27"/>
    <mergeCell ref="T18:T27"/>
    <mergeCell ref="U18:U27"/>
    <mergeCell ref="Z18:Z27"/>
    <mergeCell ref="A28:B28"/>
    <mergeCell ref="A29:B29"/>
    <mergeCell ref="N18:N27"/>
    <mergeCell ref="O18:O27"/>
    <mergeCell ref="AA18:AA27"/>
    <mergeCell ref="I18:I27"/>
    <mergeCell ref="J18:J27"/>
    <mergeCell ref="K18:K27"/>
    <mergeCell ref="L18:L27"/>
    <mergeCell ref="M18:M27"/>
    <mergeCell ref="D18:D27"/>
    <mergeCell ref="P18:P27"/>
    <mergeCell ref="E18:E27"/>
    <mergeCell ref="F18:F27"/>
    <mergeCell ref="G18:G27"/>
    <mergeCell ref="H18:H27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2" orientation="landscape" r:id="rId1"/>
  <headerFooter alignWithMargins="0">
    <oddFooter>&amp;RSJCPIL-R 15-010-02</oddFooter>
  </headerFooter>
  <ignoredErrors>
    <ignoredError sqref="C16:D16 H16:W16 F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>
    <pageSetUpPr fitToPage="1"/>
  </sheetPr>
  <dimension ref="A1:AZ33"/>
  <sheetViews>
    <sheetView showZeros="0" zoomScaleNormal="100" zoomScaleSheetLayoutView="50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C33" sqref="C33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33" width="9.140625" customWidth="1"/>
    <col min="34" max="34" width="16.7109375" customWidth="1"/>
    <col min="38" max="38" width="32.7109375" bestFit="1" customWidth="1"/>
    <col min="48" max="48" width="32.7109375" bestFit="1" customWidth="1"/>
  </cols>
  <sheetData>
    <row r="1" spans="1:52" ht="13.5" thickBot="1" x14ac:dyDescent="0.25">
      <c r="A1" t="s">
        <v>43</v>
      </c>
      <c r="B1">
        <v>0</v>
      </c>
      <c r="AJ1" t="s">
        <v>39</v>
      </c>
    </row>
    <row r="2" spans="1:52" ht="34.5" customHeight="1" thickBot="1" x14ac:dyDescent="0.25">
      <c r="C2" s="150" t="s">
        <v>38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4" t="s">
        <v>1</v>
      </c>
      <c r="AE2" s="58"/>
      <c r="AF2" s="144" t="str">
        <f>PERIODO</f>
        <v>Mês / Ano</v>
      </c>
      <c r="AG2" s="145"/>
      <c r="AH2" s="146"/>
      <c r="AI2" s="57"/>
    </row>
    <row r="3" spans="1:52" ht="18.75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5"/>
      <c r="T3" s="2"/>
      <c r="U3" s="57"/>
      <c r="V3" s="57"/>
      <c r="W3" s="57"/>
      <c r="X3" s="57"/>
      <c r="Y3" s="57"/>
      <c r="Z3" s="57"/>
      <c r="AA3" s="57"/>
      <c r="AB3" s="57"/>
      <c r="AC3" s="57"/>
      <c r="AD3" s="57"/>
      <c r="AE3" s="89"/>
      <c r="AF3" s="6"/>
      <c r="AG3" s="6"/>
      <c r="AH3" s="7"/>
      <c r="AI3" s="89"/>
    </row>
    <row r="4" spans="1:52" s="9" customFormat="1" ht="30" customHeight="1" x14ac:dyDescent="0.2">
      <c r="A4" s="132" t="s">
        <v>2</v>
      </c>
      <c r="B4" s="133"/>
      <c r="C4" s="87">
        <v>29</v>
      </c>
      <c r="D4" s="87">
        <v>30</v>
      </c>
      <c r="E4" s="87">
        <v>2</v>
      </c>
      <c r="F4" s="87">
        <v>3</v>
      </c>
      <c r="G4" s="87">
        <v>4</v>
      </c>
      <c r="H4" s="87">
        <v>5</v>
      </c>
      <c r="I4" s="87">
        <v>6</v>
      </c>
      <c r="J4" s="87">
        <v>7</v>
      </c>
      <c r="K4" s="87">
        <v>8</v>
      </c>
      <c r="L4" s="87">
        <v>9</v>
      </c>
      <c r="M4" s="87">
        <v>10</v>
      </c>
      <c r="N4" s="87">
        <v>11</v>
      </c>
      <c r="O4" s="87">
        <v>12</v>
      </c>
      <c r="P4" s="87">
        <v>13</v>
      </c>
      <c r="Q4" s="87">
        <v>14</v>
      </c>
      <c r="R4" s="87">
        <v>15</v>
      </c>
      <c r="S4" s="87">
        <v>16</v>
      </c>
      <c r="T4" s="87">
        <v>17</v>
      </c>
      <c r="U4" s="87">
        <v>18</v>
      </c>
      <c r="V4" s="87">
        <v>19</v>
      </c>
      <c r="W4" s="87">
        <v>20</v>
      </c>
      <c r="X4" s="87">
        <v>21</v>
      </c>
      <c r="Y4" s="87">
        <v>22</v>
      </c>
      <c r="Z4" s="87">
        <v>23</v>
      </c>
      <c r="AA4" s="87">
        <v>24</v>
      </c>
      <c r="AB4" s="87">
        <v>25</v>
      </c>
      <c r="AC4" s="87">
        <v>26</v>
      </c>
      <c r="AD4" s="87">
        <v>27</v>
      </c>
      <c r="AE4" s="87">
        <v>28</v>
      </c>
      <c r="AF4" s="87">
        <v>29</v>
      </c>
      <c r="AG4" s="87">
        <v>30</v>
      </c>
      <c r="AH4" s="8" t="s">
        <v>3</v>
      </c>
      <c r="AI4" s="75"/>
    </row>
    <row r="5" spans="1:52" s="13" customFormat="1" ht="30" customHeight="1" thickBot="1" x14ac:dyDescent="0.25">
      <c r="A5" s="134" t="s">
        <v>4</v>
      </c>
      <c r="B5" s="135"/>
      <c r="C5" s="104">
        <f t="array" ref="C5">SUM(IF('Máq. 1'!$C$4:$AB$4='Resumo Diário'!C$4,'Máq. 1'!$C5:$AB5))+SUM(IF('Máq. 2'!$C$4:$AB$4='Resumo Diário'!C$4,'Máq. 2'!$C5:$AB5))+SUM(IF('Máq. 3'!$C$4:$AB$4='Resumo Diário'!C$4,'Máq. 3'!$C5:$AB5))+SUM(IF('Máq. 4'!$C$4:$AB$4='Resumo Diário'!C$4,'Máq. 4'!$C5:$AB5))+SUM(IF('Máq. 5'!$C$4:$AB$4='Resumo Diário'!C$4,'Máq. 5'!$C5:$AB5))</f>
        <v>0</v>
      </c>
      <c r="D5" s="105">
        <f t="array" ref="D5">SUM(IF('Máq. 1'!$C$4:$AB$4='Resumo Diário'!D$4,'Máq. 1'!$C5:$AB5))+SUM(IF('Máq. 2'!$C$4:$AB$4='Resumo Diário'!D$4,'Máq. 2'!$C5:$AB5))+SUM(IF('Máq. 3'!$C$4:$AB$4='Resumo Diário'!D$4,'Máq. 3'!$C5:$AB5))+SUM(IF('Máq. 4'!$C$4:$AB$4='Resumo Diário'!D$4,'Máq. 4'!$C5:$AB5))+SUM(IF('Máq. 5'!$C$4:$AB$4='Resumo Diário'!D$4,'Máq. 5'!$C5:$AB5))</f>
        <v>0</v>
      </c>
      <c r="E5" s="105">
        <f t="array" ref="E5">SUM(IF('Máq. 1'!$C$4:$AB$4='Resumo Diário'!E$4,'Máq. 1'!$C5:$AB5))+SUM(IF('Máq. 2'!$C$4:$AB$4='Resumo Diário'!E$4,'Máq. 2'!$C5:$AB5))+SUM(IF('Máq. 3'!$C$4:$AB$4='Resumo Diário'!E$4,'Máq. 3'!$C5:$AB5))+SUM(IF('Máq. 4'!$C$4:$AB$4='Resumo Diário'!E$4,'Máq. 4'!$C5:$AB5))+SUM(IF('Máq. 5'!$C$4:$AB$4='Resumo Diário'!E$4,'Máq. 5'!$C5:$AB5))</f>
        <v>0</v>
      </c>
      <c r="F5" s="105">
        <f t="array" ref="F5">SUM(IF('Máq. 1'!$C$4:$AB$4='Resumo Diário'!F$4,'Máq. 1'!$C5:$AB5))+SUM(IF('Máq. 2'!$C$4:$AB$4='Resumo Diário'!F$4,'Máq. 2'!$C5:$AB5))+SUM(IF('Máq. 3'!$C$4:$AB$4='Resumo Diário'!F$4,'Máq. 3'!$C5:$AB5))+SUM(IF('Máq. 4'!$C$4:$AB$4='Resumo Diário'!F$4,'Máq. 4'!$C5:$AB5))+SUM(IF('Máq. 5'!$C$4:$AB$4='Resumo Diário'!F$4,'Máq. 5'!$C5:$AB5))</f>
        <v>0</v>
      </c>
      <c r="G5" s="105">
        <f t="array" ref="G5">SUM(IF('Máq. 1'!$C$4:$AB$4='Resumo Diário'!G$4,'Máq. 1'!$C5:$AB5))+SUM(IF('Máq. 2'!$C$4:$AB$4='Resumo Diário'!G$4,'Máq. 2'!$C5:$AB5))+SUM(IF('Máq. 3'!$C$4:$AB$4='Resumo Diário'!G$4,'Máq. 3'!$C5:$AB5))+SUM(IF('Máq. 4'!$C$4:$AB$4='Resumo Diário'!G$4,'Máq. 4'!$C5:$AB5))+SUM(IF('Máq. 5'!$C$4:$AB$4='Resumo Diário'!G$4,'Máq. 5'!$C5:$AB5))</f>
        <v>0</v>
      </c>
      <c r="H5" s="105">
        <f t="array" ref="H5">SUM(IF('Máq. 1'!$C$4:$AB$4='Resumo Diário'!H$4,'Máq. 1'!$C5:$AB5))+SUM(IF('Máq. 2'!$C$4:$AB$4='Resumo Diário'!H$4,'Máq. 2'!$C5:$AB5))+SUM(IF('Máq. 3'!$C$4:$AB$4='Resumo Diário'!H$4,'Máq. 3'!$C5:$AB5))+SUM(IF('Máq. 4'!$C$4:$AB$4='Resumo Diário'!H$4,'Máq. 4'!$C5:$AB5))+SUM(IF('Máq. 5'!$C$4:$AB$4='Resumo Diário'!H$4,'Máq. 5'!$C5:$AB5))</f>
        <v>0</v>
      </c>
      <c r="I5" s="105">
        <f t="array" ref="I5">SUM(IF('Máq. 1'!$C$4:$AB$4='Resumo Diário'!I$4,'Máq. 1'!$C5:$AB5))+SUM(IF('Máq. 2'!$C$4:$AB$4='Resumo Diário'!I$4,'Máq. 2'!$C5:$AB5))+SUM(IF('Máq. 3'!$C$4:$AB$4='Resumo Diário'!I$4,'Máq. 3'!$C5:$AB5))+SUM(IF('Máq. 4'!$C$4:$AB$4='Resumo Diário'!I$4,'Máq. 4'!$C5:$AB5))+SUM(IF('Máq. 5'!$C$4:$AB$4='Resumo Diário'!I$4,'Máq. 5'!$C5:$AB5))</f>
        <v>0</v>
      </c>
      <c r="J5" s="105">
        <f t="array" ref="J5">SUM(IF('Máq. 1'!$C$4:$AB$4='Resumo Diário'!J$4,'Máq. 1'!$C5:$AB5))+SUM(IF('Máq. 2'!$C$4:$AB$4='Resumo Diário'!J$4,'Máq. 2'!$C5:$AB5))+SUM(IF('Máq. 3'!$C$4:$AB$4='Resumo Diário'!J$4,'Máq. 3'!$C5:$AB5))+SUM(IF('Máq. 4'!$C$4:$AB$4='Resumo Diário'!J$4,'Máq. 4'!$C5:$AB5))+SUM(IF('Máq. 5'!$C$4:$AB$4='Resumo Diário'!J$4,'Máq. 5'!$C5:$AB5))</f>
        <v>0</v>
      </c>
      <c r="K5" s="105">
        <f t="array" ref="K5">SUM(IF('Máq. 1'!$C$4:$AB$4='Resumo Diário'!K$4,'Máq. 1'!$C5:$AB5))+SUM(IF('Máq. 2'!$C$4:$AB$4='Resumo Diário'!K$4,'Máq. 2'!$C5:$AB5))+SUM(IF('Máq. 3'!$C$4:$AB$4='Resumo Diário'!K$4,'Máq. 3'!$C5:$AB5))+SUM(IF('Máq. 4'!$C$4:$AB$4='Resumo Diário'!K$4,'Máq. 4'!$C5:$AB5))+SUM(IF('Máq. 5'!$C$4:$AB$4='Resumo Diário'!K$4,'Máq. 5'!$C5:$AB5))</f>
        <v>0</v>
      </c>
      <c r="L5" s="105">
        <f t="array" ref="L5">SUM(IF('Máq. 1'!$C$4:$AB$4='Resumo Diário'!L$4,'Máq. 1'!$C5:$AB5))+SUM(IF('Máq. 2'!$C$4:$AB$4='Resumo Diário'!L$4,'Máq. 2'!$C5:$AB5))+SUM(IF('Máq. 3'!$C$4:$AB$4='Resumo Diário'!L$4,'Máq. 3'!$C5:$AB5))+SUM(IF('Máq. 4'!$C$4:$AB$4='Resumo Diário'!L$4,'Máq. 4'!$C5:$AB5))+SUM(IF('Máq. 5'!$C$4:$AB$4='Resumo Diário'!L$4,'Máq. 5'!$C5:$AB5))</f>
        <v>0</v>
      </c>
      <c r="M5" s="105">
        <f t="array" ref="M5">SUM(IF('Máq. 1'!$C$4:$AB$4='Resumo Diário'!M$4,'Máq. 1'!$C5:$AB5))+SUM(IF('Máq. 2'!$C$4:$AB$4='Resumo Diário'!M$4,'Máq. 2'!$C5:$AB5))+SUM(IF('Máq. 3'!$C$4:$AB$4='Resumo Diário'!M$4,'Máq. 3'!$C5:$AB5))+SUM(IF('Máq. 4'!$C$4:$AB$4='Resumo Diário'!M$4,'Máq. 4'!$C5:$AB5))+SUM(IF('Máq. 5'!$C$4:$AB$4='Resumo Diário'!M$4,'Máq. 5'!$C5:$AB5))</f>
        <v>0</v>
      </c>
      <c r="N5" s="105">
        <f t="array" ref="N5">SUM(IF('Máq. 1'!$C$4:$AB$4='Resumo Diário'!N$4,'Máq. 1'!$C5:$AB5))+SUM(IF('Máq. 2'!$C$4:$AB$4='Resumo Diário'!N$4,'Máq. 2'!$C5:$AB5))+SUM(IF('Máq. 3'!$C$4:$AB$4='Resumo Diário'!N$4,'Máq. 3'!$C5:$AB5))+SUM(IF('Máq. 4'!$C$4:$AB$4='Resumo Diário'!N$4,'Máq. 4'!$C5:$AB5))+SUM(IF('Máq. 5'!$C$4:$AB$4='Resumo Diário'!N$4,'Máq. 5'!$C5:$AB5))</f>
        <v>0</v>
      </c>
      <c r="O5" s="105">
        <f t="array" ref="O5">SUM(IF('Máq. 1'!$C$4:$AB$4='Resumo Diário'!O$4,'Máq. 1'!$C5:$AB5))+SUM(IF('Máq. 2'!$C$4:$AB$4='Resumo Diário'!O$4,'Máq. 2'!$C5:$AB5))+SUM(IF('Máq. 3'!$C$4:$AB$4='Resumo Diário'!O$4,'Máq. 3'!$C5:$AB5))+SUM(IF('Máq. 4'!$C$4:$AB$4='Resumo Diário'!O$4,'Máq. 4'!$C5:$AB5))+SUM(IF('Máq. 5'!$C$4:$AB$4='Resumo Diário'!O$4,'Máq. 5'!$C5:$AB5))</f>
        <v>0</v>
      </c>
      <c r="P5" s="105">
        <f t="array" ref="P5">SUM(IF('Máq. 1'!$C$4:$AB$4='Resumo Diário'!P$4,'Máq. 1'!$C5:$AB5))+SUM(IF('Máq. 2'!$C$4:$AB$4='Resumo Diário'!P$4,'Máq. 2'!$C5:$AB5))+SUM(IF('Máq. 3'!$C$4:$AB$4='Resumo Diário'!P$4,'Máq. 3'!$C5:$AB5))+SUM(IF('Máq. 4'!$C$4:$AB$4='Resumo Diário'!P$4,'Máq. 4'!$C5:$AB5))+SUM(IF('Máq. 5'!$C$4:$AB$4='Resumo Diário'!P$4,'Máq. 5'!$C5:$AB5))</f>
        <v>0</v>
      </c>
      <c r="Q5" s="105">
        <f t="array" ref="Q5">SUM(IF('Máq. 1'!$C$4:$AB$4='Resumo Diário'!Q$4,'Máq. 1'!$C5:$AB5))+SUM(IF('Máq. 2'!$C$4:$AB$4='Resumo Diário'!Q$4,'Máq. 2'!$C5:$AB5))+SUM(IF('Máq. 3'!$C$4:$AB$4='Resumo Diário'!Q$4,'Máq. 3'!$C5:$AB5))+SUM(IF('Máq. 4'!$C$4:$AB$4='Resumo Diário'!Q$4,'Máq. 4'!$C5:$AB5))+SUM(IF('Máq. 5'!$C$4:$AB$4='Resumo Diário'!Q$4,'Máq. 5'!$C5:$AB5))</f>
        <v>0</v>
      </c>
      <c r="R5" s="105">
        <f t="array" ref="R5">SUM(IF('Máq. 1'!$C$4:$AB$4='Resumo Diário'!R$4,'Máq. 1'!$C5:$AB5))+SUM(IF('Máq. 2'!$C$4:$AB$4='Resumo Diário'!R$4,'Máq. 2'!$C5:$AB5))+SUM(IF('Máq. 3'!$C$4:$AB$4='Resumo Diário'!R$4,'Máq. 3'!$C5:$AB5))+SUM(IF('Máq. 4'!$C$4:$AB$4='Resumo Diário'!R$4,'Máq. 4'!$C5:$AB5))+SUM(IF('Máq. 5'!$C$4:$AB$4='Resumo Diário'!R$4,'Máq. 5'!$C5:$AB5))</f>
        <v>0</v>
      </c>
      <c r="S5" s="105">
        <f t="array" ref="S5">SUM(IF('Máq. 1'!$C$4:$AB$4='Resumo Diário'!S$4,'Máq. 1'!$C5:$AB5))+SUM(IF('Máq. 2'!$C$4:$AB$4='Resumo Diário'!S$4,'Máq. 2'!$C5:$AB5))+SUM(IF('Máq. 3'!$C$4:$AB$4='Resumo Diário'!S$4,'Máq. 3'!$C5:$AB5))+SUM(IF('Máq. 4'!$C$4:$AB$4='Resumo Diário'!S$4,'Máq. 4'!$C5:$AB5))+SUM(IF('Máq. 5'!$C$4:$AB$4='Resumo Diário'!S$4,'Máq. 5'!$C5:$AB5))</f>
        <v>0</v>
      </c>
      <c r="T5" s="105">
        <f t="array" ref="T5">SUM(IF('Máq. 1'!$C$4:$AB$4='Resumo Diário'!T$4,'Máq. 1'!$C5:$AB5))+SUM(IF('Máq. 2'!$C$4:$AB$4='Resumo Diário'!T$4,'Máq. 2'!$C5:$AB5))+SUM(IF('Máq. 3'!$C$4:$AB$4='Resumo Diário'!T$4,'Máq. 3'!$C5:$AB5))+SUM(IF('Máq. 4'!$C$4:$AB$4='Resumo Diário'!T$4,'Máq. 4'!$C5:$AB5))+SUM(IF('Máq. 5'!$C$4:$AB$4='Resumo Diário'!T$4,'Máq. 5'!$C5:$AB5))</f>
        <v>0</v>
      </c>
      <c r="U5" s="105">
        <f t="array" ref="U5">SUM(IF('Máq. 1'!$C$4:$AB$4='Resumo Diário'!U$4,'Máq. 1'!$C5:$AB5))+SUM(IF('Máq. 2'!$C$4:$AB$4='Resumo Diário'!U$4,'Máq. 2'!$C5:$AB5))+SUM(IF('Máq. 3'!$C$4:$AB$4='Resumo Diário'!U$4,'Máq. 3'!$C5:$AB5))+SUM(IF('Máq. 4'!$C$4:$AB$4='Resumo Diário'!U$4,'Máq. 4'!$C5:$AB5))+SUM(IF('Máq. 5'!$C$4:$AB$4='Resumo Diário'!U$4,'Máq. 5'!$C5:$AB5))</f>
        <v>0</v>
      </c>
      <c r="V5" s="105">
        <f t="array" ref="V5">SUM(IF('Máq. 1'!$C$4:$AB$4='Resumo Diário'!V$4,'Máq. 1'!$C5:$AB5))+SUM(IF('Máq. 2'!$C$4:$AB$4='Resumo Diário'!V$4,'Máq. 2'!$C5:$AB5))+SUM(IF('Máq. 3'!$C$4:$AB$4='Resumo Diário'!V$4,'Máq. 3'!$C5:$AB5))+SUM(IF('Máq. 4'!$C$4:$AB$4='Resumo Diário'!V$4,'Máq. 4'!$C5:$AB5))+SUM(IF('Máq. 5'!$C$4:$AB$4='Resumo Diário'!V$4,'Máq. 5'!$C5:$AB5))</f>
        <v>0</v>
      </c>
      <c r="W5" s="105">
        <f t="array" ref="W5">SUM(IF('Máq. 1'!$C$4:$AB$4='Resumo Diário'!W$4,'Máq. 1'!$C5:$AB5))+SUM(IF('Máq. 2'!$C$4:$AB$4='Resumo Diário'!W$4,'Máq. 2'!$C5:$AB5))+SUM(IF('Máq. 3'!$C$4:$AB$4='Resumo Diário'!W$4,'Máq. 3'!$C5:$AB5))+SUM(IF('Máq. 4'!$C$4:$AB$4='Resumo Diário'!W$4,'Máq. 4'!$C5:$AB5))+SUM(IF('Máq. 5'!$C$4:$AB$4='Resumo Diário'!W$4,'Máq. 5'!$C5:$AB5))</f>
        <v>0</v>
      </c>
      <c r="X5" s="105">
        <f t="array" ref="X5">SUM(IF('Máq. 1'!$C$4:$AB$4='Resumo Diário'!X$4,'Máq. 1'!$C5:$AB5))+SUM(IF('Máq. 2'!$C$4:$AB$4='Resumo Diário'!X$4,'Máq. 2'!$C5:$AB5))+SUM(IF('Máq. 3'!$C$4:$AB$4='Resumo Diário'!X$4,'Máq. 3'!$C5:$AB5))+SUM(IF('Máq. 4'!$C$4:$AB$4='Resumo Diário'!X$4,'Máq. 4'!$C5:$AB5))+SUM(IF('Máq. 5'!$C$4:$AB$4='Resumo Diário'!X$4,'Máq. 5'!$C5:$AB5))</f>
        <v>0</v>
      </c>
      <c r="Y5" s="105">
        <f t="array" ref="Y5">SUM(IF('Máq. 1'!$C$4:$AB$4='Resumo Diário'!Y$4,'Máq. 1'!$C5:$AB5))+SUM(IF('Máq. 2'!$C$4:$AB$4='Resumo Diário'!Y$4,'Máq. 2'!$C5:$AB5))+SUM(IF('Máq. 3'!$C$4:$AB$4='Resumo Diário'!Y$4,'Máq. 3'!$C5:$AB5))+SUM(IF('Máq. 4'!$C$4:$AB$4='Resumo Diário'!Y$4,'Máq. 4'!$C5:$AB5))+SUM(IF('Máq. 5'!$C$4:$AB$4='Resumo Diário'!Y$4,'Máq. 5'!$C5:$AB5))</f>
        <v>0</v>
      </c>
      <c r="Z5" s="105">
        <f t="array" ref="Z5">SUM(IF('Máq. 1'!$C$4:$AB$4='Resumo Diário'!Z$4,'Máq. 1'!$C5:$AB5))+SUM(IF('Máq. 2'!$C$4:$AB$4='Resumo Diário'!Z$4,'Máq. 2'!$C5:$AB5))+SUM(IF('Máq. 3'!$C$4:$AB$4='Resumo Diário'!Z$4,'Máq. 3'!$C5:$AB5))+SUM(IF('Máq. 4'!$C$4:$AB$4='Resumo Diário'!Z$4,'Máq. 4'!$C5:$AB5))+SUM(IF('Máq. 5'!$C$4:$AB$4='Resumo Diário'!Z$4,'Máq. 5'!$C5:$AB5))</f>
        <v>0</v>
      </c>
      <c r="AA5" s="105">
        <f t="array" ref="AA5">SUM(IF('Máq. 1'!$C$4:$AB$4='Resumo Diário'!AA$4,'Máq. 1'!$C5:$AB5))+SUM(IF('Máq. 2'!$C$4:$AB$4='Resumo Diário'!AA$4,'Máq. 2'!$C5:$AB5))+SUM(IF('Máq. 3'!$C$4:$AB$4='Resumo Diário'!AA$4,'Máq. 3'!$C5:$AB5))+SUM(IF('Máq. 4'!$C$4:$AB$4='Resumo Diário'!AA$4,'Máq. 4'!$C5:$AB5))+SUM(IF('Máq. 5'!$C$4:$AB$4='Resumo Diário'!AA$4,'Máq. 5'!$C5:$AB5))</f>
        <v>0</v>
      </c>
      <c r="AB5" s="105">
        <f t="array" ref="AB5">SUM(IF('Máq. 1'!$C$4:$AB$4='Resumo Diário'!AB$4,'Máq. 1'!$C5:$AB5))+SUM(IF('Máq. 2'!$C$4:$AB$4='Resumo Diário'!AB$4,'Máq. 2'!$C5:$AB5))+SUM(IF('Máq. 3'!$C$4:$AB$4='Resumo Diário'!AB$4,'Máq. 3'!$C5:$AB5))+SUM(IF('Máq. 4'!$C$4:$AB$4='Resumo Diário'!AB$4,'Máq. 4'!$C5:$AB5))+SUM(IF('Máq. 5'!$C$4:$AB$4='Resumo Diário'!AB$4,'Máq. 5'!$C5:$AB5))</f>
        <v>0</v>
      </c>
      <c r="AC5" s="105">
        <f t="array" ref="AC5">SUM(IF('Máq. 1'!$C$4:$AB$4='Resumo Diário'!AC$4,'Máq. 1'!$C5:$AB5))+SUM(IF('Máq. 2'!$C$4:$AB$4='Resumo Diário'!AC$4,'Máq. 2'!$C5:$AB5))+SUM(IF('Máq. 3'!$C$4:$AB$4='Resumo Diário'!AC$4,'Máq. 3'!$C5:$AB5))+SUM(IF('Máq. 4'!$C$4:$AB$4='Resumo Diário'!AC$4,'Máq. 4'!$C5:$AB5))+SUM(IF('Máq. 5'!$C$4:$AB$4='Resumo Diário'!AC$4,'Máq. 5'!$C5:$AB5))</f>
        <v>0</v>
      </c>
      <c r="AD5" s="105">
        <f t="array" ref="AD5">SUM(IF('Máq. 1'!$C$4:$AB$4='Resumo Diário'!AD$4,'Máq. 1'!$C5:$AB5))+SUM(IF('Máq. 2'!$C$4:$AB$4='Resumo Diário'!AD$4,'Máq. 2'!$C5:$AB5))+SUM(IF('Máq. 3'!$C$4:$AB$4='Resumo Diário'!AD$4,'Máq. 3'!$C5:$AB5))+SUM(IF('Máq. 4'!$C$4:$AB$4='Resumo Diário'!AD$4,'Máq. 4'!$C5:$AB5))+SUM(IF('Máq. 5'!$C$4:$AB$4='Resumo Diário'!AD$4,'Máq. 5'!$C5:$AB5))</f>
        <v>0</v>
      </c>
      <c r="AE5" s="105">
        <f t="array" ref="AE5">SUM(IF('Máq. 1'!$C$4:$AB$4='Resumo Diário'!AE$4,'Máq. 1'!$C5:$AB5))+SUM(IF('Máq. 2'!$C$4:$AB$4='Resumo Diário'!AE$4,'Máq. 2'!$C5:$AB5))+SUM(IF('Máq. 3'!$C$4:$AB$4='Resumo Diário'!AE$4,'Máq. 3'!$C5:$AB5))+SUM(IF('Máq. 4'!$C$4:$AB$4='Resumo Diário'!AE$4,'Máq. 4'!$C5:$AB5))+SUM(IF('Máq. 5'!$C$4:$AB$4='Resumo Diário'!AE$4,'Máq. 5'!$C5:$AB5))</f>
        <v>0</v>
      </c>
      <c r="AF5" s="105">
        <f t="array" ref="AF5">SUM(IF('Máq. 1'!$C$4:$AB$4='Resumo Diário'!AF$4,'Máq. 1'!$C5:$AB5))+SUM(IF('Máq. 2'!$C$4:$AB$4='Resumo Diário'!AF$4,'Máq. 2'!$C5:$AB5))+SUM(IF('Máq. 3'!$C$4:$AB$4='Resumo Diário'!AF$4,'Máq. 3'!$C5:$AB5))+SUM(IF('Máq. 4'!$C$4:$AB$4='Resumo Diário'!AF$4,'Máq. 4'!$C5:$AB5))+SUM(IF('Máq. 5'!$C$4:$AB$4='Resumo Diário'!AF$4,'Máq. 5'!$C5:$AB5))</f>
        <v>0</v>
      </c>
      <c r="AG5" s="105">
        <f t="array" ref="AG5">SUM(IF('Máq. 1'!$C$4:$AB$4='Resumo Diário'!AG$4,'Máq. 1'!$C5:$AB5))+SUM(IF('Máq. 2'!$C$4:$AB$4='Resumo Diário'!AG$4,'Máq. 2'!$C5:$AB5))+SUM(IF('Máq. 3'!$C$4:$AB$4='Resumo Diário'!AG$4,'Máq. 3'!$C5:$AB5))+SUM(IF('Máq. 4'!$C$4:$AB$4='Resumo Diário'!AG$4,'Máq. 4'!$C5:$AB5))+SUM(IF('Máq. 5'!$C$4:$AB$4='Resumo Diário'!AG$4,'Máq. 5'!$C5:$AB5))</f>
        <v>0</v>
      </c>
      <c r="AH5" s="61">
        <f t="shared" ref="AH5:AH15" si="0">SUM(C5:AG5)</f>
        <v>0</v>
      </c>
      <c r="AI5" s="72"/>
      <c r="AL5" s="13" t="s">
        <v>59</v>
      </c>
      <c r="AM5" s="13" t="s">
        <v>45</v>
      </c>
      <c r="AN5" s="13" t="s">
        <v>46</v>
      </c>
      <c r="AO5" s="13" t="s">
        <v>47</v>
      </c>
      <c r="AP5" s="13" t="s">
        <v>48</v>
      </c>
      <c r="AQ5" s="13" t="s">
        <v>49</v>
      </c>
      <c r="AR5" s="13" t="s">
        <v>50</v>
      </c>
      <c r="AT5" s="13" t="s">
        <v>51</v>
      </c>
      <c r="AU5" s="13" t="s">
        <v>52</v>
      </c>
      <c r="AV5" s="13" t="s">
        <v>55</v>
      </c>
      <c r="AW5" s="13" t="s">
        <v>14</v>
      </c>
      <c r="AX5" s="13" t="s">
        <v>56</v>
      </c>
      <c r="AY5" s="13" t="s">
        <v>57</v>
      </c>
      <c r="AZ5" s="13" t="s">
        <v>58</v>
      </c>
    </row>
    <row r="6" spans="1:52" s="13" customFormat="1" ht="30" customHeight="1" x14ac:dyDescent="0.2">
      <c r="A6" s="136" t="s">
        <v>5</v>
      </c>
      <c r="B6" s="66" t="s">
        <v>31</v>
      </c>
      <c r="C6" s="106">
        <f t="array" ref="C6">SUM(IF('Máq. 1'!$C$4:$AB$4='Resumo Diário'!C$4,'Máq. 1'!$C6:$AB6))+SUM(IF('Máq. 2'!$C$4:$AB$4='Resumo Diário'!C$4,'Máq. 2'!$C6:$AB6))+SUM(IF('Máq. 3'!$C$4:$AB$4='Resumo Diário'!C$4,'Máq. 3'!$C6:$AB6))+SUM(IF('Máq. 4'!$C$4:$AB$4='Resumo Diário'!C$4,'Máq. 4'!$C6:$AB6))+SUM(IF('Máq. 5'!$C$4:$AB$4='Resumo Diário'!C$4,'Máq. 5'!$C6:$AB6))</f>
        <v>0</v>
      </c>
      <c r="D6" s="107">
        <f t="array" ref="D6">SUM(IF('Máq. 1'!$C$4:$AB$4='Resumo Diário'!D$4,'Máq. 1'!$C6:$AB6))+SUM(IF('Máq. 2'!$C$4:$AB$4='Resumo Diário'!D$4,'Máq. 2'!$C6:$AB6))+SUM(IF('Máq. 3'!$C$4:$AB$4='Resumo Diário'!D$4,'Máq. 3'!$C6:$AB6))+SUM(IF('Máq. 4'!$C$4:$AB$4='Resumo Diário'!D$4,'Máq. 4'!$C6:$AB6))+SUM(IF('Máq. 5'!$C$4:$AB$4='Resumo Diário'!D$4,'Máq. 5'!$C6:$AB6))</f>
        <v>0</v>
      </c>
      <c r="E6" s="107">
        <f t="array" ref="E6">SUM(IF('Máq. 1'!$C$4:$AB$4='Resumo Diário'!E$4,'Máq. 1'!$C6:$AB6))+SUM(IF('Máq. 2'!$C$4:$AB$4='Resumo Diário'!E$4,'Máq. 2'!$C6:$AB6))+SUM(IF('Máq. 3'!$C$4:$AB$4='Resumo Diário'!E$4,'Máq. 3'!$C6:$AB6))+SUM(IF('Máq. 4'!$C$4:$AB$4='Resumo Diário'!E$4,'Máq. 4'!$C6:$AB6))+SUM(IF('Máq. 5'!$C$4:$AB$4='Resumo Diário'!E$4,'Máq. 5'!$C6:$AB6))</f>
        <v>0</v>
      </c>
      <c r="F6" s="107">
        <f t="array" ref="F6">SUM(IF('Máq. 1'!$C$4:$AB$4='Resumo Diário'!F$4,'Máq. 1'!$C6:$AB6))+SUM(IF('Máq. 2'!$C$4:$AB$4='Resumo Diário'!F$4,'Máq. 2'!$C6:$AB6))+SUM(IF('Máq. 3'!$C$4:$AB$4='Resumo Diário'!F$4,'Máq. 3'!$C6:$AB6))+SUM(IF('Máq. 4'!$C$4:$AB$4='Resumo Diário'!F$4,'Máq. 4'!$C6:$AB6))+SUM(IF('Máq. 5'!$C$4:$AB$4='Resumo Diário'!F$4,'Máq. 5'!$C6:$AB6))</f>
        <v>0</v>
      </c>
      <c r="G6" s="107">
        <f t="array" ref="G6">SUM(IF('Máq. 1'!$C$4:$AB$4='Resumo Diário'!G$4,'Máq. 1'!$C6:$AB6))+SUM(IF('Máq. 2'!$C$4:$AB$4='Resumo Diário'!G$4,'Máq. 2'!$C6:$AB6))+SUM(IF('Máq. 3'!$C$4:$AB$4='Resumo Diário'!G$4,'Máq. 3'!$C6:$AB6))+SUM(IF('Máq. 4'!$C$4:$AB$4='Resumo Diário'!G$4,'Máq. 4'!$C6:$AB6))+SUM(IF('Máq. 5'!$C$4:$AB$4='Resumo Diário'!G$4,'Máq. 5'!$C6:$AB6))</f>
        <v>0</v>
      </c>
      <c r="H6" s="107">
        <f t="array" ref="H6">SUM(IF('Máq. 1'!$C$4:$AB$4='Resumo Diário'!H$4,'Máq. 1'!$C6:$AB6))+SUM(IF('Máq. 2'!$C$4:$AB$4='Resumo Diário'!H$4,'Máq. 2'!$C6:$AB6))+SUM(IF('Máq. 3'!$C$4:$AB$4='Resumo Diário'!H$4,'Máq. 3'!$C6:$AB6))+SUM(IF('Máq. 4'!$C$4:$AB$4='Resumo Diário'!H$4,'Máq. 4'!$C6:$AB6))+SUM(IF('Máq. 5'!$C$4:$AB$4='Resumo Diário'!H$4,'Máq. 5'!$C6:$AB6))</f>
        <v>0</v>
      </c>
      <c r="I6" s="107">
        <f t="array" ref="I6">SUM(IF('Máq. 1'!$C$4:$AB$4='Resumo Diário'!I$4,'Máq. 1'!$C6:$AB6))+SUM(IF('Máq. 2'!$C$4:$AB$4='Resumo Diário'!I$4,'Máq. 2'!$C6:$AB6))+SUM(IF('Máq. 3'!$C$4:$AB$4='Resumo Diário'!I$4,'Máq. 3'!$C6:$AB6))+SUM(IF('Máq. 4'!$C$4:$AB$4='Resumo Diário'!I$4,'Máq. 4'!$C6:$AB6))+SUM(IF('Máq. 5'!$C$4:$AB$4='Resumo Diário'!I$4,'Máq. 5'!$C6:$AB6))</f>
        <v>0</v>
      </c>
      <c r="J6" s="107">
        <f t="array" ref="J6">SUM(IF('Máq. 1'!$C$4:$AB$4='Resumo Diário'!J$4,'Máq. 1'!$C6:$AB6))+SUM(IF('Máq. 2'!$C$4:$AB$4='Resumo Diário'!J$4,'Máq. 2'!$C6:$AB6))+SUM(IF('Máq. 3'!$C$4:$AB$4='Resumo Diário'!J$4,'Máq. 3'!$C6:$AB6))+SUM(IF('Máq. 4'!$C$4:$AB$4='Resumo Diário'!J$4,'Máq. 4'!$C6:$AB6))+SUM(IF('Máq. 5'!$C$4:$AB$4='Resumo Diário'!J$4,'Máq. 5'!$C6:$AB6))</f>
        <v>0</v>
      </c>
      <c r="K6" s="107">
        <f t="array" ref="K6">SUM(IF('Máq. 1'!$C$4:$AB$4='Resumo Diário'!K$4,'Máq. 1'!$C6:$AB6))+SUM(IF('Máq. 2'!$C$4:$AB$4='Resumo Diário'!K$4,'Máq. 2'!$C6:$AB6))+SUM(IF('Máq. 3'!$C$4:$AB$4='Resumo Diário'!K$4,'Máq. 3'!$C6:$AB6))+SUM(IF('Máq. 4'!$C$4:$AB$4='Resumo Diário'!K$4,'Máq. 4'!$C6:$AB6))+SUM(IF('Máq. 5'!$C$4:$AB$4='Resumo Diário'!K$4,'Máq. 5'!$C6:$AB6))</f>
        <v>0</v>
      </c>
      <c r="L6" s="107">
        <f t="array" ref="L6">SUM(IF('Máq. 1'!$C$4:$AB$4='Resumo Diário'!L$4,'Máq. 1'!$C6:$AB6))+SUM(IF('Máq. 2'!$C$4:$AB$4='Resumo Diário'!L$4,'Máq. 2'!$C6:$AB6))+SUM(IF('Máq. 3'!$C$4:$AB$4='Resumo Diário'!L$4,'Máq. 3'!$C6:$AB6))+SUM(IF('Máq. 4'!$C$4:$AB$4='Resumo Diário'!L$4,'Máq. 4'!$C6:$AB6))+SUM(IF('Máq. 5'!$C$4:$AB$4='Resumo Diário'!L$4,'Máq. 5'!$C6:$AB6))</f>
        <v>0</v>
      </c>
      <c r="M6" s="107">
        <f t="array" ref="M6">SUM(IF('Máq. 1'!$C$4:$AB$4='Resumo Diário'!M$4,'Máq. 1'!$C6:$AB6))+SUM(IF('Máq. 2'!$C$4:$AB$4='Resumo Diário'!M$4,'Máq. 2'!$C6:$AB6))+SUM(IF('Máq. 3'!$C$4:$AB$4='Resumo Diário'!M$4,'Máq. 3'!$C6:$AB6))+SUM(IF('Máq. 4'!$C$4:$AB$4='Resumo Diário'!M$4,'Máq. 4'!$C6:$AB6))+SUM(IF('Máq. 5'!$C$4:$AB$4='Resumo Diário'!M$4,'Máq. 5'!$C6:$AB6))</f>
        <v>0</v>
      </c>
      <c r="N6" s="107">
        <f t="array" ref="N6">SUM(IF('Máq. 1'!$C$4:$AB$4='Resumo Diário'!N$4,'Máq. 1'!$C6:$AB6))+SUM(IF('Máq. 2'!$C$4:$AB$4='Resumo Diário'!N$4,'Máq. 2'!$C6:$AB6))+SUM(IF('Máq. 3'!$C$4:$AB$4='Resumo Diário'!N$4,'Máq. 3'!$C6:$AB6))+SUM(IF('Máq. 4'!$C$4:$AB$4='Resumo Diário'!N$4,'Máq. 4'!$C6:$AB6))+SUM(IF('Máq. 5'!$C$4:$AB$4='Resumo Diário'!N$4,'Máq. 5'!$C6:$AB6))</f>
        <v>0</v>
      </c>
      <c r="O6" s="107">
        <f t="array" ref="O6">SUM(IF('Máq. 1'!$C$4:$AB$4='Resumo Diário'!O$4,'Máq. 1'!$C6:$AB6))+SUM(IF('Máq. 2'!$C$4:$AB$4='Resumo Diário'!O$4,'Máq. 2'!$C6:$AB6))+SUM(IF('Máq. 3'!$C$4:$AB$4='Resumo Diário'!O$4,'Máq. 3'!$C6:$AB6))+SUM(IF('Máq. 4'!$C$4:$AB$4='Resumo Diário'!O$4,'Máq. 4'!$C6:$AB6))+SUM(IF('Máq. 5'!$C$4:$AB$4='Resumo Diário'!O$4,'Máq. 5'!$C6:$AB6))</f>
        <v>0</v>
      </c>
      <c r="P6" s="107">
        <f t="array" ref="P6">SUM(IF('Máq. 1'!$C$4:$AB$4='Resumo Diário'!P$4,'Máq. 1'!$C6:$AB6))+SUM(IF('Máq. 2'!$C$4:$AB$4='Resumo Diário'!P$4,'Máq. 2'!$C6:$AB6))+SUM(IF('Máq. 3'!$C$4:$AB$4='Resumo Diário'!P$4,'Máq. 3'!$C6:$AB6))+SUM(IF('Máq. 4'!$C$4:$AB$4='Resumo Diário'!P$4,'Máq. 4'!$C6:$AB6))+SUM(IF('Máq. 5'!$C$4:$AB$4='Resumo Diário'!P$4,'Máq. 5'!$C6:$AB6))</f>
        <v>0</v>
      </c>
      <c r="Q6" s="107">
        <f t="array" ref="Q6">SUM(IF('Máq. 1'!$C$4:$AB$4='Resumo Diário'!Q$4,'Máq. 1'!$C6:$AB6))+SUM(IF('Máq. 2'!$C$4:$AB$4='Resumo Diário'!Q$4,'Máq. 2'!$C6:$AB6))+SUM(IF('Máq. 3'!$C$4:$AB$4='Resumo Diário'!Q$4,'Máq. 3'!$C6:$AB6))+SUM(IF('Máq. 4'!$C$4:$AB$4='Resumo Diário'!Q$4,'Máq. 4'!$C6:$AB6))+SUM(IF('Máq. 5'!$C$4:$AB$4='Resumo Diário'!Q$4,'Máq. 5'!$C6:$AB6))</f>
        <v>0</v>
      </c>
      <c r="R6" s="107">
        <f t="array" ref="R6">SUM(IF('Máq. 1'!$C$4:$AB$4='Resumo Diário'!R$4,'Máq. 1'!$C6:$AB6))+SUM(IF('Máq. 2'!$C$4:$AB$4='Resumo Diário'!R$4,'Máq. 2'!$C6:$AB6))+SUM(IF('Máq. 3'!$C$4:$AB$4='Resumo Diário'!R$4,'Máq. 3'!$C6:$AB6))+SUM(IF('Máq. 4'!$C$4:$AB$4='Resumo Diário'!R$4,'Máq. 4'!$C6:$AB6))+SUM(IF('Máq. 5'!$C$4:$AB$4='Resumo Diário'!R$4,'Máq. 5'!$C6:$AB6))</f>
        <v>0</v>
      </c>
      <c r="S6" s="107">
        <f t="array" ref="S6">SUM(IF('Máq. 1'!$C$4:$AB$4='Resumo Diário'!S$4,'Máq. 1'!$C6:$AB6))+SUM(IF('Máq. 2'!$C$4:$AB$4='Resumo Diário'!S$4,'Máq. 2'!$C6:$AB6))+SUM(IF('Máq. 3'!$C$4:$AB$4='Resumo Diário'!S$4,'Máq. 3'!$C6:$AB6))+SUM(IF('Máq. 4'!$C$4:$AB$4='Resumo Diário'!S$4,'Máq. 4'!$C6:$AB6))+SUM(IF('Máq. 5'!$C$4:$AB$4='Resumo Diário'!S$4,'Máq. 5'!$C6:$AB6))</f>
        <v>0</v>
      </c>
      <c r="T6" s="107">
        <f t="array" ref="T6">SUM(IF('Máq. 1'!$C$4:$AB$4='Resumo Diário'!T$4,'Máq. 1'!$C6:$AB6))+SUM(IF('Máq. 2'!$C$4:$AB$4='Resumo Diário'!T$4,'Máq. 2'!$C6:$AB6))+SUM(IF('Máq. 3'!$C$4:$AB$4='Resumo Diário'!T$4,'Máq. 3'!$C6:$AB6))+SUM(IF('Máq. 4'!$C$4:$AB$4='Resumo Diário'!T$4,'Máq. 4'!$C6:$AB6))+SUM(IF('Máq. 5'!$C$4:$AB$4='Resumo Diário'!T$4,'Máq. 5'!$C6:$AB6))</f>
        <v>0</v>
      </c>
      <c r="U6" s="19">
        <f t="array" ref="U6">SUM(IF('Máq. 1'!$C$4:$AB$4='Resumo Diário'!U$4,'Máq. 1'!$C6:$AB6))+SUM(IF('Máq. 2'!$C$4:$AB$4='Resumo Diário'!U$4,'Máq. 2'!$C6:$AB6))+SUM(IF('Máq. 3'!$C$4:$AB$4='Resumo Diário'!U$4,'Máq. 3'!$C6:$AB6))+SUM(IF('Máq. 4'!$C$4:$AB$4='Resumo Diário'!U$4,'Máq. 4'!$C6:$AB6))+SUM(IF('Máq. 5'!$C$4:$AB$4='Resumo Diário'!U$4,'Máq. 5'!$C6:$AB6))</f>
        <v>0</v>
      </c>
      <c r="V6" s="19">
        <f t="array" ref="V6">SUM(IF('Máq. 1'!$C$4:$AB$4='Resumo Diário'!V$4,'Máq. 1'!$C6:$AB6))+SUM(IF('Máq. 2'!$C$4:$AB$4='Resumo Diário'!V$4,'Máq. 2'!$C6:$AB6))+SUM(IF('Máq. 3'!$C$4:$AB$4='Resumo Diário'!V$4,'Máq. 3'!$C6:$AB6))+SUM(IF('Máq. 4'!$C$4:$AB$4='Resumo Diário'!V$4,'Máq. 4'!$C6:$AB6))+SUM(IF('Máq. 5'!$C$4:$AB$4='Resumo Diário'!V$4,'Máq. 5'!$C6:$AB6))</f>
        <v>0</v>
      </c>
      <c r="W6" s="19">
        <f t="array" ref="W6">SUM(IF('Máq. 1'!$C$4:$AB$4='Resumo Diário'!W$4,'Máq. 1'!$C6:$AB6))+SUM(IF('Máq. 2'!$C$4:$AB$4='Resumo Diário'!W$4,'Máq. 2'!$C6:$AB6))+SUM(IF('Máq. 3'!$C$4:$AB$4='Resumo Diário'!W$4,'Máq. 3'!$C6:$AB6))+SUM(IF('Máq. 4'!$C$4:$AB$4='Resumo Diário'!W$4,'Máq. 4'!$C6:$AB6))+SUM(IF('Máq. 5'!$C$4:$AB$4='Resumo Diário'!W$4,'Máq. 5'!$C6:$AB6))</f>
        <v>0</v>
      </c>
      <c r="X6" s="19">
        <f t="array" ref="X6">SUM(IF('Máq. 1'!$C$4:$AB$4='Resumo Diário'!X$4,'Máq. 1'!$C6:$AB6))+SUM(IF('Máq. 2'!$C$4:$AB$4='Resumo Diário'!X$4,'Máq. 2'!$C6:$AB6))+SUM(IF('Máq. 3'!$C$4:$AB$4='Resumo Diário'!X$4,'Máq. 3'!$C6:$AB6))+SUM(IF('Máq. 4'!$C$4:$AB$4='Resumo Diário'!X$4,'Máq. 4'!$C6:$AB6))+SUM(IF('Máq. 5'!$C$4:$AB$4='Resumo Diário'!X$4,'Máq. 5'!$C6:$AB6))</f>
        <v>0</v>
      </c>
      <c r="Y6" s="19">
        <f t="array" ref="Y6">SUM(IF('Máq. 1'!$C$4:$AB$4='Resumo Diário'!Y$4,'Máq. 1'!$C6:$AB6))+SUM(IF('Máq. 2'!$C$4:$AB$4='Resumo Diário'!Y$4,'Máq. 2'!$C6:$AB6))+SUM(IF('Máq. 3'!$C$4:$AB$4='Resumo Diário'!Y$4,'Máq. 3'!$C6:$AB6))+SUM(IF('Máq. 4'!$C$4:$AB$4='Resumo Diário'!Y$4,'Máq. 4'!$C6:$AB6))+SUM(IF('Máq. 5'!$C$4:$AB$4='Resumo Diário'!Y$4,'Máq. 5'!$C6:$AB6))</f>
        <v>0</v>
      </c>
      <c r="Z6" s="19">
        <f t="array" ref="Z6">SUM(IF('Máq. 1'!$C$4:$AB$4='Resumo Diário'!Z$4,'Máq. 1'!$C6:$AB6))+SUM(IF('Máq. 2'!$C$4:$AB$4='Resumo Diário'!Z$4,'Máq. 2'!$C6:$AB6))+SUM(IF('Máq. 3'!$C$4:$AB$4='Resumo Diário'!Z$4,'Máq. 3'!$C6:$AB6))+SUM(IF('Máq. 4'!$C$4:$AB$4='Resumo Diário'!Z$4,'Máq. 4'!$C6:$AB6))+SUM(IF('Máq. 5'!$C$4:$AB$4='Resumo Diário'!Z$4,'Máq. 5'!$C6:$AB6))</f>
        <v>0</v>
      </c>
      <c r="AA6" s="19">
        <f t="array" ref="AA6">SUM(IF('Máq. 1'!$C$4:$AB$4='Resumo Diário'!AA$4,'Máq. 1'!$C6:$AB6))+SUM(IF('Máq. 2'!$C$4:$AB$4='Resumo Diário'!AA$4,'Máq. 2'!$C6:$AB6))+SUM(IF('Máq. 3'!$C$4:$AB$4='Resumo Diário'!AA$4,'Máq. 3'!$C6:$AB6))+SUM(IF('Máq. 4'!$C$4:$AB$4='Resumo Diário'!AA$4,'Máq. 4'!$C6:$AB6))+SUM(IF('Máq. 5'!$C$4:$AB$4='Resumo Diário'!AA$4,'Máq. 5'!$C6:$AB6))</f>
        <v>0</v>
      </c>
      <c r="AB6" s="19">
        <f t="array" ref="AB6">SUM(IF('Máq. 1'!$C$4:$AB$4='Resumo Diário'!AB$4,'Máq. 1'!$C6:$AB6))+SUM(IF('Máq. 2'!$C$4:$AB$4='Resumo Diário'!AB$4,'Máq. 2'!$C6:$AB6))+SUM(IF('Máq. 3'!$C$4:$AB$4='Resumo Diário'!AB$4,'Máq. 3'!$C6:$AB6))+SUM(IF('Máq. 4'!$C$4:$AB$4='Resumo Diário'!AB$4,'Máq. 4'!$C6:$AB6))+SUM(IF('Máq. 5'!$C$4:$AB$4='Resumo Diário'!AB$4,'Máq. 5'!$C6:$AB6))</f>
        <v>0</v>
      </c>
      <c r="AC6" s="19">
        <f t="array" ref="AC6">SUM(IF('Máq. 1'!$C$4:$AB$4='Resumo Diário'!AC$4,'Máq. 1'!$C6:$AB6))+SUM(IF('Máq. 2'!$C$4:$AB$4='Resumo Diário'!AC$4,'Máq. 2'!$C6:$AB6))+SUM(IF('Máq. 3'!$C$4:$AB$4='Resumo Diário'!AC$4,'Máq. 3'!$C6:$AB6))+SUM(IF('Máq. 4'!$C$4:$AB$4='Resumo Diário'!AC$4,'Máq. 4'!$C6:$AB6))+SUM(IF('Máq. 5'!$C$4:$AB$4='Resumo Diário'!AC$4,'Máq. 5'!$C6:$AB6))</f>
        <v>0</v>
      </c>
      <c r="AD6" s="19">
        <f t="array" ref="AD6">SUM(IF('Máq. 1'!$C$4:$AB$4='Resumo Diário'!AD$4,'Máq. 1'!$C6:$AB6))+SUM(IF('Máq. 2'!$C$4:$AB$4='Resumo Diário'!AD$4,'Máq. 2'!$C6:$AB6))+SUM(IF('Máq. 3'!$C$4:$AB$4='Resumo Diário'!AD$4,'Máq. 3'!$C6:$AB6))+SUM(IF('Máq. 4'!$C$4:$AB$4='Resumo Diário'!AD$4,'Máq. 4'!$C6:$AB6))+SUM(IF('Máq. 5'!$C$4:$AB$4='Resumo Diário'!AD$4,'Máq. 5'!$C6:$AB6))</f>
        <v>0</v>
      </c>
      <c r="AE6" s="19">
        <f t="array" ref="AE6">SUM(IF('Máq. 1'!$C$4:$AB$4='Resumo Diário'!AE$4,'Máq. 1'!$C6:$AB6))+SUM(IF('Máq. 2'!$C$4:$AB$4='Resumo Diário'!AE$4,'Máq. 2'!$C6:$AB6))+SUM(IF('Máq. 3'!$C$4:$AB$4='Resumo Diário'!AE$4,'Máq. 3'!$C6:$AB6))+SUM(IF('Máq. 4'!$C$4:$AB$4='Resumo Diário'!AE$4,'Máq. 4'!$C6:$AB6))+SUM(IF('Máq. 5'!$C$4:$AB$4='Resumo Diário'!AE$4,'Máq. 5'!$C6:$AB6))</f>
        <v>0</v>
      </c>
      <c r="AF6" s="19">
        <f t="array" ref="AF6">SUM(IF('Máq. 1'!$C$4:$AB$4='Resumo Diário'!AF$4,'Máq. 1'!$C6:$AB6))+SUM(IF('Máq. 2'!$C$4:$AB$4='Resumo Diário'!AF$4,'Máq. 2'!$C6:$AB6))+SUM(IF('Máq. 3'!$C$4:$AB$4='Resumo Diário'!AF$4,'Máq. 3'!$C6:$AB6))+SUM(IF('Máq. 4'!$C$4:$AB$4='Resumo Diário'!AF$4,'Máq. 4'!$C6:$AB6))+SUM(IF('Máq. 5'!$C$4:$AB$4='Resumo Diário'!AF$4,'Máq. 5'!$C6:$AB6))</f>
        <v>0</v>
      </c>
      <c r="AG6" s="107">
        <f t="array" ref="AG6">SUM(IF('Máq. 1'!$C$4:$AB$4='Resumo Diário'!AG$4,'Máq. 1'!$C6:$AB6))+SUM(IF('Máq. 2'!$C$4:$AB$4='Resumo Diário'!AG$4,'Máq. 2'!$C6:$AB6))+SUM(IF('Máq. 3'!$C$4:$AB$4='Resumo Diário'!AG$4,'Máq. 3'!$C6:$AB6))+SUM(IF('Máq. 4'!$C$4:$AB$4='Resumo Diário'!AG$4,'Máq. 4'!$C6:$AB6))+SUM(IF('Máq. 5'!$C$4:$AB$4='Resumo Diário'!AG$4,'Máq. 5'!$C6:$AB6))</f>
        <v>0</v>
      </c>
      <c r="AH6" s="17">
        <f t="shared" si="0"/>
        <v>0</v>
      </c>
      <c r="AI6" s="73"/>
      <c r="AL6" s="13" t="s">
        <v>4</v>
      </c>
      <c r="AM6" s="13">
        <f>PROD_TOTAL_M1N</f>
        <v>0</v>
      </c>
      <c r="AN6" s="13">
        <f>PROD_TOTAL_M2N</f>
        <v>0</v>
      </c>
      <c r="AO6" s="13">
        <f>PROD_TOTAL_M3N</f>
        <v>0</v>
      </c>
      <c r="AP6" s="13">
        <f>PROD_TOTAL_M4N</f>
        <v>0</v>
      </c>
      <c r="AQ6" s="13">
        <f>PROD_TOTAL_M5N</f>
        <v>0</v>
      </c>
      <c r="AR6" s="13">
        <f>SUM(AM6:AQ6)</f>
        <v>0</v>
      </c>
    </row>
    <row r="7" spans="1:52" s="13" customFormat="1" ht="30" customHeight="1" x14ac:dyDescent="0.2">
      <c r="A7" s="137"/>
      <c r="B7" s="67" t="s">
        <v>32</v>
      </c>
      <c r="C7" s="18">
        <f t="array" ref="C7">SUM(IF('Máq. 1'!$C$4:$AB$4='Resumo Diário'!C$4,'Máq. 1'!$C7:$AB7))+SUM(IF('Máq. 2'!$C$4:$AB$4='Resumo Diário'!C$4,'Máq. 2'!$C7:$AB7))+SUM(IF('Máq. 3'!$C$4:$AB$4='Resumo Diário'!C$4,'Máq. 3'!$C7:$AB7))+SUM(IF('Máq. 4'!$C$4:$AB$4='Resumo Diário'!C$4,'Máq. 4'!$C7:$AB7))+SUM(IF('Máq. 5'!$C$4:$AB$4='Resumo Diário'!C$4,'Máq. 5'!$C7:$AB7))</f>
        <v>0</v>
      </c>
      <c r="D7" s="19">
        <f t="array" ref="D7">SUM(IF('Máq. 1'!$C$4:$AB$4='Resumo Diário'!D$4,'Máq. 1'!$C7:$AB7))+SUM(IF('Máq. 2'!$C$4:$AB$4='Resumo Diário'!D$4,'Máq. 2'!$C7:$AB7))+SUM(IF('Máq. 3'!$C$4:$AB$4='Resumo Diário'!D$4,'Máq. 3'!$C7:$AB7))+SUM(IF('Máq. 4'!$C$4:$AB$4='Resumo Diário'!D$4,'Máq. 4'!$C7:$AB7))+SUM(IF('Máq. 5'!$C$4:$AB$4='Resumo Diário'!D$4,'Máq. 5'!$C7:$AB7))</f>
        <v>0</v>
      </c>
      <c r="E7" s="19">
        <f t="array" ref="E7">SUM(IF('Máq. 1'!$C$4:$AB$4='Resumo Diário'!E$4,'Máq. 1'!$C7:$AB7))+SUM(IF('Máq. 2'!$C$4:$AB$4='Resumo Diário'!E$4,'Máq. 2'!$C7:$AB7))+SUM(IF('Máq. 3'!$C$4:$AB$4='Resumo Diário'!E$4,'Máq. 3'!$C7:$AB7))+SUM(IF('Máq. 4'!$C$4:$AB$4='Resumo Diário'!E$4,'Máq. 4'!$C7:$AB7))+SUM(IF('Máq. 5'!$C$4:$AB$4='Resumo Diário'!E$4,'Máq. 5'!$C7:$AB7))</f>
        <v>0</v>
      </c>
      <c r="F7" s="19">
        <f t="array" ref="F7">SUM(IF('Máq. 1'!$C$4:$AB$4='Resumo Diário'!F$4,'Máq. 1'!$C7:$AB7))+SUM(IF('Máq. 2'!$C$4:$AB$4='Resumo Diário'!F$4,'Máq. 2'!$C7:$AB7))+SUM(IF('Máq. 3'!$C$4:$AB$4='Resumo Diário'!F$4,'Máq. 3'!$C7:$AB7))+SUM(IF('Máq. 4'!$C$4:$AB$4='Resumo Diário'!F$4,'Máq. 4'!$C7:$AB7))+SUM(IF('Máq. 5'!$C$4:$AB$4='Resumo Diário'!F$4,'Máq. 5'!$C7:$AB7))</f>
        <v>0</v>
      </c>
      <c r="G7" s="19">
        <f t="array" ref="G7">SUM(IF('Máq. 1'!$C$4:$AB$4='Resumo Diário'!G$4,'Máq. 1'!$C7:$AB7))+SUM(IF('Máq. 2'!$C$4:$AB$4='Resumo Diário'!G$4,'Máq. 2'!$C7:$AB7))+SUM(IF('Máq. 3'!$C$4:$AB$4='Resumo Diário'!G$4,'Máq. 3'!$C7:$AB7))+SUM(IF('Máq. 4'!$C$4:$AB$4='Resumo Diário'!G$4,'Máq. 4'!$C7:$AB7))+SUM(IF('Máq. 5'!$C$4:$AB$4='Resumo Diário'!G$4,'Máq. 5'!$C7:$AB7))</f>
        <v>0</v>
      </c>
      <c r="H7" s="19">
        <f t="array" ref="H7">SUM(IF('Máq. 1'!$C$4:$AB$4='Resumo Diário'!H$4,'Máq. 1'!$C7:$AB7))+SUM(IF('Máq. 2'!$C$4:$AB$4='Resumo Diário'!H$4,'Máq. 2'!$C7:$AB7))+SUM(IF('Máq. 3'!$C$4:$AB$4='Resumo Diário'!H$4,'Máq. 3'!$C7:$AB7))+SUM(IF('Máq. 4'!$C$4:$AB$4='Resumo Diário'!H$4,'Máq. 4'!$C7:$AB7))+SUM(IF('Máq. 5'!$C$4:$AB$4='Resumo Diário'!H$4,'Máq. 5'!$C7:$AB7))</f>
        <v>0</v>
      </c>
      <c r="I7" s="19">
        <f t="array" ref="I7">SUM(IF('Máq. 1'!$C$4:$AB$4='Resumo Diário'!I$4,'Máq. 1'!$C7:$AB7))+SUM(IF('Máq. 2'!$C$4:$AB$4='Resumo Diário'!I$4,'Máq. 2'!$C7:$AB7))+SUM(IF('Máq. 3'!$C$4:$AB$4='Resumo Diário'!I$4,'Máq. 3'!$C7:$AB7))+SUM(IF('Máq. 4'!$C$4:$AB$4='Resumo Diário'!I$4,'Máq. 4'!$C7:$AB7))+SUM(IF('Máq. 5'!$C$4:$AB$4='Resumo Diário'!I$4,'Máq. 5'!$C7:$AB7))</f>
        <v>0</v>
      </c>
      <c r="J7" s="19">
        <f t="array" ref="J7">SUM(IF('Máq. 1'!$C$4:$AB$4='Resumo Diário'!J$4,'Máq. 1'!$C7:$AB7))+SUM(IF('Máq. 2'!$C$4:$AB$4='Resumo Diário'!J$4,'Máq. 2'!$C7:$AB7))+SUM(IF('Máq. 3'!$C$4:$AB$4='Resumo Diário'!J$4,'Máq. 3'!$C7:$AB7))+SUM(IF('Máq. 4'!$C$4:$AB$4='Resumo Diário'!J$4,'Máq. 4'!$C7:$AB7))+SUM(IF('Máq. 5'!$C$4:$AB$4='Resumo Diário'!J$4,'Máq. 5'!$C7:$AB7))</f>
        <v>0</v>
      </c>
      <c r="K7" s="19">
        <f t="array" ref="K7">SUM(IF('Máq. 1'!$C$4:$AB$4='Resumo Diário'!K$4,'Máq. 1'!$C7:$AB7))+SUM(IF('Máq. 2'!$C$4:$AB$4='Resumo Diário'!K$4,'Máq. 2'!$C7:$AB7))+SUM(IF('Máq. 3'!$C$4:$AB$4='Resumo Diário'!K$4,'Máq. 3'!$C7:$AB7))+SUM(IF('Máq. 4'!$C$4:$AB$4='Resumo Diário'!K$4,'Máq. 4'!$C7:$AB7))+SUM(IF('Máq. 5'!$C$4:$AB$4='Resumo Diário'!K$4,'Máq. 5'!$C7:$AB7))</f>
        <v>0</v>
      </c>
      <c r="L7" s="19">
        <f t="array" ref="L7">SUM(IF('Máq. 1'!$C$4:$AB$4='Resumo Diário'!L$4,'Máq. 1'!$C7:$AB7))+SUM(IF('Máq. 2'!$C$4:$AB$4='Resumo Diário'!L$4,'Máq. 2'!$C7:$AB7))+SUM(IF('Máq. 3'!$C$4:$AB$4='Resumo Diário'!L$4,'Máq. 3'!$C7:$AB7))+SUM(IF('Máq. 4'!$C$4:$AB$4='Resumo Diário'!L$4,'Máq. 4'!$C7:$AB7))+SUM(IF('Máq. 5'!$C$4:$AB$4='Resumo Diário'!L$4,'Máq. 5'!$C7:$AB7))</f>
        <v>0</v>
      </c>
      <c r="M7" s="19">
        <f t="array" ref="M7">SUM(IF('Máq. 1'!$C$4:$AB$4='Resumo Diário'!M$4,'Máq. 1'!$C7:$AB7))+SUM(IF('Máq. 2'!$C$4:$AB$4='Resumo Diário'!M$4,'Máq. 2'!$C7:$AB7))+SUM(IF('Máq. 3'!$C$4:$AB$4='Resumo Diário'!M$4,'Máq. 3'!$C7:$AB7))+SUM(IF('Máq. 4'!$C$4:$AB$4='Resumo Diário'!M$4,'Máq. 4'!$C7:$AB7))+SUM(IF('Máq. 5'!$C$4:$AB$4='Resumo Diário'!M$4,'Máq. 5'!$C7:$AB7))</f>
        <v>0</v>
      </c>
      <c r="N7" s="19">
        <f t="array" ref="N7">SUM(IF('Máq. 1'!$C$4:$AB$4='Resumo Diário'!N$4,'Máq. 1'!$C7:$AB7))+SUM(IF('Máq. 2'!$C$4:$AB$4='Resumo Diário'!N$4,'Máq. 2'!$C7:$AB7))+SUM(IF('Máq. 3'!$C$4:$AB$4='Resumo Diário'!N$4,'Máq. 3'!$C7:$AB7))+SUM(IF('Máq. 4'!$C$4:$AB$4='Resumo Diário'!N$4,'Máq. 4'!$C7:$AB7))+SUM(IF('Máq. 5'!$C$4:$AB$4='Resumo Diário'!N$4,'Máq. 5'!$C7:$AB7))</f>
        <v>0</v>
      </c>
      <c r="O7" s="19">
        <f t="array" ref="O7">SUM(IF('Máq. 1'!$C$4:$AB$4='Resumo Diário'!O$4,'Máq. 1'!$C7:$AB7))+SUM(IF('Máq. 2'!$C$4:$AB$4='Resumo Diário'!O$4,'Máq. 2'!$C7:$AB7))+SUM(IF('Máq. 3'!$C$4:$AB$4='Resumo Diário'!O$4,'Máq. 3'!$C7:$AB7))+SUM(IF('Máq. 4'!$C$4:$AB$4='Resumo Diário'!O$4,'Máq. 4'!$C7:$AB7))+SUM(IF('Máq. 5'!$C$4:$AB$4='Resumo Diário'!O$4,'Máq. 5'!$C7:$AB7))</f>
        <v>0</v>
      </c>
      <c r="P7" s="19">
        <f t="array" ref="P7">SUM(IF('Máq. 1'!$C$4:$AB$4='Resumo Diário'!P$4,'Máq. 1'!$C7:$AB7))+SUM(IF('Máq. 2'!$C$4:$AB$4='Resumo Diário'!P$4,'Máq. 2'!$C7:$AB7))+SUM(IF('Máq. 3'!$C$4:$AB$4='Resumo Diário'!P$4,'Máq. 3'!$C7:$AB7))+SUM(IF('Máq. 4'!$C$4:$AB$4='Resumo Diário'!P$4,'Máq. 4'!$C7:$AB7))+SUM(IF('Máq. 5'!$C$4:$AB$4='Resumo Diário'!P$4,'Máq. 5'!$C7:$AB7))</f>
        <v>0</v>
      </c>
      <c r="Q7" s="19">
        <f t="array" ref="Q7">SUM(IF('Máq. 1'!$C$4:$AB$4='Resumo Diário'!Q$4,'Máq. 1'!$C7:$AB7))+SUM(IF('Máq. 2'!$C$4:$AB$4='Resumo Diário'!Q$4,'Máq. 2'!$C7:$AB7))+SUM(IF('Máq. 3'!$C$4:$AB$4='Resumo Diário'!Q$4,'Máq. 3'!$C7:$AB7))+SUM(IF('Máq. 4'!$C$4:$AB$4='Resumo Diário'!Q$4,'Máq. 4'!$C7:$AB7))+SUM(IF('Máq. 5'!$C$4:$AB$4='Resumo Diário'!Q$4,'Máq. 5'!$C7:$AB7))</f>
        <v>0</v>
      </c>
      <c r="R7" s="19">
        <f t="array" ref="R7">SUM(IF('Máq. 1'!$C$4:$AB$4='Resumo Diário'!R$4,'Máq. 1'!$C7:$AB7))+SUM(IF('Máq. 2'!$C$4:$AB$4='Resumo Diário'!R$4,'Máq. 2'!$C7:$AB7))+SUM(IF('Máq. 3'!$C$4:$AB$4='Resumo Diário'!R$4,'Máq. 3'!$C7:$AB7))+SUM(IF('Máq. 4'!$C$4:$AB$4='Resumo Diário'!R$4,'Máq. 4'!$C7:$AB7))+SUM(IF('Máq. 5'!$C$4:$AB$4='Resumo Diário'!R$4,'Máq. 5'!$C7:$AB7))</f>
        <v>0</v>
      </c>
      <c r="S7" s="19">
        <f t="array" ref="S7">SUM(IF('Máq. 1'!$C$4:$AB$4='Resumo Diário'!S$4,'Máq. 1'!$C7:$AB7))+SUM(IF('Máq. 2'!$C$4:$AB$4='Resumo Diário'!S$4,'Máq. 2'!$C7:$AB7))+SUM(IF('Máq. 3'!$C$4:$AB$4='Resumo Diário'!S$4,'Máq. 3'!$C7:$AB7))+SUM(IF('Máq. 4'!$C$4:$AB$4='Resumo Diário'!S$4,'Máq. 4'!$C7:$AB7))+SUM(IF('Máq. 5'!$C$4:$AB$4='Resumo Diário'!S$4,'Máq. 5'!$C7:$AB7))</f>
        <v>0</v>
      </c>
      <c r="T7" s="19">
        <f t="array" ref="T7">SUM(IF('Máq. 1'!$C$4:$AB$4='Resumo Diário'!T$4,'Máq. 1'!$C7:$AB7))+SUM(IF('Máq. 2'!$C$4:$AB$4='Resumo Diário'!T$4,'Máq. 2'!$C7:$AB7))+SUM(IF('Máq. 3'!$C$4:$AB$4='Resumo Diário'!T$4,'Máq. 3'!$C7:$AB7))+SUM(IF('Máq. 4'!$C$4:$AB$4='Resumo Diário'!T$4,'Máq. 4'!$C7:$AB7))+SUM(IF('Máq. 5'!$C$4:$AB$4='Resumo Diário'!T$4,'Máq. 5'!$C7:$AB7))</f>
        <v>0</v>
      </c>
      <c r="U7" s="19">
        <f t="array" ref="U7">SUM(IF('Máq. 1'!$C$4:$AB$4='Resumo Diário'!U$4,'Máq. 1'!$C7:$AB7))+SUM(IF('Máq. 2'!$C$4:$AB$4='Resumo Diário'!U$4,'Máq. 2'!$C7:$AB7))+SUM(IF('Máq. 3'!$C$4:$AB$4='Resumo Diário'!U$4,'Máq. 3'!$C7:$AB7))+SUM(IF('Máq. 4'!$C$4:$AB$4='Resumo Diário'!U$4,'Máq. 4'!$C7:$AB7))+SUM(IF('Máq. 5'!$C$4:$AB$4='Resumo Diário'!U$4,'Máq. 5'!$C7:$AB7))</f>
        <v>0</v>
      </c>
      <c r="V7" s="19">
        <f t="array" ref="V7">SUM(IF('Máq. 1'!$C$4:$AB$4='Resumo Diário'!V$4,'Máq. 1'!$C7:$AB7))+SUM(IF('Máq. 2'!$C$4:$AB$4='Resumo Diário'!V$4,'Máq. 2'!$C7:$AB7))+SUM(IF('Máq. 3'!$C$4:$AB$4='Resumo Diário'!V$4,'Máq. 3'!$C7:$AB7))+SUM(IF('Máq. 4'!$C$4:$AB$4='Resumo Diário'!V$4,'Máq. 4'!$C7:$AB7))+SUM(IF('Máq. 5'!$C$4:$AB$4='Resumo Diário'!V$4,'Máq. 5'!$C7:$AB7))</f>
        <v>0</v>
      </c>
      <c r="W7" s="19">
        <f t="array" ref="W7">SUM(IF('Máq. 1'!$C$4:$AB$4='Resumo Diário'!W$4,'Máq. 1'!$C7:$AB7))+SUM(IF('Máq. 2'!$C$4:$AB$4='Resumo Diário'!W$4,'Máq. 2'!$C7:$AB7))+SUM(IF('Máq. 3'!$C$4:$AB$4='Resumo Diário'!W$4,'Máq. 3'!$C7:$AB7))+SUM(IF('Máq. 4'!$C$4:$AB$4='Resumo Diário'!W$4,'Máq. 4'!$C7:$AB7))+SUM(IF('Máq. 5'!$C$4:$AB$4='Resumo Diário'!W$4,'Máq. 5'!$C7:$AB7))</f>
        <v>0</v>
      </c>
      <c r="X7" s="19">
        <f t="array" ref="X7">SUM(IF('Máq. 1'!$C$4:$AB$4='Resumo Diário'!X$4,'Máq. 1'!$C7:$AB7))+SUM(IF('Máq. 2'!$C$4:$AB$4='Resumo Diário'!X$4,'Máq. 2'!$C7:$AB7))+SUM(IF('Máq. 3'!$C$4:$AB$4='Resumo Diário'!X$4,'Máq. 3'!$C7:$AB7))+SUM(IF('Máq. 4'!$C$4:$AB$4='Resumo Diário'!X$4,'Máq. 4'!$C7:$AB7))+SUM(IF('Máq. 5'!$C$4:$AB$4='Resumo Diário'!X$4,'Máq. 5'!$C7:$AB7))</f>
        <v>0</v>
      </c>
      <c r="Y7" s="19">
        <f t="array" ref="Y7">SUM(IF('Máq. 1'!$C$4:$AB$4='Resumo Diário'!Y$4,'Máq. 1'!$C7:$AB7))+SUM(IF('Máq. 2'!$C$4:$AB$4='Resumo Diário'!Y$4,'Máq. 2'!$C7:$AB7))+SUM(IF('Máq. 3'!$C$4:$AB$4='Resumo Diário'!Y$4,'Máq. 3'!$C7:$AB7))+SUM(IF('Máq. 4'!$C$4:$AB$4='Resumo Diário'!Y$4,'Máq. 4'!$C7:$AB7))+SUM(IF('Máq. 5'!$C$4:$AB$4='Resumo Diário'!Y$4,'Máq. 5'!$C7:$AB7))</f>
        <v>0</v>
      </c>
      <c r="Z7" s="19">
        <f t="array" ref="Z7">SUM(IF('Máq. 1'!$C$4:$AB$4='Resumo Diário'!Z$4,'Máq. 1'!$C7:$AB7))+SUM(IF('Máq. 2'!$C$4:$AB$4='Resumo Diário'!Z$4,'Máq. 2'!$C7:$AB7))+SUM(IF('Máq. 3'!$C$4:$AB$4='Resumo Diário'!Z$4,'Máq. 3'!$C7:$AB7))+SUM(IF('Máq. 4'!$C$4:$AB$4='Resumo Diário'!Z$4,'Máq. 4'!$C7:$AB7))+SUM(IF('Máq. 5'!$C$4:$AB$4='Resumo Diário'!Z$4,'Máq. 5'!$C7:$AB7))</f>
        <v>0</v>
      </c>
      <c r="AA7" s="19">
        <f t="array" ref="AA7">SUM(IF('Máq. 1'!$C$4:$AB$4='Resumo Diário'!AA$4,'Máq. 1'!$C7:$AB7))+SUM(IF('Máq. 2'!$C$4:$AB$4='Resumo Diário'!AA$4,'Máq. 2'!$C7:$AB7))+SUM(IF('Máq. 3'!$C$4:$AB$4='Resumo Diário'!AA$4,'Máq. 3'!$C7:$AB7))+SUM(IF('Máq. 4'!$C$4:$AB$4='Resumo Diário'!AA$4,'Máq. 4'!$C7:$AB7))+SUM(IF('Máq. 5'!$C$4:$AB$4='Resumo Diário'!AA$4,'Máq. 5'!$C7:$AB7))</f>
        <v>0</v>
      </c>
      <c r="AB7" s="19">
        <f t="array" ref="AB7">SUM(IF('Máq. 1'!$C$4:$AB$4='Resumo Diário'!AB$4,'Máq. 1'!$C7:$AB7))+SUM(IF('Máq. 2'!$C$4:$AB$4='Resumo Diário'!AB$4,'Máq. 2'!$C7:$AB7))+SUM(IF('Máq. 3'!$C$4:$AB$4='Resumo Diário'!AB$4,'Máq. 3'!$C7:$AB7))+SUM(IF('Máq. 4'!$C$4:$AB$4='Resumo Diário'!AB$4,'Máq. 4'!$C7:$AB7))+SUM(IF('Máq. 5'!$C$4:$AB$4='Resumo Diário'!AB$4,'Máq. 5'!$C7:$AB7))</f>
        <v>0</v>
      </c>
      <c r="AC7" s="19">
        <f t="array" ref="AC7">SUM(IF('Máq. 1'!$C$4:$AB$4='Resumo Diário'!AC$4,'Máq. 1'!$C7:$AB7))+SUM(IF('Máq. 2'!$C$4:$AB$4='Resumo Diário'!AC$4,'Máq. 2'!$C7:$AB7))+SUM(IF('Máq. 3'!$C$4:$AB$4='Resumo Diário'!AC$4,'Máq. 3'!$C7:$AB7))+SUM(IF('Máq. 4'!$C$4:$AB$4='Resumo Diário'!AC$4,'Máq. 4'!$C7:$AB7))+SUM(IF('Máq. 5'!$C$4:$AB$4='Resumo Diário'!AC$4,'Máq. 5'!$C7:$AB7))</f>
        <v>0</v>
      </c>
      <c r="AD7" s="19">
        <f t="array" ref="AD7">SUM(IF('Máq. 1'!$C$4:$AB$4='Resumo Diário'!AD$4,'Máq. 1'!$C7:$AB7))+SUM(IF('Máq. 2'!$C$4:$AB$4='Resumo Diário'!AD$4,'Máq. 2'!$C7:$AB7))+SUM(IF('Máq. 3'!$C$4:$AB$4='Resumo Diário'!AD$4,'Máq. 3'!$C7:$AB7))+SUM(IF('Máq. 4'!$C$4:$AB$4='Resumo Diário'!AD$4,'Máq. 4'!$C7:$AB7))+SUM(IF('Máq. 5'!$C$4:$AB$4='Resumo Diário'!AD$4,'Máq. 5'!$C7:$AB7))</f>
        <v>0</v>
      </c>
      <c r="AE7" s="19">
        <f t="array" ref="AE7">SUM(IF('Máq. 1'!$C$4:$AB$4='Resumo Diário'!AE$4,'Máq. 1'!$C7:$AB7))+SUM(IF('Máq. 2'!$C$4:$AB$4='Resumo Diário'!AE$4,'Máq. 2'!$C7:$AB7))+SUM(IF('Máq. 3'!$C$4:$AB$4='Resumo Diário'!AE$4,'Máq. 3'!$C7:$AB7))+SUM(IF('Máq. 4'!$C$4:$AB$4='Resumo Diário'!AE$4,'Máq. 4'!$C7:$AB7))+SUM(IF('Máq. 5'!$C$4:$AB$4='Resumo Diário'!AE$4,'Máq. 5'!$C7:$AB7))</f>
        <v>0</v>
      </c>
      <c r="AF7" s="19">
        <f t="array" ref="AF7">SUM(IF('Máq. 1'!$C$4:$AB$4='Resumo Diário'!AF$4,'Máq. 1'!$C7:$AB7))+SUM(IF('Máq. 2'!$C$4:$AB$4='Resumo Diário'!AF$4,'Máq. 2'!$C7:$AB7))+SUM(IF('Máq. 3'!$C$4:$AB$4='Resumo Diário'!AF$4,'Máq. 3'!$C7:$AB7))+SUM(IF('Máq. 4'!$C$4:$AB$4='Resumo Diário'!AF$4,'Máq. 4'!$C7:$AB7))+SUM(IF('Máq. 5'!$C$4:$AB$4='Resumo Diário'!AF$4,'Máq. 5'!$C7:$AB7))</f>
        <v>0</v>
      </c>
      <c r="AG7" s="19">
        <f t="array" ref="AG7">SUM(IF('Máq. 1'!$C$4:$AB$4='Resumo Diário'!AG$4,'Máq. 1'!$C7:$AB7))+SUM(IF('Máq. 2'!$C$4:$AB$4='Resumo Diário'!AG$4,'Máq. 2'!$C7:$AB7))+SUM(IF('Máq. 3'!$C$4:$AB$4='Resumo Diário'!AG$4,'Máq. 3'!$C7:$AB7))+SUM(IF('Máq. 4'!$C$4:$AB$4='Resumo Diário'!AG$4,'Máq. 4'!$C7:$AB7))+SUM(IF('Máq. 5'!$C$4:$AB$4='Resumo Diário'!AG$4,'Máq. 5'!$C7:$AB7))</f>
        <v>0</v>
      </c>
      <c r="AH7" s="20">
        <f t="shared" si="0"/>
        <v>0</v>
      </c>
      <c r="AI7" s="74"/>
      <c r="AK7" s="13">
        <v>1</v>
      </c>
      <c r="AL7" s="13" t="s">
        <v>31</v>
      </c>
      <c r="AM7" s="122">
        <f>'Máq. 1'!AC6</f>
        <v>0</v>
      </c>
      <c r="AN7" s="122">
        <f>'Máq. 2'!AC6</f>
        <v>0</v>
      </c>
      <c r="AO7" s="122">
        <f>'Máq. 3'!AC6</f>
        <v>0</v>
      </c>
      <c r="AP7" s="122">
        <f>'Máq. 4'!AC6</f>
        <v>0</v>
      </c>
      <c r="AQ7" s="122">
        <f>'Máq. 5'!AC6</f>
        <v>0</v>
      </c>
      <c r="AR7" s="13">
        <f t="shared" ref="AR7:AR17" si="1">SUM(AM7:AQ7)</f>
        <v>0</v>
      </c>
      <c r="AS7" s="122" t="e">
        <f>AR7/$AR$6*1000000</f>
        <v>#DIV/0!</v>
      </c>
      <c r="AT7" s="122">
        <f>LARGE($AR$7:$AR$16,AK7)</f>
        <v>0</v>
      </c>
      <c r="AU7" s="13">
        <f>MATCH(AT7,$AR$7:$AR$16,0)</f>
        <v>1</v>
      </c>
      <c r="AV7" s="13" t="str">
        <f>INDEX($AL$7:$AL$16,AU7,1)</f>
        <v>AMASSADO ALIMENTADOR</v>
      </c>
      <c r="AW7" s="122" t="e">
        <f>AT7/$AR$6*1000000</f>
        <v>#DIV/0!</v>
      </c>
      <c r="AX7" s="122" t="e">
        <f>AW7</f>
        <v>#DIV/0!</v>
      </c>
      <c r="AY7" s="122" t="e">
        <f>AX7/$AX$16*100</f>
        <v>#DIV/0!</v>
      </c>
      <c r="AZ7" s="13" t="e">
        <f>IF((AR18&gt;'Máq. 1'!C32)*('Resumo Diário'!AY7&lt;80),'Resumo Diário'!AY7,0)</f>
        <v>#DIV/0!</v>
      </c>
    </row>
    <row r="8" spans="1:52" s="13" customFormat="1" ht="30" customHeight="1" x14ac:dyDescent="0.2">
      <c r="A8" s="137"/>
      <c r="B8" s="67" t="s">
        <v>6</v>
      </c>
      <c r="C8" s="19">
        <f t="array" ref="C8">SUM(IF('Máq. 1'!$C$4:$AB$4='Resumo Diário'!C$4,'Máq. 1'!$C8:$AB8))+SUM(IF('Máq. 2'!$C$4:$AB$4='Resumo Diário'!C$4,'Máq. 2'!$C8:$AB8))+SUM(IF('Máq. 3'!$C$4:$AB$4='Resumo Diário'!C$4,'Máq. 3'!$C8:$AB8))+SUM(IF('Máq. 4'!$C$4:$AB$4='Resumo Diário'!C$4,'Máq. 4'!$C8:$AB8))+SUM(IF('Máq. 5'!$C$4:$AB$4='Resumo Diário'!C$4,'Máq. 5'!$C8:$AB8))</f>
        <v>0</v>
      </c>
      <c r="D8" s="19">
        <f t="array" ref="D8">SUM(IF('Máq. 1'!$C$4:$AB$4='Resumo Diário'!D$4,'Máq. 1'!$C8:$AB8))+SUM(IF('Máq. 2'!$C$4:$AB$4='Resumo Diário'!D$4,'Máq. 2'!$C8:$AB8))+SUM(IF('Máq. 3'!$C$4:$AB$4='Resumo Diário'!D$4,'Máq. 3'!$C8:$AB8))+SUM(IF('Máq. 4'!$C$4:$AB$4='Resumo Diário'!D$4,'Máq. 4'!$C8:$AB8))+SUM(IF('Máq. 5'!$C$4:$AB$4='Resumo Diário'!D$4,'Máq. 5'!$C8:$AB8))</f>
        <v>0</v>
      </c>
      <c r="E8" s="19">
        <f t="array" ref="E8">SUM(IF('Máq. 1'!$C$4:$AB$4='Resumo Diário'!E$4,'Máq. 1'!$C8:$AB8))+SUM(IF('Máq. 2'!$C$4:$AB$4='Resumo Diário'!E$4,'Máq. 2'!$C8:$AB8))+SUM(IF('Máq. 3'!$C$4:$AB$4='Resumo Diário'!E$4,'Máq. 3'!$C8:$AB8))+SUM(IF('Máq. 4'!$C$4:$AB$4='Resumo Diário'!E$4,'Máq. 4'!$C8:$AB8))+SUM(IF('Máq. 5'!$C$4:$AB$4='Resumo Diário'!E$4,'Máq. 5'!$C8:$AB8))</f>
        <v>0</v>
      </c>
      <c r="F8" s="19">
        <f t="array" ref="F8">SUM(IF('Máq. 1'!$C$4:$AB$4='Resumo Diário'!F$4,'Máq. 1'!$C8:$AB8))+SUM(IF('Máq. 2'!$C$4:$AB$4='Resumo Diário'!F$4,'Máq. 2'!$C8:$AB8))+SUM(IF('Máq. 3'!$C$4:$AB$4='Resumo Diário'!F$4,'Máq. 3'!$C8:$AB8))+SUM(IF('Máq. 4'!$C$4:$AB$4='Resumo Diário'!F$4,'Máq. 4'!$C8:$AB8))+SUM(IF('Máq. 5'!$C$4:$AB$4='Resumo Diário'!F$4,'Máq. 5'!$C8:$AB8))</f>
        <v>0</v>
      </c>
      <c r="G8" s="19">
        <f t="array" ref="G8">SUM(IF('Máq. 1'!$C$4:$AB$4='Resumo Diário'!G$4,'Máq. 1'!$C8:$AB8))+SUM(IF('Máq. 2'!$C$4:$AB$4='Resumo Diário'!G$4,'Máq. 2'!$C8:$AB8))+SUM(IF('Máq. 3'!$C$4:$AB$4='Resumo Diário'!G$4,'Máq. 3'!$C8:$AB8))+SUM(IF('Máq. 4'!$C$4:$AB$4='Resumo Diário'!G$4,'Máq. 4'!$C8:$AB8))+SUM(IF('Máq. 5'!$C$4:$AB$4='Resumo Diário'!G$4,'Máq. 5'!$C8:$AB8))</f>
        <v>0</v>
      </c>
      <c r="H8" s="19">
        <f t="array" ref="H8">SUM(IF('Máq. 1'!$C$4:$AB$4='Resumo Diário'!H$4,'Máq. 1'!$C8:$AB8))+SUM(IF('Máq. 2'!$C$4:$AB$4='Resumo Diário'!H$4,'Máq. 2'!$C8:$AB8))+SUM(IF('Máq. 3'!$C$4:$AB$4='Resumo Diário'!H$4,'Máq. 3'!$C8:$AB8))+SUM(IF('Máq. 4'!$C$4:$AB$4='Resumo Diário'!H$4,'Máq. 4'!$C8:$AB8))+SUM(IF('Máq. 5'!$C$4:$AB$4='Resumo Diário'!H$4,'Máq. 5'!$C8:$AB8))</f>
        <v>0</v>
      </c>
      <c r="I8" s="19">
        <f t="array" ref="I8">SUM(IF('Máq. 1'!$C$4:$AB$4='Resumo Diário'!I$4,'Máq. 1'!$C8:$AB8))+SUM(IF('Máq. 2'!$C$4:$AB$4='Resumo Diário'!I$4,'Máq. 2'!$C8:$AB8))+SUM(IF('Máq. 3'!$C$4:$AB$4='Resumo Diário'!I$4,'Máq. 3'!$C8:$AB8))+SUM(IF('Máq. 4'!$C$4:$AB$4='Resumo Diário'!I$4,'Máq. 4'!$C8:$AB8))+SUM(IF('Máq. 5'!$C$4:$AB$4='Resumo Diário'!I$4,'Máq. 5'!$C8:$AB8))</f>
        <v>0</v>
      </c>
      <c r="J8" s="19">
        <f t="array" ref="J8">SUM(IF('Máq. 1'!$C$4:$AB$4='Resumo Diário'!J$4,'Máq. 1'!$C8:$AB8))+SUM(IF('Máq. 2'!$C$4:$AB$4='Resumo Diário'!J$4,'Máq. 2'!$C8:$AB8))+SUM(IF('Máq. 3'!$C$4:$AB$4='Resumo Diário'!J$4,'Máq. 3'!$C8:$AB8))+SUM(IF('Máq. 4'!$C$4:$AB$4='Resumo Diário'!J$4,'Máq. 4'!$C8:$AB8))+SUM(IF('Máq. 5'!$C$4:$AB$4='Resumo Diário'!J$4,'Máq. 5'!$C8:$AB8))</f>
        <v>0</v>
      </c>
      <c r="K8" s="19">
        <f t="array" ref="K8">SUM(IF('Máq. 1'!$C$4:$AB$4='Resumo Diário'!K$4,'Máq. 1'!$C8:$AB8))+SUM(IF('Máq. 2'!$C$4:$AB$4='Resumo Diário'!K$4,'Máq. 2'!$C8:$AB8))+SUM(IF('Máq. 3'!$C$4:$AB$4='Resumo Diário'!K$4,'Máq. 3'!$C8:$AB8))+SUM(IF('Máq. 4'!$C$4:$AB$4='Resumo Diário'!K$4,'Máq. 4'!$C8:$AB8))+SUM(IF('Máq. 5'!$C$4:$AB$4='Resumo Diário'!K$4,'Máq. 5'!$C8:$AB8))</f>
        <v>0</v>
      </c>
      <c r="L8" s="19">
        <f t="array" ref="L8">SUM(IF('Máq. 1'!$C$4:$AB$4='Resumo Diário'!L$4,'Máq. 1'!$C8:$AB8))+SUM(IF('Máq. 2'!$C$4:$AB$4='Resumo Diário'!L$4,'Máq. 2'!$C8:$AB8))+SUM(IF('Máq. 3'!$C$4:$AB$4='Resumo Diário'!L$4,'Máq. 3'!$C8:$AB8))+SUM(IF('Máq. 4'!$C$4:$AB$4='Resumo Diário'!L$4,'Máq. 4'!$C8:$AB8))+SUM(IF('Máq. 5'!$C$4:$AB$4='Resumo Diário'!L$4,'Máq. 5'!$C8:$AB8))</f>
        <v>0</v>
      </c>
      <c r="M8" s="19">
        <f t="array" ref="M8">SUM(IF('Máq. 1'!$C$4:$AB$4='Resumo Diário'!M$4,'Máq. 1'!$C8:$AB8))+SUM(IF('Máq. 2'!$C$4:$AB$4='Resumo Diário'!M$4,'Máq. 2'!$C8:$AB8))+SUM(IF('Máq. 3'!$C$4:$AB$4='Resumo Diário'!M$4,'Máq. 3'!$C8:$AB8))+SUM(IF('Máq. 4'!$C$4:$AB$4='Resumo Diário'!M$4,'Máq. 4'!$C8:$AB8))+SUM(IF('Máq. 5'!$C$4:$AB$4='Resumo Diário'!M$4,'Máq. 5'!$C8:$AB8))</f>
        <v>0</v>
      </c>
      <c r="N8" s="19">
        <f t="array" ref="N8">SUM(IF('Máq. 1'!$C$4:$AB$4='Resumo Diário'!N$4,'Máq. 1'!$C8:$AB8))+SUM(IF('Máq. 2'!$C$4:$AB$4='Resumo Diário'!N$4,'Máq. 2'!$C8:$AB8))+SUM(IF('Máq. 3'!$C$4:$AB$4='Resumo Diário'!N$4,'Máq. 3'!$C8:$AB8))+SUM(IF('Máq. 4'!$C$4:$AB$4='Resumo Diário'!N$4,'Máq. 4'!$C8:$AB8))+SUM(IF('Máq. 5'!$C$4:$AB$4='Resumo Diário'!N$4,'Máq. 5'!$C8:$AB8))</f>
        <v>0</v>
      </c>
      <c r="O8" s="19">
        <f t="array" ref="O8">SUM(IF('Máq. 1'!$C$4:$AB$4='Resumo Diário'!O$4,'Máq. 1'!$C8:$AB8))+SUM(IF('Máq. 2'!$C$4:$AB$4='Resumo Diário'!O$4,'Máq. 2'!$C8:$AB8))+SUM(IF('Máq. 3'!$C$4:$AB$4='Resumo Diário'!O$4,'Máq. 3'!$C8:$AB8))+SUM(IF('Máq. 4'!$C$4:$AB$4='Resumo Diário'!O$4,'Máq. 4'!$C8:$AB8))+SUM(IF('Máq. 5'!$C$4:$AB$4='Resumo Diário'!O$4,'Máq. 5'!$C8:$AB8))</f>
        <v>0</v>
      </c>
      <c r="P8" s="19">
        <f t="array" ref="P8">SUM(IF('Máq. 1'!$C$4:$AB$4='Resumo Diário'!P$4,'Máq. 1'!$C8:$AB8))+SUM(IF('Máq. 2'!$C$4:$AB$4='Resumo Diário'!P$4,'Máq. 2'!$C8:$AB8))+SUM(IF('Máq. 3'!$C$4:$AB$4='Resumo Diário'!P$4,'Máq. 3'!$C8:$AB8))+SUM(IF('Máq. 4'!$C$4:$AB$4='Resumo Diário'!P$4,'Máq. 4'!$C8:$AB8))+SUM(IF('Máq. 5'!$C$4:$AB$4='Resumo Diário'!P$4,'Máq. 5'!$C8:$AB8))</f>
        <v>0</v>
      </c>
      <c r="Q8" s="19">
        <f t="array" ref="Q8">SUM(IF('Máq. 1'!$C$4:$AB$4='Resumo Diário'!Q$4,'Máq. 1'!$C8:$AB8))+SUM(IF('Máq. 2'!$C$4:$AB$4='Resumo Diário'!Q$4,'Máq. 2'!$C8:$AB8))+SUM(IF('Máq. 3'!$C$4:$AB$4='Resumo Diário'!Q$4,'Máq. 3'!$C8:$AB8))+SUM(IF('Máq. 4'!$C$4:$AB$4='Resumo Diário'!Q$4,'Máq. 4'!$C8:$AB8))+SUM(IF('Máq. 5'!$C$4:$AB$4='Resumo Diário'!Q$4,'Máq. 5'!$C8:$AB8))</f>
        <v>0</v>
      </c>
      <c r="R8" s="19">
        <f t="array" ref="R8">SUM(IF('Máq. 1'!$C$4:$AB$4='Resumo Diário'!R$4,'Máq. 1'!$C8:$AB8))+SUM(IF('Máq. 2'!$C$4:$AB$4='Resumo Diário'!R$4,'Máq. 2'!$C8:$AB8))+SUM(IF('Máq. 3'!$C$4:$AB$4='Resumo Diário'!R$4,'Máq. 3'!$C8:$AB8))+SUM(IF('Máq. 4'!$C$4:$AB$4='Resumo Diário'!R$4,'Máq. 4'!$C8:$AB8))+SUM(IF('Máq. 5'!$C$4:$AB$4='Resumo Diário'!R$4,'Máq. 5'!$C8:$AB8))</f>
        <v>0</v>
      </c>
      <c r="S8" s="19">
        <f t="array" ref="S8">SUM(IF('Máq. 1'!$C$4:$AB$4='Resumo Diário'!S$4,'Máq. 1'!$C8:$AB8))+SUM(IF('Máq. 2'!$C$4:$AB$4='Resumo Diário'!S$4,'Máq. 2'!$C8:$AB8))+SUM(IF('Máq. 3'!$C$4:$AB$4='Resumo Diário'!S$4,'Máq. 3'!$C8:$AB8))+SUM(IF('Máq. 4'!$C$4:$AB$4='Resumo Diário'!S$4,'Máq. 4'!$C8:$AB8))+SUM(IF('Máq. 5'!$C$4:$AB$4='Resumo Diário'!S$4,'Máq. 5'!$C8:$AB8))</f>
        <v>0</v>
      </c>
      <c r="T8" s="19">
        <f t="array" ref="T8">SUM(IF('Máq. 1'!$C$4:$AB$4='Resumo Diário'!T$4,'Máq. 1'!$C8:$AB8))+SUM(IF('Máq. 2'!$C$4:$AB$4='Resumo Diário'!T$4,'Máq. 2'!$C8:$AB8))+SUM(IF('Máq. 3'!$C$4:$AB$4='Resumo Diário'!T$4,'Máq. 3'!$C8:$AB8))+SUM(IF('Máq. 4'!$C$4:$AB$4='Resumo Diário'!T$4,'Máq. 4'!$C8:$AB8))+SUM(IF('Máq. 5'!$C$4:$AB$4='Resumo Diário'!T$4,'Máq. 5'!$C8:$AB8))</f>
        <v>0</v>
      </c>
      <c r="U8" s="19">
        <f t="array" ref="U8">SUM(IF('Máq. 1'!$C$4:$AB$4='Resumo Diário'!U$4,'Máq. 1'!$C8:$AB8))+SUM(IF('Máq. 2'!$C$4:$AB$4='Resumo Diário'!U$4,'Máq. 2'!$C8:$AB8))+SUM(IF('Máq. 3'!$C$4:$AB$4='Resumo Diário'!U$4,'Máq. 3'!$C8:$AB8))+SUM(IF('Máq. 4'!$C$4:$AB$4='Resumo Diário'!U$4,'Máq. 4'!$C8:$AB8))+SUM(IF('Máq. 5'!$C$4:$AB$4='Resumo Diário'!U$4,'Máq. 5'!$C8:$AB8))</f>
        <v>0</v>
      </c>
      <c r="V8" s="19">
        <f t="array" ref="V8">SUM(IF('Máq. 1'!$C$4:$AB$4='Resumo Diário'!V$4,'Máq. 1'!$C8:$AB8))+SUM(IF('Máq. 2'!$C$4:$AB$4='Resumo Diário'!V$4,'Máq. 2'!$C8:$AB8))+SUM(IF('Máq. 3'!$C$4:$AB$4='Resumo Diário'!V$4,'Máq. 3'!$C8:$AB8))+SUM(IF('Máq. 4'!$C$4:$AB$4='Resumo Diário'!V$4,'Máq. 4'!$C8:$AB8))+SUM(IF('Máq. 5'!$C$4:$AB$4='Resumo Diário'!V$4,'Máq. 5'!$C8:$AB8))</f>
        <v>0</v>
      </c>
      <c r="W8" s="19">
        <f t="array" ref="W8">SUM(IF('Máq. 1'!$C$4:$AB$4='Resumo Diário'!W$4,'Máq. 1'!$C8:$AB8))+SUM(IF('Máq. 2'!$C$4:$AB$4='Resumo Diário'!W$4,'Máq. 2'!$C8:$AB8))+SUM(IF('Máq. 3'!$C$4:$AB$4='Resumo Diário'!W$4,'Máq. 3'!$C8:$AB8))+SUM(IF('Máq. 4'!$C$4:$AB$4='Resumo Diário'!W$4,'Máq. 4'!$C8:$AB8))+SUM(IF('Máq. 5'!$C$4:$AB$4='Resumo Diário'!W$4,'Máq. 5'!$C8:$AB8))</f>
        <v>0</v>
      </c>
      <c r="X8" s="19">
        <f t="array" ref="X8">SUM(IF('Máq. 1'!$C$4:$AB$4='Resumo Diário'!X$4,'Máq. 1'!$C8:$AB8))+SUM(IF('Máq. 2'!$C$4:$AB$4='Resumo Diário'!X$4,'Máq. 2'!$C8:$AB8))+SUM(IF('Máq. 3'!$C$4:$AB$4='Resumo Diário'!X$4,'Máq. 3'!$C8:$AB8))+SUM(IF('Máq. 4'!$C$4:$AB$4='Resumo Diário'!X$4,'Máq. 4'!$C8:$AB8))+SUM(IF('Máq. 5'!$C$4:$AB$4='Resumo Diário'!X$4,'Máq. 5'!$C8:$AB8))</f>
        <v>0</v>
      </c>
      <c r="Y8" s="19">
        <f t="array" ref="Y8">SUM(IF('Máq. 1'!$C$4:$AB$4='Resumo Diário'!Y$4,'Máq. 1'!$C8:$AB8))+SUM(IF('Máq. 2'!$C$4:$AB$4='Resumo Diário'!Y$4,'Máq. 2'!$C8:$AB8))+SUM(IF('Máq. 3'!$C$4:$AB$4='Resumo Diário'!Y$4,'Máq. 3'!$C8:$AB8))+SUM(IF('Máq. 4'!$C$4:$AB$4='Resumo Diário'!Y$4,'Máq. 4'!$C8:$AB8))+SUM(IF('Máq. 5'!$C$4:$AB$4='Resumo Diário'!Y$4,'Máq. 5'!$C8:$AB8))</f>
        <v>0</v>
      </c>
      <c r="Z8" s="19">
        <f t="array" ref="Z8">SUM(IF('Máq. 1'!$C$4:$AB$4='Resumo Diário'!Z$4,'Máq. 1'!$C8:$AB8))+SUM(IF('Máq. 2'!$C$4:$AB$4='Resumo Diário'!Z$4,'Máq. 2'!$C8:$AB8))+SUM(IF('Máq. 3'!$C$4:$AB$4='Resumo Diário'!Z$4,'Máq. 3'!$C8:$AB8))+SUM(IF('Máq. 4'!$C$4:$AB$4='Resumo Diário'!Z$4,'Máq. 4'!$C8:$AB8))+SUM(IF('Máq. 5'!$C$4:$AB$4='Resumo Diário'!Z$4,'Máq. 5'!$C8:$AB8))</f>
        <v>0</v>
      </c>
      <c r="AA8" s="19">
        <f t="array" ref="AA8">SUM(IF('Máq. 1'!$C$4:$AB$4='Resumo Diário'!AA$4,'Máq. 1'!$C8:$AB8))+SUM(IF('Máq. 2'!$C$4:$AB$4='Resumo Diário'!AA$4,'Máq. 2'!$C8:$AB8))+SUM(IF('Máq. 3'!$C$4:$AB$4='Resumo Diário'!AA$4,'Máq. 3'!$C8:$AB8))+SUM(IF('Máq. 4'!$C$4:$AB$4='Resumo Diário'!AA$4,'Máq. 4'!$C8:$AB8))+SUM(IF('Máq. 5'!$C$4:$AB$4='Resumo Diário'!AA$4,'Máq. 5'!$C8:$AB8))</f>
        <v>0</v>
      </c>
      <c r="AB8" s="19">
        <f t="array" ref="AB8">SUM(IF('Máq. 1'!$C$4:$AB$4='Resumo Diário'!AB$4,'Máq. 1'!$C8:$AB8))+SUM(IF('Máq. 2'!$C$4:$AB$4='Resumo Diário'!AB$4,'Máq. 2'!$C8:$AB8))+SUM(IF('Máq. 3'!$C$4:$AB$4='Resumo Diário'!AB$4,'Máq. 3'!$C8:$AB8))+SUM(IF('Máq. 4'!$C$4:$AB$4='Resumo Diário'!AB$4,'Máq. 4'!$C8:$AB8))+SUM(IF('Máq. 5'!$C$4:$AB$4='Resumo Diário'!AB$4,'Máq. 5'!$C8:$AB8))</f>
        <v>0</v>
      </c>
      <c r="AC8" s="19">
        <f t="array" ref="AC8">SUM(IF('Máq. 1'!$C$4:$AB$4='Resumo Diário'!AC$4,'Máq. 1'!$C8:$AB8))+SUM(IF('Máq. 2'!$C$4:$AB$4='Resumo Diário'!AC$4,'Máq. 2'!$C8:$AB8))+SUM(IF('Máq. 3'!$C$4:$AB$4='Resumo Diário'!AC$4,'Máq. 3'!$C8:$AB8))+SUM(IF('Máq. 4'!$C$4:$AB$4='Resumo Diário'!AC$4,'Máq. 4'!$C8:$AB8))+SUM(IF('Máq. 5'!$C$4:$AB$4='Resumo Diário'!AC$4,'Máq. 5'!$C8:$AB8))</f>
        <v>0</v>
      </c>
      <c r="AD8" s="19">
        <f t="array" ref="AD8">SUM(IF('Máq. 1'!$C$4:$AB$4='Resumo Diário'!AD$4,'Máq. 1'!$C8:$AB8))+SUM(IF('Máq. 2'!$C$4:$AB$4='Resumo Diário'!AD$4,'Máq. 2'!$C8:$AB8))+SUM(IF('Máq. 3'!$C$4:$AB$4='Resumo Diário'!AD$4,'Máq. 3'!$C8:$AB8))+SUM(IF('Máq. 4'!$C$4:$AB$4='Resumo Diário'!AD$4,'Máq. 4'!$C8:$AB8))+SUM(IF('Máq. 5'!$C$4:$AB$4='Resumo Diário'!AD$4,'Máq. 5'!$C8:$AB8))</f>
        <v>0</v>
      </c>
      <c r="AE8" s="19">
        <f t="array" ref="AE8">SUM(IF('Máq. 1'!$C$4:$AB$4='Resumo Diário'!AE$4,'Máq. 1'!$C8:$AB8))+SUM(IF('Máq. 2'!$C$4:$AB$4='Resumo Diário'!AE$4,'Máq. 2'!$C8:$AB8))+SUM(IF('Máq. 3'!$C$4:$AB$4='Resumo Diário'!AE$4,'Máq. 3'!$C8:$AB8))+SUM(IF('Máq. 4'!$C$4:$AB$4='Resumo Diário'!AE$4,'Máq. 4'!$C8:$AB8))+SUM(IF('Máq. 5'!$C$4:$AB$4='Resumo Diário'!AE$4,'Máq. 5'!$C8:$AB8))</f>
        <v>0</v>
      </c>
      <c r="AF8" s="19">
        <f t="array" ref="AF8">SUM(IF('Máq. 1'!$C$4:$AB$4='Resumo Diário'!AF$4,'Máq. 1'!$C8:$AB8))+SUM(IF('Máq. 2'!$C$4:$AB$4='Resumo Diário'!AF$4,'Máq. 2'!$C8:$AB8))+SUM(IF('Máq. 3'!$C$4:$AB$4='Resumo Diário'!AF$4,'Máq. 3'!$C8:$AB8))+SUM(IF('Máq. 4'!$C$4:$AB$4='Resumo Diário'!AF$4,'Máq. 4'!$C8:$AB8))+SUM(IF('Máq. 5'!$C$4:$AB$4='Resumo Diário'!AF$4,'Máq. 5'!$C8:$AB8))</f>
        <v>0</v>
      </c>
      <c r="AG8" s="19">
        <f t="array" ref="AG8">SUM(IF('Máq. 1'!$C$4:$AB$4='Resumo Diário'!AG$4,'Máq. 1'!$C8:$AB8))+SUM(IF('Máq. 2'!$C$4:$AB$4='Resumo Diário'!AG$4,'Máq. 2'!$C8:$AB8))+SUM(IF('Máq. 3'!$C$4:$AB$4='Resumo Diário'!AG$4,'Máq. 3'!$C8:$AB8))+SUM(IF('Máq. 4'!$C$4:$AB$4='Resumo Diário'!AG$4,'Máq. 4'!$C8:$AB8))+SUM(IF('Máq. 5'!$C$4:$AB$4='Resumo Diário'!AG$4,'Máq. 5'!$C8:$AB8))</f>
        <v>0</v>
      </c>
      <c r="AH8" s="20">
        <f t="shared" si="0"/>
        <v>0</v>
      </c>
      <c r="AI8" s="74"/>
      <c r="AK8" s="13">
        <v>2</v>
      </c>
      <c r="AL8" s="13" t="s">
        <v>32</v>
      </c>
      <c r="AM8" s="122">
        <f>'Máq. 1'!AC7</f>
        <v>0</v>
      </c>
      <c r="AN8" s="122">
        <f>'Máq. 2'!AC7</f>
        <v>0</v>
      </c>
      <c r="AO8" s="122">
        <f>'Máq. 3'!AC7</f>
        <v>0</v>
      </c>
      <c r="AP8" s="122">
        <f>'Máq. 4'!AC7</f>
        <v>0</v>
      </c>
      <c r="AQ8" s="122">
        <f>'Máq. 5'!AC7</f>
        <v>0</v>
      </c>
      <c r="AR8" s="13">
        <f t="shared" si="1"/>
        <v>0</v>
      </c>
      <c r="AS8" s="122" t="e">
        <f t="shared" ref="AS8:AS16" si="2">AR8/$AR$6*1000000</f>
        <v>#DIV/0!</v>
      </c>
      <c r="AT8" s="122">
        <f t="shared" ref="AT8:AT16" si="3">LARGE($AR$7:$AR$16,AK8)</f>
        <v>0</v>
      </c>
      <c r="AU8" s="13">
        <f t="shared" ref="AU8:AU16" si="4">MATCH(AT8,$AR$7:$AR$16,0)</f>
        <v>1</v>
      </c>
      <c r="AV8" s="13" t="str">
        <f t="shared" ref="AV8:AV16" si="5">INDEX($AL$7:$AL$16,AU8,1)</f>
        <v>AMASSADO ALIMENTADOR</v>
      </c>
      <c r="AW8" s="122" t="e">
        <f t="shared" ref="AW8:AW16" si="6">AT8/$AR$6*1000000</f>
        <v>#DIV/0!</v>
      </c>
      <c r="AX8" s="122" t="e">
        <f>AX7+AW8</f>
        <v>#DIV/0!</v>
      </c>
      <c r="AY8" s="122" t="e">
        <f t="shared" ref="AY8:AY16" si="7">AX8/$AX$16*100</f>
        <v>#DIV/0!</v>
      </c>
      <c r="AZ8" s="13" t="e">
        <f>IF((AR19&gt;'Máq. 1'!C33)*('Resumo Diário'!AY8&lt;80),'Resumo Diário'!AY8,0)</f>
        <v>#DIV/0!</v>
      </c>
    </row>
    <row r="9" spans="1:52" s="13" customFormat="1" ht="30" customHeight="1" x14ac:dyDescent="0.2">
      <c r="A9" s="137"/>
      <c r="B9" s="67" t="s">
        <v>7</v>
      </c>
      <c r="C9" s="18">
        <f t="array" ref="C9">SUM(IF('Máq. 1'!$C$4:$AB$4='Resumo Diário'!C$4,'Máq. 1'!$C9:$AB9))+SUM(IF('Máq. 2'!$C$4:$AB$4='Resumo Diário'!C$4,'Máq. 2'!$C9:$AB9))+SUM(IF('Máq. 3'!$C$4:$AB$4='Resumo Diário'!C$4,'Máq. 3'!$C9:$AB9))+SUM(IF('Máq. 4'!$C$4:$AB$4='Resumo Diário'!C$4,'Máq. 4'!$C9:$AB9))+SUM(IF('Máq. 5'!$C$4:$AB$4='Resumo Diário'!C$4,'Máq. 5'!$C9:$AB9))</f>
        <v>0</v>
      </c>
      <c r="D9" s="19">
        <f t="array" ref="D9">SUM(IF('Máq. 1'!$C$4:$AB$4='Resumo Diário'!D$4,'Máq. 1'!$C9:$AB9))+SUM(IF('Máq. 2'!$C$4:$AB$4='Resumo Diário'!D$4,'Máq. 2'!$C9:$AB9))+SUM(IF('Máq. 3'!$C$4:$AB$4='Resumo Diário'!D$4,'Máq. 3'!$C9:$AB9))+SUM(IF('Máq. 4'!$C$4:$AB$4='Resumo Diário'!D$4,'Máq. 4'!$C9:$AB9))+SUM(IF('Máq. 5'!$C$4:$AB$4='Resumo Diário'!D$4,'Máq. 5'!$C9:$AB9))</f>
        <v>0</v>
      </c>
      <c r="E9" s="19">
        <f t="array" ref="E9">SUM(IF('Máq. 1'!$C$4:$AB$4='Resumo Diário'!E$4,'Máq. 1'!$C9:$AB9))+SUM(IF('Máq. 2'!$C$4:$AB$4='Resumo Diário'!E$4,'Máq. 2'!$C9:$AB9))+SUM(IF('Máq. 3'!$C$4:$AB$4='Resumo Diário'!E$4,'Máq. 3'!$C9:$AB9))+SUM(IF('Máq. 4'!$C$4:$AB$4='Resumo Diário'!E$4,'Máq. 4'!$C9:$AB9))+SUM(IF('Máq. 5'!$C$4:$AB$4='Resumo Diário'!E$4,'Máq. 5'!$C9:$AB9))</f>
        <v>0</v>
      </c>
      <c r="F9" s="19">
        <f t="array" ref="F9">SUM(IF('Máq. 1'!$C$4:$AB$4='Resumo Diário'!F$4,'Máq. 1'!$C9:$AB9))+SUM(IF('Máq. 2'!$C$4:$AB$4='Resumo Diário'!F$4,'Máq. 2'!$C9:$AB9))+SUM(IF('Máq. 3'!$C$4:$AB$4='Resumo Diário'!F$4,'Máq. 3'!$C9:$AB9))+SUM(IF('Máq. 4'!$C$4:$AB$4='Resumo Diário'!F$4,'Máq. 4'!$C9:$AB9))+SUM(IF('Máq. 5'!$C$4:$AB$4='Resumo Diário'!F$4,'Máq. 5'!$C9:$AB9))</f>
        <v>0</v>
      </c>
      <c r="G9" s="19">
        <f t="array" ref="G9">SUM(IF('Máq. 1'!$C$4:$AB$4='Resumo Diário'!G$4,'Máq. 1'!$C9:$AB9))+SUM(IF('Máq. 2'!$C$4:$AB$4='Resumo Diário'!G$4,'Máq. 2'!$C9:$AB9))+SUM(IF('Máq. 3'!$C$4:$AB$4='Resumo Diário'!G$4,'Máq. 3'!$C9:$AB9))+SUM(IF('Máq. 4'!$C$4:$AB$4='Resumo Diário'!G$4,'Máq. 4'!$C9:$AB9))+SUM(IF('Máq. 5'!$C$4:$AB$4='Resumo Diário'!G$4,'Máq. 5'!$C9:$AB9))</f>
        <v>0</v>
      </c>
      <c r="H9" s="19">
        <f t="array" ref="H9">SUM(IF('Máq. 1'!$C$4:$AB$4='Resumo Diário'!H$4,'Máq. 1'!$C9:$AB9))+SUM(IF('Máq. 2'!$C$4:$AB$4='Resumo Diário'!H$4,'Máq. 2'!$C9:$AB9))+SUM(IF('Máq. 3'!$C$4:$AB$4='Resumo Diário'!H$4,'Máq. 3'!$C9:$AB9))+SUM(IF('Máq. 4'!$C$4:$AB$4='Resumo Diário'!H$4,'Máq. 4'!$C9:$AB9))+SUM(IF('Máq. 5'!$C$4:$AB$4='Resumo Diário'!H$4,'Máq. 5'!$C9:$AB9))</f>
        <v>0</v>
      </c>
      <c r="I9" s="19">
        <f t="array" ref="I9">SUM(IF('Máq. 1'!$C$4:$AB$4='Resumo Diário'!I$4,'Máq. 1'!$C9:$AB9))+SUM(IF('Máq. 2'!$C$4:$AB$4='Resumo Diário'!I$4,'Máq. 2'!$C9:$AB9))+SUM(IF('Máq. 3'!$C$4:$AB$4='Resumo Diário'!I$4,'Máq. 3'!$C9:$AB9))+SUM(IF('Máq. 4'!$C$4:$AB$4='Resumo Diário'!I$4,'Máq. 4'!$C9:$AB9))+SUM(IF('Máq. 5'!$C$4:$AB$4='Resumo Diário'!I$4,'Máq. 5'!$C9:$AB9))</f>
        <v>0</v>
      </c>
      <c r="J9" s="19">
        <f t="array" ref="J9">SUM(IF('Máq. 1'!$C$4:$AB$4='Resumo Diário'!J$4,'Máq. 1'!$C9:$AB9))+SUM(IF('Máq. 2'!$C$4:$AB$4='Resumo Diário'!J$4,'Máq. 2'!$C9:$AB9))+SUM(IF('Máq. 3'!$C$4:$AB$4='Resumo Diário'!J$4,'Máq. 3'!$C9:$AB9))+SUM(IF('Máq. 4'!$C$4:$AB$4='Resumo Diário'!J$4,'Máq. 4'!$C9:$AB9))+SUM(IF('Máq. 5'!$C$4:$AB$4='Resumo Diário'!J$4,'Máq. 5'!$C9:$AB9))</f>
        <v>0</v>
      </c>
      <c r="K9" s="19">
        <f t="array" ref="K9">SUM(IF('Máq. 1'!$C$4:$AB$4='Resumo Diário'!K$4,'Máq. 1'!$C9:$AB9))+SUM(IF('Máq. 2'!$C$4:$AB$4='Resumo Diário'!K$4,'Máq. 2'!$C9:$AB9))+SUM(IF('Máq. 3'!$C$4:$AB$4='Resumo Diário'!K$4,'Máq. 3'!$C9:$AB9))+SUM(IF('Máq. 4'!$C$4:$AB$4='Resumo Diário'!K$4,'Máq. 4'!$C9:$AB9))+SUM(IF('Máq. 5'!$C$4:$AB$4='Resumo Diário'!K$4,'Máq. 5'!$C9:$AB9))</f>
        <v>0</v>
      </c>
      <c r="L9" s="19">
        <f t="array" ref="L9">SUM(IF('Máq. 1'!$C$4:$AB$4='Resumo Diário'!L$4,'Máq. 1'!$C9:$AB9))+SUM(IF('Máq. 2'!$C$4:$AB$4='Resumo Diário'!L$4,'Máq. 2'!$C9:$AB9))+SUM(IF('Máq. 3'!$C$4:$AB$4='Resumo Diário'!L$4,'Máq. 3'!$C9:$AB9))+SUM(IF('Máq. 4'!$C$4:$AB$4='Resumo Diário'!L$4,'Máq. 4'!$C9:$AB9))+SUM(IF('Máq. 5'!$C$4:$AB$4='Resumo Diário'!L$4,'Máq. 5'!$C9:$AB9))</f>
        <v>0</v>
      </c>
      <c r="M9" s="19">
        <f t="array" ref="M9">SUM(IF('Máq. 1'!$C$4:$AB$4='Resumo Diário'!M$4,'Máq. 1'!$C9:$AB9))+SUM(IF('Máq. 2'!$C$4:$AB$4='Resumo Diário'!M$4,'Máq. 2'!$C9:$AB9))+SUM(IF('Máq. 3'!$C$4:$AB$4='Resumo Diário'!M$4,'Máq. 3'!$C9:$AB9))+SUM(IF('Máq. 4'!$C$4:$AB$4='Resumo Diário'!M$4,'Máq. 4'!$C9:$AB9))+SUM(IF('Máq. 5'!$C$4:$AB$4='Resumo Diário'!M$4,'Máq. 5'!$C9:$AB9))</f>
        <v>0</v>
      </c>
      <c r="N9" s="19">
        <f t="array" ref="N9">SUM(IF('Máq. 1'!$C$4:$AB$4='Resumo Diário'!N$4,'Máq. 1'!$C9:$AB9))+SUM(IF('Máq. 2'!$C$4:$AB$4='Resumo Diário'!N$4,'Máq. 2'!$C9:$AB9))+SUM(IF('Máq. 3'!$C$4:$AB$4='Resumo Diário'!N$4,'Máq. 3'!$C9:$AB9))+SUM(IF('Máq. 4'!$C$4:$AB$4='Resumo Diário'!N$4,'Máq. 4'!$C9:$AB9))+SUM(IF('Máq. 5'!$C$4:$AB$4='Resumo Diário'!N$4,'Máq. 5'!$C9:$AB9))</f>
        <v>0</v>
      </c>
      <c r="O9" s="19">
        <f t="array" ref="O9">SUM(IF('Máq. 1'!$C$4:$AB$4='Resumo Diário'!O$4,'Máq. 1'!$C9:$AB9))+SUM(IF('Máq. 2'!$C$4:$AB$4='Resumo Diário'!O$4,'Máq. 2'!$C9:$AB9))+SUM(IF('Máq. 3'!$C$4:$AB$4='Resumo Diário'!O$4,'Máq. 3'!$C9:$AB9))+SUM(IF('Máq. 4'!$C$4:$AB$4='Resumo Diário'!O$4,'Máq. 4'!$C9:$AB9))+SUM(IF('Máq. 5'!$C$4:$AB$4='Resumo Diário'!O$4,'Máq. 5'!$C9:$AB9))</f>
        <v>0</v>
      </c>
      <c r="P9" s="19">
        <f t="array" ref="P9">SUM(IF('Máq. 1'!$C$4:$AB$4='Resumo Diário'!P$4,'Máq. 1'!$C9:$AB9))+SUM(IF('Máq. 2'!$C$4:$AB$4='Resumo Diário'!P$4,'Máq. 2'!$C9:$AB9))+SUM(IF('Máq. 3'!$C$4:$AB$4='Resumo Diário'!P$4,'Máq. 3'!$C9:$AB9))+SUM(IF('Máq. 4'!$C$4:$AB$4='Resumo Diário'!P$4,'Máq. 4'!$C9:$AB9))+SUM(IF('Máq. 5'!$C$4:$AB$4='Resumo Diário'!P$4,'Máq. 5'!$C9:$AB9))</f>
        <v>0</v>
      </c>
      <c r="Q9" s="19">
        <f t="array" ref="Q9">SUM(IF('Máq. 1'!$C$4:$AB$4='Resumo Diário'!Q$4,'Máq. 1'!$C9:$AB9))+SUM(IF('Máq. 2'!$C$4:$AB$4='Resumo Diário'!Q$4,'Máq. 2'!$C9:$AB9))+SUM(IF('Máq. 3'!$C$4:$AB$4='Resumo Diário'!Q$4,'Máq. 3'!$C9:$AB9))+SUM(IF('Máq. 4'!$C$4:$AB$4='Resumo Diário'!Q$4,'Máq. 4'!$C9:$AB9))+SUM(IF('Máq. 5'!$C$4:$AB$4='Resumo Diário'!Q$4,'Máq. 5'!$C9:$AB9))</f>
        <v>0</v>
      </c>
      <c r="R9" s="19">
        <f t="array" ref="R9">SUM(IF('Máq. 1'!$C$4:$AB$4='Resumo Diário'!R$4,'Máq. 1'!$C9:$AB9))+SUM(IF('Máq. 2'!$C$4:$AB$4='Resumo Diário'!R$4,'Máq. 2'!$C9:$AB9))+SUM(IF('Máq. 3'!$C$4:$AB$4='Resumo Diário'!R$4,'Máq. 3'!$C9:$AB9))+SUM(IF('Máq. 4'!$C$4:$AB$4='Resumo Diário'!R$4,'Máq. 4'!$C9:$AB9))+SUM(IF('Máq. 5'!$C$4:$AB$4='Resumo Diário'!R$4,'Máq. 5'!$C9:$AB9))</f>
        <v>0</v>
      </c>
      <c r="S9" s="19">
        <f t="array" ref="S9">SUM(IF('Máq. 1'!$C$4:$AB$4='Resumo Diário'!S$4,'Máq. 1'!$C9:$AB9))+SUM(IF('Máq. 2'!$C$4:$AB$4='Resumo Diário'!S$4,'Máq. 2'!$C9:$AB9))+SUM(IF('Máq. 3'!$C$4:$AB$4='Resumo Diário'!S$4,'Máq. 3'!$C9:$AB9))+SUM(IF('Máq. 4'!$C$4:$AB$4='Resumo Diário'!S$4,'Máq. 4'!$C9:$AB9))+SUM(IF('Máq. 5'!$C$4:$AB$4='Resumo Diário'!S$4,'Máq. 5'!$C9:$AB9))</f>
        <v>0</v>
      </c>
      <c r="T9" s="19">
        <f t="array" ref="T9">SUM(IF('Máq. 1'!$C$4:$AB$4='Resumo Diário'!T$4,'Máq. 1'!$C9:$AB9))+SUM(IF('Máq. 2'!$C$4:$AB$4='Resumo Diário'!T$4,'Máq. 2'!$C9:$AB9))+SUM(IF('Máq. 3'!$C$4:$AB$4='Resumo Diário'!T$4,'Máq. 3'!$C9:$AB9))+SUM(IF('Máq. 4'!$C$4:$AB$4='Resumo Diário'!T$4,'Máq. 4'!$C9:$AB9))+SUM(IF('Máq. 5'!$C$4:$AB$4='Resumo Diário'!T$4,'Máq. 5'!$C9:$AB9))</f>
        <v>0</v>
      </c>
      <c r="U9" s="19">
        <f t="array" ref="U9">SUM(IF('Máq. 1'!$C$4:$AB$4='Resumo Diário'!U$4,'Máq. 1'!$C9:$AB9))+SUM(IF('Máq. 2'!$C$4:$AB$4='Resumo Diário'!U$4,'Máq. 2'!$C9:$AB9))+SUM(IF('Máq. 3'!$C$4:$AB$4='Resumo Diário'!U$4,'Máq. 3'!$C9:$AB9))+SUM(IF('Máq. 4'!$C$4:$AB$4='Resumo Diário'!U$4,'Máq. 4'!$C9:$AB9))+SUM(IF('Máq. 5'!$C$4:$AB$4='Resumo Diário'!U$4,'Máq. 5'!$C9:$AB9))</f>
        <v>0</v>
      </c>
      <c r="V9" s="19">
        <f t="array" ref="V9">SUM(IF('Máq. 1'!$C$4:$AB$4='Resumo Diário'!V$4,'Máq. 1'!$C9:$AB9))+SUM(IF('Máq. 2'!$C$4:$AB$4='Resumo Diário'!V$4,'Máq. 2'!$C9:$AB9))+SUM(IF('Máq. 3'!$C$4:$AB$4='Resumo Diário'!V$4,'Máq. 3'!$C9:$AB9))+SUM(IF('Máq. 4'!$C$4:$AB$4='Resumo Diário'!V$4,'Máq. 4'!$C9:$AB9))+SUM(IF('Máq. 5'!$C$4:$AB$4='Resumo Diário'!V$4,'Máq. 5'!$C9:$AB9))</f>
        <v>0</v>
      </c>
      <c r="W9" s="19">
        <f t="array" ref="W9">SUM(IF('Máq. 1'!$C$4:$AB$4='Resumo Diário'!W$4,'Máq. 1'!$C9:$AB9))+SUM(IF('Máq. 2'!$C$4:$AB$4='Resumo Diário'!W$4,'Máq. 2'!$C9:$AB9))+SUM(IF('Máq. 3'!$C$4:$AB$4='Resumo Diário'!W$4,'Máq. 3'!$C9:$AB9))+SUM(IF('Máq. 4'!$C$4:$AB$4='Resumo Diário'!W$4,'Máq. 4'!$C9:$AB9))+SUM(IF('Máq. 5'!$C$4:$AB$4='Resumo Diário'!W$4,'Máq. 5'!$C9:$AB9))</f>
        <v>0</v>
      </c>
      <c r="X9" s="19">
        <f t="array" ref="X9">SUM(IF('Máq. 1'!$C$4:$AB$4='Resumo Diário'!X$4,'Máq. 1'!$C9:$AB9))+SUM(IF('Máq. 2'!$C$4:$AB$4='Resumo Diário'!X$4,'Máq. 2'!$C9:$AB9))+SUM(IF('Máq. 3'!$C$4:$AB$4='Resumo Diário'!X$4,'Máq. 3'!$C9:$AB9))+SUM(IF('Máq. 4'!$C$4:$AB$4='Resumo Diário'!X$4,'Máq. 4'!$C9:$AB9))+SUM(IF('Máq. 5'!$C$4:$AB$4='Resumo Diário'!X$4,'Máq. 5'!$C9:$AB9))</f>
        <v>0</v>
      </c>
      <c r="Y9" s="19">
        <f t="array" ref="Y9">SUM(IF('Máq. 1'!$C$4:$AB$4='Resumo Diário'!Y$4,'Máq. 1'!$C9:$AB9))+SUM(IF('Máq. 2'!$C$4:$AB$4='Resumo Diário'!Y$4,'Máq. 2'!$C9:$AB9))+SUM(IF('Máq. 3'!$C$4:$AB$4='Resumo Diário'!Y$4,'Máq. 3'!$C9:$AB9))+SUM(IF('Máq. 4'!$C$4:$AB$4='Resumo Diário'!Y$4,'Máq. 4'!$C9:$AB9))+SUM(IF('Máq. 5'!$C$4:$AB$4='Resumo Diário'!Y$4,'Máq. 5'!$C9:$AB9))</f>
        <v>0</v>
      </c>
      <c r="Z9" s="19">
        <f t="array" ref="Z9">SUM(IF('Máq. 1'!$C$4:$AB$4='Resumo Diário'!Z$4,'Máq. 1'!$C9:$AB9))+SUM(IF('Máq. 2'!$C$4:$AB$4='Resumo Diário'!Z$4,'Máq. 2'!$C9:$AB9))+SUM(IF('Máq. 3'!$C$4:$AB$4='Resumo Diário'!Z$4,'Máq. 3'!$C9:$AB9))+SUM(IF('Máq. 4'!$C$4:$AB$4='Resumo Diário'!Z$4,'Máq. 4'!$C9:$AB9))+SUM(IF('Máq. 5'!$C$4:$AB$4='Resumo Diário'!Z$4,'Máq. 5'!$C9:$AB9))</f>
        <v>0</v>
      </c>
      <c r="AA9" s="19">
        <f t="array" ref="AA9">SUM(IF('Máq. 1'!$C$4:$AB$4='Resumo Diário'!AA$4,'Máq. 1'!$C9:$AB9))+SUM(IF('Máq. 2'!$C$4:$AB$4='Resumo Diário'!AA$4,'Máq. 2'!$C9:$AB9))+SUM(IF('Máq. 3'!$C$4:$AB$4='Resumo Diário'!AA$4,'Máq. 3'!$C9:$AB9))+SUM(IF('Máq. 4'!$C$4:$AB$4='Resumo Diário'!AA$4,'Máq. 4'!$C9:$AB9))+SUM(IF('Máq. 5'!$C$4:$AB$4='Resumo Diário'!AA$4,'Máq. 5'!$C9:$AB9))</f>
        <v>0</v>
      </c>
      <c r="AB9" s="19">
        <f t="array" ref="AB9">SUM(IF('Máq. 1'!$C$4:$AB$4='Resumo Diário'!AB$4,'Máq. 1'!$C9:$AB9))+SUM(IF('Máq. 2'!$C$4:$AB$4='Resumo Diário'!AB$4,'Máq. 2'!$C9:$AB9))+SUM(IF('Máq. 3'!$C$4:$AB$4='Resumo Diário'!AB$4,'Máq. 3'!$C9:$AB9))+SUM(IF('Máq. 4'!$C$4:$AB$4='Resumo Diário'!AB$4,'Máq. 4'!$C9:$AB9))+SUM(IF('Máq. 5'!$C$4:$AB$4='Resumo Diário'!AB$4,'Máq. 5'!$C9:$AB9))</f>
        <v>0</v>
      </c>
      <c r="AC9" s="19">
        <f t="array" ref="AC9">SUM(IF('Máq. 1'!$C$4:$AB$4='Resumo Diário'!AC$4,'Máq. 1'!$C9:$AB9))+SUM(IF('Máq. 2'!$C$4:$AB$4='Resumo Diário'!AC$4,'Máq. 2'!$C9:$AB9))+SUM(IF('Máq. 3'!$C$4:$AB$4='Resumo Diário'!AC$4,'Máq. 3'!$C9:$AB9))+SUM(IF('Máq. 4'!$C$4:$AB$4='Resumo Diário'!AC$4,'Máq. 4'!$C9:$AB9))+SUM(IF('Máq. 5'!$C$4:$AB$4='Resumo Diário'!AC$4,'Máq. 5'!$C9:$AB9))</f>
        <v>0</v>
      </c>
      <c r="AD9" s="19">
        <f t="array" ref="AD9">SUM(IF('Máq. 1'!$C$4:$AB$4='Resumo Diário'!AD$4,'Máq. 1'!$C9:$AB9))+SUM(IF('Máq. 2'!$C$4:$AB$4='Resumo Diário'!AD$4,'Máq. 2'!$C9:$AB9))+SUM(IF('Máq. 3'!$C$4:$AB$4='Resumo Diário'!AD$4,'Máq. 3'!$C9:$AB9))+SUM(IF('Máq. 4'!$C$4:$AB$4='Resumo Diário'!AD$4,'Máq. 4'!$C9:$AB9))+SUM(IF('Máq. 5'!$C$4:$AB$4='Resumo Diário'!AD$4,'Máq. 5'!$C9:$AB9))</f>
        <v>0</v>
      </c>
      <c r="AE9" s="19">
        <f t="array" ref="AE9">SUM(IF('Máq. 1'!$C$4:$AB$4='Resumo Diário'!AE$4,'Máq. 1'!$C9:$AB9))+SUM(IF('Máq. 2'!$C$4:$AB$4='Resumo Diário'!AE$4,'Máq. 2'!$C9:$AB9))+SUM(IF('Máq. 3'!$C$4:$AB$4='Resumo Diário'!AE$4,'Máq. 3'!$C9:$AB9))+SUM(IF('Máq. 4'!$C$4:$AB$4='Resumo Diário'!AE$4,'Máq. 4'!$C9:$AB9))+SUM(IF('Máq. 5'!$C$4:$AB$4='Resumo Diário'!AE$4,'Máq. 5'!$C9:$AB9))</f>
        <v>0</v>
      </c>
      <c r="AF9" s="19">
        <f t="array" ref="AF9">SUM(IF('Máq. 1'!$C$4:$AB$4='Resumo Diário'!AF$4,'Máq. 1'!$C9:$AB9))+SUM(IF('Máq. 2'!$C$4:$AB$4='Resumo Diário'!AF$4,'Máq. 2'!$C9:$AB9))+SUM(IF('Máq. 3'!$C$4:$AB$4='Resumo Diário'!AF$4,'Máq. 3'!$C9:$AB9))+SUM(IF('Máq. 4'!$C$4:$AB$4='Resumo Diário'!AF$4,'Máq. 4'!$C9:$AB9))+SUM(IF('Máq. 5'!$C$4:$AB$4='Resumo Diário'!AF$4,'Máq. 5'!$C9:$AB9))</f>
        <v>0</v>
      </c>
      <c r="AG9" s="19">
        <f t="array" ref="AG9">SUM(IF('Máq. 1'!$C$4:$AB$4='Resumo Diário'!AG$4,'Máq. 1'!$C9:$AB9))+SUM(IF('Máq. 2'!$C$4:$AB$4='Resumo Diário'!AG$4,'Máq. 2'!$C9:$AB9))+SUM(IF('Máq. 3'!$C$4:$AB$4='Resumo Diário'!AG$4,'Máq. 3'!$C9:$AB9))+SUM(IF('Máq. 4'!$C$4:$AB$4='Resumo Diário'!AG$4,'Máq. 4'!$C9:$AB9))+SUM(IF('Máq. 5'!$C$4:$AB$4='Resumo Diário'!AG$4,'Máq. 5'!$C9:$AB9))</f>
        <v>0</v>
      </c>
      <c r="AH9" s="20">
        <f t="shared" si="0"/>
        <v>0</v>
      </c>
      <c r="AI9" s="74"/>
      <c r="AK9" s="13">
        <v>3</v>
      </c>
      <c r="AL9" s="13" t="s">
        <v>6</v>
      </c>
      <c r="AM9" s="122">
        <f>'Máq. 1'!AC8</f>
        <v>0</v>
      </c>
      <c r="AN9" s="122">
        <f>'Máq. 2'!AC8</f>
        <v>0</v>
      </c>
      <c r="AO9" s="122">
        <f>'Máq. 3'!AC8</f>
        <v>0</v>
      </c>
      <c r="AP9" s="122">
        <f>'Máq. 4'!AC8</f>
        <v>0</v>
      </c>
      <c r="AQ9" s="122">
        <f>'Máq. 5'!AC8</f>
        <v>0</v>
      </c>
      <c r="AR9" s="13">
        <f t="shared" si="1"/>
        <v>0</v>
      </c>
      <c r="AS9" s="122" t="e">
        <f t="shared" si="2"/>
        <v>#DIV/0!</v>
      </c>
      <c r="AT9" s="122">
        <f t="shared" si="3"/>
        <v>0</v>
      </c>
      <c r="AU9" s="13">
        <f t="shared" si="4"/>
        <v>1</v>
      </c>
      <c r="AV9" s="13" t="str">
        <f t="shared" si="5"/>
        <v>AMASSADO ALIMENTADOR</v>
      </c>
      <c r="AW9" s="122" t="e">
        <f t="shared" si="6"/>
        <v>#DIV/0!</v>
      </c>
      <c r="AX9" s="122" t="e">
        <f t="shared" ref="AX9:AX16" si="8">AX8+AW9</f>
        <v>#DIV/0!</v>
      </c>
      <c r="AY9" s="122" t="e">
        <f t="shared" si="7"/>
        <v>#DIV/0!</v>
      </c>
      <c r="AZ9" s="13" t="e">
        <f>IF((AR20&gt;'Máq. 1'!C34)*('Resumo Diário'!AY9&lt;80),'Resumo Diário'!AY9,0)</f>
        <v>#DIV/0!</v>
      </c>
    </row>
    <row r="10" spans="1:52" s="13" customFormat="1" ht="30" customHeight="1" x14ac:dyDescent="0.2">
      <c r="A10" s="137"/>
      <c r="B10" s="67" t="s">
        <v>33</v>
      </c>
      <c r="C10" s="18">
        <f t="array" ref="C10">SUM(IF('Máq. 1'!$C$4:$AB$4='Resumo Diário'!C$4,'Máq. 1'!$C10:$AB10))+SUM(IF('Máq. 2'!$C$4:$AB$4='Resumo Diário'!C$4,'Máq. 2'!$C10:$AB10))+SUM(IF('Máq. 3'!$C$4:$AB$4='Resumo Diário'!C$4,'Máq. 3'!$C10:$AB10))+SUM(IF('Máq. 4'!$C$4:$AB$4='Resumo Diário'!C$4,'Máq. 4'!$C10:$AB10))+SUM(IF('Máq. 5'!$C$4:$AB$4='Resumo Diário'!C$4,'Máq. 5'!$C10:$AB10))</f>
        <v>0</v>
      </c>
      <c r="D10" s="19">
        <f t="array" ref="D10">SUM(IF('Máq. 1'!$C$4:$AB$4='Resumo Diário'!D$4,'Máq. 1'!$C10:$AB10))+SUM(IF('Máq. 2'!$C$4:$AB$4='Resumo Diário'!D$4,'Máq. 2'!$C10:$AB10))+SUM(IF('Máq. 3'!$C$4:$AB$4='Resumo Diário'!D$4,'Máq. 3'!$C10:$AB10))+SUM(IF('Máq. 4'!$C$4:$AB$4='Resumo Diário'!D$4,'Máq. 4'!$C10:$AB10))+SUM(IF('Máq. 5'!$C$4:$AB$4='Resumo Diário'!D$4,'Máq. 5'!$C10:$AB10))</f>
        <v>0</v>
      </c>
      <c r="E10" s="19">
        <f t="array" ref="E10">SUM(IF('Máq. 1'!$C$4:$AB$4='Resumo Diário'!E$4,'Máq. 1'!$C10:$AB10))+SUM(IF('Máq. 2'!$C$4:$AB$4='Resumo Diário'!E$4,'Máq. 2'!$C10:$AB10))+SUM(IF('Máq. 3'!$C$4:$AB$4='Resumo Diário'!E$4,'Máq. 3'!$C10:$AB10))+SUM(IF('Máq. 4'!$C$4:$AB$4='Resumo Diário'!E$4,'Máq. 4'!$C10:$AB10))+SUM(IF('Máq. 5'!$C$4:$AB$4='Resumo Diário'!E$4,'Máq. 5'!$C10:$AB10))</f>
        <v>0</v>
      </c>
      <c r="F10" s="19">
        <f t="array" ref="F10">SUM(IF('Máq. 1'!$C$4:$AB$4='Resumo Diário'!F$4,'Máq. 1'!$C10:$AB10))+SUM(IF('Máq. 2'!$C$4:$AB$4='Resumo Diário'!F$4,'Máq. 2'!$C10:$AB10))+SUM(IF('Máq. 3'!$C$4:$AB$4='Resumo Diário'!F$4,'Máq. 3'!$C10:$AB10))+SUM(IF('Máq. 4'!$C$4:$AB$4='Resumo Diário'!F$4,'Máq. 4'!$C10:$AB10))+SUM(IF('Máq. 5'!$C$4:$AB$4='Resumo Diário'!F$4,'Máq. 5'!$C10:$AB10))</f>
        <v>0</v>
      </c>
      <c r="G10" s="19">
        <f t="array" ref="G10">SUM(IF('Máq. 1'!$C$4:$AB$4='Resumo Diário'!G$4,'Máq. 1'!$C10:$AB10))+SUM(IF('Máq. 2'!$C$4:$AB$4='Resumo Diário'!G$4,'Máq. 2'!$C10:$AB10))+SUM(IF('Máq. 3'!$C$4:$AB$4='Resumo Diário'!G$4,'Máq. 3'!$C10:$AB10))+SUM(IF('Máq. 4'!$C$4:$AB$4='Resumo Diário'!G$4,'Máq. 4'!$C10:$AB10))+SUM(IF('Máq. 5'!$C$4:$AB$4='Resumo Diário'!G$4,'Máq. 5'!$C10:$AB10))</f>
        <v>0</v>
      </c>
      <c r="H10" s="19">
        <f t="array" ref="H10">SUM(IF('Máq. 1'!$C$4:$AB$4='Resumo Diário'!H$4,'Máq. 1'!$C10:$AB10))+SUM(IF('Máq. 2'!$C$4:$AB$4='Resumo Diário'!H$4,'Máq. 2'!$C10:$AB10))+SUM(IF('Máq. 3'!$C$4:$AB$4='Resumo Diário'!H$4,'Máq. 3'!$C10:$AB10))+SUM(IF('Máq. 4'!$C$4:$AB$4='Resumo Diário'!H$4,'Máq. 4'!$C10:$AB10))+SUM(IF('Máq. 5'!$C$4:$AB$4='Resumo Diário'!H$4,'Máq. 5'!$C10:$AB10))</f>
        <v>0</v>
      </c>
      <c r="I10" s="19">
        <f t="array" ref="I10">SUM(IF('Máq. 1'!$C$4:$AB$4='Resumo Diário'!I$4,'Máq. 1'!$C10:$AB10))+SUM(IF('Máq. 2'!$C$4:$AB$4='Resumo Diário'!I$4,'Máq. 2'!$C10:$AB10))+SUM(IF('Máq. 3'!$C$4:$AB$4='Resumo Diário'!I$4,'Máq. 3'!$C10:$AB10))+SUM(IF('Máq. 4'!$C$4:$AB$4='Resumo Diário'!I$4,'Máq. 4'!$C10:$AB10))+SUM(IF('Máq. 5'!$C$4:$AB$4='Resumo Diário'!I$4,'Máq. 5'!$C10:$AB10))</f>
        <v>0</v>
      </c>
      <c r="J10" s="19">
        <f t="array" ref="J10">SUM(IF('Máq. 1'!$C$4:$AB$4='Resumo Diário'!J$4,'Máq. 1'!$C10:$AB10))+SUM(IF('Máq. 2'!$C$4:$AB$4='Resumo Diário'!J$4,'Máq. 2'!$C10:$AB10))+SUM(IF('Máq. 3'!$C$4:$AB$4='Resumo Diário'!J$4,'Máq. 3'!$C10:$AB10))+SUM(IF('Máq. 4'!$C$4:$AB$4='Resumo Diário'!J$4,'Máq. 4'!$C10:$AB10))+SUM(IF('Máq. 5'!$C$4:$AB$4='Resumo Diário'!J$4,'Máq. 5'!$C10:$AB10))</f>
        <v>0</v>
      </c>
      <c r="K10" s="19">
        <f t="array" ref="K10">SUM(IF('Máq. 1'!$C$4:$AB$4='Resumo Diário'!K$4,'Máq. 1'!$C10:$AB10))+SUM(IF('Máq. 2'!$C$4:$AB$4='Resumo Diário'!K$4,'Máq. 2'!$C10:$AB10))+SUM(IF('Máq. 3'!$C$4:$AB$4='Resumo Diário'!K$4,'Máq. 3'!$C10:$AB10))+SUM(IF('Máq. 4'!$C$4:$AB$4='Resumo Diário'!K$4,'Máq. 4'!$C10:$AB10))+SUM(IF('Máq. 5'!$C$4:$AB$4='Resumo Diário'!K$4,'Máq. 5'!$C10:$AB10))</f>
        <v>0</v>
      </c>
      <c r="L10" s="19">
        <f t="array" ref="L10">SUM(IF('Máq. 1'!$C$4:$AB$4='Resumo Diário'!L$4,'Máq. 1'!$C10:$AB10))+SUM(IF('Máq. 2'!$C$4:$AB$4='Resumo Diário'!L$4,'Máq. 2'!$C10:$AB10))+SUM(IF('Máq. 3'!$C$4:$AB$4='Resumo Diário'!L$4,'Máq. 3'!$C10:$AB10))+SUM(IF('Máq. 4'!$C$4:$AB$4='Resumo Diário'!L$4,'Máq. 4'!$C10:$AB10))+SUM(IF('Máq. 5'!$C$4:$AB$4='Resumo Diário'!L$4,'Máq. 5'!$C10:$AB10))</f>
        <v>0</v>
      </c>
      <c r="M10" s="19">
        <f t="array" ref="M10">SUM(IF('Máq. 1'!$C$4:$AB$4='Resumo Diário'!M$4,'Máq. 1'!$C10:$AB10))+SUM(IF('Máq. 2'!$C$4:$AB$4='Resumo Diário'!M$4,'Máq. 2'!$C10:$AB10))+SUM(IF('Máq. 3'!$C$4:$AB$4='Resumo Diário'!M$4,'Máq. 3'!$C10:$AB10))+SUM(IF('Máq. 4'!$C$4:$AB$4='Resumo Diário'!M$4,'Máq. 4'!$C10:$AB10))+SUM(IF('Máq. 5'!$C$4:$AB$4='Resumo Diário'!M$4,'Máq. 5'!$C10:$AB10))</f>
        <v>0</v>
      </c>
      <c r="N10" s="19">
        <f t="array" ref="N10">SUM(IF('Máq. 1'!$C$4:$AB$4='Resumo Diário'!N$4,'Máq. 1'!$C10:$AB10))+SUM(IF('Máq. 2'!$C$4:$AB$4='Resumo Diário'!N$4,'Máq. 2'!$C10:$AB10))+SUM(IF('Máq. 3'!$C$4:$AB$4='Resumo Diário'!N$4,'Máq. 3'!$C10:$AB10))+SUM(IF('Máq. 4'!$C$4:$AB$4='Resumo Diário'!N$4,'Máq. 4'!$C10:$AB10))+SUM(IF('Máq. 5'!$C$4:$AB$4='Resumo Diário'!N$4,'Máq. 5'!$C10:$AB10))</f>
        <v>0</v>
      </c>
      <c r="O10" s="19">
        <f t="array" ref="O10">SUM(IF('Máq. 1'!$C$4:$AB$4='Resumo Diário'!O$4,'Máq. 1'!$C10:$AB10))+SUM(IF('Máq. 2'!$C$4:$AB$4='Resumo Diário'!O$4,'Máq. 2'!$C10:$AB10))+SUM(IF('Máq. 3'!$C$4:$AB$4='Resumo Diário'!O$4,'Máq. 3'!$C10:$AB10))+SUM(IF('Máq. 4'!$C$4:$AB$4='Resumo Diário'!O$4,'Máq. 4'!$C10:$AB10))+SUM(IF('Máq. 5'!$C$4:$AB$4='Resumo Diário'!O$4,'Máq. 5'!$C10:$AB10))</f>
        <v>0</v>
      </c>
      <c r="P10" s="19">
        <f t="array" ref="P10">SUM(IF('Máq. 1'!$C$4:$AB$4='Resumo Diário'!P$4,'Máq. 1'!$C10:$AB10))+SUM(IF('Máq. 2'!$C$4:$AB$4='Resumo Diário'!P$4,'Máq. 2'!$C10:$AB10))+SUM(IF('Máq. 3'!$C$4:$AB$4='Resumo Diário'!P$4,'Máq. 3'!$C10:$AB10))+SUM(IF('Máq. 4'!$C$4:$AB$4='Resumo Diário'!P$4,'Máq. 4'!$C10:$AB10))+SUM(IF('Máq. 5'!$C$4:$AB$4='Resumo Diário'!P$4,'Máq. 5'!$C10:$AB10))</f>
        <v>0</v>
      </c>
      <c r="Q10" s="19">
        <f t="array" ref="Q10">SUM(IF('Máq. 1'!$C$4:$AB$4='Resumo Diário'!Q$4,'Máq. 1'!$C10:$AB10))+SUM(IF('Máq. 2'!$C$4:$AB$4='Resumo Diário'!Q$4,'Máq. 2'!$C10:$AB10))+SUM(IF('Máq. 3'!$C$4:$AB$4='Resumo Diário'!Q$4,'Máq. 3'!$C10:$AB10))+SUM(IF('Máq. 4'!$C$4:$AB$4='Resumo Diário'!Q$4,'Máq. 4'!$C10:$AB10))+SUM(IF('Máq. 5'!$C$4:$AB$4='Resumo Diário'!Q$4,'Máq. 5'!$C10:$AB10))</f>
        <v>0</v>
      </c>
      <c r="R10" s="19">
        <f t="array" ref="R10">SUM(IF('Máq. 1'!$C$4:$AB$4='Resumo Diário'!R$4,'Máq. 1'!$C10:$AB10))+SUM(IF('Máq. 2'!$C$4:$AB$4='Resumo Diário'!R$4,'Máq. 2'!$C10:$AB10))+SUM(IF('Máq. 3'!$C$4:$AB$4='Resumo Diário'!R$4,'Máq. 3'!$C10:$AB10))+SUM(IF('Máq. 4'!$C$4:$AB$4='Resumo Diário'!R$4,'Máq. 4'!$C10:$AB10))+SUM(IF('Máq. 5'!$C$4:$AB$4='Resumo Diário'!R$4,'Máq. 5'!$C10:$AB10))</f>
        <v>0</v>
      </c>
      <c r="S10" s="19">
        <f t="array" ref="S10">SUM(IF('Máq. 1'!$C$4:$AB$4='Resumo Diário'!S$4,'Máq. 1'!$C10:$AB10))+SUM(IF('Máq. 2'!$C$4:$AB$4='Resumo Diário'!S$4,'Máq. 2'!$C10:$AB10))+SUM(IF('Máq. 3'!$C$4:$AB$4='Resumo Diário'!S$4,'Máq. 3'!$C10:$AB10))+SUM(IF('Máq. 4'!$C$4:$AB$4='Resumo Diário'!S$4,'Máq. 4'!$C10:$AB10))+SUM(IF('Máq. 5'!$C$4:$AB$4='Resumo Diário'!S$4,'Máq. 5'!$C10:$AB10))</f>
        <v>0</v>
      </c>
      <c r="T10" s="19">
        <f t="array" ref="T10">SUM(IF('Máq. 1'!$C$4:$AB$4='Resumo Diário'!T$4,'Máq. 1'!$C10:$AB10))+SUM(IF('Máq. 2'!$C$4:$AB$4='Resumo Diário'!T$4,'Máq. 2'!$C10:$AB10))+SUM(IF('Máq. 3'!$C$4:$AB$4='Resumo Diário'!T$4,'Máq. 3'!$C10:$AB10))+SUM(IF('Máq. 4'!$C$4:$AB$4='Resumo Diário'!T$4,'Máq. 4'!$C10:$AB10))+SUM(IF('Máq. 5'!$C$4:$AB$4='Resumo Diário'!T$4,'Máq. 5'!$C10:$AB10))</f>
        <v>0</v>
      </c>
      <c r="U10" s="108">
        <f t="array" ref="U10">SUM(IF('Máq. 1'!$C$4:$AB$4='Resumo Diário'!U$4,'Máq. 1'!$C10:$AB10))+SUM(IF('Máq. 2'!$C$4:$AB$4='Resumo Diário'!U$4,'Máq. 2'!$C10:$AB10))+SUM(IF('Máq. 3'!$C$4:$AB$4='Resumo Diário'!U$4,'Máq. 3'!$C10:$AB10))+SUM(IF('Máq. 4'!$C$4:$AB$4='Resumo Diário'!U$4,'Máq. 4'!$C10:$AB10))+SUM(IF('Máq. 5'!$C$4:$AB$4='Resumo Diário'!U$4,'Máq. 5'!$C10:$AB10))</f>
        <v>0</v>
      </c>
      <c r="V10" s="108">
        <f t="array" ref="V10">SUM(IF('Máq. 1'!$C$4:$AB$4='Resumo Diário'!V$4,'Máq. 1'!$C10:$AB10))+SUM(IF('Máq. 2'!$C$4:$AB$4='Resumo Diário'!V$4,'Máq. 2'!$C10:$AB10))+SUM(IF('Máq. 3'!$C$4:$AB$4='Resumo Diário'!V$4,'Máq. 3'!$C10:$AB10))+SUM(IF('Máq. 4'!$C$4:$AB$4='Resumo Diário'!V$4,'Máq. 4'!$C10:$AB10))+SUM(IF('Máq. 5'!$C$4:$AB$4='Resumo Diário'!V$4,'Máq. 5'!$C10:$AB10))</f>
        <v>0</v>
      </c>
      <c r="W10" s="108">
        <f t="array" ref="W10">SUM(IF('Máq. 1'!$C$4:$AB$4='Resumo Diário'!W$4,'Máq. 1'!$C10:$AB10))+SUM(IF('Máq. 2'!$C$4:$AB$4='Resumo Diário'!W$4,'Máq. 2'!$C10:$AB10))+SUM(IF('Máq. 3'!$C$4:$AB$4='Resumo Diário'!W$4,'Máq. 3'!$C10:$AB10))+SUM(IF('Máq. 4'!$C$4:$AB$4='Resumo Diário'!W$4,'Máq. 4'!$C10:$AB10))+SUM(IF('Máq. 5'!$C$4:$AB$4='Resumo Diário'!W$4,'Máq. 5'!$C10:$AB10))</f>
        <v>0</v>
      </c>
      <c r="X10" s="108">
        <f t="array" ref="X10">SUM(IF('Máq. 1'!$C$4:$AB$4='Resumo Diário'!X$4,'Máq. 1'!$C10:$AB10))+SUM(IF('Máq. 2'!$C$4:$AB$4='Resumo Diário'!X$4,'Máq. 2'!$C10:$AB10))+SUM(IF('Máq. 3'!$C$4:$AB$4='Resumo Diário'!X$4,'Máq. 3'!$C10:$AB10))+SUM(IF('Máq. 4'!$C$4:$AB$4='Resumo Diário'!X$4,'Máq. 4'!$C10:$AB10))+SUM(IF('Máq. 5'!$C$4:$AB$4='Resumo Diário'!X$4,'Máq. 5'!$C10:$AB10))</f>
        <v>0</v>
      </c>
      <c r="Y10" s="108">
        <f t="array" ref="Y10">SUM(IF('Máq. 1'!$C$4:$AB$4='Resumo Diário'!Y$4,'Máq. 1'!$C10:$AB10))+SUM(IF('Máq. 2'!$C$4:$AB$4='Resumo Diário'!Y$4,'Máq. 2'!$C10:$AB10))+SUM(IF('Máq. 3'!$C$4:$AB$4='Resumo Diário'!Y$4,'Máq. 3'!$C10:$AB10))+SUM(IF('Máq. 4'!$C$4:$AB$4='Resumo Diário'!Y$4,'Máq. 4'!$C10:$AB10))+SUM(IF('Máq. 5'!$C$4:$AB$4='Resumo Diário'!Y$4,'Máq. 5'!$C10:$AB10))</f>
        <v>0</v>
      </c>
      <c r="Z10" s="108">
        <f t="array" ref="Z10">SUM(IF('Máq. 1'!$C$4:$AB$4='Resumo Diário'!Z$4,'Máq. 1'!$C10:$AB10))+SUM(IF('Máq. 2'!$C$4:$AB$4='Resumo Diário'!Z$4,'Máq. 2'!$C10:$AB10))+SUM(IF('Máq. 3'!$C$4:$AB$4='Resumo Diário'!Z$4,'Máq. 3'!$C10:$AB10))+SUM(IF('Máq. 4'!$C$4:$AB$4='Resumo Diário'!Z$4,'Máq. 4'!$C10:$AB10))+SUM(IF('Máq. 5'!$C$4:$AB$4='Resumo Diário'!Z$4,'Máq. 5'!$C10:$AB10))</f>
        <v>0</v>
      </c>
      <c r="AA10" s="108">
        <f t="array" ref="AA10">SUM(IF('Máq. 1'!$C$4:$AB$4='Resumo Diário'!AA$4,'Máq. 1'!$C10:$AB10))+SUM(IF('Máq. 2'!$C$4:$AB$4='Resumo Diário'!AA$4,'Máq. 2'!$C10:$AB10))+SUM(IF('Máq. 3'!$C$4:$AB$4='Resumo Diário'!AA$4,'Máq. 3'!$C10:$AB10))+SUM(IF('Máq. 4'!$C$4:$AB$4='Resumo Diário'!AA$4,'Máq. 4'!$C10:$AB10))+SUM(IF('Máq. 5'!$C$4:$AB$4='Resumo Diário'!AA$4,'Máq. 5'!$C10:$AB10))</f>
        <v>0</v>
      </c>
      <c r="AB10" s="108">
        <f t="array" ref="AB10">SUM(IF('Máq. 1'!$C$4:$AB$4='Resumo Diário'!AB$4,'Máq. 1'!$C10:$AB10))+SUM(IF('Máq. 2'!$C$4:$AB$4='Resumo Diário'!AB$4,'Máq. 2'!$C10:$AB10))+SUM(IF('Máq. 3'!$C$4:$AB$4='Resumo Diário'!AB$4,'Máq. 3'!$C10:$AB10))+SUM(IF('Máq. 4'!$C$4:$AB$4='Resumo Diário'!AB$4,'Máq. 4'!$C10:$AB10))+SUM(IF('Máq. 5'!$C$4:$AB$4='Resumo Diário'!AB$4,'Máq. 5'!$C10:$AB10))</f>
        <v>0</v>
      </c>
      <c r="AC10" s="108">
        <f t="array" ref="AC10">SUM(IF('Máq. 1'!$C$4:$AB$4='Resumo Diário'!AC$4,'Máq. 1'!$C10:$AB10))+SUM(IF('Máq. 2'!$C$4:$AB$4='Resumo Diário'!AC$4,'Máq. 2'!$C10:$AB10))+SUM(IF('Máq. 3'!$C$4:$AB$4='Resumo Diário'!AC$4,'Máq. 3'!$C10:$AB10))+SUM(IF('Máq. 4'!$C$4:$AB$4='Resumo Diário'!AC$4,'Máq. 4'!$C10:$AB10))+SUM(IF('Máq. 5'!$C$4:$AB$4='Resumo Diário'!AC$4,'Máq. 5'!$C10:$AB10))</f>
        <v>0</v>
      </c>
      <c r="AD10" s="108">
        <f t="array" ref="AD10">SUM(IF('Máq. 1'!$C$4:$AB$4='Resumo Diário'!AD$4,'Máq. 1'!$C10:$AB10))+SUM(IF('Máq. 2'!$C$4:$AB$4='Resumo Diário'!AD$4,'Máq. 2'!$C10:$AB10))+SUM(IF('Máq. 3'!$C$4:$AB$4='Resumo Diário'!AD$4,'Máq. 3'!$C10:$AB10))+SUM(IF('Máq. 4'!$C$4:$AB$4='Resumo Diário'!AD$4,'Máq. 4'!$C10:$AB10))+SUM(IF('Máq. 5'!$C$4:$AB$4='Resumo Diário'!AD$4,'Máq. 5'!$C10:$AB10))</f>
        <v>0</v>
      </c>
      <c r="AE10" s="108">
        <f t="array" ref="AE10">SUM(IF('Máq. 1'!$C$4:$AB$4='Resumo Diário'!AE$4,'Máq. 1'!$C10:$AB10))+SUM(IF('Máq. 2'!$C$4:$AB$4='Resumo Diário'!AE$4,'Máq. 2'!$C10:$AB10))+SUM(IF('Máq. 3'!$C$4:$AB$4='Resumo Diário'!AE$4,'Máq. 3'!$C10:$AB10))+SUM(IF('Máq. 4'!$C$4:$AB$4='Resumo Diário'!AE$4,'Máq. 4'!$C10:$AB10))+SUM(IF('Máq. 5'!$C$4:$AB$4='Resumo Diário'!AE$4,'Máq. 5'!$C10:$AB10))</f>
        <v>0</v>
      </c>
      <c r="AF10" s="108">
        <f t="array" ref="AF10">SUM(IF('Máq. 1'!$C$4:$AB$4='Resumo Diário'!AF$4,'Máq. 1'!$C10:$AB10))+SUM(IF('Máq. 2'!$C$4:$AB$4='Resumo Diário'!AF$4,'Máq. 2'!$C10:$AB10))+SUM(IF('Máq. 3'!$C$4:$AB$4='Resumo Diário'!AF$4,'Máq. 3'!$C10:$AB10))+SUM(IF('Máq. 4'!$C$4:$AB$4='Resumo Diário'!AF$4,'Máq. 4'!$C10:$AB10))+SUM(IF('Máq. 5'!$C$4:$AB$4='Resumo Diário'!AF$4,'Máq. 5'!$C10:$AB10))</f>
        <v>0</v>
      </c>
      <c r="AG10" s="19">
        <f t="array" ref="AG10">SUM(IF('Máq. 1'!$C$4:$AB$4='Resumo Diário'!AG$4,'Máq. 1'!$C10:$AB10))+SUM(IF('Máq. 2'!$C$4:$AB$4='Resumo Diário'!AG$4,'Máq. 2'!$C10:$AB10))+SUM(IF('Máq. 3'!$C$4:$AB$4='Resumo Diário'!AG$4,'Máq. 3'!$C10:$AB10))+SUM(IF('Máq. 4'!$C$4:$AB$4='Resumo Diário'!AG$4,'Máq. 4'!$C10:$AB10))+SUM(IF('Máq. 5'!$C$4:$AB$4='Resumo Diário'!AG$4,'Máq. 5'!$C10:$AB10))</f>
        <v>0</v>
      </c>
      <c r="AH10" s="20">
        <f t="shared" si="0"/>
        <v>0</v>
      </c>
      <c r="AI10" s="74"/>
      <c r="AK10" s="13">
        <v>4</v>
      </c>
      <c r="AL10" s="13" t="s">
        <v>7</v>
      </c>
      <c r="AM10" s="122">
        <f>'Máq. 1'!AC9</f>
        <v>0</v>
      </c>
      <c r="AN10" s="122">
        <f>'Máq. 2'!AC9</f>
        <v>0</v>
      </c>
      <c r="AO10" s="122">
        <f>'Máq. 3'!AC9</f>
        <v>0</v>
      </c>
      <c r="AP10" s="122">
        <f>'Máq. 4'!AC9</f>
        <v>0</v>
      </c>
      <c r="AQ10" s="122">
        <f>'Máq. 5'!AC9</f>
        <v>0</v>
      </c>
      <c r="AR10" s="13">
        <f t="shared" si="1"/>
        <v>0</v>
      </c>
      <c r="AS10" s="122" t="e">
        <f t="shared" si="2"/>
        <v>#DIV/0!</v>
      </c>
      <c r="AT10" s="122">
        <f t="shared" si="3"/>
        <v>0</v>
      </c>
      <c r="AU10" s="13">
        <f t="shared" si="4"/>
        <v>1</v>
      </c>
      <c r="AV10" s="13" t="str">
        <f t="shared" si="5"/>
        <v>AMASSADO ALIMENTADOR</v>
      </c>
      <c r="AW10" s="122" t="e">
        <f t="shared" si="6"/>
        <v>#DIV/0!</v>
      </c>
      <c r="AX10" s="122" t="e">
        <f t="shared" si="8"/>
        <v>#DIV/0!</v>
      </c>
      <c r="AY10" s="122" t="e">
        <f t="shared" si="7"/>
        <v>#DIV/0!</v>
      </c>
      <c r="AZ10" s="13" t="e">
        <f>IF((AR21&gt;'Máq. 1'!C35)*('Resumo Diário'!AY10&lt;80),'Resumo Diário'!AY10,0)</f>
        <v>#DIV/0!</v>
      </c>
    </row>
    <row r="11" spans="1:52" s="13" customFormat="1" ht="30" customHeight="1" x14ac:dyDescent="0.2">
      <c r="A11" s="137"/>
      <c r="B11" s="67" t="s">
        <v>8</v>
      </c>
      <c r="C11" s="18">
        <f t="array" ref="C11">SUM(IF('Máq. 1'!$C$4:$AB$4='Resumo Diário'!C$4,'Máq. 1'!$C11:$AB11))+SUM(IF('Máq. 2'!$C$4:$AB$4='Resumo Diário'!C$4,'Máq. 2'!$C11:$AB11))+SUM(IF('Máq. 3'!$C$4:$AB$4='Resumo Diário'!C$4,'Máq. 3'!$C11:$AB11))+SUM(IF('Máq. 4'!$C$4:$AB$4='Resumo Diário'!C$4,'Máq. 4'!$C11:$AB11))+SUM(IF('Máq. 5'!$C$4:$AB$4='Resumo Diário'!C$4,'Máq. 5'!$C11:$AB11))</f>
        <v>0</v>
      </c>
      <c r="D11" s="19">
        <f t="array" ref="D11">SUM(IF('Máq. 1'!$C$4:$AB$4='Resumo Diário'!D$4,'Máq. 1'!$C11:$AB11))+SUM(IF('Máq. 2'!$C$4:$AB$4='Resumo Diário'!D$4,'Máq. 2'!$C11:$AB11))+SUM(IF('Máq. 3'!$C$4:$AB$4='Resumo Diário'!D$4,'Máq. 3'!$C11:$AB11))+SUM(IF('Máq. 4'!$C$4:$AB$4='Resumo Diário'!D$4,'Máq. 4'!$C11:$AB11))+SUM(IF('Máq. 5'!$C$4:$AB$4='Resumo Diário'!D$4,'Máq. 5'!$C11:$AB11))</f>
        <v>0</v>
      </c>
      <c r="E11" s="19">
        <f t="array" ref="E11">SUM(IF('Máq. 1'!$C$4:$AB$4='Resumo Diário'!E$4,'Máq. 1'!$C11:$AB11))+SUM(IF('Máq. 2'!$C$4:$AB$4='Resumo Diário'!E$4,'Máq. 2'!$C11:$AB11))+SUM(IF('Máq. 3'!$C$4:$AB$4='Resumo Diário'!E$4,'Máq. 3'!$C11:$AB11))+SUM(IF('Máq. 4'!$C$4:$AB$4='Resumo Diário'!E$4,'Máq. 4'!$C11:$AB11))+SUM(IF('Máq. 5'!$C$4:$AB$4='Resumo Diário'!E$4,'Máq. 5'!$C11:$AB11))</f>
        <v>0</v>
      </c>
      <c r="F11" s="19">
        <f t="array" ref="F11">SUM(IF('Máq. 1'!$C$4:$AB$4='Resumo Diário'!F$4,'Máq. 1'!$C11:$AB11))+SUM(IF('Máq. 2'!$C$4:$AB$4='Resumo Diário'!F$4,'Máq. 2'!$C11:$AB11))+SUM(IF('Máq. 3'!$C$4:$AB$4='Resumo Diário'!F$4,'Máq. 3'!$C11:$AB11))+SUM(IF('Máq. 4'!$C$4:$AB$4='Resumo Diário'!F$4,'Máq. 4'!$C11:$AB11))+SUM(IF('Máq. 5'!$C$4:$AB$4='Resumo Diário'!F$4,'Máq. 5'!$C11:$AB11))</f>
        <v>0</v>
      </c>
      <c r="G11" s="19">
        <f t="array" ref="G11">SUM(IF('Máq. 1'!$C$4:$AB$4='Resumo Diário'!G$4,'Máq. 1'!$C11:$AB11))+SUM(IF('Máq. 2'!$C$4:$AB$4='Resumo Diário'!G$4,'Máq. 2'!$C11:$AB11))+SUM(IF('Máq. 3'!$C$4:$AB$4='Resumo Diário'!G$4,'Máq. 3'!$C11:$AB11))+SUM(IF('Máq. 4'!$C$4:$AB$4='Resumo Diário'!G$4,'Máq. 4'!$C11:$AB11))+SUM(IF('Máq. 5'!$C$4:$AB$4='Resumo Diário'!G$4,'Máq. 5'!$C11:$AB11))</f>
        <v>0</v>
      </c>
      <c r="H11" s="19">
        <f t="array" ref="H11">SUM(IF('Máq. 1'!$C$4:$AB$4='Resumo Diário'!H$4,'Máq. 1'!$C11:$AB11))+SUM(IF('Máq. 2'!$C$4:$AB$4='Resumo Diário'!H$4,'Máq. 2'!$C11:$AB11))+SUM(IF('Máq. 3'!$C$4:$AB$4='Resumo Diário'!H$4,'Máq. 3'!$C11:$AB11))+SUM(IF('Máq. 4'!$C$4:$AB$4='Resumo Diário'!H$4,'Máq. 4'!$C11:$AB11))+SUM(IF('Máq. 5'!$C$4:$AB$4='Resumo Diário'!H$4,'Máq. 5'!$C11:$AB11))</f>
        <v>0</v>
      </c>
      <c r="I11" s="19">
        <f t="array" ref="I11">SUM(IF('Máq. 1'!$C$4:$AB$4='Resumo Diário'!I$4,'Máq. 1'!$C11:$AB11))+SUM(IF('Máq. 2'!$C$4:$AB$4='Resumo Diário'!I$4,'Máq. 2'!$C11:$AB11))+SUM(IF('Máq. 3'!$C$4:$AB$4='Resumo Diário'!I$4,'Máq. 3'!$C11:$AB11))+SUM(IF('Máq. 4'!$C$4:$AB$4='Resumo Diário'!I$4,'Máq. 4'!$C11:$AB11))+SUM(IF('Máq. 5'!$C$4:$AB$4='Resumo Diário'!I$4,'Máq. 5'!$C11:$AB11))</f>
        <v>0</v>
      </c>
      <c r="J11" s="19">
        <f t="array" ref="J11">SUM(IF('Máq. 1'!$C$4:$AB$4='Resumo Diário'!J$4,'Máq. 1'!$C11:$AB11))+SUM(IF('Máq. 2'!$C$4:$AB$4='Resumo Diário'!J$4,'Máq. 2'!$C11:$AB11))+SUM(IF('Máq. 3'!$C$4:$AB$4='Resumo Diário'!J$4,'Máq. 3'!$C11:$AB11))+SUM(IF('Máq. 4'!$C$4:$AB$4='Resumo Diário'!J$4,'Máq. 4'!$C11:$AB11))+SUM(IF('Máq. 5'!$C$4:$AB$4='Resumo Diário'!J$4,'Máq. 5'!$C11:$AB11))</f>
        <v>0</v>
      </c>
      <c r="K11" s="19">
        <f t="array" ref="K11">SUM(IF('Máq. 1'!$C$4:$AB$4='Resumo Diário'!K$4,'Máq. 1'!$C11:$AB11))+SUM(IF('Máq. 2'!$C$4:$AB$4='Resumo Diário'!K$4,'Máq. 2'!$C11:$AB11))+SUM(IF('Máq. 3'!$C$4:$AB$4='Resumo Diário'!K$4,'Máq. 3'!$C11:$AB11))+SUM(IF('Máq. 4'!$C$4:$AB$4='Resumo Diário'!K$4,'Máq. 4'!$C11:$AB11))+SUM(IF('Máq. 5'!$C$4:$AB$4='Resumo Diário'!K$4,'Máq. 5'!$C11:$AB11))</f>
        <v>0</v>
      </c>
      <c r="L11" s="19">
        <f t="array" ref="L11">SUM(IF('Máq. 1'!$C$4:$AB$4='Resumo Diário'!L$4,'Máq. 1'!$C11:$AB11))+SUM(IF('Máq. 2'!$C$4:$AB$4='Resumo Diário'!L$4,'Máq. 2'!$C11:$AB11))+SUM(IF('Máq. 3'!$C$4:$AB$4='Resumo Diário'!L$4,'Máq. 3'!$C11:$AB11))+SUM(IF('Máq. 4'!$C$4:$AB$4='Resumo Diário'!L$4,'Máq. 4'!$C11:$AB11))+SUM(IF('Máq. 5'!$C$4:$AB$4='Resumo Diário'!L$4,'Máq. 5'!$C11:$AB11))</f>
        <v>0</v>
      </c>
      <c r="M11" s="108">
        <f t="array" ref="M11">SUM(IF('Máq. 1'!$C$4:$AB$4='Resumo Diário'!M$4,'Máq. 1'!$C11:$AB11))+SUM(IF('Máq. 2'!$C$4:$AB$4='Resumo Diário'!M$4,'Máq. 2'!$C11:$AB11))+SUM(IF('Máq. 3'!$C$4:$AB$4='Resumo Diário'!M$4,'Máq. 3'!$C11:$AB11))+SUM(IF('Máq. 4'!$C$4:$AB$4='Resumo Diário'!M$4,'Máq. 4'!$C11:$AB11))+SUM(IF('Máq. 5'!$C$4:$AB$4='Resumo Diário'!M$4,'Máq. 5'!$C11:$AB11))</f>
        <v>0</v>
      </c>
      <c r="N11" s="108">
        <f t="array" ref="N11">SUM(IF('Máq. 1'!$C$4:$AB$4='Resumo Diário'!N$4,'Máq. 1'!$C11:$AB11))+SUM(IF('Máq. 2'!$C$4:$AB$4='Resumo Diário'!N$4,'Máq. 2'!$C11:$AB11))+SUM(IF('Máq. 3'!$C$4:$AB$4='Resumo Diário'!N$4,'Máq. 3'!$C11:$AB11))+SUM(IF('Máq. 4'!$C$4:$AB$4='Resumo Diário'!N$4,'Máq. 4'!$C11:$AB11))+SUM(IF('Máq. 5'!$C$4:$AB$4='Resumo Diário'!N$4,'Máq. 5'!$C11:$AB11))</f>
        <v>0</v>
      </c>
      <c r="O11" s="109">
        <f t="array" ref="O11">SUM(IF('Máq. 1'!$C$4:$AB$4='Resumo Diário'!O$4,'Máq. 1'!$C11:$AB11))+SUM(IF('Máq. 2'!$C$4:$AB$4='Resumo Diário'!O$4,'Máq. 2'!$C11:$AB11))+SUM(IF('Máq. 3'!$C$4:$AB$4='Resumo Diário'!O$4,'Máq. 3'!$C11:$AB11))+SUM(IF('Máq. 4'!$C$4:$AB$4='Resumo Diário'!O$4,'Máq. 4'!$C11:$AB11))+SUM(IF('Máq. 5'!$C$4:$AB$4='Resumo Diário'!O$4,'Máq. 5'!$C11:$AB11))</f>
        <v>0</v>
      </c>
      <c r="P11" s="108">
        <f t="array" ref="P11">SUM(IF('Máq. 1'!$C$4:$AB$4='Resumo Diário'!P$4,'Máq. 1'!$C11:$AB11))+SUM(IF('Máq. 2'!$C$4:$AB$4='Resumo Diário'!P$4,'Máq. 2'!$C11:$AB11))+SUM(IF('Máq. 3'!$C$4:$AB$4='Resumo Diário'!P$4,'Máq. 3'!$C11:$AB11))+SUM(IF('Máq. 4'!$C$4:$AB$4='Resumo Diário'!P$4,'Máq. 4'!$C11:$AB11))+SUM(IF('Máq. 5'!$C$4:$AB$4='Resumo Diário'!P$4,'Máq. 5'!$C11:$AB11))</f>
        <v>0</v>
      </c>
      <c r="Q11" s="19">
        <f t="array" ref="Q11">SUM(IF('Máq. 1'!$C$4:$AB$4='Resumo Diário'!Q$4,'Máq. 1'!$C11:$AB11))+SUM(IF('Máq. 2'!$C$4:$AB$4='Resumo Diário'!Q$4,'Máq. 2'!$C11:$AB11))+SUM(IF('Máq. 3'!$C$4:$AB$4='Resumo Diário'!Q$4,'Máq. 3'!$C11:$AB11))+SUM(IF('Máq. 4'!$C$4:$AB$4='Resumo Diário'!Q$4,'Máq. 4'!$C11:$AB11))+SUM(IF('Máq. 5'!$C$4:$AB$4='Resumo Diário'!Q$4,'Máq. 5'!$C11:$AB11))</f>
        <v>0</v>
      </c>
      <c r="R11" s="19">
        <f t="array" ref="R11">SUM(IF('Máq. 1'!$C$4:$AB$4='Resumo Diário'!R$4,'Máq. 1'!$C11:$AB11))+SUM(IF('Máq. 2'!$C$4:$AB$4='Resumo Diário'!R$4,'Máq. 2'!$C11:$AB11))+SUM(IF('Máq. 3'!$C$4:$AB$4='Resumo Diário'!R$4,'Máq. 3'!$C11:$AB11))+SUM(IF('Máq. 4'!$C$4:$AB$4='Resumo Diário'!R$4,'Máq. 4'!$C11:$AB11))+SUM(IF('Máq. 5'!$C$4:$AB$4='Resumo Diário'!R$4,'Máq. 5'!$C11:$AB11))</f>
        <v>0</v>
      </c>
      <c r="S11" s="108">
        <f t="array" ref="S11">SUM(IF('Máq. 1'!$C$4:$AB$4='Resumo Diário'!S$4,'Máq. 1'!$C11:$AB11))+SUM(IF('Máq. 2'!$C$4:$AB$4='Resumo Diário'!S$4,'Máq. 2'!$C11:$AB11))+SUM(IF('Máq. 3'!$C$4:$AB$4='Resumo Diário'!S$4,'Máq. 3'!$C11:$AB11))+SUM(IF('Máq. 4'!$C$4:$AB$4='Resumo Diário'!S$4,'Máq. 4'!$C11:$AB11))+SUM(IF('Máq. 5'!$C$4:$AB$4='Resumo Diário'!S$4,'Máq. 5'!$C11:$AB11))</f>
        <v>0</v>
      </c>
      <c r="T11" s="108">
        <f t="array" ref="T11">SUM(IF('Máq. 1'!$C$4:$AB$4='Resumo Diário'!T$4,'Máq. 1'!$C11:$AB11))+SUM(IF('Máq. 2'!$C$4:$AB$4='Resumo Diário'!T$4,'Máq. 2'!$C11:$AB11))+SUM(IF('Máq. 3'!$C$4:$AB$4='Resumo Diário'!T$4,'Máq. 3'!$C11:$AB11))+SUM(IF('Máq. 4'!$C$4:$AB$4='Resumo Diário'!T$4,'Máq. 4'!$C11:$AB11))+SUM(IF('Máq. 5'!$C$4:$AB$4='Resumo Diário'!T$4,'Máq. 5'!$C11:$AB11))</f>
        <v>0</v>
      </c>
      <c r="U11" s="19">
        <f t="array" ref="U11">SUM(IF('Máq. 1'!$C$4:$AB$4='Resumo Diário'!U$4,'Máq. 1'!$C11:$AB11))+SUM(IF('Máq. 2'!$C$4:$AB$4='Resumo Diário'!U$4,'Máq. 2'!$C11:$AB11))+SUM(IF('Máq. 3'!$C$4:$AB$4='Resumo Diário'!U$4,'Máq. 3'!$C11:$AB11))+SUM(IF('Máq. 4'!$C$4:$AB$4='Resumo Diário'!U$4,'Máq. 4'!$C11:$AB11))+SUM(IF('Máq. 5'!$C$4:$AB$4='Resumo Diário'!U$4,'Máq. 5'!$C11:$AB11))</f>
        <v>0</v>
      </c>
      <c r="V11" s="19">
        <f t="array" ref="V11">SUM(IF('Máq. 1'!$C$4:$AB$4='Resumo Diário'!V$4,'Máq. 1'!$C11:$AB11))+SUM(IF('Máq. 2'!$C$4:$AB$4='Resumo Diário'!V$4,'Máq. 2'!$C11:$AB11))+SUM(IF('Máq. 3'!$C$4:$AB$4='Resumo Diário'!V$4,'Máq. 3'!$C11:$AB11))+SUM(IF('Máq. 4'!$C$4:$AB$4='Resumo Diário'!V$4,'Máq. 4'!$C11:$AB11))+SUM(IF('Máq. 5'!$C$4:$AB$4='Resumo Diário'!V$4,'Máq. 5'!$C11:$AB11))</f>
        <v>0</v>
      </c>
      <c r="W11" s="19">
        <f t="array" ref="W11">SUM(IF('Máq. 1'!$C$4:$AB$4='Resumo Diário'!W$4,'Máq. 1'!$C11:$AB11))+SUM(IF('Máq. 2'!$C$4:$AB$4='Resumo Diário'!W$4,'Máq. 2'!$C11:$AB11))+SUM(IF('Máq. 3'!$C$4:$AB$4='Resumo Diário'!W$4,'Máq. 3'!$C11:$AB11))+SUM(IF('Máq. 4'!$C$4:$AB$4='Resumo Diário'!W$4,'Máq. 4'!$C11:$AB11))+SUM(IF('Máq. 5'!$C$4:$AB$4='Resumo Diário'!W$4,'Máq. 5'!$C11:$AB11))</f>
        <v>0</v>
      </c>
      <c r="X11" s="19">
        <f t="array" ref="X11">SUM(IF('Máq. 1'!$C$4:$AB$4='Resumo Diário'!X$4,'Máq. 1'!$C11:$AB11))+SUM(IF('Máq. 2'!$C$4:$AB$4='Resumo Diário'!X$4,'Máq. 2'!$C11:$AB11))+SUM(IF('Máq. 3'!$C$4:$AB$4='Resumo Diário'!X$4,'Máq. 3'!$C11:$AB11))+SUM(IF('Máq. 4'!$C$4:$AB$4='Resumo Diário'!X$4,'Máq. 4'!$C11:$AB11))+SUM(IF('Máq. 5'!$C$4:$AB$4='Resumo Diário'!X$4,'Máq. 5'!$C11:$AB11))</f>
        <v>0</v>
      </c>
      <c r="Y11" s="19">
        <f t="array" ref="Y11">SUM(IF('Máq. 1'!$C$4:$AB$4='Resumo Diário'!Y$4,'Máq. 1'!$C11:$AB11))+SUM(IF('Máq. 2'!$C$4:$AB$4='Resumo Diário'!Y$4,'Máq. 2'!$C11:$AB11))+SUM(IF('Máq. 3'!$C$4:$AB$4='Resumo Diário'!Y$4,'Máq. 3'!$C11:$AB11))+SUM(IF('Máq. 4'!$C$4:$AB$4='Resumo Diário'!Y$4,'Máq. 4'!$C11:$AB11))+SUM(IF('Máq. 5'!$C$4:$AB$4='Resumo Diário'!Y$4,'Máq. 5'!$C11:$AB11))</f>
        <v>0</v>
      </c>
      <c r="Z11" s="19">
        <f t="array" ref="Z11">SUM(IF('Máq. 1'!$C$4:$AB$4='Resumo Diário'!Z$4,'Máq. 1'!$C11:$AB11))+SUM(IF('Máq. 2'!$C$4:$AB$4='Resumo Diário'!Z$4,'Máq. 2'!$C11:$AB11))+SUM(IF('Máq. 3'!$C$4:$AB$4='Resumo Diário'!Z$4,'Máq. 3'!$C11:$AB11))+SUM(IF('Máq. 4'!$C$4:$AB$4='Resumo Diário'!Z$4,'Máq. 4'!$C11:$AB11))+SUM(IF('Máq. 5'!$C$4:$AB$4='Resumo Diário'!Z$4,'Máq. 5'!$C11:$AB11))</f>
        <v>0</v>
      </c>
      <c r="AA11" s="19">
        <f t="array" ref="AA11">SUM(IF('Máq. 1'!$C$4:$AB$4='Resumo Diário'!AA$4,'Máq. 1'!$C11:$AB11))+SUM(IF('Máq. 2'!$C$4:$AB$4='Resumo Diário'!AA$4,'Máq. 2'!$C11:$AB11))+SUM(IF('Máq. 3'!$C$4:$AB$4='Resumo Diário'!AA$4,'Máq. 3'!$C11:$AB11))+SUM(IF('Máq. 4'!$C$4:$AB$4='Resumo Diário'!AA$4,'Máq. 4'!$C11:$AB11))+SUM(IF('Máq. 5'!$C$4:$AB$4='Resumo Diário'!AA$4,'Máq. 5'!$C11:$AB11))</f>
        <v>0</v>
      </c>
      <c r="AB11" s="19">
        <f t="array" ref="AB11">SUM(IF('Máq. 1'!$C$4:$AB$4='Resumo Diário'!AB$4,'Máq. 1'!$C11:$AB11))+SUM(IF('Máq. 2'!$C$4:$AB$4='Resumo Diário'!AB$4,'Máq. 2'!$C11:$AB11))+SUM(IF('Máq. 3'!$C$4:$AB$4='Resumo Diário'!AB$4,'Máq. 3'!$C11:$AB11))+SUM(IF('Máq. 4'!$C$4:$AB$4='Resumo Diário'!AB$4,'Máq. 4'!$C11:$AB11))+SUM(IF('Máq. 5'!$C$4:$AB$4='Resumo Diário'!AB$4,'Máq. 5'!$C11:$AB11))</f>
        <v>0</v>
      </c>
      <c r="AC11" s="19">
        <f t="array" ref="AC11">SUM(IF('Máq. 1'!$C$4:$AB$4='Resumo Diário'!AC$4,'Máq. 1'!$C11:$AB11))+SUM(IF('Máq. 2'!$C$4:$AB$4='Resumo Diário'!AC$4,'Máq. 2'!$C11:$AB11))+SUM(IF('Máq. 3'!$C$4:$AB$4='Resumo Diário'!AC$4,'Máq. 3'!$C11:$AB11))+SUM(IF('Máq. 4'!$C$4:$AB$4='Resumo Diário'!AC$4,'Máq. 4'!$C11:$AB11))+SUM(IF('Máq. 5'!$C$4:$AB$4='Resumo Diário'!AC$4,'Máq. 5'!$C11:$AB11))</f>
        <v>0</v>
      </c>
      <c r="AD11" s="19">
        <f t="array" ref="AD11">SUM(IF('Máq. 1'!$C$4:$AB$4='Resumo Diário'!AD$4,'Máq. 1'!$C11:$AB11))+SUM(IF('Máq. 2'!$C$4:$AB$4='Resumo Diário'!AD$4,'Máq. 2'!$C11:$AB11))+SUM(IF('Máq. 3'!$C$4:$AB$4='Resumo Diário'!AD$4,'Máq. 3'!$C11:$AB11))+SUM(IF('Máq. 4'!$C$4:$AB$4='Resumo Diário'!AD$4,'Máq. 4'!$C11:$AB11))+SUM(IF('Máq. 5'!$C$4:$AB$4='Resumo Diário'!AD$4,'Máq. 5'!$C11:$AB11))</f>
        <v>0</v>
      </c>
      <c r="AE11" s="19">
        <f t="array" ref="AE11">SUM(IF('Máq. 1'!$C$4:$AB$4='Resumo Diário'!AE$4,'Máq. 1'!$C11:$AB11))+SUM(IF('Máq. 2'!$C$4:$AB$4='Resumo Diário'!AE$4,'Máq. 2'!$C11:$AB11))+SUM(IF('Máq. 3'!$C$4:$AB$4='Resumo Diário'!AE$4,'Máq. 3'!$C11:$AB11))+SUM(IF('Máq. 4'!$C$4:$AB$4='Resumo Diário'!AE$4,'Máq. 4'!$C11:$AB11))+SUM(IF('Máq. 5'!$C$4:$AB$4='Resumo Diário'!AE$4,'Máq. 5'!$C11:$AB11))</f>
        <v>0</v>
      </c>
      <c r="AF11" s="19">
        <f t="array" ref="AF11">SUM(IF('Máq. 1'!$C$4:$AB$4='Resumo Diário'!AF$4,'Máq. 1'!$C11:$AB11))+SUM(IF('Máq. 2'!$C$4:$AB$4='Resumo Diário'!AF$4,'Máq. 2'!$C11:$AB11))+SUM(IF('Máq. 3'!$C$4:$AB$4='Resumo Diário'!AF$4,'Máq. 3'!$C11:$AB11))+SUM(IF('Máq. 4'!$C$4:$AB$4='Resumo Diário'!AF$4,'Máq. 4'!$C11:$AB11))+SUM(IF('Máq. 5'!$C$4:$AB$4='Resumo Diário'!AF$4,'Máq. 5'!$C11:$AB11))</f>
        <v>0</v>
      </c>
      <c r="AG11" s="108">
        <f t="array" ref="AG11">SUM(IF('Máq. 1'!$C$4:$AB$4='Resumo Diário'!AG$4,'Máq. 1'!$C11:$AB11))+SUM(IF('Máq. 2'!$C$4:$AB$4='Resumo Diário'!AG$4,'Máq. 2'!$C11:$AB11))+SUM(IF('Máq. 3'!$C$4:$AB$4='Resumo Diário'!AG$4,'Máq. 3'!$C11:$AB11))+SUM(IF('Máq. 4'!$C$4:$AB$4='Resumo Diário'!AG$4,'Máq. 4'!$C11:$AB11))+SUM(IF('Máq. 5'!$C$4:$AB$4='Resumo Diário'!AG$4,'Máq. 5'!$C11:$AB11))</f>
        <v>0</v>
      </c>
      <c r="AH11" s="23">
        <f t="shared" si="0"/>
        <v>0</v>
      </c>
      <c r="AI11" s="72"/>
      <c r="AK11" s="13">
        <v>5</v>
      </c>
      <c r="AL11" s="13" t="s">
        <v>33</v>
      </c>
      <c r="AM11" s="122">
        <f>'Máq. 1'!AC10</f>
        <v>0</v>
      </c>
      <c r="AN11" s="122">
        <f>'Máq. 2'!AC10</f>
        <v>0</v>
      </c>
      <c r="AO11" s="122">
        <f>'Máq. 3'!AC10</f>
        <v>0</v>
      </c>
      <c r="AP11" s="122">
        <f>'Máq. 4'!AC10</f>
        <v>0</v>
      </c>
      <c r="AQ11" s="122">
        <f>'Máq. 5'!AC10</f>
        <v>0</v>
      </c>
      <c r="AR11" s="13">
        <f t="shared" si="1"/>
        <v>0</v>
      </c>
      <c r="AS11" s="122" t="e">
        <f t="shared" si="2"/>
        <v>#DIV/0!</v>
      </c>
      <c r="AT11" s="122">
        <f t="shared" si="3"/>
        <v>0</v>
      </c>
      <c r="AU11" s="13">
        <f t="shared" si="4"/>
        <v>1</v>
      </c>
      <c r="AV11" s="13" t="str">
        <f t="shared" si="5"/>
        <v>AMASSADO ALIMENTADOR</v>
      </c>
      <c r="AW11" s="122" t="e">
        <f t="shared" si="6"/>
        <v>#DIV/0!</v>
      </c>
      <c r="AX11" s="122" t="e">
        <f t="shared" si="8"/>
        <v>#DIV/0!</v>
      </c>
      <c r="AY11" s="122" t="e">
        <f t="shared" si="7"/>
        <v>#DIV/0!</v>
      </c>
      <c r="AZ11" s="13" t="e">
        <f>IF((AR22&gt;'Máq. 1'!C36)*('Resumo Diário'!AY11&lt;80),'Resumo Diário'!AY11,0)</f>
        <v>#DIV/0!</v>
      </c>
    </row>
    <row r="12" spans="1:52" s="13" customFormat="1" ht="30" customHeight="1" x14ac:dyDescent="0.2">
      <c r="A12" s="137"/>
      <c r="B12" s="67" t="s">
        <v>9</v>
      </c>
      <c r="C12" s="18">
        <f t="array" ref="C12">SUM(IF('Máq. 1'!$C$4:$AB$4='Resumo Diário'!C$4,'Máq. 1'!$C12:$AB12))+SUM(IF('Máq. 2'!$C$4:$AB$4='Resumo Diário'!C$4,'Máq. 2'!$C12:$AB12))+SUM(IF('Máq. 3'!$C$4:$AB$4='Resumo Diário'!C$4,'Máq. 3'!$C12:$AB12))+SUM(IF('Máq. 4'!$C$4:$AB$4='Resumo Diário'!C$4,'Máq. 4'!$C12:$AB12))+SUM(IF('Máq. 5'!$C$4:$AB$4='Resumo Diário'!C$4,'Máq. 5'!$C12:$AB12))</f>
        <v>0</v>
      </c>
      <c r="D12" s="19">
        <f t="array" ref="D12">SUM(IF('Máq. 1'!$C$4:$AB$4='Resumo Diário'!D$4,'Máq. 1'!$C12:$AB12))+SUM(IF('Máq. 2'!$C$4:$AB$4='Resumo Diário'!D$4,'Máq. 2'!$C12:$AB12))+SUM(IF('Máq. 3'!$C$4:$AB$4='Resumo Diário'!D$4,'Máq. 3'!$C12:$AB12))+SUM(IF('Máq. 4'!$C$4:$AB$4='Resumo Diário'!D$4,'Máq. 4'!$C12:$AB12))+SUM(IF('Máq. 5'!$C$4:$AB$4='Resumo Diário'!D$4,'Máq. 5'!$C12:$AB12))</f>
        <v>0</v>
      </c>
      <c r="E12" s="19">
        <f t="array" ref="E12">SUM(IF('Máq. 1'!$C$4:$AB$4='Resumo Diário'!E$4,'Máq. 1'!$C12:$AB12))+SUM(IF('Máq. 2'!$C$4:$AB$4='Resumo Diário'!E$4,'Máq. 2'!$C12:$AB12))+SUM(IF('Máq. 3'!$C$4:$AB$4='Resumo Diário'!E$4,'Máq. 3'!$C12:$AB12))+SUM(IF('Máq. 4'!$C$4:$AB$4='Resumo Diário'!E$4,'Máq. 4'!$C12:$AB12))+SUM(IF('Máq. 5'!$C$4:$AB$4='Resumo Diário'!E$4,'Máq. 5'!$C12:$AB12))</f>
        <v>0</v>
      </c>
      <c r="F12" s="19">
        <f t="array" ref="F12">SUM(IF('Máq. 1'!$C$4:$AB$4='Resumo Diário'!F$4,'Máq. 1'!$C12:$AB12))+SUM(IF('Máq. 2'!$C$4:$AB$4='Resumo Diário'!F$4,'Máq. 2'!$C12:$AB12))+SUM(IF('Máq. 3'!$C$4:$AB$4='Resumo Diário'!F$4,'Máq. 3'!$C12:$AB12))+SUM(IF('Máq. 4'!$C$4:$AB$4='Resumo Diário'!F$4,'Máq. 4'!$C12:$AB12))+SUM(IF('Máq. 5'!$C$4:$AB$4='Resumo Diário'!F$4,'Máq. 5'!$C12:$AB12))</f>
        <v>0</v>
      </c>
      <c r="G12" s="19">
        <f t="array" ref="G12">SUM(IF('Máq. 1'!$C$4:$AB$4='Resumo Diário'!G$4,'Máq. 1'!$C12:$AB12))+SUM(IF('Máq. 2'!$C$4:$AB$4='Resumo Diário'!G$4,'Máq. 2'!$C12:$AB12))+SUM(IF('Máq. 3'!$C$4:$AB$4='Resumo Diário'!G$4,'Máq. 3'!$C12:$AB12))+SUM(IF('Máq. 4'!$C$4:$AB$4='Resumo Diário'!G$4,'Máq. 4'!$C12:$AB12))+SUM(IF('Máq. 5'!$C$4:$AB$4='Resumo Diário'!G$4,'Máq. 5'!$C12:$AB12))</f>
        <v>0</v>
      </c>
      <c r="H12" s="19">
        <f t="array" ref="H12">SUM(IF('Máq. 1'!$C$4:$AB$4='Resumo Diário'!H$4,'Máq. 1'!$C12:$AB12))+SUM(IF('Máq. 2'!$C$4:$AB$4='Resumo Diário'!H$4,'Máq. 2'!$C12:$AB12))+SUM(IF('Máq. 3'!$C$4:$AB$4='Resumo Diário'!H$4,'Máq. 3'!$C12:$AB12))+SUM(IF('Máq. 4'!$C$4:$AB$4='Resumo Diário'!H$4,'Máq. 4'!$C12:$AB12))+SUM(IF('Máq. 5'!$C$4:$AB$4='Resumo Diário'!H$4,'Máq. 5'!$C12:$AB12))</f>
        <v>0</v>
      </c>
      <c r="I12" s="19">
        <f t="array" ref="I12">SUM(IF('Máq. 1'!$C$4:$AB$4='Resumo Diário'!I$4,'Máq. 1'!$C12:$AB12))+SUM(IF('Máq. 2'!$C$4:$AB$4='Resumo Diário'!I$4,'Máq. 2'!$C12:$AB12))+SUM(IF('Máq. 3'!$C$4:$AB$4='Resumo Diário'!I$4,'Máq. 3'!$C12:$AB12))+SUM(IF('Máq. 4'!$C$4:$AB$4='Resumo Diário'!I$4,'Máq. 4'!$C12:$AB12))+SUM(IF('Máq. 5'!$C$4:$AB$4='Resumo Diário'!I$4,'Máq. 5'!$C12:$AB12))</f>
        <v>0</v>
      </c>
      <c r="J12" s="19">
        <f t="array" ref="J12">SUM(IF('Máq. 1'!$C$4:$AB$4='Resumo Diário'!J$4,'Máq. 1'!$C12:$AB12))+SUM(IF('Máq. 2'!$C$4:$AB$4='Resumo Diário'!J$4,'Máq. 2'!$C12:$AB12))+SUM(IF('Máq. 3'!$C$4:$AB$4='Resumo Diário'!J$4,'Máq. 3'!$C12:$AB12))+SUM(IF('Máq. 4'!$C$4:$AB$4='Resumo Diário'!J$4,'Máq. 4'!$C12:$AB12))+SUM(IF('Máq. 5'!$C$4:$AB$4='Resumo Diário'!J$4,'Máq. 5'!$C12:$AB12))</f>
        <v>0</v>
      </c>
      <c r="K12" s="19">
        <f t="array" ref="K12">SUM(IF('Máq. 1'!$C$4:$AB$4='Resumo Diário'!K$4,'Máq. 1'!$C12:$AB12))+SUM(IF('Máq. 2'!$C$4:$AB$4='Resumo Diário'!K$4,'Máq. 2'!$C12:$AB12))+SUM(IF('Máq. 3'!$C$4:$AB$4='Resumo Diário'!K$4,'Máq. 3'!$C12:$AB12))+SUM(IF('Máq. 4'!$C$4:$AB$4='Resumo Diário'!K$4,'Máq. 4'!$C12:$AB12))+SUM(IF('Máq. 5'!$C$4:$AB$4='Resumo Diário'!K$4,'Máq. 5'!$C12:$AB12))</f>
        <v>0</v>
      </c>
      <c r="L12" s="19">
        <f t="array" ref="L12">SUM(IF('Máq. 1'!$C$4:$AB$4='Resumo Diário'!L$4,'Máq. 1'!$C12:$AB12))+SUM(IF('Máq. 2'!$C$4:$AB$4='Resumo Diário'!L$4,'Máq. 2'!$C12:$AB12))+SUM(IF('Máq. 3'!$C$4:$AB$4='Resumo Diário'!L$4,'Máq. 3'!$C12:$AB12))+SUM(IF('Máq. 4'!$C$4:$AB$4='Resumo Diário'!L$4,'Máq. 4'!$C12:$AB12))+SUM(IF('Máq. 5'!$C$4:$AB$4='Resumo Diário'!L$4,'Máq. 5'!$C12:$AB12))</f>
        <v>0</v>
      </c>
      <c r="M12" s="19">
        <f t="array" ref="M12">SUM(IF('Máq. 1'!$C$4:$AB$4='Resumo Diário'!M$4,'Máq. 1'!$C12:$AB12))+SUM(IF('Máq. 2'!$C$4:$AB$4='Resumo Diário'!M$4,'Máq. 2'!$C12:$AB12))+SUM(IF('Máq. 3'!$C$4:$AB$4='Resumo Diário'!M$4,'Máq. 3'!$C12:$AB12))+SUM(IF('Máq. 4'!$C$4:$AB$4='Resumo Diário'!M$4,'Máq. 4'!$C12:$AB12))+SUM(IF('Máq. 5'!$C$4:$AB$4='Resumo Diário'!M$4,'Máq. 5'!$C12:$AB12))</f>
        <v>0</v>
      </c>
      <c r="N12" s="19">
        <f t="array" ref="N12">SUM(IF('Máq. 1'!$C$4:$AB$4='Resumo Diário'!N$4,'Máq. 1'!$C12:$AB12))+SUM(IF('Máq. 2'!$C$4:$AB$4='Resumo Diário'!N$4,'Máq. 2'!$C12:$AB12))+SUM(IF('Máq. 3'!$C$4:$AB$4='Resumo Diário'!N$4,'Máq. 3'!$C12:$AB12))+SUM(IF('Máq. 4'!$C$4:$AB$4='Resumo Diário'!N$4,'Máq. 4'!$C12:$AB12))+SUM(IF('Máq. 5'!$C$4:$AB$4='Resumo Diário'!N$4,'Máq. 5'!$C12:$AB12))</f>
        <v>0</v>
      </c>
      <c r="O12" s="19">
        <f t="array" ref="O12">SUM(IF('Máq. 1'!$C$4:$AB$4='Resumo Diário'!O$4,'Máq. 1'!$C12:$AB12))+SUM(IF('Máq. 2'!$C$4:$AB$4='Resumo Diário'!O$4,'Máq. 2'!$C12:$AB12))+SUM(IF('Máq. 3'!$C$4:$AB$4='Resumo Diário'!O$4,'Máq. 3'!$C12:$AB12))+SUM(IF('Máq. 4'!$C$4:$AB$4='Resumo Diário'!O$4,'Máq. 4'!$C12:$AB12))+SUM(IF('Máq. 5'!$C$4:$AB$4='Resumo Diário'!O$4,'Máq. 5'!$C12:$AB12))</f>
        <v>0</v>
      </c>
      <c r="P12" s="19">
        <f t="array" ref="P12">SUM(IF('Máq. 1'!$C$4:$AB$4='Resumo Diário'!P$4,'Máq. 1'!$C12:$AB12))+SUM(IF('Máq. 2'!$C$4:$AB$4='Resumo Diário'!P$4,'Máq. 2'!$C12:$AB12))+SUM(IF('Máq. 3'!$C$4:$AB$4='Resumo Diário'!P$4,'Máq. 3'!$C12:$AB12))+SUM(IF('Máq. 4'!$C$4:$AB$4='Resumo Diário'!P$4,'Máq. 4'!$C12:$AB12))+SUM(IF('Máq. 5'!$C$4:$AB$4='Resumo Diário'!P$4,'Máq. 5'!$C12:$AB12))</f>
        <v>0</v>
      </c>
      <c r="Q12" s="19">
        <f t="array" ref="Q12">SUM(IF('Máq. 1'!$C$4:$AB$4='Resumo Diário'!Q$4,'Máq. 1'!$C12:$AB12))+SUM(IF('Máq. 2'!$C$4:$AB$4='Resumo Diário'!Q$4,'Máq. 2'!$C12:$AB12))+SUM(IF('Máq. 3'!$C$4:$AB$4='Resumo Diário'!Q$4,'Máq. 3'!$C12:$AB12))+SUM(IF('Máq. 4'!$C$4:$AB$4='Resumo Diário'!Q$4,'Máq. 4'!$C12:$AB12))+SUM(IF('Máq. 5'!$C$4:$AB$4='Resumo Diário'!Q$4,'Máq. 5'!$C12:$AB12))</f>
        <v>0</v>
      </c>
      <c r="R12" s="19">
        <f t="array" ref="R12">SUM(IF('Máq. 1'!$C$4:$AB$4='Resumo Diário'!R$4,'Máq. 1'!$C12:$AB12))+SUM(IF('Máq. 2'!$C$4:$AB$4='Resumo Diário'!R$4,'Máq. 2'!$C12:$AB12))+SUM(IF('Máq. 3'!$C$4:$AB$4='Resumo Diário'!R$4,'Máq. 3'!$C12:$AB12))+SUM(IF('Máq. 4'!$C$4:$AB$4='Resumo Diário'!R$4,'Máq. 4'!$C12:$AB12))+SUM(IF('Máq. 5'!$C$4:$AB$4='Resumo Diário'!R$4,'Máq. 5'!$C12:$AB12))</f>
        <v>0</v>
      </c>
      <c r="S12" s="19">
        <f t="array" ref="S12">SUM(IF('Máq. 1'!$C$4:$AB$4='Resumo Diário'!S$4,'Máq. 1'!$C12:$AB12))+SUM(IF('Máq. 2'!$C$4:$AB$4='Resumo Diário'!S$4,'Máq. 2'!$C12:$AB12))+SUM(IF('Máq. 3'!$C$4:$AB$4='Resumo Diário'!S$4,'Máq. 3'!$C12:$AB12))+SUM(IF('Máq. 4'!$C$4:$AB$4='Resumo Diário'!S$4,'Máq. 4'!$C12:$AB12))+SUM(IF('Máq. 5'!$C$4:$AB$4='Resumo Diário'!S$4,'Máq. 5'!$C12:$AB12))</f>
        <v>0</v>
      </c>
      <c r="T12" s="19">
        <f t="array" ref="T12">SUM(IF('Máq. 1'!$C$4:$AB$4='Resumo Diário'!T$4,'Máq. 1'!$C12:$AB12))+SUM(IF('Máq. 2'!$C$4:$AB$4='Resumo Diário'!T$4,'Máq. 2'!$C12:$AB12))+SUM(IF('Máq. 3'!$C$4:$AB$4='Resumo Diário'!T$4,'Máq. 3'!$C12:$AB12))+SUM(IF('Máq. 4'!$C$4:$AB$4='Resumo Diário'!T$4,'Máq. 4'!$C12:$AB12))+SUM(IF('Máq. 5'!$C$4:$AB$4='Resumo Diário'!T$4,'Máq. 5'!$C12:$AB12))</f>
        <v>0</v>
      </c>
      <c r="U12" s="19">
        <f t="array" ref="U12">SUM(IF('Máq. 1'!$C$4:$AB$4='Resumo Diário'!U$4,'Máq. 1'!$C12:$AB12))+SUM(IF('Máq. 2'!$C$4:$AB$4='Resumo Diário'!U$4,'Máq. 2'!$C12:$AB12))+SUM(IF('Máq. 3'!$C$4:$AB$4='Resumo Diário'!U$4,'Máq. 3'!$C12:$AB12))+SUM(IF('Máq. 4'!$C$4:$AB$4='Resumo Diário'!U$4,'Máq. 4'!$C12:$AB12))+SUM(IF('Máq. 5'!$C$4:$AB$4='Resumo Diário'!U$4,'Máq. 5'!$C12:$AB12))</f>
        <v>0</v>
      </c>
      <c r="V12" s="19">
        <f t="array" ref="V12">SUM(IF('Máq. 1'!$C$4:$AB$4='Resumo Diário'!V$4,'Máq. 1'!$C12:$AB12))+SUM(IF('Máq. 2'!$C$4:$AB$4='Resumo Diário'!V$4,'Máq. 2'!$C12:$AB12))+SUM(IF('Máq. 3'!$C$4:$AB$4='Resumo Diário'!V$4,'Máq. 3'!$C12:$AB12))+SUM(IF('Máq. 4'!$C$4:$AB$4='Resumo Diário'!V$4,'Máq. 4'!$C12:$AB12))+SUM(IF('Máq. 5'!$C$4:$AB$4='Resumo Diário'!V$4,'Máq. 5'!$C12:$AB12))</f>
        <v>0</v>
      </c>
      <c r="W12" s="19">
        <f t="array" ref="W12">SUM(IF('Máq. 1'!$C$4:$AB$4='Resumo Diário'!W$4,'Máq. 1'!$C12:$AB12))+SUM(IF('Máq. 2'!$C$4:$AB$4='Resumo Diário'!W$4,'Máq. 2'!$C12:$AB12))+SUM(IF('Máq. 3'!$C$4:$AB$4='Resumo Diário'!W$4,'Máq. 3'!$C12:$AB12))+SUM(IF('Máq. 4'!$C$4:$AB$4='Resumo Diário'!W$4,'Máq. 4'!$C12:$AB12))+SUM(IF('Máq. 5'!$C$4:$AB$4='Resumo Diário'!W$4,'Máq. 5'!$C12:$AB12))</f>
        <v>0</v>
      </c>
      <c r="X12" s="19">
        <f t="array" ref="X12">SUM(IF('Máq. 1'!$C$4:$AB$4='Resumo Diário'!X$4,'Máq. 1'!$C12:$AB12))+SUM(IF('Máq. 2'!$C$4:$AB$4='Resumo Diário'!X$4,'Máq. 2'!$C12:$AB12))+SUM(IF('Máq. 3'!$C$4:$AB$4='Resumo Diário'!X$4,'Máq. 3'!$C12:$AB12))+SUM(IF('Máq. 4'!$C$4:$AB$4='Resumo Diário'!X$4,'Máq. 4'!$C12:$AB12))+SUM(IF('Máq. 5'!$C$4:$AB$4='Resumo Diário'!X$4,'Máq. 5'!$C12:$AB12))</f>
        <v>0</v>
      </c>
      <c r="Y12" s="19">
        <f t="array" ref="Y12">SUM(IF('Máq. 1'!$C$4:$AB$4='Resumo Diário'!Y$4,'Máq. 1'!$C12:$AB12))+SUM(IF('Máq. 2'!$C$4:$AB$4='Resumo Diário'!Y$4,'Máq. 2'!$C12:$AB12))+SUM(IF('Máq. 3'!$C$4:$AB$4='Resumo Diário'!Y$4,'Máq. 3'!$C12:$AB12))+SUM(IF('Máq. 4'!$C$4:$AB$4='Resumo Diário'!Y$4,'Máq. 4'!$C12:$AB12))+SUM(IF('Máq. 5'!$C$4:$AB$4='Resumo Diário'!Y$4,'Máq. 5'!$C12:$AB12))</f>
        <v>0</v>
      </c>
      <c r="Z12" s="19">
        <f t="array" ref="Z12">SUM(IF('Máq. 1'!$C$4:$AB$4='Resumo Diário'!Z$4,'Máq. 1'!$C12:$AB12))+SUM(IF('Máq. 2'!$C$4:$AB$4='Resumo Diário'!Z$4,'Máq. 2'!$C12:$AB12))+SUM(IF('Máq. 3'!$C$4:$AB$4='Resumo Diário'!Z$4,'Máq. 3'!$C12:$AB12))+SUM(IF('Máq. 4'!$C$4:$AB$4='Resumo Diário'!Z$4,'Máq. 4'!$C12:$AB12))+SUM(IF('Máq. 5'!$C$4:$AB$4='Resumo Diário'!Z$4,'Máq. 5'!$C12:$AB12))</f>
        <v>0</v>
      </c>
      <c r="AA12" s="19">
        <f t="array" ref="AA12">SUM(IF('Máq. 1'!$C$4:$AB$4='Resumo Diário'!AA$4,'Máq. 1'!$C12:$AB12))+SUM(IF('Máq. 2'!$C$4:$AB$4='Resumo Diário'!AA$4,'Máq. 2'!$C12:$AB12))+SUM(IF('Máq. 3'!$C$4:$AB$4='Resumo Diário'!AA$4,'Máq. 3'!$C12:$AB12))+SUM(IF('Máq. 4'!$C$4:$AB$4='Resumo Diário'!AA$4,'Máq. 4'!$C12:$AB12))+SUM(IF('Máq. 5'!$C$4:$AB$4='Resumo Diário'!AA$4,'Máq. 5'!$C12:$AB12))</f>
        <v>0</v>
      </c>
      <c r="AB12" s="19">
        <f t="array" ref="AB12">SUM(IF('Máq. 1'!$C$4:$AB$4='Resumo Diário'!AB$4,'Máq. 1'!$C12:$AB12))+SUM(IF('Máq. 2'!$C$4:$AB$4='Resumo Diário'!AB$4,'Máq. 2'!$C12:$AB12))+SUM(IF('Máq. 3'!$C$4:$AB$4='Resumo Diário'!AB$4,'Máq. 3'!$C12:$AB12))+SUM(IF('Máq. 4'!$C$4:$AB$4='Resumo Diário'!AB$4,'Máq. 4'!$C12:$AB12))+SUM(IF('Máq. 5'!$C$4:$AB$4='Resumo Diário'!AB$4,'Máq. 5'!$C12:$AB12))</f>
        <v>0</v>
      </c>
      <c r="AC12" s="19">
        <f t="array" ref="AC12">SUM(IF('Máq. 1'!$C$4:$AB$4='Resumo Diário'!AC$4,'Máq. 1'!$C12:$AB12))+SUM(IF('Máq. 2'!$C$4:$AB$4='Resumo Diário'!AC$4,'Máq. 2'!$C12:$AB12))+SUM(IF('Máq. 3'!$C$4:$AB$4='Resumo Diário'!AC$4,'Máq. 3'!$C12:$AB12))+SUM(IF('Máq. 4'!$C$4:$AB$4='Resumo Diário'!AC$4,'Máq. 4'!$C12:$AB12))+SUM(IF('Máq. 5'!$C$4:$AB$4='Resumo Diário'!AC$4,'Máq. 5'!$C12:$AB12))</f>
        <v>0</v>
      </c>
      <c r="AD12" s="19">
        <f t="array" ref="AD12">SUM(IF('Máq. 1'!$C$4:$AB$4='Resumo Diário'!AD$4,'Máq. 1'!$C12:$AB12))+SUM(IF('Máq. 2'!$C$4:$AB$4='Resumo Diário'!AD$4,'Máq. 2'!$C12:$AB12))+SUM(IF('Máq. 3'!$C$4:$AB$4='Resumo Diário'!AD$4,'Máq. 3'!$C12:$AB12))+SUM(IF('Máq. 4'!$C$4:$AB$4='Resumo Diário'!AD$4,'Máq. 4'!$C12:$AB12))+SUM(IF('Máq. 5'!$C$4:$AB$4='Resumo Diário'!AD$4,'Máq. 5'!$C12:$AB12))</f>
        <v>0</v>
      </c>
      <c r="AE12" s="19">
        <f t="array" ref="AE12">SUM(IF('Máq. 1'!$C$4:$AB$4='Resumo Diário'!AE$4,'Máq. 1'!$C12:$AB12))+SUM(IF('Máq. 2'!$C$4:$AB$4='Resumo Diário'!AE$4,'Máq. 2'!$C12:$AB12))+SUM(IF('Máq. 3'!$C$4:$AB$4='Resumo Diário'!AE$4,'Máq. 3'!$C12:$AB12))+SUM(IF('Máq. 4'!$C$4:$AB$4='Resumo Diário'!AE$4,'Máq. 4'!$C12:$AB12))+SUM(IF('Máq. 5'!$C$4:$AB$4='Resumo Diário'!AE$4,'Máq. 5'!$C12:$AB12))</f>
        <v>0</v>
      </c>
      <c r="AF12" s="19">
        <f t="array" ref="AF12">SUM(IF('Máq. 1'!$C$4:$AB$4='Resumo Diário'!AF$4,'Máq. 1'!$C12:$AB12))+SUM(IF('Máq. 2'!$C$4:$AB$4='Resumo Diário'!AF$4,'Máq. 2'!$C12:$AB12))+SUM(IF('Máq. 3'!$C$4:$AB$4='Resumo Diário'!AF$4,'Máq. 3'!$C12:$AB12))+SUM(IF('Máq. 4'!$C$4:$AB$4='Resumo Diário'!AF$4,'Máq. 4'!$C12:$AB12))+SUM(IF('Máq. 5'!$C$4:$AB$4='Resumo Diário'!AF$4,'Máq. 5'!$C12:$AB12))</f>
        <v>0</v>
      </c>
      <c r="AG12" s="19">
        <f t="array" ref="AG12">SUM(IF('Máq. 1'!$C$4:$AB$4='Resumo Diário'!AG$4,'Máq. 1'!$C12:$AB12))+SUM(IF('Máq. 2'!$C$4:$AB$4='Resumo Diário'!AG$4,'Máq. 2'!$C12:$AB12))+SUM(IF('Máq. 3'!$C$4:$AB$4='Resumo Diário'!AG$4,'Máq. 3'!$C12:$AB12))+SUM(IF('Máq. 4'!$C$4:$AB$4='Resumo Diário'!AG$4,'Máq. 4'!$C12:$AB12))+SUM(IF('Máq. 5'!$C$4:$AB$4='Resumo Diário'!AG$4,'Máq. 5'!$C12:$AB12))</f>
        <v>0</v>
      </c>
      <c r="AH12" s="23">
        <f t="shared" si="0"/>
        <v>0</v>
      </c>
      <c r="AI12" s="72"/>
      <c r="AK12" s="13">
        <v>6</v>
      </c>
      <c r="AL12" s="13" t="s">
        <v>8</v>
      </c>
      <c r="AM12" s="122">
        <f>'Máq. 1'!AC11</f>
        <v>0</v>
      </c>
      <c r="AN12" s="122">
        <f>'Máq. 2'!AC11</f>
        <v>0</v>
      </c>
      <c r="AO12" s="122">
        <f>'Máq. 3'!AC11</f>
        <v>0</v>
      </c>
      <c r="AP12" s="122">
        <f>'Máq. 4'!AC11</f>
        <v>0</v>
      </c>
      <c r="AQ12" s="122">
        <f>'Máq. 5'!AC11</f>
        <v>0</v>
      </c>
      <c r="AR12" s="13">
        <f t="shared" si="1"/>
        <v>0</v>
      </c>
      <c r="AS12" s="122" t="e">
        <f t="shared" si="2"/>
        <v>#DIV/0!</v>
      </c>
      <c r="AT12" s="122">
        <f t="shared" si="3"/>
        <v>0</v>
      </c>
      <c r="AU12" s="13">
        <f t="shared" si="4"/>
        <v>1</v>
      </c>
      <c r="AV12" s="13" t="str">
        <f t="shared" si="5"/>
        <v>AMASSADO ALIMENTADOR</v>
      </c>
      <c r="AW12" s="122" t="e">
        <f t="shared" si="6"/>
        <v>#DIV/0!</v>
      </c>
      <c r="AX12" s="122" t="e">
        <f t="shared" si="8"/>
        <v>#DIV/0!</v>
      </c>
      <c r="AY12" s="122" t="e">
        <f t="shared" si="7"/>
        <v>#DIV/0!</v>
      </c>
      <c r="AZ12" s="13" t="e">
        <f>IF((AR23&gt;'Máq. 1'!C37)*('Resumo Diário'!AY12&lt;80),'Resumo Diário'!AY12,0)</f>
        <v>#DIV/0!</v>
      </c>
    </row>
    <row r="13" spans="1:52" s="13" customFormat="1" ht="30" customHeight="1" x14ac:dyDescent="0.2">
      <c r="A13" s="137"/>
      <c r="B13" s="67" t="s">
        <v>10</v>
      </c>
      <c r="C13" s="18">
        <f t="array" ref="C13">SUM(IF('Máq. 1'!$C$4:$AB$4='Resumo Diário'!C$4,'Máq. 1'!$C13:$AB13))+SUM(IF('Máq. 2'!$C$4:$AB$4='Resumo Diário'!C$4,'Máq. 2'!$C13:$AB13))+SUM(IF('Máq. 3'!$C$4:$AB$4='Resumo Diário'!C$4,'Máq. 3'!$C13:$AB13))+SUM(IF('Máq. 4'!$C$4:$AB$4='Resumo Diário'!C$4,'Máq. 4'!$C13:$AB13))+SUM(IF('Máq. 5'!$C$4:$AB$4='Resumo Diário'!C$4,'Máq. 5'!$C13:$AB13))</f>
        <v>0</v>
      </c>
      <c r="D13" s="19">
        <f t="array" ref="D13">SUM(IF('Máq. 1'!$C$4:$AB$4='Resumo Diário'!D$4,'Máq. 1'!$C13:$AB13))+SUM(IF('Máq. 2'!$C$4:$AB$4='Resumo Diário'!D$4,'Máq. 2'!$C13:$AB13))+SUM(IF('Máq. 3'!$C$4:$AB$4='Resumo Diário'!D$4,'Máq. 3'!$C13:$AB13))+SUM(IF('Máq. 4'!$C$4:$AB$4='Resumo Diário'!D$4,'Máq. 4'!$C13:$AB13))+SUM(IF('Máq. 5'!$C$4:$AB$4='Resumo Diário'!D$4,'Máq. 5'!$C13:$AB13))</f>
        <v>0</v>
      </c>
      <c r="E13" s="19">
        <f t="array" ref="E13">SUM(IF('Máq. 1'!$C$4:$AB$4='Resumo Diário'!E$4,'Máq. 1'!$C13:$AB13))+SUM(IF('Máq. 2'!$C$4:$AB$4='Resumo Diário'!E$4,'Máq. 2'!$C13:$AB13))+SUM(IF('Máq. 3'!$C$4:$AB$4='Resumo Diário'!E$4,'Máq. 3'!$C13:$AB13))+SUM(IF('Máq. 4'!$C$4:$AB$4='Resumo Diário'!E$4,'Máq. 4'!$C13:$AB13))+SUM(IF('Máq. 5'!$C$4:$AB$4='Resumo Diário'!E$4,'Máq. 5'!$C13:$AB13))</f>
        <v>0</v>
      </c>
      <c r="F13" s="19">
        <f t="array" ref="F13">SUM(IF('Máq. 1'!$C$4:$AB$4='Resumo Diário'!F$4,'Máq. 1'!$C13:$AB13))+SUM(IF('Máq. 2'!$C$4:$AB$4='Resumo Diário'!F$4,'Máq. 2'!$C13:$AB13))+SUM(IF('Máq. 3'!$C$4:$AB$4='Resumo Diário'!F$4,'Máq. 3'!$C13:$AB13))+SUM(IF('Máq. 4'!$C$4:$AB$4='Resumo Diário'!F$4,'Máq. 4'!$C13:$AB13))+SUM(IF('Máq. 5'!$C$4:$AB$4='Resumo Diário'!F$4,'Máq. 5'!$C13:$AB13))</f>
        <v>0</v>
      </c>
      <c r="G13" s="19">
        <f t="array" ref="G13">SUM(IF('Máq. 1'!$C$4:$AB$4='Resumo Diário'!G$4,'Máq. 1'!$C13:$AB13))+SUM(IF('Máq. 2'!$C$4:$AB$4='Resumo Diário'!G$4,'Máq. 2'!$C13:$AB13))+SUM(IF('Máq. 3'!$C$4:$AB$4='Resumo Diário'!G$4,'Máq. 3'!$C13:$AB13))+SUM(IF('Máq. 4'!$C$4:$AB$4='Resumo Diário'!G$4,'Máq. 4'!$C13:$AB13))+SUM(IF('Máq. 5'!$C$4:$AB$4='Resumo Diário'!G$4,'Máq. 5'!$C13:$AB13))</f>
        <v>0</v>
      </c>
      <c r="H13" s="19">
        <f t="array" ref="H13">SUM(IF('Máq. 1'!$C$4:$AB$4='Resumo Diário'!H$4,'Máq. 1'!$C13:$AB13))+SUM(IF('Máq. 2'!$C$4:$AB$4='Resumo Diário'!H$4,'Máq. 2'!$C13:$AB13))+SUM(IF('Máq. 3'!$C$4:$AB$4='Resumo Diário'!H$4,'Máq. 3'!$C13:$AB13))+SUM(IF('Máq. 4'!$C$4:$AB$4='Resumo Diário'!H$4,'Máq. 4'!$C13:$AB13))+SUM(IF('Máq. 5'!$C$4:$AB$4='Resumo Diário'!H$4,'Máq. 5'!$C13:$AB13))</f>
        <v>0</v>
      </c>
      <c r="I13" s="19">
        <f t="array" ref="I13">SUM(IF('Máq. 1'!$C$4:$AB$4='Resumo Diário'!I$4,'Máq. 1'!$C13:$AB13))+SUM(IF('Máq. 2'!$C$4:$AB$4='Resumo Diário'!I$4,'Máq. 2'!$C13:$AB13))+SUM(IF('Máq. 3'!$C$4:$AB$4='Resumo Diário'!I$4,'Máq. 3'!$C13:$AB13))+SUM(IF('Máq. 4'!$C$4:$AB$4='Resumo Diário'!I$4,'Máq. 4'!$C13:$AB13))+SUM(IF('Máq. 5'!$C$4:$AB$4='Resumo Diário'!I$4,'Máq. 5'!$C13:$AB13))</f>
        <v>0</v>
      </c>
      <c r="J13" s="19">
        <f t="array" ref="J13">SUM(IF('Máq. 1'!$C$4:$AB$4='Resumo Diário'!J$4,'Máq. 1'!$C13:$AB13))+SUM(IF('Máq. 2'!$C$4:$AB$4='Resumo Diário'!J$4,'Máq. 2'!$C13:$AB13))+SUM(IF('Máq. 3'!$C$4:$AB$4='Resumo Diário'!J$4,'Máq. 3'!$C13:$AB13))+SUM(IF('Máq. 4'!$C$4:$AB$4='Resumo Diário'!J$4,'Máq. 4'!$C13:$AB13))+SUM(IF('Máq. 5'!$C$4:$AB$4='Resumo Diário'!J$4,'Máq. 5'!$C13:$AB13))</f>
        <v>0</v>
      </c>
      <c r="K13" s="19">
        <f t="array" ref="K13">SUM(IF('Máq. 1'!$C$4:$AB$4='Resumo Diário'!K$4,'Máq. 1'!$C13:$AB13))+SUM(IF('Máq. 2'!$C$4:$AB$4='Resumo Diário'!K$4,'Máq. 2'!$C13:$AB13))+SUM(IF('Máq. 3'!$C$4:$AB$4='Resumo Diário'!K$4,'Máq. 3'!$C13:$AB13))+SUM(IF('Máq. 4'!$C$4:$AB$4='Resumo Diário'!K$4,'Máq. 4'!$C13:$AB13))+SUM(IF('Máq. 5'!$C$4:$AB$4='Resumo Diário'!K$4,'Máq. 5'!$C13:$AB13))</f>
        <v>0</v>
      </c>
      <c r="L13" s="19">
        <f t="array" ref="L13">SUM(IF('Máq. 1'!$C$4:$AB$4='Resumo Diário'!L$4,'Máq. 1'!$C13:$AB13))+SUM(IF('Máq. 2'!$C$4:$AB$4='Resumo Diário'!L$4,'Máq. 2'!$C13:$AB13))+SUM(IF('Máq. 3'!$C$4:$AB$4='Resumo Diário'!L$4,'Máq. 3'!$C13:$AB13))+SUM(IF('Máq. 4'!$C$4:$AB$4='Resumo Diário'!L$4,'Máq. 4'!$C13:$AB13))+SUM(IF('Máq. 5'!$C$4:$AB$4='Resumo Diário'!L$4,'Máq. 5'!$C13:$AB13))</f>
        <v>0</v>
      </c>
      <c r="M13" s="19">
        <f t="array" ref="M13">SUM(IF('Máq. 1'!$C$4:$AB$4='Resumo Diário'!M$4,'Máq. 1'!$C13:$AB13))+SUM(IF('Máq. 2'!$C$4:$AB$4='Resumo Diário'!M$4,'Máq. 2'!$C13:$AB13))+SUM(IF('Máq. 3'!$C$4:$AB$4='Resumo Diário'!M$4,'Máq. 3'!$C13:$AB13))+SUM(IF('Máq. 4'!$C$4:$AB$4='Resumo Diário'!M$4,'Máq. 4'!$C13:$AB13))+SUM(IF('Máq. 5'!$C$4:$AB$4='Resumo Diário'!M$4,'Máq. 5'!$C13:$AB13))</f>
        <v>0</v>
      </c>
      <c r="N13" s="19">
        <f t="array" ref="N13">SUM(IF('Máq. 1'!$C$4:$AB$4='Resumo Diário'!N$4,'Máq. 1'!$C13:$AB13))+SUM(IF('Máq. 2'!$C$4:$AB$4='Resumo Diário'!N$4,'Máq. 2'!$C13:$AB13))+SUM(IF('Máq. 3'!$C$4:$AB$4='Resumo Diário'!N$4,'Máq. 3'!$C13:$AB13))+SUM(IF('Máq. 4'!$C$4:$AB$4='Resumo Diário'!N$4,'Máq. 4'!$C13:$AB13))+SUM(IF('Máq. 5'!$C$4:$AB$4='Resumo Diário'!N$4,'Máq. 5'!$C13:$AB13))</f>
        <v>0</v>
      </c>
      <c r="O13" s="19">
        <f t="array" ref="O13">SUM(IF('Máq. 1'!$C$4:$AB$4='Resumo Diário'!O$4,'Máq. 1'!$C13:$AB13))+SUM(IF('Máq. 2'!$C$4:$AB$4='Resumo Diário'!O$4,'Máq. 2'!$C13:$AB13))+SUM(IF('Máq. 3'!$C$4:$AB$4='Resumo Diário'!O$4,'Máq. 3'!$C13:$AB13))+SUM(IF('Máq. 4'!$C$4:$AB$4='Resumo Diário'!O$4,'Máq. 4'!$C13:$AB13))+SUM(IF('Máq. 5'!$C$4:$AB$4='Resumo Diário'!O$4,'Máq. 5'!$C13:$AB13))</f>
        <v>0</v>
      </c>
      <c r="P13" s="19">
        <f t="array" ref="P13">SUM(IF('Máq. 1'!$C$4:$AB$4='Resumo Diário'!P$4,'Máq. 1'!$C13:$AB13))+SUM(IF('Máq. 2'!$C$4:$AB$4='Resumo Diário'!P$4,'Máq. 2'!$C13:$AB13))+SUM(IF('Máq. 3'!$C$4:$AB$4='Resumo Diário'!P$4,'Máq. 3'!$C13:$AB13))+SUM(IF('Máq. 4'!$C$4:$AB$4='Resumo Diário'!P$4,'Máq. 4'!$C13:$AB13))+SUM(IF('Máq. 5'!$C$4:$AB$4='Resumo Diário'!P$4,'Máq. 5'!$C13:$AB13))</f>
        <v>0</v>
      </c>
      <c r="Q13" s="19">
        <f t="array" ref="Q13">SUM(IF('Máq. 1'!$C$4:$AB$4='Resumo Diário'!Q$4,'Máq. 1'!$C13:$AB13))+SUM(IF('Máq. 2'!$C$4:$AB$4='Resumo Diário'!Q$4,'Máq. 2'!$C13:$AB13))+SUM(IF('Máq. 3'!$C$4:$AB$4='Resumo Diário'!Q$4,'Máq. 3'!$C13:$AB13))+SUM(IF('Máq. 4'!$C$4:$AB$4='Resumo Diário'!Q$4,'Máq. 4'!$C13:$AB13))+SUM(IF('Máq. 5'!$C$4:$AB$4='Resumo Diário'!Q$4,'Máq. 5'!$C13:$AB13))</f>
        <v>0</v>
      </c>
      <c r="R13" s="19">
        <f t="array" ref="R13">SUM(IF('Máq. 1'!$C$4:$AB$4='Resumo Diário'!R$4,'Máq. 1'!$C13:$AB13))+SUM(IF('Máq. 2'!$C$4:$AB$4='Resumo Diário'!R$4,'Máq. 2'!$C13:$AB13))+SUM(IF('Máq. 3'!$C$4:$AB$4='Resumo Diário'!R$4,'Máq. 3'!$C13:$AB13))+SUM(IF('Máq. 4'!$C$4:$AB$4='Resumo Diário'!R$4,'Máq. 4'!$C13:$AB13))+SUM(IF('Máq. 5'!$C$4:$AB$4='Resumo Diário'!R$4,'Máq. 5'!$C13:$AB13))</f>
        <v>0</v>
      </c>
      <c r="S13" s="19">
        <f t="array" ref="S13">SUM(IF('Máq. 1'!$C$4:$AB$4='Resumo Diário'!S$4,'Máq. 1'!$C13:$AB13))+SUM(IF('Máq. 2'!$C$4:$AB$4='Resumo Diário'!S$4,'Máq. 2'!$C13:$AB13))+SUM(IF('Máq. 3'!$C$4:$AB$4='Resumo Diário'!S$4,'Máq. 3'!$C13:$AB13))+SUM(IF('Máq. 4'!$C$4:$AB$4='Resumo Diário'!S$4,'Máq. 4'!$C13:$AB13))+SUM(IF('Máq. 5'!$C$4:$AB$4='Resumo Diário'!S$4,'Máq. 5'!$C13:$AB13))</f>
        <v>0</v>
      </c>
      <c r="T13" s="19">
        <f t="array" ref="T13">SUM(IF('Máq. 1'!$C$4:$AB$4='Resumo Diário'!T$4,'Máq. 1'!$C13:$AB13))+SUM(IF('Máq. 2'!$C$4:$AB$4='Resumo Diário'!T$4,'Máq. 2'!$C13:$AB13))+SUM(IF('Máq. 3'!$C$4:$AB$4='Resumo Diário'!T$4,'Máq. 3'!$C13:$AB13))+SUM(IF('Máq. 4'!$C$4:$AB$4='Resumo Diário'!T$4,'Máq. 4'!$C13:$AB13))+SUM(IF('Máq. 5'!$C$4:$AB$4='Resumo Diário'!T$4,'Máq. 5'!$C13:$AB13))</f>
        <v>0</v>
      </c>
      <c r="U13" s="19">
        <f t="array" ref="U13">SUM(IF('Máq. 1'!$C$4:$AB$4='Resumo Diário'!U$4,'Máq. 1'!$C13:$AB13))+SUM(IF('Máq. 2'!$C$4:$AB$4='Resumo Diário'!U$4,'Máq. 2'!$C13:$AB13))+SUM(IF('Máq. 3'!$C$4:$AB$4='Resumo Diário'!U$4,'Máq. 3'!$C13:$AB13))+SUM(IF('Máq. 4'!$C$4:$AB$4='Resumo Diário'!U$4,'Máq. 4'!$C13:$AB13))+SUM(IF('Máq. 5'!$C$4:$AB$4='Resumo Diário'!U$4,'Máq. 5'!$C13:$AB13))</f>
        <v>0</v>
      </c>
      <c r="V13" s="19">
        <f t="array" ref="V13">SUM(IF('Máq. 1'!$C$4:$AB$4='Resumo Diário'!V$4,'Máq. 1'!$C13:$AB13))+SUM(IF('Máq. 2'!$C$4:$AB$4='Resumo Diário'!V$4,'Máq. 2'!$C13:$AB13))+SUM(IF('Máq. 3'!$C$4:$AB$4='Resumo Diário'!V$4,'Máq. 3'!$C13:$AB13))+SUM(IF('Máq. 4'!$C$4:$AB$4='Resumo Diário'!V$4,'Máq. 4'!$C13:$AB13))+SUM(IF('Máq. 5'!$C$4:$AB$4='Resumo Diário'!V$4,'Máq. 5'!$C13:$AB13))</f>
        <v>0</v>
      </c>
      <c r="W13" s="19">
        <f t="array" ref="W13">SUM(IF('Máq. 1'!$C$4:$AB$4='Resumo Diário'!W$4,'Máq. 1'!$C13:$AB13))+SUM(IF('Máq. 2'!$C$4:$AB$4='Resumo Diário'!W$4,'Máq. 2'!$C13:$AB13))+SUM(IF('Máq. 3'!$C$4:$AB$4='Resumo Diário'!W$4,'Máq. 3'!$C13:$AB13))+SUM(IF('Máq. 4'!$C$4:$AB$4='Resumo Diário'!W$4,'Máq. 4'!$C13:$AB13))+SUM(IF('Máq. 5'!$C$4:$AB$4='Resumo Diário'!W$4,'Máq. 5'!$C13:$AB13))</f>
        <v>0</v>
      </c>
      <c r="X13" s="19">
        <f t="array" ref="X13">SUM(IF('Máq. 1'!$C$4:$AB$4='Resumo Diário'!X$4,'Máq. 1'!$C13:$AB13))+SUM(IF('Máq. 2'!$C$4:$AB$4='Resumo Diário'!X$4,'Máq. 2'!$C13:$AB13))+SUM(IF('Máq. 3'!$C$4:$AB$4='Resumo Diário'!X$4,'Máq. 3'!$C13:$AB13))+SUM(IF('Máq. 4'!$C$4:$AB$4='Resumo Diário'!X$4,'Máq. 4'!$C13:$AB13))+SUM(IF('Máq. 5'!$C$4:$AB$4='Resumo Diário'!X$4,'Máq. 5'!$C13:$AB13))</f>
        <v>0</v>
      </c>
      <c r="Y13" s="19">
        <f t="array" ref="Y13">SUM(IF('Máq. 1'!$C$4:$AB$4='Resumo Diário'!Y$4,'Máq. 1'!$C13:$AB13))+SUM(IF('Máq. 2'!$C$4:$AB$4='Resumo Diário'!Y$4,'Máq. 2'!$C13:$AB13))+SUM(IF('Máq. 3'!$C$4:$AB$4='Resumo Diário'!Y$4,'Máq. 3'!$C13:$AB13))+SUM(IF('Máq. 4'!$C$4:$AB$4='Resumo Diário'!Y$4,'Máq. 4'!$C13:$AB13))+SUM(IF('Máq. 5'!$C$4:$AB$4='Resumo Diário'!Y$4,'Máq. 5'!$C13:$AB13))</f>
        <v>0</v>
      </c>
      <c r="Z13" s="19">
        <f t="array" ref="Z13">SUM(IF('Máq. 1'!$C$4:$AB$4='Resumo Diário'!Z$4,'Máq. 1'!$C13:$AB13))+SUM(IF('Máq. 2'!$C$4:$AB$4='Resumo Diário'!Z$4,'Máq. 2'!$C13:$AB13))+SUM(IF('Máq. 3'!$C$4:$AB$4='Resumo Diário'!Z$4,'Máq. 3'!$C13:$AB13))+SUM(IF('Máq. 4'!$C$4:$AB$4='Resumo Diário'!Z$4,'Máq. 4'!$C13:$AB13))+SUM(IF('Máq. 5'!$C$4:$AB$4='Resumo Diário'!Z$4,'Máq. 5'!$C13:$AB13))</f>
        <v>0</v>
      </c>
      <c r="AA13" s="19">
        <f t="array" ref="AA13">SUM(IF('Máq. 1'!$C$4:$AB$4='Resumo Diário'!AA$4,'Máq. 1'!$C13:$AB13))+SUM(IF('Máq. 2'!$C$4:$AB$4='Resumo Diário'!AA$4,'Máq. 2'!$C13:$AB13))+SUM(IF('Máq. 3'!$C$4:$AB$4='Resumo Diário'!AA$4,'Máq. 3'!$C13:$AB13))+SUM(IF('Máq. 4'!$C$4:$AB$4='Resumo Diário'!AA$4,'Máq. 4'!$C13:$AB13))+SUM(IF('Máq. 5'!$C$4:$AB$4='Resumo Diário'!AA$4,'Máq. 5'!$C13:$AB13))</f>
        <v>0</v>
      </c>
      <c r="AB13" s="19">
        <f t="array" ref="AB13">SUM(IF('Máq. 1'!$C$4:$AB$4='Resumo Diário'!AB$4,'Máq. 1'!$C13:$AB13))+SUM(IF('Máq. 2'!$C$4:$AB$4='Resumo Diário'!AB$4,'Máq. 2'!$C13:$AB13))+SUM(IF('Máq. 3'!$C$4:$AB$4='Resumo Diário'!AB$4,'Máq. 3'!$C13:$AB13))+SUM(IF('Máq. 4'!$C$4:$AB$4='Resumo Diário'!AB$4,'Máq. 4'!$C13:$AB13))+SUM(IF('Máq. 5'!$C$4:$AB$4='Resumo Diário'!AB$4,'Máq. 5'!$C13:$AB13))</f>
        <v>0</v>
      </c>
      <c r="AC13" s="19">
        <f t="array" ref="AC13">SUM(IF('Máq. 1'!$C$4:$AB$4='Resumo Diário'!AC$4,'Máq. 1'!$C13:$AB13))+SUM(IF('Máq. 2'!$C$4:$AB$4='Resumo Diário'!AC$4,'Máq. 2'!$C13:$AB13))+SUM(IF('Máq. 3'!$C$4:$AB$4='Resumo Diário'!AC$4,'Máq. 3'!$C13:$AB13))+SUM(IF('Máq. 4'!$C$4:$AB$4='Resumo Diário'!AC$4,'Máq. 4'!$C13:$AB13))+SUM(IF('Máq. 5'!$C$4:$AB$4='Resumo Diário'!AC$4,'Máq. 5'!$C13:$AB13))</f>
        <v>0</v>
      </c>
      <c r="AD13" s="19">
        <f t="array" ref="AD13">SUM(IF('Máq. 1'!$C$4:$AB$4='Resumo Diário'!AD$4,'Máq. 1'!$C13:$AB13))+SUM(IF('Máq. 2'!$C$4:$AB$4='Resumo Diário'!AD$4,'Máq. 2'!$C13:$AB13))+SUM(IF('Máq. 3'!$C$4:$AB$4='Resumo Diário'!AD$4,'Máq. 3'!$C13:$AB13))+SUM(IF('Máq. 4'!$C$4:$AB$4='Resumo Diário'!AD$4,'Máq. 4'!$C13:$AB13))+SUM(IF('Máq. 5'!$C$4:$AB$4='Resumo Diário'!AD$4,'Máq. 5'!$C13:$AB13))</f>
        <v>0</v>
      </c>
      <c r="AE13" s="19">
        <f t="array" ref="AE13">SUM(IF('Máq. 1'!$C$4:$AB$4='Resumo Diário'!AE$4,'Máq. 1'!$C13:$AB13))+SUM(IF('Máq. 2'!$C$4:$AB$4='Resumo Diário'!AE$4,'Máq. 2'!$C13:$AB13))+SUM(IF('Máq. 3'!$C$4:$AB$4='Resumo Diário'!AE$4,'Máq. 3'!$C13:$AB13))+SUM(IF('Máq. 4'!$C$4:$AB$4='Resumo Diário'!AE$4,'Máq. 4'!$C13:$AB13))+SUM(IF('Máq. 5'!$C$4:$AB$4='Resumo Diário'!AE$4,'Máq. 5'!$C13:$AB13))</f>
        <v>0</v>
      </c>
      <c r="AF13" s="19">
        <f t="array" ref="AF13">SUM(IF('Máq. 1'!$C$4:$AB$4='Resumo Diário'!AF$4,'Máq. 1'!$C13:$AB13))+SUM(IF('Máq. 2'!$C$4:$AB$4='Resumo Diário'!AF$4,'Máq. 2'!$C13:$AB13))+SUM(IF('Máq. 3'!$C$4:$AB$4='Resumo Diário'!AF$4,'Máq. 3'!$C13:$AB13))+SUM(IF('Máq. 4'!$C$4:$AB$4='Resumo Diário'!AF$4,'Máq. 4'!$C13:$AB13))+SUM(IF('Máq. 5'!$C$4:$AB$4='Resumo Diário'!AF$4,'Máq. 5'!$C13:$AB13))</f>
        <v>0</v>
      </c>
      <c r="AG13" s="19">
        <f t="array" ref="AG13">SUM(IF('Máq. 1'!$C$4:$AB$4='Resumo Diário'!AG$4,'Máq. 1'!$C13:$AB13))+SUM(IF('Máq. 2'!$C$4:$AB$4='Resumo Diário'!AG$4,'Máq. 2'!$C13:$AB13))+SUM(IF('Máq. 3'!$C$4:$AB$4='Resumo Diário'!AG$4,'Máq. 3'!$C13:$AB13))+SUM(IF('Máq. 4'!$C$4:$AB$4='Resumo Diário'!AG$4,'Máq. 4'!$C13:$AB13))+SUM(IF('Máq. 5'!$C$4:$AB$4='Resumo Diário'!AG$4,'Máq. 5'!$C13:$AB13))</f>
        <v>0</v>
      </c>
      <c r="AH13" s="20">
        <f t="shared" si="0"/>
        <v>0</v>
      </c>
      <c r="AI13" s="74"/>
      <c r="AK13" s="13">
        <v>7</v>
      </c>
      <c r="AL13" s="13" t="s">
        <v>9</v>
      </c>
      <c r="AM13" s="122">
        <f>'Máq. 1'!AC12</f>
        <v>0</v>
      </c>
      <c r="AN13" s="122">
        <f>'Máq. 2'!AC12</f>
        <v>0</v>
      </c>
      <c r="AO13" s="122">
        <f>'Máq. 3'!AC12</f>
        <v>0</v>
      </c>
      <c r="AP13" s="122">
        <f>'Máq. 4'!AC12</f>
        <v>0</v>
      </c>
      <c r="AQ13" s="122">
        <f>'Máq. 5'!AC12</f>
        <v>0</v>
      </c>
      <c r="AR13" s="13">
        <f t="shared" si="1"/>
        <v>0</v>
      </c>
      <c r="AS13" s="122" t="e">
        <f t="shared" si="2"/>
        <v>#DIV/0!</v>
      </c>
      <c r="AT13" s="122">
        <f t="shared" si="3"/>
        <v>0</v>
      </c>
      <c r="AU13" s="13">
        <f t="shared" si="4"/>
        <v>1</v>
      </c>
      <c r="AV13" s="13" t="str">
        <f t="shared" si="5"/>
        <v>AMASSADO ALIMENTADOR</v>
      </c>
      <c r="AW13" s="122" t="e">
        <f t="shared" si="6"/>
        <v>#DIV/0!</v>
      </c>
      <c r="AX13" s="122" t="e">
        <f t="shared" si="8"/>
        <v>#DIV/0!</v>
      </c>
      <c r="AY13" s="122" t="e">
        <f t="shared" si="7"/>
        <v>#DIV/0!</v>
      </c>
      <c r="AZ13" s="13" t="e">
        <f>IF((AR24&gt;'Máq. 1'!C38)*('Resumo Diário'!AY13&lt;80),'Resumo Diário'!AY13,0)</f>
        <v>#DIV/0!</v>
      </c>
    </row>
    <row r="14" spans="1:52" s="13" customFormat="1" ht="30" customHeight="1" x14ac:dyDescent="0.2">
      <c r="A14" s="137"/>
      <c r="B14" s="70" t="s">
        <v>11</v>
      </c>
      <c r="C14" s="110">
        <f t="array" ref="C14">SUM(IF('Máq. 1'!$C$4:$AB$4='Resumo Diário'!C$4,'Máq. 1'!$C14:$AB14))+SUM(IF('Máq. 2'!$C$4:$AB$4='Resumo Diário'!C$4,'Máq. 2'!$C14:$AB14))+SUM(IF('Máq. 3'!$C$4:$AB$4='Resumo Diário'!C$4,'Máq. 3'!$C14:$AB14))+SUM(IF('Máq. 4'!$C$4:$AB$4='Resumo Diário'!C$4,'Máq. 4'!$C14:$AB14))+SUM(IF('Máq. 5'!$C$4:$AB$4='Resumo Diário'!C$4,'Máq. 5'!$C14:$AB14))</f>
        <v>0</v>
      </c>
      <c r="D14" s="111">
        <f t="array" ref="D14">SUM(IF('Máq. 1'!$C$4:$AB$4='Resumo Diário'!D$4,'Máq. 1'!$C14:$AB14))+SUM(IF('Máq. 2'!$C$4:$AB$4='Resumo Diário'!D$4,'Máq. 2'!$C14:$AB14))+SUM(IF('Máq. 3'!$C$4:$AB$4='Resumo Diário'!D$4,'Máq. 3'!$C14:$AB14))+SUM(IF('Máq. 4'!$C$4:$AB$4='Resumo Diário'!D$4,'Máq. 4'!$C14:$AB14))+SUM(IF('Máq. 5'!$C$4:$AB$4='Resumo Diário'!D$4,'Máq. 5'!$C14:$AB14))</f>
        <v>0</v>
      </c>
      <c r="E14" s="111">
        <f t="array" ref="E14">SUM(IF('Máq. 1'!$C$4:$AB$4='Resumo Diário'!E$4,'Máq. 1'!$C14:$AB14))+SUM(IF('Máq. 2'!$C$4:$AB$4='Resumo Diário'!E$4,'Máq. 2'!$C14:$AB14))+SUM(IF('Máq. 3'!$C$4:$AB$4='Resumo Diário'!E$4,'Máq. 3'!$C14:$AB14))+SUM(IF('Máq. 4'!$C$4:$AB$4='Resumo Diário'!E$4,'Máq. 4'!$C14:$AB14))+SUM(IF('Máq. 5'!$C$4:$AB$4='Resumo Diário'!E$4,'Máq. 5'!$C14:$AB14))</f>
        <v>0</v>
      </c>
      <c r="F14" s="111">
        <f t="array" ref="F14">SUM(IF('Máq. 1'!$C$4:$AB$4='Resumo Diário'!F$4,'Máq. 1'!$C14:$AB14))+SUM(IF('Máq. 2'!$C$4:$AB$4='Resumo Diário'!F$4,'Máq. 2'!$C14:$AB14))+SUM(IF('Máq. 3'!$C$4:$AB$4='Resumo Diário'!F$4,'Máq. 3'!$C14:$AB14))+SUM(IF('Máq. 4'!$C$4:$AB$4='Resumo Diário'!F$4,'Máq. 4'!$C14:$AB14))+SUM(IF('Máq. 5'!$C$4:$AB$4='Resumo Diário'!F$4,'Máq. 5'!$C14:$AB14))</f>
        <v>0</v>
      </c>
      <c r="G14" s="111">
        <f t="array" ref="G14">SUM(IF('Máq. 1'!$C$4:$AB$4='Resumo Diário'!G$4,'Máq. 1'!$C14:$AB14))+SUM(IF('Máq. 2'!$C$4:$AB$4='Resumo Diário'!G$4,'Máq. 2'!$C14:$AB14))+SUM(IF('Máq. 3'!$C$4:$AB$4='Resumo Diário'!G$4,'Máq. 3'!$C14:$AB14))+SUM(IF('Máq. 4'!$C$4:$AB$4='Resumo Diário'!G$4,'Máq. 4'!$C14:$AB14))+SUM(IF('Máq. 5'!$C$4:$AB$4='Resumo Diário'!G$4,'Máq. 5'!$C14:$AB14))</f>
        <v>0</v>
      </c>
      <c r="H14" s="111">
        <f t="array" ref="H14">SUM(IF('Máq. 1'!$C$4:$AB$4='Resumo Diário'!H$4,'Máq. 1'!$C14:$AB14))+SUM(IF('Máq. 2'!$C$4:$AB$4='Resumo Diário'!H$4,'Máq. 2'!$C14:$AB14))+SUM(IF('Máq. 3'!$C$4:$AB$4='Resumo Diário'!H$4,'Máq. 3'!$C14:$AB14))+SUM(IF('Máq. 4'!$C$4:$AB$4='Resumo Diário'!H$4,'Máq. 4'!$C14:$AB14))+SUM(IF('Máq. 5'!$C$4:$AB$4='Resumo Diário'!H$4,'Máq. 5'!$C14:$AB14))</f>
        <v>0</v>
      </c>
      <c r="I14" s="111">
        <f t="array" ref="I14">SUM(IF('Máq. 1'!$C$4:$AB$4='Resumo Diário'!I$4,'Máq. 1'!$C14:$AB14))+SUM(IF('Máq. 2'!$C$4:$AB$4='Resumo Diário'!I$4,'Máq. 2'!$C14:$AB14))+SUM(IF('Máq. 3'!$C$4:$AB$4='Resumo Diário'!I$4,'Máq. 3'!$C14:$AB14))+SUM(IF('Máq. 4'!$C$4:$AB$4='Resumo Diário'!I$4,'Máq. 4'!$C14:$AB14))+SUM(IF('Máq. 5'!$C$4:$AB$4='Resumo Diário'!I$4,'Máq. 5'!$C14:$AB14))</f>
        <v>0</v>
      </c>
      <c r="J14" s="111">
        <f t="array" ref="J14">SUM(IF('Máq. 1'!$C$4:$AB$4='Resumo Diário'!J$4,'Máq. 1'!$C14:$AB14))+SUM(IF('Máq. 2'!$C$4:$AB$4='Resumo Diário'!J$4,'Máq. 2'!$C14:$AB14))+SUM(IF('Máq. 3'!$C$4:$AB$4='Resumo Diário'!J$4,'Máq. 3'!$C14:$AB14))+SUM(IF('Máq. 4'!$C$4:$AB$4='Resumo Diário'!J$4,'Máq. 4'!$C14:$AB14))+SUM(IF('Máq. 5'!$C$4:$AB$4='Resumo Diário'!J$4,'Máq. 5'!$C14:$AB14))</f>
        <v>0</v>
      </c>
      <c r="K14" s="111">
        <f t="array" ref="K14">SUM(IF('Máq. 1'!$C$4:$AB$4='Resumo Diário'!K$4,'Máq. 1'!$C14:$AB14))+SUM(IF('Máq. 2'!$C$4:$AB$4='Resumo Diário'!K$4,'Máq. 2'!$C14:$AB14))+SUM(IF('Máq. 3'!$C$4:$AB$4='Resumo Diário'!K$4,'Máq. 3'!$C14:$AB14))+SUM(IF('Máq. 4'!$C$4:$AB$4='Resumo Diário'!K$4,'Máq. 4'!$C14:$AB14))+SUM(IF('Máq. 5'!$C$4:$AB$4='Resumo Diário'!K$4,'Máq. 5'!$C14:$AB14))</f>
        <v>0</v>
      </c>
      <c r="L14" s="111">
        <f t="array" ref="L14">SUM(IF('Máq. 1'!$C$4:$AB$4='Resumo Diário'!L$4,'Máq. 1'!$C14:$AB14))+SUM(IF('Máq. 2'!$C$4:$AB$4='Resumo Diário'!L$4,'Máq. 2'!$C14:$AB14))+SUM(IF('Máq. 3'!$C$4:$AB$4='Resumo Diário'!L$4,'Máq. 3'!$C14:$AB14))+SUM(IF('Máq. 4'!$C$4:$AB$4='Resumo Diário'!L$4,'Máq. 4'!$C14:$AB14))+SUM(IF('Máq. 5'!$C$4:$AB$4='Resumo Diário'!L$4,'Máq. 5'!$C14:$AB14))</f>
        <v>0</v>
      </c>
      <c r="M14" s="111">
        <f t="array" ref="M14">SUM(IF('Máq. 1'!$C$4:$AB$4='Resumo Diário'!M$4,'Máq. 1'!$C14:$AB14))+SUM(IF('Máq. 2'!$C$4:$AB$4='Resumo Diário'!M$4,'Máq. 2'!$C14:$AB14))+SUM(IF('Máq. 3'!$C$4:$AB$4='Resumo Diário'!M$4,'Máq. 3'!$C14:$AB14))+SUM(IF('Máq. 4'!$C$4:$AB$4='Resumo Diário'!M$4,'Máq. 4'!$C14:$AB14))+SUM(IF('Máq. 5'!$C$4:$AB$4='Resumo Diário'!M$4,'Máq. 5'!$C14:$AB14))</f>
        <v>0</v>
      </c>
      <c r="N14" s="111">
        <f t="array" ref="N14">SUM(IF('Máq. 1'!$C$4:$AB$4='Resumo Diário'!N$4,'Máq. 1'!$C14:$AB14))+SUM(IF('Máq. 2'!$C$4:$AB$4='Resumo Diário'!N$4,'Máq. 2'!$C14:$AB14))+SUM(IF('Máq. 3'!$C$4:$AB$4='Resumo Diário'!N$4,'Máq. 3'!$C14:$AB14))+SUM(IF('Máq. 4'!$C$4:$AB$4='Resumo Diário'!N$4,'Máq. 4'!$C14:$AB14))+SUM(IF('Máq. 5'!$C$4:$AB$4='Resumo Diário'!N$4,'Máq. 5'!$C14:$AB14))</f>
        <v>0</v>
      </c>
      <c r="O14" s="111">
        <f t="array" ref="O14">SUM(IF('Máq. 1'!$C$4:$AB$4='Resumo Diário'!O$4,'Máq. 1'!$C14:$AB14))+SUM(IF('Máq. 2'!$C$4:$AB$4='Resumo Diário'!O$4,'Máq. 2'!$C14:$AB14))+SUM(IF('Máq. 3'!$C$4:$AB$4='Resumo Diário'!O$4,'Máq. 3'!$C14:$AB14))+SUM(IF('Máq. 4'!$C$4:$AB$4='Resumo Diário'!O$4,'Máq. 4'!$C14:$AB14))+SUM(IF('Máq. 5'!$C$4:$AB$4='Resumo Diário'!O$4,'Máq. 5'!$C14:$AB14))</f>
        <v>0</v>
      </c>
      <c r="P14" s="111">
        <f t="array" ref="P14">SUM(IF('Máq. 1'!$C$4:$AB$4='Resumo Diário'!P$4,'Máq. 1'!$C14:$AB14))+SUM(IF('Máq. 2'!$C$4:$AB$4='Resumo Diário'!P$4,'Máq. 2'!$C14:$AB14))+SUM(IF('Máq. 3'!$C$4:$AB$4='Resumo Diário'!P$4,'Máq. 3'!$C14:$AB14))+SUM(IF('Máq. 4'!$C$4:$AB$4='Resumo Diário'!P$4,'Máq. 4'!$C14:$AB14))+SUM(IF('Máq. 5'!$C$4:$AB$4='Resumo Diário'!P$4,'Máq. 5'!$C14:$AB14))</f>
        <v>0</v>
      </c>
      <c r="Q14" s="112">
        <f t="array" ref="Q14">SUM(IF('Máq. 1'!$C$4:$AB$4='Resumo Diário'!Q$4,'Máq. 1'!$C14:$AB14))+SUM(IF('Máq. 2'!$C$4:$AB$4='Resumo Diário'!Q$4,'Máq. 2'!$C14:$AB14))+SUM(IF('Máq. 3'!$C$4:$AB$4='Resumo Diário'!Q$4,'Máq. 3'!$C14:$AB14))+SUM(IF('Máq. 4'!$C$4:$AB$4='Resumo Diário'!Q$4,'Máq. 4'!$C14:$AB14))+SUM(IF('Máq. 5'!$C$4:$AB$4='Resumo Diário'!Q$4,'Máq. 5'!$C14:$AB14))</f>
        <v>0</v>
      </c>
      <c r="R14" s="111">
        <f t="array" ref="R14">SUM(IF('Máq. 1'!$C$4:$AB$4='Resumo Diário'!R$4,'Máq. 1'!$C14:$AB14))+SUM(IF('Máq. 2'!$C$4:$AB$4='Resumo Diário'!R$4,'Máq. 2'!$C14:$AB14))+SUM(IF('Máq. 3'!$C$4:$AB$4='Resumo Diário'!R$4,'Máq. 3'!$C14:$AB14))+SUM(IF('Máq. 4'!$C$4:$AB$4='Resumo Diário'!R$4,'Máq. 4'!$C14:$AB14))+SUM(IF('Máq. 5'!$C$4:$AB$4='Resumo Diário'!R$4,'Máq. 5'!$C14:$AB14))</f>
        <v>0</v>
      </c>
      <c r="S14" s="111">
        <f>SUM(IF('Máq. 1'!$C$4:$AB$4='Resumo Diário'!S$4,'Máq. 1'!$C14:$AB14))+SUM(IF('Máq. 2'!$C$4:$AB$4='Resumo Diário'!S$4,'Máq. 2'!$C14:$AB14))+SUM(IF('Máq. 3'!$C$4:$AB$4='Resumo Diário'!S$4,'Máq. 3'!$C14:$AB14))+SUM(IF('Máq. 4'!$C$4:$AB$4='Resumo Diário'!S$4,'Máq. 4'!$C14:$AB14))+SUM(IF('Máq. 5'!$C$4:$AB$4='Resumo Diário'!S$4,'Máq. 5'!$C14:$AB14))</f>
        <v>0</v>
      </c>
      <c r="T14" s="111">
        <f t="array" ref="T14">SUM(IF('Máq. 1'!$C$4:$AB$4='Resumo Diário'!T$4,'Máq. 1'!$C14:$AB14))+SUM(IF('Máq. 2'!$C$4:$AB$4='Resumo Diário'!T$4,'Máq. 2'!$C14:$AB14))+SUM(IF('Máq. 3'!$C$4:$AB$4='Resumo Diário'!T$4,'Máq. 3'!$C14:$AB14))+SUM(IF('Máq. 4'!$C$4:$AB$4='Resumo Diário'!T$4,'Máq. 4'!$C14:$AB14))+SUM(IF('Máq. 5'!$C$4:$AB$4='Resumo Diário'!T$4,'Máq. 5'!$C14:$AB14))</f>
        <v>0</v>
      </c>
      <c r="U14" s="111">
        <f t="array" ref="U14">SUM(IF('Máq. 1'!$C$4:$AB$4='Resumo Diário'!U$4,'Máq. 1'!$C14:$AB14))+SUM(IF('Máq. 2'!$C$4:$AB$4='Resumo Diário'!U$4,'Máq. 2'!$C14:$AB14))+SUM(IF('Máq. 3'!$C$4:$AB$4='Resumo Diário'!U$4,'Máq. 3'!$C14:$AB14))+SUM(IF('Máq. 4'!$C$4:$AB$4='Resumo Diário'!U$4,'Máq. 4'!$C14:$AB14))+SUM(IF('Máq. 5'!$C$4:$AB$4='Resumo Diário'!U$4,'Máq. 5'!$C14:$AB14))</f>
        <v>0</v>
      </c>
      <c r="V14" s="111">
        <f t="array" ref="V14">SUM(IF('Máq. 1'!$C$4:$AB$4='Resumo Diário'!V$4,'Máq. 1'!$C14:$AB14))+SUM(IF('Máq. 2'!$C$4:$AB$4='Resumo Diário'!V$4,'Máq. 2'!$C14:$AB14))+SUM(IF('Máq. 3'!$C$4:$AB$4='Resumo Diário'!V$4,'Máq. 3'!$C14:$AB14))+SUM(IF('Máq. 4'!$C$4:$AB$4='Resumo Diário'!V$4,'Máq. 4'!$C14:$AB14))+SUM(IF('Máq. 5'!$C$4:$AB$4='Resumo Diário'!V$4,'Máq. 5'!$C14:$AB14))</f>
        <v>0</v>
      </c>
      <c r="W14" s="111">
        <f t="array" ref="W14">SUM(IF('Máq. 1'!$C$4:$AB$4='Resumo Diário'!W$4,'Máq. 1'!$C14:$AB14))+SUM(IF('Máq. 2'!$C$4:$AB$4='Resumo Diário'!W$4,'Máq. 2'!$C14:$AB14))+SUM(IF('Máq. 3'!$C$4:$AB$4='Resumo Diário'!W$4,'Máq. 3'!$C14:$AB14))+SUM(IF('Máq. 4'!$C$4:$AB$4='Resumo Diário'!W$4,'Máq. 4'!$C14:$AB14))+SUM(IF('Máq. 5'!$C$4:$AB$4='Resumo Diário'!W$4,'Máq. 5'!$C14:$AB14))</f>
        <v>0</v>
      </c>
      <c r="X14" s="111">
        <f t="array" ref="X14">SUM(IF('Máq. 1'!$C$4:$AB$4='Resumo Diário'!X$4,'Máq. 1'!$C14:$AB14))+SUM(IF('Máq. 2'!$C$4:$AB$4='Resumo Diário'!X$4,'Máq. 2'!$C14:$AB14))+SUM(IF('Máq. 3'!$C$4:$AB$4='Resumo Diário'!X$4,'Máq. 3'!$C14:$AB14))+SUM(IF('Máq. 4'!$C$4:$AB$4='Resumo Diário'!X$4,'Máq. 4'!$C14:$AB14))+SUM(IF('Máq. 5'!$C$4:$AB$4='Resumo Diário'!X$4,'Máq. 5'!$C14:$AB14))</f>
        <v>0</v>
      </c>
      <c r="Y14" s="111">
        <f t="array" ref="Y14">SUM(IF('Máq. 1'!$C$4:$AB$4='Resumo Diário'!Y$4,'Máq. 1'!$C14:$AB14))+SUM(IF('Máq. 2'!$C$4:$AB$4='Resumo Diário'!Y$4,'Máq. 2'!$C14:$AB14))+SUM(IF('Máq. 3'!$C$4:$AB$4='Resumo Diário'!Y$4,'Máq. 3'!$C14:$AB14))+SUM(IF('Máq. 4'!$C$4:$AB$4='Resumo Diário'!Y$4,'Máq. 4'!$C14:$AB14))+SUM(IF('Máq. 5'!$C$4:$AB$4='Resumo Diário'!Y$4,'Máq. 5'!$C14:$AB14))</f>
        <v>0</v>
      </c>
      <c r="Z14" s="111">
        <f t="array" ref="Z14">SUM(IF('Máq. 1'!$C$4:$AB$4='Resumo Diário'!Z$4,'Máq. 1'!$C14:$AB14))+SUM(IF('Máq. 2'!$C$4:$AB$4='Resumo Diário'!Z$4,'Máq. 2'!$C14:$AB14))+SUM(IF('Máq. 3'!$C$4:$AB$4='Resumo Diário'!Z$4,'Máq. 3'!$C14:$AB14))+SUM(IF('Máq. 4'!$C$4:$AB$4='Resumo Diário'!Z$4,'Máq. 4'!$C14:$AB14))+SUM(IF('Máq. 5'!$C$4:$AB$4='Resumo Diário'!Z$4,'Máq. 5'!$C14:$AB14))</f>
        <v>0</v>
      </c>
      <c r="AA14" s="111">
        <f t="array" ref="AA14">SUM(IF('Máq. 1'!$C$4:$AB$4='Resumo Diário'!AA$4,'Máq. 1'!$C14:$AB14))+SUM(IF('Máq. 2'!$C$4:$AB$4='Resumo Diário'!AA$4,'Máq. 2'!$C14:$AB14))+SUM(IF('Máq. 3'!$C$4:$AB$4='Resumo Diário'!AA$4,'Máq. 3'!$C14:$AB14))+SUM(IF('Máq. 4'!$C$4:$AB$4='Resumo Diário'!AA$4,'Máq. 4'!$C14:$AB14))+SUM(IF('Máq. 5'!$C$4:$AB$4='Resumo Diário'!AA$4,'Máq. 5'!$C14:$AB14))</f>
        <v>0</v>
      </c>
      <c r="AB14" s="111">
        <f t="array" ref="AB14">SUM(IF('Máq. 1'!$C$4:$AB$4='Resumo Diário'!AB$4,'Máq. 1'!$C14:$AB14))+SUM(IF('Máq. 2'!$C$4:$AB$4='Resumo Diário'!AB$4,'Máq. 2'!$C14:$AB14))+SUM(IF('Máq. 3'!$C$4:$AB$4='Resumo Diário'!AB$4,'Máq. 3'!$C14:$AB14))+SUM(IF('Máq. 4'!$C$4:$AB$4='Resumo Diário'!AB$4,'Máq. 4'!$C14:$AB14))+SUM(IF('Máq. 5'!$C$4:$AB$4='Resumo Diário'!AB$4,'Máq. 5'!$C14:$AB14))</f>
        <v>0</v>
      </c>
      <c r="AC14" s="111">
        <f t="array" ref="AC14">SUM(IF('Máq. 1'!$C$4:$AB$4='Resumo Diário'!AC$4,'Máq. 1'!$C14:$AB14))+SUM(IF('Máq. 2'!$C$4:$AB$4='Resumo Diário'!AC$4,'Máq. 2'!$C14:$AB14))+SUM(IF('Máq. 3'!$C$4:$AB$4='Resumo Diário'!AC$4,'Máq. 3'!$C14:$AB14))+SUM(IF('Máq. 4'!$C$4:$AB$4='Resumo Diário'!AC$4,'Máq. 4'!$C14:$AB14))+SUM(IF('Máq. 5'!$C$4:$AB$4='Resumo Diário'!AC$4,'Máq. 5'!$C14:$AB14))</f>
        <v>0</v>
      </c>
      <c r="AD14" s="111">
        <f t="array" ref="AD14">SUM(IF('Máq. 1'!$C$4:$AB$4='Resumo Diário'!AD$4,'Máq. 1'!$C14:$AB14))+SUM(IF('Máq. 2'!$C$4:$AB$4='Resumo Diário'!AD$4,'Máq. 2'!$C14:$AB14))+SUM(IF('Máq. 3'!$C$4:$AB$4='Resumo Diário'!AD$4,'Máq. 3'!$C14:$AB14))+SUM(IF('Máq. 4'!$C$4:$AB$4='Resumo Diário'!AD$4,'Máq. 4'!$C14:$AB14))+SUM(IF('Máq. 5'!$C$4:$AB$4='Resumo Diário'!AD$4,'Máq. 5'!$C14:$AB14))</f>
        <v>0</v>
      </c>
      <c r="AE14" s="111">
        <f t="array" ref="AE14">SUM(IF('Máq. 1'!$C$4:$AB$4='Resumo Diário'!AE$4,'Máq. 1'!$C14:$AB14))+SUM(IF('Máq. 2'!$C$4:$AB$4='Resumo Diário'!AE$4,'Máq. 2'!$C14:$AB14))+SUM(IF('Máq. 3'!$C$4:$AB$4='Resumo Diário'!AE$4,'Máq. 3'!$C14:$AB14))+SUM(IF('Máq. 4'!$C$4:$AB$4='Resumo Diário'!AE$4,'Máq. 4'!$C14:$AB14))+SUM(IF('Máq. 5'!$C$4:$AB$4='Resumo Diário'!AE$4,'Máq. 5'!$C14:$AB14))</f>
        <v>0</v>
      </c>
      <c r="AF14" s="111">
        <f t="array" ref="AF14">SUM(IF('Máq. 1'!$C$4:$AB$4='Resumo Diário'!AF$4,'Máq. 1'!$C14:$AB14))+SUM(IF('Máq. 2'!$C$4:$AB$4='Resumo Diário'!AF$4,'Máq. 2'!$C14:$AB14))+SUM(IF('Máq. 3'!$C$4:$AB$4='Resumo Diário'!AF$4,'Máq. 3'!$C14:$AB14))+SUM(IF('Máq. 4'!$C$4:$AB$4='Resumo Diário'!AF$4,'Máq. 4'!$C14:$AB14))+SUM(IF('Máq. 5'!$C$4:$AB$4='Resumo Diário'!AF$4,'Máq. 5'!$C14:$AB14))</f>
        <v>0</v>
      </c>
      <c r="AG14" s="111">
        <f t="array" ref="AG14">SUM(IF('Máq. 1'!$C$4:$AB$4='Resumo Diário'!AG$4,'Máq. 1'!$C14:$AB14))+SUM(IF('Máq. 2'!$C$4:$AB$4='Resumo Diário'!AG$4,'Máq. 2'!$C14:$AB14))+SUM(IF('Máq. 3'!$C$4:$AB$4='Resumo Diário'!AG$4,'Máq. 3'!$C14:$AB14))+SUM(IF('Máq. 4'!$C$4:$AB$4='Resumo Diário'!AG$4,'Máq. 4'!$C14:$AB14))+SUM(IF('Máq. 5'!$C$4:$AB$4='Resumo Diário'!AG$4,'Máq. 5'!$C14:$AB14))</f>
        <v>0</v>
      </c>
      <c r="AH14" s="29">
        <f t="shared" si="0"/>
        <v>0</v>
      </c>
      <c r="AI14" s="72"/>
      <c r="AK14" s="13">
        <v>8</v>
      </c>
      <c r="AL14" s="13" t="s">
        <v>10</v>
      </c>
      <c r="AM14" s="122">
        <f>'Máq. 1'!AC13</f>
        <v>0</v>
      </c>
      <c r="AN14" s="122">
        <f>'Máq. 2'!AC13</f>
        <v>0</v>
      </c>
      <c r="AO14" s="122">
        <f>'Máq. 3'!AC13</f>
        <v>0</v>
      </c>
      <c r="AP14" s="122">
        <f>'Máq. 4'!AC13</f>
        <v>0</v>
      </c>
      <c r="AQ14" s="122">
        <f>'Máq. 5'!AC13</f>
        <v>0</v>
      </c>
      <c r="AR14" s="13">
        <f t="shared" si="1"/>
        <v>0</v>
      </c>
      <c r="AS14" s="122" t="e">
        <f t="shared" si="2"/>
        <v>#DIV/0!</v>
      </c>
      <c r="AT14" s="122">
        <f t="shared" si="3"/>
        <v>0</v>
      </c>
      <c r="AU14" s="13">
        <f t="shared" si="4"/>
        <v>1</v>
      </c>
      <c r="AV14" s="13" t="str">
        <f t="shared" si="5"/>
        <v>AMASSADO ALIMENTADOR</v>
      </c>
      <c r="AW14" s="122" t="e">
        <f t="shared" si="6"/>
        <v>#DIV/0!</v>
      </c>
      <c r="AX14" s="122" t="e">
        <f t="shared" si="8"/>
        <v>#DIV/0!</v>
      </c>
      <c r="AY14" s="122" t="e">
        <f t="shared" si="7"/>
        <v>#DIV/0!</v>
      </c>
      <c r="AZ14" s="13" t="e">
        <f>IF((AR25&gt;'Máq. 1'!C39)*('Resumo Diário'!AY14&lt;80),'Resumo Diário'!AY14,0)</f>
        <v>#DIV/0!</v>
      </c>
    </row>
    <row r="15" spans="1:52" s="13" customFormat="1" ht="30" customHeight="1" thickBot="1" x14ac:dyDescent="0.25">
      <c r="A15" s="138" t="s">
        <v>12</v>
      </c>
      <c r="B15" s="139"/>
      <c r="C15" s="86">
        <f t="array" ref="C15">SUM(IF('Máq. 1'!$C$4:$AB$4='Resumo Diário'!C$4,'Máq. 1'!$C15:$AB15))+SUM(IF('Máq. 2'!$C$4:$AB$4='Resumo Diário'!C$4,'Máq. 2'!$C15:$AB15))+SUM(IF('Máq. 3'!$C$4:$AB$4='Resumo Diário'!C$4,'Máq. 3'!$C15:$AB15))+SUM(IF('Máq. 4'!$C$4:$AB$4='Resumo Diário'!C$4,'Máq. 4'!$C15:$AB15))+SUM(IF('Máq. 5'!$C$4:$AB$4='Resumo Diário'!C$4,'Máq. 5'!$C15:$AB15))</f>
        <v>0</v>
      </c>
      <c r="D15" s="112">
        <f t="array" ref="D15">SUM(IF('Máq. 1'!$C$4:$AB$4='Resumo Diário'!D$4,'Máq. 1'!$C15:$AB15))+SUM(IF('Máq. 2'!$C$4:$AB$4='Resumo Diário'!D$4,'Máq. 2'!$C15:$AB15))+SUM(IF('Máq. 3'!$C$4:$AB$4='Resumo Diário'!D$4,'Máq. 3'!$C15:$AB15))+SUM(IF('Máq. 4'!$C$4:$AB$4='Resumo Diário'!D$4,'Máq. 4'!$C15:$AB15))+SUM(IF('Máq. 5'!$C$4:$AB$4='Resumo Diário'!D$4,'Máq. 5'!$C15:$AB15))</f>
        <v>0</v>
      </c>
      <c r="E15" s="112">
        <f t="array" ref="E15">SUM(IF('Máq. 1'!$C$4:$AB$4='Resumo Diário'!E$4,'Máq. 1'!$C15:$AB15))+SUM(IF('Máq. 2'!$C$4:$AB$4='Resumo Diário'!E$4,'Máq. 2'!$C15:$AB15))+SUM(IF('Máq. 3'!$C$4:$AB$4='Resumo Diário'!E$4,'Máq. 3'!$C15:$AB15))+SUM(IF('Máq. 4'!$C$4:$AB$4='Resumo Diário'!E$4,'Máq. 4'!$C15:$AB15))+SUM(IF('Máq. 5'!$C$4:$AB$4='Resumo Diário'!E$4,'Máq. 5'!$C15:$AB15))</f>
        <v>0</v>
      </c>
      <c r="F15" s="112">
        <f t="array" ref="F15">SUM(IF('Máq. 1'!$C$4:$AB$4='Resumo Diário'!F$4,'Máq. 1'!$C15:$AB15))+SUM(IF('Máq. 2'!$C$4:$AB$4='Resumo Diário'!F$4,'Máq. 2'!$C15:$AB15))+SUM(IF('Máq. 3'!$C$4:$AB$4='Resumo Diário'!F$4,'Máq. 3'!$C15:$AB15))+SUM(IF('Máq. 4'!$C$4:$AB$4='Resumo Diário'!F$4,'Máq. 4'!$C15:$AB15))+SUM(IF('Máq. 5'!$C$4:$AB$4='Resumo Diário'!F$4,'Máq. 5'!$C15:$AB15))</f>
        <v>0</v>
      </c>
      <c r="G15" s="112">
        <f t="array" ref="G15">SUM(IF('Máq. 1'!$C$4:$AB$4='Resumo Diário'!G$4,'Máq. 1'!$C15:$AB15))+SUM(IF('Máq. 2'!$C$4:$AB$4='Resumo Diário'!G$4,'Máq. 2'!$C15:$AB15))+SUM(IF('Máq. 3'!$C$4:$AB$4='Resumo Diário'!G$4,'Máq. 3'!$C15:$AB15))+SUM(IF('Máq. 4'!$C$4:$AB$4='Resumo Diário'!G$4,'Máq. 4'!$C15:$AB15))+SUM(IF('Máq. 5'!$C$4:$AB$4='Resumo Diário'!G$4,'Máq. 5'!$C15:$AB15))</f>
        <v>0</v>
      </c>
      <c r="H15" s="112">
        <f t="array" ref="H15">SUM(IF('Máq. 1'!$C$4:$AB$4='Resumo Diário'!H$4,'Máq. 1'!$C15:$AB15))+SUM(IF('Máq. 2'!$C$4:$AB$4='Resumo Diário'!H$4,'Máq. 2'!$C15:$AB15))+SUM(IF('Máq. 3'!$C$4:$AB$4='Resumo Diário'!H$4,'Máq. 3'!$C15:$AB15))+SUM(IF('Máq. 4'!$C$4:$AB$4='Resumo Diário'!H$4,'Máq. 4'!$C15:$AB15))+SUM(IF('Máq. 5'!$C$4:$AB$4='Resumo Diário'!H$4,'Máq. 5'!$C15:$AB15))</f>
        <v>0</v>
      </c>
      <c r="I15" s="112">
        <f t="array" ref="I15">SUM(IF('Máq. 1'!$C$4:$AB$4='Resumo Diário'!I$4,'Máq. 1'!$C15:$AB15))+SUM(IF('Máq. 2'!$C$4:$AB$4='Resumo Diário'!I$4,'Máq. 2'!$C15:$AB15))+SUM(IF('Máq. 3'!$C$4:$AB$4='Resumo Diário'!I$4,'Máq. 3'!$C15:$AB15))+SUM(IF('Máq. 4'!$C$4:$AB$4='Resumo Diário'!I$4,'Máq. 4'!$C15:$AB15))+SUM(IF('Máq. 5'!$C$4:$AB$4='Resumo Diário'!I$4,'Máq. 5'!$C15:$AB15))</f>
        <v>0</v>
      </c>
      <c r="J15" s="113">
        <f t="array" ref="J15">SUM(IF('Máq. 1'!$C$4:$AB$4='Resumo Diário'!J$4,'Máq. 1'!$C15:$AB15))+SUM(IF('Máq. 2'!$C$4:$AB$4='Resumo Diário'!J$4,'Máq. 2'!$C15:$AB15))+SUM(IF('Máq. 3'!$C$4:$AB$4='Resumo Diário'!J$4,'Máq. 3'!$C15:$AB15))+SUM(IF('Máq. 4'!$C$4:$AB$4='Resumo Diário'!J$4,'Máq. 4'!$C15:$AB15))+SUM(IF('Máq. 5'!$C$4:$AB$4='Resumo Diário'!J$4,'Máq. 5'!$C15:$AB15))</f>
        <v>0</v>
      </c>
      <c r="K15" s="111">
        <f t="array" ref="K15">SUM(IF('Máq. 1'!$C$4:$AB$4='Resumo Diário'!K$4,'Máq. 1'!$C15:$AB15))+SUM(IF('Máq. 2'!$C$4:$AB$4='Resumo Diário'!K$4,'Máq. 2'!$C15:$AB15))+SUM(IF('Máq. 3'!$C$4:$AB$4='Resumo Diário'!K$4,'Máq. 3'!$C15:$AB15))+SUM(IF('Máq. 4'!$C$4:$AB$4='Resumo Diário'!K$4,'Máq. 4'!$C15:$AB15))+SUM(IF('Máq. 5'!$C$4:$AB$4='Resumo Diário'!K$4,'Máq. 5'!$C15:$AB15))</f>
        <v>0</v>
      </c>
      <c r="L15" s="111">
        <f t="array" ref="L15">SUM(IF('Máq. 1'!$C$4:$AB$4='Resumo Diário'!L$4,'Máq. 1'!$C15:$AB15))+SUM(IF('Máq. 2'!$C$4:$AB$4='Resumo Diário'!L$4,'Máq. 2'!$C15:$AB15))+SUM(IF('Máq. 3'!$C$4:$AB$4='Resumo Diário'!L$4,'Máq. 3'!$C15:$AB15))+SUM(IF('Máq. 4'!$C$4:$AB$4='Resumo Diário'!L$4,'Máq. 4'!$C15:$AB15))+SUM(IF('Máq. 5'!$C$4:$AB$4='Resumo Diário'!L$4,'Máq. 5'!$C15:$AB15))</f>
        <v>0</v>
      </c>
      <c r="M15" s="111">
        <f t="array" ref="M15">SUM(IF('Máq. 1'!$C$4:$AB$4='Resumo Diário'!M$4,'Máq. 1'!$C15:$AB15))+SUM(IF('Máq. 2'!$C$4:$AB$4='Resumo Diário'!M$4,'Máq. 2'!$C15:$AB15))+SUM(IF('Máq. 3'!$C$4:$AB$4='Resumo Diário'!M$4,'Máq. 3'!$C15:$AB15))+SUM(IF('Máq. 4'!$C$4:$AB$4='Resumo Diário'!M$4,'Máq. 4'!$C15:$AB15))+SUM(IF('Máq. 5'!$C$4:$AB$4='Resumo Diário'!M$4,'Máq. 5'!$C15:$AB15))</f>
        <v>0</v>
      </c>
      <c r="N15" s="111">
        <f t="array" ref="N15">SUM(IF('Máq. 1'!$C$4:$AB$4='Resumo Diário'!N$4,'Máq. 1'!$C15:$AB15))+SUM(IF('Máq. 2'!$C$4:$AB$4='Resumo Diário'!N$4,'Máq. 2'!$C15:$AB15))+SUM(IF('Máq. 3'!$C$4:$AB$4='Resumo Diário'!N$4,'Máq. 3'!$C15:$AB15))+SUM(IF('Máq. 4'!$C$4:$AB$4='Resumo Diário'!N$4,'Máq. 4'!$C15:$AB15))+SUM(IF('Máq. 5'!$C$4:$AB$4='Resumo Diário'!N$4,'Máq. 5'!$C15:$AB15))</f>
        <v>0</v>
      </c>
      <c r="O15" s="111">
        <f t="array" ref="O15">SUM(IF('Máq. 1'!$C$4:$AB$4='Resumo Diário'!O$4,'Máq. 1'!$C15:$AB15))+SUM(IF('Máq. 2'!$C$4:$AB$4='Resumo Diário'!O$4,'Máq. 2'!$C15:$AB15))+SUM(IF('Máq. 3'!$C$4:$AB$4='Resumo Diário'!O$4,'Máq. 3'!$C15:$AB15))+SUM(IF('Máq. 4'!$C$4:$AB$4='Resumo Diário'!O$4,'Máq. 4'!$C15:$AB15))+SUM(IF('Máq. 5'!$C$4:$AB$4='Resumo Diário'!O$4,'Máq. 5'!$C15:$AB15))</f>
        <v>0</v>
      </c>
      <c r="P15" s="111">
        <f t="array" ref="P15">SUM(IF('Máq. 1'!$C$4:$AB$4='Resumo Diário'!P$4,'Máq. 1'!$C15:$AB15))+SUM(IF('Máq. 2'!$C$4:$AB$4='Resumo Diário'!P$4,'Máq. 2'!$C15:$AB15))+SUM(IF('Máq. 3'!$C$4:$AB$4='Resumo Diário'!P$4,'Máq. 3'!$C15:$AB15))+SUM(IF('Máq. 4'!$C$4:$AB$4='Resumo Diário'!P$4,'Máq. 4'!$C15:$AB15))+SUM(IF('Máq. 5'!$C$4:$AB$4='Resumo Diário'!P$4,'Máq. 5'!$C15:$AB15))</f>
        <v>0</v>
      </c>
      <c r="Q15" s="112">
        <f t="array" ref="Q15">SUM(IF('Máq. 1'!$C$4:$AB$4='Resumo Diário'!Q$4,'Máq. 1'!$C15:$AB15))+SUM(IF('Máq. 2'!$C$4:$AB$4='Resumo Diário'!Q$4,'Máq. 2'!$C15:$AB15))+SUM(IF('Máq. 3'!$C$4:$AB$4='Resumo Diário'!Q$4,'Máq. 3'!$C15:$AB15))+SUM(IF('Máq. 4'!$C$4:$AB$4='Resumo Diário'!Q$4,'Máq. 4'!$C15:$AB15))+SUM(IF('Máq. 5'!$C$4:$AB$4='Resumo Diário'!Q$4,'Máq. 5'!$C15:$AB15))</f>
        <v>0</v>
      </c>
      <c r="R15" s="111">
        <f t="array" ref="R15">SUM(IF('Máq. 1'!$C$4:$AB$4='Resumo Diário'!R$4,'Máq. 1'!$C15:$AB15))+SUM(IF('Máq. 2'!$C$4:$AB$4='Resumo Diário'!R$4,'Máq. 2'!$C15:$AB15))+SUM(IF('Máq. 3'!$C$4:$AB$4='Resumo Diário'!R$4,'Máq. 3'!$C15:$AB15))+SUM(IF('Máq. 4'!$C$4:$AB$4='Resumo Diário'!R$4,'Máq. 4'!$C15:$AB15))+SUM(IF('Máq. 5'!$C$4:$AB$4='Resumo Diário'!R$4,'Máq. 5'!$C15:$AB15))</f>
        <v>0</v>
      </c>
      <c r="S15" s="111">
        <f t="array" ref="S15">SUM(IF('Máq. 1'!$C$4:$AB$4='Resumo Diário'!S$4,'Máq. 1'!$C15:$AB15))+SUM(IF('Máq. 2'!$C$4:$AB$4='Resumo Diário'!S$4,'Máq. 2'!$C15:$AB15))+SUM(IF('Máq. 3'!$C$4:$AB$4='Resumo Diário'!S$4,'Máq. 3'!$C15:$AB15))+SUM(IF('Máq. 4'!$C$4:$AB$4='Resumo Diário'!S$4,'Máq. 4'!$C15:$AB15))+SUM(IF('Máq. 5'!$C$4:$AB$4='Resumo Diário'!S$4,'Máq. 5'!$C15:$AB15))</f>
        <v>0</v>
      </c>
      <c r="T15" s="111">
        <f t="array" ref="T15">SUM(IF('Máq. 1'!$C$4:$AB$4='Resumo Diário'!T$4,'Máq. 1'!$C15:$AB15))+SUM(IF('Máq. 2'!$C$4:$AB$4='Resumo Diário'!T$4,'Máq. 2'!$C15:$AB15))+SUM(IF('Máq. 3'!$C$4:$AB$4='Resumo Diário'!T$4,'Máq. 3'!$C15:$AB15))+SUM(IF('Máq. 4'!$C$4:$AB$4='Resumo Diário'!T$4,'Máq. 4'!$C15:$AB15))+SUM(IF('Máq. 5'!$C$4:$AB$4='Resumo Diário'!T$4,'Máq. 5'!$C15:$AB15))</f>
        <v>0</v>
      </c>
      <c r="U15" s="111">
        <f t="array" ref="U15">SUM(IF('Máq. 1'!$C$4:$AB$4='Resumo Diário'!U$4,'Máq. 1'!$C15:$AB15))+SUM(IF('Máq. 2'!$C$4:$AB$4='Resumo Diário'!U$4,'Máq. 2'!$C15:$AB15))+SUM(IF('Máq. 3'!$C$4:$AB$4='Resumo Diário'!U$4,'Máq. 3'!$C15:$AB15))+SUM(IF('Máq. 4'!$C$4:$AB$4='Resumo Diário'!U$4,'Máq. 4'!$C15:$AB15))+SUM(IF('Máq. 5'!$C$4:$AB$4='Resumo Diário'!U$4,'Máq. 5'!$C15:$AB15))</f>
        <v>0</v>
      </c>
      <c r="V15" s="111">
        <f t="array" ref="V15">SUM(IF('Máq. 1'!$C$4:$AB$4='Resumo Diário'!V$4,'Máq. 1'!$C15:$AB15))+SUM(IF('Máq. 2'!$C$4:$AB$4='Resumo Diário'!V$4,'Máq. 2'!$C15:$AB15))+SUM(IF('Máq. 3'!$C$4:$AB$4='Resumo Diário'!V$4,'Máq. 3'!$C15:$AB15))+SUM(IF('Máq. 4'!$C$4:$AB$4='Resumo Diário'!V$4,'Máq. 4'!$C15:$AB15))+SUM(IF('Máq. 5'!$C$4:$AB$4='Resumo Diário'!V$4,'Máq. 5'!$C15:$AB15))</f>
        <v>0</v>
      </c>
      <c r="W15" s="111">
        <f t="array" ref="W15">SUM(IF('Máq. 1'!$C$4:$AB$4='Resumo Diário'!W$4,'Máq. 1'!$C15:$AB15))+SUM(IF('Máq. 2'!$C$4:$AB$4='Resumo Diário'!W$4,'Máq. 2'!$C15:$AB15))+SUM(IF('Máq. 3'!$C$4:$AB$4='Resumo Diário'!W$4,'Máq. 3'!$C15:$AB15))+SUM(IF('Máq. 4'!$C$4:$AB$4='Resumo Diário'!W$4,'Máq. 4'!$C15:$AB15))+SUM(IF('Máq. 5'!$C$4:$AB$4='Resumo Diário'!W$4,'Máq. 5'!$C15:$AB15))</f>
        <v>0</v>
      </c>
      <c r="X15" s="111">
        <f t="array" ref="X15">SUM(IF('Máq. 1'!$C$4:$AB$4='Resumo Diário'!X$4,'Máq. 1'!$C15:$AB15))+SUM(IF('Máq. 2'!$C$4:$AB$4='Resumo Diário'!X$4,'Máq. 2'!$C15:$AB15))+SUM(IF('Máq. 3'!$C$4:$AB$4='Resumo Diário'!X$4,'Máq. 3'!$C15:$AB15))+SUM(IF('Máq. 4'!$C$4:$AB$4='Resumo Diário'!X$4,'Máq. 4'!$C15:$AB15))+SUM(IF('Máq. 5'!$C$4:$AB$4='Resumo Diário'!X$4,'Máq. 5'!$C15:$AB15))</f>
        <v>0</v>
      </c>
      <c r="Y15" s="111">
        <f t="array" ref="Y15">SUM(IF('Máq. 1'!$C$4:$AB$4='Resumo Diário'!Y$4,'Máq. 1'!$C15:$AB15))+SUM(IF('Máq. 2'!$C$4:$AB$4='Resumo Diário'!Y$4,'Máq. 2'!$C15:$AB15))+SUM(IF('Máq. 3'!$C$4:$AB$4='Resumo Diário'!Y$4,'Máq. 3'!$C15:$AB15))+SUM(IF('Máq. 4'!$C$4:$AB$4='Resumo Diário'!Y$4,'Máq. 4'!$C15:$AB15))+SUM(IF('Máq. 5'!$C$4:$AB$4='Resumo Diário'!Y$4,'Máq. 5'!$C15:$AB15))</f>
        <v>0</v>
      </c>
      <c r="Z15" s="111">
        <f t="array" ref="Z15">SUM(IF('Máq. 1'!$C$4:$AB$4='Resumo Diário'!Z$4,'Máq. 1'!$C15:$AB15))+SUM(IF('Máq. 2'!$C$4:$AB$4='Resumo Diário'!Z$4,'Máq. 2'!$C15:$AB15))+SUM(IF('Máq. 3'!$C$4:$AB$4='Resumo Diário'!Z$4,'Máq. 3'!$C15:$AB15))+SUM(IF('Máq. 4'!$C$4:$AB$4='Resumo Diário'!Z$4,'Máq. 4'!$C15:$AB15))+SUM(IF('Máq. 5'!$C$4:$AB$4='Resumo Diário'!Z$4,'Máq. 5'!$C15:$AB15))</f>
        <v>0</v>
      </c>
      <c r="AA15" s="111">
        <f t="array" ref="AA15">SUM(IF('Máq. 1'!$C$4:$AB$4='Resumo Diário'!AA$4,'Máq. 1'!$C15:$AB15))+SUM(IF('Máq. 2'!$C$4:$AB$4='Resumo Diário'!AA$4,'Máq. 2'!$C15:$AB15))+SUM(IF('Máq. 3'!$C$4:$AB$4='Resumo Diário'!AA$4,'Máq. 3'!$C15:$AB15))+SUM(IF('Máq. 4'!$C$4:$AB$4='Resumo Diário'!AA$4,'Máq. 4'!$C15:$AB15))+SUM(IF('Máq. 5'!$C$4:$AB$4='Resumo Diário'!AA$4,'Máq. 5'!$C15:$AB15))</f>
        <v>0</v>
      </c>
      <c r="AB15" s="111">
        <f t="array" ref="AB15">SUM(IF('Máq. 1'!$C$4:$AB$4='Resumo Diário'!AB$4,'Máq. 1'!$C15:$AB15))+SUM(IF('Máq. 2'!$C$4:$AB$4='Resumo Diário'!AB$4,'Máq. 2'!$C15:$AB15))+SUM(IF('Máq. 3'!$C$4:$AB$4='Resumo Diário'!AB$4,'Máq. 3'!$C15:$AB15))+SUM(IF('Máq. 4'!$C$4:$AB$4='Resumo Diário'!AB$4,'Máq. 4'!$C15:$AB15))+SUM(IF('Máq. 5'!$C$4:$AB$4='Resumo Diário'!AB$4,'Máq. 5'!$C15:$AB15))</f>
        <v>0</v>
      </c>
      <c r="AC15" s="111">
        <f t="array" ref="AC15">SUM(IF('Máq. 1'!$C$4:$AB$4='Resumo Diário'!AC$4,'Máq. 1'!$C15:$AB15))+SUM(IF('Máq. 2'!$C$4:$AB$4='Resumo Diário'!AC$4,'Máq. 2'!$C15:$AB15))+SUM(IF('Máq. 3'!$C$4:$AB$4='Resumo Diário'!AC$4,'Máq. 3'!$C15:$AB15))+SUM(IF('Máq. 4'!$C$4:$AB$4='Resumo Diário'!AC$4,'Máq. 4'!$C15:$AB15))+SUM(IF('Máq. 5'!$C$4:$AB$4='Resumo Diário'!AC$4,'Máq. 5'!$C15:$AB15))</f>
        <v>0</v>
      </c>
      <c r="AD15" s="111">
        <f t="array" ref="AD15">SUM(IF('Máq. 1'!$C$4:$AB$4='Resumo Diário'!AD$4,'Máq. 1'!$C15:$AB15))+SUM(IF('Máq. 2'!$C$4:$AB$4='Resumo Diário'!AD$4,'Máq. 2'!$C15:$AB15))+SUM(IF('Máq. 3'!$C$4:$AB$4='Resumo Diário'!AD$4,'Máq. 3'!$C15:$AB15))+SUM(IF('Máq. 4'!$C$4:$AB$4='Resumo Diário'!AD$4,'Máq. 4'!$C15:$AB15))+SUM(IF('Máq. 5'!$C$4:$AB$4='Resumo Diário'!AD$4,'Máq. 5'!$C15:$AB15))</f>
        <v>0</v>
      </c>
      <c r="AE15" s="111">
        <f t="array" ref="AE15">SUM(IF('Máq. 1'!$C$4:$AB$4='Resumo Diário'!AE$4,'Máq. 1'!$C15:$AB15))+SUM(IF('Máq. 2'!$C$4:$AB$4='Resumo Diário'!AE$4,'Máq. 2'!$C15:$AB15))+SUM(IF('Máq. 3'!$C$4:$AB$4='Resumo Diário'!AE$4,'Máq. 3'!$C15:$AB15))+SUM(IF('Máq. 4'!$C$4:$AB$4='Resumo Diário'!AE$4,'Máq. 4'!$C15:$AB15))+SUM(IF('Máq. 5'!$C$4:$AB$4='Resumo Diário'!AE$4,'Máq. 5'!$C15:$AB15))</f>
        <v>0</v>
      </c>
      <c r="AF15" s="111">
        <f t="array" ref="AF15">SUM(IF('Máq. 1'!$C$4:$AB$4='Resumo Diário'!AF$4,'Máq. 1'!$C15:$AB15))+SUM(IF('Máq. 2'!$C$4:$AB$4='Resumo Diário'!AF$4,'Máq. 2'!$C15:$AB15))+SUM(IF('Máq. 3'!$C$4:$AB$4='Resumo Diário'!AF$4,'Máq. 3'!$C15:$AB15))+SUM(IF('Máq. 4'!$C$4:$AB$4='Resumo Diário'!AF$4,'Máq. 4'!$C15:$AB15))+SUM(IF('Máq. 5'!$C$4:$AB$4='Resumo Diário'!AF$4,'Máq. 5'!$C15:$AB15))</f>
        <v>0</v>
      </c>
      <c r="AG15" s="111">
        <f t="array" ref="AG15">SUM(IF('Máq. 1'!$C$4:$AB$4='Resumo Diário'!AG$4,'Máq. 1'!$C15:$AB15))+SUM(IF('Máq. 2'!$C$4:$AB$4='Resumo Diário'!AG$4,'Máq. 2'!$C15:$AB15))+SUM(IF('Máq. 3'!$C$4:$AB$4='Resumo Diário'!AG$4,'Máq. 3'!$C15:$AB15))+SUM(IF('Máq. 4'!$C$4:$AB$4='Resumo Diário'!AG$4,'Máq. 4'!$C15:$AB15))+SUM(IF('Máq. 5'!$C$4:$AB$4='Resumo Diário'!AG$4,'Máq. 5'!$C15:$AB15))</f>
        <v>0</v>
      </c>
      <c r="AH15" s="29">
        <f t="shared" si="0"/>
        <v>0</v>
      </c>
      <c r="AI15" s="72"/>
      <c r="AK15" s="13">
        <v>9</v>
      </c>
      <c r="AL15" s="13" t="s">
        <v>11</v>
      </c>
      <c r="AM15" s="122">
        <f>'Máq. 1'!AC14</f>
        <v>0</v>
      </c>
      <c r="AN15" s="122">
        <f>'Máq. 2'!AC14</f>
        <v>0</v>
      </c>
      <c r="AO15" s="122">
        <f>'Máq. 3'!AC14</f>
        <v>0</v>
      </c>
      <c r="AP15" s="122">
        <f>'Máq. 4'!AC14</f>
        <v>0</v>
      </c>
      <c r="AQ15" s="122">
        <f>'Máq. 5'!AC14</f>
        <v>0</v>
      </c>
      <c r="AR15" s="13">
        <f t="shared" si="1"/>
        <v>0</v>
      </c>
      <c r="AS15" s="122" t="e">
        <f t="shared" si="2"/>
        <v>#DIV/0!</v>
      </c>
      <c r="AT15" s="122">
        <f t="shared" si="3"/>
        <v>0</v>
      </c>
      <c r="AU15" s="13">
        <f t="shared" si="4"/>
        <v>1</v>
      </c>
      <c r="AV15" s="13" t="str">
        <f t="shared" si="5"/>
        <v>AMASSADO ALIMENTADOR</v>
      </c>
      <c r="AW15" s="122" t="e">
        <f t="shared" si="6"/>
        <v>#DIV/0!</v>
      </c>
      <c r="AX15" s="122" t="e">
        <f t="shared" si="8"/>
        <v>#DIV/0!</v>
      </c>
      <c r="AY15" s="122" t="e">
        <f t="shared" si="7"/>
        <v>#DIV/0!</v>
      </c>
      <c r="AZ15" s="13" t="e">
        <f>IF((AR26&gt;'Máq. 1'!C40)*('Resumo Diário'!AY15&lt;80),'Resumo Diário'!AY15,0)</f>
        <v>#DIV/0!</v>
      </c>
    </row>
    <row r="16" spans="1:52" s="13" customFormat="1" ht="30" customHeight="1" x14ac:dyDescent="0.2">
      <c r="A16" s="124" t="s">
        <v>13</v>
      </c>
      <c r="B16" s="140"/>
      <c r="C16" s="60">
        <f>SUM(C6:C15)</f>
        <v>0</v>
      </c>
      <c r="D16" s="60">
        <f t="shared" ref="D16:AG16" si="9">SUM(D6:D15)</f>
        <v>0</v>
      </c>
      <c r="E16" s="60">
        <f t="shared" si="9"/>
        <v>0</v>
      </c>
      <c r="F16" s="60">
        <f t="shared" si="9"/>
        <v>0</v>
      </c>
      <c r="G16" s="60">
        <f t="shared" si="9"/>
        <v>0</v>
      </c>
      <c r="H16" s="60">
        <f t="shared" si="9"/>
        <v>0</v>
      </c>
      <c r="I16" s="60">
        <f t="shared" si="9"/>
        <v>0</v>
      </c>
      <c r="J16" s="60">
        <f t="shared" si="9"/>
        <v>0</v>
      </c>
      <c r="K16" s="60">
        <f t="shared" si="9"/>
        <v>0</v>
      </c>
      <c r="L16" s="60">
        <f t="shared" si="9"/>
        <v>0</v>
      </c>
      <c r="M16" s="60">
        <f t="shared" si="9"/>
        <v>0</v>
      </c>
      <c r="N16" s="60">
        <f t="shared" si="9"/>
        <v>0</v>
      </c>
      <c r="O16" s="60">
        <f t="shared" si="9"/>
        <v>0</v>
      </c>
      <c r="P16" s="60">
        <f t="shared" si="9"/>
        <v>0</v>
      </c>
      <c r="Q16" s="60">
        <f t="shared" si="9"/>
        <v>0</v>
      </c>
      <c r="R16" s="60">
        <f t="shared" si="9"/>
        <v>0</v>
      </c>
      <c r="S16" s="60">
        <f t="shared" si="9"/>
        <v>0</v>
      </c>
      <c r="T16" s="60">
        <f t="shared" si="9"/>
        <v>0</v>
      </c>
      <c r="U16" s="60">
        <f t="shared" si="9"/>
        <v>0</v>
      </c>
      <c r="V16" s="60">
        <f t="shared" si="9"/>
        <v>0</v>
      </c>
      <c r="W16" s="60">
        <f t="shared" ref="W16:AF16" si="10">SUM(W6:W15)</f>
        <v>0</v>
      </c>
      <c r="X16" s="60">
        <f t="shared" si="10"/>
        <v>0</v>
      </c>
      <c r="Y16" s="60">
        <f t="shared" si="10"/>
        <v>0</v>
      </c>
      <c r="Z16" s="60">
        <f t="shared" si="10"/>
        <v>0</v>
      </c>
      <c r="AA16" s="60">
        <f t="shared" si="10"/>
        <v>0</v>
      </c>
      <c r="AB16" s="60">
        <f t="shared" si="10"/>
        <v>0</v>
      </c>
      <c r="AC16" s="60">
        <f t="shared" si="10"/>
        <v>0</v>
      </c>
      <c r="AD16" s="60">
        <f t="shared" si="10"/>
        <v>0</v>
      </c>
      <c r="AE16" s="60">
        <f t="shared" si="10"/>
        <v>0</v>
      </c>
      <c r="AF16" s="60">
        <f t="shared" si="10"/>
        <v>0</v>
      </c>
      <c r="AG16" s="60">
        <f t="shared" si="9"/>
        <v>0</v>
      </c>
      <c r="AH16" s="17">
        <f>SUM(AH6:AH15)</f>
        <v>0</v>
      </c>
      <c r="AI16" s="72"/>
      <c r="AK16" s="13">
        <v>10</v>
      </c>
      <c r="AL16" s="13" t="s">
        <v>12</v>
      </c>
      <c r="AM16" s="122"/>
      <c r="AN16" s="122">
        <f>'Máq. 2'!AC15</f>
        <v>0</v>
      </c>
      <c r="AO16" s="122">
        <f>'Máq. 3'!AC15</f>
        <v>0</v>
      </c>
      <c r="AP16" s="122">
        <f>'Máq. 4'!AC15</f>
        <v>0</v>
      </c>
      <c r="AQ16" s="122">
        <f>'Máq. 5'!AC15</f>
        <v>0</v>
      </c>
      <c r="AR16" s="13">
        <f t="shared" si="1"/>
        <v>0</v>
      </c>
      <c r="AS16" s="122" t="e">
        <f t="shared" si="2"/>
        <v>#DIV/0!</v>
      </c>
      <c r="AT16" s="122">
        <f t="shared" si="3"/>
        <v>0</v>
      </c>
      <c r="AU16" s="13">
        <f t="shared" si="4"/>
        <v>1</v>
      </c>
      <c r="AV16" s="13" t="str">
        <f t="shared" si="5"/>
        <v>AMASSADO ALIMENTADOR</v>
      </c>
      <c r="AW16" s="122" t="e">
        <f t="shared" si="6"/>
        <v>#DIV/0!</v>
      </c>
      <c r="AX16" s="122" t="e">
        <f t="shared" si="8"/>
        <v>#DIV/0!</v>
      </c>
      <c r="AY16" s="122" t="e">
        <f t="shared" si="7"/>
        <v>#DIV/0!</v>
      </c>
      <c r="AZ16" s="13" t="e">
        <f>IF((AR27&gt;'Máq. 1'!C41)*('Resumo Diário'!AY16&lt;80),'Resumo Diário'!AY16,0)</f>
        <v>#DIV/0!</v>
      </c>
    </row>
    <row r="17" spans="1:44" s="13" customFormat="1" ht="30" customHeight="1" thickBot="1" x14ac:dyDescent="0.25">
      <c r="A17" s="126" t="s">
        <v>14</v>
      </c>
      <c r="B17" s="141"/>
      <c r="C17" s="33" t="str">
        <f t="shared" ref="C17:AH17" si="11">IF(ISERR(C16/C5),"",C16/C5*1000000)</f>
        <v/>
      </c>
      <c r="D17" s="34" t="str">
        <f t="shared" si="11"/>
        <v/>
      </c>
      <c r="E17" s="34" t="str">
        <f t="shared" si="11"/>
        <v/>
      </c>
      <c r="F17" s="34" t="str">
        <f t="shared" si="11"/>
        <v/>
      </c>
      <c r="G17" s="34" t="str">
        <f t="shared" si="11"/>
        <v/>
      </c>
      <c r="H17" s="34" t="str">
        <f t="shared" si="11"/>
        <v/>
      </c>
      <c r="I17" s="34" t="str">
        <f t="shared" si="11"/>
        <v/>
      </c>
      <c r="J17" s="34" t="str">
        <f t="shared" si="11"/>
        <v/>
      </c>
      <c r="K17" s="34" t="str">
        <f t="shared" si="11"/>
        <v/>
      </c>
      <c r="L17" s="34" t="str">
        <f t="shared" si="11"/>
        <v/>
      </c>
      <c r="M17" s="34" t="str">
        <f t="shared" si="11"/>
        <v/>
      </c>
      <c r="N17" s="34" t="str">
        <f t="shared" si="11"/>
        <v/>
      </c>
      <c r="O17" s="34" t="str">
        <f t="shared" si="11"/>
        <v/>
      </c>
      <c r="P17" s="34" t="str">
        <f t="shared" si="11"/>
        <v/>
      </c>
      <c r="Q17" s="34" t="str">
        <f t="shared" si="11"/>
        <v/>
      </c>
      <c r="R17" s="34" t="str">
        <f t="shared" si="11"/>
        <v/>
      </c>
      <c r="S17" s="34" t="str">
        <f t="shared" si="11"/>
        <v/>
      </c>
      <c r="T17" s="34" t="str">
        <f t="shared" si="11"/>
        <v/>
      </c>
      <c r="U17" s="34" t="str">
        <f t="shared" si="11"/>
        <v/>
      </c>
      <c r="V17" s="34" t="str">
        <f>IF(ISERR(V16/V5),"",V16/V5*1000000)</f>
        <v/>
      </c>
      <c r="W17" s="34" t="str">
        <f t="shared" ref="W17:AF17" si="12">IF(ISERR(W16/W5),"",W16/W5*1000000)</f>
        <v/>
      </c>
      <c r="X17" s="34" t="str">
        <f t="shared" si="12"/>
        <v/>
      </c>
      <c r="Y17" s="34" t="str">
        <f t="shared" si="12"/>
        <v/>
      </c>
      <c r="Z17" s="34" t="str">
        <f t="shared" si="12"/>
        <v/>
      </c>
      <c r="AA17" s="34" t="str">
        <f t="shared" si="12"/>
        <v/>
      </c>
      <c r="AB17" s="34" t="str">
        <f t="shared" si="12"/>
        <v/>
      </c>
      <c r="AC17" s="34" t="str">
        <f t="shared" si="12"/>
        <v/>
      </c>
      <c r="AD17" s="34" t="str">
        <f t="shared" si="12"/>
        <v/>
      </c>
      <c r="AE17" s="34" t="str">
        <f t="shared" si="12"/>
        <v/>
      </c>
      <c r="AF17" s="34" t="str">
        <f t="shared" si="12"/>
        <v/>
      </c>
      <c r="AG17" s="35" t="str">
        <f>IF(ISERR(AG16/AG5),"",AG16/AG5*1000000)</f>
        <v/>
      </c>
      <c r="AH17" s="61" t="str">
        <f t="shared" si="11"/>
        <v/>
      </c>
      <c r="AI17" s="73"/>
      <c r="AL17" s="13" t="s">
        <v>3</v>
      </c>
      <c r="AM17" s="122">
        <f>SUM(AM7:AM16)</f>
        <v>0</v>
      </c>
      <c r="AN17" s="122">
        <f t="shared" ref="AN17:AQ17" si="13">SUM(AN7:AN16)</f>
        <v>0</v>
      </c>
      <c r="AO17" s="122">
        <f t="shared" si="13"/>
        <v>0</v>
      </c>
      <c r="AP17" s="122">
        <f t="shared" si="13"/>
        <v>0</v>
      </c>
      <c r="AQ17" s="122">
        <f t="shared" si="13"/>
        <v>0</v>
      </c>
      <c r="AR17" s="13">
        <f t="shared" si="1"/>
        <v>0</v>
      </c>
    </row>
    <row r="18" spans="1:44" ht="30" customHeight="1" x14ac:dyDescent="0.2">
      <c r="A18" s="142"/>
      <c r="B18" s="5"/>
      <c r="C18" s="149">
        <f>C33</f>
        <v>0</v>
      </c>
      <c r="D18" s="128">
        <f t="shared" ref="D18:AG18" si="14">D33</f>
        <v>0</v>
      </c>
      <c r="E18" s="128">
        <f t="shared" si="14"/>
        <v>0</v>
      </c>
      <c r="F18" s="128">
        <f t="shared" si="14"/>
        <v>0</v>
      </c>
      <c r="G18" s="128">
        <f t="shared" si="14"/>
        <v>0</v>
      </c>
      <c r="H18" s="128">
        <f t="shared" si="14"/>
        <v>0</v>
      </c>
      <c r="I18" s="128">
        <f t="shared" si="14"/>
        <v>0</v>
      </c>
      <c r="J18" s="128">
        <f t="shared" si="14"/>
        <v>0</v>
      </c>
      <c r="K18" s="128">
        <f t="shared" si="14"/>
        <v>0</v>
      </c>
      <c r="L18" s="128">
        <f t="shared" si="14"/>
        <v>0</v>
      </c>
      <c r="M18" s="128">
        <f t="shared" si="14"/>
        <v>0</v>
      </c>
      <c r="N18" s="128">
        <f t="shared" si="14"/>
        <v>0</v>
      </c>
      <c r="O18" s="128">
        <f t="shared" si="14"/>
        <v>0</v>
      </c>
      <c r="P18" s="128">
        <f t="shared" si="14"/>
        <v>0</v>
      </c>
      <c r="Q18" s="128">
        <f t="shared" si="14"/>
        <v>0</v>
      </c>
      <c r="R18" s="128">
        <f t="shared" si="14"/>
        <v>0</v>
      </c>
      <c r="S18" s="128">
        <f t="shared" si="14"/>
        <v>0</v>
      </c>
      <c r="T18" s="128">
        <f t="shared" si="14"/>
        <v>0</v>
      </c>
      <c r="U18" s="128">
        <f t="shared" si="14"/>
        <v>0</v>
      </c>
      <c r="V18" s="90"/>
      <c r="W18" s="90"/>
      <c r="X18" s="90"/>
      <c r="Y18" s="90"/>
      <c r="Z18" s="90"/>
      <c r="AA18" s="90"/>
      <c r="AB18" s="90"/>
      <c r="AC18" s="90"/>
      <c r="AD18" s="90"/>
      <c r="AE18" s="128">
        <f t="shared" si="14"/>
        <v>0</v>
      </c>
      <c r="AF18" s="128">
        <f t="shared" si="14"/>
        <v>0</v>
      </c>
      <c r="AG18" s="128">
        <f t="shared" si="14"/>
        <v>0</v>
      </c>
      <c r="AH18" s="36"/>
      <c r="AL18" s="13" t="s">
        <v>14</v>
      </c>
      <c r="AM18" s="117" t="e">
        <f>AM17/AM6*1000000</f>
        <v>#DIV/0!</v>
      </c>
      <c r="AN18" s="117" t="e">
        <f t="shared" ref="AN18:AR18" si="15">AN17/AN6*1000000</f>
        <v>#DIV/0!</v>
      </c>
      <c r="AO18" s="117" t="e">
        <f t="shared" si="15"/>
        <v>#DIV/0!</v>
      </c>
      <c r="AP18" s="117" t="e">
        <f t="shared" si="15"/>
        <v>#DIV/0!</v>
      </c>
      <c r="AQ18" s="117" t="e">
        <f t="shared" si="15"/>
        <v>#DIV/0!</v>
      </c>
      <c r="AR18" s="117" t="e">
        <f t="shared" si="15"/>
        <v>#DIV/0!</v>
      </c>
    </row>
    <row r="19" spans="1:44" ht="30" customHeight="1" x14ac:dyDescent="0.2">
      <c r="A19" s="142"/>
      <c r="B19" s="3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90"/>
      <c r="W19" s="90"/>
      <c r="X19" s="90"/>
      <c r="Y19" s="90"/>
      <c r="Z19" s="90"/>
      <c r="AA19" s="90"/>
      <c r="AB19" s="90"/>
      <c r="AC19" s="90"/>
      <c r="AD19" s="90"/>
      <c r="AE19" s="128"/>
      <c r="AF19" s="128"/>
      <c r="AG19" s="128"/>
      <c r="AH19" s="36"/>
    </row>
    <row r="20" spans="1:44" ht="30" customHeight="1" x14ac:dyDescent="0.2">
      <c r="A20" s="142"/>
      <c r="B20" s="3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90"/>
      <c r="W20" s="90"/>
      <c r="X20" s="90"/>
      <c r="Y20" s="90"/>
      <c r="Z20" s="90"/>
      <c r="AA20" s="90"/>
      <c r="AB20" s="90"/>
      <c r="AC20" s="90"/>
      <c r="AD20" s="90"/>
      <c r="AE20" s="128"/>
      <c r="AF20" s="128"/>
      <c r="AG20" s="128"/>
      <c r="AH20" s="36"/>
    </row>
    <row r="21" spans="1:44" ht="30" customHeight="1" x14ac:dyDescent="0.2">
      <c r="A21" s="142"/>
      <c r="B21" s="89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90"/>
      <c r="W21" s="90"/>
      <c r="X21" s="90"/>
      <c r="Y21" s="90"/>
      <c r="Z21" s="90"/>
      <c r="AA21" s="90"/>
      <c r="AB21" s="90"/>
      <c r="AC21" s="90"/>
      <c r="AD21" s="90"/>
      <c r="AE21" s="128"/>
      <c r="AF21" s="128"/>
      <c r="AG21" s="128"/>
      <c r="AH21" s="36"/>
    </row>
    <row r="22" spans="1:44" ht="30" customHeight="1" x14ac:dyDescent="0.2">
      <c r="A22" s="142"/>
      <c r="B22" s="89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90"/>
      <c r="W22" s="90"/>
      <c r="X22" s="90"/>
      <c r="Y22" s="90"/>
      <c r="Z22" s="90"/>
      <c r="AA22" s="90"/>
      <c r="AB22" s="90"/>
      <c r="AC22" s="90"/>
      <c r="AD22" s="90"/>
      <c r="AE22" s="128"/>
      <c r="AF22" s="128"/>
      <c r="AG22" s="128"/>
      <c r="AH22" s="36"/>
    </row>
    <row r="23" spans="1:44" ht="30" customHeight="1" x14ac:dyDescent="0.2">
      <c r="A23" s="142"/>
      <c r="B23" s="89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90"/>
      <c r="W23" s="90"/>
      <c r="X23" s="90"/>
      <c r="Y23" s="90"/>
      <c r="Z23" s="90"/>
      <c r="AA23" s="90"/>
      <c r="AB23" s="90"/>
      <c r="AC23" s="90"/>
      <c r="AD23" s="90"/>
      <c r="AE23" s="128"/>
      <c r="AF23" s="128"/>
      <c r="AG23" s="128"/>
      <c r="AH23" s="36"/>
    </row>
    <row r="24" spans="1:44" ht="30" customHeight="1" x14ac:dyDescent="0.2">
      <c r="A24" s="142"/>
      <c r="B24" s="89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90"/>
      <c r="W24" s="90"/>
      <c r="X24" s="90"/>
      <c r="Y24" s="90"/>
      <c r="Z24" s="90"/>
      <c r="AA24" s="90"/>
      <c r="AB24" s="90"/>
      <c r="AC24" s="90"/>
      <c r="AD24" s="90"/>
      <c r="AE24" s="128"/>
      <c r="AF24" s="128"/>
      <c r="AG24" s="128"/>
      <c r="AH24" s="36"/>
    </row>
    <row r="25" spans="1:44" ht="30" customHeight="1" x14ac:dyDescent="0.2">
      <c r="A25" s="142"/>
      <c r="B25" s="89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90"/>
      <c r="W25" s="90"/>
      <c r="X25" s="90"/>
      <c r="Y25" s="90"/>
      <c r="Z25" s="90"/>
      <c r="AA25" s="90"/>
      <c r="AB25" s="90"/>
      <c r="AC25" s="90"/>
      <c r="AD25" s="90"/>
      <c r="AE25" s="128"/>
      <c r="AF25" s="128"/>
      <c r="AG25" s="128"/>
      <c r="AH25" s="36"/>
    </row>
    <row r="26" spans="1:44" ht="30" customHeight="1" x14ac:dyDescent="0.2">
      <c r="A26" s="142"/>
      <c r="B26" s="89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90"/>
      <c r="W26" s="90"/>
      <c r="X26" s="90"/>
      <c r="Y26" s="90"/>
      <c r="Z26" s="90"/>
      <c r="AA26" s="90"/>
      <c r="AB26" s="90"/>
      <c r="AC26" s="90"/>
      <c r="AD26" s="90"/>
      <c r="AE26" s="128"/>
      <c r="AF26" s="128"/>
      <c r="AG26" s="128"/>
      <c r="AH26" s="36"/>
    </row>
    <row r="27" spans="1:44" ht="30" customHeight="1" thickBot="1" x14ac:dyDescent="0.25">
      <c r="A27" s="148"/>
      <c r="B27" s="39"/>
      <c r="C27" s="147"/>
      <c r="D27" s="147"/>
      <c r="E27" s="147"/>
      <c r="F27" s="147"/>
      <c r="G27" s="147"/>
      <c r="H27" s="147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90"/>
      <c r="W27" s="90"/>
      <c r="X27" s="90"/>
      <c r="Y27" s="90"/>
      <c r="Z27" s="90"/>
      <c r="AA27" s="90"/>
      <c r="AB27" s="90"/>
      <c r="AC27" s="90"/>
      <c r="AD27" s="90"/>
      <c r="AE27" s="128"/>
      <c r="AF27" s="128"/>
      <c r="AG27" s="128"/>
      <c r="AH27" s="36"/>
    </row>
    <row r="28" spans="1:44" s="9" customFormat="1" ht="29.25" customHeight="1" x14ac:dyDescent="0.2">
      <c r="A28" s="40" t="s">
        <v>15</v>
      </c>
      <c r="B28" s="41"/>
      <c r="C28" s="42"/>
      <c r="D28" s="42"/>
      <c r="E28" s="42"/>
      <c r="F28" s="42"/>
      <c r="G28" s="42"/>
      <c r="H28" s="42"/>
      <c r="I28" s="40" t="s">
        <v>16</v>
      </c>
      <c r="J28" s="43"/>
      <c r="K28" s="42"/>
      <c r="L28" s="43"/>
      <c r="M28" s="42"/>
      <c r="N28" s="42"/>
      <c r="O28" s="42"/>
      <c r="P28" s="43"/>
      <c r="Q28" s="44"/>
      <c r="R28" s="40" t="s">
        <v>17</v>
      </c>
      <c r="S28" s="42"/>
      <c r="T28" s="43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4"/>
      <c r="AL28"/>
    </row>
    <row r="29" spans="1:44" s="9" customFormat="1" ht="16.5" thickBot="1" x14ac:dyDescent="0.25">
      <c r="A29" s="45" t="s">
        <v>18</v>
      </c>
      <c r="B29" s="46"/>
      <c r="C29" s="47"/>
      <c r="D29" s="47"/>
      <c r="E29" s="47"/>
      <c r="F29" s="47"/>
      <c r="G29" s="47"/>
      <c r="H29" s="47"/>
      <c r="I29" s="45" t="s">
        <v>18</v>
      </c>
      <c r="J29" s="48"/>
      <c r="K29" s="47"/>
      <c r="L29" s="48"/>
      <c r="M29" s="47"/>
      <c r="N29" s="47"/>
      <c r="O29" s="47"/>
      <c r="P29" s="48"/>
      <c r="Q29" s="49"/>
      <c r="R29" s="45" t="s">
        <v>18</v>
      </c>
      <c r="S29" s="47"/>
      <c r="T29" s="48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9"/>
    </row>
    <row r="30" spans="1:44" ht="24" customHeight="1" x14ac:dyDescent="0.2">
      <c r="A30" s="50" t="s">
        <v>19</v>
      </c>
      <c r="B30" s="50"/>
      <c r="C30">
        <f>'Máq. 1'!$C$32</f>
        <v>800</v>
      </c>
      <c r="D30">
        <f>C30</f>
        <v>800</v>
      </c>
      <c r="E30">
        <f t="shared" ref="E30:AH30" si="16">D30</f>
        <v>800</v>
      </c>
      <c r="F30">
        <f t="shared" si="16"/>
        <v>800</v>
      </c>
      <c r="G30">
        <f t="shared" si="16"/>
        <v>800</v>
      </c>
      <c r="H30">
        <f t="shared" si="16"/>
        <v>800</v>
      </c>
      <c r="I30">
        <f t="shared" si="16"/>
        <v>800</v>
      </c>
      <c r="J30">
        <f t="shared" si="16"/>
        <v>800</v>
      </c>
      <c r="K30">
        <f t="shared" si="16"/>
        <v>800</v>
      </c>
      <c r="L30">
        <f t="shared" si="16"/>
        <v>800</v>
      </c>
      <c r="M30">
        <f t="shared" si="16"/>
        <v>800</v>
      </c>
      <c r="N30">
        <f t="shared" si="16"/>
        <v>800</v>
      </c>
      <c r="O30">
        <f t="shared" si="16"/>
        <v>800</v>
      </c>
      <c r="P30">
        <f>O30</f>
        <v>800</v>
      </c>
      <c r="Q30">
        <f>P30</f>
        <v>800</v>
      </c>
      <c r="R30">
        <f t="shared" si="16"/>
        <v>800</v>
      </c>
      <c r="S30">
        <f t="shared" si="16"/>
        <v>800</v>
      </c>
      <c r="T30">
        <f t="shared" si="16"/>
        <v>800</v>
      </c>
      <c r="U30">
        <f t="shared" si="16"/>
        <v>800</v>
      </c>
      <c r="V30">
        <f t="shared" si="16"/>
        <v>800</v>
      </c>
      <c r="W30">
        <f t="shared" si="16"/>
        <v>800</v>
      </c>
      <c r="X30">
        <f>W30</f>
        <v>800</v>
      </c>
      <c r="Y30">
        <f>X30</f>
        <v>800</v>
      </c>
      <c r="Z30">
        <f>Y30</f>
        <v>800</v>
      </c>
      <c r="AA30">
        <f>Z30</f>
        <v>800</v>
      </c>
      <c r="AB30">
        <f>AA30</f>
        <v>800</v>
      </c>
      <c r="AC30">
        <f t="shared" si="16"/>
        <v>800</v>
      </c>
      <c r="AD30">
        <f t="shared" si="16"/>
        <v>800</v>
      </c>
      <c r="AE30">
        <f t="shared" si="16"/>
        <v>800</v>
      </c>
      <c r="AF30">
        <f t="shared" si="16"/>
        <v>800</v>
      </c>
      <c r="AG30">
        <f t="shared" si="16"/>
        <v>800</v>
      </c>
      <c r="AH30">
        <f t="shared" si="16"/>
        <v>800</v>
      </c>
      <c r="AL30" s="9"/>
    </row>
    <row r="32" spans="1:44" ht="15.75" x14ac:dyDescent="0.25">
      <c r="B32" s="51" t="s">
        <v>20</v>
      </c>
      <c r="C32" s="52">
        <f t="shared" ref="C32:AH32" si="17">C4</f>
        <v>29</v>
      </c>
      <c r="D32" s="52">
        <f>D4</f>
        <v>30</v>
      </c>
      <c r="E32" s="52">
        <f>E4</f>
        <v>2</v>
      </c>
      <c r="F32" s="52">
        <f t="shared" si="17"/>
        <v>3</v>
      </c>
      <c r="G32" s="52">
        <f t="shared" si="17"/>
        <v>4</v>
      </c>
      <c r="H32" s="52">
        <f t="shared" si="17"/>
        <v>5</v>
      </c>
      <c r="I32" s="52">
        <f t="shared" si="17"/>
        <v>6</v>
      </c>
      <c r="J32" s="52">
        <f t="shared" si="17"/>
        <v>7</v>
      </c>
      <c r="K32" s="52">
        <f t="shared" si="17"/>
        <v>8</v>
      </c>
      <c r="L32" s="52">
        <f t="shared" si="17"/>
        <v>9</v>
      </c>
      <c r="M32" s="52">
        <f t="shared" si="17"/>
        <v>10</v>
      </c>
      <c r="N32" s="52">
        <f t="shared" si="17"/>
        <v>11</v>
      </c>
      <c r="O32" s="52">
        <f t="shared" si="17"/>
        <v>12</v>
      </c>
      <c r="P32" s="52">
        <f t="shared" si="17"/>
        <v>13</v>
      </c>
      <c r="Q32" s="52">
        <f t="shared" si="17"/>
        <v>14</v>
      </c>
      <c r="R32" s="52">
        <f t="shared" si="17"/>
        <v>15</v>
      </c>
      <c r="S32" s="52">
        <f t="shared" si="17"/>
        <v>16</v>
      </c>
      <c r="T32" s="52">
        <f t="shared" si="17"/>
        <v>17</v>
      </c>
      <c r="U32" s="52">
        <f t="shared" si="17"/>
        <v>18</v>
      </c>
      <c r="V32" s="52"/>
      <c r="W32" s="52"/>
      <c r="X32" s="52"/>
      <c r="Y32" s="52"/>
      <c r="Z32" s="52"/>
      <c r="AA32" s="52"/>
      <c r="AB32" s="52"/>
      <c r="AC32" s="52"/>
      <c r="AD32" s="52"/>
      <c r="AE32" s="52">
        <f>V4</f>
        <v>19</v>
      </c>
      <c r="AF32" s="52">
        <f>W4</f>
        <v>20</v>
      </c>
      <c r="AG32" s="52">
        <f>AA4</f>
        <v>24</v>
      </c>
      <c r="AH32" s="52" t="str">
        <f t="shared" si="17"/>
        <v>TOTAL</v>
      </c>
    </row>
    <row r="33" spans="2:34" ht="157.5" customHeight="1" x14ac:dyDescent="0.2">
      <c r="B33" s="53" t="s">
        <v>21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6"/>
    </row>
  </sheetData>
  <sheetProtection algorithmName="SHA-512" hashValue="g03o8MUxiP1w6txhkdQjhqZXAYP2sED126DBPAxSQMZsjtE6m88A8CXh2hTFsVaL3tgo7WQGS6DQSEKcaSA77Q==" saltValue="154IBf58thjPXyh71Os5iQ==" spinCount="100000" sheet="1" objects="1" scenarios="1" selectLockedCells="1"/>
  <mergeCells count="31">
    <mergeCell ref="AG18:AG27"/>
    <mergeCell ref="C2:S2"/>
    <mergeCell ref="R18:R27"/>
    <mergeCell ref="S18:S27"/>
    <mergeCell ref="T18:T27"/>
    <mergeCell ref="U18:U27"/>
    <mergeCell ref="AE18:AE27"/>
    <mergeCell ref="AF18:AF27"/>
    <mergeCell ref="L18:L27"/>
    <mergeCell ref="M18:M27"/>
    <mergeCell ref="N18:N27"/>
    <mergeCell ref="O18:O27"/>
    <mergeCell ref="P18:P27"/>
    <mergeCell ref="Q18:Q27"/>
    <mergeCell ref="F18:F27"/>
    <mergeCell ref="G18:G27"/>
    <mergeCell ref="H18:H27"/>
    <mergeCell ref="I18:I27"/>
    <mergeCell ref="J18:J27"/>
    <mergeCell ref="K18:K27"/>
    <mergeCell ref="A16:B16"/>
    <mergeCell ref="A17:B17"/>
    <mergeCell ref="A18:A27"/>
    <mergeCell ref="C18:C27"/>
    <mergeCell ref="D18:D27"/>
    <mergeCell ref="E18:E27"/>
    <mergeCell ref="AF2:AH2"/>
    <mergeCell ref="A4:B4"/>
    <mergeCell ref="A5:B5"/>
    <mergeCell ref="A6:A14"/>
    <mergeCell ref="A15:B15"/>
  </mergeCells>
  <phoneticPr fontId="14" type="noConversion"/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49" orientation="landscape" r:id="rId1"/>
  <headerFooter alignWithMargins="0">
    <oddFooter>&amp;L&amp;A (PGQ-7.03)&amp;RJ:\DADOS\PIL\PUB\QUALIDADE\Formularios\F-7\BLINDAGEM\F-7.41 R05.pdf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20</xdr:col>
                    <xdr:colOff>304800</xdr:colOff>
                    <xdr:row>0</xdr:row>
                    <xdr:rowOff>95250</xdr:rowOff>
                  </from>
                  <to>
                    <xdr:col>22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20</xdr:col>
                    <xdr:colOff>304800</xdr:colOff>
                    <xdr:row>1</xdr:row>
                    <xdr:rowOff>228600</xdr:rowOff>
                  </from>
                  <to>
                    <xdr:col>22</xdr:col>
                    <xdr:colOff>466725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"/>
  <dimension ref="A1"/>
  <sheetViews>
    <sheetView tabSelected="1" zoomScaleNormal="100" workbookViewId="0"/>
  </sheetViews>
  <sheetFormatPr defaultRowHeight="12.75" x14ac:dyDescent="0.2"/>
  <sheetData/>
  <sheetProtection algorithmName="SHA-512" hashValue="3N6SjHHXw7W9aThDgI9+36ITjNU2BSMA0PQHjbiK6AqBh+jw8P5QYansB6qbif7kGNJ3/oKp8/Af+nBj+evdMA==" saltValue="nuS82G8H8B/swNlsSXXJVQ==" spinCount="100000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"/>
  <dimension ref="A1:P24"/>
  <sheetViews>
    <sheetView topLeftCell="B1" zoomScaleNormal="100" workbookViewId="0">
      <selection activeCell="H14" sqref="H14"/>
    </sheetView>
  </sheetViews>
  <sheetFormatPr defaultColWidth="8.7109375" defaultRowHeight="12.75" x14ac:dyDescent="0.2"/>
  <cols>
    <col min="1" max="1" width="15" customWidth="1"/>
    <col min="2" max="2" width="41.7109375" customWidth="1"/>
    <col min="3" max="3" width="9.7109375" bestFit="1" customWidth="1"/>
    <col min="4" max="8" width="9.140625" bestFit="1" customWidth="1"/>
    <col min="11" max="11" width="26" bestFit="1" customWidth="1"/>
  </cols>
  <sheetData>
    <row r="1" spans="1:16" x14ac:dyDescent="0.2">
      <c r="C1" s="121" t="s">
        <v>45</v>
      </c>
      <c r="D1" s="121" t="s">
        <v>46</v>
      </c>
      <c r="E1" s="121" t="s">
        <v>47</v>
      </c>
      <c r="F1" s="121" t="s">
        <v>48</v>
      </c>
      <c r="G1" s="121" t="s">
        <v>49</v>
      </c>
      <c r="H1" s="121" t="s">
        <v>50</v>
      </c>
      <c r="I1" s="121" t="s">
        <v>51</v>
      </c>
      <c r="J1" s="121" t="s">
        <v>52</v>
      </c>
    </row>
    <row r="2" spans="1:16" x14ac:dyDescent="0.2">
      <c r="B2" t="s">
        <v>44</v>
      </c>
      <c r="C2" s="120" t="e">
        <f>PROD_TOTAL_M1D</f>
        <v>#NAME?</v>
      </c>
      <c r="D2" s="120" t="e">
        <f>PROD_TOTAL_M2D</f>
        <v>#NAME?</v>
      </c>
      <c r="E2" s="120" t="e">
        <f>PROD_TOTAL_M3D</f>
        <v>#NAME?</v>
      </c>
      <c r="F2" s="120" t="e">
        <f>PROD_TOTAL_M4D</f>
        <v>#NAME?</v>
      </c>
      <c r="G2" s="120" t="e">
        <f>PROD_TOTAL_M5D</f>
        <v>#NAME?</v>
      </c>
      <c r="H2" s="120" t="e">
        <f>SUM(C2:G2)</f>
        <v>#NAME?</v>
      </c>
      <c r="M2" t="s">
        <v>14</v>
      </c>
      <c r="N2" t="s">
        <v>53</v>
      </c>
      <c r="O2" t="s">
        <v>54</v>
      </c>
      <c r="P2" t="s">
        <v>26</v>
      </c>
    </row>
    <row r="3" spans="1:16" ht="15" x14ac:dyDescent="0.2">
      <c r="A3">
        <v>1</v>
      </c>
      <c r="B3" s="119" t="s">
        <v>31</v>
      </c>
      <c r="C3" s="120">
        <f>'Máq. 1'!$AC6</f>
        <v>0</v>
      </c>
      <c r="D3" s="120">
        <f>'Máq. 2'!$AC6</f>
        <v>0</v>
      </c>
      <c r="E3" s="120">
        <f>'Máq. 3'!$AC6</f>
        <v>0</v>
      </c>
      <c r="F3" s="120">
        <f>'Máq. 4'!$AC6</f>
        <v>0</v>
      </c>
      <c r="G3" s="120">
        <f>'Máq. 5'!$AC6</f>
        <v>0</v>
      </c>
      <c r="H3" s="120">
        <f t="shared" ref="H3:H12" si="0">SUM(C3:G3)</f>
        <v>0</v>
      </c>
      <c r="I3" s="117">
        <f>LARGE($H$3:$H$12,A3)</f>
        <v>0</v>
      </c>
      <c r="J3">
        <f>MATCH(I3,$H$3:$H$12,0)</f>
        <v>1</v>
      </c>
      <c r="K3" t="str">
        <f>INDEX($B$3:$B$12,J3,1)</f>
        <v>AMASSADO ALIMENTADOR</v>
      </c>
      <c r="L3">
        <f>INDEX($H$3:$H$12,J3,1)</f>
        <v>0</v>
      </c>
      <c r="M3" s="117" t="e">
        <f>L3/$H$2*1000000</f>
        <v>#NAME?</v>
      </c>
      <c r="N3">
        <f>L3</f>
        <v>0</v>
      </c>
      <c r="O3" s="117" t="e">
        <f>N3/$N$12*100</f>
        <v>#DIV/0!</v>
      </c>
    </row>
    <row r="4" spans="1:16" ht="15" x14ac:dyDescent="0.2">
      <c r="A4">
        <v>2</v>
      </c>
      <c r="B4" s="119" t="s">
        <v>32</v>
      </c>
      <c r="C4" s="120">
        <f>'Máq. 1'!$AC7</f>
        <v>0</v>
      </c>
      <c r="D4" s="120">
        <f>'Máq. 2'!$AC7</f>
        <v>0</v>
      </c>
      <c r="E4" s="120">
        <f>'Máq. 3'!$AC7</f>
        <v>0</v>
      </c>
      <c r="F4" s="120">
        <f>'Máq. 4'!$AC7</f>
        <v>0</v>
      </c>
      <c r="G4" s="120">
        <f>'Máq. 5'!$AC7</f>
        <v>0</v>
      </c>
      <c r="H4" s="120">
        <f t="shared" si="0"/>
        <v>0</v>
      </c>
      <c r="I4" s="117">
        <f t="shared" ref="I4:I12" si="1">LARGE($H$3:$H$12,A4)</f>
        <v>0</v>
      </c>
      <c r="J4">
        <f t="shared" ref="J4:J12" si="2">MATCH(I4,$H$3:$H$12,0)</f>
        <v>1</v>
      </c>
      <c r="K4" t="str">
        <f t="shared" ref="K4:K12" si="3">INDEX($B$3:$B$12,J4,1)</f>
        <v>AMASSADO ALIMENTADOR</v>
      </c>
      <c r="L4">
        <f t="shared" ref="L4:L12" si="4">INDEX($H$3:$H$12,J4,1)</f>
        <v>0</v>
      </c>
      <c r="M4" s="117" t="e">
        <f t="shared" ref="M4:M12" si="5">L4/$H$2*1000000</f>
        <v>#NAME?</v>
      </c>
      <c r="N4">
        <f>N3+L4</f>
        <v>0</v>
      </c>
      <c r="O4" s="117" t="e">
        <f t="shared" ref="O4:O12" si="6">N4/$N$12*100</f>
        <v>#DIV/0!</v>
      </c>
    </row>
    <row r="5" spans="1:16" ht="15" x14ac:dyDescent="0.2">
      <c r="A5">
        <v>3</v>
      </c>
      <c r="B5" s="118" t="s">
        <v>6</v>
      </c>
      <c r="C5" s="120">
        <f>'Máq. 1'!$AC8</f>
        <v>0</v>
      </c>
      <c r="D5" s="120">
        <f>'Máq. 2'!$AC8</f>
        <v>0</v>
      </c>
      <c r="E5" s="120">
        <f>'Máq. 3'!$AC8</f>
        <v>0</v>
      </c>
      <c r="F5" s="120">
        <f>'Máq. 4'!$AC8</f>
        <v>0</v>
      </c>
      <c r="G5" s="120">
        <f>'Máq. 5'!$AC8</f>
        <v>0</v>
      </c>
      <c r="H5" s="120">
        <f t="shared" si="0"/>
        <v>0</v>
      </c>
      <c r="I5" s="117">
        <f t="shared" si="1"/>
        <v>0</v>
      </c>
      <c r="J5">
        <f t="shared" si="2"/>
        <v>1</v>
      </c>
      <c r="K5" t="str">
        <f t="shared" si="3"/>
        <v>AMASSADO ALIMENTADOR</v>
      </c>
      <c r="L5">
        <f t="shared" si="4"/>
        <v>0</v>
      </c>
      <c r="M5" s="117" t="e">
        <f t="shared" si="5"/>
        <v>#NAME?</v>
      </c>
      <c r="N5">
        <f t="shared" ref="N5:N12" si="7">N4+L5</f>
        <v>0</v>
      </c>
      <c r="O5" s="117" t="e">
        <f t="shared" si="6"/>
        <v>#DIV/0!</v>
      </c>
    </row>
    <row r="6" spans="1:16" ht="15" x14ac:dyDescent="0.2">
      <c r="A6">
        <v>4</v>
      </c>
      <c r="B6" s="118" t="s">
        <v>7</v>
      </c>
      <c r="C6" s="120">
        <f>'Máq. 1'!$AC9</f>
        <v>0</v>
      </c>
      <c r="D6" s="120">
        <f>'Máq. 2'!$AC9</f>
        <v>0</v>
      </c>
      <c r="E6" s="120">
        <f>'Máq. 3'!$AC9</f>
        <v>0</v>
      </c>
      <c r="F6" s="120">
        <f>'Máq. 4'!$AC9</f>
        <v>0</v>
      </c>
      <c r="G6" s="120">
        <f>'Máq. 5'!$AC9</f>
        <v>0</v>
      </c>
      <c r="H6" s="120">
        <f t="shared" si="0"/>
        <v>0</v>
      </c>
      <c r="I6" s="117">
        <f t="shared" si="1"/>
        <v>0</v>
      </c>
      <c r="J6">
        <f t="shared" si="2"/>
        <v>1</v>
      </c>
      <c r="K6" t="str">
        <f t="shared" si="3"/>
        <v>AMASSADO ALIMENTADOR</v>
      </c>
      <c r="L6">
        <f t="shared" si="4"/>
        <v>0</v>
      </c>
      <c r="M6" s="117" t="e">
        <f t="shared" si="5"/>
        <v>#NAME?</v>
      </c>
      <c r="N6">
        <f t="shared" si="7"/>
        <v>0</v>
      </c>
      <c r="O6" s="117" t="e">
        <f t="shared" si="6"/>
        <v>#DIV/0!</v>
      </c>
    </row>
    <row r="7" spans="1:16" ht="15" x14ac:dyDescent="0.2">
      <c r="A7">
        <v>5</v>
      </c>
      <c r="B7" s="118" t="s">
        <v>33</v>
      </c>
      <c r="C7" s="120">
        <f>'Máq. 1'!$AC10</f>
        <v>0</v>
      </c>
      <c r="D7" s="120">
        <f>'Máq. 2'!$AC10</f>
        <v>0</v>
      </c>
      <c r="E7" s="120">
        <f>'Máq. 3'!$AC10</f>
        <v>0</v>
      </c>
      <c r="F7" s="120">
        <f>'Máq. 4'!$AC10</f>
        <v>0</v>
      </c>
      <c r="G7" s="120">
        <f>'Máq. 5'!$AC10</f>
        <v>0</v>
      </c>
      <c r="H7" s="120">
        <f t="shared" si="0"/>
        <v>0</v>
      </c>
      <c r="I7" s="117">
        <f t="shared" si="1"/>
        <v>0</v>
      </c>
      <c r="J7">
        <f t="shared" si="2"/>
        <v>1</v>
      </c>
      <c r="K7" t="str">
        <f t="shared" si="3"/>
        <v>AMASSADO ALIMENTADOR</v>
      </c>
      <c r="L7">
        <f t="shared" si="4"/>
        <v>0</v>
      </c>
      <c r="M7" s="117" t="e">
        <f t="shared" si="5"/>
        <v>#NAME?</v>
      </c>
      <c r="N7">
        <f t="shared" si="7"/>
        <v>0</v>
      </c>
      <c r="O7" s="117" t="e">
        <f t="shared" si="6"/>
        <v>#DIV/0!</v>
      </c>
    </row>
    <row r="8" spans="1:16" ht="15" x14ac:dyDescent="0.2">
      <c r="A8">
        <v>6</v>
      </c>
      <c r="B8" s="118" t="s">
        <v>8</v>
      </c>
      <c r="C8" s="120">
        <f>'Máq. 1'!$AC11</f>
        <v>0</v>
      </c>
      <c r="D8" s="120">
        <f>'Máq. 2'!$AC11</f>
        <v>0</v>
      </c>
      <c r="E8" s="120">
        <f>'Máq. 3'!$AC11</f>
        <v>0</v>
      </c>
      <c r="F8" s="120">
        <f>'Máq. 4'!$AC11</f>
        <v>0</v>
      </c>
      <c r="G8" s="120">
        <f>'Máq. 5'!$AC11</f>
        <v>0</v>
      </c>
      <c r="H8" s="120">
        <f t="shared" si="0"/>
        <v>0</v>
      </c>
      <c r="I8" s="117">
        <f t="shared" si="1"/>
        <v>0</v>
      </c>
      <c r="J8">
        <f t="shared" si="2"/>
        <v>1</v>
      </c>
      <c r="K8" t="str">
        <f t="shared" si="3"/>
        <v>AMASSADO ALIMENTADOR</v>
      </c>
      <c r="L8">
        <f t="shared" si="4"/>
        <v>0</v>
      </c>
      <c r="M8" s="117" t="e">
        <f t="shared" si="5"/>
        <v>#NAME?</v>
      </c>
      <c r="N8">
        <f t="shared" si="7"/>
        <v>0</v>
      </c>
      <c r="O8" s="117" t="e">
        <f t="shared" si="6"/>
        <v>#DIV/0!</v>
      </c>
    </row>
    <row r="9" spans="1:16" ht="15" x14ac:dyDescent="0.2">
      <c r="A9">
        <v>7</v>
      </c>
      <c r="B9" s="118" t="s">
        <v>9</v>
      </c>
      <c r="C9" s="120">
        <f>'Máq. 1'!$AC12</f>
        <v>0</v>
      </c>
      <c r="D9" s="120">
        <f>'Máq. 2'!$AC12</f>
        <v>0</v>
      </c>
      <c r="E9" s="120">
        <f>'Máq. 3'!$AC12</f>
        <v>0</v>
      </c>
      <c r="F9" s="120">
        <f>'Máq. 4'!$AC12</f>
        <v>0</v>
      </c>
      <c r="G9" s="120">
        <f>'Máq. 5'!$AC12</f>
        <v>0</v>
      </c>
      <c r="H9" s="120">
        <f t="shared" si="0"/>
        <v>0</v>
      </c>
      <c r="I9" s="117">
        <f t="shared" si="1"/>
        <v>0</v>
      </c>
      <c r="J9">
        <f t="shared" si="2"/>
        <v>1</v>
      </c>
      <c r="K9" t="str">
        <f t="shared" si="3"/>
        <v>AMASSADO ALIMENTADOR</v>
      </c>
      <c r="L9">
        <f t="shared" si="4"/>
        <v>0</v>
      </c>
      <c r="M9" s="117" t="e">
        <f t="shared" si="5"/>
        <v>#NAME?</v>
      </c>
      <c r="N9">
        <f t="shared" si="7"/>
        <v>0</v>
      </c>
      <c r="O9" s="117" t="e">
        <f t="shared" si="6"/>
        <v>#DIV/0!</v>
      </c>
    </row>
    <row r="10" spans="1:16" ht="15" x14ac:dyDescent="0.2">
      <c r="A10">
        <v>8</v>
      </c>
      <c r="B10" s="118" t="s">
        <v>10</v>
      </c>
      <c r="C10" s="120">
        <f>'Máq. 1'!$AC13</f>
        <v>0</v>
      </c>
      <c r="D10" s="120">
        <f>'Máq. 2'!$AC13</f>
        <v>0</v>
      </c>
      <c r="E10" s="120">
        <f>'Máq. 3'!$AC13</f>
        <v>0</v>
      </c>
      <c r="F10" s="120">
        <f>'Máq. 4'!$AC13</f>
        <v>0</v>
      </c>
      <c r="G10" s="120">
        <f>'Máq. 5'!$AC13</f>
        <v>0</v>
      </c>
      <c r="H10" s="120">
        <f t="shared" si="0"/>
        <v>0</v>
      </c>
      <c r="I10" s="117">
        <f t="shared" si="1"/>
        <v>0</v>
      </c>
      <c r="J10">
        <f t="shared" si="2"/>
        <v>1</v>
      </c>
      <c r="K10" t="str">
        <f t="shared" si="3"/>
        <v>AMASSADO ALIMENTADOR</v>
      </c>
      <c r="L10">
        <f t="shared" si="4"/>
        <v>0</v>
      </c>
      <c r="M10" s="117" t="e">
        <f t="shared" si="5"/>
        <v>#NAME?</v>
      </c>
      <c r="N10">
        <f t="shared" si="7"/>
        <v>0</v>
      </c>
      <c r="O10" s="117" t="e">
        <f t="shared" si="6"/>
        <v>#DIV/0!</v>
      </c>
    </row>
    <row r="11" spans="1:16" ht="15" x14ac:dyDescent="0.2">
      <c r="A11">
        <v>9</v>
      </c>
      <c r="B11" s="118" t="s">
        <v>11</v>
      </c>
      <c r="C11" s="120">
        <f>'Máq. 1'!$AC14</f>
        <v>0</v>
      </c>
      <c r="D11" s="120">
        <f>'Máq. 2'!$AC14</f>
        <v>0</v>
      </c>
      <c r="E11" s="120">
        <f>'Máq. 3'!$AC14</f>
        <v>0</v>
      </c>
      <c r="F11" s="120">
        <f>'Máq. 4'!$AC14</f>
        <v>0</v>
      </c>
      <c r="G11" s="120">
        <f>'Máq. 5'!$AC14</f>
        <v>0</v>
      </c>
      <c r="H11" s="120">
        <f t="shared" si="0"/>
        <v>0</v>
      </c>
      <c r="I11" s="117">
        <f t="shared" si="1"/>
        <v>0</v>
      </c>
      <c r="J11">
        <f t="shared" si="2"/>
        <v>1</v>
      </c>
      <c r="K11" t="str">
        <f t="shared" si="3"/>
        <v>AMASSADO ALIMENTADOR</v>
      </c>
      <c r="L11">
        <f t="shared" si="4"/>
        <v>0</v>
      </c>
      <c r="M11" s="117" t="e">
        <f t="shared" si="5"/>
        <v>#NAME?</v>
      </c>
      <c r="N11">
        <f t="shared" si="7"/>
        <v>0</v>
      </c>
      <c r="O11" s="117" t="e">
        <f t="shared" si="6"/>
        <v>#DIV/0!</v>
      </c>
    </row>
    <row r="12" spans="1:16" x14ac:dyDescent="0.2">
      <c r="A12">
        <v>10</v>
      </c>
      <c r="B12" t="s">
        <v>12</v>
      </c>
      <c r="C12" s="120">
        <f>'Máq. 1'!$AC15</f>
        <v>0</v>
      </c>
      <c r="D12" s="120">
        <f>'Máq. 2'!$AC15</f>
        <v>0</v>
      </c>
      <c r="E12" s="120">
        <f>'Máq. 3'!$AC15</f>
        <v>0</v>
      </c>
      <c r="F12" s="120">
        <f>'Máq. 4'!$AC15</f>
        <v>0</v>
      </c>
      <c r="G12" s="120">
        <f>'Máq. 5'!$AC15</f>
        <v>0</v>
      </c>
      <c r="H12" s="120">
        <f t="shared" si="0"/>
        <v>0</v>
      </c>
      <c r="I12" s="117">
        <f t="shared" si="1"/>
        <v>0</v>
      </c>
      <c r="J12">
        <f t="shared" si="2"/>
        <v>1</v>
      </c>
      <c r="K12" t="str">
        <f t="shared" si="3"/>
        <v>AMASSADO ALIMENTADOR</v>
      </c>
      <c r="L12">
        <f t="shared" si="4"/>
        <v>0</v>
      </c>
      <c r="M12" s="117" t="e">
        <f t="shared" si="5"/>
        <v>#NAME?</v>
      </c>
      <c r="N12">
        <f t="shared" si="7"/>
        <v>0</v>
      </c>
      <c r="O12" s="117" t="e">
        <f t="shared" si="6"/>
        <v>#DIV/0!</v>
      </c>
    </row>
    <row r="13" spans="1:16" ht="15" x14ac:dyDescent="0.2">
      <c r="B13" s="118" t="s">
        <v>50</v>
      </c>
      <c r="C13" s="120">
        <f>SUM(C3:C12)</f>
        <v>0</v>
      </c>
      <c r="D13" s="120">
        <f t="shared" ref="D13:H13" si="8">SUM(D3:D12)</f>
        <v>0</v>
      </c>
      <c r="E13" s="120">
        <f t="shared" si="8"/>
        <v>0</v>
      </c>
      <c r="F13" s="120">
        <f t="shared" si="8"/>
        <v>0</v>
      </c>
      <c r="G13" s="120">
        <f t="shared" si="8"/>
        <v>0</v>
      </c>
      <c r="H13" s="120">
        <f t="shared" si="8"/>
        <v>0</v>
      </c>
    </row>
    <row r="14" spans="1:16" ht="15" x14ac:dyDescent="0.2">
      <c r="B14" s="118" t="s">
        <v>14</v>
      </c>
      <c r="C14" s="117" t="e">
        <f>C13/C2*1000000</f>
        <v>#NAME?</v>
      </c>
      <c r="D14" s="117" t="e">
        <f t="shared" ref="D14:H14" si="9">D13/D2*1000000</f>
        <v>#NAME?</v>
      </c>
      <c r="E14" s="117" t="e">
        <f t="shared" si="9"/>
        <v>#NAME?</v>
      </c>
      <c r="F14" s="117" t="e">
        <f t="shared" si="9"/>
        <v>#NAME?</v>
      </c>
      <c r="G14" s="117" t="e">
        <f t="shared" si="9"/>
        <v>#NAME?</v>
      </c>
      <c r="H14" s="117" t="e">
        <f t="shared" si="9"/>
        <v>#NAME?</v>
      </c>
    </row>
    <row r="15" spans="1:16" ht="15" x14ac:dyDescent="0.2">
      <c r="B15" s="119" t="s">
        <v>31</v>
      </c>
    </row>
    <row r="16" spans="1:16" ht="15" x14ac:dyDescent="0.2">
      <c r="B16" s="119" t="s">
        <v>32</v>
      </c>
    </row>
    <row r="17" spans="2:2" ht="15" x14ac:dyDescent="0.2">
      <c r="B17" s="118" t="s">
        <v>6</v>
      </c>
    </row>
    <row r="18" spans="2:2" ht="15" x14ac:dyDescent="0.2">
      <c r="B18" s="118" t="s">
        <v>7</v>
      </c>
    </row>
    <row r="19" spans="2:2" ht="15" x14ac:dyDescent="0.2">
      <c r="B19" s="118" t="s">
        <v>33</v>
      </c>
    </row>
    <row r="20" spans="2:2" ht="15" x14ac:dyDescent="0.2">
      <c r="B20" s="118" t="s">
        <v>8</v>
      </c>
    </row>
    <row r="21" spans="2:2" ht="15" x14ac:dyDescent="0.2">
      <c r="B21" s="118" t="s">
        <v>9</v>
      </c>
    </row>
    <row r="22" spans="2:2" ht="15" x14ac:dyDescent="0.2">
      <c r="B22" s="118" t="s">
        <v>10</v>
      </c>
    </row>
    <row r="23" spans="2:2" ht="15" x14ac:dyDescent="0.2">
      <c r="B23" s="118" t="s">
        <v>11</v>
      </c>
    </row>
    <row r="24" spans="2:2" x14ac:dyDescent="0.2">
      <c r="B24" t="s">
        <v>12</v>
      </c>
    </row>
  </sheetData>
  <sheetProtection algorithmName="SHA-512" hashValue="sjW8+iVa4mBMQf3Db/nXLI+akndHOuQYVLYoM3uo5QtOlwVbvYB1+padvWEqYPWmQceTtYRqcEEFVHh7BJMlXw==" saltValue="/5bSzuZOBAHs2swJmpzMKg==" spinCount="100000" sheet="1" objects="1" scenarios="1" selectLockedCells="1"/>
  <phoneticPr fontId="14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17</vt:i4>
      </vt:variant>
    </vt:vector>
  </HeadingPairs>
  <TitlesOfParts>
    <vt:vector size="26" baseType="lpstr">
      <vt:lpstr>Instruções de Uso</vt:lpstr>
      <vt:lpstr>Máq. 1</vt:lpstr>
      <vt:lpstr>Máq. 2</vt:lpstr>
      <vt:lpstr>Máq. 3</vt:lpstr>
      <vt:lpstr>Máq. 4</vt:lpstr>
      <vt:lpstr>Máq. 5</vt:lpstr>
      <vt:lpstr>Resumo Diário</vt:lpstr>
      <vt:lpstr>Pareto</vt:lpstr>
      <vt:lpstr>Planilha1</vt:lpstr>
      <vt:lpstr>'Máq. 1'!Area_de_impressao</vt:lpstr>
      <vt:lpstr>'Máq. 2'!Area_de_impressao</vt:lpstr>
      <vt:lpstr>'Máq. 3'!Area_de_impressao</vt:lpstr>
      <vt:lpstr>'Máq. 4'!Area_de_impressao</vt:lpstr>
      <vt:lpstr>'Máq. 5'!Area_de_impressao</vt:lpstr>
      <vt:lpstr>'Resumo Diário'!Area_de_impressao</vt:lpstr>
      <vt:lpstr>FALHAS_TOTAL_M1N</vt:lpstr>
      <vt:lpstr>FALHAS_TOTAL_M2N</vt:lpstr>
      <vt:lpstr>FALHAS_TOTAL_M3N</vt:lpstr>
      <vt:lpstr>FALHAS_TOTAL_M4N</vt:lpstr>
      <vt:lpstr>FALHAS_TOTAL_M5N</vt:lpstr>
      <vt:lpstr>PERIODO</vt:lpstr>
      <vt:lpstr>PROD_TOTAL_M1N</vt:lpstr>
      <vt:lpstr>PROD_TOTAL_M2N</vt:lpstr>
      <vt:lpstr>PROD_TOTAL_M3N</vt:lpstr>
      <vt:lpstr>PROD_TOTAL_M4N</vt:lpstr>
      <vt:lpstr>PROD_TOTAL_M5N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2021-01-20T12:16:11Z</cp:lastPrinted>
  <dcterms:created xsi:type="dcterms:W3CDTF">2014-12-01T18:06:33Z</dcterms:created>
  <dcterms:modified xsi:type="dcterms:W3CDTF">2022-02-21T11:18:01Z</dcterms:modified>
</cp:coreProperties>
</file>