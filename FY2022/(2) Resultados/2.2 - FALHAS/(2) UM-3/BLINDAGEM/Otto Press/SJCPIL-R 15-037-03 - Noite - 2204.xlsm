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BLINDAGEM\Otto Press\"/>
    </mc:Choice>
  </mc:AlternateContent>
  <xr:revisionPtr revIDLastSave="0" documentId="13_ncr:1_{72CEFA72-434D-419B-BAE2-858D7B72751D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Maq. 1" sheetId="2" r:id="rId1"/>
    <sheet name="Maq. 2" sheetId="1" r:id="rId2"/>
    <sheet name="Maq. 3" sheetId="3" r:id="rId3"/>
    <sheet name="Maq.4" sheetId="4" r:id="rId4"/>
  </sheets>
  <externalReferences>
    <externalReference r:id="rId5"/>
  </externalReferences>
  <definedNames>
    <definedName name="_xlnm.Print_Area" localSheetId="0">'Maq. 1'!$A$1:$AB$26</definedName>
    <definedName name="_xlnm.Print_Area" localSheetId="1">'Maq. 2'!$A$1:$AB$26</definedName>
    <definedName name="_xlnm.Print_Area" localSheetId="2">'Maq. 3'!$A$1:$AB$26</definedName>
    <definedName name="_xlnm.Print_Area" localSheetId="3">Maq.4!$A$1:$AB$26</definedName>
    <definedName name="FALHAS_TOTAL_M1N" localSheetId="0">'Maq. 1'!$AB$11</definedName>
    <definedName name="FALHAS_TOTAL_M2N">'Maq. 2'!$AB$11</definedName>
    <definedName name="FALHAS_TOTAL_M3N" localSheetId="2">'Maq. 3'!$AB$11</definedName>
    <definedName name="FALHAS_TOTAL_M4N">Maq.4!$AB$11</definedName>
    <definedName name="PERIODO">'Maq. 1'!$Z$2</definedName>
    <definedName name="PROD_TOTAL_M1N">'Maq. 1'!$AB$5</definedName>
    <definedName name="PROD_TOTAL_M2N">'Maq. 2'!$AB$5</definedName>
    <definedName name="PROD_TOTAL_M3N">'Maq. 3'!$AB$5</definedName>
    <definedName name="PROD_TOTAL_M4N" localSheetId="3">Maq.4!$AB$5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2" l="1"/>
  <c r="AB2" i="2"/>
  <c r="AB2" i="4" s="1"/>
  <c r="AB2" i="1" l="1"/>
  <c r="AB2" i="3"/>
  <c r="K11" i="4"/>
  <c r="K12" i="4" s="1"/>
  <c r="AB10" i="1" l="1"/>
  <c r="AB9" i="1"/>
  <c r="AB8" i="1"/>
  <c r="AB7" i="1"/>
  <c r="AB10" i="3"/>
  <c r="AB9" i="3"/>
  <c r="AB8" i="3"/>
  <c r="AB7" i="3"/>
  <c r="AB10" i="4"/>
  <c r="AB9" i="4"/>
  <c r="AB8" i="4"/>
  <c r="AB7" i="4"/>
  <c r="AB10" i="2"/>
  <c r="AB9" i="2"/>
  <c r="AB8" i="2"/>
  <c r="AB7" i="2"/>
  <c r="C27" i="4" l="1"/>
  <c r="C27" i="1" l="1"/>
  <c r="C27" i="3"/>
  <c r="C11" i="1"/>
  <c r="N11" i="3" l="1"/>
  <c r="AB29" i="4"/>
  <c r="AA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A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AA11" i="4"/>
  <c r="AA12" i="4" s="1"/>
  <c r="Z11" i="4"/>
  <c r="Z12" i="4" s="1"/>
  <c r="Y11" i="4"/>
  <c r="Y12" i="4" s="1"/>
  <c r="X11" i="4"/>
  <c r="X12" i="4" s="1"/>
  <c r="W11" i="4"/>
  <c r="W12" i="4" s="1"/>
  <c r="V11" i="4"/>
  <c r="V12" i="4" s="1"/>
  <c r="U11" i="4"/>
  <c r="U12" i="4" s="1"/>
  <c r="T11" i="4"/>
  <c r="T12" i="4" s="1"/>
  <c r="S11" i="4"/>
  <c r="S12" i="4" s="1"/>
  <c r="R11" i="4"/>
  <c r="R12" i="4" s="1"/>
  <c r="Q11" i="4"/>
  <c r="P11" i="4"/>
  <c r="P12" i="4" s="1"/>
  <c r="O11" i="4"/>
  <c r="O12" i="4" s="1"/>
  <c r="N11" i="4"/>
  <c r="N12" i="4" s="1"/>
  <c r="M11" i="4"/>
  <c r="M12" i="4" s="1"/>
  <c r="L11" i="4"/>
  <c r="J11" i="4"/>
  <c r="J12" i="4" s="1"/>
  <c r="I11" i="4"/>
  <c r="I12" i="4" s="1"/>
  <c r="H11" i="4"/>
  <c r="H12" i="4" s="1"/>
  <c r="G11" i="4"/>
  <c r="G12" i="4" s="1"/>
  <c r="F11" i="4"/>
  <c r="E11" i="4"/>
  <c r="D11" i="4"/>
  <c r="D12" i="4" s="1"/>
  <c r="C11" i="4"/>
  <c r="AB6" i="4"/>
  <c r="AB29" i="3"/>
  <c r="AA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A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AA11" i="3"/>
  <c r="AA12" i="3" s="1"/>
  <c r="Z11" i="3"/>
  <c r="Z12" i="3" s="1"/>
  <c r="Y11" i="3"/>
  <c r="Y12" i="3" s="1"/>
  <c r="X11" i="3"/>
  <c r="X12" i="3" s="1"/>
  <c r="W11" i="3"/>
  <c r="W12" i="3" s="1"/>
  <c r="V11" i="3"/>
  <c r="V12" i="3" s="1"/>
  <c r="U11" i="3"/>
  <c r="U12" i="3" s="1"/>
  <c r="T11" i="3"/>
  <c r="T12" i="3" s="1"/>
  <c r="S11" i="3"/>
  <c r="S12" i="3" s="1"/>
  <c r="R11" i="3"/>
  <c r="R12" i="3" s="1"/>
  <c r="Q11" i="3"/>
  <c r="Q12" i="3" s="1"/>
  <c r="P11" i="3"/>
  <c r="P12" i="3" s="1"/>
  <c r="O11" i="3"/>
  <c r="O12" i="3" s="1"/>
  <c r="M11" i="3"/>
  <c r="L11" i="3"/>
  <c r="K11" i="3"/>
  <c r="K12" i="3" s="1"/>
  <c r="J11" i="3"/>
  <c r="J12" i="3" s="1"/>
  <c r="I11" i="3"/>
  <c r="I12" i="3" s="1"/>
  <c r="H11" i="3"/>
  <c r="H12" i="3" s="1"/>
  <c r="G11" i="3"/>
  <c r="G12" i="3" s="1"/>
  <c r="F11" i="3"/>
  <c r="F12" i="3" s="1"/>
  <c r="E11" i="3"/>
  <c r="E12" i="3" s="1"/>
  <c r="D11" i="3"/>
  <c r="D12" i="3" s="1"/>
  <c r="C11" i="3"/>
  <c r="AB29" i="2"/>
  <c r="AA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AA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A11" i="2"/>
  <c r="AA12" i="2" s="1"/>
  <c r="Z11" i="2"/>
  <c r="Z12" i="2" s="1"/>
  <c r="Y11" i="2"/>
  <c r="Y12" i="2" s="1"/>
  <c r="X11" i="2"/>
  <c r="X12" i="2" s="1"/>
  <c r="W11" i="2"/>
  <c r="W12" i="2" s="1"/>
  <c r="V11" i="2"/>
  <c r="V12" i="2" s="1"/>
  <c r="U11" i="2"/>
  <c r="U12" i="2" s="1"/>
  <c r="T11" i="2"/>
  <c r="T12" i="2" s="1"/>
  <c r="S11" i="2"/>
  <c r="S12" i="2" s="1"/>
  <c r="R11" i="2"/>
  <c r="R12" i="2" s="1"/>
  <c r="Q11" i="2"/>
  <c r="Q12" i="2" s="1"/>
  <c r="P11" i="2"/>
  <c r="P12" i="2" s="1"/>
  <c r="O11" i="2"/>
  <c r="O12" i="2" s="1"/>
  <c r="N11" i="2"/>
  <c r="N12" i="2" s="1"/>
  <c r="M11" i="2"/>
  <c r="M12" i="2" s="1"/>
  <c r="L11" i="2"/>
  <c r="L12" i="2" s="1"/>
  <c r="K11" i="2"/>
  <c r="K12" i="2" s="1"/>
  <c r="J11" i="2"/>
  <c r="J12" i="2" s="1"/>
  <c r="I11" i="2"/>
  <c r="I12" i="2" s="1"/>
  <c r="H11" i="2"/>
  <c r="H12" i="2" s="1"/>
  <c r="G11" i="2"/>
  <c r="G12" i="2" s="1"/>
  <c r="F11" i="2"/>
  <c r="F12" i="2" s="1"/>
  <c r="E11" i="2"/>
  <c r="E12" i="2" s="1"/>
  <c r="D11" i="2"/>
  <c r="D12" i="2" s="1"/>
  <c r="C11" i="2"/>
  <c r="C12" i="2" s="1"/>
  <c r="AB6" i="2"/>
  <c r="AB5" i="2"/>
  <c r="M12" i="3" l="1"/>
  <c r="AB6" i="3"/>
  <c r="F12" i="4"/>
  <c r="E12" i="4"/>
  <c r="L12" i="4"/>
  <c r="AB11" i="4"/>
  <c r="AB5" i="4"/>
  <c r="AB5" i="3"/>
  <c r="N12" i="3"/>
  <c r="C12" i="3"/>
  <c r="L12" i="3"/>
  <c r="C12" i="4"/>
  <c r="Q12" i="4"/>
  <c r="AB11" i="3"/>
  <c r="AB11" i="2"/>
  <c r="AB12" i="2" s="1"/>
  <c r="AB29" i="1"/>
  <c r="AA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AA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AA11" i="1"/>
  <c r="AA12" i="1" s="1"/>
  <c r="Z11" i="1"/>
  <c r="Z12" i="1" s="1"/>
  <c r="Y11" i="1"/>
  <c r="Y12" i="1" s="1"/>
  <c r="X11" i="1"/>
  <c r="X12" i="1" s="1"/>
  <c r="W11" i="1"/>
  <c r="W12" i="1" s="1"/>
  <c r="V11" i="1"/>
  <c r="V12" i="1" s="1"/>
  <c r="U11" i="1"/>
  <c r="U12" i="1" s="1"/>
  <c r="T11" i="1"/>
  <c r="T12" i="1" s="1"/>
  <c r="S11" i="1"/>
  <c r="S12" i="1" s="1"/>
  <c r="R11" i="1"/>
  <c r="R12" i="1" s="1"/>
  <c r="Q11" i="1"/>
  <c r="Q12" i="1" s="1"/>
  <c r="P11" i="1"/>
  <c r="P12" i="1" s="1"/>
  <c r="O11" i="1"/>
  <c r="O12" i="1" s="1"/>
  <c r="N11" i="1"/>
  <c r="N12" i="1" s="1"/>
  <c r="M11" i="1"/>
  <c r="M12" i="1" s="1"/>
  <c r="L11" i="1"/>
  <c r="L12" i="1" s="1"/>
  <c r="K11" i="1"/>
  <c r="K12" i="1" s="1"/>
  <c r="J11" i="1"/>
  <c r="I11" i="1"/>
  <c r="I12" i="1" s="1"/>
  <c r="H11" i="1"/>
  <c r="H12" i="1" s="1"/>
  <c r="G11" i="1"/>
  <c r="G12" i="1" s="1"/>
  <c r="F11" i="1"/>
  <c r="F12" i="1" s="1"/>
  <c r="E11" i="1"/>
  <c r="E12" i="1" s="1"/>
  <c r="D11" i="1"/>
  <c r="D12" i="1" s="1"/>
  <c r="AB6" i="1"/>
  <c r="AB5" i="1"/>
  <c r="C12" i="1" l="1"/>
  <c r="AB12" i="3"/>
  <c r="AB12" i="4"/>
  <c r="J12" i="1"/>
  <c r="AB11" i="1"/>
  <c r="AB12" i="1" s="1"/>
</calcChain>
</file>

<file path=xl/sharedStrings.xml><?xml version="1.0" encoding="utf-8"?>
<sst xmlns="http://schemas.openxmlformats.org/spreadsheetml/2006/main" count="100" uniqueCount="26">
  <si>
    <t>MÁQ. Nº: 1</t>
  </si>
  <si>
    <t>TURNO:</t>
  </si>
  <si>
    <t>DIA</t>
  </si>
  <si>
    <t>TOTAL</t>
  </si>
  <si>
    <t>PRODUÇÃO</t>
  </si>
  <si>
    <t>TOTAL GERAL</t>
  </si>
  <si>
    <t>ppm</t>
  </si>
  <si>
    <t>Inspetor:</t>
  </si>
  <si>
    <t>Produção:</t>
  </si>
  <si>
    <t>Controle da Qualidade</t>
  </si>
  <si>
    <t>Data:</t>
  </si>
  <si>
    <t>Objetivo</t>
  </si>
  <si>
    <t>Data</t>
  </si>
  <si>
    <t>Ocorrências</t>
  </si>
  <si>
    <t>FALHAS DA BLINDAGEM UM-3 - OTTO PRESS</t>
  </si>
  <si>
    <t>MÁQ. Nº: 2</t>
  </si>
  <si>
    <t>MÁQ. Nº: 3</t>
  </si>
  <si>
    <t>MÁQ. Nº: 4</t>
  </si>
  <si>
    <t>AMASSADO</t>
  </si>
  <si>
    <t>RISCADO</t>
  </si>
  <si>
    <t>MANCHADO</t>
  </si>
  <si>
    <t>CHAPA INVERTIDA</t>
  </si>
  <si>
    <t>FORA DE ESQUADRO</t>
  </si>
  <si>
    <t>Visto Supervisor</t>
  </si>
  <si>
    <t>Visto CQ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</si>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</sst>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9" x14ac:knownFonts="1">
    <font>
      <sz val="10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b/>
      <sz val="2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3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0" xfId="0" applyFont="1"/>
    <xf numFmtId="1" fontId="1" fillId="0" borderId="14" xfId="0" applyNumberFormat="1" applyFont="1" applyBorder="1" applyAlignment="1" applyProtection="1">
      <alignment horizontal="center" vertical="center" shrinkToFit="1"/>
      <protection locked="0"/>
    </xf>
    <xf numFmtId="1" fontId="1" fillId="0" borderId="15" xfId="0" applyNumberFormat="1" applyFont="1" applyBorder="1" applyAlignment="1" applyProtection="1">
      <alignment horizontal="center" vertical="center" shrinkToFit="1"/>
      <protection locked="0"/>
    </xf>
    <xf numFmtId="1" fontId="1" fillId="0" borderId="16" xfId="0" applyNumberFormat="1" applyFont="1" applyBorder="1" applyAlignment="1" applyProtection="1">
      <alignment horizontal="center" vertical="center" shrinkToFit="1"/>
      <protection locked="0"/>
    </xf>
    <xf numFmtId="0" fontId="5" fillId="0" borderId="17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" fontId="5" fillId="0" borderId="25" xfId="0" applyNumberFormat="1" applyFont="1" applyBorder="1" applyAlignment="1">
      <alignment horizontal="center" vertical="center" shrinkToFit="1"/>
    </xf>
    <xf numFmtId="1" fontId="5" fillId="0" borderId="11" xfId="0" applyNumberFormat="1" applyFont="1" applyBorder="1" applyAlignment="1" applyProtection="1">
      <alignment horizontal="center" vertical="center" shrinkToFit="1"/>
      <protection locked="0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18" xfId="0" applyNumberFormat="1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shrinkToFit="1"/>
    </xf>
    <xf numFmtId="1" fontId="5" fillId="0" borderId="15" xfId="0" applyNumberFormat="1" applyFont="1" applyBorder="1" applyAlignment="1">
      <alignment horizontal="center" shrinkToFit="1"/>
    </xf>
    <xf numFmtId="1" fontId="5" fillId="0" borderId="16" xfId="0" applyNumberFormat="1" applyFont="1" applyBorder="1" applyAlignment="1">
      <alignment horizontal="center" shrinkToFit="1"/>
    </xf>
    <xf numFmtId="1" fontId="5" fillId="0" borderId="17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Continuous" vertical="center"/>
    </xf>
    <xf numFmtId="0" fontId="0" fillId="0" borderId="0" xfId="0" applyAlignment="1">
      <alignment horizontal="right" vertical="center"/>
    </xf>
    <xf numFmtId="0" fontId="7" fillId="0" borderId="37" xfId="0" applyFont="1" applyBorder="1" applyAlignment="1">
      <alignment horizontal="left" vertical="center"/>
    </xf>
    <xf numFmtId="0" fontId="1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shrinkToFit="1"/>
    </xf>
    <xf numFmtId="0" fontId="5" fillId="0" borderId="38" xfId="0" applyFont="1" applyBorder="1"/>
    <xf numFmtId="0" fontId="5" fillId="0" borderId="39" xfId="0" applyFont="1" applyBorder="1" applyAlignment="1">
      <alignment horizontal="center" shrinkToFit="1"/>
    </xf>
    <xf numFmtId="0" fontId="6" fillId="0" borderId="0" xfId="0" applyFont="1" applyAlignment="1">
      <alignment horizontal="left" vertical="center"/>
    </xf>
    <xf numFmtId="0" fontId="7" fillId="0" borderId="11" xfId="0" applyFont="1" applyBorder="1" applyAlignment="1">
      <alignment horizontal="center"/>
    </xf>
    <xf numFmtId="0" fontId="0" fillId="0" borderId="11" xfId="0" applyBorder="1"/>
    <xf numFmtId="0" fontId="7" fillId="0" borderId="11" xfId="0" applyFont="1" applyBorder="1" applyAlignment="1">
      <alignment horizontal="center" vertical="center" textRotation="90"/>
    </xf>
    <xf numFmtId="0" fontId="0" fillId="0" borderId="11" xfId="0" applyBorder="1" applyAlignment="1" applyProtection="1">
      <alignment horizontal="center" textRotation="90"/>
      <protection locked="0"/>
    </xf>
    <xf numFmtId="0" fontId="0" fillId="0" borderId="11" xfId="0" applyBorder="1" applyAlignment="1" applyProtection="1">
      <alignment textRotation="90"/>
      <protection locked="0"/>
    </xf>
    <xf numFmtId="0" fontId="0" fillId="0" borderId="11" xfId="0" applyBorder="1" applyAlignment="1">
      <alignment textRotation="90"/>
    </xf>
    <xf numFmtId="1" fontId="5" fillId="0" borderId="33" xfId="0" applyNumberFormat="1" applyFont="1" applyBorder="1" applyAlignment="1" applyProtection="1">
      <alignment horizontal="center" vertical="center" shrinkToFit="1"/>
      <protection locked="0"/>
    </xf>
    <xf numFmtId="1" fontId="5" fillId="0" borderId="35" xfId="0" applyNumberFormat="1" applyFont="1" applyBorder="1" applyAlignment="1">
      <alignment horizontal="center" vertical="center" shrinkToFit="1"/>
    </xf>
    <xf numFmtId="1" fontId="0" fillId="0" borderId="14" xfId="0" applyNumberFormat="1" applyBorder="1" applyAlignment="1" applyProtection="1">
      <alignment horizontal="center" vertical="center" shrinkToFit="1"/>
      <protection locked="0"/>
    </xf>
    <xf numFmtId="1" fontId="0" fillId="0" borderId="15" xfId="0" applyNumberFormat="1" applyBorder="1" applyAlignment="1" applyProtection="1">
      <alignment horizontal="center" vertical="center" shrinkToFit="1"/>
      <protection locked="0"/>
    </xf>
    <xf numFmtId="164" fontId="0" fillId="0" borderId="11" xfId="0" applyNumberFormat="1" applyBorder="1"/>
    <xf numFmtId="0" fontId="5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1" fontId="5" fillId="0" borderId="24" xfId="0" applyNumberFormat="1" applyFont="1" applyBorder="1" applyAlignment="1" applyProtection="1">
      <alignment horizontal="center" vertical="center" shrinkToFit="1"/>
      <protection locked="0"/>
    </xf>
    <xf numFmtId="1" fontId="5" fillId="0" borderId="34" xfId="0" applyNumberFormat="1" applyFont="1" applyBorder="1" applyAlignment="1" applyProtection="1">
      <alignment horizontal="center" vertical="center" shrinkToFit="1"/>
      <protection locked="0"/>
    </xf>
    <xf numFmtId="0" fontId="8" fillId="0" borderId="41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3" fontId="8" fillId="0" borderId="8" xfId="0" applyNumberFormat="1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shrinkToFit="1"/>
    </xf>
    <xf numFmtId="0" fontId="5" fillId="0" borderId="1" xfId="0" applyFont="1" applyBorder="1" applyAlignment="1">
      <alignment horizontal="center" shrinkToFit="1"/>
    </xf>
    <xf numFmtId="0" fontId="5" fillId="0" borderId="19" xfId="0" applyFont="1" applyBorder="1" applyAlignment="1">
      <alignment horizontal="center" vertical="center" textRotation="90"/>
    </xf>
    <xf numFmtId="0" fontId="0" fillId="0" borderId="7" xfId="0" applyBorder="1"/>
    <xf numFmtId="0" fontId="5" fillId="0" borderId="15" xfId="0" applyFont="1" applyBorder="1" applyAlignment="1">
      <alignment horizontal="center" vertical="center" textRotation="90"/>
    </xf>
    <xf numFmtId="0" fontId="0" fillId="0" borderId="13" xfId="0" applyBorder="1"/>
    <xf numFmtId="0" fontId="8" fillId="0" borderId="9" xfId="0" applyFont="1" applyBorder="1" applyAlignment="1" applyProtection="1">
      <alignment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29" xfId="0" applyNumberFormat="1" applyFont="1" applyBorder="1" applyAlignment="1" applyProtection="1">
      <alignment horizontal="center" vertical="center" shrinkToFit="1"/>
      <protection locked="0"/>
    </xf>
    <xf numFmtId="1" fontId="5" fillId="0" borderId="30" xfId="0" applyNumberFormat="1" applyFont="1" applyBorder="1" applyAlignment="1" applyProtection="1">
      <alignment horizontal="center" vertical="center" shrinkToFit="1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Alignment="1" applyProtection="1">
      <alignment horizontal="center" vertical="center"/>
      <protection locked="0"/>
    </xf>
    <xf numFmtId="0" fontId="5" fillId="0" borderId="33" xfId="0" applyFont="1" applyBorder="1" applyAlignment="1" applyProtection="1">
      <alignment horizontal="center" vertical="center"/>
      <protection locked="0"/>
    </xf>
    <xf numFmtId="0" fontId="5" fillId="0" borderId="32" xfId="0" applyFont="1" applyBorder="1" applyAlignment="1" applyProtection="1">
      <alignment horizontal="left" vertical="center"/>
      <protection locked="0"/>
    </xf>
    <xf numFmtId="0" fontId="5" fillId="0" borderId="33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 applyProtection="1">
      <alignment horizontal="left" vertical="center"/>
      <protection locked="0"/>
    </xf>
    <xf numFmtId="1" fontId="5" fillId="0" borderId="0" xfId="0" applyNumberFormat="1" applyFont="1" applyAlignment="1">
      <alignment vertical="center"/>
    </xf>
    <xf numFmtId="0" fontId="8" fillId="0" borderId="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textRotation="90"/>
    </xf>
    <xf numFmtId="0" fontId="6" fillId="0" borderId="6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textRotation="90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0" fontId="8" fillId="0" borderId="2" xfId="0" quotePrefix="1" applyFont="1" applyBorder="1" applyAlignment="1">
      <alignment horizontal="center" vertical="center" wrapText="1"/>
    </xf>
    <xf numFmtId="0" fontId="8" fillId="0" borderId="44" xfId="0" quotePrefix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26" xfId="0" quotePrefix="1" applyBorder="1" applyAlignment="1">
      <alignment horizontal="left" vertical="center"/>
    </xf>
    <xf numFmtId="0" fontId="0" fillId="0" borderId="42" xfId="0" quotePrefix="1" applyBorder="1" applyAlignment="1">
      <alignment vertical="center"/>
    </xf>
    <xf numFmtId="0" fontId="0" fillId="0" borderId="43" xfId="0" quotePrefix="1" applyBorder="1" applyAlignment="1">
      <alignment vertical="center"/>
    </xf>
    <xf numFmtId="0" fontId="0" fillId="0" borderId="22" xfId="0" quotePrefix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754541949112284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1'!$C$12:$AA$12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EF-404A-AA44-3CEFA6FD4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15680"/>
        <c:axId val="223213328"/>
      </c:lineChart>
      <c:scatterChart>
        <c:scatterStyle val="lineMarker"/>
        <c:varyColors val="0"/>
        <c:ser>
          <c:idx val="1"/>
          <c:order val="1"/>
          <c:tx>
            <c:strRef>
              <c:f>'Maq. 1'!$A$27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'Maq. 1'!$C$27:$AA$27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EF-404A-AA44-3CEFA6FD4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12152"/>
        <c:axId val="223214504"/>
      </c:scatterChart>
      <c:catAx>
        <c:axId val="2232156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213328"/>
        <c:crosses val="autoZero"/>
        <c:auto val="1"/>
        <c:lblAlgn val="ctr"/>
        <c:lblOffset val="100"/>
        <c:noMultiLvlLbl val="0"/>
      </c:catAx>
      <c:valAx>
        <c:axId val="223213328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215680"/>
        <c:crosses val="autoZero"/>
        <c:crossBetween val="between"/>
      </c:valAx>
      <c:valAx>
        <c:axId val="2232145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212152"/>
        <c:crosses val="max"/>
        <c:crossBetween val="midCat"/>
      </c:valAx>
      <c:valAx>
        <c:axId val="22321215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21450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754541949112284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2'!$C$12:$AA$12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0-46D7-81CB-D1E0979C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14896"/>
        <c:axId val="223214112"/>
      </c:lineChart>
      <c:scatterChart>
        <c:scatterStyle val="lineMarker"/>
        <c:varyColors val="0"/>
        <c:ser>
          <c:idx val="1"/>
          <c:order val="1"/>
          <c:tx>
            <c:strRef>
              <c:f>'Maq. 2'!$A$27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'Maq. 2'!$C$27:$AA$27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00-46D7-81CB-D1E0979C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15288"/>
        <c:axId val="223212936"/>
      </c:scatterChart>
      <c:catAx>
        <c:axId val="2232148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214112"/>
        <c:crosses val="autoZero"/>
        <c:auto val="1"/>
        <c:lblAlgn val="ctr"/>
        <c:lblOffset val="100"/>
        <c:noMultiLvlLbl val="0"/>
      </c:catAx>
      <c:valAx>
        <c:axId val="223214112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214896"/>
        <c:crosses val="autoZero"/>
        <c:crossBetween val="between"/>
      </c:valAx>
      <c:valAx>
        <c:axId val="223212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215288"/>
        <c:crosses val="max"/>
        <c:crossBetween val="midCat"/>
      </c:valAx>
      <c:valAx>
        <c:axId val="22321528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21293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692926929972868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3'!$C$12:$AA$12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F2-4F86-9981-680887FB2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938704"/>
        <c:axId val="223939880"/>
      </c:lineChart>
      <c:scatterChart>
        <c:scatterStyle val="lineMarker"/>
        <c:varyColors val="0"/>
        <c:ser>
          <c:idx val="1"/>
          <c:order val="1"/>
          <c:tx>
            <c:strRef>
              <c:f>'Maq. 3'!$A$27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'Maq. 3'!$C$27:$AA$27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F86-9981-680887FB2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8312"/>
        <c:axId val="223939096"/>
      </c:scatterChart>
      <c:catAx>
        <c:axId val="223938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939880"/>
        <c:crosses val="autoZero"/>
        <c:auto val="1"/>
        <c:lblAlgn val="ctr"/>
        <c:lblOffset val="100"/>
        <c:noMultiLvlLbl val="0"/>
      </c:catAx>
      <c:valAx>
        <c:axId val="223939880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938704"/>
        <c:crosses val="autoZero"/>
        <c:crossBetween val="between"/>
      </c:valAx>
      <c:valAx>
        <c:axId val="2239390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938312"/>
        <c:crosses val="max"/>
        <c:crossBetween val="midCat"/>
      </c:valAx>
      <c:valAx>
        <c:axId val="2239383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93909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692926929972868"/>
          <c:h val="0.9172954781863794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Maq.4!$C$12:$AA$12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89-4D6F-A027-AF1E83EC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940664"/>
        <c:axId val="223940272"/>
      </c:lineChart>
      <c:scatterChart>
        <c:scatterStyle val="lineMarker"/>
        <c:varyColors val="0"/>
        <c:ser>
          <c:idx val="1"/>
          <c:order val="1"/>
          <c:tx>
            <c:strRef>
              <c:f>Maq.4!$A$27</c:f>
              <c:strCache>
                <c:ptCount val="1"/>
                <c:pt idx="0">
                  <c:v>Objetivo</c:v>
                </c:pt>
              </c:strCache>
            </c:strRef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Maq.4!$C$27:$AA$27</c:f>
              <c:numCache>
                <c:formatCode>General</c:formatCode>
                <c:ptCount val="25"/>
                <c:pt idx="0">
                  <c:v>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9-4D6F-A027-AF1E83EC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7528"/>
        <c:axId val="223941056"/>
      </c:scatterChart>
      <c:catAx>
        <c:axId val="22394066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out"/>
        <c:minorTickMark val="none"/>
        <c:tickLblPos val="nextTo"/>
        <c:crossAx val="223940272"/>
        <c:crosses val="autoZero"/>
        <c:auto val="1"/>
        <c:lblAlgn val="ctr"/>
        <c:lblOffset val="100"/>
        <c:noMultiLvlLbl val="0"/>
      </c:catAx>
      <c:valAx>
        <c:axId val="223940272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940664"/>
        <c:crosses val="autoZero"/>
        <c:crossBetween val="between"/>
      </c:valAx>
      <c:valAx>
        <c:axId val="2239410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937528"/>
        <c:crosses val="max"/>
        <c:crossBetween val="midCat"/>
      </c:valAx>
      <c:valAx>
        <c:axId val="22393752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394105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0</xdr:row>
          <xdr:rowOff>95250</xdr:rowOff>
        </xdr:from>
        <xdr:to>
          <xdr:col>22</xdr:col>
          <xdr:colOff>114300</xdr:colOff>
          <xdr:row>1</xdr:row>
          <xdr:rowOff>219075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</xdr:row>
          <xdr:rowOff>238125</xdr:rowOff>
        </xdr:from>
        <xdr:to>
          <xdr:col>22</xdr:col>
          <xdr:colOff>266700</xdr:colOff>
          <xdr:row>2</xdr:row>
          <xdr:rowOff>66675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NOTURNO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3">
          <cell r="Y33">
            <v>360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AE30"/>
  <sheetViews>
    <sheetView showZeros="0" zoomScaleNormal="100" zoomScaleSheetLayoutView="50" workbookViewId="0">
      <selection activeCell="C4" sqref="C4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31" ht="13.5" thickBot="1" x14ac:dyDescent="0.25"/>
    <row r="2" spans="1:31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7" t="s">
        <v>0</v>
      </c>
      <c r="Q2" s="97"/>
      <c r="R2" s="97"/>
      <c r="S2" s="3"/>
      <c r="T2" s="4" t="s">
        <v>1</v>
      </c>
      <c r="V2" s="5"/>
      <c r="X2" s="78"/>
      <c r="Y2" s="79"/>
      <c r="Z2" s="95" t="s">
        <v>25</v>
      </c>
      <c r="AA2" s="96"/>
      <c r="AB2" s="77" t="str">
        <f ca="1">MID(CELL("nome.arquivo"),SEARCH(".xl",CELL("nome.arquivo"))-2,2)&amp;"/ 20"&amp;MID(CELL("nome.arquivo"),SEARCH(".xl",CELL("nome.arquivo"))-4,2)</f>
        <v>03/ 2022</v>
      </c>
      <c r="AE2" s="80"/>
    </row>
    <row r="3" spans="1:31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31" s="11" customFormat="1" ht="30" customHeight="1" x14ac:dyDescent="0.2">
      <c r="A4" s="98" t="s">
        <v>2</v>
      </c>
      <c r="B4" s="99"/>
      <c r="C4" s="52"/>
      <c r="D4" s="53"/>
      <c r="E4" s="53"/>
      <c r="F4" s="53"/>
      <c r="G4" s="53"/>
      <c r="H4" s="55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64"/>
      <c r="AB4" s="10" t="s">
        <v>3</v>
      </c>
    </row>
    <row r="5" spans="1:31" s="16" customFormat="1" ht="30" customHeight="1" thickBot="1" x14ac:dyDescent="0.25">
      <c r="A5" s="91" t="s">
        <v>4</v>
      </c>
      <c r="B5" s="92"/>
      <c r="C5" s="45"/>
      <c r="D5" s="46"/>
      <c r="E5" s="12"/>
      <c r="F5" s="14"/>
      <c r="G5" s="46"/>
      <c r="H5" s="13"/>
      <c r="I5" s="13"/>
      <c r="J5" s="13"/>
      <c r="K5" s="13"/>
      <c r="L5" s="13"/>
      <c r="M5" s="13"/>
      <c r="N5" s="13"/>
      <c r="O5" s="13"/>
      <c r="P5" s="46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  <c r="AE5" s="11"/>
    </row>
    <row r="6" spans="1:31" s="16" customFormat="1" ht="30" customHeight="1" x14ac:dyDescent="0.2">
      <c r="A6" s="93" t="s">
        <v>18</v>
      </c>
      <c r="B6" s="94"/>
      <c r="C6" s="65"/>
      <c r="D6" s="66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</row>
    <row r="7" spans="1:31" s="16" customFormat="1" ht="30" customHeight="1" x14ac:dyDescent="0.2">
      <c r="A7" s="93" t="s">
        <v>19</v>
      </c>
      <c r="B7" s="94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</row>
    <row r="8" spans="1:31" s="16" customFormat="1" ht="30" customHeight="1" x14ac:dyDescent="0.2">
      <c r="A8" s="93" t="s">
        <v>20</v>
      </c>
      <c r="B8" s="94"/>
      <c r="C8" s="69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</row>
    <row r="9" spans="1:31" s="16" customFormat="1" ht="30" customHeight="1" x14ac:dyDescent="0.2">
      <c r="A9" s="100" t="s">
        <v>21</v>
      </c>
      <c r="B9" s="101"/>
      <c r="C9" s="71"/>
      <c r="D9" s="72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</row>
    <row r="10" spans="1:31" s="16" customFormat="1" ht="30" customHeight="1" thickBot="1" x14ac:dyDescent="0.25">
      <c r="A10" s="86" t="s">
        <v>22</v>
      </c>
      <c r="B10" s="87"/>
      <c r="C10" s="71"/>
      <c r="D10" s="72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</row>
    <row r="11" spans="1:31" s="16" customFormat="1" ht="30" customHeight="1" x14ac:dyDescent="0.2">
      <c r="A11" s="82" t="s">
        <v>5</v>
      </c>
      <c r="B11" s="88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si="1"/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</row>
    <row r="12" spans="1:31" s="16" customFormat="1" ht="30" customHeight="1" thickBot="1" x14ac:dyDescent="0.25">
      <c r="A12" s="84" t="s">
        <v>6</v>
      </c>
      <c r="B12" s="89"/>
      <c r="C12" s="24" t="str">
        <f t="shared" ref="C12:AB12" si="2">IF(ISERR(C11/C5),"",C11/C5*1000000)</f>
        <v/>
      </c>
      <c r="D12" s="25" t="str">
        <f t="shared" si="2"/>
        <v/>
      </c>
      <c r="E12" s="25" t="str">
        <f t="shared" si="2"/>
        <v/>
      </c>
      <c r="F12" s="25" t="str">
        <f t="shared" si="2"/>
        <v/>
      </c>
      <c r="G12" s="25" t="str">
        <f t="shared" si="2"/>
        <v/>
      </c>
      <c r="H12" s="25" t="str">
        <f t="shared" si="2"/>
        <v/>
      </c>
      <c r="I12" s="25" t="str">
        <f t="shared" si="2"/>
        <v/>
      </c>
      <c r="J12" s="25" t="str">
        <f t="shared" si="2"/>
        <v/>
      </c>
      <c r="K12" s="25" t="str">
        <f t="shared" si="2"/>
        <v/>
      </c>
      <c r="L12" s="25" t="str">
        <f t="shared" si="2"/>
        <v/>
      </c>
      <c r="M12" s="25" t="str">
        <f t="shared" si="2"/>
        <v/>
      </c>
      <c r="N12" s="25" t="str">
        <f t="shared" si="2"/>
        <v/>
      </c>
      <c r="O12" s="25" t="str">
        <f t="shared" si="2"/>
        <v/>
      </c>
      <c r="P12" s="25" t="str">
        <f t="shared" si="2"/>
        <v/>
      </c>
      <c r="Q12" s="25" t="str">
        <f t="shared" si="2"/>
        <v/>
      </c>
      <c r="R12" s="25" t="str">
        <f t="shared" si="2"/>
        <v/>
      </c>
      <c r="S12" s="25" t="str">
        <f t="shared" si="2"/>
        <v/>
      </c>
      <c r="T12" s="25" t="str">
        <f t="shared" si="2"/>
        <v/>
      </c>
      <c r="U12" s="25" t="str">
        <f t="shared" si="2"/>
        <v/>
      </c>
      <c r="V12" s="25" t="str">
        <f t="shared" si="2"/>
        <v/>
      </c>
      <c r="W12" s="25" t="str">
        <f t="shared" si="2"/>
        <v/>
      </c>
      <c r="X12" s="25" t="str">
        <f t="shared" si="2"/>
        <v/>
      </c>
      <c r="Y12" s="25" t="str">
        <f t="shared" si="2"/>
        <v/>
      </c>
      <c r="Z12" s="25" t="str">
        <f t="shared" si="2"/>
        <v/>
      </c>
      <c r="AA12" s="26" t="str">
        <f t="shared" si="2"/>
        <v/>
      </c>
      <c r="AB12" s="27" t="str">
        <f t="shared" si="2"/>
        <v/>
      </c>
    </row>
    <row r="13" spans="1:31" ht="60" customHeight="1" x14ac:dyDescent="0.2">
      <c r="A13" s="90"/>
      <c r="B13" s="6"/>
      <c r="C13" s="81">
        <f>C30</f>
        <v>0</v>
      </c>
      <c r="D13" s="81">
        <f t="shared" ref="D13:AA13" si="3">D30</f>
        <v>0</v>
      </c>
      <c r="E13" s="81">
        <f t="shared" si="3"/>
        <v>0</v>
      </c>
      <c r="F13" s="81">
        <f t="shared" si="3"/>
        <v>0</v>
      </c>
      <c r="G13" s="81">
        <f t="shared" si="3"/>
        <v>0</v>
      </c>
      <c r="H13" s="81">
        <f t="shared" si="3"/>
        <v>0</v>
      </c>
      <c r="I13" s="81">
        <f t="shared" si="3"/>
        <v>0</v>
      </c>
      <c r="J13" s="81">
        <f t="shared" si="3"/>
        <v>0</v>
      </c>
      <c r="K13" s="81">
        <f t="shared" si="3"/>
        <v>0</v>
      </c>
      <c r="L13" s="81">
        <f t="shared" si="3"/>
        <v>0</v>
      </c>
      <c r="M13" s="81">
        <f t="shared" si="3"/>
        <v>0</v>
      </c>
      <c r="N13" s="81">
        <f t="shared" si="3"/>
        <v>0</v>
      </c>
      <c r="O13" s="81">
        <f t="shared" si="3"/>
        <v>0</v>
      </c>
      <c r="P13" s="81">
        <f t="shared" si="3"/>
        <v>0</v>
      </c>
      <c r="Q13" s="81">
        <f t="shared" si="3"/>
        <v>0</v>
      </c>
      <c r="R13" s="81">
        <f t="shared" si="3"/>
        <v>0</v>
      </c>
      <c r="S13" s="81">
        <f t="shared" si="3"/>
        <v>0</v>
      </c>
      <c r="T13" s="81">
        <f t="shared" si="3"/>
        <v>0</v>
      </c>
      <c r="U13" s="81">
        <f t="shared" si="3"/>
        <v>0</v>
      </c>
      <c r="V13" s="81">
        <f t="shared" si="3"/>
        <v>0</v>
      </c>
      <c r="W13" s="81">
        <f t="shared" si="3"/>
        <v>0</v>
      </c>
      <c r="X13" s="48"/>
      <c r="Y13" s="48"/>
      <c r="Z13" s="48"/>
      <c r="AA13" s="81">
        <f t="shared" si="3"/>
        <v>0</v>
      </c>
      <c r="AB13" s="28"/>
    </row>
    <row r="14" spans="1:31" ht="60" customHeight="1" x14ac:dyDescent="0.2">
      <c r="A14" s="90"/>
      <c r="B14" s="29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48"/>
      <c r="Y14" s="48"/>
      <c r="Z14" s="48"/>
      <c r="AA14" s="81"/>
      <c r="AB14" s="28"/>
    </row>
    <row r="15" spans="1:31" ht="60" customHeight="1" x14ac:dyDescent="0.2">
      <c r="A15" s="90"/>
      <c r="B15" s="30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48"/>
      <c r="Y15" s="48"/>
      <c r="Z15" s="48"/>
      <c r="AA15" s="81"/>
      <c r="AB15" s="28"/>
    </row>
    <row r="16" spans="1:31" ht="60" customHeight="1" x14ac:dyDescent="0.2">
      <c r="A16" s="90"/>
      <c r="B16" s="49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48"/>
      <c r="Y16" s="48"/>
      <c r="Z16" s="48"/>
      <c r="AA16" s="81"/>
      <c r="AB16" s="28"/>
    </row>
    <row r="17" spans="1:28" ht="60" customHeight="1" x14ac:dyDescent="0.2">
      <c r="A17" s="90"/>
      <c r="B17" s="49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48"/>
      <c r="Y17" s="48"/>
      <c r="Z17" s="48"/>
      <c r="AA17" s="81"/>
      <c r="AB17" s="28"/>
    </row>
    <row r="18" spans="1:28" ht="60" customHeight="1" x14ac:dyDescent="0.2">
      <c r="A18" s="90"/>
      <c r="B18" s="49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48"/>
      <c r="Y18" s="48"/>
      <c r="Z18" s="48"/>
      <c r="AA18" s="81"/>
      <c r="AB18" s="28"/>
    </row>
    <row r="19" spans="1:28" ht="60" customHeight="1" x14ac:dyDescent="0.2">
      <c r="A19" s="90"/>
      <c r="B19" s="49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48"/>
      <c r="Y19" s="48"/>
      <c r="Z19" s="48"/>
      <c r="AA19" s="81"/>
      <c r="AB19" s="28"/>
    </row>
    <row r="20" spans="1:28" ht="60" customHeight="1" x14ac:dyDescent="0.2">
      <c r="A20" s="90"/>
      <c r="B20" s="49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48"/>
      <c r="Y20" s="48"/>
      <c r="Z20" s="48"/>
      <c r="AA20" s="81"/>
      <c r="AB20" s="28"/>
    </row>
    <row r="21" spans="1:28" ht="60" customHeight="1" x14ac:dyDescent="0.2">
      <c r="A21" s="90"/>
      <c r="B21" s="49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48"/>
      <c r="Y21" s="48"/>
      <c r="Z21" s="48"/>
      <c r="AA21" s="81"/>
      <c r="AB21" s="28"/>
    </row>
    <row r="22" spans="1:28" ht="60" customHeight="1" thickBot="1" x14ac:dyDescent="0.25">
      <c r="A22" s="90"/>
      <c r="B22" s="49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48"/>
      <c r="Y22" s="48"/>
      <c r="Z22" s="48"/>
      <c r="AA22" s="81"/>
      <c r="AB22" s="28"/>
    </row>
    <row r="23" spans="1:28" ht="18" customHeight="1" x14ac:dyDescent="0.2">
      <c r="A23" s="82" t="s">
        <v>23</v>
      </c>
      <c r="B23" s="83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84" t="s">
        <v>24</v>
      </c>
      <c r="B24" s="8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'[1]SJCPIL 16-006-08'!$Y$33</f>
        <v>360</v>
      </c>
    </row>
    <row r="29" spans="1:28" ht="15.75" x14ac:dyDescent="0.25">
      <c r="B29" s="37" t="s">
        <v>12</v>
      </c>
      <c r="C29" s="47">
        <f t="shared" ref="C29:AB29" si="4">C4</f>
        <v>0</v>
      </c>
      <c r="D29" s="47">
        <f t="shared" si="4"/>
        <v>0</v>
      </c>
      <c r="E29" s="47">
        <f t="shared" si="4"/>
        <v>0</v>
      </c>
      <c r="F29" s="47">
        <f t="shared" si="4"/>
        <v>0</v>
      </c>
      <c r="G29" s="47">
        <f t="shared" si="4"/>
        <v>0</v>
      </c>
      <c r="H29" s="47">
        <f t="shared" si="4"/>
        <v>0</v>
      </c>
      <c r="I29" s="47">
        <f t="shared" si="4"/>
        <v>0</v>
      </c>
      <c r="J29" s="47">
        <f t="shared" si="4"/>
        <v>0</v>
      </c>
      <c r="K29" s="47">
        <f t="shared" si="4"/>
        <v>0</v>
      </c>
      <c r="L29" s="47">
        <f t="shared" si="4"/>
        <v>0</v>
      </c>
      <c r="M29" s="47">
        <f t="shared" si="4"/>
        <v>0</v>
      </c>
      <c r="N29" s="47">
        <f t="shared" si="4"/>
        <v>0</v>
      </c>
      <c r="O29" s="47">
        <f t="shared" si="4"/>
        <v>0</v>
      </c>
      <c r="P29" s="47">
        <f t="shared" si="4"/>
        <v>0</v>
      </c>
      <c r="Q29" s="47">
        <f t="shared" si="4"/>
        <v>0</v>
      </c>
      <c r="R29" s="47">
        <f t="shared" si="4"/>
        <v>0</v>
      </c>
      <c r="S29" s="47">
        <f t="shared" si="4"/>
        <v>0</v>
      </c>
      <c r="T29" s="47">
        <f t="shared" si="4"/>
        <v>0</v>
      </c>
      <c r="U29" s="47">
        <f t="shared" si="4"/>
        <v>0</v>
      </c>
      <c r="V29" s="47">
        <f t="shared" si="4"/>
        <v>0</v>
      </c>
      <c r="W29" s="47">
        <f t="shared" si="4"/>
        <v>0</v>
      </c>
      <c r="X29" s="47"/>
      <c r="Y29" s="47"/>
      <c r="Z29" s="47"/>
      <c r="AA29" s="47">
        <f t="shared" si="4"/>
        <v>0</v>
      </c>
      <c r="AB29" s="38" t="str">
        <f t="shared" si="4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1"/>
      <c r="U30" s="41"/>
      <c r="V30" s="41"/>
      <c r="W30" s="41"/>
      <c r="X30" s="41"/>
      <c r="Y30" s="41"/>
      <c r="Z30" s="41"/>
      <c r="AA30" s="41"/>
      <c r="AB30" s="42"/>
    </row>
  </sheetData>
  <sheetProtection selectLockedCells="1"/>
  <mergeCells count="36"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G13:G22"/>
    <mergeCell ref="C13:C22"/>
    <mergeCell ref="H13:H22"/>
    <mergeCell ref="A5:B5"/>
    <mergeCell ref="A6:B6"/>
    <mergeCell ref="A7:B7"/>
    <mergeCell ref="A8:B8"/>
    <mergeCell ref="Z2:AA2"/>
    <mergeCell ref="P2:R2"/>
    <mergeCell ref="A4:B4"/>
    <mergeCell ref="A23:B23"/>
    <mergeCell ref="A24:B24"/>
    <mergeCell ref="A10:B10"/>
    <mergeCell ref="A11:B11"/>
    <mergeCell ref="A12:B12"/>
    <mergeCell ref="A13:A22"/>
    <mergeCell ref="I13:I22"/>
    <mergeCell ref="O13:O22"/>
    <mergeCell ref="D13:D22"/>
    <mergeCell ref="E13:E22"/>
    <mergeCell ref="F13:F22"/>
    <mergeCell ref="J13:J22"/>
    <mergeCell ref="K13:K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0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AB30"/>
  <sheetViews>
    <sheetView showZeros="0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28" ht="13.5" thickBot="1" x14ac:dyDescent="0.25"/>
    <row r="2" spans="1:28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7" t="s">
        <v>15</v>
      </c>
      <c r="Q2" s="97"/>
      <c r="R2" s="97"/>
      <c r="S2" s="3"/>
      <c r="T2" s="4" t="s">
        <v>1</v>
      </c>
      <c r="V2" s="5"/>
      <c r="X2" s="78"/>
      <c r="Y2" s="79"/>
      <c r="Z2" s="95" t="s">
        <v>25</v>
      </c>
      <c r="AA2" s="96"/>
      <c r="AB2" s="77" t="str">
        <f ca="1">'Maq. 1'!AB2</f>
        <v>03/ 2022</v>
      </c>
    </row>
    <row r="3" spans="1:28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28" s="11" customFormat="1" ht="30" customHeight="1" x14ac:dyDescent="0.2">
      <c r="A4" s="98" t="s">
        <v>2</v>
      </c>
      <c r="B4" s="99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54"/>
      <c r="AB4" s="10" t="s">
        <v>3</v>
      </c>
    </row>
    <row r="5" spans="1:28" s="16" customFormat="1" ht="30" customHeight="1" thickBot="1" x14ac:dyDescent="0.25">
      <c r="A5" s="91" t="s">
        <v>4</v>
      </c>
      <c r="B5" s="92"/>
      <c r="C5" s="45"/>
      <c r="D5" s="12"/>
      <c r="E5" s="12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</row>
    <row r="6" spans="1:28" s="16" customFormat="1" ht="30" customHeight="1" x14ac:dyDescent="0.2">
      <c r="A6" s="102" t="s">
        <v>18</v>
      </c>
      <c r="B6" s="94"/>
      <c r="C6" s="65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</row>
    <row r="7" spans="1:28" s="16" customFormat="1" ht="30" customHeight="1" x14ac:dyDescent="0.2">
      <c r="A7" s="102" t="s">
        <v>19</v>
      </c>
      <c r="B7" s="94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</row>
    <row r="8" spans="1:28" s="16" customFormat="1" ht="30" customHeight="1" x14ac:dyDescent="0.2">
      <c r="A8" s="102" t="s">
        <v>20</v>
      </c>
      <c r="B8" s="94"/>
      <c r="C8" s="69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</row>
    <row r="9" spans="1:28" s="16" customFormat="1" ht="30" customHeight="1" x14ac:dyDescent="0.2">
      <c r="A9" s="103" t="s">
        <v>21</v>
      </c>
      <c r="B9" s="104"/>
      <c r="C9" s="71"/>
      <c r="D9" s="72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</row>
    <row r="10" spans="1:28" s="16" customFormat="1" ht="30" customHeight="1" thickBot="1" x14ac:dyDescent="0.25">
      <c r="A10" s="105" t="s">
        <v>22</v>
      </c>
      <c r="B10" s="87"/>
      <c r="C10" s="73"/>
      <c r="D10" s="74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</row>
    <row r="11" spans="1:28" s="16" customFormat="1" ht="30" customHeight="1" x14ac:dyDescent="0.2">
      <c r="A11" s="82" t="s">
        <v>5</v>
      </c>
      <c r="B11" s="88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si="1"/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</row>
    <row r="12" spans="1:28" s="16" customFormat="1" ht="30" customHeight="1" thickBot="1" x14ac:dyDescent="0.25">
      <c r="A12" s="84" t="s">
        <v>6</v>
      </c>
      <c r="B12" s="89"/>
      <c r="C12" s="24" t="str">
        <f t="shared" ref="C12:AB12" si="2">IF(ISERR(C11/C5),"",C11/C5*1000000)</f>
        <v/>
      </c>
      <c r="D12" s="25" t="str">
        <f t="shared" si="2"/>
        <v/>
      </c>
      <c r="E12" s="25" t="str">
        <f t="shared" si="2"/>
        <v/>
      </c>
      <c r="F12" s="25" t="str">
        <f t="shared" si="2"/>
        <v/>
      </c>
      <c r="G12" s="25" t="str">
        <f t="shared" si="2"/>
        <v/>
      </c>
      <c r="H12" s="25" t="str">
        <f t="shared" si="2"/>
        <v/>
      </c>
      <c r="I12" s="25" t="str">
        <f t="shared" si="2"/>
        <v/>
      </c>
      <c r="J12" s="25" t="str">
        <f t="shared" si="2"/>
        <v/>
      </c>
      <c r="K12" s="25" t="str">
        <f t="shared" si="2"/>
        <v/>
      </c>
      <c r="L12" s="25" t="str">
        <f t="shared" si="2"/>
        <v/>
      </c>
      <c r="M12" s="25" t="str">
        <f t="shared" si="2"/>
        <v/>
      </c>
      <c r="N12" s="25" t="str">
        <f t="shared" si="2"/>
        <v/>
      </c>
      <c r="O12" s="25" t="str">
        <f t="shared" si="2"/>
        <v/>
      </c>
      <c r="P12" s="25" t="str">
        <f t="shared" si="2"/>
        <v/>
      </c>
      <c r="Q12" s="25" t="str">
        <f t="shared" si="2"/>
        <v/>
      </c>
      <c r="R12" s="25" t="str">
        <f t="shared" si="2"/>
        <v/>
      </c>
      <c r="S12" s="25" t="str">
        <f t="shared" si="2"/>
        <v/>
      </c>
      <c r="T12" s="25" t="str">
        <f t="shared" si="2"/>
        <v/>
      </c>
      <c r="U12" s="25" t="str">
        <f t="shared" si="2"/>
        <v/>
      </c>
      <c r="V12" s="25" t="str">
        <f t="shared" si="2"/>
        <v/>
      </c>
      <c r="W12" s="25" t="str">
        <f t="shared" si="2"/>
        <v/>
      </c>
      <c r="X12" s="25" t="str">
        <f t="shared" si="2"/>
        <v/>
      </c>
      <c r="Y12" s="25" t="str">
        <f t="shared" si="2"/>
        <v/>
      </c>
      <c r="Z12" s="25" t="str">
        <f t="shared" si="2"/>
        <v/>
      </c>
      <c r="AA12" s="26" t="str">
        <f t="shared" si="2"/>
        <v/>
      </c>
      <c r="AB12" s="27" t="str">
        <f t="shared" si="2"/>
        <v/>
      </c>
    </row>
    <row r="13" spans="1:28" ht="60" customHeight="1" x14ac:dyDescent="0.2">
      <c r="A13" s="90"/>
      <c r="B13" s="6"/>
      <c r="C13" s="81">
        <f>C30</f>
        <v>0</v>
      </c>
      <c r="D13" s="81">
        <f t="shared" ref="D13:AA13" si="3">D30</f>
        <v>0</v>
      </c>
      <c r="E13" s="81">
        <f t="shared" si="3"/>
        <v>0</v>
      </c>
      <c r="F13" s="81">
        <f t="shared" si="3"/>
        <v>0</v>
      </c>
      <c r="G13" s="81">
        <f t="shared" si="3"/>
        <v>0</v>
      </c>
      <c r="H13" s="81">
        <f t="shared" si="3"/>
        <v>0</v>
      </c>
      <c r="I13" s="81">
        <f t="shared" si="3"/>
        <v>0</v>
      </c>
      <c r="J13" s="81">
        <f t="shared" si="3"/>
        <v>0</v>
      </c>
      <c r="K13" s="81">
        <f t="shared" si="3"/>
        <v>0</v>
      </c>
      <c r="L13" s="81">
        <f t="shared" si="3"/>
        <v>0</v>
      </c>
      <c r="M13" s="81">
        <f t="shared" si="3"/>
        <v>0</v>
      </c>
      <c r="N13" s="81">
        <f t="shared" si="3"/>
        <v>0</v>
      </c>
      <c r="O13" s="81">
        <f t="shared" si="3"/>
        <v>0</v>
      </c>
      <c r="P13" s="81">
        <f t="shared" si="3"/>
        <v>0</v>
      </c>
      <c r="Q13" s="81">
        <f t="shared" si="3"/>
        <v>0</v>
      </c>
      <c r="R13" s="81">
        <f t="shared" si="3"/>
        <v>0</v>
      </c>
      <c r="S13" s="81">
        <f t="shared" si="3"/>
        <v>0</v>
      </c>
      <c r="T13" s="81">
        <f t="shared" si="3"/>
        <v>0</v>
      </c>
      <c r="U13" s="81">
        <f t="shared" si="3"/>
        <v>0</v>
      </c>
      <c r="V13" s="81">
        <f t="shared" si="3"/>
        <v>0</v>
      </c>
      <c r="W13" s="81">
        <f t="shared" si="3"/>
        <v>0</v>
      </c>
      <c r="X13" s="48"/>
      <c r="Y13" s="48"/>
      <c r="Z13" s="48"/>
      <c r="AA13" s="81">
        <f t="shared" si="3"/>
        <v>0</v>
      </c>
      <c r="AB13" s="28"/>
    </row>
    <row r="14" spans="1:28" ht="60" customHeight="1" x14ac:dyDescent="0.2">
      <c r="A14" s="90"/>
      <c r="B14" s="29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48"/>
      <c r="Y14" s="48"/>
      <c r="Z14" s="48"/>
      <c r="AA14" s="81"/>
      <c r="AB14" s="28"/>
    </row>
    <row r="15" spans="1:28" ht="60" customHeight="1" x14ac:dyDescent="0.2">
      <c r="A15" s="90"/>
      <c r="B15" s="30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48"/>
      <c r="Y15" s="48"/>
      <c r="Z15" s="48"/>
      <c r="AA15" s="81"/>
      <c r="AB15" s="28"/>
    </row>
    <row r="16" spans="1:28" ht="60" customHeight="1" x14ac:dyDescent="0.2">
      <c r="A16" s="90"/>
      <c r="B16" s="49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48"/>
      <c r="Y16" s="48"/>
      <c r="Z16" s="48"/>
      <c r="AA16" s="81"/>
      <c r="AB16" s="28"/>
    </row>
    <row r="17" spans="1:28" ht="60" customHeight="1" x14ac:dyDescent="0.2">
      <c r="A17" s="90"/>
      <c r="B17" s="49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48"/>
      <c r="Y17" s="48"/>
      <c r="Z17" s="48"/>
      <c r="AA17" s="81"/>
      <c r="AB17" s="28"/>
    </row>
    <row r="18" spans="1:28" ht="60" customHeight="1" x14ac:dyDescent="0.2">
      <c r="A18" s="90"/>
      <c r="B18" s="49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48"/>
      <c r="Y18" s="48"/>
      <c r="Z18" s="48"/>
      <c r="AA18" s="81"/>
      <c r="AB18" s="28"/>
    </row>
    <row r="19" spans="1:28" ht="60" customHeight="1" x14ac:dyDescent="0.2">
      <c r="A19" s="90"/>
      <c r="B19" s="49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48"/>
      <c r="Y19" s="48"/>
      <c r="Z19" s="48"/>
      <c r="AA19" s="81"/>
      <c r="AB19" s="28"/>
    </row>
    <row r="20" spans="1:28" ht="60" customHeight="1" x14ac:dyDescent="0.2">
      <c r="A20" s="90"/>
      <c r="B20" s="49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48"/>
      <c r="Y20" s="48"/>
      <c r="Z20" s="48"/>
      <c r="AA20" s="81"/>
      <c r="AB20" s="28"/>
    </row>
    <row r="21" spans="1:28" ht="60" customHeight="1" x14ac:dyDescent="0.2">
      <c r="A21" s="90"/>
      <c r="B21" s="49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48"/>
      <c r="Y21" s="48"/>
      <c r="Z21" s="48"/>
      <c r="AA21" s="81"/>
      <c r="AB21" s="28"/>
    </row>
    <row r="22" spans="1:28" ht="60" customHeight="1" thickBot="1" x14ac:dyDescent="0.25">
      <c r="A22" s="90"/>
      <c r="B22" s="49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48"/>
      <c r="Y22" s="48"/>
      <c r="Z22" s="48"/>
      <c r="AA22" s="81"/>
      <c r="AB22" s="28"/>
    </row>
    <row r="23" spans="1:28" ht="18" customHeight="1" x14ac:dyDescent="0.2">
      <c r="A23" s="82" t="s">
        <v>23</v>
      </c>
      <c r="B23" s="83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84" t="s">
        <v>24</v>
      </c>
      <c r="B24" s="8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'Maq. 1'!$C$27</f>
        <v>360</v>
      </c>
    </row>
    <row r="29" spans="1:28" ht="15.75" x14ac:dyDescent="0.25">
      <c r="B29" s="37" t="s">
        <v>12</v>
      </c>
      <c r="C29" s="47">
        <f t="shared" ref="C29:AB29" si="4">C4</f>
        <v>0</v>
      </c>
      <c r="D29" s="47">
        <f t="shared" si="4"/>
        <v>0</v>
      </c>
      <c r="E29" s="47">
        <f t="shared" si="4"/>
        <v>0</v>
      </c>
      <c r="F29" s="47">
        <f t="shared" si="4"/>
        <v>0</v>
      </c>
      <c r="G29" s="47">
        <f t="shared" si="4"/>
        <v>0</v>
      </c>
      <c r="H29" s="47">
        <f t="shared" si="4"/>
        <v>0</v>
      </c>
      <c r="I29" s="47">
        <f t="shared" si="4"/>
        <v>0</v>
      </c>
      <c r="J29" s="47">
        <f t="shared" si="4"/>
        <v>0</v>
      </c>
      <c r="K29" s="47">
        <f t="shared" si="4"/>
        <v>0</v>
      </c>
      <c r="L29" s="47">
        <f t="shared" si="4"/>
        <v>0</v>
      </c>
      <c r="M29" s="47">
        <f t="shared" si="4"/>
        <v>0</v>
      </c>
      <c r="N29" s="47">
        <f t="shared" si="4"/>
        <v>0</v>
      </c>
      <c r="O29" s="47">
        <f t="shared" si="4"/>
        <v>0</v>
      </c>
      <c r="P29" s="47">
        <f t="shared" si="4"/>
        <v>0</v>
      </c>
      <c r="Q29" s="47">
        <f t="shared" si="4"/>
        <v>0</v>
      </c>
      <c r="R29" s="47">
        <f t="shared" si="4"/>
        <v>0</v>
      </c>
      <c r="S29" s="47">
        <f t="shared" si="4"/>
        <v>0</v>
      </c>
      <c r="T29" s="47">
        <f t="shared" si="4"/>
        <v>0</v>
      </c>
      <c r="U29" s="47">
        <f t="shared" si="4"/>
        <v>0</v>
      </c>
      <c r="V29" s="47">
        <f t="shared" si="4"/>
        <v>0</v>
      </c>
      <c r="W29" s="47">
        <f t="shared" si="4"/>
        <v>0</v>
      </c>
      <c r="X29" s="47"/>
      <c r="Y29" s="47"/>
      <c r="Z29" s="47"/>
      <c r="AA29" s="47">
        <f t="shared" si="4"/>
        <v>0</v>
      </c>
      <c r="AB29" s="38" t="str">
        <f t="shared" si="4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0"/>
      <c r="U30" s="40"/>
      <c r="V30" s="41"/>
      <c r="W30" s="41"/>
      <c r="X30" s="41"/>
      <c r="Y30" s="41"/>
      <c r="Z30" s="41"/>
      <c r="AA30" s="41"/>
      <c r="AB30" s="42"/>
    </row>
  </sheetData>
  <sheetProtection selectLockedCells="1"/>
  <mergeCells count="36">
    <mergeCell ref="AA13:AA22"/>
    <mergeCell ref="A7:B7"/>
    <mergeCell ref="A8:B8"/>
    <mergeCell ref="A10:B10"/>
    <mergeCell ref="Q13:Q22"/>
    <mergeCell ref="R13:R22"/>
    <mergeCell ref="S13:S22"/>
    <mergeCell ref="T13:T22"/>
    <mergeCell ref="U13:U22"/>
    <mergeCell ref="V13:V22"/>
    <mergeCell ref="K13:K22"/>
    <mergeCell ref="L13:L22"/>
    <mergeCell ref="M13:M22"/>
    <mergeCell ref="N13:N22"/>
    <mergeCell ref="G13:G22"/>
    <mergeCell ref="I13:I22"/>
    <mergeCell ref="J13:J22"/>
    <mergeCell ref="A9:B9"/>
    <mergeCell ref="A23:B23"/>
    <mergeCell ref="W13:W22"/>
    <mergeCell ref="A24:B24"/>
    <mergeCell ref="A11:B11"/>
    <mergeCell ref="A12:B12"/>
    <mergeCell ref="A13:A22"/>
    <mergeCell ref="C13:C22"/>
    <mergeCell ref="D13:D22"/>
    <mergeCell ref="O13:O22"/>
    <mergeCell ref="P13:P22"/>
    <mergeCell ref="E13:E22"/>
    <mergeCell ref="F13:F22"/>
    <mergeCell ref="H13:H22"/>
    <mergeCell ref="Z2:AA2"/>
    <mergeCell ref="P2:R2"/>
    <mergeCell ref="A4:B4"/>
    <mergeCell ref="A5:B5"/>
    <mergeCell ref="A6:B6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AB30"/>
  <sheetViews>
    <sheetView showZeros="0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28" ht="13.5" thickBot="1" x14ac:dyDescent="0.25"/>
    <row r="2" spans="1:28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7" t="s">
        <v>16</v>
      </c>
      <c r="Q2" s="97"/>
      <c r="R2" s="97"/>
      <c r="S2" s="3"/>
      <c r="T2" s="4" t="s">
        <v>1</v>
      </c>
      <c r="V2" s="5"/>
      <c r="X2" s="78"/>
      <c r="Y2" s="79"/>
      <c r="Z2" s="95" t="s">
        <v>25</v>
      </c>
      <c r="AA2" s="96"/>
      <c r="AB2" s="77" t="str">
        <f ca="1">'Maq. 1'!AB2</f>
        <v>03/ 2022</v>
      </c>
    </row>
    <row r="3" spans="1:28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28" s="11" customFormat="1" ht="30" customHeight="1" x14ac:dyDescent="0.2">
      <c r="A4" s="98" t="s">
        <v>2</v>
      </c>
      <c r="B4" s="99"/>
      <c r="C4" s="52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54"/>
      <c r="AB4" s="10" t="s">
        <v>3</v>
      </c>
    </row>
    <row r="5" spans="1:28" s="16" customFormat="1" ht="30" customHeight="1" thickBot="1" x14ac:dyDescent="0.25">
      <c r="A5" s="91" t="s">
        <v>4</v>
      </c>
      <c r="B5" s="92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3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</row>
    <row r="6" spans="1:28" s="16" customFormat="1" ht="30" customHeight="1" x14ac:dyDescent="0.2">
      <c r="A6" s="102" t="s">
        <v>18</v>
      </c>
      <c r="B6" s="94"/>
      <c r="C6" s="65"/>
      <c r="D6" s="66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</row>
    <row r="7" spans="1:28" s="16" customFormat="1" ht="30" customHeight="1" x14ac:dyDescent="0.2">
      <c r="A7" s="102" t="s">
        <v>19</v>
      </c>
      <c r="B7" s="94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</row>
    <row r="8" spans="1:28" s="16" customFormat="1" ht="30" customHeight="1" x14ac:dyDescent="0.2">
      <c r="A8" s="102" t="s">
        <v>20</v>
      </c>
      <c r="B8" s="94"/>
      <c r="C8" s="69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</row>
    <row r="9" spans="1:28" s="16" customFormat="1" ht="30" customHeight="1" x14ac:dyDescent="0.2">
      <c r="A9" s="103" t="s">
        <v>21</v>
      </c>
      <c r="B9" s="104"/>
      <c r="C9" s="71"/>
      <c r="D9" s="72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</row>
    <row r="10" spans="1:28" s="16" customFormat="1" ht="30" customHeight="1" thickBot="1" x14ac:dyDescent="0.25">
      <c r="A10" s="105" t="s">
        <v>22</v>
      </c>
      <c r="B10" s="87"/>
      <c r="C10" s="71"/>
      <c r="D10" s="72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</row>
    <row r="11" spans="1:28" s="16" customFormat="1" ht="30" customHeight="1" x14ac:dyDescent="0.2">
      <c r="A11" s="82" t="s">
        <v>5</v>
      </c>
      <c r="B11" s="88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si="1"/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</row>
    <row r="12" spans="1:28" s="16" customFormat="1" ht="30" customHeight="1" thickBot="1" x14ac:dyDescent="0.25">
      <c r="A12" s="84" t="s">
        <v>6</v>
      </c>
      <c r="B12" s="89"/>
      <c r="C12" s="24" t="str">
        <f t="shared" ref="C12:AB12" si="2">IF(ISERR(C11/C5),"",C11/C5*1000000)</f>
        <v/>
      </c>
      <c r="D12" s="25" t="str">
        <f t="shared" si="2"/>
        <v/>
      </c>
      <c r="E12" s="25" t="str">
        <f t="shared" si="2"/>
        <v/>
      </c>
      <c r="F12" s="25" t="str">
        <f t="shared" si="2"/>
        <v/>
      </c>
      <c r="G12" s="25" t="str">
        <f t="shared" si="2"/>
        <v/>
      </c>
      <c r="H12" s="25" t="str">
        <f t="shared" si="2"/>
        <v/>
      </c>
      <c r="I12" s="25" t="str">
        <f t="shared" si="2"/>
        <v/>
      </c>
      <c r="J12" s="25" t="str">
        <f t="shared" si="2"/>
        <v/>
      </c>
      <c r="K12" s="25" t="str">
        <f t="shared" si="2"/>
        <v/>
      </c>
      <c r="L12" s="25" t="str">
        <f t="shared" si="2"/>
        <v/>
      </c>
      <c r="M12" s="25" t="str">
        <f t="shared" si="2"/>
        <v/>
      </c>
      <c r="N12" s="25" t="str">
        <f t="shared" si="2"/>
        <v/>
      </c>
      <c r="O12" s="25" t="str">
        <f t="shared" si="2"/>
        <v/>
      </c>
      <c r="P12" s="25" t="str">
        <f t="shared" si="2"/>
        <v/>
      </c>
      <c r="Q12" s="25" t="str">
        <f t="shared" si="2"/>
        <v/>
      </c>
      <c r="R12" s="25" t="str">
        <f t="shared" si="2"/>
        <v/>
      </c>
      <c r="S12" s="25" t="str">
        <f t="shared" si="2"/>
        <v/>
      </c>
      <c r="T12" s="25" t="str">
        <f t="shared" si="2"/>
        <v/>
      </c>
      <c r="U12" s="25" t="str">
        <f t="shared" si="2"/>
        <v/>
      </c>
      <c r="V12" s="25" t="str">
        <f t="shared" si="2"/>
        <v/>
      </c>
      <c r="W12" s="25" t="str">
        <f t="shared" si="2"/>
        <v/>
      </c>
      <c r="X12" s="25" t="str">
        <f t="shared" si="2"/>
        <v/>
      </c>
      <c r="Y12" s="25" t="str">
        <f t="shared" si="2"/>
        <v/>
      </c>
      <c r="Z12" s="25" t="str">
        <f t="shared" si="2"/>
        <v/>
      </c>
      <c r="AA12" s="26" t="str">
        <f t="shared" si="2"/>
        <v/>
      </c>
      <c r="AB12" s="27" t="str">
        <f t="shared" si="2"/>
        <v/>
      </c>
    </row>
    <row r="13" spans="1:28" ht="60" customHeight="1" x14ac:dyDescent="0.2">
      <c r="A13" s="90"/>
      <c r="B13" s="6"/>
      <c r="C13" s="81">
        <f>C30</f>
        <v>0</v>
      </c>
      <c r="D13" s="81">
        <f t="shared" ref="D13:AA13" si="3">D30</f>
        <v>0</v>
      </c>
      <c r="E13" s="81">
        <f t="shared" si="3"/>
        <v>0</v>
      </c>
      <c r="F13" s="81">
        <f t="shared" si="3"/>
        <v>0</v>
      </c>
      <c r="G13" s="81">
        <f t="shared" si="3"/>
        <v>0</v>
      </c>
      <c r="H13" s="81">
        <f t="shared" si="3"/>
        <v>0</v>
      </c>
      <c r="I13" s="81">
        <f t="shared" si="3"/>
        <v>0</v>
      </c>
      <c r="J13" s="81">
        <f t="shared" si="3"/>
        <v>0</v>
      </c>
      <c r="K13" s="81">
        <f t="shared" si="3"/>
        <v>0</v>
      </c>
      <c r="L13" s="81">
        <f t="shared" si="3"/>
        <v>0</v>
      </c>
      <c r="M13" s="81">
        <f t="shared" si="3"/>
        <v>0</v>
      </c>
      <c r="N13" s="81">
        <f t="shared" si="3"/>
        <v>0</v>
      </c>
      <c r="O13" s="81">
        <f t="shared" si="3"/>
        <v>0</v>
      </c>
      <c r="P13" s="81">
        <f t="shared" si="3"/>
        <v>0</v>
      </c>
      <c r="Q13" s="81">
        <f t="shared" si="3"/>
        <v>0</v>
      </c>
      <c r="R13" s="81">
        <f t="shared" si="3"/>
        <v>0</v>
      </c>
      <c r="S13" s="81">
        <f t="shared" si="3"/>
        <v>0</v>
      </c>
      <c r="T13" s="81">
        <f t="shared" si="3"/>
        <v>0</v>
      </c>
      <c r="U13" s="81">
        <f t="shared" si="3"/>
        <v>0</v>
      </c>
      <c r="V13" s="81">
        <f t="shared" si="3"/>
        <v>0</v>
      </c>
      <c r="W13" s="81">
        <f t="shared" si="3"/>
        <v>0</v>
      </c>
      <c r="X13" s="48"/>
      <c r="Y13" s="48"/>
      <c r="Z13" s="48"/>
      <c r="AA13" s="81">
        <f t="shared" si="3"/>
        <v>0</v>
      </c>
      <c r="AB13" s="28"/>
    </row>
    <row r="14" spans="1:28" ht="60" customHeight="1" x14ac:dyDescent="0.2">
      <c r="A14" s="90"/>
      <c r="B14" s="29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48"/>
      <c r="Y14" s="48"/>
      <c r="Z14" s="48"/>
      <c r="AA14" s="81"/>
      <c r="AB14" s="28"/>
    </row>
    <row r="15" spans="1:28" ht="60" customHeight="1" x14ac:dyDescent="0.2">
      <c r="A15" s="90"/>
      <c r="B15" s="30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48"/>
      <c r="Y15" s="48"/>
      <c r="Z15" s="48"/>
      <c r="AA15" s="81"/>
      <c r="AB15" s="28"/>
    </row>
    <row r="16" spans="1:28" ht="60" customHeight="1" x14ac:dyDescent="0.2">
      <c r="A16" s="90"/>
      <c r="B16" s="49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48"/>
      <c r="Y16" s="48"/>
      <c r="Z16" s="48"/>
      <c r="AA16" s="81"/>
      <c r="AB16" s="28"/>
    </row>
    <row r="17" spans="1:28" ht="60" customHeight="1" x14ac:dyDescent="0.2">
      <c r="A17" s="90"/>
      <c r="B17" s="49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48"/>
      <c r="Y17" s="48"/>
      <c r="Z17" s="48"/>
      <c r="AA17" s="81"/>
      <c r="AB17" s="28"/>
    </row>
    <row r="18" spans="1:28" ht="60" customHeight="1" x14ac:dyDescent="0.2">
      <c r="A18" s="90"/>
      <c r="B18" s="49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48"/>
      <c r="Y18" s="48"/>
      <c r="Z18" s="48"/>
      <c r="AA18" s="81"/>
      <c r="AB18" s="28"/>
    </row>
    <row r="19" spans="1:28" ht="60" customHeight="1" x14ac:dyDescent="0.2">
      <c r="A19" s="90"/>
      <c r="B19" s="49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48"/>
      <c r="Y19" s="48"/>
      <c r="Z19" s="48"/>
      <c r="AA19" s="81"/>
      <c r="AB19" s="28"/>
    </row>
    <row r="20" spans="1:28" ht="60" customHeight="1" x14ac:dyDescent="0.2">
      <c r="A20" s="90"/>
      <c r="B20" s="49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48"/>
      <c r="Y20" s="48"/>
      <c r="Z20" s="48"/>
      <c r="AA20" s="81"/>
      <c r="AB20" s="28"/>
    </row>
    <row r="21" spans="1:28" ht="60" customHeight="1" x14ac:dyDescent="0.2">
      <c r="A21" s="90"/>
      <c r="B21" s="49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48"/>
      <c r="Y21" s="48"/>
      <c r="Z21" s="48"/>
      <c r="AA21" s="81"/>
      <c r="AB21" s="28"/>
    </row>
    <row r="22" spans="1:28" ht="60" customHeight="1" thickBot="1" x14ac:dyDescent="0.25">
      <c r="A22" s="90"/>
      <c r="B22" s="49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48"/>
      <c r="Y22" s="48"/>
      <c r="Z22" s="48"/>
      <c r="AA22" s="81"/>
      <c r="AB22" s="28"/>
    </row>
    <row r="23" spans="1:28" ht="18" customHeight="1" x14ac:dyDescent="0.2">
      <c r="A23" s="82" t="s">
        <v>23</v>
      </c>
      <c r="B23" s="83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84" t="s">
        <v>24</v>
      </c>
      <c r="B24" s="8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'Maq. 1'!$C$27</f>
        <v>360</v>
      </c>
    </row>
    <row r="29" spans="1:28" ht="15.75" x14ac:dyDescent="0.25">
      <c r="B29" s="37" t="s">
        <v>12</v>
      </c>
      <c r="C29" s="47">
        <f t="shared" ref="C29:AB29" si="4">C4</f>
        <v>0</v>
      </c>
      <c r="D29" s="47">
        <f t="shared" si="4"/>
        <v>0</v>
      </c>
      <c r="E29" s="47">
        <f t="shared" si="4"/>
        <v>0</v>
      </c>
      <c r="F29" s="47">
        <f t="shared" si="4"/>
        <v>0</v>
      </c>
      <c r="G29" s="47">
        <f t="shared" si="4"/>
        <v>0</v>
      </c>
      <c r="H29" s="47">
        <f t="shared" si="4"/>
        <v>0</v>
      </c>
      <c r="I29" s="47">
        <f t="shared" si="4"/>
        <v>0</v>
      </c>
      <c r="J29" s="47">
        <f t="shared" si="4"/>
        <v>0</v>
      </c>
      <c r="K29" s="47">
        <f t="shared" si="4"/>
        <v>0</v>
      </c>
      <c r="L29" s="47">
        <f t="shared" si="4"/>
        <v>0</v>
      </c>
      <c r="M29" s="47">
        <f t="shared" si="4"/>
        <v>0</v>
      </c>
      <c r="N29" s="47">
        <f t="shared" si="4"/>
        <v>0</v>
      </c>
      <c r="O29" s="47">
        <f t="shared" si="4"/>
        <v>0</v>
      </c>
      <c r="P29" s="47">
        <f t="shared" si="4"/>
        <v>0</v>
      </c>
      <c r="Q29" s="47">
        <f t="shared" si="4"/>
        <v>0</v>
      </c>
      <c r="R29" s="47">
        <f t="shared" si="4"/>
        <v>0</v>
      </c>
      <c r="S29" s="47">
        <f t="shared" si="4"/>
        <v>0</v>
      </c>
      <c r="T29" s="47">
        <f t="shared" si="4"/>
        <v>0</v>
      </c>
      <c r="U29" s="47">
        <f t="shared" si="4"/>
        <v>0</v>
      </c>
      <c r="V29" s="47">
        <f t="shared" si="4"/>
        <v>0</v>
      </c>
      <c r="W29" s="47">
        <f t="shared" si="4"/>
        <v>0</v>
      </c>
      <c r="X29" s="47"/>
      <c r="Y29" s="47"/>
      <c r="Z29" s="47"/>
      <c r="AA29" s="47">
        <f t="shared" si="4"/>
        <v>0</v>
      </c>
      <c r="AB29" s="38" t="str">
        <f t="shared" si="4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0"/>
      <c r="U30" s="40"/>
      <c r="V30" s="41"/>
      <c r="W30" s="41"/>
      <c r="X30" s="41"/>
      <c r="Y30" s="41"/>
      <c r="Z30" s="41"/>
      <c r="AA30" s="41"/>
      <c r="AB30" s="42"/>
    </row>
  </sheetData>
  <sheetProtection selectLockedCells="1"/>
  <mergeCells count="36"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G13:G22"/>
    <mergeCell ref="C13:C22"/>
    <mergeCell ref="H13:H22"/>
    <mergeCell ref="A5:B5"/>
    <mergeCell ref="A6:B6"/>
    <mergeCell ref="A7:B7"/>
    <mergeCell ref="A8:B8"/>
    <mergeCell ref="Z2:AA2"/>
    <mergeCell ref="P2:R2"/>
    <mergeCell ref="A4:B4"/>
    <mergeCell ref="A23:B23"/>
    <mergeCell ref="A24:B24"/>
    <mergeCell ref="A10:B10"/>
    <mergeCell ref="A11:B11"/>
    <mergeCell ref="A12:B12"/>
    <mergeCell ref="A13:A22"/>
    <mergeCell ref="I13:I22"/>
    <mergeCell ref="O13:O22"/>
    <mergeCell ref="D13:D22"/>
    <mergeCell ref="E13:E22"/>
    <mergeCell ref="F13:F22"/>
    <mergeCell ref="J13:J22"/>
    <mergeCell ref="K13:K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heck Box 3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heck Box 4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pageSetUpPr fitToPage="1"/>
  </sheetPr>
  <dimension ref="A1:AG30"/>
  <sheetViews>
    <sheetView showZeros="0" tabSelected="1" zoomScaleNormal="100" zoomScaleSheetLayoutView="50" workbookViewId="0">
      <selection activeCell="C10" sqref="C1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33" ht="13.5" thickBot="1" x14ac:dyDescent="0.25"/>
    <row r="2" spans="1:33" ht="34.5" customHeight="1" thickBot="1" x14ac:dyDescent="0.25">
      <c r="C2" s="1" t="s">
        <v>14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7" t="s">
        <v>17</v>
      </c>
      <c r="Q2" s="97"/>
      <c r="R2" s="97"/>
      <c r="S2" s="3"/>
      <c r="T2" s="4" t="s">
        <v>1</v>
      </c>
      <c r="V2" s="5"/>
      <c r="X2" s="78"/>
      <c r="Y2" s="79"/>
      <c r="Z2" s="95" t="s">
        <v>25</v>
      </c>
      <c r="AA2" s="96"/>
      <c r="AB2" s="77" t="str">
        <f ca="1">'Maq. 1'!AB2</f>
        <v>03/ 2022</v>
      </c>
      <c r="AD2" s="11"/>
      <c r="AE2" s="11"/>
      <c r="AF2" s="11"/>
      <c r="AG2" s="11"/>
    </row>
    <row r="3" spans="1:33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5"/>
      <c r="Q3" s="6"/>
      <c r="T3" s="2"/>
      <c r="U3" s="7"/>
      <c r="V3" s="49"/>
      <c r="W3" s="49"/>
      <c r="X3" s="49"/>
      <c r="Y3" s="49"/>
      <c r="Z3" s="8"/>
      <c r="AA3" s="8"/>
      <c r="AB3" s="9"/>
    </row>
    <row r="4" spans="1:33" s="11" customFormat="1" ht="30" customHeight="1" x14ac:dyDescent="0.2">
      <c r="A4" s="98" t="s">
        <v>2</v>
      </c>
      <c r="B4" s="99"/>
      <c r="C4" s="52"/>
      <c r="D4" s="53"/>
      <c r="E4" s="53"/>
      <c r="F4" s="53"/>
      <c r="G4" s="53"/>
      <c r="H4" s="55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4"/>
      <c r="Y4" s="54"/>
      <c r="Z4" s="54"/>
      <c r="AA4" s="54"/>
      <c r="AB4" s="10" t="s">
        <v>3</v>
      </c>
    </row>
    <row r="5" spans="1:33" s="16" customFormat="1" ht="30" customHeight="1" thickBot="1" x14ac:dyDescent="0.25">
      <c r="A5" s="91" t="s">
        <v>4</v>
      </c>
      <c r="B5" s="92"/>
      <c r="C5" s="13"/>
      <c r="D5" s="14"/>
      <c r="E5" s="13"/>
      <c r="F5" s="14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  <c r="Y5" s="14"/>
      <c r="Z5" s="14"/>
      <c r="AA5" s="14"/>
      <c r="AB5" s="15">
        <f>SUM(C5:AA5)</f>
        <v>0</v>
      </c>
      <c r="AD5" s="76"/>
      <c r="AE5" s="76"/>
      <c r="AF5" s="76"/>
      <c r="AG5" s="76"/>
    </row>
    <row r="6" spans="1:33" s="16" customFormat="1" ht="30" customHeight="1" x14ac:dyDescent="0.2">
      <c r="A6" s="102" t="s">
        <v>18</v>
      </c>
      <c r="B6" s="94"/>
      <c r="C6" s="65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8"/>
      <c r="AB6" s="19">
        <f t="shared" ref="AB6:AB11" si="0">SUM(C6:AA6)</f>
        <v>0</v>
      </c>
      <c r="AD6" s="76"/>
      <c r="AE6" s="76"/>
      <c r="AF6" s="76"/>
      <c r="AG6" s="76"/>
    </row>
    <row r="7" spans="1:33" s="16" customFormat="1" ht="30" customHeight="1" x14ac:dyDescent="0.2">
      <c r="A7" s="102" t="s">
        <v>19</v>
      </c>
      <c r="B7" s="94"/>
      <c r="C7" s="69"/>
      <c r="D7" s="70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50"/>
      <c r="AB7" s="17">
        <f t="shared" si="0"/>
        <v>0</v>
      </c>
      <c r="AD7" s="76"/>
      <c r="AE7" s="76"/>
      <c r="AF7" s="76"/>
      <c r="AG7" s="76"/>
    </row>
    <row r="8" spans="1:33" s="16" customFormat="1" ht="30" customHeight="1" x14ac:dyDescent="0.2">
      <c r="A8" s="102" t="s">
        <v>20</v>
      </c>
      <c r="B8" s="94"/>
      <c r="C8" s="75"/>
      <c r="D8" s="70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50"/>
      <c r="AB8" s="17">
        <f t="shared" si="0"/>
        <v>0</v>
      </c>
      <c r="AD8" s="76"/>
      <c r="AE8" s="76"/>
      <c r="AF8" s="76"/>
      <c r="AG8" s="76"/>
    </row>
    <row r="9" spans="1:33" s="16" customFormat="1" ht="30" customHeight="1" x14ac:dyDescent="0.2">
      <c r="A9" s="103" t="s">
        <v>21</v>
      </c>
      <c r="B9" s="104"/>
      <c r="C9" s="73"/>
      <c r="D9" s="74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51"/>
      <c r="AB9" s="44">
        <f t="shared" si="0"/>
        <v>0</v>
      </c>
      <c r="AD9" s="76"/>
      <c r="AE9" s="76"/>
      <c r="AF9" s="76"/>
      <c r="AG9" s="76"/>
    </row>
    <row r="10" spans="1:33" s="16" customFormat="1" ht="30" customHeight="1" thickBot="1" x14ac:dyDescent="0.25">
      <c r="A10" s="105" t="s">
        <v>22</v>
      </c>
      <c r="B10" s="87"/>
      <c r="C10" s="71"/>
      <c r="D10" s="72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51"/>
      <c r="AB10" s="44">
        <f t="shared" si="0"/>
        <v>0</v>
      </c>
      <c r="AD10" s="76"/>
      <c r="AE10" s="76"/>
      <c r="AF10" s="76"/>
      <c r="AG10" s="76"/>
    </row>
    <row r="11" spans="1:33" s="16" customFormat="1" ht="30" customHeight="1" x14ac:dyDescent="0.2">
      <c r="A11" s="82" t="s">
        <v>5</v>
      </c>
      <c r="B11" s="88"/>
      <c r="C11" s="20">
        <f t="shared" ref="C11:AA11" si="1">SUM(C6:C10)</f>
        <v>0</v>
      </c>
      <c r="D11" s="21">
        <f t="shared" si="1"/>
        <v>0</v>
      </c>
      <c r="E11" s="21">
        <f t="shared" si="1"/>
        <v>0</v>
      </c>
      <c r="F11" s="21">
        <f t="shared" si="1"/>
        <v>0</v>
      </c>
      <c r="G11" s="21">
        <f t="shared" si="1"/>
        <v>0</v>
      </c>
      <c r="H11" s="21">
        <f t="shared" si="1"/>
        <v>0</v>
      </c>
      <c r="I11" s="21">
        <f t="shared" si="1"/>
        <v>0</v>
      </c>
      <c r="J11" s="21">
        <f t="shared" si="1"/>
        <v>0</v>
      </c>
      <c r="K11" s="21">
        <f t="shared" ref="K11" si="2">SUM(K6:K10)</f>
        <v>0</v>
      </c>
      <c r="L11" s="21">
        <f t="shared" si="1"/>
        <v>0</v>
      </c>
      <c r="M11" s="21">
        <f t="shared" si="1"/>
        <v>0</v>
      </c>
      <c r="N11" s="21">
        <f t="shared" si="1"/>
        <v>0</v>
      </c>
      <c r="O11" s="21">
        <f t="shared" si="1"/>
        <v>0</v>
      </c>
      <c r="P11" s="21">
        <f t="shared" si="1"/>
        <v>0</v>
      </c>
      <c r="Q11" s="21">
        <f t="shared" si="1"/>
        <v>0</v>
      </c>
      <c r="R11" s="21">
        <f t="shared" si="1"/>
        <v>0</v>
      </c>
      <c r="S11" s="21">
        <f t="shared" si="1"/>
        <v>0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2">
        <f t="shared" si="1"/>
        <v>0</v>
      </c>
      <c r="AB11" s="23">
        <f t="shared" si="0"/>
        <v>0</v>
      </c>
      <c r="AD11" s="76"/>
      <c r="AE11" s="76"/>
      <c r="AF11" s="76"/>
      <c r="AG11" s="76"/>
    </row>
    <row r="12" spans="1:33" s="16" customFormat="1" ht="30" customHeight="1" thickBot="1" x14ac:dyDescent="0.25">
      <c r="A12" s="84" t="s">
        <v>6</v>
      </c>
      <c r="B12" s="89"/>
      <c r="C12" s="24" t="str">
        <f t="shared" ref="C12:AB12" si="3">IF(ISERR(C11/C5),"",C11/C5*1000000)</f>
        <v/>
      </c>
      <c r="D12" s="25" t="str">
        <f t="shared" si="3"/>
        <v/>
      </c>
      <c r="E12" s="25" t="str">
        <f t="shared" si="3"/>
        <v/>
      </c>
      <c r="F12" s="25" t="str">
        <f t="shared" si="3"/>
        <v/>
      </c>
      <c r="G12" s="25" t="str">
        <f t="shared" si="3"/>
        <v/>
      </c>
      <c r="H12" s="25" t="str">
        <f t="shared" si="3"/>
        <v/>
      </c>
      <c r="I12" s="25" t="str">
        <f t="shared" si="3"/>
        <v/>
      </c>
      <c r="J12" s="25" t="str">
        <f t="shared" si="3"/>
        <v/>
      </c>
      <c r="K12" s="25" t="str">
        <f t="shared" ref="K12" si="4">IF(ISERR(K11/K5),"",K11/K5*1000000)</f>
        <v/>
      </c>
      <c r="L12" s="25" t="str">
        <f t="shared" si="3"/>
        <v/>
      </c>
      <c r="M12" s="25" t="str">
        <f t="shared" si="3"/>
        <v/>
      </c>
      <c r="N12" s="25" t="str">
        <f t="shared" si="3"/>
        <v/>
      </c>
      <c r="O12" s="25" t="str">
        <f t="shared" si="3"/>
        <v/>
      </c>
      <c r="P12" s="25" t="str">
        <f t="shared" si="3"/>
        <v/>
      </c>
      <c r="Q12" s="25" t="str">
        <f t="shared" si="3"/>
        <v/>
      </c>
      <c r="R12" s="25" t="str">
        <f t="shared" si="3"/>
        <v/>
      </c>
      <c r="S12" s="25" t="str">
        <f t="shared" si="3"/>
        <v/>
      </c>
      <c r="T12" s="25" t="str">
        <f t="shared" si="3"/>
        <v/>
      </c>
      <c r="U12" s="25" t="str">
        <f t="shared" si="3"/>
        <v/>
      </c>
      <c r="V12" s="25" t="str">
        <f t="shared" si="3"/>
        <v/>
      </c>
      <c r="W12" s="25" t="str">
        <f t="shared" si="3"/>
        <v/>
      </c>
      <c r="X12" s="25" t="str">
        <f t="shared" si="3"/>
        <v/>
      </c>
      <c r="Y12" s="25" t="str">
        <f t="shared" si="3"/>
        <v/>
      </c>
      <c r="Z12" s="25" t="str">
        <f t="shared" si="3"/>
        <v/>
      </c>
      <c r="AA12" s="26" t="str">
        <f t="shared" si="3"/>
        <v/>
      </c>
      <c r="AB12" s="27" t="str">
        <f t="shared" si="3"/>
        <v/>
      </c>
      <c r="AD12" s="76"/>
      <c r="AE12" s="76"/>
      <c r="AF12" s="76"/>
      <c r="AG12" s="76"/>
    </row>
    <row r="13" spans="1:33" ht="60" customHeight="1" x14ac:dyDescent="0.2">
      <c r="A13" s="90"/>
      <c r="B13" s="6"/>
      <c r="C13" s="81">
        <f>C30</f>
        <v>0</v>
      </c>
      <c r="D13" s="81">
        <f t="shared" ref="D13:AA13" si="5">D30</f>
        <v>0</v>
      </c>
      <c r="E13" s="81">
        <f t="shared" si="5"/>
        <v>0</v>
      </c>
      <c r="F13" s="81">
        <f t="shared" si="5"/>
        <v>0</v>
      </c>
      <c r="G13" s="81">
        <f t="shared" si="5"/>
        <v>0</v>
      </c>
      <c r="H13" s="81">
        <f t="shared" si="5"/>
        <v>0</v>
      </c>
      <c r="I13" s="81">
        <f t="shared" si="5"/>
        <v>0</v>
      </c>
      <c r="J13" s="81">
        <f t="shared" si="5"/>
        <v>0</v>
      </c>
      <c r="K13" s="81">
        <f t="shared" si="5"/>
        <v>0</v>
      </c>
      <c r="L13" s="81">
        <f t="shared" si="5"/>
        <v>0</v>
      </c>
      <c r="M13" s="81">
        <f t="shared" si="5"/>
        <v>0</v>
      </c>
      <c r="N13" s="81">
        <f t="shared" si="5"/>
        <v>0</v>
      </c>
      <c r="O13" s="81">
        <f t="shared" si="5"/>
        <v>0</v>
      </c>
      <c r="P13" s="81">
        <f t="shared" si="5"/>
        <v>0</v>
      </c>
      <c r="Q13" s="81">
        <f t="shared" si="5"/>
        <v>0</v>
      </c>
      <c r="R13" s="81">
        <f t="shared" si="5"/>
        <v>0</v>
      </c>
      <c r="S13" s="81">
        <f t="shared" si="5"/>
        <v>0</v>
      </c>
      <c r="T13" s="81">
        <f t="shared" si="5"/>
        <v>0</v>
      </c>
      <c r="U13" s="81">
        <f t="shared" si="5"/>
        <v>0</v>
      </c>
      <c r="V13" s="81">
        <f t="shared" si="5"/>
        <v>0</v>
      </c>
      <c r="W13" s="81">
        <f t="shared" si="5"/>
        <v>0</v>
      </c>
      <c r="X13" s="48"/>
      <c r="Y13" s="48"/>
      <c r="Z13" s="48"/>
      <c r="AA13" s="81">
        <f t="shared" si="5"/>
        <v>0</v>
      </c>
      <c r="AB13" s="28"/>
    </row>
    <row r="14" spans="1:33" ht="60" customHeight="1" x14ac:dyDescent="0.2">
      <c r="A14" s="90"/>
      <c r="B14" s="29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48"/>
      <c r="Y14" s="48"/>
      <c r="Z14" s="48"/>
      <c r="AA14" s="81"/>
      <c r="AB14" s="28"/>
    </row>
    <row r="15" spans="1:33" ht="60" customHeight="1" x14ac:dyDescent="0.2">
      <c r="A15" s="90"/>
      <c r="B15" s="30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48"/>
      <c r="Y15" s="48"/>
      <c r="Z15" s="48"/>
      <c r="AA15" s="81"/>
      <c r="AB15" s="28"/>
    </row>
    <row r="16" spans="1:33" ht="60" customHeight="1" x14ac:dyDescent="0.2">
      <c r="A16" s="90"/>
      <c r="B16" s="49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48"/>
      <c r="Y16" s="48"/>
      <c r="Z16" s="48"/>
      <c r="AA16" s="81"/>
      <c r="AB16" s="28"/>
    </row>
    <row r="17" spans="1:28" ht="60" customHeight="1" x14ac:dyDescent="0.2">
      <c r="A17" s="90"/>
      <c r="B17" s="49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48"/>
      <c r="Y17" s="48"/>
      <c r="Z17" s="48"/>
      <c r="AA17" s="81"/>
      <c r="AB17" s="28"/>
    </row>
    <row r="18" spans="1:28" ht="60" customHeight="1" x14ac:dyDescent="0.2">
      <c r="A18" s="90"/>
      <c r="B18" s="49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48"/>
      <c r="Y18" s="48"/>
      <c r="Z18" s="48"/>
      <c r="AA18" s="81"/>
      <c r="AB18" s="28"/>
    </row>
    <row r="19" spans="1:28" ht="60" customHeight="1" x14ac:dyDescent="0.2">
      <c r="A19" s="90"/>
      <c r="B19" s="49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48"/>
      <c r="Y19" s="48"/>
      <c r="Z19" s="48"/>
      <c r="AA19" s="81"/>
      <c r="AB19" s="28"/>
    </row>
    <row r="20" spans="1:28" ht="60" customHeight="1" x14ac:dyDescent="0.2">
      <c r="A20" s="90"/>
      <c r="B20" s="49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48"/>
      <c r="Y20" s="48"/>
      <c r="Z20" s="48"/>
      <c r="AA20" s="81"/>
      <c r="AB20" s="28"/>
    </row>
    <row r="21" spans="1:28" ht="60" customHeight="1" x14ac:dyDescent="0.2">
      <c r="A21" s="90"/>
      <c r="B21" s="49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48"/>
      <c r="Y21" s="48"/>
      <c r="Z21" s="48"/>
      <c r="AA21" s="81"/>
      <c r="AB21" s="28"/>
    </row>
    <row r="22" spans="1:28" ht="60" customHeight="1" thickBot="1" x14ac:dyDescent="0.25">
      <c r="A22" s="90"/>
      <c r="B22" s="49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48"/>
      <c r="Y22" s="48"/>
      <c r="Z22" s="48"/>
      <c r="AA22" s="81"/>
      <c r="AB22" s="28"/>
    </row>
    <row r="23" spans="1:28" ht="18" customHeight="1" x14ac:dyDescent="0.2">
      <c r="A23" s="82" t="s">
        <v>23</v>
      </c>
      <c r="B23" s="83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1"/>
    </row>
    <row r="24" spans="1:28" ht="18" customHeight="1" thickBot="1" x14ac:dyDescent="0.25">
      <c r="A24" s="84" t="s">
        <v>24</v>
      </c>
      <c r="B24" s="8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3"/>
    </row>
    <row r="25" spans="1:28" s="11" customFormat="1" ht="29.25" customHeight="1" x14ac:dyDescent="0.2">
      <c r="A25" s="56" t="s">
        <v>7</v>
      </c>
      <c r="B25" s="57"/>
      <c r="C25" s="58"/>
      <c r="D25" s="58"/>
      <c r="E25" s="58"/>
      <c r="F25" s="58"/>
      <c r="G25" s="58"/>
      <c r="H25" s="58"/>
      <c r="I25" s="56" t="s">
        <v>8</v>
      </c>
      <c r="K25" s="58"/>
      <c r="M25" s="58"/>
      <c r="N25" s="58"/>
      <c r="O25" s="58"/>
      <c r="Q25" s="59"/>
      <c r="R25" s="56" t="s">
        <v>9</v>
      </c>
      <c r="S25" s="58"/>
      <c r="U25" s="58"/>
      <c r="V25" s="58"/>
      <c r="W25" s="58"/>
      <c r="X25" s="58"/>
      <c r="Y25" s="58"/>
      <c r="Z25" s="58"/>
      <c r="AA25" s="58"/>
      <c r="AB25" s="59"/>
    </row>
    <row r="26" spans="1:28" s="11" customFormat="1" ht="16.5" thickBot="1" x14ac:dyDescent="0.25">
      <c r="A26" s="31" t="s">
        <v>10</v>
      </c>
      <c r="B26" s="32"/>
      <c r="C26" s="33"/>
      <c r="D26" s="33"/>
      <c r="E26" s="33"/>
      <c r="F26" s="33"/>
      <c r="G26" s="33"/>
      <c r="H26" s="33"/>
      <c r="I26" s="31" t="s">
        <v>10</v>
      </c>
      <c r="J26" s="34"/>
      <c r="K26" s="33"/>
      <c r="L26" s="34"/>
      <c r="M26" s="33"/>
      <c r="N26" s="33"/>
      <c r="O26" s="33"/>
      <c r="P26" s="34"/>
      <c r="Q26" s="35"/>
      <c r="R26" s="31" t="s">
        <v>10</v>
      </c>
      <c r="S26" s="33"/>
      <c r="T26" s="34"/>
      <c r="U26" s="33"/>
      <c r="V26" s="33"/>
      <c r="W26" s="33"/>
      <c r="X26" s="33"/>
      <c r="Y26" s="33"/>
      <c r="Z26" s="33"/>
      <c r="AA26" s="33"/>
      <c r="AB26" s="35"/>
    </row>
    <row r="27" spans="1:28" ht="24" customHeight="1" x14ac:dyDescent="0.2">
      <c r="A27" s="36" t="s">
        <v>11</v>
      </c>
      <c r="B27" s="36"/>
      <c r="C27">
        <f>'Maq. 1'!$C$27</f>
        <v>360</v>
      </c>
    </row>
    <row r="29" spans="1:28" ht="15.75" x14ac:dyDescent="0.25">
      <c r="B29" s="37" t="s">
        <v>12</v>
      </c>
      <c r="C29" s="47">
        <f t="shared" ref="C29:AB29" si="6">C4</f>
        <v>0</v>
      </c>
      <c r="D29" s="47">
        <f t="shared" si="6"/>
        <v>0</v>
      </c>
      <c r="E29" s="47">
        <f t="shared" si="6"/>
        <v>0</v>
      </c>
      <c r="F29" s="47">
        <f t="shared" si="6"/>
        <v>0</v>
      </c>
      <c r="G29" s="47">
        <f t="shared" si="6"/>
        <v>0</v>
      </c>
      <c r="H29" s="47">
        <f t="shared" si="6"/>
        <v>0</v>
      </c>
      <c r="I29" s="47">
        <f t="shared" si="6"/>
        <v>0</v>
      </c>
      <c r="J29" s="47">
        <f t="shared" si="6"/>
        <v>0</v>
      </c>
      <c r="K29" s="47">
        <f t="shared" si="6"/>
        <v>0</v>
      </c>
      <c r="L29" s="47">
        <f t="shared" si="6"/>
        <v>0</v>
      </c>
      <c r="M29" s="47">
        <f t="shared" si="6"/>
        <v>0</v>
      </c>
      <c r="N29" s="47">
        <f t="shared" si="6"/>
        <v>0</v>
      </c>
      <c r="O29" s="47">
        <f t="shared" si="6"/>
        <v>0</v>
      </c>
      <c r="P29" s="47">
        <f t="shared" si="6"/>
        <v>0</v>
      </c>
      <c r="Q29" s="47">
        <f t="shared" si="6"/>
        <v>0</v>
      </c>
      <c r="R29" s="47">
        <f t="shared" si="6"/>
        <v>0</v>
      </c>
      <c r="S29" s="47">
        <f t="shared" si="6"/>
        <v>0</v>
      </c>
      <c r="T29" s="47">
        <f t="shared" si="6"/>
        <v>0</v>
      </c>
      <c r="U29" s="47">
        <f t="shared" si="6"/>
        <v>0</v>
      </c>
      <c r="V29" s="47">
        <f t="shared" si="6"/>
        <v>0</v>
      </c>
      <c r="W29" s="47">
        <f t="shared" si="6"/>
        <v>0</v>
      </c>
      <c r="X29" s="47"/>
      <c r="Y29" s="47"/>
      <c r="Z29" s="47"/>
      <c r="AA29" s="47">
        <f t="shared" si="6"/>
        <v>0</v>
      </c>
      <c r="AB29" s="38" t="str">
        <f t="shared" si="6"/>
        <v>TOTAL</v>
      </c>
    </row>
    <row r="30" spans="1:28" ht="157.5" customHeight="1" x14ac:dyDescent="0.2">
      <c r="B30" s="39" t="s">
        <v>13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1"/>
      <c r="X30" s="41"/>
      <c r="Y30" s="41"/>
      <c r="Z30" s="41"/>
      <c r="AA30" s="41"/>
      <c r="AB30" s="42"/>
    </row>
  </sheetData>
  <sheetProtection selectLockedCells="1"/>
  <mergeCells count="36"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G13:G22"/>
    <mergeCell ref="C13:C22"/>
    <mergeCell ref="H13:H22"/>
    <mergeCell ref="A5:B5"/>
    <mergeCell ref="A6:B6"/>
    <mergeCell ref="A7:B7"/>
    <mergeCell ref="A8:B8"/>
    <mergeCell ref="Z2:AA2"/>
    <mergeCell ref="P2:R2"/>
    <mergeCell ref="A4:B4"/>
    <mergeCell ref="A23:B23"/>
    <mergeCell ref="A24:B24"/>
    <mergeCell ref="A10:B10"/>
    <mergeCell ref="A11:B11"/>
    <mergeCell ref="A12:B12"/>
    <mergeCell ref="A13:A22"/>
    <mergeCell ref="I13:I22"/>
    <mergeCell ref="O13:O22"/>
    <mergeCell ref="D13:D22"/>
    <mergeCell ref="E13:E22"/>
    <mergeCell ref="F13:F22"/>
    <mergeCell ref="J13:J22"/>
    <mergeCell ref="K13:K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1" orientation="landscape" r:id="rId1"/>
  <headerFooter alignWithMargins="0">
    <oddFooter>&amp;RSJCPIL-R 15-037-03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Check Box 3">
              <controlPr defaultSize="0" autoFill="0" autoLine="0" autoPict="0">
                <anchor moveWithCells="1">
                  <from>
                    <xdr:col>20</xdr:col>
                    <xdr:colOff>95250</xdr:colOff>
                    <xdr:row>0</xdr:row>
                    <xdr:rowOff>95250</xdr:rowOff>
                  </from>
                  <to>
                    <xdr:col>22</xdr:col>
                    <xdr:colOff>114300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Check Box 4">
              <controlPr defaultSize="0" autoFill="0" autoLine="0" autoPict="0">
                <anchor moveWithCells="1">
                  <from>
                    <xdr:col>20</xdr:col>
                    <xdr:colOff>95250</xdr:colOff>
                    <xdr:row>1</xdr:row>
                    <xdr:rowOff>238125</xdr:rowOff>
                  </from>
                  <to>
                    <xdr:col>22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13</vt:i4>
      </vt:variant>
    </vt:vector>
  </HeadingPairs>
  <TitlesOfParts>
    <vt:vector size="17" baseType="lpstr">
      <vt:lpstr>Maq. 1</vt:lpstr>
      <vt:lpstr>Maq. 2</vt:lpstr>
      <vt:lpstr>Maq. 3</vt:lpstr>
      <vt:lpstr>Maq.4</vt:lpstr>
      <vt:lpstr>'Maq. 1'!Area_de_impressao</vt:lpstr>
      <vt:lpstr>'Maq. 2'!Area_de_impressao</vt:lpstr>
      <vt:lpstr>'Maq. 3'!Area_de_impressao</vt:lpstr>
      <vt:lpstr>Maq.4!Area_de_impressao</vt:lpstr>
      <vt:lpstr>'Maq. 1'!FALHAS_TOTAL_M1N</vt:lpstr>
      <vt:lpstr>FALHAS_TOTAL_M2N</vt:lpstr>
      <vt:lpstr>'Maq. 3'!FALHAS_TOTAL_M3N</vt:lpstr>
      <vt:lpstr>FALHAS_TOTAL_M4N</vt:lpstr>
      <vt:lpstr>PERIODO</vt:lpstr>
      <vt:lpstr>PROD_TOTAL_M1N</vt:lpstr>
      <vt:lpstr>PROD_TOTAL_M2N</vt:lpstr>
      <vt:lpstr>PROD_TOTAL_M3N</vt:lpstr>
      <vt:lpstr>Maq.4!PROD_TOTAL_M4N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2021-04-16T18:14:18Z</cp:lastPrinted>
  <dcterms:created xsi:type="dcterms:W3CDTF">2015-07-08T19:12:53Z</dcterms:created>
  <dcterms:modified xsi:type="dcterms:W3CDTF">2022-02-21T11:21:14Z</dcterms:modified>
</cp:coreProperties>
</file>