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9.xml" ContentType="application/vnd.openxmlformats-officedocument.drawingml.chart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2) UM-3\MONTAGEM\"/>
    </mc:Choice>
  </mc:AlternateContent>
  <xr:revisionPtr revIDLastSave="0" documentId="13_ncr:1_{7F9FEEFF-33C8-4C3D-8D56-244185ED0C00}" xr6:coauthVersionLast="47" xr6:coauthVersionMax="47" xr10:uidLastSave="{00000000-0000-0000-0000-000000000000}"/>
  <workbookProtection workbookPassword="CE4F" lockStructure="1"/>
  <bookViews>
    <workbookView xWindow="-120" yWindow="-120" windowWidth="29040" windowHeight="16440" activeTab="7" xr2:uid="{00000000-000D-0000-FFFF-FFFF00000000}"/>
  </bookViews>
  <sheets>
    <sheet name="Instruções de Uso" sheetId="16" r:id="rId1"/>
    <sheet name="LINHA - 1D" sheetId="1" r:id="rId2"/>
    <sheet name="LINHA - 2D" sheetId="10" r:id="rId3"/>
    <sheet name="LINHA - 1N" sheetId="17" r:id="rId4"/>
    <sheet name="LINHA - 2N" sheetId="11" r:id="rId5"/>
    <sheet name="Dados para grafico" sheetId="13" state="hidden" r:id="rId6"/>
    <sheet name="Pareto L1" sheetId="19" r:id="rId7"/>
    <sheet name="Pareto L2" sheetId="20" r:id="rId8"/>
  </sheets>
  <externalReferences>
    <externalReference r:id="rId9"/>
    <externalReference r:id="rId10"/>
  </externalReferences>
  <definedNames>
    <definedName name="_F7.47" localSheetId="3">'LINHA - 1N'!$C$1</definedName>
    <definedName name="_F7.47" localSheetId="2">'LINHA - 2D'!$C$1</definedName>
    <definedName name="_F7.47" localSheetId="4">'LINHA - 2N'!$C$1</definedName>
    <definedName name="_F7.47">'LINHA - 1D'!$C$1</definedName>
    <definedName name="_xlnm.Print_Area" localSheetId="1">'LINHA - 1D'!$A$1:$AF$35</definedName>
    <definedName name="_xlnm.Print_Area" localSheetId="3">'LINHA - 1N'!$A$1:$AF$35</definedName>
    <definedName name="_xlnm.Print_Area" localSheetId="2">'LINHA - 2D'!$A$1:$AF$35</definedName>
    <definedName name="_xlnm.Print_Area" localSheetId="4">'LINHA - 2N'!$A$1:$AF$35</definedName>
    <definedName name="FALHAS_L1D">'LINHA - 1D'!$AF$30</definedName>
    <definedName name="FALHAS_L1N">'LINHA - 1N'!$AF$30</definedName>
    <definedName name="FALHAS_L2D">'LINHA - 2D'!$AF$30</definedName>
    <definedName name="FALHAS_L2N">'LINHA - 2N'!$AF$30</definedName>
    <definedName name="Lin1AC">OFFSET('Dados para grafico'!$N$4,0,0,COUNTIF('Dados para grafico'!$N$4:$N$20,"&lt;100")+1,1)</definedName>
    <definedName name="Lin1Prob">OFFSET('Dados para grafico'!$O$4,0,0,COUNTIF('Dados para grafico'!$N$4:$N$20,"&lt;100")+1,1)</definedName>
    <definedName name="Lin2AC">OFFSET('Dados para grafico'!$N$26,0,0,COUNTIF('Dados para grafico'!$N$26:$N$42,"&lt;100")+1,1)</definedName>
    <definedName name="Lin2Prob">OFFSET('Dados para grafico'!$O$26,0,0,COUNTIF('Dados para grafico'!$N$26:$N$42,"&lt;100")+1,1)</definedName>
    <definedName name="LinFalhas1_X">OFFSET('Dados para grafico'!$J$4,0,0,COUNTIF('Dados para grafico'!$N$4:$N$20,"&lt;100")+1,1)</definedName>
    <definedName name="LinFalhas1_Y">OFFSET('Dados para grafico'!$K$4,0,0,COUNTIF('Dados para grafico'!$N$4:$N$20,"&lt;100")+1,1)</definedName>
    <definedName name="LinFalhas2_X">OFFSET('Dados para grafico'!$J$26,0,0,COUNTIF('Dados para grafico'!$N$26:$N$42,"&lt;100")+1,1)</definedName>
    <definedName name="LinFalhas2_Y">OFFSET('Dados para grafico'!$K$26,0,0,COUNTIF('Dados para grafico'!$N$26:$N$42,"&lt;100")+1,1)</definedName>
    <definedName name="PERIODO">'LINHA - 1D'!$AB$1</definedName>
    <definedName name="PROD_L1D">'LINHA - 1D'!$AF$4</definedName>
    <definedName name="PROD_L1N">'LINHA - 1N'!$AF$4</definedName>
    <definedName name="PROD_L2D">'LINHA - 2D'!$AF$4</definedName>
    <definedName name="PROD_L2N">'LINHA - 2N'!$AF$4</definedName>
    <definedName name="TARGET_L1">'LINHA - 1D'!$D$36</definedName>
    <definedName name="TARGET_L2">'LINHA - 2D'!$D$36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1" i="11" l="1"/>
  <c r="U31" i="11"/>
  <c r="V31" i="11"/>
  <c r="AH4" i="11" l="1" a="1"/>
  <c r="AH4" i="17" a="1"/>
  <c r="AH4" i="17" s="1"/>
  <c r="J30" i="11" l="1"/>
  <c r="AE31" i="10"/>
  <c r="AD31" i="10"/>
  <c r="AC31" i="10"/>
  <c r="AB31" i="10"/>
  <c r="AA31" i="10"/>
  <c r="Z31" i="10"/>
  <c r="Y31" i="10"/>
  <c r="X31" i="10"/>
  <c r="W31" i="10"/>
  <c r="V31" i="10"/>
  <c r="U31" i="10"/>
  <c r="T31" i="10"/>
  <c r="R38" i="1"/>
  <c r="S38" i="1"/>
  <c r="T38" i="1"/>
  <c r="D38" i="1"/>
  <c r="G38" i="10"/>
  <c r="D36" i="10"/>
  <c r="D36" i="1"/>
  <c r="AF1" i="1"/>
  <c r="G5" i="11" l="1"/>
  <c r="AF1" i="11" l="1"/>
  <c r="AF1" i="10"/>
  <c r="AF1" i="17"/>
  <c r="F5" i="1"/>
  <c r="AE30" i="10" l="1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S31" i="10" s="1"/>
  <c r="R30" i="10"/>
  <c r="R31" i="10" s="1"/>
  <c r="Q30" i="10"/>
  <c r="Q31" i="10" s="1"/>
  <c r="P30" i="10"/>
  <c r="P31" i="10" s="1"/>
  <c r="O30" i="10"/>
  <c r="O31" i="10" s="1"/>
  <c r="N30" i="10"/>
  <c r="N31" i="10" s="1"/>
  <c r="M30" i="10"/>
  <c r="M31" i="10" s="1"/>
  <c r="L30" i="10"/>
  <c r="L31" i="10" s="1"/>
  <c r="K30" i="10"/>
  <c r="K31" i="10" s="1"/>
  <c r="J30" i="10"/>
  <c r="J31" i="10" s="1"/>
  <c r="I30" i="10"/>
  <c r="I31" i="10" s="1"/>
  <c r="H30" i="10"/>
  <c r="H31" i="10" s="1"/>
  <c r="G30" i="10"/>
  <c r="G31" i="10" s="1"/>
  <c r="F30" i="10"/>
  <c r="F31" i="10" s="1"/>
  <c r="E30" i="10"/>
  <c r="E31" i="10" s="1"/>
  <c r="AE31" i="17"/>
  <c r="AD31" i="17"/>
  <c r="AC31" i="17"/>
  <c r="AB31" i="17"/>
  <c r="AA31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AE30" i="17"/>
  <c r="AD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I31" i="17" s="1"/>
  <c r="H30" i="17"/>
  <c r="H31" i="17" s="1"/>
  <c r="G30" i="17"/>
  <c r="G31" i="17" s="1"/>
  <c r="F30" i="17"/>
  <c r="F31" i="17" s="1"/>
  <c r="E30" i="17"/>
  <c r="E31" i="17" s="1"/>
  <c r="AE31" i="11"/>
  <c r="AD31" i="11"/>
  <c r="AC31" i="11"/>
  <c r="AB31" i="11"/>
  <c r="AA31" i="11"/>
  <c r="Z31" i="11"/>
  <c r="Y31" i="11"/>
  <c r="X31" i="11"/>
  <c r="W31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S31" i="11" s="1"/>
  <c r="R30" i="11"/>
  <c r="R31" i="11" s="1"/>
  <c r="Q30" i="11"/>
  <c r="Q31" i="11" s="1"/>
  <c r="P30" i="11"/>
  <c r="P31" i="11" s="1"/>
  <c r="O30" i="11"/>
  <c r="O31" i="11" s="1"/>
  <c r="N30" i="11"/>
  <c r="N31" i="11" s="1"/>
  <c r="M30" i="11"/>
  <c r="M31" i="11" s="1"/>
  <c r="L30" i="11"/>
  <c r="L31" i="11" s="1"/>
  <c r="K30" i="11"/>
  <c r="K31" i="11" s="1"/>
  <c r="J31" i="11"/>
  <c r="I30" i="11"/>
  <c r="I31" i="11" s="1"/>
  <c r="H30" i="11"/>
  <c r="H31" i="11" s="1"/>
  <c r="G30" i="11"/>
  <c r="G31" i="11" s="1"/>
  <c r="F30" i="11"/>
  <c r="F31" i="11" s="1"/>
  <c r="E30" i="11"/>
  <c r="E31" i="11" s="1"/>
  <c r="AE31" i="1"/>
  <c r="AC31" i="1"/>
  <c r="AB31" i="1"/>
  <c r="AA31" i="1"/>
  <c r="Z31" i="1"/>
  <c r="Y31" i="1"/>
  <c r="X31" i="1"/>
  <c r="W31" i="1"/>
  <c r="V31" i="1"/>
  <c r="AE30" i="1"/>
  <c r="AD30" i="1"/>
  <c r="AD31" i="1" s="1"/>
  <c r="AC30" i="1"/>
  <c r="AB30" i="1"/>
  <c r="AA30" i="1"/>
  <c r="Z30" i="1"/>
  <c r="Y30" i="1"/>
  <c r="X30" i="1"/>
  <c r="W30" i="1"/>
  <c r="V30" i="1"/>
  <c r="U30" i="1"/>
  <c r="U31" i="1" s="1"/>
  <c r="T30" i="1"/>
  <c r="T31" i="1" s="1"/>
  <c r="S30" i="1"/>
  <c r="S31" i="1" s="1"/>
  <c r="R30" i="1"/>
  <c r="R31" i="1" s="1"/>
  <c r="Q30" i="1"/>
  <c r="Q31" i="1" s="1"/>
  <c r="P30" i="1"/>
  <c r="P31" i="1" s="1"/>
  <c r="O30" i="1"/>
  <c r="O31" i="1" s="1"/>
  <c r="N30" i="1"/>
  <c r="N31" i="1" s="1"/>
  <c r="M30" i="1"/>
  <c r="M31" i="1" s="1"/>
  <c r="L30" i="1"/>
  <c r="L31" i="1" s="1"/>
  <c r="K30" i="1"/>
  <c r="K31" i="1" s="1"/>
  <c r="J30" i="1"/>
  <c r="J31" i="1" s="1"/>
  <c r="I30" i="1"/>
  <c r="I31" i="1" s="1"/>
  <c r="H30" i="1"/>
  <c r="H31" i="1" s="1"/>
  <c r="G30" i="1"/>
  <c r="G31" i="1" s="1"/>
  <c r="F30" i="1"/>
  <c r="F31" i="1" s="1"/>
  <c r="E30" i="1"/>
  <c r="E31" i="1" s="1"/>
  <c r="U5" i="11" l="1"/>
  <c r="T5" i="11"/>
  <c r="Y5" i="1"/>
  <c r="M5" i="11" l="1"/>
  <c r="N5" i="11"/>
  <c r="O5" i="11"/>
  <c r="P5" i="11"/>
  <c r="Q5" i="11"/>
  <c r="R5" i="11"/>
  <c r="S5" i="11"/>
  <c r="T38" i="10"/>
  <c r="K5" i="10"/>
  <c r="D36" i="11" l="1"/>
  <c r="D36" i="17"/>
  <c r="J5" i="10" l="1"/>
  <c r="AF16" i="1" l="1"/>
  <c r="AF4" i="11"/>
  <c r="E5" i="11"/>
  <c r="F5" i="11"/>
  <c r="H5" i="11"/>
  <c r="I5" i="11"/>
  <c r="J5" i="11"/>
  <c r="K5" i="11"/>
  <c r="L5" i="11"/>
  <c r="V5" i="11"/>
  <c r="W5" i="11"/>
  <c r="X5" i="11"/>
  <c r="Y5" i="11"/>
  <c r="Z5" i="11"/>
  <c r="AA5" i="11"/>
  <c r="AB5" i="11"/>
  <c r="AC5" i="11"/>
  <c r="AD5" i="11"/>
  <c r="AE5" i="11"/>
  <c r="AF4" i="17"/>
  <c r="AF29" i="10"/>
  <c r="AF20" i="10"/>
  <c r="AF21" i="10"/>
  <c r="AF22" i="10"/>
  <c r="AF23" i="10"/>
  <c r="AF24" i="10"/>
  <c r="AF25" i="10"/>
  <c r="AF26" i="10"/>
  <c r="AF27" i="10"/>
  <c r="AF28" i="10"/>
  <c r="AF19" i="10"/>
  <c r="AF18" i="10"/>
  <c r="AF17" i="10"/>
  <c r="AF15" i="10"/>
  <c r="AF16" i="10"/>
  <c r="AF14" i="10"/>
  <c r="AF13" i="10"/>
  <c r="AF4" i="10"/>
  <c r="AF26" i="1"/>
  <c r="AF27" i="1"/>
  <c r="AF28" i="1"/>
  <c r="AF29" i="1"/>
  <c r="AF25" i="1"/>
  <c r="AF24" i="1"/>
  <c r="AF23" i="1"/>
  <c r="AF22" i="1"/>
  <c r="AF21" i="1"/>
  <c r="AF20" i="1"/>
  <c r="AF19" i="1"/>
  <c r="AF18" i="1"/>
  <c r="AF17" i="1"/>
  <c r="AF15" i="1"/>
  <c r="AF14" i="1"/>
  <c r="AF13" i="1"/>
  <c r="AF4" i="1"/>
  <c r="D30" i="1"/>
  <c r="D31" i="1" s="1"/>
  <c r="D30" i="17"/>
  <c r="D31" i="17" s="1"/>
  <c r="D5" i="17"/>
  <c r="K5" i="1"/>
  <c r="A32" i="17"/>
  <c r="A32" i="10"/>
  <c r="A32" i="11"/>
  <c r="D30" i="10"/>
  <c r="D31" i="10" s="1"/>
  <c r="M5" i="1"/>
  <c r="O5" i="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V38" i="11"/>
  <c r="W38" i="11"/>
  <c r="X38" i="11"/>
  <c r="Y38" i="11"/>
  <c r="D38" i="11"/>
  <c r="C13" i="10"/>
  <c r="B4" i="13"/>
  <c r="B26" i="13" s="1"/>
  <c r="B5" i="13"/>
  <c r="B27" i="13" s="1"/>
  <c r="B6" i="13"/>
  <c r="B28" i="13" s="1"/>
  <c r="B7" i="13"/>
  <c r="B29" i="13" s="1"/>
  <c r="B8" i="13"/>
  <c r="B30" i="13" s="1"/>
  <c r="B9" i="13"/>
  <c r="B31" i="13" s="1"/>
  <c r="B10" i="13"/>
  <c r="B32" i="13" s="1"/>
  <c r="B11" i="13"/>
  <c r="B33" i="13" s="1"/>
  <c r="B12" i="13"/>
  <c r="B34" i="13" s="1"/>
  <c r="B13" i="13"/>
  <c r="B35" i="13" s="1"/>
  <c r="B14" i="13"/>
  <c r="B36" i="13" s="1"/>
  <c r="B15" i="13"/>
  <c r="B37" i="13" s="1"/>
  <c r="B16" i="13"/>
  <c r="B38" i="13" s="1"/>
  <c r="B17" i="13"/>
  <c r="B39" i="13" s="1"/>
  <c r="B18" i="13"/>
  <c r="B40" i="13" s="1"/>
  <c r="B19" i="13"/>
  <c r="B41" i="13" s="1"/>
  <c r="B20" i="13"/>
  <c r="J20" i="13" s="1"/>
  <c r="C13" i="11"/>
  <c r="AF13" i="11" s="1"/>
  <c r="C29" i="17"/>
  <c r="AF29" i="17" s="1"/>
  <c r="C28" i="17"/>
  <c r="AF28" i="17" s="1"/>
  <c r="C27" i="17"/>
  <c r="AF27" i="17" s="1"/>
  <c r="C26" i="17"/>
  <c r="AF26" i="17" s="1"/>
  <c r="C25" i="17"/>
  <c r="AF25" i="17" s="1"/>
  <c r="C24" i="17"/>
  <c r="AF24" i="17" s="1"/>
  <c r="C23" i="17"/>
  <c r="AF23" i="17" s="1"/>
  <c r="C22" i="17"/>
  <c r="AF22" i="17" s="1"/>
  <c r="C21" i="17"/>
  <c r="AF21" i="17" s="1"/>
  <c r="C20" i="17"/>
  <c r="AF20" i="17" s="1"/>
  <c r="C19" i="17"/>
  <c r="AF19" i="17" s="1"/>
  <c r="C18" i="17"/>
  <c r="AF18" i="17" s="1"/>
  <c r="C17" i="17"/>
  <c r="AF17" i="17" s="1"/>
  <c r="C16" i="17"/>
  <c r="AF16" i="17" s="1"/>
  <c r="C15" i="17"/>
  <c r="AF15" i="17" s="1"/>
  <c r="C14" i="17"/>
  <c r="AF14" i="17" s="1"/>
  <c r="C13" i="17"/>
  <c r="AF13" i="17" s="1"/>
  <c r="AF29" i="11"/>
  <c r="AF28" i="11"/>
  <c r="AF27" i="11"/>
  <c r="AF26" i="11"/>
  <c r="AF25" i="11"/>
  <c r="AF24" i="11"/>
  <c r="AF23" i="11"/>
  <c r="AF22" i="11"/>
  <c r="AF21" i="11"/>
  <c r="AF20" i="11"/>
  <c r="AF19" i="11"/>
  <c r="AF18" i="11"/>
  <c r="AF17" i="11"/>
  <c r="AF16" i="11"/>
  <c r="AF15" i="11"/>
  <c r="AF14" i="11"/>
  <c r="W5" i="10"/>
  <c r="W38" i="1"/>
  <c r="X38" i="1"/>
  <c r="Z38" i="1"/>
  <c r="AA38" i="1"/>
  <c r="AB38" i="1"/>
  <c r="AC38" i="1"/>
  <c r="AD38" i="1"/>
  <c r="AE38" i="1"/>
  <c r="E38" i="1"/>
  <c r="D30" i="11"/>
  <c r="D31" i="11" s="1"/>
  <c r="AE5" i="1"/>
  <c r="AE5" i="17"/>
  <c r="AD5" i="17"/>
  <c r="AC5" i="17"/>
  <c r="AB5" i="17"/>
  <c r="Z5" i="17"/>
  <c r="V5" i="17"/>
  <c r="U5" i="17"/>
  <c r="T5" i="17"/>
  <c r="S5" i="17"/>
  <c r="R5" i="17"/>
  <c r="Q5" i="17"/>
  <c r="P5" i="17"/>
  <c r="O5" i="17"/>
  <c r="M5" i="17"/>
  <c r="K5" i="17"/>
  <c r="J5" i="17"/>
  <c r="I5" i="17"/>
  <c r="H5" i="17"/>
  <c r="G5" i="17"/>
  <c r="F5" i="17"/>
  <c r="E5" i="17"/>
  <c r="E5" i="10"/>
  <c r="F5" i="10"/>
  <c r="G5" i="10"/>
  <c r="H5" i="10"/>
  <c r="I5" i="10"/>
  <c r="L5" i="10"/>
  <c r="M5" i="10"/>
  <c r="N5" i="10"/>
  <c r="O5" i="10"/>
  <c r="P5" i="10"/>
  <c r="X5" i="10"/>
  <c r="Y5" i="10"/>
  <c r="Z5" i="10"/>
  <c r="AA5" i="10"/>
  <c r="AB5" i="10"/>
  <c r="AC5" i="10"/>
  <c r="AD5" i="10"/>
  <c r="AE5" i="10"/>
  <c r="D5" i="10"/>
  <c r="D5" i="11"/>
  <c r="AB38" i="10"/>
  <c r="AA38" i="10"/>
  <c r="Y38" i="10"/>
  <c r="X38" i="10"/>
  <c r="W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F38" i="10"/>
  <c r="E38" i="10"/>
  <c r="D38" i="10"/>
  <c r="N5" i="1"/>
  <c r="P5" i="1"/>
  <c r="Q5" i="1"/>
  <c r="R5" i="1"/>
  <c r="S5" i="1"/>
  <c r="T5" i="1"/>
  <c r="U5" i="1"/>
  <c r="G5" i="1"/>
  <c r="J5" i="1"/>
  <c r="G38" i="1"/>
  <c r="H38" i="1"/>
  <c r="I38" i="1"/>
  <c r="J38" i="1"/>
  <c r="K38" i="1"/>
  <c r="L38" i="1"/>
  <c r="M38" i="1"/>
  <c r="N38" i="1"/>
  <c r="O38" i="1"/>
  <c r="U38" i="1"/>
  <c r="V38" i="1"/>
  <c r="P38" i="1"/>
  <c r="Q38" i="1"/>
  <c r="F38" i="1"/>
  <c r="AB5" i="1"/>
  <c r="AA5" i="1"/>
  <c r="Z5" i="1"/>
  <c r="X5" i="1"/>
  <c r="V5" i="1"/>
  <c r="I5" i="1"/>
  <c r="H5" i="1"/>
  <c r="E5" i="1"/>
  <c r="AI26" i="11" l="1"/>
  <c r="C39" i="13" s="1"/>
  <c r="F39" i="13" s="1"/>
  <c r="AI17" i="17"/>
  <c r="C8" i="13" s="1"/>
  <c r="F8" i="13" s="1"/>
  <c r="AI15" i="11"/>
  <c r="C28" i="13" s="1"/>
  <c r="F28" i="13" s="1"/>
  <c r="AI16" i="11"/>
  <c r="C29" i="13" s="1"/>
  <c r="F29" i="13" s="1"/>
  <c r="AI4" i="17"/>
  <c r="C3" i="13" s="1"/>
  <c r="AI21" i="11"/>
  <c r="C34" i="13" s="1"/>
  <c r="F34" i="13" s="1"/>
  <c r="AI25" i="11"/>
  <c r="C38" i="13" s="1"/>
  <c r="F38" i="13" s="1"/>
  <c r="AI14" i="17"/>
  <c r="C5" i="13" s="1"/>
  <c r="F5" i="13" s="1"/>
  <c r="AI27" i="17"/>
  <c r="C18" i="13" s="1"/>
  <c r="F18" i="13" s="1"/>
  <c r="AI15" i="17"/>
  <c r="C6" i="13" s="1"/>
  <c r="F6" i="13" s="1"/>
  <c r="AI13" i="17"/>
  <c r="C4" i="13" s="1"/>
  <c r="F4" i="13" s="1"/>
  <c r="AI20" i="11"/>
  <c r="C33" i="13" s="1"/>
  <c r="F33" i="13" s="1"/>
  <c r="AI28" i="11"/>
  <c r="C41" i="13" s="1"/>
  <c r="F41" i="13" s="1"/>
  <c r="AI17" i="11"/>
  <c r="C30" i="13" s="1"/>
  <c r="F30" i="13" s="1"/>
  <c r="AI29" i="17"/>
  <c r="C20" i="13" s="1"/>
  <c r="F20" i="13" s="1"/>
  <c r="AI16" i="17"/>
  <c r="C7" i="13" s="1"/>
  <c r="F7" i="13" s="1"/>
  <c r="AI24" i="11"/>
  <c r="C37" i="13" s="1"/>
  <c r="F37" i="13" s="1"/>
  <c r="AI19" i="17"/>
  <c r="C10" i="13" s="1"/>
  <c r="F10" i="13" s="1"/>
  <c r="AI23" i="17"/>
  <c r="C14" i="13" s="1"/>
  <c r="F14" i="13" s="1"/>
  <c r="AI29" i="11"/>
  <c r="C42" i="13" s="1"/>
  <c r="F42" i="13" s="1"/>
  <c r="AI27" i="11"/>
  <c r="C40" i="13" s="1"/>
  <c r="F40" i="13" s="1"/>
  <c r="AI23" i="11"/>
  <c r="C36" i="13" s="1"/>
  <c r="F36" i="13" s="1"/>
  <c r="AI13" i="11"/>
  <c r="C26" i="13" s="1"/>
  <c r="F26" i="13" s="1"/>
  <c r="AI19" i="11"/>
  <c r="C32" i="13" s="1"/>
  <c r="F32" i="13" s="1"/>
  <c r="AI26" i="17"/>
  <c r="C17" i="13" s="1"/>
  <c r="F17" i="13" s="1"/>
  <c r="AI28" i="17"/>
  <c r="C19" i="13" s="1"/>
  <c r="F19" i="13" s="1"/>
  <c r="AI18" i="17"/>
  <c r="C9" i="13" s="1"/>
  <c r="F9" i="13" s="1"/>
  <c r="AI25" i="17"/>
  <c r="C16" i="13" s="1"/>
  <c r="F16" i="13" s="1"/>
  <c r="AI24" i="17"/>
  <c r="C15" i="13" s="1"/>
  <c r="F15" i="13" s="1"/>
  <c r="AI21" i="17"/>
  <c r="C12" i="13" s="1"/>
  <c r="F12" i="13" s="1"/>
  <c r="AI14" i="11"/>
  <c r="C27" i="13" s="1"/>
  <c r="F27" i="13" s="1"/>
  <c r="AI20" i="17"/>
  <c r="C11" i="13" s="1"/>
  <c r="F11" i="13" s="1"/>
  <c r="AI22" i="17"/>
  <c r="C13" i="13" s="1"/>
  <c r="F13" i="13" s="1"/>
  <c r="AI22" i="11"/>
  <c r="C35" i="13" s="1"/>
  <c r="F35" i="13" s="1"/>
  <c r="AI18" i="11"/>
  <c r="C31" i="13" s="1"/>
  <c r="F31" i="13" s="1"/>
  <c r="AI4" i="11"/>
  <c r="C25" i="13" s="1"/>
  <c r="B42" i="13"/>
  <c r="J42" i="13" s="1"/>
  <c r="AF30" i="17"/>
  <c r="AF31" i="17" s="1"/>
  <c r="AF30" i="11"/>
  <c r="AF30" i="10"/>
  <c r="AF31" i="10" s="1"/>
  <c r="AF30" i="1"/>
  <c r="L20" i="13" l="1"/>
  <c r="D5" i="13"/>
  <c r="L42" i="13"/>
  <c r="D7" i="13"/>
  <c r="D20" i="13"/>
  <c r="K20" i="13" s="1"/>
  <c r="D18" i="13"/>
  <c r="D17" i="13"/>
  <c r="D19" i="13"/>
  <c r="D8" i="13"/>
  <c r="D13" i="13"/>
  <c r="D15" i="13"/>
  <c r="G14" i="13"/>
  <c r="H14" i="13" s="1"/>
  <c r="J14" i="13" s="1"/>
  <c r="D14" i="13"/>
  <c r="D16" i="13"/>
  <c r="D10" i="13"/>
  <c r="D12" i="13"/>
  <c r="D9" i="13"/>
  <c r="D6" i="13"/>
  <c r="D11" i="13"/>
  <c r="D4" i="13"/>
  <c r="G18" i="13"/>
  <c r="H18" i="13" s="1"/>
  <c r="J18" i="13" s="1"/>
  <c r="G17" i="13"/>
  <c r="H17" i="13" s="1"/>
  <c r="J17" i="13" s="1"/>
  <c r="G4" i="13"/>
  <c r="H4" i="13" s="1"/>
  <c r="G10" i="13"/>
  <c r="H10" i="13" s="1"/>
  <c r="J10" i="13" s="1"/>
  <c r="G9" i="13"/>
  <c r="H9" i="13" s="1"/>
  <c r="J9" i="13" s="1"/>
  <c r="G11" i="13"/>
  <c r="H11" i="13" s="1"/>
  <c r="J11" i="13" s="1"/>
  <c r="G13" i="13"/>
  <c r="H13" i="13" s="1"/>
  <c r="G16" i="13"/>
  <c r="H16" i="13" s="1"/>
  <c r="J16" i="13" s="1"/>
  <c r="G15" i="13"/>
  <c r="H15" i="13" s="1"/>
  <c r="G8" i="13"/>
  <c r="H8" i="13" s="1"/>
  <c r="L8" i="13" s="1"/>
  <c r="G12" i="13"/>
  <c r="H12" i="13" s="1"/>
  <c r="G7" i="13"/>
  <c r="H7" i="13" s="1"/>
  <c r="L7" i="13" s="1"/>
  <c r="G5" i="13"/>
  <c r="H5" i="13" s="1"/>
  <c r="L5" i="13" s="1"/>
  <c r="G19" i="13"/>
  <c r="H19" i="13" s="1"/>
  <c r="L19" i="13" s="1"/>
  <c r="G6" i="13"/>
  <c r="H6" i="13" s="1"/>
  <c r="L6" i="13" s="1"/>
  <c r="AI30" i="17"/>
  <c r="G40" i="13"/>
  <c r="H40" i="13" s="1"/>
  <c r="L40" i="13" s="1"/>
  <c r="G33" i="13"/>
  <c r="H33" i="13" s="1"/>
  <c r="L33" i="13" s="1"/>
  <c r="G31" i="13"/>
  <c r="H31" i="13" s="1"/>
  <c r="L31" i="13" s="1"/>
  <c r="G34" i="13"/>
  <c r="H34" i="13" s="1"/>
  <c r="J34" i="13" s="1"/>
  <c r="G38" i="13"/>
  <c r="H38" i="13" s="1"/>
  <c r="J38" i="13" s="1"/>
  <c r="G27" i="13"/>
  <c r="H27" i="13" s="1"/>
  <c r="L27" i="13" s="1"/>
  <c r="G39" i="13"/>
  <c r="H39" i="13" s="1"/>
  <c r="J39" i="13" s="1"/>
  <c r="G30" i="13"/>
  <c r="H30" i="13" s="1"/>
  <c r="L30" i="13" s="1"/>
  <c r="G37" i="13"/>
  <c r="H37" i="13" s="1"/>
  <c r="L37" i="13" s="1"/>
  <c r="G28" i="13"/>
  <c r="H28" i="13" s="1"/>
  <c r="J28" i="13" s="1"/>
  <c r="G32" i="13"/>
  <c r="H32" i="13" s="1"/>
  <c r="L32" i="13" s="1"/>
  <c r="G26" i="13"/>
  <c r="H26" i="13" s="1"/>
  <c r="L26" i="13" s="1"/>
  <c r="M26" i="13" s="1"/>
  <c r="G41" i="13"/>
  <c r="H41" i="13" s="1"/>
  <c r="L41" i="13" s="1"/>
  <c r="G35" i="13"/>
  <c r="H35" i="13" s="1"/>
  <c r="L35" i="13" s="1"/>
  <c r="G29" i="13"/>
  <c r="H29" i="13" s="1"/>
  <c r="J29" i="13" s="1"/>
  <c r="G36" i="13"/>
  <c r="H36" i="13" s="1"/>
  <c r="L36" i="13" s="1"/>
  <c r="AF31" i="11"/>
  <c r="AI30" i="11"/>
  <c r="C43" i="13" s="1"/>
  <c r="D43" i="13" s="1"/>
  <c r="AF31" i="1"/>
  <c r="D40" i="13"/>
  <c r="D26" i="13"/>
  <c r="D32" i="13"/>
  <c r="D29" i="13"/>
  <c r="D35" i="13"/>
  <c r="D36" i="13"/>
  <c r="D27" i="13"/>
  <c r="D37" i="13"/>
  <c r="D38" i="13"/>
  <c r="D41" i="13"/>
  <c r="D30" i="13"/>
  <c r="D28" i="13"/>
  <c r="D33" i="13"/>
  <c r="D42" i="13"/>
  <c r="K42" i="13" s="1"/>
  <c r="D31" i="13"/>
  <c r="D34" i="13"/>
  <c r="D39" i="13"/>
  <c r="K4" i="13" l="1"/>
  <c r="K13" i="13"/>
  <c r="K12" i="13"/>
  <c r="K15" i="13"/>
  <c r="L14" i="13"/>
  <c r="K14" i="13"/>
  <c r="L15" i="13"/>
  <c r="K9" i="13"/>
  <c r="L39" i="13"/>
  <c r="L38" i="13"/>
  <c r="J40" i="13"/>
  <c r="L9" i="13"/>
  <c r="J5" i="13"/>
  <c r="K18" i="13"/>
  <c r="L18" i="13"/>
  <c r="J15" i="13"/>
  <c r="L17" i="13"/>
  <c r="J8" i="13"/>
  <c r="L11" i="13"/>
  <c r="K19" i="13"/>
  <c r="J6" i="13"/>
  <c r="J19" i="13"/>
  <c r="K17" i="13"/>
  <c r="K8" i="13"/>
  <c r="J4" i="13"/>
  <c r="J12" i="13"/>
  <c r="L12" i="13"/>
  <c r="L13" i="13"/>
  <c r="L4" i="13"/>
  <c r="M4" i="13" s="1"/>
  <c r="M5" i="13" s="1"/>
  <c r="M6" i="13" s="1"/>
  <c r="M7" i="13" s="1"/>
  <c r="M8" i="13" s="1"/>
  <c r="J13" i="13"/>
  <c r="K6" i="13"/>
  <c r="K11" i="13"/>
  <c r="K7" i="13"/>
  <c r="J7" i="13"/>
  <c r="K10" i="13"/>
  <c r="L16" i="13"/>
  <c r="K16" i="13"/>
  <c r="K5" i="13"/>
  <c r="L10" i="13"/>
  <c r="J30" i="13"/>
  <c r="J33" i="13"/>
  <c r="L34" i="13"/>
  <c r="J31" i="13"/>
  <c r="C21" i="13"/>
  <c r="D21" i="13" s="1"/>
  <c r="AI31" i="17"/>
  <c r="J41" i="13"/>
  <c r="J26" i="13"/>
  <c r="J27" i="13"/>
  <c r="J36" i="13"/>
  <c r="J37" i="13"/>
  <c r="J32" i="13"/>
  <c r="L28" i="13"/>
  <c r="J35" i="13"/>
  <c r="L29" i="13"/>
  <c r="K41" i="13"/>
  <c r="K39" i="13"/>
  <c r="K36" i="13"/>
  <c r="K26" i="13"/>
  <c r="K33" i="13"/>
  <c r="K40" i="13"/>
  <c r="K38" i="13"/>
  <c r="K32" i="13"/>
  <c r="K31" i="13"/>
  <c r="K35" i="13"/>
  <c r="K37" i="13"/>
  <c r="K28" i="13"/>
  <c r="K34" i="13"/>
  <c r="K29" i="13"/>
  <c r="K30" i="13"/>
  <c r="K27" i="13"/>
  <c r="M27" i="13"/>
  <c r="M28" i="13" l="1"/>
  <c r="M29" i="13" s="1"/>
  <c r="M30" i="13" s="1"/>
  <c r="M31" i="13" s="1"/>
  <c r="M9" i="13"/>
  <c r="M32" i="13" l="1"/>
  <c r="M10" i="13"/>
  <c r="M33" i="13" l="1"/>
  <c r="M11" i="13"/>
  <c r="M34" i="13" l="1"/>
  <c r="M12" i="13"/>
  <c r="M35" i="13" l="1"/>
  <c r="M13" i="13"/>
  <c r="M36" i="13" l="1"/>
  <c r="M14" i="13"/>
  <c r="M37" i="13" l="1"/>
  <c r="M15" i="13"/>
  <c r="M38" i="13" l="1"/>
  <c r="M16" i="13"/>
  <c r="M39" i="13" l="1"/>
  <c r="M17" i="13"/>
  <c r="M40" i="13" l="1"/>
  <c r="M18" i="13"/>
  <c r="M41" i="13" l="1"/>
  <c r="M19" i="13"/>
  <c r="M42" i="13" l="1"/>
  <c r="N41" i="13" s="1"/>
  <c r="O41" i="13" s="1"/>
  <c r="M20" i="13"/>
  <c r="N42" i="13" l="1"/>
  <c r="O42" i="13" s="1"/>
  <c r="N26" i="13"/>
  <c r="O26" i="13" s="1"/>
  <c r="N30" i="13"/>
  <c r="O30" i="13" s="1"/>
  <c r="N29" i="13"/>
  <c r="O29" i="13" s="1"/>
  <c r="N27" i="13"/>
  <c r="O27" i="13" s="1"/>
  <c r="N28" i="13"/>
  <c r="O28" i="13" s="1"/>
  <c r="N31" i="13"/>
  <c r="O31" i="13" s="1"/>
  <c r="N32" i="13"/>
  <c r="O32" i="13" s="1"/>
  <c r="N33" i="13"/>
  <c r="O33" i="13" s="1"/>
  <c r="N34" i="13"/>
  <c r="O34" i="13" s="1"/>
  <c r="N35" i="13"/>
  <c r="O35" i="13" s="1"/>
  <c r="N36" i="13"/>
  <c r="O36" i="13" s="1"/>
  <c r="N37" i="13"/>
  <c r="O37" i="13" s="1"/>
  <c r="N38" i="13"/>
  <c r="O38" i="13" s="1"/>
  <c r="N39" i="13"/>
  <c r="O39" i="13" s="1"/>
  <c r="N40" i="13"/>
  <c r="O40" i="13" s="1"/>
  <c r="N20" i="13"/>
  <c r="O20" i="13" s="1"/>
  <c r="N4" i="13"/>
  <c r="O4" i="13" s="1"/>
  <c r="N6" i="13"/>
  <c r="O6" i="13" s="1"/>
  <c r="N5" i="13"/>
  <c r="O5" i="13" s="1"/>
  <c r="N8" i="13"/>
  <c r="O8" i="13" s="1"/>
  <c r="N7" i="13"/>
  <c r="O7" i="13" s="1"/>
  <c r="N9" i="13"/>
  <c r="O9" i="13" s="1"/>
  <c r="N10" i="13"/>
  <c r="O10" i="13" s="1"/>
  <c r="N11" i="13"/>
  <c r="O11" i="13" s="1"/>
  <c r="N12" i="13"/>
  <c r="O12" i="13" s="1"/>
  <c r="N13" i="13"/>
  <c r="O13" i="13" s="1"/>
  <c r="N14" i="13"/>
  <c r="O14" i="13" s="1"/>
  <c r="N15" i="13"/>
  <c r="O15" i="13" s="1"/>
  <c r="N16" i="13"/>
  <c r="O16" i="13" s="1"/>
  <c r="N17" i="13"/>
  <c r="O17" i="13" s="1"/>
  <c r="N18" i="13"/>
  <c r="O18" i="13" s="1"/>
  <c r="N19" i="13"/>
  <c r="O19" i="13" s="1"/>
  <c r="R4" i="13" l="1"/>
  <c r="R3" i="13"/>
  <c r="AH4" i="11" l="1"/>
  <c r="AH4" i="1" l="1" a="1"/>
  <c r="AH4" i="1" s="1"/>
  <c r="AH4" i="10" a="1"/>
  <c r="AH4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<sst xmlns="http://schemas.openxmlformats.org/spreadsheetml/2006/main" count="172" uniqueCount="67">
  <si>
    <t>OBS.</t>
  </si>
  <si>
    <t>PRODUÇÃO</t>
  </si>
  <si>
    <t>T O T A L</t>
  </si>
  <si>
    <t>TOTAL</t>
  </si>
  <si>
    <t>Objetivo</t>
  </si>
  <si>
    <t>LINHA: 1</t>
  </si>
  <si>
    <t>Ocorrências</t>
  </si>
  <si>
    <t>Diurno</t>
  </si>
  <si>
    <t>Inspetor:</t>
  </si>
  <si>
    <t>Data:</t>
  </si>
  <si>
    <t>Produção:</t>
  </si>
  <si>
    <t>Controle da Qualidade:</t>
  </si>
  <si>
    <t>ppm</t>
  </si>
  <si>
    <t>Blindagem</t>
  </si>
  <si>
    <t>Chapa Riscada</t>
  </si>
  <si>
    <t>Chapa Manchada</t>
  </si>
  <si>
    <t>Chapa Invertida</t>
  </si>
  <si>
    <t>Chapa Aberta</t>
  </si>
  <si>
    <t>Falha de Impressão</t>
  </si>
  <si>
    <t>Montagem</t>
  </si>
  <si>
    <t>Sem Arruela</t>
  </si>
  <si>
    <t>Fundo Amassado</t>
  </si>
  <si>
    <t>Sem Cap</t>
  </si>
  <si>
    <t>Outros</t>
  </si>
  <si>
    <t>TURNO: ________</t>
  </si>
  <si>
    <t>LINHA: 2</t>
  </si>
  <si>
    <t>L1D</t>
  </si>
  <si>
    <t>L2D</t>
  </si>
  <si>
    <t>Qt</t>
  </si>
  <si>
    <t>Qt.</t>
  </si>
  <si>
    <t>Calculo</t>
  </si>
  <si>
    <t>maior</t>
  </si>
  <si>
    <t>corresp</t>
  </si>
  <si>
    <t>TURNO: Diurno</t>
  </si>
  <si>
    <t>Obs.:</t>
  </si>
  <si>
    <t>13/01/15 - Troca dos pinos e rolamentos da máquina de arruela.</t>
  </si>
  <si>
    <t>14/01/15 - Troca do came máquina Shima.</t>
  </si>
  <si>
    <t>13/01/15 - Troca do came máquina Shima.</t>
  </si>
  <si>
    <t>Senhas: PANA.AAMM.CQ</t>
  </si>
  <si>
    <t>AA - Ano com 2 digitos</t>
  </si>
  <si>
    <t>MM - Mês com 2 dígitos</t>
  </si>
  <si>
    <t>TURNO: Noturno</t>
  </si>
  <si>
    <t>FALHAS DA  MONTAGEM  UM-3 ( APÓS SHIMA )</t>
  </si>
  <si>
    <t>TURNO: NOTURNO</t>
  </si>
  <si>
    <t>Noturno</t>
  </si>
  <si>
    <t>Sem Anel Vermelho</t>
  </si>
  <si>
    <t>Fundo Sujo</t>
  </si>
  <si>
    <t>Dois Anéis Vermelhos</t>
  </si>
  <si>
    <t>Cap Amassado / Afundado</t>
  </si>
  <si>
    <t>Cap Rachado</t>
  </si>
  <si>
    <t>Sem Bottom Plate</t>
  </si>
  <si>
    <t>Bottom Plate Amassado</t>
  </si>
  <si>
    <t>Sem Arruela / Sem Bottom Plate</t>
  </si>
  <si>
    <t>Sem anel Vermelho</t>
  </si>
  <si>
    <t>Sem Botton Plate</t>
  </si>
  <si>
    <t>Botton Plate Amassado</t>
  </si>
  <si>
    <t>Sem Arruela / Sem Botton Plate</t>
  </si>
  <si>
    <t>Fundo sujo</t>
  </si>
  <si>
    <t>Visto CQ</t>
  </si>
  <si>
    <t>Visto Supervisor</t>
  </si>
  <si>
    <t>Taxa</t>
  </si>
  <si>
    <t>Qty</t>
  </si>
  <si>
    <t>Qty Ac.</t>
  </si>
  <si>
    <t>%</t>
  </si>
  <si>
    <t>Problemas</t>
  </si>
  <si>
    <t>D+N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</si>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</sst>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_)"/>
    <numFmt numFmtId="166" formatCode="d/m;@"/>
  </numFmts>
  <fonts count="18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8"/>
      <name val="Calibri"/>
      <family val="2"/>
    </font>
    <font>
      <sz val="22"/>
      <name val="Arial"/>
      <family val="2"/>
    </font>
    <font>
      <sz val="14"/>
      <name val="Arial"/>
      <family val="2"/>
    </font>
    <font>
      <sz val="10"/>
      <color theme="3" tint="0.39997558519241921"/>
      <name val="Arial"/>
      <family val="2"/>
    </font>
    <font>
      <sz val="10"/>
      <color theme="0" tint="-0.499984740745262"/>
      <name val="Arial"/>
      <family val="2"/>
    </font>
    <font>
      <sz val="10"/>
      <color theme="0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38" fontId="2" fillId="2" borderId="0" applyNumberFormat="0" applyBorder="0" applyAlignment="0" applyProtection="0"/>
    <xf numFmtId="10" fontId="2" fillId="3" borderId="1" applyNumberFormat="0" applyBorder="0" applyAlignment="0" applyProtection="0"/>
    <xf numFmtId="165" fontId="4" fillId="0" borderId="0"/>
    <xf numFmtId="0" fontId="3" fillId="0" borderId="0"/>
    <xf numFmtId="10" fontId="5" fillId="0" borderId="0" applyFont="0" applyFill="0" applyBorder="0" applyAlignment="0" applyProtection="0"/>
    <xf numFmtId="0" fontId="6" fillId="0" borderId="0"/>
  </cellStyleXfs>
  <cellXfs count="185">
    <xf numFmtId="0" fontId="0" fillId="0" borderId="0" xfId="0"/>
    <xf numFmtId="0" fontId="0" fillId="0" borderId="1" xfId="0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vertical="center" shrinkToFit="1"/>
      <protection locked="0"/>
    </xf>
    <xf numFmtId="0" fontId="2" fillId="0" borderId="3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 textRotation="90" wrapText="1"/>
      <protection locked="0"/>
    </xf>
    <xf numFmtId="0" fontId="10" fillId="0" borderId="1" xfId="0" applyFont="1" applyBorder="1" applyAlignment="1" applyProtection="1">
      <alignment horizontal="center" vertical="center" textRotation="90" wrapText="1"/>
      <protection locked="0"/>
    </xf>
    <xf numFmtId="0" fontId="0" fillId="0" borderId="0" xfId="0" applyAlignment="1">
      <alignment vertical="center"/>
    </xf>
    <xf numFmtId="3" fontId="0" fillId="0" borderId="4" xfId="0" applyNumberFormat="1" applyBorder="1"/>
    <xf numFmtId="0" fontId="0" fillId="0" borderId="5" xfId="0" applyBorder="1"/>
    <xf numFmtId="3" fontId="0" fillId="0" borderId="6" xfId="0" applyNumberFormat="1" applyBorder="1"/>
    <xf numFmtId="3" fontId="0" fillId="0" borderId="7" xfId="0" applyNumberFormat="1" applyBorder="1"/>
    <xf numFmtId="0" fontId="0" fillId="0" borderId="1" xfId="0" applyBorder="1"/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14" fontId="9" fillId="0" borderId="9" xfId="0" quotePrefix="1" applyNumberFormat="1" applyFont="1" applyBorder="1" applyAlignment="1">
      <alignment horizontal="left"/>
    </xf>
    <xf numFmtId="14" fontId="9" fillId="0" borderId="9" xfId="0" applyNumberFormat="1" applyFont="1" applyBorder="1" applyAlignment="1">
      <alignment horizontal="left"/>
    </xf>
    <xf numFmtId="0" fontId="2" fillId="0" borderId="0" xfId="0" applyFont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 wrapText="1"/>
    </xf>
    <xf numFmtId="0" fontId="0" fillId="0" borderId="1" xfId="0" applyBorder="1" applyAlignment="1" applyProtection="1">
      <alignment shrinkToFit="1"/>
      <protection locked="0"/>
    </xf>
    <xf numFmtId="1" fontId="11" fillId="0" borderId="11" xfId="0" applyNumberFormat="1" applyFont="1" applyBorder="1" applyAlignment="1">
      <alignment shrinkToFit="1"/>
    </xf>
    <xf numFmtId="3" fontId="0" fillId="0" borderId="12" xfId="0" applyNumberFormat="1" applyBorder="1"/>
    <xf numFmtId="0" fontId="7" fillId="0" borderId="0" xfId="0" applyFont="1" applyAlignment="1">
      <alignment vertical="center"/>
    </xf>
    <xf numFmtId="0" fontId="0" fillId="0" borderId="14" xfId="0" applyBorder="1"/>
    <xf numFmtId="0" fontId="0" fillId="0" borderId="3" xfId="0" applyBorder="1" applyAlignment="1" applyProtection="1">
      <alignment shrinkToFit="1"/>
      <protection locked="0"/>
    </xf>
    <xf numFmtId="3" fontId="0" fillId="0" borderId="15" xfId="0" applyNumberFormat="1" applyBorder="1"/>
    <xf numFmtId="0" fontId="0" fillId="0" borderId="16" xfId="0" applyBorder="1"/>
    <xf numFmtId="0" fontId="0" fillId="0" borderId="17" xfId="0" applyBorder="1"/>
    <xf numFmtId="0" fontId="5" fillId="0" borderId="17" xfId="0" applyFont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9" xfId="0" applyFont="1" applyBorder="1"/>
    <xf numFmtId="0" fontId="2" fillId="0" borderId="10" xfId="0" applyFont="1" applyBorder="1"/>
    <xf numFmtId="0" fontId="12" fillId="0" borderId="20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3" fontId="0" fillId="0" borderId="10" xfId="0" applyNumberFormat="1" applyBorder="1"/>
    <xf numFmtId="3" fontId="8" fillId="0" borderId="12" xfId="0" applyNumberFormat="1" applyFont="1" applyBorder="1"/>
    <xf numFmtId="0" fontId="12" fillId="0" borderId="22" xfId="0" applyFont="1" applyBorder="1" applyAlignment="1">
      <alignment horizontal="center"/>
    </xf>
    <xf numFmtId="0" fontId="12" fillId="0" borderId="13" xfId="0" applyFont="1" applyBorder="1"/>
    <xf numFmtId="0" fontId="12" fillId="0" borderId="14" xfId="0" applyFont="1" applyBorder="1"/>
    <xf numFmtId="0" fontId="12" fillId="0" borderId="15" xfId="0" applyFont="1" applyBorder="1"/>
    <xf numFmtId="0" fontId="12" fillId="0" borderId="23" xfId="0" applyFont="1" applyBorder="1" applyAlignment="1">
      <alignment horizontal="center"/>
    </xf>
    <xf numFmtId="0" fontId="12" fillId="0" borderId="11" xfId="0" applyFont="1" applyBorder="1"/>
    <xf numFmtId="0" fontId="9" fillId="0" borderId="19" xfId="0" applyFont="1" applyBorder="1" applyAlignment="1">
      <alignment horizontal="left" vertical="top"/>
    </xf>
    <xf numFmtId="164" fontId="9" fillId="0" borderId="0" xfId="0" applyNumberFormat="1" applyFont="1" applyAlignment="1">
      <alignment horizontal="left" vertical="top" shrinkToFit="1"/>
    </xf>
    <xf numFmtId="3" fontId="0" fillId="0" borderId="13" xfId="0" applyNumberFormat="1" applyBorder="1"/>
    <xf numFmtId="3" fontId="0" fillId="0" borderId="14" xfId="0" applyNumberFormat="1" applyBorder="1"/>
    <xf numFmtId="3" fontId="0" fillId="0" borderId="0" xfId="0" applyNumberFormat="1"/>
    <xf numFmtId="1" fontId="0" fillId="0" borderId="0" xfId="0" applyNumberFormat="1"/>
    <xf numFmtId="0" fontId="2" fillId="0" borderId="1" xfId="0" applyFont="1" applyBorder="1" applyAlignment="1" applyProtection="1">
      <alignment horizontal="center" vertical="center" textRotation="90" wrapText="1"/>
      <protection locked="0"/>
    </xf>
    <xf numFmtId="0" fontId="1" fillId="0" borderId="0" xfId="0" applyFont="1"/>
    <xf numFmtId="0" fontId="2" fillId="0" borderId="1" xfId="0" applyFont="1" applyBorder="1" applyAlignment="1" applyProtection="1">
      <alignment horizontal="center"/>
      <protection locked="0"/>
    </xf>
    <xf numFmtId="0" fontId="13" fillId="4" borderId="0" xfId="4" applyFont="1" applyFill="1"/>
    <xf numFmtId="0" fontId="3" fillId="4" borderId="0" xfId="4" applyFill="1"/>
    <xf numFmtId="0" fontId="14" fillId="4" borderId="0" xfId="4" applyFont="1" applyFill="1"/>
    <xf numFmtId="0" fontId="15" fillId="4" borderId="0" xfId="4" applyFont="1" applyFill="1"/>
    <xf numFmtId="0" fontId="0" fillId="0" borderId="3" xfId="0" applyBorder="1" applyAlignment="1" applyProtection="1">
      <alignment horizontal="center" vertical="center" shrinkToFit="1"/>
      <protection locked="0"/>
    </xf>
    <xf numFmtId="0" fontId="0" fillId="0" borderId="17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9" xfId="0" applyBorder="1" applyAlignment="1">
      <alignment horizontal="center" vertical="center" textRotation="90" wrapText="1"/>
    </xf>
    <xf numFmtId="0" fontId="12" fillId="0" borderId="27" xfId="0" applyFont="1" applyBorder="1"/>
    <xf numFmtId="0" fontId="12" fillId="0" borderId="28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/>
      <protection locked="0"/>
    </xf>
    <xf numFmtId="3" fontId="2" fillId="0" borderId="3" xfId="0" applyNumberFormat="1" applyFont="1" applyBorder="1" applyAlignment="1" applyProtection="1">
      <alignment horizontal="center" vertical="center" shrinkToFit="1"/>
      <protection locked="0"/>
    </xf>
    <xf numFmtId="3" fontId="2" fillId="0" borderId="3" xfId="0" applyNumberFormat="1" applyFont="1" applyBorder="1" applyAlignment="1" applyProtection="1">
      <alignment vertical="center" shrinkToFit="1"/>
      <protection locked="0"/>
    </xf>
    <xf numFmtId="3" fontId="0" fillId="0" borderId="3" xfId="0" applyNumberFormat="1" applyBorder="1" applyAlignment="1" applyProtection="1">
      <alignment shrinkToFit="1"/>
      <protection locked="0"/>
    </xf>
    <xf numFmtId="3" fontId="3" fillId="0" borderId="2" xfId="0" applyNumberFormat="1" applyFont="1" applyBorder="1" applyAlignment="1" applyProtection="1">
      <alignment horizontal="center"/>
      <protection locked="0"/>
    </xf>
    <xf numFmtId="3" fontId="3" fillId="0" borderId="24" xfId="0" applyNumberFormat="1" applyFont="1" applyBorder="1" applyAlignment="1" applyProtection="1">
      <alignment horizontal="center"/>
      <protection locked="0"/>
    </xf>
    <xf numFmtId="3" fontId="3" fillId="0" borderId="30" xfId="0" applyNumberFormat="1" applyFont="1" applyBorder="1" applyAlignment="1" applyProtection="1">
      <alignment horizontal="center"/>
      <protection locked="0"/>
    </xf>
    <xf numFmtId="3" fontId="3" fillId="0" borderId="1" xfId="0" applyNumberFormat="1" applyFont="1" applyBorder="1" applyAlignment="1" applyProtection="1">
      <alignment horizontal="center"/>
      <protection locked="0"/>
    </xf>
    <xf numFmtId="3" fontId="3" fillId="0" borderId="31" xfId="0" applyNumberFormat="1" applyFont="1" applyBorder="1" applyAlignment="1" applyProtection="1">
      <alignment horizontal="center"/>
      <protection locked="0"/>
    </xf>
    <xf numFmtId="3" fontId="3" fillId="0" borderId="25" xfId="0" applyNumberFormat="1" applyFont="1" applyBorder="1" applyAlignment="1" applyProtection="1">
      <alignment horizontal="center"/>
      <protection locked="0"/>
    </xf>
    <xf numFmtId="3" fontId="3" fillId="0" borderId="3" xfId="0" applyNumberFormat="1" applyFont="1" applyBorder="1" applyAlignment="1" applyProtection="1">
      <alignment horizontal="center"/>
      <protection locked="0"/>
    </xf>
    <xf numFmtId="3" fontId="3" fillId="0" borderId="3" xfId="0" applyNumberFormat="1" applyFont="1" applyBorder="1" applyAlignment="1" applyProtection="1">
      <alignment horizontal="center" shrinkToFit="1"/>
      <protection locked="0"/>
    </xf>
    <xf numFmtId="3" fontId="8" fillId="0" borderId="26" xfId="0" applyNumberFormat="1" applyFont="1" applyBorder="1" applyAlignment="1">
      <alignment horizontal="center"/>
    </xf>
    <xf numFmtId="3" fontId="8" fillId="0" borderId="24" xfId="0" applyNumberFormat="1" applyFont="1" applyBorder="1" applyAlignment="1">
      <alignment horizontal="center"/>
    </xf>
    <xf numFmtId="3" fontId="11" fillId="0" borderId="32" xfId="0" applyNumberFormat="1" applyFont="1" applyBorder="1" applyAlignment="1">
      <alignment horizontal="center" shrinkToFit="1"/>
    </xf>
    <xf numFmtId="3" fontId="11" fillId="0" borderId="25" xfId="0" applyNumberFormat="1" applyFont="1" applyBorder="1" applyAlignment="1">
      <alignment horizontal="center" shrinkToFit="1"/>
    </xf>
    <xf numFmtId="3" fontId="11" fillId="0" borderId="11" xfId="0" applyNumberFormat="1" applyFont="1" applyBorder="1" applyAlignment="1">
      <alignment shrinkToFit="1"/>
    </xf>
    <xf numFmtId="3" fontId="0" fillId="0" borderId="2" xfId="0" applyNumberFormat="1" applyBorder="1" applyProtection="1">
      <protection locked="0"/>
    </xf>
    <xf numFmtId="3" fontId="0" fillId="0" borderId="24" xfId="0" applyNumberFormat="1" applyBorder="1" applyProtection="1">
      <protection locked="0"/>
    </xf>
    <xf numFmtId="3" fontId="0" fillId="0" borderId="30" xfId="0" applyNumberFormat="1" applyBorder="1" applyProtection="1">
      <protection locked="0"/>
    </xf>
    <xf numFmtId="3" fontId="0" fillId="0" borderId="1" xfId="0" applyNumberFormat="1" applyBorder="1" applyProtection="1">
      <protection locked="0"/>
    </xf>
    <xf numFmtId="3" fontId="0" fillId="0" borderId="31" xfId="0" applyNumberFormat="1" applyBorder="1" applyProtection="1">
      <protection locked="0"/>
    </xf>
    <xf numFmtId="3" fontId="0" fillId="0" borderId="25" xfId="0" applyNumberFormat="1" applyBorder="1" applyProtection="1">
      <protection locked="0"/>
    </xf>
    <xf numFmtId="3" fontId="0" fillId="0" borderId="1" xfId="0" applyNumberFormat="1" applyBorder="1" applyAlignment="1" applyProtection="1">
      <alignment horizontal="right"/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 shrinkToFit="1"/>
      <protection locked="0"/>
    </xf>
    <xf numFmtId="3" fontId="8" fillId="0" borderId="26" xfId="0" applyNumberFormat="1" applyFont="1" applyBorder="1"/>
    <xf numFmtId="3" fontId="11" fillId="0" borderId="32" xfId="0" applyNumberFormat="1" applyFont="1" applyBorder="1" applyAlignment="1">
      <alignment shrinkToFit="1"/>
    </xf>
    <xf numFmtId="3" fontId="11" fillId="0" borderId="25" xfId="0" applyNumberFormat="1" applyFont="1" applyBorder="1" applyAlignment="1">
      <alignment shrinkToFit="1"/>
    </xf>
    <xf numFmtId="3" fontId="0" fillId="0" borderId="33" xfId="0" applyNumberFormat="1" applyBorder="1" applyProtection="1">
      <protection locked="0"/>
    </xf>
    <xf numFmtId="3" fontId="0" fillId="0" borderId="26" xfId="0" applyNumberFormat="1" applyBorder="1" applyProtection="1">
      <protection locked="0"/>
    </xf>
    <xf numFmtId="3" fontId="0" fillId="0" borderId="34" xfId="0" applyNumberFormat="1" applyBorder="1" applyProtection="1">
      <protection locked="0"/>
    </xf>
    <xf numFmtId="3" fontId="0" fillId="0" borderId="35" xfId="0" applyNumberFormat="1" applyBorder="1" applyProtection="1">
      <protection locked="0"/>
    </xf>
    <xf numFmtId="3" fontId="0" fillId="0" borderId="21" xfId="0" applyNumberFormat="1" applyBorder="1" applyProtection="1">
      <protection locked="0"/>
    </xf>
    <xf numFmtId="3" fontId="0" fillId="0" borderId="36" xfId="0" applyNumberFormat="1" applyBorder="1" applyProtection="1">
      <protection locked="0"/>
    </xf>
    <xf numFmtId="164" fontId="9" fillId="0" borderId="19" xfId="0" applyNumberFormat="1" applyFont="1" applyBorder="1" applyAlignment="1">
      <alignment horizontal="left" vertical="top"/>
    </xf>
    <xf numFmtId="164" fontId="9" fillId="0" borderId="0" xfId="0" applyNumberFormat="1" applyFont="1" applyAlignment="1">
      <alignment horizontal="left" vertical="top"/>
    </xf>
    <xf numFmtId="0" fontId="9" fillId="0" borderId="0" xfId="0" applyFont="1" applyAlignment="1">
      <alignment horizontal="left" vertical="top"/>
    </xf>
    <xf numFmtId="164" fontId="9" fillId="0" borderId="5" xfId="0" applyNumberFormat="1" applyFont="1" applyBorder="1" applyAlignment="1">
      <alignment horizontal="left" vertical="top"/>
    </xf>
    <xf numFmtId="164" fontId="9" fillId="0" borderId="5" xfId="0" applyNumberFormat="1" applyFont="1" applyBorder="1" applyAlignment="1">
      <alignment horizontal="left" vertical="top" shrinkToFit="1"/>
    </xf>
    <xf numFmtId="1" fontId="11" fillId="0" borderId="2" xfId="0" applyNumberFormat="1" applyFont="1" applyBorder="1" applyAlignment="1">
      <alignment horizontal="center" shrinkToFit="1"/>
    </xf>
    <xf numFmtId="1" fontId="11" fillId="0" borderId="13" xfId="0" applyNumberFormat="1" applyFont="1" applyBorder="1" applyAlignment="1">
      <alignment shrinkToFit="1"/>
    </xf>
    <xf numFmtId="1" fontId="11" fillId="0" borderId="3" xfId="0" applyNumberFormat="1" applyFont="1" applyBorder="1" applyAlignment="1">
      <alignment horizontal="center" shrinkToFit="1"/>
    </xf>
    <xf numFmtId="1" fontId="11" fillId="0" borderId="15" xfId="0" applyNumberFormat="1" applyFont="1" applyBorder="1" applyAlignment="1">
      <alignment shrinkToFit="1"/>
    </xf>
    <xf numFmtId="3" fontId="11" fillId="0" borderId="2" xfId="0" applyNumberFormat="1" applyFont="1" applyBorder="1" applyAlignment="1">
      <alignment shrinkToFit="1"/>
    </xf>
    <xf numFmtId="3" fontId="11" fillId="0" borderId="3" xfId="0" applyNumberFormat="1" applyFont="1" applyBorder="1" applyAlignment="1">
      <alignment shrinkToFit="1"/>
    </xf>
    <xf numFmtId="3" fontId="11" fillId="0" borderId="2" xfId="0" applyNumberFormat="1" applyFont="1" applyBorder="1" applyAlignment="1">
      <alignment horizontal="center" shrinkToFit="1"/>
    </xf>
    <xf numFmtId="3" fontId="11" fillId="0" borderId="3" xfId="0" applyNumberFormat="1" applyFont="1" applyBorder="1" applyAlignment="1">
      <alignment horizontal="center" shrinkToFit="1"/>
    </xf>
    <xf numFmtId="0" fontId="0" fillId="0" borderId="13" xfId="0" applyBorder="1"/>
    <xf numFmtId="0" fontId="0" fillId="0" borderId="15" xfId="0" applyBorder="1"/>
    <xf numFmtId="3" fontId="11" fillId="0" borderId="33" xfId="0" applyNumberFormat="1" applyFont="1" applyBorder="1" applyAlignment="1">
      <alignment shrinkToFit="1"/>
    </xf>
    <xf numFmtId="3" fontId="11" fillId="0" borderId="36" xfId="0" applyNumberFormat="1" applyFont="1" applyBorder="1" applyAlignment="1">
      <alignment shrinkToFit="1"/>
    </xf>
    <xf numFmtId="3" fontId="11" fillId="0" borderId="33" xfId="0" applyNumberFormat="1" applyFont="1" applyBorder="1" applyAlignment="1">
      <alignment horizontal="center" shrinkToFit="1"/>
    </xf>
    <xf numFmtId="3" fontId="11" fillId="0" borderId="36" xfId="0" applyNumberFormat="1" applyFont="1" applyBorder="1" applyAlignment="1">
      <alignment horizontal="center" shrinkToFit="1"/>
    </xf>
    <xf numFmtId="0" fontId="1" fillId="0" borderId="0" xfId="0" applyFont="1" applyAlignment="1">
      <alignment horizontal="left" vertical="center" textRotation="90"/>
    </xf>
    <xf numFmtId="0" fontId="8" fillId="0" borderId="0" xfId="0" applyFont="1" applyAlignment="1">
      <alignment horizontal="left" vertical="center" textRotation="90"/>
    </xf>
    <xf numFmtId="0" fontId="8" fillId="0" borderId="9" xfId="0" applyFont="1" applyBorder="1" applyAlignment="1">
      <alignment horizontal="left" vertical="center" textRotation="90"/>
    </xf>
    <xf numFmtId="0" fontId="16" fillId="0" borderId="0" xfId="0" applyFont="1"/>
    <xf numFmtId="0" fontId="1" fillId="0" borderId="37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3" fontId="17" fillId="0" borderId="0" xfId="0" applyNumberFormat="1" applyFont="1"/>
    <xf numFmtId="0" fontId="17" fillId="0" borderId="0" xfId="0" applyFont="1"/>
    <xf numFmtId="3" fontId="16" fillId="0" borderId="0" xfId="0" applyNumberFormat="1" applyFont="1"/>
    <xf numFmtId="0" fontId="0" fillId="0" borderId="0" xfId="0" applyProtection="1">
      <protection locked="0"/>
    </xf>
    <xf numFmtId="0" fontId="3" fillId="0" borderId="1" xfId="0" applyFont="1" applyBorder="1" applyAlignment="1" applyProtection="1">
      <alignment horizontal="center" vertical="center" textRotation="90" wrapText="1"/>
      <protection locked="0"/>
    </xf>
    <xf numFmtId="3" fontId="3" fillId="0" borderId="25" xfId="0" applyNumberFormat="1" applyFont="1" applyBorder="1" applyAlignment="1" applyProtection="1">
      <alignment horizontal="center" shrinkToFit="1"/>
      <protection locked="0"/>
    </xf>
    <xf numFmtId="3" fontId="0" fillId="0" borderId="5" xfId="0" applyNumberFormat="1" applyBorder="1"/>
    <xf numFmtId="0" fontId="8" fillId="0" borderId="20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3" fontId="8" fillId="0" borderId="6" xfId="0" applyNumberFormat="1" applyFont="1" applyBorder="1"/>
    <xf numFmtId="3" fontId="11" fillId="0" borderId="22" xfId="0" applyNumberFormat="1" applyFont="1" applyBorder="1" applyAlignment="1">
      <alignment horizontal="center" shrinkToFit="1"/>
    </xf>
    <xf numFmtId="3" fontId="0" fillId="0" borderId="22" xfId="0" applyNumberFormat="1" applyBorder="1" applyProtection="1">
      <protection locked="0"/>
    </xf>
    <xf numFmtId="3" fontId="0" fillId="0" borderId="28" xfId="0" applyNumberFormat="1" applyBorder="1" applyProtection="1">
      <protection locked="0"/>
    </xf>
    <xf numFmtId="3" fontId="2" fillId="0" borderId="1" xfId="0" applyNumberFormat="1" applyFont="1" applyBorder="1" applyAlignment="1" applyProtection="1">
      <alignment horizontal="center" vertical="center" shrinkToFit="1"/>
      <protection locked="0"/>
    </xf>
    <xf numFmtId="0" fontId="0" fillId="0" borderId="27" xfId="0" applyBorder="1" applyAlignment="1">
      <alignment horizontal="center"/>
    </xf>
    <xf numFmtId="0" fontId="7" fillId="0" borderId="45" xfId="0" applyFont="1" applyBorder="1" applyAlignment="1">
      <alignment vertical="center"/>
    </xf>
    <xf numFmtId="0" fontId="3" fillId="0" borderId="9" xfId="0" quotePrefix="1" applyFont="1" applyBorder="1" applyAlignment="1">
      <alignment vertical="center" wrapText="1"/>
    </xf>
    <xf numFmtId="0" fontId="3" fillId="0" borderId="10" xfId="0" quotePrefix="1" applyFont="1" applyBorder="1" applyAlignment="1">
      <alignment vertical="center" wrapText="1"/>
    </xf>
    <xf numFmtId="0" fontId="0" fillId="0" borderId="9" xfId="0" applyBorder="1" applyAlignment="1">
      <alignment vertical="center"/>
    </xf>
    <xf numFmtId="16" fontId="3" fillId="0" borderId="2" xfId="0" applyNumberFormat="1" applyFont="1" applyBorder="1" applyAlignment="1" applyProtection="1">
      <alignment horizontal="center" shrinkToFit="1"/>
      <protection locked="0"/>
    </xf>
    <xf numFmtId="166" fontId="3" fillId="0" borderId="2" xfId="0" applyNumberFormat="1" applyFont="1" applyBorder="1" applyAlignment="1" applyProtection="1">
      <alignment horizontal="center" shrinkToFit="1"/>
      <protection locked="0"/>
    </xf>
    <xf numFmtId="3" fontId="11" fillId="0" borderId="0" xfId="0" applyNumberFormat="1" applyFont="1" applyBorder="1" applyAlignment="1">
      <alignment shrinkToFit="1"/>
    </xf>
    <xf numFmtId="0" fontId="0" fillId="0" borderId="17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9" xfId="0" applyBorder="1" applyAlignment="1">
      <alignment horizontal="center" vertical="center" textRotation="90" wrapText="1"/>
    </xf>
    <xf numFmtId="0" fontId="1" fillId="0" borderId="2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2" fillId="0" borderId="39" xfId="0" applyFont="1" applyBorder="1" applyAlignment="1">
      <alignment horizontal="center" vertical="center" textRotation="90"/>
    </xf>
    <xf numFmtId="0" fontId="12" fillId="0" borderId="40" xfId="0" applyFont="1" applyBorder="1" applyAlignment="1">
      <alignment horizontal="center" vertical="center" textRotation="90"/>
    </xf>
    <xf numFmtId="0" fontId="12" fillId="0" borderId="41" xfId="0" applyFont="1" applyBorder="1" applyAlignment="1">
      <alignment horizontal="center" vertical="center" textRotation="90"/>
    </xf>
    <xf numFmtId="0" fontId="1" fillId="0" borderId="0" xfId="0" applyFont="1" applyAlignment="1">
      <alignment horizontal="left" vertical="center" textRotation="90"/>
    </xf>
    <xf numFmtId="0" fontId="8" fillId="0" borderId="0" xfId="0" applyFont="1" applyAlignment="1">
      <alignment horizontal="left" vertical="center" textRotation="90"/>
    </xf>
    <xf numFmtId="0" fontId="8" fillId="0" borderId="9" xfId="0" applyFont="1" applyBorder="1" applyAlignment="1">
      <alignment horizontal="left" vertical="center" textRotation="90"/>
    </xf>
    <xf numFmtId="0" fontId="7" fillId="0" borderId="43" xfId="0" quotePrefix="1" applyFont="1" applyBorder="1" applyAlignment="1">
      <alignment horizontal="center" vertical="center" wrapText="1"/>
    </xf>
    <xf numFmtId="0" fontId="7" fillId="0" borderId="44" xfId="0" quotePrefix="1" applyFont="1" applyBorder="1" applyAlignment="1">
      <alignment horizontal="center" vertical="center" wrapText="1"/>
    </xf>
    <xf numFmtId="0" fontId="0" fillId="0" borderId="17" xfId="0" applyBorder="1" applyAlignment="1">
      <alignment horizontal="left" vertical="center" textRotation="90" wrapText="1"/>
    </xf>
    <xf numFmtId="0" fontId="0" fillId="0" borderId="0" xfId="0" applyAlignment="1">
      <alignment horizontal="left" vertical="center" textRotation="90" wrapText="1"/>
    </xf>
    <xf numFmtId="0" fontId="0" fillId="0" borderId="9" xfId="0" applyBorder="1" applyAlignment="1">
      <alignment horizontal="left" vertical="center" textRotation="90" wrapText="1"/>
    </xf>
    <xf numFmtId="0" fontId="7" fillId="0" borderId="44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quotePrefix="1" applyFont="1" applyAlignment="1">
      <alignment horizontal="left" vertical="center" textRotation="90"/>
    </xf>
  </cellXfs>
  <cellStyles count="7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4" xr:uid="{00000000-0005-0000-0000-000004000000}"/>
    <cellStyle name="Percent [2]" xfId="5" xr:uid="{00000000-0005-0000-0000-000005000000}"/>
    <cellStyle name="標準_品質検査" xfId="6" xr:uid="{00000000-0005-0000-0000-000006000000}"/>
  </cellStyles>
  <dxfs count="8">
    <dxf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990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351032050738108E-2"/>
          <c:y val="2.4615233976581937E-2"/>
          <c:w val="0.90026671663117275"/>
          <c:h val="0.93538461538461537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 w="254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'LINHA - 1D'!$D$31:$AE$31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0">
                  <c:v>0</c:v>
                </c:pt>
                <c:pt idx="4" formatCode="0">
                  <c:v>0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0</c:v>
                </c:pt>
                <c:pt idx="13" formatCode="0">
                  <c:v>0</c:v>
                </c:pt>
                <c:pt idx="14" formatCode="0">
                  <c:v>0</c:v>
                </c:pt>
                <c:pt idx="15" formatCode="0">
                  <c:v>0</c:v>
                </c:pt>
                <c:pt idx="16" formatCode="0">
                  <c:v>0</c:v>
                </c:pt>
                <c:pt idx="17" formatCode="0">
                  <c:v>0</c:v>
                </c:pt>
                <c:pt idx="18" formatCode="0">
                  <c:v>0</c:v>
                </c:pt>
                <c:pt idx="19" formatCode="0">
                  <c:v>0</c:v>
                </c:pt>
                <c:pt idx="20" formatCode="0">
                  <c:v>0</c:v>
                </c:pt>
                <c:pt idx="21" formatCode="0">
                  <c:v>0</c:v>
                </c:pt>
                <c:pt idx="22" formatCode="0">
                  <c:v>0</c:v>
                </c:pt>
                <c:pt idx="23" formatCode="0">
                  <c:v>0</c:v>
                </c:pt>
                <c:pt idx="24" formatCode="0">
                  <c:v>0</c:v>
                </c:pt>
                <c:pt idx="25" formatCode="0">
                  <c:v>0</c:v>
                </c:pt>
                <c:pt idx="26" formatCode="0">
                  <c:v>0</c:v>
                </c:pt>
                <c:pt idx="27" formatCode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52-4314-8AB9-432B470A3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95768"/>
        <c:axId val="609101256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- 1D'!$D$36:$AE$36</c:f>
              <c:numCache>
                <c:formatCode>0</c:formatCode>
                <c:ptCount val="28"/>
                <c:pt idx="0" formatCode="General">
                  <c:v>420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2-4314-8AB9-432B470A3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432"/>
        <c:axId val="609097336"/>
      </c:scatterChart>
      <c:catAx>
        <c:axId val="60909576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none"/>
        <c:minorTickMark val="none"/>
        <c:tickLblPos val="none"/>
        <c:crossAx val="609101256"/>
        <c:crosses val="autoZero"/>
        <c:auto val="0"/>
        <c:lblAlgn val="ctr"/>
        <c:lblOffset val="100"/>
        <c:noMultiLvlLbl val="0"/>
      </c:catAx>
      <c:valAx>
        <c:axId val="609101256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9095768"/>
        <c:crosses val="autoZero"/>
        <c:crossBetween val="between"/>
        <c:majorUnit val="100"/>
      </c:valAx>
      <c:valAx>
        <c:axId val="6090973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09102432"/>
        <c:crosses val="max"/>
        <c:crossBetween val="midCat"/>
      </c:valAx>
      <c:valAx>
        <c:axId val="60910243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60909733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'LINHA - 1D'!$E$31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'LINHA - 1D'!$E$2:$AE$2</c:f>
              <c:numCache>
                <c:formatCode>d/m;@</c:formatCode>
                <c:ptCount val="27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434-424E-81B9-47966D033DAA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- 1D'!$E$36:$AE$36</c:f>
              <c:numCache>
                <c:formatCode>0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34-424E-81B9-47966D033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96552"/>
        <c:axId val="609103216"/>
      </c:lineChart>
      <c:catAx>
        <c:axId val="609096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609103216"/>
        <c:crosses val="autoZero"/>
        <c:auto val="1"/>
        <c:lblAlgn val="ctr"/>
        <c:lblOffset val="100"/>
        <c:tickMarkSkip val="1"/>
        <c:noMultiLvlLbl val="1"/>
      </c:catAx>
      <c:valAx>
        <c:axId val="609103216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9096552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806429854137188E-2"/>
          <c:y val="3.0769230769230771E-2"/>
          <c:w val="0.94783017807228831"/>
          <c:h val="0.93538461538461537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5400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'LINHA - 2D'!$D$31:$AE$31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0-43B1-8306-B7C11AA90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102824"/>
        <c:axId val="609098904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- 2D'!$D$36:$AE$36</c:f>
              <c:numCache>
                <c:formatCode>0</c:formatCode>
                <c:ptCount val="28"/>
                <c:pt idx="0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0-43B1-8306-B7C11AA90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096944"/>
        <c:axId val="609096160"/>
      </c:scatterChart>
      <c:catAx>
        <c:axId val="60910282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none"/>
        <c:minorTickMark val="none"/>
        <c:tickLblPos val="none"/>
        <c:crossAx val="609098904"/>
        <c:crosses val="autoZero"/>
        <c:auto val="0"/>
        <c:lblAlgn val="ctr"/>
        <c:lblOffset val="100"/>
        <c:noMultiLvlLbl val="0"/>
      </c:catAx>
      <c:valAx>
        <c:axId val="609098904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/>
            </a:pPr>
            <a:endParaRPr lang="pt-BR"/>
          </a:p>
        </c:txPr>
        <c:crossAx val="609102824"/>
        <c:crosses val="autoZero"/>
        <c:crossBetween val="between"/>
        <c:majorUnit val="100"/>
        <c:minorUnit val="20"/>
      </c:valAx>
      <c:valAx>
        <c:axId val="609096160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609096944"/>
        <c:crosses val="max"/>
        <c:crossBetween val="midCat"/>
      </c:valAx>
      <c:valAx>
        <c:axId val="60909694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609096160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'LINHA - 2D'!$D$31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'LINHA - 2D'!$D$2:$AE$2</c:f>
              <c:numCache>
                <c:formatCode>d/m;@</c:formatCode>
                <c:ptCount val="28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D69-4069-AC59-AC155D437280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- 2D'!$D$36:$AE$36</c:f>
              <c:numCache>
                <c:formatCode>0</c:formatCode>
                <c:ptCount val="28"/>
                <c:pt idx="0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9-4069-AC59-AC155D437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30624"/>
        <c:axId val="607733368"/>
      </c:lineChart>
      <c:catAx>
        <c:axId val="6077306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607733368"/>
        <c:crosses val="autoZero"/>
        <c:auto val="1"/>
        <c:lblAlgn val="ctr"/>
        <c:lblOffset val="100"/>
        <c:tickMarkSkip val="1"/>
        <c:noMultiLvlLbl val="1"/>
      </c:catAx>
      <c:valAx>
        <c:axId val="607733368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7730624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03215947053763E-2"/>
          <c:y val="2.4615384615384615E-2"/>
          <c:w val="0.94812078983400616"/>
          <c:h val="0.93538461538461537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54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'LINHA - 1N'!$D$31:$AE$31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71-4F6C-83AA-F974B7AA4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27488"/>
        <c:axId val="607731800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- 1N'!$D$36:$AE$36</c:f>
              <c:numCache>
                <c:formatCode>0</c:formatCode>
                <c:ptCount val="28"/>
                <c:pt idx="0">
                  <c:v>420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1-4F6C-83AA-F974B7AA4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727880"/>
        <c:axId val="607727096"/>
      </c:scatterChart>
      <c:catAx>
        <c:axId val="60772748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none"/>
        <c:minorTickMark val="none"/>
        <c:tickLblPos val="none"/>
        <c:crossAx val="607731800"/>
        <c:crosses val="autoZero"/>
        <c:auto val="0"/>
        <c:lblAlgn val="ctr"/>
        <c:lblOffset val="100"/>
        <c:noMultiLvlLbl val="0"/>
      </c:catAx>
      <c:valAx>
        <c:axId val="607731800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7727488"/>
        <c:crosses val="autoZero"/>
        <c:crossBetween val="between"/>
        <c:majorUnit val="100"/>
        <c:minorUnit val="20"/>
      </c:valAx>
      <c:valAx>
        <c:axId val="607727096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607727880"/>
        <c:crosses val="max"/>
        <c:crossBetween val="midCat"/>
      </c:valAx>
      <c:valAx>
        <c:axId val="607727880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607727096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'LINHA - 1N'!$D$31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'LINHA - 1N'!$D$2:$AE$2</c:f>
              <c:numCache>
                <c:formatCode>d/m;@</c:formatCode>
                <c:ptCount val="28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633-4F77-9150-83CE684B1DA0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- 1N'!$D$36:$AE$36</c:f>
              <c:numCache>
                <c:formatCode>0</c:formatCode>
                <c:ptCount val="28"/>
                <c:pt idx="0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33-4F77-9150-83CE684B1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29056"/>
        <c:axId val="607732192"/>
      </c:lineChart>
      <c:catAx>
        <c:axId val="607729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607732192"/>
        <c:crosses val="autoZero"/>
        <c:auto val="1"/>
        <c:lblAlgn val="ctr"/>
        <c:lblOffset val="100"/>
        <c:tickMarkSkip val="1"/>
        <c:noMultiLvlLbl val="1"/>
      </c:catAx>
      <c:valAx>
        <c:axId val="607732192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7729056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071415712025166E-2"/>
          <c:y val="3.0769331403667999E-2"/>
          <c:w val="0.94682825374945867"/>
          <c:h val="0.93538461538461537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5400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'LINHA - 2N'!$D$31:$AE$31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F7-42E7-A8B3-7CA1A5620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29448"/>
        <c:axId val="607728272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- 2N'!$D$36:$AE$36</c:f>
              <c:numCache>
                <c:formatCode>0</c:formatCode>
                <c:ptCount val="28"/>
                <c:pt idx="0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F7-42E7-A8B3-7CA1A5620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729840"/>
        <c:axId val="607728664"/>
      </c:scatterChart>
      <c:catAx>
        <c:axId val="60772944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none"/>
        <c:minorTickMark val="none"/>
        <c:tickLblPos val="none"/>
        <c:crossAx val="607728272"/>
        <c:crosses val="autoZero"/>
        <c:auto val="0"/>
        <c:lblAlgn val="ctr"/>
        <c:lblOffset val="100"/>
        <c:noMultiLvlLbl val="0"/>
      </c:catAx>
      <c:valAx>
        <c:axId val="607728272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7729448"/>
        <c:crosses val="autoZero"/>
        <c:crossBetween val="between"/>
        <c:majorUnit val="100"/>
        <c:minorUnit val="20"/>
      </c:valAx>
      <c:valAx>
        <c:axId val="607728664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607729840"/>
        <c:crosses val="max"/>
        <c:crossBetween val="midCat"/>
      </c:valAx>
      <c:valAx>
        <c:axId val="607729840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607728664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'LINHA - 2N'!$D$31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'LINHA - 2N'!$D$2:$AE$2</c:f>
              <c:numCache>
                <c:formatCode>d/m;@</c:formatCode>
                <c:ptCount val="28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F99-459F-BE9F-36D2190DEAAB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- 2N'!$D$36:$AE$36</c:f>
              <c:numCache>
                <c:formatCode>0</c:formatCode>
                <c:ptCount val="28"/>
                <c:pt idx="0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99-459F-BE9F-36D2190DE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30232"/>
        <c:axId val="607726312"/>
      </c:lineChart>
      <c:catAx>
        <c:axId val="607730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607726312"/>
        <c:crosses val="autoZero"/>
        <c:auto val="1"/>
        <c:lblAlgn val="ctr"/>
        <c:lblOffset val="100"/>
        <c:tickMarkSkip val="1"/>
        <c:noMultiLvlLbl val="1"/>
      </c:catAx>
      <c:valAx>
        <c:axId val="607726312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7730232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Paretto de Falhas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Montagem UM-3 Linha-1 Dia + Noite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Após Shima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586638830897704E-2"/>
          <c:y val="0.12100840336134454"/>
          <c:w val="0.8768267223382045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Falhas</c:v>
          </c:tx>
          <c:spPr>
            <a:gradFill>
              <a:gsLst>
                <a:gs pos="0">
                  <a:srgbClr val="FF9900"/>
                </a:gs>
                <a:gs pos="52000">
                  <a:schemeClr val="accent4">
                    <a:lumMod val="40000"/>
                    <a:lumOff val="60000"/>
                  </a:schemeClr>
                </a:gs>
                <a:gs pos="100000">
                  <a:srgbClr val="FF9900"/>
                </a:gs>
              </a:gsLst>
              <a:lin ang="10800000" scaled="0"/>
            </a:gra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grafico'!$J$4:$J$20</c:f>
              <c:strCache>
                <c:ptCount val="17"/>
                <c:pt idx="0">
                  <c:v>Fundo Sujo</c:v>
                </c:pt>
                <c:pt idx="1">
                  <c:v>Fundo Amassado</c:v>
                </c:pt>
                <c:pt idx="2">
                  <c:v>Sem Arruela / Sem Bottom Plate</c:v>
                </c:pt>
                <c:pt idx="3">
                  <c:v>Sem Arruela</c:v>
                </c:pt>
                <c:pt idx="4">
                  <c:v>Bottom Plate Amassado</c:v>
                </c:pt>
                <c:pt idx="5">
                  <c:v>Sem Bottom Plate</c:v>
                </c:pt>
                <c:pt idx="6">
                  <c:v>Dois Anéis Vermelhos</c:v>
                </c:pt>
                <c:pt idx="7">
                  <c:v>Sem Anel Vermelho</c:v>
                </c:pt>
                <c:pt idx="8">
                  <c:v>Cap Rachado</c:v>
                </c:pt>
                <c:pt idx="9">
                  <c:v>Cap Amassado / Afundado</c:v>
                </c:pt>
                <c:pt idx="10">
                  <c:v>Sem Cap</c:v>
                </c:pt>
                <c:pt idx="11">
                  <c:v>Falha de Impressão</c:v>
                </c:pt>
                <c:pt idx="12">
                  <c:v>Chapa Aberta</c:v>
                </c:pt>
                <c:pt idx="13">
                  <c:v>Chapa Invertida</c:v>
                </c:pt>
                <c:pt idx="14">
                  <c:v>Chapa Manchada</c:v>
                </c:pt>
                <c:pt idx="15">
                  <c:v>Chapa Riscada</c:v>
                </c:pt>
                <c:pt idx="16">
                  <c:v>Outros</c:v>
                </c:pt>
              </c:strCache>
            </c:strRef>
          </c:cat>
          <c:val>
            <c:numRef>
              <c:f>[0]!LinFalhas1_Y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B-4B77-B348-1A241E4FCDEF}"/>
            </c:ext>
          </c:extLst>
        </c:ser>
        <c:ser>
          <c:idx val="2"/>
          <c:order val="1"/>
          <c:tx>
            <c:v>Problemas</c:v>
          </c:tx>
          <c:spPr>
            <a:gradFill>
              <a:gsLst>
                <a:gs pos="0">
                  <a:srgbClr val="FF0000"/>
                </a:gs>
                <a:gs pos="52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10800000" scaled="0"/>
            </a:gradFill>
            <a:ln>
              <a:noFill/>
            </a:ln>
          </c:spPr>
          <c:invertIfNegative val="0"/>
          <c:cat>
            <c:strRef>
              <c:f>'Dados para grafico'!$J$4:$J$20</c:f>
              <c:strCache>
                <c:ptCount val="17"/>
                <c:pt idx="0">
                  <c:v>Fundo Sujo</c:v>
                </c:pt>
                <c:pt idx="1">
                  <c:v>Fundo Amassado</c:v>
                </c:pt>
                <c:pt idx="2">
                  <c:v>Sem Arruela / Sem Bottom Plate</c:v>
                </c:pt>
                <c:pt idx="3">
                  <c:v>Sem Arruela</c:v>
                </c:pt>
                <c:pt idx="4">
                  <c:v>Bottom Plate Amassado</c:v>
                </c:pt>
                <c:pt idx="5">
                  <c:v>Sem Bottom Plate</c:v>
                </c:pt>
                <c:pt idx="6">
                  <c:v>Dois Anéis Vermelhos</c:v>
                </c:pt>
                <c:pt idx="7">
                  <c:v>Sem Anel Vermelho</c:v>
                </c:pt>
                <c:pt idx="8">
                  <c:v>Cap Rachado</c:v>
                </c:pt>
                <c:pt idx="9">
                  <c:v>Cap Amassado / Afundado</c:v>
                </c:pt>
                <c:pt idx="10">
                  <c:v>Sem Cap</c:v>
                </c:pt>
                <c:pt idx="11">
                  <c:v>Falha de Impressão</c:v>
                </c:pt>
                <c:pt idx="12">
                  <c:v>Chapa Aberta</c:v>
                </c:pt>
                <c:pt idx="13">
                  <c:v>Chapa Invertida</c:v>
                </c:pt>
                <c:pt idx="14">
                  <c:v>Chapa Manchada</c:v>
                </c:pt>
                <c:pt idx="15">
                  <c:v>Chapa Riscada</c:v>
                </c:pt>
                <c:pt idx="16">
                  <c:v>Outros</c:v>
                </c:pt>
              </c:strCache>
            </c:strRef>
          </c:cat>
          <c:val>
            <c:numRef>
              <c:f>[0]!Lin1Prob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08-48DB-86E9-303CE00F6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320777632"/>
        <c:axId val="320775672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[0]!LinFalhas1_X</c:f>
              <c:strCache>
                <c:ptCount val="1"/>
                <c:pt idx="0">
                  <c:v>Fundo Sujo</c:v>
                </c:pt>
              </c:strCache>
            </c:strRef>
          </c:cat>
          <c:val>
            <c:numRef>
              <c:f>[0]!Lin1AC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7B-4B77-B348-1A241E4FC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74496"/>
        <c:axId val="320778024"/>
      </c:lineChart>
      <c:catAx>
        <c:axId val="320777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0775672"/>
        <c:crosses val="autoZero"/>
        <c:auto val="1"/>
        <c:lblAlgn val="ctr"/>
        <c:lblOffset val="100"/>
        <c:noMultiLvlLbl val="0"/>
      </c:catAx>
      <c:valAx>
        <c:axId val="32077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0777632"/>
        <c:crosses val="autoZero"/>
        <c:crossBetween val="between"/>
      </c:valAx>
      <c:catAx>
        <c:axId val="320774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0778024"/>
        <c:crosses val="autoZero"/>
        <c:auto val="1"/>
        <c:lblAlgn val="ctr"/>
        <c:lblOffset val="100"/>
        <c:noMultiLvlLbl val="0"/>
      </c:catAx>
      <c:valAx>
        <c:axId val="3207780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</a:t>
                </a:r>
                <a:r>
                  <a:rPr lang="pt-BR" baseline="0"/>
                  <a:t>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0774496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318236082558649"/>
          <c:y val="0.38703660269416673"/>
          <c:w val="9.3437630640997457E-2"/>
          <c:h val="9.6943467172986353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400" b="0"/>
            </a:pPr>
            <a:r>
              <a:rPr lang="pt-BR" sz="1400" b="0"/>
              <a:t>Paretto de Falhas  - Montagem UM-3 Linha-2</a:t>
            </a:r>
          </a:p>
          <a:p>
            <a:pPr>
              <a:defRPr sz="1400" b="0"/>
            </a:pPr>
            <a:r>
              <a:rPr lang="pt-BR" sz="1400" b="0"/>
              <a:t>Após Shima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586638830897704E-2"/>
          <c:y val="0.12100840336134454"/>
          <c:w val="0.8768267223382045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Falhas</c:v>
          </c:tx>
          <c:spPr>
            <a:gradFill>
              <a:gsLst>
                <a:gs pos="0">
                  <a:srgbClr val="002060"/>
                </a:gs>
                <a:gs pos="52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10800000" scaled="0"/>
            </a:gra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grafico'!$J$26:$J$42</c:f>
              <c:strCache>
                <c:ptCount val="17"/>
                <c:pt idx="0">
                  <c:v>Fundo Sujo</c:v>
                </c:pt>
                <c:pt idx="1">
                  <c:v>Fundo Amassado</c:v>
                </c:pt>
                <c:pt idx="2">
                  <c:v>Sem Arruela / Sem Bottom Plate</c:v>
                </c:pt>
                <c:pt idx="3">
                  <c:v>Sem Arruela</c:v>
                </c:pt>
                <c:pt idx="4">
                  <c:v>Bottom Plate Amassado</c:v>
                </c:pt>
                <c:pt idx="5">
                  <c:v>Sem Bottom Plate</c:v>
                </c:pt>
                <c:pt idx="6">
                  <c:v>Dois Anéis Vermelhos</c:v>
                </c:pt>
                <c:pt idx="7">
                  <c:v>Sem Anel Vermelho</c:v>
                </c:pt>
                <c:pt idx="8">
                  <c:v>Cap Rachado</c:v>
                </c:pt>
                <c:pt idx="9">
                  <c:v>Cap Amassado / Afundado</c:v>
                </c:pt>
                <c:pt idx="10">
                  <c:v>Sem Cap</c:v>
                </c:pt>
                <c:pt idx="11">
                  <c:v>Falha de Impressão</c:v>
                </c:pt>
                <c:pt idx="12">
                  <c:v>Chapa Aberta</c:v>
                </c:pt>
                <c:pt idx="13">
                  <c:v>Chapa Invertida</c:v>
                </c:pt>
                <c:pt idx="14">
                  <c:v>Chapa Manchada</c:v>
                </c:pt>
                <c:pt idx="15">
                  <c:v>Chapa Riscada</c:v>
                </c:pt>
                <c:pt idx="16">
                  <c:v>Outros</c:v>
                </c:pt>
              </c:strCache>
            </c:strRef>
          </c:cat>
          <c:val>
            <c:numRef>
              <c:f>[0]!LinFalhas2_Y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A3-46F6-AB9B-9A99AF8CF438}"/>
            </c:ext>
          </c:extLst>
        </c:ser>
        <c:ser>
          <c:idx val="2"/>
          <c:order val="1"/>
          <c:tx>
            <c:v>Problemas</c:v>
          </c:tx>
          <c:spPr>
            <a:gradFill>
              <a:gsLst>
                <a:gs pos="0">
                  <a:srgbClr val="FF0000"/>
                </a:gs>
                <a:gs pos="52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10800000" scaled="0"/>
            </a:gradFill>
            <a:ln>
              <a:noFill/>
            </a:ln>
          </c:spPr>
          <c:invertIfNegative val="0"/>
          <c:cat>
            <c:strRef>
              <c:f>'Dados para grafico'!$J$26:$J$42</c:f>
              <c:strCache>
                <c:ptCount val="17"/>
                <c:pt idx="0">
                  <c:v>Fundo Sujo</c:v>
                </c:pt>
                <c:pt idx="1">
                  <c:v>Fundo Amassado</c:v>
                </c:pt>
                <c:pt idx="2">
                  <c:v>Sem Arruela / Sem Bottom Plate</c:v>
                </c:pt>
                <c:pt idx="3">
                  <c:v>Sem Arruela</c:v>
                </c:pt>
                <c:pt idx="4">
                  <c:v>Bottom Plate Amassado</c:v>
                </c:pt>
                <c:pt idx="5">
                  <c:v>Sem Bottom Plate</c:v>
                </c:pt>
                <c:pt idx="6">
                  <c:v>Dois Anéis Vermelhos</c:v>
                </c:pt>
                <c:pt idx="7">
                  <c:v>Sem Anel Vermelho</c:v>
                </c:pt>
                <c:pt idx="8">
                  <c:v>Cap Rachado</c:v>
                </c:pt>
                <c:pt idx="9">
                  <c:v>Cap Amassado / Afundado</c:v>
                </c:pt>
                <c:pt idx="10">
                  <c:v>Sem Cap</c:v>
                </c:pt>
                <c:pt idx="11">
                  <c:v>Falha de Impressão</c:v>
                </c:pt>
                <c:pt idx="12">
                  <c:v>Chapa Aberta</c:v>
                </c:pt>
                <c:pt idx="13">
                  <c:v>Chapa Invertida</c:v>
                </c:pt>
                <c:pt idx="14">
                  <c:v>Chapa Manchada</c:v>
                </c:pt>
                <c:pt idx="15">
                  <c:v>Chapa Riscada</c:v>
                </c:pt>
                <c:pt idx="16">
                  <c:v>Outros</c:v>
                </c:pt>
              </c:strCache>
            </c:strRef>
          </c:cat>
          <c:val>
            <c:numRef>
              <c:f>[0]!Lin2Prob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69-4B16-9294-3D073C377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320780376"/>
        <c:axId val="320778416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 sz="1200" b="1">
                    <a:solidFill>
                      <a:srgbClr val="002060"/>
                    </a:solidFill>
                    <a:latin typeface="+mn-lt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[0]!LinFalhas2_X</c:f>
              <c:strCache>
                <c:ptCount val="1"/>
                <c:pt idx="0">
                  <c:v>Fundo Sujo</c:v>
                </c:pt>
              </c:strCache>
            </c:strRef>
          </c:cat>
          <c:val>
            <c:numRef>
              <c:f>[0]!Lin2AC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3-46F6-AB9B-9A99AF8CF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73712"/>
        <c:axId val="320780768"/>
      </c:lineChart>
      <c:catAx>
        <c:axId val="320780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vert="horz"/>
          <a:lstStyle/>
          <a:p>
            <a:pPr>
              <a:defRPr/>
            </a:pPr>
            <a:endParaRPr lang="pt-BR"/>
          </a:p>
        </c:txPr>
        <c:crossAx val="320778416"/>
        <c:crosses val="autoZero"/>
        <c:auto val="1"/>
        <c:lblAlgn val="ctr"/>
        <c:lblOffset val="100"/>
        <c:noMultiLvlLbl val="0"/>
      </c:catAx>
      <c:valAx>
        <c:axId val="32077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320780376"/>
        <c:crosses val="autoZero"/>
        <c:crossBetween val="between"/>
      </c:valAx>
      <c:catAx>
        <c:axId val="320773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0780768"/>
        <c:crosses val="autoZero"/>
        <c:auto val="1"/>
        <c:lblAlgn val="ctr"/>
        <c:lblOffset val="100"/>
        <c:noMultiLvlLbl val="0"/>
      </c:catAx>
      <c:valAx>
        <c:axId val="32078076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32077371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049661149235078"/>
          <c:y val="0.35334616776610922"/>
          <c:w val="9.2465272594671369E-2"/>
          <c:h val="9.5033804436090913E-2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 sz="1200"/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1181100</xdr:colOff>
      <xdr:row>4</xdr:row>
      <xdr:rowOff>9525</xdr:rowOff>
    </xdr:from>
    <xdr:to>
      <xdr:col>32</xdr:col>
      <xdr:colOff>2381</xdr:colOff>
      <xdr:row>11</xdr:row>
      <xdr:rowOff>369094</xdr:rowOff>
    </xdr:to>
    <xdr:graphicFrame macro="">
      <xdr:nvGraphicFramePr>
        <xdr:cNvPr id="2049" name="Gráfico 3">
          <a:extLs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33</xdr:row>
      <xdr:rowOff>0</xdr:rowOff>
    </xdr:from>
    <xdr:to>
      <xdr:col>31</xdr:col>
      <xdr:colOff>123825</xdr:colOff>
      <xdr:row>33</xdr:row>
      <xdr:rowOff>0</xdr:rowOff>
    </xdr:to>
    <xdr:graphicFrame macro="">
      <xdr:nvGraphicFramePr>
        <xdr:cNvPr id="2051" name="Gráfico 4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LINHA - 1D'!$E$36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 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1266825</xdr:colOff>
      <xdr:row>3</xdr:row>
      <xdr:rowOff>257175</xdr:rowOff>
    </xdr:from>
    <xdr:to>
      <xdr:col>31</xdr:col>
      <xdr:colOff>180975</xdr:colOff>
      <xdr:row>12</xdr:row>
      <xdr:rowOff>38100</xdr:rowOff>
    </xdr:to>
    <xdr:graphicFrame macro="">
      <xdr:nvGraphicFramePr>
        <xdr:cNvPr id="4097" name="Gráfico 3">
          <a:extLst>
            <a:ext uri="{FF2B5EF4-FFF2-40B4-BE49-F238E27FC236}">
              <a16:creationId xmlns:a16="http://schemas.microsoft.com/office/drawing/2014/main" id="{00000000-0008-0000-02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638175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33</xdr:row>
      <xdr:rowOff>0</xdr:rowOff>
    </xdr:from>
    <xdr:to>
      <xdr:col>31</xdr:col>
      <xdr:colOff>123825</xdr:colOff>
      <xdr:row>33</xdr:row>
      <xdr:rowOff>0</xdr:rowOff>
    </xdr:to>
    <xdr:graphicFrame macro="">
      <xdr:nvGraphicFramePr>
        <xdr:cNvPr id="4099" name="Gráfico 4">
          <a:extLst>
            <a:ext uri="{FF2B5EF4-FFF2-40B4-BE49-F238E27FC236}">
              <a16:creationId xmlns:a16="http://schemas.microsoft.com/office/drawing/2014/main" id="{00000000-0008-0000-0200-000003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LINHA - 2D'!$D$36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330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31</xdr:col>
      <xdr:colOff>133350</xdr:colOff>
      <xdr:row>12</xdr:row>
      <xdr:rowOff>57150</xdr:rowOff>
    </xdr:to>
    <xdr:graphicFrame macro="">
      <xdr:nvGraphicFramePr>
        <xdr:cNvPr id="3073" name="Gráfico 3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638175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33</xdr:row>
      <xdr:rowOff>0</xdr:rowOff>
    </xdr:from>
    <xdr:to>
      <xdr:col>31</xdr:col>
      <xdr:colOff>123825</xdr:colOff>
      <xdr:row>33</xdr:row>
      <xdr:rowOff>0</xdr:rowOff>
    </xdr:to>
    <xdr:graphicFrame macro="">
      <xdr:nvGraphicFramePr>
        <xdr:cNvPr id="3075" name="Gráfico 4">
          <a:extLst>
            <a:ext uri="{FF2B5EF4-FFF2-40B4-BE49-F238E27FC236}">
              <a16:creationId xmlns:a16="http://schemas.microsoft.com/office/drawing/2014/main" id="{00000000-0008-0000-0300-00000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LINHA - 1N'!$D$36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420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1236133</xdr:colOff>
      <xdr:row>3</xdr:row>
      <xdr:rowOff>260351</xdr:rowOff>
    </xdr:from>
    <xdr:to>
      <xdr:col>31</xdr:col>
      <xdr:colOff>150283</xdr:colOff>
      <xdr:row>12</xdr:row>
      <xdr:rowOff>3176</xdr:rowOff>
    </xdr:to>
    <xdr:graphicFrame macro="">
      <xdr:nvGraphicFramePr>
        <xdr:cNvPr id="5121" name="Gráfico 3"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638175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33</xdr:row>
      <xdr:rowOff>0</xdr:rowOff>
    </xdr:from>
    <xdr:to>
      <xdr:col>31</xdr:col>
      <xdr:colOff>123825</xdr:colOff>
      <xdr:row>33</xdr:row>
      <xdr:rowOff>0</xdr:rowOff>
    </xdr:to>
    <xdr:graphicFrame macro="">
      <xdr:nvGraphicFramePr>
        <xdr:cNvPr id="5123" name="Gráfico 4">
          <a:extLst>
            <a:ext uri="{FF2B5EF4-FFF2-40B4-BE49-F238E27FC236}">
              <a16:creationId xmlns:a16="http://schemas.microsoft.com/office/drawing/2014/main" id="{00000000-0008-0000-0400-000003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LINHA - 2N'!$D$36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330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19</xdr:col>
      <xdr:colOff>28575</xdr:colOff>
      <xdr:row>49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19</xdr:col>
      <xdr:colOff>160100</xdr:colOff>
      <xdr:row>50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6-316-02%20-%20220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LINHA 1-D"/>
      <sheetName val="LINHA 2-D"/>
      <sheetName val="LINHA 1-N"/>
      <sheetName val="LINHA 2-N"/>
      <sheetName val="Dados"/>
      <sheetName val="Pareto L1"/>
      <sheetName val="Pareto L2"/>
      <sheetName val="SJCPIL-R 16-316-02 - 2203"/>
    </sheetNames>
    <definedNames>
      <definedName name="PROD_L1D" refersTo="='LINHA 1-D'!$AD$6"/>
      <definedName name="PROD_L1N" refersTo="='LINHA 1-N'!$AD$6"/>
      <definedName name="PROD_L2D" refersTo="='LINHA 2-D'!$AD$6"/>
      <definedName name="PROD_L2N" refersTo="='LINHA 2-N'!$AD$6"/>
    </definedNames>
    <sheetDataSet>
      <sheetData sheetId="0"/>
      <sheetData sheetId="1">
        <row r="6">
          <cell r="AD6">
            <v>0</v>
          </cell>
        </row>
      </sheetData>
      <sheetData sheetId="2">
        <row r="6">
          <cell r="AD6">
            <v>0</v>
          </cell>
        </row>
      </sheetData>
      <sheetData sheetId="3">
        <row r="6">
          <cell r="AD6">
            <v>0</v>
          </cell>
        </row>
      </sheetData>
      <sheetData sheetId="4">
        <row r="6">
          <cell r="AD6">
            <v>0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11">
          <cell r="Y11">
            <v>420</v>
          </cell>
        </row>
        <row r="16">
          <cell r="Y16">
            <v>330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B2:S39"/>
  <sheetViews>
    <sheetView topLeftCell="T1" zoomScaleNormal="100" workbookViewId="0">
      <selection activeCell="AD4" sqref="AD4"/>
    </sheetView>
  </sheetViews>
  <sheetFormatPr defaultRowHeight="12.75"/>
  <cols>
    <col min="1" max="16384" width="9.140625" style="58"/>
  </cols>
  <sheetData>
    <row r="2" spans="2:19" ht="27"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</row>
    <row r="7" spans="2:19" ht="18">
      <c r="N7" s="59"/>
    </row>
    <row r="8" spans="2:19" ht="18">
      <c r="N8" s="59"/>
    </row>
    <row r="9" spans="2:19" ht="18">
      <c r="H9" s="59"/>
    </row>
    <row r="11" spans="2:19" ht="18">
      <c r="H11" s="59"/>
      <c r="I11" s="59"/>
      <c r="K11" s="59"/>
      <c r="M11" s="59"/>
      <c r="N11" s="59"/>
      <c r="O11" s="59"/>
      <c r="P11" s="59"/>
      <c r="Q11" s="59"/>
      <c r="R11" s="59"/>
      <c r="S11" s="59"/>
    </row>
    <row r="12" spans="2:19" ht="18"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</row>
    <row r="13" spans="2:19" ht="18">
      <c r="B13" s="59"/>
      <c r="C13" s="59"/>
      <c r="D13" s="59"/>
      <c r="E13" s="59"/>
      <c r="F13" s="59"/>
      <c r="G13" s="59"/>
      <c r="H13" s="59"/>
      <c r="I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2:19" ht="18"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2:19" ht="18"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2:19" ht="18"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</row>
    <row r="17" spans="2:14" ht="18"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</row>
    <row r="18" spans="2:14" ht="18"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</row>
    <row r="19" spans="2:14" ht="18"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</row>
    <row r="20" spans="2:14" ht="18"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</row>
    <row r="21" spans="2:14" ht="18"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</row>
    <row r="22" spans="2:14" ht="18"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</row>
    <row r="23" spans="2:14" ht="18"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</row>
    <row r="24" spans="2:14" ht="18"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</row>
    <row r="25" spans="2:14" ht="18"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</row>
    <row r="35" spans="2:6">
      <c r="B35" s="60"/>
      <c r="C35" s="60"/>
      <c r="D35" s="60"/>
      <c r="E35" s="60"/>
      <c r="F35" s="60"/>
    </row>
    <row r="36" spans="2:6">
      <c r="B36" s="60" t="s">
        <v>38</v>
      </c>
      <c r="C36" s="60"/>
      <c r="D36" s="60"/>
      <c r="E36" s="60"/>
      <c r="F36" s="60"/>
    </row>
    <row r="37" spans="2:6">
      <c r="B37" s="60"/>
      <c r="C37" s="60"/>
      <c r="D37" s="60"/>
      <c r="E37" s="60"/>
      <c r="F37" s="60"/>
    </row>
    <row r="38" spans="2:6">
      <c r="B38" s="60" t="s">
        <v>39</v>
      </c>
      <c r="C38" s="60"/>
      <c r="D38" s="60"/>
      <c r="E38" s="60"/>
      <c r="F38" s="60"/>
    </row>
    <row r="39" spans="2:6">
      <c r="B39" s="60" t="s">
        <v>40</v>
      </c>
      <c r="C39" s="60"/>
      <c r="D39" s="60"/>
      <c r="E39" s="60"/>
      <c r="F39" s="60"/>
    </row>
  </sheetData>
  <sheetProtection algorithmName="SHA-512" hashValue="B/zjiV69FO7tElBGaAViJCi6vVXEpTe+rKymrV0PoRkwiwFdBxQ4BEbTVG23Z5ZUy03dEgbOfMCOhvWs6jyNGA==" saltValue="184wJsVaZC05bsGR649/mg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5">
    <tabColor indexed="13"/>
    <pageSetUpPr fitToPage="1"/>
  </sheetPr>
  <dimension ref="A1:AH43"/>
  <sheetViews>
    <sheetView showZeros="0" zoomScaleNormal="100" workbookViewId="0">
      <selection activeCell="D2" sqref="D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31" width="6.7109375" customWidth="1"/>
    <col min="32" max="32" width="11.42578125" customWidth="1"/>
    <col min="33" max="33" width="3.28515625" customWidth="1"/>
  </cols>
  <sheetData>
    <row r="1" spans="1:34" ht="32.25" customHeight="1" thickBot="1">
      <c r="F1" s="24" t="s">
        <v>42</v>
      </c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7" t="s">
        <v>5</v>
      </c>
      <c r="W1" s="7"/>
      <c r="X1" s="7"/>
      <c r="Y1" s="7"/>
      <c r="AA1" s="148" t="s">
        <v>24</v>
      </c>
      <c r="AB1" s="146"/>
      <c r="AC1" s="147"/>
      <c r="AD1" s="176" t="s">
        <v>66</v>
      </c>
      <c r="AE1" s="177"/>
      <c r="AF1" s="145" t="str">
        <f ca="1">MID(CELL("nome.arquivo"),SEARCH(".xl",CELL("nome.arquivo"))-2,2)&amp;" / 20"&amp;MID(CELL("nome.arquivo"),SEARCH(".xl",CELL("nome.arquivo"))-4,2)</f>
        <v>03 / 2022</v>
      </c>
    </row>
    <row r="2" spans="1:34" ht="21" customHeight="1">
      <c r="A2" s="164" t="s">
        <v>9</v>
      </c>
      <c r="B2" s="165"/>
      <c r="C2" s="165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44" t="s">
        <v>3</v>
      </c>
    </row>
    <row r="3" spans="1:34" ht="21" customHeight="1">
      <c r="A3" s="166" t="s">
        <v>0</v>
      </c>
      <c r="B3" s="167"/>
      <c r="C3" s="167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25"/>
    </row>
    <row r="4" spans="1:34" ht="21" customHeight="1" thickBot="1">
      <c r="A4" s="168" t="s">
        <v>1</v>
      </c>
      <c r="B4" s="169"/>
      <c r="C4" s="169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61"/>
      <c r="AA4" s="61"/>
      <c r="AB4" s="61"/>
      <c r="AC4" s="61"/>
      <c r="AD4" s="61"/>
      <c r="AE4" s="26"/>
      <c r="AF4" s="27">
        <f>SUM(D4:AE4)</f>
        <v>0</v>
      </c>
      <c r="AH4" s="128" cm="1">
        <f t="array" ref="AH4">[1]!PROD_L1D</f>
        <v>0</v>
      </c>
    </row>
    <row r="5" spans="1:34" ht="30" customHeight="1">
      <c r="A5" s="28"/>
      <c r="B5" s="29"/>
      <c r="C5" s="30" t="s">
        <v>12</v>
      </c>
      <c r="D5" s="30"/>
      <c r="E5" s="178">
        <f t="shared" ref="E5:O5" si="0">E39</f>
        <v>0</v>
      </c>
      <c r="F5" s="178">
        <f t="shared" ref="F5" si="1">F39</f>
        <v>0</v>
      </c>
      <c r="G5" s="178">
        <f t="shared" si="0"/>
        <v>0</v>
      </c>
      <c r="H5" s="178">
        <f t="shared" si="0"/>
        <v>0</v>
      </c>
      <c r="I5" s="178">
        <f t="shared" si="0"/>
        <v>0</v>
      </c>
      <c r="J5" s="178">
        <f t="shared" si="0"/>
        <v>0</v>
      </c>
      <c r="K5" s="178">
        <f t="shared" si="0"/>
        <v>0</v>
      </c>
      <c r="L5" s="178"/>
      <c r="M5" s="178">
        <f t="shared" si="0"/>
        <v>0</v>
      </c>
      <c r="N5" s="178">
        <f t="shared" si="0"/>
        <v>0</v>
      </c>
      <c r="O5" s="178">
        <f t="shared" si="0"/>
        <v>0</v>
      </c>
      <c r="P5" s="152">
        <f t="shared" ref="P5:U5" si="2">P39</f>
        <v>0</v>
      </c>
      <c r="Q5" s="152">
        <f t="shared" si="2"/>
        <v>0</v>
      </c>
      <c r="R5" s="152">
        <f t="shared" si="2"/>
        <v>0</v>
      </c>
      <c r="S5" s="152">
        <f t="shared" si="2"/>
        <v>0</v>
      </c>
      <c r="T5" s="152">
        <f t="shared" si="2"/>
        <v>0</v>
      </c>
      <c r="U5" s="152">
        <f t="shared" si="2"/>
        <v>0</v>
      </c>
      <c r="V5" s="152">
        <f>V39</f>
        <v>0</v>
      </c>
      <c r="W5" s="152"/>
      <c r="X5" s="152">
        <f>X39</f>
        <v>0</v>
      </c>
      <c r="Y5" s="152">
        <f>Y39</f>
        <v>0</v>
      </c>
      <c r="Z5" s="152">
        <f>Z39</f>
        <v>0</v>
      </c>
      <c r="AA5" s="152">
        <f>AA39</f>
        <v>0</v>
      </c>
      <c r="AB5" s="152">
        <f>AB39</f>
        <v>0</v>
      </c>
      <c r="AC5" s="62"/>
      <c r="AD5" s="62"/>
      <c r="AE5" s="152">
        <f>AE39</f>
        <v>0</v>
      </c>
      <c r="AF5" s="31"/>
    </row>
    <row r="6" spans="1:34" ht="30" customHeight="1">
      <c r="A6" s="32"/>
      <c r="C6" s="173" t="s">
        <v>33</v>
      </c>
      <c r="D6" s="122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63"/>
      <c r="AD6" s="63"/>
      <c r="AE6" s="153"/>
      <c r="AF6" s="9"/>
    </row>
    <row r="7" spans="1:34" ht="30" customHeight="1">
      <c r="A7" s="32"/>
      <c r="C7" s="174"/>
      <c r="D7" s="123"/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63"/>
      <c r="AD7" s="63"/>
      <c r="AE7" s="153"/>
      <c r="AF7" s="9"/>
    </row>
    <row r="8" spans="1:34" ht="30" customHeight="1">
      <c r="A8" s="32"/>
      <c r="C8" s="174"/>
      <c r="D8" s="123"/>
      <c r="E8" s="179"/>
      <c r="F8" s="179"/>
      <c r="G8" s="179"/>
      <c r="H8" s="179"/>
      <c r="I8" s="179"/>
      <c r="J8" s="179"/>
      <c r="K8" s="179"/>
      <c r="L8" s="179"/>
      <c r="M8" s="179"/>
      <c r="N8" s="179"/>
      <c r="O8" s="179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63"/>
      <c r="AD8" s="63"/>
      <c r="AE8" s="153"/>
      <c r="AF8" s="9"/>
    </row>
    <row r="9" spans="1:34" ht="30" customHeight="1">
      <c r="A9" s="32"/>
      <c r="C9" s="174"/>
      <c r="D9" s="123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63"/>
      <c r="AD9" s="63"/>
      <c r="AE9" s="153"/>
      <c r="AF9" s="9"/>
    </row>
    <row r="10" spans="1:34" ht="30" customHeight="1">
      <c r="A10" s="32"/>
      <c r="C10" s="174"/>
      <c r="D10" s="123"/>
      <c r="E10" s="179"/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63"/>
      <c r="AD10" s="63"/>
      <c r="AE10" s="153"/>
      <c r="AF10" s="9"/>
    </row>
    <row r="11" spans="1:34" ht="30" customHeight="1">
      <c r="A11" s="32"/>
      <c r="C11" s="174"/>
      <c r="D11" s="123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63"/>
      <c r="AD11" s="63"/>
      <c r="AE11" s="153"/>
      <c r="AF11" s="9"/>
    </row>
    <row r="12" spans="1:34" ht="30" customHeight="1" thickBot="1">
      <c r="A12" s="33"/>
      <c r="B12" s="34"/>
      <c r="C12" s="175"/>
      <c r="D12" s="124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64"/>
      <c r="AD12" s="64"/>
      <c r="AE12" s="154"/>
      <c r="AF12" s="35"/>
    </row>
    <row r="13" spans="1:34" ht="21" customHeight="1">
      <c r="A13" s="38">
        <v>1</v>
      </c>
      <c r="B13" s="170" t="s">
        <v>13</v>
      </c>
      <c r="C13" s="43" t="s">
        <v>14</v>
      </c>
      <c r="D13" s="85"/>
      <c r="E13" s="85"/>
      <c r="F13" s="85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50">
        <f>SUM(D13:AE13)</f>
        <v>0</v>
      </c>
    </row>
    <row r="14" spans="1:34" ht="21" customHeight="1">
      <c r="A14" s="39">
        <v>2</v>
      </c>
      <c r="B14" s="171"/>
      <c r="C14" s="44" t="s">
        <v>15</v>
      </c>
      <c r="D14" s="86"/>
      <c r="E14" s="86"/>
      <c r="F14" s="86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51">
        <f>SUM(D14:AE14)</f>
        <v>0</v>
      </c>
    </row>
    <row r="15" spans="1:34" ht="21" customHeight="1">
      <c r="A15" s="39">
        <v>3</v>
      </c>
      <c r="B15" s="171"/>
      <c r="C15" s="44" t="s">
        <v>16</v>
      </c>
      <c r="D15" s="86"/>
      <c r="E15" s="86"/>
      <c r="F15" s="86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51">
        <f>SUM(D15:AE15)</f>
        <v>0</v>
      </c>
    </row>
    <row r="16" spans="1:34" ht="21" customHeight="1">
      <c r="A16" s="39">
        <v>4</v>
      </c>
      <c r="B16" s="171"/>
      <c r="C16" s="44" t="s">
        <v>17</v>
      </c>
      <c r="D16" s="86"/>
      <c r="E16" s="86"/>
      <c r="F16" s="86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51">
        <f>SUM(D16:AE16)</f>
        <v>0</v>
      </c>
    </row>
    <row r="17" spans="1:32" ht="21" customHeight="1" thickBot="1">
      <c r="A17" s="39">
        <v>5</v>
      </c>
      <c r="B17" s="172"/>
      <c r="C17" s="45" t="s">
        <v>18</v>
      </c>
      <c r="D17" s="87"/>
      <c r="E17" s="87"/>
      <c r="F17" s="87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27">
        <f t="shared" ref="AF17:AF25" si="3">SUM(D17:AE17)</f>
        <v>0</v>
      </c>
    </row>
    <row r="18" spans="1:32" ht="21" customHeight="1">
      <c r="A18" s="39">
        <v>6</v>
      </c>
      <c r="B18" s="170" t="s">
        <v>19</v>
      </c>
      <c r="C18" s="43" t="s">
        <v>22</v>
      </c>
      <c r="D18" s="85"/>
      <c r="E18" s="85"/>
      <c r="F18" s="85"/>
      <c r="G18" s="72"/>
      <c r="H18" s="73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23">
        <f t="shared" si="3"/>
        <v>0</v>
      </c>
    </row>
    <row r="19" spans="1:32" ht="21" customHeight="1">
      <c r="A19" s="39">
        <v>7</v>
      </c>
      <c r="B19" s="171"/>
      <c r="C19" s="44" t="s">
        <v>48</v>
      </c>
      <c r="D19" s="86"/>
      <c r="E19" s="86"/>
      <c r="F19" s="86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11">
        <f t="shared" si="3"/>
        <v>0</v>
      </c>
    </row>
    <row r="20" spans="1:32" ht="21" customHeight="1">
      <c r="A20" s="39">
        <v>8</v>
      </c>
      <c r="B20" s="171"/>
      <c r="C20" s="44" t="s">
        <v>49</v>
      </c>
      <c r="D20" s="86"/>
      <c r="E20" s="86"/>
      <c r="F20" s="86"/>
      <c r="G20" s="73"/>
      <c r="H20" s="131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11">
        <f t="shared" si="3"/>
        <v>0</v>
      </c>
    </row>
    <row r="21" spans="1:32" ht="21" customHeight="1">
      <c r="A21" s="39">
        <v>9</v>
      </c>
      <c r="B21" s="171"/>
      <c r="C21" s="44" t="s">
        <v>45</v>
      </c>
      <c r="D21" s="88"/>
      <c r="E21" s="88"/>
      <c r="F21" s="88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11">
        <f t="shared" si="3"/>
        <v>0</v>
      </c>
    </row>
    <row r="22" spans="1:32" ht="21" customHeight="1">
      <c r="A22" s="39">
        <v>10</v>
      </c>
      <c r="B22" s="171"/>
      <c r="C22" s="44" t="s">
        <v>47</v>
      </c>
      <c r="D22" s="88"/>
      <c r="E22" s="88"/>
      <c r="F22" s="88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11">
        <f t="shared" si="3"/>
        <v>0</v>
      </c>
    </row>
    <row r="23" spans="1:32" ht="21" customHeight="1">
      <c r="A23" s="67">
        <v>11</v>
      </c>
      <c r="B23" s="171"/>
      <c r="C23" s="44" t="s">
        <v>50</v>
      </c>
      <c r="D23" s="88"/>
      <c r="E23" s="88"/>
      <c r="F23" s="88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11">
        <f t="shared" si="3"/>
        <v>0</v>
      </c>
    </row>
    <row r="24" spans="1:32" ht="21" customHeight="1">
      <c r="A24" s="66">
        <v>12</v>
      </c>
      <c r="B24" s="171"/>
      <c r="C24" s="65" t="s">
        <v>51</v>
      </c>
      <c r="D24" s="142"/>
      <c r="E24" s="86"/>
      <c r="F24" s="86"/>
      <c r="G24" s="73"/>
      <c r="H24" s="73"/>
      <c r="I24" s="73"/>
      <c r="J24" s="73"/>
      <c r="K24" s="73"/>
      <c r="L24" s="73"/>
      <c r="M24" s="73"/>
      <c r="N24" s="76"/>
      <c r="O24" s="76"/>
      <c r="P24" s="76"/>
      <c r="Q24" s="76"/>
      <c r="R24" s="76"/>
      <c r="S24" s="76"/>
      <c r="T24" s="76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23">
        <f t="shared" si="3"/>
        <v>0</v>
      </c>
    </row>
    <row r="25" spans="1:32" ht="21" customHeight="1">
      <c r="A25" s="39">
        <v>13</v>
      </c>
      <c r="B25" s="171"/>
      <c r="C25" s="44" t="s">
        <v>20</v>
      </c>
      <c r="D25" s="101"/>
      <c r="E25" s="88"/>
      <c r="F25" s="88"/>
      <c r="G25" s="75"/>
      <c r="H25" s="75"/>
      <c r="I25" s="75"/>
      <c r="J25" s="75"/>
      <c r="K25" s="75"/>
      <c r="L25" s="75"/>
      <c r="M25" s="75"/>
      <c r="N25" s="77"/>
      <c r="O25" s="77"/>
      <c r="P25" s="77"/>
      <c r="Q25" s="77"/>
      <c r="R25" s="77"/>
      <c r="S25" s="77"/>
      <c r="T25" s="77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23">
        <f t="shared" si="3"/>
        <v>0</v>
      </c>
    </row>
    <row r="26" spans="1:32" ht="21" customHeight="1">
      <c r="A26" s="39">
        <v>14</v>
      </c>
      <c r="B26" s="171"/>
      <c r="C26" s="44" t="s">
        <v>52</v>
      </c>
      <c r="D26" s="101"/>
      <c r="E26" s="88"/>
      <c r="F26" s="88"/>
      <c r="G26" s="75"/>
      <c r="H26" s="75"/>
      <c r="I26" s="75"/>
      <c r="J26" s="75"/>
      <c r="K26" s="75"/>
      <c r="L26" s="75"/>
      <c r="M26" s="75"/>
      <c r="N26" s="77"/>
      <c r="O26" s="77"/>
      <c r="P26" s="77"/>
      <c r="Q26" s="77"/>
      <c r="R26" s="77"/>
      <c r="S26" s="77"/>
      <c r="T26" s="77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23">
        <f>SUM(D26:AE26)</f>
        <v>0</v>
      </c>
    </row>
    <row r="27" spans="1:32" ht="21" customHeight="1">
      <c r="A27" s="39">
        <v>15</v>
      </c>
      <c r="B27" s="171"/>
      <c r="C27" s="44" t="s">
        <v>21</v>
      </c>
      <c r="D27" s="101"/>
      <c r="E27" s="88"/>
      <c r="F27" s="88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23">
        <f>SUM(D27:AE27)</f>
        <v>0</v>
      </c>
    </row>
    <row r="28" spans="1:32" ht="21" customHeight="1">
      <c r="A28" s="39">
        <v>16</v>
      </c>
      <c r="B28" s="171"/>
      <c r="C28" s="44" t="s">
        <v>46</v>
      </c>
      <c r="D28" s="101"/>
      <c r="E28" s="88"/>
      <c r="F28" s="88"/>
      <c r="G28" s="75"/>
      <c r="H28" s="75"/>
      <c r="I28" s="75"/>
      <c r="J28" s="75"/>
      <c r="K28" s="75"/>
      <c r="L28" s="75"/>
      <c r="M28" s="75"/>
      <c r="N28" s="73"/>
      <c r="O28" s="73"/>
      <c r="P28" s="73"/>
      <c r="Q28" s="73"/>
      <c r="R28" s="73"/>
      <c r="S28" s="73"/>
      <c r="T28" s="73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23">
        <f>SUM(D28:AE28)</f>
        <v>0</v>
      </c>
    </row>
    <row r="29" spans="1:32" ht="21" customHeight="1" thickBot="1">
      <c r="A29" s="46">
        <v>17</v>
      </c>
      <c r="B29" s="172"/>
      <c r="C29" s="47" t="s">
        <v>23</v>
      </c>
      <c r="D29" s="141"/>
      <c r="E29" s="92"/>
      <c r="F29" s="92"/>
      <c r="G29" s="78"/>
      <c r="H29" s="78"/>
      <c r="I29" s="78"/>
      <c r="J29" s="77"/>
      <c r="K29" s="77"/>
      <c r="L29" s="77"/>
      <c r="M29" s="77"/>
      <c r="N29" s="133"/>
      <c r="O29" s="133"/>
      <c r="P29" s="133"/>
      <c r="Q29" s="133"/>
      <c r="R29" s="133"/>
      <c r="S29" s="133"/>
      <c r="T29" s="133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134">
        <f>SUM(D29:AE29)</f>
        <v>0</v>
      </c>
    </row>
    <row r="30" spans="1:32" ht="21" customHeight="1">
      <c r="A30" s="155" t="s">
        <v>2</v>
      </c>
      <c r="B30" s="156"/>
      <c r="C30" s="157"/>
      <c r="D30" s="135">
        <f>SUM(D13:D29)</f>
        <v>0</v>
      </c>
      <c r="E30" s="136">
        <f t="shared" ref="E30:AE30" si="4">SUM(E13:E29)</f>
        <v>0</v>
      </c>
      <c r="F30" s="137">
        <f t="shared" si="4"/>
        <v>0</v>
      </c>
      <c r="G30" s="137">
        <f t="shared" si="4"/>
        <v>0</v>
      </c>
      <c r="H30" s="137">
        <f t="shared" si="4"/>
        <v>0</v>
      </c>
      <c r="I30" s="137">
        <f t="shared" si="4"/>
        <v>0</v>
      </c>
      <c r="J30" s="137">
        <f t="shared" si="4"/>
        <v>0</v>
      </c>
      <c r="K30" s="137">
        <f t="shared" si="4"/>
        <v>0</v>
      </c>
      <c r="L30" s="137">
        <f t="shared" si="4"/>
        <v>0</v>
      </c>
      <c r="M30" s="137">
        <f t="shared" si="4"/>
        <v>0</v>
      </c>
      <c r="N30" s="137">
        <f t="shared" si="4"/>
        <v>0</v>
      </c>
      <c r="O30" s="137">
        <f t="shared" si="4"/>
        <v>0</v>
      </c>
      <c r="P30" s="137">
        <f t="shared" si="4"/>
        <v>0</v>
      </c>
      <c r="Q30" s="137">
        <f t="shared" si="4"/>
        <v>0</v>
      </c>
      <c r="R30" s="137">
        <f t="shared" si="4"/>
        <v>0</v>
      </c>
      <c r="S30" s="137">
        <f t="shared" si="4"/>
        <v>0</v>
      </c>
      <c r="T30" s="137">
        <f t="shared" si="4"/>
        <v>0</v>
      </c>
      <c r="U30" s="137">
        <f t="shared" si="4"/>
        <v>0</v>
      </c>
      <c r="V30" s="137">
        <f t="shared" si="4"/>
        <v>0</v>
      </c>
      <c r="W30" s="137">
        <f t="shared" si="4"/>
        <v>0</v>
      </c>
      <c r="X30" s="137">
        <f t="shared" si="4"/>
        <v>0</v>
      </c>
      <c r="Y30" s="137">
        <f t="shared" si="4"/>
        <v>0</v>
      </c>
      <c r="Z30" s="138">
        <f t="shared" si="4"/>
        <v>0</v>
      </c>
      <c r="AA30" s="137">
        <f t="shared" si="4"/>
        <v>0</v>
      </c>
      <c r="AB30" s="137">
        <f t="shared" si="4"/>
        <v>0</v>
      </c>
      <c r="AC30" s="137">
        <f t="shared" si="4"/>
        <v>0</v>
      </c>
      <c r="AD30" s="137">
        <f t="shared" si="4"/>
        <v>0</v>
      </c>
      <c r="AE30" s="137">
        <f t="shared" si="4"/>
        <v>0</v>
      </c>
      <c r="AF30" s="139">
        <f>SUM(D30:AE30)</f>
        <v>0</v>
      </c>
    </row>
    <row r="31" spans="1:32" ht="21" customHeight="1" thickBot="1">
      <c r="A31" s="161" t="s">
        <v>12</v>
      </c>
      <c r="B31" s="162"/>
      <c r="C31" s="163"/>
      <c r="D31" s="140" t="str">
        <f>IF(D4&gt;0,D30/D4*1000000," ")</f>
        <v xml:space="preserve"> </v>
      </c>
      <c r="E31" s="121" t="str">
        <f t="shared" ref="E31:AE31" si="5">IF(E4&gt;0,E30/E4*1000000," ")</f>
        <v xml:space="preserve"> </v>
      </c>
      <c r="F31" s="110" t="str">
        <f t="shared" si="5"/>
        <v xml:space="preserve"> </v>
      </c>
      <c r="G31" s="110" t="str">
        <f t="shared" si="5"/>
        <v xml:space="preserve"> </v>
      </c>
      <c r="H31" s="110" t="str">
        <f t="shared" si="5"/>
        <v xml:space="preserve"> </v>
      </c>
      <c r="I31" s="110" t="str">
        <f>IF(I4&gt;0,I30/I4*1000000," ")</f>
        <v xml:space="preserve"> </v>
      </c>
      <c r="J31" s="110" t="str">
        <f t="shared" si="5"/>
        <v xml:space="preserve"> </v>
      </c>
      <c r="K31" s="110" t="str">
        <f t="shared" si="5"/>
        <v xml:space="preserve"> </v>
      </c>
      <c r="L31" s="110" t="str">
        <f t="shared" si="5"/>
        <v xml:space="preserve"> </v>
      </c>
      <c r="M31" s="110" t="str">
        <f t="shared" si="5"/>
        <v xml:space="preserve"> </v>
      </c>
      <c r="N31" s="110" t="str">
        <f>IF(N4&gt;0,N30/N4*1000000," ")</f>
        <v xml:space="preserve"> </v>
      </c>
      <c r="O31" s="110" t="str">
        <f t="shared" si="5"/>
        <v xml:space="preserve"> </v>
      </c>
      <c r="P31" s="110" t="str">
        <f t="shared" si="5"/>
        <v xml:space="preserve"> </v>
      </c>
      <c r="Q31" s="110" t="str">
        <f t="shared" si="5"/>
        <v xml:space="preserve"> </v>
      </c>
      <c r="R31" s="110" t="str">
        <f t="shared" si="5"/>
        <v xml:space="preserve"> </v>
      </c>
      <c r="S31" s="110" t="str">
        <f t="shared" si="5"/>
        <v xml:space="preserve"> </v>
      </c>
      <c r="T31" s="110" t="str">
        <f t="shared" si="5"/>
        <v xml:space="preserve"> </v>
      </c>
      <c r="U31" s="110" t="str">
        <f t="shared" si="5"/>
        <v xml:space="preserve"> </v>
      </c>
      <c r="V31" s="110" t="str">
        <f t="shared" si="5"/>
        <v xml:space="preserve"> </v>
      </c>
      <c r="W31" s="110" t="str">
        <f t="shared" si="5"/>
        <v xml:space="preserve"> </v>
      </c>
      <c r="X31" s="110" t="str">
        <f t="shared" si="5"/>
        <v xml:space="preserve"> </v>
      </c>
      <c r="Y31" s="110" t="str">
        <f t="shared" si="5"/>
        <v xml:space="preserve"> </v>
      </c>
      <c r="Z31" s="110" t="str">
        <f t="shared" si="5"/>
        <v xml:space="preserve"> </v>
      </c>
      <c r="AA31" s="110" t="str">
        <f t="shared" si="5"/>
        <v xml:space="preserve"> </v>
      </c>
      <c r="AB31" s="110" t="str">
        <f t="shared" si="5"/>
        <v xml:space="preserve"> </v>
      </c>
      <c r="AC31" s="110" t="str">
        <f t="shared" si="5"/>
        <v xml:space="preserve"> </v>
      </c>
      <c r="AD31" s="110" t="str">
        <f t="shared" si="5"/>
        <v xml:space="preserve"> </v>
      </c>
      <c r="AE31" s="110" t="str">
        <f t="shared" si="5"/>
        <v xml:space="preserve"> </v>
      </c>
      <c r="AF31" s="111" t="str">
        <f t="shared" ref="AF31" si="6">IF(AF4&gt;0,AF30/AF4*1000000," ")</f>
        <v xml:space="preserve"> </v>
      </c>
    </row>
    <row r="32" spans="1:32" ht="21" customHeight="1">
      <c r="A32" s="155" t="s">
        <v>59</v>
      </c>
      <c r="B32" s="156"/>
      <c r="C32" s="157"/>
      <c r="D32" s="126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9"/>
    </row>
    <row r="33" spans="1:32" ht="21" customHeight="1" thickBot="1">
      <c r="A33" s="158" t="s">
        <v>58</v>
      </c>
      <c r="B33" s="159"/>
      <c r="C33" s="160"/>
      <c r="D33" s="127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1"/>
    </row>
    <row r="34" spans="1:32" ht="21" customHeight="1">
      <c r="A34" s="48" t="s">
        <v>8</v>
      </c>
      <c r="B34" s="49"/>
      <c r="C34" s="49"/>
      <c r="D34" s="49"/>
      <c r="E34" s="49"/>
      <c r="F34" s="49"/>
      <c r="G34" s="49"/>
      <c r="H34" s="49"/>
      <c r="K34" s="9"/>
      <c r="L34" s="103" t="s">
        <v>10</v>
      </c>
      <c r="M34" s="49"/>
      <c r="N34" s="49"/>
      <c r="O34" s="49"/>
      <c r="P34" s="49"/>
      <c r="Q34" s="49"/>
      <c r="R34" s="49"/>
      <c r="S34" s="49"/>
      <c r="T34" s="49"/>
      <c r="U34" s="49"/>
      <c r="V34" s="103" t="s">
        <v>11</v>
      </c>
      <c r="W34" s="104"/>
      <c r="X34" s="49"/>
      <c r="Y34" s="49"/>
      <c r="Z34" s="49"/>
      <c r="AA34" s="49"/>
      <c r="AB34" s="49"/>
      <c r="AC34" s="49"/>
      <c r="AD34" s="49"/>
      <c r="AE34" s="105"/>
      <c r="AF34" s="106"/>
    </row>
    <row r="35" spans="1:32" s="18" customFormat="1" ht="21" customHeight="1" thickBot="1">
      <c r="A35" s="13" t="s">
        <v>9</v>
      </c>
      <c r="B35" s="14"/>
      <c r="C35" s="14"/>
      <c r="D35" s="14"/>
      <c r="E35" s="14"/>
      <c r="F35" s="14"/>
      <c r="G35" s="14"/>
      <c r="H35" s="14"/>
      <c r="I35" s="36"/>
      <c r="J35" s="36"/>
      <c r="K35" s="37"/>
      <c r="L35" s="13" t="s">
        <v>9</v>
      </c>
      <c r="M35" s="14"/>
      <c r="N35" s="14"/>
      <c r="O35" s="14"/>
      <c r="P35" s="14"/>
      <c r="Q35" s="14"/>
      <c r="R35" s="14"/>
      <c r="S35" s="14"/>
      <c r="T35" s="14"/>
      <c r="U35" s="14"/>
      <c r="V35" s="13" t="s">
        <v>9</v>
      </c>
      <c r="W35" s="14"/>
      <c r="X35" s="14"/>
      <c r="Y35" s="14"/>
      <c r="Z35" s="14"/>
      <c r="AA35" s="16"/>
      <c r="AB35" s="17"/>
      <c r="AC35" s="17"/>
      <c r="AD35" s="17"/>
      <c r="AE35" s="16"/>
      <c r="AF35" s="15"/>
    </row>
    <row r="36" spans="1:32">
      <c r="C36" t="s">
        <v>4</v>
      </c>
      <c r="D36">
        <f>'[2]SJCPIL 16-006-08'!$Y$11</f>
        <v>420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</row>
    <row r="37" spans="1:32" ht="13.5" thickBot="1"/>
    <row r="38" spans="1:32">
      <c r="C38" s="12" t="s">
        <v>6</v>
      </c>
      <c r="D38" s="149">
        <f>D2</f>
        <v>0</v>
      </c>
      <c r="E38" s="149">
        <f>E2</f>
        <v>0</v>
      </c>
      <c r="F38" s="149">
        <f>F2</f>
        <v>0</v>
      </c>
      <c r="G38" s="149">
        <f t="shared" ref="G38:O38" si="7">G2</f>
        <v>0</v>
      </c>
      <c r="H38" s="149">
        <f t="shared" si="7"/>
        <v>0</v>
      </c>
      <c r="I38" s="149">
        <f t="shared" si="7"/>
        <v>0</v>
      </c>
      <c r="J38" s="149">
        <f t="shared" si="7"/>
        <v>0</v>
      </c>
      <c r="K38" s="149">
        <f t="shared" si="7"/>
        <v>0</v>
      </c>
      <c r="L38" s="149">
        <f t="shared" si="7"/>
        <v>0</v>
      </c>
      <c r="M38" s="149">
        <f t="shared" si="7"/>
        <v>0</v>
      </c>
      <c r="N38" s="149">
        <f t="shared" si="7"/>
        <v>0</v>
      </c>
      <c r="O38" s="149">
        <f t="shared" si="7"/>
        <v>0</v>
      </c>
      <c r="P38" s="149">
        <f t="shared" ref="P38:AE38" si="8">P2</f>
        <v>0</v>
      </c>
      <c r="Q38" s="149">
        <f t="shared" si="8"/>
        <v>0</v>
      </c>
      <c r="R38" s="149">
        <f t="shared" si="8"/>
        <v>0</v>
      </c>
      <c r="S38" s="149">
        <f t="shared" si="8"/>
        <v>0</v>
      </c>
      <c r="T38" s="149">
        <f t="shared" si="8"/>
        <v>0</v>
      </c>
      <c r="U38" s="149">
        <f t="shared" si="8"/>
        <v>0</v>
      </c>
      <c r="V38" s="149">
        <f t="shared" si="8"/>
        <v>0</v>
      </c>
      <c r="W38" s="149">
        <f t="shared" si="8"/>
        <v>0</v>
      </c>
      <c r="X38" s="149">
        <f t="shared" si="8"/>
        <v>0</v>
      </c>
      <c r="Y38" s="149"/>
      <c r="Z38" s="149">
        <f t="shared" si="8"/>
        <v>0</v>
      </c>
      <c r="AA38" s="149">
        <f t="shared" si="8"/>
        <v>0</v>
      </c>
      <c r="AB38" s="149">
        <f t="shared" si="8"/>
        <v>0</v>
      </c>
      <c r="AC38" s="149">
        <f t="shared" si="8"/>
        <v>0</v>
      </c>
      <c r="AD38" s="149">
        <f t="shared" si="8"/>
        <v>0</v>
      </c>
      <c r="AE38" s="149">
        <f t="shared" si="8"/>
        <v>0</v>
      </c>
    </row>
    <row r="39" spans="1:32" ht="170.1" customHeight="1">
      <c r="C39" s="20" t="s">
        <v>7</v>
      </c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54"/>
      <c r="W39" s="54"/>
      <c r="X39" s="54"/>
      <c r="Y39" s="54"/>
      <c r="Z39" s="54"/>
      <c r="AA39" s="54"/>
      <c r="AB39" s="54"/>
      <c r="AC39" s="54"/>
      <c r="AD39" s="54"/>
      <c r="AE39" s="54"/>
    </row>
    <row r="42" spans="1:32">
      <c r="A42" t="s">
        <v>34</v>
      </c>
      <c r="B42" t="s">
        <v>35</v>
      </c>
    </row>
    <row r="43" spans="1:32">
      <c r="B43" t="s">
        <v>36</v>
      </c>
    </row>
  </sheetData>
  <sheetProtection selectLockedCells="1"/>
  <mergeCells count="36">
    <mergeCell ref="AD1:AE1"/>
    <mergeCell ref="E5:E12"/>
    <mergeCell ref="F5:F12"/>
    <mergeCell ref="G5:G12"/>
    <mergeCell ref="L5:L12"/>
    <mergeCell ref="M5:M12"/>
    <mergeCell ref="H5:H12"/>
    <mergeCell ref="I5:I12"/>
    <mergeCell ref="J5:J12"/>
    <mergeCell ref="K5:K12"/>
    <mergeCell ref="T5:T12"/>
    <mergeCell ref="R5:R12"/>
    <mergeCell ref="S5:S12"/>
    <mergeCell ref="N5:N12"/>
    <mergeCell ref="O5:O12"/>
    <mergeCell ref="P5:P12"/>
    <mergeCell ref="U5:U12"/>
    <mergeCell ref="AE5:AE12"/>
    <mergeCell ref="Z5:Z12"/>
    <mergeCell ref="V5:V12"/>
    <mergeCell ref="X5:X12"/>
    <mergeCell ref="AA5:AA12"/>
    <mergeCell ref="AB5:AB12"/>
    <mergeCell ref="W5:W12"/>
    <mergeCell ref="Y5:Y12"/>
    <mergeCell ref="Q5:Q12"/>
    <mergeCell ref="A32:C32"/>
    <mergeCell ref="A33:C33"/>
    <mergeCell ref="A31:C31"/>
    <mergeCell ref="A2:C2"/>
    <mergeCell ref="A3:C3"/>
    <mergeCell ref="A4:C4"/>
    <mergeCell ref="B13:B17"/>
    <mergeCell ref="A30:C30"/>
    <mergeCell ref="C6:C12"/>
    <mergeCell ref="B18:B29"/>
  </mergeCells>
  <phoneticPr fontId="0" type="noConversion"/>
  <conditionalFormatting sqref="AF30">
    <cfRule type="cellIs" dxfId="7" priority="4" stopIfTrue="1" operator="notEqual">
      <formula>SUM($E$13:$AE$29)</formula>
    </cfRule>
  </conditionalFormatting>
  <conditionalFormatting sqref="AF4">
    <cfRule type="expression" dxfId="6" priority="1">
      <formula>$AF$4&lt;&gt;$AH$4</formula>
    </cfRule>
  </conditionalFormatting>
  <dataValidations count="1">
    <dataValidation type="date" allowBlank="1" showInputMessage="1" showErrorMessage="1" promptTitle="Data:" prompt="Favor digitar uma data válida contendo pelo menos dia/mês." sqref="D2:AE2" xr:uid="{00000000-0002-0000-01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61" orientation="landscape" r:id="rId1"/>
  <headerFooter alignWithMargins="0">
    <oddFooter>&amp;RSJCPIL-R 16-317-03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6">
    <tabColor theme="4" tint="-0.249977111117893"/>
    <pageSetUpPr fitToPage="1"/>
  </sheetPr>
  <dimension ref="A1:AH42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31" width="6.7109375" customWidth="1"/>
    <col min="32" max="32" width="11.42578125" customWidth="1"/>
    <col min="33" max="33" width="3.28515625" customWidth="1"/>
    <col min="34" max="34" width="12.28515625" bestFit="1" customWidth="1"/>
  </cols>
  <sheetData>
    <row r="1" spans="1:34" ht="32.25" customHeight="1" thickBot="1">
      <c r="E1" s="24" t="s">
        <v>42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7" t="s">
        <v>25</v>
      </c>
      <c r="Z1" s="7"/>
      <c r="AA1" s="7" t="s">
        <v>24</v>
      </c>
      <c r="AD1" s="176" t="s">
        <v>66</v>
      </c>
      <c r="AE1" s="181"/>
      <c r="AF1" s="145" t="str">
        <f ca="1">'LINHA - 1D'!AF1</f>
        <v>03 / 2022</v>
      </c>
    </row>
    <row r="2" spans="1:34" ht="21" customHeight="1">
      <c r="A2" s="164" t="s">
        <v>9</v>
      </c>
      <c r="B2" s="165"/>
      <c r="C2" s="165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44" t="s">
        <v>3</v>
      </c>
    </row>
    <row r="3" spans="1:34" ht="21" customHeight="1">
      <c r="A3" s="166" t="s">
        <v>0</v>
      </c>
      <c r="B3" s="167"/>
      <c r="C3" s="167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25"/>
    </row>
    <row r="4" spans="1:34" ht="21" customHeight="1" thickBot="1">
      <c r="A4" s="168" t="s">
        <v>1</v>
      </c>
      <c r="B4" s="169"/>
      <c r="C4" s="1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2"/>
      <c r="T4" s="69"/>
      <c r="U4" s="131"/>
      <c r="V4" s="69"/>
      <c r="W4" s="3"/>
      <c r="X4" s="2"/>
      <c r="Y4" s="3"/>
      <c r="Z4" s="3"/>
      <c r="AA4" s="3"/>
      <c r="AB4" s="3"/>
      <c r="AC4" s="2"/>
      <c r="AD4" s="26"/>
      <c r="AE4" s="26"/>
      <c r="AF4" s="27">
        <f>SUM(D4:AE4)</f>
        <v>0</v>
      </c>
      <c r="AH4" s="130" cm="1">
        <f t="array" ref="AH4">[1]!PROD_L2D</f>
        <v>0</v>
      </c>
    </row>
    <row r="5" spans="1:34" ht="30" customHeight="1">
      <c r="A5" s="28"/>
      <c r="B5" s="29"/>
      <c r="C5" s="30" t="s">
        <v>12</v>
      </c>
      <c r="D5" s="152">
        <f>D39</f>
        <v>0</v>
      </c>
      <c r="E5" s="152">
        <f t="shared" ref="E5:AE5" si="0">E39</f>
        <v>0</v>
      </c>
      <c r="F5" s="152">
        <f t="shared" si="0"/>
        <v>0</v>
      </c>
      <c r="G5" s="152">
        <f t="shared" si="0"/>
        <v>0</v>
      </c>
      <c r="H5" s="152">
        <f t="shared" si="0"/>
        <v>0</v>
      </c>
      <c r="I5" s="152">
        <f t="shared" si="0"/>
        <v>0</v>
      </c>
      <c r="J5" s="152">
        <f>J39</f>
        <v>0</v>
      </c>
      <c r="K5" s="152">
        <f>K39</f>
        <v>0</v>
      </c>
      <c r="L5" s="152">
        <f t="shared" si="0"/>
        <v>0</v>
      </c>
      <c r="M5" s="152">
        <f t="shared" si="0"/>
        <v>0</v>
      </c>
      <c r="N5" s="152">
        <f t="shared" si="0"/>
        <v>0</v>
      </c>
      <c r="O5" s="152">
        <f t="shared" si="0"/>
        <v>0</v>
      </c>
      <c r="P5" s="152">
        <f t="shared" si="0"/>
        <v>0</v>
      </c>
      <c r="Q5" s="152"/>
      <c r="R5" s="152"/>
      <c r="S5" s="152"/>
      <c r="T5" s="62"/>
      <c r="U5" s="62"/>
      <c r="V5" s="62"/>
      <c r="W5" s="152">
        <f t="shared" si="0"/>
        <v>0</v>
      </c>
      <c r="X5" s="152">
        <f t="shared" si="0"/>
        <v>0</v>
      </c>
      <c r="Y5" s="152">
        <f t="shared" si="0"/>
        <v>0</v>
      </c>
      <c r="Z5" s="152">
        <f t="shared" si="0"/>
        <v>0</v>
      </c>
      <c r="AA5" s="152">
        <f t="shared" si="0"/>
        <v>0</v>
      </c>
      <c r="AB5" s="152">
        <f t="shared" si="0"/>
        <v>0</v>
      </c>
      <c r="AC5" s="152">
        <f t="shared" si="0"/>
        <v>0</v>
      </c>
      <c r="AD5" s="152">
        <f t="shared" si="0"/>
        <v>0</v>
      </c>
      <c r="AE5" s="152">
        <f t="shared" si="0"/>
        <v>0</v>
      </c>
      <c r="AF5" s="31"/>
    </row>
    <row r="6" spans="1:34" ht="30" customHeight="1">
      <c r="A6" s="32"/>
      <c r="C6" s="173" t="s">
        <v>33</v>
      </c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63"/>
      <c r="U6" s="63"/>
      <c r="V6" s="63"/>
      <c r="W6" s="153"/>
      <c r="X6" s="153"/>
      <c r="Y6" s="153"/>
      <c r="Z6" s="153"/>
      <c r="AA6" s="153"/>
      <c r="AB6" s="153"/>
      <c r="AC6" s="153"/>
      <c r="AD6" s="153"/>
      <c r="AE6" s="153"/>
      <c r="AF6" s="9"/>
    </row>
    <row r="7" spans="1:34" ht="30" customHeight="1">
      <c r="A7" s="32"/>
      <c r="C7" s="174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63"/>
      <c r="U7" s="63"/>
      <c r="V7" s="63"/>
      <c r="W7" s="153"/>
      <c r="X7" s="153"/>
      <c r="Y7" s="153"/>
      <c r="Z7" s="153"/>
      <c r="AA7" s="153"/>
      <c r="AB7" s="153"/>
      <c r="AC7" s="153"/>
      <c r="AD7" s="153"/>
      <c r="AE7" s="153"/>
      <c r="AF7" s="9"/>
    </row>
    <row r="8" spans="1:34" ht="30" customHeight="1">
      <c r="A8" s="32"/>
      <c r="C8" s="174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63"/>
      <c r="U8" s="63"/>
      <c r="V8" s="63"/>
      <c r="W8" s="153"/>
      <c r="X8" s="153"/>
      <c r="Y8" s="153"/>
      <c r="Z8" s="153"/>
      <c r="AA8" s="153"/>
      <c r="AB8" s="153"/>
      <c r="AC8" s="153"/>
      <c r="AD8" s="153"/>
      <c r="AE8" s="153"/>
      <c r="AF8" s="9"/>
    </row>
    <row r="9" spans="1:34" ht="30" customHeight="1">
      <c r="A9" s="32"/>
      <c r="C9" s="174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63"/>
      <c r="U9" s="63"/>
      <c r="V9" s="63"/>
      <c r="W9" s="153"/>
      <c r="X9" s="153"/>
      <c r="Y9" s="153"/>
      <c r="Z9" s="153"/>
      <c r="AA9" s="153"/>
      <c r="AB9" s="153"/>
      <c r="AC9" s="153"/>
      <c r="AD9" s="153"/>
      <c r="AE9" s="153"/>
      <c r="AF9" s="9"/>
    </row>
    <row r="10" spans="1:34" ht="30" customHeight="1">
      <c r="A10" s="32"/>
      <c r="C10" s="174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63"/>
      <c r="U10" s="63"/>
      <c r="V10" s="63"/>
      <c r="W10" s="153"/>
      <c r="X10" s="153"/>
      <c r="Y10" s="153"/>
      <c r="Z10" s="153"/>
      <c r="AA10" s="153"/>
      <c r="AB10" s="153"/>
      <c r="AC10" s="153"/>
      <c r="AD10" s="153"/>
      <c r="AE10" s="153"/>
      <c r="AF10" s="9"/>
    </row>
    <row r="11" spans="1:34" ht="30" customHeight="1">
      <c r="A11" s="32"/>
      <c r="C11" s="174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63"/>
      <c r="U11" s="63"/>
      <c r="V11" s="63"/>
      <c r="W11" s="153"/>
      <c r="X11" s="153"/>
      <c r="Y11" s="153"/>
      <c r="Z11" s="153"/>
      <c r="AA11" s="153"/>
      <c r="AB11" s="153"/>
      <c r="AC11" s="153"/>
      <c r="AD11" s="153"/>
      <c r="AE11" s="153"/>
      <c r="AF11" s="9"/>
    </row>
    <row r="12" spans="1:34" ht="30" customHeight="1" thickBot="1">
      <c r="A12" s="33"/>
      <c r="B12" s="34"/>
      <c r="C12" s="175"/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64"/>
      <c r="U12" s="64"/>
      <c r="V12" s="64"/>
      <c r="W12" s="154"/>
      <c r="X12" s="154"/>
      <c r="Y12" s="154"/>
      <c r="Z12" s="154"/>
      <c r="AA12" s="154"/>
      <c r="AB12" s="154"/>
      <c r="AC12" s="154"/>
      <c r="AD12" s="154"/>
      <c r="AE12" s="154"/>
      <c r="AF12" s="35"/>
    </row>
    <row r="13" spans="1:34" ht="21" customHeight="1">
      <c r="A13" s="38">
        <v>1</v>
      </c>
      <c r="B13" s="170" t="s">
        <v>13</v>
      </c>
      <c r="C13" s="43" t="str">
        <f>'LINHA - 1D'!C13</f>
        <v>Chapa Riscada</v>
      </c>
      <c r="D13" s="97"/>
      <c r="E13" s="85"/>
      <c r="F13" s="85"/>
      <c r="G13" s="85"/>
      <c r="H13" s="85"/>
      <c r="I13" s="85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10">
        <f t="shared" ref="AF13:AF19" si="1">SUM(D13:AE13)</f>
        <v>0</v>
      </c>
    </row>
    <row r="14" spans="1:34" ht="21" customHeight="1">
      <c r="A14" s="39">
        <v>2</v>
      </c>
      <c r="B14" s="171"/>
      <c r="C14" s="44" t="s">
        <v>15</v>
      </c>
      <c r="D14" s="98"/>
      <c r="E14" s="86"/>
      <c r="F14" s="86"/>
      <c r="G14" s="86"/>
      <c r="H14" s="86"/>
      <c r="I14" s="86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23">
        <f t="shared" si="1"/>
        <v>0</v>
      </c>
    </row>
    <row r="15" spans="1:34" ht="21" customHeight="1">
      <c r="A15" s="39">
        <v>3</v>
      </c>
      <c r="B15" s="171"/>
      <c r="C15" s="44" t="s">
        <v>16</v>
      </c>
      <c r="D15" s="98"/>
      <c r="E15" s="86"/>
      <c r="F15" s="86"/>
      <c r="G15" s="86"/>
      <c r="H15" s="86"/>
      <c r="I15" s="86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23">
        <f t="shared" si="1"/>
        <v>0</v>
      </c>
    </row>
    <row r="16" spans="1:34" ht="21" customHeight="1">
      <c r="A16" s="39">
        <v>4</v>
      </c>
      <c r="B16" s="171"/>
      <c r="C16" s="44" t="s">
        <v>17</v>
      </c>
      <c r="D16" s="98"/>
      <c r="E16" s="86"/>
      <c r="F16" s="86"/>
      <c r="G16" s="86"/>
      <c r="H16" s="86"/>
      <c r="I16" s="86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23">
        <f t="shared" si="1"/>
        <v>0</v>
      </c>
    </row>
    <row r="17" spans="1:32" ht="21" customHeight="1" thickBot="1">
      <c r="A17" s="39">
        <v>5</v>
      </c>
      <c r="B17" s="172"/>
      <c r="C17" s="45" t="s">
        <v>18</v>
      </c>
      <c r="D17" s="99"/>
      <c r="E17" s="87"/>
      <c r="F17" s="87"/>
      <c r="G17" s="87"/>
      <c r="H17" s="87"/>
      <c r="I17" s="87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40">
        <f t="shared" si="1"/>
        <v>0</v>
      </c>
    </row>
    <row r="18" spans="1:32" ht="21" customHeight="1">
      <c r="A18" s="39">
        <v>6</v>
      </c>
      <c r="B18" s="170" t="s">
        <v>19</v>
      </c>
      <c r="C18" s="43" t="s">
        <v>22</v>
      </c>
      <c r="D18" s="97"/>
      <c r="E18" s="85"/>
      <c r="F18" s="85"/>
      <c r="G18" s="85"/>
      <c r="H18" s="85"/>
      <c r="I18" s="85"/>
      <c r="J18" s="72"/>
      <c r="K18" s="72"/>
      <c r="L18" s="72"/>
      <c r="M18" s="72"/>
      <c r="N18" s="72"/>
      <c r="O18" s="72"/>
      <c r="P18" s="73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10">
        <f t="shared" si="1"/>
        <v>0</v>
      </c>
    </row>
    <row r="19" spans="1:32" ht="21" customHeight="1">
      <c r="A19" s="39">
        <v>7</v>
      </c>
      <c r="B19" s="171"/>
      <c r="C19" s="44" t="s">
        <v>48</v>
      </c>
      <c r="D19" s="98"/>
      <c r="E19" s="86"/>
      <c r="F19" s="86"/>
      <c r="G19" s="86"/>
      <c r="H19" s="86"/>
      <c r="I19" s="86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23">
        <f t="shared" si="1"/>
        <v>0</v>
      </c>
    </row>
    <row r="20" spans="1:32" ht="21" customHeight="1">
      <c r="A20" s="39">
        <v>8</v>
      </c>
      <c r="B20" s="171"/>
      <c r="C20" s="44" t="s">
        <v>49</v>
      </c>
      <c r="D20" s="98"/>
      <c r="E20" s="86"/>
      <c r="F20" s="86"/>
      <c r="G20" s="86"/>
      <c r="H20" s="86"/>
      <c r="I20" s="86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23">
        <f t="shared" ref="AF20:AF28" si="2">SUM(D20:AE20)</f>
        <v>0</v>
      </c>
    </row>
    <row r="21" spans="1:32" ht="21" customHeight="1">
      <c r="A21" s="39">
        <v>9</v>
      </c>
      <c r="B21" s="171"/>
      <c r="C21" s="44" t="s">
        <v>53</v>
      </c>
      <c r="D21" s="100"/>
      <c r="E21" s="88"/>
      <c r="F21" s="88"/>
      <c r="G21" s="88"/>
      <c r="H21" s="88"/>
      <c r="I21" s="88"/>
      <c r="J21" s="73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23">
        <f t="shared" si="2"/>
        <v>0</v>
      </c>
    </row>
    <row r="22" spans="1:32" ht="21" customHeight="1">
      <c r="A22" s="39">
        <v>10</v>
      </c>
      <c r="B22" s="171"/>
      <c r="C22" s="44" t="s">
        <v>47</v>
      </c>
      <c r="D22" s="100"/>
      <c r="E22" s="88"/>
      <c r="F22" s="88"/>
      <c r="G22" s="88"/>
      <c r="H22" s="88"/>
      <c r="I22" s="88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23">
        <f t="shared" si="2"/>
        <v>0</v>
      </c>
    </row>
    <row r="23" spans="1:32" ht="21" customHeight="1" thickBot="1">
      <c r="A23" s="42">
        <v>11</v>
      </c>
      <c r="B23" s="171"/>
      <c r="C23" s="44" t="s">
        <v>54</v>
      </c>
      <c r="D23" s="101"/>
      <c r="E23" s="88"/>
      <c r="F23" s="88"/>
      <c r="G23" s="88"/>
      <c r="H23" s="88"/>
      <c r="I23" s="88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23">
        <f t="shared" si="2"/>
        <v>0</v>
      </c>
    </row>
    <row r="24" spans="1:32" ht="21" customHeight="1">
      <c r="A24" s="38">
        <v>12</v>
      </c>
      <c r="B24" s="171"/>
      <c r="C24" s="65" t="s">
        <v>55</v>
      </c>
      <c r="D24" s="98"/>
      <c r="E24" s="86"/>
      <c r="F24" s="86"/>
      <c r="G24" s="86"/>
      <c r="H24" s="86"/>
      <c r="I24" s="86"/>
      <c r="J24" s="73"/>
      <c r="K24" s="73"/>
      <c r="L24" s="73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3"/>
      <c r="X24" s="73"/>
      <c r="Y24" s="73"/>
      <c r="Z24" s="73"/>
      <c r="AA24" s="73"/>
      <c r="AB24" s="73"/>
      <c r="AC24" s="73"/>
      <c r="AD24" s="73"/>
      <c r="AE24" s="73"/>
      <c r="AF24" s="23">
        <f t="shared" si="2"/>
        <v>0</v>
      </c>
    </row>
    <row r="25" spans="1:32" ht="21" customHeight="1">
      <c r="A25" s="39">
        <v>13</v>
      </c>
      <c r="B25" s="171"/>
      <c r="C25" s="44" t="s">
        <v>20</v>
      </c>
      <c r="D25" s="100"/>
      <c r="E25" s="88"/>
      <c r="F25" s="88"/>
      <c r="G25" s="88"/>
      <c r="H25" s="88"/>
      <c r="I25" s="88"/>
      <c r="J25" s="75"/>
      <c r="K25" s="75"/>
      <c r="L25" s="75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5"/>
      <c r="X25" s="75"/>
      <c r="Y25" s="75"/>
      <c r="Z25" s="75"/>
      <c r="AA25" s="75"/>
      <c r="AB25" s="75"/>
      <c r="AC25" s="75"/>
      <c r="AD25" s="75"/>
      <c r="AE25" s="75"/>
      <c r="AF25" s="23">
        <f t="shared" si="2"/>
        <v>0</v>
      </c>
    </row>
    <row r="26" spans="1:32" ht="21" customHeight="1">
      <c r="A26" s="39">
        <v>14</v>
      </c>
      <c r="B26" s="171"/>
      <c r="C26" s="44" t="s">
        <v>56</v>
      </c>
      <c r="D26" s="100"/>
      <c r="E26" s="88"/>
      <c r="F26" s="88"/>
      <c r="G26" s="88"/>
      <c r="H26" s="88"/>
      <c r="I26" s="88"/>
      <c r="J26" s="75"/>
      <c r="K26" s="75"/>
      <c r="L26" s="75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5"/>
      <c r="X26" s="75"/>
      <c r="Y26" s="75"/>
      <c r="Z26" s="75"/>
      <c r="AA26" s="75"/>
      <c r="AB26" s="75"/>
      <c r="AC26" s="75"/>
      <c r="AD26" s="75"/>
      <c r="AE26" s="75"/>
      <c r="AF26" s="23">
        <f t="shared" si="2"/>
        <v>0</v>
      </c>
    </row>
    <row r="27" spans="1:32" ht="21" customHeight="1">
      <c r="A27" s="39">
        <v>15</v>
      </c>
      <c r="B27" s="171"/>
      <c r="C27" s="44" t="s">
        <v>21</v>
      </c>
      <c r="D27" s="100"/>
      <c r="E27" s="88"/>
      <c r="F27" s="88"/>
      <c r="G27" s="88"/>
      <c r="H27" s="88"/>
      <c r="I27" s="88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23">
        <f t="shared" si="2"/>
        <v>0</v>
      </c>
    </row>
    <row r="28" spans="1:32" ht="21" customHeight="1">
      <c r="A28" s="39">
        <v>16</v>
      </c>
      <c r="B28" s="171"/>
      <c r="C28" s="44" t="s">
        <v>57</v>
      </c>
      <c r="D28" s="100"/>
      <c r="E28" s="88"/>
      <c r="F28" s="88"/>
      <c r="G28" s="88"/>
      <c r="H28" s="88"/>
      <c r="I28" s="88"/>
      <c r="J28" s="75"/>
      <c r="K28" s="75"/>
      <c r="L28" s="75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5"/>
      <c r="X28" s="75"/>
      <c r="Y28" s="75"/>
      <c r="Z28" s="75"/>
      <c r="AA28" s="75"/>
      <c r="AB28" s="75"/>
      <c r="AC28" s="75"/>
      <c r="AD28" s="75"/>
      <c r="AE28" s="75"/>
      <c r="AF28" s="23">
        <f t="shared" si="2"/>
        <v>0</v>
      </c>
    </row>
    <row r="29" spans="1:32" ht="21" customHeight="1" thickBot="1">
      <c r="A29" s="46">
        <v>17</v>
      </c>
      <c r="B29" s="172"/>
      <c r="C29" s="47" t="s">
        <v>23</v>
      </c>
      <c r="D29" s="102"/>
      <c r="E29" s="92"/>
      <c r="F29" s="92"/>
      <c r="G29" s="92"/>
      <c r="H29" s="92"/>
      <c r="I29" s="92"/>
      <c r="J29" s="78"/>
      <c r="K29" s="78"/>
      <c r="L29" s="78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8"/>
      <c r="X29" s="78"/>
      <c r="Y29" s="78"/>
      <c r="Z29" s="78"/>
      <c r="AA29" s="78"/>
      <c r="AB29" s="78"/>
      <c r="AC29" s="78"/>
      <c r="AD29" s="78"/>
      <c r="AE29" s="78"/>
      <c r="AF29" s="8">
        <f>SUM(D29:AE29)</f>
        <v>0</v>
      </c>
    </row>
    <row r="30" spans="1:32" ht="21" customHeight="1">
      <c r="A30" s="155" t="s">
        <v>2</v>
      </c>
      <c r="B30" s="157"/>
      <c r="C30" s="183"/>
      <c r="D30" s="80">
        <f>SUM(D13:D29)</f>
        <v>0</v>
      </c>
      <c r="E30" s="80">
        <f t="shared" ref="E30:AE30" si="3">SUM(E13:E29)</f>
        <v>0</v>
      </c>
      <c r="F30" s="80">
        <f t="shared" si="3"/>
        <v>0</v>
      </c>
      <c r="G30" s="80">
        <f>SUM(G13:G29)</f>
        <v>0</v>
      </c>
      <c r="H30" s="80">
        <f t="shared" si="3"/>
        <v>0</v>
      </c>
      <c r="I30" s="80">
        <f t="shared" si="3"/>
        <v>0</v>
      </c>
      <c r="J30" s="80">
        <f t="shared" si="3"/>
        <v>0</v>
      </c>
      <c r="K30" s="80">
        <f t="shared" si="3"/>
        <v>0</v>
      </c>
      <c r="L30" s="80">
        <f t="shared" si="3"/>
        <v>0</v>
      </c>
      <c r="M30" s="80">
        <f t="shared" si="3"/>
        <v>0</v>
      </c>
      <c r="N30" s="80">
        <f t="shared" si="3"/>
        <v>0</v>
      </c>
      <c r="O30" s="80">
        <f t="shared" si="3"/>
        <v>0</v>
      </c>
      <c r="P30" s="80">
        <f t="shared" si="3"/>
        <v>0</v>
      </c>
      <c r="Q30" s="80">
        <f t="shared" si="3"/>
        <v>0</v>
      </c>
      <c r="R30" s="80">
        <f t="shared" si="3"/>
        <v>0</v>
      </c>
      <c r="S30" s="80">
        <f t="shared" si="3"/>
        <v>0</v>
      </c>
      <c r="T30" s="80">
        <f t="shared" si="3"/>
        <v>0</v>
      </c>
      <c r="U30" s="80">
        <f t="shared" si="3"/>
        <v>0</v>
      </c>
      <c r="V30" s="80">
        <f t="shared" si="3"/>
        <v>0</v>
      </c>
      <c r="W30" s="80">
        <f t="shared" si="3"/>
        <v>0</v>
      </c>
      <c r="X30" s="80">
        <f t="shared" si="3"/>
        <v>0</v>
      </c>
      <c r="Y30" s="80">
        <f t="shared" si="3"/>
        <v>0</v>
      </c>
      <c r="Z30" s="80">
        <f t="shared" si="3"/>
        <v>0</v>
      </c>
      <c r="AA30" s="80">
        <f t="shared" si="3"/>
        <v>0</v>
      </c>
      <c r="AB30" s="80">
        <f t="shared" si="3"/>
        <v>0</v>
      </c>
      <c r="AC30" s="80">
        <f t="shared" si="3"/>
        <v>0</v>
      </c>
      <c r="AD30" s="80">
        <f t="shared" si="3"/>
        <v>0</v>
      </c>
      <c r="AE30" s="80">
        <f t="shared" si="3"/>
        <v>0</v>
      </c>
      <c r="AF30" s="41">
        <f>SUM(D30:AE30)</f>
        <v>0</v>
      </c>
    </row>
    <row r="31" spans="1:32" ht="21" customHeight="1" thickBot="1">
      <c r="A31" s="161" t="s">
        <v>12</v>
      </c>
      <c r="B31" s="163"/>
      <c r="C31" s="182"/>
      <c r="D31" s="82" t="str">
        <f t="shared" ref="D31:AF31" si="4">IF(D4&gt;0,D30/D4*1000000," ")</f>
        <v xml:space="preserve"> </v>
      </c>
      <c r="E31" s="83" t="str">
        <f t="shared" si="4"/>
        <v xml:space="preserve"> </v>
      </c>
      <c r="F31" s="83" t="str">
        <f t="shared" si="4"/>
        <v xml:space="preserve"> </v>
      </c>
      <c r="G31" s="83" t="str">
        <f t="shared" si="4"/>
        <v xml:space="preserve"> </v>
      </c>
      <c r="H31" s="83" t="str">
        <f t="shared" si="4"/>
        <v xml:space="preserve"> </v>
      </c>
      <c r="I31" s="83" t="str">
        <f t="shared" si="4"/>
        <v xml:space="preserve"> </v>
      </c>
      <c r="J31" s="83" t="str">
        <f t="shared" si="4"/>
        <v xml:space="preserve"> </v>
      </c>
      <c r="K31" s="83" t="str">
        <f t="shared" si="4"/>
        <v xml:space="preserve"> </v>
      </c>
      <c r="L31" s="83" t="str">
        <f t="shared" si="4"/>
        <v xml:space="preserve"> </v>
      </c>
      <c r="M31" s="83" t="str">
        <f t="shared" si="4"/>
        <v xml:space="preserve"> </v>
      </c>
      <c r="N31" s="83" t="str">
        <f t="shared" si="4"/>
        <v xml:space="preserve"> </v>
      </c>
      <c r="O31" s="83" t="str">
        <f t="shared" si="4"/>
        <v xml:space="preserve"> </v>
      </c>
      <c r="P31" s="83" t="str">
        <f t="shared" si="4"/>
        <v xml:space="preserve"> </v>
      </c>
      <c r="Q31" s="83" t="str">
        <f t="shared" si="4"/>
        <v xml:space="preserve"> </v>
      </c>
      <c r="R31" s="83" t="str">
        <f t="shared" si="4"/>
        <v xml:space="preserve"> </v>
      </c>
      <c r="S31" s="83" t="str">
        <f t="shared" si="4"/>
        <v xml:space="preserve"> </v>
      </c>
      <c r="T31" s="83" t="str">
        <f t="shared" si="4"/>
        <v xml:space="preserve"> </v>
      </c>
      <c r="U31" s="83" t="str">
        <f t="shared" si="4"/>
        <v xml:space="preserve"> </v>
      </c>
      <c r="V31" s="83" t="str">
        <f t="shared" si="4"/>
        <v xml:space="preserve"> </v>
      </c>
      <c r="W31" s="83" t="str">
        <f t="shared" si="4"/>
        <v xml:space="preserve"> </v>
      </c>
      <c r="X31" s="83" t="str">
        <f t="shared" si="4"/>
        <v xml:space="preserve"> </v>
      </c>
      <c r="Y31" s="83" t="str">
        <f t="shared" si="4"/>
        <v xml:space="preserve"> </v>
      </c>
      <c r="Z31" s="83" t="str">
        <f t="shared" si="4"/>
        <v xml:space="preserve"> </v>
      </c>
      <c r="AA31" s="83" t="str">
        <f t="shared" si="4"/>
        <v xml:space="preserve"> </v>
      </c>
      <c r="AB31" s="83" t="str">
        <f t="shared" si="4"/>
        <v xml:space="preserve"> </v>
      </c>
      <c r="AC31" s="83" t="str">
        <f t="shared" si="4"/>
        <v xml:space="preserve"> </v>
      </c>
      <c r="AD31" s="83" t="str">
        <f t="shared" si="4"/>
        <v xml:space="preserve"> </v>
      </c>
      <c r="AE31" s="83" t="str">
        <f t="shared" si="4"/>
        <v xml:space="preserve"> </v>
      </c>
      <c r="AF31" s="22" t="str">
        <f t="shared" si="4"/>
        <v xml:space="preserve"> </v>
      </c>
    </row>
    <row r="32" spans="1:32" ht="21" customHeight="1">
      <c r="A32" s="155" t="str">
        <f>'LINHA - 1D'!A32:C32</f>
        <v>Visto Supervisor</v>
      </c>
      <c r="B32" s="156"/>
      <c r="C32" s="157"/>
      <c r="D32" s="120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09"/>
    </row>
    <row r="33" spans="1:32" ht="21" customHeight="1" thickBot="1">
      <c r="A33" s="158" t="s">
        <v>58</v>
      </c>
      <c r="B33" s="159"/>
      <c r="C33" s="160"/>
      <c r="D33" s="121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1"/>
    </row>
    <row r="34" spans="1:32" ht="21" customHeight="1">
      <c r="A34" s="48" t="s">
        <v>8</v>
      </c>
      <c r="B34" s="49"/>
      <c r="C34" s="49"/>
      <c r="D34" s="49"/>
      <c r="E34" s="49"/>
      <c r="F34" s="49"/>
      <c r="G34" s="49"/>
      <c r="J34" s="9"/>
      <c r="K34" s="103" t="s">
        <v>10</v>
      </c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107"/>
      <c r="Y34" s="103" t="s">
        <v>11</v>
      </c>
      <c r="Z34" s="104"/>
      <c r="AA34" s="49"/>
      <c r="AB34" s="49"/>
      <c r="AC34" s="49"/>
      <c r="AD34" s="49"/>
      <c r="AE34" s="105"/>
      <c r="AF34" s="106"/>
    </row>
    <row r="35" spans="1:32" s="18" customFormat="1" ht="21" customHeight="1" thickBot="1">
      <c r="A35" s="13" t="s">
        <v>9</v>
      </c>
      <c r="B35" s="14"/>
      <c r="C35" s="14"/>
      <c r="D35" s="14"/>
      <c r="E35" s="14"/>
      <c r="F35" s="14"/>
      <c r="G35" s="14"/>
      <c r="H35" s="36"/>
      <c r="I35" s="36"/>
      <c r="J35" s="37"/>
      <c r="K35" s="13" t="s">
        <v>9</v>
      </c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5"/>
      <c r="Y35" s="13" t="s">
        <v>9</v>
      </c>
      <c r="Z35" s="14"/>
      <c r="AA35" s="14"/>
      <c r="AB35" s="14"/>
      <c r="AC35" s="16"/>
      <c r="AD35" s="17"/>
      <c r="AE35" s="16"/>
      <c r="AF35" s="15"/>
    </row>
    <row r="36" spans="1:32">
      <c r="C36" t="s">
        <v>4</v>
      </c>
      <c r="D36" s="19">
        <f>'[2]SJCPIL 16-006-08'!$Y$16</f>
        <v>330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</row>
    <row r="37" spans="1:32" ht="13.5" thickBot="1"/>
    <row r="38" spans="1:32">
      <c r="C38" s="12" t="s">
        <v>6</v>
      </c>
      <c r="D38" s="149">
        <f>D2</f>
        <v>0</v>
      </c>
      <c r="E38" s="149">
        <f>E2</f>
        <v>0</v>
      </c>
      <c r="F38" s="149">
        <f t="shared" ref="F38:AB38" si="5">F2</f>
        <v>0</v>
      </c>
      <c r="G38" s="149">
        <f t="shared" si="5"/>
        <v>0</v>
      </c>
      <c r="H38" s="149">
        <f t="shared" si="5"/>
        <v>0</v>
      </c>
      <c r="I38" s="149">
        <f>I2</f>
        <v>0</v>
      </c>
      <c r="J38" s="149">
        <f>J2</f>
        <v>0</v>
      </c>
      <c r="K38" s="149">
        <f t="shared" si="5"/>
        <v>0</v>
      </c>
      <c r="L38" s="149">
        <f t="shared" si="5"/>
        <v>0</v>
      </c>
      <c r="M38" s="149">
        <f t="shared" si="5"/>
        <v>0</v>
      </c>
      <c r="N38" s="149">
        <f t="shared" si="5"/>
        <v>0</v>
      </c>
      <c r="O38" s="149">
        <f t="shared" si="5"/>
        <v>0</v>
      </c>
      <c r="P38" s="149">
        <f t="shared" si="5"/>
        <v>0</v>
      </c>
      <c r="Q38" s="149">
        <f t="shared" si="5"/>
        <v>0</v>
      </c>
      <c r="R38" s="149">
        <f t="shared" si="5"/>
        <v>0</v>
      </c>
      <c r="S38" s="149">
        <f t="shared" si="5"/>
        <v>0</v>
      </c>
      <c r="T38" s="149">
        <f t="shared" si="5"/>
        <v>0</v>
      </c>
      <c r="U38" s="149"/>
      <c r="V38" s="149"/>
      <c r="W38" s="149">
        <f t="shared" si="5"/>
        <v>0</v>
      </c>
      <c r="X38" s="149">
        <f t="shared" si="5"/>
        <v>0</v>
      </c>
      <c r="Y38" s="149">
        <f t="shared" si="5"/>
        <v>0</v>
      </c>
      <c r="Z38" s="149"/>
      <c r="AA38" s="149">
        <f t="shared" si="5"/>
        <v>0</v>
      </c>
      <c r="AB38" s="149">
        <f t="shared" si="5"/>
        <v>0</v>
      </c>
      <c r="AC38" s="149"/>
      <c r="AD38" s="149"/>
      <c r="AE38" s="149"/>
    </row>
    <row r="39" spans="1:32" ht="170.1" customHeight="1">
      <c r="C39" s="20" t="s">
        <v>7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"/>
      <c r="Z39" s="5"/>
      <c r="AA39" s="6"/>
      <c r="AB39" s="5"/>
      <c r="AC39" s="5"/>
      <c r="AD39" s="5"/>
      <c r="AE39" s="5"/>
      <c r="AF39" s="131"/>
    </row>
    <row r="42" spans="1:32">
      <c r="A42" t="s">
        <v>34</v>
      </c>
      <c r="B42" t="s">
        <v>37</v>
      </c>
    </row>
  </sheetData>
  <sheetProtection selectLockedCells="1"/>
  <mergeCells count="36">
    <mergeCell ref="A2:C2"/>
    <mergeCell ref="A3:C3"/>
    <mergeCell ref="R5:R12"/>
    <mergeCell ref="S5:S12"/>
    <mergeCell ref="A4:C4"/>
    <mergeCell ref="I5:I12"/>
    <mergeCell ref="C6:C12"/>
    <mergeCell ref="J5:J12"/>
    <mergeCell ref="M5:M12"/>
    <mergeCell ref="N5:N12"/>
    <mergeCell ref="O5:O12"/>
    <mergeCell ref="P5:P12"/>
    <mergeCell ref="Q5:Q12"/>
    <mergeCell ref="K5:K12"/>
    <mergeCell ref="L5:L12"/>
    <mergeCell ref="D5:D12"/>
    <mergeCell ref="A33:C33"/>
    <mergeCell ref="A31:C31"/>
    <mergeCell ref="B13:B17"/>
    <mergeCell ref="A30:C30"/>
    <mergeCell ref="B18:B29"/>
    <mergeCell ref="A32:C32"/>
    <mergeCell ref="E5:E12"/>
    <mergeCell ref="F5:F12"/>
    <mergeCell ref="G5:G12"/>
    <mergeCell ref="H5:H12"/>
    <mergeCell ref="AD1:AE1"/>
    <mergeCell ref="AD5:AD12"/>
    <mergeCell ref="AE5:AE12"/>
    <mergeCell ref="W5:W12"/>
    <mergeCell ref="Z5:Z12"/>
    <mergeCell ref="Y5:Y12"/>
    <mergeCell ref="X5:X12"/>
    <mergeCell ref="AA5:AA12"/>
    <mergeCell ref="AB5:AB12"/>
    <mergeCell ref="AC5:AC12"/>
  </mergeCells>
  <phoneticPr fontId="0" type="noConversion"/>
  <conditionalFormatting sqref="AF30">
    <cfRule type="cellIs" dxfId="5" priority="3" stopIfTrue="1" operator="notEqual">
      <formula>SUM($D$13:$AE$29)</formula>
    </cfRule>
  </conditionalFormatting>
  <conditionalFormatting sqref="AF4">
    <cfRule type="expression" dxfId="4" priority="1">
      <formula>$AF$4&lt;&gt;$AH$4</formula>
    </cfRule>
  </conditionalFormatting>
  <dataValidations count="1">
    <dataValidation type="date" allowBlank="1" showInputMessage="1" showErrorMessage="1" promptTitle="Data:" prompt="Favor digitar uma data válida contendo pelo menos dia/mês." sqref="D2:AE2" xr:uid="{00000000-0002-0000-02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61" orientation="landscape" r:id="rId1"/>
  <headerFooter alignWithMargins="0">
    <oddFooter>&amp;RSJCPIL-R 16-317-03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8">
    <tabColor indexed="13"/>
    <pageSetUpPr fitToPage="1"/>
  </sheetPr>
  <dimension ref="A1:AI43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31" width="6.7109375" customWidth="1"/>
    <col min="32" max="32" width="11.42578125" customWidth="1"/>
    <col min="33" max="33" width="3.28515625" customWidth="1"/>
  </cols>
  <sheetData>
    <row r="1" spans="1:35" ht="32.25" customHeight="1" thickBot="1">
      <c r="E1" s="24" t="s">
        <v>42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7" t="s">
        <v>5</v>
      </c>
      <c r="W1" s="7"/>
      <c r="X1" s="7"/>
      <c r="Y1" s="7"/>
      <c r="Z1" s="7"/>
      <c r="AA1" s="148" t="s">
        <v>24</v>
      </c>
      <c r="AB1" s="146"/>
      <c r="AC1" s="147"/>
      <c r="AD1" s="176" t="s">
        <v>66</v>
      </c>
      <c r="AE1" s="181"/>
      <c r="AF1" s="145" t="str">
        <f ca="1">'LINHA - 1D'!AF1</f>
        <v>03 / 2022</v>
      </c>
    </row>
    <row r="2" spans="1:35" ht="21" customHeight="1">
      <c r="A2" s="164" t="s">
        <v>9</v>
      </c>
      <c r="B2" s="165"/>
      <c r="C2" s="165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44"/>
    </row>
    <row r="3" spans="1:35" ht="21" customHeight="1">
      <c r="A3" s="166" t="s">
        <v>0</v>
      </c>
      <c r="B3" s="167"/>
      <c r="C3" s="167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56"/>
      <c r="AA3" s="56"/>
      <c r="AB3" s="1"/>
      <c r="AC3" s="21"/>
      <c r="AD3" s="21"/>
      <c r="AE3" s="21"/>
      <c r="AF3" s="25"/>
      <c r="AI3" t="s">
        <v>65</v>
      </c>
    </row>
    <row r="4" spans="1:35" ht="21" customHeight="1" thickBot="1">
      <c r="A4" s="168" t="s">
        <v>1</v>
      </c>
      <c r="B4" s="169"/>
      <c r="C4" s="169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2"/>
      <c r="V4" s="3"/>
      <c r="W4" s="3"/>
      <c r="X4" s="3"/>
      <c r="Y4" s="3"/>
      <c r="Z4" s="3"/>
      <c r="AA4" s="3"/>
      <c r="AB4" s="3"/>
      <c r="AC4" s="26"/>
      <c r="AD4" s="26"/>
      <c r="AE4" s="26"/>
      <c r="AF4" s="27">
        <f>SUM(D4:AE4)</f>
        <v>0</v>
      </c>
      <c r="AH4" s="129" cm="1">
        <f t="array" ref="AH4">[1]!PROD_L1N</f>
        <v>0</v>
      </c>
      <c r="AI4">
        <f>PROD_L1D+PROD_L1N</f>
        <v>0</v>
      </c>
    </row>
    <row r="5" spans="1:35" ht="30" customHeight="1">
      <c r="A5" s="28"/>
      <c r="B5" s="29"/>
      <c r="C5" s="30" t="s">
        <v>12</v>
      </c>
      <c r="D5" s="152">
        <f t="shared" ref="D5:K5" si="0">D39</f>
        <v>0</v>
      </c>
      <c r="E5" s="152">
        <f t="shared" si="0"/>
        <v>0</v>
      </c>
      <c r="F5" s="152">
        <f t="shared" si="0"/>
        <v>0</v>
      </c>
      <c r="G5" s="152">
        <f t="shared" si="0"/>
        <v>0</v>
      </c>
      <c r="H5" s="152">
        <f t="shared" si="0"/>
        <v>0</v>
      </c>
      <c r="I5" s="152">
        <f t="shared" si="0"/>
        <v>0</v>
      </c>
      <c r="J5" s="152">
        <f t="shared" si="0"/>
        <v>0</v>
      </c>
      <c r="K5" s="152">
        <f t="shared" si="0"/>
        <v>0</v>
      </c>
      <c r="L5" s="152"/>
      <c r="M5" s="152">
        <f>M39</f>
        <v>0</v>
      </c>
      <c r="N5" s="152"/>
      <c r="O5" s="152">
        <f t="shared" ref="O5:T5" si="1">O39</f>
        <v>0</v>
      </c>
      <c r="P5" s="152">
        <f t="shared" si="1"/>
        <v>0</v>
      </c>
      <c r="Q5" s="152">
        <f t="shared" si="1"/>
        <v>0</v>
      </c>
      <c r="R5" s="152">
        <f t="shared" si="1"/>
        <v>0</v>
      </c>
      <c r="S5" s="152">
        <f t="shared" si="1"/>
        <v>0</v>
      </c>
      <c r="T5" s="152">
        <f t="shared" si="1"/>
        <v>0</v>
      </c>
      <c r="U5" s="152">
        <f>U39</f>
        <v>0</v>
      </c>
      <c r="V5" s="152">
        <f>V39</f>
        <v>0</v>
      </c>
      <c r="W5" s="152"/>
      <c r="X5" s="152"/>
      <c r="Y5" s="152"/>
      <c r="Z5" s="152">
        <f>Z39</f>
        <v>0</v>
      </c>
      <c r="AA5" s="62"/>
      <c r="AB5" s="152">
        <f>AB39</f>
        <v>0</v>
      </c>
      <c r="AC5" s="152">
        <f>AC39</f>
        <v>0</v>
      </c>
      <c r="AD5" s="152">
        <f>AD39</f>
        <v>0</v>
      </c>
      <c r="AE5" s="152">
        <f>AE39</f>
        <v>0</v>
      </c>
      <c r="AF5" s="31"/>
    </row>
    <row r="6" spans="1:35" ht="30" customHeight="1">
      <c r="A6" s="32"/>
      <c r="C6" s="184" t="s">
        <v>41</v>
      </c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63"/>
      <c r="AB6" s="153"/>
      <c r="AC6" s="153"/>
      <c r="AD6" s="153"/>
      <c r="AE6" s="153"/>
      <c r="AF6" s="9"/>
    </row>
    <row r="7" spans="1:35" ht="30" customHeight="1">
      <c r="A7" s="32"/>
      <c r="C7" s="174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63"/>
      <c r="AB7" s="153"/>
      <c r="AC7" s="153"/>
      <c r="AD7" s="153"/>
      <c r="AE7" s="153"/>
      <c r="AF7" s="9"/>
    </row>
    <row r="8" spans="1:35" ht="30" customHeight="1">
      <c r="A8" s="32"/>
      <c r="C8" s="174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63"/>
      <c r="AB8" s="153"/>
      <c r="AC8" s="153"/>
      <c r="AD8" s="153"/>
      <c r="AE8" s="153"/>
      <c r="AF8" s="9"/>
    </row>
    <row r="9" spans="1:35" ht="30" customHeight="1">
      <c r="A9" s="32"/>
      <c r="C9" s="174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63"/>
      <c r="AB9" s="153"/>
      <c r="AC9" s="153"/>
      <c r="AD9" s="153"/>
      <c r="AE9" s="153"/>
      <c r="AF9" s="9"/>
    </row>
    <row r="10" spans="1:35" ht="30" customHeight="1">
      <c r="A10" s="32"/>
      <c r="C10" s="174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63"/>
      <c r="AB10" s="153"/>
      <c r="AC10" s="153"/>
      <c r="AD10" s="153"/>
      <c r="AE10" s="153"/>
      <c r="AF10" s="9"/>
    </row>
    <row r="11" spans="1:35" ht="30" customHeight="1">
      <c r="A11" s="32"/>
      <c r="C11" s="174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63"/>
      <c r="AB11" s="153"/>
      <c r="AC11" s="153"/>
      <c r="AD11" s="153"/>
      <c r="AE11" s="153"/>
      <c r="AF11" s="9"/>
    </row>
    <row r="12" spans="1:35" ht="30" customHeight="1" thickBot="1">
      <c r="A12" s="33"/>
      <c r="B12" s="34"/>
      <c r="C12" s="175"/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64"/>
      <c r="AB12" s="154"/>
      <c r="AC12" s="154"/>
      <c r="AD12" s="154"/>
      <c r="AE12" s="154"/>
      <c r="AF12" s="35"/>
    </row>
    <row r="13" spans="1:35" ht="21" customHeight="1">
      <c r="A13" s="38">
        <v>1</v>
      </c>
      <c r="B13" s="170" t="s">
        <v>13</v>
      </c>
      <c r="C13" s="43" t="str">
        <f>'LINHA - 1D'!C13</f>
        <v>Chapa Riscada</v>
      </c>
      <c r="D13" s="85"/>
      <c r="E13" s="85"/>
      <c r="F13" s="85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50">
        <f>SUM(B13:AE13)</f>
        <v>0</v>
      </c>
      <c r="AI13" s="52">
        <f>AF13+'LINHA - 1D'!AF13</f>
        <v>0</v>
      </c>
    </row>
    <row r="14" spans="1:35" ht="21" customHeight="1">
      <c r="A14" s="39">
        <v>2</v>
      </c>
      <c r="B14" s="171"/>
      <c r="C14" s="44" t="str">
        <f>'LINHA - 1D'!C14</f>
        <v>Chapa Manchada</v>
      </c>
      <c r="D14" s="86"/>
      <c r="E14" s="86"/>
      <c r="F14" s="86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51">
        <f>SUM(B14:AE14)</f>
        <v>0</v>
      </c>
      <c r="AI14" s="52">
        <f>AF14+'LINHA - 1D'!AF14</f>
        <v>0</v>
      </c>
    </row>
    <row r="15" spans="1:35" ht="21" customHeight="1">
      <c r="A15" s="39">
        <v>3</v>
      </c>
      <c r="B15" s="171"/>
      <c r="C15" s="44" t="str">
        <f>'LINHA - 1D'!C15</f>
        <v>Chapa Invertida</v>
      </c>
      <c r="D15" s="86"/>
      <c r="E15" s="86"/>
      <c r="F15" s="86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51">
        <f>SUM(B15:AE15)</f>
        <v>0</v>
      </c>
      <c r="AI15" s="52">
        <f>AF15+'LINHA - 1D'!AF15</f>
        <v>0</v>
      </c>
    </row>
    <row r="16" spans="1:35" ht="21" customHeight="1">
      <c r="A16" s="39">
        <v>4</v>
      </c>
      <c r="B16" s="171"/>
      <c r="C16" s="44" t="str">
        <f>'LINHA - 1D'!C16</f>
        <v>Chapa Aberta</v>
      </c>
      <c r="D16" s="86"/>
      <c r="E16" s="86"/>
      <c r="F16" s="86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51">
        <f>SUM(B16:AE16)</f>
        <v>0</v>
      </c>
      <c r="AI16" s="52">
        <f>AF16+'LINHA - 1D'!AF16</f>
        <v>0</v>
      </c>
    </row>
    <row r="17" spans="1:35" ht="21" customHeight="1" thickBot="1">
      <c r="A17" s="39">
        <v>5</v>
      </c>
      <c r="B17" s="172"/>
      <c r="C17" s="45" t="str">
        <f>'LINHA - 1D'!C17</f>
        <v>Falha de Impressão</v>
      </c>
      <c r="D17" s="87"/>
      <c r="E17" s="87"/>
      <c r="F17" s="87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27">
        <f t="shared" ref="AF17:AF29" si="2">SUM(B17:AE17)</f>
        <v>0</v>
      </c>
      <c r="AI17" s="52">
        <f>AF17+'LINHA - 1D'!AF17</f>
        <v>0</v>
      </c>
    </row>
    <row r="18" spans="1:35" ht="21" customHeight="1">
      <c r="A18" s="39">
        <v>6</v>
      </c>
      <c r="B18" s="170" t="s">
        <v>19</v>
      </c>
      <c r="C18" s="43" t="str">
        <f>'LINHA - 1D'!C18</f>
        <v>Sem Cap</v>
      </c>
      <c r="D18" s="85"/>
      <c r="E18" s="85"/>
      <c r="F18" s="85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23">
        <f t="shared" si="2"/>
        <v>0</v>
      </c>
      <c r="AI18" s="52">
        <f>AF18+'LINHA - 1D'!AF18</f>
        <v>0</v>
      </c>
    </row>
    <row r="19" spans="1:35" ht="21" customHeight="1">
      <c r="A19" s="39">
        <v>7</v>
      </c>
      <c r="B19" s="171"/>
      <c r="C19" s="44" t="str">
        <f>'LINHA - 1D'!C19</f>
        <v>Cap Amassado / Afundado</v>
      </c>
      <c r="D19" s="86"/>
      <c r="E19" s="86"/>
      <c r="F19" s="86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11">
        <f t="shared" si="2"/>
        <v>0</v>
      </c>
      <c r="AI19" s="52">
        <f>AF19+'LINHA - 1D'!AF19</f>
        <v>0</v>
      </c>
    </row>
    <row r="20" spans="1:35" ht="21" customHeight="1">
      <c r="A20" s="39">
        <v>8</v>
      </c>
      <c r="B20" s="171"/>
      <c r="C20" s="44" t="str">
        <f>'LINHA - 1D'!C20</f>
        <v>Cap Rachado</v>
      </c>
      <c r="D20" s="86"/>
      <c r="E20" s="86"/>
      <c r="F20" s="86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11">
        <f t="shared" si="2"/>
        <v>0</v>
      </c>
      <c r="AI20" s="52">
        <f>AF20+'LINHA - 1D'!AF20</f>
        <v>0</v>
      </c>
    </row>
    <row r="21" spans="1:35" ht="21" customHeight="1">
      <c r="A21" s="39">
        <v>9</v>
      </c>
      <c r="B21" s="171"/>
      <c r="C21" s="44" t="str">
        <f>'LINHA - 1D'!C21</f>
        <v>Sem Anel Vermelho</v>
      </c>
      <c r="D21" s="88"/>
      <c r="E21" s="88"/>
      <c r="F21" s="88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11">
        <f t="shared" si="2"/>
        <v>0</v>
      </c>
      <c r="AI21" s="52">
        <f>AF21+'LINHA - 1D'!AF21</f>
        <v>0</v>
      </c>
    </row>
    <row r="22" spans="1:35" ht="21" customHeight="1">
      <c r="A22" s="39">
        <v>10</v>
      </c>
      <c r="B22" s="171"/>
      <c r="C22" s="44" t="str">
        <f>'LINHA - 1D'!C22</f>
        <v>Dois Anéis Vermelhos</v>
      </c>
      <c r="D22" s="88"/>
      <c r="E22" s="88"/>
      <c r="F22" s="88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11">
        <f t="shared" si="2"/>
        <v>0</v>
      </c>
      <c r="AI22" s="52">
        <f>AF22+'LINHA - 1D'!AF22</f>
        <v>0</v>
      </c>
    </row>
    <row r="23" spans="1:35" ht="21" customHeight="1">
      <c r="A23" s="67">
        <v>11</v>
      </c>
      <c r="B23" s="171"/>
      <c r="C23" s="44" t="str">
        <f>'LINHA - 1D'!C23</f>
        <v>Sem Bottom Plate</v>
      </c>
      <c r="D23" s="88"/>
      <c r="E23" s="88"/>
      <c r="F23" s="88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11">
        <f t="shared" si="2"/>
        <v>0</v>
      </c>
      <c r="AI23" s="52">
        <f>AF23+'LINHA - 1D'!AF23</f>
        <v>0</v>
      </c>
    </row>
    <row r="24" spans="1:35" ht="21" customHeight="1">
      <c r="A24" s="66">
        <v>12</v>
      </c>
      <c r="B24" s="171"/>
      <c r="C24" s="65" t="str">
        <f>'LINHA - 1D'!C24</f>
        <v>Bottom Plate Amassado</v>
      </c>
      <c r="D24" s="142"/>
      <c r="E24" s="86"/>
      <c r="F24" s="86"/>
      <c r="G24" s="73"/>
      <c r="H24" s="73"/>
      <c r="I24" s="73"/>
      <c r="J24" s="73"/>
      <c r="K24" s="73"/>
      <c r="L24" s="73"/>
      <c r="M24" s="76"/>
      <c r="N24" s="76"/>
      <c r="O24" s="76"/>
      <c r="P24" s="76"/>
      <c r="Q24" s="76"/>
      <c r="R24" s="76"/>
      <c r="S24" s="76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23">
        <f t="shared" si="2"/>
        <v>0</v>
      </c>
      <c r="AI24" s="52">
        <f>AF24+'LINHA - 1D'!AF24</f>
        <v>0</v>
      </c>
    </row>
    <row r="25" spans="1:35" ht="21" customHeight="1">
      <c r="A25" s="39">
        <v>13</v>
      </c>
      <c r="B25" s="171"/>
      <c r="C25" s="44" t="str">
        <f>'LINHA - 1D'!C25</f>
        <v>Sem Arruela</v>
      </c>
      <c r="D25" s="101"/>
      <c r="E25" s="88"/>
      <c r="F25" s="88"/>
      <c r="G25" s="75"/>
      <c r="H25" s="75"/>
      <c r="I25" s="75"/>
      <c r="J25" s="75"/>
      <c r="K25" s="75"/>
      <c r="L25" s="75"/>
      <c r="M25" s="77"/>
      <c r="N25" s="77"/>
      <c r="O25" s="77"/>
      <c r="P25" s="77"/>
      <c r="Q25" s="77"/>
      <c r="R25" s="77"/>
      <c r="S25" s="77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11">
        <f t="shared" si="2"/>
        <v>0</v>
      </c>
      <c r="AI25" s="52">
        <f>AF25+'LINHA - 1D'!AF25</f>
        <v>0</v>
      </c>
    </row>
    <row r="26" spans="1:35" ht="21" customHeight="1">
      <c r="A26" s="39">
        <v>14</v>
      </c>
      <c r="B26" s="171"/>
      <c r="C26" s="44" t="str">
        <f>'LINHA - 1D'!C26</f>
        <v>Sem Arruela / Sem Bottom Plate</v>
      </c>
      <c r="D26" s="101"/>
      <c r="E26" s="88"/>
      <c r="F26" s="88"/>
      <c r="G26" s="75"/>
      <c r="H26" s="75"/>
      <c r="I26" s="75"/>
      <c r="J26" s="75"/>
      <c r="K26" s="75"/>
      <c r="L26" s="75"/>
      <c r="M26" s="77"/>
      <c r="N26" s="77"/>
      <c r="O26" s="77"/>
      <c r="P26" s="77"/>
      <c r="Q26" s="77"/>
      <c r="R26" s="77"/>
      <c r="S26" s="77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11">
        <f t="shared" si="2"/>
        <v>0</v>
      </c>
      <c r="AI26" s="52">
        <f>AF26+'LINHA - 1D'!AF26</f>
        <v>0</v>
      </c>
    </row>
    <row r="27" spans="1:35" ht="21" customHeight="1">
      <c r="A27" s="39">
        <v>15</v>
      </c>
      <c r="B27" s="171"/>
      <c r="C27" s="44" t="str">
        <f>'LINHA - 1D'!C27</f>
        <v>Fundo Amassado</v>
      </c>
      <c r="D27" s="101"/>
      <c r="E27" s="88"/>
      <c r="F27" s="88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11">
        <f t="shared" si="2"/>
        <v>0</v>
      </c>
      <c r="AI27" s="52">
        <f>AF27+'LINHA - 1D'!AF27</f>
        <v>0</v>
      </c>
    </row>
    <row r="28" spans="1:35" ht="21" customHeight="1">
      <c r="A28" s="39">
        <v>16</v>
      </c>
      <c r="B28" s="171"/>
      <c r="C28" s="44" t="str">
        <f>'LINHA - 1D'!C28</f>
        <v>Fundo Sujo</v>
      </c>
      <c r="D28" s="101"/>
      <c r="E28" s="88"/>
      <c r="F28" s="88"/>
      <c r="G28" s="75"/>
      <c r="H28" s="75"/>
      <c r="I28" s="75"/>
      <c r="J28" s="75"/>
      <c r="K28" s="75"/>
      <c r="L28" s="75"/>
      <c r="M28" s="73"/>
      <c r="N28" s="73"/>
      <c r="O28" s="73"/>
      <c r="P28" s="73"/>
      <c r="Q28" s="73"/>
      <c r="R28" s="73"/>
      <c r="S28" s="73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11">
        <f t="shared" si="2"/>
        <v>0</v>
      </c>
      <c r="AI28" s="52">
        <f>AF28+'LINHA - 1D'!AF28</f>
        <v>0</v>
      </c>
    </row>
    <row r="29" spans="1:35" ht="21" customHeight="1" thickBot="1">
      <c r="A29" s="46">
        <v>17</v>
      </c>
      <c r="B29" s="172"/>
      <c r="C29" s="47" t="str">
        <f>'LINHA - 1D'!C29</f>
        <v>Outros</v>
      </c>
      <c r="D29" s="141"/>
      <c r="E29" s="92"/>
      <c r="F29" s="92"/>
      <c r="G29" s="78"/>
      <c r="H29" s="78"/>
      <c r="I29" s="78"/>
      <c r="J29" s="78"/>
      <c r="K29" s="78"/>
      <c r="L29" s="78"/>
      <c r="M29" s="79"/>
      <c r="N29" s="79"/>
      <c r="O29" s="79"/>
      <c r="P29" s="79"/>
      <c r="Q29" s="79"/>
      <c r="R29" s="79"/>
      <c r="S29" s="79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8">
        <f t="shared" si="2"/>
        <v>0</v>
      </c>
      <c r="AI29" s="52">
        <f>AF29+'LINHA - 1D'!AF29</f>
        <v>0</v>
      </c>
    </row>
    <row r="30" spans="1:35" ht="21" customHeight="1">
      <c r="A30" s="155" t="s">
        <v>2</v>
      </c>
      <c r="B30" s="156"/>
      <c r="C30" s="157"/>
      <c r="D30" s="81">
        <f>SUM(D13:D29)</f>
        <v>0</v>
      </c>
      <c r="E30" s="81">
        <f t="shared" ref="E30:AE30" si="3">SUM(E13:E29)</f>
        <v>0</v>
      </c>
      <c r="F30" s="81">
        <f t="shared" si="3"/>
        <v>0</v>
      </c>
      <c r="G30" s="81">
        <f t="shared" si="3"/>
        <v>0</v>
      </c>
      <c r="H30" s="81">
        <f t="shared" si="3"/>
        <v>0</v>
      </c>
      <c r="I30" s="81">
        <f t="shared" si="3"/>
        <v>0</v>
      </c>
      <c r="J30" s="81">
        <f t="shared" si="3"/>
        <v>0</v>
      </c>
      <c r="K30" s="81">
        <f t="shared" si="3"/>
        <v>0</v>
      </c>
      <c r="L30" s="81">
        <f t="shared" si="3"/>
        <v>0</v>
      </c>
      <c r="M30" s="81">
        <f t="shared" si="3"/>
        <v>0</v>
      </c>
      <c r="N30" s="81">
        <f t="shared" si="3"/>
        <v>0</v>
      </c>
      <c r="O30" s="81">
        <f t="shared" si="3"/>
        <v>0</v>
      </c>
      <c r="P30" s="81">
        <f t="shared" si="3"/>
        <v>0</v>
      </c>
      <c r="Q30" s="81">
        <f t="shared" si="3"/>
        <v>0</v>
      </c>
      <c r="R30" s="81">
        <f t="shared" si="3"/>
        <v>0</v>
      </c>
      <c r="S30" s="81">
        <f t="shared" si="3"/>
        <v>0</v>
      </c>
      <c r="T30" s="81">
        <f t="shared" si="3"/>
        <v>0</v>
      </c>
      <c r="U30" s="81">
        <f t="shared" si="3"/>
        <v>0</v>
      </c>
      <c r="V30" s="81">
        <f t="shared" si="3"/>
        <v>0</v>
      </c>
      <c r="W30" s="81">
        <f t="shared" si="3"/>
        <v>0</v>
      </c>
      <c r="X30" s="81">
        <f t="shared" si="3"/>
        <v>0</v>
      </c>
      <c r="Y30" s="81">
        <f t="shared" si="3"/>
        <v>0</v>
      </c>
      <c r="Z30" s="81">
        <f t="shared" si="3"/>
        <v>0</v>
      </c>
      <c r="AA30" s="81">
        <f t="shared" si="3"/>
        <v>0</v>
      </c>
      <c r="AB30" s="81">
        <f t="shared" si="3"/>
        <v>0</v>
      </c>
      <c r="AC30" s="81">
        <f t="shared" si="3"/>
        <v>0</v>
      </c>
      <c r="AD30" s="81">
        <f t="shared" si="3"/>
        <v>0</v>
      </c>
      <c r="AE30" s="81">
        <f t="shared" si="3"/>
        <v>0</v>
      </c>
      <c r="AF30" s="41">
        <f>SUM(AF13:AF29)</f>
        <v>0</v>
      </c>
      <c r="AI30" s="52">
        <f>AF30+'LINHA - 1D'!AF30</f>
        <v>0</v>
      </c>
    </row>
    <row r="31" spans="1:35" ht="21" customHeight="1" thickBot="1">
      <c r="A31" s="161" t="s">
        <v>12</v>
      </c>
      <c r="B31" s="162"/>
      <c r="C31" s="163"/>
      <c r="D31" s="83" t="str">
        <f>IF(D4&gt;0,D30/D4*1000000," ")</f>
        <v xml:space="preserve"> </v>
      </c>
      <c r="E31" s="83" t="str">
        <f t="shared" ref="E31:AE31" si="4">IF(E4&gt;0,E30/E4*1000000," ")</f>
        <v xml:space="preserve"> </v>
      </c>
      <c r="F31" s="83" t="str">
        <f t="shared" si="4"/>
        <v xml:space="preserve"> </v>
      </c>
      <c r="G31" s="83" t="str">
        <f t="shared" si="4"/>
        <v xml:space="preserve"> </v>
      </c>
      <c r="H31" s="83" t="str">
        <f t="shared" si="4"/>
        <v xml:space="preserve"> </v>
      </c>
      <c r="I31" s="83" t="str">
        <f t="shared" si="4"/>
        <v xml:space="preserve"> </v>
      </c>
      <c r="J31" s="83" t="str">
        <f t="shared" si="4"/>
        <v xml:space="preserve"> </v>
      </c>
      <c r="K31" s="83" t="str">
        <f t="shared" si="4"/>
        <v xml:space="preserve"> </v>
      </c>
      <c r="L31" s="83" t="str">
        <f t="shared" si="4"/>
        <v xml:space="preserve"> </v>
      </c>
      <c r="M31" s="83" t="str">
        <f t="shared" si="4"/>
        <v xml:space="preserve"> </v>
      </c>
      <c r="N31" s="83" t="str">
        <f t="shared" si="4"/>
        <v xml:space="preserve"> </v>
      </c>
      <c r="O31" s="83" t="str">
        <f t="shared" si="4"/>
        <v xml:space="preserve"> </v>
      </c>
      <c r="P31" s="83" t="str">
        <f t="shared" si="4"/>
        <v xml:space="preserve"> </v>
      </c>
      <c r="Q31" s="83" t="str">
        <f t="shared" si="4"/>
        <v xml:space="preserve"> </v>
      </c>
      <c r="R31" s="83" t="str">
        <f t="shared" si="4"/>
        <v xml:space="preserve"> </v>
      </c>
      <c r="S31" s="83" t="str">
        <f t="shared" si="4"/>
        <v xml:space="preserve"> </v>
      </c>
      <c r="T31" s="83" t="str">
        <f t="shared" si="4"/>
        <v xml:space="preserve"> </v>
      </c>
      <c r="U31" s="83" t="str">
        <f t="shared" si="4"/>
        <v xml:space="preserve"> </v>
      </c>
      <c r="V31" s="83" t="str">
        <f t="shared" si="4"/>
        <v xml:space="preserve"> </v>
      </c>
      <c r="W31" s="83" t="str">
        <f t="shared" si="4"/>
        <v xml:space="preserve"> </v>
      </c>
      <c r="X31" s="83" t="str">
        <f t="shared" si="4"/>
        <v xml:space="preserve"> </v>
      </c>
      <c r="Y31" s="83" t="str">
        <f t="shared" si="4"/>
        <v xml:space="preserve"> </v>
      </c>
      <c r="Z31" s="83" t="str">
        <f t="shared" si="4"/>
        <v xml:space="preserve"> </v>
      </c>
      <c r="AA31" s="83" t="str">
        <f t="shared" si="4"/>
        <v xml:space="preserve"> </v>
      </c>
      <c r="AB31" s="83" t="str">
        <f t="shared" si="4"/>
        <v xml:space="preserve"> </v>
      </c>
      <c r="AC31" s="83" t="str">
        <f t="shared" si="4"/>
        <v xml:space="preserve"> </v>
      </c>
      <c r="AD31" s="83" t="str">
        <f t="shared" si="4"/>
        <v xml:space="preserve"> </v>
      </c>
      <c r="AE31" s="83" t="str">
        <f t="shared" si="4"/>
        <v xml:space="preserve"> </v>
      </c>
      <c r="AF31" s="84" t="str">
        <f t="shared" ref="AF31" si="5">IF(AF4&gt;0,AF30/AF4*1000000," ")</f>
        <v xml:space="preserve"> </v>
      </c>
      <c r="AI31" s="151" t="str">
        <f t="shared" ref="AI31" si="6">IF(AI4&gt;0,AI30/AI4*1000000," ")</f>
        <v xml:space="preserve"> </v>
      </c>
    </row>
    <row r="32" spans="1:35" ht="21" customHeight="1">
      <c r="A32" s="155" t="str">
        <f>'LINHA - 1D'!A32:C32</f>
        <v>Visto Supervisor</v>
      </c>
      <c r="B32" s="156"/>
      <c r="C32" s="157"/>
      <c r="D32" s="120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6"/>
    </row>
    <row r="33" spans="1:32" ht="21" customHeight="1" thickBot="1">
      <c r="A33" s="158" t="s">
        <v>58</v>
      </c>
      <c r="B33" s="159"/>
      <c r="C33" s="160"/>
      <c r="D33" s="121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7"/>
    </row>
    <row r="34" spans="1:32" ht="21" customHeight="1">
      <c r="A34" s="48" t="s">
        <v>8</v>
      </c>
      <c r="B34" s="49"/>
      <c r="C34" s="49"/>
      <c r="D34" s="49"/>
      <c r="E34" s="49"/>
      <c r="F34" s="49"/>
      <c r="G34" s="49"/>
      <c r="J34" s="9"/>
      <c r="K34" s="103" t="s">
        <v>10</v>
      </c>
      <c r="L34" s="49"/>
      <c r="M34" s="49"/>
      <c r="N34" s="49"/>
      <c r="O34" s="49"/>
      <c r="P34" s="49"/>
      <c r="Q34" s="49"/>
      <c r="R34" s="49"/>
      <c r="S34" s="49"/>
      <c r="T34" s="49"/>
      <c r="U34" s="107"/>
      <c r="V34" s="103" t="s">
        <v>11</v>
      </c>
      <c r="W34" s="104"/>
      <c r="X34" s="104"/>
      <c r="Y34" s="104"/>
      <c r="Z34" s="49"/>
      <c r="AA34" s="49"/>
      <c r="AB34" s="49"/>
      <c r="AC34" s="49"/>
      <c r="AD34" s="49"/>
      <c r="AE34" s="105"/>
      <c r="AF34" s="106"/>
    </row>
    <row r="35" spans="1:32" s="18" customFormat="1" ht="21" customHeight="1" thickBot="1">
      <c r="A35" s="13" t="s">
        <v>9</v>
      </c>
      <c r="B35" s="14"/>
      <c r="C35" s="14"/>
      <c r="D35" s="14"/>
      <c r="E35" s="14"/>
      <c r="F35" s="14"/>
      <c r="G35" s="14"/>
      <c r="H35" s="36"/>
      <c r="I35" s="36"/>
      <c r="J35" s="37"/>
      <c r="K35" s="13" t="s">
        <v>9</v>
      </c>
      <c r="L35" s="14"/>
      <c r="M35" s="14"/>
      <c r="N35" s="14"/>
      <c r="O35" s="14"/>
      <c r="P35" s="14"/>
      <c r="Q35" s="14"/>
      <c r="R35" s="14"/>
      <c r="S35" s="14"/>
      <c r="T35" s="14"/>
      <c r="U35" s="15"/>
      <c r="V35" s="13" t="s">
        <v>9</v>
      </c>
      <c r="W35" s="14"/>
      <c r="X35" s="14"/>
      <c r="Y35" s="14"/>
      <c r="Z35" s="14"/>
      <c r="AA35" s="14"/>
      <c r="AB35" s="14"/>
      <c r="AC35" s="16"/>
      <c r="AD35" s="17"/>
      <c r="AE35" s="16"/>
      <c r="AF35" s="15"/>
    </row>
    <row r="36" spans="1:32">
      <c r="C36" t="s">
        <v>4</v>
      </c>
      <c r="D36" s="19">
        <f>TARGET_L1</f>
        <v>420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</row>
    <row r="37" spans="1:32" ht="13.5" thickBot="1"/>
    <row r="38" spans="1:32">
      <c r="C38" s="12" t="s">
        <v>6</v>
      </c>
      <c r="D38" s="149"/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</row>
    <row r="39" spans="1:32" ht="170.1" customHeight="1">
      <c r="C39" s="20" t="s">
        <v>7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6"/>
      <c r="U39" s="54"/>
      <c r="V39" s="5"/>
      <c r="W39" s="5"/>
      <c r="X39" s="5"/>
      <c r="Y39" s="5"/>
      <c r="Z39" s="6"/>
      <c r="AA39" s="6"/>
      <c r="AB39" s="5"/>
      <c r="AC39" s="5"/>
      <c r="AD39" s="5"/>
      <c r="AE39" s="5"/>
    </row>
    <row r="42" spans="1:32">
      <c r="A42" t="s">
        <v>34</v>
      </c>
      <c r="B42" t="s">
        <v>35</v>
      </c>
    </row>
    <row r="43" spans="1:32">
      <c r="B43" t="s">
        <v>36</v>
      </c>
    </row>
  </sheetData>
  <sheetProtection selectLockedCells="1"/>
  <mergeCells count="38">
    <mergeCell ref="AD1:AE1"/>
    <mergeCell ref="AC5:AC12"/>
    <mergeCell ref="O5:O12"/>
    <mergeCell ref="P5:P12"/>
    <mergeCell ref="Q5:Q12"/>
    <mergeCell ref="AD5:AD12"/>
    <mergeCell ref="X5:X12"/>
    <mergeCell ref="Y5:Y12"/>
    <mergeCell ref="A2:C2"/>
    <mergeCell ref="A3:C3"/>
    <mergeCell ref="A4:C4"/>
    <mergeCell ref="D5:D12"/>
    <mergeCell ref="E5:E12"/>
    <mergeCell ref="C6:C12"/>
    <mergeCell ref="A32:C32"/>
    <mergeCell ref="A33:C33"/>
    <mergeCell ref="AE5:AE12"/>
    <mergeCell ref="R5:R12"/>
    <mergeCell ref="L5:L12"/>
    <mergeCell ref="M5:M12"/>
    <mergeCell ref="A30:C30"/>
    <mergeCell ref="A31:C31"/>
    <mergeCell ref="T5:T12"/>
    <mergeCell ref="B18:B29"/>
    <mergeCell ref="G5:G12"/>
    <mergeCell ref="H5:H12"/>
    <mergeCell ref="I5:I12"/>
    <mergeCell ref="U5:U12"/>
    <mergeCell ref="J5:J12"/>
    <mergeCell ref="K5:K12"/>
    <mergeCell ref="B13:B17"/>
    <mergeCell ref="V5:V12"/>
    <mergeCell ref="W5:W12"/>
    <mergeCell ref="Z5:Z12"/>
    <mergeCell ref="AB5:AB12"/>
    <mergeCell ref="N5:N12"/>
    <mergeCell ref="S5:S12"/>
    <mergeCell ref="F5:F12"/>
  </mergeCells>
  <conditionalFormatting sqref="AF30">
    <cfRule type="cellIs" dxfId="3" priority="3" stopIfTrue="1" operator="notEqual">
      <formula>SUM($D$13:$AE$29)</formula>
    </cfRule>
  </conditionalFormatting>
  <conditionalFormatting sqref="AF4">
    <cfRule type="expression" dxfId="2" priority="1">
      <formula>$AF$4&lt;&gt;$AH$4</formula>
    </cfRule>
  </conditionalFormatting>
  <dataValidations count="1">
    <dataValidation type="date" allowBlank="1" showInputMessage="1" showErrorMessage="1" promptTitle="Data:" prompt="Favor digitar uma data válida contendo pelo menos dia/mês." sqref="D2:AE2" xr:uid="{00000000-0002-0000-03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61" orientation="landscape" r:id="rId1"/>
  <headerFooter alignWithMargins="0">
    <oddFooter>&amp;RSJCPIL-R 16-317-03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7">
    <tabColor theme="8" tint="-0.249977111117893"/>
    <pageSetUpPr fitToPage="1"/>
  </sheetPr>
  <dimension ref="A1:AI39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31" width="6.7109375" customWidth="1"/>
    <col min="32" max="32" width="11.42578125" customWidth="1"/>
    <col min="33" max="33" width="1.140625" customWidth="1"/>
  </cols>
  <sheetData>
    <row r="1" spans="1:35" ht="32.25" customHeight="1" thickBot="1">
      <c r="E1" s="24" t="s">
        <v>42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7" t="s">
        <v>25</v>
      </c>
      <c r="Z1" s="7"/>
      <c r="AA1" s="7" t="s">
        <v>24</v>
      </c>
      <c r="AD1" s="176" t="s">
        <v>66</v>
      </c>
      <c r="AE1" s="181"/>
      <c r="AF1" s="145" t="str">
        <f ca="1">'LINHA - 1D'!AF1</f>
        <v>03 / 2022</v>
      </c>
    </row>
    <row r="2" spans="1:35" ht="21" customHeight="1">
      <c r="A2" s="164" t="s">
        <v>9</v>
      </c>
      <c r="B2" s="165"/>
      <c r="C2" s="165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44"/>
    </row>
    <row r="3" spans="1:35" ht="21" customHeight="1">
      <c r="A3" s="166" t="s">
        <v>0</v>
      </c>
      <c r="B3" s="167"/>
      <c r="C3" s="167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68"/>
      <c r="AB3" s="1"/>
      <c r="AC3" s="21"/>
      <c r="AD3" s="21"/>
      <c r="AE3" s="21"/>
      <c r="AF3" s="25"/>
    </row>
    <row r="4" spans="1:35" ht="21" customHeight="1" thickBot="1">
      <c r="A4" s="168" t="s">
        <v>1</v>
      </c>
      <c r="B4" s="169"/>
      <c r="C4" s="169"/>
      <c r="D4" s="143"/>
      <c r="E4" s="143"/>
      <c r="F4" s="143"/>
      <c r="G4" s="143"/>
      <c r="H4" s="143"/>
      <c r="I4" s="143"/>
      <c r="J4" s="143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70"/>
      <c r="Y4" s="69"/>
      <c r="Z4" s="69"/>
      <c r="AA4" s="69"/>
      <c r="AB4" s="69"/>
      <c r="AC4" s="71"/>
      <c r="AD4" s="71"/>
      <c r="AE4" s="71"/>
      <c r="AF4" s="27">
        <f>SUM(C4:AE4)</f>
        <v>0</v>
      </c>
      <c r="AH4" s="125" cm="1">
        <f t="array" ref="AH4">[1]!PROD_L2N</f>
        <v>0</v>
      </c>
      <c r="AI4">
        <f>PROD_L2N+PROD_L2D</f>
        <v>0</v>
      </c>
    </row>
    <row r="5" spans="1:35" ht="30" customHeight="1">
      <c r="A5" s="28"/>
      <c r="B5" s="29"/>
      <c r="C5" s="30" t="s">
        <v>12</v>
      </c>
      <c r="D5" s="152">
        <f>D39</f>
        <v>0</v>
      </c>
      <c r="E5" s="152">
        <f t="shared" ref="E5:AE5" si="0">E39</f>
        <v>0</v>
      </c>
      <c r="F5" s="152">
        <f t="shared" si="0"/>
        <v>0</v>
      </c>
      <c r="G5" s="152">
        <f t="shared" ref="G5" si="1">G39</f>
        <v>0</v>
      </c>
      <c r="H5" s="152">
        <f t="shared" si="0"/>
        <v>0</v>
      </c>
      <c r="I5" s="152">
        <f t="shared" si="0"/>
        <v>0</v>
      </c>
      <c r="J5" s="152">
        <f t="shared" si="0"/>
        <v>0</v>
      </c>
      <c r="K5" s="152">
        <f t="shared" si="0"/>
        <v>0</v>
      </c>
      <c r="L5" s="152">
        <f t="shared" si="0"/>
        <v>0</v>
      </c>
      <c r="M5" s="152">
        <f t="shared" ref="M5:S5" si="2">M39</f>
        <v>0</v>
      </c>
      <c r="N5" s="152">
        <f t="shared" si="2"/>
        <v>0</v>
      </c>
      <c r="O5" s="152">
        <f t="shared" si="2"/>
        <v>0</v>
      </c>
      <c r="P5" s="152">
        <f t="shared" si="2"/>
        <v>0</v>
      </c>
      <c r="Q5" s="152">
        <f t="shared" si="2"/>
        <v>0</v>
      </c>
      <c r="R5" s="152">
        <f t="shared" si="2"/>
        <v>0</v>
      </c>
      <c r="S5" s="152">
        <f t="shared" si="2"/>
        <v>0</v>
      </c>
      <c r="T5" s="152">
        <f t="shared" ref="T5:U5" si="3">T39</f>
        <v>0</v>
      </c>
      <c r="U5" s="152">
        <f t="shared" si="3"/>
        <v>0</v>
      </c>
      <c r="V5" s="152">
        <f t="shared" si="0"/>
        <v>0</v>
      </c>
      <c r="W5" s="152">
        <f t="shared" si="0"/>
        <v>0</v>
      </c>
      <c r="X5" s="152">
        <f t="shared" si="0"/>
        <v>0</v>
      </c>
      <c r="Y5" s="152">
        <f t="shared" si="0"/>
        <v>0</v>
      </c>
      <c r="Z5" s="152">
        <f t="shared" si="0"/>
        <v>0</v>
      </c>
      <c r="AA5" s="152">
        <f t="shared" si="0"/>
        <v>0</v>
      </c>
      <c r="AB5" s="152">
        <f t="shared" si="0"/>
        <v>0</v>
      </c>
      <c r="AC5" s="152">
        <f t="shared" si="0"/>
        <v>0</v>
      </c>
      <c r="AD5" s="152">
        <f t="shared" si="0"/>
        <v>0</v>
      </c>
      <c r="AE5" s="152">
        <f t="shared" si="0"/>
        <v>0</v>
      </c>
      <c r="AF5" s="31"/>
    </row>
    <row r="6" spans="1:35" ht="30" customHeight="1">
      <c r="A6" s="32"/>
      <c r="C6" s="173" t="s">
        <v>43</v>
      </c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9"/>
    </row>
    <row r="7" spans="1:35" ht="30" customHeight="1">
      <c r="A7" s="32"/>
      <c r="C7" s="174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9"/>
    </row>
    <row r="8" spans="1:35" ht="30" customHeight="1">
      <c r="A8" s="32"/>
      <c r="C8" s="174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9"/>
    </row>
    <row r="9" spans="1:35" ht="30" customHeight="1">
      <c r="A9" s="32"/>
      <c r="C9" s="174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9"/>
    </row>
    <row r="10" spans="1:35" ht="30" customHeight="1">
      <c r="A10" s="32"/>
      <c r="C10" s="174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9"/>
    </row>
    <row r="11" spans="1:35" ht="30" customHeight="1">
      <c r="A11" s="32"/>
      <c r="C11" s="174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9"/>
    </row>
    <row r="12" spans="1:35" ht="30" customHeight="1" thickBot="1">
      <c r="A12" s="33"/>
      <c r="B12" s="34"/>
      <c r="C12" s="175"/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F12" s="35"/>
    </row>
    <row r="13" spans="1:35" ht="21" customHeight="1">
      <c r="A13" s="38">
        <v>1</v>
      </c>
      <c r="B13" s="170" t="s">
        <v>13</v>
      </c>
      <c r="C13" s="43" t="str">
        <f>'LINHA - 1D'!C13</f>
        <v>Chapa Riscada</v>
      </c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10">
        <f t="shared" ref="AF13:AF29" si="4">SUM(C13:AE13)</f>
        <v>0</v>
      </c>
      <c r="AI13" s="52">
        <f>AF13+'LINHA - 2D'!AF13</f>
        <v>0</v>
      </c>
    </row>
    <row r="14" spans="1:35" ht="21" customHeight="1">
      <c r="A14" s="39">
        <v>2</v>
      </c>
      <c r="B14" s="171"/>
      <c r="C14" s="44" t="s">
        <v>15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23">
        <f t="shared" si="4"/>
        <v>0</v>
      </c>
      <c r="AI14" s="52">
        <f>AF14+'LINHA - 2D'!AF14</f>
        <v>0</v>
      </c>
    </row>
    <row r="15" spans="1:35" ht="21" customHeight="1">
      <c r="A15" s="39">
        <v>3</v>
      </c>
      <c r="B15" s="171"/>
      <c r="C15" s="44" t="s">
        <v>16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23">
        <f t="shared" si="4"/>
        <v>0</v>
      </c>
      <c r="AI15" s="52">
        <f>AF15+'LINHA - 2D'!AF15</f>
        <v>0</v>
      </c>
    </row>
    <row r="16" spans="1:35" ht="21" customHeight="1">
      <c r="A16" s="39">
        <v>4</v>
      </c>
      <c r="B16" s="171"/>
      <c r="C16" s="44" t="s">
        <v>17</v>
      </c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23">
        <f t="shared" si="4"/>
        <v>0</v>
      </c>
      <c r="AI16" s="52">
        <f>AF16+'LINHA - 2D'!AF16</f>
        <v>0</v>
      </c>
    </row>
    <row r="17" spans="1:35" ht="21" customHeight="1" thickBot="1">
      <c r="A17" s="39">
        <v>5</v>
      </c>
      <c r="B17" s="172"/>
      <c r="C17" s="45" t="s">
        <v>18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40">
        <f t="shared" si="4"/>
        <v>0</v>
      </c>
      <c r="AI17" s="52">
        <f>AF17+'LINHA - 2D'!AF17</f>
        <v>0</v>
      </c>
    </row>
    <row r="18" spans="1:35" ht="21" customHeight="1">
      <c r="A18" s="39">
        <v>6</v>
      </c>
      <c r="B18" s="170" t="s">
        <v>19</v>
      </c>
      <c r="C18" s="43" t="s">
        <v>22</v>
      </c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10">
        <f t="shared" si="4"/>
        <v>0</v>
      </c>
      <c r="AI18" s="52">
        <f>AF18+'LINHA - 2D'!AF18</f>
        <v>0</v>
      </c>
    </row>
    <row r="19" spans="1:35" ht="21" customHeight="1">
      <c r="A19" s="39">
        <v>7</v>
      </c>
      <c r="B19" s="171"/>
      <c r="C19" s="44" t="s">
        <v>48</v>
      </c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23">
        <f t="shared" si="4"/>
        <v>0</v>
      </c>
      <c r="AI19" s="52">
        <f>AF19+'LINHA - 2D'!AF19</f>
        <v>0</v>
      </c>
    </row>
    <row r="20" spans="1:35" ht="21" customHeight="1">
      <c r="A20" s="39">
        <v>8</v>
      </c>
      <c r="B20" s="171"/>
      <c r="C20" s="44" t="s">
        <v>49</v>
      </c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23">
        <f t="shared" si="4"/>
        <v>0</v>
      </c>
      <c r="AI20" s="52">
        <f>AF20+'LINHA - 2D'!AF20</f>
        <v>0</v>
      </c>
    </row>
    <row r="21" spans="1:35" ht="21" customHeight="1">
      <c r="A21" s="39">
        <v>9</v>
      </c>
      <c r="B21" s="171"/>
      <c r="C21" s="44" t="s">
        <v>53</v>
      </c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11">
        <f t="shared" si="4"/>
        <v>0</v>
      </c>
      <c r="AI21" s="52">
        <f>AF21+'LINHA - 2D'!AF21</f>
        <v>0</v>
      </c>
    </row>
    <row r="22" spans="1:35" ht="21" customHeight="1">
      <c r="A22" s="39">
        <v>10</v>
      </c>
      <c r="B22" s="171"/>
      <c r="C22" s="44" t="s">
        <v>47</v>
      </c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11">
        <f t="shared" si="4"/>
        <v>0</v>
      </c>
      <c r="AI22" s="52">
        <f>AF22+'LINHA - 2D'!AF22</f>
        <v>0</v>
      </c>
    </row>
    <row r="23" spans="1:35" ht="21" customHeight="1" thickBot="1">
      <c r="A23" s="42">
        <v>11</v>
      </c>
      <c r="B23" s="171"/>
      <c r="C23" s="44" t="s">
        <v>54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11">
        <f t="shared" si="4"/>
        <v>0</v>
      </c>
      <c r="AI23" s="52">
        <f>AF23+'LINHA - 2D'!AF23</f>
        <v>0</v>
      </c>
    </row>
    <row r="24" spans="1:35" ht="21" customHeight="1">
      <c r="A24" s="38">
        <v>12</v>
      </c>
      <c r="B24" s="171"/>
      <c r="C24" s="65" t="s">
        <v>55</v>
      </c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9"/>
      <c r="O24" s="89"/>
      <c r="P24" s="89"/>
      <c r="Q24" s="89"/>
      <c r="R24" s="89"/>
      <c r="S24" s="89"/>
      <c r="T24" s="89"/>
      <c r="U24" s="89"/>
      <c r="V24" s="89"/>
      <c r="W24" s="86"/>
      <c r="X24" s="86"/>
      <c r="Y24" s="86"/>
      <c r="Z24" s="86"/>
      <c r="AA24" s="86"/>
      <c r="AB24" s="86"/>
      <c r="AC24" s="86"/>
      <c r="AD24" s="86"/>
      <c r="AE24" s="86"/>
      <c r="AF24" s="23">
        <f t="shared" si="4"/>
        <v>0</v>
      </c>
      <c r="AI24" s="52">
        <f>AF24+'LINHA - 2D'!AF24</f>
        <v>0</v>
      </c>
    </row>
    <row r="25" spans="1:35" ht="21" customHeight="1">
      <c r="A25" s="39">
        <v>13</v>
      </c>
      <c r="B25" s="171"/>
      <c r="C25" s="44" t="s">
        <v>20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90"/>
      <c r="O25" s="90"/>
      <c r="P25" s="90"/>
      <c r="Q25" s="90"/>
      <c r="R25" s="90"/>
      <c r="S25" s="90"/>
      <c r="T25" s="90"/>
      <c r="U25" s="90"/>
      <c r="V25" s="90"/>
      <c r="W25" s="88"/>
      <c r="X25" s="88"/>
      <c r="Y25" s="88"/>
      <c r="Z25" s="88"/>
      <c r="AA25" s="88"/>
      <c r="AB25" s="88"/>
      <c r="AC25" s="88"/>
      <c r="AD25" s="88"/>
      <c r="AE25" s="88"/>
      <c r="AF25" s="11">
        <f t="shared" si="4"/>
        <v>0</v>
      </c>
      <c r="AI25" s="52">
        <f>AF25+'LINHA - 2D'!AF25</f>
        <v>0</v>
      </c>
    </row>
    <row r="26" spans="1:35" ht="21" customHeight="1">
      <c r="A26" s="39">
        <v>14</v>
      </c>
      <c r="B26" s="171"/>
      <c r="C26" s="44" t="s">
        <v>56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90"/>
      <c r="O26" s="90"/>
      <c r="P26" s="90"/>
      <c r="Q26" s="90"/>
      <c r="R26" s="90"/>
      <c r="S26" s="90"/>
      <c r="T26" s="90"/>
      <c r="U26" s="90"/>
      <c r="V26" s="90"/>
      <c r="W26" s="88"/>
      <c r="X26" s="88"/>
      <c r="Y26" s="88"/>
      <c r="Z26" s="88"/>
      <c r="AA26" s="88"/>
      <c r="AB26" s="88"/>
      <c r="AC26" s="88"/>
      <c r="AD26" s="88"/>
      <c r="AE26" s="88"/>
      <c r="AF26" s="11">
        <f t="shared" si="4"/>
        <v>0</v>
      </c>
      <c r="AI26" s="52">
        <f>AF26+'LINHA - 2D'!AF26</f>
        <v>0</v>
      </c>
    </row>
    <row r="27" spans="1:35" ht="21" customHeight="1">
      <c r="A27" s="39">
        <v>15</v>
      </c>
      <c r="B27" s="171"/>
      <c r="C27" s="44" t="s">
        <v>21</v>
      </c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91"/>
      <c r="O27" s="91"/>
      <c r="P27" s="91"/>
      <c r="Q27" s="91"/>
      <c r="R27" s="91"/>
      <c r="S27" s="91"/>
      <c r="T27" s="91"/>
      <c r="U27" s="91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11">
        <f t="shared" si="4"/>
        <v>0</v>
      </c>
      <c r="AI27" s="52">
        <f>AF27+'LINHA - 2D'!AF27</f>
        <v>0</v>
      </c>
    </row>
    <row r="28" spans="1:35" ht="21" customHeight="1">
      <c r="A28" s="39">
        <v>16</v>
      </c>
      <c r="B28" s="171"/>
      <c r="C28" s="44" t="s">
        <v>57</v>
      </c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6"/>
      <c r="O28" s="86"/>
      <c r="P28" s="86"/>
      <c r="Q28" s="86"/>
      <c r="R28" s="86"/>
      <c r="S28" s="86"/>
      <c r="T28" s="86"/>
      <c r="U28" s="86"/>
      <c r="V28" s="86"/>
      <c r="W28" s="88"/>
      <c r="X28" s="88"/>
      <c r="Y28" s="88"/>
      <c r="Z28" s="88"/>
      <c r="AA28" s="88"/>
      <c r="AB28" s="88"/>
      <c r="AC28" s="88"/>
      <c r="AD28" s="88"/>
      <c r="AE28" s="88"/>
      <c r="AF28" s="11">
        <f t="shared" si="4"/>
        <v>0</v>
      </c>
      <c r="AI28" s="52">
        <f>AF28+'LINHA - 2D'!AF28</f>
        <v>0</v>
      </c>
    </row>
    <row r="29" spans="1:35" ht="21" customHeight="1" thickBot="1">
      <c r="A29" s="46">
        <v>17</v>
      </c>
      <c r="B29" s="172"/>
      <c r="C29" s="47" t="s">
        <v>23</v>
      </c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3"/>
      <c r="O29" s="93"/>
      <c r="P29" s="93"/>
      <c r="Q29" s="93"/>
      <c r="R29" s="93"/>
      <c r="S29" s="93"/>
      <c r="T29" s="93"/>
      <c r="U29" s="93"/>
      <c r="V29" s="93"/>
      <c r="W29" s="92"/>
      <c r="X29" s="92"/>
      <c r="Y29" s="92"/>
      <c r="Z29" s="92"/>
      <c r="AA29" s="92"/>
      <c r="AB29" s="92"/>
      <c r="AC29" s="92"/>
      <c r="AD29" s="92"/>
      <c r="AE29" s="92"/>
      <c r="AF29" s="8">
        <f t="shared" si="4"/>
        <v>0</v>
      </c>
      <c r="AI29" s="52">
        <f>AF29+'LINHA - 2D'!AF29</f>
        <v>0</v>
      </c>
    </row>
    <row r="30" spans="1:35" ht="21" customHeight="1">
      <c r="A30" s="155" t="s">
        <v>2</v>
      </c>
      <c r="B30" s="157"/>
      <c r="C30" s="183"/>
      <c r="D30" s="94">
        <f t="shared" ref="D30" si="5">SUM(D13:D29)</f>
        <v>0</v>
      </c>
      <c r="E30" s="94">
        <f t="shared" ref="E30:AE30" si="6">SUM(E13:E29)</f>
        <v>0</v>
      </c>
      <c r="F30" s="94">
        <f t="shared" si="6"/>
        <v>0</v>
      </c>
      <c r="G30" s="94">
        <f t="shared" si="6"/>
        <v>0</v>
      </c>
      <c r="H30" s="94">
        <f t="shared" si="6"/>
        <v>0</v>
      </c>
      <c r="I30" s="94">
        <f t="shared" si="6"/>
        <v>0</v>
      </c>
      <c r="J30" s="94">
        <f t="shared" si="6"/>
        <v>0</v>
      </c>
      <c r="K30" s="94">
        <f t="shared" si="6"/>
        <v>0</v>
      </c>
      <c r="L30" s="94">
        <f t="shared" si="6"/>
        <v>0</v>
      </c>
      <c r="M30" s="94">
        <f t="shared" si="6"/>
        <v>0</v>
      </c>
      <c r="N30" s="94">
        <f t="shared" si="6"/>
        <v>0</v>
      </c>
      <c r="O30" s="94">
        <f t="shared" si="6"/>
        <v>0</v>
      </c>
      <c r="P30" s="94">
        <f t="shared" si="6"/>
        <v>0</v>
      </c>
      <c r="Q30" s="94">
        <f t="shared" si="6"/>
        <v>0</v>
      </c>
      <c r="R30" s="94">
        <f t="shared" si="6"/>
        <v>0</v>
      </c>
      <c r="S30" s="94">
        <f t="shared" si="6"/>
        <v>0</v>
      </c>
      <c r="T30" s="94">
        <f t="shared" si="6"/>
        <v>0</v>
      </c>
      <c r="U30" s="94">
        <f t="shared" si="6"/>
        <v>0</v>
      </c>
      <c r="V30" s="94">
        <f t="shared" si="6"/>
        <v>0</v>
      </c>
      <c r="W30" s="94">
        <f t="shared" si="6"/>
        <v>0</v>
      </c>
      <c r="X30" s="94">
        <f t="shared" si="6"/>
        <v>0</v>
      </c>
      <c r="Y30" s="94">
        <f t="shared" si="6"/>
        <v>0</v>
      </c>
      <c r="Z30" s="94">
        <f t="shared" si="6"/>
        <v>0</v>
      </c>
      <c r="AA30" s="94">
        <f t="shared" si="6"/>
        <v>0</v>
      </c>
      <c r="AB30" s="94">
        <f t="shared" si="6"/>
        <v>0</v>
      </c>
      <c r="AC30" s="94">
        <f t="shared" si="6"/>
        <v>0</v>
      </c>
      <c r="AD30" s="94">
        <f t="shared" si="6"/>
        <v>0</v>
      </c>
      <c r="AE30" s="94">
        <f t="shared" si="6"/>
        <v>0</v>
      </c>
      <c r="AF30" s="41">
        <f>SUM(D30:AE30)</f>
        <v>0</v>
      </c>
      <c r="AI30" s="52">
        <f>AF30+'LINHA - 2D'!AF30</f>
        <v>0</v>
      </c>
    </row>
    <row r="31" spans="1:35" ht="21" customHeight="1" thickBot="1">
      <c r="A31" s="161" t="s">
        <v>12</v>
      </c>
      <c r="B31" s="163"/>
      <c r="C31" s="182"/>
      <c r="D31" s="95" t="str">
        <f t="shared" ref="D31:AF31" si="7">IF(D4&gt;0,D30/D4*1000000," ")</f>
        <v xml:space="preserve"> </v>
      </c>
      <c r="E31" s="96" t="str">
        <f t="shared" ref="E31:AE31" si="8">IF(E4&gt;0,E30/E4*1000000," ")</f>
        <v xml:space="preserve"> </v>
      </c>
      <c r="F31" s="96" t="str">
        <f t="shared" si="8"/>
        <v xml:space="preserve"> </v>
      </c>
      <c r="G31" s="96" t="str">
        <f t="shared" si="8"/>
        <v xml:space="preserve"> </v>
      </c>
      <c r="H31" s="96" t="str">
        <f t="shared" si="8"/>
        <v xml:space="preserve"> </v>
      </c>
      <c r="I31" s="96" t="str">
        <f t="shared" si="8"/>
        <v xml:space="preserve"> </v>
      </c>
      <c r="J31" s="96" t="str">
        <f t="shared" si="8"/>
        <v xml:space="preserve"> </v>
      </c>
      <c r="K31" s="96" t="str">
        <f t="shared" si="8"/>
        <v xml:space="preserve"> </v>
      </c>
      <c r="L31" s="96" t="str">
        <f t="shared" si="8"/>
        <v xml:space="preserve"> </v>
      </c>
      <c r="M31" s="96" t="str">
        <f t="shared" si="8"/>
        <v xml:space="preserve"> </v>
      </c>
      <c r="N31" s="96" t="str">
        <f t="shared" si="8"/>
        <v xml:space="preserve"> </v>
      </c>
      <c r="O31" s="96" t="str">
        <f t="shared" si="8"/>
        <v xml:space="preserve"> </v>
      </c>
      <c r="P31" s="96" t="str">
        <f t="shared" si="8"/>
        <v xml:space="preserve"> </v>
      </c>
      <c r="Q31" s="96" t="str">
        <f t="shared" si="8"/>
        <v xml:space="preserve"> </v>
      </c>
      <c r="R31" s="96" t="str">
        <f t="shared" si="8"/>
        <v xml:space="preserve"> </v>
      </c>
      <c r="S31" s="96" t="str">
        <f t="shared" si="8"/>
        <v xml:space="preserve"> </v>
      </c>
      <c r="T31" s="96" t="str">
        <f t="shared" si="8"/>
        <v xml:space="preserve"> </v>
      </c>
      <c r="U31" s="96" t="str">
        <f t="shared" si="8"/>
        <v xml:space="preserve"> </v>
      </c>
      <c r="V31" s="96" t="str">
        <f t="shared" si="8"/>
        <v xml:space="preserve"> </v>
      </c>
      <c r="W31" s="96" t="str">
        <f t="shared" si="8"/>
        <v xml:space="preserve"> </v>
      </c>
      <c r="X31" s="96" t="str">
        <f t="shared" si="8"/>
        <v xml:space="preserve"> </v>
      </c>
      <c r="Y31" s="96" t="str">
        <f t="shared" si="8"/>
        <v xml:space="preserve"> </v>
      </c>
      <c r="Z31" s="96" t="str">
        <f t="shared" si="8"/>
        <v xml:space="preserve"> </v>
      </c>
      <c r="AA31" s="96" t="str">
        <f t="shared" si="8"/>
        <v xml:space="preserve"> </v>
      </c>
      <c r="AB31" s="96" t="str">
        <f t="shared" si="8"/>
        <v xml:space="preserve"> </v>
      </c>
      <c r="AC31" s="96" t="str">
        <f t="shared" si="8"/>
        <v xml:space="preserve"> </v>
      </c>
      <c r="AD31" s="96" t="str">
        <f t="shared" si="8"/>
        <v xml:space="preserve"> </v>
      </c>
      <c r="AE31" s="96" t="str">
        <f t="shared" si="8"/>
        <v xml:space="preserve"> </v>
      </c>
      <c r="AF31" s="22" t="str">
        <f t="shared" si="7"/>
        <v xml:space="preserve"> </v>
      </c>
    </row>
    <row r="32" spans="1:35" ht="21" customHeight="1">
      <c r="A32" s="155" t="str">
        <f>'LINHA - 1D'!A32:C32</f>
        <v>Visto Supervisor</v>
      </c>
      <c r="B32" s="156"/>
      <c r="C32" s="157"/>
      <c r="D32" s="118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09"/>
    </row>
    <row r="33" spans="1:32" ht="21" customHeight="1" thickBot="1">
      <c r="A33" s="158" t="s">
        <v>58</v>
      </c>
      <c r="B33" s="159"/>
      <c r="C33" s="160"/>
      <c r="D33" s="119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1"/>
    </row>
    <row r="34" spans="1:32" ht="21" customHeight="1">
      <c r="A34" s="48" t="s">
        <v>8</v>
      </c>
      <c r="B34" s="49"/>
      <c r="C34" s="49"/>
      <c r="D34" s="49"/>
      <c r="E34" s="49"/>
      <c r="F34" s="49"/>
      <c r="G34" s="49"/>
      <c r="J34" s="9"/>
      <c r="K34" s="103" t="s">
        <v>10</v>
      </c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107"/>
      <c r="Y34" s="103" t="s">
        <v>11</v>
      </c>
      <c r="Z34" s="104"/>
      <c r="AA34" s="49"/>
      <c r="AB34" s="49"/>
      <c r="AC34" s="49"/>
      <c r="AD34" s="49"/>
      <c r="AE34" s="105"/>
      <c r="AF34" s="106"/>
    </row>
    <row r="35" spans="1:32" s="18" customFormat="1" ht="21" customHeight="1" thickBot="1">
      <c r="A35" s="13" t="s">
        <v>9</v>
      </c>
      <c r="B35" s="14"/>
      <c r="C35" s="14"/>
      <c r="D35" s="14"/>
      <c r="E35" s="14"/>
      <c r="F35" s="14"/>
      <c r="G35" s="14"/>
      <c r="H35" s="36"/>
      <c r="I35" s="36"/>
      <c r="J35" s="37"/>
      <c r="K35" s="13" t="s">
        <v>9</v>
      </c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5"/>
      <c r="Y35" s="13" t="s">
        <v>9</v>
      </c>
      <c r="Z35" s="14"/>
      <c r="AA35" s="14"/>
      <c r="AB35" s="14"/>
      <c r="AC35" s="16"/>
      <c r="AD35" s="17"/>
      <c r="AE35" s="16"/>
      <c r="AF35" s="15"/>
    </row>
    <row r="36" spans="1:32">
      <c r="C36" t="s">
        <v>4</v>
      </c>
      <c r="D36" s="19">
        <f>TARGET_L2</f>
        <v>330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</row>
    <row r="37" spans="1:32" ht="13.5" thickBot="1"/>
    <row r="38" spans="1:32">
      <c r="C38" s="12" t="s">
        <v>6</v>
      </c>
      <c r="D38" s="149">
        <f>D2</f>
        <v>0</v>
      </c>
      <c r="E38" s="149">
        <f t="shared" ref="E38:Y38" si="9">E2</f>
        <v>0</v>
      </c>
      <c r="F38" s="149">
        <f t="shared" si="9"/>
        <v>0</v>
      </c>
      <c r="G38" s="149">
        <f t="shared" si="9"/>
        <v>0</v>
      </c>
      <c r="H38" s="149">
        <f t="shared" si="9"/>
        <v>0</v>
      </c>
      <c r="I38" s="149">
        <f t="shared" si="9"/>
        <v>0</v>
      </c>
      <c r="J38" s="149">
        <f t="shared" si="9"/>
        <v>0</v>
      </c>
      <c r="K38" s="149">
        <f t="shared" si="9"/>
        <v>0</v>
      </c>
      <c r="L38" s="149">
        <f t="shared" si="9"/>
        <v>0</v>
      </c>
      <c r="M38" s="149">
        <f t="shared" si="9"/>
        <v>0</v>
      </c>
      <c r="N38" s="149">
        <f t="shared" si="9"/>
        <v>0</v>
      </c>
      <c r="O38" s="149">
        <f t="shared" si="9"/>
        <v>0</v>
      </c>
      <c r="P38" s="149">
        <f t="shared" si="9"/>
        <v>0</v>
      </c>
      <c r="Q38" s="149">
        <f t="shared" si="9"/>
        <v>0</v>
      </c>
      <c r="R38" s="149">
        <f t="shared" si="9"/>
        <v>0</v>
      </c>
      <c r="S38" s="149">
        <f t="shared" si="9"/>
        <v>0</v>
      </c>
      <c r="T38" s="149"/>
      <c r="U38" s="149"/>
      <c r="V38" s="149">
        <f t="shared" si="9"/>
        <v>0</v>
      </c>
      <c r="W38" s="149">
        <f t="shared" si="9"/>
        <v>0</v>
      </c>
      <c r="X38" s="149">
        <f t="shared" si="9"/>
        <v>0</v>
      </c>
      <c r="Y38" s="149">
        <f t="shared" si="9"/>
        <v>0</v>
      </c>
      <c r="Z38" s="149"/>
      <c r="AA38" s="149"/>
      <c r="AB38" s="149"/>
      <c r="AC38" s="149"/>
      <c r="AD38" s="149"/>
      <c r="AE38" s="149"/>
    </row>
    <row r="39" spans="1:32" ht="170.1" customHeight="1">
      <c r="C39" s="20" t="s">
        <v>44</v>
      </c>
      <c r="D39" s="54"/>
      <c r="E39" s="54"/>
      <c r="F39" s="54"/>
      <c r="G39" s="6"/>
      <c r="H39" s="54"/>
      <c r="I39" s="6"/>
      <c r="J39" s="6"/>
      <c r="K39" s="54"/>
      <c r="L39" s="54"/>
      <c r="M39" s="54"/>
      <c r="N39" s="54"/>
      <c r="O39" s="54"/>
      <c r="P39" s="54"/>
      <c r="Q39" s="6"/>
      <c r="R39" s="6"/>
      <c r="S39" s="6"/>
      <c r="T39" s="6"/>
      <c r="U39" s="6"/>
      <c r="V39" s="6"/>
      <c r="W39" s="6"/>
      <c r="X39" s="6"/>
      <c r="Y39" s="5"/>
      <c r="Z39" s="5"/>
      <c r="AA39" s="6"/>
      <c r="AB39" s="5"/>
      <c r="AC39" s="5"/>
      <c r="AD39" s="5"/>
      <c r="AE39" s="5"/>
      <c r="AF39" s="131"/>
    </row>
  </sheetData>
  <sheetProtection selectLockedCells="1"/>
  <mergeCells count="39">
    <mergeCell ref="A33:C33"/>
    <mergeCell ref="Q5:Q12"/>
    <mergeCell ref="R5:R12"/>
    <mergeCell ref="S5:S12"/>
    <mergeCell ref="V5:V12"/>
    <mergeCell ref="J5:J12"/>
    <mergeCell ref="C6:C12"/>
    <mergeCell ref="M5:M12"/>
    <mergeCell ref="N5:N12"/>
    <mergeCell ref="O5:O12"/>
    <mergeCell ref="P5:P12"/>
    <mergeCell ref="A31:C31"/>
    <mergeCell ref="B13:B17"/>
    <mergeCell ref="A30:C30"/>
    <mergeCell ref="B18:B29"/>
    <mergeCell ref="A32:C32"/>
    <mergeCell ref="AD1:AE1"/>
    <mergeCell ref="A2:C2"/>
    <mergeCell ref="A3:C3"/>
    <mergeCell ref="K5:K12"/>
    <mergeCell ref="L5:L12"/>
    <mergeCell ref="D5:D12"/>
    <mergeCell ref="E5:E12"/>
    <mergeCell ref="F5:F12"/>
    <mergeCell ref="G5:G12"/>
    <mergeCell ref="H5:H12"/>
    <mergeCell ref="A4:C4"/>
    <mergeCell ref="AE5:AE12"/>
    <mergeCell ref="W5:W12"/>
    <mergeCell ref="AD5:AD12"/>
    <mergeCell ref="I5:I12"/>
    <mergeCell ref="AC5:AC12"/>
    <mergeCell ref="T5:T12"/>
    <mergeCell ref="U5:U12"/>
    <mergeCell ref="Y5:Y12"/>
    <mergeCell ref="AA5:AA12"/>
    <mergeCell ref="AB5:AB12"/>
    <mergeCell ref="X5:X12"/>
    <mergeCell ref="Z5:Z12"/>
  </mergeCells>
  <phoneticPr fontId="0" type="noConversion"/>
  <conditionalFormatting sqref="AF30">
    <cfRule type="cellIs" dxfId="1" priority="2" stopIfTrue="1" operator="notEqual">
      <formula>SUM($D$13:$AE$29)</formula>
    </cfRule>
  </conditionalFormatting>
  <conditionalFormatting sqref="AF4">
    <cfRule type="expression" dxfId="0" priority="1">
      <formula>$AF$4&lt;&gt;$AH$4</formula>
    </cfRule>
  </conditionalFormatting>
  <dataValidations count="1">
    <dataValidation type="date" allowBlank="1" showInputMessage="1" showErrorMessage="1" promptTitle="Data:" prompt="Favor digitar uma data válida contendo pelo menos dia/mês." sqref="D2:AE2" xr:uid="{00000000-0002-0000-04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61" orientation="landscape" r:id="rId1"/>
  <headerFooter alignWithMargins="0">
    <oddFooter>&amp;RSJCPIL-R 16-317-03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R43"/>
  <sheetViews>
    <sheetView zoomScaleNormal="100" workbookViewId="0">
      <selection activeCell="AD4" sqref="AD4"/>
    </sheetView>
  </sheetViews>
  <sheetFormatPr defaultRowHeight="12.75"/>
  <cols>
    <col min="2" max="2" width="25.140625" bestFit="1" customWidth="1"/>
    <col min="6" max="6" width="10.140625" bestFit="1" customWidth="1"/>
    <col min="10" max="10" width="24.28515625" bestFit="1" customWidth="1"/>
  </cols>
  <sheetData>
    <row r="1" spans="1:18">
      <c r="C1" s="55" t="s">
        <v>26</v>
      </c>
    </row>
    <row r="2" spans="1:18">
      <c r="C2" t="s">
        <v>28</v>
      </c>
      <c r="D2" t="s">
        <v>12</v>
      </c>
      <c r="F2" t="s">
        <v>30</v>
      </c>
      <c r="G2" t="s">
        <v>31</v>
      </c>
      <c r="H2" t="s">
        <v>32</v>
      </c>
    </row>
    <row r="3" spans="1:18" ht="13.5" thickBot="1">
      <c r="C3" s="52">
        <f>'LINHA - 1N'!AI4</f>
        <v>0</v>
      </c>
      <c r="D3" s="52"/>
      <c r="K3" t="s">
        <v>60</v>
      </c>
      <c r="L3" t="s">
        <v>61</v>
      </c>
      <c r="M3" t="s">
        <v>62</v>
      </c>
      <c r="N3" t="s">
        <v>63</v>
      </c>
      <c r="O3" t="s">
        <v>64</v>
      </c>
      <c r="R3" s="53">
        <f>COUNTIF(N4:N20,"&lt;100")+1</f>
        <v>1</v>
      </c>
    </row>
    <row r="4" spans="1:18" ht="12.75" customHeight="1">
      <c r="A4" s="38">
        <v>1</v>
      </c>
      <c r="B4" s="43" t="str">
        <f>'LINHA - 1D'!C13</f>
        <v>Chapa Riscada</v>
      </c>
      <c r="C4" s="52">
        <f>'LINHA - 1N'!AI13</f>
        <v>0</v>
      </c>
      <c r="D4" s="52" t="e">
        <f t="shared" ref="D4:D21" si="0">C4/C$3*1000000</f>
        <v>#DIV/0!</v>
      </c>
      <c r="F4" s="52">
        <f>C4*10000+A4</f>
        <v>1</v>
      </c>
      <c r="G4">
        <f>LARGE(F$4:F$19,A4)</f>
        <v>16</v>
      </c>
      <c r="H4">
        <f>MATCH(G4,F$4:F$19,0)</f>
        <v>16</v>
      </c>
      <c r="J4" t="str">
        <f t="shared" ref="J4:J20" si="1">VLOOKUP(H4,A$4:D$20,2,TRUE)</f>
        <v>Fundo Sujo</v>
      </c>
      <c r="K4" s="53" t="e">
        <f>VLOOKUP(H4,A$4:D$20,4,FALSE)</f>
        <v>#DIV/0!</v>
      </c>
      <c r="L4" s="53">
        <f t="shared" ref="L4:L20" si="2">VLOOKUP(H4,A$4:C$20,3,FALSE)</f>
        <v>0</v>
      </c>
      <c r="M4" s="53">
        <f>L4</f>
        <v>0</v>
      </c>
      <c r="N4" s="53" t="e">
        <f>M4/M$20*100</f>
        <v>#DIV/0!</v>
      </c>
      <c r="O4" s="53" t="e">
        <f t="shared" ref="O4:O20" si="3">IF(($D$21&gt;TARGET_L1)*(N4&lt;=80),K4,)</f>
        <v>#DIV/0!</v>
      </c>
      <c r="R4" t="str">
        <f ca="1">OFFSET($J$26,0,0,COUNTIF($N$26:$N$42,"&lt;100")+1,1)</f>
        <v>Fundo Sujo</v>
      </c>
    </row>
    <row r="5" spans="1:18">
      <c r="A5" s="39">
        <v>2</v>
      </c>
      <c r="B5" s="44" t="str">
        <f>'LINHA - 1D'!C14</f>
        <v>Chapa Manchada</v>
      </c>
      <c r="C5" s="52">
        <f>'LINHA - 1N'!AI14</f>
        <v>0</v>
      </c>
      <c r="D5" s="52" t="e">
        <f t="shared" si="0"/>
        <v>#DIV/0!</v>
      </c>
      <c r="F5" s="52">
        <f t="shared" ref="F5:F20" si="4">C5*10000+A5</f>
        <v>2</v>
      </c>
      <c r="G5">
        <f t="shared" ref="G5:G19" si="5">LARGE(F$4:F$19,A5)</f>
        <v>15</v>
      </c>
      <c r="H5">
        <f t="shared" ref="H5:H19" si="6">MATCH(G5,F$4:F$19,0)</f>
        <v>15</v>
      </c>
      <c r="J5" t="str">
        <f t="shared" si="1"/>
        <v>Fundo Amassado</v>
      </c>
      <c r="K5" s="53" t="e">
        <f t="shared" ref="K5:K20" si="7">VLOOKUP(H5,A$4:D$20,4,FALSE)</f>
        <v>#DIV/0!</v>
      </c>
      <c r="L5" s="53">
        <f t="shared" si="2"/>
        <v>0</v>
      </c>
      <c r="M5" s="53">
        <f>L5+M4</f>
        <v>0</v>
      </c>
      <c r="N5" s="53" t="e">
        <f t="shared" ref="N5:N20" si="8">M5/M$20*100</f>
        <v>#DIV/0!</v>
      </c>
      <c r="O5" s="53" t="e">
        <f t="shared" si="3"/>
        <v>#DIV/0!</v>
      </c>
    </row>
    <row r="6" spans="1:18">
      <c r="A6" s="39">
        <v>3</v>
      </c>
      <c r="B6" s="44" t="str">
        <f>'LINHA - 1D'!C15</f>
        <v>Chapa Invertida</v>
      </c>
      <c r="C6" s="52">
        <f>'LINHA - 1N'!AI15</f>
        <v>0</v>
      </c>
      <c r="D6" s="52" t="e">
        <f t="shared" si="0"/>
        <v>#DIV/0!</v>
      </c>
      <c r="F6" s="52">
        <f t="shared" si="4"/>
        <v>3</v>
      </c>
      <c r="G6">
        <f t="shared" si="5"/>
        <v>14</v>
      </c>
      <c r="H6">
        <f t="shared" si="6"/>
        <v>14</v>
      </c>
      <c r="J6" t="str">
        <f t="shared" si="1"/>
        <v>Sem Arruela / Sem Bottom Plate</v>
      </c>
      <c r="K6" s="53" t="e">
        <f t="shared" si="7"/>
        <v>#DIV/0!</v>
      </c>
      <c r="L6" s="53">
        <f t="shared" si="2"/>
        <v>0</v>
      </c>
      <c r="M6" s="53">
        <f t="shared" ref="M6:M20" si="9">L6+M5</f>
        <v>0</v>
      </c>
      <c r="N6" s="53" t="e">
        <f t="shared" si="8"/>
        <v>#DIV/0!</v>
      </c>
      <c r="O6" s="53" t="e">
        <f t="shared" si="3"/>
        <v>#DIV/0!</v>
      </c>
    </row>
    <row r="7" spans="1:18">
      <c r="A7" s="39">
        <v>4</v>
      </c>
      <c r="B7" s="44" t="str">
        <f>'LINHA - 1D'!C16</f>
        <v>Chapa Aberta</v>
      </c>
      <c r="C7" s="52">
        <f>'LINHA - 1N'!AI16</f>
        <v>0</v>
      </c>
      <c r="D7" s="52" t="e">
        <f t="shared" si="0"/>
        <v>#DIV/0!</v>
      </c>
      <c r="F7" s="52">
        <f t="shared" si="4"/>
        <v>4</v>
      </c>
      <c r="G7">
        <f t="shared" si="5"/>
        <v>13</v>
      </c>
      <c r="H7">
        <f t="shared" si="6"/>
        <v>13</v>
      </c>
      <c r="J7" t="str">
        <f t="shared" si="1"/>
        <v>Sem Arruela</v>
      </c>
      <c r="K7" s="53" t="e">
        <f t="shared" si="7"/>
        <v>#DIV/0!</v>
      </c>
      <c r="L7" s="53">
        <f t="shared" si="2"/>
        <v>0</v>
      </c>
      <c r="M7" s="53">
        <f t="shared" si="9"/>
        <v>0</v>
      </c>
      <c r="N7" s="53" t="e">
        <f t="shared" si="8"/>
        <v>#DIV/0!</v>
      </c>
      <c r="O7" s="53" t="e">
        <f t="shared" si="3"/>
        <v>#DIV/0!</v>
      </c>
    </row>
    <row r="8" spans="1:18" ht="13.5" thickBot="1">
      <c r="A8" s="39">
        <v>5</v>
      </c>
      <c r="B8" s="45" t="str">
        <f>'LINHA - 1D'!C17</f>
        <v>Falha de Impressão</v>
      </c>
      <c r="C8" s="52">
        <f>'LINHA - 1N'!AI17</f>
        <v>0</v>
      </c>
      <c r="D8" s="52" t="e">
        <f t="shared" si="0"/>
        <v>#DIV/0!</v>
      </c>
      <c r="F8" s="52">
        <f t="shared" si="4"/>
        <v>5</v>
      </c>
      <c r="G8">
        <f t="shared" si="5"/>
        <v>12</v>
      </c>
      <c r="H8">
        <f t="shared" si="6"/>
        <v>12</v>
      </c>
      <c r="J8" t="str">
        <f t="shared" si="1"/>
        <v>Bottom Plate Amassado</v>
      </c>
      <c r="K8" s="53" t="e">
        <f t="shared" si="7"/>
        <v>#DIV/0!</v>
      </c>
      <c r="L8" s="53">
        <f t="shared" si="2"/>
        <v>0</v>
      </c>
      <c r="M8" s="53">
        <f t="shared" si="9"/>
        <v>0</v>
      </c>
      <c r="N8" s="53" t="e">
        <f t="shared" si="8"/>
        <v>#DIV/0!</v>
      </c>
      <c r="O8" s="53" t="e">
        <f t="shared" si="3"/>
        <v>#DIV/0!</v>
      </c>
    </row>
    <row r="9" spans="1:18" ht="12.75" customHeight="1">
      <c r="A9" s="39">
        <v>6</v>
      </c>
      <c r="B9" s="43" t="str">
        <f>'LINHA - 1D'!C18</f>
        <v>Sem Cap</v>
      </c>
      <c r="C9" s="52">
        <f>'LINHA - 1N'!AI18</f>
        <v>0</v>
      </c>
      <c r="D9" s="52" t="e">
        <f t="shared" si="0"/>
        <v>#DIV/0!</v>
      </c>
      <c r="F9" s="52">
        <f t="shared" si="4"/>
        <v>6</v>
      </c>
      <c r="G9">
        <f t="shared" si="5"/>
        <v>11</v>
      </c>
      <c r="H9">
        <f t="shared" si="6"/>
        <v>11</v>
      </c>
      <c r="J9" t="str">
        <f t="shared" si="1"/>
        <v>Sem Bottom Plate</v>
      </c>
      <c r="K9" s="53" t="e">
        <f t="shared" si="7"/>
        <v>#DIV/0!</v>
      </c>
      <c r="L9" s="53">
        <f t="shared" si="2"/>
        <v>0</v>
      </c>
      <c r="M9" s="53">
        <f t="shared" si="9"/>
        <v>0</v>
      </c>
      <c r="N9" s="53" t="e">
        <f t="shared" si="8"/>
        <v>#DIV/0!</v>
      </c>
      <c r="O9" s="53" t="e">
        <f t="shared" si="3"/>
        <v>#DIV/0!</v>
      </c>
    </row>
    <row r="10" spans="1:18">
      <c r="A10" s="39">
        <v>7</v>
      </c>
      <c r="B10" s="44" t="str">
        <f>'LINHA - 1D'!C19</f>
        <v>Cap Amassado / Afundado</v>
      </c>
      <c r="C10" s="52">
        <f>'LINHA - 1N'!AI19</f>
        <v>0</v>
      </c>
      <c r="D10" s="52" t="e">
        <f t="shared" si="0"/>
        <v>#DIV/0!</v>
      </c>
      <c r="F10" s="52">
        <f t="shared" si="4"/>
        <v>7</v>
      </c>
      <c r="G10">
        <f t="shared" si="5"/>
        <v>10</v>
      </c>
      <c r="H10">
        <f t="shared" si="6"/>
        <v>10</v>
      </c>
      <c r="J10" t="str">
        <f t="shared" si="1"/>
        <v>Dois Anéis Vermelhos</v>
      </c>
      <c r="K10" s="53" t="e">
        <f t="shared" si="7"/>
        <v>#DIV/0!</v>
      </c>
      <c r="L10" s="53">
        <f t="shared" si="2"/>
        <v>0</v>
      </c>
      <c r="M10" s="53">
        <f t="shared" si="9"/>
        <v>0</v>
      </c>
      <c r="N10" s="53" t="e">
        <f t="shared" si="8"/>
        <v>#DIV/0!</v>
      </c>
      <c r="O10" s="53" t="e">
        <f t="shared" si="3"/>
        <v>#DIV/0!</v>
      </c>
    </row>
    <row r="11" spans="1:18">
      <c r="A11" s="39">
        <v>8</v>
      </c>
      <c r="B11" s="44" t="str">
        <f>'LINHA - 1D'!C20</f>
        <v>Cap Rachado</v>
      </c>
      <c r="C11" s="52">
        <f>'LINHA - 1N'!AI20</f>
        <v>0</v>
      </c>
      <c r="D11" s="52" t="e">
        <f t="shared" si="0"/>
        <v>#DIV/0!</v>
      </c>
      <c r="F11" s="52">
        <f t="shared" si="4"/>
        <v>8</v>
      </c>
      <c r="G11">
        <f t="shared" si="5"/>
        <v>9</v>
      </c>
      <c r="H11">
        <f t="shared" si="6"/>
        <v>9</v>
      </c>
      <c r="J11" t="str">
        <f t="shared" si="1"/>
        <v>Sem Anel Vermelho</v>
      </c>
      <c r="K11" s="53" t="e">
        <f t="shared" si="7"/>
        <v>#DIV/0!</v>
      </c>
      <c r="L11" s="53">
        <f t="shared" si="2"/>
        <v>0</v>
      </c>
      <c r="M11" s="53">
        <f t="shared" si="9"/>
        <v>0</v>
      </c>
      <c r="N11" s="53" t="e">
        <f t="shared" si="8"/>
        <v>#DIV/0!</v>
      </c>
      <c r="O11" s="53" t="e">
        <f t="shared" si="3"/>
        <v>#DIV/0!</v>
      </c>
    </row>
    <row r="12" spans="1:18">
      <c r="A12" s="39">
        <v>9</v>
      </c>
      <c r="B12" s="44" t="str">
        <f>'LINHA - 1D'!C21</f>
        <v>Sem Anel Vermelho</v>
      </c>
      <c r="C12" s="52">
        <f>'LINHA - 1N'!AI21</f>
        <v>0</v>
      </c>
      <c r="D12" s="52" t="e">
        <f t="shared" si="0"/>
        <v>#DIV/0!</v>
      </c>
      <c r="F12" s="52">
        <f t="shared" si="4"/>
        <v>9</v>
      </c>
      <c r="G12">
        <f t="shared" si="5"/>
        <v>8</v>
      </c>
      <c r="H12">
        <f t="shared" si="6"/>
        <v>8</v>
      </c>
      <c r="J12" t="str">
        <f t="shared" si="1"/>
        <v>Cap Rachado</v>
      </c>
      <c r="K12" s="53" t="e">
        <f t="shared" si="7"/>
        <v>#DIV/0!</v>
      </c>
      <c r="L12" s="53">
        <f t="shared" si="2"/>
        <v>0</v>
      </c>
      <c r="M12" s="53">
        <f t="shared" si="9"/>
        <v>0</v>
      </c>
      <c r="N12" s="53" t="e">
        <f t="shared" si="8"/>
        <v>#DIV/0!</v>
      </c>
      <c r="O12" s="53" t="e">
        <f t="shared" si="3"/>
        <v>#DIV/0!</v>
      </c>
    </row>
    <row r="13" spans="1:18">
      <c r="A13" s="39">
        <v>10</v>
      </c>
      <c r="B13" s="44" t="str">
        <f>'LINHA - 1D'!C22</f>
        <v>Dois Anéis Vermelhos</v>
      </c>
      <c r="C13" s="52">
        <f>'LINHA - 1N'!AI22</f>
        <v>0</v>
      </c>
      <c r="D13" s="52" t="e">
        <f t="shared" si="0"/>
        <v>#DIV/0!</v>
      </c>
      <c r="F13" s="52">
        <f t="shared" si="4"/>
        <v>10</v>
      </c>
      <c r="G13">
        <f t="shared" si="5"/>
        <v>7</v>
      </c>
      <c r="H13">
        <f t="shared" si="6"/>
        <v>7</v>
      </c>
      <c r="J13" t="str">
        <f t="shared" si="1"/>
        <v>Cap Amassado / Afundado</v>
      </c>
      <c r="K13" s="53" t="e">
        <f t="shared" si="7"/>
        <v>#DIV/0!</v>
      </c>
      <c r="L13" s="53">
        <f t="shared" si="2"/>
        <v>0</v>
      </c>
      <c r="M13" s="53">
        <f t="shared" si="9"/>
        <v>0</v>
      </c>
      <c r="N13" s="53" t="e">
        <f t="shared" si="8"/>
        <v>#DIV/0!</v>
      </c>
      <c r="O13" s="53" t="e">
        <f t="shared" si="3"/>
        <v>#DIV/0!</v>
      </c>
    </row>
    <row r="14" spans="1:18" ht="13.5" thickBot="1">
      <c r="A14" s="42">
        <v>11</v>
      </c>
      <c r="B14" s="45" t="str">
        <f>'LINHA - 1D'!C23</f>
        <v>Sem Bottom Plate</v>
      </c>
      <c r="C14" s="52">
        <f>'LINHA - 1N'!AI23</f>
        <v>0</v>
      </c>
      <c r="D14" s="52" t="e">
        <f t="shared" si="0"/>
        <v>#DIV/0!</v>
      </c>
      <c r="F14" s="52">
        <f t="shared" si="4"/>
        <v>11</v>
      </c>
      <c r="G14">
        <f t="shared" si="5"/>
        <v>6</v>
      </c>
      <c r="H14">
        <f t="shared" si="6"/>
        <v>6</v>
      </c>
      <c r="J14" t="str">
        <f t="shared" si="1"/>
        <v>Sem Cap</v>
      </c>
      <c r="K14" s="53" t="e">
        <f t="shared" si="7"/>
        <v>#DIV/0!</v>
      </c>
      <c r="L14" s="53">
        <f t="shared" si="2"/>
        <v>0</v>
      </c>
      <c r="M14" s="53">
        <f t="shared" si="9"/>
        <v>0</v>
      </c>
      <c r="N14" s="53" t="e">
        <f t="shared" si="8"/>
        <v>#DIV/0!</v>
      </c>
      <c r="O14" s="53" t="e">
        <f t="shared" si="3"/>
        <v>#DIV/0!</v>
      </c>
    </row>
    <row r="15" spans="1:18" ht="12.75" customHeight="1">
      <c r="A15" s="38">
        <v>12</v>
      </c>
      <c r="B15" s="43" t="str">
        <f>'LINHA - 1D'!C24</f>
        <v>Bottom Plate Amassado</v>
      </c>
      <c r="C15" s="52">
        <f>'LINHA - 1N'!AI24</f>
        <v>0</v>
      </c>
      <c r="D15" s="52" t="e">
        <f t="shared" si="0"/>
        <v>#DIV/0!</v>
      </c>
      <c r="F15" s="52">
        <f t="shared" si="4"/>
        <v>12</v>
      </c>
      <c r="G15">
        <f t="shared" si="5"/>
        <v>5</v>
      </c>
      <c r="H15">
        <f t="shared" si="6"/>
        <v>5</v>
      </c>
      <c r="J15" t="str">
        <f t="shared" si="1"/>
        <v>Falha de Impressão</v>
      </c>
      <c r="K15" s="53" t="e">
        <f t="shared" si="7"/>
        <v>#DIV/0!</v>
      </c>
      <c r="L15" s="53">
        <f t="shared" si="2"/>
        <v>0</v>
      </c>
      <c r="M15" s="53">
        <f t="shared" si="9"/>
        <v>0</v>
      </c>
      <c r="N15" s="53" t="e">
        <f t="shared" si="8"/>
        <v>#DIV/0!</v>
      </c>
      <c r="O15" s="53" t="e">
        <f t="shared" si="3"/>
        <v>#DIV/0!</v>
      </c>
    </row>
    <row r="16" spans="1:18">
      <c r="A16" s="39">
        <v>13</v>
      </c>
      <c r="B16" s="44" t="str">
        <f>'LINHA - 1D'!C25</f>
        <v>Sem Arruela</v>
      </c>
      <c r="C16" s="52">
        <f>'LINHA - 1N'!AI25</f>
        <v>0</v>
      </c>
      <c r="D16" s="52" t="e">
        <f t="shared" si="0"/>
        <v>#DIV/0!</v>
      </c>
      <c r="F16" s="52">
        <f t="shared" si="4"/>
        <v>13</v>
      </c>
      <c r="G16">
        <f t="shared" si="5"/>
        <v>4</v>
      </c>
      <c r="H16">
        <f t="shared" si="6"/>
        <v>4</v>
      </c>
      <c r="J16" t="str">
        <f t="shared" si="1"/>
        <v>Chapa Aberta</v>
      </c>
      <c r="K16" s="53" t="e">
        <f t="shared" si="7"/>
        <v>#DIV/0!</v>
      </c>
      <c r="L16" s="53">
        <f t="shared" si="2"/>
        <v>0</v>
      </c>
      <c r="M16" s="53">
        <f t="shared" si="9"/>
        <v>0</v>
      </c>
      <c r="N16" s="53" t="e">
        <f t="shared" si="8"/>
        <v>#DIV/0!</v>
      </c>
      <c r="O16" s="53" t="e">
        <f t="shared" si="3"/>
        <v>#DIV/0!</v>
      </c>
    </row>
    <row r="17" spans="1:15">
      <c r="A17" s="39">
        <v>14</v>
      </c>
      <c r="B17" s="44" t="str">
        <f>'LINHA - 1D'!C26</f>
        <v>Sem Arruela / Sem Bottom Plate</v>
      </c>
      <c r="C17" s="52">
        <f>'LINHA - 1N'!AI26</f>
        <v>0</v>
      </c>
      <c r="D17" s="52" t="e">
        <f t="shared" si="0"/>
        <v>#DIV/0!</v>
      </c>
      <c r="F17" s="52">
        <f t="shared" si="4"/>
        <v>14</v>
      </c>
      <c r="G17">
        <f t="shared" si="5"/>
        <v>3</v>
      </c>
      <c r="H17">
        <f t="shared" si="6"/>
        <v>3</v>
      </c>
      <c r="J17" t="str">
        <f t="shared" si="1"/>
        <v>Chapa Invertida</v>
      </c>
      <c r="K17" s="53" t="e">
        <f t="shared" si="7"/>
        <v>#DIV/0!</v>
      </c>
      <c r="L17" s="53">
        <f t="shared" si="2"/>
        <v>0</v>
      </c>
      <c r="M17" s="53">
        <f t="shared" si="9"/>
        <v>0</v>
      </c>
      <c r="N17" s="53" t="e">
        <f t="shared" si="8"/>
        <v>#DIV/0!</v>
      </c>
      <c r="O17" s="53" t="e">
        <f t="shared" si="3"/>
        <v>#DIV/0!</v>
      </c>
    </row>
    <row r="18" spans="1:15">
      <c r="A18" s="39">
        <v>15</v>
      </c>
      <c r="B18" s="44" t="str">
        <f>'LINHA - 1D'!C27</f>
        <v>Fundo Amassado</v>
      </c>
      <c r="C18" s="52">
        <f>'LINHA - 1N'!AI27</f>
        <v>0</v>
      </c>
      <c r="D18" s="52" t="e">
        <f t="shared" si="0"/>
        <v>#DIV/0!</v>
      </c>
      <c r="F18" s="52">
        <f t="shared" si="4"/>
        <v>15</v>
      </c>
      <c r="G18">
        <f t="shared" si="5"/>
        <v>2</v>
      </c>
      <c r="H18">
        <f t="shared" si="6"/>
        <v>2</v>
      </c>
      <c r="J18" t="str">
        <f t="shared" si="1"/>
        <v>Chapa Manchada</v>
      </c>
      <c r="K18" s="53" t="e">
        <f t="shared" si="7"/>
        <v>#DIV/0!</v>
      </c>
      <c r="L18" s="53">
        <f t="shared" si="2"/>
        <v>0</v>
      </c>
      <c r="M18" s="53">
        <f t="shared" si="9"/>
        <v>0</v>
      </c>
      <c r="N18" s="53" t="e">
        <f t="shared" si="8"/>
        <v>#DIV/0!</v>
      </c>
      <c r="O18" s="53" t="e">
        <f t="shared" si="3"/>
        <v>#DIV/0!</v>
      </c>
    </row>
    <row r="19" spans="1:15">
      <c r="A19" s="39">
        <v>16</v>
      </c>
      <c r="B19" s="44" t="str">
        <f>'LINHA - 1D'!C28</f>
        <v>Fundo Sujo</v>
      </c>
      <c r="C19" s="52">
        <f>'LINHA - 1N'!AI28</f>
        <v>0</v>
      </c>
      <c r="D19" s="52" t="e">
        <f t="shared" si="0"/>
        <v>#DIV/0!</v>
      </c>
      <c r="F19" s="52">
        <f t="shared" si="4"/>
        <v>16</v>
      </c>
      <c r="G19">
        <f t="shared" si="5"/>
        <v>1</v>
      </c>
      <c r="H19">
        <f t="shared" si="6"/>
        <v>1</v>
      </c>
      <c r="J19" t="str">
        <f t="shared" si="1"/>
        <v>Chapa Riscada</v>
      </c>
      <c r="K19" s="53" t="e">
        <f t="shared" si="7"/>
        <v>#DIV/0!</v>
      </c>
      <c r="L19" s="53">
        <f t="shared" si="2"/>
        <v>0</v>
      </c>
      <c r="M19" s="53">
        <f t="shared" si="9"/>
        <v>0</v>
      </c>
      <c r="N19" s="53" t="e">
        <f t="shared" si="8"/>
        <v>#DIV/0!</v>
      </c>
      <c r="O19" s="53" t="e">
        <f t="shared" si="3"/>
        <v>#DIV/0!</v>
      </c>
    </row>
    <row r="20" spans="1:15" ht="13.5" thickBot="1">
      <c r="A20" s="46">
        <v>17</v>
      </c>
      <c r="B20" s="47" t="str">
        <f>'LINHA - 1D'!C29</f>
        <v>Outros</v>
      </c>
      <c r="C20" s="52">
        <f>'LINHA - 1N'!AI29</f>
        <v>0</v>
      </c>
      <c r="D20" s="52" t="e">
        <f t="shared" si="0"/>
        <v>#DIV/0!</v>
      </c>
      <c r="F20" s="52">
        <f t="shared" si="4"/>
        <v>17</v>
      </c>
      <c r="G20">
        <v>17</v>
      </c>
      <c r="H20">
        <v>17</v>
      </c>
      <c r="J20" t="str">
        <f t="shared" si="1"/>
        <v>Outros</v>
      </c>
      <c r="K20" s="53" t="e">
        <f t="shared" si="7"/>
        <v>#DIV/0!</v>
      </c>
      <c r="L20" s="53">
        <f t="shared" si="2"/>
        <v>0</v>
      </c>
      <c r="M20" s="53">
        <f t="shared" si="9"/>
        <v>0</v>
      </c>
      <c r="N20" s="53" t="e">
        <f t="shared" si="8"/>
        <v>#DIV/0!</v>
      </c>
      <c r="O20" s="53" t="e">
        <f t="shared" si="3"/>
        <v>#DIV/0!</v>
      </c>
    </row>
    <row r="21" spans="1:15">
      <c r="A21" s="155" t="s">
        <v>2</v>
      </c>
      <c r="B21" s="157"/>
      <c r="C21" s="52">
        <f>'LINHA - 1N'!AI30</f>
        <v>0</v>
      </c>
      <c r="D21" s="52" t="e">
        <f t="shared" si="0"/>
        <v>#DIV/0!</v>
      </c>
      <c r="K21" s="53"/>
    </row>
    <row r="23" spans="1:15">
      <c r="C23" s="55" t="s">
        <v>27</v>
      </c>
    </row>
    <row r="24" spans="1:15">
      <c r="C24" t="s">
        <v>29</v>
      </c>
      <c r="D24" t="s">
        <v>12</v>
      </c>
    </row>
    <row r="25" spans="1:15" ht="13.5" thickBot="1">
      <c r="C25" s="52">
        <f>'LINHA - 2N'!AI4</f>
        <v>0</v>
      </c>
    </row>
    <row r="26" spans="1:15" ht="12.75" customHeight="1">
      <c r="A26" s="38">
        <v>1</v>
      </c>
      <c r="B26" s="43" t="str">
        <f>B4</f>
        <v>Chapa Riscada</v>
      </c>
      <c r="C26" s="52">
        <f>'LINHA - 2N'!AI13</f>
        <v>0</v>
      </c>
      <c r="D26" s="52" t="e">
        <f t="shared" ref="D26:D43" si="10">C26/C$25*1000000</f>
        <v>#DIV/0!</v>
      </c>
      <c r="F26" s="52">
        <f>C26*10000+A26</f>
        <v>1</v>
      </c>
      <c r="G26">
        <f>LARGE(F$26:F$41,A26)</f>
        <v>16</v>
      </c>
      <c r="H26">
        <f>MATCH(G26,F$26:F$41,0)</f>
        <v>16</v>
      </c>
      <c r="J26" t="str">
        <f>VLOOKUP(H26,A$26:D$42,2,TRUE)</f>
        <v>Fundo Sujo</v>
      </c>
      <c r="K26" s="53" t="e">
        <f>VLOOKUP(H26,A$26:D$42,4,FALSE)</f>
        <v>#DIV/0!</v>
      </c>
      <c r="L26" s="53">
        <f>VLOOKUP(H26,A$26:C$42,3,FALSE)</f>
        <v>0</v>
      </c>
      <c r="M26" s="53">
        <f>L26</f>
        <v>0</v>
      </c>
      <c r="N26" s="53" t="e">
        <f>M26/M$42*100</f>
        <v>#DIV/0!</v>
      </c>
      <c r="O26" s="53" t="e">
        <f t="shared" ref="O26:O42" si="11">IF(($D$43&gt;TARGET_L2)*(N26&lt;=80),K26,0)</f>
        <v>#DIV/0!</v>
      </c>
    </row>
    <row r="27" spans="1:15">
      <c r="A27" s="39">
        <v>2</v>
      </c>
      <c r="B27" s="44" t="str">
        <f t="shared" ref="B27:B42" si="12">B5</f>
        <v>Chapa Manchada</v>
      </c>
      <c r="C27" s="52">
        <f>'LINHA - 2N'!AI14</f>
        <v>0</v>
      </c>
      <c r="D27" s="52" t="e">
        <f t="shared" si="10"/>
        <v>#DIV/0!</v>
      </c>
      <c r="F27" s="52">
        <f t="shared" ref="F27:F42" si="13">C27*10000+A27</f>
        <v>2</v>
      </c>
      <c r="G27">
        <f t="shared" ref="G27:G41" si="14">LARGE(F$26:F$41,A27)</f>
        <v>15</v>
      </c>
      <c r="H27">
        <f t="shared" ref="H27:H41" si="15">MATCH(G27,F$26:F$41,0)</f>
        <v>15</v>
      </c>
      <c r="J27" t="str">
        <f t="shared" ref="J27:J42" si="16">VLOOKUP(H27,A$26:D$42,2,TRUE)</f>
        <v>Fundo Amassado</v>
      </c>
      <c r="K27" s="53" t="e">
        <f t="shared" ref="K27:K42" si="17">VLOOKUP(H27,A$26:D$42,4,FALSE)</f>
        <v>#DIV/0!</v>
      </c>
      <c r="L27" s="53">
        <f t="shared" ref="L27:L42" si="18">VLOOKUP(H27,A$26:C$42,3,FALSE)</f>
        <v>0</v>
      </c>
      <c r="M27" s="53">
        <f>L27+M26</f>
        <v>0</v>
      </c>
      <c r="N27" s="53" t="e">
        <f t="shared" ref="N27:N42" si="19">M27/M$42*100</f>
        <v>#DIV/0!</v>
      </c>
      <c r="O27" s="53" t="e">
        <f t="shared" si="11"/>
        <v>#DIV/0!</v>
      </c>
    </row>
    <row r="28" spans="1:15">
      <c r="A28" s="39">
        <v>3</v>
      </c>
      <c r="B28" s="44" t="str">
        <f t="shared" si="12"/>
        <v>Chapa Invertida</v>
      </c>
      <c r="C28" s="52">
        <f>'LINHA - 2N'!AI15</f>
        <v>0</v>
      </c>
      <c r="D28" s="52" t="e">
        <f t="shared" si="10"/>
        <v>#DIV/0!</v>
      </c>
      <c r="F28" s="52">
        <f t="shared" si="13"/>
        <v>3</v>
      </c>
      <c r="G28">
        <f t="shared" si="14"/>
        <v>14</v>
      </c>
      <c r="H28">
        <f t="shared" si="15"/>
        <v>14</v>
      </c>
      <c r="J28" t="str">
        <f t="shared" si="16"/>
        <v>Sem Arruela / Sem Bottom Plate</v>
      </c>
      <c r="K28" s="53" t="e">
        <f t="shared" si="17"/>
        <v>#DIV/0!</v>
      </c>
      <c r="L28" s="53">
        <f t="shared" si="18"/>
        <v>0</v>
      </c>
      <c r="M28" s="53">
        <f t="shared" ref="M28:M42" si="20">L28+M27</f>
        <v>0</v>
      </c>
      <c r="N28" s="53" t="e">
        <f t="shared" si="19"/>
        <v>#DIV/0!</v>
      </c>
      <c r="O28" s="53" t="e">
        <f t="shared" si="11"/>
        <v>#DIV/0!</v>
      </c>
    </row>
    <row r="29" spans="1:15">
      <c r="A29" s="39">
        <v>4</v>
      </c>
      <c r="B29" s="44" t="str">
        <f t="shared" si="12"/>
        <v>Chapa Aberta</v>
      </c>
      <c r="C29" s="52">
        <f>'LINHA - 2N'!AI16</f>
        <v>0</v>
      </c>
      <c r="D29" s="52" t="e">
        <f t="shared" si="10"/>
        <v>#DIV/0!</v>
      </c>
      <c r="F29" s="52">
        <f t="shared" si="13"/>
        <v>4</v>
      </c>
      <c r="G29">
        <f t="shared" si="14"/>
        <v>13</v>
      </c>
      <c r="H29">
        <f t="shared" si="15"/>
        <v>13</v>
      </c>
      <c r="J29" t="str">
        <f t="shared" si="16"/>
        <v>Sem Arruela</v>
      </c>
      <c r="K29" s="53" t="e">
        <f t="shared" si="17"/>
        <v>#DIV/0!</v>
      </c>
      <c r="L29" s="53">
        <f t="shared" si="18"/>
        <v>0</v>
      </c>
      <c r="M29" s="53">
        <f t="shared" si="20"/>
        <v>0</v>
      </c>
      <c r="N29" s="53" t="e">
        <f t="shared" si="19"/>
        <v>#DIV/0!</v>
      </c>
      <c r="O29" s="53" t="e">
        <f t="shared" si="11"/>
        <v>#DIV/0!</v>
      </c>
    </row>
    <row r="30" spans="1:15" ht="13.5" thickBot="1">
      <c r="A30" s="39">
        <v>5</v>
      </c>
      <c r="B30" s="45" t="str">
        <f t="shared" si="12"/>
        <v>Falha de Impressão</v>
      </c>
      <c r="C30" s="52">
        <f>'LINHA - 2N'!AI17</f>
        <v>0</v>
      </c>
      <c r="D30" s="52" t="e">
        <f t="shared" si="10"/>
        <v>#DIV/0!</v>
      </c>
      <c r="F30" s="52">
        <f t="shared" si="13"/>
        <v>5</v>
      </c>
      <c r="G30">
        <f t="shared" si="14"/>
        <v>12</v>
      </c>
      <c r="H30">
        <f t="shared" si="15"/>
        <v>12</v>
      </c>
      <c r="J30" t="str">
        <f t="shared" si="16"/>
        <v>Bottom Plate Amassado</v>
      </c>
      <c r="K30" s="53" t="e">
        <f t="shared" si="17"/>
        <v>#DIV/0!</v>
      </c>
      <c r="L30" s="53">
        <f t="shared" si="18"/>
        <v>0</v>
      </c>
      <c r="M30" s="53">
        <f t="shared" si="20"/>
        <v>0</v>
      </c>
      <c r="N30" s="53" t="e">
        <f t="shared" si="19"/>
        <v>#DIV/0!</v>
      </c>
      <c r="O30" s="53" t="e">
        <f t="shared" si="11"/>
        <v>#DIV/0!</v>
      </c>
    </row>
    <row r="31" spans="1:15" ht="12.75" customHeight="1">
      <c r="A31" s="39">
        <v>6</v>
      </c>
      <c r="B31" s="43" t="str">
        <f t="shared" si="12"/>
        <v>Sem Cap</v>
      </c>
      <c r="C31" s="52">
        <f>'LINHA - 2N'!AI18</f>
        <v>0</v>
      </c>
      <c r="D31" s="52" t="e">
        <f t="shared" si="10"/>
        <v>#DIV/0!</v>
      </c>
      <c r="F31" s="52">
        <f t="shared" si="13"/>
        <v>6</v>
      </c>
      <c r="G31">
        <f t="shared" si="14"/>
        <v>11</v>
      </c>
      <c r="H31">
        <f t="shared" si="15"/>
        <v>11</v>
      </c>
      <c r="J31" t="str">
        <f t="shared" si="16"/>
        <v>Sem Bottom Plate</v>
      </c>
      <c r="K31" s="53" t="e">
        <f t="shared" si="17"/>
        <v>#DIV/0!</v>
      </c>
      <c r="L31" s="53">
        <f t="shared" si="18"/>
        <v>0</v>
      </c>
      <c r="M31" s="53">
        <f t="shared" si="20"/>
        <v>0</v>
      </c>
      <c r="N31" s="53" t="e">
        <f t="shared" si="19"/>
        <v>#DIV/0!</v>
      </c>
      <c r="O31" s="53" t="e">
        <f t="shared" si="11"/>
        <v>#DIV/0!</v>
      </c>
    </row>
    <row r="32" spans="1:15">
      <c r="A32" s="39">
        <v>7</v>
      </c>
      <c r="B32" s="44" t="str">
        <f t="shared" si="12"/>
        <v>Cap Amassado / Afundado</v>
      </c>
      <c r="C32" s="52">
        <f>'LINHA - 2N'!AI19</f>
        <v>0</v>
      </c>
      <c r="D32" s="52" t="e">
        <f t="shared" si="10"/>
        <v>#DIV/0!</v>
      </c>
      <c r="F32" s="52">
        <f t="shared" si="13"/>
        <v>7</v>
      </c>
      <c r="G32">
        <f t="shared" si="14"/>
        <v>10</v>
      </c>
      <c r="H32">
        <f t="shared" si="15"/>
        <v>10</v>
      </c>
      <c r="J32" t="str">
        <f t="shared" si="16"/>
        <v>Dois Anéis Vermelhos</v>
      </c>
      <c r="K32" s="53" t="e">
        <f t="shared" si="17"/>
        <v>#DIV/0!</v>
      </c>
      <c r="L32" s="53">
        <f t="shared" si="18"/>
        <v>0</v>
      </c>
      <c r="M32" s="53">
        <f t="shared" si="20"/>
        <v>0</v>
      </c>
      <c r="N32" s="53" t="e">
        <f t="shared" si="19"/>
        <v>#DIV/0!</v>
      </c>
      <c r="O32" s="53" t="e">
        <f t="shared" si="11"/>
        <v>#DIV/0!</v>
      </c>
    </row>
    <row r="33" spans="1:15">
      <c r="A33" s="39">
        <v>8</v>
      </c>
      <c r="B33" s="44" t="str">
        <f t="shared" si="12"/>
        <v>Cap Rachado</v>
      </c>
      <c r="C33" s="52">
        <f>'LINHA - 2N'!AI20</f>
        <v>0</v>
      </c>
      <c r="D33" s="52" t="e">
        <f t="shared" si="10"/>
        <v>#DIV/0!</v>
      </c>
      <c r="F33" s="52">
        <f t="shared" si="13"/>
        <v>8</v>
      </c>
      <c r="G33">
        <f t="shared" si="14"/>
        <v>9</v>
      </c>
      <c r="H33">
        <f t="shared" si="15"/>
        <v>9</v>
      </c>
      <c r="J33" t="str">
        <f t="shared" si="16"/>
        <v>Sem Anel Vermelho</v>
      </c>
      <c r="K33" s="53" t="e">
        <f t="shared" si="17"/>
        <v>#DIV/0!</v>
      </c>
      <c r="L33" s="53">
        <f t="shared" si="18"/>
        <v>0</v>
      </c>
      <c r="M33" s="53">
        <f t="shared" si="20"/>
        <v>0</v>
      </c>
      <c r="N33" s="53" t="e">
        <f t="shared" si="19"/>
        <v>#DIV/0!</v>
      </c>
      <c r="O33" s="53" t="e">
        <f t="shared" si="11"/>
        <v>#DIV/0!</v>
      </c>
    </row>
    <row r="34" spans="1:15">
      <c r="A34" s="39">
        <v>9</v>
      </c>
      <c r="B34" s="44" t="str">
        <f t="shared" si="12"/>
        <v>Sem Anel Vermelho</v>
      </c>
      <c r="C34" s="52">
        <f>'LINHA - 2N'!AI21</f>
        <v>0</v>
      </c>
      <c r="D34" s="52" t="e">
        <f t="shared" si="10"/>
        <v>#DIV/0!</v>
      </c>
      <c r="F34" s="52">
        <f t="shared" si="13"/>
        <v>9</v>
      </c>
      <c r="G34">
        <f t="shared" si="14"/>
        <v>8</v>
      </c>
      <c r="H34">
        <f t="shared" si="15"/>
        <v>8</v>
      </c>
      <c r="J34" t="str">
        <f t="shared" si="16"/>
        <v>Cap Rachado</v>
      </c>
      <c r="K34" s="53" t="e">
        <f t="shared" si="17"/>
        <v>#DIV/0!</v>
      </c>
      <c r="L34" s="53">
        <f t="shared" si="18"/>
        <v>0</v>
      </c>
      <c r="M34" s="53">
        <f t="shared" si="20"/>
        <v>0</v>
      </c>
      <c r="N34" s="53" t="e">
        <f t="shared" si="19"/>
        <v>#DIV/0!</v>
      </c>
      <c r="O34" s="53" t="e">
        <f t="shared" si="11"/>
        <v>#DIV/0!</v>
      </c>
    </row>
    <row r="35" spans="1:15">
      <c r="A35" s="39">
        <v>10</v>
      </c>
      <c r="B35" s="44" t="str">
        <f t="shared" si="12"/>
        <v>Dois Anéis Vermelhos</v>
      </c>
      <c r="C35" s="52">
        <f>'LINHA - 2N'!AI22</f>
        <v>0</v>
      </c>
      <c r="D35" s="52" t="e">
        <f t="shared" si="10"/>
        <v>#DIV/0!</v>
      </c>
      <c r="F35" s="52">
        <f t="shared" si="13"/>
        <v>10</v>
      </c>
      <c r="G35">
        <f t="shared" si="14"/>
        <v>7</v>
      </c>
      <c r="H35">
        <f t="shared" si="15"/>
        <v>7</v>
      </c>
      <c r="J35" t="str">
        <f t="shared" si="16"/>
        <v>Cap Amassado / Afundado</v>
      </c>
      <c r="K35" s="53" t="e">
        <f t="shared" si="17"/>
        <v>#DIV/0!</v>
      </c>
      <c r="L35" s="53">
        <f t="shared" si="18"/>
        <v>0</v>
      </c>
      <c r="M35" s="53">
        <f t="shared" si="20"/>
        <v>0</v>
      </c>
      <c r="N35" s="53" t="e">
        <f t="shared" si="19"/>
        <v>#DIV/0!</v>
      </c>
      <c r="O35" s="53" t="e">
        <f t="shared" si="11"/>
        <v>#DIV/0!</v>
      </c>
    </row>
    <row r="36" spans="1:15" ht="13.5" thickBot="1">
      <c r="A36" s="42">
        <v>11</v>
      </c>
      <c r="B36" s="45" t="str">
        <f t="shared" si="12"/>
        <v>Sem Bottom Plate</v>
      </c>
      <c r="C36" s="52">
        <f>'LINHA - 2N'!AI23</f>
        <v>0</v>
      </c>
      <c r="D36" s="52" t="e">
        <f t="shared" si="10"/>
        <v>#DIV/0!</v>
      </c>
      <c r="F36" s="52">
        <f t="shared" si="13"/>
        <v>11</v>
      </c>
      <c r="G36">
        <f t="shared" si="14"/>
        <v>6</v>
      </c>
      <c r="H36">
        <f t="shared" si="15"/>
        <v>6</v>
      </c>
      <c r="J36" t="str">
        <f t="shared" si="16"/>
        <v>Sem Cap</v>
      </c>
      <c r="K36" s="53" t="e">
        <f t="shared" si="17"/>
        <v>#DIV/0!</v>
      </c>
      <c r="L36" s="53">
        <f t="shared" si="18"/>
        <v>0</v>
      </c>
      <c r="M36" s="53">
        <f t="shared" si="20"/>
        <v>0</v>
      </c>
      <c r="N36" s="53" t="e">
        <f t="shared" si="19"/>
        <v>#DIV/0!</v>
      </c>
      <c r="O36" s="53" t="e">
        <f t="shared" si="11"/>
        <v>#DIV/0!</v>
      </c>
    </row>
    <row r="37" spans="1:15" ht="12.75" customHeight="1">
      <c r="A37" s="38">
        <v>12</v>
      </c>
      <c r="B37" s="43" t="str">
        <f t="shared" si="12"/>
        <v>Bottom Plate Amassado</v>
      </c>
      <c r="C37" s="52">
        <f>'LINHA - 2N'!AI24</f>
        <v>0</v>
      </c>
      <c r="D37" s="52" t="e">
        <f t="shared" si="10"/>
        <v>#DIV/0!</v>
      </c>
      <c r="F37" s="52">
        <f t="shared" si="13"/>
        <v>12</v>
      </c>
      <c r="G37">
        <f t="shared" si="14"/>
        <v>5</v>
      </c>
      <c r="H37">
        <f t="shared" si="15"/>
        <v>5</v>
      </c>
      <c r="J37" t="str">
        <f t="shared" si="16"/>
        <v>Falha de Impressão</v>
      </c>
      <c r="K37" s="53" t="e">
        <f t="shared" si="17"/>
        <v>#DIV/0!</v>
      </c>
      <c r="L37" s="53">
        <f t="shared" si="18"/>
        <v>0</v>
      </c>
      <c r="M37" s="53">
        <f t="shared" si="20"/>
        <v>0</v>
      </c>
      <c r="N37" s="53" t="e">
        <f t="shared" si="19"/>
        <v>#DIV/0!</v>
      </c>
      <c r="O37" s="53" t="e">
        <f t="shared" si="11"/>
        <v>#DIV/0!</v>
      </c>
    </row>
    <row r="38" spans="1:15">
      <c r="A38" s="39">
        <v>13</v>
      </c>
      <c r="B38" s="44" t="str">
        <f t="shared" si="12"/>
        <v>Sem Arruela</v>
      </c>
      <c r="C38" s="52">
        <f>'LINHA - 2N'!AI25</f>
        <v>0</v>
      </c>
      <c r="D38" s="52" t="e">
        <f t="shared" si="10"/>
        <v>#DIV/0!</v>
      </c>
      <c r="F38" s="52">
        <f t="shared" si="13"/>
        <v>13</v>
      </c>
      <c r="G38">
        <f t="shared" si="14"/>
        <v>4</v>
      </c>
      <c r="H38">
        <f t="shared" si="15"/>
        <v>4</v>
      </c>
      <c r="J38" t="str">
        <f t="shared" si="16"/>
        <v>Chapa Aberta</v>
      </c>
      <c r="K38" s="53" t="e">
        <f t="shared" si="17"/>
        <v>#DIV/0!</v>
      </c>
      <c r="L38" s="53">
        <f t="shared" si="18"/>
        <v>0</v>
      </c>
      <c r="M38" s="53">
        <f t="shared" si="20"/>
        <v>0</v>
      </c>
      <c r="N38" s="53" t="e">
        <f t="shared" si="19"/>
        <v>#DIV/0!</v>
      </c>
      <c r="O38" s="53" t="e">
        <f t="shared" si="11"/>
        <v>#DIV/0!</v>
      </c>
    </row>
    <row r="39" spans="1:15">
      <c r="A39" s="39">
        <v>14</v>
      </c>
      <c r="B39" s="44" t="str">
        <f t="shared" si="12"/>
        <v>Sem Arruela / Sem Bottom Plate</v>
      </c>
      <c r="C39" s="52">
        <f>'LINHA - 2N'!AI26</f>
        <v>0</v>
      </c>
      <c r="D39" s="52" t="e">
        <f t="shared" si="10"/>
        <v>#DIV/0!</v>
      </c>
      <c r="F39" s="52">
        <f t="shared" si="13"/>
        <v>14</v>
      </c>
      <c r="G39">
        <f t="shared" si="14"/>
        <v>3</v>
      </c>
      <c r="H39">
        <f t="shared" si="15"/>
        <v>3</v>
      </c>
      <c r="J39" t="str">
        <f t="shared" si="16"/>
        <v>Chapa Invertida</v>
      </c>
      <c r="K39" s="53" t="e">
        <f t="shared" si="17"/>
        <v>#DIV/0!</v>
      </c>
      <c r="L39" s="53">
        <f t="shared" si="18"/>
        <v>0</v>
      </c>
      <c r="M39" s="53">
        <f t="shared" si="20"/>
        <v>0</v>
      </c>
      <c r="N39" s="53" t="e">
        <f t="shared" si="19"/>
        <v>#DIV/0!</v>
      </c>
      <c r="O39" s="53" t="e">
        <f t="shared" si="11"/>
        <v>#DIV/0!</v>
      </c>
    </row>
    <row r="40" spans="1:15">
      <c r="A40" s="39">
        <v>15</v>
      </c>
      <c r="B40" s="44" t="str">
        <f t="shared" si="12"/>
        <v>Fundo Amassado</v>
      </c>
      <c r="C40" s="52">
        <f>'LINHA - 2N'!AI27</f>
        <v>0</v>
      </c>
      <c r="D40" s="52" t="e">
        <f t="shared" si="10"/>
        <v>#DIV/0!</v>
      </c>
      <c r="F40" s="52">
        <f t="shared" si="13"/>
        <v>15</v>
      </c>
      <c r="G40">
        <f t="shared" si="14"/>
        <v>2</v>
      </c>
      <c r="H40">
        <f t="shared" si="15"/>
        <v>2</v>
      </c>
      <c r="J40" t="str">
        <f t="shared" si="16"/>
        <v>Chapa Manchada</v>
      </c>
      <c r="K40" s="53" t="e">
        <f t="shared" si="17"/>
        <v>#DIV/0!</v>
      </c>
      <c r="L40" s="53">
        <f t="shared" si="18"/>
        <v>0</v>
      </c>
      <c r="M40" s="53">
        <f t="shared" si="20"/>
        <v>0</v>
      </c>
      <c r="N40" s="53" t="e">
        <f t="shared" si="19"/>
        <v>#DIV/0!</v>
      </c>
      <c r="O40" s="53" t="e">
        <f t="shared" si="11"/>
        <v>#DIV/0!</v>
      </c>
    </row>
    <row r="41" spans="1:15">
      <c r="A41" s="39">
        <v>16</v>
      </c>
      <c r="B41" s="44" t="str">
        <f t="shared" si="12"/>
        <v>Fundo Sujo</v>
      </c>
      <c r="C41" s="52">
        <f>'LINHA - 2N'!AI28</f>
        <v>0</v>
      </c>
      <c r="D41" s="52" t="e">
        <f t="shared" si="10"/>
        <v>#DIV/0!</v>
      </c>
      <c r="F41" s="52">
        <f t="shared" si="13"/>
        <v>16</v>
      </c>
      <c r="G41">
        <f t="shared" si="14"/>
        <v>1</v>
      </c>
      <c r="H41">
        <f t="shared" si="15"/>
        <v>1</v>
      </c>
      <c r="J41" t="str">
        <f t="shared" si="16"/>
        <v>Chapa Riscada</v>
      </c>
      <c r="K41" s="53" t="e">
        <f t="shared" si="17"/>
        <v>#DIV/0!</v>
      </c>
      <c r="L41" s="53">
        <f t="shared" si="18"/>
        <v>0</v>
      </c>
      <c r="M41" s="53">
        <f t="shared" si="20"/>
        <v>0</v>
      </c>
      <c r="N41" s="53" t="e">
        <f t="shared" si="19"/>
        <v>#DIV/0!</v>
      </c>
      <c r="O41" s="53" t="e">
        <f t="shared" si="11"/>
        <v>#DIV/0!</v>
      </c>
    </row>
    <row r="42" spans="1:15" ht="13.5" thickBot="1">
      <c r="A42" s="46">
        <v>17</v>
      </c>
      <c r="B42" s="47" t="str">
        <f t="shared" si="12"/>
        <v>Outros</v>
      </c>
      <c r="C42" s="52">
        <f>'LINHA - 2N'!AI29</f>
        <v>0</v>
      </c>
      <c r="D42" s="52" t="e">
        <f t="shared" si="10"/>
        <v>#DIV/0!</v>
      </c>
      <c r="F42" s="52">
        <f t="shared" si="13"/>
        <v>17</v>
      </c>
      <c r="G42">
        <v>17</v>
      </c>
      <c r="H42">
        <v>17</v>
      </c>
      <c r="J42" t="str">
        <f t="shared" si="16"/>
        <v>Outros</v>
      </c>
      <c r="K42" s="53" t="e">
        <f t="shared" si="17"/>
        <v>#DIV/0!</v>
      </c>
      <c r="L42" s="53">
        <f t="shared" si="18"/>
        <v>0</v>
      </c>
      <c r="M42" s="53">
        <f t="shared" si="20"/>
        <v>0</v>
      </c>
      <c r="N42" s="53" t="e">
        <f t="shared" si="19"/>
        <v>#DIV/0!</v>
      </c>
      <c r="O42" s="53" t="e">
        <f t="shared" si="11"/>
        <v>#DIV/0!</v>
      </c>
    </row>
    <row r="43" spans="1:15">
      <c r="A43" s="155" t="s">
        <v>2</v>
      </c>
      <c r="B43" s="157"/>
      <c r="C43" s="52">
        <f>'LINHA - 2N'!AI30</f>
        <v>0</v>
      </c>
      <c r="D43" s="52" t="e">
        <f t="shared" si="10"/>
        <v>#DIV/0!</v>
      </c>
    </row>
  </sheetData>
  <sheetProtection algorithmName="SHA-512" hashValue="PV2Ig+OhqvO0EYVeyDGYYQW3sS6NVVJoP4TBcAaS8Ca7t8Y6fwYs4s+m1lskFcbsK8zg44sCgslyLUOJTvlw7A==" saltValue="y06Q14zBnEV8IDRd5c8Ayw==" spinCount="100000" sheet="1" objects="1" scenarios="1" selectLockedCells="1"/>
  <mergeCells count="2">
    <mergeCell ref="A43:B43"/>
    <mergeCell ref="A21:B21"/>
  </mergeCells>
  <phoneticPr fontId="0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">
    <pageSetUpPr fitToPage="1"/>
  </sheetPr>
  <dimension ref="A1"/>
  <sheetViews>
    <sheetView zoomScaleNormal="100" workbookViewId="0"/>
  </sheetViews>
  <sheetFormatPr defaultRowHeight="12.75"/>
  <sheetData/>
  <sheetProtection password="CE4F" sheet="1" objects="1" scenarios="1"/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5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4">
    <pageSetUpPr fitToPage="1"/>
  </sheetPr>
  <dimension ref="A1"/>
  <sheetViews>
    <sheetView tabSelected="1" zoomScaleNormal="100" workbookViewId="0"/>
  </sheetViews>
  <sheetFormatPr defaultRowHeight="12.75"/>
  <sheetData/>
  <sheetProtection password="CE4F" sheet="1" objects="1" scenarios="1"/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19</vt:i4>
      </vt:variant>
    </vt:vector>
  </HeadingPairs>
  <TitlesOfParts>
    <vt:vector size="27" baseType="lpstr">
      <vt:lpstr>Instruções de Uso</vt:lpstr>
      <vt:lpstr>LINHA - 1D</vt:lpstr>
      <vt:lpstr>LINHA - 2D</vt:lpstr>
      <vt:lpstr>LINHA - 1N</vt:lpstr>
      <vt:lpstr>LINHA - 2N</vt:lpstr>
      <vt:lpstr>Dados para grafico</vt:lpstr>
      <vt:lpstr>Pareto L1</vt:lpstr>
      <vt:lpstr>Pareto L2</vt:lpstr>
      <vt:lpstr>'LINHA - 1N'!_F7.47</vt:lpstr>
      <vt:lpstr>'LINHA - 2D'!_F7.47</vt:lpstr>
      <vt:lpstr>'LINHA - 2N'!_F7.47</vt:lpstr>
      <vt:lpstr>_F7.47</vt:lpstr>
      <vt:lpstr>'LINHA - 1D'!Area_de_impressao</vt:lpstr>
      <vt:lpstr>'LINHA - 1N'!Area_de_impressao</vt:lpstr>
      <vt:lpstr>'LINHA - 2D'!Area_de_impressao</vt:lpstr>
      <vt:lpstr>'LINHA - 2N'!Area_de_impressao</vt:lpstr>
      <vt:lpstr>FALHAS_L1D</vt:lpstr>
      <vt:lpstr>FALHAS_L1N</vt:lpstr>
      <vt:lpstr>FALHAS_L2D</vt:lpstr>
      <vt:lpstr>FALHAS_L2N</vt:lpstr>
      <vt:lpstr>PERIODO</vt:lpstr>
      <vt:lpstr>PROD_L1D</vt:lpstr>
      <vt:lpstr>PROD_L1N</vt:lpstr>
      <vt:lpstr>PROD_L2D</vt:lpstr>
      <vt:lpstr>PROD_L2N</vt:lpstr>
      <vt:lpstr>TARGET_L1</vt:lpstr>
      <vt:lpstr>TARGET_L2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2021-04-26T18:39:50Z</cp:lastPrinted>
  <dcterms:created xsi:type="dcterms:W3CDTF">2003-08-12T11:40:09Z</dcterms:created>
  <dcterms:modified xsi:type="dcterms:W3CDTF">2022-02-21T11:25:15Z</dcterms:modified>
</cp:coreProperties>
</file>