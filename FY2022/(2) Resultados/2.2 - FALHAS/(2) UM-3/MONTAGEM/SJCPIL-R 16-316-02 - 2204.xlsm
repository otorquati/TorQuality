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2) UM-3\MONTAGEM\"/>
    </mc:Choice>
  </mc:AlternateContent>
  <xr:revisionPtr revIDLastSave="0" documentId="13_ncr:1_{DC3606C4-6341-49AA-908C-E613DA024AA6}" xr6:coauthVersionLast="47" xr6:coauthVersionMax="47" xr10:uidLastSave="{00000000-0000-0000-0000-000000000000}"/>
  <workbookProtection workbookAlgorithmName="SHA-512" workbookHashValue="zRQroOnZsPI3esE01kttooQHYuqUj1kCfv2n0enhPNMa5Y2GxgQng1OQh2EGaM6/+xC1J09jsfBFElloPYU5lA==" workbookSaltValue="bZp9cybGpm6kxiwhPA529A==" workbookSpinCount="100000" lockStructure="1"/>
  <bookViews>
    <workbookView xWindow="-120" yWindow="-120" windowWidth="29040" windowHeight="16440" tabRatio="813" activeTab="7" xr2:uid="{00000000-000D-0000-FFFF-FFFF00000000}"/>
  </bookViews>
  <sheets>
    <sheet name="Instruções de Uso" sheetId="8" r:id="rId1"/>
    <sheet name="LINHA 1-D" sheetId="1" r:id="rId2"/>
    <sheet name="LINHA 2-D" sheetId="6" r:id="rId3"/>
    <sheet name="LINHA 1-N" sheetId="9" r:id="rId4"/>
    <sheet name="LINHA 2-N" sheetId="7" r:id="rId5"/>
    <sheet name="Dados" sheetId="10" state="hidden" r:id="rId6"/>
    <sheet name="Pareto L1" sheetId="14" r:id="rId7"/>
    <sheet name="Pareto L2" sheetId="13" r:id="rId8"/>
  </sheets>
  <externalReferences>
    <externalReference r:id="rId9"/>
    <externalReference r:id="rId10"/>
    <externalReference r:id="rId11"/>
    <externalReference r:id="rId12"/>
  </externalReferences>
  <definedNames>
    <definedName name="_xlnm.Print_Area" localSheetId="1">'LINHA 1-D'!$A$1:$AD$33</definedName>
    <definedName name="_xlnm.Print_Area" localSheetId="3">'LINHA 1-N'!$A$1:$AD$33</definedName>
    <definedName name="_xlnm.Print_Area" localSheetId="2">'LINHA 2-D'!$A$1:$AE$33</definedName>
    <definedName name="_xlnm.Print_Area" localSheetId="4">'LINHA 2-N'!$A$1:$AE$33</definedName>
    <definedName name="FALHAS_L1D">'LINHA 1-D'!$AD$28</definedName>
    <definedName name="FALHAS_L1N">'LINHA 1-N'!$AD$28</definedName>
    <definedName name="FALHAS_L2D">'LINHA 2-D'!$AD$28</definedName>
    <definedName name="FALHAS_L2N">'LINHA 2-N'!$AD$28</definedName>
    <definedName name="Lin1AC">OFFSET(Dados!$P$4,0,0,COUNTIF(Dados!$P$4:$P$12,"&lt;100")+1,1)</definedName>
    <definedName name="Lin1Prob">OFFSET(Dados!$M$4,0,0,COUNTIF(Dados!$P$4:$P$12,"&lt;100")+1,1)</definedName>
    <definedName name="Lin2AC">OFFSET(Dados!$P$18,0,0,COUNTIF(Dados!$P$18:$P$26,"&lt;100")+1,1)</definedName>
    <definedName name="Lin2Prob">OFFSET(Dados!$M$18,0,0,COUNTIF(Dados!$P$18:$P$26,"&lt;100")+1,1)</definedName>
    <definedName name="LinFalhas1_X">OFFSET(Dados!$L$4,0,0,COUNTIF(Dados!$P$4:$P$12,"&lt;100")+1,1)</definedName>
    <definedName name="LinFalhas1_Y">OFFSET(Dados!$Q$4,0,0,COUNTIF(Dados!$P$4:$P$12,"&lt;100")+1,1)</definedName>
    <definedName name="LinFalhas2_X">OFFSET(Dados!$L$18,0,0,COUNTIF(Dados!$P$18:$P$26,"&lt;100")+1,1)</definedName>
    <definedName name="LinFalhas2_Y">OFFSET(Dados!$Q$18,0,0,COUNTIF(Dados!$P$18:$P$26,"&lt;100")+1,1)</definedName>
    <definedName name="PERIODO">'LINHA 1-D'!$AB$1</definedName>
    <definedName name="PROD_L1D">'LINHA 1-D'!$AD$6</definedName>
    <definedName name="PROD_L1N">'LINHA 1-N'!$AD$6</definedName>
    <definedName name="PROD_L2D">'LINHA 2-D'!$AD$6</definedName>
    <definedName name="PROD_L2N">'LINHA 2-N'!$AD$6</definedName>
    <definedName name="TARGET_L1">'LINHA 1-D'!$B$34</definedName>
    <definedName name="TARGET_L2">'LINHA 2-D'!$B$34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44" i="7" l="1" a="1"/>
  <c r="AC44" i="7" s="1"/>
  <c r="AB44" i="7" a="1"/>
  <c r="AB44" i="7" s="1"/>
  <c r="AA44" i="7" a="1"/>
  <c r="AA44" i="7" s="1"/>
  <c r="Z44" i="7" a="1"/>
  <c r="Z44" i="7" s="1"/>
  <c r="Y44" i="7" a="1"/>
  <c r="Y44" i="7" s="1"/>
  <c r="X44" i="7" a="1"/>
  <c r="X44" i="7" s="1"/>
  <c r="W44" i="7" a="1"/>
  <c r="W44" i="7" s="1"/>
  <c r="V44" i="7" a="1"/>
  <c r="V44" i="7" s="1"/>
  <c r="U44" i="7" a="1"/>
  <c r="U44" i="7" s="1"/>
  <c r="T44" i="7" a="1"/>
  <c r="T44" i="7" s="1"/>
  <c r="S44" i="7" a="1"/>
  <c r="S44" i="7" s="1"/>
  <c r="R44" i="7" a="1"/>
  <c r="R44" i="7" s="1"/>
  <c r="Q44" i="7" a="1"/>
  <c r="Q44" i="7" s="1"/>
  <c r="P44" i="7" a="1"/>
  <c r="P44" i="7" s="1"/>
  <c r="O44" i="7" a="1"/>
  <c r="O44" i="7" s="1"/>
  <c r="N44" i="7" a="1"/>
  <c r="N44" i="7" s="1"/>
  <c r="M44" i="7" a="1"/>
  <c r="M44" i="7" s="1"/>
  <c r="L44" i="7" a="1"/>
  <c r="L44" i="7" s="1"/>
  <c r="K44" i="7" a="1"/>
  <c r="K44" i="7" s="1"/>
  <c r="J44" i="7" a="1"/>
  <c r="J44" i="7" s="1"/>
  <c r="I44" i="7" a="1"/>
  <c r="I44" i="7" s="1"/>
  <c r="H44" i="7" a="1"/>
  <c r="H44" i="7" s="1"/>
  <c r="G44" i="7" a="1"/>
  <c r="G44" i="7" s="1"/>
  <c r="F44" i="7" a="1"/>
  <c r="F44" i="7" s="1"/>
  <c r="E44" i="7" a="1"/>
  <c r="E44" i="7" s="1"/>
  <c r="D44" i="7" a="1"/>
  <c r="D44" i="7" s="1"/>
  <c r="C44" i="7" a="1"/>
  <c r="C44" i="7" s="1"/>
  <c r="B44" i="7" a="1"/>
  <c r="B44" i="7" s="1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C40" i="7"/>
  <c r="AB40" i="7"/>
  <c r="Y40" i="7"/>
  <c r="X40" i="7"/>
  <c r="W40" i="7"/>
  <c r="V40" i="7"/>
  <c r="U40" i="7"/>
  <c r="T40" i="7"/>
  <c r="S40" i="7"/>
  <c r="R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C39" i="7"/>
  <c r="AB39" i="7"/>
  <c r="Y39" i="7"/>
  <c r="X39" i="7"/>
  <c r="W39" i="7"/>
  <c r="V39" i="7"/>
  <c r="U39" i="7"/>
  <c r="T39" i="7"/>
  <c r="S39" i="7"/>
  <c r="R39" i="7"/>
  <c r="N39" i="7"/>
  <c r="M39" i="7"/>
  <c r="L39" i="7"/>
  <c r="K39" i="7"/>
  <c r="J39" i="7"/>
  <c r="I39" i="7"/>
  <c r="H39" i="7"/>
  <c r="G39" i="7"/>
  <c r="F39" i="7"/>
  <c r="E39" i="7"/>
  <c r="D39" i="7"/>
  <c r="C39" i="7"/>
  <c r="B39" i="7"/>
  <c r="AC36" i="7"/>
  <c r="AB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B36" i="7"/>
  <c r="A30" i="7"/>
  <c r="AF27" i="7"/>
  <c r="AE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B27" i="7"/>
  <c r="AD26" i="7"/>
  <c r="D27" i="10" s="1"/>
  <c r="AD25" i="7"/>
  <c r="D26" i="10" s="1"/>
  <c r="AD24" i="7"/>
  <c r="D25" i="10" s="1"/>
  <c r="AD23" i="7"/>
  <c r="D24" i="10" s="1"/>
  <c r="AC22" i="7"/>
  <c r="AC28" i="7" s="1"/>
  <c r="AC29" i="7" s="1"/>
  <c r="AB22" i="7"/>
  <c r="AA22" i="7"/>
  <c r="Z22" i="7"/>
  <c r="Y22" i="7"/>
  <c r="X22" i="7"/>
  <c r="W22" i="7"/>
  <c r="V22" i="7"/>
  <c r="U22" i="7"/>
  <c r="U28" i="7" s="1"/>
  <c r="U29" i="7" s="1"/>
  <c r="T22" i="7"/>
  <c r="S22" i="7"/>
  <c r="R22" i="7"/>
  <c r="Q22" i="7"/>
  <c r="P22" i="7"/>
  <c r="O22" i="7"/>
  <c r="N22" i="7"/>
  <c r="M22" i="7"/>
  <c r="M28" i="7" s="1"/>
  <c r="M29" i="7" s="1"/>
  <c r="L22" i="7"/>
  <c r="K22" i="7"/>
  <c r="J22" i="7"/>
  <c r="I22" i="7"/>
  <c r="H22" i="7"/>
  <c r="G22" i="7"/>
  <c r="F22" i="7"/>
  <c r="E22" i="7"/>
  <c r="E28" i="7" s="1"/>
  <c r="E29" i="7" s="1"/>
  <c r="D22" i="7"/>
  <c r="C22" i="7"/>
  <c r="B22" i="7"/>
  <c r="AD21" i="7"/>
  <c r="D23" i="10" s="1"/>
  <c r="AD20" i="7"/>
  <c r="D22" i="10" s="1"/>
  <c r="AD19" i="7"/>
  <c r="D21" i="10" s="1"/>
  <c r="AD18" i="7"/>
  <c r="D20" i="10" s="1"/>
  <c r="AD17" i="7"/>
  <c r="D19" i="10" s="1"/>
  <c r="AD16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N7" i="7"/>
  <c r="M7" i="7"/>
  <c r="L7" i="7"/>
  <c r="K7" i="7"/>
  <c r="J7" i="7"/>
  <c r="I7" i="7"/>
  <c r="G7" i="7"/>
  <c r="E7" i="7"/>
  <c r="D7" i="7"/>
  <c r="C7" i="7"/>
  <c r="B7" i="7"/>
  <c r="AF6" i="7" a="1"/>
  <c r="AF6" i="7" s="1"/>
  <c r="AD6" i="7"/>
  <c r="D17" i="10" s="1"/>
  <c r="AD5" i="7"/>
  <c r="AD4" i="7"/>
  <c r="AC44" i="9" a="1"/>
  <c r="AC44" i="9" s="1"/>
  <c r="AB44" i="9" a="1"/>
  <c r="AB44" i="9" s="1"/>
  <c r="AA44" i="9" a="1"/>
  <c r="AA44" i="9" s="1"/>
  <c r="Z44" i="9" a="1"/>
  <c r="Z44" i="9" s="1"/>
  <c r="Y44" i="9" a="1"/>
  <c r="Y44" i="9" s="1"/>
  <c r="X44" i="9" a="1"/>
  <c r="X44" i="9" s="1"/>
  <c r="W44" i="9" a="1"/>
  <c r="W44" i="9" s="1"/>
  <c r="V44" i="9" a="1"/>
  <c r="V44" i="9" s="1"/>
  <c r="U44" i="9" a="1"/>
  <c r="U44" i="9" s="1"/>
  <c r="T44" i="9" a="1"/>
  <c r="T44" i="9" s="1"/>
  <c r="S44" i="9" a="1"/>
  <c r="S44" i="9" s="1"/>
  <c r="R44" i="9" a="1"/>
  <c r="R44" i="9" s="1"/>
  <c r="Q44" i="9" a="1"/>
  <c r="Q44" i="9" s="1"/>
  <c r="P44" i="9" a="1"/>
  <c r="P44" i="9" s="1"/>
  <c r="O44" i="9" a="1"/>
  <c r="O44" i="9" s="1"/>
  <c r="N44" i="9" a="1"/>
  <c r="N44" i="9" s="1"/>
  <c r="M44" i="9" a="1"/>
  <c r="M44" i="9" s="1"/>
  <c r="L44" i="9" a="1"/>
  <c r="L44" i="9" s="1"/>
  <c r="K44" i="9" a="1"/>
  <c r="K44" i="9" s="1"/>
  <c r="J44" i="9" a="1"/>
  <c r="J44" i="9" s="1"/>
  <c r="I44" i="9" a="1"/>
  <c r="I44" i="9" s="1"/>
  <c r="H44" i="9" a="1"/>
  <c r="H44" i="9" s="1"/>
  <c r="G44" i="9" a="1"/>
  <c r="G44" i="9" s="1"/>
  <c r="F44" i="9" a="1"/>
  <c r="F44" i="9" s="1"/>
  <c r="E44" i="9" a="1"/>
  <c r="E44" i="9" s="1"/>
  <c r="D44" i="9" a="1"/>
  <c r="D44" i="9" s="1"/>
  <c r="C44" i="9" a="1"/>
  <c r="C44" i="9" s="1"/>
  <c r="B44" i="9" a="1"/>
  <c r="B44" i="9" s="1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9"/>
  <c r="AC40" i="9"/>
  <c r="AB40" i="9"/>
  <c r="AA40" i="9"/>
  <c r="Z40" i="9"/>
  <c r="Y40" i="9"/>
  <c r="X40" i="9"/>
  <c r="W40" i="9"/>
  <c r="V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AC39" i="9"/>
  <c r="AB39" i="9"/>
  <c r="AA39" i="9"/>
  <c r="Z39" i="9"/>
  <c r="Y39" i="9"/>
  <c r="X39" i="9"/>
  <c r="W39" i="9"/>
  <c r="V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B39" i="9"/>
  <c r="AC36" i="9"/>
  <c r="AB36" i="9"/>
  <c r="AA36" i="9"/>
  <c r="Z36" i="9"/>
  <c r="Y36" i="9"/>
  <c r="X36" i="9"/>
  <c r="W36" i="9"/>
  <c r="V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B36" i="9"/>
  <c r="A30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B27" i="9"/>
  <c r="AD26" i="9"/>
  <c r="AD25" i="9"/>
  <c r="D12" i="10" s="1"/>
  <c r="AD24" i="9"/>
  <c r="D11" i="10" s="1"/>
  <c r="AD23" i="9"/>
  <c r="D10" i="10" s="1"/>
  <c r="AC22" i="9"/>
  <c r="AC28" i="9" s="1"/>
  <c r="AC29" i="9" s="1"/>
  <c r="AB22" i="9"/>
  <c r="AB28" i="9" s="1"/>
  <c r="AB29" i="9" s="1"/>
  <c r="AA22" i="9"/>
  <c r="AA28" i="9" s="1"/>
  <c r="AA29" i="9" s="1"/>
  <c r="Z22" i="9"/>
  <c r="Z28" i="9" s="1"/>
  <c r="Z29" i="9" s="1"/>
  <c r="Y22" i="9"/>
  <c r="Y28" i="9" s="1"/>
  <c r="Y29" i="9" s="1"/>
  <c r="X22" i="9"/>
  <c r="X28" i="9" s="1"/>
  <c r="X29" i="9" s="1"/>
  <c r="W22" i="9"/>
  <c r="W28" i="9" s="1"/>
  <c r="W29" i="9" s="1"/>
  <c r="V22" i="9"/>
  <c r="U22" i="9"/>
  <c r="T22" i="9"/>
  <c r="T28" i="9" s="1"/>
  <c r="T29" i="9" s="1"/>
  <c r="S22" i="9"/>
  <c r="S28" i="9" s="1"/>
  <c r="S29" i="9" s="1"/>
  <c r="R22" i="9"/>
  <c r="Q22" i="9"/>
  <c r="Q28" i="9" s="1"/>
  <c r="Q29" i="9" s="1"/>
  <c r="P22" i="9"/>
  <c r="P28" i="9" s="1"/>
  <c r="P29" i="9" s="1"/>
  <c r="O22" i="9"/>
  <c r="O28" i="9" s="1"/>
  <c r="O29" i="9" s="1"/>
  <c r="N22" i="9"/>
  <c r="M22" i="9"/>
  <c r="M28" i="9" s="1"/>
  <c r="M29" i="9" s="1"/>
  <c r="L22" i="9"/>
  <c r="L28" i="9" s="1"/>
  <c r="L29" i="9" s="1"/>
  <c r="K22" i="9"/>
  <c r="K28" i="9" s="1"/>
  <c r="K29" i="9" s="1"/>
  <c r="J22" i="9"/>
  <c r="J28" i="9" s="1"/>
  <c r="J29" i="9" s="1"/>
  <c r="I22" i="9"/>
  <c r="I28" i="9" s="1"/>
  <c r="I29" i="9" s="1"/>
  <c r="H22" i="9"/>
  <c r="H28" i="9" s="1"/>
  <c r="H29" i="9" s="1"/>
  <c r="G22" i="9"/>
  <c r="G28" i="9" s="1"/>
  <c r="G29" i="9" s="1"/>
  <c r="F22" i="9"/>
  <c r="E22" i="9"/>
  <c r="D22" i="9"/>
  <c r="D28" i="9" s="1"/>
  <c r="D29" i="9" s="1"/>
  <c r="C22" i="9"/>
  <c r="C28" i="9" s="1"/>
  <c r="C29" i="9" s="1"/>
  <c r="B22" i="9"/>
  <c r="AD21" i="9"/>
  <c r="D9" i="10" s="1"/>
  <c r="AD20" i="9"/>
  <c r="D8" i="10" s="1"/>
  <c r="AD19" i="9"/>
  <c r="D7" i="10" s="1"/>
  <c r="AD18" i="9"/>
  <c r="D6" i="10" s="1"/>
  <c r="AD17" i="9"/>
  <c r="D5" i="10" s="1"/>
  <c r="AD16" i="9"/>
  <c r="D4" i="10" s="1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E7" i="9"/>
  <c r="D7" i="9"/>
  <c r="C7" i="9"/>
  <c r="B7" i="9"/>
  <c r="AF6" i="9" a="1"/>
  <c r="AF6" i="9" s="1"/>
  <c r="AD6" i="9"/>
  <c r="AD5" i="9"/>
  <c r="AD4" i="9"/>
  <c r="AC44" i="6" a="1"/>
  <c r="AC44" i="6" s="1"/>
  <c r="AB44" i="6" a="1"/>
  <c r="AB44" i="6" s="1"/>
  <c r="AA44" i="6" a="1"/>
  <c r="AA44" i="6" s="1"/>
  <c r="Z44" i="6" a="1"/>
  <c r="Z44" i="6" s="1"/>
  <c r="Y44" i="6" a="1"/>
  <c r="Y44" i="6" s="1"/>
  <c r="X44" i="6" a="1"/>
  <c r="X44" i="6" s="1"/>
  <c r="W44" i="6" a="1"/>
  <c r="W44" i="6" s="1"/>
  <c r="V44" i="6" a="1"/>
  <c r="V44" i="6" s="1"/>
  <c r="U44" i="6" a="1"/>
  <c r="U44" i="6" s="1"/>
  <c r="T44" i="6" a="1"/>
  <c r="T44" i="6" s="1"/>
  <c r="S44" i="6" a="1"/>
  <c r="S44" i="6" s="1"/>
  <c r="R44" i="6" a="1"/>
  <c r="R44" i="6" s="1"/>
  <c r="Q44" i="6" a="1"/>
  <c r="Q44" i="6" s="1"/>
  <c r="P44" i="6" a="1"/>
  <c r="P44" i="6" s="1"/>
  <c r="O44" i="6" a="1"/>
  <c r="O44" i="6" s="1"/>
  <c r="N44" i="6" a="1"/>
  <c r="N44" i="6" s="1"/>
  <c r="M44" i="6" a="1"/>
  <c r="M44" i="6" s="1"/>
  <c r="L44" i="6" a="1"/>
  <c r="L44" i="6" s="1"/>
  <c r="K44" i="6" a="1"/>
  <c r="K44" i="6" s="1"/>
  <c r="J44" i="6" a="1"/>
  <c r="J44" i="6" s="1"/>
  <c r="I44" i="6" a="1"/>
  <c r="I44" i="6" s="1"/>
  <c r="H44" i="6" a="1"/>
  <c r="H44" i="6" s="1"/>
  <c r="G44" i="6" a="1"/>
  <c r="G44" i="6" s="1"/>
  <c r="F44" i="6" a="1"/>
  <c r="F44" i="6" s="1"/>
  <c r="E44" i="6" a="1"/>
  <c r="E44" i="6" s="1"/>
  <c r="D44" i="6" a="1"/>
  <c r="D44" i="6" s="1"/>
  <c r="C44" i="6" a="1"/>
  <c r="C44" i="6" s="1"/>
  <c r="B44" i="6" a="1"/>
  <c r="B44" i="6" s="1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C40" i="6"/>
  <c r="Z40" i="6"/>
  <c r="X40" i="6"/>
  <c r="W40" i="6"/>
  <c r="V40" i="6"/>
  <c r="U40" i="6"/>
  <c r="T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C39" i="6"/>
  <c r="Z39" i="6"/>
  <c r="X39" i="6"/>
  <c r="W39" i="6"/>
  <c r="V39" i="6"/>
  <c r="U39" i="6"/>
  <c r="T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C36" i="6"/>
  <c r="Z36" i="6"/>
  <c r="X36" i="6"/>
  <c r="W36" i="6"/>
  <c r="V36" i="6"/>
  <c r="U36" i="6"/>
  <c r="T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B34" i="6"/>
  <c r="B34" i="7" s="1"/>
  <c r="A30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D26" i="6"/>
  <c r="AD25" i="6"/>
  <c r="C26" i="10" s="1"/>
  <c r="AD24" i="6"/>
  <c r="C25" i="10" s="1"/>
  <c r="AD23" i="6"/>
  <c r="C24" i="10" s="1"/>
  <c r="AC22" i="6"/>
  <c r="AC28" i="6" s="1"/>
  <c r="AC29" i="6" s="1"/>
  <c r="AB22" i="6"/>
  <c r="AB28" i="6" s="1"/>
  <c r="AB29" i="6" s="1"/>
  <c r="AA22" i="6"/>
  <c r="Z22" i="6"/>
  <c r="Y22" i="6"/>
  <c r="Y28" i="6" s="1"/>
  <c r="Y29" i="6" s="1"/>
  <c r="X22" i="6"/>
  <c r="X28" i="6" s="1"/>
  <c r="X29" i="6" s="1"/>
  <c r="W22" i="6"/>
  <c r="V22" i="6"/>
  <c r="U22" i="6"/>
  <c r="U28" i="6" s="1"/>
  <c r="U29" i="6" s="1"/>
  <c r="T22" i="6"/>
  <c r="T28" i="6" s="1"/>
  <c r="T29" i="6" s="1"/>
  <c r="S22" i="6"/>
  <c r="R22" i="6"/>
  <c r="Q22" i="6"/>
  <c r="Q28" i="6" s="1"/>
  <c r="Q29" i="6" s="1"/>
  <c r="P22" i="6"/>
  <c r="P28" i="6" s="1"/>
  <c r="P29" i="6" s="1"/>
  <c r="O22" i="6"/>
  <c r="N22" i="6"/>
  <c r="M22" i="6"/>
  <c r="M28" i="6" s="1"/>
  <c r="M29" i="6" s="1"/>
  <c r="L22" i="6"/>
  <c r="L28" i="6" s="1"/>
  <c r="L29" i="6" s="1"/>
  <c r="K22" i="6"/>
  <c r="J22" i="6"/>
  <c r="I22" i="6"/>
  <c r="I28" i="6" s="1"/>
  <c r="I29" i="6" s="1"/>
  <c r="H22" i="6"/>
  <c r="G22" i="6"/>
  <c r="F22" i="6"/>
  <c r="E22" i="6"/>
  <c r="D22" i="6"/>
  <c r="C22" i="6"/>
  <c r="B22" i="6"/>
  <c r="AD21" i="6"/>
  <c r="C23" i="10" s="1"/>
  <c r="AD20" i="6"/>
  <c r="C22" i="10" s="1"/>
  <c r="AD19" i="6"/>
  <c r="C21" i="10" s="1"/>
  <c r="AD18" i="6"/>
  <c r="C20" i="10" s="1"/>
  <c r="AD17" i="6"/>
  <c r="C19" i="10" s="1"/>
  <c r="AD16" i="6"/>
  <c r="C18" i="10" s="1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C7" i="6"/>
  <c r="B7" i="6"/>
  <c r="AF6" i="6" a="1"/>
  <c r="AF6" i="6" s="1"/>
  <c r="AD6" i="6"/>
  <c r="AD5" i="6"/>
  <c r="AD4" i="6"/>
  <c r="AC44" i="1" a="1"/>
  <c r="AC44" i="1" s="1"/>
  <c r="AB44" i="1" a="1"/>
  <c r="AB44" i="1" s="1"/>
  <c r="AA44" i="1" a="1"/>
  <c r="AA44" i="1" s="1"/>
  <c r="Z44" i="1" a="1"/>
  <c r="Z44" i="1" s="1"/>
  <c r="Y44" i="1" a="1"/>
  <c r="Y44" i="1" s="1"/>
  <c r="X44" i="1" a="1"/>
  <c r="X44" i="1" s="1"/>
  <c r="W44" i="1" a="1"/>
  <c r="W44" i="1" s="1"/>
  <c r="V44" i="1" a="1"/>
  <c r="V44" i="1" s="1"/>
  <c r="U44" i="1" a="1"/>
  <c r="U44" i="1" s="1"/>
  <c r="T44" i="1" a="1"/>
  <c r="T44" i="1" s="1"/>
  <c r="S44" i="1" a="1"/>
  <c r="S44" i="1" s="1"/>
  <c r="R44" i="1" a="1"/>
  <c r="R44" i="1" s="1"/>
  <c r="Q44" i="1" a="1"/>
  <c r="Q44" i="1" s="1"/>
  <c r="P44" i="1" a="1"/>
  <c r="P44" i="1" s="1"/>
  <c r="O44" i="1" a="1"/>
  <c r="O44" i="1" s="1"/>
  <c r="N44" i="1" a="1"/>
  <c r="N44" i="1" s="1"/>
  <c r="M44" i="1" a="1"/>
  <c r="M44" i="1" s="1"/>
  <c r="L44" i="1" a="1"/>
  <c r="L44" i="1" s="1"/>
  <c r="K44" i="1" a="1"/>
  <c r="K44" i="1" s="1"/>
  <c r="J44" i="1" a="1"/>
  <c r="J44" i="1" s="1"/>
  <c r="I44" i="1" a="1"/>
  <c r="I44" i="1" s="1"/>
  <c r="H44" i="1" a="1"/>
  <c r="H44" i="1" s="1"/>
  <c r="G44" i="1" a="1"/>
  <c r="G44" i="1" s="1"/>
  <c r="F44" i="1" a="1"/>
  <c r="F44" i="1" s="1"/>
  <c r="E44" i="1" a="1"/>
  <c r="E44" i="1" s="1"/>
  <c r="D44" i="1" a="1"/>
  <c r="D44" i="1" s="1"/>
  <c r="C44" i="1" a="1"/>
  <c r="C44" i="1" s="1"/>
  <c r="B44" i="1" a="1"/>
  <c r="B44" i="1" s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C40" i="1"/>
  <c r="AB40" i="1"/>
  <c r="AC39" i="1"/>
  <c r="AB39" i="1"/>
  <c r="AC36" i="1"/>
  <c r="AB36" i="1"/>
  <c r="AA36" i="1"/>
  <c r="Z36" i="1"/>
  <c r="Y36" i="1"/>
  <c r="X36" i="1"/>
  <c r="W36" i="1"/>
  <c r="V36" i="1"/>
  <c r="Q36" i="1"/>
  <c r="P36" i="1"/>
  <c r="O36" i="1"/>
  <c r="M36" i="1"/>
  <c r="L36" i="1"/>
  <c r="K36" i="1"/>
  <c r="J36" i="1"/>
  <c r="I36" i="1"/>
  <c r="H36" i="1"/>
  <c r="G36" i="1"/>
  <c r="F36" i="1"/>
  <c r="E36" i="1"/>
  <c r="D36" i="1"/>
  <c r="C36" i="1"/>
  <c r="B36" i="1"/>
  <c r="B34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D26" i="1"/>
  <c r="AD25" i="1"/>
  <c r="C12" i="10" s="1"/>
  <c r="AD24" i="1"/>
  <c r="C11" i="10" s="1"/>
  <c r="AD23" i="1"/>
  <c r="C10" i="10" s="1"/>
  <c r="AC22" i="1"/>
  <c r="AC28" i="1" s="1"/>
  <c r="AC29" i="1" s="1"/>
  <c r="AB22" i="1"/>
  <c r="AB28" i="1" s="1"/>
  <c r="AB29" i="1" s="1"/>
  <c r="AA22" i="1"/>
  <c r="AA28" i="1" s="1"/>
  <c r="AA29" i="1" s="1"/>
  <c r="Z22" i="1"/>
  <c r="Z28" i="1" s="1"/>
  <c r="Z29" i="1" s="1"/>
  <c r="Y22" i="1"/>
  <c r="Y28" i="1" s="1"/>
  <c r="Y29" i="1" s="1"/>
  <c r="X22" i="1"/>
  <c r="X28" i="1" s="1"/>
  <c r="X29" i="1" s="1"/>
  <c r="W22" i="1"/>
  <c r="W28" i="1" s="1"/>
  <c r="W29" i="1" s="1"/>
  <c r="V22" i="1"/>
  <c r="V28" i="1" s="1"/>
  <c r="V29" i="1" s="1"/>
  <c r="U22" i="1"/>
  <c r="U28" i="1" s="1"/>
  <c r="U29" i="1" s="1"/>
  <c r="T22" i="1"/>
  <c r="T28" i="1" s="1"/>
  <c r="T29" i="1" s="1"/>
  <c r="S22" i="1"/>
  <c r="S28" i="1" s="1"/>
  <c r="S29" i="1" s="1"/>
  <c r="R22" i="1"/>
  <c r="R28" i="1" s="1"/>
  <c r="R29" i="1" s="1"/>
  <c r="Q22" i="1"/>
  <c r="Q28" i="1" s="1"/>
  <c r="Q29" i="1" s="1"/>
  <c r="P22" i="1"/>
  <c r="P28" i="1" s="1"/>
  <c r="P29" i="1" s="1"/>
  <c r="O22" i="1"/>
  <c r="O28" i="1" s="1"/>
  <c r="O29" i="1" s="1"/>
  <c r="N22" i="1"/>
  <c r="N28" i="1" s="1"/>
  <c r="N29" i="1" s="1"/>
  <c r="M22" i="1"/>
  <c r="L22" i="1"/>
  <c r="K22" i="1"/>
  <c r="K28" i="1" s="1"/>
  <c r="K29" i="1" s="1"/>
  <c r="J22" i="1"/>
  <c r="J28" i="1" s="1"/>
  <c r="J29" i="1" s="1"/>
  <c r="I22" i="1"/>
  <c r="I28" i="1" s="1"/>
  <c r="I29" i="1" s="1"/>
  <c r="H22" i="1"/>
  <c r="G22" i="1"/>
  <c r="G28" i="1" s="1"/>
  <c r="G29" i="1" s="1"/>
  <c r="F22" i="1"/>
  <c r="F28" i="1" s="1"/>
  <c r="F29" i="1" s="1"/>
  <c r="E22" i="1"/>
  <c r="E28" i="1" s="1"/>
  <c r="E29" i="1" s="1"/>
  <c r="D22" i="1"/>
  <c r="D28" i="1" s="1"/>
  <c r="D29" i="1" s="1"/>
  <c r="C22" i="1"/>
  <c r="C28" i="1" s="1"/>
  <c r="C29" i="1" s="1"/>
  <c r="B22" i="1"/>
  <c r="B28" i="1" s="1"/>
  <c r="B29" i="1" s="1"/>
  <c r="AD21" i="1"/>
  <c r="C9" i="10" s="1"/>
  <c r="AD20" i="1"/>
  <c r="C8" i="10" s="1"/>
  <c r="AD19" i="1"/>
  <c r="C7" i="10" s="1"/>
  <c r="AD18" i="1"/>
  <c r="C6" i="10" s="1"/>
  <c r="AD17" i="1"/>
  <c r="C5" i="10" s="1"/>
  <c r="AD16" i="1"/>
  <c r="C4" i="10" s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F6" i="1"/>
  <c r="AD6" i="1"/>
  <c r="AD5" i="1"/>
  <c r="AD4" i="1"/>
  <c r="AD1" i="1"/>
  <c r="AD1" i="7" s="1"/>
  <c r="E22" i="10" l="1"/>
  <c r="H22" i="10" s="1"/>
  <c r="O28" i="7"/>
  <c r="O29" i="7" s="1"/>
  <c r="M28" i="1"/>
  <c r="M29" i="1" s="1"/>
  <c r="L28" i="1"/>
  <c r="L29" i="1" s="1"/>
  <c r="W28" i="7"/>
  <c r="W29" i="7" s="1"/>
  <c r="Y28" i="7"/>
  <c r="Y29" i="7" s="1"/>
  <c r="Q28" i="7"/>
  <c r="Q29" i="7" s="1"/>
  <c r="E25" i="10"/>
  <c r="H25" i="10" s="1"/>
  <c r="E21" i="10"/>
  <c r="I28" i="7"/>
  <c r="I29" i="7" s="1"/>
  <c r="AD40" i="7"/>
  <c r="C3" i="10"/>
  <c r="C17" i="10"/>
  <c r="E17" i="10" s="1"/>
  <c r="F22" i="10" s="1"/>
  <c r="E23" i="10"/>
  <c r="H23" i="10" s="1"/>
  <c r="E19" i="10"/>
  <c r="H19" i="10" s="1"/>
  <c r="G28" i="7"/>
  <c r="G29" i="7" s="1"/>
  <c r="H28" i="1"/>
  <c r="H29" i="1" s="1"/>
  <c r="E6" i="10"/>
  <c r="H6" i="10" s="1"/>
  <c r="H28" i="6"/>
  <c r="H29" i="6" s="1"/>
  <c r="D28" i="6"/>
  <c r="D29" i="6" s="1"/>
  <c r="F28" i="7"/>
  <c r="F29" i="7" s="1"/>
  <c r="N28" i="7"/>
  <c r="N29" i="7" s="1"/>
  <c r="Z28" i="7"/>
  <c r="Z29" i="7" s="1"/>
  <c r="E28" i="6"/>
  <c r="E29" i="6" s="1"/>
  <c r="C28" i="7"/>
  <c r="C29" i="7" s="1"/>
  <c r="K28" i="7"/>
  <c r="K29" i="7" s="1"/>
  <c r="S28" i="7"/>
  <c r="S29" i="7" s="1"/>
  <c r="AA28" i="7"/>
  <c r="AA29" i="7" s="1"/>
  <c r="B28" i="7"/>
  <c r="B29" i="7" s="1"/>
  <c r="J28" i="7"/>
  <c r="J29" i="7" s="1"/>
  <c r="R28" i="7"/>
  <c r="R29" i="7" s="1"/>
  <c r="V28" i="7"/>
  <c r="V29" i="7" s="1"/>
  <c r="E20" i="10"/>
  <c r="H20" i="10" s="1"/>
  <c r="B28" i="6"/>
  <c r="B29" i="6" s="1"/>
  <c r="F28" i="6"/>
  <c r="F29" i="6" s="1"/>
  <c r="J28" i="6"/>
  <c r="J29" i="6" s="1"/>
  <c r="N28" i="6"/>
  <c r="N29" i="6" s="1"/>
  <c r="R28" i="6"/>
  <c r="R29" i="6" s="1"/>
  <c r="V28" i="6"/>
  <c r="V29" i="6" s="1"/>
  <c r="Z28" i="6"/>
  <c r="Z29" i="6" s="1"/>
  <c r="E28" i="9"/>
  <c r="E29" i="9" s="1"/>
  <c r="U28" i="9"/>
  <c r="U29" i="9" s="1"/>
  <c r="D28" i="7"/>
  <c r="D29" i="7" s="1"/>
  <c r="H28" i="7"/>
  <c r="H29" i="7" s="1"/>
  <c r="L28" i="7"/>
  <c r="L29" i="7" s="1"/>
  <c r="P28" i="7"/>
  <c r="P29" i="7" s="1"/>
  <c r="T28" i="7"/>
  <c r="T29" i="7" s="1"/>
  <c r="X28" i="7"/>
  <c r="X29" i="7" s="1"/>
  <c r="AB28" i="7"/>
  <c r="AB29" i="7" s="1"/>
  <c r="C28" i="6"/>
  <c r="C29" i="6" s="1"/>
  <c r="K28" i="6"/>
  <c r="K29" i="6" s="1"/>
  <c r="O28" i="6"/>
  <c r="O29" i="6" s="1"/>
  <c r="S28" i="6"/>
  <c r="S29" i="6" s="1"/>
  <c r="W28" i="6"/>
  <c r="W29" i="6" s="1"/>
  <c r="AA28" i="6"/>
  <c r="AA29" i="6" s="1"/>
  <c r="F28" i="9"/>
  <c r="F29" i="9" s="1"/>
  <c r="N28" i="9"/>
  <c r="N29" i="9" s="1"/>
  <c r="R28" i="9"/>
  <c r="R29" i="9" s="1"/>
  <c r="V28" i="9"/>
  <c r="V29" i="9" s="1"/>
  <c r="AD39" i="7"/>
  <c r="B28" i="9"/>
  <c r="B29" i="9" s="1"/>
  <c r="AD40" i="9"/>
  <c r="AD40" i="6"/>
  <c r="AD39" i="6"/>
  <c r="E12" i="10"/>
  <c r="H12" i="10" s="1"/>
  <c r="E11" i="10"/>
  <c r="H11" i="10" s="1"/>
  <c r="E10" i="10"/>
  <c r="H10" i="10" s="1"/>
  <c r="E9" i="10"/>
  <c r="H9" i="10" s="1"/>
  <c r="E8" i="10"/>
  <c r="H8" i="10" s="1"/>
  <c r="E7" i="10"/>
  <c r="H7" i="10" s="1"/>
  <c r="E5" i="10"/>
  <c r="H5" i="10" s="1"/>
  <c r="E4" i="10"/>
  <c r="H4" i="10" s="1"/>
  <c r="AD39" i="1"/>
  <c r="G28" i="6"/>
  <c r="G29" i="6" s="1"/>
  <c r="AD22" i="1"/>
  <c r="E26" i="10"/>
  <c r="AD39" i="9"/>
  <c r="D3" i="10"/>
  <c r="AD27" i="1"/>
  <c r="AD40" i="1"/>
  <c r="AD22" i="6"/>
  <c r="AD27" i="7"/>
  <c r="AD27" i="9"/>
  <c r="D18" i="10"/>
  <c r="E18" i="10" s="1"/>
  <c r="AD22" i="7"/>
  <c r="E24" i="10"/>
  <c r="AD22" i="9"/>
  <c r="B34" i="9"/>
  <c r="AD27" i="6"/>
  <c r="AD1" i="6"/>
  <c r="AD1" i="9"/>
  <c r="F21" i="10" l="1"/>
  <c r="H21" i="10"/>
  <c r="AD28" i="9"/>
  <c r="D13" i="10" s="1"/>
  <c r="F25" i="10"/>
  <c r="E3" i="10"/>
  <c r="F12" i="10" s="1"/>
  <c r="F26" i="10"/>
  <c r="H26" i="10"/>
  <c r="F19" i="10"/>
  <c r="F23" i="10"/>
  <c r="F20" i="10"/>
  <c r="AD28" i="1"/>
  <c r="AD29" i="1" s="1"/>
  <c r="AD28" i="6"/>
  <c r="AD29" i="6" s="1"/>
  <c r="C13" i="10"/>
  <c r="F5" i="10"/>
  <c r="I12" i="10"/>
  <c r="J12" i="10" s="1"/>
  <c r="I11" i="10"/>
  <c r="J11" i="10" s="1"/>
  <c r="I10" i="10"/>
  <c r="J10" i="10" s="1"/>
  <c r="I9" i="10"/>
  <c r="J9" i="10" s="1"/>
  <c r="I8" i="10"/>
  <c r="J8" i="10" s="1"/>
  <c r="I7" i="10"/>
  <c r="J7" i="10" s="1"/>
  <c r="I6" i="10"/>
  <c r="J6" i="10" s="1"/>
  <c r="I5" i="10"/>
  <c r="J5" i="10" s="1"/>
  <c r="I4" i="10"/>
  <c r="J4" i="10" s="1"/>
  <c r="AD28" i="7"/>
  <c r="AD29" i="7" s="1"/>
  <c r="F24" i="10"/>
  <c r="H24" i="10"/>
  <c r="H18" i="10"/>
  <c r="F18" i="10"/>
  <c r="F10" i="10" l="1"/>
  <c r="F8" i="10"/>
  <c r="F9" i="10"/>
  <c r="F4" i="10"/>
  <c r="AD29" i="9"/>
  <c r="F6" i="10"/>
  <c r="F7" i="10"/>
  <c r="M4" i="10" s="1"/>
  <c r="F11" i="10"/>
  <c r="M12" i="10" s="1"/>
  <c r="I25" i="10"/>
  <c r="J25" i="10" s="1"/>
  <c r="N25" i="10" s="1"/>
  <c r="I19" i="10"/>
  <c r="J19" i="10" s="1"/>
  <c r="L19" i="10" s="1"/>
  <c r="I21" i="10"/>
  <c r="J21" i="10" s="1"/>
  <c r="L21" i="10" s="1"/>
  <c r="I20" i="10"/>
  <c r="J20" i="10" s="1"/>
  <c r="L20" i="10" s="1"/>
  <c r="C27" i="10"/>
  <c r="E27" i="10" s="1"/>
  <c r="F27" i="10" s="1"/>
  <c r="L4" i="10"/>
  <c r="N4" i="10"/>
  <c r="O4" i="10" s="1"/>
  <c r="M8" i="10"/>
  <c r="L8" i="10"/>
  <c r="N8" i="10"/>
  <c r="L12" i="10"/>
  <c r="N12" i="10"/>
  <c r="M7" i="10"/>
  <c r="L7" i="10"/>
  <c r="N7" i="10"/>
  <c r="I23" i="10"/>
  <c r="J23" i="10" s="1"/>
  <c r="N23" i="10" s="1"/>
  <c r="I24" i="10"/>
  <c r="J24" i="10" s="1"/>
  <c r="M24" i="10" s="1"/>
  <c r="I22" i="10"/>
  <c r="J22" i="10" s="1"/>
  <c r="N22" i="10" s="1"/>
  <c r="M5" i="10"/>
  <c r="L5" i="10"/>
  <c r="N5" i="10"/>
  <c r="L9" i="10"/>
  <c r="N9" i="10"/>
  <c r="M11" i="10"/>
  <c r="L11" i="10"/>
  <c r="N11" i="10"/>
  <c r="I18" i="10"/>
  <c r="J18" i="10" s="1"/>
  <c r="M18" i="10" s="1"/>
  <c r="I26" i="10"/>
  <c r="J26" i="10" s="1"/>
  <c r="M26" i="10" s="1"/>
  <c r="M6" i="10"/>
  <c r="L6" i="10"/>
  <c r="N6" i="10"/>
  <c r="L10" i="10"/>
  <c r="N10" i="10"/>
  <c r="E13" i="10"/>
  <c r="F13" i="10" s="1"/>
  <c r="M9" i="10" l="1"/>
  <c r="M10" i="10"/>
  <c r="N21" i="10"/>
  <c r="L25" i="10"/>
  <c r="M25" i="10"/>
  <c r="M19" i="10"/>
  <c r="N19" i="10"/>
  <c r="M21" i="10"/>
  <c r="N20" i="10"/>
  <c r="M20" i="10"/>
  <c r="N24" i="10"/>
  <c r="O5" i="10"/>
  <c r="O6" i="10" s="1"/>
  <c r="O7" i="10" s="1"/>
  <c r="O8" i="10" s="1"/>
  <c r="N26" i="10"/>
  <c r="N18" i="10"/>
  <c r="O18" i="10" s="1"/>
  <c r="M23" i="10"/>
  <c r="L18" i="10"/>
  <c r="L23" i="10"/>
  <c r="L22" i="10"/>
  <c r="M22" i="10"/>
  <c r="L26" i="10"/>
  <c r="L24" i="10"/>
  <c r="O19" i="10" l="1"/>
  <c r="O20" i="10" s="1"/>
  <c r="O21" i="10" s="1"/>
  <c r="O22" i="10" s="1"/>
  <c r="O23" i="10" s="1"/>
  <c r="O9" i="10"/>
  <c r="O10" i="10" l="1"/>
  <c r="O24" i="10"/>
  <c r="O11" i="10" l="1"/>
  <c r="O25" i="10"/>
  <c r="O12" i="10" l="1"/>
  <c r="P11" i="10" s="1"/>
  <c r="Q11" i="10" s="1"/>
  <c r="O26" i="10"/>
  <c r="P12" i="10" l="1"/>
  <c r="Q12" i="10" s="1"/>
  <c r="P5" i="10"/>
  <c r="Q5" i="10" s="1"/>
  <c r="P6" i="10"/>
  <c r="Q6" i="10" s="1"/>
  <c r="P4" i="10"/>
  <c r="Q4" i="10" s="1"/>
  <c r="P8" i="10"/>
  <c r="Q8" i="10" s="1"/>
  <c r="P7" i="10"/>
  <c r="Q7" i="10" s="1"/>
  <c r="P9" i="10"/>
  <c r="Q9" i="10" s="1"/>
  <c r="P10" i="10"/>
  <c r="Q10" i="10" s="1"/>
  <c r="P26" i="10"/>
  <c r="Q26" i="10" s="1"/>
  <c r="P18" i="10"/>
  <c r="Q18" i="10" s="1"/>
  <c r="P19" i="10"/>
  <c r="Q19" i="10" s="1"/>
  <c r="P22" i="10"/>
  <c r="Q22" i="10" s="1"/>
  <c r="P21" i="10"/>
  <c r="Q21" i="10" s="1"/>
  <c r="P20" i="10"/>
  <c r="Q20" i="10" s="1"/>
  <c r="P23" i="10"/>
  <c r="Q23" i="10" s="1"/>
  <c r="P24" i="10"/>
  <c r="Q24" i="10" s="1"/>
  <c r="P25" i="10"/>
  <c r="Q25" i="10" s="1"/>
</calcChain>
</file>

<file path=xl/sharedStrings.xml><?xml version="1.0" encoding="utf-8"?>
<sst xmlns="http://schemas.openxmlformats.org/spreadsheetml/2006/main" count="180" uniqueCount="51">
  <si>
    <t>FALHAS NÃO RECUPERÁVEIS DA MONTAGEM UM-3 ( ATÉ TERMINAL SUP.)</t>
  </si>
  <si>
    <t>OBS.</t>
  </si>
  <si>
    <t>CAP</t>
  </si>
  <si>
    <t>T O T A L</t>
  </si>
  <si>
    <t>DIURNO</t>
  </si>
  <si>
    <t xml:space="preserve">Objetivo </t>
  </si>
  <si>
    <t>Ocorrências</t>
  </si>
  <si>
    <t>Diurno</t>
  </si>
  <si>
    <t>LINHA: 1</t>
  </si>
  <si>
    <t>LINHA: 2</t>
  </si>
  <si>
    <t>Inspetor:</t>
  </si>
  <si>
    <t>Data:</t>
  </si>
  <si>
    <t>Produção</t>
  </si>
  <si>
    <t>Controle da Qualidade:</t>
  </si>
  <si>
    <t>TOTAL</t>
  </si>
  <si>
    <t>ppm</t>
  </si>
  <si>
    <t>TAMPÃO</t>
  </si>
  <si>
    <t>ISOL. SUPERIOR</t>
  </si>
  <si>
    <t>CARVÃO</t>
  </si>
  <si>
    <t>EVERTACK</t>
  </si>
  <si>
    <t>PY</t>
  </si>
  <si>
    <t>TUBO C/ BOCA AMASSADA</t>
  </si>
  <si>
    <t>PVC</t>
  </si>
  <si>
    <t>ENCOLHIMENTO</t>
  </si>
  <si>
    <t>RECUPERADOS DO PVC</t>
  </si>
  <si>
    <t>PRODUÇÃO TAMPÃO</t>
  </si>
  <si>
    <t>PRODUÇÃO PY</t>
  </si>
  <si>
    <t>SUB-TOTAL ATÉ PY</t>
  </si>
  <si>
    <t>SUB-TOTAL ATÉ SHIMA</t>
  </si>
  <si>
    <t>PRODUÇÃO FINAL</t>
  </si>
  <si>
    <t>.</t>
  </si>
  <si>
    <t>Senhas: PANA.AAMM.CQ</t>
  </si>
  <si>
    <t>AA - Ano com 2 digitos</t>
  </si>
  <si>
    <t>MM - Mês com 2 dígitos</t>
  </si>
  <si>
    <t>NOTURNO</t>
  </si>
  <si>
    <t xml:space="preserve"> </t>
  </si>
  <si>
    <t>L1D</t>
  </si>
  <si>
    <t>L2D</t>
  </si>
  <si>
    <t>Visto CQ</t>
  </si>
  <si>
    <t>Visto Supervisor</t>
  </si>
  <si>
    <t>L1N</t>
  </si>
  <si>
    <t>L2N</t>
  </si>
  <si>
    <t>Total</t>
  </si>
  <si>
    <t>%</t>
  </si>
  <si>
    <t>Qty</t>
  </si>
  <si>
    <t>Qty Ac.</t>
  </si>
  <si>
    <t>Problemas</t>
  </si>
  <si>
    <t>Falhas</t>
  </si>
  <si>
    <t>Mês / Ano</t>
  </si>
  <si>
    <t>Conferência de Produção</t>
  </si>
  <si>
    <t>Conferência do 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</si>
</sst>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_)"/>
    <numFmt numFmtId="166" formatCode="d/m;@"/>
  </numFmts>
  <fonts count="22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10"/>
      <color indexed="8"/>
      <name val="Calibri"/>
      <family val="2"/>
    </font>
    <font>
      <sz val="10"/>
      <color theme="3" tint="0.39997558519241921"/>
      <name val="Arial"/>
      <family val="2"/>
    </font>
    <font>
      <sz val="10"/>
      <color theme="0" tint="-0.499984740745262"/>
      <name val="Arial"/>
      <family val="2"/>
    </font>
    <font>
      <sz val="10"/>
      <color theme="0" tint="-0.249977111117893"/>
      <name val="Arial"/>
      <family val="2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5" fontId="3" fillId="0" borderId="0"/>
    <xf numFmtId="0" fontId="2" fillId="0" borderId="0"/>
    <xf numFmtId="10" fontId="4" fillId="0" borderId="0" applyFont="0" applyFill="0" applyBorder="0" applyAlignment="0" applyProtection="0"/>
    <xf numFmtId="0" fontId="5" fillId="0" borderId="0"/>
    <xf numFmtId="10" fontId="2" fillId="0" borderId="0" applyFont="0" applyFill="0" applyBorder="0" applyAlignment="0" applyProtection="0"/>
  </cellStyleXfs>
  <cellXfs count="153">
    <xf numFmtId="0" fontId="0" fillId="0" borderId="0" xfId="0"/>
    <xf numFmtId="0" fontId="0" fillId="0" borderId="1" xfId="0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0" fillId="0" borderId="2" xfId="0" applyBorder="1"/>
    <xf numFmtId="0" fontId="0" fillId="0" borderId="3" xfId="0" applyBorder="1"/>
    <xf numFmtId="0" fontId="6" fillId="0" borderId="4" xfId="0" applyFont="1" applyBorder="1" applyAlignment="1">
      <alignment vertical="center"/>
    </xf>
    <xf numFmtId="0" fontId="1" fillId="0" borderId="1" xfId="0" applyFont="1" applyBorder="1" applyAlignment="1" applyProtection="1">
      <alignment horizontal="center" vertical="center" textRotation="90"/>
      <protection locked="0"/>
    </xf>
    <xf numFmtId="0" fontId="1" fillId="0" borderId="1" xfId="0" applyFont="1" applyBorder="1" applyAlignment="1" applyProtection="1">
      <alignment horizontal="center" vertical="center" textRotation="90" wrapText="1"/>
      <protection locked="0"/>
    </xf>
    <xf numFmtId="0" fontId="0" fillId="0" borderId="1" xfId="0" applyBorder="1" applyAlignment="1" applyProtection="1">
      <alignment horizontal="center" vertical="center" textRotation="90" wrapText="1"/>
      <protection locked="0"/>
    </xf>
    <xf numFmtId="164" fontId="12" fillId="0" borderId="3" xfId="0" applyNumberFormat="1" applyFont="1" applyBorder="1" applyAlignment="1">
      <alignment horizontal="left"/>
    </xf>
    <xf numFmtId="0" fontId="0" fillId="0" borderId="1" xfId="0" applyBorder="1"/>
    <xf numFmtId="0" fontId="12" fillId="0" borderId="4" xfId="0" applyFon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/>
    </xf>
    <xf numFmtId="164" fontId="1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2" fillId="0" borderId="3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2" fillId="0" borderId="8" xfId="0" applyFont="1" applyBorder="1" applyAlignment="1">
      <alignment horizontal="left"/>
    </xf>
    <xf numFmtId="0" fontId="12" fillId="0" borderId="4" xfId="0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" fillId="0" borderId="0" xfId="0" applyFont="1"/>
    <xf numFmtId="1" fontId="0" fillId="0" borderId="0" xfId="0" applyNumberFormat="1" applyAlignment="1">
      <alignment shrinkToFit="1"/>
    </xf>
    <xf numFmtId="164" fontId="0" fillId="0" borderId="0" xfId="0" applyNumberFormat="1" applyAlignment="1">
      <alignment shrinkToFit="1"/>
    </xf>
    <xf numFmtId="0" fontId="0" fillId="0" borderId="1" xfId="0" applyBorder="1" applyAlignment="1">
      <alignment horizontal="center" vertical="center" textRotation="90"/>
    </xf>
    <xf numFmtId="0" fontId="8" fillId="0" borderId="13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/>
    </xf>
    <xf numFmtId="1" fontId="10" fillId="0" borderId="0" xfId="0" applyNumberFormat="1" applyFont="1"/>
    <xf numFmtId="0" fontId="10" fillId="0" borderId="0" xfId="0" applyFont="1"/>
    <xf numFmtId="1" fontId="0" fillId="0" borderId="0" xfId="0" applyNumberFormat="1"/>
    <xf numFmtId="3" fontId="1" fillId="0" borderId="15" xfId="0" applyNumberFormat="1" applyFont="1" applyBorder="1" applyAlignment="1" applyProtection="1">
      <alignment horizontal="center" vertical="center" shrinkToFit="1"/>
      <protection locked="0"/>
    </xf>
    <xf numFmtId="0" fontId="14" fillId="4" borderId="0" xfId="4" applyFont="1" applyFill="1"/>
    <xf numFmtId="0" fontId="2" fillId="4" borderId="0" xfId="4" applyFill="1"/>
    <xf numFmtId="0" fontId="15" fillId="4" borderId="0" xfId="4" applyFont="1" applyFill="1"/>
    <xf numFmtId="0" fontId="18" fillId="4" borderId="0" xfId="4" applyFont="1" applyFill="1"/>
    <xf numFmtId="0" fontId="12" fillId="0" borderId="4" xfId="0" quotePrefix="1" applyFont="1" applyBorder="1" applyAlignment="1">
      <alignment horizontal="left" vertical="center"/>
    </xf>
    <xf numFmtId="0" fontId="9" fillId="0" borderId="0" xfId="0" applyFont="1"/>
    <xf numFmtId="3" fontId="0" fillId="0" borderId="0" xfId="0" applyNumberFormat="1"/>
    <xf numFmtId="0" fontId="17" fillId="0" borderId="9" xfId="0" applyFont="1" applyBorder="1" applyAlignment="1">
      <alignment horizontal="center"/>
    </xf>
    <xf numFmtId="0" fontId="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left" vertical="center"/>
    </xf>
    <xf numFmtId="0" fontId="12" fillId="0" borderId="17" xfId="0" applyFont="1" applyBorder="1" applyAlignment="1">
      <alignment horizontal="left"/>
    </xf>
    <xf numFmtId="0" fontId="12" fillId="0" borderId="18" xfId="0" applyFont="1" applyBorder="1" applyAlignment="1">
      <alignment horizontal="left"/>
    </xf>
    <xf numFmtId="164" fontId="12" fillId="0" borderId="19" xfId="0" applyNumberFormat="1" applyFont="1" applyBorder="1" applyAlignment="1">
      <alignment horizontal="left"/>
    </xf>
    <xf numFmtId="49" fontId="2" fillId="0" borderId="1" xfId="0" applyNumberFormat="1" applyFont="1" applyBorder="1" applyAlignment="1" applyProtection="1">
      <alignment horizontal="center"/>
      <protection locked="0"/>
    </xf>
    <xf numFmtId="3" fontId="1" fillId="0" borderId="1" xfId="0" applyNumberFormat="1" applyFont="1" applyBorder="1" applyAlignment="1" applyProtection="1">
      <alignment horizontal="center" vertical="center" shrinkToFit="1"/>
      <protection locked="0"/>
    </xf>
    <xf numFmtId="3" fontId="10" fillId="0" borderId="21" xfId="0" applyNumberFormat="1" applyFont="1" applyBorder="1" applyAlignment="1" applyProtection="1">
      <alignment horizontal="center" vertical="center" shrinkToFit="1"/>
      <protection locked="0"/>
    </xf>
    <xf numFmtId="3" fontId="1" fillId="0" borderId="21" xfId="0" applyNumberFormat="1" applyFont="1" applyBorder="1" applyAlignment="1" applyProtection="1">
      <alignment horizontal="center" vertical="center" shrinkToFit="1"/>
      <protection locked="0"/>
    </xf>
    <xf numFmtId="3" fontId="2" fillId="0" borderId="16" xfId="0" applyNumberFormat="1" applyFont="1" applyBorder="1" applyAlignment="1" applyProtection="1">
      <alignment horizontal="center" shrinkToFit="1"/>
      <protection locked="0"/>
    </xf>
    <xf numFmtId="3" fontId="0" fillId="0" borderId="5" xfId="0" applyNumberFormat="1" applyBorder="1" applyAlignment="1">
      <alignment horizontal="center" shrinkToFit="1"/>
    </xf>
    <xf numFmtId="3" fontId="2" fillId="0" borderId="1" xfId="0" applyNumberFormat="1" applyFont="1" applyBorder="1" applyAlignment="1" applyProtection="1">
      <alignment horizontal="center" shrinkToFit="1"/>
      <protection locked="0"/>
    </xf>
    <xf numFmtId="3" fontId="0" fillId="0" borderId="2" xfId="0" applyNumberFormat="1" applyBorder="1" applyAlignment="1">
      <alignment horizontal="center" shrinkToFit="1"/>
    </xf>
    <xf numFmtId="3" fontId="2" fillId="0" borderId="1" xfId="0" applyNumberFormat="1" applyFont="1" applyBorder="1" applyAlignment="1">
      <alignment horizontal="center" shrinkToFit="1"/>
    </xf>
    <xf numFmtId="3" fontId="9" fillId="0" borderId="1" xfId="0" applyNumberFormat="1" applyFont="1" applyBorder="1" applyAlignment="1">
      <alignment horizontal="center" shrinkToFit="1"/>
    </xf>
    <xf numFmtId="3" fontId="9" fillId="0" borderId="2" xfId="0" applyNumberFormat="1" applyFont="1" applyBorder="1" applyAlignment="1">
      <alignment horizontal="center" shrinkToFit="1"/>
    </xf>
    <xf numFmtId="3" fontId="11" fillId="0" borderId="1" xfId="0" applyNumberFormat="1" applyFont="1" applyBorder="1" applyAlignment="1">
      <alignment horizontal="center" shrinkToFit="1"/>
    </xf>
    <xf numFmtId="3" fontId="11" fillId="0" borderId="2" xfId="0" applyNumberFormat="1" applyFont="1" applyBorder="1" applyAlignment="1">
      <alignment horizontal="center" shrinkToFit="1"/>
    </xf>
    <xf numFmtId="3" fontId="11" fillId="0" borderId="15" xfId="0" applyNumberFormat="1" applyFont="1" applyBorder="1" applyAlignment="1">
      <alignment horizontal="center" shrinkToFit="1"/>
    </xf>
    <xf numFmtId="3" fontId="1" fillId="0" borderId="15" xfId="0" applyNumberFormat="1" applyFont="1" applyBorder="1" applyAlignment="1">
      <alignment horizontal="center" shrinkToFit="1"/>
    </xf>
    <xf numFmtId="3" fontId="11" fillId="0" borderId="22" xfId="0" applyNumberFormat="1" applyFont="1" applyBorder="1" applyAlignment="1">
      <alignment horizontal="center" shrinkToFit="1"/>
    </xf>
    <xf numFmtId="3" fontId="0" fillId="0" borderId="16" xfId="0" applyNumberFormat="1" applyBorder="1" applyAlignment="1" applyProtection="1">
      <alignment shrinkToFit="1"/>
      <protection locked="0"/>
    </xf>
    <xf numFmtId="3" fontId="0" fillId="0" borderId="5" xfId="0" applyNumberFormat="1" applyBorder="1" applyAlignment="1">
      <alignment shrinkToFit="1"/>
    </xf>
    <xf numFmtId="3" fontId="0" fillId="0" borderId="0" xfId="0" applyNumberFormat="1" applyAlignment="1">
      <alignment shrinkToFit="1"/>
    </xf>
    <xf numFmtId="3" fontId="0" fillId="0" borderId="1" xfId="0" applyNumberFormat="1" applyBorder="1" applyAlignment="1" applyProtection="1">
      <alignment shrinkToFit="1"/>
      <protection locked="0"/>
    </xf>
    <xf numFmtId="3" fontId="0" fillId="0" borderId="2" xfId="0" applyNumberFormat="1" applyBorder="1" applyAlignment="1">
      <alignment shrinkToFit="1"/>
    </xf>
    <xf numFmtId="3" fontId="9" fillId="0" borderId="1" xfId="0" applyNumberFormat="1" applyFont="1" applyBorder="1" applyAlignment="1">
      <alignment shrinkToFit="1"/>
    </xf>
    <xf numFmtId="3" fontId="9" fillId="0" borderId="2" xfId="0" applyNumberFormat="1" applyFont="1" applyBorder="1" applyAlignment="1">
      <alignment shrinkToFit="1"/>
    </xf>
    <xf numFmtId="3" fontId="11" fillId="0" borderId="15" xfId="0" applyNumberFormat="1" applyFont="1" applyBorder="1" applyAlignment="1">
      <alignment shrinkToFit="1"/>
    </xf>
    <xf numFmtId="3" fontId="11" fillId="0" borderId="22" xfId="0" applyNumberFormat="1" applyFont="1" applyBorder="1" applyAlignment="1">
      <alignment shrinkToFit="1"/>
    </xf>
    <xf numFmtId="3" fontId="2" fillId="0" borderId="16" xfId="0" applyNumberFormat="1" applyFont="1" applyBorder="1" applyAlignment="1" applyProtection="1">
      <alignment horizontal="right" shrinkToFit="1"/>
      <protection locked="0"/>
    </xf>
    <xf numFmtId="3" fontId="2" fillId="0" borderId="16" xfId="0" applyNumberFormat="1" applyFont="1" applyBorder="1" applyAlignment="1" applyProtection="1">
      <alignment shrinkToFit="1"/>
      <protection locked="0"/>
    </xf>
    <xf numFmtId="3" fontId="2" fillId="0" borderId="1" xfId="0" applyNumberFormat="1" applyFont="1" applyBorder="1" applyAlignment="1" applyProtection="1">
      <alignment shrinkToFit="1"/>
      <protection locked="0"/>
    </xf>
    <xf numFmtId="3" fontId="11" fillId="0" borderId="20" xfId="0" applyNumberFormat="1" applyFont="1" applyBorder="1" applyAlignment="1">
      <alignment horizontal="center" shrinkToFit="1"/>
    </xf>
    <xf numFmtId="3" fontId="11" fillId="0" borderId="23" xfId="0" applyNumberFormat="1" applyFont="1" applyBorder="1" applyAlignment="1">
      <alignment shrinkToFit="1"/>
    </xf>
    <xf numFmtId="3" fontId="9" fillId="0" borderId="16" xfId="0" applyNumberFormat="1" applyFont="1" applyBorder="1" applyAlignment="1" applyProtection="1">
      <alignment horizontal="center" shrinkToFit="1"/>
      <protection locked="0"/>
    </xf>
    <xf numFmtId="3" fontId="9" fillId="0" borderId="1" xfId="0" applyNumberFormat="1" applyFont="1" applyBorder="1" applyAlignment="1" applyProtection="1">
      <alignment horizontal="center" shrinkToFit="1"/>
      <protection locked="0"/>
    </xf>
    <xf numFmtId="3" fontId="9" fillId="0" borderId="20" xfId="0" applyNumberFormat="1" applyFont="1" applyBorder="1" applyAlignment="1" applyProtection="1">
      <alignment horizontal="center" vertical="center" shrinkToFit="1"/>
      <protection locked="0"/>
    </xf>
    <xf numFmtId="3" fontId="2" fillId="0" borderId="20" xfId="0" applyNumberFormat="1" applyFont="1" applyBorder="1" applyAlignment="1" applyProtection="1">
      <alignment horizontal="center" vertical="center" shrinkToFit="1"/>
      <protection locked="0"/>
    </xf>
    <xf numFmtId="3" fontId="0" fillId="0" borderId="20" xfId="0" applyNumberFormat="1" applyBorder="1" applyAlignment="1" applyProtection="1">
      <alignment horizontal="center" vertical="center" shrinkToFit="1"/>
      <protection locked="0"/>
    </xf>
    <xf numFmtId="3" fontId="0" fillId="0" borderId="23" xfId="0" applyNumberFormat="1" applyBorder="1" applyAlignment="1">
      <alignment vertical="center" shrinkToFit="1"/>
    </xf>
    <xf numFmtId="3" fontId="2" fillId="0" borderId="22" xfId="0" applyNumberFormat="1" applyFont="1" applyBorder="1" applyAlignment="1">
      <alignment vertical="center" shrinkToFit="1"/>
    </xf>
    <xf numFmtId="3" fontId="0" fillId="0" borderId="0" xfId="0" applyNumberFormat="1" applyAlignment="1">
      <alignment vertical="center" shrinkToFit="1"/>
    </xf>
    <xf numFmtId="3" fontId="0" fillId="0" borderId="22" xfId="0" applyNumberFormat="1" applyBorder="1" applyAlignment="1">
      <alignment vertical="center" shrinkToFit="1"/>
    </xf>
    <xf numFmtId="3" fontId="10" fillId="0" borderId="20" xfId="0" applyNumberFormat="1" applyFont="1" applyBorder="1" applyAlignment="1" applyProtection="1">
      <alignment horizontal="center" vertical="center" shrinkToFit="1"/>
      <protection locked="0"/>
    </xf>
    <xf numFmtId="0" fontId="8" fillId="0" borderId="24" xfId="0" applyFont="1" applyBorder="1" applyAlignment="1">
      <alignment horizontal="center" vertical="center"/>
    </xf>
    <xf numFmtId="3" fontId="11" fillId="0" borderId="23" xfId="0" applyNumberFormat="1" applyFont="1" applyBorder="1" applyAlignment="1">
      <alignment horizontal="center" shrinkToFit="1"/>
    </xf>
    <xf numFmtId="3" fontId="11" fillId="0" borderId="20" xfId="0" applyNumberFormat="1" applyFont="1" applyBorder="1" applyAlignment="1">
      <alignment shrinkToFit="1"/>
    </xf>
    <xf numFmtId="0" fontId="8" fillId="0" borderId="9" xfId="0" applyFont="1" applyBorder="1" applyAlignment="1">
      <alignment horizontal="center" vertical="center"/>
    </xf>
    <xf numFmtId="3" fontId="11" fillId="0" borderId="16" xfId="0" applyNumberFormat="1" applyFont="1" applyBorder="1" applyAlignment="1">
      <alignment horizontal="center" shrinkToFit="1"/>
    </xf>
    <xf numFmtId="3" fontId="1" fillId="0" borderId="16" xfId="0" applyNumberFormat="1" applyFont="1" applyBorder="1" applyAlignment="1">
      <alignment horizontal="center" shrinkToFit="1"/>
    </xf>
    <xf numFmtId="3" fontId="11" fillId="0" borderId="5" xfId="0" applyNumberFormat="1" applyFont="1" applyBorder="1" applyAlignment="1">
      <alignment horizontal="center" shrinkToFit="1"/>
    </xf>
    <xf numFmtId="3" fontId="11" fillId="0" borderId="16" xfId="0" applyNumberFormat="1" applyFont="1" applyBorder="1" applyAlignment="1">
      <alignment shrinkToFit="1"/>
    </xf>
    <xf numFmtId="3" fontId="9" fillId="0" borderId="16" xfId="0" applyNumberFormat="1" applyFont="1" applyBorder="1" applyAlignment="1">
      <alignment shrinkToFit="1"/>
    </xf>
    <xf numFmtId="3" fontId="11" fillId="0" borderId="5" xfId="0" applyNumberFormat="1" applyFont="1" applyBorder="1" applyAlignment="1">
      <alignment shrinkToFit="1"/>
    </xf>
    <xf numFmtId="3" fontId="9" fillId="0" borderId="15" xfId="0" applyNumberFormat="1" applyFont="1" applyBorder="1" applyAlignment="1">
      <alignment shrinkToFit="1"/>
    </xf>
    <xf numFmtId="164" fontId="12" fillId="0" borderId="18" xfId="0" applyNumberFormat="1" applyFont="1" applyBorder="1" applyAlignment="1">
      <alignment horizontal="left"/>
    </xf>
    <xf numFmtId="3" fontId="19" fillId="0" borderId="0" xfId="0" applyNumberFormat="1" applyFont="1" applyAlignment="1">
      <alignment vertical="center" shrinkToFit="1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0" fillId="0" borderId="0" xfId="0" applyFont="1"/>
    <xf numFmtId="0" fontId="1" fillId="0" borderId="15" xfId="0" applyFont="1" applyBorder="1" applyAlignment="1" applyProtection="1">
      <alignment horizontal="center" vertical="center" shrinkToFit="1"/>
      <protection locked="0"/>
    </xf>
    <xf numFmtId="3" fontId="2" fillId="0" borderId="15" xfId="0" applyNumberFormat="1" applyFont="1" applyBorder="1" applyAlignment="1" applyProtection="1">
      <alignment horizontal="center" vertical="center" shrinkToFit="1"/>
      <protection locked="0"/>
    </xf>
    <xf numFmtId="0" fontId="2" fillId="0" borderId="29" xfId="0" applyFont="1" applyBorder="1" applyAlignment="1" applyProtection="1">
      <alignment horizontal="center"/>
      <protection locked="0"/>
    </xf>
    <xf numFmtId="3" fontId="2" fillId="0" borderId="27" xfId="0" applyNumberFormat="1" applyFont="1" applyBorder="1" applyAlignment="1" applyProtection="1">
      <alignment horizontal="center" vertical="center" shrinkToFit="1"/>
      <protection locked="0"/>
    </xf>
    <xf numFmtId="3" fontId="1" fillId="0" borderId="26" xfId="0" applyNumberFormat="1" applyFont="1" applyBorder="1" applyAlignment="1" applyProtection="1">
      <alignment horizontal="center" vertical="center" shrinkToFit="1"/>
      <protection locked="0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center" vertical="center" textRotation="90" wrapText="1"/>
    </xf>
    <xf numFmtId="0" fontId="0" fillId="0" borderId="0" xfId="0" applyProtection="1">
      <protection locked="0"/>
    </xf>
    <xf numFmtId="3" fontId="0" fillId="0" borderId="27" xfId="0" applyNumberForma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textRotation="90"/>
      <protection locked="0"/>
    </xf>
    <xf numFmtId="3" fontId="0" fillId="0" borderId="21" xfId="0" applyNumberFormat="1" applyBorder="1" applyAlignment="1" applyProtection="1">
      <alignment shrinkToFit="1"/>
      <protection locked="0"/>
    </xf>
    <xf numFmtId="0" fontId="13" fillId="0" borderId="28" xfId="0" applyFont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15" fillId="0" borderId="33" xfId="0" applyFont="1" applyBorder="1" applyAlignment="1">
      <alignment horizontal="center" vertical="center"/>
    </xf>
    <xf numFmtId="0" fontId="2" fillId="0" borderId="0" xfId="0" applyFont="1"/>
    <xf numFmtId="0" fontId="2" fillId="0" borderId="1" xfId="0" applyFont="1" applyBorder="1" applyAlignment="1" applyProtection="1">
      <alignment horizontal="center"/>
      <protection locked="0"/>
    </xf>
    <xf numFmtId="3" fontId="1" fillId="0" borderId="15" xfId="0" applyNumberFormat="1" applyFont="1" applyBorder="1" applyAlignment="1" applyProtection="1">
      <alignment horizontal="center" vertical="center" shrinkToFit="1"/>
      <protection locked="0"/>
    </xf>
    <xf numFmtId="3" fontId="1" fillId="0" borderId="1" xfId="0" applyNumberFormat="1" applyFont="1" applyBorder="1" applyAlignment="1" applyProtection="1">
      <alignment horizontal="center" vertical="center" shrinkToFit="1"/>
      <protection locked="0"/>
    </xf>
    <xf numFmtId="3" fontId="1" fillId="0" borderId="21" xfId="0" applyNumberFormat="1" applyFont="1" applyBorder="1" applyAlignment="1" applyProtection="1">
      <alignment horizontal="center" vertical="center" shrinkToFit="1"/>
      <protection locked="0"/>
    </xf>
    <xf numFmtId="3" fontId="2" fillId="0" borderId="15" xfId="0" applyNumberFormat="1" applyFont="1" applyBorder="1" applyAlignment="1" applyProtection="1">
      <alignment horizontal="center" vertical="center" shrinkToFit="1"/>
      <protection locked="0"/>
    </xf>
    <xf numFmtId="3" fontId="0" fillId="0" borderId="16" xfId="0" applyNumberFormat="1" applyBorder="1" applyAlignment="1" applyProtection="1">
      <alignment shrinkToFit="1"/>
      <protection locked="0"/>
    </xf>
    <xf numFmtId="3" fontId="0" fillId="0" borderId="16" xfId="0" applyNumberFormat="1" applyBorder="1" applyAlignment="1" applyProtection="1">
      <alignment horizontal="right" shrinkToFit="1"/>
      <protection locked="0"/>
    </xf>
    <xf numFmtId="3" fontId="0" fillId="0" borderId="1" xfId="0" applyNumberFormat="1" applyBorder="1" applyAlignment="1" applyProtection="1">
      <alignment shrinkToFit="1"/>
      <protection locked="0"/>
    </xf>
    <xf numFmtId="3" fontId="0" fillId="0" borderId="1" xfId="0" applyNumberFormat="1" applyBorder="1" applyAlignment="1" applyProtection="1">
      <alignment shrinkToFit="1"/>
      <protection locked="0"/>
    </xf>
    <xf numFmtId="16" fontId="2" fillId="0" borderId="16" xfId="0" applyNumberFormat="1" applyFont="1" applyBorder="1" applyAlignment="1" applyProtection="1">
      <alignment horizontal="center" shrinkToFit="1"/>
      <protection locked="0"/>
    </xf>
    <xf numFmtId="3" fontId="1" fillId="0" borderId="0" xfId="0" applyNumberFormat="1" applyFont="1"/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66" fontId="2" fillId="0" borderId="16" xfId="0" applyNumberFormat="1" applyFont="1" applyBorder="1" applyAlignment="1" applyProtection="1">
      <alignment horizontal="center" shrinkToFit="1"/>
      <protection locked="0"/>
    </xf>
    <xf numFmtId="0" fontId="0" fillId="0" borderId="0" xfId="0" applyAlignment="1">
      <alignment horizontal="center" vertical="center" textRotation="90" wrapText="1"/>
    </xf>
    <xf numFmtId="0" fontId="16" fillId="0" borderId="11" xfId="0" applyFont="1" applyBorder="1" applyAlignment="1">
      <alignment horizontal="left" vertical="center" textRotation="90"/>
    </xf>
    <xf numFmtId="0" fontId="15" fillId="0" borderId="31" xfId="0" quotePrefix="1" applyFont="1" applyBorder="1" applyAlignment="1">
      <alignment horizontal="center" vertical="center" wrapText="1"/>
    </xf>
    <xf numFmtId="0" fontId="15" fillId="0" borderId="32" xfId="0" quotePrefix="1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textRotation="90" wrapText="1"/>
    </xf>
    <xf numFmtId="0" fontId="11" fillId="0" borderId="3" xfId="0" applyFont="1" applyBorder="1" applyAlignment="1">
      <alignment horizontal="center" vertical="center" textRotation="90" wrapText="1"/>
    </xf>
    <xf numFmtId="0" fontId="11" fillId="0" borderId="12" xfId="0" applyFont="1" applyBorder="1" applyAlignment="1">
      <alignment horizontal="center" vertical="center" textRotation="90" wrapText="1"/>
    </xf>
    <xf numFmtId="0" fontId="15" fillId="0" borderId="3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textRotation="90" wrapText="1"/>
    </xf>
    <xf numFmtId="0" fontId="16" fillId="0" borderId="11" xfId="0" quotePrefix="1" applyFont="1" applyBorder="1" applyAlignment="1">
      <alignment horizontal="left" vertical="center" textRotation="90"/>
    </xf>
    <xf numFmtId="0" fontId="0" fillId="0" borderId="19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  <xf numFmtId="0" fontId="0" fillId="0" borderId="12" xfId="0" applyBorder="1" applyAlignment="1">
      <alignment horizontal="center" vertical="center" textRotation="90" wrapText="1"/>
    </xf>
    <xf numFmtId="0" fontId="9" fillId="0" borderId="9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</cellXfs>
  <cellStyles count="8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4" xr:uid="{00000000-0005-0000-0000-000004000000}"/>
    <cellStyle name="Percent [2]" xfId="5" xr:uid="{00000000-0005-0000-0000-000005000000}"/>
    <cellStyle name="Percent [2] 2" xfId="7" xr:uid="{00000000-0005-0000-0000-000006000000}"/>
    <cellStyle name="標準_品質検査" xfId="6" xr:uid="{00000000-0005-0000-0000-000007000000}"/>
  </cellStyles>
  <dxfs count="27"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57654492695789E-2"/>
          <c:y val="1.82033982594281E-2"/>
          <c:w val="0.92643153595948291"/>
          <c:h val="0.94703555739743062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'LINHA 1-D'!$B$29:$AC$29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1-46B0-9E2E-1B1FB54E2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635176"/>
        <c:axId val="215633608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1-D'!$B$34:$AC$34</c:f>
              <c:numCache>
                <c:formatCode>0</c:formatCode>
                <c:ptCount val="28"/>
                <c:pt idx="0" formatCode="General">
                  <c:v>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1-46B0-9E2E-1B1FB54E2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34392"/>
        <c:axId val="215634000"/>
      </c:scatterChart>
      <c:catAx>
        <c:axId val="215635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5633608"/>
        <c:crosses val="autoZero"/>
        <c:auto val="0"/>
        <c:lblAlgn val="ctr"/>
        <c:lblOffset val="100"/>
        <c:noMultiLvlLbl val="0"/>
      </c:catAx>
      <c:valAx>
        <c:axId val="215633608"/>
        <c:scaling>
          <c:orientation val="minMax"/>
          <c:max val="17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5635176"/>
        <c:crosses val="autoZero"/>
        <c:crossBetween val="between"/>
        <c:minorUnit val="50"/>
      </c:valAx>
      <c:valAx>
        <c:axId val="2156340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15634392"/>
        <c:crosses val="max"/>
        <c:crossBetween val="midCat"/>
      </c:valAx>
      <c:valAx>
        <c:axId val="21563439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1563400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Falhas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558-4B32-B0F0-866B42BE0166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1-D'!$C$34:$AC$34</c:f>
              <c:numCache>
                <c:formatCode>0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58-4B32-B0F0-866B42BE0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408704"/>
        <c:axId val="217409096"/>
      </c:lineChart>
      <c:catAx>
        <c:axId val="21740870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7409096"/>
        <c:crosses val="autoZero"/>
        <c:auto val="1"/>
        <c:lblAlgn val="ctr"/>
        <c:lblOffset val="100"/>
        <c:noMultiLvlLbl val="0"/>
      </c:catAx>
      <c:valAx>
        <c:axId val="217409096"/>
        <c:scaling>
          <c:orientation val="minMax"/>
          <c:max val="2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7408704"/>
        <c:crosses val="autoZero"/>
        <c:crossBetween val="between"/>
        <c:majorUnit val="600"/>
        <c:minorUnit val="30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971488646223772E-2"/>
          <c:y val="2.6725556364277998E-2"/>
          <c:w val="0.90324811250445547"/>
          <c:h val="0.9543278413727696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15"/>
            <c:bubble3D val="0"/>
            <c:spPr>
              <a:ln w="254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A0D-4EA1-936B-AB8B6468FDD8}"/>
              </c:ext>
            </c:extLst>
          </c:dPt>
          <c:dPt>
            <c:idx val="16"/>
            <c:bubble3D val="0"/>
            <c:spPr>
              <a:ln w="25400">
                <a:solidFill>
                  <a:schemeClr val="tx1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A0D-4EA1-936B-AB8B6468FDD8}"/>
              </c:ext>
            </c:extLst>
          </c:dPt>
          <c:val>
            <c:numRef>
              <c:f>'LINHA 2-D'!$B$29:$AC$29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0D-4EA1-936B-AB8B6468F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413800"/>
        <c:axId val="217414584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2-D'!$B$34:$AC$34</c:f>
              <c:numCache>
                <c:formatCode>0</c:formatCode>
                <c:ptCount val="28"/>
                <c:pt idx="0">
                  <c:v>1020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0D-4EA1-936B-AB8B6468F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12232"/>
        <c:axId val="217410272"/>
      </c:scatterChart>
      <c:catAx>
        <c:axId val="217413800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7414584"/>
        <c:crosses val="autoZero"/>
        <c:auto val="1"/>
        <c:lblAlgn val="ctr"/>
        <c:lblOffset val="100"/>
        <c:noMultiLvlLbl val="0"/>
      </c:catAx>
      <c:valAx>
        <c:axId val="217414584"/>
        <c:scaling>
          <c:orientation val="minMax"/>
          <c:max val="14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7413800"/>
        <c:crosses val="autoZero"/>
        <c:crossBetween val="between"/>
        <c:minorUnit val="50"/>
      </c:valAx>
      <c:valAx>
        <c:axId val="21741027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217412232"/>
        <c:crosses val="max"/>
        <c:crossBetween val="midCat"/>
      </c:valAx>
      <c:valAx>
        <c:axId val="21741223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17410272"/>
        <c:crosses val="max"/>
        <c:crossBetween val="midCat"/>
      </c:valAx>
      <c:spPr>
        <a:noFill/>
        <a:ln w="19050">
          <a:solidFill>
            <a:schemeClr val="accent3">
              <a:lumMod val="20000"/>
              <a:lumOff val="80000"/>
            </a:schemeClr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Falhas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B5C-4CE6-BD91-F4242709D972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2-D'!$B$34:$AC$34</c:f>
              <c:numCache>
                <c:formatCode>0</c:formatCode>
                <c:ptCount val="28"/>
                <c:pt idx="0">
                  <c:v>1020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5C-4CE6-BD91-F4242709D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407528"/>
        <c:axId val="217411448"/>
      </c:lineChart>
      <c:catAx>
        <c:axId val="21740752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7411448"/>
        <c:crosses val="autoZero"/>
        <c:auto val="1"/>
        <c:lblAlgn val="ctr"/>
        <c:lblOffset val="100"/>
        <c:noMultiLvlLbl val="0"/>
      </c:catAx>
      <c:valAx>
        <c:axId val="217411448"/>
        <c:scaling>
          <c:orientation val="minMax"/>
          <c:max val="2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7407528"/>
        <c:crosses val="autoZero"/>
        <c:crossBetween val="between"/>
        <c:majorUnit val="600"/>
        <c:minorUnit val="30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795355463794198E-2"/>
          <c:y val="1.8203398259428096E-2"/>
          <c:w val="0.92830484694349735"/>
          <c:h val="0.94703555739743062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'LINHA 1-N'!$B$29:$AC$29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6-44C7-BC59-18F694CAE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411056"/>
        <c:axId val="217408312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1-N'!$B$34:$AC$34</c:f>
              <c:numCache>
                <c:formatCode>0</c:formatCode>
                <c:ptCount val="28"/>
                <c:pt idx="0">
                  <c:v>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06-44C7-BC59-18F694CAE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11840"/>
        <c:axId val="217410664"/>
      </c:scatterChart>
      <c:catAx>
        <c:axId val="21741105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7408312"/>
        <c:crosses val="autoZero"/>
        <c:auto val="0"/>
        <c:lblAlgn val="ctr"/>
        <c:lblOffset val="100"/>
        <c:noMultiLvlLbl val="0"/>
      </c:catAx>
      <c:valAx>
        <c:axId val="217408312"/>
        <c:scaling>
          <c:orientation val="minMax"/>
          <c:max val="17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7411056"/>
        <c:crosses val="autoZero"/>
        <c:crossBetween val="between"/>
        <c:majorUnit val="200"/>
        <c:minorUnit val="50"/>
      </c:valAx>
      <c:valAx>
        <c:axId val="217410664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217411840"/>
        <c:crosses val="max"/>
        <c:crossBetween val="midCat"/>
      </c:valAx>
      <c:valAx>
        <c:axId val="217411840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1741066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Falhas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996-4996-A2E6-181E9368067E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1-N'!$B$34:$AC$34</c:f>
              <c:numCache>
                <c:formatCode>0</c:formatCode>
                <c:ptCount val="28"/>
                <c:pt idx="0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96-4996-A2E6-181E93680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413016"/>
        <c:axId val="217413408"/>
      </c:lineChart>
      <c:catAx>
        <c:axId val="21741301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7413408"/>
        <c:crosses val="autoZero"/>
        <c:auto val="1"/>
        <c:lblAlgn val="ctr"/>
        <c:lblOffset val="100"/>
        <c:noMultiLvlLbl val="0"/>
      </c:catAx>
      <c:valAx>
        <c:axId val="217413408"/>
        <c:scaling>
          <c:orientation val="minMax"/>
          <c:max val="2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7413016"/>
        <c:crosses val="autoZero"/>
        <c:crossBetween val="between"/>
        <c:majorUnit val="600"/>
        <c:minorUnit val="30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155502127674139E-2"/>
          <c:y val="2.5040834694489818E-2"/>
          <c:w val="0.89532022248069909"/>
          <c:h val="0.95601294024293471"/>
        </c:manualLayout>
      </c:layout>
      <c:lineChart>
        <c:grouping val="standard"/>
        <c:varyColors val="0"/>
        <c:ser>
          <c:idx val="0"/>
          <c:order val="0"/>
          <c:tx>
            <c:v>Falhas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'LINHA 2-N'!$B$29:$AC$29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E0-457C-945E-A13FD2934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44152"/>
        <c:axId val="217848464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2-N'!$B$34:$AC$34</c:f>
              <c:numCache>
                <c:formatCode>0</c:formatCode>
                <c:ptCount val="28"/>
                <c:pt idx="0">
                  <c:v>1020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0-457C-945E-A13FD2934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49640"/>
        <c:axId val="217844544"/>
      </c:scatterChart>
      <c:catAx>
        <c:axId val="21784415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7848464"/>
        <c:crosses val="autoZero"/>
        <c:auto val="1"/>
        <c:lblAlgn val="ctr"/>
        <c:lblOffset val="100"/>
        <c:noMultiLvlLbl val="0"/>
      </c:catAx>
      <c:valAx>
        <c:axId val="217848464"/>
        <c:scaling>
          <c:orientation val="minMax"/>
          <c:max val="14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7844152"/>
        <c:crosses val="autoZero"/>
        <c:crossBetween val="between"/>
        <c:minorUnit val="50"/>
      </c:valAx>
      <c:valAx>
        <c:axId val="217844544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217849640"/>
        <c:crosses val="max"/>
        <c:crossBetween val="midCat"/>
      </c:valAx>
      <c:valAx>
        <c:axId val="217849640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1784454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Falhas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A86-44AC-8AE4-9E7879CEA76B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2-N'!$B$34:$AC$34</c:f>
              <c:numCache>
                <c:formatCode>0</c:formatCode>
                <c:ptCount val="28"/>
                <c:pt idx="0">
                  <c:v>1020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86-44AC-8AE4-9E7879CE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46896"/>
        <c:axId val="217849248"/>
      </c:lineChart>
      <c:catAx>
        <c:axId val="21784689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majorTickMark val="out"/>
        <c:minorTickMark val="none"/>
        <c:tickLblPos val="nextTo"/>
        <c:crossAx val="217849248"/>
        <c:crosses val="autoZero"/>
        <c:auto val="1"/>
        <c:lblAlgn val="ctr"/>
        <c:lblOffset val="100"/>
        <c:noMultiLvlLbl val="0"/>
      </c:catAx>
      <c:valAx>
        <c:axId val="217849248"/>
        <c:scaling>
          <c:orientation val="minMax"/>
          <c:max val="2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7846896"/>
        <c:crosses val="autoZero"/>
        <c:crossBetween val="between"/>
        <c:majorUnit val="600"/>
        <c:minorUnit val="30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 de Falhas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Montagem UM-3 Linha 1 Dia + Noite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Tampão</a:t>
            </a:r>
            <a:r>
              <a:rPr lang="pt-BR" baseline="0"/>
              <a:t> até CAP</a:t>
            </a:r>
            <a:endParaRPr lang="pt-BR"/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2"/>
          <c:order val="0"/>
          <c:tx>
            <c:v>Problemas</c:v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>
              <a:solidFill>
                <a:schemeClr val="tx1"/>
              </a:solidFill>
            </a:ln>
          </c:spPr>
          <c:invertIfNegative val="0"/>
          <c:cat>
            <c:strRef>
              <c:f>Dados!$L$4:$L$12</c:f>
              <c:strCache>
                <c:ptCount val="9"/>
                <c:pt idx="0">
                  <c:v>CAP</c:v>
                </c:pt>
                <c:pt idx="1">
                  <c:v>ENCOLHIMENTO</c:v>
                </c:pt>
                <c:pt idx="2">
                  <c:v>PVC</c:v>
                </c:pt>
                <c:pt idx="3">
                  <c:v>PY</c:v>
                </c:pt>
                <c:pt idx="4">
                  <c:v>EVERTACK</c:v>
                </c:pt>
                <c:pt idx="5">
                  <c:v>TUBO C/ BOCA AMASSADA</c:v>
                </c:pt>
                <c:pt idx="6">
                  <c:v>CARVÃO</c:v>
                </c:pt>
                <c:pt idx="7">
                  <c:v>ISOL. SUPERIOR</c:v>
                </c:pt>
                <c:pt idx="8">
                  <c:v>TAMPÃO</c:v>
                </c:pt>
              </c:strCache>
            </c:strRef>
          </c:cat>
          <c:val>
            <c:numRef>
              <c:f>[0]!Lin1Prob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8-42AD-9F2A-F717081057CB}"/>
            </c:ext>
          </c:extLst>
        </c:ser>
        <c:ser>
          <c:idx val="0"/>
          <c:order val="1"/>
          <c:tx>
            <c:v>Falhas</c:v>
          </c:tx>
          <c:spPr>
            <a:gradFill>
              <a:gsLst>
                <a:gs pos="0">
                  <a:srgbClr val="FF9900"/>
                </a:gs>
                <a:gs pos="50000">
                  <a:schemeClr val="accent4">
                    <a:lumMod val="60000"/>
                    <a:lumOff val="40000"/>
                  </a:schemeClr>
                </a:gs>
                <a:gs pos="100000">
                  <a:srgbClr val="FF9900"/>
                </a:gs>
              </a:gsLst>
              <a:lin ang="0" scaled="0"/>
            </a:gra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Dados!$L$4:$L$12</c:f>
              <c:strCache>
                <c:ptCount val="9"/>
                <c:pt idx="0">
                  <c:v>CAP</c:v>
                </c:pt>
                <c:pt idx="1">
                  <c:v>ENCOLHIMENTO</c:v>
                </c:pt>
                <c:pt idx="2">
                  <c:v>PVC</c:v>
                </c:pt>
                <c:pt idx="3">
                  <c:v>PY</c:v>
                </c:pt>
                <c:pt idx="4">
                  <c:v>EVERTACK</c:v>
                </c:pt>
                <c:pt idx="5">
                  <c:v>TUBO C/ BOCA AMASSADA</c:v>
                </c:pt>
                <c:pt idx="6">
                  <c:v>CARVÃO</c:v>
                </c:pt>
                <c:pt idx="7">
                  <c:v>ISOL. SUPERIOR</c:v>
                </c:pt>
                <c:pt idx="8">
                  <c:v>TAMPÃO</c:v>
                </c:pt>
              </c:strCache>
            </c:strRef>
          </c:cat>
          <c:val>
            <c:numRef>
              <c:f>[0]!LinFalhas1_Y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E3-48E0-AA6A-B02D62FAB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842584"/>
        <c:axId val="217842976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[0]!LinFalhas1_X</c:f>
              <c:strCache>
                <c:ptCount val="1"/>
                <c:pt idx="0">
                  <c:v>CAP</c:v>
                </c:pt>
              </c:strCache>
            </c:strRef>
          </c:cat>
          <c:val>
            <c:numRef>
              <c:f>[0]!Lin1AC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E3-48E0-AA6A-B02D62FAB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845720"/>
        <c:axId val="217844936"/>
      </c:lineChart>
      <c:catAx>
        <c:axId val="217842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7842976"/>
        <c:crosses val="autoZero"/>
        <c:auto val="1"/>
        <c:lblAlgn val="ctr"/>
        <c:lblOffset val="100"/>
        <c:noMultiLvlLbl val="0"/>
      </c:catAx>
      <c:valAx>
        <c:axId val="21784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7842584"/>
        <c:crosses val="autoZero"/>
        <c:crossBetween val="between"/>
      </c:valAx>
      <c:catAx>
        <c:axId val="217845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7844936"/>
        <c:crosses val="autoZero"/>
        <c:auto val="1"/>
        <c:lblAlgn val="ctr"/>
        <c:lblOffset val="100"/>
        <c:noMultiLvlLbl val="0"/>
      </c:catAx>
      <c:valAx>
        <c:axId val="2178449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7845720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4470334300317707"/>
          <c:y val="0.353501312335958"/>
          <c:w val="9.359131095455174E-2"/>
          <c:h val="9.6487262621584066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 de Falhas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Montagem UM-3 Linha 2 - Dia + Noite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Tampão</a:t>
            </a:r>
            <a:r>
              <a:rPr lang="pt-BR" baseline="0"/>
              <a:t> até CAP</a:t>
            </a:r>
            <a:endParaRPr lang="pt-BR"/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5118975037509E-2"/>
          <c:y val="0.11313742806942519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Dados!$M$3</c:f>
              <c:strCache>
                <c:ptCount val="1"/>
                <c:pt idx="0">
                  <c:v>Problemas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60000"/>
                    <a:lumOff val="40000"/>
                  </a:schemeClr>
                </a:gs>
                <a:gs pos="100000">
                  <a:srgbClr val="FF0000"/>
                </a:gs>
              </a:gsLst>
              <a:lin ang="0" scaled="0"/>
            </a:gradFill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Dados!$L$18:$L$26</c:f>
              <c:strCache>
                <c:ptCount val="9"/>
                <c:pt idx="0">
                  <c:v>CAP</c:v>
                </c:pt>
                <c:pt idx="1">
                  <c:v>ENCOLHIMENTO</c:v>
                </c:pt>
                <c:pt idx="2">
                  <c:v>PVC</c:v>
                </c:pt>
                <c:pt idx="3">
                  <c:v>PY</c:v>
                </c:pt>
                <c:pt idx="4">
                  <c:v>EVERTACK</c:v>
                </c:pt>
                <c:pt idx="5">
                  <c:v>TUBO C/ BOCA AMASSADA</c:v>
                </c:pt>
                <c:pt idx="6">
                  <c:v>CARVÃO</c:v>
                </c:pt>
                <c:pt idx="7">
                  <c:v>ISOL. SUPERIOR</c:v>
                </c:pt>
                <c:pt idx="8">
                  <c:v>TAMPÃO</c:v>
                </c:pt>
              </c:strCache>
            </c:strRef>
          </c:cat>
          <c:val>
            <c:numRef>
              <c:f>[0]!Lin2Prob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D9-4398-8581-B3C7A5FD9E82}"/>
            </c:ext>
          </c:extLst>
        </c:ser>
        <c:ser>
          <c:idx val="0"/>
          <c:order val="1"/>
          <c:tx>
            <c:strRef>
              <c:f>Dados!$Q$3</c:f>
              <c:strCache>
                <c:ptCount val="1"/>
                <c:pt idx="0">
                  <c:v>Falhas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50000">
                  <a:schemeClr val="accent1">
                    <a:lumMod val="60000"/>
                    <a:lumOff val="40000"/>
                  </a:schemeClr>
                </a:gs>
                <a:gs pos="100000">
                  <a:srgbClr val="002060"/>
                </a:gs>
              </a:gsLst>
              <a:lin ang="0" scaled="0"/>
            </a:gradFill>
            <a:ln w="25400">
              <a:noFill/>
            </a:ln>
          </c:spPr>
          <c:invertIfNegative val="0"/>
          <c:dLbls>
            <c:delete val="1"/>
          </c:dLbls>
          <c:cat>
            <c:strRef>
              <c:f>Dados!$L$18:$L$26</c:f>
              <c:strCache>
                <c:ptCount val="9"/>
                <c:pt idx="0">
                  <c:v>CAP</c:v>
                </c:pt>
                <c:pt idx="1">
                  <c:v>ENCOLHIMENTO</c:v>
                </c:pt>
                <c:pt idx="2">
                  <c:v>PVC</c:v>
                </c:pt>
                <c:pt idx="3">
                  <c:v>PY</c:v>
                </c:pt>
                <c:pt idx="4">
                  <c:v>EVERTACK</c:v>
                </c:pt>
                <c:pt idx="5">
                  <c:v>TUBO C/ BOCA AMASSADA</c:v>
                </c:pt>
                <c:pt idx="6">
                  <c:v>CARVÃO</c:v>
                </c:pt>
                <c:pt idx="7">
                  <c:v>ISOL. SUPERIOR</c:v>
                </c:pt>
                <c:pt idx="8">
                  <c:v>TAMPÃO</c:v>
                </c:pt>
              </c:strCache>
            </c:strRef>
          </c:cat>
          <c:val>
            <c:numRef>
              <c:f>[0]!LinFalhas2_Y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4-4332-BAC0-DB11A95A67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7843368"/>
        <c:axId val="217847288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[0]!LinFalhas2_X</c:f>
              <c:strCache>
                <c:ptCount val="1"/>
                <c:pt idx="0">
                  <c:v>CAP</c:v>
                </c:pt>
              </c:strCache>
            </c:strRef>
          </c:cat>
          <c:val>
            <c:numRef>
              <c:f>[0]!Lin2AC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54-4332-BAC0-DB11A95A67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7847680"/>
        <c:axId val="217843760"/>
      </c:lineChart>
      <c:catAx>
        <c:axId val="217843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7847288"/>
        <c:crosses val="autoZero"/>
        <c:auto val="1"/>
        <c:lblAlgn val="ctr"/>
        <c:lblOffset val="100"/>
        <c:noMultiLvlLbl val="0"/>
      </c:catAx>
      <c:valAx>
        <c:axId val="21784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7843368"/>
        <c:crosses val="autoZero"/>
        <c:crossBetween val="between"/>
      </c:valAx>
      <c:catAx>
        <c:axId val="217847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7843760"/>
        <c:crosses val="autoZero"/>
        <c:auto val="1"/>
        <c:lblAlgn val="ctr"/>
        <c:lblOffset val="100"/>
        <c:noMultiLvlLbl val="0"/>
      </c:catAx>
      <c:valAx>
        <c:axId val="2178437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78476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565839484232528"/>
          <c:y val="0.37500283538937795"/>
          <c:w val="9.3745497628282465E-2"/>
          <c:h val="9.6829012075969847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1025" name="Texto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6287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723899</xdr:colOff>
      <xdr:row>6</xdr:row>
      <xdr:rowOff>19050</xdr:rowOff>
    </xdr:from>
    <xdr:to>
      <xdr:col>29</xdr:col>
      <xdr:colOff>104774</xdr:colOff>
      <xdr:row>15</xdr:row>
      <xdr:rowOff>0</xdr:rowOff>
    </xdr:to>
    <xdr:graphicFrame macro="">
      <xdr:nvGraphicFramePr>
        <xdr:cNvPr id="2050" name="Gráfico 3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742950</xdr:colOff>
      <xdr:row>28</xdr:row>
      <xdr:rowOff>0</xdr:rowOff>
    </xdr:from>
    <xdr:to>
      <xdr:col>29</xdr:col>
      <xdr:colOff>85725</xdr:colOff>
      <xdr:row>28</xdr:row>
      <xdr:rowOff>0</xdr:rowOff>
    </xdr:to>
    <xdr:graphicFrame macro="">
      <xdr:nvGraphicFramePr>
        <xdr:cNvPr id="2051" name="Gráfico 4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19050</xdr:rowOff>
        </xdr:from>
        <xdr:to>
          <xdr:col>26</xdr:col>
          <xdr:colOff>419100</xdr:colOff>
          <xdr:row>0</xdr:row>
          <xdr:rowOff>238125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190500</xdr:rowOff>
        </xdr:from>
        <xdr:to>
          <xdr:col>26</xdr:col>
          <xdr:colOff>419100</xdr:colOff>
          <xdr:row>1</xdr:row>
          <xdr:rowOff>0</xdr:rowOff>
        </xdr:to>
        <xdr:sp macro="" textlink="">
          <xdr:nvSpPr>
            <xdr:cNvPr id="2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0.03325</cdr:x>
      <cdr:y>0.32518</cdr:y>
    </cdr:from>
    <cdr:to>
      <cdr:x>0.07147</cdr:x>
      <cdr:y>0.38334</cdr:y>
    </cdr:to>
    <cdr:sp macro="" textlink="'LINHA 1-D'!$C$34">
      <cdr:nvSpPr>
        <cdr:cNvPr id="2" name="CaixaDeTexto 1"/>
        <cdr:cNvSpPr txBox="1"/>
      </cdr:nvSpPr>
      <cdr:spPr>
        <a:xfrm xmlns:a="http://schemas.openxmlformats.org/drawingml/2006/main">
          <a:off x="466713" y="1457292"/>
          <a:ext cx="536421" cy="2606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5C49F811-B2E7-47D4-8BE5-C002A0C38387}" type="TxLink">
            <a:rPr lang="en-US" sz="1100" b="1" i="0" u="none" strike="noStrike">
              <a:solidFill>
                <a:srgbClr val="FF0000"/>
              </a:solidFill>
              <a:latin typeface="Arial"/>
              <a:cs typeface="Arial"/>
            </a:rPr>
            <a:pPr/>
            <a:t> </a:t>
          </a:fld>
          <a:endParaRPr lang="pt-BR" sz="1100" b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6145" name="Texto 1">
          <a:extLst>
            <a:ext uri="{FF2B5EF4-FFF2-40B4-BE49-F238E27FC236}">
              <a16:creationId xmlns:a16="http://schemas.microsoft.com/office/drawing/2014/main" id="{00000000-0008-0000-0200-00000118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6287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376237</xdr:colOff>
      <xdr:row>6</xdr:row>
      <xdr:rowOff>23813</xdr:rowOff>
    </xdr:from>
    <xdr:to>
      <xdr:col>29</xdr:col>
      <xdr:colOff>100012</xdr:colOff>
      <xdr:row>15</xdr:row>
      <xdr:rowOff>11113</xdr:rowOff>
    </xdr:to>
    <xdr:graphicFrame macro="">
      <xdr:nvGraphicFramePr>
        <xdr:cNvPr id="4098" name="Gráfico 3">
          <a:extLst>
            <a:ext uri="{FF2B5EF4-FFF2-40B4-BE49-F238E27FC236}">
              <a16:creationId xmlns:a16="http://schemas.microsoft.com/office/drawing/2014/main" id="{00000000-0008-0000-0200-000002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742950</xdr:colOff>
      <xdr:row>31</xdr:row>
      <xdr:rowOff>0</xdr:rowOff>
    </xdr:from>
    <xdr:to>
      <xdr:col>29</xdr:col>
      <xdr:colOff>85725</xdr:colOff>
      <xdr:row>31</xdr:row>
      <xdr:rowOff>0</xdr:rowOff>
    </xdr:to>
    <xdr:graphicFrame macro="">
      <xdr:nvGraphicFramePr>
        <xdr:cNvPr id="4099" name="Gráfico 4">
          <a:extLst>
            <a:ext uri="{FF2B5EF4-FFF2-40B4-BE49-F238E27FC236}">
              <a16:creationId xmlns:a16="http://schemas.microsoft.com/office/drawing/2014/main" id="{00000000-0008-0000-0200-000003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0</xdr:row>
          <xdr:rowOff>19050</xdr:rowOff>
        </xdr:from>
        <xdr:to>
          <xdr:col>26</xdr:col>
          <xdr:colOff>409575</xdr:colOff>
          <xdr:row>0</xdr:row>
          <xdr:rowOff>238125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0</xdr:row>
          <xdr:rowOff>190500</xdr:rowOff>
        </xdr:from>
        <xdr:to>
          <xdr:col>26</xdr:col>
          <xdr:colOff>409575</xdr:colOff>
          <xdr:row>1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0.37243</cdr:x>
      <cdr:y>0.20211</cdr:y>
    </cdr:from>
    <cdr:to>
      <cdr:x>0.37586</cdr:x>
      <cdr:y>0.21221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172075" y="914400"/>
          <a:ext cx="47625" cy="457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100"/>
            <a:t>Apartir do dia 14/7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6287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723900</xdr:colOff>
      <xdr:row>6</xdr:row>
      <xdr:rowOff>19050</xdr:rowOff>
    </xdr:from>
    <xdr:to>
      <xdr:col>29</xdr:col>
      <xdr:colOff>66675</xdr:colOff>
      <xdr:row>15</xdr:row>
      <xdr:rowOff>0</xdr:rowOff>
    </xdr:to>
    <xdr:graphicFrame macro="">
      <xdr:nvGraphicFramePr>
        <xdr:cNvPr id="3074" name="Gráfico 3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742950</xdr:colOff>
      <xdr:row>28</xdr:row>
      <xdr:rowOff>0</xdr:rowOff>
    </xdr:from>
    <xdr:to>
      <xdr:col>29</xdr:col>
      <xdr:colOff>85725</xdr:colOff>
      <xdr:row>28</xdr:row>
      <xdr:rowOff>0</xdr:rowOff>
    </xdr:to>
    <xdr:graphicFrame macro="">
      <xdr:nvGraphicFramePr>
        <xdr:cNvPr id="3075" name="Gráfico 4">
          <a:extLst>
            <a:ext uri="{FF2B5EF4-FFF2-40B4-BE49-F238E27FC236}">
              <a16:creationId xmlns:a16="http://schemas.microsoft.com/office/drawing/2014/main" id="{00000000-0008-0000-0300-00000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0</xdr:row>
          <xdr:rowOff>19050</xdr:rowOff>
        </xdr:from>
        <xdr:to>
          <xdr:col>26</xdr:col>
          <xdr:colOff>409575</xdr:colOff>
          <xdr:row>0</xdr:row>
          <xdr:rowOff>238125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0</xdr:row>
          <xdr:rowOff>190500</xdr:rowOff>
        </xdr:from>
        <xdr:to>
          <xdr:col>26</xdr:col>
          <xdr:colOff>409575</xdr:colOff>
          <xdr:row>1</xdr:row>
          <xdr:rowOff>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6287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323850</xdr:colOff>
      <xdr:row>5</xdr:row>
      <xdr:rowOff>228600</xdr:rowOff>
    </xdr:from>
    <xdr:to>
      <xdr:col>29</xdr:col>
      <xdr:colOff>152400</xdr:colOff>
      <xdr:row>14</xdr:row>
      <xdr:rowOff>447675</xdr:rowOff>
    </xdr:to>
    <xdr:graphicFrame macro="">
      <xdr:nvGraphicFramePr>
        <xdr:cNvPr id="5122" name="Gráfico 3">
          <a:extLst>
            <a:ext uri="{FF2B5EF4-FFF2-40B4-BE49-F238E27FC236}">
              <a16:creationId xmlns:a16="http://schemas.microsoft.com/office/drawing/2014/main" id="{00000000-0008-0000-0400-000002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742950</xdr:colOff>
      <xdr:row>31</xdr:row>
      <xdr:rowOff>0</xdr:rowOff>
    </xdr:from>
    <xdr:to>
      <xdr:col>29</xdr:col>
      <xdr:colOff>85725</xdr:colOff>
      <xdr:row>31</xdr:row>
      <xdr:rowOff>0</xdr:rowOff>
    </xdr:to>
    <xdr:graphicFrame macro="">
      <xdr:nvGraphicFramePr>
        <xdr:cNvPr id="5123" name="Gráfico 4">
          <a:extLst>
            <a:ext uri="{FF2B5EF4-FFF2-40B4-BE49-F238E27FC236}">
              <a16:creationId xmlns:a16="http://schemas.microsoft.com/office/drawing/2014/main" id="{00000000-0008-0000-0400-000003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0</xdr:row>
          <xdr:rowOff>19050</xdr:rowOff>
        </xdr:from>
        <xdr:to>
          <xdr:col>26</xdr:col>
          <xdr:colOff>409575</xdr:colOff>
          <xdr:row>0</xdr:row>
          <xdr:rowOff>238125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0</xdr:row>
          <xdr:rowOff>190500</xdr:rowOff>
        </xdr:from>
        <xdr:to>
          <xdr:col>26</xdr:col>
          <xdr:colOff>409575</xdr:colOff>
          <xdr:row>1</xdr:row>
          <xdr:rowOff>0</xdr:rowOff>
        </xdr:to>
        <xdr:sp macro="" textlink="">
          <xdr:nvSpPr>
            <xdr:cNvPr id="3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0</xdr:colOff>
      <xdr:row>50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18</xdr:col>
      <xdr:colOff>590550</xdr:colOff>
      <xdr:row>49</xdr:row>
      <xdr:rowOff>142875</xdr:rowOff>
    </xdr:to>
    <xdr:graphicFrame macro="">
      <xdr:nvGraphicFramePr>
        <xdr:cNvPr id="8193" name="Gráfico 1">
          <a:extLst>
            <a:ext uri="{FF2B5EF4-FFF2-40B4-BE49-F238E27FC236}">
              <a16:creationId xmlns:a16="http://schemas.microsoft.com/office/drawing/2014/main" id="{00000000-0008-0000-0700-000001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6-317-03%20-%20220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6-317-03%20-%20210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2)%20UM-3/VA/SJCPIL-R%2015-115-00%20-%20UM-3%20-%202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LINHA - 1D"/>
      <sheetName val="LINHA - 2D"/>
      <sheetName val="LINHA - 1N"/>
      <sheetName val="LINHA - 2N"/>
      <sheetName val="Dados para grafico"/>
      <sheetName val="Pareto L1"/>
      <sheetName val="Pareto L2"/>
      <sheetName val="SJCPIL-R 16-317-03 - 2203"/>
    </sheetNames>
    <definedNames>
      <definedName name="PROD_L1D" refersTo="='LINHA - 1D'!$AF$4"/>
      <definedName name="PROD_L1N" refersTo="='LINHA - 1N'!$AF$4"/>
      <definedName name="PROD_L2D" refersTo="='LINHA - 2D'!$AF$4"/>
      <definedName name="PROD_L2N" refersTo="='LINHA - 2N'!$AF$4"/>
    </definedNames>
    <sheetDataSet>
      <sheetData sheetId="0"/>
      <sheetData sheetId="1">
        <row r="4">
          <cell r="D4">
            <v>112550</v>
          </cell>
          <cell r="E4">
            <v>225050</v>
          </cell>
          <cell r="F4">
            <v>225050</v>
          </cell>
          <cell r="G4">
            <v>202550</v>
          </cell>
          <cell r="H4">
            <v>247550</v>
          </cell>
          <cell r="I4">
            <v>247600</v>
          </cell>
          <cell r="J4">
            <v>225050</v>
          </cell>
          <cell r="K4">
            <v>247550</v>
          </cell>
          <cell r="L4">
            <v>247550</v>
          </cell>
          <cell r="M4">
            <v>247550</v>
          </cell>
          <cell r="N4">
            <v>112550</v>
          </cell>
          <cell r="O4">
            <v>125050</v>
          </cell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>
            <v>2465650</v>
          </cell>
        </row>
      </sheetData>
      <sheetData sheetId="2">
        <row r="4">
          <cell r="D4">
            <v>247550</v>
          </cell>
          <cell r="E4">
            <v>360050</v>
          </cell>
          <cell r="F4">
            <v>382550</v>
          </cell>
          <cell r="G4">
            <v>315050</v>
          </cell>
          <cell r="H4">
            <v>405050</v>
          </cell>
          <cell r="I4">
            <v>382600</v>
          </cell>
          <cell r="J4">
            <v>405050</v>
          </cell>
          <cell r="K4">
            <v>315050</v>
          </cell>
          <cell r="L4">
            <v>405050</v>
          </cell>
          <cell r="M4">
            <v>315050</v>
          </cell>
          <cell r="N4">
            <v>270150</v>
          </cell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>
            <v>3803200</v>
          </cell>
        </row>
      </sheetData>
      <sheetData sheetId="3">
        <row r="4">
          <cell r="D4">
            <v>225050</v>
          </cell>
          <cell r="E4">
            <v>202550</v>
          </cell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>
            <v>427600</v>
          </cell>
        </row>
      </sheetData>
      <sheetData sheetId="4">
        <row r="4">
          <cell r="D4">
            <v>382550</v>
          </cell>
          <cell r="E4">
            <v>382550</v>
          </cell>
          <cell r="F4">
            <v>270050</v>
          </cell>
          <cell r="G4">
            <v>382550</v>
          </cell>
          <cell r="H4">
            <v>405050</v>
          </cell>
          <cell r="I4">
            <v>405050</v>
          </cell>
          <cell r="J4">
            <v>382550</v>
          </cell>
          <cell r="K4">
            <v>270050</v>
          </cell>
          <cell r="L4">
            <v>382550</v>
          </cell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>
            <v>3262950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10">
          <cell r="Y10">
            <v>1200</v>
          </cell>
        </row>
        <row r="15">
          <cell r="Y15">
            <v>1020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Uso"/>
      <sheetName val="LINHA - 1D"/>
      <sheetName val="LINHA - 2D"/>
      <sheetName val="LINHA - 1N"/>
      <sheetName val="LINHA - 2N"/>
      <sheetName val="Dados para grafico"/>
      <sheetName val="Pareto L1"/>
      <sheetName val="Pareto L2"/>
      <sheetName val="SJCPIL-R 16-317-03 - 2108"/>
    </sheetNames>
    <sheetDataSet>
      <sheetData sheetId="0"/>
      <sheetData sheetId="1">
        <row r="4">
          <cell r="AF4">
            <v>3558500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alhas Por Modelo"/>
      <sheetName val="Tipos de Defeitos"/>
      <sheetName val="UM-3 - L1 - Dia"/>
      <sheetName val="UM-3 - L1 - Noite"/>
      <sheetName val="UM-3 - L2 - Dia"/>
      <sheetName val="UM-3 - L2 - Noite"/>
      <sheetName val="RASCUNHO"/>
      <sheetName val="Dados do Gráfico"/>
      <sheetName val="Paretos VA"/>
    </sheetNames>
    <sheetDataSet>
      <sheetData sheetId="0"/>
      <sheetData sheetId="1"/>
      <sheetData sheetId="2"/>
      <sheetData sheetId="3">
        <row r="3">
          <cell r="D3">
            <v>44590</v>
          </cell>
          <cell r="E3">
            <v>44592</v>
          </cell>
          <cell r="F3">
            <v>44593</v>
          </cell>
          <cell r="G3">
            <v>44594</v>
          </cell>
          <cell r="H3">
            <v>44595</v>
          </cell>
          <cell r="I3">
            <v>44596</v>
          </cell>
          <cell r="J3">
            <v>44599</v>
          </cell>
          <cell r="K3">
            <v>44600</v>
          </cell>
          <cell r="L3">
            <v>44601</v>
          </cell>
          <cell r="M3"/>
          <cell r="N3"/>
          <cell r="O3"/>
          <cell r="P3"/>
          <cell r="Q3"/>
          <cell r="R3"/>
          <cell r="S3"/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L3"/>
          <cell r="AM3"/>
          <cell r="AN3"/>
          <cell r="AO3"/>
          <cell r="AP3"/>
          <cell r="AQ3"/>
          <cell r="AR3"/>
        </row>
        <row r="7">
          <cell r="D7">
            <v>202550</v>
          </cell>
          <cell r="E7">
            <v>112550</v>
          </cell>
          <cell r="F7">
            <v>225050</v>
          </cell>
          <cell r="G7">
            <v>225050</v>
          </cell>
          <cell r="H7">
            <v>202550</v>
          </cell>
          <cell r="I7">
            <v>247550</v>
          </cell>
          <cell r="J7">
            <v>247600</v>
          </cell>
          <cell r="K7">
            <v>225050</v>
          </cell>
          <cell r="L7">
            <v>247550</v>
          </cell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</row>
      </sheetData>
      <sheetData sheetId="4">
        <row r="3">
          <cell r="D3">
            <v>44599</v>
          </cell>
          <cell r="E3"/>
          <cell r="F3"/>
          <cell r="G3"/>
          <cell r="H3"/>
          <cell r="I3"/>
          <cell r="J3"/>
          <cell r="K3"/>
          <cell r="L3"/>
          <cell r="M3"/>
          <cell r="N3"/>
          <cell r="O3"/>
          <cell r="P3"/>
          <cell r="Q3"/>
          <cell r="R3"/>
          <cell r="S3"/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L3"/>
          <cell r="AM3"/>
          <cell r="AN3"/>
          <cell r="AO3"/>
          <cell r="AP3"/>
          <cell r="AQ3"/>
          <cell r="AR3"/>
        </row>
        <row r="7">
          <cell r="D7">
            <v>225050</v>
          </cell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</row>
      </sheetData>
      <sheetData sheetId="5">
        <row r="3">
          <cell r="D3">
            <v>44590</v>
          </cell>
          <cell r="E3">
            <v>44592</v>
          </cell>
          <cell r="F3">
            <v>44593</v>
          </cell>
          <cell r="G3">
            <v>44594</v>
          </cell>
          <cell r="H3">
            <v>44595</v>
          </cell>
          <cell r="I3">
            <v>44596</v>
          </cell>
          <cell r="J3">
            <v>44599</v>
          </cell>
          <cell r="K3">
            <v>44600</v>
          </cell>
          <cell r="L3"/>
          <cell r="M3"/>
          <cell r="N3"/>
          <cell r="O3"/>
          <cell r="P3"/>
          <cell r="Q3"/>
          <cell r="R3"/>
          <cell r="S3"/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L3"/>
          <cell r="AM3"/>
          <cell r="AN3"/>
          <cell r="AO3"/>
          <cell r="AP3"/>
          <cell r="AQ3"/>
          <cell r="AR3"/>
        </row>
        <row r="7">
          <cell r="D7">
            <v>378664</v>
          </cell>
          <cell r="E7">
            <v>247550</v>
          </cell>
          <cell r="F7">
            <v>360050</v>
          </cell>
          <cell r="G7">
            <v>382550</v>
          </cell>
          <cell r="H7">
            <v>315050</v>
          </cell>
          <cell r="I7">
            <v>405050</v>
          </cell>
          <cell r="J7">
            <v>382600</v>
          </cell>
          <cell r="K7">
            <v>405050</v>
          </cell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</row>
      </sheetData>
      <sheetData sheetId="6">
        <row r="3">
          <cell r="D3">
            <v>44592</v>
          </cell>
          <cell r="E3">
            <v>44593</v>
          </cell>
          <cell r="F3">
            <v>44594</v>
          </cell>
          <cell r="G3">
            <v>44595</v>
          </cell>
          <cell r="H3">
            <v>44596</v>
          </cell>
          <cell r="I3">
            <v>44600</v>
          </cell>
          <cell r="J3"/>
          <cell r="K3"/>
          <cell r="L3"/>
          <cell r="M3"/>
          <cell r="N3"/>
          <cell r="O3"/>
          <cell r="P3"/>
          <cell r="Q3"/>
          <cell r="R3"/>
          <cell r="S3"/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L3"/>
          <cell r="AM3"/>
          <cell r="AN3"/>
          <cell r="AO3"/>
          <cell r="AP3"/>
          <cell r="AQ3"/>
          <cell r="AR3"/>
        </row>
        <row r="7">
          <cell r="D7">
            <v>382550</v>
          </cell>
          <cell r="E7">
            <v>382550</v>
          </cell>
          <cell r="F7">
            <v>270050</v>
          </cell>
          <cell r="G7">
            <v>382550</v>
          </cell>
          <cell r="H7">
            <v>405050</v>
          </cell>
          <cell r="I7">
            <v>405050</v>
          </cell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S39"/>
  <sheetViews>
    <sheetView topLeftCell="T1" zoomScaleNormal="100" workbookViewId="0">
      <selection activeCell="AD4" sqref="AD4"/>
    </sheetView>
  </sheetViews>
  <sheetFormatPr defaultRowHeight="12.75"/>
  <cols>
    <col min="1" max="16384" width="9.140625" style="39"/>
  </cols>
  <sheetData>
    <row r="2" spans="2:19" ht="27"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</row>
    <row r="7" spans="2:19" ht="18">
      <c r="N7" s="40"/>
    </row>
    <row r="8" spans="2:19" ht="18">
      <c r="N8" s="40"/>
    </row>
    <row r="9" spans="2:19" ht="18">
      <c r="H9" s="40"/>
    </row>
    <row r="11" spans="2:19" ht="18">
      <c r="H11" s="40"/>
      <c r="I11" s="40"/>
      <c r="K11" s="40"/>
      <c r="M11" s="40"/>
      <c r="N11" s="40"/>
      <c r="O11" s="40"/>
      <c r="P11" s="40"/>
      <c r="Q11" s="40"/>
      <c r="R11" s="40"/>
      <c r="S11" s="40"/>
    </row>
    <row r="12" spans="2:19" ht="18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</row>
    <row r="13" spans="2:19" ht="18">
      <c r="B13" s="40"/>
      <c r="C13" s="40"/>
      <c r="D13" s="40"/>
      <c r="E13" s="40"/>
      <c r="F13" s="40"/>
      <c r="G13" s="40"/>
      <c r="H13" s="40"/>
      <c r="I13" s="40"/>
      <c r="K13" s="40"/>
      <c r="L13" s="40"/>
      <c r="M13" s="40"/>
      <c r="N13" s="40"/>
      <c r="O13" s="40"/>
      <c r="P13" s="40"/>
      <c r="Q13" s="40"/>
      <c r="R13" s="40"/>
      <c r="S13" s="40"/>
    </row>
    <row r="14" spans="2:19" ht="18"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</row>
    <row r="15" spans="2:19" ht="18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</row>
    <row r="16" spans="2:19" ht="18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</row>
    <row r="17" spans="2:14" ht="18"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</row>
    <row r="18" spans="2:14" ht="18"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</row>
    <row r="19" spans="2:14" ht="18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</row>
    <row r="20" spans="2:14" ht="18"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</row>
    <row r="21" spans="2:14" ht="18"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</row>
    <row r="22" spans="2:14" ht="18"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</row>
    <row r="23" spans="2:14" ht="18"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</row>
    <row r="24" spans="2:14" ht="18"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</row>
    <row r="25" spans="2:14" ht="18"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</row>
    <row r="35" spans="2:6">
      <c r="B35" s="41"/>
      <c r="C35" s="41"/>
      <c r="D35" s="41"/>
      <c r="E35" s="41"/>
      <c r="F35" s="41"/>
    </row>
    <row r="36" spans="2:6">
      <c r="B36" s="41" t="s">
        <v>31</v>
      </c>
      <c r="C36" s="41"/>
      <c r="D36" s="41"/>
      <c r="E36" s="41"/>
      <c r="F36" s="41"/>
    </row>
    <row r="37" spans="2:6">
      <c r="B37" s="41"/>
      <c r="C37" s="41"/>
      <c r="D37" s="41"/>
      <c r="E37" s="41"/>
      <c r="F37" s="41"/>
    </row>
    <row r="38" spans="2:6">
      <c r="B38" s="41" t="s">
        <v>32</v>
      </c>
      <c r="C38" s="41"/>
      <c r="D38" s="41"/>
      <c r="E38" s="41"/>
      <c r="F38" s="41"/>
    </row>
    <row r="39" spans="2:6">
      <c r="B39" s="41" t="s">
        <v>33</v>
      </c>
      <c r="C39" s="41"/>
      <c r="D39" s="41"/>
      <c r="E39" s="41"/>
      <c r="F39" s="41"/>
    </row>
  </sheetData>
  <sheetProtection algorithmName="SHA-512" hashValue="iPuVa0u6P+FAStw3sE2NxKzSli3iTd/daAO9uuvqJpkCzpdhj2CXmMQ2SPQVg2WWB6CYqpe4i1L58kQANhEE4g==" saltValue="uEm53fzIN34XJI6EIwblGQ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3">
    <tabColor indexed="13"/>
    <pageSetUpPr fitToPage="1"/>
  </sheetPr>
  <dimension ref="A1:AF44"/>
  <sheetViews>
    <sheetView showZeros="0" topLeftCell="A22" zoomScaleNormal="100" workbookViewId="0">
      <selection activeCell="B43" sqref="B43"/>
    </sheetView>
  </sheetViews>
  <sheetFormatPr defaultColWidth="11.42578125" defaultRowHeight="12.75"/>
  <cols>
    <col min="1" max="1" width="24.42578125" customWidth="1"/>
    <col min="2" max="2" width="6.5703125" customWidth="1"/>
    <col min="3" max="29" width="6.7109375" customWidth="1"/>
    <col min="30" max="30" width="12.7109375" customWidth="1"/>
    <col min="31" max="31" width="3.28515625" customWidth="1"/>
  </cols>
  <sheetData>
    <row r="1" spans="1:32" ht="32.25" customHeight="1" thickBot="1">
      <c r="B1" s="5" t="s">
        <v>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11" t="s">
        <v>8</v>
      </c>
      <c r="Y1" s="5"/>
      <c r="Z1" s="5"/>
      <c r="AA1" s="5"/>
      <c r="AB1" s="140" t="s">
        <v>48</v>
      </c>
      <c r="AC1" s="141"/>
      <c r="AD1" s="122" t="str">
        <f ca="1">MID(CELL("nome.arquivo"),SEARCH(".xl",CELL("nome.arquivo"))-2,2)&amp;" / 20"&amp;MID(CELL("nome.arquivo"),SEARCH(".xl",CELL("nome.arquivo"))-4,2)</f>
        <v>03 / 2022</v>
      </c>
    </row>
    <row r="2" spans="1:32" ht="20.100000000000001" customHeight="1">
      <c r="A2" s="135" t="s">
        <v>11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21" t="s">
        <v>14</v>
      </c>
    </row>
    <row r="3" spans="1:32" ht="20.100000000000001" customHeight="1">
      <c r="A3" s="114" t="s">
        <v>1</v>
      </c>
      <c r="B3" s="2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11"/>
      <c r="T3" s="2"/>
      <c r="U3" s="2"/>
      <c r="V3" s="2"/>
      <c r="W3" s="2"/>
      <c r="X3" s="2"/>
      <c r="Y3" s="1"/>
      <c r="Z3" s="1"/>
      <c r="AA3" s="1"/>
      <c r="AB3" s="1"/>
      <c r="AC3" s="1"/>
      <c r="AD3" s="3"/>
    </row>
    <row r="4" spans="1:32" ht="20.100000000000001" customHeight="1">
      <c r="A4" s="30" t="s">
        <v>25</v>
      </c>
      <c r="B4" s="117"/>
      <c r="C4" s="85"/>
      <c r="D4" s="85"/>
      <c r="E4" s="53"/>
      <c r="F4" s="53"/>
      <c r="G4" s="53"/>
      <c r="H4" s="53"/>
      <c r="I4" s="53"/>
      <c r="J4" s="53"/>
      <c r="K4" s="53"/>
      <c r="L4" s="85"/>
      <c r="M4" s="84"/>
      <c r="N4" s="84"/>
      <c r="O4" s="84"/>
      <c r="P4" s="85"/>
      <c r="Q4" s="85"/>
      <c r="R4" s="85"/>
      <c r="S4" s="85"/>
      <c r="T4" s="85"/>
      <c r="U4" s="85"/>
      <c r="V4" s="85"/>
      <c r="W4" s="85"/>
      <c r="X4" s="85"/>
      <c r="Y4" s="86"/>
      <c r="Z4" s="86"/>
      <c r="AA4" s="86"/>
      <c r="AB4" s="86"/>
      <c r="AC4" s="86"/>
      <c r="AD4" s="87">
        <f>SUM(C4:AC4)</f>
        <v>0</v>
      </c>
    </row>
    <row r="5" spans="1:32" ht="20.100000000000001" customHeight="1">
      <c r="A5" s="30" t="s">
        <v>26</v>
      </c>
      <c r="B5" s="117"/>
      <c r="C5" s="85"/>
      <c r="D5" s="85"/>
      <c r="E5" s="126"/>
      <c r="F5" s="53"/>
      <c r="G5" s="53"/>
      <c r="H5" s="53"/>
      <c r="I5" s="53"/>
      <c r="J5" s="53"/>
      <c r="K5" s="53"/>
      <c r="L5" s="85"/>
      <c r="M5" s="84"/>
      <c r="N5" s="84"/>
      <c r="O5" s="84"/>
      <c r="P5" s="85"/>
      <c r="Q5" s="85"/>
      <c r="R5" s="85"/>
      <c r="S5" s="85"/>
      <c r="T5" s="85"/>
      <c r="U5" s="85"/>
      <c r="V5" s="85"/>
      <c r="W5" s="85"/>
      <c r="X5" s="85"/>
      <c r="Y5" s="86"/>
      <c r="Z5" s="86"/>
      <c r="AA5" s="86"/>
      <c r="AB5" s="86"/>
      <c r="AC5" s="86"/>
      <c r="AD5" s="87">
        <f>SUM(B5:AC5)</f>
        <v>0</v>
      </c>
    </row>
    <row r="6" spans="1:32" ht="20.100000000000001" customHeight="1" thickBot="1">
      <c r="A6" s="31" t="s">
        <v>29</v>
      </c>
      <c r="B6" s="37"/>
      <c r="C6" s="125"/>
      <c r="D6" s="125"/>
      <c r="E6" s="125"/>
      <c r="F6" s="37"/>
      <c r="G6" s="125"/>
      <c r="H6" s="125"/>
      <c r="I6" s="125"/>
      <c r="J6" s="125"/>
      <c r="K6" s="125"/>
      <c r="L6" s="125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88">
        <f>SUM(B6:AC6)</f>
        <v>0</v>
      </c>
      <c r="AF6" s="108">
        <f>[1]!PROD_L1D</f>
        <v>2465650</v>
      </c>
    </row>
    <row r="7" spans="1:32" ht="39.950000000000003" customHeight="1">
      <c r="A7" s="139" t="s">
        <v>4</v>
      </c>
      <c r="B7" s="138">
        <f>B37</f>
        <v>0</v>
      </c>
      <c r="C7" s="138">
        <f>C37</f>
        <v>0</v>
      </c>
      <c r="D7" s="138">
        <f t="shared" ref="D7:AC7" si="0">D37</f>
        <v>0</v>
      </c>
      <c r="E7" s="138">
        <f>E37</f>
        <v>0</v>
      </c>
      <c r="F7" s="138">
        <f t="shared" si="0"/>
        <v>0</v>
      </c>
      <c r="G7" s="138">
        <f>G37</f>
        <v>0</v>
      </c>
      <c r="H7" s="138">
        <f t="shared" si="0"/>
        <v>0</v>
      </c>
      <c r="I7" s="138">
        <f t="shared" si="0"/>
        <v>0</v>
      </c>
      <c r="J7" s="138">
        <f t="shared" si="0"/>
        <v>0</v>
      </c>
      <c r="K7" s="138">
        <f t="shared" si="0"/>
        <v>0</v>
      </c>
      <c r="L7" s="138">
        <f t="shared" si="0"/>
        <v>0</v>
      </c>
      <c r="M7" s="138">
        <f t="shared" si="0"/>
        <v>0</v>
      </c>
      <c r="N7" s="138">
        <f t="shared" si="0"/>
        <v>0</v>
      </c>
      <c r="O7" s="138">
        <f t="shared" si="0"/>
        <v>0</v>
      </c>
      <c r="P7" s="138">
        <f t="shared" si="0"/>
        <v>0</v>
      </c>
      <c r="Q7" s="138">
        <f t="shared" si="0"/>
        <v>0</v>
      </c>
      <c r="R7" s="138">
        <f t="shared" si="0"/>
        <v>0</v>
      </c>
      <c r="S7" s="138">
        <f t="shared" si="0"/>
        <v>0</v>
      </c>
      <c r="T7" s="138">
        <f t="shared" si="0"/>
        <v>0</v>
      </c>
      <c r="U7" s="138">
        <f t="shared" si="0"/>
        <v>0</v>
      </c>
      <c r="V7" s="138">
        <f t="shared" si="0"/>
        <v>0</v>
      </c>
      <c r="W7" s="138">
        <f t="shared" si="0"/>
        <v>0</v>
      </c>
      <c r="X7" s="138">
        <f t="shared" si="0"/>
        <v>0</v>
      </c>
      <c r="Y7" s="138">
        <f t="shared" si="0"/>
        <v>0</v>
      </c>
      <c r="Z7" s="138">
        <f t="shared" si="0"/>
        <v>0</v>
      </c>
      <c r="AA7" s="138">
        <f t="shared" si="0"/>
        <v>0</v>
      </c>
      <c r="AB7" s="138">
        <f t="shared" si="0"/>
        <v>0</v>
      </c>
      <c r="AC7" s="138">
        <f t="shared" si="0"/>
        <v>0</v>
      </c>
      <c r="AD7" s="4"/>
    </row>
    <row r="8" spans="1:32" ht="39.950000000000003" customHeight="1">
      <c r="A8" s="139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4"/>
    </row>
    <row r="9" spans="1:32" ht="39.950000000000003" customHeight="1">
      <c r="A9" s="139"/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4"/>
    </row>
    <row r="10" spans="1:32" ht="39.950000000000003" customHeight="1">
      <c r="A10" s="139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4"/>
    </row>
    <row r="11" spans="1:32" ht="39.950000000000003" customHeight="1">
      <c r="A11" s="139"/>
      <c r="B11" s="138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4"/>
    </row>
    <row r="12" spans="1:32" ht="39.950000000000003" customHeight="1">
      <c r="A12" s="139"/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4"/>
    </row>
    <row r="13" spans="1:32" ht="39.950000000000003" customHeight="1">
      <c r="A13" s="139"/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4"/>
    </row>
    <row r="14" spans="1:32" ht="39.950000000000003" customHeight="1">
      <c r="A14" s="139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4"/>
    </row>
    <row r="15" spans="1:32" ht="39.950000000000003" customHeight="1" thickBot="1">
      <c r="A15" s="139"/>
      <c r="B15" s="138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4"/>
    </row>
    <row r="16" spans="1:32" ht="21" customHeight="1">
      <c r="A16" s="14" t="s">
        <v>16</v>
      </c>
      <c r="B16" s="56"/>
      <c r="C16" s="56"/>
      <c r="D16" s="56"/>
      <c r="E16" s="68"/>
      <c r="F16" s="68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7">
        <f t="shared" ref="AD16:AD21" si="1">SUM(B16:AC16)</f>
        <v>0</v>
      </c>
    </row>
    <row r="17" spans="1:30" ht="21" customHeight="1">
      <c r="A17" s="15" t="s">
        <v>17</v>
      </c>
      <c r="B17" s="58"/>
      <c r="C17" s="58"/>
      <c r="D17" s="58"/>
      <c r="E17" s="71"/>
      <c r="F17" s="71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9">
        <f t="shared" si="1"/>
        <v>0</v>
      </c>
    </row>
    <row r="18" spans="1:30" ht="21" customHeight="1">
      <c r="A18" s="15" t="s">
        <v>18</v>
      </c>
      <c r="B18" s="58"/>
      <c r="C18" s="58"/>
      <c r="D18" s="58"/>
      <c r="E18" s="71"/>
      <c r="F18" s="71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9">
        <f t="shared" si="1"/>
        <v>0</v>
      </c>
    </row>
    <row r="19" spans="1:30" ht="21" customHeight="1">
      <c r="A19" s="15" t="s">
        <v>21</v>
      </c>
      <c r="B19" s="58"/>
      <c r="C19" s="58"/>
      <c r="D19" s="58"/>
      <c r="E19" s="71"/>
      <c r="F19" s="71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9">
        <f t="shared" si="1"/>
        <v>0</v>
      </c>
    </row>
    <row r="20" spans="1:30" ht="21" customHeight="1">
      <c r="A20" s="15" t="s">
        <v>19</v>
      </c>
      <c r="B20" s="58"/>
      <c r="C20" s="58"/>
      <c r="D20" s="58"/>
      <c r="E20" s="71"/>
      <c r="F20" s="71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9">
        <f t="shared" si="1"/>
        <v>0</v>
      </c>
    </row>
    <row r="21" spans="1:30" ht="21" customHeight="1">
      <c r="A21" s="15" t="s">
        <v>20</v>
      </c>
      <c r="B21" s="58"/>
      <c r="C21" s="58"/>
      <c r="D21" s="58"/>
      <c r="E21" s="71"/>
      <c r="F21" s="71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9">
        <f t="shared" si="1"/>
        <v>0</v>
      </c>
    </row>
    <row r="22" spans="1:30" ht="21" customHeight="1">
      <c r="A22" s="16" t="s">
        <v>27</v>
      </c>
      <c r="B22" s="60">
        <f t="shared" ref="B22:J22" si="2">SUM(B16:B21)</f>
        <v>0</v>
      </c>
      <c r="C22" s="60">
        <f t="shared" si="2"/>
        <v>0</v>
      </c>
      <c r="D22" s="60">
        <f t="shared" si="2"/>
        <v>0</v>
      </c>
      <c r="E22" s="60">
        <f t="shared" si="2"/>
        <v>0</v>
      </c>
      <c r="F22" s="60">
        <f t="shared" si="2"/>
        <v>0</v>
      </c>
      <c r="G22" s="60">
        <f t="shared" si="2"/>
        <v>0</v>
      </c>
      <c r="H22" s="60">
        <f t="shared" si="2"/>
        <v>0</v>
      </c>
      <c r="I22" s="60">
        <f t="shared" si="2"/>
        <v>0</v>
      </c>
      <c r="J22" s="60">
        <f t="shared" si="2"/>
        <v>0</v>
      </c>
      <c r="K22" s="61">
        <f t="shared" ref="K22:R22" si="3">SUM(K16:K21)</f>
        <v>0</v>
      </c>
      <c r="L22" s="61">
        <f t="shared" si="3"/>
        <v>0</v>
      </c>
      <c r="M22" s="61">
        <f t="shared" si="3"/>
        <v>0</v>
      </c>
      <c r="N22" s="61">
        <f t="shared" si="3"/>
        <v>0</v>
      </c>
      <c r="O22" s="61">
        <f t="shared" si="3"/>
        <v>0</v>
      </c>
      <c r="P22" s="61">
        <f t="shared" si="3"/>
        <v>0</v>
      </c>
      <c r="Q22" s="60">
        <f t="shared" si="3"/>
        <v>0</v>
      </c>
      <c r="R22" s="60">
        <f t="shared" si="3"/>
        <v>0</v>
      </c>
      <c r="S22" s="60">
        <f t="shared" ref="S22:AC22" si="4">SUM(S16:S21)</f>
        <v>0</v>
      </c>
      <c r="T22" s="60">
        <f t="shared" si="4"/>
        <v>0</v>
      </c>
      <c r="U22" s="60">
        <f>SUM(U16:U21)</f>
        <v>0</v>
      </c>
      <c r="V22" s="60">
        <f>SUM(V16:V21)</f>
        <v>0</v>
      </c>
      <c r="W22" s="60">
        <f>SUM(W16:W21)</f>
        <v>0</v>
      </c>
      <c r="X22" s="60">
        <f>SUM(X16:X21)</f>
        <v>0</v>
      </c>
      <c r="Y22" s="60">
        <f t="shared" si="4"/>
        <v>0</v>
      </c>
      <c r="Z22" s="60">
        <f t="shared" si="4"/>
        <v>0</v>
      </c>
      <c r="AA22" s="60">
        <f t="shared" si="4"/>
        <v>0</v>
      </c>
      <c r="AB22" s="60">
        <f t="shared" si="4"/>
        <v>0</v>
      </c>
      <c r="AC22" s="60">
        <f t="shared" si="4"/>
        <v>0</v>
      </c>
      <c r="AD22" s="62">
        <f>SUM(AD16:AD21)</f>
        <v>0</v>
      </c>
    </row>
    <row r="23" spans="1:30" ht="21" customHeight="1">
      <c r="A23" s="15" t="s">
        <v>22</v>
      </c>
      <c r="B23" s="58"/>
      <c r="C23" s="58"/>
      <c r="D23" s="58"/>
      <c r="E23" s="119"/>
      <c r="F23" s="71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9">
        <f>SUM(B23:AC23)</f>
        <v>0</v>
      </c>
    </row>
    <row r="24" spans="1:30" ht="21" customHeight="1">
      <c r="A24" s="15" t="s">
        <v>23</v>
      </c>
      <c r="B24" s="58"/>
      <c r="C24" s="58"/>
      <c r="D24" s="58"/>
      <c r="E24" s="71"/>
      <c r="F24" s="71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9">
        <f>SUM(B24:AC24)</f>
        <v>0</v>
      </c>
    </row>
    <row r="25" spans="1:30" ht="21" customHeight="1">
      <c r="A25" s="15" t="s">
        <v>2</v>
      </c>
      <c r="B25" s="58"/>
      <c r="C25" s="58"/>
      <c r="D25" s="58"/>
      <c r="E25" s="71"/>
      <c r="F25" s="71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9">
        <f>SUM(B25:AC25)</f>
        <v>0</v>
      </c>
    </row>
    <row r="26" spans="1:30" ht="21" customHeight="1">
      <c r="A26" s="15" t="s">
        <v>24</v>
      </c>
      <c r="B26" s="58"/>
      <c r="C26" s="58"/>
      <c r="D26" s="58"/>
      <c r="E26" s="71"/>
      <c r="F26" s="71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 t="s">
        <v>35</v>
      </c>
      <c r="AB26" s="58"/>
      <c r="AC26" s="58"/>
      <c r="AD26" s="59">
        <f>SUM(B26:AC26)</f>
        <v>0</v>
      </c>
    </row>
    <row r="27" spans="1:30" ht="21" customHeight="1">
      <c r="A27" s="32" t="s">
        <v>28</v>
      </c>
      <c r="B27" s="61">
        <f t="shared" ref="B27:AC27" si="5">SUM(B$23:B$25)</f>
        <v>0</v>
      </c>
      <c r="C27" s="61">
        <f t="shared" si="5"/>
        <v>0</v>
      </c>
      <c r="D27" s="61">
        <f t="shared" si="5"/>
        <v>0</v>
      </c>
      <c r="E27" s="61">
        <f t="shared" si="5"/>
        <v>0</v>
      </c>
      <c r="F27" s="61">
        <f t="shared" si="5"/>
        <v>0</v>
      </c>
      <c r="G27" s="61">
        <f t="shared" si="5"/>
        <v>0</v>
      </c>
      <c r="H27" s="61">
        <f t="shared" si="5"/>
        <v>0</v>
      </c>
      <c r="I27" s="61">
        <f t="shared" si="5"/>
        <v>0</v>
      </c>
      <c r="J27" s="61">
        <f t="shared" si="5"/>
        <v>0</v>
      </c>
      <c r="K27" s="61">
        <f t="shared" si="5"/>
        <v>0</v>
      </c>
      <c r="L27" s="61">
        <f t="shared" si="5"/>
        <v>0</v>
      </c>
      <c r="M27" s="61">
        <f t="shared" si="5"/>
        <v>0</v>
      </c>
      <c r="N27" s="61">
        <f t="shared" si="5"/>
        <v>0</v>
      </c>
      <c r="O27" s="61">
        <f t="shared" si="5"/>
        <v>0</v>
      </c>
      <c r="P27" s="61">
        <f t="shared" si="5"/>
        <v>0</v>
      </c>
      <c r="Q27" s="61">
        <f t="shared" si="5"/>
        <v>0</v>
      </c>
      <c r="R27" s="61">
        <f t="shared" si="5"/>
        <v>0</v>
      </c>
      <c r="S27" s="61">
        <f t="shared" si="5"/>
        <v>0</v>
      </c>
      <c r="T27" s="61">
        <f t="shared" si="5"/>
        <v>0</v>
      </c>
      <c r="U27" s="61">
        <f t="shared" si="5"/>
        <v>0</v>
      </c>
      <c r="V27" s="61">
        <f t="shared" si="5"/>
        <v>0</v>
      </c>
      <c r="W27" s="61">
        <f t="shared" si="5"/>
        <v>0</v>
      </c>
      <c r="X27" s="61">
        <f t="shared" si="5"/>
        <v>0</v>
      </c>
      <c r="Y27" s="61">
        <f t="shared" si="5"/>
        <v>0</v>
      </c>
      <c r="Z27" s="61">
        <f t="shared" si="5"/>
        <v>0</v>
      </c>
      <c r="AA27" s="61">
        <f t="shared" si="5"/>
        <v>0</v>
      </c>
      <c r="AB27" s="61">
        <f t="shared" si="5"/>
        <v>0</v>
      </c>
      <c r="AC27" s="61">
        <f t="shared" si="5"/>
        <v>0</v>
      </c>
      <c r="AD27" s="62">
        <f>SUM(AD23:AD25)</f>
        <v>0</v>
      </c>
    </row>
    <row r="28" spans="1:30" ht="21" customHeight="1">
      <c r="A28" s="16" t="s">
        <v>3</v>
      </c>
      <c r="B28" s="63">
        <f>B22+B27</f>
        <v>0</v>
      </c>
      <c r="C28" s="63">
        <f t="shared" ref="C28:AC28" si="6">C22+C27</f>
        <v>0</v>
      </c>
      <c r="D28" s="63">
        <f>D22+D27</f>
        <v>0</v>
      </c>
      <c r="E28" s="63">
        <f>E22+E27</f>
        <v>0</v>
      </c>
      <c r="F28" s="63">
        <f t="shared" si="6"/>
        <v>0</v>
      </c>
      <c r="G28" s="63">
        <f t="shared" si="6"/>
        <v>0</v>
      </c>
      <c r="H28" s="63">
        <f t="shared" si="6"/>
        <v>0</v>
      </c>
      <c r="I28" s="63">
        <f t="shared" si="6"/>
        <v>0</v>
      </c>
      <c r="J28" s="63">
        <f t="shared" si="6"/>
        <v>0</v>
      </c>
      <c r="K28" s="63">
        <f t="shared" si="6"/>
        <v>0</v>
      </c>
      <c r="L28" s="63">
        <f t="shared" si="6"/>
        <v>0</v>
      </c>
      <c r="M28" s="63">
        <f t="shared" si="6"/>
        <v>0</v>
      </c>
      <c r="N28" s="63">
        <f t="shared" si="6"/>
        <v>0</v>
      </c>
      <c r="O28" s="63">
        <f t="shared" si="6"/>
        <v>0</v>
      </c>
      <c r="P28" s="63">
        <f t="shared" si="6"/>
        <v>0</v>
      </c>
      <c r="Q28" s="63">
        <f t="shared" si="6"/>
        <v>0</v>
      </c>
      <c r="R28" s="63">
        <f t="shared" si="6"/>
        <v>0</v>
      </c>
      <c r="S28" s="63">
        <f t="shared" si="6"/>
        <v>0</v>
      </c>
      <c r="T28" s="63">
        <f t="shared" si="6"/>
        <v>0</v>
      </c>
      <c r="U28" s="63">
        <f t="shared" si="6"/>
        <v>0</v>
      </c>
      <c r="V28" s="63">
        <f t="shared" si="6"/>
        <v>0</v>
      </c>
      <c r="W28" s="63">
        <f t="shared" si="6"/>
        <v>0</v>
      </c>
      <c r="X28" s="63">
        <f t="shared" si="6"/>
        <v>0</v>
      </c>
      <c r="Y28" s="63">
        <f t="shared" si="6"/>
        <v>0</v>
      </c>
      <c r="Z28" s="63">
        <f t="shared" si="6"/>
        <v>0</v>
      </c>
      <c r="AA28" s="63">
        <f t="shared" si="6"/>
        <v>0</v>
      </c>
      <c r="AB28" s="63">
        <f t="shared" si="6"/>
        <v>0</v>
      </c>
      <c r="AC28" s="63">
        <f t="shared" si="6"/>
        <v>0</v>
      </c>
      <c r="AD28" s="64">
        <f>AD22+AD27</f>
        <v>0</v>
      </c>
    </row>
    <row r="29" spans="1:30" ht="21" customHeight="1" thickBot="1">
      <c r="A29" s="92" t="s">
        <v>15</v>
      </c>
      <c r="B29" s="80" t="str">
        <f>(IF(ISERR(B28/B6)," ",B28/B6*1000000))</f>
        <v xml:space="preserve"> </v>
      </c>
      <c r="C29" s="80" t="str">
        <f t="shared" ref="C29:AC29" si="7">(IF(ISERR(C28/C6)," ",C28/C6*1000000))</f>
        <v xml:space="preserve"> </v>
      </c>
      <c r="D29" s="80" t="str">
        <f t="shared" si="7"/>
        <v xml:space="preserve"> </v>
      </c>
      <c r="E29" s="80" t="str">
        <f t="shared" si="7"/>
        <v xml:space="preserve"> </v>
      </c>
      <c r="F29" s="80" t="str">
        <f t="shared" si="7"/>
        <v xml:space="preserve"> </v>
      </c>
      <c r="G29" s="80" t="str">
        <f t="shared" si="7"/>
        <v xml:space="preserve"> </v>
      </c>
      <c r="H29" s="80" t="str">
        <f t="shared" si="7"/>
        <v xml:space="preserve"> </v>
      </c>
      <c r="I29" s="80" t="str">
        <f t="shared" si="7"/>
        <v xml:space="preserve"> </v>
      </c>
      <c r="J29" s="80" t="str">
        <f t="shared" si="7"/>
        <v xml:space="preserve"> </v>
      </c>
      <c r="K29" s="80" t="str">
        <f t="shared" si="7"/>
        <v xml:space="preserve"> </v>
      </c>
      <c r="L29" s="80" t="str">
        <f t="shared" si="7"/>
        <v xml:space="preserve"> </v>
      </c>
      <c r="M29" s="80" t="str">
        <f t="shared" si="7"/>
        <v xml:space="preserve"> </v>
      </c>
      <c r="N29" s="80" t="str">
        <f t="shared" si="7"/>
        <v xml:space="preserve"> </v>
      </c>
      <c r="O29" s="80" t="str">
        <f t="shared" si="7"/>
        <v xml:space="preserve"> </v>
      </c>
      <c r="P29" s="80" t="str">
        <f t="shared" si="7"/>
        <v xml:space="preserve"> </v>
      </c>
      <c r="Q29" s="80" t="str">
        <f t="shared" si="7"/>
        <v xml:space="preserve"> </v>
      </c>
      <c r="R29" s="80" t="str">
        <f t="shared" si="7"/>
        <v xml:space="preserve"> </v>
      </c>
      <c r="S29" s="80" t="str">
        <f t="shared" si="7"/>
        <v xml:space="preserve"> </v>
      </c>
      <c r="T29" s="80" t="str">
        <f t="shared" si="7"/>
        <v xml:space="preserve"> </v>
      </c>
      <c r="U29" s="80" t="str">
        <f t="shared" si="7"/>
        <v xml:space="preserve"> </v>
      </c>
      <c r="V29" s="80" t="str">
        <f t="shared" si="7"/>
        <v xml:space="preserve"> </v>
      </c>
      <c r="W29" s="80" t="str">
        <f t="shared" si="7"/>
        <v xml:space="preserve"> </v>
      </c>
      <c r="X29" s="80" t="str">
        <f t="shared" si="7"/>
        <v xml:space="preserve"> </v>
      </c>
      <c r="Y29" s="80" t="str">
        <f t="shared" si="7"/>
        <v xml:space="preserve"> </v>
      </c>
      <c r="Z29" s="80" t="str">
        <f t="shared" si="7"/>
        <v xml:space="preserve"> </v>
      </c>
      <c r="AA29" s="80" t="str">
        <f t="shared" si="7"/>
        <v xml:space="preserve"> </v>
      </c>
      <c r="AB29" s="80" t="str">
        <f t="shared" si="7"/>
        <v xml:space="preserve"> </v>
      </c>
      <c r="AC29" s="80" t="str">
        <f t="shared" si="7"/>
        <v xml:space="preserve"> </v>
      </c>
      <c r="AD29" s="93" t="str">
        <f>(IF(ISERR(AD28/AD6)," ",AD28/AD6*1000000))</f>
        <v xml:space="preserve"> </v>
      </c>
    </row>
    <row r="30" spans="1:30" ht="21" customHeight="1">
      <c r="A30" s="95" t="s">
        <v>39</v>
      </c>
      <c r="B30" s="105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7"/>
      <c r="AA30" s="97"/>
      <c r="AB30" s="97"/>
      <c r="AC30" s="97"/>
      <c r="AD30" s="98"/>
    </row>
    <row r="31" spans="1:30" ht="21" customHeight="1" thickBot="1">
      <c r="A31" s="29" t="s">
        <v>38</v>
      </c>
      <c r="B31" s="106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6"/>
      <c r="AA31" s="66"/>
      <c r="AB31" s="66"/>
      <c r="AC31" s="66"/>
      <c r="AD31" s="67"/>
    </row>
    <row r="32" spans="1:30" ht="21" customHeight="1">
      <c r="A32" s="17" t="s">
        <v>10</v>
      </c>
      <c r="B32" s="107"/>
      <c r="C32" s="18"/>
      <c r="D32" s="18"/>
      <c r="E32" s="18"/>
      <c r="F32" s="18"/>
      <c r="G32" s="18"/>
      <c r="H32" s="17" t="s">
        <v>12</v>
      </c>
      <c r="I32" s="18"/>
      <c r="J32" s="18"/>
      <c r="K32" s="18"/>
      <c r="L32" s="18"/>
      <c r="M32" s="18"/>
      <c r="N32" s="18"/>
      <c r="O32" s="18"/>
      <c r="P32" s="18"/>
      <c r="Q32" s="19"/>
      <c r="R32" s="50"/>
      <c r="S32" s="19"/>
      <c r="T32" s="19"/>
      <c r="U32" s="19"/>
      <c r="V32" s="21" t="s">
        <v>13</v>
      </c>
      <c r="W32" s="19"/>
      <c r="X32" s="19"/>
      <c r="Y32" s="19"/>
      <c r="Z32" s="19"/>
      <c r="AA32" s="19"/>
      <c r="AB32" s="19"/>
      <c r="AC32" s="19"/>
      <c r="AD32" s="9"/>
    </row>
    <row r="33" spans="1:31" s="25" customFormat="1" ht="21" customHeight="1" thickBot="1">
      <c r="A33" s="22" t="s">
        <v>11</v>
      </c>
      <c r="B33" s="23"/>
      <c r="C33" s="23"/>
      <c r="D33" s="23"/>
      <c r="E33" s="23"/>
      <c r="F33" s="23"/>
      <c r="G33" s="23"/>
      <c r="H33" s="22" t="s">
        <v>11</v>
      </c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2" t="s">
        <v>11</v>
      </c>
      <c r="W33" s="23"/>
      <c r="X33" s="23"/>
      <c r="Y33" s="23"/>
      <c r="Z33" s="23"/>
      <c r="AA33" s="23"/>
      <c r="AB33" s="23"/>
      <c r="AC33" s="23"/>
      <c r="AD33" s="24"/>
    </row>
    <row r="34" spans="1:31">
      <c r="A34" t="s">
        <v>5</v>
      </c>
      <c r="B34">
        <f>'[2]SJCPIL 16-006-08'!$Y$10</f>
        <v>1200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</row>
    <row r="35" spans="1:31" ht="13.5" thickBot="1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</row>
    <row r="36" spans="1:31">
      <c r="A36" s="10" t="s">
        <v>6</v>
      </c>
      <c r="B36" s="133">
        <f t="shared" ref="B36:H36" si="8">B2</f>
        <v>0</v>
      </c>
      <c r="C36" s="133">
        <f t="shared" si="8"/>
        <v>0</v>
      </c>
      <c r="D36" s="133">
        <f t="shared" si="8"/>
        <v>0</v>
      </c>
      <c r="E36" s="133">
        <f t="shared" si="8"/>
        <v>0</v>
      </c>
      <c r="F36" s="133">
        <f t="shared" si="8"/>
        <v>0</v>
      </c>
      <c r="G36" s="133">
        <f t="shared" si="8"/>
        <v>0</v>
      </c>
      <c r="H36" s="133">
        <f t="shared" si="8"/>
        <v>0</v>
      </c>
      <c r="I36" s="133">
        <f t="shared" ref="I36:AC36" si="9">I2</f>
        <v>0</v>
      </c>
      <c r="J36" s="133">
        <f t="shared" si="9"/>
        <v>0</v>
      </c>
      <c r="K36" s="133">
        <f t="shared" si="9"/>
        <v>0</v>
      </c>
      <c r="L36" s="133">
        <f t="shared" si="9"/>
        <v>0</v>
      </c>
      <c r="M36" s="133">
        <f t="shared" si="9"/>
        <v>0</v>
      </c>
      <c r="N36" s="133">
        <v>900</v>
      </c>
      <c r="O36" s="133">
        <f t="shared" si="9"/>
        <v>0</v>
      </c>
      <c r="P36" s="133">
        <f t="shared" si="9"/>
        <v>0</v>
      </c>
      <c r="Q36" s="133">
        <f t="shared" si="9"/>
        <v>0</v>
      </c>
      <c r="R36" s="133"/>
      <c r="S36" s="133"/>
      <c r="T36" s="133"/>
      <c r="U36" s="133"/>
      <c r="V36" s="133">
        <f t="shared" si="9"/>
        <v>0</v>
      </c>
      <c r="W36" s="133">
        <f t="shared" si="9"/>
        <v>0</v>
      </c>
      <c r="X36" s="133">
        <f t="shared" si="9"/>
        <v>0</v>
      </c>
      <c r="Y36" s="133">
        <f t="shared" si="9"/>
        <v>0</v>
      </c>
      <c r="Z36" s="133">
        <f t="shared" si="9"/>
        <v>0</v>
      </c>
      <c r="AA36" s="133">
        <f t="shared" si="9"/>
        <v>0</v>
      </c>
      <c r="AB36" s="133">
        <f t="shared" si="9"/>
        <v>0</v>
      </c>
      <c r="AC36" s="133">
        <f t="shared" si="9"/>
        <v>0</v>
      </c>
    </row>
    <row r="37" spans="1:31" ht="120" customHeight="1">
      <c r="A37" s="28" t="s">
        <v>7</v>
      </c>
      <c r="B37" s="118"/>
      <c r="C37" s="118"/>
      <c r="D37" s="118"/>
      <c r="E37" s="118"/>
      <c r="F37" s="118"/>
      <c r="G37" s="118"/>
      <c r="H37" s="118"/>
      <c r="I37" s="118"/>
      <c r="J37" s="118"/>
      <c r="K37" s="6"/>
      <c r="L37" s="6"/>
      <c r="M37" s="6"/>
      <c r="N37" s="6"/>
      <c r="O37" s="7"/>
      <c r="P37" s="7"/>
      <c r="Q37" s="8"/>
      <c r="R37" s="8"/>
      <c r="S37" s="6"/>
      <c r="T37" s="6"/>
      <c r="U37" s="6"/>
      <c r="V37" s="6"/>
      <c r="W37" s="6"/>
      <c r="X37" s="7"/>
      <c r="Y37" s="7"/>
      <c r="Z37" s="7"/>
      <c r="AA37" s="7"/>
      <c r="AB37" s="7"/>
      <c r="AC37" s="8"/>
    </row>
    <row r="39" spans="1:31"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>
        <f>AB5-AB6-AB26</f>
        <v>0</v>
      </c>
      <c r="AC39" s="34">
        <f>AC5-AC6-AC26</f>
        <v>0</v>
      </c>
      <c r="AD39">
        <f>AD5-AD6-AD26</f>
        <v>0</v>
      </c>
    </row>
    <row r="40" spans="1:31"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>
        <f>AB5-AB6</f>
        <v>0</v>
      </c>
      <c r="AC40" s="35">
        <f>AC5-AC6</f>
        <v>0</v>
      </c>
      <c r="AD40" s="35">
        <f>AD5-AD6</f>
        <v>0</v>
      </c>
    </row>
    <row r="43" spans="1:31">
      <c r="A43" s="123" t="s">
        <v>49</v>
      </c>
      <c r="B43" s="70">
        <f>'[1]LINHA - 1D'!D$4</f>
        <v>112550</v>
      </c>
      <c r="C43" s="70">
        <f>'[1]LINHA - 1D'!E$4</f>
        <v>225050</v>
      </c>
      <c r="D43" s="70">
        <f>'[1]LINHA - 1D'!F$4</f>
        <v>225050</v>
      </c>
      <c r="E43" s="70">
        <f>'[1]LINHA - 1D'!G$4</f>
        <v>202550</v>
      </c>
      <c r="F43" s="70">
        <f>'[1]LINHA - 1D'!H$4</f>
        <v>247550</v>
      </c>
      <c r="G43" s="70">
        <f>'[1]LINHA - 1D'!I$4</f>
        <v>247600</v>
      </c>
      <c r="H43" s="70">
        <f>'[1]LINHA - 1D'!J$4</f>
        <v>225050</v>
      </c>
      <c r="I43" s="70">
        <f>'[1]LINHA - 1D'!K$4</f>
        <v>247550</v>
      </c>
      <c r="J43" s="70">
        <f>'[1]LINHA - 1D'!L$4</f>
        <v>247550</v>
      </c>
      <c r="K43" s="70">
        <f>'[1]LINHA - 1D'!M$4</f>
        <v>247550</v>
      </c>
      <c r="L43" s="70">
        <f>'[1]LINHA - 1D'!N$4</f>
        <v>112550</v>
      </c>
      <c r="M43" s="70">
        <f>'[1]LINHA - 1D'!O$4</f>
        <v>125050</v>
      </c>
      <c r="N43" s="70">
        <f>'[1]LINHA - 1D'!P$4</f>
        <v>0</v>
      </c>
      <c r="O43" s="70">
        <f>'[1]LINHA - 1D'!Q$4</f>
        <v>0</v>
      </c>
      <c r="P43" s="70">
        <f>'[1]LINHA - 1D'!R$4</f>
        <v>0</v>
      </c>
      <c r="Q43" s="70">
        <f>'[1]LINHA - 1D'!S$4</f>
        <v>0</v>
      </c>
      <c r="R43" s="70">
        <f>'[1]LINHA - 1D'!T$4</f>
        <v>0</v>
      </c>
      <c r="S43" s="70">
        <f>'[1]LINHA - 1D'!U$4</f>
        <v>0</v>
      </c>
      <c r="T43" s="70">
        <f>'[1]LINHA - 1D'!V$4</f>
        <v>0</v>
      </c>
      <c r="U43" s="70">
        <f>'[1]LINHA - 1D'!W$4</f>
        <v>0</v>
      </c>
      <c r="V43" s="70">
        <f>'[1]LINHA - 1D'!X$4</f>
        <v>0</v>
      </c>
      <c r="W43" s="70">
        <f>'[1]LINHA - 1D'!Y$4</f>
        <v>0</v>
      </c>
      <c r="X43" s="70">
        <f>'[1]LINHA - 1D'!Z$4</f>
        <v>0</v>
      </c>
      <c r="Y43" s="70">
        <f>'[1]LINHA - 1D'!AA$4</f>
        <v>0</v>
      </c>
      <c r="Z43" s="70">
        <f>'[1]LINHA - 1D'!AB$4</f>
        <v>0</v>
      </c>
      <c r="AA43" s="70">
        <f>'[1]LINHA - 1D'!AC$4</f>
        <v>0</v>
      </c>
      <c r="AB43" s="70">
        <f>'[1]LINHA - 1D'!AD$4</f>
        <v>0</v>
      </c>
      <c r="AC43" s="70">
        <f>'[1]LINHA - 1D'!AE$4</f>
        <v>0</v>
      </c>
      <c r="AD43" s="70">
        <f>'[3]LINHA - 1D'!AF$4</f>
        <v>3558500</v>
      </c>
      <c r="AE43" s="70"/>
    </row>
    <row r="44" spans="1:31">
      <c r="A44" s="123" t="s">
        <v>50</v>
      </c>
      <c r="B44" s="134">
        <f t="array" ref="B44">SUM(IF('[4]UM-3 - L1 - Dia'!$D$3:$AR$3=B2,'[4]UM-3 - L1 - Dia'!$D$7:$AR$7))</f>
        <v>0</v>
      </c>
      <c r="C44" s="134">
        <f t="array" ref="C44">SUM(IF('[4]UM-3 - L1 - Dia'!$D$3:$AR$3=C2,'[4]UM-3 - L1 - Dia'!$D$7:$AR$7))</f>
        <v>0</v>
      </c>
      <c r="D44" s="134">
        <f t="array" ref="D44">SUM(IF('[4]UM-3 - L1 - Dia'!$D$3:$AR$3=D2,'[4]UM-3 - L1 - Dia'!$D$7:$AR$7))</f>
        <v>0</v>
      </c>
      <c r="E44" s="134">
        <f t="array" ref="E44">SUM(IF('[4]UM-3 - L1 - Dia'!$D$3:$AR$3=E2,'[4]UM-3 - L1 - Dia'!$D$7:$AR$7))</f>
        <v>0</v>
      </c>
      <c r="F44" s="134">
        <f t="array" ref="F44">SUM(IF('[4]UM-3 - L1 - Dia'!$D$3:$AR$3=F2,'[4]UM-3 - L1 - Dia'!$D$7:$AR$7))</f>
        <v>0</v>
      </c>
      <c r="G44" s="134">
        <f t="array" ref="G44">SUM(IF('[4]UM-3 - L1 - Dia'!$D$3:$AR$3=G2,'[4]UM-3 - L1 - Dia'!$D$7:$AR$7))</f>
        <v>0</v>
      </c>
      <c r="H44" s="134">
        <f t="array" ref="H44">SUM(IF('[4]UM-3 - L1 - Dia'!$D$3:$AR$3=H2,'[4]UM-3 - L1 - Dia'!$D$7:$AR$7))</f>
        <v>0</v>
      </c>
      <c r="I44" s="134">
        <f t="array" ref="I44">SUM(IF('[4]UM-3 - L1 - Dia'!$D$3:$AR$3=I2,'[4]UM-3 - L1 - Dia'!$D$7:$AR$7))</f>
        <v>0</v>
      </c>
      <c r="J44" s="134">
        <f t="array" ref="J44">SUM(IF('[4]UM-3 - L1 - Dia'!$D$3:$AR$3=J2,'[4]UM-3 - L1 - Dia'!$D$7:$AR$7))</f>
        <v>0</v>
      </c>
      <c r="K44" s="134">
        <f t="array" ref="K44">SUM(IF('[4]UM-3 - L1 - Dia'!$D$3:$AR$3=K2,'[4]UM-3 - L1 - Dia'!$D$7:$AR$7))</f>
        <v>0</v>
      </c>
      <c r="L44" s="134">
        <f t="array" ref="L44">SUM(IF('[4]UM-3 - L1 - Dia'!$D$3:$AR$3=L2,'[4]UM-3 - L1 - Dia'!$D$7:$AR$7))</f>
        <v>0</v>
      </c>
      <c r="M44" s="134">
        <f t="array" ref="M44">SUM(IF('[4]UM-3 - L1 - Dia'!$D$3:$AR$3=M2,'[4]UM-3 - L1 - Dia'!$D$7:$AR$7))</f>
        <v>0</v>
      </c>
      <c r="N44" s="134">
        <f t="array" ref="N44">SUM(IF('[4]UM-3 - L1 - Dia'!$D$3:$AR$3=N2,'[4]UM-3 - L1 - Dia'!$D$7:$AR$7))</f>
        <v>0</v>
      </c>
      <c r="O44" s="134">
        <f t="array" ref="O44">SUM(IF('[4]UM-3 - L1 - Dia'!$D$3:$AR$3=O2,'[4]UM-3 - L1 - Dia'!$D$7:$AR$7))</f>
        <v>0</v>
      </c>
      <c r="P44" s="134">
        <f t="array" ref="P44">SUM(IF('[4]UM-3 - L1 - Dia'!$D$3:$AR$3=P2,'[4]UM-3 - L1 - Dia'!$D$7:$AR$7))</f>
        <v>0</v>
      </c>
      <c r="Q44" s="134">
        <f t="array" ref="Q44">SUM(IF('[4]UM-3 - L1 - Dia'!$D$3:$AR$3=Q2,'[4]UM-3 - L1 - Dia'!$D$7:$AR$7))</f>
        <v>0</v>
      </c>
      <c r="R44" s="134">
        <f t="array" ref="R44">SUM(IF('[4]UM-3 - L1 - Dia'!$D$3:$AR$3=R2,'[4]UM-3 - L1 - Dia'!$D$7:$AR$7))</f>
        <v>0</v>
      </c>
      <c r="S44" s="134">
        <f t="array" ref="S44">SUM(IF('[4]UM-3 - L1 - Dia'!$D$3:$AR$3=S2,'[4]UM-3 - L1 - Dia'!$D$7:$AR$7))</f>
        <v>0</v>
      </c>
      <c r="T44" s="134">
        <f t="array" ref="T44">SUM(IF('[4]UM-3 - L1 - Dia'!$D$3:$AR$3=T2,'[4]UM-3 - L1 - Dia'!$D$7:$AR$7))</f>
        <v>0</v>
      </c>
      <c r="U44" s="134">
        <f t="array" ref="U44">SUM(IF('[4]UM-3 - L1 - Dia'!$D$3:$AR$3=U2,'[4]UM-3 - L1 - Dia'!$D$7:$AR$7))</f>
        <v>0</v>
      </c>
      <c r="V44" s="134">
        <f t="array" ref="V44">SUM(IF('[4]UM-3 - L1 - Dia'!$D$3:$AR$3=V2,'[4]UM-3 - L1 - Dia'!$D$7:$AR$7))</f>
        <v>0</v>
      </c>
      <c r="W44" s="134">
        <f t="array" ref="W44">SUM(IF('[4]UM-3 - L1 - Dia'!$D$3:$AR$3=W2,'[4]UM-3 - L1 - Dia'!$D$7:$AR$7))</f>
        <v>0</v>
      </c>
      <c r="X44" s="134">
        <f t="array" ref="X44">SUM(IF('[4]UM-3 - L1 - Dia'!$D$3:$AR$3=X2,'[4]UM-3 - L1 - Dia'!$D$7:$AR$7))</f>
        <v>0</v>
      </c>
      <c r="Y44" s="134">
        <f t="array" ref="Y44">SUM(IF('[4]UM-3 - L1 - Dia'!$D$3:$AR$3=Y2,'[4]UM-3 - L1 - Dia'!$D$7:$AR$7))</f>
        <v>0</v>
      </c>
      <c r="Z44" s="134">
        <f t="array" ref="Z44">SUM(IF('[4]UM-3 - L1 - Dia'!$D$3:$AR$3=Z2,'[4]UM-3 - L1 - Dia'!$D$7:$AR$7))</f>
        <v>0</v>
      </c>
      <c r="AA44" s="134">
        <f t="array" ref="AA44">SUM(IF('[4]UM-3 - L1 - Dia'!$D$3:$AR$3=AA2,'[4]UM-3 - L1 - Dia'!$D$7:$AR$7))</f>
        <v>0</v>
      </c>
      <c r="AB44" s="134">
        <f t="array" ref="AB44">SUM(IF('[4]UM-3 - L1 - Dia'!$D$3:$AR$3=AB2,'[4]UM-3 - L1 - Dia'!$D$7:$AR$7))</f>
        <v>0</v>
      </c>
      <c r="AC44" s="134">
        <f t="array" ref="AC44">SUM(IF('[4]UM-3 - L1 - Dia'!$D$3:$AR$3=AC2,'[4]UM-3 - L1 - Dia'!$D$7:$AR$7))</f>
        <v>0</v>
      </c>
    </row>
  </sheetData>
  <sheetProtection selectLockedCells="1"/>
  <mergeCells count="30">
    <mergeCell ref="AB1:AC1"/>
    <mergeCell ref="S7:S15"/>
    <mergeCell ref="T7:T15"/>
    <mergeCell ref="U7:U15"/>
    <mergeCell ref="B7:B15"/>
    <mergeCell ref="I7:I15"/>
    <mergeCell ref="M7:M15"/>
    <mergeCell ref="J7:J15"/>
    <mergeCell ref="H7:H15"/>
    <mergeCell ref="Q7:Q15"/>
    <mergeCell ref="K7:K15"/>
    <mergeCell ref="L7:L15"/>
    <mergeCell ref="P7:P15"/>
    <mergeCell ref="AA7:AA15"/>
    <mergeCell ref="AB7:AB15"/>
    <mergeCell ref="AC7:AC15"/>
    <mergeCell ref="A7:A15"/>
    <mergeCell ref="C7:C15"/>
    <mergeCell ref="E7:E15"/>
    <mergeCell ref="D7:D15"/>
    <mergeCell ref="G7:G15"/>
    <mergeCell ref="F7:F15"/>
    <mergeCell ref="N7:N15"/>
    <mergeCell ref="V7:V15"/>
    <mergeCell ref="O7:O15"/>
    <mergeCell ref="Z7:Z15"/>
    <mergeCell ref="X7:X15"/>
    <mergeCell ref="Y7:Y15"/>
    <mergeCell ref="W7:W15"/>
    <mergeCell ref="R7:R15"/>
  </mergeCells>
  <phoneticPr fontId="0" type="noConversion"/>
  <conditionalFormatting sqref="AD28">
    <cfRule type="cellIs" dxfId="26" priority="11" stopIfTrue="1" operator="notEqual">
      <formula>SUM($AD$16:$AD$21,$AD$23:$AD$25)</formula>
    </cfRule>
  </conditionalFormatting>
  <conditionalFormatting sqref="B27:AD27">
    <cfRule type="cellIs" dxfId="25" priority="12" stopIfTrue="1" operator="notEqual">
      <formula>B$5-B$6-B$26</formula>
    </cfRule>
  </conditionalFormatting>
  <conditionalFormatting sqref="B22:AD22">
    <cfRule type="cellIs" dxfId="24" priority="13" stopIfTrue="1" operator="notEqual">
      <formula>B$4-B$5</formula>
    </cfRule>
  </conditionalFormatting>
  <conditionalFormatting sqref="AD6">
    <cfRule type="expression" dxfId="23" priority="14">
      <formula>$AD$6&lt;&gt;$AF$6</formula>
    </cfRule>
  </conditionalFormatting>
  <conditionalFormatting sqref="P6:AC6">
    <cfRule type="expression" dxfId="22" priority="3">
      <formula>P$6&lt;&gt;P$43</formula>
    </cfRule>
  </conditionalFormatting>
  <conditionalFormatting sqref="B6:AC6">
    <cfRule type="expression" dxfId="21" priority="1">
      <formula>B$6&lt;&gt;B$44</formula>
    </cfRule>
  </conditionalFormatting>
  <dataValidations disablePrompts="1" count="1">
    <dataValidation type="date" allowBlank="1" showInputMessage="1" showErrorMessage="1" promptTitle="Data:" prompt="Favor digitar uma data válida contendo pelo menos dia/mês." sqref="B2:AC2" xr:uid="{00000000-0002-0000-0100-000000000000}">
      <formula1>44287</formula1>
      <formula2>44651</formula2>
    </dataValidation>
  </dataValidations>
  <printOptions horizontalCentered="1" gridLines="1" gridLinesSet="0"/>
  <pageMargins left="0.39370078740157483" right="0.39370078740157483" top="0.78740157480314965" bottom="0.39370078740157483" header="0.27559055118110237" footer="0.19685039370078741"/>
  <pageSetup paperSize="9" scale="59" orientation="landscape" r:id="rId1"/>
  <headerFooter alignWithMargins="0">
    <oddFooter>&amp;RSJCPIL-R 16-316-02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19050</xdr:rowOff>
                  </from>
                  <to>
                    <xdr:col>26</xdr:col>
                    <xdr:colOff>419100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Check Box 3">
              <controlPr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190500</xdr:rowOff>
                  </from>
                  <to>
                    <xdr:col>26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6">
    <tabColor indexed="40"/>
    <pageSetUpPr fitToPage="1"/>
  </sheetPr>
  <dimension ref="A1:AF44"/>
  <sheetViews>
    <sheetView showZeros="0" zoomScaleNormal="100" workbookViewId="0">
      <selection activeCell="AD4" sqref="AD4"/>
    </sheetView>
  </sheetViews>
  <sheetFormatPr defaultColWidth="11.42578125" defaultRowHeight="12.75"/>
  <cols>
    <col min="1" max="1" width="24.42578125" customWidth="1"/>
    <col min="2" max="29" width="6.7109375" customWidth="1"/>
    <col min="30" max="30" width="12.7109375" customWidth="1"/>
    <col min="31" max="31" width="3.28515625" customWidth="1"/>
  </cols>
  <sheetData>
    <row r="1" spans="1:32" ht="32.25" customHeight="1" thickBot="1">
      <c r="B1" s="5" t="s">
        <v>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11" t="s">
        <v>9</v>
      </c>
      <c r="X1" s="5"/>
      <c r="Y1" s="5"/>
      <c r="Z1" s="120"/>
      <c r="AA1" s="120"/>
      <c r="AB1" s="140" t="s">
        <v>48</v>
      </c>
      <c r="AC1" s="145"/>
      <c r="AD1" s="122" t="str">
        <f ca="1">'LINHA 1-D'!AD1</f>
        <v>03 / 2022</v>
      </c>
    </row>
    <row r="2" spans="1:32" ht="20.100000000000001" customHeight="1">
      <c r="A2" s="136" t="s">
        <v>11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21" t="s">
        <v>14</v>
      </c>
    </row>
    <row r="3" spans="1:32" ht="20.100000000000001" customHeight="1">
      <c r="A3" s="12" t="s">
        <v>1</v>
      </c>
      <c r="B3" s="2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2"/>
      <c r="T3" s="2"/>
      <c r="U3" s="2"/>
      <c r="V3" s="2"/>
      <c r="W3" s="2"/>
      <c r="X3" s="2"/>
      <c r="Y3" s="1"/>
      <c r="Z3" s="1"/>
      <c r="AA3" s="2"/>
      <c r="AB3" s="2"/>
      <c r="AC3" s="1"/>
      <c r="AD3" s="3"/>
    </row>
    <row r="4" spans="1:32" ht="20.100000000000001" customHeight="1">
      <c r="A4" s="30" t="s">
        <v>25</v>
      </c>
      <c r="B4" s="53"/>
      <c r="C4" s="53"/>
      <c r="D4" s="53"/>
      <c r="E4" s="53"/>
      <c r="F4" s="126"/>
      <c r="G4" s="53"/>
      <c r="H4" s="53"/>
      <c r="I4" s="53"/>
      <c r="J4" s="53"/>
      <c r="K4" s="53"/>
      <c r="L4" s="53"/>
      <c r="M4" s="53"/>
      <c r="N4" s="91"/>
      <c r="O4" s="91"/>
      <c r="P4" s="91"/>
      <c r="Q4" s="91"/>
      <c r="R4" s="91"/>
      <c r="S4" s="91"/>
      <c r="T4" s="91"/>
      <c r="U4" s="85"/>
      <c r="V4" s="85"/>
      <c r="W4" s="85"/>
      <c r="X4" s="86"/>
      <c r="Y4" s="86"/>
      <c r="Z4" s="86"/>
      <c r="AA4" s="86"/>
      <c r="AB4" s="86"/>
      <c r="AC4" s="86"/>
      <c r="AD4" s="87">
        <f>SUM(B4:AC4)</f>
        <v>0</v>
      </c>
    </row>
    <row r="5" spans="1:32" ht="20.100000000000001" customHeight="1">
      <c r="A5" s="30" t="s">
        <v>26</v>
      </c>
      <c r="B5" s="55"/>
      <c r="C5" s="54"/>
      <c r="D5" s="54"/>
      <c r="E5" s="54"/>
      <c r="F5" s="54"/>
      <c r="G5" s="53"/>
      <c r="H5" s="53"/>
      <c r="I5" s="54"/>
      <c r="J5" s="54"/>
      <c r="K5" s="54"/>
      <c r="L5" s="54"/>
      <c r="M5" s="54"/>
      <c r="N5" s="91"/>
      <c r="O5" s="91"/>
      <c r="P5" s="91"/>
      <c r="Q5" s="91"/>
      <c r="R5" s="91"/>
      <c r="S5" s="91"/>
      <c r="T5" s="91"/>
      <c r="U5" s="85"/>
      <c r="V5" s="85"/>
      <c r="W5" s="85"/>
      <c r="X5" s="86"/>
      <c r="Y5" s="86"/>
      <c r="Z5" s="86"/>
      <c r="AA5" s="86"/>
      <c r="AB5" s="86"/>
      <c r="AC5" s="86"/>
      <c r="AD5" s="87">
        <f>SUM(B5:AC5)</f>
        <v>0</v>
      </c>
    </row>
    <row r="6" spans="1:32" ht="20.100000000000001" customHeight="1" thickBot="1">
      <c r="A6" s="13" t="s">
        <v>29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90">
        <f>SUM(B6:AC6)</f>
        <v>0</v>
      </c>
      <c r="AF6" s="108">
        <f t="array" ref="AF6">[1]!PROD_L2D</f>
        <v>3803200</v>
      </c>
    </row>
    <row r="7" spans="1:32" ht="39.950000000000003" customHeight="1">
      <c r="A7" s="139" t="s">
        <v>4</v>
      </c>
      <c r="B7" s="146">
        <f>B37</f>
        <v>0</v>
      </c>
      <c r="C7" s="146">
        <f>C37</f>
        <v>0</v>
      </c>
      <c r="D7" s="146"/>
      <c r="E7" s="146">
        <f>E37</f>
        <v>0</v>
      </c>
      <c r="F7" s="146">
        <f>F37</f>
        <v>0</v>
      </c>
      <c r="G7" s="146">
        <f>F37</f>
        <v>0</v>
      </c>
      <c r="H7" s="146">
        <f t="shared" ref="H7:AD7" si="0">H37</f>
        <v>0</v>
      </c>
      <c r="I7" s="146">
        <f t="shared" si="0"/>
        <v>0</v>
      </c>
      <c r="J7" s="146">
        <f t="shared" si="0"/>
        <v>0</v>
      </c>
      <c r="K7" s="146">
        <f t="shared" si="0"/>
        <v>0</v>
      </c>
      <c r="L7" s="146">
        <f t="shared" si="0"/>
        <v>0</v>
      </c>
      <c r="M7" s="146">
        <f t="shared" si="0"/>
        <v>0</v>
      </c>
      <c r="N7" s="146">
        <f t="shared" si="0"/>
        <v>0</v>
      </c>
      <c r="O7" s="146">
        <f t="shared" si="0"/>
        <v>0</v>
      </c>
      <c r="P7" s="146">
        <f t="shared" si="0"/>
        <v>0</v>
      </c>
      <c r="Q7" s="146">
        <f t="shared" si="0"/>
        <v>0</v>
      </c>
      <c r="R7" s="146">
        <f t="shared" si="0"/>
        <v>0</v>
      </c>
      <c r="S7" s="146">
        <f t="shared" si="0"/>
        <v>0</v>
      </c>
      <c r="T7" s="146">
        <f t="shared" si="0"/>
        <v>0</v>
      </c>
      <c r="U7" s="146">
        <f t="shared" si="0"/>
        <v>0</v>
      </c>
      <c r="V7" s="146">
        <f t="shared" si="0"/>
        <v>0</v>
      </c>
      <c r="W7" s="146">
        <f t="shared" si="0"/>
        <v>0</v>
      </c>
      <c r="X7" s="146">
        <f t="shared" si="0"/>
        <v>0</v>
      </c>
      <c r="Y7" s="146">
        <f t="shared" si="0"/>
        <v>0</v>
      </c>
      <c r="Z7" s="146">
        <f t="shared" si="0"/>
        <v>0</v>
      </c>
      <c r="AA7" s="146">
        <f t="shared" si="0"/>
        <v>0</v>
      </c>
      <c r="AB7" s="146">
        <f t="shared" si="0"/>
        <v>0</v>
      </c>
      <c r="AC7" s="146">
        <f t="shared" si="0"/>
        <v>0</v>
      </c>
      <c r="AD7" s="142">
        <f t="shared" si="0"/>
        <v>0</v>
      </c>
    </row>
    <row r="8" spans="1:32" ht="39.950000000000003" customHeight="1">
      <c r="A8" s="139"/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3"/>
    </row>
    <row r="9" spans="1:32" ht="39.950000000000003" customHeight="1">
      <c r="A9" s="139"/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3"/>
    </row>
    <row r="10" spans="1:32" ht="39.950000000000003" customHeight="1">
      <c r="A10" s="139"/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3"/>
    </row>
    <row r="11" spans="1:32" ht="39.950000000000003" customHeight="1">
      <c r="A11" s="139"/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3"/>
    </row>
    <row r="12" spans="1:32" ht="39.950000000000003" customHeight="1">
      <c r="A12" s="139"/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3"/>
    </row>
    <row r="13" spans="1:32" ht="39.950000000000003" customHeight="1">
      <c r="A13" s="139"/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3"/>
    </row>
    <row r="14" spans="1:32" ht="39.950000000000003" customHeight="1">
      <c r="A14" s="139"/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3"/>
    </row>
    <row r="15" spans="1:32" ht="39.950000000000003" customHeight="1" thickBot="1">
      <c r="A15" s="139"/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4"/>
    </row>
    <row r="16" spans="1:32" ht="21" customHeight="1">
      <c r="A16" s="14" t="s">
        <v>16</v>
      </c>
      <c r="B16" s="77"/>
      <c r="C16" s="77"/>
      <c r="D16" s="78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69">
        <f t="shared" ref="AD16:AD21" si="1">SUM(B16:AC16)</f>
        <v>0</v>
      </c>
    </row>
    <row r="17" spans="1:30" ht="21" customHeight="1">
      <c r="A17" s="15" t="s">
        <v>17</v>
      </c>
      <c r="B17" s="79"/>
      <c r="C17" s="79"/>
      <c r="D17" s="79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72">
        <f t="shared" si="1"/>
        <v>0</v>
      </c>
    </row>
    <row r="18" spans="1:30" ht="21" customHeight="1">
      <c r="A18" s="15" t="s">
        <v>18</v>
      </c>
      <c r="B18" s="79"/>
      <c r="C18" s="79"/>
      <c r="D18" s="79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72">
        <f t="shared" si="1"/>
        <v>0</v>
      </c>
    </row>
    <row r="19" spans="1:30" ht="21" customHeight="1">
      <c r="A19" s="15" t="s">
        <v>21</v>
      </c>
      <c r="B19" s="79"/>
      <c r="C19" s="79"/>
      <c r="D19" s="79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72">
        <f t="shared" si="1"/>
        <v>0</v>
      </c>
    </row>
    <row r="20" spans="1:30" ht="21" customHeight="1">
      <c r="A20" s="15" t="s">
        <v>19</v>
      </c>
      <c r="B20" s="79"/>
      <c r="C20" s="79"/>
      <c r="D20" s="79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72">
        <f t="shared" si="1"/>
        <v>0</v>
      </c>
    </row>
    <row r="21" spans="1:30" ht="21" customHeight="1">
      <c r="A21" s="15" t="s">
        <v>20</v>
      </c>
      <c r="B21" s="79"/>
      <c r="C21" s="79"/>
      <c r="D21" s="79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72">
        <f t="shared" si="1"/>
        <v>0</v>
      </c>
    </row>
    <row r="22" spans="1:30" ht="21" customHeight="1">
      <c r="A22" s="16" t="s">
        <v>27</v>
      </c>
      <c r="B22" s="73">
        <f t="shared" ref="B22:AC22" si="2">SUM(B16:B21)</f>
        <v>0</v>
      </c>
      <c r="C22" s="73">
        <f t="shared" si="2"/>
        <v>0</v>
      </c>
      <c r="D22" s="73">
        <f t="shared" si="2"/>
        <v>0</v>
      </c>
      <c r="E22" s="73">
        <f t="shared" si="2"/>
        <v>0</v>
      </c>
      <c r="F22" s="73">
        <f t="shared" si="2"/>
        <v>0</v>
      </c>
      <c r="G22" s="73">
        <f t="shared" si="2"/>
        <v>0</v>
      </c>
      <c r="H22" s="73">
        <f t="shared" si="2"/>
        <v>0</v>
      </c>
      <c r="I22" s="61">
        <f t="shared" si="2"/>
        <v>0</v>
      </c>
      <c r="J22" s="61">
        <f t="shared" si="2"/>
        <v>0</v>
      </c>
      <c r="K22" s="61">
        <f t="shared" si="2"/>
        <v>0</v>
      </c>
      <c r="L22" s="61">
        <f t="shared" si="2"/>
        <v>0</v>
      </c>
      <c r="M22" s="61">
        <f t="shared" si="2"/>
        <v>0</v>
      </c>
      <c r="N22" s="61">
        <f t="shared" si="2"/>
        <v>0</v>
      </c>
      <c r="O22" s="61">
        <f t="shared" si="2"/>
        <v>0</v>
      </c>
      <c r="P22" s="61">
        <f t="shared" si="2"/>
        <v>0</v>
      </c>
      <c r="Q22" s="61">
        <f t="shared" si="2"/>
        <v>0</v>
      </c>
      <c r="R22" s="61">
        <f t="shared" si="2"/>
        <v>0</v>
      </c>
      <c r="S22" s="61">
        <f t="shared" si="2"/>
        <v>0</v>
      </c>
      <c r="T22" s="61">
        <f t="shared" si="2"/>
        <v>0</v>
      </c>
      <c r="U22" s="61">
        <f t="shared" si="2"/>
        <v>0</v>
      </c>
      <c r="V22" s="61">
        <f t="shared" si="2"/>
        <v>0</v>
      </c>
      <c r="W22" s="61">
        <f t="shared" si="2"/>
        <v>0</v>
      </c>
      <c r="X22" s="61">
        <f t="shared" si="2"/>
        <v>0</v>
      </c>
      <c r="Y22" s="61">
        <f t="shared" si="2"/>
        <v>0</v>
      </c>
      <c r="Z22" s="61">
        <f t="shared" si="2"/>
        <v>0</v>
      </c>
      <c r="AA22" s="61">
        <f t="shared" si="2"/>
        <v>0</v>
      </c>
      <c r="AB22" s="61">
        <f t="shared" si="2"/>
        <v>0</v>
      </c>
      <c r="AC22" s="61">
        <f t="shared" si="2"/>
        <v>0</v>
      </c>
      <c r="AD22" s="74">
        <f>SUM(AD16:AD21)</f>
        <v>0</v>
      </c>
    </row>
    <row r="23" spans="1:30" ht="21" customHeight="1">
      <c r="A23" s="15" t="s">
        <v>22</v>
      </c>
      <c r="B23" s="79"/>
      <c r="C23" s="79"/>
      <c r="D23" s="79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72">
        <f>SUM(B23:AC23)</f>
        <v>0</v>
      </c>
    </row>
    <row r="24" spans="1:30" ht="21" customHeight="1">
      <c r="A24" s="15" t="s">
        <v>23</v>
      </c>
      <c r="B24" s="79"/>
      <c r="C24" s="79"/>
      <c r="D24" s="79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72">
        <f>SUM(B24:AC24)</f>
        <v>0</v>
      </c>
    </row>
    <row r="25" spans="1:30" ht="21" customHeight="1">
      <c r="A25" s="15" t="s">
        <v>2</v>
      </c>
      <c r="B25" s="79"/>
      <c r="C25" s="79"/>
      <c r="D25" s="79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72">
        <f>SUM(B25:AC25)</f>
        <v>0</v>
      </c>
    </row>
    <row r="26" spans="1:30" ht="21" customHeight="1">
      <c r="A26" s="15" t="s">
        <v>24</v>
      </c>
      <c r="B26" s="79"/>
      <c r="C26" s="79"/>
      <c r="D26" s="79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72">
        <f>SUM(B26:AC26)</f>
        <v>0</v>
      </c>
    </row>
    <row r="27" spans="1:30" ht="21" customHeight="1">
      <c r="A27" s="32" t="s">
        <v>28</v>
      </c>
      <c r="B27" s="73">
        <f>SUM(B$23:B$25)</f>
        <v>0</v>
      </c>
      <c r="C27" s="73">
        <f t="shared" ref="C27:Z27" si="3">SUM(C$23:C$25)</f>
        <v>0</v>
      </c>
      <c r="D27" s="73">
        <f t="shared" si="3"/>
        <v>0</v>
      </c>
      <c r="E27" s="73">
        <f t="shared" si="3"/>
        <v>0</v>
      </c>
      <c r="F27" s="73">
        <f t="shared" si="3"/>
        <v>0</v>
      </c>
      <c r="G27" s="73">
        <f t="shared" si="3"/>
        <v>0</v>
      </c>
      <c r="H27" s="73">
        <f t="shared" si="3"/>
        <v>0</v>
      </c>
      <c r="I27" s="73">
        <f t="shared" si="3"/>
        <v>0</v>
      </c>
      <c r="J27" s="73">
        <f t="shared" si="3"/>
        <v>0</v>
      </c>
      <c r="K27" s="73">
        <f t="shared" si="3"/>
        <v>0</v>
      </c>
      <c r="L27" s="73">
        <f t="shared" si="3"/>
        <v>0</v>
      </c>
      <c r="M27" s="73">
        <f t="shared" si="3"/>
        <v>0</v>
      </c>
      <c r="N27" s="73">
        <f t="shared" si="3"/>
        <v>0</v>
      </c>
      <c r="O27" s="73">
        <f t="shared" si="3"/>
        <v>0</v>
      </c>
      <c r="P27" s="73">
        <f t="shared" si="3"/>
        <v>0</v>
      </c>
      <c r="Q27" s="73">
        <f t="shared" si="3"/>
        <v>0</v>
      </c>
      <c r="R27" s="73">
        <f t="shared" si="3"/>
        <v>0</v>
      </c>
      <c r="S27" s="73">
        <f t="shared" si="3"/>
        <v>0</v>
      </c>
      <c r="T27" s="73">
        <f t="shared" si="3"/>
        <v>0</v>
      </c>
      <c r="U27" s="73">
        <f t="shared" si="3"/>
        <v>0</v>
      </c>
      <c r="V27" s="73">
        <f t="shared" si="3"/>
        <v>0</v>
      </c>
      <c r="W27" s="73">
        <f t="shared" si="3"/>
        <v>0</v>
      </c>
      <c r="X27" s="73">
        <f t="shared" si="3"/>
        <v>0</v>
      </c>
      <c r="Y27" s="73">
        <f t="shared" si="3"/>
        <v>0</v>
      </c>
      <c r="Z27" s="73">
        <f t="shared" si="3"/>
        <v>0</v>
      </c>
      <c r="AA27" s="73">
        <f>SUM(AA$23:AA$25)</f>
        <v>0</v>
      </c>
      <c r="AB27" s="73">
        <f>SUM(AB$23:AB$25)</f>
        <v>0</v>
      </c>
      <c r="AC27" s="73">
        <f>SUM(AC$23:AC$25)</f>
        <v>0</v>
      </c>
      <c r="AD27" s="74">
        <f>SUM(AD$23:AD$25)</f>
        <v>0</v>
      </c>
    </row>
    <row r="28" spans="1:30" ht="21" customHeight="1">
      <c r="A28" s="16" t="s">
        <v>3</v>
      </c>
      <c r="B28" s="73">
        <f>B27+B22</f>
        <v>0</v>
      </c>
      <c r="C28" s="73">
        <f t="shared" ref="C28:AC28" si="4">C27+C22</f>
        <v>0</v>
      </c>
      <c r="D28" s="73">
        <f t="shared" si="4"/>
        <v>0</v>
      </c>
      <c r="E28" s="73">
        <f t="shared" si="4"/>
        <v>0</v>
      </c>
      <c r="F28" s="73">
        <f t="shared" si="4"/>
        <v>0</v>
      </c>
      <c r="G28" s="73">
        <f t="shared" si="4"/>
        <v>0</v>
      </c>
      <c r="H28" s="73">
        <f t="shared" si="4"/>
        <v>0</v>
      </c>
      <c r="I28" s="73">
        <f t="shared" si="4"/>
        <v>0</v>
      </c>
      <c r="J28" s="73">
        <f t="shared" si="4"/>
        <v>0</v>
      </c>
      <c r="K28" s="73">
        <f t="shared" si="4"/>
        <v>0</v>
      </c>
      <c r="L28" s="73">
        <f t="shared" si="4"/>
        <v>0</v>
      </c>
      <c r="M28" s="73">
        <f t="shared" si="4"/>
        <v>0</v>
      </c>
      <c r="N28" s="73">
        <f t="shared" si="4"/>
        <v>0</v>
      </c>
      <c r="O28" s="73">
        <f t="shared" si="4"/>
        <v>0</v>
      </c>
      <c r="P28" s="73">
        <f t="shared" si="4"/>
        <v>0</v>
      </c>
      <c r="Q28" s="73">
        <f t="shared" si="4"/>
        <v>0</v>
      </c>
      <c r="R28" s="73">
        <f t="shared" si="4"/>
        <v>0</v>
      </c>
      <c r="S28" s="73">
        <f t="shared" si="4"/>
        <v>0</v>
      </c>
      <c r="T28" s="73">
        <f t="shared" si="4"/>
        <v>0</v>
      </c>
      <c r="U28" s="73">
        <f t="shared" si="4"/>
        <v>0</v>
      </c>
      <c r="V28" s="73">
        <f t="shared" si="4"/>
        <v>0</v>
      </c>
      <c r="W28" s="73">
        <f t="shared" si="4"/>
        <v>0</v>
      </c>
      <c r="X28" s="73">
        <f t="shared" si="4"/>
        <v>0</v>
      </c>
      <c r="Y28" s="73">
        <f t="shared" si="4"/>
        <v>0</v>
      </c>
      <c r="Z28" s="73">
        <f t="shared" si="4"/>
        <v>0</v>
      </c>
      <c r="AA28" s="73">
        <f t="shared" si="4"/>
        <v>0</v>
      </c>
      <c r="AB28" s="73">
        <f t="shared" si="4"/>
        <v>0</v>
      </c>
      <c r="AC28" s="73">
        <f t="shared" si="4"/>
        <v>0</v>
      </c>
      <c r="AD28" s="74">
        <f>AD27+AD22</f>
        <v>0</v>
      </c>
    </row>
    <row r="29" spans="1:30" ht="21" customHeight="1" thickBot="1">
      <c r="A29" s="92" t="s">
        <v>15</v>
      </c>
      <c r="B29" s="94" t="str">
        <f>IF(ISERR(B28/B6),"",B28/B6*1000000)</f>
        <v/>
      </c>
      <c r="C29" s="94" t="str">
        <f t="shared" ref="C29:AC29" si="5">IF(ISERR(C28/C6),"",C28/C6*1000000)</f>
        <v/>
      </c>
      <c r="D29" s="94" t="str">
        <f t="shared" si="5"/>
        <v/>
      </c>
      <c r="E29" s="94" t="str">
        <f t="shared" si="5"/>
        <v/>
      </c>
      <c r="F29" s="94" t="str">
        <f t="shared" si="5"/>
        <v/>
      </c>
      <c r="G29" s="94" t="str">
        <f t="shared" si="5"/>
        <v/>
      </c>
      <c r="H29" s="94" t="str">
        <f t="shared" si="5"/>
        <v/>
      </c>
      <c r="I29" s="94" t="str">
        <f t="shared" si="5"/>
        <v/>
      </c>
      <c r="J29" s="94" t="str">
        <f t="shared" si="5"/>
        <v/>
      </c>
      <c r="K29" s="94" t="str">
        <f t="shared" si="5"/>
        <v/>
      </c>
      <c r="L29" s="94" t="str">
        <f t="shared" si="5"/>
        <v/>
      </c>
      <c r="M29" s="94" t="str">
        <f t="shared" si="5"/>
        <v/>
      </c>
      <c r="N29" s="94" t="str">
        <f t="shared" si="5"/>
        <v/>
      </c>
      <c r="O29" s="94" t="str">
        <f t="shared" si="5"/>
        <v/>
      </c>
      <c r="P29" s="94" t="str">
        <f t="shared" si="5"/>
        <v/>
      </c>
      <c r="Q29" s="94" t="str">
        <f t="shared" si="5"/>
        <v/>
      </c>
      <c r="R29" s="94" t="str">
        <f t="shared" si="5"/>
        <v/>
      </c>
      <c r="S29" s="94" t="str">
        <f t="shared" si="5"/>
        <v/>
      </c>
      <c r="T29" s="94" t="str">
        <f t="shared" si="5"/>
        <v/>
      </c>
      <c r="U29" s="94" t="str">
        <f t="shared" si="5"/>
        <v/>
      </c>
      <c r="V29" s="94" t="str">
        <f t="shared" si="5"/>
        <v/>
      </c>
      <c r="W29" s="94" t="str">
        <f t="shared" si="5"/>
        <v/>
      </c>
      <c r="X29" s="94" t="str">
        <f t="shared" si="5"/>
        <v/>
      </c>
      <c r="Y29" s="94" t="str">
        <f t="shared" si="5"/>
        <v/>
      </c>
      <c r="Z29" s="94" t="str">
        <f t="shared" si="5"/>
        <v/>
      </c>
      <c r="AA29" s="94" t="str">
        <f t="shared" si="5"/>
        <v/>
      </c>
      <c r="AB29" s="94" t="str">
        <f t="shared" si="5"/>
        <v/>
      </c>
      <c r="AC29" s="94" t="str">
        <f t="shared" si="5"/>
        <v/>
      </c>
      <c r="AD29" s="81" t="str">
        <f>IF(ISERR(AD28/AD6),"",AD28/AD6*1000000)</f>
        <v/>
      </c>
    </row>
    <row r="30" spans="1:30" ht="21" customHeight="1">
      <c r="A30" s="95" t="str">
        <f>'LINHA 1-D'!A30</f>
        <v>Visto Supervisor</v>
      </c>
      <c r="B30" s="99"/>
      <c r="C30" s="99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100"/>
      <c r="AD30" s="101"/>
    </row>
    <row r="31" spans="1:30" ht="21" customHeight="1" thickBot="1">
      <c r="A31" s="29" t="s">
        <v>38</v>
      </c>
      <c r="B31" s="75"/>
      <c r="C31" s="7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102"/>
      <c r="AD31" s="76"/>
    </row>
    <row r="32" spans="1:30" ht="21" customHeight="1">
      <c r="A32" s="17" t="s">
        <v>10</v>
      </c>
      <c r="B32" s="18"/>
      <c r="C32" s="18"/>
      <c r="D32" s="18"/>
      <c r="E32" s="18"/>
      <c r="F32" s="18"/>
      <c r="G32" s="17" t="s">
        <v>12</v>
      </c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03"/>
      <c r="S32" s="18"/>
      <c r="T32" s="20"/>
      <c r="U32" s="21" t="s">
        <v>13</v>
      </c>
      <c r="V32" s="19"/>
      <c r="W32" s="19"/>
      <c r="X32" s="19"/>
      <c r="Y32" s="19"/>
      <c r="Z32" s="19"/>
      <c r="AA32" s="19"/>
      <c r="AB32" s="19"/>
      <c r="AC32" s="19"/>
      <c r="AD32" s="9"/>
    </row>
    <row r="33" spans="1:31" s="25" customFormat="1" ht="21" customHeight="1" thickBot="1">
      <c r="A33" s="22" t="s">
        <v>11</v>
      </c>
      <c r="B33" s="23"/>
      <c r="C33" s="23"/>
      <c r="D33" s="23"/>
      <c r="E33" s="23"/>
      <c r="F33" s="23"/>
      <c r="G33" s="22" t="s">
        <v>11</v>
      </c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4"/>
      <c r="U33" s="22" t="s">
        <v>11</v>
      </c>
      <c r="V33" s="23"/>
      <c r="W33" s="23"/>
      <c r="X33" s="23"/>
      <c r="Y33" s="23"/>
      <c r="Z33" s="23"/>
      <c r="AA33" s="23"/>
      <c r="AB33" s="23"/>
      <c r="AC33" s="23"/>
      <c r="AD33" s="24"/>
    </row>
    <row r="34" spans="1:31">
      <c r="A34" t="s">
        <v>5</v>
      </c>
      <c r="B34" s="26">
        <f>'[2]SJCPIL 16-006-08'!$Y$15</f>
        <v>1020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</row>
    <row r="35" spans="1:31"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</row>
    <row r="36" spans="1:31">
      <c r="A36" s="10" t="s">
        <v>6</v>
      </c>
      <c r="B36" s="33">
        <f>B2</f>
        <v>0</v>
      </c>
      <c r="C36" s="33">
        <f t="shared" ref="C36:AC36" si="6">C2</f>
        <v>0</v>
      </c>
      <c r="D36" s="33">
        <f t="shared" si="6"/>
        <v>0</v>
      </c>
      <c r="E36" s="33">
        <f t="shared" si="6"/>
        <v>0</v>
      </c>
      <c r="F36" s="33">
        <f t="shared" si="6"/>
        <v>0</v>
      </c>
      <c r="G36" s="33">
        <f t="shared" si="6"/>
        <v>0</v>
      </c>
      <c r="H36" s="33">
        <f t="shared" si="6"/>
        <v>0</v>
      </c>
      <c r="I36" s="33">
        <f t="shared" si="6"/>
        <v>0</v>
      </c>
      <c r="J36" s="33">
        <f t="shared" si="6"/>
        <v>0</v>
      </c>
      <c r="K36" s="33">
        <f t="shared" si="6"/>
        <v>0</v>
      </c>
      <c r="L36" s="33">
        <f t="shared" si="6"/>
        <v>0</v>
      </c>
      <c r="M36" s="33">
        <f t="shared" si="6"/>
        <v>0</v>
      </c>
      <c r="N36" s="33">
        <f t="shared" si="6"/>
        <v>0</v>
      </c>
      <c r="O36" s="33">
        <f t="shared" si="6"/>
        <v>0</v>
      </c>
      <c r="P36" s="33"/>
      <c r="Q36" s="33"/>
      <c r="R36" s="33"/>
      <c r="S36" s="33"/>
      <c r="T36" s="33">
        <f t="shared" si="6"/>
        <v>0</v>
      </c>
      <c r="U36" s="33">
        <f t="shared" si="6"/>
        <v>0</v>
      </c>
      <c r="V36" s="33">
        <f t="shared" si="6"/>
        <v>0</v>
      </c>
      <c r="W36" s="33">
        <f t="shared" si="6"/>
        <v>0</v>
      </c>
      <c r="X36" s="33">
        <f t="shared" si="6"/>
        <v>0</v>
      </c>
      <c r="Y36" s="33"/>
      <c r="Z36" s="33">
        <f t="shared" si="6"/>
        <v>0</v>
      </c>
      <c r="AA36" s="33"/>
      <c r="AB36" s="33"/>
      <c r="AC36" s="33">
        <f t="shared" si="6"/>
        <v>0</v>
      </c>
    </row>
    <row r="37" spans="1:31" ht="120" customHeight="1">
      <c r="A37" s="28" t="s">
        <v>7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7"/>
      <c r="P37" s="7"/>
      <c r="Q37" s="7"/>
      <c r="R37" s="7"/>
      <c r="S37" s="7"/>
      <c r="T37" s="6"/>
      <c r="U37" s="6"/>
      <c r="V37" s="6"/>
      <c r="W37" s="6"/>
      <c r="X37" s="7"/>
      <c r="Y37" s="7"/>
      <c r="Z37" s="7"/>
      <c r="AA37" s="7"/>
      <c r="AB37" s="7"/>
      <c r="AC37" s="8"/>
    </row>
    <row r="38" spans="1:31">
      <c r="I38" t="s">
        <v>30</v>
      </c>
    </row>
    <row r="39" spans="1:31">
      <c r="B39">
        <f>B4-B5</f>
        <v>0</v>
      </c>
      <c r="C39">
        <f t="shared" ref="C39:AD39" si="7">C4-C5</f>
        <v>0</v>
      </c>
      <c r="D39">
        <f t="shared" si="7"/>
        <v>0</v>
      </c>
      <c r="E39">
        <f t="shared" si="7"/>
        <v>0</v>
      </c>
      <c r="F39">
        <f t="shared" si="7"/>
        <v>0</v>
      </c>
      <c r="G39">
        <f t="shared" si="7"/>
        <v>0</v>
      </c>
      <c r="H39">
        <f t="shared" si="7"/>
        <v>0</v>
      </c>
      <c r="I39">
        <f t="shared" si="7"/>
        <v>0</v>
      </c>
      <c r="J39">
        <f>J4-J5</f>
        <v>0</v>
      </c>
      <c r="K39">
        <f>K4-K5</f>
        <v>0</v>
      </c>
      <c r="L39">
        <f t="shared" si="7"/>
        <v>0</v>
      </c>
      <c r="M39">
        <f t="shared" si="7"/>
        <v>0</v>
      </c>
      <c r="N39">
        <f t="shared" si="7"/>
        <v>0</v>
      </c>
      <c r="O39">
        <f t="shared" si="7"/>
        <v>0</v>
      </c>
      <c r="T39">
        <f t="shared" si="7"/>
        <v>0</v>
      </c>
      <c r="U39">
        <f t="shared" si="7"/>
        <v>0</v>
      </c>
      <c r="V39">
        <f t="shared" si="7"/>
        <v>0</v>
      </c>
      <c r="W39">
        <f t="shared" si="7"/>
        <v>0</v>
      </c>
      <c r="X39">
        <f t="shared" si="7"/>
        <v>0</v>
      </c>
      <c r="Z39">
        <f t="shared" si="7"/>
        <v>0</v>
      </c>
      <c r="AC39">
        <f t="shared" si="7"/>
        <v>0</v>
      </c>
      <c r="AD39">
        <f t="shared" si="7"/>
        <v>0</v>
      </c>
    </row>
    <row r="40" spans="1:31">
      <c r="B40" s="35">
        <f>B5-B6</f>
        <v>0</v>
      </c>
      <c r="C40" s="35">
        <f t="shared" ref="C40:AD40" si="8">C5-C6</f>
        <v>0</v>
      </c>
      <c r="D40" s="35">
        <f t="shared" si="8"/>
        <v>0</v>
      </c>
      <c r="E40" s="35">
        <f t="shared" si="8"/>
        <v>0</v>
      </c>
      <c r="F40" s="35">
        <f t="shared" si="8"/>
        <v>0</v>
      </c>
      <c r="G40" s="35">
        <f t="shared" si="8"/>
        <v>0</v>
      </c>
      <c r="H40" s="35">
        <f t="shared" si="8"/>
        <v>0</v>
      </c>
      <c r="I40" s="35">
        <f t="shared" si="8"/>
        <v>0</v>
      </c>
      <c r="J40" s="35">
        <f>J5-J6</f>
        <v>0</v>
      </c>
      <c r="K40" s="35">
        <f>K5-K6</f>
        <v>0</v>
      </c>
      <c r="L40" s="35">
        <f t="shared" si="8"/>
        <v>0</v>
      </c>
      <c r="M40" s="35">
        <f t="shared" si="8"/>
        <v>0</v>
      </c>
      <c r="N40" s="35">
        <f t="shared" si="8"/>
        <v>0</v>
      </c>
      <c r="O40" s="35">
        <f t="shared" si="8"/>
        <v>0</v>
      </c>
      <c r="P40" s="35"/>
      <c r="Q40" s="35"/>
      <c r="R40" s="35"/>
      <c r="S40" s="35"/>
      <c r="T40" s="35">
        <f t="shared" si="8"/>
        <v>0</v>
      </c>
      <c r="U40" s="35">
        <f t="shared" si="8"/>
        <v>0</v>
      </c>
      <c r="V40" s="35">
        <f t="shared" si="8"/>
        <v>0</v>
      </c>
      <c r="W40" s="35">
        <f t="shared" si="8"/>
        <v>0</v>
      </c>
      <c r="X40" s="35">
        <f t="shared" si="8"/>
        <v>0</v>
      </c>
      <c r="Y40" s="35"/>
      <c r="Z40" s="35">
        <f t="shared" si="8"/>
        <v>0</v>
      </c>
      <c r="AA40" s="35"/>
      <c r="AB40" s="35"/>
      <c r="AC40" s="35">
        <f t="shared" si="8"/>
        <v>0</v>
      </c>
      <c r="AD40" s="35">
        <f t="shared" si="8"/>
        <v>0</v>
      </c>
    </row>
    <row r="43" spans="1:31">
      <c r="A43" s="123" t="s">
        <v>49</v>
      </c>
      <c r="B43" s="70">
        <f>'[1]LINHA - 2D'!D$4</f>
        <v>247550</v>
      </c>
      <c r="C43" s="70">
        <f>'[1]LINHA - 2D'!E$4</f>
        <v>360050</v>
      </c>
      <c r="D43" s="70">
        <f>'[1]LINHA - 2D'!F$4</f>
        <v>382550</v>
      </c>
      <c r="E43" s="70">
        <f>'[1]LINHA - 2D'!G$4</f>
        <v>315050</v>
      </c>
      <c r="F43" s="70">
        <f>'[1]LINHA - 2D'!H$4</f>
        <v>405050</v>
      </c>
      <c r="G43" s="70">
        <f>'[1]LINHA - 2D'!I$4</f>
        <v>382600</v>
      </c>
      <c r="H43" s="70">
        <f>'[1]LINHA - 2D'!J$4</f>
        <v>405050</v>
      </c>
      <c r="I43" s="70">
        <f>'[1]LINHA - 2D'!K$4</f>
        <v>315050</v>
      </c>
      <c r="J43" s="70">
        <f>'[1]LINHA - 2D'!L$4</f>
        <v>405050</v>
      </c>
      <c r="K43" s="70">
        <f>'[1]LINHA - 2D'!M$4</f>
        <v>315050</v>
      </c>
      <c r="L43" s="70">
        <f>'[1]LINHA - 2D'!N$4</f>
        <v>270150</v>
      </c>
      <c r="M43" s="70">
        <f>'[1]LINHA - 2D'!O$4</f>
        <v>0</v>
      </c>
      <c r="N43" s="70">
        <f>'[1]LINHA - 2D'!P$4</f>
        <v>0</v>
      </c>
      <c r="O43" s="70">
        <f>'[1]LINHA - 2D'!Q$4</f>
        <v>0</v>
      </c>
      <c r="P43" s="70">
        <f>'[1]LINHA - 2D'!R$4</f>
        <v>0</v>
      </c>
      <c r="Q43" s="70">
        <f>'[1]LINHA - 2D'!S$4</f>
        <v>0</v>
      </c>
      <c r="R43" s="70">
        <f>'[1]LINHA - 2D'!T$4</f>
        <v>0</v>
      </c>
      <c r="S43" s="70">
        <f>'[1]LINHA - 2D'!U$4</f>
        <v>0</v>
      </c>
      <c r="T43" s="70">
        <f>'[1]LINHA - 2D'!V$4</f>
        <v>0</v>
      </c>
      <c r="U43" s="70">
        <f>'[1]LINHA - 2D'!W$4</f>
        <v>0</v>
      </c>
      <c r="V43" s="70">
        <f>'[1]LINHA - 2D'!X$4</f>
        <v>0</v>
      </c>
      <c r="W43" s="70">
        <f>'[1]LINHA - 2D'!Y$4</f>
        <v>0</v>
      </c>
      <c r="X43" s="70">
        <f>'[1]LINHA - 2D'!Z$4</f>
        <v>0</v>
      </c>
      <c r="Y43" s="70">
        <f>'[1]LINHA - 2D'!AA$4</f>
        <v>0</v>
      </c>
      <c r="Z43" s="70">
        <f>'[1]LINHA - 2D'!AB$4</f>
        <v>0</v>
      </c>
      <c r="AA43" s="70">
        <f>'[1]LINHA - 2D'!AC$4</f>
        <v>0</v>
      </c>
      <c r="AB43" s="70">
        <f>'[1]LINHA - 2D'!AD$4</f>
        <v>0</v>
      </c>
      <c r="AC43" s="70">
        <f>'[1]LINHA - 2D'!AE$4</f>
        <v>0</v>
      </c>
      <c r="AD43" s="70">
        <f>'[1]LINHA - 2D'!AF$4</f>
        <v>3803200</v>
      </c>
      <c r="AE43" s="70"/>
    </row>
    <row r="44" spans="1:31">
      <c r="A44" s="123" t="s">
        <v>50</v>
      </c>
      <c r="B44" s="134">
        <f t="array" ref="B44">SUM(IF('[4]UM-3 - L2 - Dia'!$D$3:$AR$3=B2,'[4]UM-3 - L2 - Dia'!$D$7:$AR$7))</f>
        <v>0</v>
      </c>
      <c r="C44" s="134">
        <f t="array" ref="C44">SUM(IF('[4]UM-3 - L2 - Dia'!$D$3:$AR$3=C2,'[4]UM-3 - L2 - Dia'!$D$7:$AR$7))</f>
        <v>0</v>
      </c>
      <c r="D44" s="134">
        <f t="array" ref="D44">SUM(IF('[4]UM-3 - L2 - Dia'!$D$3:$AR$3=D2,'[4]UM-3 - L2 - Dia'!$D$7:$AR$7))</f>
        <v>0</v>
      </c>
      <c r="E44" s="134">
        <f t="array" ref="E44">SUM(IF('[4]UM-3 - L2 - Dia'!$D$3:$AR$3=E2,'[4]UM-3 - L2 - Dia'!$D$7:$AR$7))</f>
        <v>0</v>
      </c>
      <c r="F44" s="134">
        <f t="array" ref="F44">SUM(IF('[4]UM-3 - L2 - Dia'!$D$3:$AR$3=F2,'[4]UM-3 - L2 - Dia'!$D$7:$AR$7))</f>
        <v>0</v>
      </c>
      <c r="G44" s="134">
        <f t="array" ref="G44">SUM(IF('[4]UM-3 - L2 - Dia'!$D$3:$AR$3=G2,'[4]UM-3 - L2 - Dia'!$D$7:$AR$7))</f>
        <v>0</v>
      </c>
      <c r="H44" s="134">
        <f t="array" ref="H44">SUM(IF('[4]UM-3 - L2 - Dia'!$D$3:$AR$3=H2,'[4]UM-3 - L2 - Dia'!$D$7:$AR$7))</f>
        <v>0</v>
      </c>
      <c r="I44" s="134">
        <f t="array" ref="I44">SUM(IF('[4]UM-3 - L2 - Dia'!$D$3:$AR$3=I2,'[4]UM-3 - L2 - Dia'!$D$7:$AR$7))</f>
        <v>0</v>
      </c>
      <c r="J44" s="134">
        <f t="array" ref="J44">SUM(IF('[4]UM-3 - L2 - Dia'!$D$3:$AR$3=J2,'[4]UM-3 - L2 - Dia'!$D$7:$AR$7))</f>
        <v>0</v>
      </c>
      <c r="K44" s="134">
        <f t="array" ref="K44">SUM(IF('[4]UM-3 - L2 - Dia'!$D$3:$AR$3=K2,'[4]UM-3 - L2 - Dia'!$D$7:$AR$7))</f>
        <v>0</v>
      </c>
      <c r="L44" s="134">
        <f t="array" ref="L44">SUM(IF('[4]UM-3 - L2 - Dia'!$D$3:$AR$3=L2,'[4]UM-3 - L2 - Dia'!$D$7:$AR$7))</f>
        <v>0</v>
      </c>
      <c r="M44" s="134">
        <f t="array" ref="M44">SUM(IF('[4]UM-3 - L2 - Dia'!$D$3:$AR$3=M2,'[4]UM-3 - L2 - Dia'!$D$7:$AR$7))</f>
        <v>0</v>
      </c>
      <c r="N44" s="134">
        <f t="array" ref="N44">SUM(IF('[4]UM-3 - L2 - Dia'!$D$3:$AR$3=N2,'[4]UM-3 - L2 - Dia'!$D$7:$AR$7))</f>
        <v>0</v>
      </c>
      <c r="O44" s="134">
        <f t="array" ref="O44">SUM(IF('[4]UM-3 - L2 - Dia'!$D$3:$AR$3=O2,'[4]UM-3 - L2 - Dia'!$D$7:$AR$7))</f>
        <v>0</v>
      </c>
      <c r="P44" s="134">
        <f t="array" ref="P44">SUM(IF('[4]UM-3 - L2 - Dia'!$D$3:$AR$3=P2,'[4]UM-3 - L2 - Dia'!$D$7:$AR$7))</f>
        <v>0</v>
      </c>
      <c r="Q44" s="134">
        <f t="array" ref="Q44">SUM(IF('[4]UM-3 - L2 - Dia'!$D$3:$AR$3=Q2,'[4]UM-3 - L2 - Dia'!$D$7:$AR$7))</f>
        <v>0</v>
      </c>
      <c r="R44" s="134">
        <f t="array" ref="R44">SUM(IF('[4]UM-3 - L2 - Dia'!$D$3:$AR$3=R2,'[4]UM-3 - L2 - Dia'!$D$7:$AR$7))</f>
        <v>0</v>
      </c>
      <c r="S44" s="134">
        <f t="array" ref="S44">SUM(IF('[4]UM-3 - L2 - Dia'!$D$3:$AR$3=S2,'[4]UM-3 - L2 - Dia'!$D$7:$AR$7))</f>
        <v>0</v>
      </c>
      <c r="T44" s="134">
        <f t="array" ref="T44">SUM(IF('[4]UM-3 - L2 - Dia'!$D$3:$AR$3=T2,'[4]UM-3 - L2 - Dia'!$D$7:$AR$7))</f>
        <v>0</v>
      </c>
      <c r="U44" s="134">
        <f t="array" ref="U44">SUM(IF('[4]UM-3 - L2 - Dia'!$D$3:$AR$3=U2,'[4]UM-3 - L2 - Dia'!$D$7:$AR$7))</f>
        <v>0</v>
      </c>
      <c r="V44" s="134">
        <f t="array" ref="V44">SUM(IF('[4]UM-3 - L2 - Dia'!$D$3:$AR$3=V2,'[4]UM-3 - L2 - Dia'!$D$7:$AR$7))</f>
        <v>0</v>
      </c>
      <c r="W44" s="134">
        <f t="array" ref="W44">SUM(IF('[4]UM-3 - L2 - Dia'!$D$3:$AR$3=W2,'[4]UM-3 - L2 - Dia'!$D$7:$AR$7))</f>
        <v>0</v>
      </c>
      <c r="X44" s="134">
        <f t="array" ref="X44">SUM(IF('[4]UM-3 - L2 - Dia'!$D$3:$AR$3=X2,'[4]UM-3 - L2 - Dia'!$D$7:$AR$7))</f>
        <v>0</v>
      </c>
      <c r="Y44" s="134">
        <f t="array" ref="Y44">SUM(IF('[4]UM-3 - L2 - Dia'!$D$3:$AR$3=Y2,'[4]UM-3 - L2 - Dia'!$D$7:$AR$7))</f>
        <v>0</v>
      </c>
      <c r="Z44" s="134">
        <f t="array" ref="Z44">SUM(IF('[4]UM-3 - L2 - Dia'!$D$3:$AR$3=Z2,'[4]UM-3 - L2 - Dia'!$D$7:$AR$7))</f>
        <v>0</v>
      </c>
      <c r="AA44" s="134">
        <f t="array" ref="AA44">SUM(IF('[4]UM-3 - L2 - Dia'!$D$3:$AR$3=AA2,'[4]UM-3 - L2 - Dia'!$D$7:$AR$7))</f>
        <v>0</v>
      </c>
      <c r="AB44" s="134">
        <f t="array" ref="AB44">SUM(IF('[4]UM-3 - L2 - Dia'!$D$3:$AR$3=AB2,'[4]UM-3 - L2 - Dia'!$D$7:$AR$7))</f>
        <v>0</v>
      </c>
      <c r="AC44" s="134">
        <f t="array" ref="AC44">SUM(IF('[4]UM-3 - L2 - Dia'!$D$3:$AR$3=AC2,'[4]UM-3 - L2 - Dia'!$D$7:$AR$7))</f>
        <v>0</v>
      </c>
    </row>
  </sheetData>
  <sheetProtection selectLockedCells="1"/>
  <mergeCells count="31">
    <mergeCell ref="A7:A15"/>
    <mergeCell ref="B7:B15"/>
    <mergeCell ref="D7:D15"/>
    <mergeCell ref="C7:C15"/>
    <mergeCell ref="F7:F15"/>
    <mergeCell ref="E7:E15"/>
    <mergeCell ref="G7:G15"/>
    <mergeCell ref="V7:V15"/>
    <mergeCell ref="M7:M15"/>
    <mergeCell ref="U7:U15"/>
    <mergeCell ref="N7:N15"/>
    <mergeCell ref="H7:H15"/>
    <mergeCell ref="L7:L15"/>
    <mergeCell ref="I7:I15"/>
    <mergeCell ref="P7:P15"/>
    <mergeCell ref="Q7:Q15"/>
    <mergeCell ref="R7:R15"/>
    <mergeCell ref="S7:S15"/>
    <mergeCell ref="T7:T15"/>
    <mergeCell ref="J7:J15"/>
    <mergeCell ref="K7:K15"/>
    <mergeCell ref="O7:O15"/>
    <mergeCell ref="AD7:AD15"/>
    <mergeCell ref="AB1:AC1"/>
    <mergeCell ref="Z7:Z15"/>
    <mergeCell ref="AC7:AC15"/>
    <mergeCell ref="W7:W15"/>
    <mergeCell ref="X7:X15"/>
    <mergeCell ref="Y7:Y15"/>
    <mergeCell ref="AA7:AA15"/>
    <mergeCell ref="AB7:AB15"/>
  </mergeCells>
  <phoneticPr fontId="0" type="noConversion"/>
  <conditionalFormatting sqref="AD28">
    <cfRule type="cellIs" dxfId="20" priority="8" stopIfTrue="1" operator="notEqual">
      <formula>SUM($AD$16:$AD$21,$AD$23:$AD$25)</formula>
    </cfRule>
  </conditionalFormatting>
  <conditionalFormatting sqref="B22:AD22">
    <cfRule type="cellIs" dxfId="19" priority="9" stopIfTrue="1" operator="notEqual">
      <formula>B$4-B$5</formula>
    </cfRule>
  </conditionalFormatting>
  <conditionalFormatting sqref="AD6">
    <cfRule type="expression" dxfId="18" priority="7">
      <formula>$AF$6&lt;&gt;$AD$6</formula>
    </cfRule>
  </conditionalFormatting>
  <conditionalFormatting sqref="B27:AD27">
    <cfRule type="cellIs" dxfId="17" priority="6" operator="notEqual">
      <formula>B$6-B$5</formula>
    </cfRule>
  </conditionalFormatting>
  <conditionalFormatting sqref="N6:AC6">
    <cfRule type="expression" dxfId="16" priority="3">
      <formula>N$6&lt;&gt;N$44</formula>
    </cfRule>
    <cfRule type="expression" dxfId="15" priority="5">
      <formula>N$6&lt;&gt;N$43</formula>
    </cfRule>
  </conditionalFormatting>
  <conditionalFormatting sqref="B6:M6">
    <cfRule type="expression" dxfId="14" priority="1">
      <formula>B$6&lt;&gt;B$44</formula>
    </cfRule>
    <cfRule type="expression" dxfId="13" priority="2">
      <formula>B$6&lt;&gt;B$43</formula>
    </cfRule>
  </conditionalFormatting>
  <dataValidations count="1">
    <dataValidation type="date" allowBlank="1" showInputMessage="1" showErrorMessage="1" promptTitle="Data:" prompt="Favor digitar uma data válida contendo pelo menos dia/mês." sqref="B2:AC2" xr:uid="{00000000-0002-0000-0200-000000000000}">
      <formula1>44287</formula1>
      <formula2>44651</formula2>
    </dataValidation>
  </dataValidations>
  <printOptions horizontalCentered="1" gridLines="1" gridLinesSet="0"/>
  <pageMargins left="0.39370078740157483" right="0.39370078740157483" top="0.78740157480314965" bottom="0.39370078740157483" header="0.27559055118110237" footer="0.19685039370078741"/>
  <pageSetup paperSize="9" scale="59" orientation="landscape" r:id="rId1"/>
  <headerFooter alignWithMargins="0">
    <oddFooter>&amp;RSJCPIL-R 16-316-02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25</xdr:col>
                    <xdr:colOff>19050</xdr:colOff>
                    <xdr:row>0</xdr:row>
                    <xdr:rowOff>19050</xdr:rowOff>
                  </from>
                  <to>
                    <xdr:col>26</xdr:col>
                    <xdr:colOff>409575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25</xdr:col>
                    <xdr:colOff>19050</xdr:colOff>
                    <xdr:row>0</xdr:row>
                    <xdr:rowOff>190500</xdr:rowOff>
                  </from>
                  <to>
                    <xdr:col>26</xdr:col>
                    <xdr:colOff>409575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4">
    <tabColor indexed="13"/>
    <pageSetUpPr fitToPage="1"/>
  </sheetPr>
  <dimension ref="A1:AF44"/>
  <sheetViews>
    <sheetView showZeros="0" zoomScaleNormal="100" workbookViewId="0">
      <selection activeCell="AD4" sqref="AD4"/>
    </sheetView>
  </sheetViews>
  <sheetFormatPr defaultColWidth="11.42578125" defaultRowHeight="12.75"/>
  <cols>
    <col min="1" max="1" width="24.42578125" customWidth="1"/>
    <col min="2" max="29" width="6.7109375" customWidth="1"/>
    <col min="30" max="30" width="12.7109375" customWidth="1"/>
    <col min="31" max="31" width="2" customWidth="1"/>
  </cols>
  <sheetData>
    <row r="1" spans="1:32" ht="32.25" customHeight="1" thickBot="1">
      <c r="B1" s="5" t="s">
        <v>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11" t="s">
        <v>8</v>
      </c>
      <c r="Y1" s="5"/>
      <c r="Z1" s="5"/>
      <c r="AA1" s="5"/>
      <c r="AB1" s="140" t="s">
        <v>48</v>
      </c>
      <c r="AC1" s="145"/>
      <c r="AD1" s="122" t="str">
        <f ca="1">'LINHA 1-D'!AD1</f>
        <v>03 / 2022</v>
      </c>
    </row>
    <row r="2" spans="1:32" ht="20.100000000000001" customHeight="1">
      <c r="A2" s="136" t="s">
        <v>11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21" t="s">
        <v>14</v>
      </c>
    </row>
    <row r="3" spans="1:32" ht="20.100000000000001" customHeight="1">
      <c r="A3" s="12" t="s">
        <v>1</v>
      </c>
      <c r="B3" s="2"/>
      <c r="C3" s="124"/>
      <c r="D3" s="124"/>
      <c r="E3" s="124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1"/>
      <c r="Z3" s="1"/>
      <c r="AA3" s="1"/>
      <c r="AB3" s="1"/>
      <c r="AC3" s="1"/>
      <c r="AD3" s="3"/>
    </row>
    <row r="4" spans="1:32" ht="20.100000000000001" customHeight="1">
      <c r="A4" s="30" t="s">
        <v>25</v>
      </c>
      <c r="B4" s="85"/>
      <c r="C4" s="85"/>
      <c r="D4" s="85"/>
      <c r="E4" s="85"/>
      <c r="F4" s="85"/>
      <c r="G4" s="84"/>
      <c r="H4" s="85"/>
      <c r="I4" s="85"/>
      <c r="J4" s="85"/>
      <c r="K4" s="84"/>
      <c r="L4" s="84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6"/>
      <c r="Z4" s="86"/>
      <c r="AA4" s="86"/>
      <c r="AB4" s="86"/>
      <c r="AC4" s="86"/>
      <c r="AD4" s="87">
        <f>SUM(B4:AC4)</f>
        <v>0</v>
      </c>
    </row>
    <row r="5" spans="1:32" ht="20.100000000000001" customHeight="1">
      <c r="A5" s="30" t="s">
        <v>26</v>
      </c>
      <c r="B5" s="112"/>
      <c r="C5" s="85"/>
      <c r="D5" s="85"/>
      <c r="E5" s="85"/>
      <c r="F5" s="85"/>
      <c r="G5" s="85"/>
      <c r="H5" s="85"/>
      <c r="I5" s="85"/>
      <c r="J5" s="85"/>
      <c r="K5" s="84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6"/>
      <c r="Z5" s="86"/>
      <c r="AA5" s="86"/>
      <c r="AB5" s="86"/>
      <c r="AC5" s="86"/>
      <c r="AD5" s="87">
        <f>SUM(B5:AC5)</f>
        <v>0</v>
      </c>
    </row>
    <row r="6" spans="1:32" ht="20.100000000000001" customHeight="1" thickBot="1">
      <c r="A6" s="31" t="s">
        <v>29</v>
      </c>
      <c r="B6" s="113"/>
      <c r="C6" s="110"/>
      <c r="D6" s="37"/>
      <c r="E6" s="37"/>
      <c r="F6" s="37"/>
      <c r="G6" s="37"/>
      <c r="H6" s="37"/>
      <c r="I6" s="37"/>
      <c r="J6" s="37"/>
      <c r="K6" s="37"/>
      <c r="L6" s="109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90">
        <f>SUM(B6:AC6)</f>
        <v>0</v>
      </c>
      <c r="AF6" s="108">
        <f t="array" ref="AF6">[1]!PROD_L1N</f>
        <v>427600</v>
      </c>
    </row>
    <row r="7" spans="1:32" ht="39.950000000000003" customHeight="1">
      <c r="A7" s="147" t="s">
        <v>34</v>
      </c>
      <c r="B7" s="138">
        <f>B37</f>
        <v>0</v>
      </c>
      <c r="C7" s="138">
        <f>C37</f>
        <v>0</v>
      </c>
      <c r="D7" s="138">
        <f t="shared" ref="D7:AD7" si="0">D37</f>
        <v>0</v>
      </c>
      <c r="E7" s="138">
        <f t="shared" si="0"/>
        <v>0</v>
      </c>
      <c r="F7" s="138"/>
      <c r="G7" s="138">
        <f t="shared" si="0"/>
        <v>0</v>
      </c>
      <c r="H7" s="138">
        <f t="shared" si="0"/>
        <v>0</v>
      </c>
      <c r="I7" s="138">
        <f t="shared" si="0"/>
        <v>0</v>
      </c>
      <c r="J7" s="138">
        <f t="shared" si="0"/>
        <v>0</v>
      </c>
      <c r="K7" s="138">
        <f t="shared" si="0"/>
        <v>0</v>
      </c>
      <c r="L7" s="138">
        <f t="shared" si="0"/>
        <v>0</v>
      </c>
      <c r="M7" s="138">
        <f t="shared" si="0"/>
        <v>0</v>
      </c>
      <c r="N7" s="138">
        <f t="shared" si="0"/>
        <v>0</v>
      </c>
      <c r="O7" s="138">
        <f t="shared" si="0"/>
        <v>0</v>
      </c>
      <c r="P7" s="138">
        <f t="shared" si="0"/>
        <v>0</v>
      </c>
      <c r="Q7" s="138">
        <f t="shared" si="0"/>
        <v>0</v>
      </c>
      <c r="R7" s="138">
        <f t="shared" si="0"/>
        <v>0</v>
      </c>
      <c r="S7" s="138">
        <f t="shared" si="0"/>
        <v>0</v>
      </c>
      <c r="T7" s="138">
        <f t="shared" si="0"/>
        <v>0</v>
      </c>
      <c r="U7" s="138">
        <f t="shared" si="0"/>
        <v>0</v>
      </c>
      <c r="V7" s="138">
        <f t="shared" si="0"/>
        <v>0</v>
      </c>
      <c r="W7" s="138">
        <f t="shared" si="0"/>
        <v>0</v>
      </c>
      <c r="X7" s="138">
        <f t="shared" si="0"/>
        <v>0</v>
      </c>
      <c r="Y7" s="138">
        <f t="shared" si="0"/>
        <v>0</v>
      </c>
      <c r="Z7" s="138">
        <f t="shared" si="0"/>
        <v>0</v>
      </c>
      <c r="AA7" s="138">
        <f t="shared" si="0"/>
        <v>0</v>
      </c>
      <c r="AB7" s="138">
        <f t="shared" si="0"/>
        <v>0</v>
      </c>
      <c r="AC7" s="138">
        <f t="shared" si="0"/>
        <v>0</v>
      </c>
      <c r="AD7" s="148">
        <f t="shared" si="0"/>
        <v>0</v>
      </c>
    </row>
    <row r="8" spans="1:32" ht="39.950000000000003" customHeight="1">
      <c r="A8" s="139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49"/>
    </row>
    <row r="9" spans="1:32" ht="39.950000000000003" customHeight="1">
      <c r="A9" s="139"/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49"/>
    </row>
    <row r="10" spans="1:32" ht="39.950000000000003" customHeight="1">
      <c r="A10" s="139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49"/>
    </row>
    <row r="11" spans="1:32" ht="39.950000000000003" customHeight="1">
      <c r="A11" s="139"/>
      <c r="B11" s="138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49"/>
    </row>
    <row r="12" spans="1:32" ht="39.950000000000003" customHeight="1">
      <c r="A12" s="139"/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49"/>
    </row>
    <row r="13" spans="1:32" ht="39.950000000000003" customHeight="1">
      <c r="A13" s="139"/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49"/>
    </row>
    <row r="14" spans="1:32" ht="39.950000000000003" customHeight="1">
      <c r="A14" s="139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49"/>
    </row>
    <row r="15" spans="1:32" ht="39.950000000000003" customHeight="1" thickBot="1">
      <c r="A15" s="139"/>
      <c r="B15" s="138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50"/>
    </row>
    <row r="16" spans="1:32" ht="21" customHeight="1">
      <c r="A16" s="14" t="s">
        <v>16</v>
      </c>
      <c r="B16" s="56"/>
      <c r="C16" s="56"/>
      <c r="D16" s="56"/>
      <c r="E16" s="56"/>
      <c r="F16" s="56"/>
      <c r="G16" s="56"/>
      <c r="H16" s="82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7">
        <f t="shared" ref="AD16:AD21" si="1">SUM(B16:AC16)</f>
        <v>0</v>
      </c>
      <c r="AE16" s="36"/>
    </row>
    <row r="17" spans="1:31" ht="21" customHeight="1">
      <c r="A17" s="15" t="s">
        <v>17</v>
      </c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9">
        <f t="shared" si="1"/>
        <v>0</v>
      </c>
      <c r="AE17" s="36"/>
    </row>
    <row r="18" spans="1:31" ht="21" customHeight="1">
      <c r="A18" s="15" t="s">
        <v>18</v>
      </c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9">
        <f t="shared" si="1"/>
        <v>0</v>
      </c>
      <c r="AE18" s="36"/>
    </row>
    <row r="19" spans="1:31" ht="21" customHeight="1">
      <c r="A19" s="15" t="s">
        <v>21</v>
      </c>
      <c r="B19" s="58"/>
      <c r="C19" s="58"/>
      <c r="D19" s="58"/>
      <c r="E19" s="58"/>
      <c r="F19" s="83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9">
        <f t="shared" si="1"/>
        <v>0</v>
      </c>
      <c r="AE19" s="36"/>
    </row>
    <row r="20" spans="1:31" ht="21" customHeight="1">
      <c r="A20" s="15" t="s">
        <v>19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9">
        <f t="shared" si="1"/>
        <v>0</v>
      </c>
      <c r="AE20" s="36"/>
    </row>
    <row r="21" spans="1:31" ht="21" customHeight="1">
      <c r="A21" s="15" t="s">
        <v>20</v>
      </c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9">
        <f t="shared" si="1"/>
        <v>0</v>
      </c>
      <c r="AE21" s="36"/>
    </row>
    <row r="22" spans="1:31" ht="21" customHeight="1">
      <c r="A22" s="16" t="s">
        <v>27</v>
      </c>
      <c r="B22" s="61">
        <f>SUM(B16:B21)</f>
        <v>0</v>
      </c>
      <c r="C22" s="61">
        <f>SUM(C16:C21)</f>
        <v>0</v>
      </c>
      <c r="D22" s="61">
        <f>SUM(D16:D21)</f>
        <v>0</v>
      </c>
      <c r="E22" s="61">
        <f>SUM(E16:E21)</f>
        <v>0</v>
      </c>
      <c r="F22" s="61">
        <f>SUM(F16:F21)</f>
        <v>0</v>
      </c>
      <c r="G22" s="61">
        <f t="shared" ref="G22:AD22" si="2">SUM(G16:G21)</f>
        <v>0</v>
      </c>
      <c r="H22" s="61">
        <f t="shared" si="2"/>
        <v>0</v>
      </c>
      <c r="I22" s="61">
        <f t="shared" si="2"/>
        <v>0</v>
      </c>
      <c r="J22" s="61">
        <f t="shared" si="2"/>
        <v>0</v>
      </c>
      <c r="K22" s="61">
        <f t="shared" si="2"/>
        <v>0</v>
      </c>
      <c r="L22" s="61">
        <f t="shared" si="2"/>
        <v>0</v>
      </c>
      <c r="M22" s="60">
        <f t="shared" si="2"/>
        <v>0</v>
      </c>
      <c r="N22" s="60">
        <f t="shared" si="2"/>
        <v>0</v>
      </c>
      <c r="O22" s="60">
        <f t="shared" si="2"/>
        <v>0</v>
      </c>
      <c r="P22" s="60">
        <f t="shared" si="2"/>
        <v>0</v>
      </c>
      <c r="Q22" s="60">
        <f t="shared" si="2"/>
        <v>0</v>
      </c>
      <c r="R22" s="60">
        <f t="shared" si="2"/>
        <v>0</v>
      </c>
      <c r="S22" s="60">
        <f t="shared" si="2"/>
        <v>0</v>
      </c>
      <c r="T22" s="60">
        <f t="shared" si="2"/>
        <v>0</v>
      </c>
      <c r="U22" s="60">
        <f t="shared" si="2"/>
        <v>0</v>
      </c>
      <c r="V22" s="60">
        <f t="shared" si="2"/>
        <v>0</v>
      </c>
      <c r="W22" s="60">
        <f t="shared" si="2"/>
        <v>0</v>
      </c>
      <c r="X22" s="60">
        <f t="shared" si="2"/>
        <v>0</v>
      </c>
      <c r="Y22" s="60">
        <f t="shared" si="2"/>
        <v>0</v>
      </c>
      <c r="Z22" s="60">
        <f t="shared" si="2"/>
        <v>0</v>
      </c>
      <c r="AA22" s="60">
        <f t="shared" si="2"/>
        <v>0</v>
      </c>
      <c r="AB22" s="60">
        <f t="shared" si="2"/>
        <v>0</v>
      </c>
      <c r="AC22" s="60">
        <f t="shared" si="2"/>
        <v>0</v>
      </c>
      <c r="AD22" s="62">
        <f t="shared" si="2"/>
        <v>0</v>
      </c>
      <c r="AE22" s="36"/>
    </row>
    <row r="23" spans="1:31" ht="21" customHeight="1">
      <c r="A23" s="15" t="s">
        <v>22</v>
      </c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9">
        <f>SUM(B23:AC23)</f>
        <v>0</v>
      </c>
      <c r="AE23" s="36"/>
    </row>
    <row r="24" spans="1:31" ht="21" customHeight="1">
      <c r="A24" s="15" t="s">
        <v>23</v>
      </c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9">
        <f>SUM(B24:AC24)</f>
        <v>0</v>
      </c>
      <c r="AE24" s="36"/>
    </row>
    <row r="25" spans="1:31" ht="21" customHeight="1">
      <c r="A25" s="15" t="s">
        <v>2</v>
      </c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9">
        <f>SUM(B25:AC25)</f>
        <v>0</v>
      </c>
      <c r="AE25" s="36"/>
    </row>
    <row r="26" spans="1:31" ht="21" customHeight="1">
      <c r="A26" s="15" t="s">
        <v>24</v>
      </c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9">
        <f>SUM(B26:AC26)</f>
        <v>0</v>
      </c>
      <c r="AE26" s="36"/>
    </row>
    <row r="27" spans="1:31" ht="21" customHeight="1">
      <c r="A27" s="32" t="s">
        <v>28</v>
      </c>
      <c r="B27" s="61">
        <f t="shared" ref="B27:AC27" si="3">SUM(B$23:B$25)</f>
        <v>0</v>
      </c>
      <c r="C27" s="61">
        <f t="shared" si="3"/>
        <v>0</v>
      </c>
      <c r="D27" s="61">
        <f>SUM(D$23:D$25)</f>
        <v>0</v>
      </c>
      <c r="E27" s="61">
        <f>SUM(E$23:E$25)</f>
        <v>0</v>
      </c>
      <c r="F27" s="61">
        <f t="shared" si="3"/>
        <v>0</v>
      </c>
      <c r="G27" s="61">
        <f t="shared" si="3"/>
        <v>0</v>
      </c>
      <c r="H27" s="61">
        <f t="shared" si="3"/>
        <v>0</v>
      </c>
      <c r="I27" s="61">
        <f t="shared" si="3"/>
        <v>0</v>
      </c>
      <c r="J27" s="61">
        <f t="shared" si="3"/>
        <v>0</v>
      </c>
      <c r="K27" s="61">
        <f t="shared" si="3"/>
        <v>0</v>
      </c>
      <c r="L27" s="61">
        <f t="shared" si="3"/>
        <v>0</v>
      </c>
      <c r="M27" s="61">
        <f t="shared" si="3"/>
        <v>0</v>
      </c>
      <c r="N27" s="61">
        <f t="shared" si="3"/>
        <v>0</v>
      </c>
      <c r="O27" s="61">
        <f t="shared" si="3"/>
        <v>0</v>
      </c>
      <c r="P27" s="61">
        <f t="shared" si="3"/>
        <v>0</v>
      </c>
      <c r="Q27" s="61">
        <f t="shared" si="3"/>
        <v>0</v>
      </c>
      <c r="R27" s="61">
        <f t="shared" si="3"/>
        <v>0</v>
      </c>
      <c r="S27" s="61">
        <f t="shared" si="3"/>
        <v>0</v>
      </c>
      <c r="T27" s="61">
        <f t="shared" si="3"/>
        <v>0</v>
      </c>
      <c r="U27" s="61">
        <f t="shared" si="3"/>
        <v>0</v>
      </c>
      <c r="V27" s="61">
        <f t="shared" si="3"/>
        <v>0</v>
      </c>
      <c r="W27" s="61">
        <f t="shared" si="3"/>
        <v>0</v>
      </c>
      <c r="X27" s="61">
        <f t="shared" si="3"/>
        <v>0</v>
      </c>
      <c r="Y27" s="61">
        <f t="shared" si="3"/>
        <v>0</v>
      </c>
      <c r="Z27" s="61">
        <f t="shared" si="3"/>
        <v>0</v>
      </c>
      <c r="AA27" s="61">
        <f t="shared" si="3"/>
        <v>0</v>
      </c>
      <c r="AB27" s="61">
        <f t="shared" si="3"/>
        <v>0</v>
      </c>
      <c r="AC27" s="61">
        <f t="shared" si="3"/>
        <v>0</v>
      </c>
      <c r="AD27" s="62">
        <f>SUM(AD23:AD25)</f>
        <v>0</v>
      </c>
      <c r="AE27" s="36"/>
    </row>
    <row r="28" spans="1:31" ht="21" customHeight="1">
      <c r="A28" s="16" t="s">
        <v>3</v>
      </c>
      <c r="B28" s="63">
        <f>B22+B27</f>
        <v>0</v>
      </c>
      <c r="C28" s="63">
        <f t="shared" ref="C28:AC28" si="4">C22+C27</f>
        <v>0</v>
      </c>
      <c r="D28" s="63">
        <f t="shared" si="4"/>
        <v>0</v>
      </c>
      <c r="E28" s="63">
        <f t="shared" si="4"/>
        <v>0</v>
      </c>
      <c r="F28" s="63">
        <f t="shared" si="4"/>
        <v>0</v>
      </c>
      <c r="G28" s="63">
        <f t="shared" si="4"/>
        <v>0</v>
      </c>
      <c r="H28" s="63">
        <f t="shared" si="4"/>
        <v>0</v>
      </c>
      <c r="I28" s="63">
        <f t="shared" si="4"/>
        <v>0</v>
      </c>
      <c r="J28" s="63">
        <f t="shared" si="4"/>
        <v>0</v>
      </c>
      <c r="K28" s="63">
        <f t="shared" si="4"/>
        <v>0</v>
      </c>
      <c r="L28" s="63">
        <f t="shared" si="4"/>
        <v>0</v>
      </c>
      <c r="M28" s="63">
        <f t="shared" si="4"/>
        <v>0</v>
      </c>
      <c r="N28" s="63">
        <f t="shared" si="4"/>
        <v>0</v>
      </c>
      <c r="O28" s="63">
        <f t="shared" si="4"/>
        <v>0</v>
      </c>
      <c r="P28" s="63">
        <f t="shared" si="4"/>
        <v>0</v>
      </c>
      <c r="Q28" s="63">
        <f t="shared" si="4"/>
        <v>0</v>
      </c>
      <c r="R28" s="63">
        <f t="shared" si="4"/>
        <v>0</v>
      </c>
      <c r="S28" s="63">
        <f t="shared" si="4"/>
        <v>0</v>
      </c>
      <c r="T28" s="63">
        <f t="shared" si="4"/>
        <v>0</v>
      </c>
      <c r="U28" s="63">
        <f t="shared" si="4"/>
        <v>0</v>
      </c>
      <c r="V28" s="63">
        <f t="shared" si="4"/>
        <v>0</v>
      </c>
      <c r="W28" s="63">
        <f t="shared" si="4"/>
        <v>0</v>
      </c>
      <c r="X28" s="63">
        <f t="shared" si="4"/>
        <v>0</v>
      </c>
      <c r="Y28" s="63">
        <f t="shared" si="4"/>
        <v>0</v>
      </c>
      <c r="Z28" s="63">
        <f t="shared" si="4"/>
        <v>0</v>
      </c>
      <c r="AA28" s="63">
        <f t="shared" si="4"/>
        <v>0</v>
      </c>
      <c r="AB28" s="63">
        <f t="shared" si="4"/>
        <v>0</v>
      </c>
      <c r="AC28" s="63">
        <f t="shared" si="4"/>
        <v>0</v>
      </c>
      <c r="AD28" s="64">
        <f>AD22+AD27</f>
        <v>0</v>
      </c>
      <c r="AE28" s="36"/>
    </row>
    <row r="29" spans="1:31" ht="21" customHeight="1" thickBot="1">
      <c r="A29" s="92" t="s">
        <v>15</v>
      </c>
      <c r="B29" s="80" t="str">
        <f>(IF(ISERR(B28/B6)," ",B28/B6*1000000))</f>
        <v xml:space="preserve"> </v>
      </c>
      <c r="C29" s="80" t="str">
        <f t="shared" ref="C29:AC29" si="5">(IF(ISERR(C28/C6)," ",C28/C6*1000000))</f>
        <v xml:space="preserve"> </v>
      </c>
      <c r="D29" s="80" t="str">
        <f t="shared" si="5"/>
        <v xml:space="preserve"> </v>
      </c>
      <c r="E29" s="80" t="str">
        <f t="shared" si="5"/>
        <v xml:space="preserve"> </v>
      </c>
      <c r="F29" s="80" t="str">
        <f t="shared" si="5"/>
        <v xml:space="preserve"> </v>
      </c>
      <c r="G29" s="80" t="str">
        <f t="shared" si="5"/>
        <v xml:space="preserve"> </v>
      </c>
      <c r="H29" s="80" t="str">
        <f t="shared" si="5"/>
        <v xml:space="preserve"> </v>
      </c>
      <c r="I29" s="80" t="str">
        <f t="shared" si="5"/>
        <v xml:space="preserve"> </v>
      </c>
      <c r="J29" s="80" t="str">
        <f t="shared" si="5"/>
        <v xml:space="preserve"> </v>
      </c>
      <c r="K29" s="80" t="str">
        <f t="shared" si="5"/>
        <v xml:space="preserve"> </v>
      </c>
      <c r="L29" s="80" t="str">
        <f t="shared" si="5"/>
        <v xml:space="preserve"> </v>
      </c>
      <c r="M29" s="80" t="str">
        <f t="shared" si="5"/>
        <v xml:space="preserve"> </v>
      </c>
      <c r="N29" s="80" t="str">
        <f t="shared" si="5"/>
        <v xml:space="preserve"> </v>
      </c>
      <c r="O29" s="80" t="str">
        <f t="shared" si="5"/>
        <v xml:space="preserve"> </v>
      </c>
      <c r="P29" s="80" t="str">
        <f t="shared" si="5"/>
        <v xml:space="preserve"> </v>
      </c>
      <c r="Q29" s="80" t="str">
        <f t="shared" si="5"/>
        <v xml:space="preserve"> </v>
      </c>
      <c r="R29" s="80" t="str">
        <f t="shared" si="5"/>
        <v xml:space="preserve"> </v>
      </c>
      <c r="S29" s="80" t="str">
        <f t="shared" si="5"/>
        <v xml:space="preserve"> </v>
      </c>
      <c r="T29" s="80" t="str">
        <f t="shared" si="5"/>
        <v xml:space="preserve"> </v>
      </c>
      <c r="U29" s="80" t="str">
        <f t="shared" si="5"/>
        <v xml:space="preserve"> </v>
      </c>
      <c r="V29" s="80" t="str">
        <f t="shared" si="5"/>
        <v xml:space="preserve"> </v>
      </c>
      <c r="W29" s="80" t="str">
        <f t="shared" si="5"/>
        <v xml:space="preserve"> </v>
      </c>
      <c r="X29" s="80" t="str">
        <f t="shared" si="5"/>
        <v xml:space="preserve"> </v>
      </c>
      <c r="Y29" s="80" t="str">
        <f t="shared" si="5"/>
        <v xml:space="preserve"> </v>
      </c>
      <c r="Z29" s="80" t="str">
        <f t="shared" si="5"/>
        <v xml:space="preserve"> </v>
      </c>
      <c r="AA29" s="80" t="str">
        <f t="shared" si="5"/>
        <v xml:space="preserve"> </v>
      </c>
      <c r="AB29" s="80" t="str">
        <f t="shared" si="5"/>
        <v xml:space="preserve"> </v>
      </c>
      <c r="AC29" s="80" t="str">
        <f t="shared" si="5"/>
        <v xml:space="preserve"> </v>
      </c>
      <c r="AD29" s="93" t="str">
        <f>(IF(ISERR(AD28/AD6)," ",AD28/AD6*1000000))</f>
        <v xml:space="preserve"> </v>
      </c>
    </row>
    <row r="30" spans="1:31" ht="21" customHeight="1">
      <c r="A30" s="95" t="str">
        <f>'LINHA 1-D'!A30</f>
        <v>Visto Supervisor</v>
      </c>
      <c r="B30" s="96"/>
      <c r="C30" s="96"/>
      <c r="D30" s="96"/>
      <c r="E30" s="96"/>
      <c r="F30" s="96"/>
      <c r="G30" s="96"/>
      <c r="H30" s="96"/>
      <c r="I30" s="96"/>
      <c r="J30" s="96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8"/>
    </row>
    <row r="31" spans="1:31" ht="21" customHeight="1" thickBot="1">
      <c r="A31" s="29" t="s">
        <v>38</v>
      </c>
      <c r="B31" s="65"/>
      <c r="C31" s="65"/>
      <c r="D31" s="65"/>
      <c r="E31" s="65"/>
      <c r="F31" s="65"/>
      <c r="G31" s="65"/>
      <c r="H31" s="65"/>
      <c r="I31" s="65"/>
      <c r="J31" s="65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7"/>
    </row>
    <row r="32" spans="1:31" ht="21" customHeight="1">
      <c r="A32" s="17" t="s">
        <v>10</v>
      </c>
      <c r="B32" s="18"/>
      <c r="C32" s="18"/>
      <c r="D32" s="18"/>
      <c r="E32" s="18"/>
      <c r="F32" s="18"/>
      <c r="G32" s="17" t="s">
        <v>12</v>
      </c>
      <c r="H32" s="18"/>
      <c r="I32" s="18"/>
      <c r="J32" s="18"/>
      <c r="K32" s="18"/>
      <c r="L32" s="18"/>
      <c r="M32" s="18"/>
      <c r="N32" s="18"/>
      <c r="O32" s="18"/>
      <c r="P32" s="19"/>
      <c r="Q32" s="19"/>
      <c r="R32" s="50"/>
      <c r="S32" s="19"/>
      <c r="T32" s="19"/>
      <c r="U32" s="19"/>
      <c r="V32" s="21" t="s">
        <v>13</v>
      </c>
      <c r="W32" s="19"/>
      <c r="X32" s="19"/>
      <c r="Y32" s="19"/>
      <c r="Z32" s="19"/>
      <c r="AA32" s="19"/>
      <c r="AB32" s="19"/>
      <c r="AC32" s="19"/>
      <c r="AD32" s="9"/>
    </row>
    <row r="33" spans="1:30" s="25" customFormat="1" ht="21" customHeight="1" thickBot="1">
      <c r="A33" s="22" t="s">
        <v>11</v>
      </c>
      <c r="B33" s="23"/>
      <c r="C33" s="23"/>
      <c r="D33" s="23"/>
      <c r="E33" s="23"/>
      <c r="F33" s="23"/>
      <c r="G33" s="22" t="s">
        <v>11</v>
      </c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2" t="s">
        <v>11</v>
      </c>
      <c r="W33" s="23"/>
      <c r="X33" s="23"/>
      <c r="Y33" s="23"/>
      <c r="Z33" s="23"/>
      <c r="AA33" s="23"/>
      <c r="AB33" s="23"/>
      <c r="AC33" s="23"/>
      <c r="AD33" s="24"/>
    </row>
    <row r="34" spans="1:30">
      <c r="A34" t="s">
        <v>5</v>
      </c>
      <c r="B34" s="26">
        <f>TARGET_L1</f>
        <v>1200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</row>
    <row r="35" spans="1:30"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</row>
    <row r="36" spans="1:30">
      <c r="A36" s="10" t="s">
        <v>6</v>
      </c>
      <c r="B36" s="33">
        <f>B2</f>
        <v>0</v>
      </c>
      <c r="C36" s="33">
        <f t="shared" ref="C36:AC36" si="6">C2</f>
        <v>0</v>
      </c>
      <c r="D36" s="33">
        <f t="shared" si="6"/>
        <v>0</v>
      </c>
      <c r="E36" s="33">
        <f t="shared" si="6"/>
        <v>0</v>
      </c>
      <c r="F36" s="33">
        <f>F2</f>
        <v>0</v>
      </c>
      <c r="G36" s="33">
        <f t="shared" si="6"/>
        <v>0</v>
      </c>
      <c r="H36" s="33">
        <f t="shared" si="6"/>
        <v>0</v>
      </c>
      <c r="I36" s="33">
        <f t="shared" si="6"/>
        <v>0</v>
      </c>
      <c r="J36" s="33">
        <f t="shared" si="6"/>
        <v>0</v>
      </c>
      <c r="K36" s="33">
        <f t="shared" si="6"/>
        <v>0</v>
      </c>
      <c r="L36" s="33">
        <f t="shared" si="6"/>
        <v>0</v>
      </c>
      <c r="M36" s="33">
        <f t="shared" si="6"/>
        <v>0</v>
      </c>
      <c r="N36" s="33">
        <f t="shared" si="6"/>
        <v>0</v>
      </c>
      <c r="O36" s="33">
        <f t="shared" si="6"/>
        <v>0</v>
      </c>
      <c r="P36" s="33">
        <f t="shared" si="6"/>
        <v>0</v>
      </c>
      <c r="Q36" s="33">
        <f t="shared" si="6"/>
        <v>0</v>
      </c>
      <c r="R36" s="33"/>
      <c r="S36" s="33"/>
      <c r="T36" s="33"/>
      <c r="U36" s="33"/>
      <c r="V36" s="33">
        <f t="shared" si="6"/>
        <v>0</v>
      </c>
      <c r="W36" s="33">
        <f t="shared" si="6"/>
        <v>0</v>
      </c>
      <c r="X36" s="33">
        <f t="shared" si="6"/>
        <v>0</v>
      </c>
      <c r="Y36" s="33">
        <f t="shared" si="6"/>
        <v>0</v>
      </c>
      <c r="Z36" s="33">
        <f t="shared" si="6"/>
        <v>0</v>
      </c>
      <c r="AA36" s="33">
        <f t="shared" si="6"/>
        <v>0</v>
      </c>
      <c r="AB36" s="33">
        <f t="shared" si="6"/>
        <v>0</v>
      </c>
      <c r="AC36" s="33">
        <f t="shared" si="6"/>
        <v>0</v>
      </c>
    </row>
    <row r="37" spans="1:30" ht="120" customHeight="1">
      <c r="A37" s="28" t="s">
        <v>7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7"/>
      <c r="O37" s="7"/>
      <c r="P37" s="8"/>
      <c r="Q37" s="6"/>
      <c r="R37" s="6"/>
      <c r="S37" s="6"/>
      <c r="T37" s="6"/>
      <c r="U37" s="6"/>
      <c r="V37" s="6"/>
      <c r="W37" s="6"/>
      <c r="X37" s="7"/>
      <c r="Y37" s="7"/>
      <c r="Z37" s="7"/>
      <c r="AA37" s="7"/>
      <c r="AB37" s="7"/>
      <c r="AC37" s="8"/>
    </row>
    <row r="39" spans="1:30">
      <c r="B39" s="34">
        <f>B4-B5</f>
        <v>0</v>
      </c>
      <c r="C39" s="34">
        <f t="shared" ref="C39:AC39" si="7">C5-C6-C26</f>
        <v>0</v>
      </c>
      <c r="D39" s="34">
        <f t="shared" si="7"/>
        <v>0</v>
      </c>
      <c r="E39" s="34">
        <f t="shared" si="7"/>
        <v>0</v>
      </c>
      <c r="F39" s="34">
        <f>F5-F6-F26</f>
        <v>0</v>
      </c>
      <c r="G39" s="34">
        <f t="shared" si="7"/>
        <v>0</v>
      </c>
      <c r="H39" s="34">
        <f t="shared" si="7"/>
        <v>0</v>
      </c>
      <c r="I39" s="34">
        <f t="shared" si="7"/>
        <v>0</v>
      </c>
      <c r="J39" s="34">
        <f t="shared" si="7"/>
        <v>0</v>
      </c>
      <c r="K39" s="34">
        <f t="shared" si="7"/>
        <v>0</v>
      </c>
      <c r="L39" s="34">
        <f t="shared" si="7"/>
        <v>0</v>
      </c>
      <c r="M39" s="34">
        <f t="shared" si="7"/>
        <v>0</v>
      </c>
      <c r="N39" s="34">
        <f t="shared" si="7"/>
        <v>0</v>
      </c>
      <c r="O39" s="34">
        <f t="shared" si="7"/>
        <v>0</v>
      </c>
      <c r="P39" s="34">
        <f t="shared" si="7"/>
        <v>0</v>
      </c>
      <c r="Q39" s="34">
        <f t="shared" si="7"/>
        <v>0</v>
      </c>
      <c r="R39" s="34"/>
      <c r="S39" s="34"/>
      <c r="T39" s="34"/>
      <c r="U39" s="34"/>
      <c r="V39" s="34">
        <f t="shared" si="7"/>
        <v>0</v>
      </c>
      <c r="W39" s="34">
        <f t="shared" si="7"/>
        <v>0</v>
      </c>
      <c r="X39" s="34">
        <f t="shared" si="7"/>
        <v>0</v>
      </c>
      <c r="Y39" s="34">
        <f t="shared" si="7"/>
        <v>0</v>
      </c>
      <c r="Z39" s="34">
        <f t="shared" si="7"/>
        <v>0</v>
      </c>
      <c r="AA39" s="34">
        <f t="shared" si="7"/>
        <v>0</v>
      </c>
      <c r="AB39" s="34">
        <f t="shared" si="7"/>
        <v>0</v>
      </c>
      <c r="AC39" s="34">
        <f t="shared" si="7"/>
        <v>0</v>
      </c>
      <c r="AD39">
        <f>AD5-AD6-AD26</f>
        <v>0</v>
      </c>
    </row>
    <row r="40" spans="1:30">
      <c r="B40" s="35">
        <f>B5-B6</f>
        <v>0</v>
      </c>
      <c r="C40" s="35">
        <f t="shared" ref="C40:AD40" si="8">C5-C6</f>
        <v>0</v>
      </c>
      <c r="D40" s="35">
        <f t="shared" si="8"/>
        <v>0</v>
      </c>
      <c r="E40" s="35">
        <f t="shared" si="8"/>
        <v>0</v>
      </c>
      <c r="F40" s="35">
        <f>F5-F6</f>
        <v>0</v>
      </c>
      <c r="G40" s="35">
        <f t="shared" si="8"/>
        <v>0</v>
      </c>
      <c r="H40" s="35">
        <f t="shared" si="8"/>
        <v>0</v>
      </c>
      <c r="I40" s="35">
        <f t="shared" si="8"/>
        <v>0</v>
      </c>
      <c r="J40" s="35">
        <f t="shared" si="8"/>
        <v>0</v>
      </c>
      <c r="K40" s="35">
        <f t="shared" si="8"/>
        <v>0</v>
      </c>
      <c r="L40" s="35">
        <f t="shared" si="8"/>
        <v>0</v>
      </c>
      <c r="M40" s="35">
        <f t="shared" si="8"/>
        <v>0</v>
      </c>
      <c r="N40" s="35">
        <f t="shared" si="8"/>
        <v>0</v>
      </c>
      <c r="O40" s="35">
        <f t="shared" si="8"/>
        <v>0</v>
      </c>
      <c r="P40" s="35">
        <f t="shared" si="8"/>
        <v>0</v>
      </c>
      <c r="Q40" s="35">
        <f t="shared" si="8"/>
        <v>0</v>
      </c>
      <c r="R40" s="35"/>
      <c r="S40" s="35"/>
      <c r="T40" s="35"/>
      <c r="U40" s="35"/>
      <c r="V40" s="35">
        <f t="shared" si="8"/>
        <v>0</v>
      </c>
      <c r="W40" s="35">
        <f t="shared" si="8"/>
        <v>0</v>
      </c>
      <c r="X40" s="35">
        <f t="shared" si="8"/>
        <v>0</v>
      </c>
      <c r="Y40" s="35">
        <f t="shared" si="8"/>
        <v>0</v>
      </c>
      <c r="Z40" s="35">
        <f t="shared" si="8"/>
        <v>0</v>
      </c>
      <c r="AA40" s="35">
        <f t="shared" si="8"/>
        <v>0</v>
      </c>
      <c r="AB40" s="35">
        <f t="shared" si="8"/>
        <v>0</v>
      </c>
      <c r="AC40" s="35">
        <f t="shared" si="8"/>
        <v>0</v>
      </c>
      <c r="AD40" s="35">
        <f t="shared" si="8"/>
        <v>0</v>
      </c>
    </row>
    <row r="43" spans="1:30">
      <c r="A43" s="123" t="s">
        <v>49</v>
      </c>
      <c r="B43" s="70">
        <f>'[1]LINHA - 1N'!D$4</f>
        <v>225050</v>
      </c>
      <c r="C43" s="70">
        <f>'[1]LINHA - 1N'!E$4</f>
        <v>202550</v>
      </c>
      <c r="D43" s="70">
        <f>'[1]LINHA - 1N'!F$4</f>
        <v>0</v>
      </c>
      <c r="E43" s="70">
        <f>'[1]LINHA - 1N'!G$4</f>
        <v>0</v>
      </c>
      <c r="F43" s="70">
        <f>'[1]LINHA - 1N'!H$4</f>
        <v>0</v>
      </c>
      <c r="G43" s="70">
        <f>'[1]LINHA - 1N'!I$4</f>
        <v>0</v>
      </c>
      <c r="H43" s="70">
        <f>'[1]LINHA - 1N'!J$4</f>
        <v>0</v>
      </c>
      <c r="I43" s="70">
        <f>'[1]LINHA - 1N'!K$4</f>
        <v>0</v>
      </c>
      <c r="J43" s="70">
        <f>'[1]LINHA - 1N'!L$4</f>
        <v>0</v>
      </c>
      <c r="K43" s="70">
        <f>'[1]LINHA - 1N'!M$4</f>
        <v>0</v>
      </c>
      <c r="L43" s="70">
        <f>'[1]LINHA - 1N'!N$4</f>
        <v>0</v>
      </c>
      <c r="M43" s="70">
        <f>'[1]LINHA - 1N'!O$4</f>
        <v>0</v>
      </c>
      <c r="N43" s="70">
        <f>'[1]LINHA - 1N'!P$4</f>
        <v>0</v>
      </c>
      <c r="O43" s="70">
        <f>'[1]LINHA - 1N'!Q$4</f>
        <v>0</v>
      </c>
      <c r="P43" s="70">
        <f>'[1]LINHA - 1N'!R$4</f>
        <v>0</v>
      </c>
      <c r="Q43" s="70">
        <f>'[1]LINHA - 1N'!S$4</f>
        <v>0</v>
      </c>
      <c r="R43" s="70">
        <f>'[1]LINHA - 1N'!T$4</f>
        <v>0</v>
      </c>
      <c r="S43" s="70">
        <f>'[1]LINHA - 1N'!U$4</f>
        <v>0</v>
      </c>
      <c r="T43" s="70">
        <f>'[1]LINHA - 1N'!V$4</f>
        <v>0</v>
      </c>
      <c r="U43" s="70">
        <f>'[1]LINHA - 1N'!W$4</f>
        <v>0</v>
      </c>
      <c r="V43" s="70">
        <f>'[1]LINHA - 1N'!X$4</f>
        <v>0</v>
      </c>
      <c r="W43" s="70">
        <f>'[1]LINHA - 1N'!Y$4</f>
        <v>0</v>
      </c>
      <c r="X43" s="70">
        <f>'[1]LINHA - 1N'!Z$4</f>
        <v>0</v>
      </c>
      <c r="Y43" s="70">
        <f>'[1]LINHA - 1N'!AA$4</f>
        <v>0</v>
      </c>
      <c r="Z43" s="70">
        <f>'[1]LINHA - 1N'!AB$4</f>
        <v>0</v>
      </c>
      <c r="AA43" s="70">
        <f>'[1]LINHA - 1N'!AC$4</f>
        <v>0</v>
      </c>
      <c r="AB43" s="70">
        <f>'[1]LINHA - 1N'!AD$4</f>
        <v>0</v>
      </c>
      <c r="AC43" s="70">
        <f>'[1]LINHA - 1N'!AE$4</f>
        <v>0</v>
      </c>
      <c r="AD43" s="70"/>
    </row>
    <row r="44" spans="1:30">
      <c r="A44" s="123" t="s">
        <v>50</v>
      </c>
      <c r="B44" s="134">
        <f t="array" ref="B44">SUM(IF('[4]UM-3 - L1 - Noite'!$D$3:$AR$3=B2,'[4]UM-3 - L1 - Noite'!$D$7:$AR$7))</f>
        <v>0</v>
      </c>
      <c r="C44" s="134">
        <f t="array" ref="C44">SUM(IF('[4]UM-3 - L1 - Noite'!$D$3:$AR$3=C2,'[4]UM-3 - L1 - Noite'!$D$7:$AR$7))</f>
        <v>0</v>
      </c>
      <c r="D44" s="134">
        <f t="array" ref="D44">SUM(IF('[4]UM-3 - L1 - Noite'!$D$3:$AR$3=D2,'[4]UM-3 - L1 - Noite'!$D$7:$AR$7))</f>
        <v>0</v>
      </c>
      <c r="E44" s="134">
        <f t="array" ref="E44">SUM(IF('[4]UM-3 - L1 - Noite'!$D$3:$AR$3=E2,'[4]UM-3 - L1 - Noite'!$D$7:$AR$7))</f>
        <v>0</v>
      </c>
      <c r="F44" s="134">
        <f t="array" ref="F44">SUM(IF('[4]UM-3 - L1 - Noite'!$D$3:$AR$3=F2,'[4]UM-3 - L1 - Noite'!$D$7:$AR$7))</f>
        <v>0</v>
      </c>
      <c r="G44" s="134">
        <f t="array" ref="G44">SUM(IF('[4]UM-3 - L1 - Noite'!$D$3:$AR$3=G2,'[4]UM-3 - L1 - Noite'!$D$7:$AR$7))</f>
        <v>0</v>
      </c>
      <c r="H44" s="134">
        <f t="array" ref="H44">SUM(IF('[4]UM-3 - L1 - Noite'!$D$3:$AR$3=H2,'[4]UM-3 - L1 - Noite'!$D$7:$AR$7))</f>
        <v>0</v>
      </c>
      <c r="I44" s="134">
        <f t="array" ref="I44">SUM(IF('[4]UM-3 - L1 - Noite'!$D$3:$AR$3=I2,'[4]UM-3 - L1 - Noite'!$D$7:$AR$7))</f>
        <v>0</v>
      </c>
      <c r="J44" s="134">
        <f t="array" ref="J44">SUM(IF('[4]UM-3 - L1 - Noite'!$D$3:$AR$3=J2,'[4]UM-3 - L1 - Noite'!$D$7:$AR$7))</f>
        <v>0</v>
      </c>
      <c r="K44" s="134">
        <f t="array" ref="K44">SUM(IF('[4]UM-3 - L1 - Noite'!$D$3:$AR$3=K2,'[4]UM-3 - L1 - Noite'!$D$7:$AR$7))</f>
        <v>0</v>
      </c>
      <c r="L44" s="134">
        <f t="array" ref="L44">SUM(IF('[4]UM-3 - L1 - Noite'!$D$3:$AR$3=L2,'[4]UM-3 - L1 - Noite'!$D$7:$AR$7))</f>
        <v>0</v>
      </c>
      <c r="M44" s="134">
        <f t="array" ref="M44">SUM(IF('[4]UM-3 - L1 - Noite'!$D$3:$AR$3=M2,'[4]UM-3 - L1 - Noite'!$D$7:$AR$7))</f>
        <v>0</v>
      </c>
      <c r="N44" s="134">
        <f t="array" ref="N44">SUM(IF('[4]UM-3 - L1 - Noite'!$D$3:$AR$3=N2,'[4]UM-3 - L1 - Noite'!$D$7:$AR$7))</f>
        <v>0</v>
      </c>
      <c r="O44" s="134">
        <f t="array" ref="O44">SUM(IF('[4]UM-3 - L1 - Noite'!$D$3:$AR$3=O2,'[4]UM-3 - L1 - Noite'!$D$7:$AR$7))</f>
        <v>0</v>
      </c>
      <c r="P44" s="134">
        <f t="array" ref="P44">SUM(IF('[4]UM-3 - L1 - Noite'!$D$3:$AR$3=P2,'[4]UM-3 - L1 - Noite'!$D$7:$AR$7))</f>
        <v>0</v>
      </c>
      <c r="Q44" s="134">
        <f t="array" ref="Q44">SUM(IF('[4]UM-3 - L1 - Noite'!$D$3:$AR$3=Q2,'[4]UM-3 - L1 - Noite'!$D$7:$AR$7))</f>
        <v>0</v>
      </c>
      <c r="R44" s="134">
        <f t="array" ref="R44">SUM(IF('[4]UM-3 - L1 - Noite'!$D$3:$AR$3=R2,'[4]UM-3 - L1 - Noite'!$D$7:$AR$7))</f>
        <v>0</v>
      </c>
      <c r="S44" s="134">
        <f t="array" ref="S44">SUM(IF('[4]UM-3 - L1 - Noite'!$D$3:$AR$3=S2,'[4]UM-3 - L1 - Noite'!$D$7:$AR$7))</f>
        <v>0</v>
      </c>
      <c r="T44" s="134">
        <f t="array" ref="T44">SUM(IF('[4]UM-3 - L1 - Noite'!$D$3:$AR$3=T2,'[4]UM-3 - L1 - Noite'!$D$7:$AR$7))</f>
        <v>0</v>
      </c>
      <c r="U44" s="134">
        <f t="array" ref="U44">SUM(IF('[4]UM-3 - L1 - Noite'!$D$3:$AR$3=U2,'[4]UM-3 - L1 - Noite'!$D$7:$AR$7))</f>
        <v>0</v>
      </c>
      <c r="V44" s="134">
        <f t="array" ref="V44">SUM(IF('[4]UM-3 - L1 - Noite'!$D$3:$AR$3=V2,'[4]UM-3 - L1 - Noite'!$D$7:$AR$7))</f>
        <v>0</v>
      </c>
      <c r="W44" s="134">
        <f t="array" ref="W44">SUM(IF('[4]UM-3 - L1 - Noite'!$D$3:$AR$3=W2,'[4]UM-3 - L1 - Noite'!$D$7:$AR$7))</f>
        <v>0</v>
      </c>
      <c r="X44" s="134">
        <f t="array" ref="X44">SUM(IF('[4]UM-3 - L1 - Noite'!$D$3:$AR$3=X2,'[4]UM-3 - L1 - Noite'!$D$7:$AR$7))</f>
        <v>0</v>
      </c>
      <c r="Y44" s="134">
        <f t="array" ref="Y44">SUM(IF('[4]UM-3 - L1 - Noite'!$D$3:$AR$3=Y2,'[4]UM-3 - L1 - Noite'!$D$7:$AR$7))</f>
        <v>0</v>
      </c>
      <c r="Z44" s="134">
        <f t="array" ref="Z44">SUM(IF('[4]UM-3 - L1 - Noite'!$D$3:$AR$3=Z2,'[4]UM-3 - L1 - Noite'!$D$7:$AR$7))</f>
        <v>0</v>
      </c>
      <c r="AA44" s="134">
        <f t="array" ref="AA44">SUM(IF('[4]UM-3 - L1 - Noite'!$D$3:$AR$3=AA2,'[4]UM-3 - L1 - Noite'!$D$7:$AR$7))</f>
        <v>0</v>
      </c>
      <c r="AB44" s="134">
        <f t="array" ref="AB44">SUM(IF('[4]UM-3 - L1 - Noite'!$D$3:$AR$3=AB2,'[4]UM-3 - L1 - Noite'!$D$7:$AR$7))</f>
        <v>0</v>
      </c>
      <c r="AC44" s="134">
        <f t="array" ref="AC44">SUM(IF('[4]UM-3 - L1 - Noite'!$D$3:$AR$3=AC2,'[4]UM-3 - L1 - Noite'!$D$7:$AR$7))</f>
        <v>0</v>
      </c>
    </row>
  </sheetData>
  <sheetProtection selectLockedCells="1"/>
  <mergeCells count="31">
    <mergeCell ref="F7:F15"/>
    <mergeCell ref="G7:G15"/>
    <mergeCell ref="H7:H15"/>
    <mergeCell ref="P7:P15"/>
    <mergeCell ref="I7:I15"/>
    <mergeCell ref="J7:J15"/>
    <mergeCell ref="K7:K15"/>
    <mergeCell ref="L7:L15"/>
    <mergeCell ref="M7:M15"/>
    <mergeCell ref="N7:N15"/>
    <mergeCell ref="O7:O15"/>
    <mergeCell ref="AB1:AC1"/>
    <mergeCell ref="AD7:AD15"/>
    <mergeCell ref="Q7:Q15"/>
    <mergeCell ref="V7:V15"/>
    <mergeCell ref="W7:W15"/>
    <mergeCell ref="X7:X15"/>
    <mergeCell ref="Y7:Y15"/>
    <mergeCell ref="R7:R15"/>
    <mergeCell ref="S7:S15"/>
    <mergeCell ref="T7:T15"/>
    <mergeCell ref="U7:U15"/>
    <mergeCell ref="Z7:Z15"/>
    <mergeCell ref="AA7:AA15"/>
    <mergeCell ref="AB7:AB15"/>
    <mergeCell ref="AC7:AC15"/>
    <mergeCell ref="A7:A15"/>
    <mergeCell ref="B7:B15"/>
    <mergeCell ref="C7:C15"/>
    <mergeCell ref="D7:D15"/>
    <mergeCell ref="E7:E15"/>
  </mergeCells>
  <conditionalFormatting sqref="AD28">
    <cfRule type="cellIs" dxfId="12" priority="7" stopIfTrue="1" operator="notEqual">
      <formula>SUM($AD$16:$AD$21,$AD$23:$AD$25)</formula>
    </cfRule>
  </conditionalFormatting>
  <conditionalFormatting sqref="D27:AD27">
    <cfRule type="cellIs" dxfId="11" priority="8" stopIfTrue="1" operator="notEqual">
      <formula>D$5-D$6-D$26</formula>
    </cfRule>
  </conditionalFormatting>
  <conditionalFormatting sqref="C22:AD22">
    <cfRule type="cellIs" dxfId="10" priority="9" stopIfTrue="1" operator="notEqual">
      <formula>C$4-C$5</formula>
    </cfRule>
  </conditionalFormatting>
  <conditionalFormatting sqref="B27:C27">
    <cfRule type="cellIs" dxfId="9" priority="4" stopIfTrue="1" operator="notEqual">
      <formula>B$5-B$6-B$26</formula>
    </cfRule>
  </conditionalFormatting>
  <conditionalFormatting sqref="B22">
    <cfRule type="cellIs" dxfId="8" priority="5" stopIfTrue="1" operator="notEqual">
      <formula>B$4-B$5</formula>
    </cfRule>
  </conditionalFormatting>
  <conditionalFormatting sqref="B6:AC6">
    <cfRule type="expression" dxfId="7" priority="1">
      <formula>B$6&lt;&gt;B$44</formula>
    </cfRule>
    <cfRule type="expression" dxfId="6" priority="3">
      <formula>B$6&lt;&gt;B$43</formula>
    </cfRule>
  </conditionalFormatting>
  <dataValidations count="1">
    <dataValidation type="date" allowBlank="1" showInputMessage="1" showErrorMessage="1" promptTitle="Data:" prompt="Favor digitar uma data válida contendo pelo menos dia/mês." sqref="B2:AC2" xr:uid="{00000000-0002-0000-0300-000000000000}">
      <formula1>44287</formula1>
      <formula2>44651</formula2>
    </dataValidation>
  </dataValidations>
  <printOptions horizontalCentered="1" gridLines="1" gridLinesSet="0"/>
  <pageMargins left="0.39370078740157483" right="0.39370078740157483" top="0.78740157480314965" bottom="0.39370078740157483" header="0.27559055118110237" footer="0.19685039370078741"/>
  <pageSetup paperSize="9" scale="59" orientation="landscape" r:id="rId1"/>
  <headerFooter alignWithMargins="0">
    <oddFooter>&amp;RSJCPIL-R 16-316-02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25</xdr:col>
                    <xdr:colOff>19050</xdr:colOff>
                    <xdr:row>0</xdr:row>
                    <xdr:rowOff>19050</xdr:rowOff>
                  </from>
                  <to>
                    <xdr:col>26</xdr:col>
                    <xdr:colOff>409575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25</xdr:col>
                    <xdr:colOff>19050</xdr:colOff>
                    <xdr:row>0</xdr:row>
                    <xdr:rowOff>190500</xdr:rowOff>
                  </from>
                  <to>
                    <xdr:col>26</xdr:col>
                    <xdr:colOff>409575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7">
    <tabColor indexed="40"/>
    <pageSetUpPr fitToPage="1"/>
  </sheetPr>
  <dimension ref="A1:AI44"/>
  <sheetViews>
    <sheetView showZeros="0" zoomScaleNormal="100" workbookViewId="0">
      <selection activeCell="AD4" sqref="AD4"/>
    </sheetView>
  </sheetViews>
  <sheetFormatPr defaultColWidth="11.42578125" defaultRowHeight="12.75"/>
  <cols>
    <col min="1" max="1" width="24.42578125" customWidth="1"/>
    <col min="2" max="29" width="6.7109375" customWidth="1"/>
    <col min="30" max="30" width="12.7109375" customWidth="1"/>
    <col min="31" max="31" width="3.28515625" customWidth="1"/>
  </cols>
  <sheetData>
    <row r="1" spans="1:35" ht="32.25" customHeight="1" thickBot="1">
      <c r="B1" s="5" t="s">
        <v>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42" t="s">
        <v>9</v>
      </c>
      <c r="X1" s="5"/>
      <c r="Y1" s="5"/>
      <c r="Z1" s="5"/>
      <c r="AA1" s="5"/>
      <c r="AB1" s="140" t="s">
        <v>48</v>
      </c>
      <c r="AC1" s="145"/>
      <c r="AD1" s="122" t="str">
        <f ca="1">'LINHA 1-D'!AD1</f>
        <v>03 / 2022</v>
      </c>
    </row>
    <row r="2" spans="1:35" ht="20.100000000000001" customHeight="1">
      <c r="A2" s="136" t="s">
        <v>11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21" t="s">
        <v>14</v>
      </c>
    </row>
    <row r="3" spans="1:35" ht="20.100000000000001" customHeight="1">
      <c r="A3" s="12" t="s">
        <v>1</v>
      </c>
      <c r="B3" s="124"/>
      <c r="C3" s="124"/>
      <c r="D3" s="124"/>
      <c r="E3" s="124"/>
      <c r="F3" s="124"/>
      <c r="G3" s="124"/>
      <c r="H3" s="124"/>
      <c r="I3" s="124"/>
      <c r="J3" s="2"/>
      <c r="K3" s="52"/>
      <c r="L3" s="52"/>
      <c r="M3" s="52"/>
      <c r="N3" s="52"/>
      <c r="O3" s="52"/>
      <c r="P3" s="52"/>
      <c r="Q3" s="52"/>
      <c r="R3" s="52"/>
      <c r="S3" s="52"/>
      <c r="T3" s="52"/>
      <c r="U3" s="2"/>
      <c r="V3" s="1"/>
      <c r="W3" s="2"/>
      <c r="X3" s="2"/>
      <c r="Y3" s="1"/>
      <c r="Z3" s="1"/>
      <c r="AA3" s="1"/>
      <c r="AB3" s="1"/>
      <c r="AC3" s="1"/>
      <c r="AD3" s="3"/>
    </row>
    <row r="4" spans="1:35" ht="20.100000000000001" customHeight="1">
      <c r="A4" s="30" t="s">
        <v>25</v>
      </c>
      <c r="B4" s="126"/>
      <c r="C4" s="126"/>
      <c r="D4" s="126"/>
      <c r="E4" s="53"/>
      <c r="F4" s="53"/>
      <c r="G4" s="53"/>
      <c r="H4" s="126"/>
      <c r="I4" s="126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87">
        <f>SUM(B4:AC4)</f>
        <v>0</v>
      </c>
      <c r="AE4" s="89"/>
      <c r="AF4" s="89"/>
      <c r="AG4" s="89"/>
    </row>
    <row r="5" spans="1:35" ht="20.100000000000001" customHeight="1">
      <c r="A5" s="30" t="s">
        <v>26</v>
      </c>
      <c r="B5" s="127"/>
      <c r="C5" s="127"/>
      <c r="D5" s="127"/>
      <c r="E5" s="54"/>
      <c r="F5" s="55"/>
      <c r="G5" s="55"/>
      <c r="H5" s="127"/>
      <c r="I5" s="127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87">
        <f>SUM(B5:AC5)</f>
        <v>0</v>
      </c>
      <c r="AE5" s="89"/>
      <c r="AF5" s="89"/>
      <c r="AG5" s="89"/>
    </row>
    <row r="6" spans="1:35" ht="20.100000000000001" customHeight="1" thickBot="1">
      <c r="A6" s="13" t="s">
        <v>29</v>
      </c>
      <c r="B6" s="125"/>
      <c r="C6" s="128"/>
      <c r="D6" s="125"/>
      <c r="E6" s="37"/>
      <c r="F6" s="37"/>
      <c r="G6" s="37"/>
      <c r="H6" s="125"/>
      <c r="I6" s="125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90">
        <f>SUM(B6:AC6)</f>
        <v>0</v>
      </c>
      <c r="AE6" s="89"/>
      <c r="AF6" s="104">
        <f t="array" ref="AF6">[1]!PROD_L2N</f>
        <v>3262950</v>
      </c>
      <c r="AG6" s="89"/>
      <c r="AI6" s="108"/>
    </row>
    <row r="7" spans="1:35" ht="39.950000000000003" customHeight="1">
      <c r="A7" s="147" t="s">
        <v>34</v>
      </c>
      <c r="B7" s="138">
        <f>B37</f>
        <v>0</v>
      </c>
      <c r="C7" s="138">
        <f>C37</f>
        <v>0</v>
      </c>
      <c r="D7" s="138">
        <f t="shared" ref="D7:AG7" si="0">D37</f>
        <v>0</v>
      </c>
      <c r="E7" s="138">
        <f t="shared" si="0"/>
        <v>0</v>
      </c>
      <c r="F7" s="138"/>
      <c r="G7" s="138">
        <f t="shared" si="0"/>
        <v>0</v>
      </c>
      <c r="H7" s="138"/>
      <c r="I7" s="138">
        <f t="shared" si="0"/>
        <v>0</v>
      </c>
      <c r="J7" s="138">
        <f t="shared" si="0"/>
        <v>0</v>
      </c>
      <c r="K7" s="138">
        <f t="shared" si="0"/>
        <v>0</v>
      </c>
      <c r="L7" s="138">
        <f t="shared" si="0"/>
        <v>0</v>
      </c>
      <c r="M7" s="138">
        <f t="shared" si="0"/>
        <v>0</v>
      </c>
      <c r="N7" s="138">
        <f t="shared" si="0"/>
        <v>0</v>
      </c>
      <c r="O7" s="115"/>
      <c r="P7" s="115"/>
      <c r="Q7" s="115"/>
      <c r="R7" s="138">
        <f t="shared" si="0"/>
        <v>0</v>
      </c>
      <c r="S7" s="138">
        <f t="shared" si="0"/>
        <v>0</v>
      </c>
      <c r="T7" s="138">
        <f t="shared" si="0"/>
        <v>0</v>
      </c>
      <c r="U7" s="138">
        <f t="shared" si="0"/>
        <v>0</v>
      </c>
      <c r="V7" s="138">
        <f t="shared" si="0"/>
        <v>0</v>
      </c>
      <c r="W7" s="138">
        <f t="shared" si="0"/>
        <v>0</v>
      </c>
      <c r="X7" s="138">
        <f t="shared" si="0"/>
        <v>0</v>
      </c>
      <c r="Y7" s="138">
        <f t="shared" si="0"/>
        <v>0</v>
      </c>
      <c r="Z7" s="138">
        <f t="shared" si="0"/>
        <v>0</v>
      </c>
      <c r="AA7" s="138">
        <f t="shared" si="0"/>
        <v>0</v>
      </c>
      <c r="AB7" s="138">
        <f t="shared" si="0"/>
        <v>0</v>
      </c>
      <c r="AC7" s="138">
        <f t="shared" si="0"/>
        <v>0</v>
      </c>
      <c r="AD7" s="148">
        <f t="shared" si="0"/>
        <v>0</v>
      </c>
      <c r="AE7" s="138">
        <f t="shared" si="0"/>
        <v>0</v>
      </c>
      <c r="AF7" s="138">
        <f t="shared" si="0"/>
        <v>0</v>
      </c>
      <c r="AG7" s="138">
        <f t="shared" si="0"/>
        <v>0</v>
      </c>
    </row>
    <row r="8" spans="1:35" ht="39.950000000000003" customHeight="1">
      <c r="A8" s="139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15"/>
      <c r="P8" s="115"/>
      <c r="Q8" s="115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49"/>
      <c r="AE8" s="138"/>
      <c r="AF8" s="138"/>
      <c r="AG8" s="138"/>
    </row>
    <row r="9" spans="1:35" ht="39.950000000000003" customHeight="1">
      <c r="A9" s="139"/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15"/>
      <c r="P9" s="115"/>
      <c r="Q9" s="115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49"/>
      <c r="AE9" s="138"/>
      <c r="AF9" s="138"/>
      <c r="AG9" s="138"/>
    </row>
    <row r="10" spans="1:35" ht="39.950000000000003" customHeight="1">
      <c r="A10" s="139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15"/>
      <c r="P10" s="115"/>
      <c r="Q10" s="115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49"/>
      <c r="AE10" s="138"/>
      <c r="AF10" s="138"/>
      <c r="AG10" s="138"/>
    </row>
    <row r="11" spans="1:35" ht="39.950000000000003" customHeight="1">
      <c r="A11" s="139"/>
      <c r="B11" s="138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15"/>
      <c r="P11" s="115"/>
      <c r="Q11" s="115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49"/>
      <c r="AE11" s="138"/>
      <c r="AF11" s="138"/>
      <c r="AG11" s="138"/>
    </row>
    <row r="12" spans="1:35" ht="39.950000000000003" customHeight="1">
      <c r="A12" s="139"/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15"/>
      <c r="P12" s="115"/>
      <c r="Q12" s="115"/>
      <c r="R12" s="138"/>
      <c r="S12" s="138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49"/>
      <c r="AE12" s="138"/>
      <c r="AF12" s="138"/>
      <c r="AG12" s="138"/>
    </row>
    <row r="13" spans="1:35" ht="39.950000000000003" customHeight="1">
      <c r="A13" s="139"/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15"/>
      <c r="P13" s="115"/>
      <c r="Q13" s="115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49"/>
      <c r="AE13" s="138"/>
      <c r="AF13" s="138"/>
      <c r="AG13" s="138"/>
    </row>
    <row r="14" spans="1:35" ht="39.950000000000003" customHeight="1">
      <c r="A14" s="139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15"/>
      <c r="P14" s="115"/>
      <c r="Q14" s="115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49"/>
      <c r="AE14" s="138"/>
      <c r="AF14" s="138"/>
      <c r="AG14" s="138"/>
    </row>
    <row r="15" spans="1:35" ht="39.950000000000003" customHeight="1" thickBot="1">
      <c r="A15" s="139"/>
      <c r="B15" s="138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15"/>
      <c r="P15" s="115"/>
      <c r="Q15" s="115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50"/>
      <c r="AE15" s="138"/>
      <c r="AF15" s="138"/>
      <c r="AG15" s="138"/>
    </row>
    <row r="16" spans="1:35" ht="21" customHeight="1">
      <c r="A16" s="14" t="s">
        <v>16</v>
      </c>
      <c r="B16" s="129"/>
      <c r="C16" s="130"/>
      <c r="D16" s="129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9">
        <f t="shared" ref="AD16:AD21" si="1">SUM(B16:AC16)</f>
        <v>0</v>
      </c>
      <c r="AE16" s="70"/>
      <c r="AF16" s="70"/>
      <c r="AG16" s="70"/>
    </row>
    <row r="17" spans="1:33" ht="21" customHeight="1">
      <c r="A17" s="15" t="s">
        <v>17</v>
      </c>
      <c r="B17" s="131"/>
      <c r="C17" s="131"/>
      <c r="D17" s="13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2">
        <f t="shared" si="1"/>
        <v>0</v>
      </c>
      <c r="AE17" s="70"/>
      <c r="AF17" s="70"/>
      <c r="AG17" s="70"/>
    </row>
    <row r="18" spans="1:33" ht="21" customHeight="1">
      <c r="A18" s="15" t="s">
        <v>18</v>
      </c>
      <c r="B18" s="131"/>
      <c r="C18" s="131"/>
      <c r="D18" s="13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2">
        <f t="shared" si="1"/>
        <v>0</v>
      </c>
      <c r="AE18" s="70"/>
      <c r="AF18" s="70"/>
      <c r="AG18" s="70"/>
    </row>
    <row r="19" spans="1:33" ht="21" customHeight="1">
      <c r="A19" s="15" t="s">
        <v>21</v>
      </c>
      <c r="B19" s="131"/>
      <c r="C19" s="131"/>
      <c r="D19" s="13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2">
        <f t="shared" si="1"/>
        <v>0</v>
      </c>
      <c r="AE19" s="70"/>
      <c r="AF19" s="70"/>
      <c r="AG19" s="70"/>
    </row>
    <row r="20" spans="1:33" ht="21" customHeight="1">
      <c r="A20" s="15" t="s">
        <v>19</v>
      </c>
      <c r="B20" s="131"/>
      <c r="C20" s="131"/>
      <c r="D20" s="13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2">
        <f t="shared" si="1"/>
        <v>0</v>
      </c>
      <c r="AE20" s="70"/>
      <c r="AF20" s="70"/>
      <c r="AG20" s="70"/>
    </row>
    <row r="21" spans="1:33" ht="21" customHeight="1">
      <c r="A21" s="15" t="s">
        <v>20</v>
      </c>
      <c r="B21" s="131"/>
      <c r="C21" s="131"/>
      <c r="D21" s="13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2">
        <f t="shared" si="1"/>
        <v>0</v>
      </c>
      <c r="AE21" s="70"/>
      <c r="AF21" s="70"/>
      <c r="AG21" s="70"/>
    </row>
    <row r="22" spans="1:33" ht="21" customHeight="1">
      <c r="A22" s="16" t="s">
        <v>27</v>
      </c>
      <c r="B22" s="73">
        <f>SUM(B16:B21)</f>
        <v>0</v>
      </c>
      <c r="C22" s="73">
        <f t="shared" ref="C22:AC22" si="2">SUM(C16:C21)</f>
        <v>0</v>
      </c>
      <c r="D22" s="73">
        <f t="shared" si="2"/>
        <v>0</v>
      </c>
      <c r="E22" s="73">
        <f t="shared" si="2"/>
        <v>0</v>
      </c>
      <c r="F22" s="73">
        <f t="shared" si="2"/>
        <v>0</v>
      </c>
      <c r="G22" s="73">
        <f t="shared" si="2"/>
        <v>0</v>
      </c>
      <c r="H22" s="73">
        <f t="shared" si="2"/>
        <v>0</v>
      </c>
      <c r="I22" s="73">
        <f>SUM(I16:I21)</f>
        <v>0</v>
      </c>
      <c r="J22" s="73">
        <f>SUM(J16:J21)</f>
        <v>0</v>
      </c>
      <c r="K22" s="73">
        <f t="shared" si="2"/>
        <v>0</v>
      </c>
      <c r="L22" s="73">
        <f t="shared" si="2"/>
        <v>0</v>
      </c>
      <c r="M22" s="73">
        <f t="shared" si="2"/>
        <v>0</v>
      </c>
      <c r="N22" s="73">
        <f t="shared" si="2"/>
        <v>0</v>
      </c>
      <c r="O22" s="73">
        <f t="shared" si="2"/>
        <v>0</v>
      </c>
      <c r="P22" s="73">
        <f t="shared" si="2"/>
        <v>0</v>
      </c>
      <c r="Q22" s="73">
        <f t="shared" si="2"/>
        <v>0</v>
      </c>
      <c r="R22" s="73">
        <f t="shared" si="2"/>
        <v>0</v>
      </c>
      <c r="S22" s="73">
        <f t="shared" si="2"/>
        <v>0</v>
      </c>
      <c r="T22" s="73">
        <f t="shared" si="2"/>
        <v>0</v>
      </c>
      <c r="U22" s="73">
        <f t="shared" si="2"/>
        <v>0</v>
      </c>
      <c r="V22" s="73">
        <f t="shared" si="2"/>
        <v>0</v>
      </c>
      <c r="W22" s="73">
        <f t="shared" si="2"/>
        <v>0</v>
      </c>
      <c r="X22" s="73">
        <f t="shared" si="2"/>
        <v>0</v>
      </c>
      <c r="Y22" s="73">
        <f t="shared" si="2"/>
        <v>0</v>
      </c>
      <c r="Z22" s="73">
        <f t="shared" si="2"/>
        <v>0</v>
      </c>
      <c r="AA22" s="73">
        <f t="shared" si="2"/>
        <v>0</v>
      </c>
      <c r="AB22" s="73">
        <f t="shared" si="2"/>
        <v>0</v>
      </c>
      <c r="AC22" s="73">
        <f t="shared" si="2"/>
        <v>0</v>
      </c>
      <c r="AD22" s="74">
        <f>SUM(AD16:AD21)</f>
        <v>0</v>
      </c>
      <c r="AE22" s="70"/>
      <c r="AF22" s="70"/>
      <c r="AG22" s="70"/>
    </row>
    <row r="23" spans="1:33" ht="21" customHeight="1">
      <c r="A23" s="15" t="s">
        <v>22</v>
      </c>
      <c r="B23" s="132"/>
      <c r="C23" s="132"/>
      <c r="D23" s="132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2">
        <f>SUM(B23:AC23)</f>
        <v>0</v>
      </c>
      <c r="AE23" s="70"/>
      <c r="AF23" s="70"/>
      <c r="AG23" s="70"/>
    </row>
    <row r="24" spans="1:33" ht="21" customHeight="1">
      <c r="A24" s="15" t="s">
        <v>23</v>
      </c>
      <c r="B24" s="132"/>
      <c r="C24" s="132"/>
      <c r="D24" s="132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2">
        <f>SUM(B24:AC24)</f>
        <v>0</v>
      </c>
      <c r="AE24" s="70"/>
      <c r="AF24" s="70"/>
      <c r="AG24" s="70"/>
    </row>
    <row r="25" spans="1:33" ht="21" customHeight="1">
      <c r="A25" s="15" t="s">
        <v>2</v>
      </c>
      <c r="B25" s="132"/>
      <c r="C25" s="132"/>
      <c r="D25" s="132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2">
        <f>SUM(B25:AC25)</f>
        <v>0</v>
      </c>
      <c r="AE25" s="70"/>
      <c r="AF25" s="70"/>
      <c r="AG25" s="70"/>
    </row>
    <row r="26" spans="1:33" ht="21" customHeight="1">
      <c r="A26" s="15" t="s">
        <v>24</v>
      </c>
      <c r="B26" s="132"/>
      <c r="C26" s="132"/>
      <c r="D26" s="132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116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2">
        <f>SUM(B26:AC26)</f>
        <v>0</v>
      </c>
      <c r="AE26" s="70"/>
      <c r="AF26" s="70"/>
      <c r="AG26" s="70"/>
    </row>
    <row r="27" spans="1:33" ht="21" customHeight="1">
      <c r="A27" s="32" t="s">
        <v>28</v>
      </c>
      <c r="B27" s="73">
        <f>SUM(B$23:B$25)</f>
        <v>0</v>
      </c>
      <c r="C27" s="73">
        <f t="shared" ref="C27:AF27" si="3">SUM(C$23:C$25)</f>
        <v>0</v>
      </c>
      <c r="D27" s="73">
        <f t="shared" si="3"/>
        <v>0</v>
      </c>
      <c r="E27" s="73">
        <f t="shared" si="3"/>
        <v>0</v>
      </c>
      <c r="F27" s="73">
        <f t="shared" si="3"/>
        <v>0</v>
      </c>
      <c r="G27" s="73">
        <f t="shared" si="3"/>
        <v>0</v>
      </c>
      <c r="H27" s="73">
        <f t="shared" si="3"/>
        <v>0</v>
      </c>
      <c r="I27" s="73">
        <f t="shared" si="3"/>
        <v>0</v>
      </c>
      <c r="J27" s="73">
        <f t="shared" si="3"/>
        <v>0</v>
      </c>
      <c r="K27" s="73">
        <f t="shared" si="3"/>
        <v>0</v>
      </c>
      <c r="L27" s="73">
        <f t="shared" si="3"/>
        <v>0</v>
      </c>
      <c r="M27" s="73">
        <f t="shared" si="3"/>
        <v>0</v>
      </c>
      <c r="N27" s="73">
        <f t="shared" si="3"/>
        <v>0</v>
      </c>
      <c r="O27" s="73">
        <f t="shared" si="3"/>
        <v>0</v>
      </c>
      <c r="P27" s="73">
        <f t="shared" si="3"/>
        <v>0</v>
      </c>
      <c r="Q27" s="73">
        <f t="shared" si="3"/>
        <v>0</v>
      </c>
      <c r="R27" s="73">
        <f t="shared" si="3"/>
        <v>0</v>
      </c>
      <c r="S27" s="73">
        <f t="shared" si="3"/>
        <v>0</v>
      </c>
      <c r="T27" s="73">
        <f t="shared" si="3"/>
        <v>0</v>
      </c>
      <c r="U27" s="73">
        <f t="shared" si="3"/>
        <v>0</v>
      </c>
      <c r="V27" s="73">
        <f t="shared" si="3"/>
        <v>0</v>
      </c>
      <c r="W27" s="73">
        <f t="shared" si="3"/>
        <v>0</v>
      </c>
      <c r="X27" s="73">
        <f t="shared" si="3"/>
        <v>0</v>
      </c>
      <c r="Y27" s="73">
        <f t="shared" si="3"/>
        <v>0</v>
      </c>
      <c r="Z27" s="73">
        <f t="shared" si="3"/>
        <v>0</v>
      </c>
      <c r="AA27" s="73">
        <f t="shared" si="3"/>
        <v>0</v>
      </c>
      <c r="AB27" s="73">
        <f t="shared" si="3"/>
        <v>0</v>
      </c>
      <c r="AC27" s="73">
        <f t="shared" si="3"/>
        <v>0</v>
      </c>
      <c r="AD27" s="74">
        <f t="shared" si="3"/>
        <v>0</v>
      </c>
      <c r="AE27" s="70">
        <f t="shared" si="3"/>
        <v>0</v>
      </c>
      <c r="AF27" s="70">
        <f t="shared" si="3"/>
        <v>0</v>
      </c>
      <c r="AG27" s="70"/>
    </row>
    <row r="28" spans="1:33" ht="21" customHeight="1">
      <c r="A28" s="16" t="s">
        <v>3</v>
      </c>
      <c r="B28" s="73">
        <f>B27+B22</f>
        <v>0</v>
      </c>
      <c r="C28" s="73">
        <f t="shared" ref="C28:AC28" si="4">C27+C22</f>
        <v>0</v>
      </c>
      <c r="D28" s="73">
        <f t="shared" si="4"/>
        <v>0</v>
      </c>
      <c r="E28" s="73">
        <f t="shared" si="4"/>
        <v>0</v>
      </c>
      <c r="F28" s="73">
        <f t="shared" si="4"/>
        <v>0</v>
      </c>
      <c r="G28" s="73">
        <f t="shared" si="4"/>
        <v>0</v>
      </c>
      <c r="H28" s="73">
        <f t="shared" si="4"/>
        <v>0</v>
      </c>
      <c r="I28" s="73">
        <f>I27+I22</f>
        <v>0</v>
      </c>
      <c r="J28" s="73">
        <f>J27+J22</f>
        <v>0</v>
      </c>
      <c r="K28" s="73">
        <f t="shared" si="4"/>
        <v>0</v>
      </c>
      <c r="L28" s="73">
        <f t="shared" si="4"/>
        <v>0</v>
      </c>
      <c r="M28" s="73">
        <f t="shared" si="4"/>
        <v>0</v>
      </c>
      <c r="N28" s="73">
        <f t="shared" si="4"/>
        <v>0</v>
      </c>
      <c r="O28" s="73">
        <f t="shared" si="4"/>
        <v>0</v>
      </c>
      <c r="P28" s="73">
        <f t="shared" si="4"/>
        <v>0</v>
      </c>
      <c r="Q28" s="73">
        <f t="shared" si="4"/>
        <v>0</v>
      </c>
      <c r="R28" s="73">
        <f t="shared" si="4"/>
        <v>0</v>
      </c>
      <c r="S28" s="73">
        <f t="shared" si="4"/>
        <v>0</v>
      </c>
      <c r="T28" s="73">
        <f t="shared" si="4"/>
        <v>0</v>
      </c>
      <c r="U28" s="73">
        <f t="shared" si="4"/>
        <v>0</v>
      </c>
      <c r="V28" s="73">
        <f t="shared" si="4"/>
        <v>0</v>
      </c>
      <c r="W28" s="73">
        <f t="shared" si="4"/>
        <v>0</v>
      </c>
      <c r="X28" s="73">
        <f t="shared" si="4"/>
        <v>0</v>
      </c>
      <c r="Y28" s="73">
        <f t="shared" si="4"/>
        <v>0</v>
      </c>
      <c r="Z28" s="73">
        <f t="shared" si="4"/>
        <v>0</v>
      </c>
      <c r="AA28" s="73">
        <f t="shared" si="4"/>
        <v>0</v>
      </c>
      <c r="AB28" s="73">
        <f t="shared" si="4"/>
        <v>0</v>
      </c>
      <c r="AC28" s="73">
        <f t="shared" si="4"/>
        <v>0</v>
      </c>
      <c r="AD28" s="74">
        <f>AD27+AD22</f>
        <v>0</v>
      </c>
      <c r="AE28" s="70"/>
      <c r="AF28" s="70"/>
      <c r="AG28" s="70"/>
    </row>
    <row r="29" spans="1:33" ht="21" customHeight="1" thickBot="1">
      <c r="A29" s="92" t="s">
        <v>15</v>
      </c>
      <c r="B29" s="94" t="str">
        <f>IF(ISERR(B28/B6),"",B28/B6*1000000)</f>
        <v/>
      </c>
      <c r="C29" s="94" t="str">
        <f t="shared" ref="C29:AC29" si="5">IF(ISERR(C28/C6),"",C28/C6*1000000)</f>
        <v/>
      </c>
      <c r="D29" s="94" t="str">
        <f t="shared" si="5"/>
        <v/>
      </c>
      <c r="E29" s="94" t="str">
        <f t="shared" si="5"/>
        <v/>
      </c>
      <c r="F29" s="94" t="str">
        <f t="shared" si="5"/>
        <v/>
      </c>
      <c r="G29" s="94" t="str">
        <f t="shared" si="5"/>
        <v/>
      </c>
      <c r="H29" s="94" t="str">
        <f t="shared" si="5"/>
        <v/>
      </c>
      <c r="I29" s="94" t="str">
        <f t="shared" si="5"/>
        <v/>
      </c>
      <c r="J29" s="94" t="str">
        <f>IF(ISERR(J28/J6),"",J28/J6*1000000)</f>
        <v/>
      </c>
      <c r="K29" s="94" t="str">
        <f t="shared" si="5"/>
        <v/>
      </c>
      <c r="L29" s="94" t="str">
        <f t="shared" si="5"/>
        <v/>
      </c>
      <c r="M29" s="94" t="str">
        <f t="shared" si="5"/>
        <v/>
      </c>
      <c r="N29" s="94" t="str">
        <f t="shared" si="5"/>
        <v/>
      </c>
      <c r="O29" s="94" t="str">
        <f t="shared" si="5"/>
        <v/>
      </c>
      <c r="P29" s="94" t="str">
        <f t="shared" si="5"/>
        <v/>
      </c>
      <c r="Q29" s="94" t="str">
        <f t="shared" si="5"/>
        <v/>
      </c>
      <c r="R29" s="94" t="str">
        <f t="shared" si="5"/>
        <v/>
      </c>
      <c r="S29" s="94" t="str">
        <f t="shared" si="5"/>
        <v/>
      </c>
      <c r="T29" s="94" t="str">
        <f t="shared" si="5"/>
        <v/>
      </c>
      <c r="U29" s="94" t="str">
        <f t="shared" si="5"/>
        <v/>
      </c>
      <c r="V29" s="94" t="str">
        <f t="shared" si="5"/>
        <v/>
      </c>
      <c r="W29" s="94" t="str">
        <f t="shared" si="5"/>
        <v/>
      </c>
      <c r="X29" s="94" t="str">
        <f t="shared" si="5"/>
        <v/>
      </c>
      <c r="Y29" s="94" t="str">
        <f t="shared" si="5"/>
        <v/>
      </c>
      <c r="Z29" s="94" t="str">
        <f t="shared" si="5"/>
        <v/>
      </c>
      <c r="AA29" s="94" t="str">
        <f t="shared" si="5"/>
        <v/>
      </c>
      <c r="AB29" s="94" t="str">
        <f t="shared" si="5"/>
        <v/>
      </c>
      <c r="AC29" s="94" t="str">
        <f t="shared" si="5"/>
        <v/>
      </c>
      <c r="AD29" s="81" t="str">
        <f>IF(ISERR(AD28/AD6),"",AD28/AD6*1000000)</f>
        <v/>
      </c>
      <c r="AE29" s="70"/>
      <c r="AF29" s="70"/>
      <c r="AG29" s="70"/>
    </row>
    <row r="30" spans="1:33" ht="21" customHeight="1">
      <c r="A30" s="95" t="str">
        <f>'LINHA 1-D'!A30</f>
        <v>Visto Supervisor</v>
      </c>
      <c r="B30" s="99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101"/>
    </row>
    <row r="31" spans="1:33" ht="21" customHeight="1" thickBot="1">
      <c r="A31" s="29" t="s">
        <v>38</v>
      </c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6"/>
    </row>
    <row r="32" spans="1:33" ht="21" customHeight="1">
      <c r="A32" s="17" t="s">
        <v>10</v>
      </c>
      <c r="B32" s="18"/>
      <c r="C32" s="18"/>
      <c r="D32" s="18"/>
      <c r="E32" s="18"/>
      <c r="F32" s="18"/>
      <c r="G32" s="17" t="s">
        <v>12</v>
      </c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9"/>
      <c r="T32" s="19"/>
      <c r="U32" s="49" t="s">
        <v>13</v>
      </c>
      <c r="V32" s="50"/>
      <c r="W32" s="50"/>
      <c r="X32" s="50"/>
      <c r="Y32" s="50"/>
      <c r="Z32" s="50"/>
      <c r="AA32" s="50"/>
      <c r="AB32" s="50"/>
      <c r="AC32" s="50"/>
      <c r="AD32" s="51"/>
    </row>
    <row r="33" spans="1:31" s="25" customFormat="1" ht="21" customHeight="1" thickBot="1">
      <c r="A33" s="22" t="s">
        <v>11</v>
      </c>
      <c r="B33" s="23"/>
      <c r="C33" s="23"/>
      <c r="D33" s="23"/>
      <c r="E33" s="23"/>
      <c r="F33" s="23"/>
      <c r="G33" s="22" t="s">
        <v>11</v>
      </c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2" t="s">
        <v>11</v>
      </c>
      <c r="V33" s="23"/>
      <c r="W33" s="23"/>
      <c r="X33" s="23"/>
      <c r="Y33" s="23"/>
      <c r="Z33" s="23"/>
      <c r="AA33" s="23"/>
      <c r="AB33" s="23"/>
      <c r="AC33" s="23"/>
      <c r="AD33" s="24"/>
    </row>
    <row r="34" spans="1:31">
      <c r="A34" t="s">
        <v>5</v>
      </c>
      <c r="B34" s="26">
        <f>'LINHA 2-D'!B34</f>
        <v>1020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</row>
    <row r="35" spans="1:31" ht="13.5" thickBot="1"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</row>
    <row r="36" spans="1:31">
      <c r="A36" s="10" t="s">
        <v>6</v>
      </c>
      <c r="B36" s="133">
        <f>B2</f>
        <v>0</v>
      </c>
      <c r="C36" s="133">
        <f t="shared" ref="C36:AC36" si="6">C2</f>
        <v>0</v>
      </c>
      <c r="D36" s="133">
        <f t="shared" si="6"/>
        <v>0</v>
      </c>
      <c r="E36" s="133">
        <f t="shared" si="6"/>
        <v>0</v>
      </c>
      <c r="F36" s="133">
        <f t="shared" si="6"/>
        <v>0</v>
      </c>
      <c r="G36" s="133">
        <f t="shared" si="6"/>
        <v>0</v>
      </c>
      <c r="H36" s="133">
        <f t="shared" si="6"/>
        <v>0</v>
      </c>
      <c r="I36" s="133">
        <f t="shared" si="6"/>
        <v>0</v>
      </c>
      <c r="J36" s="133">
        <f t="shared" si="6"/>
        <v>0</v>
      </c>
      <c r="K36" s="133">
        <f t="shared" si="6"/>
        <v>0</v>
      </c>
      <c r="L36" s="133">
        <f t="shared" si="6"/>
        <v>0</v>
      </c>
      <c r="M36" s="133">
        <f t="shared" si="6"/>
        <v>0</v>
      </c>
      <c r="N36" s="133">
        <f t="shared" si="6"/>
        <v>0</v>
      </c>
      <c r="O36" s="133">
        <f t="shared" si="6"/>
        <v>0</v>
      </c>
      <c r="P36" s="133">
        <f t="shared" si="6"/>
        <v>0</v>
      </c>
      <c r="Q36" s="133">
        <f t="shared" si="6"/>
        <v>0</v>
      </c>
      <c r="R36" s="133">
        <f t="shared" si="6"/>
        <v>0</v>
      </c>
      <c r="S36" s="133">
        <f t="shared" si="6"/>
        <v>0</v>
      </c>
      <c r="T36" s="133">
        <f t="shared" si="6"/>
        <v>0</v>
      </c>
      <c r="U36" s="133">
        <f t="shared" si="6"/>
        <v>0</v>
      </c>
      <c r="V36" s="133">
        <f t="shared" si="6"/>
        <v>0</v>
      </c>
      <c r="W36" s="133">
        <f t="shared" si="6"/>
        <v>0</v>
      </c>
      <c r="X36" s="133">
        <f t="shared" si="6"/>
        <v>0</v>
      </c>
      <c r="Y36" s="133">
        <f t="shared" si="6"/>
        <v>0</v>
      </c>
      <c r="Z36" s="133"/>
      <c r="AA36" s="133"/>
      <c r="AB36" s="133">
        <f t="shared" si="6"/>
        <v>0</v>
      </c>
      <c r="AC36" s="133">
        <f t="shared" si="6"/>
        <v>0</v>
      </c>
    </row>
    <row r="37" spans="1:31" ht="120" customHeight="1">
      <c r="A37" s="28" t="s">
        <v>7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8"/>
      <c r="M37" s="6"/>
      <c r="N37" s="6"/>
      <c r="O37" s="6"/>
      <c r="P37" s="6"/>
      <c r="Q37" s="6"/>
      <c r="R37" s="7"/>
      <c r="S37" s="8"/>
      <c r="T37" s="6"/>
      <c r="U37" s="6"/>
      <c r="V37" s="6"/>
      <c r="W37" s="7"/>
      <c r="X37" s="7"/>
      <c r="Y37" s="7"/>
      <c r="Z37" s="7"/>
      <c r="AA37" s="7"/>
      <c r="AB37" s="7"/>
      <c r="AC37" s="8"/>
    </row>
    <row r="39" spans="1:31">
      <c r="B39">
        <f>B4-B5</f>
        <v>0</v>
      </c>
      <c r="C39">
        <f t="shared" ref="C39:AD40" si="7">C4-C5</f>
        <v>0</v>
      </c>
      <c r="D39">
        <f t="shared" si="7"/>
        <v>0</v>
      </c>
      <c r="E39">
        <f t="shared" si="7"/>
        <v>0</v>
      </c>
      <c r="F39">
        <f t="shared" si="7"/>
        <v>0</v>
      </c>
      <c r="G39">
        <f t="shared" si="7"/>
        <v>0</v>
      </c>
      <c r="H39">
        <f t="shared" si="7"/>
        <v>0</v>
      </c>
      <c r="I39">
        <f t="shared" si="7"/>
        <v>0</v>
      </c>
      <c r="J39">
        <f t="shared" si="7"/>
        <v>0</v>
      </c>
      <c r="K39">
        <f t="shared" si="7"/>
        <v>0</v>
      </c>
      <c r="L39">
        <f t="shared" si="7"/>
        <v>0</v>
      </c>
      <c r="M39">
        <f t="shared" si="7"/>
        <v>0</v>
      </c>
      <c r="N39">
        <f t="shared" si="7"/>
        <v>0</v>
      </c>
      <c r="R39">
        <f t="shared" si="7"/>
        <v>0</v>
      </c>
      <c r="S39">
        <f t="shared" si="7"/>
        <v>0</v>
      </c>
      <c r="T39">
        <f t="shared" si="7"/>
        <v>0</v>
      </c>
      <c r="U39">
        <f t="shared" si="7"/>
        <v>0</v>
      </c>
      <c r="V39">
        <f t="shared" si="7"/>
        <v>0</v>
      </c>
      <c r="W39">
        <f t="shared" si="7"/>
        <v>0</v>
      </c>
      <c r="X39">
        <f t="shared" si="7"/>
        <v>0</v>
      </c>
      <c r="Y39">
        <f t="shared" si="7"/>
        <v>0</v>
      </c>
      <c r="AB39">
        <f t="shared" si="7"/>
        <v>0</v>
      </c>
      <c r="AC39">
        <f t="shared" si="7"/>
        <v>0</v>
      </c>
      <c r="AD39">
        <f t="shared" si="7"/>
        <v>0</v>
      </c>
    </row>
    <row r="40" spans="1:31">
      <c r="B40" s="35">
        <f>B5-B6</f>
        <v>0</v>
      </c>
      <c r="C40" s="35">
        <f t="shared" si="7"/>
        <v>0</v>
      </c>
      <c r="D40" s="35">
        <f t="shared" si="7"/>
        <v>0</v>
      </c>
      <c r="E40" s="35">
        <f t="shared" si="7"/>
        <v>0</v>
      </c>
      <c r="F40" s="35">
        <f t="shared" si="7"/>
        <v>0</v>
      </c>
      <c r="G40" s="35">
        <f t="shared" si="7"/>
        <v>0</v>
      </c>
      <c r="H40" s="35">
        <f t="shared" si="7"/>
        <v>0</v>
      </c>
      <c r="I40" s="35">
        <f t="shared" si="7"/>
        <v>0</v>
      </c>
      <c r="J40" s="35">
        <f t="shared" si="7"/>
        <v>0</v>
      </c>
      <c r="K40" s="35">
        <f t="shared" si="7"/>
        <v>0</v>
      </c>
      <c r="L40" s="35">
        <f t="shared" si="7"/>
        <v>0</v>
      </c>
      <c r="M40" s="35">
        <f t="shared" si="7"/>
        <v>0</v>
      </c>
      <c r="N40" s="35">
        <f t="shared" si="7"/>
        <v>0</v>
      </c>
      <c r="O40" s="35"/>
      <c r="P40" s="35"/>
      <c r="Q40" s="35"/>
      <c r="R40" s="35">
        <f t="shared" si="7"/>
        <v>0</v>
      </c>
      <c r="S40" s="35">
        <f t="shared" si="7"/>
        <v>0</v>
      </c>
      <c r="T40" s="35">
        <f t="shared" si="7"/>
        <v>0</v>
      </c>
      <c r="U40" s="35">
        <f t="shared" si="7"/>
        <v>0</v>
      </c>
      <c r="V40" s="35">
        <f t="shared" si="7"/>
        <v>0</v>
      </c>
      <c r="W40" s="35">
        <f t="shared" si="7"/>
        <v>0</v>
      </c>
      <c r="X40" s="35">
        <f t="shared" si="7"/>
        <v>0</v>
      </c>
      <c r="Y40" s="35">
        <f t="shared" si="7"/>
        <v>0</v>
      </c>
      <c r="Z40" s="35"/>
      <c r="AA40" s="35"/>
      <c r="AB40" s="35">
        <f t="shared" si="7"/>
        <v>0</v>
      </c>
      <c r="AC40" s="35">
        <f t="shared" si="7"/>
        <v>0</v>
      </c>
      <c r="AD40" s="35">
        <f t="shared" si="7"/>
        <v>0</v>
      </c>
    </row>
    <row r="43" spans="1:31">
      <c r="A43" s="123" t="s">
        <v>49</v>
      </c>
      <c r="B43" s="70">
        <f>'[1]LINHA - 2N'!D$4</f>
        <v>382550</v>
      </c>
      <c r="C43" s="70">
        <f>'[1]LINHA - 2N'!E$4</f>
        <v>382550</v>
      </c>
      <c r="D43" s="70">
        <f>'[1]LINHA - 2N'!F$4</f>
        <v>270050</v>
      </c>
      <c r="E43" s="70">
        <f>'[1]LINHA - 2N'!G$4</f>
        <v>382550</v>
      </c>
      <c r="F43" s="70">
        <f>'[1]LINHA - 2N'!H$4</f>
        <v>405050</v>
      </c>
      <c r="G43" s="70">
        <f>'[1]LINHA - 2N'!I$4</f>
        <v>405050</v>
      </c>
      <c r="H43" s="70">
        <f>'[1]LINHA - 2N'!J$4</f>
        <v>382550</v>
      </c>
      <c r="I43" s="70">
        <f>'[1]LINHA - 2N'!K$4</f>
        <v>270050</v>
      </c>
      <c r="J43" s="70">
        <f>'[1]LINHA - 2N'!L$4</f>
        <v>382550</v>
      </c>
      <c r="K43" s="70">
        <f>'[1]LINHA - 2N'!M$4</f>
        <v>0</v>
      </c>
      <c r="L43" s="70">
        <f>'[1]LINHA - 2N'!N$4</f>
        <v>0</v>
      </c>
      <c r="M43" s="70">
        <f>'[1]LINHA - 2N'!O$4</f>
        <v>0</v>
      </c>
      <c r="N43" s="70">
        <f>'[1]LINHA - 2N'!P$4</f>
        <v>0</v>
      </c>
      <c r="O43" s="70">
        <f>'[1]LINHA - 2N'!Q$4</f>
        <v>0</v>
      </c>
      <c r="P43" s="70">
        <f>'[1]LINHA - 2N'!R$4</f>
        <v>0</v>
      </c>
      <c r="Q43" s="70">
        <f>'[1]LINHA - 2N'!S$4</f>
        <v>0</v>
      </c>
      <c r="R43" s="70">
        <f>'[1]LINHA - 2N'!T$4</f>
        <v>0</v>
      </c>
      <c r="S43" s="70">
        <f>'[1]LINHA - 2N'!U$4</f>
        <v>0</v>
      </c>
      <c r="T43" s="70">
        <f>'[1]LINHA - 2N'!V$4</f>
        <v>0</v>
      </c>
      <c r="U43" s="70">
        <f>'[1]LINHA - 2N'!W$4</f>
        <v>0</v>
      </c>
      <c r="V43" s="70">
        <f>'[1]LINHA - 2N'!X$4</f>
        <v>0</v>
      </c>
      <c r="W43" s="70">
        <f>'[1]LINHA - 2N'!Y$4</f>
        <v>0</v>
      </c>
      <c r="X43" s="70">
        <f>'[1]LINHA - 2N'!Z$4</f>
        <v>0</v>
      </c>
      <c r="Y43" s="70">
        <f>'[1]LINHA - 2N'!AA$4</f>
        <v>0</v>
      </c>
      <c r="Z43" s="70">
        <f>'[1]LINHA - 2N'!AB$4</f>
        <v>0</v>
      </c>
      <c r="AA43" s="70">
        <f>'[1]LINHA - 2N'!AC$4</f>
        <v>0</v>
      </c>
      <c r="AB43" s="70">
        <f>'[1]LINHA - 2N'!AD$4</f>
        <v>0</v>
      </c>
      <c r="AC43" s="70">
        <f>'[1]LINHA - 2N'!AE$4</f>
        <v>0</v>
      </c>
      <c r="AD43" s="70">
        <f>'[1]LINHA - 2N'!AF$4</f>
        <v>3262950</v>
      </c>
      <c r="AE43" s="70"/>
    </row>
    <row r="44" spans="1:31">
      <c r="A44" s="123" t="s">
        <v>50</v>
      </c>
      <c r="B44" s="134">
        <f t="array" ref="B44">SUM(IF('[4]UM-3 - L2 - Noite'!$D$3:$AR$3=B2,'[4]UM-3 - L2 - Noite'!$D$7:$AR$7))</f>
        <v>0</v>
      </c>
      <c r="C44" s="134">
        <f t="array" ref="C44">SUM(IF('[4]UM-3 - L2 - Noite'!$D$3:$AR$3=C2,'[4]UM-3 - L2 - Noite'!$D$7:$AR$7))</f>
        <v>0</v>
      </c>
      <c r="D44" s="134">
        <f t="array" ref="D44">SUM(IF('[4]UM-3 - L2 - Noite'!$D$3:$AR$3=D2,'[4]UM-3 - L2 - Noite'!$D$7:$AR$7))</f>
        <v>0</v>
      </c>
      <c r="E44" s="134">
        <f t="array" ref="E44">SUM(IF('[4]UM-3 - L2 - Noite'!$D$3:$AR$3=E2,'[4]UM-3 - L2 - Noite'!$D$7:$AR$7))</f>
        <v>0</v>
      </c>
      <c r="F44" s="134">
        <f t="array" ref="F44">SUM(IF('[4]UM-3 - L2 - Noite'!$D$3:$AR$3=F2,'[4]UM-3 - L2 - Noite'!$D$7:$AR$7))</f>
        <v>0</v>
      </c>
      <c r="G44" s="134">
        <f t="array" ref="G44">SUM(IF('[4]UM-3 - L2 - Noite'!$D$3:$AR$3=G2,'[4]UM-3 - L2 - Noite'!$D$7:$AR$7))</f>
        <v>0</v>
      </c>
      <c r="H44" s="134">
        <f t="array" ref="H44">SUM(IF('[4]UM-3 - L2 - Noite'!$D$3:$AR$3=H2,'[4]UM-3 - L2 - Noite'!$D$7:$AR$7))</f>
        <v>0</v>
      </c>
      <c r="I44" s="134">
        <f t="array" ref="I44">SUM(IF('[4]UM-3 - L2 - Noite'!$D$3:$AR$3=I2,'[4]UM-3 - L2 - Noite'!$D$7:$AR$7))</f>
        <v>0</v>
      </c>
      <c r="J44" s="134">
        <f t="array" ref="J44">SUM(IF('[4]UM-3 - L2 - Noite'!$D$3:$AR$3=J2,'[4]UM-3 - L2 - Noite'!$D$7:$AR$7))</f>
        <v>0</v>
      </c>
      <c r="K44" s="134">
        <f t="array" ref="K44">SUM(IF('[4]UM-3 - L2 - Noite'!$D$3:$AR$3=K2,'[4]UM-3 - L2 - Noite'!$D$7:$AR$7))</f>
        <v>0</v>
      </c>
      <c r="L44" s="134">
        <f t="array" ref="L44">SUM(IF('[4]UM-3 - L2 - Noite'!$D$3:$AR$3=L2,'[4]UM-3 - L2 - Noite'!$D$7:$AR$7))</f>
        <v>0</v>
      </c>
      <c r="M44" s="134">
        <f t="array" ref="M44">SUM(IF('[4]UM-3 - L2 - Noite'!$D$3:$AR$3=M2,'[4]UM-3 - L2 - Noite'!$D$7:$AR$7))</f>
        <v>0</v>
      </c>
      <c r="N44" s="134">
        <f t="array" ref="N44">SUM(IF('[4]UM-3 - L2 - Noite'!$D$3:$AR$3=N2,'[4]UM-3 - L2 - Noite'!$D$7:$AR$7))</f>
        <v>0</v>
      </c>
      <c r="O44" s="134">
        <f t="array" ref="O44">SUM(IF('[4]UM-3 - L2 - Noite'!$D$3:$AR$3=O2,'[4]UM-3 - L2 - Noite'!$D$7:$AR$7))</f>
        <v>0</v>
      </c>
      <c r="P44" s="134">
        <f t="array" ref="P44">SUM(IF('[4]UM-3 - L2 - Noite'!$D$3:$AR$3=P2,'[4]UM-3 - L2 - Noite'!$D$7:$AR$7))</f>
        <v>0</v>
      </c>
      <c r="Q44" s="134">
        <f t="array" ref="Q44">SUM(IF('[4]UM-3 - L2 - Noite'!$D$3:$AR$3=Q2,'[4]UM-3 - L2 - Noite'!$D$7:$AR$7))</f>
        <v>0</v>
      </c>
      <c r="R44" s="134">
        <f t="array" ref="R44">SUM(IF('[4]UM-3 - L2 - Noite'!$D$3:$AR$3=R2,'[4]UM-3 - L2 - Noite'!$D$7:$AR$7))</f>
        <v>0</v>
      </c>
      <c r="S44" s="134">
        <f t="array" ref="S44">SUM(IF('[4]UM-3 - L2 - Noite'!$D$3:$AR$3=S2,'[4]UM-3 - L2 - Noite'!$D$7:$AR$7))</f>
        <v>0</v>
      </c>
      <c r="T44" s="134">
        <f t="array" ref="T44">SUM(IF('[4]UM-3 - L2 - Noite'!$D$3:$AR$3=T2,'[4]UM-3 - L2 - Noite'!$D$7:$AR$7))</f>
        <v>0</v>
      </c>
      <c r="U44" s="134">
        <f t="array" ref="U44">SUM(IF('[4]UM-3 - L2 - Noite'!$D$3:$AR$3=U2,'[4]UM-3 - L2 - Noite'!$D$7:$AR$7))</f>
        <v>0</v>
      </c>
      <c r="V44" s="134">
        <f t="array" ref="V44">SUM(IF('[4]UM-3 - L2 - Noite'!$D$3:$AR$3=V2,'[4]UM-3 - L2 - Noite'!$D$7:$AR$7))</f>
        <v>0</v>
      </c>
      <c r="W44" s="134">
        <f t="array" ref="W44">SUM(IF('[4]UM-3 - L2 - Noite'!$D$3:$AR$3=W2,'[4]UM-3 - L2 - Noite'!$D$7:$AR$7))</f>
        <v>0</v>
      </c>
      <c r="X44" s="134">
        <f t="array" ref="X44">SUM(IF('[4]UM-3 - L2 - Noite'!$D$3:$AR$3=X2,'[4]UM-3 - L2 - Noite'!$D$7:$AR$7))</f>
        <v>0</v>
      </c>
      <c r="Y44" s="134">
        <f t="array" ref="Y44">SUM(IF('[4]UM-3 - L2 - Noite'!$D$3:$AR$3=Y2,'[4]UM-3 - L2 - Noite'!$D$7:$AR$7))</f>
        <v>0</v>
      </c>
      <c r="Z44" s="134">
        <f t="array" ref="Z44">SUM(IF('[4]UM-3 - L2 - Noite'!$D$3:$AR$3=Z2,'[4]UM-3 - L2 - Noite'!$D$7:$AR$7))</f>
        <v>0</v>
      </c>
      <c r="AA44" s="134">
        <f t="array" ref="AA44">SUM(IF('[4]UM-3 - L2 - Noite'!$D$3:$AR$3=AA2,'[4]UM-3 - L2 - Noite'!$D$7:$AR$7))</f>
        <v>0</v>
      </c>
      <c r="AB44" s="134">
        <f t="array" ref="AB44">SUM(IF('[4]UM-3 - L2 - Noite'!$D$3:$AR$3=AB2,'[4]UM-3 - L2 - Noite'!$D$7:$AR$7))</f>
        <v>0</v>
      </c>
      <c r="AC44" s="134">
        <f t="array" ref="AC44">SUM(IF('[4]UM-3 - L2 - Noite'!$D$3:$AR$3=AC2,'[4]UM-3 - L2 - Noite'!$D$7:$AR$7))</f>
        <v>0</v>
      </c>
    </row>
  </sheetData>
  <sheetProtection selectLockedCells="1"/>
  <mergeCells count="31">
    <mergeCell ref="J7:J15"/>
    <mergeCell ref="K7:K15"/>
    <mergeCell ref="L7:L15"/>
    <mergeCell ref="M7:M15"/>
    <mergeCell ref="G7:G15"/>
    <mergeCell ref="H7:H15"/>
    <mergeCell ref="I7:I15"/>
    <mergeCell ref="F7:F15"/>
    <mergeCell ref="A7:A15"/>
    <mergeCell ref="B7:B15"/>
    <mergeCell ref="C7:C15"/>
    <mergeCell ref="D7:D15"/>
    <mergeCell ref="E7:E15"/>
    <mergeCell ref="N7:N15"/>
    <mergeCell ref="Y7:Y15"/>
    <mergeCell ref="AE7:AE15"/>
    <mergeCell ref="AF7:AF15"/>
    <mergeCell ref="AG7:AG15"/>
    <mergeCell ref="AD7:AD15"/>
    <mergeCell ref="AB1:AC1"/>
    <mergeCell ref="AB7:AB15"/>
    <mergeCell ref="AC7:AC15"/>
    <mergeCell ref="R7:R15"/>
    <mergeCell ref="S7:S15"/>
    <mergeCell ref="T7:T15"/>
    <mergeCell ref="U7:U15"/>
    <mergeCell ref="Z7:Z15"/>
    <mergeCell ref="AA7:AA15"/>
    <mergeCell ref="V7:V15"/>
    <mergeCell ref="W7:W15"/>
    <mergeCell ref="X7:X15"/>
  </mergeCells>
  <phoneticPr fontId="0" type="noConversion"/>
  <conditionalFormatting sqref="AD28">
    <cfRule type="cellIs" dxfId="5" priority="7" stopIfTrue="1" operator="notEqual">
      <formula>SUM($AD$16:$AD$21,$AD$23:$AD$25)</formula>
    </cfRule>
  </conditionalFormatting>
  <conditionalFormatting sqref="K22:AD22 B22:H22">
    <cfRule type="cellIs" dxfId="4" priority="8" stopIfTrue="1" operator="notEqual">
      <formula>B$4-B$5</formula>
    </cfRule>
  </conditionalFormatting>
  <conditionalFormatting sqref="B27:AD27">
    <cfRule type="cellIs" dxfId="3" priority="9" stopIfTrue="1" operator="notEqual">
      <formula>B$5-B$6-B$26</formula>
    </cfRule>
  </conditionalFormatting>
  <conditionalFormatting sqref="I22:J22">
    <cfRule type="cellIs" dxfId="2" priority="17" stopIfTrue="1" operator="notEqual">
      <formula>I$4-I$5</formula>
    </cfRule>
  </conditionalFormatting>
  <conditionalFormatting sqref="B6:AC6">
    <cfRule type="expression" dxfId="1" priority="1">
      <formula>B$6&lt;&gt;B$44</formula>
    </cfRule>
    <cfRule type="expression" dxfId="0" priority="3">
      <formula>B$6&lt;&gt;B$43</formula>
    </cfRule>
  </conditionalFormatting>
  <dataValidations count="1">
    <dataValidation type="date" allowBlank="1" showInputMessage="1" showErrorMessage="1" promptTitle="Data:" prompt="Favor digitar uma data válida contendo pelo menos dia/mês." sqref="B2:AC2" xr:uid="{00000000-0002-0000-0400-000000000000}">
      <formula1>44287</formula1>
      <formula2>44651</formula2>
    </dataValidation>
  </dataValidations>
  <printOptions horizontalCentered="1" gridLines="1" gridLinesSet="0"/>
  <pageMargins left="0.39370078740157483" right="0.39370078740157483" top="0.78740157480314965" bottom="0.39370078740157483" header="0.27559055118110237" footer="0.19685039370078741"/>
  <pageSetup paperSize="9" scale="59" orientation="landscape" r:id="rId1"/>
  <headerFooter alignWithMargins="0">
    <oddFooter>&amp;RSJCPIL-R 16-316-02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>
                <anchor moveWithCells="1">
                  <from>
                    <xdr:col>25</xdr:col>
                    <xdr:colOff>19050</xdr:colOff>
                    <xdr:row>0</xdr:row>
                    <xdr:rowOff>19050</xdr:rowOff>
                  </from>
                  <to>
                    <xdr:col>26</xdr:col>
                    <xdr:colOff>409575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2">
              <controlPr defaultSize="0" autoFill="0" autoLine="0" autoPict="0">
                <anchor moveWithCells="1">
                  <from>
                    <xdr:col>25</xdr:col>
                    <xdr:colOff>19050</xdr:colOff>
                    <xdr:row>0</xdr:row>
                    <xdr:rowOff>190500</xdr:rowOff>
                  </from>
                  <to>
                    <xdr:col>26</xdr:col>
                    <xdr:colOff>409575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U27"/>
  <sheetViews>
    <sheetView zoomScaleNormal="100" workbookViewId="0">
      <selection activeCell="AD4" sqref="AD4"/>
    </sheetView>
  </sheetViews>
  <sheetFormatPr defaultRowHeight="12.75"/>
  <cols>
    <col min="2" max="2" width="25.140625" bestFit="1" customWidth="1"/>
    <col min="8" max="8" width="11.140625" bestFit="1" customWidth="1"/>
    <col min="12" max="12" width="29.42578125" customWidth="1"/>
  </cols>
  <sheetData>
    <row r="1" spans="1:21">
      <c r="C1" s="43" t="s">
        <v>36</v>
      </c>
      <c r="D1" s="43" t="s">
        <v>40</v>
      </c>
      <c r="E1" s="43" t="s">
        <v>42</v>
      </c>
    </row>
    <row r="3" spans="1:21" ht="13.5" thickBot="1">
      <c r="C3" s="44">
        <f>'LINHA 1-D'!AD6</f>
        <v>0</v>
      </c>
      <c r="D3" s="44">
        <f>PROD_L1N</f>
        <v>0</v>
      </c>
      <c r="E3" s="44">
        <f>D3+C3</f>
        <v>0</v>
      </c>
      <c r="F3" s="44"/>
      <c r="M3" t="s">
        <v>46</v>
      </c>
      <c r="N3" t="s">
        <v>44</v>
      </c>
      <c r="O3" t="s">
        <v>45</v>
      </c>
      <c r="P3" t="s">
        <v>43</v>
      </c>
      <c r="Q3" t="s">
        <v>47</v>
      </c>
      <c r="U3" s="36"/>
    </row>
    <row r="4" spans="1:21" ht="12.75" customHeight="1">
      <c r="A4" s="45">
        <v>1</v>
      </c>
      <c r="B4" s="46" t="s">
        <v>16</v>
      </c>
      <c r="C4" s="44">
        <f>'LINHA 1-D'!AD16</f>
        <v>0</v>
      </c>
      <c r="D4" s="44">
        <f>'LINHA 1-N'!AD16</f>
        <v>0</v>
      </c>
      <c r="E4" s="44">
        <f t="shared" ref="E4:E13" si="0">D4+C4</f>
        <v>0</v>
      </c>
      <c r="F4" s="44" t="e">
        <f>E4/E$3*1000000</f>
        <v>#DIV/0!</v>
      </c>
      <c r="H4" s="44">
        <f>E4*10000+A4</f>
        <v>1</v>
      </c>
      <c r="I4">
        <f>LARGE(H$4:H$12,A4)</f>
        <v>9</v>
      </c>
      <c r="J4">
        <f>MATCH(I4,H$4:H$12,0)</f>
        <v>9</v>
      </c>
      <c r="L4" t="str">
        <f>VLOOKUP(J4,A$4:F$12,2,TRUE)</f>
        <v>CAP</v>
      </c>
      <c r="M4" s="36" t="e">
        <f>VLOOKUP(J4,A$4:F$12,6,FALSE)</f>
        <v>#DIV/0!</v>
      </c>
      <c r="N4" s="36">
        <f>VLOOKUP(J4,A$4:E$12,5,FALSE)</f>
        <v>0</v>
      </c>
      <c r="O4" s="36">
        <f>N4</f>
        <v>0</v>
      </c>
      <c r="P4" s="36" t="e">
        <f>O4/O$12*100</f>
        <v>#DIV/0!</v>
      </c>
      <c r="Q4" s="36" t="e">
        <f t="shared" ref="Q4:Q12" si="1">IF(($F$13&gt;TARGET_L1)*(P4&lt;=80),0,M4)</f>
        <v>#DIV/0!</v>
      </c>
    </row>
    <row r="5" spans="1:21">
      <c r="A5" s="47">
        <v>2</v>
      </c>
      <c r="B5" s="48" t="s">
        <v>17</v>
      </c>
      <c r="C5" s="44">
        <f>'LINHA 1-D'!AD17</f>
        <v>0</v>
      </c>
      <c r="D5" s="44">
        <f>'LINHA 1-N'!AD17</f>
        <v>0</v>
      </c>
      <c r="E5" s="44">
        <f t="shared" si="0"/>
        <v>0</v>
      </c>
      <c r="F5" s="44" t="e">
        <f t="shared" ref="F5:F13" si="2">E5/E$3*1000000</f>
        <v>#DIV/0!</v>
      </c>
      <c r="H5" s="44">
        <f t="shared" ref="H5:H12" si="3">E5*10000+A5</f>
        <v>2</v>
      </c>
      <c r="I5">
        <f>LARGE(H$4:H$12,A5)</f>
        <v>8</v>
      </c>
      <c r="J5">
        <f>MATCH(I5,H$4:H$12,0)</f>
        <v>8</v>
      </c>
      <c r="L5" t="str">
        <f>VLOOKUP(J5,A$4:F$12,2,TRUE)</f>
        <v>ENCOLHIMENTO</v>
      </c>
      <c r="M5" s="36" t="e">
        <f t="shared" ref="M5:M12" si="4">VLOOKUP(J5,A$4:F$12,6,FALSE)</f>
        <v>#DIV/0!</v>
      </c>
      <c r="N5" s="36">
        <f t="shared" ref="N5:N12" si="5">VLOOKUP(J5,A$4:E$12,5,FALSE)</f>
        <v>0</v>
      </c>
      <c r="O5" s="36">
        <f>N5+O4</f>
        <v>0</v>
      </c>
      <c r="P5" s="36" t="e">
        <f>O5/O$12*100</f>
        <v>#DIV/0!</v>
      </c>
      <c r="Q5" s="36" t="e">
        <f t="shared" si="1"/>
        <v>#DIV/0!</v>
      </c>
    </row>
    <row r="6" spans="1:21">
      <c r="A6" s="47">
        <v>3</v>
      </c>
      <c r="B6" s="48" t="s">
        <v>18</v>
      </c>
      <c r="C6" s="44">
        <f>'LINHA 1-D'!AD18</f>
        <v>0</v>
      </c>
      <c r="D6" s="44">
        <f>'LINHA 1-N'!AD18</f>
        <v>0</v>
      </c>
      <c r="E6" s="44">
        <f t="shared" si="0"/>
        <v>0</v>
      </c>
      <c r="F6" s="44" t="e">
        <f t="shared" si="2"/>
        <v>#DIV/0!</v>
      </c>
      <c r="H6" s="44">
        <f t="shared" si="3"/>
        <v>3</v>
      </c>
      <c r="I6">
        <f>LARGE(H$4:H$12,A6)</f>
        <v>7</v>
      </c>
      <c r="J6">
        <f>MATCH(I6,H$4:H$12,0)</f>
        <v>7</v>
      </c>
      <c r="L6" t="str">
        <f>VLOOKUP(J6,A$4:F$12,2,TRUE)</f>
        <v>PVC</v>
      </c>
      <c r="M6" s="36" t="e">
        <f t="shared" si="4"/>
        <v>#DIV/0!</v>
      </c>
      <c r="N6" s="36">
        <f t="shared" si="5"/>
        <v>0</v>
      </c>
      <c r="O6" s="36">
        <f>N6+O5</f>
        <v>0</v>
      </c>
      <c r="P6" s="36" t="e">
        <f>O6/O$12*100</f>
        <v>#DIV/0!</v>
      </c>
      <c r="Q6" s="36" t="e">
        <f t="shared" si="1"/>
        <v>#DIV/0!</v>
      </c>
    </row>
    <row r="7" spans="1:21">
      <c r="A7" s="47">
        <v>4</v>
      </c>
      <c r="B7" s="48" t="s">
        <v>21</v>
      </c>
      <c r="C7" s="44">
        <f>'LINHA 1-D'!AD19</f>
        <v>0</v>
      </c>
      <c r="D7" s="44">
        <f>'LINHA 1-N'!AD19</f>
        <v>0</v>
      </c>
      <c r="E7" s="44">
        <f t="shared" si="0"/>
        <v>0</v>
      </c>
      <c r="F7" s="44" t="e">
        <f t="shared" si="2"/>
        <v>#DIV/0!</v>
      </c>
      <c r="H7" s="44">
        <f t="shared" si="3"/>
        <v>4</v>
      </c>
      <c r="I7">
        <f t="shared" ref="I7:I12" si="6">LARGE(H$4:H$12,A7)</f>
        <v>6</v>
      </c>
      <c r="J7">
        <f t="shared" ref="J7:J12" si="7">MATCH(I7,H$4:H$12,0)</f>
        <v>6</v>
      </c>
      <c r="L7" t="str">
        <f t="shared" ref="L7:L12" si="8">VLOOKUP(J7,A$4:F$12,2,TRUE)</f>
        <v>PY</v>
      </c>
      <c r="M7" s="36" t="e">
        <f t="shared" si="4"/>
        <v>#DIV/0!</v>
      </c>
      <c r="N7" s="36">
        <f t="shared" si="5"/>
        <v>0</v>
      </c>
      <c r="O7" s="36">
        <f t="shared" ref="O7:O12" si="9">N7+O6</f>
        <v>0</v>
      </c>
      <c r="P7" s="36" t="e">
        <f t="shared" ref="P7:P12" si="10">O7/O$12*100</f>
        <v>#DIV/0!</v>
      </c>
      <c r="Q7" s="36" t="e">
        <f t="shared" si="1"/>
        <v>#DIV/0!</v>
      </c>
    </row>
    <row r="8" spans="1:21">
      <c r="A8" s="47">
        <v>5</v>
      </c>
      <c r="B8" s="48" t="s">
        <v>19</v>
      </c>
      <c r="C8" s="44">
        <f>'LINHA 1-D'!AD20</f>
        <v>0</v>
      </c>
      <c r="D8" s="44">
        <f>'LINHA 1-N'!AD20</f>
        <v>0</v>
      </c>
      <c r="E8" s="44">
        <f t="shared" si="0"/>
        <v>0</v>
      </c>
      <c r="F8" s="44" t="e">
        <f t="shared" si="2"/>
        <v>#DIV/0!</v>
      </c>
      <c r="H8" s="44">
        <f t="shared" si="3"/>
        <v>5</v>
      </c>
      <c r="I8">
        <f t="shared" si="6"/>
        <v>5</v>
      </c>
      <c r="J8">
        <f t="shared" si="7"/>
        <v>5</v>
      </c>
      <c r="L8" t="str">
        <f t="shared" si="8"/>
        <v>EVERTACK</v>
      </c>
      <c r="M8" s="36" t="e">
        <f t="shared" si="4"/>
        <v>#DIV/0!</v>
      </c>
      <c r="N8" s="36">
        <f t="shared" si="5"/>
        <v>0</v>
      </c>
      <c r="O8" s="36">
        <f t="shared" si="9"/>
        <v>0</v>
      </c>
      <c r="P8" s="36" t="e">
        <f t="shared" si="10"/>
        <v>#DIV/0!</v>
      </c>
      <c r="Q8" s="36" t="e">
        <f t="shared" si="1"/>
        <v>#DIV/0!</v>
      </c>
    </row>
    <row r="9" spans="1:21" ht="12.75" customHeight="1">
      <c r="A9" s="47">
        <v>6</v>
      </c>
      <c r="B9" s="48" t="s">
        <v>20</v>
      </c>
      <c r="C9" s="44">
        <f>'LINHA 1-D'!AD21</f>
        <v>0</v>
      </c>
      <c r="D9" s="44">
        <f>'LINHA 1-N'!AD21</f>
        <v>0</v>
      </c>
      <c r="E9" s="44">
        <f t="shared" si="0"/>
        <v>0</v>
      </c>
      <c r="F9" s="44" t="e">
        <f t="shared" si="2"/>
        <v>#DIV/0!</v>
      </c>
      <c r="H9" s="44">
        <f t="shared" si="3"/>
        <v>6</v>
      </c>
      <c r="I9">
        <f t="shared" si="6"/>
        <v>4</v>
      </c>
      <c r="J9">
        <f t="shared" si="7"/>
        <v>4</v>
      </c>
      <c r="L9" t="str">
        <f t="shared" si="8"/>
        <v>TUBO C/ BOCA AMASSADA</v>
      </c>
      <c r="M9" s="36" t="e">
        <f t="shared" si="4"/>
        <v>#DIV/0!</v>
      </c>
      <c r="N9" s="36">
        <f t="shared" si="5"/>
        <v>0</v>
      </c>
      <c r="O9" s="36">
        <f t="shared" si="9"/>
        <v>0</v>
      </c>
      <c r="P9" s="36" t="e">
        <f t="shared" si="10"/>
        <v>#DIV/0!</v>
      </c>
      <c r="Q9" s="36" t="e">
        <f t="shared" si="1"/>
        <v>#DIV/0!</v>
      </c>
    </row>
    <row r="10" spans="1:21">
      <c r="A10" s="47">
        <v>7</v>
      </c>
      <c r="B10" s="48" t="s">
        <v>22</v>
      </c>
      <c r="C10" s="44">
        <f>'LINHA 1-D'!AD23</f>
        <v>0</v>
      </c>
      <c r="D10" s="44">
        <f>'LINHA 1-N'!AD23</f>
        <v>0</v>
      </c>
      <c r="E10" s="44">
        <f t="shared" si="0"/>
        <v>0</v>
      </c>
      <c r="F10" s="44" t="e">
        <f t="shared" si="2"/>
        <v>#DIV/0!</v>
      </c>
      <c r="H10" s="44">
        <f t="shared" si="3"/>
        <v>7</v>
      </c>
      <c r="I10">
        <f t="shared" si="6"/>
        <v>3</v>
      </c>
      <c r="J10">
        <f t="shared" si="7"/>
        <v>3</v>
      </c>
      <c r="L10" t="str">
        <f t="shared" si="8"/>
        <v>CARVÃO</v>
      </c>
      <c r="M10" s="36" t="e">
        <f t="shared" si="4"/>
        <v>#DIV/0!</v>
      </c>
      <c r="N10" s="36">
        <f t="shared" si="5"/>
        <v>0</v>
      </c>
      <c r="O10" s="36">
        <f t="shared" si="9"/>
        <v>0</v>
      </c>
      <c r="P10" s="36" t="e">
        <f t="shared" si="10"/>
        <v>#DIV/0!</v>
      </c>
      <c r="Q10" s="36" t="e">
        <f t="shared" si="1"/>
        <v>#DIV/0!</v>
      </c>
    </row>
    <row r="11" spans="1:21">
      <c r="A11" s="47">
        <v>8</v>
      </c>
      <c r="B11" s="48" t="s">
        <v>23</v>
      </c>
      <c r="C11" s="44">
        <f>'LINHA 1-D'!AD24</f>
        <v>0</v>
      </c>
      <c r="D11" s="44">
        <f>'LINHA 1-N'!AD24</f>
        <v>0</v>
      </c>
      <c r="E11" s="44">
        <f t="shared" si="0"/>
        <v>0</v>
      </c>
      <c r="F11" s="44" t="e">
        <f t="shared" si="2"/>
        <v>#DIV/0!</v>
      </c>
      <c r="H11" s="44">
        <f t="shared" si="3"/>
        <v>8</v>
      </c>
      <c r="I11">
        <f t="shared" si="6"/>
        <v>2</v>
      </c>
      <c r="J11">
        <f t="shared" si="7"/>
        <v>2</v>
      </c>
      <c r="L11" t="str">
        <f t="shared" si="8"/>
        <v>ISOL. SUPERIOR</v>
      </c>
      <c r="M11" s="36" t="e">
        <f t="shared" si="4"/>
        <v>#DIV/0!</v>
      </c>
      <c r="N11" s="36">
        <f t="shared" si="5"/>
        <v>0</v>
      </c>
      <c r="O11" s="36">
        <f t="shared" si="9"/>
        <v>0</v>
      </c>
      <c r="P11" s="36" t="e">
        <f t="shared" si="10"/>
        <v>#DIV/0!</v>
      </c>
      <c r="Q11" s="36" t="e">
        <f t="shared" si="1"/>
        <v>#DIV/0!</v>
      </c>
    </row>
    <row r="12" spans="1:21" ht="13.5" thickBot="1">
      <c r="A12" s="47">
        <v>9</v>
      </c>
      <c r="B12" s="48" t="s">
        <v>2</v>
      </c>
      <c r="C12" s="44">
        <f>'LINHA 1-D'!AD25</f>
        <v>0</v>
      </c>
      <c r="D12" s="44">
        <f>'LINHA 1-N'!AD25</f>
        <v>0</v>
      </c>
      <c r="E12" s="44">
        <f t="shared" si="0"/>
        <v>0</v>
      </c>
      <c r="F12" s="44" t="e">
        <f t="shared" si="2"/>
        <v>#DIV/0!</v>
      </c>
      <c r="H12" s="44">
        <f t="shared" si="3"/>
        <v>9</v>
      </c>
      <c r="I12">
        <f t="shared" si="6"/>
        <v>1</v>
      </c>
      <c r="J12">
        <f t="shared" si="7"/>
        <v>1</v>
      </c>
      <c r="L12" t="str">
        <f t="shared" si="8"/>
        <v>TAMPÃO</v>
      </c>
      <c r="M12" s="36" t="e">
        <f t="shared" si="4"/>
        <v>#DIV/0!</v>
      </c>
      <c r="N12" s="36">
        <f t="shared" si="5"/>
        <v>0</v>
      </c>
      <c r="O12" s="36">
        <f t="shared" si="9"/>
        <v>0</v>
      </c>
      <c r="P12" s="36" t="e">
        <f t="shared" si="10"/>
        <v>#DIV/0!</v>
      </c>
      <c r="Q12" s="36" t="e">
        <f t="shared" si="1"/>
        <v>#DIV/0!</v>
      </c>
    </row>
    <row r="13" spans="1:21">
      <c r="A13" s="151" t="s">
        <v>3</v>
      </c>
      <c r="B13" s="152"/>
      <c r="C13" s="44">
        <f>FALHAS_L1D</f>
        <v>0</v>
      </c>
      <c r="D13" s="44">
        <f>FALHAS_L1N</f>
        <v>0</v>
      </c>
      <c r="E13" s="44">
        <f t="shared" si="0"/>
        <v>0</v>
      </c>
      <c r="F13" s="44" t="e">
        <f t="shared" si="2"/>
        <v>#DIV/0!</v>
      </c>
      <c r="M13" s="36"/>
    </row>
    <row r="15" spans="1:21">
      <c r="C15" s="43" t="s">
        <v>37</v>
      </c>
      <c r="D15" s="43" t="s">
        <v>41</v>
      </c>
      <c r="E15" s="43"/>
    </row>
    <row r="17" spans="1:17" ht="13.5" thickBot="1">
      <c r="C17" s="44">
        <f>PROD_L2D</f>
        <v>0</v>
      </c>
      <c r="D17" s="44">
        <f>PROD_L2N</f>
        <v>0</v>
      </c>
      <c r="E17" s="44">
        <f>C17+D17</f>
        <v>0</v>
      </c>
    </row>
    <row r="18" spans="1:17" ht="12.75" customHeight="1">
      <c r="A18" s="45">
        <v>1</v>
      </c>
      <c r="B18" s="46" t="s">
        <v>16</v>
      </c>
      <c r="C18" s="44">
        <f>'LINHA 2-D'!AD16</f>
        <v>0</v>
      </c>
      <c r="D18" s="44">
        <f>'LINHA 2-N'!AD16</f>
        <v>0</v>
      </c>
      <c r="E18" s="44">
        <f t="shared" ref="E18:E27" si="11">C18+D18</f>
        <v>0</v>
      </c>
      <c r="F18" s="44" t="e">
        <f>E18/E$17*1000000</f>
        <v>#DIV/0!</v>
      </c>
      <c r="H18" s="44">
        <f>E18*10000+A18</f>
        <v>1</v>
      </c>
      <c r="I18">
        <f t="shared" ref="I18:I26" si="12">LARGE(H$18:H$26,A18)</f>
        <v>9</v>
      </c>
      <c r="J18">
        <f t="shared" ref="J18:J26" si="13">MATCH(I18,H$18:H$26,0)</f>
        <v>9</v>
      </c>
      <c r="L18" t="str">
        <f t="shared" ref="L18:L26" si="14">VLOOKUP(J18,A$18:F$26,2,TRUE)</f>
        <v>CAP</v>
      </c>
      <c r="M18" s="36" t="e">
        <f>VLOOKUP(J18,A$18:F$26,6,FALSE)</f>
        <v>#DIV/0!</v>
      </c>
      <c r="N18" s="36">
        <f>VLOOKUP(J18,A$18:E$26,5,FALSE)</f>
        <v>0</v>
      </c>
      <c r="O18" s="36">
        <f t="shared" ref="O18:O26" si="15">N18+O17</f>
        <v>0</v>
      </c>
      <c r="P18" s="36" t="e">
        <f t="shared" ref="P18:P26" si="16">O18/O$26*100</f>
        <v>#DIV/0!</v>
      </c>
      <c r="Q18" s="36" t="e">
        <f t="shared" ref="Q18:Q26" si="17">IF(($F$27&gt;TARGET_L2)*(P18&lt;=80),0,M18)</f>
        <v>#DIV/0!</v>
      </c>
    </row>
    <row r="19" spans="1:17">
      <c r="A19" s="47">
        <v>2</v>
      </c>
      <c r="B19" s="48" t="s">
        <v>17</v>
      </c>
      <c r="C19" s="44">
        <f>'LINHA 2-D'!AD17</f>
        <v>0</v>
      </c>
      <c r="D19" s="44">
        <f>'LINHA 2-N'!AD17</f>
        <v>0</v>
      </c>
      <c r="E19" s="44">
        <f t="shared" si="11"/>
        <v>0</v>
      </c>
      <c r="F19" s="44" t="e">
        <f t="shared" ref="F19:F27" si="18">E19/E$17*1000000</f>
        <v>#DIV/0!</v>
      </c>
      <c r="H19" s="44">
        <f t="shared" ref="H19:H26" si="19">E19*10000+A19</f>
        <v>2</v>
      </c>
      <c r="I19">
        <f t="shared" si="12"/>
        <v>8</v>
      </c>
      <c r="J19">
        <f t="shared" si="13"/>
        <v>8</v>
      </c>
      <c r="L19" t="str">
        <f t="shared" si="14"/>
        <v>ENCOLHIMENTO</v>
      </c>
      <c r="M19" s="36" t="e">
        <f t="shared" ref="M19:M26" si="20">VLOOKUP(J19,A$18:F$26,6,FALSE)</f>
        <v>#DIV/0!</v>
      </c>
      <c r="N19" s="36">
        <f t="shared" ref="N19:N26" si="21">VLOOKUP(J19,A$18:E$26,5,FALSE)</f>
        <v>0</v>
      </c>
      <c r="O19" s="36">
        <f t="shared" si="15"/>
        <v>0</v>
      </c>
      <c r="P19" s="36" t="e">
        <f t="shared" si="16"/>
        <v>#DIV/0!</v>
      </c>
      <c r="Q19" s="36" t="e">
        <f t="shared" si="17"/>
        <v>#DIV/0!</v>
      </c>
    </row>
    <row r="20" spans="1:17">
      <c r="A20" s="47">
        <v>3</v>
      </c>
      <c r="B20" s="48" t="s">
        <v>18</v>
      </c>
      <c r="C20" s="44">
        <f>'LINHA 2-D'!AD18</f>
        <v>0</v>
      </c>
      <c r="D20" s="44">
        <f>'LINHA 2-N'!AD18</f>
        <v>0</v>
      </c>
      <c r="E20" s="44">
        <f t="shared" si="11"/>
        <v>0</v>
      </c>
      <c r="F20" s="44" t="e">
        <f t="shared" si="18"/>
        <v>#DIV/0!</v>
      </c>
      <c r="H20" s="44">
        <f t="shared" si="19"/>
        <v>3</v>
      </c>
      <c r="I20">
        <f t="shared" si="12"/>
        <v>7</v>
      </c>
      <c r="J20">
        <f t="shared" si="13"/>
        <v>7</v>
      </c>
      <c r="L20" t="str">
        <f t="shared" si="14"/>
        <v>PVC</v>
      </c>
      <c r="M20" s="36" t="e">
        <f t="shared" si="20"/>
        <v>#DIV/0!</v>
      </c>
      <c r="N20" s="36">
        <f t="shared" si="21"/>
        <v>0</v>
      </c>
      <c r="O20" s="36">
        <f t="shared" si="15"/>
        <v>0</v>
      </c>
      <c r="P20" s="36" t="e">
        <f t="shared" si="16"/>
        <v>#DIV/0!</v>
      </c>
      <c r="Q20" s="36" t="e">
        <f t="shared" si="17"/>
        <v>#DIV/0!</v>
      </c>
    </row>
    <row r="21" spans="1:17">
      <c r="A21" s="47">
        <v>4</v>
      </c>
      <c r="B21" s="48" t="s">
        <v>21</v>
      </c>
      <c r="C21" s="44">
        <f>'LINHA 2-D'!AD19</f>
        <v>0</v>
      </c>
      <c r="D21" s="44">
        <f>'LINHA 2-N'!AD19</f>
        <v>0</v>
      </c>
      <c r="E21" s="44">
        <f t="shared" si="11"/>
        <v>0</v>
      </c>
      <c r="F21" s="44" t="e">
        <f t="shared" si="18"/>
        <v>#DIV/0!</v>
      </c>
      <c r="H21" s="44">
        <f t="shared" si="19"/>
        <v>4</v>
      </c>
      <c r="I21">
        <f t="shared" si="12"/>
        <v>6</v>
      </c>
      <c r="J21">
        <f t="shared" si="13"/>
        <v>6</v>
      </c>
      <c r="L21" t="str">
        <f t="shared" si="14"/>
        <v>PY</v>
      </c>
      <c r="M21" s="36" t="e">
        <f t="shared" si="20"/>
        <v>#DIV/0!</v>
      </c>
      <c r="N21" s="36">
        <f t="shared" si="21"/>
        <v>0</v>
      </c>
      <c r="O21" s="36">
        <f t="shared" si="15"/>
        <v>0</v>
      </c>
      <c r="P21" s="36" t="e">
        <f t="shared" si="16"/>
        <v>#DIV/0!</v>
      </c>
      <c r="Q21" s="36" t="e">
        <f t="shared" si="17"/>
        <v>#DIV/0!</v>
      </c>
    </row>
    <row r="22" spans="1:17">
      <c r="A22" s="47">
        <v>5</v>
      </c>
      <c r="B22" s="48" t="s">
        <v>19</v>
      </c>
      <c r="C22" s="44">
        <f>'LINHA 2-D'!AD20</f>
        <v>0</v>
      </c>
      <c r="D22" s="44">
        <f>'LINHA 2-N'!AD20</f>
        <v>0</v>
      </c>
      <c r="E22" s="44">
        <f t="shared" si="11"/>
        <v>0</v>
      </c>
      <c r="F22" s="44" t="e">
        <f t="shared" si="18"/>
        <v>#DIV/0!</v>
      </c>
      <c r="H22" s="44">
        <f t="shared" si="19"/>
        <v>5</v>
      </c>
      <c r="I22">
        <f t="shared" si="12"/>
        <v>5</v>
      </c>
      <c r="J22">
        <f t="shared" si="13"/>
        <v>5</v>
      </c>
      <c r="L22" t="str">
        <f t="shared" si="14"/>
        <v>EVERTACK</v>
      </c>
      <c r="M22" s="36" t="e">
        <f t="shared" si="20"/>
        <v>#DIV/0!</v>
      </c>
      <c r="N22" s="36">
        <f t="shared" si="21"/>
        <v>0</v>
      </c>
      <c r="O22" s="36">
        <f t="shared" si="15"/>
        <v>0</v>
      </c>
      <c r="P22" s="36" t="e">
        <f t="shared" si="16"/>
        <v>#DIV/0!</v>
      </c>
      <c r="Q22" s="36" t="e">
        <f t="shared" si="17"/>
        <v>#DIV/0!</v>
      </c>
    </row>
    <row r="23" spans="1:17" ht="12.75" customHeight="1">
      <c r="A23" s="47">
        <v>6</v>
      </c>
      <c r="B23" s="48" t="s">
        <v>20</v>
      </c>
      <c r="C23" s="44">
        <f>'LINHA 2-D'!AD21</f>
        <v>0</v>
      </c>
      <c r="D23" s="44">
        <f>'LINHA 2-N'!AD21</f>
        <v>0</v>
      </c>
      <c r="E23" s="44">
        <f t="shared" si="11"/>
        <v>0</v>
      </c>
      <c r="F23" s="44" t="e">
        <f t="shared" si="18"/>
        <v>#DIV/0!</v>
      </c>
      <c r="H23" s="44">
        <f t="shared" si="19"/>
        <v>6</v>
      </c>
      <c r="I23">
        <f t="shared" si="12"/>
        <v>4</v>
      </c>
      <c r="J23">
        <f t="shared" si="13"/>
        <v>4</v>
      </c>
      <c r="L23" t="str">
        <f t="shared" si="14"/>
        <v>TUBO C/ BOCA AMASSADA</v>
      </c>
      <c r="M23" s="36" t="e">
        <f t="shared" si="20"/>
        <v>#DIV/0!</v>
      </c>
      <c r="N23" s="36">
        <f t="shared" si="21"/>
        <v>0</v>
      </c>
      <c r="O23" s="36">
        <f t="shared" si="15"/>
        <v>0</v>
      </c>
      <c r="P23" s="36" t="e">
        <f t="shared" si="16"/>
        <v>#DIV/0!</v>
      </c>
      <c r="Q23" s="36" t="e">
        <f t="shared" si="17"/>
        <v>#DIV/0!</v>
      </c>
    </row>
    <row r="24" spans="1:17">
      <c r="A24" s="47">
        <v>7</v>
      </c>
      <c r="B24" s="48" t="s">
        <v>22</v>
      </c>
      <c r="C24" s="44">
        <f>'LINHA 2-D'!AD23</f>
        <v>0</v>
      </c>
      <c r="D24" s="44">
        <f>'LINHA 2-N'!AD23</f>
        <v>0</v>
      </c>
      <c r="E24" s="44">
        <f t="shared" si="11"/>
        <v>0</v>
      </c>
      <c r="F24" s="44" t="e">
        <f t="shared" si="18"/>
        <v>#DIV/0!</v>
      </c>
      <c r="H24" s="44">
        <f t="shared" si="19"/>
        <v>7</v>
      </c>
      <c r="I24">
        <f t="shared" si="12"/>
        <v>3</v>
      </c>
      <c r="J24">
        <f t="shared" si="13"/>
        <v>3</v>
      </c>
      <c r="L24" t="str">
        <f t="shared" si="14"/>
        <v>CARVÃO</v>
      </c>
      <c r="M24" s="36" t="e">
        <f t="shared" si="20"/>
        <v>#DIV/0!</v>
      </c>
      <c r="N24" s="36">
        <f t="shared" si="21"/>
        <v>0</v>
      </c>
      <c r="O24" s="36">
        <f t="shared" si="15"/>
        <v>0</v>
      </c>
      <c r="P24" s="36" t="e">
        <f t="shared" si="16"/>
        <v>#DIV/0!</v>
      </c>
      <c r="Q24" s="36" t="e">
        <f t="shared" si="17"/>
        <v>#DIV/0!</v>
      </c>
    </row>
    <row r="25" spans="1:17">
      <c r="A25" s="47">
        <v>8</v>
      </c>
      <c r="B25" s="48" t="s">
        <v>23</v>
      </c>
      <c r="C25" s="44">
        <f>'LINHA 2-D'!AD24</f>
        <v>0</v>
      </c>
      <c r="D25" s="44">
        <f>'LINHA 2-N'!AD24</f>
        <v>0</v>
      </c>
      <c r="E25" s="44">
        <f t="shared" si="11"/>
        <v>0</v>
      </c>
      <c r="F25" s="44" t="e">
        <f t="shared" si="18"/>
        <v>#DIV/0!</v>
      </c>
      <c r="H25" s="44">
        <f t="shared" si="19"/>
        <v>8</v>
      </c>
      <c r="I25">
        <f t="shared" si="12"/>
        <v>2</v>
      </c>
      <c r="J25">
        <f t="shared" si="13"/>
        <v>2</v>
      </c>
      <c r="L25" t="str">
        <f t="shared" si="14"/>
        <v>ISOL. SUPERIOR</v>
      </c>
      <c r="M25" s="36" t="e">
        <f t="shared" si="20"/>
        <v>#DIV/0!</v>
      </c>
      <c r="N25" s="36">
        <f t="shared" si="21"/>
        <v>0</v>
      </c>
      <c r="O25" s="36">
        <f t="shared" si="15"/>
        <v>0</v>
      </c>
      <c r="P25" s="36" t="e">
        <f t="shared" si="16"/>
        <v>#DIV/0!</v>
      </c>
      <c r="Q25" s="36" t="e">
        <f t="shared" si="17"/>
        <v>#DIV/0!</v>
      </c>
    </row>
    <row r="26" spans="1:17" ht="13.5" thickBot="1">
      <c r="A26" s="47">
        <v>9</v>
      </c>
      <c r="B26" s="48" t="s">
        <v>2</v>
      </c>
      <c r="C26" s="44">
        <f>'LINHA 2-D'!AD25</f>
        <v>0</v>
      </c>
      <c r="D26" s="44">
        <f>'LINHA 2-N'!AD25</f>
        <v>0</v>
      </c>
      <c r="E26" s="44">
        <f t="shared" si="11"/>
        <v>0</v>
      </c>
      <c r="F26" s="44" t="e">
        <f t="shared" si="18"/>
        <v>#DIV/0!</v>
      </c>
      <c r="H26" s="44">
        <f t="shared" si="19"/>
        <v>9</v>
      </c>
      <c r="I26">
        <f t="shared" si="12"/>
        <v>1</v>
      </c>
      <c r="J26">
        <f t="shared" si="13"/>
        <v>1</v>
      </c>
      <c r="L26" t="str">
        <f t="shared" si="14"/>
        <v>TAMPÃO</v>
      </c>
      <c r="M26" s="36" t="e">
        <f t="shared" si="20"/>
        <v>#DIV/0!</v>
      </c>
      <c r="N26" s="36">
        <f t="shared" si="21"/>
        <v>0</v>
      </c>
      <c r="O26" s="36">
        <f t="shared" si="15"/>
        <v>0</v>
      </c>
      <c r="P26" s="36" t="e">
        <f t="shared" si="16"/>
        <v>#DIV/0!</v>
      </c>
      <c r="Q26" s="36" t="e">
        <f t="shared" si="17"/>
        <v>#DIV/0!</v>
      </c>
    </row>
    <row r="27" spans="1:17">
      <c r="A27" s="151" t="s">
        <v>3</v>
      </c>
      <c r="B27" s="152"/>
      <c r="C27" s="44">
        <f>FALHAS_L2D</f>
        <v>0</v>
      </c>
      <c r="D27" s="44">
        <f>'LINHA 2-N'!AD26</f>
        <v>0</v>
      </c>
      <c r="E27" s="44">
        <f t="shared" si="11"/>
        <v>0</v>
      </c>
      <c r="F27" s="44" t="e">
        <f t="shared" si="18"/>
        <v>#DIV/0!</v>
      </c>
      <c r="H27" s="44"/>
      <c r="M27" s="36"/>
      <c r="N27" s="36"/>
      <c r="O27" s="36"/>
      <c r="P27" s="36"/>
    </row>
  </sheetData>
  <sheetProtection algorithmName="SHA-512" hashValue="lLIcXPKNbN6gBZ001uc+xSPIEczKukAN3bzVjx017Vl0QLHM9y2Z0Ic7TMzblUPccKB1Izdf9ZPRjs6noSBgPQ==" saltValue="bhaN2P9fGn+qQcIdJL2iAA==" spinCount="100000" sheet="1" objects="1" scenarios="1" selectLockedCells="1"/>
  <mergeCells count="2">
    <mergeCell ref="A13:B13"/>
    <mergeCell ref="A27:B27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"/>
  <sheetViews>
    <sheetView topLeftCell="A16" zoomScaleNormal="100" workbookViewId="0"/>
  </sheetViews>
  <sheetFormatPr defaultRowHeight="12.75"/>
  <sheetData/>
  <sheetProtection algorithmName="SHA-512" hashValue="RljK2/+RFja1aVn7Bg801yX2GnnK9lx92LzPsGMqZ7vh4dC9XVBFbehgKT5X0kzXS8dBpEfAyT5pYIPuJPvWKw==" saltValue="HlKNQ9D9mXDyXfwjDzz3fA==" spinCount="100000" sheet="1" objects="1" scenarios="1" selectLockedCells="1"/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5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4">
    <pageSetUpPr fitToPage="1"/>
  </sheetPr>
  <dimension ref="A1"/>
  <sheetViews>
    <sheetView tabSelected="1" zoomScaleNormal="100" workbookViewId="0"/>
  </sheetViews>
  <sheetFormatPr defaultRowHeight="12.75"/>
  <sheetData/>
  <sheetProtection algorithmName="SHA-512" hashValue="JIjXL8bkGD3x1hjK0mtW+5c0XbpjP53sKSVjejM/WCGujjSm+PSGNhdIrAzPoh0wQBUlE/vkXfZiyc9mq00q0g==" saltValue="a5gqAA2Mmf/+gAxtFvc5Jw==" spinCount="100000" sheet="1" objects="1" scenarios="1" selectLockedCells="1"/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8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15</vt:i4>
      </vt:variant>
    </vt:vector>
  </HeadingPairs>
  <TitlesOfParts>
    <vt:vector size="23" baseType="lpstr">
      <vt:lpstr>Instruções de Uso</vt:lpstr>
      <vt:lpstr>LINHA 1-D</vt:lpstr>
      <vt:lpstr>LINHA 2-D</vt:lpstr>
      <vt:lpstr>LINHA 1-N</vt:lpstr>
      <vt:lpstr>LINHA 2-N</vt:lpstr>
      <vt:lpstr>Dados</vt:lpstr>
      <vt:lpstr>Pareto L1</vt:lpstr>
      <vt:lpstr>Pareto L2</vt:lpstr>
      <vt:lpstr>'LINHA 1-D'!Area_de_impressao</vt:lpstr>
      <vt:lpstr>'LINHA 1-N'!Area_de_impressao</vt:lpstr>
      <vt:lpstr>'LINHA 2-D'!Area_de_impressao</vt:lpstr>
      <vt:lpstr>'LINHA 2-N'!Area_de_impressao</vt:lpstr>
      <vt:lpstr>FALHAS_L1D</vt:lpstr>
      <vt:lpstr>FALHAS_L1N</vt:lpstr>
      <vt:lpstr>FALHAS_L2D</vt:lpstr>
      <vt:lpstr>FALHAS_L2N</vt:lpstr>
      <vt:lpstr>PERIODO</vt:lpstr>
      <vt:lpstr>PROD_L1D</vt:lpstr>
      <vt:lpstr>PROD_L1N</vt:lpstr>
      <vt:lpstr>PROD_L2D</vt:lpstr>
      <vt:lpstr>PROD_L2N</vt:lpstr>
      <vt:lpstr>TARGET_L1</vt:lpstr>
      <vt:lpstr>TARGET_L2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2021-10-04T20:19:51Z</cp:lastPrinted>
  <dcterms:created xsi:type="dcterms:W3CDTF">2003-08-12T11:39:14Z</dcterms:created>
  <dcterms:modified xsi:type="dcterms:W3CDTF">2022-02-21T11:24:50Z</dcterms:modified>
</cp:coreProperties>
</file>