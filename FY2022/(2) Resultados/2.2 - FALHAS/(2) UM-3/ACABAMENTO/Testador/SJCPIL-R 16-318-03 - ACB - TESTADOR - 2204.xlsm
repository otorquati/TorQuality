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updateLinks="always" codeName="EstaPasta_de_trabalho"/>
  <mc:AlternateContent xmlns:mc="http://schemas.openxmlformats.org/markup-compatibility/2006">
    <mc:Choice Requires="x15">
      <x15ac:absPath xmlns:x15ac="http://schemas.microsoft.com/office/spreadsheetml/2010/11/ac" url="C:\DADOS\PIL\PUB\QUALIDADE\FY2021\(2) Resultados\2.2 - FALHAS\(2) UM-3\ACABAMENTO\Testador\"/>
    </mc:Choice>
  </mc:AlternateContent>
  <xr:revisionPtr revIDLastSave="0" documentId="13_ncr:1_{40DA35A3-7BB7-44B4-AA58-879798BB7A07}" xr6:coauthVersionLast="47" xr6:coauthVersionMax="47" xr10:uidLastSave="{00000000-0000-0000-0000-000000000000}"/>
  <bookViews>
    <workbookView xWindow="-120" yWindow="-120" windowWidth="29040" windowHeight="16440" activeTab="5" xr2:uid="{00000000-000D-0000-FFFF-FFFF00000000}"/>
  </bookViews>
  <sheets>
    <sheet name="Instruções de Uso" sheetId="6" r:id="rId1"/>
    <sheet name="Instrução" sheetId="5" r:id="rId2"/>
    <sheet name="SJCPIL-R 16-318-03 - Diurno" sheetId="1" r:id="rId3"/>
    <sheet name="SJCPIL-R 16-318-03 - Noturno" sheetId="4" r:id="rId4"/>
    <sheet name="Resumo de Falhas" sheetId="2" r:id="rId5"/>
    <sheet name="Total por Defeito" sheetId="3" r:id="rId6"/>
  </sheets>
  <externalReferences>
    <externalReference r:id="rId7"/>
    <externalReference r:id="rId8"/>
  </externalReferences>
  <definedNames>
    <definedName name="_xlnm.Print_Area" localSheetId="1">Instrução!$A$1:$AF$31</definedName>
    <definedName name="_xlnm.Print_Area" localSheetId="2">'SJCPIL-R 16-318-03 - Diurno'!$A$1:$AF$32</definedName>
    <definedName name="_xlnm.Print_Area" localSheetId="3">'SJCPIL-R 16-318-03 - Noturno'!$A$1:$AF$32</definedName>
    <definedName name="_xlnm.Print_Area" localSheetId="5">'Total por Defeito'!$A$1:$P$50</definedName>
    <definedName name="produtos" localSheetId="0">'[1]Resumo de Falhas'!$C$1:$L$1</definedName>
    <definedName name="produtos">'Resumo de Falhas'!$C$1:$G$1</definedName>
    <definedName name="TARGET">'SJCPIL-R 16-318-03 - Diurno'!$B$33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7" i="4" l="1"/>
  <c r="B28" i="4" s="1"/>
  <c r="C27" i="4"/>
  <c r="C28" i="4" s="1"/>
  <c r="D27" i="4"/>
  <c r="D28" i="4" s="1"/>
  <c r="E27" i="4"/>
  <c r="E28" i="4" s="1"/>
  <c r="F27" i="4"/>
  <c r="F28" i="4" s="1"/>
  <c r="G27" i="4"/>
  <c r="G28" i="4" s="1"/>
  <c r="H27" i="4"/>
  <c r="H28" i="4" s="1"/>
  <c r="B33" i="1" l="1"/>
  <c r="AE1" i="1"/>
  <c r="AE1" i="4" s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H29" i="3" l="1"/>
  <c r="B30" i="3"/>
  <c r="B29" i="3"/>
  <c r="B19" i="3"/>
  <c r="B20" i="3"/>
  <c r="B21" i="3"/>
  <c r="B22" i="3"/>
  <c r="B23" i="3"/>
  <c r="B24" i="3"/>
  <c r="B25" i="3"/>
  <c r="B26" i="3"/>
  <c r="B27" i="3"/>
  <c r="B28" i="3"/>
  <c r="B14" i="3" l="1"/>
  <c r="AF4" i="4"/>
  <c r="AF26" i="4"/>
  <c r="AF25" i="4"/>
  <c r="AF24" i="4"/>
  <c r="AF23" i="4"/>
  <c r="AF22" i="4"/>
  <c r="AF21" i="4"/>
  <c r="AF20" i="4"/>
  <c r="AF19" i="4"/>
  <c r="AF18" i="4"/>
  <c r="AF17" i="4"/>
  <c r="AF16" i="4"/>
  <c r="AF15" i="4"/>
  <c r="AF26" i="1"/>
  <c r="AF25" i="1"/>
  <c r="AF24" i="1"/>
  <c r="AF23" i="1"/>
  <c r="AF22" i="1"/>
  <c r="AF21" i="1"/>
  <c r="AF20" i="1"/>
  <c r="AF19" i="1"/>
  <c r="AF18" i="1"/>
  <c r="AF17" i="1"/>
  <c r="AF16" i="1"/>
  <c r="AF15" i="1"/>
  <c r="AF4" i="1"/>
  <c r="L28" i="2" l="1" a="1"/>
  <c r="L28" i="2" s="1"/>
  <c r="K28" i="2" a="1"/>
  <c r="K28" i="2" s="1"/>
  <c r="J28" i="2" a="1"/>
  <c r="J28" i="2" s="1"/>
  <c r="I28" i="2" a="1"/>
  <c r="I28" i="2" s="1"/>
  <c r="H28" i="2" a="1"/>
  <c r="H28" i="2" s="1"/>
  <c r="G28" i="2" a="1"/>
  <c r="G28" i="2" s="1"/>
  <c r="F28" i="2" a="1"/>
  <c r="F28" i="2" s="1"/>
  <c r="E28" i="2" a="1"/>
  <c r="E28" i="2" s="1"/>
  <c r="D28" i="2" a="1"/>
  <c r="D28" i="2" s="1"/>
  <c r="C28" i="2" a="1"/>
  <c r="C28" i="2" s="1"/>
  <c r="L27" i="2" a="1"/>
  <c r="L27" i="2" s="1"/>
  <c r="K27" i="2" a="1"/>
  <c r="K27" i="2" s="1"/>
  <c r="J27" i="2" a="1"/>
  <c r="J27" i="2" s="1"/>
  <c r="I27" i="2" a="1"/>
  <c r="I27" i="2" s="1"/>
  <c r="H27" i="2" a="1"/>
  <c r="H27" i="2" s="1"/>
  <c r="G27" i="2" a="1"/>
  <c r="G27" i="2" s="1"/>
  <c r="F27" i="2" a="1"/>
  <c r="F27" i="2" s="1"/>
  <c r="E27" i="2" a="1"/>
  <c r="E27" i="2" s="1"/>
  <c r="D27" i="2" a="1"/>
  <c r="D27" i="2" s="1"/>
  <c r="C27" i="2" a="1"/>
  <c r="C27" i="2" s="1"/>
  <c r="L26" i="2" a="1"/>
  <c r="L26" i="2" s="1"/>
  <c r="K26" i="2" a="1"/>
  <c r="K26" i="2" s="1"/>
  <c r="J26" i="2" a="1"/>
  <c r="J26" i="2" s="1"/>
  <c r="I26" i="2" a="1"/>
  <c r="I26" i="2" s="1"/>
  <c r="H26" i="2" a="1"/>
  <c r="H26" i="2" s="1"/>
  <c r="G26" i="2" a="1"/>
  <c r="G26" i="2" s="1"/>
  <c r="F26" i="2" a="1"/>
  <c r="F26" i="2" s="1"/>
  <c r="E26" i="2" a="1"/>
  <c r="E26" i="2" s="1"/>
  <c r="D26" i="2" a="1"/>
  <c r="D26" i="2" s="1"/>
  <c r="C26" i="2" a="1"/>
  <c r="C26" i="2" s="1"/>
  <c r="L25" i="2" a="1"/>
  <c r="L25" i="2" s="1"/>
  <c r="K25" i="2" a="1"/>
  <c r="K25" i="2" s="1"/>
  <c r="J25" i="2" a="1"/>
  <c r="J25" i="2" s="1"/>
  <c r="I25" i="2" a="1"/>
  <c r="I25" i="2" s="1"/>
  <c r="H25" i="2" a="1"/>
  <c r="H25" i="2" s="1"/>
  <c r="G25" i="2" a="1"/>
  <c r="G25" i="2" s="1"/>
  <c r="F25" i="2" a="1"/>
  <c r="F25" i="2" s="1"/>
  <c r="E25" i="2" a="1"/>
  <c r="E25" i="2" s="1"/>
  <c r="D25" i="2" a="1"/>
  <c r="D25" i="2" s="1"/>
  <c r="C25" i="2" a="1"/>
  <c r="C25" i="2" s="1"/>
  <c r="L24" i="2" a="1"/>
  <c r="L24" i="2" s="1"/>
  <c r="K24" i="2" a="1"/>
  <c r="K24" i="2" s="1"/>
  <c r="J24" i="2" a="1"/>
  <c r="J24" i="2" s="1"/>
  <c r="I24" i="2" a="1"/>
  <c r="I24" i="2" s="1"/>
  <c r="H24" i="2" a="1"/>
  <c r="H24" i="2" s="1"/>
  <c r="G24" i="2" a="1"/>
  <c r="G24" i="2" s="1"/>
  <c r="F24" i="2" a="1"/>
  <c r="F24" i="2" s="1"/>
  <c r="E24" i="2" a="1"/>
  <c r="E24" i="2" s="1"/>
  <c r="D24" i="2" a="1"/>
  <c r="D24" i="2" s="1"/>
  <c r="C24" i="2" a="1"/>
  <c r="C24" i="2" s="1"/>
  <c r="L23" i="2" a="1"/>
  <c r="L23" i="2" s="1"/>
  <c r="K23" i="2" a="1"/>
  <c r="K23" i="2" s="1"/>
  <c r="J23" i="2" a="1"/>
  <c r="J23" i="2" s="1"/>
  <c r="I23" i="2" a="1"/>
  <c r="I23" i="2" s="1"/>
  <c r="H23" i="2" a="1"/>
  <c r="H23" i="2" s="1"/>
  <c r="G23" i="2" a="1"/>
  <c r="G23" i="2" s="1"/>
  <c r="F23" i="2" a="1"/>
  <c r="F23" i="2" s="1"/>
  <c r="E23" i="2" a="1"/>
  <c r="E23" i="2" s="1"/>
  <c r="D23" i="2" a="1"/>
  <c r="D23" i="2" s="1"/>
  <c r="C23" i="2" a="1"/>
  <c r="C23" i="2" s="1"/>
  <c r="L22" i="2" a="1"/>
  <c r="L22" i="2" s="1"/>
  <c r="K22" i="2" a="1"/>
  <c r="K22" i="2" s="1"/>
  <c r="J22" i="2" a="1"/>
  <c r="J22" i="2" s="1"/>
  <c r="I22" i="2" a="1"/>
  <c r="I22" i="2" s="1"/>
  <c r="H22" i="2" a="1"/>
  <c r="H22" i="2" s="1"/>
  <c r="G22" i="2" a="1"/>
  <c r="G22" i="2" s="1"/>
  <c r="F22" i="2" a="1"/>
  <c r="F22" i="2" s="1"/>
  <c r="E22" i="2" a="1"/>
  <c r="E22" i="2" s="1"/>
  <c r="D22" i="2" a="1"/>
  <c r="D22" i="2" s="1"/>
  <c r="C22" i="2" a="1"/>
  <c r="C22" i="2" s="1"/>
  <c r="L21" i="2" a="1"/>
  <c r="L21" i="2" s="1"/>
  <c r="K21" i="2" a="1"/>
  <c r="K21" i="2" s="1"/>
  <c r="J21" i="2" a="1"/>
  <c r="J21" i="2" s="1"/>
  <c r="I21" i="2" a="1"/>
  <c r="I21" i="2" s="1"/>
  <c r="H21" i="2" a="1"/>
  <c r="H21" i="2" s="1"/>
  <c r="G21" i="2" a="1"/>
  <c r="G21" i="2" s="1"/>
  <c r="F21" i="2" a="1"/>
  <c r="F21" i="2" s="1"/>
  <c r="E21" i="2" a="1"/>
  <c r="E21" i="2" s="1"/>
  <c r="D21" i="2" a="1"/>
  <c r="D21" i="2" s="1"/>
  <c r="C21" i="2" a="1"/>
  <c r="C21" i="2" s="1"/>
  <c r="L20" i="2" a="1"/>
  <c r="L20" i="2" s="1"/>
  <c r="K20" i="2" a="1"/>
  <c r="K20" i="2" s="1"/>
  <c r="J20" i="2" a="1"/>
  <c r="J20" i="2" s="1"/>
  <c r="I20" i="2" a="1"/>
  <c r="I20" i="2" s="1"/>
  <c r="H20" i="2" a="1"/>
  <c r="H20" i="2" s="1"/>
  <c r="G20" i="2" a="1"/>
  <c r="G20" i="2" s="1"/>
  <c r="F20" i="2" a="1"/>
  <c r="F20" i="2" s="1"/>
  <c r="E20" i="2" a="1"/>
  <c r="E20" i="2" s="1"/>
  <c r="D20" i="2" a="1"/>
  <c r="D20" i="2" s="1"/>
  <c r="C20" i="2" a="1"/>
  <c r="C20" i="2" s="1"/>
  <c r="L19" i="2" a="1"/>
  <c r="L19" i="2" s="1"/>
  <c r="K19" i="2" a="1"/>
  <c r="K19" i="2" s="1"/>
  <c r="J19" i="2" a="1"/>
  <c r="J19" i="2" s="1"/>
  <c r="I19" i="2" a="1"/>
  <c r="I19" i="2" s="1"/>
  <c r="H19" i="2" a="1"/>
  <c r="H19" i="2" s="1"/>
  <c r="G19" i="2" a="1"/>
  <c r="G19" i="2" s="1"/>
  <c r="F19" i="2" a="1"/>
  <c r="F19" i="2" s="1"/>
  <c r="E19" i="2" a="1"/>
  <c r="E19" i="2" s="1"/>
  <c r="D19" i="2" a="1"/>
  <c r="D19" i="2" s="1"/>
  <c r="C19" i="2" a="1"/>
  <c r="C19" i="2" s="1"/>
  <c r="L18" i="2" a="1"/>
  <c r="L18" i="2" s="1"/>
  <c r="K18" i="2" a="1"/>
  <c r="K18" i="2" s="1"/>
  <c r="J18" i="2" a="1"/>
  <c r="J18" i="2" s="1"/>
  <c r="I18" i="2" a="1"/>
  <c r="I18" i="2" s="1"/>
  <c r="H18" i="2" a="1"/>
  <c r="H18" i="2" s="1"/>
  <c r="G18" i="2" a="1"/>
  <c r="G18" i="2" s="1"/>
  <c r="F18" i="2" a="1"/>
  <c r="F18" i="2" s="1"/>
  <c r="E18" i="2" a="1"/>
  <c r="E18" i="2" s="1"/>
  <c r="D18" i="2" a="1"/>
  <c r="D18" i="2" s="1"/>
  <c r="C18" i="2" a="1"/>
  <c r="C18" i="2" s="1"/>
  <c r="L17" i="2" a="1"/>
  <c r="L17" i="2" s="1"/>
  <c r="K17" i="2" a="1"/>
  <c r="K17" i="2" s="1"/>
  <c r="J17" i="2" a="1"/>
  <c r="J17" i="2" s="1"/>
  <c r="I17" i="2" a="1"/>
  <c r="I17" i="2" s="1"/>
  <c r="H17" i="2" a="1"/>
  <c r="H17" i="2" s="1"/>
  <c r="G17" i="2" a="1"/>
  <c r="G17" i="2" s="1"/>
  <c r="F17" i="2" a="1"/>
  <c r="F17" i="2" s="1"/>
  <c r="E17" i="2" a="1"/>
  <c r="E17" i="2" s="1"/>
  <c r="D17" i="2" a="1"/>
  <c r="D17" i="2" s="1"/>
  <c r="C17" i="2" a="1"/>
  <c r="C17" i="2" s="1"/>
  <c r="L16" i="2" a="1"/>
  <c r="L16" i="2" s="1"/>
  <c r="K16" i="2" a="1"/>
  <c r="K16" i="2" s="1"/>
  <c r="J16" i="2" a="1"/>
  <c r="J16" i="2" s="1"/>
  <c r="I16" i="2" a="1"/>
  <c r="I16" i="2" s="1"/>
  <c r="H16" i="2" a="1"/>
  <c r="H16" i="2" s="1"/>
  <c r="G16" i="2" a="1"/>
  <c r="G16" i="2" s="1"/>
  <c r="F16" i="2" a="1"/>
  <c r="F16" i="2" s="1"/>
  <c r="E16" i="2" a="1"/>
  <c r="E16" i="2" s="1"/>
  <c r="D16" i="2" a="1"/>
  <c r="D16" i="2" s="1"/>
  <c r="C16" i="2" a="1"/>
  <c r="C16" i="2" s="1"/>
  <c r="L14" i="2" a="1"/>
  <c r="L14" i="2" s="1"/>
  <c r="K14" i="2" a="1"/>
  <c r="K14" i="2" s="1"/>
  <c r="J14" i="2" a="1"/>
  <c r="J14" i="2" s="1"/>
  <c r="I14" i="2" a="1"/>
  <c r="I14" i="2" s="1"/>
  <c r="H14" i="2" a="1"/>
  <c r="H14" i="2" s="1"/>
  <c r="G14" i="2" a="1"/>
  <c r="G14" i="2" s="1"/>
  <c r="F14" i="2" a="1"/>
  <c r="F14" i="2" s="1"/>
  <c r="E14" i="2" a="1"/>
  <c r="E14" i="2" s="1"/>
  <c r="D14" i="2" a="1"/>
  <c r="D14" i="2" s="1"/>
  <c r="C14" i="2" a="1"/>
  <c r="C14" i="2" s="1"/>
  <c r="L13" i="2" a="1"/>
  <c r="L13" i="2" s="1"/>
  <c r="K13" i="2" a="1"/>
  <c r="K13" i="2" s="1"/>
  <c r="J13" i="2" a="1"/>
  <c r="J13" i="2" s="1"/>
  <c r="I13" i="2" a="1"/>
  <c r="I13" i="2" s="1"/>
  <c r="H13" i="2" a="1"/>
  <c r="H13" i="2" s="1"/>
  <c r="G13" i="2" a="1"/>
  <c r="G13" i="2" s="1"/>
  <c r="F13" i="2" a="1"/>
  <c r="F13" i="2" s="1"/>
  <c r="E13" i="2" a="1"/>
  <c r="E13" i="2" s="1"/>
  <c r="D13" i="2" a="1"/>
  <c r="D13" i="2" s="1"/>
  <c r="C13" i="2" a="1"/>
  <c r="C13" i="2" s="1"/>
  <c r="L12" i="2" a="1"/>
  <c r="L12" i="2" s="1"/>
  <c r="K12" i="2" a="1"/>
  <c r="K12" i="2" s="1"/>
  <c r="J12" i="2" a="1"/>
  <c r="J12" i="2" s="1"/>
  <c r="I12" i="2" a="1"/>
  <c r="I12" i="2" s="1"/>
  <c r="H12" i="2" a="1"/>
  <c r="H12" i="2" s="1"/>
  <c r="G12" i="2" a="1"/>
  <c r="G12" i="2" s="1"/>
  <c r="F12" i="2" a="1"/>
  <c r="F12" i="2" s="1"/>
  <c r="E12" i="2" a="1"/>
  <c r="E12" i="2" s="1"/>
  <c r="D12" i="2" a="1"/>
  <c r="D12" i="2" s="1"/>
  <c r="C12" i="2" a="1"/>
  <c r="C12" i="2" s="1"/>
  <c r="L11" i="2" a="1"/>
  <c r="L11" i="2" s="1"/>
  <c r="K11" i="2" a="1"/>
  <c r="K11" i="2" s="1"/>
  <c r="J11" i="2" a="1"/>
  <c r="J11" i="2" s="1"/>
  <c r="I11" i="2" a="1"/>
  <c r="I11" i="2" s="1"/>
  <c r="H11" i="2" a="1"/>
  <c r="H11" i="2" s="1"/>
  <c r="G11" i="2" a="1"/>
  <c r="G11" i="2" s="1"/>
  <c r="F11" i="2" a="1"/>
  <c r="F11" i="2" s="1"/>
  <c r="E11" i="2" a="1"/>
  <c r="E11" i="2" s="1"/>
  <c r="D11" i="2" a="1"/>
  <c r="D11" i="2" s="1"/>
  <c r="C11" i="2" a="1"/>
  <c r="C11" i="2" s="1"/>
  <c r="L10" i="2" a="1"/>
  <c r="L10" i="2" s="1"/>
  <c r="K10" i="2" a="1"/>
  <c r="K10" i="2" s="1"/>
  <c r="J10" i="2" a="1"/>
  <c r="J10" i="2" s="1"/>
  <c r="I10" i="2" a="1"/>
  <c r="I10" i="2" s="1"/>
  <c r="H10" i="2" a="1"/>
  <c r="H10" i="2" s="1"/>
  <c r="G10" i="2" a="1"/>
  <c r="G10" i="2" s="1"/>
  <c r="F10" i="2" a="1"/>
  <c r="F10" i="2" s="1"/>
  <c r="E10" i="2" a="1"/>
  <c r="E10" i="2" s="1"/>
  <c r="D10" i="2" a="1"/>
  <c r="D10" i="2" s="1"/>
  <c r="C10" i="2" a="1"/>
  <c r="C10" i="2" s="1"/>
  <c r="L9" i="2" a="1"/>
  <c r="L9" i="2" s="1"/>
  <c r="K9" i="2" a="1"/>
  <c r="K9" i="2" s="1"/>
  <c r="J9" i="2" a="1"/>
  <c r="J9" i="2" s="1"/>
  <c r="I9" i="2" a="1"/>
  <c r="I9" i="2" s="1"/>
  <c r="H9" i="2" a="1"/>
  <c r="H9" i="2" s="1"/>
  <c r="G9" i="2" a="1"/>
  <c r="G9" i="2" s="1"/>
  <c r="F9" i="2" a="1"/>
  <c r="F9" i="2" s="1"/>
  <c r="E9" i="2" a="1"/>
  <c r="E9" i="2" s="1"/>
  <c r="D9" i="2" a="1"/>
  <c r="D9" i="2" s="1"/>
  <c r="C9" i="2" a="1"/>
  <c r="C9" i="2" s="1"/>
  <c r="K8" i="2" a="1"/>
  <c r="K8" i="2" s="1"/>
  <c r="J8" i="2" a="1"/>
  <c r="J8" i="2" s="1"/>
  <c r="I8" i="2" a="1"/>
  <c r="I8" i="2" s="1"/>
  <c r="H8" i="2" a="1"/>
  <c r="H8" i="2" s="1"/>
  <c r="G8" i="2" a="1"/>
  <c r="G8" i="2" s="1"/>
  <c r="F8" i="2" a="1"/>
  <c r="F8" i="2" s="1"/>
  <c r="E8" i="2" a="1"/>
  <c r="E8" i="2" s="1"/>
  <c r="D8" i="2" a="1"/>
  <c r="D8" i="2" s="1"/>
  <c r="C8" i="2" a="1"/>
  <c r="C8" i="2" s="1"/>
  <c r="L7" i="2" a="1"/>
  <c r="L7" i="2" s="1"/>
  <c r="K7" i="2" a="1"/>
  <c r="K7" i="2" s="1"/>
  <c r="J7" i="2" a="1"/>
  <c r="J7" i="2" s="1"/>
  <c r="I7" i="2" a="1"/>
  <c r="I7" i="2" s="1"/>
  <c r="H7" i="2" a="1"/>
  <c r="H7" i="2" s="1"/>
  <c r="G7" i="2" a="1"/>
  <c r="G7" i="2" s="1"/>
  <c r="F7" i="2" a="1"/>
  <c r="F7" i="2" s="1"/>
  <c r="E7" i="2" a="1"/>
  <c r="E7" i="2" s="1"/>
  <c r="D7" i="2" a="1"/>
  <c r="D7" i="2" s="1"/>
  <c r="C7" i="2" a="1"/>
  <c r="C7" i="2" s="1"/>
  <c r="L6" i="2" a="1"/>
  <c r="L6" i="2" s="1"/>
  <c r="K6" i="2" a="1"/>
  <c r="K6" i="2" s="1"/>
  <c r="J6" i="2" a="1"/>
  <c r="J6" i="2" s="1"/>
  <c r="I6" i="2" a="1"/>
  <c r="I6" i="2" s="1"/>
  <c r="H6" i="2" a="1"/>
  <c r="H6" i="2" s="1"/>
  <c r="G6" i="2" a="1"/>
  <c r="G6" i="2" s="1"/>
  <c r="F6" i="2" a="1"/>
  <c r="F6" i="2" s="1"/>
  <c r="E6" i="2" a="1"/>
  <c r="E6" i="2" s="1"/>
  <c r="D6" i="2" a="1"/>
  <c r="D6" i="2" s="1"/>
  <c r="C6" i="2" a="1"/>
  <c r="C6" i="2" s="1"/>
  <c r="L5" i="2" a="1"/>
  <c r="L5" i="2" s="1"/>
  <c r="K5" i="2" a="1"/>
  <c r="K5" i="2" s="1"/>
  <c r="J5" i="2" a="1"/>
  <c r="J5" i="2" s="1"/>
  <c r="I5" i="2" a="1"/>
  <c r="I5" i="2" s="1"/>
  <c r="H5" i="2" a="1"/>
  <c r="H5" i="2" s="1"/>
  <c r="G5" i="2" a="1"/>
  <c r="G5" i="2" s="1"/>
  <c r="F5" i="2" a="1"/>
  <c r="F5" i="2" s="1"/>
  <c r="E5" i="2" a="1"/>
  <c r="E5" i="2" s="1"/>
  <c r="D5" i="2" a="1"/>
  <c r="D5" i="2" s="1"/>
  <c r="C5" i="2" a="1"/>
  <c r="C5" i="2" s="1"/>
  <c r="L4" i="2" a="1"/>
  <c r="L4" i="2" s="1"/>
  <c r="K4" i="2" a="1"/>
  <c r="K4" i="2" s="1"/>
  <c r="J4" i="2" a="1"/>
  <c r="J4" i="2" s="1"/>
  <c r="I4" i="2" a="1"/>
  <c r="I4" i="2" s="1"/>
  <c r="H4" i="2" a="1"/>
  <c r="H4" i="2" s="1"/>
  <c r="G4" i="2" a="1"/>
  <c r="G4" i="2" s="1"/>
  <c r="F4" i="2" a="1"/>
  <c r="F4" i="2" s="1"/>
  <c r="E4" i="2" a="1"/>
  <c r="E4" i="2" s="1"/>
  <c r="D4" i="2" a="1"/>
  <c r="D4" i="2" s="1"/>
  <c r="C4" i="2" a="1"/>
  <c r="C4" i="2" s="1"/>
  <c r="L3" i="2" a="1"/>
  <c r="L3" i="2" s="1"/>
  <c r="K3" i="2" a="1"/>
  <c r="K3" i="2" s="1"/>
  <c r="J3" i="2" a="1"/>
  <c r="J3" i="2" s="1"/>
  <c r="I3" i="2" a="1"/>
  <c r="I3" i="2" s="1"/>
  <c r="H3" i="2" a="1"/>
  <c r="H3" i="2" s="1"/>
  <c r="G3" i="2" a="1"/>
  <c r="G3" i="2" s="1"/>
  <c r="F3" i="2" a="1"/>
  <c r="F3" i="2" s="1"/>
  <c r="E3" i="2" a="1"/>
  <c r="E3" i="2" s="1"/>
  <c r="D3" i="2" a="1"/>
  <c r="D3" i="2" s="1"/>
  <c r="C3" i="2" a="1"/>
  <c r="C3" i="2" s="1"/>
  <c r="L2" i="2" a="1"/>
  <c r="L2" i="2" s="1"/>
  <c r="K2" i="2" a="1"/>
  <c r="K2" i="2" s="1"/>
  <c r="J2" i="2" a="1"/>
  <c r="J2" i="2" s="1"/>
  <c r="I2" i="2" a="1"/>
  <c r="I2" i="2" s="1"/>
  <c r="H2" i="2" a="1"/>
  <c r="H2" i="2" s="1"/>
  <c r="G2" i="2" a="1"/>
  <c r="G2" i="2" s="1"/>
  <c r="F2" i="2" a="1"/>
  <c r="F2" i="2" s="1"/>
  <c r="E2" i="2" a="1"/>
  <c r="E2" i="2" s="1"/>
  <c r="D2" i="2" a="1"/>
  <c r="D2" i="2" s="1"/>
  <c r="C2" i="2" a="1"/>
  <c r="C2" i="2" s="1"/>
  <c r="D27" i="1"/>
  <c r="D28" i="1" s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B33" i="4"/>
  <c r="T27" i="4"/>
  <c r="T28" i="4" s="1"/>
  <c r="N27" i="4"/>
  <c r="N28" i="4" s="1"/>
  <c r="K27" i="4"/>
  <c r="K28" i="4" s="1"/>
  <c r="B1" i="4"/>
  <c r="A29" i="4"/>
  <c r="H5" i="1"/>
  <c r="I27" i="4"/>
  <c r="I28" i="4" s="1"/>
  <c r="J27" i="4"/>
  <c r="J28" i="4" s="1"/>
  <c r="AE28" i="1"/>
  <c r="AD28" i="1"/>
  <c r="AC28" i="1"/>
  <c r="AB28" i="1"/>
  <c r="AA28" i="1"/>
  <c r="Z28" i="1"/>
  <c r="Y28" i="1"/>
  <c r="X28" i="1"/>
  <c r="W28" i="1"/>
  <c r="V28" i="1"/>
  <c r="U28" i="1"/>
  <c r="T28" i="1"/>
  <c r="C27" i="1"/>
  <c r="C28" i="1" s="1"/>
  <c r="B27" i="1"/>
  <c r="AE27" i="4"/>
  <c r="AE28" i="4" s="1"/>
  <c r="AD27" i="4"/>
  <c r="AD28" i="4" s="1"/>
  <c r="AC27" i="4"/>
  <c r="AC28" i="4" s="1"/>
  <c r="AB27" i="4"/>
  <c r="AB28" i="4" s="1"/>
  <c r="AA27" i="4"/>
  <c r="AA28" i="4" s="1"/>
  <c r="Z27" i="4"/>
  <c r="Z28" i="4" s="1"/>
  <c r="Y27" i="4"/>
  <c r="Y28" i="4" s="1"/>
  <c r="X27" i="4"/>
  <c r="X28" i="4" s="1"/>
  <c r="W27" i="4"/>
  <c r="W28" i="4" s="1"/>
  <c r="V27" i="4"/>
  <c r="V28" i="4" s="1"/>
  <c r="U27" i="4"/>
  <c r="U28" i="4" s="1"/>
  <c r="S27" i="4"/>
  <c r="S28" i="4" s="1"/>
  <c r="R27" i="4"/>
  <c r="R28" i="4" s="1"/>
  <c r="Q27" i="4"/>
  <c r="Q28" i="4" s="1"/>
  <c r="P27" i="4"/>
  <c r="P28" i="4" s="1"/>
  <c r="O27" i="4"/>
  <c r="O28" i="4" s="1"/>
  <c r="M27" i="4"/>
  <c r="M28" i="4" s="1"/>
  <c r="L27" i="4"/>
  <c r="L28" i="4" s="1"/>
  <c r="AF34" i="5"/>
  <c r="AE34" i="5"/>
  <c r="AD34" i="5"/>
  <c r="AC34" i="5"/>
  <c r="AB34" i="5"/>
  <c r="AA34" i="5"/>
  <c r="Z34" i="5"/>
  <c r="Y34" i="5"/>
  <c r="X34" i="5"/>
  <c r="W34" i="5"/>
  <c r="V34" i="5"/>
  <c r="U34" i="5"/>
  <c r="T34" i="5"/>
  <c r="S34" i="5"/>
  <c r="R34" i="5"/>
  <c r="Q34" i="5"/>
  <c r="P34" i="5"/>
  <c r="O34" i="5"/>
  <c r="N34" i="5"/>
  <c r="M34" i="5"/>
  <c r="L34" i="5"/>
  <c r="K34" i="5"/>
  <c r="J34" i="5"/>
  <c r="I34" i="5"/>
  <c r="H34" i="5"/>
  <c r="G34" i="5"/>
  <c r="F34" i="5"/>
  <c r="E34" i="5"/>
  <c r="D34" i="5"/>
  <c r="C34" i="5"/>
  <c r="B34" i="5"/>
  <c r="C32" i="5"/>
  <c r="D32" i="5" s="1"/>
  <c r="E32" i="5" s="1"/>
  <c r="F32" i="5" s="1"/>
  <c r="G32" i="5" s="1"/>
  <c r="H32" i="5" s="1"/>
  <c r="I32" i="5" s="1"/>
  <c r="J32" i="5" s="1"/>
  <c r="K32" i="5" s="1"/>
  <c r="L32" i="5" s="1"/>
  <c r="M32" i="5" s="1"/>
  <c r="N32" i="5" s="1"/>
  <c r="O32" i="5" s="1"/>
  <c r="P32" i="5" s="1"/>
  <c r="Q32" i="5" s="1"/>
  <c r="R32" i="5" s="1"/>
  <c r="S32" i="5" s="1"/>
  <c r="T32" i="5" s="1"/>
  <c r="U32" i="5" s="1"/>
  <c r="V32" i="5" s="1"/>
  <c r="W32" i="5" s="1"/>
  <c r="X32" i="5" s="1"/>
  <c r="Y32" i="5" s="1"/>
  <c r="Z32" i="5" s="1"/>
  <c r="AA32" i="5" s="1"/>
  <c r="AB32" i="5" s="1"/>
  <c r="AC32" i="5" s="1"/>
  <c r="AD32" i="5" s="1"/>
  <c r="AE32" i="5" s="1"/>
  <c r="AF32" i="5" s="1"/>
  <c r="AF5" i="5"/>
  <c r="AE5" i="5"/>
  <c r="AD5" i="5"/>
  <c r="AC5" i="5"/>
  <c r="AB5" i="5"/>
  <c r="AA5" i="5"/>
  <c r="Z5" i="5"/>
  <c r="Y5" i="5"/>
  <c r="X5" i="5"/>
  <c r="W5" i="5"/>
  <c r="V5" i="5"/>
  <c r="U5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C5" i="5"/>
  <c r="B5" i="5"/>
  <c r="B5" i="4"/>
  <c r="E5" i="4"/>
  <c r="F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AF5" i="4"/>
  <c r="B18" i="3"/>
  <c r="C5" i="1"/>
  <c r="D5" i="1"/>
  <c r="E5" i="1"/>
  <c r="F5" i="1"/>
  <c r="G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B5" i="1"/>
  <c r="AI27" i="5"/>
  <c r="AI28" i="5" s="1"/>
  <c r="AJ27" i="5"/>
  <c r="AJ28" i="5" s="1"/>
  <c r="AK27" i="5"/>
  <c r="AK28" i="5" s="1"/>
  <c r="AH27" i="5"/>
  <c r="AH28" i="5" s="1"/>
  <c r="AF27" i="4" l="1"/>
  <c r="AF28" i="4" s="1"/>
  <c r="E28" i="1"/>
  <c r="AF27" i="1"/>
  <c r="AF28" i="1" s="1"/>
  <c r="E30" i="2"/>
  <c r="E35" i="2"/>
  <c r="B28" i="1"/>
  <c r="F15" i="2"/>
  <c r="M6" i="2"/>
  <c r="C21" i="3" s="1"/>
  <c r="C15" i="2"/>
  <c r="G15" i="2"/>
  <c r="M5" i="2"/>
  <c r="C20" i="3" s="1"/>
  <c r="M2" i="2"/>
  <c r="M4" i="2"/>
  <c r="C19" i="3" s="1"/>
  <c r="J15" i="2"/>
  <c r="K15" i="2"/>
  <c r="M11" i="2"/>
  <c r="C26" i="3" s="1"/>
  <c r="H15" i="2"/>
  <c r="L15" i="2"/>
  <c r="E15" i="2"/>
  <c r="I15" i="2"/>
  <c r="M12" i="2"/>
  <c r="C27" i="3" s="1"/>
  <c r="M14" i="2"/>
  <c r="C29" i="3" s="1"/>
  <c r="C30" i="2"/>
  <c r="G30" i="2"/>
  <c r="K30" i="2"/>
  <c r="E29" i="2"/>
  <c r="F29" i="2"/>
  <c r="J29" i="2"/>
  <c r="H29" i="2"/>
  <c r="L29" i="2"/>
  <c r="M25" i="2"/>
  <c r="D26" i="3" s="1"/>
  <c r="M27" i="2"/>
  <c r="D28" i="3" s="1"/>
  <c r="J30" i="2"/>
  <c r="F35" i="2"/>
  <c r="L30" i="2"/>
  <c r="M10" i="2"/>
  <c r="C25" i="3" s="1"/>
  <c r="M8" i="2"/>
  <c r="C23" i="3" s="1"/>
  <c r="M13" i="2"/>
  <c r="C28" i="3" s="1"/>
  <c r="M9" i="2"/>
  <c r="C24" i="3" s="1"/>
  <c r="I30" i="2"/>
  <c r="D15" i="2"/>
  <c r="H30" i="2"/>
  <c r="M7" i="2"/>
  <c r="C22" i="3" s="1"/>
  <c r="M3" i="2"/>
  <c r="F30" i="2"/>
  <c r="M22" i="2"/>
  <c r="D23" i="3" s="1"/>
  <c r="C29" i="2"/>
  <c r="G29" i="2"/>
  <c r="K29" i="2"/>
  <c r="M19" i="2"/>
  <c r="D20" i="3" s="1"/>
  <c r="I29" i="2"/>
  <c r="D30" i="2"/>
  <c r="M20" i="2"/>
  <c r="D21" i="3" s="1"/>
  <c r="M24" i="2"/>
  <c r="D25" i="3" s="1"/>
  <c r="M26" i="2"/>
  <c r="D27" i="3" s="1"/>
  <c r="M17" i="2"/>
  <c r="M21" i="2"/>
  <c r="D22" i="3" s="1"/>
  <c r="M23" i="2"/>
  <c r="D24" i="3" s="1"/>
  <c r="D29" i="2"/>
  <c r="M16" i="2"/>
  <c r="M18" i="2"/>
  <c r="D19" i="3" s="1"/>
  <c r="M28" i="2"/>
  <c r="D29" i="3" s="1"/>
  <c r="D14" i="3" s="1"/>
  <c r="D37" i="2"/>
  <c r="E28" i="3" l="1"/>
  <c r="F28" i="3" s="1"/>
  <c r="E27" i="3"/>
  <c r="F27" i="3" s="1"/>
  <c r="C14" i="3"/>
  <c r="E29" i="3"/>
  <c r="H31" i="2"/>
  <c r="I31" i="2"/>
  <c r="O22" i="2"/>
  <c r="E31" i="2"/>
  <c r="O25" i="2"/>
  <c r="F31" i="2"/>
  <c r="L31" i="2"/>
  <c r="E20" i="3"/>
  <c r="F20" i="3" s="1"/>
  <c r="O19" i="2"/>
  <c r="G31" i="2"/>
  <c r="E26" i="3"/>
  <c r="F26" i="3" s="1"/>
  <c r="C31" i="2"/>
  <c r="N5" i="2"/>
  <c r="K31" i="2"/>
  <c r="N14" i="2"/>
  <c r="C2" i="3"/>
  <c r="E34" i="2"/>
  <c r="N12" i="2"/>
  <c r="J31" i="2"/>
  <c r="M30" i="2"/>
  <c r="N4" i="2"/>
  <c r="N11" i="2"/>
  <c r="N6" i="2"/>
  <c r="O27" i="2"/>
  <c r="N27" i="2"/>
  <c r="N7" i="2"/>
  <c r="N13" i="2"/>
  <c r="N8" i="2"/>
  <c r="M15" i="2"/>
  <c r="C30" i="3" s="1"/>
  <c r="N10" i="2"/>
  <c r="C18" i="3"/>
  <c r="N3" i="2"/>
  <c r="N9" i="2"/>
  <c r="N28" i="2"/>
  <c r="O28" i="2"/>
  <c r="D18" i="3"/>
  <c r="O17" i="2"/>
  <c r="N17" i="2"/>
  <c r="N22" i="2"/>
  <c r="N25" i="2"/>
  <c r="E19" i="3"/>
  <c r="F19" i="3" s="1"/>
  <c r="O18" i="2"/>
  <c r="N18" i="2"/>
  <c r="F34" i="2"/>
  <c r="D2" i="3"/>
  <c r="D31" i="2"/>
  <c r="M29" i="2"/>
  <c r="D30" i="3" s="1"/>
  <c r="O23" i="2"/>
  <c r="N23" i="2"/>
  <c r="O26" i="2"/>
  <c r="N26" i="2"/>
  <c r="N19" i="2"/>
  <c r="E21" i="3"/>
  <c r="F21" i="3" s="1"/>
  <c r="O20" i="2"/>
  <c r="N20" i="2"/>
  <c r="D34" i="2"/>
  <c r="N21" i="2"/>
  <c r="O21" i="2"/>
  <c r="O24" i="2"/>
  <c r="N24" i="2"/>
  <c r="E30" i="3" l="1"/>
  <c r="F30" i="3" s="1"/>
  <c r="F29" i="3"/>
  <c r="E14" i="3"/>
  <c r="E23" i="3"/>
  <c r="F23" i="3" s="1"/>
  <c r="E22" i="3"/>
  <c r="F22" i="3" s="1"/>
  <c r="E24" i="3"/>
  <c r="F24" i="3" s="1"/>
  <c r="E2" i="3"/>
  <c r="G34" i="2"/>
  <c r="C15" i="3"/>
  <c r="N15" i="2"/>
  <c r="E25" i="3"/>
  <c r="F25" i="3" s="1"/>
  <c r="E18" i="3"/>
  <c r="F18" i="3" s="1"/>
  <c r="D15" i="3"/>
  <c r="N29" i="2"/>
  <c r="O29" i="2"/>
  <c r="P29" i="2" s="1"/>
  <c r="G35" i="2"/>
  <c r="D35" i="2"/>
  <c r="D36" i="2" s="1"/>
  <c r="M31" i="2"/>
  <c r="N31" i="2" s="1"/>
  <c r="G21" i="3" l="1"/>
  <c r="H21" i="3" s="1"/>
  <c r="G22" i="3"/>
  <c r="H22" i="3" s="1"/>
  <c r="G23" i="3"/>
  <c r="H23" i="3" s="1"/>
  <c r="G24" i="3"/>
  <c r="H24" i="3" s="1"/>
  <c r="G25" i="3"/>
  <c r="H25" i="3" s="1"/>
  <c r="G26" i="3"/>
  <c r="H26" i="3" s="1"/>
  <c r="G20" i="3"/>
  <c r="H20" i="3" s="1"/>
  <c r="G19" i="3"/>
  <c r="H19" i="3" s="1"/>
  <c r="G27" i="3"/>
  <c r="H27" i="3" s="1"/>
  <c r="G28" i="3"/>
  <c r="H28" i="3" s="1"/>
  <c r="G18" i="3"/>
  <c r="H18" i="3" s="1"/>
  <c r="E15" i="3"/>
  <c r="F15" i="3" s="1"/>
  <c r="F14" i="3" l="1"/>
  <c r="C13" i="3"/>
  <c r="D13" i="3"/>
  <c r="E13" i="3"/>
  <c r="B13" i="3"/>
  <c r="B6" i="3"/>
  <c r="C6" i="3"/>
  <c r="D6" i="3"/>
  <c r="E6" i="3"/>
  <c r="F6" i="3" s="1"/>
  <c r="C5" i="3"/>
  <c r="D5" i="3"/>
  <c r="E5" i="3"/>
  <c r="F5" i="3" s="1"/>
  <c r="B5" i="3"/>
  <c r="C11" i="3"/>
  <c r="D11" i="3"/>
  <c r="E11" i="3"/>
  <c r="F11" i="3" s="1"/>
  <c r="B11" i="3"/>
  <c r="B10" i="3"/>
  <c r="C10" i="3"/>
  <c r="D10" i="3"/>
  <c r="E10" i="3"/>
  <c r="F10" i="3" s="1"/>
  <c r="C7" i="3"/>
  <c r="D7" i="3"/>
  <c r="E7" i="3"/>
  <c r="F7" i="3" s="1"/>
  <c r="B7" i="3"/>
  <c r="B12" i="3"/>
  <c r="C12" i="3"/>
  <c r="D12" i="3"/>
  <c r="E12" i="3"/>
  <c r="B4" i="3"/>
  <c r="C4" i="3"/>
  <c r="D4" i="3"/>
  <c r="E4" i="3"/>
  <c r="F4" i="3" s="1"/>
  <c r="C9" i="3"/>
  <c r="D9" i="3"/>
  <c r="E9" i="3"/>
  <c r="F9" i="3" s="1"/>
  <c r="B9" i="3"/>
  <c r="D3" i="3"/>
  <c r="C3" i="3"/>
  <c r="B3" i="3"/>
  <c r="E3" i="3"/>
  <c r="I3" i="3" s="1"/>
  <c r="B8" i="3"/>
  <c r="C8" i="3"/>
  <c r="D8" i="3"/>
  <c r="E8" i="3"/>
  <c r="F8" i="3" s="1"/>
  <c r="G30" i="3"/>
  <c r="H30" i="3" s="1"/>
  <c r="I15" i="3"/>
  <c r="G15" i="3"/>
  <c r="H15" i="3" s="1"/>
  <c r="J15" i="3" s="1"/>
  <c r="I10" i="3" l="1"/>
  <c r="I9" i="3"/>
  <c r="I5" i="3"/>
  <c r="I13" i="3"/>
  <c r="F13" i="3"/>
  <c r="I12" i="3"/>
  <c r="F12" i="3"/>
  <c r="I6" i="3"/>
  <c r="I7" i="3"/>
  <c r="I4" i="3"/>
  <c r="I14" i="3"/>
  <c r="I8" i="3"/>
  <c r="I11" i="3"/>
  <c r="G3" i="3"/>
  <c r="H3" i="3" s="1"/>
  <c r="J3" i="3" s="1"/>
  <c r="F3" i="3"/>
  <c r="G4" i="3" l="1"/>
  <c r="H4" i="3" s="1"/>
  <c r="J4" i="3" s="1"/>
  <c r="G5" i="3" l="1"/>
  <c r="H5" i="3" s="1"/>
  <c r="J5" i="3" s="1"/>
  <c r="G6" i="3" l="1"/>
  <c r="H6" i="3" s="1"/>
  <c r="J6" i="3" s="1"/>
  <c r="G7" i="3" l="1"/>
  <c r="H7" i="3" s="1"/>
  <c r="J7" i="3" s="1"/>
  <c r="G8" i="3" l="1"/>
  <c r="H8" i="3" s="1"/>
  <c r="J8" i="3" s="1"/>
  <c r="G9" i="3" l="1"/>
  <c r="H9" i="3" s="1"/>
  <c r="J9" i="3" s="1"/>
  <c r="G10" i="3" l="1"/>
  <c r="H10" i="3" s="1"/>
  <c r="J10" i="3" s="1"/>
  <c r="G11" i="3" l="1"/>
  <c r="H11" i="3" l="1"/>
  <c r="J11" i="3" s="1"/>
  <c r="G12" i="3"/>
  <c r="G13" i="3" l="1"/>
  <c r="H12" i="3"/>
  <c r="J12" i="3" s="1"/>
  <c r="H13" i="3" l="1"/>
  <c r="J13" i="3" s="1"/>
  <c r="G14" i="3"/>
  <c r="H14" i="3" s="1"/>
  <c r="J14" i="3" s="1"/>
</calcChain>
</file>

<file path=xl/sharedStrings.xml><?xml version="1.0" encoding="utf-8"?>
<sst xmlns="http://schemas.openxmlformats.org/spreadsheetml/2006/main" count="172" uniqueCount="74">
  <si>
    <t>DIA</t>
  </si>
  <si>
    <t>PRODUÇÃO</t>
  </si>
  <si>
    <t>DIURNO</t>
  </si>
  <si>
    <t>TESTADOR</t>
  </si>
  <si>
    <t>ENCAIXOTAMENTO</t>
  </si>
  <si>
    <t>SHRINK</t>
  </si>
  <si>
    <t>OUTROS</t>
  </si>
  <si>
    <t>T O T A L</t>
  </si>
  <si>
    <t>Modelo</t>
  </si>
  <si>
    <t>Turno</t>
  </si>
  <si>
    <t>Produção</t>
  </si>
  <si>
    <t>SUBTOTAL</t>
  </si>
  <si>
    <t>NOITE</t>
  </si>
  <si>
    <t>TOTAL DE PRODUÇÃO</t>
  </si>
  <si>
    <t>TOTAL DE FALHAS</t>
  </si>
  <si>
    <t>TOTAL</t>
  </si>
  <si>
    <t>Produzido</t>
  </si>
  <si>
    <t>Falhas</t>
  </si>
  <si>
    <t>Un.</t>
  </si>
  <si>
    <t>pçs</t>
  </si>
  <si>
    <t>%</t>
  </si>
  <si>
    <t>Valor</t>
  </si>
  <si>
    <t>Total</t>
  </si>
  <si>
    <t>ppm</t>
  </si>
  <si>
    <t>Objetivo</t>
  </si>
  <si>
    <t>Diferença</t>
  </si>
  <si>
    <t>Total Dia</t>
  </si>
  <si>
    <t>Total Noite</t>
  </si>
  <si>
    <t>Acumulado</t>
  </si>
  <si>
    <t>pcs</t>
  </si>
  <si>
    <t>MODELO</t>
  </si>
  <si>
    <t>Ocorrências</t>
  </si>
  <si>
    <t>Diurno</t>
  </si>
  <si>
    <t>Noturno</t>
  </si>
  <si>
    <t>it</t>
  </si>
  <si>
    <t>it.</t>
  </si>
  <si>
    <t>Operação</t>
  </si>
  <si>
    <t>Sub-Total Dia</t>
  </si>
  <si>
    <t>Sub-Total Noite</t>
  </si>
  <si>
    <t>Calculo</t>
  </si>
  <si>
    <t>Maior</t>
  </si>
  <si>
    <t>Corresp.</t>
  </si>
  <si>
    <t>Inspetor:</t>
  </si>
  <si>
    <t>Data:</t>
  </si>
  <si>
    <t>Produção:</t>
  </si>
  <si>
    <t>Controle da Qualidade:</t>
  </si>
  <si>
    <t>S/ ANEL VERMELHO</t>
  </si>
  <si>
    <t>S/ CAP</t>
  </si>
  <si>
    <t>DEFEITO BLINDAGEM</t>
  </si>
  <si>
    <t>S/ ARRUELA / ARR. DESLOCADA</t>
  </si>
  <si>
    <t>S/ BOTTOM PLATE</t>
  </si>
  <si>
    <t xml:space="preserve">S/ ARRUELA </t>
  </si>
  <si>
    <t>NOTURNO</t>
  </si>
  <si>
    <t>TSHB</t>
  </si>
  <si>
    <t>SN</t>
  </si>
  <si>
    <t>MANCHADA</t>
  </si>
  <si>
    <t>RISCADA</t>
  </si>
  <si>
    <t>CH. RISCADA</t>
  </si>
  <si>
    <t>CH. MANCHADA</t>
  </si>
  <si>
    <t>FALHAS NÃO RECUPERÁVEIS DO ACABAMENTO UM-3 - TESTADOR</t>
  </si>
  <si>
    <t>3SH1</t>
  </si>
  <si>
    <t>3SH2</t>
  </si>
  <si>
    <t>Mês / Ano
JULHO/2015</t>
  </si>
  <si>
    <t>Planilhas Bloqueadas após fechamento do mês:</t>
  </si>
  <si>
    <t>Senhas: PANA.AAMM.CQ</t>
  </si>
  <si>
    <t>AA - Ano com 2 digitos</t>
  </si>
  <si>
    <t>MM - Mês com 2 dígitos</t>
  </si>
  <si>
    <t>FUNDO SUJO</t>
  </si>
  <si>
    <t>Visto CQ</t>
  </si>
  <si>
    <t>Visto Supervisor</t>
  </si>
  <si>
    <t>FALHAS NÃO RECUPERÁVEIS DO ACABAMENTO UM-3 (TESTADOR)</t>
  </si>
  <si>
    <t>,</t>
  </si>
  <si>
    <t>Problemas</t>
  </si>
  <si>
    <t>Mês / 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</si>
</sst>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)"/>
    <numFmt numFmtId="165" formatCode="d/m;@"/>
  </numFmts>
  <fonts count="2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i/>
      <sz val="16"/>
      <name val="Helv"/>
      <family val="2"/>
    </font>
    <font>
      <sz val="10"/>
      <name val="Arial"/>
      <family val="2"/>
    </font>
    <font>
      <sz val="11"/>
      <name val="ＭＳ Ｐゴシック"/>
      <charset val="128"/>
    </font>
    <font>
      <b/>
      <sz val="14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9"/>
      <name val="Arial"/>
      <family val="2"/>
    </font>
    <font>
      <sz val="10"/>
      <name val="Arial"/>
      <family val="2"/>
    </font>
    <font>
      <sz val="22"/>
      <name val="Arial"/>
      <family val="2"/>
    </font>
    <font>
      <sz val="14"/>
      <name val="Arial"/>
      <family val="2"/>
    </font>
    <font>
      <sz val="10"/>
      <color theme="3" tint="0.39997558519241921"/>
      <name val="Arial"/>
      <family val="2"/>
    </font>
    <font>
      <b/>
      <sz val="12"/>
      <color rgb="FFFF0000"/>
      <name val="Arial"/>
      <family val="2"/>
    </font>
    <font>
      <sz val="8"/>
      <color rgb="FF000000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 diagonalDown="1"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 diagonalDown="1"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38" fontId="1" fillId="2" borderId="0" applyNumberFormat="0" applyBorder="0" applyAlignment="0" applyProtection="0"/>
    <xf numFmtId="10" fontId="1" fillId="3" borderId="1" applyNumberFormat="0" applyBorder="0" applyAlignment="0" applyProtection="0"/>
    <xf numFmtId="164" fontId="3" fillId="0" borderId="0"/>
    <xf numFmtId="0" fontId="2" fillId="0" borderId="0"/>
    <xf numFmtId="10" fontId="4" fillId="0" borderId="0" applyFont="0" applyFill="0" applyBorder="0" applyAlignment="0" applyProtection="0"/>
    <xf numFmtId="0" fontId="5" fillId="0" borderId="0"/>
  </cellStyleXfs>
  <cellXfs count="184">
    <xf numFmtId="0" fontId="0" fillId="0" borderId="0" xfId="0"/>
    <xf numFmtId="0" fontId="1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0" fillId="2" borderId="4" xfId="0" applyFont="1" applyFill="1" applyBorder="1" applyAlignment="1">
      <alignment horizontal="center"/>
    </xf>
    <xf numFmtId="0" fontId="10" fillId="2" borderId="5" xfId="0" applyFont="1" applyFill="1" applyBorder="1" applyAlignment="1">
      <alignment horizontal="center"/>
    </xf>
    <xf numFmtId="0" fontId="10" fillId="2" borderId="6" xfId="0" applyFont="1" applyFill="1" applyBorder="1" applyAlignment="1">
      <alignment horizontal="center"/>
    </xf>
    <xf numFmtId="3" fontId="0" fillId="0" borderId="7" xfId="0" applyNumberFormat="1" applyBorder="1"/>
    <xf numFmtId="3" fontId="0" fillId="0" borderId="8" xfId="0" applyNumberFormat="1" applyBorder="1"/>
    <xf numFmtId="3" fontId="0" fillId="0" borderId="9" xfId="0" applyNumberFormat="1" applyBorder="1"/>
    <xf numFmtId="3" fontId="0" fillId="0" borderId="5" xfId="0" applyNumberFormat="1" applyBorder="1"/>
    <xf numFmtId="3" fontId="0" fillId="0" borderId="10" xfId="0" applyNumberFormat="1" applyBorder="1" applyAlignment="1">
      <alignment horizontal="center"/>
    </xf>
    <xf numFmtId="3" fontId="0" fillId="0" borderId="11" xfId="0" applyNumberFormat="1" applyBorder="1"/>
    <xf numFmtId="3" fontId="0" fillId="0" borderId="12" xfId="0" applyNumberFormat="1" applyBorder="1"/>
    <xf numFmtId="3" fontId="0" fillId="0" borderId="13" xfId="0" applyNumberFormat="1" applyBorder="1"/>
    <xf numFmtId="3" fontId="0" fillId="0" borderId="14" xfId="0" applyNumberFormat="1" applyBorder="1"/>
    <xf numFmtId="3" fontId="0" fillId="0" borderId="1" xfId="0" applyNumberFormat="1" applyBorder="1"/>
    <xf numFmtId="3" fontId="0" fillId="0" borderId="15" xfId="0" applyNumberFormat="1" applyBorder="1"/>
    <xf numFmtId="3" fontId="0" fillId="0" borderId="16" xfId="0" applyNumberFormat="1" applyBorder="1"/>
    <xf numFmtId="3" fontId="0" fillId="0" borderId="17" xfId="0" applyNumberFormat="1" applyBorder="1"/>
    <xf numFmtId="3" fontId="0" fillId="0" borderId="18" xfId="0" applyNumberFormat="1" applyBorder="1"/>
    <xf numFmtId="3" fontId="0" fillId="0" borderId="19" xfId="0" applyNumberFormat="1" applyBorder="1"/>
    <xf numFmtId="3" fontId="0" fillId="0" borderId="20" xfId="0" applyNumberFormat="1" applyBorder="1"/>
    <xf numFmtId="3" fontId="0" fillId="0" borderId="21" xfId="0" applyNumberFormat="1" applyBorder="1"/>
    <xf numFmtId="3" fontId="0" fillId="0" borderId="22" xfId="0" applyNumberFormat="1" applyBorder="1" applyAlignment="1">
      <alignment horizontal="center"/>
    </xf>
    <xf numFmtId="3" fontId="0" fillId="0" borderId="23" xfId="0" applyNumberFormat="1" applyBorder="1"/>
    <xf numFmtId="3" fontId="0" fillId="0" borderId="24" xfId="0" applyNumberFormat="1" applyBorder="1"/>
    <xf numFmtId="3" fontId="0" fillId="0" borderId="25" xfId="0" applyNumberFormat="1" applyBorder="1"/>
    <xf numFmtId="3" fontId="0" fillId="0" borderId="26" xfId="0" applyNumberFormat="1" applyBorder="1"/>
    <xf numFmtId="0" fontId="10" fillId="0" borderId="19" xfId="0" applyFont="1" applyBorder="1"/>
    <xf numFmtId="0" fontId="10" fillId="0" borderId="1" xfId="0" applyFont="1" applyBorder="1"/>
    <xf numFmtId="0" fontId="10" fillId="0" borderId="17" xfId="0" applyFont="1" applyBorder="1"/>
    <xf numFmtId="0" fontId="0" fillId="0" borderId="27" xfId="0" applyBorder="1" applyAlignment="1">
      <alignment horizontal="left"/>
    </xf>
    <xf numFmtId="0" fontId="8" fillId="0" borderId="28" xfId="0" applyFont="1" applyBorder="1" applyAlignment="1">
      <alignment horizontal="left" vertical="center"/>
    </xf>
    <xf numFmtId="0" fontId="8" fillId="0" borderId="29" xfId="0" applyFont="1" applyBorder="1" applyAlignment="1">
      <alignment horizontal="left" vertical="center"/>
    </xf>
    <xf numFmtId="0" fontId="9" fillId="0" borderId="30" xfId="0" applyFont="1" applyBorder="1" applyAlignment="1">
      <alignment horizontal="left" vertical="center"/>
    </xf>
    <xf numFmtId="0" fontId="8" fillId="0" borderId="31" xfId="0" applyFont="1" applyBorder="1" applyAlignment="1">
      <alignment horizontal="left" vertical="center"/>
    </xf>
    <xf numFmtId="0" fontId="9" fillId="0" borderId="32" xfId="0" applyFont="1" applyBorder="1" applyAlignment="1">
      <alignment horizontal="left" vertical="center"/>
    </xf>
    <xf numFmtId="0" fontId="10" fillId="0" borderId="20" xfId="0" applyFont="1" applyBorder="1"/>
    <xf numFmtId="3" fontId="10" fillId="0" borderId="33" xfId="0" applyNumberFormat="1" applyFont="1" applyBorder="1"/>
    <xf numFmtId="3" fontId="0" fillId="0" borderId="34" xfId="0" applyNumberFormat="1" applyBorder="1"/>
    <xf numFmtId="0" fontId="0" fillId="0" borderId="35" xfId="0" applyBorder="1"/>
    <xf numFmtId="0" fontId="8" fillId="0" borderId="36" xfId="0" applyFont="1" applyBorder="1" applyAlignment="1">
      <alignment horizontal="left" vertical="center"/>
    </xf>
    <xf numFmtId="0" fontId="0" fillId="0" borderId="1" xfId="0" applyBorder="1"/>
    <xf numFmtId="0" fontId="10" fillId="0" borderId="0" xfId="0" applyFont="1"/>
    <xf numFmtId="0" fontId="13" fillId="0" borderId="0" xfId="0" applyFont="1"/>
    <xf numFmtId="0" fontId="10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3" fontId="0" fillId="0" borderId="1" xfId="0" applyNumberFormat="1" applyBorder="1" applyAlignment="1">
      <alignment horizontal="center"/>
    </xf>
    <xf numFmtId="3" fontId="0" fillId="0" borderId="37" xfId="0" applyNumberFormat="1" applyBorder="1" applyAlignment="1">
      <alignment horizontal="center"/>
    </xf>
    <xf numFmtId="0" fontId="8" fillId="0" borderId="1" xfId="0" applyFont="1" applyBorder="1" applyAlignment="1">
      <alignment horizontal="left" vertical="center"/>
    </xf>
    <xf numFmtId="0" fontId="8" fillId="0" borderId="1" xfId="0" applyFont="1" applyBorder="1" applyAlignment="1">
      <alignment horizontal="right" vertical="center"/>
    </xf>
    <xf numFmtId="0" fontId="9" fillId="0" borderId="1" xfId="0" applyFont="1" applyBorder="1" applyAlignment="1">
      <alignment horizontal="left" vertical="center"/>
    </xf>
    <xf numFmtId="0" fontId="0" fillId="2" borderId="1" xfId="0" applyFill="1" applyBorder="1"/>
    <xf numFmtId="0" fontId="10" fillId="0" borderId="1" xfId="0" applyFont="1" applyBorder="1" applyAlignment="1" applyProtection="1">
      <alignment horizontal="center"/>
      <protection locked="0"/>
    </xf>
    <xf numFmtId="0" fontId="10" fillId="0" borderId="34" xfId="0" applyFont="1" applyBorder="1" applyAlignment="1" applyProtection="1">
      <alignment horizontal="center"/>
      <protection locked="0"/>
    </xf>
    <xf numFmtId="0" fontId="4" fillId="0" borderId="17" xfId="0" applyFont="1" applyBorder="1" applyAlignment="1" applyProtection="1">
      <alignment horizontal="center" shrinkToFit="1"/>
      <protection locked="0"/>
    </xf>
    <xf numFmtId="0" fontId="0" fillId="0" borderId="17" xfId="0" applyBorder="1" applyAlignment="1" applyProtection="1">
      <alignment shrinkToFit="1"/>
      <protection locked="0"/>
    </xf>
    <xf numFmtId="0" fontId="0" fillId="0" borderId="17" xfId="0" applyBorder="1" applyAlignment="1" applyProtection="1">
      <alignment horizontal="center" shrinkToFit="1"/>
      <protection locked="0"/>
    </xf>
    <xf numFmtId="0" fontId="0" fillId="0" borderId="19" xfId="0" applyBorder="1" applyAlignment="1" applyProtection="1">
      <alignment horizontal="center"/>
      <protection locked="0"/>
    </xf>
    <xf numFmtId="0" fontId="0" fillId="0" borderId="38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34" xfId="0" applyBorder="1" applyAlignment="1" applyProtection="1">
      <alignment horizontal="center"/>
      <protection locked="0"/>
    </xf>
    <xf numFmtId="1" fontId="10" fillId="0" borderId="23" xfId="0" applyNumberFormat="1" applyFont="1" applyBorder="1"/>
    <xf numFmtId="0" fontId="12" fillId="0" borderId="1" xfId="0" applyFont="1" applyBorder="1" applyAlignment="1" applyProtection="1">
      <alignment horizontal="center" vertical="center" textRotation="90" wrapText="1"/>
      <protection locked="0"/>
    </xf>
    <xf numFmtId="0" fontId="8" fillId="0" borderId="39" xfId="0" applyFont="1" applyBorder="1" applyAlignment="1">
      <alignment horizontal="left" vertical="center"/>
    </xf>
    <xf numFmtId="0" fontId="8" fillId="0" borderId="39" xfId="0" applyFont="1" applyBorder="1" applyAlignment="1">
      <alignment horizontal="left" vertical="center" wrapText="1"/>
    </xf>
    <xf numFmtId="0" fontId="2" fillId="0" borderId="0" xfId="0" applyFont="1"/>
    <xf numFmtId="0" fontId="14" fillId="0" borderId="0" xfId="0" applyFont="1" applyAlignment="1">
      <alignment horizontal="left" vertical="center"/>
    </xf>
    <xf numFmtId="0" fontId="15" fillId="0" borderId="0" xfId="0" applyFont="1"/>
    <xf numFmtId="3" fontId="15" fillId="0" borderId="0" xfId="0" applyNumberFormat="1" applyFont="1"/>
    <xf numFmtId="3" fontId="0" fillId="0" borderId="40" xfId="0" applyNumberFormat="1" applyBorder="1"/>
    <xf numFmtId="0" fontId="10" fillId="0" borderId="19" xfId="0" applyFont="1" applyBorder="1" applyAlignment="1">
      <alignment shrinkToFit="1"/>
    </xf>
    <xf numFmtId="0" fontId="10" fillId="0" borderId="38" xfId="0" applyFont="1" applyBorder="1"/>
    <xf numFmtId="0" fontId="0" fillId="0" borderId="17" xfId="0" applyBorder="1"/>
    <xf numFmtId="0" fontId="1" fillId="0" borderId="1" xfId="0" applyFont="1" applyBorder="1" applyAlignment="1" applyProtection="1">
      <alignment horizontal="center" vertical="center" textRotation="90" wrapText="1"/>
      <protection locked="0"/>
    </xf>
    <xf numFmtId="3" fontId="0" fillId="0" borderId="0" xfId="0" applyNumberFormat="1"/>
    <xf numFmtId="1" fontId="0" fillId="0" borderId="0" xfId="0" applyNumberFormat="1"/>
    <xf numFmtId="0" fontId="6" fillId="0" borderId="0" xfId="0" applyFont="1" applyAlignment="1">
      <alignment horizontal="centerContinuous" vertical="center"/>
    </xf>
    <xf numFmtId="0" fontId="0" fillId="0" borderId="42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0" fontId="8" fillId="0" borderId="42" xfId="0" applyFont="1" applyBorder="1" applyAlignment="1">
      <alignment horizontal="center" vertical="center"/>
    </xf>
    <xf numFmtId="0" fontId="8" fillId="0" borderId="39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34" xfId="0" applyBorder="1" applyAlignment="1">
      <alignment horizontal="center"/>
    </xf>
    <xf numFmtId="0" fontId="8" fillId="0" borderId="39" xfId="0" applyFont="1" applyBorder="1" applyAlignment="1">
      <alignment horizontal="center" vertical="center" wrapText="1"/>
    </xf>
    <xf numFmtId="0" fontId="8" fillId="0" borderId="36" xfId="0" applyFont="1" applyBorder="1" applyAlignment="1">
      <alignment horizontal="center" vertical="center"/>
    </xf>
    <xf numFmtId="0" fontId="9" fillId="0" borderId="36" xfId="0" applyFont="1" applyBorder="1" applyAlignment="1">
      <alignment horizontal="center" vertical="center"/>
    </xf>
    <xf numFmtId="0" fontId="9" fillId="0" borderId="43" xfId="0" applyFont="1" applyBorder="1" applyAlignment="1">
      <alignment horizontal="center" vertical="center"/>
    </xf>
    <xf numFmtId="1" fontId="0" fillId="0" borderId="17" xfId="0" applyNumberFormat="1" applyBorder="1" applyAlignment="1">
      <alignment horizontal="center" shrinkToFit="1"/>
    </xf>
    <xf numFmtId="1" fontId="0" fillId="0" borderId="35" xfId="0" applyNumberFormat="1" applyBorder="1" applyAlignment="1">
      <alignment horizontal="center" shrinkToFit="1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44" xfId="0" applyBorder="1" applyAlignment="1">
      <alignment vertical="top"/>
    </xf>
    <xf numFmtId="0" fontId="0" fillId="0" borderId="45" xfId="0" applyBorder="1" applyAlignment="1">
      <alignment vertical="top"/>
    </xf>
    <xf numFmtId="0" fontId="0" fillId="0" borderId="46" xfId="0" applyBorder="1" applyAlignment="1">
      <alignment vertical="top"/>
    </xf>
    <xf numFmtId="0" fontId="0" fillId="0" borderId="43" xfId="0" applyBorder="1"/>
    <xf numFmtId="0" fontId="0" fillId="0" borderId="9" xfId="0" applyBorder="1"/>
    <xf numFmtId="0" fontId="0" fillId="0" borderId="47" xfId="0" applyBorder="1"/>
    <xf numFmtId="1" fontId="0" fillId="0" borderId="0" xfId="0" applyNumberFormat="1" applyAlignment="1">
      <alignment shrinkToFit="1"/>
    </xf>
    <xf numFmtId="0" fontId="0" fillId="0" borderId="1" xfId="0" applyBorder="1" applyAlignment="1">
      <alignment horizontal="center" vertical="center" textRotation="90"/>
    </xf>
    <xf numFmtId="0" fontId="0" fillId="0" borderId="1" xfId="0" applyBorder="1" applyProtection="1">
      <protection locked="0"/>
    </xf>
    <xf numFmtId="1" fontId="0" fillId="0" borderId="1" xfId="0" applyNumberFormat="1" applyBorder="1"/>
    <xf numFmtId="0" fontId="1" fillId="0" borderId="17" xfId="0" applyFont="1" applyBorder="1" applyAlignment="1" applyProtection="1">
      <alignment horizontal="center" shrinkToFit="1"/>
      <protection locked="0"/>
    </xf>
    <xf numFmtId="0" fontId="12" fillId="0" borderId="17" xfId="0" applyFont="1" applyBorder="1" applyAlignment="1" applyProtection="1">
      <alignment horizontal="center" shrinkToFit="1"/>
      <protection locked="0"/>
    </xf>
    <xf numFmtId="0" fontId="10" fillId="4" borderId="1" xfId="0" applyFont="1" applyFill="1" applyBorder="1" applyAlignment="1" applyProtection="1">
      <alignment horizontal="center"/>
      <protection locked="0"/>
    </xf>
    <xf numFmtId="0" fontId="10" fillId="4" borderId="34" xfId="0" applyFont="1" applyFill="1" applyBorder="1" applyAlignment="1" applyProtection="1">
      <alignment horizontal="center"/>
      <protection locked="0"/>
    </xf>
    <xf numFmtId="0" fontId="11" fillId="5" borderId="19" xfId="0" applyFont="1" applyFill="1" applyBorder="1" applyAlignment="1" applyProtection="1">
      <alignment horizontal="center"/>
      <protection locked="0"/>
    </xf>
    <xf numFmtId="0" fontId="11" fillId="5" borderId="11" xfId="0" applyFont="1" applyFill="1" applyBorder="1" applyAlignment="1" applyProtection="1">
      <alignment horizontal="center"/>
      <protection locked="0"/>
    </xf>
    <xf numFmtId="0" fontId="11" fillId="5" borderId="41" xfId="0" applyFont="1" applyFill="1" applyBorder="1" applyAlignment="1" applyProtection="1">
      <alignment horizontal="center"/>
      <protection locked="0"/>
    </xf>
    <xf numFmtId="0" fontId="1" fillId="6" borderId="17" xfId="0" applyFont="1" applyFill="1" applyBorder="1" applyAlignment="1" applyProtection="1">
      <alignment horizontal="center" shrinkToFit="1"/>
      <protection locked="0"/>
    </xf>
    <xf numFmtId="0" fontId="12" fillId="6" borderId="17" xfId="0" applyFont="1" applyFill="1" applyBorder="1" applyAlignment="1" applyProtection="1">
      <alignment horizontal="center" shrinkToFit="1"/>
      <protection locked="0"/>
    </xf>
    <xf numFmtId="0" fontId="0" fillId="6" borderId="17" xfId="0" applyFill="1" applyBorder="1" applyAlignment="1" applyProtection="1">
      <alignment shrinkToFit="1"/>
      <protection locked="0"/>
    </xf>
    <xf numFmtId="0" fontId="4" fillId="6" borderId="17" xfId="0" applyFont="1" applyFill="1" applyBorder="1" applyAlignment="1" applyProtection="1">
      <alignment horizontal="center" shrinkToFit="1"/>
      <protection locked="0"/>
    </xf>
    <xf numFmtId="0" fontId="0" fillId="6" borderId="17" xfId="0" applyFill="1" applyBorder="1" applyAlignment="1" applyProtection="1">
      <alignment horizontal="center" shrinkToFit="1"/>
      <protection locked="0"/>
    </xf>
    <xf numFmtId="0" fontId="0" fillId="6" borderId="35" xfId="0" applyFill="1" applyBorder="1" applyAlignment="1" applyProtection="1">
      <alignment horizontal="center" shrinkToFit="1"/>
      <protection locked="0"/>
    </xf>
    <xf numFmtId="0" fontId="2" fillId="0" borderId="19" xfId="0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34" xfId="0" applyFont="1" applyBorder="1" applyAlignment="1" applyProtection="1">
      <alignment horizontal="center"/>
      <protection locked="0"/>
    </xf>
    <xf numFmtId="1" fontId="0" fillId="7" borderId="17" xfId="0" applyNumberFormat="1" applyFill="1" applyBorder="1" applyAlignment="1">
      <alignment horizontal="center" shrinkToFit="1"/>
    </xf>
    <xf numFmtId="1" fontId="0" fillId="7" borderId="35" xfId="0" applyNumberFormat="1" applyFill="1" applyBorder="1" applyAlignment="1">
      <alignment horizontal="center" shrinkToFit="1"/>
    </xf>
    <xf numFmtId="0" fontId="16" fillId="8" borderId="0" xfId="4" applyFont="1" applyFill="1"/>
    <xf numFmtId="0" fontId="2" fillId="8" borderId="0" xfId="4" applyFill="1"/>
    <xf numFmtId="0" fontId="17" fillId="8" borderId="0" xfId="4" applyFont="1" applyFill="1"/>
    <xf numFmtId="0" fontId="18" fillId="8" borderId="0" xfId="4" applyFont="1" applyFill="1"/>
    <xf numFmtId="0" fontId="8" fillId="0" borderId="48" xfId="0" applyFont="1" applyBorder="1" applyAlignment="1">
      <alignment horizontal="left" vertical="center"/>
    </xf>
    <xf numFmtId="0" fontId="9" fillId="0" borderId="49" xfId="0" applyFont="1" applyBorder="1" applyAlignment="1">
      <alignment horizontal="center" vertical="center"/>
    </xf>
    <xf numFmtId="1" fontId="0" fillId="0" borderId="18" xfId="0" applyNumberFormat="1" applyBorder="1" applyAlignment="1">
      <alignment horizontal="center" shrinkToFit="1"/>
    </xf>
    <xf numFmtId="1" fontId="0" fillId="0" borderId="50" xfId="0" applyNumberFormat="1" applyBorder="1" applyAlignment="1">
      <alignment horizontal="center" shrinkToFit="1"/>
    </xf>
    <xf numFmtId="0" fontId="0" fillId="0" borderId="49" xfId="0" applyBorder="1" applyAlignment="1">
      <alignment vertical="top"/>
    </xf>
    <xf numFmtId="0" fontId="0" fillId="0" borderId="0" xfId="0" applyAlignment="1">
      <alignment vertical="top"/>
    </xf>
    <xf numFmtId="0" fontId="0" fillId="0" borderId="51" xfId="0" applyBorder="1" applyAlignment="1">
      <alignment vertical="top"/>
    </xf>
    <xf numFmtId="0" fontId="9" fillId="0" borderId="52" xfId="0" applyFont="1" applyBorder="1" applyAlignment="1">
      <alignment horizontal="center" vertical="center"/>
    </xf>
    <xf numFmtId="1" fontId="0" fillId="0" borderId="19" xfId="0" applyNumberFormat="1" applyBorder="1" applyAlignment="1">
      <alignment horizontal="center" shrinkToFit="1"/>
    </xf>
    <xf numFmtId="1" fontId="0" fillId="0" borderId="38" xfId="0" applyNumberFormat="1" applyBorder="1" applyAlignment="1">
      <alignment horizontal="center" shrinkToFit="1"/>
    </xf>
    <xf numFmtId="0" fontId="9" fillId="0" borderId="53" xfId="0" applyFont="1" applyBorder="1" applyAlignment="1">
      <alignment horizontal="center" vertical="center"/>
    </xf>
    <xf numFmtId="1" fontId="0" fillId="0" borderId="19" xfId="0" applyNumberFormat="1" applyBorder="1" applyAlignment="1" applyProtection="1">
      <alignment horizontal="center" shrinkToFit="1"/>
      <protection locked="0"/>
    </xf>
    <xf numFmtId="1" fontId="0" fillId="0" borderId="38" xfId="0" applyNumberFormat="1" applyBorder="1" applyAlignment="1" applyProtection="1">
      <alignment horizontal="center" shrinkToFit="1"/>
      <protection locked="0"/>
    </xf>
    <xf numFmtId="1" fontId="0" fillId="0" borderId="17" xfId="0" applyNumberFormat="1" applyBorder="1" applyAlignment="1" applyProtection="1">
      <alignment horizontal="center" shrinkToFit="1"/>
      <protection locked="0"/>
    </xf>
    <xf numFmtId="1" fontId="0" fillId="0" borderId="35" xfId="0" applyNumberFormat="1" applyBorder="1" applyAlignment="1" applyProtection="1">
      <alignment horizontal="center" shrinkToFit="1"/>
      <protection locked="0"/>
    </xf>
    <xf numFmtId="0" fontId="0" fillId="0" borderId="1" xfId="0" quotePrefix="1" applyBorder="1" applyAlignment="1" applyProtection="1">
      <alignment horizontal="center"/>
      <protection locked="0"/>
    </xf>
    <xf numFmtId="0" fontId="0" fillId="0" borderId="9" xfId="0" applyBorder="1" applyAlignment="1">
      <alignment wrapText="1"/>
    </xf>
    <xf numFmtId="3" fontId="0" fillId="0" borderId="35" xfId="0" applyNumberFormat="1" applyBorder="1" applyAlignment="1" applyProtection="1">
      <alignment horizontal="center" shrinkToFit="1"/>
      <protection locked="0"/>
    </xf>
    <xf numFmtId="0" fontId="10" fillId="0" borderId="41" xfId="0" applyFont="1" applyBorder="1" applyAlignment="1" applyProtection="1">
      <alignment horizontal="center"/>
      <protection locked="0"/>
    </xf>
    <xf numFmtId="0" fontId="10" fillId="2" borderId="55" xfId="0" applyFont="1" applyFill="1" applyBorder="1" applyAlignment="1">
      <alignment horizontal="center"/>
    </xf>
    <xf numFmtId="165" fontId="11" fillId="0" borderId="19" xfId="0" applyNumberFormat="1" applyFont="1" applyBorder="1" applyAlignment="1" applyProtection="1">
      <alignment horizontal="center"/>
      <protection locked="0"/>
    </xf>
    <xf numFmtId="165" fontId="11" fillId="0" borderId="11" xfId="0" applyNumberFormat="1" applyFont="1" applyBorder="1" applyAlignment="1" applyProtection="1">
      <alignment horizontal="center"/>
      <protection locked="0"/>
    </xf>
    <xf numFmtId="0" fontId="7" fillId="0" borderId="49" xfId="0" applyFont="1" applyBorder="1" applyAlignment="1">
      <alignment horizontal="left" vertical="center" textRotation="90"/>
    </xf>
    <xf numFmtId="0" fontId="7" fillId="0" borderId="43" xfId="0" applyFont="1" applyBorder="1" applyAlignment="1">
      <alignment horizontal="left" vertical="center" textRotation="90"/>
    </xf>
    <xf numFmtId="0" fontId="2" fillId="0" borderId="45" xfId="0" applyFont="1" applyBorder="1" applyAlignment="1">
      <alignment horizontal="center" vertical="center" textRotation="90" wrapText="1"/>
    </xf>
    <xf numFmtId="0" fontId="2" fillId="0" borderId="0" xfId="0" applyFont="1" applyAlignment="1">
      <alignment horizontal="center" vertical="center" textRotation="90" wrapText="1"/>
    </xf>
    <xf numFmtId="0" fontId="2" fillId="0" borderId="9" xfId="0" applyFont="1" applyBorder="1" applyAlignment="1">
      <alignment horizontal="center" vertical="center" textRotation="90" wrapText="1"/>
    </xf>
    <xf numFmtId="0" fontId="19" fillId="0" borderId="45" xfId="0" applyFont="1" applyBorder="1" applyAlignment="1">
      <alignment horizontal="center" vertical="center" textRotation="90" wrapText="1"/>
    </xf>
    <xf numFmtId="0" fontId="19" fillId="0" borderId="0" xfId="0" applyFont="1" applyAlignment="1">
      <alignment horizontal="center" vertical="center" textRotation="90" wrapText="1"/>
    </xf>
    <xf numFmtId="0" fontId="19" fillId="0" borderId="9" xfId="0" applyFont="1" applyBorder="1" applyAlignment="1">
      <alignment horizontal="center" vertical="center" textRotation="90" wrapText="1"/>
    </xf>
    <xf numFmtId="0" fontId="2" fillId="0" borderId="23" xfId="0" applyFont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2" fillId="0" borderId="46" xfId="0" applyFont="1" applyBorder="1" applyAlignment="1">
      <alignment horizontal="center" vertical="center" textRotation="90" wrapText="1"/>
    </xf>
    <xf numFmtId="0" fontId="2" fillId="0" borderId="51" xfId="0" applyFont="1" applyBorder="1" applyAlignment="1">
      <alignment horizontal="center" vertical="center" textRotation="90" wrapText="1"/>
    </xf>
    <xf numFmtId="0" fontId="2" fillId="0" borderId="47" xfId="0" applyFont="1" applyBorder="1" applyAlignment="1">
      <alignment horizontal="center" vertical="center" textRotation="90" wrapText="1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2" fillId="0" borderId="45" xfId="0" applyFont="1" applyBorder="1" applyAlignment="1">
      <alignment horizontal="left" vertical="center" textRotation="90" wrapText="1"/>
    </xf>
    <xf numFmtId="0" fontId="2" fillId="0" borderId="0" xfId="0" applyFont="1" applyAlignment="1">
      <alignment horizontal="left" vertical="center" textRotation="90" wrapText="1"/>
    </xf>
    <xf numFmtId="0" fontId="2" fillId="0" borderId="9" xfId="0" applyFont="1" applyBorder="1" applyAlignment="1">
      <alignment horizontal="left" vertical="center" textRotation="90" wrapText="1"/>
    </xf>
    <xf numFmtId="0" fontId="10" fillId="0" borderId="54" xfId="0" applyFont="1" applyBorder="1" applyAlignment="1">
      <alignment horizontal="left"/>
    </xf>
    <xf numFmtId="0" fontId="10" fillId="0" borderId="30" xfId="0" applyFont="1" applyBorder="1" applyAlignment="1">
      <alignment horizontal="left"/>
    </xf>
    <xf numFmtId="0" fontId="10" fillId="0" borderId="39" xfId="0" applyFont="1" applyBorder="1" applyAlignment="1">
      <alignment horizontal="left"/>
    </xf>
    <xf numFmtId="0" fontId="10" fillId="0" borderId="29" xfId="0" applyFont="1" applyBorder="1" applyAlignment="1">
      <alignment horizontal="left"/>
    </xf>
    <xf numFmtId="0" fontId="0" fillId="0" borderId="21" xfId="0" applyBorder="1" applyAlignment="1">
      <alignment horizontal="center" vertical="center" textRotation="90"/>
    </xf>
    <xf numFmtId="0" fontId="0" fillId="0" borderId="15" xfId="0" applyBorder="1" applyAlignment="1">
      <alignment horizontal="center" vertical="center" textRotation="90"/>
    </xf>
    <xf numFmtId="0" fontId="0" fillId="0" borderId="40" xfId="0" applyBorder="1" applyAlignment="1">
      <alignment horizontal="center" vertical="center" textRotation="90"/>
    </xf>
    <xf numFmtId="0" fontId="0" fillId="0" borderId="25" xfId="0" applyBorder="1" applyAlignment="1">
      <alignment horizontal="center" vertical="center" textRotation="90"/>
    </xf>
    <xf numFmtId="0" fontId="8" fillId="0" borderId="52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53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10" fillId="0" borderId="52" xfId="0" applyFont="1" applyBorder="1" applyAlignment="1">
      <alignment horizontal="left"/>
    </xf>
    <xf numFmtId="0" fontId="10" fillId="0" borderId="19" xfId="0" applyFont="1" applyBorder="1" applyAlignment="1">
      <alignment horizontal="left"/>
    </xf>
    <xf numFmtId="0" fontId="10" fillId="2" borderId="1" xfId="0" applyFont="1" applyFill="1" applyBorder="1" applyAlignment="1">
      <alignment horizontal="center"/>
    </xf>
  </cellXfs>
  <cellStyles count="7">
    <cellStyle name="Grey" xfId="1" xr:uid="{00000000-0005-0000-0000-000000000000}"/>
    <cellStyle name="Input [yellow]" xfId="2" xr:uid="{00000000-0005-0000-0000-000001000000}"/>
    <cellStyle name="Normal" xfId="0" builtinId="0"/>
    <cellStyle name="Normal - Style1" xfId="3" xr:uid="{00000000-0005-0000-0000-000003000000}"/>
    <cellStyle name="Normal 2" xfId="4" xr:uid="{00000000-0005-0000-0000-000004000000}"/>
    <cellStyle name="Percent [2]" xfId="5" xr:uid="{00000000-0005-0000-0000-000005000000}"/>
    <cellStyle name="標準_品質検査" xfId="6" xr:uid="{00000000-0005-0000-0000-000006000000}"/>
  </cellStyles>
  <dxfs count="3"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</dxfs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4371281011444278E-2"/>
          <c:y val="4.1558494265541632E-2"/>
          <c:w val="0.92739554852534256"/>
          <c:h val="0.91948168562510857"/>
        </c:manualLayout>
      </c:layout>
      <c:lineChart>
        <c:grouping val="standard"/>
        <c:varyColors val="0"/>
        <c:ser>
          <c:idx val="0"/>
          <c:order val="0"/>
          <c:tx>
            <c:strRef>
              <c:f>Instrução!$AF$2</c:f>
              <c:strCache>
                <c:ptCount val="1"/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Instrução!$B$2:$AF$2</c:f>
              <c:numCache>
                <c:formatCode>General</c:formatCode>
                <c:ptCount val="31"/>
              </c:numCache>
            </c:numRef>
          </c:cat>
          <c:val>
            <c:numRef>
              <c:f>Instrução!$B$28:$AF$28</c:f>
              <c:numCache>
                <c:formatCode>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CC-495E-A27E-5D47B62A2E7C}"/>
            </c:ext>
          </c:extLst>
        </c:ser>
        <c:ser>
          <c:idx val="1"/>
          <c:order val="1"/>
          <c:tx>
            <c:v>Objetivo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Instrução!$B$32:$AF$32</c:f>
              <c:numCache>
                <c:formatCode>0</c:formatCode>
                <c:ptCount val="31"/>
                <c:pt idx="0">
                  <c:v>450</c:v>
                </c:pt>
                <c:pt idx="1">
                  <c:v>450</c:v>
                </c:pt>
                <c:pt idx="2">
                  <c:v>450</c:v>
                </c:pt>
                <c:pt idx="3">
                  <c:v>450</c:v>
                </c:pt>
                <c:pt idx="4">
                  <c:v>450</c:v>
                </c:pt>
                <c:pt idx="5">
                  <c:v>450</c:v>
                </c:pt>
                <c:pt idx="6">
                  <c:v>450</c:v>
                </c:pt>
                <c:pt idx="7">
                  <c:v>450</c:v>
                </c:pt>
                <c:pt idx="8">
                  <c:v>450</c:v>
                </c:pt>
                <c:pt idx="9">
                  <c:v>450</c:v>
                </c:pt>
                <c:pt idx="10">
                  <c:v>450</c:v>
                </c:pt>
                <c:pt idx="11">
                  <c:v>450</c:v>
                </c:pt>
                <c:pt idx="12">
                  <c:v>450</c:v>
                </c:pt>
                <c:pt idx="13">
                  <c:v>450</c:v>
                </c:pt>
                <c:pt idx="14">
                  <c:v>450</c:v>
                </c:pt>
                <c:pt idx="15">
                  <c:v>450</c:v>
                </c:pt>
                <c:pt idx="16">
                  <c:v>450</c:v>
                </c:pt>
                <c:pt idx="17">
                  <c:v>450</c:v>
                </c:pt>
                <c:pt idx="18">
                  <c:v>450</c:v>
                </c:pt>
                <c:pt idx="19">
                  <c:v>450</c:v>
                </c:pt>
                <c:pt idx="20">
                  <c:v>450</c:v>
                </c:pt>
                <c:pt idx="21">
                  <c:v>450</c:v>
                </c:pt>
                <c:pt idx="22">
                  <c:v>450</c:v>
                </c:pt>
                <c:pt idx="23">
                  <c:v>450</c:v>
                </c:pt>
                <c:pt idx="24">
                  <c:v>450</c:v>
                </c:pt>
                <c:pt idx="25">
                  <c:v>450</c:v>
                </c:pt>
                <c:pt idx="26">
                  <c:v>450</c:v>
                </c:pt>
                <c:pt idx="27">
                  <c:v>450</c:v>
                </c:pt>
                <c:pt idx="28">
                  <c:v>450</c:v>
                </c:pt>
                <c:pt idx="29">
                  <c:v>450</c:v>
                </c:pt>
                <c:pt idx="30">
                  <c:v>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CC-495E-A27E-5D47B62A2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156824"/>
        <c:axId val="381157208"/>
      </c:lineChart>
      <c:catAx>
        <c:axId val="381156824"/>
        <c:scaling>
          <c:orientation val="minMax"/>
        </c:scaling>
        <c:delete val="1"/>
        <c:axPos val="b"/>
        <c:minorGridlines>
          <c:spPr>
            <a:ln w="12700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crossAx val="381157208"/>
        <c:crosses val="autoZero"/>
        <c:auto val="1"/>
        <c:lblAlgn val="ctr"/>
        <c:lblOffset val="100"/>
        <c:noMultiLvlLbl val="0"/>
      </c:catAx>
      <c:valAx>
        <c:axId val="381157208"/>
        <c:scaling>
          <c:orientation val="minMax"/>
          <c:max val="1600"/>
        </c:scaling>
        <c:delete val="0"/>
        <c:axPos val="l"/>
        <c:majorGridlines>
          <c:spPr>
            <a:ln w="12700">
              <a:solidFill>
                <a:srgbClr val="000000"/>
              </a:solidFill>
              <a:prstDash val="solid"/>
            </a:ln>
          </c:spPr>
        </c:majorGridlines>
        <c:minorGridlines>
          <c:spPr>
            <a:ln w="12700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381156824"/>
        <c:crosses val="autoZero"/>
        <c:crossBetween val="between"/>
        <c:minorUnit val="50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427906500649894E-2"/>
          <c:y val="4.1558494265541632E-2"/>
          <c:w val="0.88520762719229629"/>
          <c:h val="0.91948168562510857"/>
        </c:manualLayout>
      </c:layout>
      <c:lineChart>
        <c:grouping val="standard"/>
        <c:varyColors val="0"/>
        <c:ser>
          <c:idx val="0"/>
          <c:order val="0"/>
          <c:tx>
            <c:strRef>
              <c:f>'SJCPIL-R 16-318-03 - Diurno'!$AF$2</c:f>
              <c:strCache>
                <c:ptCount val="1"/>
                <c:pt idx="0">
                  <c:v>Total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strRef>
              <c:f>'SJCPIL-R 16-318-03 - Diurno'!$B$2:$AF$2</c:f>
              <c:strCache>
                <c:ptCount val="31"/>
                <c:pt idx="30">
                  <c:v>Total</c:v>
                </c:pt>
              </c:strCache>
            </c:strRef>
          </c:cat>
          <c:val>
            <c:numRef>
              <c:f>'SJCPIL-R 16-318-03 - Diurno'!$B$28:$AE$28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F1-9F4F-936CE4BA5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999624"/>
        <c:axId val="381000008"/>
      </c:lineChart>
      <c:scatterChart>
        <c:scatterStyle val="lineMarker"/>
        <c:varyColors val="0"/>
        <c:ser>
          <c:idx val="1"/>
          <c:order val="1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'SJCPIL-R 16-318-03 - Diurno'!$B$33:$AE$33</c:f>
              <c:numCache>
                <c:formatCode>0</c:formatCode>
                <c:ptCount val="30"/>
                <c:pt idx="0">
                  <c:v>540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84-4DF1-9F4F-936CE4BA5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568168"/>
        <c:axId val="381560296"/>
      </c:scatterChart>
      <c:catAx>
        <c:axId val="380999624"/>
        <c:scaling>
          <c:orientation val="minMax"/>
        </c:scaling>
        <c:delete val="1"/>
        <c:axPos val="b"/>
        <c:minorGridlines>
          <c:spPr>
            <a:ln w="12700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crossAx val="381000008"/>
        <c:crosses val="autoZero"/>
        <c:auto val="1"/>
        <c:lblAlgn val="ctr"/>
        <c:lblOffset val="100"/>
        <c:noMultiLvlLbl val="1"/>
      </c:catAx>
      <c:valAx>
        <c:axId val="381000008"/>
        <c:scaling>
          <c:orientation val="minMax"/>
          <c:max val="800"/>
          <c:min val="0"/>
        </c:scaling>
        <c:delete val="0"/>
        <c:axPos val="l"/>
        <c:majorGridlines>
          <c:spPr>
            <a:ln w="12700">
              <a:solidFill>
                <a:srgbClr val="000000"/>
              </a:solidFill>
              <a:prstDash val="solid"/>
            </a:ln>
          </c:spPr>
        </c:majorGridlines>
        <c:minorGridlines>
          <c:spPr>
            <a:ln w="12700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380999624"/>
        <c:crosses val="autoZero"/>
        <c:crossBetween val="between"/>
      </c:valAx>
      <c:valAx>
        <c:axId val="381560296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381568168"/>
        <c:crosses val="max"/>
        <c:crossBetween val="midCat"/>
      </c:valAx>
      <c:valAx>
        <c:axId val="381568168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381560296"/>
        <c:crosses val="max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4371281011444278E-2"/>
          <c:y val="4.1558494265541632E-2"/>
          <c:w val="0.88131712212444036"/>
          <c:h val="0.91948168562510857"/>
        </c:manualLayout>
      </c:layout>
      <c:lineChart>
        <c:grouping val="standard"/>
        <c:varyColors val="0"/>
        <c:ser>
          <c:idx val="0"/>
          <c:order val="0"/>
          <c:tx>
            <c:strRef>
              <c:f>'SJCPIL-R 16-318-03 - Noturno'!$A$28</c:f>
              <c:strCache>
                <c:ptCount val="1"/>
                <c:pt idx="0">
                  <c:v>ppm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ymbol val="none"/>
          </c:marker>
          <c:val>
            <c:numRef>
              <c:f>'SJCPIL-R 16-318-03 - Noturno'!$B$28:$AE$28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D8-4A0D-BEF0-02F7C3F46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561896"/>
        <c:axId val="381560720"/>
      </c:lineChart>
      <c:scatterChart>
        <c:scatterStyle val="lineMarker"/>
        <c:varyColors val="0"/>
        <c:ser>
          <c:idx val="1"/>
          <c:order val="1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'SJCPIL-R 16-318-03 - Noturno'!$B$33:$AE$33</c:f>
              <c:numCache>
                <c:formatCode>0</c:formatCode>
                <c:ptCount val="30"/>
                <c:pt idx="0">
                  <c:v>540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D8-4A0D-BEF0-02F7C3F46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566992"/>
        <c:axId val="381563072"/>
      </c:scatterChart>
      <c:catAx>
        <c:axId val="381561896"/>
        <c:scaling>
          <c:orientation val="minMax"/>
        </c:scaling>
        <c:delete val="1"/>
        <c:axPos val="b"/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majorTickMark val="out"/>
        <c:minorTickMark val="none"/>
        <c:tickLblPos val="nextTo"/>
        <c:crossAx val="381560720"/>
        <c:crosses val="autoZero"/>
        <c:auto val="1"/>
        <c:lblAlgn val="ctr"/>
        <c:lblOffset val="100"/>
        <c:noMultiLvlLbl val="0"/>
      </c:catAx>
      <c:valAx>
        <c:axId val="381560720"/>
        <c:scaling>
          <c:orientation val="minMax"/>
          <c:max val="800"/>
          <c:min val="0"/>
        </c:scaling>
        <c:delete val="0"/>
        <c:axPos val="l"/>
        <c:majorGridlines>
          <c:spPr>
            <a:ln w="12700">
              <a:solidFill>
                <a:srgbClr val="000000"/>
              </a:solidFill>
              <a:prstDash val="solid"/>
            </a:ln>
          </c:spPr>
        </c:majorGridlines>
        <c:minorGridlines>
          <c:spPr>
            <a:ln w="12700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381561896"/>
        <c:crosses val="autoZero"/>
        <c:crossBetween val="between"/>
      </c:valAx>
      <c:valAx>
        <c:axId val="381563072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381566992"/>
        <c:crosses val="max"/>
        <c:crossBetween val="midCat"/>
      </c:valAx>
      <c:valAx>
        <c:axId val="381566992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381563072"/>
        <c:crosses val="max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pt-BR"/>
              <a:t>Pareto de Falhas do Acabamento - UM-3 - Testador</a:t>
            </a:r>
          </a:p>
        </c:rich>
      </c:tx>
      <c:layout>
        <c:manualLayout>
          <c:xMode val="edge"/>
          <c:yMode val="edge"/>
          <c:x val="0.41084657071894448"/>
          <c:y val="5.03669085244252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517150395778361E-2"/>
          <c:y val="0.117816257262843"/>
          <c:w val="0.82981530343007914"/>
          <c:h val="0.7217445017648656"/>
        </c:manualLayout>
      </c:layout>
      <c:barChart>
        <c:barDir val="col"/>
        <c:grouping val="clustered"/>
        <c:varyColors val="0"/>
        <c:ser>
          <c:idx val="2"/>
          <c:order val="0"/>
          <c:tx>
            <c:v>Falhas</c:v>
          </c:tx>
          <c:spPr>
            <a:gradFill>
              <a:gsLst>
                <a:gs pos="0">
                  <a:srgbClr val="002060"/>
                </a:gs>
                <a:gs pos="50000">
                  <a:schemeClr val="accent5">
                    <a:lumMod val="40000"/>
                    <a:lumOff val="60000"/>
                  </a:schemeClr>
                </a:gs>
                <a:gs pos="100000">
                  <a:srgbClr val="002060"/>
                </a:gs>
              </a:gsLst>
              <a:lin ang="0" scaled="1"/>
            </a:gra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'Total por Defeito'!$B$3:$B$14</c:f>
              <c:strCache>
                <c:ptCount val="12"/>
                <c:pt idx="0">
                  <c:v>SHRINK</c:v>
                </c:pt>
                <c:pt idx="1">
                  <c:v>FUNDO SUJO</c:v>
                </c:pt>
                <c:pt idx="2">
                  <c:v>S/ BOTTOM PLATE</c:v>
                </c:pt>
                <c:pt idx="3">
                  <c:v>S/ ARRUELA / ARR. DESLOCADA</c:v>
                </c:pt>
                <c:pt idx="4">
                  <c:v>DEFEITO BLINDAGEM</c:v>
                </c:pt>
                <c:pt idx="5">
                  <c:v>CH. MANCHADA</c:v>
                </c:pt>
                <c:pt idx="6">
                  <c:v>CH. RISCADA</c:v>
                </c:pt>
                <c:pt idx="7">
                  <c:v>S/ CAP</c:v>
                </c:pt>
                <c:pt idx="8">
                  <c:v>S/ ANEL VERMELHO</c:v>
                </c:pt>
                <c:pt idx="9">
                  <c:v>ENCAIXOTAMENTO</c:v>
                </c:pt>
                <c:pt idx="10">
                  <c:v>TESTADOR</c:v>
                </c:pt>
                <c:pt idx="11">
                  <c:v>OUTROS</c:v>
                </c:pt>
              </c:strCache>
            </c:strRef>
          </c:cat>
          <c:val>
            <c:numRef>
              <c:f>'Total por Defeito'!$I$3:$I$14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99-4E5F-8F77-84735787B36D}"/>
            </c:ext>
          </c:extLst>
        </c:ser>
        <c:ser>
          <c:idx val="1"/>
          <c:order val="1"/>
          <c:tx>
            <c:v>Problemas</c:v>
          </c:tx>
          <c:spPr>
            <a:gradFill rotWithShape="0">
              <a:gsLst>
                <a:gs pos="0">
                  <a:srgbClr val="FF0000"/>
                </a:gs>
                <a:gs pos="50000">
                  <a:schemeClr val="accent2">
                    <a:lumMod val="60000"/>
                    <a:lumOff val="40000"/>
                  </a:schemeClr>
                </a:gs>
                <a:gs pos="100000">
                  <a:srgbClr val="FF0000"/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elete val="1"/>
          </c:dLbls>
          <c:cat>
            <c:strRef>
              <c:f>'Total por Defeito'!$B$3:$B$14</c:f>
              <c:strCache>
                <c:ptCount val="12"/>
                <c:pt idx="0">
                  <c:v>SHRINK</c:v>
                </c:pt>
                <c:pt idx="1">
                  <c:v>FUNDO SUJO</c:v>
                </c:pt>
                <c:pt idx="2">
                  <c:v>S/ BOTTOM PLATE</c:v>
                </c:pt>
                <c:pt idx="3">
                  <c:v>S/ ARRUELA / ARR. DESLOCADA</c:v>
                </c:pt>
                <c:pt idx="4">
                  <c:v>DEFEITO BLINDAGEM</c:v>
                </c:pt>
                <c:pt idx="5">
                  <c:v>CH. MANCHADA</c:v>
                </c:pt>
                <c:pt idx="6">
                  <c:v>CH. RISCADA</c:v>
                </c:pt>
                <c:pt idx="7">
                  <c:v>S/ CAP</c:v>
                </c:pt>
                <c:pt idx="8">
                  <c:v>S/ ANEL VERMELHO</c:v>
                </c:pt>
                <c:pt idx="9">
                  <c:v>ENCAIXOTAMENTO</c:v>
                </c:pt>
                <c:pt idx="10">
                  <c:v>TESTADOR</c:v>
                </c:pt>
                <c:pt idx="11">
                  <c:v>OUTROS</c:v>
                </c:pt>
              </c:strCache>
            </c:strRef>
          </c:cat>
          <c:val>
            <c:numRef>
              <c:f>'Total por Defeito'!$J$3:$J$14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1D-4FA0-B37B-9500D1DCB09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381567776"/>
        <c:axId val="381565424"/>
      </c:barChart>
      <c:lineChart>
        <c:grouping val="standard"/>
        <c:varyColors val="0"/>
        <c:ser>
          <c:idx val="0"/>
          <c:order val="2"/>
          <c:tx>
            <c:v>Ac%</c:v>
          </c:tx>
          <c:spPr>
            <a:ln w="25400">
              <a:solidFill>
                <a:srgbClr val="7030A0"/>
              </a:solidFill>
              <a:prstDash val="solid"/>
            </a:ln>
          </c:spPr>
          <c:marker>
            <c:symbol val="none"/>
          </c:marker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7030A0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'Total por Defeito'!$B$3:$B$14</c:f>
              <c:strCache>
                <c:ptCount val="12"/>
                <c:pt idx="0">
                  <c:v>SHRINK</c:v>
                </c:pt>
                <c:pt idx="1">
                  <c:v>FUNDO SUJO</c:v>
                </c:pt>
                <c:pt idx="2">
                  <c:v>S/ BOTTOM PLATE</c:v>
                </c:pt>
                <c:pt idx="3">
                  <c:v>S/ ARRUELA / ARR. DESLOCADA</c:v>
                </c:pt>
                <c:pt idx="4">
                  <c:v>DEFEITO BLINDAGEM</c:v>
                </c:pt>
                <c:pt idx="5">
                  <c:v>CH. MANCHADA</c:v>
                </c:pt>
                <c:pt idx="6">
                  <c:v>CH. RISCADA</c:v>
                </c:pt>
                <c:pt idx="7">
                  <c:v>S/ CAP</c:v>
                </c:pt>
                <c:pt idx="8">
                  <c:v>S/ ANEL VERMELHO</c:v>
                </c:pt>
                <c:pt idx="9">
                  <c:v>ENCAIXOTAMENTO</c:v>
                </c:pt>
                <c:pt idx="10">
                  <c:v>TESTADOR</c:v>
                </c:pt>
                <c:pt idx="11">
                  <c:v>OUTROS</c:v>
                </c:pt>
              </c:strCache>
            </c:strRef>
          </c:cat>
          <c:val>
            <c:numRef>
              <c:f>'Total por Defeito'!$H$3:$H$14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1D-4FA0-B37B-9500D1DCB09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1562288"/>
        <c:axId val="381563464"/>
      </c:lineChart>
      <c:catAx>
        <c:axId val="38156777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38156542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815654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Falhas (ppm)</a:t>
                </a:r>
              </a:p>
            </c:rich>
          </c:tx>
          <c:layout>
            <c:manualLayout>
              <c:xMode val="edge"/>
              <c:yMode val="edge"/>
              <c:x val="2.1108167166308003E-2"/>
              <c:y val="0.47270183605802157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381567776"/>
        <c:crosses val="autoZero"/>
        <c:crossBetween val="between"/>
      </c:valAx>
      <c:catAx>
        <c:axId val="3815622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1563464"/>
        <c:crosses val="autoZero"/>
        <c:auto val="0"/>
        <c:lblAlgn val="ctr"/>
        <c:lblOffset val="100"/>
        <c:noMultiLvlLbl val="0"/>
      </c:catAx>
      <c:valAx>
        <c:axId val="381563464"/>
        <c:scaling>
          <c:orientation val="minMax"/>
          <c:max val="100"/>
        </c:scaling>
        <c:delete val="0"/>
        <c:axPos val="r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Acumulado (%)</a:t>
                </a:r>
              </a:p>
            </c:rich>
          </c:tx>
          <c:layout>
            <c:manualLayout>
              <c:xMode val="edge"/>
              <c:yMode val="edge"/>
              <c:x val="0.94986810298001856"/>
              <c:y val="0.46408115267346778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381562288"/>
        <c:crosses val="max"/>
        <c:crossBetween val="between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0658774006840306"/>
          <c:y val="0.17982726207666949"/>
          <c:w val="8.1862667719021301E-2"/>
          <c:h val="7.8723083489996279E-2"/>
        </c:manualLayout>
      </c:layout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>
      <c:oddHeader>&amp;A</c:oddHeader>
      <c:oddFooter>Page &amp;P</c:oddFooter>
    </c:headerFooter>
    <c:pageMargins b="0.98425196850393704" l="0.78740157480314965" r="0.78740157480314965" t="0.98425196850393704" header="0.51181102362204722" footer="0.51181102362204722"/>
    <c:pageSetup orientation="landscape"/>
  </c:printSettings>
  <c:userShapes r:id="rId1"/>
</c:chartSpace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'SJCPIL-R 16-318-03 - Diurno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38100</xdr:rowOff>
    </xdr:from>
    <xdr:to>
      <xdr:col>14</xdr:col>
      <xdr:colOff>19050</xdr:colOff>
      <xdr:row>30</xdr:row>
      <xdr:rowOff>1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19125" y="3867150"/>
          <a:ext cx="7934325" cy="2371726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25400" cmpd="sng">
          <a:solidFill>
            <a:schemeClr val="accent2">
              <a:lumMod val="75000"/>
            </a:schemeClr>
          </a:solidFill>
        </a:ln>
        <a:effectLst>
          <a:outerShdw blurRad="101600" dist="2032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PARA LIMPAR OS DADOS DAS PLANILHAS:</a:t>
          </a:r>
          <a:r>
            <a:rPr lang="pt-BR" sz="1600" b="1">
              <a:solidFill>
                <a:schemeClr val="accent6">
                  <a:lumMod val="50000"/>
                </a:schemeClr>
              </a:solidFill>
            </a:rPr>
            <a:t> </a:t>
          </a:r>
        </a:p>
        <a:p>
          <a:endParaRPr lang="pt-BR" sz="1600" b="1">
            <a:solidFill>
              <a:schemeClr val="accent6">
                <a:lumMod val="50000"/>
              </a:schemeClr>
            </a:solidFill>
          </a:endParaRPr>
        </a:p>
        <a:p>
          <a:r>
            <a:rPr lang="pt-BR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1 - SALVAR COMO: </a:t>
          </a:r>
        </a:p>
        <a:p>
          <a:endParaRPr lang="pt-BR" sz="1600" b="1" i="0" u="none" strike="noStrike">
            <a:solidFill>
              <a:schemeClr val="accent6">
                <a:lumMod val="50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DEFINIR NOME DE NOVO MÊS DE COLETA DE DADOS</a:t>
          </a:r>
          <a:r>
            <a:rPr lang="pt-BR" sz="1600" b="1">
              <a:solidFill>
                <a:schemeClr val="accent6">
                  <a:lumMod val="50000"/>
                </a:schemeClr>
              </a:solidFill>
            </a:rPr>
            <a:t> </a:t>
          </a:r>
        </a:p>
        <a:p>
          <a:endParaRPr lang="pt-BR" sz="1600" b="1">
            <a:solidFill>
              <a:schemeClr val="accent6">
                <a:lumMod val="50000"/>
              </a:schemeClr>
            </a:solidFill>
          </a:endParaRPr>
        </a:p>
        <a:p>
          <a:r>
            <a:rPr lang="pt-BR" sz="1600" b="1">
              <a:solidFill>
                <a:schemeClr val="accent6">
                  <a:lumMod val="50000"/>
                </a:schemeClr>
              </a:solidFill>
            </a:rPr>
            <a:t>2- Utilizar</a:t>
          </a:r>
          <a:r>
            <a:rPr lang="pt-BR" sz="1600" b="1" baseline="0">
              <a:solidFill>
                <a:schemeClr val="accent6">
                  <a:lumMod val="50000"/>
                </a:schemeClr>
              </a:solidFill>
            </a:rPr>
            <a:t> a tecla de atalho CRTL+SHIFT+r para apagar os dados de todas planilhas.</a:t>
          </a:r>
        </a:p>
        <a:p>
          <a:endParaRPr lang="pt-BR" sz="1600" b="1" baseline="0">
            <a:solidFill>
              <a:schemeClr val="accent6">
                <a:lumMod val="50000"/>
              </a:schemeClr>
            </a:solidFill>
          </a:endParaRPr>
        </a:p>
        <a:p>
          <a:r>
            <a:rPr lang="pt-BR" sz="1600" b="1" baseline="0">
              <a:solidFill>
                <a:schemeClr val="accent6">
                  <a:lumMod val="50000"/>
                </a:schemeClr>
              </a:solidFill>
            </a:rPr>
            <a:t>3- Utilizar a tecla de atalho CTRL+u para desbloquear a planilha se necessário.</a:t>
          </a:r>
          <a:endParaRPr lang="pt-BR" sz="16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oneCellAnchor>
    <xdr:from>
      <xdr:col>1</xdr:col>
      <xdr:colOff>28574</xdr:colOff>
      <xdr:row>3</xdr:row>
      <xdr:rowOff>123824</xdr:rowOff>
    </xdr:from>
    <xdr:ext cx="7896225" cy="278493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38174" y="790574"/>
          <a:ext cx="7896225" cy="278493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38100">
          <a:solidFill>
            <a:schemeClr val="accent2">
              <a:lumMod val="75000"/>
            </a:schemeClr>
          </a:solidFill>
        </a:ln>
        <a:effectLst>
          <a:outerShdw blurRad="101600" dist="2032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pt-BR" sz="16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TECLA DE ATALHO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</a:p>
        <a:p>
          <a:endParaRPr lang="pt-BR" sz="20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CTRL+SHIFT+p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Protege todas as panilhas de lançamento de dados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</a:p>
        <a:p>
          <a:endParaRPr lang="pt-BR" sz="20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CTRL+u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Desprotege todas a planilhas de dados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</a:p>
        <a:p>
          <a:endParaRPr lang="pt-BR" sz="20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CTRL+r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Apaga os dados de todas as planilhas</a:t>
          </a:r>
        </a:p>
        <a:p>
          <a:r>
            <a:rPr lang="pt-BR" sz="1600"/>
            <a:t> </a:t>
          </a:r>
          <a:r>
            <a:rPr lang="pt-BR" sz="1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1600"/>
            <a:t> </a:t>
          </a:r>
        </a:p>
      </xdr:txBody>
    </xdr:sp>
    <xdr:clientData/>
  </xdr:oneCellAnchor>
  <xdr:twoCellAnchor>
    <xdr:from>
      <xdr:col>0</xdr:col>
      <xdr:colOff>600074</xdr:colOff>
      <xdr:row>1</xdr:row>
      <xdr:rowOff>0</xdr:rowOff>
    </xdr:from>
    <xdr:to>
      <xdr:col>13</xdr:col>
      <xdr:colOff>609599</xdr:colOff>
      <xdr:row>2</xdr:row>
      <xdr:rowOff>142875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00074" y="161925"/>
          <a:ext cx="7934325" cy="4857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 cap="rnd" cmpd="sng">
          <a:solidFill>
            <a:schemeClr val="accent6">
              <a:lumMod val="75000"/>
            </a:schemeClr>
          </a:solidFill>
          <a:round/>
        </a:ln>
        <a:effectLst>
          <a:outerShdw blurRad="76200" dist="1016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400"/>
            <a:t>INSTRUÇÕES DE UTILIZAÇÃO DOS GRÁFICOS DE FALHAS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0</xdr:row>
      <xdr:rowOff>381000</xdr:rowOff>
    </xdr:to>
    <xdr:sp macro="" textlink="">
      <xdr:nvSpPr>
        <xdr:cNvPr id="2" name="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0" y="0"/>
          <a:ext cx="1466850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pt-BR" sz="1200" b="1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0</xdr:col>
      <xdr:colOff>657225</xdr:colOff>
      <xdr:row>3</xdr:row>
      <xdr:rowOff>371475</xdr:rowOff>
    </xdr:from>
    <xdr:to>
      <xdr:col>33</xdr:col>
      <xdr:colOff>0</xdr:colOff>
      <xdr:row>13</xdr:row>
      <xdr:rowOff>228600</xdr:rowOff>
    </xdr:to>
    <xdr:graphicFrame macro="">
      <xdr:nvGraphicFramePr>
        <xdr:cNvPr id="2050" name="Gráfico 4">
          <a:extLs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104776</xdr:colOff>
      <xdr:row>0</xdr:row>
      <xdr:rowOff>28575</xdr:rowOff>
    </xdr:from>
    <xdr:to>
      <xdr:col>6</xdr:col>
      <xdr:colOff>47626</xdr:colOff>
      <xdr:row>1</xdr:row>
      <xdr:rowOff>38100</xdr:rowOff>
    </xdr:to>
    <xdr:sp macro="" textlink="">
      <xdr:nvSpPr>
        <xdr:cNvPr id="4" name="Texto explicativo retangular com cantos arredondado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1952626" y="28575"/>
          <a:ext cx="1466850" cy="419100"/>
        </a:xfrm>
        <a:prstGeom prst="wedgeRoundRectCallout">
          <a:avLst>
            <a:gd name="adj1" fmla="val -60203"/>
            <a:gd name="adj2" fmla="val 57955"/>
            <a:gd name="adj3" fmla="val 16667"/>
          </a:avLst>
        </a:prstGeom>
        <a:solidFill>
          <a:schemeClr val="accent5">
            <a:lumMod val="40000"/>
            <a:lumOff val="6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pt-BR" sz="1100"/>
            <a:t>ANOTAR APENAS</a:t>
          </a:r>
          <a:r>
            <a:rPr lang="pt-BR" sz="1100" baseline="0"/>
            <a:t> O DIA DO ACABAMENTO</a:t>
          </a:r>
          <a:endParaRPr lang="pt-BR" sz="1100"/>
        </a:p>
      </xdr:txBody>
    </xdr:sp>
    <xdr:clientData/>
  </xdr:twoCellAnchor>
  <xdr:twoCellAnchor>
    <xdr:from>
      <xdr:col>9</xdr:col>
      <xdr:colOff>190500</xdr:colOff>
      <xdr:row>3</xdr:row>
      <xdr:rowOff>19050</xdr:rowOff>
    </xdr:from>
    <xdr:to>
      <xdr:col>20</xdr:col>
      <xdr:colOff>209550</xdr:colOff>
      <xdr:row>7</xdr:row>
      <xdr:rowOff>228600</xdr:rowOff>
    </xdr:to>
    <xdr:sp macro="" textlink="">
      <xdr:nvSpPr>
        <xdr:cNvPr id="5" name="Texto explicativo retangular com cantos arredondado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4705350" y="809625"/>
          <a:ext cx="4210050" cy="1733550"/>
        </a:xfrm>
        <a:prstGeom prst="wedgeRoundRectCallout">
          <a:avLst>
            <a:gd name="adj1" fmla="val -99955"/>
            <a:gd name="adj2" fmla="val -58303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>
            <a:lnSpc>
              <a:spcPts val="1100"/>
            </a:lnSpc>
          </a:pPr>
          <a:r>
            <a:rPr lang="pt-BR" sz="1100"/>
            <a:t>ANOTAR</a:t>
          </a:r>
          <a:r>
            <a:rPr lang="pt-BR" sz="1100" baseline="0"/>
            <a:t> O MODELO DE PILHA QUE ESTA SENDO ACABADO SEGUIDO DO Nº DA LINHA DE MONTAGEM</a:t>
          </a:r>
        </a:p>
        <a:p>
          <a:pPr algn="l">
            <a:lnSpc>
              <a:spcPts val="1100"/>
            </a:lnSpc>
          </a:pPr>
          <a:r>
            <a:rPr lang="pt-BR" sz="1100" baseline="0"/>
            <a:t>EXEMPLO</a:t>
          </a:r>
        </a:p>
        <a:p>
          <a:pPr algn="l">
            <a:lnSpc>
              <a:spcPts val="1100"/>
            </a:lnSpc>
          </a:pPr>
          <a:r>
            <a:rPr lang="pt-BR" sz="1100" baseline="0"/>
            <a:t>ESTÁ PASSANADO 3SH DA LINHA 1</a:t>
          </a:r>
        </a:p>
        <a:p>
          <a:pPr algn="l">
            <a:lnSpc>
              <a:spcPts val="1100"/>
            </a:lnSpc>
          </a:pPr>
          <a:r>
            <a:rPr lang="pt-BR" sz="1100" baseline="0"/>
            <a:t>ANOTA: 3SH1</a:t>
          </a:r>
        </a:p>
        <a:p>
          <a:pPr marL="0" marR="0" indent="0" algn="l" defTabSz="914400" eaLnBrk="1" fontAlgn="auto" latinLnBrk="0" hangingPunct="1">
            <a:lnSpc>
              <a:spcPts val="11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aseline="0">
              <a:effectLst/>
              <a:latin typeface="+mn-lt"/>
              <a:ea typeface="+mn-ea"/>
              <a:cs typeface="+mn-cs"/>
            </a:rPr>
            <a:t>ESTÁ PASSANADO 3SH DA LINHA 2</a:t>
          </a:r>
        </a:p>
        <a:p>
          <a:pPr marL="0" marR="0" indent="0" algn="l" defTabSz="914400" eaLnBrk="1" fontAlgn="auto" latinLnBrk="0" hangingPunct="1">
            <a:lnSpc>
              <a:spcPts val="11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aseline="0">
              <a:effectLst/>
              <a:latin typeface="+mn-lt"/>
              <a:ea typeface="+mn-ea"/>
              <a:cs typeface="+mn-cs"/>
            </a:rPr>
            <a:t>ANOTA: 3SH2</a:t>
          </a:r>
        </a:p>
        <a:p>
          <a:pPr marL="0" marR="0" indent="0" algn="l" defTabSz="914400" eaLnBrk="1" fontAlgn="auto" latinLnBrk="0" hangingPunct="1">
            <a:lnSpc>
              <a:spcPts val="11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aseline="0">
              <a:effectLst/>
              <a:latin typeface="+mn-lt"/>
              <a:ea typeface="+mn-ea"/>
              <a:cs typeface="+mn-cs"/>
            </a:rPr>
            <a:t>QUANDO HOUVER SEPARAÇÃO DE LINHAS DE MONTAGEM FAZER DUAS ANOTAÇÕES 1 PARA CADA LINHA</a:t>
          </a:r>
          <a:endParaRPr lang="pt-BR">
            <a:effectLst/>
          </a:endParaRPr>
        </a:p>
        <a:p>
          <a:pPr marL="0" marR="0" indent="0" algn="l" defTabSz="914400" eaLnBrk="1" fontAlgn="auto" latinLnBrk="0" hangingPunct="1">
            <a:lnSpc>
              <a:spcPts val="11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>
            <a:effectLst/>
          </a:endParaRPr>
        </a:p>
        <a:p>
          <a:pPr algn="l">
            <a:lnSpc>
              <a:spcPts val="1100"/>
            </a:lnSpc>
          </a:pPr>
          <a:endParaRPr lang="pt-BR" sz="1100" baseline="0"/>
        </a:p>
        <a:p>
          <a:pPr algn="l"/>
          <a:endParaRPr lang="pt-BR" sz="1100"/>
        </a:p>
      </xdr:txBody>
    </xdr:sp>
    <xdr:clientData/>
  </xdr:twoCellAnchor>
  <xdr:twoCellAnchor>
    <xdr:from>
      <xdr:col>5</xdr:col>
      <xdr:colOff>333375</xdr:colOff>
      <xdr:row>10</xdr:row>
      <xdr:rowOff>371474</xdr:rowOff>
    </xdr:from>
    <xdr:to>
      <xdr:col>12</xdr:col>
      <xdr:colOff>123825</xdr:colOff>
      <xdr:row>12</xdr:row>
      <xdr:rowOff>276225</xdr:rowOff>
    </xdr:to>
    <xdr:sp macro="" textlink="">
      <xdr:nvSpPr>
        <xdr:cNvPr id="6" name="Texto explicativo retangular com cantos arredondado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3324225" y="3829049"/>
          <a:ext cx="2457450" cy="666751"/>
        </a:xfrm>
        <a:prstGeom prst="wedgeRoundRectCallout">
          <a:avLst>
            <a:gd name="adj1" fmla="val -97685"/>
            <a:gd name="adj2" fmla="val -72381"/>
            <a:gd name="adj3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8575" cap="flat" cmpd="sng" algn="ctr">
          <a:solidFill>
            <a:srgbClr val="000066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marL="0" marR="0" indent="0" algn="l" defTabSz="914400" eaLnBrk="1" fontAlgn="auto" latinLnBrk="0" hangingPunct="1">
            <a:lnSpc>
              <a:spcPts val="12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b="1">
              <a:solidFill>
                <a:srgbClr val="000066"/>
              </a:solidFill>
              <a:effectLst/>
            </a:rPr>
            <a:t>MARCAR</a:t>
          </a:r>
          <a:r>
            <a:rPr lang="pt-BR" b="1" baseline="0">
              <a:solidFill>
                <a:srgbClr val="000066"/>
              </a:solidFill>
              <a:effectLst/>
            </a:rPr>
            <a:t> O PONTO CORRESPONDENTE A TAXA DEFEITUOSA E TRAÇAR A LINHA LIGANDO OS PONTOS</a:t>
          </a:r>
          <a:endParaRPr lang="pt-BR" b="1">
            <a:solidFill>
              <a:srgbClr val="000066"/>
            </a:solidFill>
            <a:effectLst/>
          </a:endParaRPr>
        </a:p>
        <a:p>
          <a:pPr algn="l"/>
          <a:endParaRPr lang="pt-BR" sz="1100" baseline="0"/>
        </a:p>
        <a:p>
          <a:pPr algn="l">
            <a:lnSpc>
              <a:spcPts val="1100"/>
            </a:lnSpc>
          </a:pPr>
          <a:endParaRPr lang="pt-BR" sz="1100"/>
        </a:p>
      </xdr:txBody>
    </xdr:sp>
    <xdr:clientData/>
  </xdr:twoCellAnchor>
  <xdr:twoCellAnchor>
    <xdr:from>
      <xdr:col>3</xdr:col>
      <xdr:colOff>66675</xdr:colOff>
      <xdr:row>4</xdr:row>
      <xdr:rowOff>285750</xdr:rowOff>
    </xdr:from>
    <xdr:to>
      <xdr:col>6</xdr:col>
      <xdr:colOff>209550</xdr:colOff>
      <xdr:row>6</xdr:row>
      <xdr:rowOff>171450</xdr:rowOff>
    </xdr:to>
    <xdr:sp macro="" textlink="">
      <xdr:nvSpPr>
        <xdr:cNvPr id="7" name="Texto explicativo retangular com cantos arredondado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2295525" y="1457325"/>
          <a:ext cx="1285875" cy="647700"/>
        </a:xfrm>
        <a:prstGeom prst="wedgeRoundRectCallout">
          <a:avLst>
            <a:gd name="adj1" fmla="val -53537"/>
            <a:gd name="adj2" fmla="val -114505"/>
            <a:gd name="adj3" fmla="val 16667"/>
          </a:avLst>
        </a:prstGeom>
        <a:solidFill>
          <a:schemeClr val="accent6">
            <a:lumMod val="20000"/>
            <a:lumOff val="8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pt-BR" sz="1100"/>
            <a:t>ANOTAR</a:t>
          </a:r>
          <a:r>
            <a:rPr lang="pt-BR" sz="1100" baseline="0"/>
            <a:t> A QUANTIDADE ACABADA</a:t>
          </a:r>
          <a:endParaRPr lang="pt-BR" sz="1100"/>
        </a:p>
      </xdr:txBody>
    </xdr:sp>
    <xdr:clientData/>
  </xdr:twoCellAnchor>
  <xdr:twoCellAnchor>
    <xdr:from>
      <xdr:col>8</xdr:col>
      <xdr:colOff>9525</xdr:colOff>
      <xdr:row>16</xdr:row>
      <xdr:rowOff>57149</xdr:rowOff>
    </xdr:from>
    <xdr:to>
      <xdr:col>11</xdr:col>
      <xdr:colOff>152400</xdr:colOff>
      <xdr:row>18</xdr:row>
      <xdr:rowOff>161924</xdr:rowOff>
    </xdr:to>
    <xdr:sp macro="" textlink="">
      <xdr:nvSpPr>
        <xdr:cNvPr id="8" name="Texto explicativo retangular com cantos arredondado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4143375" y="5591174"/>
          <a:ext cx="1285875" cy="657225"/>
        </a:xfrm>
        <a:prstGeom prst="wedgeRoundRectCallout">
          <a:avLst>
            <a:gd name="adj1" fmla="val -178722"/>
            <a:gd name="adj2" fmla="val 176961"/>
            <a:gd name="adj3" fmla="val 16667"/>
          </a:avLst>
        </a:prstGeom>
        <a:solidFill>
          <a:srgbClr val="FFCCCC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pt-BR" sz="1100"/>
            <a:t>ANOTAR</a:t>
          </a:r>
          <a:r>
            <a:rPr lang="pt-BR" sz="1100" baseline="0"/>
            <a:t> AS FALHAS DE CADA LOTE DE PRODUÇÃO</a:t>
          </a:r>
          <a:endParaRPr lang="pt-BR" sz="1100"/>
        </a:p>
      </xdr:txBody>
    </xdr:sp>
    <xdr:clientData/>
  </xdr:twoCellAnchor>
  <xdr:twoCellAnchor>
    <xdr:from>
      <xdr:col>0</xdr:col>
      <xdr:colOff>247650</xdr:colOff>
      <xdr:row>9</xdr:row>
      <xdr:rowOff>219074</xdr:rowOff>
    </xdr:from>
    <xdr:to>
      <xdr:col>0</xdr:col>
      <xdr:colOff>1171575</xdr:colOff>
      <xdr:row>11</xdr:row>
      <xdr:rowOff>380999</xdr:rowOff>
    </xdr:to>
    <xdr:sp macro="" textlink="">
      <xdr:nvSpPr>
        <xdr:cNvPr id="9" name="Seta para a direita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247650" y="3295649"/>
          <a:ext cx="923925" cy="923925"/>
        </a:xfrm>
        <a:prstGeom prst="rightArrow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100">
              <a:solidFill>
                <a:srgbClr val="FF0000"/>
              </a:solidFill>
            </a:rPr>
            <a:t>LINHA</a:t>
          </a:r>
          <a:r>
            <a:rPr lang="pt-BR" sz="1100" baseline="0">
              <a:solidFill>
                <a:srgbClr val="FF0000"/>
              </a:solidFill>
            </a:rPr>
            <a:t> DO </a:t>
          </a:r>
          <a:r>
            <a:rPr lang="pt-BR" sz="1100">
              <a:solidFill>
                <a:srgbClr val="FF0000"/>
              </a:solidFill>
            </a:rPr>
            <a:t>OBJETIVO</a:t>
          </a:r>
        </a:p>
      </xdr:txBody>
    </xdr:sp>
    <xdr:clientData/>
  </xdr:twoCellAnchor>
  <xdr:twoCellAnchor>
    <xdr:from>
      <xdr:col>5</xdr:col>
      <xdr:colOff>133350</xdr:colOff>
      <xdr:row>20</xdr:row>
      <xdr:rowOff>238125</xdr:rowOff>
    </xdr:from>
    <xdr:to>
      <xdr:col>9</xdr:col>
      <xdr:colOff>133350</xdr:colOff>
      <xdr:row>25</xdr:row>
      <xdr:rowOff>152400</xdr:rowOff>
    </xdr:to>
    <xdr:sp macro="" textlink="">
      <xdr:nvSpPr>
        <xdr:cNvPr id="10" name="Texto explicativo retangular com cantos arredondados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3124200" y="6877050"/>
          <a:ext cx="1524000" cy="1019175"/>
        </a:xfrm>
        <a:prstGeom prst="wedgeRoundRectCallout">
          <a:avLst>
            <a:gd name="adj1" fmla="val -78722"/>
            <a:gd name="adj2" fmla="val 109094"/>
            <a:gd name="adj3" fmla="val 16667"/>
          </a:avLst>
        </a:prstGeom>
        <a:solidFill>
          <a:schemeClr val="bg2">
            <a:lumMod val="9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pt-BR" sz="1100"/>
            <a:t>TAXA</a:t>
          </a:r>
          <a:r>
            <a:rPr lang="pt-BR" sz="1100" baseline="0"/>
            <a:t> DEFEITUOSA EXPRESSA EM Nº DE DEFEITOS POR MILHÃO DE PEÇAS PRODUZIDAS (ppm)</a:t>
          </a:r>
          <a:endParaRPr lang="pt-BR" sz="1100"/>
        </a:p>
      </xdr:txBody>
    </xdr:sp>
    <xdr:clientData/>
  </xdr:twoCellAnchor>
  <xdr:twoCellAnchor>
    <xdr:from>
      <xdr:col>0</xdr:col>
      <xdr:colOff>904875</xdr:colOff>
      <xdr:row>29</xdr:row>
      <xdr:rowOff>76200</xdr:rowOff>
    </xdr:from>
    <xdr:to>
      <xdr:col>6</xdr:col>
      <xdr:colOff>238125</xdr:colOff>
      <xdr:row>30</xdr:row>
      <xdr:rowOff>304800</xdr:rowOff>
    </xdr:to>
    <xdr:sp macro="" textlink="">
      <xdr:nvSpPr>
        <xdr:cNvPr id="11" name="Retângulo de cantos arredondados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904875" y="9867900"/>
          <a:ext cx="2705100" cy="609600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r>
            <a:rPr lang="pt-BR" sz="1100" baseline="0"/>
            <a:t>AO FINAL DO MÊS O INSPETOR OU OPERADOR DEVE ASSINAR NESTE CAMPO E COLOCAR A DATA</a:t>
          </a:r>
          <a:endParaRPr lang="pt-BR" sz="1100"/>
        </a:p>
      </xdr:txBody>
    </xdr:sp>
    <xdr:clientData/>
  </xdr:twoCellAnchor>
  <xdr:twoCellAnchor>
    <xdr:from>
      <xdr:col>10</xdr:col>
      <xdr:colOff>28575</xdr:colOff>
      <xdr:row>29</xdr:row>
      <xdr:rowOff>57150</xdr:rowOff>
    </xdr:from>
    <xdr:to>
      <xdr:col>17</xdr:col>
      <xdr:colOff>66675</xdr:colOff>
      <xdr:row>30</xdr:row>
      <xdr:rowOff>285750</xdr:rowOff>
    </xdr:to>
    <xdr:sp macro="" textlink="">
      <xdr:nvSpPr>
        <xdr:cNvPr id="12" name="Retângulo de cantos arredondados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 bwMode="auto">
        <a:xfrm>
          <a:off x="4924425" y="9848850"/>
          <a:ext cx="2705100" cy="609600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r>
            <a:rPr lang="pt-BR" sz="1100" baseline="0"/>
            <a:t>SUPERVISOR DEVE VERIFICAR OS DADOS E ASSINAR E DATAR NESTE CAMPO</a:t>
          </a:r>
          <a:endParaRPr lang="pt-BR" sz="1100"/>
        </a:p>
      </xdr:txBody>
    </xdr:sp>
    <xdr:clientData/>
  </xdr:twoCellAnchor>
  <xdr:twoCellAnchor>
    <xdr:from>
      <xdr:col>23</xdr:col>
      <xdr:colOff>200025</xdr:colOff>
      <xdr:row>29</xdr:row>
      <xdr:rowOff>66675</xdr:rowOff>
    </xdr:from>
    <xdr:to>
      <xdr:col>31</xdr:col>
      <xdr:colOff>295275</xdr:colOff>
      <xdr:row>30</xdr:row>
      <xdr:rowOff>295275</xdr:rowOff>
    </xdr:to>
    <xdr:sp macro="" textlink="">
      <xdr:nvSpPr>
        <xdr:cNvPr id="13" name="Retângulo de cantos arredondados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 bwMode="auto">
        <a:xfrm>
          <a:off x="10048875" y="9858375"/>
          <a:ext cx="3143250" cy="609600"/>
        </a:xfrm>
        <a:prstGeom prst="roundRect">
          <a:avLst/>
        </a:prstGeom>
        <a:solidFill>
          <a:srgbClr val="FF6699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r>
            <a:rPr lang="pt-BR" sz="1100" baseline="0"/>
            <a:t>CONTROLE DA QUALIDADE DEVE VERIFICAR SE OS DADOS FORAM LANÇADOS CORRETAMENTE NA INTRANET E ASSINAR E DATAR NESTE CAMPO.</a:t>
          </a:r>
          <a:endParaRPr lang="pt-BR" sz="1100"/>
        </a:p>
      </xdr:txBody>
    </xdr:sp>
    <xdr:clientData/>
  </xdr:twoCellAnchor>
  <xdr:twoCellAnchor>
    <xdr:from>
      <xdr:col>14</xdr:col>
      <xdr:colOff>257175</xdr:colOff>
      <xdr:row>10</xdr:row>
      <xdr:rowOff>104775</xdr:rowOff>
    </xdr:from>
    <xdr:to>
      <xdr:col>29</xdr:col>
      <xdr:colOff>133350</xdr:colOff>
      <xdr:row>24</xdr:row>
      <xdr:rowOff>66675</xdr:rowOff>
    </xdr:to>
    <xdr:sp macro="" textlink="">
      <xdr:nvSpPr>
        <xdr:cNvPr id="14" name="Retângulo de cantos arredondados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 bwMode="auto">
        <a:xfrm>
          <a:off x="6677025" y="3562350"/>
          <a:ext cx="5591175" cy="3971925"/>
        </a:xfrm>
        <a:prstGeom prst="round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>
            <a:alpha val="74000"/>
          </a:srgbClr>
        </a:solidFill>
        <a:ln w="53975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5400">
              <a:solidFill>
                <a:schemeClr val="accent6">
                  <a:lumMod val="50000"/>
                </a:schemeClr>
              </a:solidFill>
            </a:rPr>
            <a:t>INSTRUÇÃO DE PREENCHIMENTO</a:t>
          </a:r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0.03505</cdr:x>
      <cdr:y>0.66097</cdr:y>
    </cdr:from>
    <cdr:to>
      <cdr:x>0.06557</cdr:x>
      <cdr:y>0.716</cdr:y>
    </cdr:to>
    <cdr:sp macro="" textlink="Instrução!$B$32">
      <cdr:nvSpPr>
        <cdr:cNvPr id="5121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445668" y="2423876"/>
          <a:ext cx="388088" cy="2018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CF1672AF-DB4B-4EFA-B48B-BE1D45636EAF}" type="TxLink">
            <a:rPr lang="pt-BR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pPr algn="ctr" rtl="0">
              <a:defRPr sz="1000"/>
            </a:pPr>
            <a:t>450</a:t>
          </a:fld>
          <a:endParaRPr lang="pt-BR" sz="1000" b="1" i="0" u="none" strike="noStrike" baseline="0">
            <a:solidFill>
              <a:srgbClr val="FF000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0.198</cdr:x>
      <cdr:y>0.38788</cdr:y>
    </cdr:from>
    <cdr:to>
      <cdr:x>0.35131</cdr:x>
      <cdr:y>0.69091</cdr:y>
    </cdr:to>
    <cdr:sp macro="" textlink="">
      <cdr:nvSpPr>
        <cdr:cNvPr id="4" name="Texto explicativo retangular com cantos arredondados 3"/>
        <cdr:cNvSpPr/>
      </cdr:nvSpPr>
      <cdr:spPr bwMode="auto">
        <a:xfrm xmlns:a="http://schemas.openxmlformats.org/drawingml/2006/main">
          <a:off x="2517775" y="1422400"/>
          <a:ext cx="1949450" cy="1111250"/>
        </a:xfrm>
        <a:prstGeom xmlns:a="http://schemas.openxmlformats.org/drawingml/2006/main" prst="wedgeRoundRectCallout">
          <a:avLst>
            <a:gd name="adj1" fmla="val -84875"/>
            <a:gd name="adj2" fmla="val -23732"/>
            <a:gd name="adj3" fmla="val 16667"/>
          </a:avLst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 w="381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rot="0" spcFirstLastPara="0" vert="horz" wrap="square" lIns="18288" tIns="0" rIns="0" bIns="0" numCol="1" spcCol="0" rtlCol="0" fromWordArt="0" anchor="t" anchorCtr="0" forceAA="0" upright="1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eaLnBrk="1" fontAlgn="auto" latinLnBrk="0" hangingPunct="1">
            <a:lnSpc>
              <a:spcPts val="11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b="1">
              <a:solidFill>
                <a:srgbClr val="FF0000"/>
              </a:solidFill>
              <a:effectLst/>
            </a:rPr>
            <a:t>DESCREVER QUAL FOI O PIOR PROBLEMA DURANTE O ACABAMENTO DE CADA LOTE SEMPRE QUE A TAXA DEFEITUOSA</a:t>
          </a:r>
          <a:r>
            <a:rPr lang="pt-BR" b="1" baseline="0">
              <a:solidFill>
                <a:srgbClr val="FF0000"/>
              </a:solidFill>
              <a:effectLst/>
            </a:rPr>
            <a:t> ESTIVER ACIMA DA LINHA DO OBJETIVO</a:t>
          </a:r>
          <a:endParaRPr lang="pt-BR" b="1">
            <a:solidFill>
              <a:srgbClr val="FF0000"/>
            </a:solidFill>
            <a:effectLst/>
          </a:endParaRPr>
        </a:p>
        <a:p xmlns:a="http://schemas.openxmlformats.org/drawingml/2006/main">
          <a:pPr algn="l">
            <a:lnSpc>
              <a:spcPts val="1200"/>
            </a:lnSpc>
          </a:pPr>
          <a:endParaRPr lang="pt-BR" sz="1100" baseline="0"/>
        </a:p>
        <a:p xmlns:a="http://schemas.openxmlformats.org/drawingml/2006/main">
          <a:pPr algn="l">
            <a:lnSpc>
              <a:spcPts val="1100"/>
            </a:lnSpc>
          </a:pPr>
          <a:endParaRPr lang="pt-BR" sz="1100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0</xdr:row>
      <xdr:rowOff>381000</xdr:rowOff>
    </xdr:to>
    <xdr:sp macro="" textlink="">
      <xdr:nvSpPr>
        <xdr:cNvPr id="1025" name="Texto 1">
          <a:extLst>
            <a:ext uri="{FF2B5EF4-FFF2-40B4-BE49-F238E27FC236}">
              <a16:creationId xmlns:a16="http://schemas.microsoft.com/office/drawing/2014/main" id="{00000000-0008-0000-0200-000001040000}"/>
            </a:ext>
          </a:extLst>
        </xdr:cNvPr>
        <xdr:cNvSpPr txBox="1">
          <a:spLocks noChangeArrowheads="1"/>
        </xdr:cNvSpPr>
      </xdr:nvSpPr>
      <xdr:spPr bwMode="auto">
        <a:xfrm>
          <a:off x="0" y="0"/>
          <a:ext cx="1466850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pt-BR" sz="1200" b="1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0</xdr:col>
      <xdr:colOff>657225</xdr:colOff>
      <xdr:row>3</xdr:row>
      <xdr:rowOff>371475</xdr:rowOff>
    </xdr:from>
    <xdr:to>
      <xdr:col>33</xdr:col>
      <xdr:colOff>0</xdr:colOff>
      <xdr:row>13</xdr:row>
      <xdr:rowOff>371475</xdr:rowOff>
    </xdr:to>
    <xdr:graphicFrame macro="">
      <xdr:nvGraphicFramePr>
        <xdr:cNvPr id="3074" name="Gráfico 4">
          <a:extLs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0</xdr:row>
          <xdr:rowOff>28575</xdr:rowOff>
        </xdr:from>
        <xdr:to>
          <xdr:col>26</xdr:col>
          <xdr:colOff>361950</xdr:colOff>
          <xdr:row>0</xdr:row>
          <xdr:rowOff>247650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0</xdr:row>
          <xdr:rowOff>276225</xdr:rowOff>
        </xdr:from>
        <xdr:to>
          <xdr:col>26</xdr:col>
          <xdr:colOff>361950</xdr:colOff>
          <xdr:row>0</xdr:row>
          <xdr:rowOff>495300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NOITE 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0</xdr:row>
      <xdr:rowOff>381000</xdr:rowOff>
    </xdr:to>
    <xdr:sp macro="" textlink="">
      <xdr:nvSpPr>
        <xdr:cNvPr id="4097" name="Texto 1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SpPr txBox="1">
          <a:spLocks noChangeArrowheads="1"/>
        </xdr:cNvSpPr>
      </xdr:nvSpPr>
      <xdr:spPr bwMode="auto">
        <a:xfrm>
          <a:off x="0" y="0"/>
          <a:ext cx="1466850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pt-BR" sz="1200" b="1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0</xdr:col>
      <xdr:colOff>657225</xdr:colOff>
      <xdr:row>3</xdr:row>
      <xdr:rowOff>371475</xdr:rowOff>
    </xdr:from>
    <xdr:to>
      <xdr:col>32</xdr:col>
      <xdr:colOff>104775</xdr:colOff>
      <xdr:row>13</xdr:row>
      <xdr:rowOff>361950</xdr:rowOff>
    </xdr:to>
    <xdr:graphicFrame macro="">
      <xdr:nvGraphicFramePr>
        <xdr:cNvPr id="4098" name="Gráfico 4">
          <a:extLst>
            <a:ext uri="{FF2B5EF4-FFF2-40B4-BE49-F238E27FC236}">
              <a16:creationId xmlns:a16="http://schemas.microsoft.com/office/drawing/2014/main" id="{00000000-0008-0000-0300-000002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361950</xdr:colOff>
          <xdr:row>0</xdr:row>
          <xdr:rowOff>47625</xdr:rowOff>
        </xdr:from>
        <xdr:to>
          <xdr:col>26</xdr:col>
          <xdr:colOff>333375</xdr:colOff>
          <xdr:row>0</xdr:row>
          <xdr:rowOff>266700</xdr:rowOff>
        </xdr:to>
        <xdr:sp macro="" textlink="">
          <xdr:nvSpPr>
            <xdr:cNvPr id="2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361950</xdr:colOff>
          <xdr:row>0</xdr:row>
          <xdr:rowOff>295275</xdr:rowOff>
        </xdr:from>
        <xdr:to>
          <xdr:col>26</xdr:col>
          <xdr:colOff>333375</xdr:colOff>
          <xdr:row>0</xdr:row>
          <xdr:rowOff>514350</xdr:rowOff>
        </xdr:to>
        <xdr:sp macro="" textlink="">
          <xdr:nvSpPr>
            <xdr:cNvPr id="3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NOITE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577849</xdr:colOff>
      <xdr:row>46</xdr:row>
      <xdr:rowOff>142875</xdr:rowOff>
    </xdr:to>
    <xdr:graphicFrame macro="">
      <xdr:nvGraphicFramePr>
        <xdr:cNvPr id="5121" name="Gráfico 1">
          <a:extLst>
            <a:ext uri="{FF2B5EF4-FFF2-40B4-BE49-F238E27FC236}">
              <a16:creationId xmlns:a16="http://schemas.microsoft.com/office/drawing/2014/main" id="{00000000-0008-0000-0500-000001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0.07814</cdr:x>
      <cdr:y>0.01384</cdr:y>
    </cdr:from>
    <cdr:to>
      <cdr:x>0.13102</cdr:x>
      <cdr:y>0.09112</cdr:y>
    </cdr:to>
    <cdr:pic>
      <cdr:nvPicPr>
        <cdr:cNvPr id="2" name="chart">
          <a:hlinkClick xmlns:a="http://schemas.openxmlformats.org/drawingml/2006/main" xmlns:r="http://schemas.openxmlformats.org/officeDocument/2006/relationships" r:id="rId1"/>
          <a:extLst xmlns:a="http://schemas.openxmlformats.org/drawingml/2006/main">
            <a:ext uri="{FF2B5EF4-FFF2-40B4-BE49-F238E27FC236}">
              <a16:creationId xmlns:a16="http://schemas.microsoft.com/office/drawing/2014/main" id="{1D7BBC6E-8445-4380-9B6C-419952B480A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942975" y="114300"/>
          <a:ext cx="638175" cy="638175"/>
        </a:xfrm>
        <a:prstGeom xmlns:a="http://schemas.openxmlformats.org/drawingml/2006/main" prst="rect">
          <a:avLst/>
        </a:prstGeom>
      </cdr:spPr>
    </cdr:pic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tg-00\pbrvol1\DADOS\PIL\PUB\QUALIDADE\2015\2%20-%20Resultados\2.2%20-%20FALHAS\UM-1\ACABAMENTO\F-7.58%20Rev%2006%20-%20150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1)%20Quality%20Business%20Plan/1.3%20-%20Medi&#231;&#227;o%20e%20Monitoramento/SJCPIL%2016-006-08%20-%20FY2021%20-%20Medi&#231;&#227;o%20e%20Monitoramen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 de Uso"/>
      <sheetName val="F-7.58 Rev 06 - D"/>
      <sheetName val="F-7.58 Rev 06 - N"/>
      <sheetName val="Resumo de Falhas"/>
      <sheetName val="Total por Defeito"/>
    </sheetNames>
    <sheetDataSet>
      <sheetData sheetId="0"/>
      <sheetData sheetId="1"/>
      <sheetData sheetId="2"/>
      <sheetData sheetId="3">
        <row r="1">
          <cell r="C1" t="str">
            <v>SH</v>
          </cell>
          <cell r="D1" t="str">
            <v>COL</v>
          </cell>
          <cell r="E1" t="str">
            <v>PH</v>
          </cell>
          <cell r="F1">
            <v>1250</v>
          </cell>
          <cell r="G1" t="str">
            <v>NHT</v>
          </cell>
          <cell r="H1" t="str">
            <v>NEO</v>
          </cell>
          <cell r="I1" t="str">
            <v>NP</v>
          </cell>
          <cell r="J1" t="str">
            <v>BIC</v>
          </cell>
          <cell r="K1" t="str">
            <v>GT</v>
          </cell>
          <cell r="L1" t="str">
            <v>SN</v>
          </cell>
        </row>
      </sheetData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JCPIL 16-006-08"/>
    </sheetNames>
    <sheetDataSet>
      <sheetData sheetId="0">
        <row r="17">
          <cell r="Y17">
            <v>540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4"/>
  <dimension ref="B2:S39"/>
  <sheetViews>
    <sheetView workbookViewId="0">
      <selection activeCell="AI7" sqref="AI7"/>
    </sheetView>
  </sheetViews>
  <sheetFormatPr defaultRowHeight="12.75"/>
  <cols>
    <col min="1" max="16384" width="9.140625" style="124"/>
  </cols>
  <sheetData>
    <row r="2" spans="2:19" ht="27"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</row>
    <row r="7" spans="2:19" ht="18">
      <c r="N7" s="125"/>
    </row>
    <row r="8" spans="2:19" ht="18">
      <c r="N8" s="125"/>
    </row>
    <row r="9" spans="2:19" ht="18">
      <c r="H9" s="125"/>
    </row>
    <row r="11" spans="2:19" ht="18">
      <c r="H11" s="125"/>
      <c r="I11" s="125"/>
      <c r="K11" s="125"/>
      <c r="M11" s="125"/>
      <c r="N11" s="125"/>
      <c r="O11" s="125"/>
      <c r="P11" s="125"/>
      <c r="Q11" s="125"/>
      <c r="R11" s="125"/>
      <c r="S11" s="125"/>
    </row>
    <row r="12" spans="2:19" ht="18">
      <c r="B12" s="125"/>
      <c r="C12" s="125"/>
      <c r="D12" s="125"/>
      <c r="E12" s="125"/>
      <c r="F12" s="125"/>
      <c r="G12" s="125"/>
      <c r="H12" s="125"/>
      <c r="I12" s="125"/>
      <c r="J12" s="125"/>
      <c r="K12" s="125"/>
      <c r="L12" s="125"/>
      <c r="M12" s="125"/>
      <c r="N12" s="125"/>
      <c r="O12" s="125"/>
      <c r="P12" s="125"/>
      <c r="Q12" s="125"/>
      <c r="R12" s="125"/>
      <c r="S12" s="125"/>
    </row>
    <row r="13" spans="2:19" ht="18">
      <c r="B13" s="125"/>
      <c r="C13" s="125"/>
      <c r="D13" s="125"/>
      <c r="E13" s="125"/>
      <c r="F13" s="125"/>
      <c r="G13" s="125"/>
      <c r="H13" s="125"/>
      <c r="I13" s="125"/>
      <c r="K13" s="125"/>
      <c r="L13" s="125"/>
      <c r="M13" s="125"/>
      <c r="N13" s="125"/>
      <c r="O13" s="125"/>
      <c r="P13" s="125"/>
      <c r="Q13" s="125"/>
      <c r="R13" s="125"/>
      <c r="S13" s="125"/>
    </row>
    <row r="14" spans="2:19" ht="18">
      <c r="B14" s="125"/>
      <c r="C14" s="125"/>
      <c r="D14" s="125"/>
      <c r="E14" s="125"/>
      <c r="F14" s="125"/>
      <c r="G14" s="125"/>
      <c r="H14" s="125"/>
      <c r="I14" s="125"/>
      <c r="J14" s="125"/>
      <c r="K14" s="125"/>
      <c r="L14" s="125"/>
      <c r="M14" s="125"/>
      <c r="N14" s="125"/>
      <c r="O14" s="125"/>
      <c r="P14" s="125"/>
      <c r="Q14" s="125"/>
      <c r="R14" s="125"/>
      <c r="S14" s="125"/>
    </row>
    <row r="15" spans="2:19" ht="18">
      <c r="B15" s="125"/>
      <c r="C15" s="125"/>
      <c r="D15" s="125"/>
      <c r="E15" s="125"/>
      <c r="F15" s="125"/>
      <c r="G15" s="125"/>
      <c r="H15" s="125"/>
      <c r="I15" s="125"/>
      <c r="J15" s="125"/>
      <c r="K15" s="125"/>
      <c r="L15" s="125"/>
      <c r="M15" s="125"/>
      <c r="N15" s="125"/>
      <c r="O15" s="125"/>
      <c r="P15" s="125"/>
      <c r="Q15" s="125"/>
      <c r="R15" s="125"/>
      <c r="S15" s="125"/>
    </row>
    <row r="16" spans="2:19" ht="18">
      <c r="B16" s="125"/>
      <c r="C16" s="125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</row>
    <row r="17" spans="2:14" ht="18"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</row>
    <row r="18" spans="2:14" ht="18">
      <c r="B18" s="125"/>
      <c r="C18" s="125"/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</row>
    <row r="19" spans="2:14" ht="18">
      <c r="B19" s="125"/>
      <c r="C19" s="125"/>
      <c r="D19" s="125"/>
      <c r="E19" s="125"/>
      <c r="F19" s="125"/>
      <c r="G19" s="125"/>
      <c r="H19" s="125"/>
      <c r="I19" s="125"/>
      <c r="J19" s="125"/>
      <c r="K19" s="125"/>
      <c r="L19" s="125"/>
      <c r="M19" s="125"/>
      <c r="N19" s="125"/>
    </row>
    <row r="20" spans="2:14" ht="18">
      <c r="B20" s="125"/>
      <c r="C20" s="125"/>
      <c r="D20" s="125"/>
      <c r="E20" s="125"/>
      <c r="F20" s="125"/>
      <c r="G20" s="125"/>
      <c r="H20" s="125"/>
      <c r="I20" s="125"/>
      <c r="J20" s="125"/>
      <c r="K20" s="125"/>
      <c r="L20" s="125"/>
      <c r="M20" s="125"/>
      <c r="N20" s="125"/>
    </row>
    <row r="21" spans="2:14" ht="18">
      <c r="B21" s="125"/>
      <c r="C21" s="125"/>
      <c r="D21" s="125"/>
      <c r="E21" s="125"/>
      <c r="F21" s="125"/>
      <c r="G21" s="125"/>
      <c r="H21" s="125"/>
      <c r="I21" s="125"/>
      <c r="J21" s="125"/>
      <c r="K21" s="125"/>
      <c r="L21" s="125"/>
      <c r="M21" s="125"/>
      <c r="N21" s="125"/>
    </row>
    <row r="22" spans="2:14" ht="18">
      <c r="B22" s="125"/>
      <c r="C22" s="125"/>
      <c r="D22" s="125"/>
      <c r="E22" s="125"/>
      <c r="F22" s="125"/>
      <c r="G22" s="125"/>
      <c r="H22" s="125"/>
      <c r="I22" s="125"/>
      <c r="J22" s="125"/>
      <c r="K22" s="125"/>
      <c r="L22" s="125"/>
      <c r="M22" s="125"/>
      <c r="N22" s="125"/>
    </row>
    <row r="23" spans="2:14" ht="18">
      <c r="B23" s="125"/>
      <c r="C23" s="125"/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25"/>
    </row>
    <row r="24" spans="2:14" ht="18"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</row>
    <row r="25" spans="2:14" ht="18">
      <c r="B25" s="125"/>
      <c r="C25" s="125"/>
      <c r="D25" s="125"/>
      <c r="E25" s="125"/>
      <c r="F25" s="125"/>
      <c r="G25" s="125"/>
      <c r="H25" s="125"/>
      <c r="I25" s="125"/>
      <c r="J25" s="125"/>
      <c r="K25" s="125"/>
      <c r="L25" s="125"/>
      <c r="M25" s="125"/>
      <c r="N25" s="125"/>
    </row>
    <row r="35" spans="2:6">
      <c r="B35" s="126" t="s">
        <v>63</v>
      </c>
      <c r="C35" s="126"/>
      <c r="D35" s="126"/>
      <c r="E35" s="126"/>
      <c r="F35" s="126"/>
    </row>
    <row r="36" spans="2:6">
      <c r="B36" s="126" t="s">
        <v>64</v>
      </c>
      <c r="C36" s="126"/>
      <c r="D36" s="126"/>
      <c r="E36" s="126"/>
      <c r="F36" s="126"/>
    </row>
    <row r="37" spans="2:6">
      <c r="B37" s="126"/>
      <c r="C37" s="126"/>
      <c r="D37" s="126"/>
      <c r="E37" s="126"/>
      <c r="F37" s="126"/>
    </row>
    <row r="38" spans="2:6">
      <c r="B38" s="126" t="s">
        <v>65</v>
      </c>
      <c r="C38" s="126"/>
      <c r="D38" s="126"/>
      <c r="E38" s="126"/>
      <c r="F38" s="126"/>
    </row>
    <row r="39" spans="2:6">
      <c r="B39" s="126" t="s">
        <v>66</v>
      </c>
      <c r="C39" s="126"/>
      <c r="D39" s="126"/>
      <c r="E39" s="126"/>
      <c r="F39" s="126"/>
    </row>
  </sheetData>
  <sheetProtection algorithmName="SHA-512" hashValue="M/ODjv2u6SHNowU6XoEEeQgKGc0xLHJlmBzX5p/1RtHCnnZoOIKw3Z4wOwYLAPGDOlZCKrLHaDvYH9nEoDH3mw==" saltValue="jyidYjd95RRt41QEkUwh6g==" spinCount="100000"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98">
    <pageSetUpPr fitToPage="1"/>
  </sheetPr>
  <dimension ref="A1:AK35"/>
  <sheetViews>
    <sheetView showZeros="0" zoomScaleNormal="100" zoomScaleSheetLayoutView="100" workbookViewId="0">
      <selection activeCell="B2" sqref="B2"/>
    </sheetView>
  </sheetViews>
  <sheetFormatPr defaultColWidth="11.42578125" defaultRowHeight="12.75"/>
  <cols>
    <col min="1" max="1" width="22" customWidth="1"/>
    <col min="2" max="32" width="5.7109375" customWidth="1"/>
    <col min="33" max="33" width="1.42578125" customWidth="1"/>
    <col min="34" max="37" width="8.7109375" customWidth="1"/>
  </cols>
  <sheetData>
    <row r="1" spans="1:37" ht="32.25" customHeight="1" thickBot="1">
      <c r="B1" s="77" t="s">
        <v>59</v>
      </c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157" t="s">
        <v>62</v>
      </c>
      <c r="AD1" s="158"/>
      <c r="AE1" s="158"/>
      <c r="AF1" s="159"/>
    </row>
    <row r="2" spans="1:37" ht="15" customHeight="1">
      <c r="A2" s="78" t="s">
        <v>0</v>
      </c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9"/>
      <c r="AD2" s="109"/>
      <c r="AE2" s="109"/>
      <c r="AF2" s="110"/>
      <c r="AH2" s="42"/>
      <c r="AI2" s="42"/>
      <c r="AJ2" s="42"/>
      <c r="AK2" s="42"/>
    </row>
    <row r="3" spans="1:37" ht="15" customHeight="1">
      <c r="A3" s="79" t="s">
        <v>30</v>
      </c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7"/>
      <c r="AH3" s="42"/>
      <c r="AI3" s="42"/>
      <c r="AJ3" s="42"/>
      <c r="AK3" s="42"/>
    </row>
    <row r="4" spans="1:37" ht="30" customHeight="1" thickBot="1">
      <c r="A4" s="80" t="s">
        <v>1</v>
      </c>
      <c r="B4" s="111"/>
      <c r="C4" s="112"/>
      <c r="D4" s="112"/>
      <c r="E4" s="113"/>
      <c r="F4" s="113"/>
      <c r="G4" s="113"/>
      <c r="H4" s="113"/>
      <c r="I4" s="114"/>
      <c r="J4" s="113"/>
      <c r="K4" s="113"/>
      <c r="L4" s="113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  <c r="AA4" s="115"/>
      <c r="AB4" s="115"/>
      <c r="AC4" s="115"/>
      <c r="AD4" s="115"/>
      <c r="AE4" s="115"/>
      <c r="AF4" s="116"/>
      <c r="AH4" s="42"/>
      <c r="AI4" s="42"/>
      <c r="AJ4" s="42"/>
      <c r="AK4" s="42"/>
    </row>
    <row r="5" spans="1:37" ht="30" customHeight="1">
      <c r="A5" s="81" t="s">
        <v>23</v>
      </c>
      <c r="B5" s="151">
        <f>B35</f>
        <v>0</v>
      </c>
      <c r="C5" s="154">
        <f t="shared" ref="C5:AF5" si="0">C35</f>
        <v>0</v>
      </c>
      <c r="D5" s="154">
        <f t="shared" si="0"/>
        <v>0</v>
      </c>
      <c r="E5" s="151">
        <f t="shared" si="0"/>
        <v>0</v>
      </c>
      <c r="F5" s="151">
        <f t="shared" si="0"/>
        <v>0</v>
      </c>
      <c r="G5" s="151">
        <f t="shared" si="0"/>
        <v>0</v>
      </c>
      <c r="H5" s="151">
        <f t="shared" si="0"/>
        <v>0</v>
      </c>
      <c r="I5" s="151">
        <f t="shared" si="0"/>
        <v>0</v>
      </c>
      <c r="J5" s="151">
        <f t="shared" si="0"/>
        <v>0</v>
      </c>
      <c r="K5" s="151">
        <f t="shared" si="0"/>
        <v>0</v>
      </c>
      <c r="L5" s="151">
        <f t="shared" si="0"/>
        <v>0</v>
      </c>
      <c r="M5" s="151">
        <f t="shared" si="0"/>
        <v>0</v>
      </c>
      <c r="N5" s="151">
        <f t="shared" si="0"/>
        <v>0</v>
      </c>
      <c r="O5" s="151">
        <f t="shared" si="0"/>
        <v>0</v>
      </c>
      <c r="P5" s="151">
        <f t="shared" si="0"/>
        <v>0</v>
      </c>
      <c r="Q5" s="151">
        <f t="shared" si="0"/>
        <v>0</v>
      </c>
      <c r="R5" s="151">
        <f t="shared" si="0"/>
        <v>0</v>
      </c>
      <c r="S5" s="151">
        <f t="shared" si="0"/>
        <v>0</v>
      </c>
      <c r="T5" s="151">
        <f t="shared" si="0"/>
        <v>0</v>
      </c>
      <c r="U5" s="151">
        <f t="shared" si="0"/>
        <v>0</v>
      </c>
      <c r="V5" s="151">
        <f t="shared" si="0"/>
        <v>0</v>
      </c>
      <c r="W5" s="151">
        <f t="shared" si="0"/>
        <v>0</v>
      </c>
      <c r="X5" s="151">
        <f t="shared" si="0"/>
        <v>0</v>
      </c>
      <c r="Y5" s="151">
        <f t="shared" si="0"/>
        <v>0</v>
      </c>
      <c r="Z5" s="151">
        <f t="shared" si="0"/>
        <v>0</v>
      </c>
      <c r="AA5" s="151">
        <f t="shared" si="0"/>
        <v>0</v>
      </c>
      <c r="AB5" s="151">
        <f t="shared" si="0"/>
        <v>0</v>
      </c>
      <c r="AC5" s="151">
        <f t="shared" si="0"/>
        <v>0</v>
      </c>
      <c r="AD5" s="151">
        <f t="shared" si="0"/>
        <v>0</v>
      </c>
      <c r="AE5" s="151">
        <f t="shared" si="0"/>
        <v>0</v>
      </c>
      <c r="AF5" s="160">
        <f t="shared" si="0"/>
        <v>0</v>
      </c>
    </row>
    <row r="6" spans="1:37" ht="30" customHeight="1">
      <c r="A6" s="149" t="s">
        <v>2</v>
      </c>
      <c r="B6" s="152"/>
      <c r="C6" s="155"/>
      <c r="D6" s="155"/>
      <c r="E6" s="152"/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2"/>
      <c r="Q6" s="152"/>
      <c r="R6" s="152"/>
      <c r="S6" s="152"/>
      <c r="T6" s="152"/>
      <c r="U6" s="152"/>
      <c r="V6" s="152"/>
      <c r="W6" s="152"/>
      <c r="X6" s="152"/>
      <c r="Y6" s="152"/>
      <c r="Z6" s="152"/>
      <c r="AA6" s="152"/>
      <c r="AB6" s="152"/>
      <c r="AC6" s="152"/>
      <c r="AD6" s="152"/>
      <c r="AE6" s="152"/>
      <c r="AF6" s="161"/>
    </row>
    <row r="7" spans="1:37" ht="30" customHeight="1">
      <c r="A7" s="149"/>
      <c r="B7" s="152"/>
      <c r="C7" s="155"/>
      <c r="D7" s="155"/>
      <c r="E7" s="152"/>
      <c r="F7" s="152"/>
      <c r="G7" s="152"/>
      <c r="H7" s="152"/>
      <c r="I7" s="152"/>
      <c r="J7" s="152"/>
      <c r="K7" s="152"/>
      <c r="L7" s="152"/>
      <c r="M7" s="152"/>
      <c r="N7" s="152"/>
      <c r="O7" s="152"/>
      <c r="P7" s="152"/>
      <c r="Q7" s="152"/>
      <c r="R7" s="152"/>
      <c r="S7" s="152"/>
      <c r="T7" s="152"/>
      <c r="U7" s="152"/>
      <c r="V7" s="152"/>
      <c r="W7" s="152"/>
      <c r="X7" s="152"/>
      <c r="Y7" s="152"/>
      <c r="Z7" s="152"/>
      <c r="AA7" s="152"/>
      <c r="AB7" s="152"/>
      <c r="AC7" s="152"/>
      <c r="AD7" s="152"/>
      <c r="AE7" s="152"/>
      <c r="AF7" s="161"/>
    </row>
    <row r="8" spans="1:37" ht="30" customHeight="1">
      <c r="A8" s="149"/>
      <c r="B8" s="152"/>
      <c r="C8" s="155"/>
      <c r="D8" s="155"/>
      <c r="E8" s="152"/>
      <c r="F8" s="152"/>
      <c r="G8" s="152"/>
      <c r="H8" s="152"/>
      <c r="I8" s="152"/>
      <c r="J8" s="152"/>
      <c r="K8" s="152"/>
      <c r="L8" s="152"/>
      <c r="M8" s="152"/>
      <c r="N8" s="152"/>
      <c r="O8" s="152"/>
      <c r="P8" s="152"/>
      <c r="Q8" s="152"/>
      <c r="R8" s="152"/>
      <c r="S8" s="152"/>
      <c r="T8" s="152"/>
      <c r="U8" s="152"/>
      <c r="V8" s="152"/>
      <c r="W8" s="152"/>
      <c r="X8" s="152"/>
      <c r="Y8" s="152"/>
      <c r="Z8" s="152"/>
      <c r="AA8" s="152"/>
      <c r="AB8" s="152"/>
      <c r="AC8" s="152"/>
      <c r="AD8" s="152"/>
      <c r="AE8" s="152"/>
      <c r="AF8" s="161"/>
    </row>
    <row r="9" spans="1:37" ht="30" customHeight="1">
      <c r="A9" s="149"/>
      <c r="B9" s="152"/>
      <c r="C9" s="155"/>
      <c r="D9" s="155"/>
      <c r="E9" s="152"/>
      <c r="F9" s="152"/>
      <c r="G9" s="152"/>
      <c r="H9" s="152"/>
      <c r="I9" s="152"/>
      <c r="J9" s="152"/>
      <c r="K9" s="152"/>
      <c r="L9" s="152"/>
      <c r="M9" s="152"/>
      <c r="N9" s="152"/>
      <c r="O9" s="152"/>
      <c r="P9" s="152"/>
      <c r="Q9" s="152"/>
      <c r="R9" s="152"/>
      <c r="S9" s="152"/>
      <c r="T9" s="152"/>
      <c r="U9" s="152"/>
      <c r="V9" s="152"/>
      <c r="W9" s="152"/>
      <c r="X9" s="152"/>
      <c r="Y9" s="152"/>
      <c r="Z9" s="152"/>
      <c r="AA9" s="152"/>
      <c r="AB9" s="152"/>
      <c r="AC9" s="152"/>
      <c r="AD9" s="152"/>
      <c r="AE9" s="152"/>
      <c r="AF9" s="161"/>
    </row>
    <row r="10" spans="1:37" ht="30" customHeight="1">
      <c r="A10" s="149"/>
      <c r="B10" s="152"/>
      <c r="C10" s="155"/>
      <c r="D10" s="155"/>
      <c r="E10" s="152"/>
      <c r="F10" s="152"/>
      <c r="G10" s="152"/>
      <c r="H10" s="152"/>
      <c r="I10" s="152"/>
      <c r="J10" s="152"/>
      <c r="K10" s="152"/>
      <c r="L10" s="152"/>
      <c r="M10" s="152"/>
      <c r="N10" s="152"/>
      <c r="O10" s="152"/>
      <c r="P10" s="152"/>
      <c r="Q10" s="152"/>
      <c r="R10" s="152"/>
      <c r="S10" s="152"/>
      <c r="T10" s="152"/>
      <c r="U10" s="152"/>
      <c r="V10" s="152"/>
      <c r="W10" s="152"/>
      <c r="X10" s="152"/>
      <c r="Y10" s="152"/>
      <c r="Z10" s="152"/>
      <c r="AA10" s="152"/>
      <c r="AB10" s="152"/>
      <c r="AC10" s="152"/>
      <c r="AD10" s="152"/>
      <c r="AE10" s="152"/>
      <c r="AF10" s="161"/>
    </row>
    <row r="11" spans="1:37" ht="30" customHeight="1">
      <c r="A11" s="149"/>
      <c r="B11" s="152"/>
      <c r="C11" s="155"/>
      <c r="D11" s="155"/>
      <c r="E11" s="152"/>
      <c r="F11" s="152"/>
      <c r="G11" s="152"/>
      <c r="H11" s="152"/>
      <c r="I11" s="152"/>
      <c r="J11" s="152"/>
      <c r="K11" s="152"/>
      <c r="L11" s="152"/>
      <c r="M11" s="152"/>
      <c r="N11" s="152"/>
      <c r="O11" s="152"/>
      <c r="P11" s="152"/>
      <c r="Q11" s="152"/>
      <c r="R11" s="152"/>
      <c r="S11" s="152"/>
      <c r="T11" s="152"/>
      <c r="U11" s="152"/>
      <c r="V11" s="152"/>
      <c r="W11" s="152"/>
      <c r="X11" s="152"/>
      <c r="Y11" s="152"/>
      <c r="Z11" s="152"/>
      <c r="AA11" s="152"/>
      <c r="AB11" s="152"/>
      <c r="AC11" s="152"/>
      <c r="AD11" s="152"/>
      <c r="AE11" s="152"/>
      <c r="AF11" s="161"/>
    </row>
    <row r="12" spans="1:37" ht="30" customHeight="1">
      <c r="A12" s="149"/>
      <c r="B12" s="152"/>
      <c r="C12" s="155"/>
      <c r="D12" s="155"/>
      <c r="E12" s="152"/>
      <c r="F12" s="152"/>
      <c r="G12" s="152"/>
      <c r="H12" s="152"/>
      <c r="I12" s="152"/>
      <c r="J12" s="152"/>
      <c r="K12" s="152"/>
      <c r="L12" s="152"/>
      <c r="M12" s="152"/>
      <c r="N12" s="152"/>
      <c r="O12" s="152"/>
      <c r="P12" s="152"/>
      <c r="Q12" s="152"/>
      <c r="R12" s="152"/>
      <c r="S12" s="152"/>
      <c r="T12" s="152"/>
      <c r="U12" s="152"/>
      <c r="V12" s="152"/>
      <c r="W12" s="152"/>
      <c r="X12" s="152"/>
      <c r="Y12" s="152"/>
      <c r="Z12" s="152"/>
      <c r="AA12" s="152"/>
      <c r="AB12" s="152"/>
      <c r="AC12" s="152"/>
      <c r="AD12" s="152"/>
      <c r="AE12" s="152"/>
      <c r="AF12" s="161"/>
    </row>
    <row r="13" spans="1:37" ht="30" customHeight="1">
      <c r="A13" s="149"/>
      <c r="B13" s="152"/>
      <c r="C13" s="155"/>
      <c r="D13" s="155"/>
      <c r="E13" s="152"/>
      <c r="F13" s="152"/>
      <c r="G13" s="152"/>
      <c r="H13" s="152"/>
      <c r="I13" s="152"/>
      <c r="J13" s="152"/>
      <c r="K13" s="152"/>
      <c r="L13" s="152"/>
      <c r="M13" s="152"/>
      <c r="N13" s="152"/>
      <c r="O13" s="152"/>
      <c r="P13" s="152"/>
      <c r="Q13" s="152"/>
      <c r="R13" s="152"/>
      <c r="S13" s="152"/>
      <c r="T13" s="152"/>
      <c r="U13" s="152"/>
      <c r="V13" s="152"/>
      <c r="W13" s="152"/>
      <c r="X13" s="152"/>
      <c r="Y13" s="152"/>
      <c r="Z13" s="152"/>
      <c r="AA13" s="152"/>
      <c r="AB13" s="152"/>
      <c r="AC13" s="152"/>
      <c r="AD13" s="152"/>
      <c r="AE13" s="152"/>
      <c r="AF13" s="161"/>
    </row>
    <row r="14" spans="1:37" ht="30" customHeight="1" thickBot="1">
      <c r="A14" s="150"/>
      <c r="B14" s="153"/>
      <c r="C14" s="156"/>
      <c r="D14" s="156"/>
      <c r="E14" s="153"/>
      <c r="F14" s="153"/>
      <c r="G14" s="153"/>
      <c r="H14" s="153"/>
      <c r="I14" s="153"/>
      <c r="J14" s="153"/>
      <c r="K14" s="153"/>
      <c r="L14" s="153"/>
      <c r="M14" s="153"/>
      <c r="N14" s="153"/>
      <c r="O14" s="153"/>
      <c r="P14" s="153"/>
      <c r="Q14" s="153"/>
      <c r="R14" s="153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62"/>
    </row>
    <row r="15" spans="1:37" ht="21.95" customHeight="1">
      <c r="A15" s="82" t="s">
        <v>3</v>
      </c>
      <c r="B15" s="117"/>
      <c r="C15" s="117"/>
      <c r="D15" s="117"/>
      <c r="E15" s="117"/>
      <c r="F15" s="117"/>
      <c r="G15" s="117"/>
      <c r="H15" s="117"/>
      <c r="I15" s="117"/>
      <c r="J15" s="117"/>
      <c r="K15" s="117"/>
      <c r="L15" s="117"/>
      <c r="M15" s="117"/>
      <c r="N15" s="117"/>
      <c r="O15" s="117"/>
      <c r="P15" s="117"/>
      <c r="Q15" s="117"/>
      <c r="R15" s="117"/>
      <c r="S15" s="117"/>
      <c r="T15" s="117"/>
      <c r="U15" s="117"/>
      <c r="V15" s="117"/>
      <c r="W15" s="117"/>
      <c r="X15" s="117"/>
      <c r="Y15" s="117"/>
      <c r="Z15" s="117"/>
      <c r="AA15" s="117"/>
      <c r="AB15" s="117"/>
      <c r="AC15" s="117"/>
      <c r="AD15" s="117"/>
      <c r="AE15" s="117"/>
      <c r="AF15" s="118"/>
      <c r="AH15" s="42"/>
      <c r="AI15" s="42"/>
      <c r="AJ15" s="42"/>
      <c r="AK15" s="42"/>
    </row>
    <row r="16" spans="1:37" ht="21.95" customHeight="1">
      <c r="A16" s="83" t="s">
        <v>4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119"/>
      <c r="AB16" s="119"/>
      <c r="AC16" s="119"/>
      <c r="AD16" s="119"/>
      <c r="AE16" s="119"/>
      <c r="AF16" s="120"/>
      <c r="AH16" s="42"/>
      <c r="AI16" s="42"/>
      <c r="AJ16" s="42"/>
      <c r="AK16" s="42"/>
    </row>
    <row r="17" spans="1:37" ht="21.95" customHeight="1">
      <c r="A17" s="83" t="s">
        <v>46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19"/>
      <c r="AB17" s="119"/>
      <c r="AC17" s="119"/>
      <c r="AD17" s="119"/>
      <c r="AE17" s="119"/>
      <c r="AF17" s="120"/>
      <c r="AH17" s="42"/>
      <c r="AI17" s="42"/>
      <c r="AJ17" s="42"/>
      <c r="AK17" s="42"/>
    </row>
    <row r="18" spans="1:37" ht="21.95" customHeight="1">
      <c r="A18" s="83" t="s">
        <v>47</v>
      </c>
      <c r="B18" s="119"/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119"/>
      <c r="AB18" s="119"/>
      <c r="AC18" s="119"/>
      <c r="AD18" s="119"/>
      <c r="AE18" s="119"/>
      <c r="AF18" s="120"/>
      <c r="AH18" s="42"/>
      <c r="AI18" s="42"/>
      <c r="AJ18" s="42"/>
      <c r="AK18" s="42"/>
    </row>
    <row r="19" spans="1:37" ht="21.95" customHeight="1">
      <c r="A19" s="83" t="s">
        <v>56</v>
      </c>
      <c r="B19" s="119"/>
      <c r="C19" s="119"/>
      <c r="D19" s="119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119"/>
      <c r="AA19" s="119"/>
      <c r="AB19" s="119"/>
      <c r="AC19" s="119"/>
      <c r="AD19" s="119"/>
      <c r="AE19" s="119"/>
      <c r="AF19" s="120"/>
      <c r="AH19" s="42"/>
      <c r="AI19" s="42"/>
      <c r="AJ19" s="42"/>
      <c r="AK19" s="42"/>
    </row>
    <row r="20" spans="1:37" ht="21.95" customHeight="1">
      <c r="A20" s="83" t="s">
        <v>55</v>
      </c>
      <c r="B20" s="119"/>
      <c r="C20" s="119"/>
      <c r="D20" s="119"/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119"/>
      <c r="Z20" s="119"/>
      <c r="AA20" s="119"/>
      <c r="AB20" s="119"/>
      <c r="AC20" s="119"/>
      <c r="AD20" s="119"/>
      <c r="AE20" s="119"/>
      <c r="AF20" s="120"/>
      <c r="AH20" s="42"/>
      <c r="AI20" s="42"/>
      <c r="AJ20" s="42"/>
      <c r="AK20" s="42"/>
    </row>
    <row r="21" spans="1:37" ht="21.95" customHeight="1">
      <c r="A21" s="83" t="s">
        <v>48</v>
      </c>
      <c r="B21" s="119"/>
      <c r="C21" s="119"/>
      <c r="D21" s="119"/>
      <c r="E21" s="119"/>
      <c r="F21" s="119"/>
      <c r="G21" s="119"/>
      <c r="H21" s="119"/>
      <c r="I21" s="119"/>
      <c r="J21" s="119"/>
      <c r="K21" s="119"/>
      <c r="L21" s="119"/>
      <c r="M21" s="119"/>
      <c r="N21" s="119"/>
      <c r="O21" s="119"/>
      <c r="P21" s="119"/>
      <c r="Q21" s="119"/>
      <c r="R21" s="119"/>
      <c r="S21" s="119"/>
      <c r="T21" s="119"/>
      <c r="U21" s="119"/>
      <c r="V21" s="119"/>
      <c r="W21" s="119"/>
      <c r="X21" s="119"/>
      <c r="Y21" s="119"/>
      <c r="Z21" s="119"/>
      <c r="AA21" s="119"/>
      <c r="AB21" s="119"/>
      <c r="AC21" s="119"/>
      <c r="AD21" s="119"/>
      <c r="AE21" s="119"/>
      <c r="AF21" s="120"/>
      <c r="AH21" s="42"/>
      <c r="AI21" s="42"/>
      <c r="AJ21" s="42"/>
      <c r="AK21" s="42"/>
    </row>
    <row r="22" spans="1:37" ht="21.95" customHeight="1">
      <c r="A22" s="86" t="s">
        <v>51</v>
      </c>
      <c r="B22" s="119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  <c r="AA22" s="119"/>
      <c r="AB22" s="119"/>
      <c r="AC22" s="119"/>
      <c r="AD22" s="119"/>
      <c r="AE22" s="119"/>
      <c r="AF22" s="120"/>
      <c r="AH22" s="103"/>
      <c r="AI22" s="42"/>
      <c r="AJ22" s="42"/>
      <c r="AK22" s="42"/>
    </row>
    <row r="23" spans="1:37" ht="21.95" customHeight="1">
      <c r="A23" s="83" t="s">
        <v>50</v>
      </c>
      <c r="B23" s="119"/>
      <c r="C23" s="119"/>
      <c r="D23" s="119"/>
      <c r="E23" s="119"/>
      <c r="F23" s="119"/>
      <c r="G23" s="119"/>
      <c r="H23" s="119"/>
      <c r="I23" s="119"/>
      <c r="J23" s="119"/>
      <c r="K23" s="119"/>
      <c r="L23" s="119"/>
      <c r="M23" s="119"/>
      <c r="N23" s="119"/>
      <c r="O23" s="119"/>
      <c r="P23" s="119"/>
      <c r="Q23" s="119"/>
      <c r="R23" s="119"/>
      <c r="S23" s="119"/>
      <c r="T23" s="119"/>
      <c r="U23" s="119"/>
      <c r="V23" s="119"/>
      <c r="W23" s="119"/>
      <c r="X23" s="119"/>
      <c r="Y23" s="119"/>
      <c r="Z23" s="119"/>
      <c r="AA23" s="119"/>
      <c r="AB23" s="119"/>
      <c r="AC23" s="119"/>
      <c r="AD23" s="119"/>
      <c r="AE23" s="119"/>
      <c r="AF23" s="120"/>
      <c r="AH23" s="42"/>
      <c r="AI23" s="42"/>
      <c r="AJ23" s="42"/>
      <c r="AK23" s="42"/>
    </row>
    <row r="24" spans="1:37" ht="21.95" customHeight="1">
      <c r="A24" s="83" t="s">
        <v>67</v>
      </c>
      <c r="B24" s="119"/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  <c r="AA24" s="119"/>
      <c r="AB24" s="119"/>
      <c r="AC24" s="119"/>
      <c r="AD24" s="119"/>
      <c r="AE24" s="119"/>
      <c r="AF24" s="120"/>
      <c r="AH24" s="42"/>
      <c r="AI24" s="42"/>
      <c r="AJ24" s="42"/>
      <c r="AK24" s="42"/>
    </row>
    <row r="25" spans="1:37" ht="21.95" customHeight="1">
      <c r="A25" s="83" t="s">
        <v>5</v>
      </c>
      <c r="B25" s="119"/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19"/>
      <c r="AB25" s="119"/>
      <c r="AC25" s="119"/>
      <c r="AD25" s="119"/>
      <c r="AE25" s="119"/>
      <c r="AF25" s="120"/>
      <c r="AH25" s="42"/>
      <c r="AI25" s="42"/>
      <c r="AJ25" s="42"/>
      <c r="AK25" s="42"/>
    </row>
    <row r="26" spans="1:37" ht="21.95" customHeight="1">
      <c r="A26" s="87" t="s">
        <v>6</v>
      </c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  <c r="AA26" s="119"/>
      <c r="AB26" s="119"/>
      <c r="AC26" s="119"/>
      <c r="AD26" s="119"/>
      <c r="AE26" s="119"/>
      <c r="AF26" s="120"/>
      <c r="AH26" s="42"/>
      <c r="AI26" s="42"/>
      <c r="AJ26" s="42"/>
      <c r="AK26" s="42"/>
    </row>
    <row r="27" spans="1:37" ht="21.95" customHeight="1">
      <c r="A27" s="88" t="s">
        <v>7</v>
      </c>
      <c r="B27" s="84"/>
      <c r="C27" s="84"/>
      <c r="D27" s="84"/>
      <c r="E27" s="84"/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5"/>
      <c r="AH27" s="42" t="e">
        <f>SUM(B27:G27)+'SJCPIL-R 16-318-03 - Noturno'!#REF!</f>
        <v>#REF!</v>
      </c>
      <c r="AI27" s="42" t="e">
        <f>SUM(C27:E27)+'SJCPIL-R 16-318-03 - Noturno'!#REF!</f>
        <v>#REF!</v>
      </c>
      <c r="AJ27" s="42" t="e">
        <f>SUM(F27:J27)+'SJCPIL-R 16-318-03 - Noturno'!#REF!</f>
        <v>#REF!</v>
      </c>
      <c r="AK27" s="42" t="e">
        <f>SUM(K27:O27)+'SJCPIL-R 16-318-03 - Noturno'!#REF!</f>
        <v>#REF!</v>
      </c>
    </row>
    <row r="28" spans="1:37" ht="21.95" customHeight="1" thickBot="1">
      <c r="A28" s="89" t="s">
        <v>23</v>
      </c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  <c r="AF28" s="122"/>
      <c r="AH28" s="103">
        <f>IF(ISERR(AH27/AH4),0,AH27/AH4*1000000)</f>
        <v>0</v>
      </c>
      <c r="AI28" s="103">
        <f>IF(ISERR(AI27/AI4),0,AI27/AI4*1000000)</f>
        <v>0</v>
      </c>
      <c r="AJ28" s="103">
        <f>IF(ISERR(AJ27/AJ4),0,AJ27/AJ4*1000000)</f>
        <v>0</v>
      </c>
      <c r="AK28" s="103">
        <f>IF(ISERR(AK27/AK4),0,AK27/AK4*1000000)</f>
        <v>0</v>
      </c>
    </row>
    <row r="29" spans="1:37" s="93" customFormat="1" ht="9" customHeight="1" thickBot="1">
      <c r="A29" s="92"/>
    </row>
    <row r="30" spans="1:37" ht="30" customHeight="1">
      <c r="A30" s="94" t="s">
        <v>42</v>
      </c>
      <c r="B30" s="95"/>
      <c r="C30" s="95"/>
      <c r="D30" s="95"/>
      <c r="E30" s="95"/>
      <c r="F30" s="95"/>
      <c r="G30" s="95"/>
      <c r="H30" s="95"/>
      <c r="I30" s="94" t="s">
        <v>44</v>
      </c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6"/>
      <c r="U30" s="94" t="s">
        <v>45</v>
      </c>
      <c r="V30" s="95"/>
      <c r="W30" s="95"/>
      <c r="X30" s="95"/>
      <c r="Y30" s="95"/>
      <c r="Z30" s="95"/>
      <c r="AA30" s="95"/>
      <c r="AB30" s="95"/>
      <c r="AC30" s="95"/>
      <c r="AD30" s="95"/>
      <c r="AE30" s="95"/>
      <c r="AF30" s="96"/>
    </row>
    <row r="31" spans="1:37" ht="30" customHeight="1" thickBot="1">
      <c r="A31" s="97" t="s">
        <v>43</v>
      </c>
      <c r="B31" s="98"/>
      <c r="C31" s="98"/>
      <c r="D31" s="98"/>
      <c r="E31" s="98"/>
      <c r="F31" s="98"/>
      <c r="G31" s="98"/>
      <c r="H31" s="98"/>
      <c r="I31" s="97" t="s">
        <v>43</v>
      </c>
      <c r="J31" s="98"/>
      <c r="K31" s="98"/>
      <c r="L31" s="98"/>
      <c r="M31" s="98"/>
      <c r="N31" s="98"/>
      <c r="O31" s="98"/>
      <c r="P31" s="98"/>
      <c r="Q31" s="98"/>
      <c r="R31" s="98"/>
      <c r="S31" s="98"/>
      <c r="T31" s="99"/>
      <c r="U31" s="97" t="s">
        <v>43</v>
      </c>
      <c r="V31" s="98"/>
      <c r="W31" s="98"/>
      <c r="X31" s="98"/>
      <c r="Y31" s="98"/>
      <c r="Z31" s="98"/>
      <c r="AA31" s="98"/>
      <c r="AB31" s="98"/>
      <c r="AC31" s="98"/>
      <c r="AD31" s="98"/>
      <c r="AE31" s="98"/>
      <c r="AF31" s="99"/>
    </row>
    <row r="32" spans="1:37">
      <c r="A32" t="s">
        <v>24</v>
      </c>
      <c r="B32" s="100">
        <v>450</v>
      </c>
      <c r="C32" s="100">
        <f>B32</f>
        <v>450</v>
      </c>
      <c r="D32" s="100">
        <f t="shared" ref="D32:AF32" si="1">C32</f>
        <v>450</v>
      </c>
      <c r="E32" s="100">
        <f t="shared" si="1"/>
        <v>450</v>
      </c>
      <c r="F32" s="100">
        <f t="shared" si="1"/>
        <v>450</v>
      </c>
      <c r="G32" s="100">
        <f t="shared" si="1"/>
        <v>450</v>
      </c>
      <c r="H32" s="100">
        <f t="shared" si="1"/>
        <v>450</v>
      </c>
      <c r="I32" s="100">
        <f t="shared" si="1"/>
        <v>450</v>
      </c>
      <c r="J32" s="100">
        <f t="shared" si="1"/>
        <v>450</v>
      </c>
      <c r="K32" s="100">
        <f t="shared" si="1"/>
        <v>450</v>
      </c>
      <c r="L32" s="100">
        <f t="shared" si="1"/>
        <v>450</v>
      </c>
      <c r="M32" s="100">
        <f t="shared" si="1"/>
        <v>450</v>
      </c>
      <c r="N32" s="100">
        <f t="shared" si="1"/>
        <v>450</v>
      </c>
      <c r="O32" s="100">
        <f t="shared" si="1"/>
        <v>450</v>
      </c>
      <c r="P32" s="100">
        <f t="shared" si="1"/>
        <v>450</v>
      </c>
      <c r="Q32" s="100">
        <f t="shared" si="1"/>
        <v>450</v>
      </c>
      <c r="R32" s="100">
        <f t="shared" si="1"/>
        <v>450</v>
      </c>
      <c r="S32" s="100">
        <f t="shared" si="1"/>
        <v>450</v>
      </c>
      <c r="T32" s="100">
        <f t="shared" si="1"/>
        <v>450</v>
      </c>
      <c r="U32" s="100">
        <f t="shared" si="1"/>
        <v>450</v>
      </c>
      <c r="V32" s="100">
        <f t="shared" si="1"/>
        <v>450</v>
      </c>
      <c r="W32" s="100">
        <f t="shared" si="1"/>
        <v>450</v>
      </c>
      <c r="X32" s="100">
        <f>W32</f>
        <v>450</v>
      </c>
      <c r="Y32" s="100">
        <f t="shared" si="1"/>
        <v>450</v>
      </c>
      <c r="Z32" s="100">
        <f t="shared" si="1"/>
        <v>450</v>
      </c>
      <c r="AA32" s="100">
        <f t="shared" si="1"/>
        <v>450</v>
      </c>
      <c r="AB32" s="100">
        <f t="shared" si="1"/>
        <v>450</v>
      </c>
      <c r="AC32" s="100">
        <f t="shared" si="1"/>
        <v>450</v>
      </c>
      <c r="AD32" s="100">
        <f t="shared" si="1"/>
        <v>450</v>
      </c>
      <c r="AE32" s="100">
        <f t="shared" si="1"/>
        <v>450</v>
      </c>
      <c r="AF32" s="100">
        <f t="shared" si="1"/>
        <v>450</v>
      </c>
    </row>
    <row r="34" spans="1:32">
      <c r="A34" s="42" t="s">
        <v>31</v>
      </c>
      <c r="B34" s="42">
        <f t="shared" ref="B34:AF34" si="2">B2</f>
        <v>0</v>
      </c>
      <c r="C34" s="42">
        <f t="shared" si="2"/>
        <v>0</v>
      </c>
      <c r="D34" s="42">
        <f t="shared" si="2"/>
        <v>0</v>
      </c>
      <c r="E34" s="42">
        <f t="shared" si="2"/>
        <v>0</v>
      </c>
      <c r="F34" s="42">
        <f t="shared" si="2"/>
        <v>0</v>
      </c>
      <c r="G34" s="42">
        <f t="shared" si="2"/>
        <v>0</v>
      </c>
      <c r="H34" s="42">
        <f t="shared" si="2"/>
        <v>0</v>
      </c>
      <c r="I34" s="42">
        <f t="shared" si="2"/>
        <v>0</v>
      </c>
      <c r="J34" s="42">
        <f t="shared" si="2"/>
        <v>0</v>
      </c>
      <c r="K34" s="42">
        <f t="shared" si="2"/>
        <v>0</v>
      </c>
      <c r="L34" s="42">
        <f t="shared" si="2"/>
        <v>0</v>
      </c>
      <c r="M34" s="42">
        <f t="shared" si="2"/>
        <v>0</v>
      </c>
      <c r="N34" s="42">
        <f t="shared" si="2"/>
        <v>0</v>
      </c>
      <c r="O34" s="42">
        <f t="shared" si="2"/>
        <v>0</v>
      </c>
      <c r="P34" s="42">
        <f t="shared" si="2"/>
        <v>0</v>
      </c>
      <c r="Q34" s="42">
        <f t="shared" si="2"/>
        <v>0</v>
      </c>
      <c r="R34" s="42">
        <f t="shared" si="2"/>
        <v>0</v>
      </c>
      <c r="S34" s="42">
        <f t="shared" si="2"/>
        <v>0</v>
      </c>
      <c r="T34" s="42">
        <f t="shared" si="2"/>
        <v>0</v>
      </c>
      <c r="U34" s="42">
        <f t="shared" si="2"/>
        <v>0</v>
      </c>
      <c r="V34" s="42">
        <f t="shared" si="2"/>
        <v>0</v>
      </c>
      <c r="W34" s="42">
        <f t="shared" si="2"/>
        <v>0</v>
      </c>
      <c r="X34" s="42">
        <f t="shared" si="2"/>
        <v>0</v>
      </c>
      <c r="Y34" s="42">
        <f t="shared" si="2"/>
        <v>0</v>
      </c>
      <c r="Z34" s="42">
        <f t="shared" si="2"/>
        <v>0</v>
      </c>
      <c r="AA34" s="42">
        <f t="shared" si="2"/>
        <v>0</v>
      </c>
      <c r="AB34" s="42">
        <f t="shared" si="2"/>
        <v>0</v>
      </c>
      <c r="AC34" s="42">
        <f t="shared" si="2"/>
        <v>0</v>
      </c>
      <c r="AD34" s="42">
        <f t="shared" si="2"/>
        <v>0</v>
      </c>
      <c r="AE34" s="42">
        <f t="shared" si="2"/>
        <v>0</v>
      </c>
      <c r="AF34" s="42">
        <f t="shared" si="2"/>
        <v>0</v>
      </c>
    </row>
    <row r="35" spans="1:32" ht="105" customHeight="1">
      <c r="A35" s="101" t="s">
        <v>32</v>
      </c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4"/>
      <c r="P35" s="63"/>
      <c r="Q35" s="63"/>
      <c r="R35" s="63"/>
      <c r="S35" s="74"/>
      <c r="T35" s="74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</row>
  </sheetData>
  <sheetProtection algorithmName="SHA-512" hashValue="cNXvdrETdcSUCUEZ1SJosALOqaA35++Sz35lckJYnUpQ38/yT+BAPWzUB9mk8xViMslLjYkut2zmXugX5pW8PQ==" saltValue="kJlXPNjrAXKpQXI9nWiIkg==" spinCount="100000" sheet="1" objects="1" scenarios="1" selectLockedCells="1"/>
  <mergeCells count="33">
    <mergeCell ref="L5:L14"/>
    <mergeCell ref="AA5:AA14"/>
    <mergeCell ref="N5:N14"/>
    <mergeCell ref="P5:P14"/>
    <mergeCell ref="F5:F14"/>
    <mergeCell ref="G5:G14"/>
    <mergeCell ref="H5:H14"/>
    <mergeCell ref="I5:I14"/>
    <mergeCell ref="J5:J14"/>
    <mergeCell ref="AC1:AF1"/>
    <mergeCell ref="AD5:AD14"/>
    <mergeCell ref="AE5:AE14"/>
    <mergeCell ref="M5:M14"/>
    <mergeCell ref="AF5:AF14"/>
    <mergeCell ref="O5:O14"/>
    <mergeCell ref="AB5:AB14"/>
    <mergeCell ref="AC5:AC14"/>
    <mergeCell ref="A6:A14"/>
    <mergeCell ref="W5:W14"/>
    <mergeCell ref="X5:X14"/>
    <mergeCell ref="Y5:Y14"/>
    <mergeCell ref="Z5:Z14"/>
    <mergeCell ref="Q5:Q14"/>
    <mergeCell ref="R5:R14"/>
    <mergeCell ref="S5:S14"/>
    <mergeCell ref="T5:T14"/>
    <mergeCell ref="U5:U14"/>
    <mergeCell ref="V5:V14"/>
    <mergeCell ref="K5:K14"/>
    <mergeCell ref="B5:B14"/>
    <mergeCell ref="C5:C14"/>
    <mergeCell ref="D5:D14"/>
    <mergeCell ref="E5:E14"/>
  </mergeCells>
  <dataValidations count="1">
    <dataValidation type="list" allowBlank="1" showInputMessage="1" showErrorMessage="1" sqref="B3:AF3" xr:uid="{00000000-0002-0000-0100-000000000000}">
      <formula1>produtos</formula1>
    </dataValidation>
  </dataValidations>
  <printOptions horizontalCentered="1" verticalCentered="1" gridLines="1" gridLinesSet="0"/>
  <pageMargins left="0.27559055118110237" right="0.27559055118110237" top="0.39370078740157483" bottom="0.39370078740157483" header="0.27559055118110237" footer="0.27559055118110237"/>
  <pageSetup paperSize="9" scale="64" orientation="landscape" r:id="rId1"/>
  <headerFooter alignWithMargins="0">
    <oddFooter>&amp;L&amp;A&amp;R&amp;F - ACABAMENTO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96">
    <pageSetUpPr fitToPage="1"/>
  </sheetPr>
  <dimension ref="A1:AF37"/>
  <sheetViews>
    <sheetView showZeros="0" zoomScaleNormal="100" zoomScaleSheetLayoutView="100" workbookViewId="0">
      <selection activeCell="B2" sqref="B2"/>
    </sheetView>
  </sheetViews>
  <sheetFormatPr defaultColWidth="11.42578125" defaultRowHeight="12.75"/>
  <cols>
    <col min="1" max="1" width="22" customWidth="1"/>
    <col min="2" max="31" width="5.7109375" customWidth="1"/>
    <col min="32" max="32" width="9.140625" customWidth="1"/>
    <col min="33" max="33" width="1.42578125" customWidth="1"/>
  </cols>
  <sheetData>
    <row r="1" spans="1:32" ht="46.5" customHeight="1" thickBot="1">
      <c r="B1" s="77" t="s">
        <v>70</v>
      </c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163" t="s">
        <v>73</v>
      </c>
      <c r="AC1" s="164"/>
      <c r="AD1" s="164"/>
      <c r="AE1" s="164" t="str">
        <f ca="1">MID(CELL("nome.arquivo"),SEARCH(".xl",CELL("nome.arquivo"))-2,2)&amp;" / 20"&amp;MID(CELL("nome.arquivo"),SEARCH(".xl",CELL("nome.arquivo"))-4,2)</f>
        <v>03 / 2022</v>
      </c>
      <c r="AF1" s="165"/>
    </row>
    <row r="2" spans="1:32" ht="15" customHeight="1">
      <c r="A2" s="78" t="s">
        <v>0</v>
      </c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8"/>
      <c r="AC2" s="148"/>
      <c r="AD2" s="148"/>
      <c r="AE2" s="148"/>
      <c r="AF2" s="145" t="s">
        <v>22</v>
      </c>
    </row>
    <row r="3" spans="1:32" ht="15" customHeight="1">
      <c r="A3" s="79" t="s">
        <v>30</v>
      </c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4"/>
    </row>
    <row r="4" spans="1:32" ht="30" customHeight="1" thickBot="1">
      <c r="A4" s="80" t="s">
        <v>1</v>
      </c>
      <c r="B4" s="105"/>
      <c r="C4" s="105"/>
      <c r="D4" s="105"/>
      <c r="E4" s="56"/>
      <c r="F4" s="56"/>
      <c r="G4" s="56"/>
      <c r="H4" s="56"/>
      <c r="I4" s="55"/>
      <c r="J4" s="56"/>
      <c r="K4" s="56"/>
      <c r="L4" s="56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144">
        <f>SUM(B4:AE4)</f>
        <v>0</v>
      </c>
    </row>
    <row r="5" spans="1:32" ht="30" customHeight="1">
      <c r="A5" s="81" t="s">
        <v>23</v>
      </c>
      <c r="B5" s="151">
        <f>B36</f>
        <v>0</v>
      </c>
      <c r="C5" s="151">
        <f t="shared" ref="C5:AF5" si="0">C36</f>
        <v>0</v>
      </c>
      <c r="D5" s="151">
        <f t="shared" si="0"/>
        <v>0</v>
      </c>
      <c r="E5" s="151">
        <f t="shared" si="0"/>
        <v>0</v>
      </c>
      <c r="F5" s="151">
        <f t="shared" si="0"/>
        <v>0</v>
      </c>
      <c r="G5" s="151">
        <f t="shared" si="0"/>
        <v>0</v>
      </c>
      <c r="H5" s="151">
        <f t="shared" si="0"/>
        <v>0</v>
      </c>
      <c r="I5" s="151">
        <f t="shared" si="0"/>
        <v>0</v>
      </c>
      <c r="J5" s="151">
        <f t="shared" si="0"/>
        <v>0</v>
      </c>
      <c r="K5" s="151">
        <f t="shared" si="0"/>
        <v>0</v>
      </c>
      <c r="L5" s="151">
        <f t="shared" si="0"/>
        <v>0</v>
      </c>
      <c r="M5" s="151">
        <f t="shared" si="0"/>
        <v>0</v>
      </c>
      <c r="N5" s="151">
        <f t="shared" si="0"/>
        <v>0</v>
      </c>
      <c r="O5" s="151">
        <f t="shared" si="0"/>
        <v>0</v>
      </c>
      <c r="P5" s="151">
        <f t="shared" si="0"/>
        <v>0</v>
      </c>
      <c r="Q5" s="151">
        <f t="shared" si="0"/>
        <v>0</v>
      </c>
      <c r="R5" s="151">
        <f t="shared" si="0"/>
        <v>0</v>
      </c>
      <c r="S5" s="151">
        <f t="shared" si="0"/>
        <v>0</v>
      </c>
      <c r="T5" s="151">
        <f t="shared" si="0"/>
        <v>0</v>
      </c>
      <c r="U5" s="151">
        <f t="shared" si="0"/>
        <v>0</v>
      </c>
      <c r="V5" s="151">
        <f t="shared" si="0"/>
        <v>0</v>
      </c>
      <c r="W5" s="151">
        <f t="shared" si="0"/>
        <v>0</v>
      </c>
      <c r="X5" s="151">
        <f t="shared" si="0"/>
        <v>0</v>
      </c>
      <c r="Y5" s="151">
        <f t="shared" si="0"/>
        <v>0</v>
      </c>
      <c r="Z5" s="151">
        <f t="shared" si="0"/>
        <v>0</v>
      </c>
      <c r="AA5" s="151">
        <f t="shared" si="0"/>
        <v>0</v>
      </c>
      <c r="AB5" s="151">
        <f t="shared" si="0"/>
        <v>0</v>
      </c>
      <c r="AC5" s="151">
        <f t="shared" si="0"/>
        <v>0</v>
      </c>
      <c r="AD5" s="151">
        <f t="shared" si="0"/>
        <v>0</v>
      </c>
      <c r="AE5" s="151">
        <f t="shared" si="0"/>
        <v>0</v>
      </c>
      <c r="AF5" s="160">
        <f t="shared" si="0"/>
        <v>0</v>
      </c>
    </row>
    <row r="6" spans="1:32" ht="30" customHeight="1">
      <c r="A6" s="149" t="s">
        <v>2</v>
      </c>
      <c r="B6" s="152"/>
      <c r="C6" s="152"/>
      <c r="D6" s="152"/>
      <c r="E6" s="152"/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2"/>
      <c r="Q6" s="152"/>
      <c r="R6" s="152"/>
      <c r="S6" s="152"/>
      <c r="T6" s="152"/>
      <c r="U6" s="152"/>
      <c r="V6" s="152"/>
      <c r="W6" s="152"/>
      <c r="X6" s="152"/>
      <c r="Y6" s="152"/>
      <c r="Z6" s="152"/>
      <c r="AA6" s="152"/>
      <c r="AB6" s="152"/>
      <c r="AC6" s="152"/>
      <c r="AD6" s="152"/>
      <c r="AE6" s="152"/>
      <c r="AF6" s="161"/>
    </row>
    <row r="7" spans="1:32" ht="30" customHeight="1">
      <c r="A7" s="149"/>
      <c r="B7" s="152"/>
      <c r="C7" s="152"/>
      <c r="D7" s="152"/>
      <c r="E7" s="152"/>
      <c r="F7" s="152"/>
      <c r="G7" s="152"/>
      <c r="H7" s="152"/>
      <c r="I7" s="152"/>
      <c r="J7" s="152"/>
      <c r="K7" s="152"/>
      <c r="L7" s="152"/>
      <c r="M7" s="152"/>
      <c r="N7" s="152"/>
      <c r="O7" s="152"/>
      <c r="P7" s="152"/>
      <c r="Q7" s="152"/>
      <c r="R7" s="152"/>
      <c r="S7" s="152"/>
      <c r="T7" s="152"/>
      <c r="U7" s="152"/>
      <c r="V7" s="152"/>
      <c r="W7" s="152"/>
      <c r="X7" s="152"/>
      <c r="Y7" s="152"/>
      <c r="Z7" s="152"/>
      <c r="AA7" s="152"/>
      <c r="AB7" s="152"/>
      <c r="AC7" s="152"/>
      <c r="AD7" s="152"/>
      <c r="AE7" s="152"/>
      <c r="AF7" s="161"/>
    </row>
    <row r="8" spans="1:32" ht="30" customHeight="1">
      <c r="A8" s="149"/>
      <c r="B8" s="152"/>
      <c r="C8" s="152"/>
      <c r="D8" s="152"/>
      <c r="E8" s="152"/>
      <c r="F8" s="152"/>
      <c r="G8" s="152"/>
      <c r="H8" s="152"/>
      <c r="I8" s="152"/>
      <c r="J8" s="152"/>
      <c r="K8" s="152"/>
      <c r="L8" s="152"/>
      <c r="M8" s="152"/>
      <c r="N8" s="152"/>
      <c r="O8" s="152"/>
      <c r="P8" s="152"/>
      <c r="Q8" s="152"/>
      <c r="R8" s="152"/>
      <c r="S8" s="152"/>
      <c r="T8" s="152"/>
      <c r="U8" s="152"/>
      <c r="V8" s="152"/>
      <c r="W8" s="152"/>
      <c r="X8" s="152"/>
      <c r="Y8" s="152"/>
      <c r="Z8" s="152"/>
      <c r="AA8" s="152"/>
      <c r="AB8" s="152"/>
      <c r="AC8" s="152"/>
      <c r="AD8" s="152"/>
      <c r="AE8" s="152"/>
      <c r="AF8" s="161"/>
    </row>
    <row r="9" spans="1:32" ht="30" customHeight="1">
      <c r="A9" s="149"/>
      <c r="B9" s="152"/>
      <c r="C9" s="152"/>
      <c r="D9" s="152"/>
      <c r="E9" s="152"/>
      <c r="F9" s="152"/>
      <c r="G9" s="152"/>
      <c r="H9" s="152"/>
      <c r="I9" s="152"/>
      <c r="J9" s="152"/>
      <c r="K9" s="152"/>
      <c r="L9" s="152"/>
      <c r="M9" s="152"/>
      <c r="N9" s="152"/>
      <c r="O9" s="152"/>
      <c r="P9" s="152"/>
      <c r="Q9" s="152"/>
      <c r="R9" s="152"/>
      <c r="S9" s="152"/>
      <c r="T9" s="152"/>
      <c r="U9" s="152"/>
      <c r="V9" s="152"/>
      <c r="W9" s="152"/>
      <c r="X9" s="152"/>
      <c r="Y9" s="152"/>
      <c r="Z9" s="152"/>
      <c r="AA9" s="152"/>
      <c r="AB9" s="152"/>
      <c r="AC9" s="152"/>
      <c r="AD9" s="152"/>
      <c r="AE9" s="152"/>
      <c r="AF9" s="161"/>
    </row>
    <row r="10" spans="1:32" ht="30" customHeight="1">
      <c r="A10" s="149"/>
      <c r="B10" s="152"/>
      <c r="C10" s="152"/>
      <c r="D10" s="152"/>
      <c r="E10" s="152"/>
      <c r="F10" s="152"/>
      <c r="G10" s="152"/>
      <c r="H10" s="152"/>
      <c r="I10" s="152"/>
      <c r="J10" s="152"/>
      <c r="K10" s="152"/>
      <c r="L10" s="152"/>
      <c r="M10" s="152"/>
      <c r="N10" s="152"/>
      <c r="O10" s="152"/>
      <c r="P10" s="152"/>
      <c r="Q10" s="152"/>
      <c r="R10" s="152"/>
      <c r="S10" s="152"/>
      <c r="T10" s="152"/>
      <c r="U10" s="152"/>
      <c r="V10" s="152"/>
      <c r="W10" s="152"/>
      <c r="X10" s="152"/>
      <c r="Y10" s="152"/>
      <c r="Z10" s="152"/>
      <c r="AA10" s="152"/>
      <c r="AB10" s="152"/>
      <c r="AC10" s="152"/>
      <c r="AD10" s="152"/>
      <c r="AE10" s="152"/>
      <c r="AF10" s="161"/>
    </row>
    <row r="11" spans="1:32" ht="30" customHeight="1">
      <c r="A11" s="149"/>
      <c r="B11" s="152"/>
      <c r="C11" s="152"/>
      <c r="D11" s="152"/>
      <c r="E11" s="152"/>
      <c r="F11" s="152"/>
      <c r="G11" s="152"/>
      <c r="H11" s="152"/>
      <c r="I11" s="152"/>
      <c r="J11" s="152"/>
      <c r="K11" s="152"/>
      <c r="L11" s="152"/>
      <c r="M11" s="152"/>
      <c r="N11" s="152"/>
      <c r="O11" s="152"/>
      <c r="P11" s="152"/>
      <c r="Q11" s="152"/>
      <c r="R11" s="152"/>
      <c r="S11" s="152"/>
      <c r="T11" s="152"/>
      <c r="U11" s="152"/>
      <c r="V11" s="152"/>
      <c r="W11" s="152"/>
      <c r="X11" s="152"/>
      <c r="Y11" s="152"/>
      <c r="Z11" s="152"/>
      <c r="AA11" s="152"/>
      <c r="AB11" s="152"/>
      <c r="AC11" s="152"/>
      <c r="AD11" s="152"/>
      <c r="AE11" s="152"/>
      <c r="AF11" s="161"/>
    </row>
    <row r="12" spans="1:32" ht="30" customHeight="1">
      <c r="A12" s="149"/>
      <c r="B12" s="152"/>
      <c r="C12" s="152"/>
      <c r="D12" s="152"/>
      <c r="E12" s="152"/>
      <c r="F12" s="152"/>
      <c r="G12" s="152"/>
      <c r="H12" s="152"/>
      <c r="I12" s="152"/>
      <c r="J12" s="152"/>
      <c r="K12" s="152"/>
      <c r="L12" s="152"/>
      <c r="M12" s="152"/>
      <c r="N12" s="152"/>
      <c r="O12" s="152"/>
      <c r="P12" s="152"/>
      <c r="Q12" s="152"/>
      <c r="R12" s="152"/>
      <c r="S12" s="152"/>
      <c r="T12" s="152"/>
      <c r="U12" s="152"/>
      <c r="V12" s="152"/>
      <c r="W12" s="152"/>
      <c r="X12" s="152"/>
      <c r="Y12" s="152"/>
      <c r="Z12" s="152"/>
      <c r="AA12" s="152"/>
      <c r="AB12" s="152"/>
      <c r="AC12" s="152"/>
      <c r="AD12" s="152"/>
      <c r="AE12" s="152"/>
      <c r="AF12" s="161"/>
    </row>
    <row r="13" spans="1:32" ht="30" customHeight="1">
      <c r="A13" s="149"/>
      <c r="B13" s="152"/>
      <c r="C13" s="152"/>
      <c r="D13" s="152"/>
      <c r="E13" s="152"/>
      <c r="F13" s="152"/>
      <c r="G13" s="152"/>
      <c r="H13" s="152"/>
      <c r="I13" s="152"/>
      <c r="J13" s="152"/>
      <c r="K13" s="152"/>
      <c r="L13" s="152"/>
      <c r="M13" s="152"/>
      <c r="N13" s="152"/>
      <c r="O13" s="152"/>
      <c r="P13" s="152"/>
      <c r="Q13" s="152"/>
      <c r="R13" s="152"/>
      <c r="S13" s="152"/>
      <c r="T13" s="152"/>
      <c r="U13" s="152"/>
      <c r="V13" s="152"/>
      <c r="W13" s="152"/>
      <c r="X13" s="152"/>
      <c r="Y13" s="152"/>
      <c r="Z13" s="152"/>
      <c r="AA13" s="152"/>
      <c r="AB13" s="152"/>
      <c r="AC13" s="152"/>
      <c r="AD13" s="152"/>
      <c r="AE13" s="152"/>
      <c r="AF13" s="161"/>
    </row>
    <row r="14" spans="1:32" ht="30" customHeight="1" thickBot="1">
      <c r="A14" s="150"/>
      <c r="B14" s="153"/>
      <c r="C14" s="153"/>
      <c r="D14" s="153"/>
      <c r="E14" s="153"/>
      <c r="F14" s="153"/>
      <c r="G14" s="153"/>
      <c r="H14" s="153"/>
      <c r="I14" s="153"/>
      <c r="J14" s="153"/>
      <c r="K14" s="153"/>
      <c r="L14" s="153"/>
      <c r="M14" s="153"/>
      <c r="N14" s="153"/>
      <c r="O14" s="153"/>
      <c r="P14" s="153"/>
      <c r="Q14" s="153"/>
      <c r="R14" s="153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62"/>
    </row>
    <row r="15" spans="1:32" ht="21.95" customHeight="1">
      <c r="A15" s="82" t="s">
        <v>3</v>
      </c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9">
        <f t="shared" ref="AF15:AF27" si="1">SUM(B15:AE15)</f>
        <v>0</v>
      </c>
    </row>
    <row r="16" spans="1:32" ht="21.95" customHeight="1">
      <c r="A16" s="83" t="s">
        <v>4</v>
      </c>
      <c r="B16" s="60"/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  <c r="N16" s="60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  <c r="AA16" s="60"/>
      <c r="AB16" s="60"/>
      <c r="AC16" s="60"/>
      <c r="AD16" s="60"/>
      <c r="AE16" s="60"/>
      <c r="AF16" s="61">
        <f t="shared" si="1"/>
        <v>0</v>
      </c>
    </row>
    <row r="17" spans="1:32" ht="21.95" customHeight="1">
      <c r="A17" s="83" t="s">
        <v>46</v>
      </c>
      <c r="B17" s="60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0"/>
      <c r="S17" s="60"/>
      <c r="T17" s="60"/>
      <c r="U17" s="60"/>
      <c r="V17" s="60"/>
      <c r="W17" s="60"/>
      <c r="X17" s="60"/>
      <c r="Y17" s="60"/>
      <c r="Z17" s="60"/>
      <c r="AA17" s="60"/>
      <c r="AB17" s="60"/>
      <c r="AC17" s="60"/>
      <c r="AD17" s="60"/>
      <c r="AE17" s="60"/>
      <c r="AF17" s="61">
        <f t="shared" si="1"/>
        <v>0</v>
      </c>
    </row>
    <row r="18" spans="1:32" ht="21.95" customHeight="1">
      <c r="A18" s="83" t="s">
        <v>47</v>
      </c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0"/>
      <c r="AD18" s="60"/>
      <c r="AE18" s="60"/>
      <c r="AF18" s="61">
        <f t="shared" si="1"/>
        <v>0</v>
      </c>
    </row>
    <row r="19" spans="1:32" ht="21.95" customHeight="1">
      <c r="A19" s="83" t="s">
        <v>56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60"/>
      <c r="AD19" s="60"/>
      <c r="AE19" s="60"/>
      <c r="AF19" s="61">
        <f t="shared" si="1"/>
        <v>0</v>
      </c>
    </row>
    <row r="20" spans="1:32" ht="21.95" customHeight="1">
      <c r="A20" s="83" t="s">
        <v>55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  <c r="N20" s="60"/>
      <c r="O20" s="60"/>
      <c r="P20" s="60"/>
      <c r="Q20" s="60"/>
      <c r="R20" s="60"/>
      <c r="S20" s="60"/>
      <c r="T20" s="60"/>
      <c r="U20" s="60"/>
      <c r="V20" s="60"/>
      <c r="W20" s="60"/>
      <c r="X20" s="60"/>
      <c r="Y20" s="60"/>
      <c r="Z20" s="60"/>
      <c r="AA20" s="60"/>
      <c r="AB20" s="60"/>
      <c r="AC20" s="60"/>
      <c r="AD20" s="60"/>
      <c r="AE20" s="60"/>
      <c r="AF20" s="61">
        <f t="shared" si="1"/>
        <v>0</v>
      </c>
    </row>
    <row r="21" spans="1:32" ht="21.95" customHeight="1">
      <c r="A21" s="83" t="s">
        <v>48</v>
      </c>
      <c r="B21" s="60"/>
      <c r="C21" s="60"/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  <c r="X21" s="60"/>
      <c r="Y21" s="60"/>
      <c r="Z21" s="60"/>
      <c r="AA21" s="60"/>
      <c r="AB21" s="60"/>
      <c r="AC21" s="60"/>
      <c r="AD21" s="60"/>
      <c r="AE21" s="60"/>
      <c r="AF21" s="61">
        <f t="shared" si="1"/>
        <v>0</v>
      </c>
    </row>
    <row r="22" spans="1:32" ht="21.95" customHeight="1">
      <c r="A22" s="86" t="s">
        <v>51</v>
      </c>
      <c r="B22" s="60"/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0"/>
      <c r="Y22" s="60"/>
      <c r="Z22" s="60"/>
      <c r="AA22" s="60"/>
      <c r="AB22" s="60"/>
      <c r="AC22" s="60"/>
      <c r="AD22" s="60"/>
      <c r="AE22" s="60"/>
      <c r="AF22" s="61">
        <f t="shared" si="1"/>
        <v>0</v>
      </c>
    </row>
    <row r="23" spans="1:32" ht="21.95" customHeight="1">
      <c r="A23" s="83" t="s">
        <v>50</v>
      </c>
      <c r="B23" s="60"/>
      <c r="C23" s="60"/>
      <c r="D23" s="60"/>
      <c r="E23" s="60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60"/>
      <c r="Q23" s="60"/>
      <c r="R23" s="60"/>
      <c r="S23" s="60"/>
      <c r="T23" s="60"/>
      <c r="U23" s="60"/>
      <c r="V23" s="60"/>
      <c r="W23" s="60"/>
      <c r="X23" s="60"/>
      <c r="Y23" s="60"/>
      <c r="Z23" s="60"/>
      <c r="AA23" s="60"/>
      <c r="AB23" s="60"/>
      <c r="AC23" s="60"/>
      <c r="AD23" s="60"/>
      <c r="AE23" s="60"/>
      <c r="AF23" s="61">
        <f t="shared" si="1"/>
        <v>0</v>
      </c>
    </row>
    <row r="24" spans="1:32" ht="21.95" customHeight="1">
      <c r="A24" s="83" t="s">
        <v>67</v>
      </c>
      <c r="B24" s="60"/>
      <c r="C24" s="60"/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60"/>
      <c r="R24" s="60"/>
      <c r="S24" s="60"/>
      <c r="T24" s="60"/>
      <c r="U24" s="60"/>
      <c r="V24" s="60"/>
      <c r="W24" s="60"/>
      <c r="X24" s="60"/>
      <c r="Y24" s="60"/>
      <c r="Z24" s="60"/>
      <c r="AA24" s="60"/>
      <c r="AB24" s="60"/>
      <c r="AC24" s="60"/>
      <c r="AD24" s="60"/>
      <c r="AE24" s="60"/>
      <c r="AF24" s="61">
        <f t="shared" si="1"/>
        <v>0</v>
      </c>
    </row>
    <row r="25" spans="1:32" ht="21.95" customHeight="1">
      <c r="A25" s="83" t="s">
        <v>5</v>
      </c>
      <c r="B25" s="60"/>
      <c r="C25" s="60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0"/>
      <c r="AA25" s="60"/>
      <c r="AB25" s="60"/>
      <c r="AC25" s="60"/>
      <c r="AD25" s="60"/>
      <c r="AE25" s="60"/>
      <c r="AF25" s="61">
        <f t="shared" si="1"/>
        <v>0</v>
      </c>
    </row>
    <row r="26" spans="1:32" ht="21.95" customHeight="1">
      <c r="A26" s="87" t="s">
        <v>6</v>
      </c>
      <c r="B26" s="60"/>
      <c r="C26" s="60"/>
      <c r="D26" s="60"/>
      <c r="E26" s="60"/>
      <c r="F26" s="60"/>
      <c r="G26" s="60"/>
      <c r="H26" s="60"/>
      <c r="I26" s="60"/>
      <c r="J26" s="60"/>
      <c r="K26" s="60"/>
      <c r="L26" s="60"/>
      <c r="M26" s="60"/>
      <c r="N26" s="60"/>
      <c r="O26" s="60"/>
      <c r="P26" s="60"/>
      <c r="Q26" s="60"/>
      <c r="R26" s="60"/>
      <c r="S26" s="60"/>
      <c r="T26" s="60"/>
      <c r="U26" s="60"/>
      <c r="V26" s="60"/>
      <c r="W26" s="60"/>
      <c r="X26" s="60"/>
      <c r="Y26" s="60"/>
      <c r="Z26" s="60"/>
      <c r="AA26" s="60"/>
      <c r="AB26" s="60"/>
      <c r="AC26" s="60"/>
      <c r="AD26" s="60"/>
      <c r="AE26" s="60"/>
      <c r="AF26" s="61">
        <f t="shared" si="1"/>
        <v>0</v>
      </c>
    </row>
    <row r="27" spans="1:32" ht="21.95" customHeight="1">
      <c r="A27" s="88" t="s">
        <v>7</v>
      </c>
      <c r="B27" s="84">
        <f>SUM(B15:B26)</f>
        <v>0</v>
      </c>
      <c r="C27" s="84">
        <f t="shared" ref="C27:AE27" si="2">SUM(C15:C26)</f>
        <v>0</v>
      </c>
      <c r="D27" s="84">
        <f t="shared" si="2"/>
        <v>0</v>
      </c>
      <c r="E27" s="84">
        <f t="shared" si="2"/>
        <v>0</v>
      </c>
      <c r="F27" s="84">
        <f t="shared" si="2"/>
        <v>0</v>
      </c>
      <c r="G27" s="84">
        <f t="shared" si="2"/>
        <v>0</v>
      </c>
      <c r="H27" s="84">
        <f t="shared" si="2"/>
        <v>0</v>
      </c>
      <c r="I27" s="84">
        <f t="shared" si="2"/>
        <v>0</v>
      </c>
      <c r="J27" s="84">
        <f t="shared" si="2"/>
        <v>0</v>
      </c>
      <c r="K27" s="84">
        <f t="shared" si="2"/>
        <v>0</v>
      </c>
      <c r="L27" s="84">
        <f t="shared" si="2"/>
        <v>0</v>
      </c>
      <c r="M27" s="84">
        <f t="shared" si="2"/>
        <v>0</v>
      </c>
      <c r="N27" s="84">
        <f t="shared" si="2"/>
        <v>0</v>
      </c>
      <c r="O27" s="84">
        <f t="shared" si="2"/>
        <v>0</v>
      </c>
      <c r="P27" s="84">
        <f t="shared" si="2"/>
        <v>0</v>
      </c>
      <c r="Q27" s="84">
        <f t="shared" si="2"/>
        <v>0</v>
      </c>
      <c r="R27" s="84">
        <f t="shared" si="2"/>
        <v>0</v>
      </c>
      <c r="S27" s="84">
        <f t="shared" si="2"/>
        <v>0</v>
      </c>
      <c r="T27" s="84">
        <f t="shared" si="2"/>
        <v>0</v>
      </c>
      <c r="U27" s="84">
        <f t="shared" si="2"/>
        <v>0</v>
      </c>
      <c r="V27" s="84">
        <f t="shared" si="2"/>
        <v>0</v>
      </c>
      <c r="W27" s="84">
        <f t="shared" si="2"/>
        <v>0</v>
      </c>
      <c r="X27" s="84">
        <f t="shared" si="2"/>
        <v>0</v>
      </c>
      <c r="Y27" s="84">
        <f t="shared" si="2"/>
        <v>0</v>
      </c>
      <c r="Z27" s="84">
        <f t="shared" si="2"/>
        <v>0</v>
      </c>
      <c r="AA27" s="84">
        <f t="shared" si="2"/>
        <v>0</v>
      </c>
      <c r="AB27" s="84">
        <f t="shared" si="2"/>
        <v>0</v>
      </c>
      <c r="AC27" s="84">
        <f t="shared" si="2"/>
        <v>0</v>
      </c>
      <c r="AD27" s="84">
        <f t="shared" si="2"/>
        <v>0</v>
      </c>
      <c r="AE27" s="84">
        <f t="shared" si="2"/>
        <v>0</v>
      </c>
      <c r="AF27" s="85">
        <f t="shared" si="1"/>
        <v>0</v>
      </c>
    </row>
    <row r="28" spans="1:32" ht="21.95" customHeight="1" thickBot="1">
      <c r="A28" s="128" t="s">
        <v>23</v>
      </c>
      <c r="B28" s="129">
        <f>IF(ISERR(B27/B4),0,B27/B4*1000000)</f>
        <v>0</v>
      </c>
      <c r="C28" s="129">
        <f>IF(ISERR(C27/C4),0,C27/C4*1000000)</f>
        <v>0</v>
      </c>
      <c r="D28" s="129">
        <f t="shared" ref="D28:AF28" si="3">IF(ISERR(D27/D4),0,D27/D4*1000000)</f>
        <v>0</v>
      </c>
      <c r="E28" s="129">
        <f t="shared" si="3"/>
        <v>0</v>
      </c>
      <c r="F28" s="129">
        <f t="shared" si="3"/>
        <v>0</v>
      </c>
      <c r="G28" s="129">
        <f t="shared" si="3"/>
        <v>0</v>
      </c>
      <c r="H28" s="129">
        <f t="shared" si="3"/>
        <v>0</v>
      </c>
      <c r="I28" s="129">
        <f t="shared" si="3"/>
        <v>0</v>
      </c>
      <c r="J28" s="129">
        <f t="shared" si="3"/>
        <v>0</v>
      </c>
      <c r="K28" s="129">
        <f t="shared" si="3"/>
        <v>0</v>
      </c>
      <c r="L28" s="129">
        <f t="shared" si="3"/>
        <v>0</v>
      </c>
      <c r="M28" s="129">
        <f t="shared" si="3"/>
        <v>0</v>
      </c>
      <c r="N28" s="129">
        <f t="shared" si="3"/>
        <v>0</v>
      </c>
      <c r="O28" s="129">
        <f t="shared" si="3"/>
        <v>0</v>
      </c>
      <c r="P28" s="129">
        <f t="shared" si="3"/>
        <v>0</v>
      </c>
      <c r="Q28" s="129">
        <f t="shared" si="3"/>
        <v>0</v>
      </c>
      <c r="R28" s="129">
        <f t="shared" si="3"/>
        <v>0</v>
      </c>
      <c r="S28" s="129">
        <f t="shared" si="3"/>
        <v>0</v>
      </c>
      <c r="T28" s="129">
        <f t="shared" si="3"/>
        <v>0</v>
      </c>
      <c r="U28" s="129">
        <f t="shared" si="3"/>
        <v>0</v>
      </c>
      <c r="V28" s="129">
        <f t="shared" si="3"/>
        <v>0</v>
      </c>
      <c r="W28" s="129">
        <f t="shared" si="3"/>
        <v>0</v>
      </c>
      <c r="X28" s="129">
        <f t="shared" si="3"/>
        <v>0</v>
      </c>
      <c r="Y28" s="129">
        <f t="shared" si="3"/>
        <v>0</v>
      </c>
      <c r="Z28" s="129">
        <f t="shared" si="3"/>
        <v>0</v>
      </c>
      <c r="AA28" s="129">
        <f t="shared" si="3"/>
        <v>0</v>
      </c>
      <c r="AB28" s="129">
        <f t="shared" si="3"/>
        <v>0</v>
      </c>
      <c r="AC28" s="129">
        <f t="shared" si="3"/>
        <v>0</v>
      </c>
      <c r="AD28" s="129">
        <f t="shared" si="3"/>
        <v>0</v>
      </c>
      <c r="AE28" s="129">
        <f t="shared" si="3"/>
        <v>0</v>
      </c>
      <c r="AF28" s="130">
        <f t="shared" si="3"/>
        <v>0</v>
      </c>
    </row>
    <row r="29" spans="1:32" ht="21.95" customHeight="1">
      <c r="A29" s="134" t="s">
        <v>69</v>
      </c>
      <c r="B29" s="138"/>
      <c r="C29" s="138"/>
      <c r="D29" s="138"/>
      <c r="E29" s="138"/>
      <c r="F29" s="138"/>
      <c r="G29" s="138"/>
      <c r="H29" s="138"/>
      <c r="I29" s="138"/>
      <c r="J29" s="138"/>
      <c r="K29" s="138"/>
      <c r="L29" s="138"/>
      <c r="M29" s="138"/>
      <c r="N29" s="138"/>
      <c r="O29" s="138"/>
      <c r="P29" s="138"/>
      <c r="Q29" s="138"/>
      <c r="R29" s="138"/>
      <c r="S29" s="138"/>
      <c r="T29" s="138"/>
      <c r="U29" s="138"/>
      <c r="V29" s="138"/>
      <c r="W29" s="138"/>
      <c r="X29" s="138"/>
      <c r="Y29" s="138"/>
      <c r="Z29" s="138"/>
      <c r="AA29" s="138"/>
      <c r="AB29" s="138"/>
      <c r="AC29" s="138"/>
      <c r="AD29" s="138"/>
      <c r="AE29" s="138"/>
      <c r="AF29" s="139"/>
    </row>
    <row r="30" spans="1:32" ht="21.95" customHeight="1" thickBot="1">
      <c r="A30" s="137" t="s">
        <v>68</v>
      </c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1"/>
    </row>
    <row r="31" spans="1:32" ht="30" customHeight="1">
      <c r="A31" s="131" t="s">
        <v>42</v>
      </c>
      <c r="B31" s="132"/>
      <c r="C31" s="132"/>
      <c r="D31" s="132"/>
      <c r="E31" s="132"/>
      <c r="F31" s="132"/>
      <c r="G31" s="132"/>
      <c r="H31" s="132"/>
      <c r="I31" s="131" t="s">
        <v>44</v>
      </c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3"/>
      <c r="U31" s="131" t="s">
        <v>45</v>
      </c>
      <c r="V31" s="132"/>
      <c r="W31" s="132"/>
      <c r="X31" s="132"/>
      <c r="Y31" s="132"/>
      <c r="Z31" s="132"/>
      <c r="AA31" s="132"/>
      <c r="AB31" s="132"/>
      <c r="AC31" s="132"/>
      <c r="AD31" s="132"/>
      <c r="AE31" s="132"/>
      <c r="AF31" s="133"/>
    </row>
    <row r="32" spans="1:32" ht="30" customHeight="1" thickBot="1">
      <c r="A32" s="97" t="s">
        <v>43</v>
      </c>
      <c r="B32" s="98"/>
      <c r="C32" s="98"/>
      <c r="D32" s="98"/>
      <c r="E32" s="98"/>
      <c r="F32" s="98"/>
      <c r="G32" s="98"/>
      <c r="H32" s="98"/>
      <c r="I32" s="97" t="s">
        <v>43</v>
      </c>
      <c r="J32" s="98"/>
      <c r="K32" s="98"/>
      <c r="L32" s="98"/>
      <c r="M32" s="98"/>
      <c r="N32" s="98"/>
      <c r="O32" s="98"/>
      <c r="P32" s="98"/>
      <c r="Q32" s="98"/>
      <c r="R32" s="98"/>
      <c r="S32" s="98"/>
      <c r="T32" s="99"/>
      <c r="U32" s="97" t="s">
        <v>43</v>
      </c>
      <c r="V32" s="98"/>
      <c r="W32" s="98"/>
      <c r="X32" s="98"/>
      <c r="Y32" s="98"/>
      <c r="Z32" s="98"/>
      <c r="AA32" s="98"/>
      <c r="AB32" s="98"/>
      <c r="AC32" s="98"/>
      <c r="AD32" s="98"/>
      <c r="AE32" s="98"/>
      <c r="AF32" s="99"/>
    </row>
    <row r="33" spans="1:32">
      <c r="A33" t="s">
        <v>24</v>
      </c>
      <c r="B33" s="100">
        <f>'[2]SJCPIL 16-006-08'!$Y$17</f>
        <v>540</v>
      </c>
      <c r="C33" s="100"/>
      <c r="D33" s="100"/>
      <c r="E33" s="100"/>
      <c r="F33" s="100"/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  <c r="AB33" s="100"/>
      <c r="AC33" s="100"/>
      <c r="AD33" s="100"/>
      <c r="AE33" s="100"/>
      <c r="AF33" s="100"/>
    </row>
    <row r="35" spans="1:32">
      <c r="A35" s="42" t="s">
        <v>31</v>
      </c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</row>
    <row r="36" spans="1:32" ht="105" customHeight="1">
      <c r="A36" s="101" t="s">
        <v>32</v>
      </c>
      <c r="B36" s="74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63"/>
      <c r="Y36" s="63"/>
      <c r="Z36" s="63"/>
      <c r="AA36" s="63"/>
      <c r="AB36" s="63"/>
      <c r="AC36" s="63"/>
      <c r="AD36" s="63"/>
      <c r="AE36" s="63"/>
      <c r="AF36" s="63"/>
    </row>
    <row r="37" spans="1:32">
      <c r="D37">
        <v>7</v>
      </c>
    </row>
  </sheetData>
  <sheetProtection selectLockedCells="1"/>
  <mergeCells count="34">
    <mergeCell ref="AB1:AD1"/>
    <mergeCell ref="AE1:AF1"/>
    <mergeCell ref="U5:U14"/>
    <mergeCell ref="AF5:AF14"/>
    <mergeCell ref="AB5:AB14"/>
    <mergeCell ref="AC5:AC14"/>
    <mergeCell ref="AD5:AD14"/>
    <mergeCell ref="AE5:AE14"/>
    <mergeCell ref="AA5:AA14"/>
    <mergeCell ref="W5:W14"/>
    <mergeCell ref="X5:X14"/>
    <mergeCell ref="Y5:Y14"/>
    <mergeCell ref="Z5:Z14"/>
    <mergeCell ref="A6:A14"/>
    <mergeCell ref="B5:B14"/>
    <mergeCell ref="C5:C14"/>
    <mergeCell ref="D5:D14"/>
    <mergeCell ref="E5:E14"/>
    <mergeCell ref="F5:F14"/>
    <mergeCell ref="G5:G14"/>
    <mergeCell ref="H5:H14"/>
    <mergeCell ref="I5:I14"/>
    <mergeCell ref="V5:V14"/>
    <mergeCell ref="O5:O14"/>
    <mergeCell ref="J5:J14"/>
    <mergeCell ref="K5:K14"/>
    <mergeCell ref="L5:L14"/>
    <mergeCell ref="M5:M14"/>
    <mergeCell ref="N5:N14"/>
    <mergeCell ref="P5:P14"/>
    <mergeCell ref="Q5:Q14"/>
    <mergeCell ref="R5:R14"/>
    <mergeCell ref="S5:S14"/>
    <mergeCell ref="T5:T14"/>
  </mergeCells>
  <phoneticPr fontId="0" type="noConversion"/>
  <dataValidations count="2">
    <dataValidation type="list" allowBlank="1" showInputMessage="1" showErrorMessage="1" sqref="B3:AF3" xr:uid="{00000000-0002-0000-0200-000000000000}">
      <formula1>produtos</formula1>
    </dataValidation>
    <dataValidation type="date" allowBlank="1" showInputMessage="1" showErrorMessage="1" promptTitle="Data" prompt="Digitar data válida contendo pelo menos o dia/mês." sqref="B2:AE2" xr:uid="{59E498FB-5B2C-4266-B600-F923769BAFEC}">
      <formula1>44287</formula1>
      <formula2>44651</formula2>
    </dataValidation>
  </dataValidations>
  <printOptions horizontalCentered="1" verticalCentered="1" gridLines="1" gridLinesSet="0"/>
  <pageMargins left="0.27559055118110237" right="0.27559055118110237" top="0.39370078740157483" bottom="0.39370078740157483" header="0.27559055118110237" footer="0.27559055118110237"/>
  <pageSetup paperSize="9" scale="66" orientation="landscape" r:id="rId1"/>
  <headerFooter alignWithMargins="0">
    <oddFooter>&amp;RSJCPIL R16-318-03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>
                <anchor moveWithCells="1">
                  <from>
                    <xdr:col>24</xdr:col>
                    <xdr:colOff>9525</xdr:colOff>
                    <xdr:row>0</xdr:row>
                    <xdr:rowOff>28575</xdr:rowOff>
                  </from>
                  <to>
                    <xdr:col>26</xdr:col>
                    <xdr:colOff>361950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Check Box 3">
              <controlPr defaultSize="0" autoFill="0" autoLine="0" autoPict="0">
                <anchor moveWithCells="1">
                  <from>
                    <xdr:col>24</xdr:col>
                    <xdr:colOff>9525</xdr:colOff>
                    <xdr:row>0</xdr:row>
                    <xdr:rowOff>276225</xdr:rowOff>
                  </from>
                  <to>
                    <xdr:col>26</xdr:col>
                    <xdr:colOff>361950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97">
    <pageSetUpPr fitToPage="1"/>
  </sheetPr>
  <dimension ref="A1:AF36"/>
  <sheetViews>
    <sheetView showZeros="0" zoomScaleNormal="100" zoomScaleSheetLayoutView="100" workbookViewId="0">
      <selection activeCell="C5" sqref="C5:C14"/>
    </sheetView>
  </sheetViews>
  <sheetFormatPr defaultColWidth="11.42578125" defaultRowHeight="12.75"/>
  <cols>
    <col min="1" max="1" width="22" customWidth="1"/>
    <col min="2" max="31" width="5.7109375" customWidth="1"/>
    <col min="32" max="32" width="9.140625" bestFit="1" customWidth="1"/>
    <col min="33" max="33" width="4.7109375" customWidth="1"/>
  </cols>
  <sheetData>
    <row r="1" spans="1:32" ht="45" customHeight="1" thickBot="1">
      <c r="B1" s="77" t="str">
        <f>'SJCPIL-R 16-318-03 - Diurno'!B1</f>
        <v>FALHAS NÃO RECUPERÁVEIS DO ACABAMENTO UM-3 (TESTADOR)</v>
      </c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163" t="s">
        <v>73</v>
      </c>
      <c r="AC1" s="164"/>
      <c r="AD1" s="164"/>
      <c r="AE1" s="164" t="str">
        <f ca="1">'SJCPIL-R 16-318-03 - Diurno'!AE1</f>
        <v>03 / 2022</v>
      </c>
      <c r="AF1" s="165"/>
    </row>
    <row r="2" spans="1:32" ht="15" customHeight="1">
      <c r="A2" s="78" t="s">
        <v>0</v>
      </c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8"/>
      <c r="AC2" s="148"/>
      <c r="AD2" s="148"/>
      <c r="AE2" s="148"/>
      <c r="AF2" s="145" t="s">
        <v>22</v>
      </c>
    </row>
    <row r="3" spans="1:32" ht="15" customHeight="1">
      <c r="A3" s="79" t="s">
        <v>30</v>
      </c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4"/>
    </row>
    <row r="4" spans="1:32" ht="30" customHeight="1" thickBot="1">
      <c r="A4" s="80" t="s">
        <v>1</v>
      </c>
      <c r="B4" s="104"/>
      <c r="C4" s="105"/>
      <c r="D4" s="105"/>
      <c r="E4" s="56"/>
      <c r="F4" s="56"/>
      <c r="G4" s="56"/>
      <c r="H4" s="56"/>
      <c r="I4" s="55"/>
      <c r="J4" s="56"/>
      <c r="K4" s="56"/>
      <c r="L4" s="56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144">
        <f>SUM(B4:AE4)</f>
        <v>0</v>
      </c>
    </row>
    <row r="5" spans="1:32" ht="30" customHeight="1">
      <c r="A5" s="81" t="s">
        <v>23</v>
      </c>
      <c r="B5" s="166">
        <f t="shared" ref="B5:AF5" si="0">B36</f>
        <v>0</v>
      </c>
      <c r="C5" s="151"/>
      <c r="D5" s="151"/>
      <c r="E5" s="151">
        <f t="shared" si="0"/>
        <v>0</v>
      </c>
      <c r="F5" s="151">
        <f t="shared" si="0"/>
        <v>0</v>
      </c>
      <c r="G5" s="151"/>
      <c r="H5" s="151">
        <f t="shared" si="0"/>
        <v>0</v>
      </c>
      <c r="I5" s="151">
        <f t="shared" si="0"/>
        <v>0</v>
      </c>
      <c r="J5" s="151">
        <f t="shared" si="0"/>
        <v>0</v>
      </c>
      <c r="K5" s="151">
        <f t="shared" si="0"/>
        <v>0</v>
      </c>
      <c r="L5" s="151">
        <f t="shared" si="0"/>
        <v>0</v>
      </c>
      <c r="M5" s="151">
        <f t="shared" si="0"/>
        <v>0</v>
      </c>
      <c r="N5" s="151">
        <f t="shared" si="0"/>
        <v>0</v>
      </c>
      <c r="O5" s="151">
        <f t="shared" si="0"/>
        <v>0</v>
      </c>
      <c r="P5" s="151">
        <f t="shared" si="0"/>
        <v>0</v>
      </c>
      <c r="Q5" s="151">
        <f t="shared" si="0"/>
        <v>0</v>
      </c>
      <c r="R5" s="151">
        <f t="shared" si="0"/>
        <v>0</v>
      </c>
      <c r="S5" s="151">
        <f t="shared" si="0"/>
        <v>0</v>
      </c>
      <c r="T5" s="151">
        <f t="shared" si="0"/>
        <v>0</v>
      </c>
      <c r="U5" s="151">
        <f t="shared" si="0"/>
        <v>0</v>
      </c>
      <c r="V5" s="151">
        <f t="shared" si="0"/>
        <v>0</v>
      </c>
      <c r="W5" s="151">
        <f t="shared" si="0"/>
        <v>0</v>
      </c>
      <c r="X5" s="151">
        <f t="shared" si="0"/>
        <v>0</v>
      </c>
      <c r="Y5" s="151">
        <f t="shared" si="0"/>
        <v>0</v>
      </c>
      <c r="Z5" s="151">
        <f t="shared" si="0"/>
        <v>0</v>
      </c>
      <c r="AA5" s="151">
        <f t="shared" si="0"/>
        <v>0</v>
      </c>
      <c r="AB5" s="151">
        <f t="shared" si="0"/>
        <v>0</v>
      </c>
      <c r="AC5" s="151">
        <f t="shared" si="0"/>
        <v>0</v>
      </c>
      <c r="AD5" s="151">
        <f t="shared" si="0"/>
        <v>0</v>
      </c>
      <c r="AE5" s="151">
        <f t="shared" si="0"/>
        <v>0</v>
      </c>
      <c r="AF5" s="160">
        <f t="shared" si="0"/>
        <v>0</v>
      </c>
    </row>
    <row r="6" spans="1:32" ht="30" customHeight="1">
      <c r="A6" s="149" t="s">
        <v>52</v>
      </c>
      <c r="B6" s="167"/>
      <c r="C6" s="152"/>
      <c r="D6" s="152"/>
      <c r="E6" s="152"/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2"/>
      <c r="Q6" s="152"/>
      <c r="R6" s="152"/>
      <c r="S6" s="152"/>
      <c r="T6" s="152"/>
      <c r="U6" s="152"/>
      <c r="V6" s="152"/>
      <c r="W6" s="152"/>
      <c r="X6" s="152"/>
      <c r="Y6" s="152"/>
      <c r="Z6" s="152"/>
      <c r="AA6" s="152"/>
      <c r="AB6" s="152"/>
      <c r="AC6" s="152"/>
      <c r="AD6" s="152"/>
      <c r="AE6" s="152"/>
      <c r="AF6" s="161"/>
    </row>
    <row r="7" spans="1:32" ht="30" customHeight="1">
      <c r="A7" s="149"/>
      <c r="B7" s="167"/>
      <c r="C7" s="152"/>
      <c r="D7" s="152"/>
      <c r="E7" s="152"/>
      <c r="F7" s="152"/>
      <c r="G7" s="152"/>
      <c r="H7" s="152"/>
      <c r="I7" s="152"/>
      <c r="J7" s="152"/>
      <c r="K7" s="152"/>
      <c r="L7" s="152"/>
      <c r="M7" s="152"/>
      <c r="N7" s="152"/>
      <c r="O7" s="152"/>
      <c r="P7" s="152"/>
      <c r="Q7" s="152"/>
      <c r="R7" s="152"/>
      <c r="S7" s="152"/>
      <c r="T7" s="152"/>
      <c r="U7" s="152"/>
      <c r="V7" s="152"/>
      <c r="W7" s="152"/>
      <c r="X7" s="152"/>
      <c r="Y7" s="152"/>
      <c r="Z7" s="152"/>
      <c r="AA7" s="152"/>
      <c r="AB7" s="152"/>
      <c r="AC7" s="152"/>
      <c r="AD7" s="152"/>
      <c r="AE7" s="152"/>
      <c r="AF7" s="161"/>
    </row>
    <row r="8" spans="1:32" ht="30" customHeight="1">
      <c r="A8" s="149"/>
      <c r="B8" s="167"/>
      <c r="C8" s="152"/>
      <c r="D8" s="152"/>
      <c r="E8" s="152"/>
      <c r="F8" s="152"/>
      <c r="G8" s="152"/>
      <c r="H8" s="152"/>
      <c r="I8" s="152"/>
      <c r="J8" s="152"/>
      <c r="K8" s="152"/>
      <c r="L8" s="152"/>
      <c r="M8" s="152"/>
      <c r="N8" s="152"/>
      <c r="O8" s="152"/>
      <c r="P8" s="152"/>
      <c r="Q8" s="152"/>
      <c r="R8" s="152"/>
      <c r="S8" s="152"/>
      <c r="T8" s="152"/>
      <c r="U8" s="152"/>
      <c r="V8" s="152"/>
      <c r="W8" s="152"/>
      <c r="X8" s="152"/>
      <c r="Y8" s="152"/>
      <c r="Z8" s="152"/>
      <c r="AA8" s="152"/>
      <c r="AB8" s="152"/>
      <c r="AC8" s="152"/>
      <c r="AD8" s="152"/>
      <c r="AE8" s="152"/>
      <c r="AF8" s="161"/>
    </row>
    <row r="9" spans="1:32" ht="30" customHeight="1">
      <c r="A9" s="149"/>
      <c r="B9" s="167"/>
      <c r="C9" s="152"/>
      <c r="D9" s="152"/>
      <c r="E9" s="152"/>
      <c r="F9" s="152"/>
      <c r="G9" s="152"/>
      <c r="H9" s="152"/>
      <c r="I9" s="152"/>
      <c r="J9" s="152"/>
      <c r="K9" s="152"/>
      <c r="L9" s="152"/>
      <c r="M9" s="152"/>
      <c r="N9" s="152"/>
      <c r="O9" s="152"/>
      <c r="P9" s="152"/>
      <c r="Q9" s="152"/>
      <c r="R9" s="152"/>
      <c r="S9" s="152"/>
      <c r="T9" s="152"/>
      <c r="U9" s="152"/>
      <c r="V9" s="152"/>
      <c r="W9" s="152"/>
      <c r="X9" s="152"/>
      <c r="Y9" s="152"/>
      <c r="Z9" s="152"/>
      <c r="AA9" s="152"/>
      <c r="AB9" s="152"/>
      <c r="AC9" s="152"/>
      <c r="AD9" s="152"/>
      <c r="AE9" s="152"/>
      <c r="AF9" s="161"/>
    </row>
    <row r="10" spans="1:32" ht="30" customHeight="1">
      <c r="A10" s="149"/>
      <c r="B10" s="167"/>
      <c r="C10" s="152"/>
      <c r="D10" s="152"/>
      <c r="E10" s="152"/>
      <c r="F10" s="152"/>
      <c r="G10" s="152"/>
      <c r="H10" s="152"/>
      <c r="I10" s="152"/>
      <c r="J10" s="152"/>
      <c r="K10" s="152"/>
      <c r="L10" s="152"/>
      <c r="M10" s="152"/>
      <c r="N10" s="152"/>
      <c r="O10" s="152"/>
      <c r="P10" s="152"/>
      <c r="Q10" s="152"/>
      <c r="R10" s="152"/>
      <c r="S10" s="152"/>
      <c r="T10" s="152"/>
      <c r="U10" s="152"/>
      <c r="V10" s="152"/>
      <c r="W10" s="152"/>
      <c r="X10" s="152"/>
      <c r="Y10" s="152"/>
      <c r="Z10" s="152"/>
      <c r="AA10" s="152"/>
      <c r="AB10" s="152"/>
      <c r="AC10" s="152"/>
      <c r="AD10" s="152"/>
      <c r="AE10" s="152"/>
      <c r="AF10" s="161"/>
    </row>
    <row r="11" spans="1:32" ht="30" customHeight="1">
      <c r="A11" s="149"/>
      <c r="B11" s="167"/>
      <c r="C11" s="152"/>
      <c r="D11" s="152"/>
      <c r="E11" s="152"/>
      <c r="F11" s="152"/>
      <c r="G11" s="152"/>
      <c r="H11" s="152"/>
      <c r="I11" s="152"/>
      <c r="J11" s="152"/>
      <c r="K11" s="152"/>
      <c r="L11" s="152"/>
      <c r="M11" s="152"/>
      <c r="N11" s="152"/>
      <c r="O11" s="152"/>
      <c r="P11" s="152"/>
      <c r="Q11" s="152"/>
      <c r="R11" s="152"/>
      <c r="S11" s="152"/>
      <c r="T11" s="152"/>
      <c r="U11" s="152"/>
      <c r="V11" s="152"/>
      <c r="W11" s="152"/>
      <c r="X11" s="152"/>
      <c r="Y11" s="152"/>
      <c r="Z11" s="152"/>
      <c r="AA11" s="152"/>
      <c r="AB11" s="152"/>
      <c r="AC11" s="152"/>
      <c r="AD11" s="152"/>
      <c r="AE11" s="152"/>
      <c r="AF11" s="161"/>
    </row>
    <row r="12" spans="1:32" ht="30" customHeight="1">
      <c r="A12" s="149"/>
      <c r="B12" s="167"/>
      <c r="C12" s="152"/>
      <c r="D12" s="152"/>
      <c r="E12" s="152"/>
      <c r="F12" s="152"/>
      <c r="G12" s="152"/>
      <c r="H12" s="152"/>
      <c r="I12" s="152"/>
      <c r="J12" s="152"/>
      <c r="K12" s="152"/>
      <c r="L12" s="152"/>
      <c r="M12" s="152"/>
      <c r="N12" s="152"/>
      <c r="O12" s="152"/>
      <c r="P12" s="152"/>
      <c r="Q12" s="152"/>
      <c r="R12" s="152"/>
      <c r="S12" s="152"/>
      <c r="T12" s="152"/>
      <c r="U12" s="152"/>
      <c r="V12" s="152"/>
      <c r="W12" s="152"/>
      <c r="X12" s="152"/>
      <c r="Y12" s="152"/>
      <c r="Z12" s="152"/>
      <c r="AA12" s="152"/>
      <c r="AB12" s="152"/>
      <c r="AC12" s="152"/>
      <c r="AD12" s="152"/>
      <c r="AE12" s="152"/>
      <c r="AF12" s="161"/>
    </row>
    <row r="13" spans="1:32" ht="30" customHeight="1">
      <c r="A13" s="149"/>
      <c r="B13" s="167"/>
      <c r="C13" s="152"/>
      <c r="D13" s="152"/>
      <c r="E13" s="152"/>
      <c r="F13" s="152"/>
      <c r="G13" s="152"/>
      <c r="H13" s="152"/>
      <c r="I13" s="152"/>
      <c r="J13" s="152"/>
      <c r="K13" s="152"/>
      <c r="L13" s="152"/>
      <c r="M13" s="152"/>
      <c r="N13" s="152"/>
      <c r="O13" s="152"/>
      <c r="P13" s="152"/>
      <c r="Q13" s="152"/>
      <c r="R13" s="152"/>
      <c r="S13" s="152"/>
      <c r="T13" s="152"/>
      <c r="U13" s="152"/>
      <c r="V13" s="152"/>
      <c r="W13" s="152"/>
      <c r="X13" s="152"/>
      <c r="Y13" s="152"/>
      <c r="Z13" s="152"/>
      <c r="AA13" s="152"/>
      <c r="AB13" s="152"/>
      <c r="AC13" s="152"/>
      <c r="AD13" s="152"/>
      <c r="AE13" s="152"/>
      <c r="AF13" s="161"/>
    </row>
    <row r="14" spans="1:32" ht="30" customHeight="1" thickBot="1">
      <c r="A14" s="150"/>
      <c r="B14" s="168"/>
      <c r="C14" s="153"/>
      <c r="D14" s="153"/>
      <c r="E14" s="153"/>
      <c r="F14" s="153"/>
      <c r="G14" s="153"/>
      <c r="H14" s="153"/>
      <c r="I14" s="153"/>
      <c r="J14" s="153"/>
      <c r="K14" s="153"/>
      <c r="L14" s="153"/>
      <c r="M14" s="153"/>
      <c r="N14" s="153"/>
      <c r="O14" s="153"/>
      <c r="P14" s="153"/>
      <c r="Q14" s="153"/>
      <c r="R14" s="153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62"/>
    </row>
    <row r="15" spans="1:32" ht="21.95" customHeight="1">
      <c r="A15" s="82" t="s">
        <v>3</v>
      </c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9">
        <f t="shared" ref="AF15:AF27" si="1">SUM(B15:AE15)</f>
        <v>0</v>
      </c>
    </row>
    <row r="16" spans="1:32" ht="21.95" customHeight="1">
      <c r="A16" s="83" t="s">
        <v>4</v>
      </c>
      <c r="B16" s="60"/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  <c r="N16" s="60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  <c r="AA16" s="60"/>
      <c r="AB16" s="60"/>
      <c r="AC16" s="60"/>
      <c r="AD16" s="60"/>
      <c r="AE16" s="60"/>
      <c r="AF16" s="61">
        <f t="shared" si="1"/>
        <v>0</v>
      </c>
    </row>
    <row r="17" spans="1:32" ht="21.95" customHeight="1">
      <c r="A17" s="83" t="s">
        <v>46</v>
      </c>
      <c r="B17" s="60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0"/>
      <c r="S17" s="60"/>
      <c r="T17" s="60"/>
      <c r="U17" s="60"/>
      <c r="V17" s="60"/>
      <c r="W17" s="60"/>
      <c r="X17" s="60"/>
      <c r="Y17" s="60"/>
      <c r="Z17" s="60"/>
      <c r="AA17" s="60"/>
      <c r="AB17" s="60"/>
      <c r="AC17" s="60"/>
      <c r="AD17" s="60"/>
      <c r="AE17" s="60"/>
      <c r="AF17" s="61">
        <f t="shared" si="1"/>
        <v>0</v>
      </c>
    </row>
    <row r="18" spans="1:32" ht="21.95" customHeight="1">
      <c r="A18" s="83" t="s">
        <v>47</v>
      </c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0"/>
      <c r="AD18" s="60"/>
      <c r="AE18" s="60"/>
      <c r="AF18" s="61">
        <f t="shared" si="1"/>
        <v>0</v>
      </c>
    </row>
    <row r="19" spans="1:32" ht="21.95" customHeight="1">
      <c r="A19" s="83" t="s">
        <v>56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60"/>
      <c r="AD19" s="60"/>
      <c r="AE19" s="60"/>
      <c r="AF19" s="61">
        <f t="shared" si="1"/>
        <v>0</v>
      </c>
    </row>
    <row r="20" spans="1:32" ht="21.95" customHeight="1">
      <c r="A20" s="83" t="s">
        <v>55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  <c r="N20" s="60"/>
      <c r="O20" s="60"/>
      <c r="P20" s="60"/>
      <c r="Q20" s="60"/>
      <c r="R20" s="60"/>
      <c r="S20" s="60"/>
      <c r="T20" s="60"/>
      <c r="U20" s="60"/>
      <c r="V20" s="60"/>
      <c r="W20" s="60"/>
      <c r="X20" s="60"/>
      <c r="Y20" s="60"/>
      <c r="Z20" s="60"/>
      <c r="AA20" s="60"/>
      <c r="AB20" s="60"/>
      <c r="AC20" s="60"/>
      <c r="AD20" s="60"/>
      <c r="AE20" s="60"/>
      <c r="AF20" s="61">
        <f t="shared" si="1"/>
        <v>0</v>
      </c>
    </row>
    <row r="21" spans="1:32" ht="21.95" customHeight="1">
      <c r="A21" s="83" t="s">
        <v>48</v>
      </c>
      <c r="B21" s="60"/>
      <c r="C21" s="60"/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  <c r="X21" s="60"/>
      <c r="Y21" s="60"/>
      <c r="Z21" s="60"/>
      <c r="AA21" s="60"/>
      <c r="AB21" s="60"/>
      <c r="AC21" s="60"/>
      <c r="AD21" s="60"/>
      <c r="AE21" s="60"/>
      <c r="AF21" s="61">
        <f t="shared" si="1"/>
        <v>0</v>
      </c>
    </row>
    <row r="22" spans="1:32" ht="21.95" customHeight="1">
      <c r="A22" s="86" t="s">
        <v>51</v>
      </c>
      <c r="B22" s="60"/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0"/>
      <c r="Y22" s="60"/>
      <c r="Z22" s="60"/>
      <c r="AA22" s="60"/>
      <c r="AB22" s="60"/>
      <c r="AC22" s="60"/>
      <c r="AD22" s="60"/>
      <c r="AE22" s="60"/>
      <c r="AF22" s="61">
        <f t="shared" si="1"/>
        <v>0</v>
      </c>
    </row>
    <row r="23" spans="1:32" ht="21.95" customHeight="1">
      <c r="A23" s="83" t="s">
        <v>50</v>
      </c>
      <c r="B23" s="60"/>
      <c r="C23" s="60"/>
      <c r="D23" s="60"/>
      <c r="E23" s="60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60"/>
      <c r="Q23" s="60"/>
      <c r="R23" s="60"/>
      <c r="S23" s="60"/>
      <c r="T23" s="60"/>
      <c r="U23" s="60"/>
      <c r="V23" s="60"/>
      <c r="W23" s="60"/>
      <c r="X23" s="60"/>
      <c r="Y23" s="60"/>
      <c r="Z23" s="60"/>
      <c r="AA23" s="60"/>
      <c r="AB23" s="60"/>
      <c r="AC23" s="60"/>
      <c r="AD23" s="60"/>
      <c r="AE23" s="60"/>
      <c r="AF23" s="61">
        <f t="shared" si="1"/>
        <v>0</v>
      </c>
    </row>
    <row r="24" spans="1:32" ht="21.95" customHeight="1">
      <c r="A24" s="83" t="s">
        <v>67</v>
      </c>
      <c r="B24" s="60"/>
      <c r="C24" s="60"/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60"/>
      <c r="R24" s="60"/>
      <c r="S24" s="60"/>
      <c r="T24" s="60"/>
      <c r="U24" s="60"/>
      <c r="V24" s="60"/>
      <c r="W24" s="60"/>
      <c r="X24" s="60"/>
      <c r="Y24" s="60"/>
      <c r="Z24" s="60"/>
      <c r="AA24" s="60"/>
      <c r="AB24" s="60"/>
      <c r="AC24" s="60"/>
      <c r="AD24" s="60"/>
      <c r="AE24" s="60"/>
      <c r="AF24" s="61">
        <f t="shared" si="1"/>
        <v>0</v>
      </c>
    </row>
    <row r="25" spans="1:32" ht="21.95" customHeight="1">
      <c r="A25" s="83" t="s">
        <v>5</v>
      </c>
      <c r="B25" s="60"/>
      <c r="C25" s="60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0"/>
      <c r="AA25" s="60"/>
      <c r="AB25" s="60"/>
      <c r="AC25" s="60"/>
      <c r="AD25" s="60"/>
      <c r="AE25" s="60"/>
      <c r="AF25" s="61">
        <f t="shared" si="1"/>
        <v>0</v>
      </c>
    </row>
    <row r="26" spans="1:32" ht="21.95" customHeight="1">
      <c r="A26" s="87" t="s">
        <v>6</v>
      </c>
      <c r="B26" s="60"/>
      <c r="C26" s="60"/>
      <c r="D26" s="60"/>
      <c r="E26" s="142"/>
      <c r="F26" s="60"/>
      <c r="G26" s="60"/>
      <c r="H26" s="60"/>
      <c r="I26" s="60"/>
      <c r="J26" s="60"/>
      <c r="K26" s="60"/>
      <c r="L26" s="60"/>
      <c r="M26" s="60"/>
      <c r="N26" s="60"/>
      <c r="O26" s="60"/>
      <c r="P26" s="60"/>
      <c r="Q26" s="60"/>
      <c r="R26" s="60"/>
      <c r="S26" s="60"/>
      <c r="T26" s="60"/>
      <c r="U26" s="60"/>
      <c r="V26" s="60"/>
      <c r="W26" s="60"/>
      <c r="X26" s="60"/>
      <c r="Y26" s="60"/>
      <c r="Z26" s="60"/>
      <c r="AA26" s="60"/>
      <c r="AB26" s="60"/>
      <c r="AC26" s="60"/>
      <c r="AD26" s="60"/>
      <c r="AE26" s="60"/>
      <c r="AF26" s="61">
        <f t="shared" si="1"/>
        <v>0</v>
      </c>
    </row>
    <row r="27" spans="1:32" ht="21.95" customHeight="1">
      <c r="A27" s="88" t="s">
        <v>7</v>
      </c>
      <c r="B27" s="84">
        <f t="shared" ref="B27:H27" si="2">SUM(B15:B26)</f>
        <v>0</v>
      </c>
      <c r="C27" s="84">
        <f t="shared" si="2"/>
        <v>0</v>
      </c>
      <c r="D27" s="84">
        <f t="shared" si="2"/>
        <v>0</v>
      </c>
      <c r="E27" s="84">
        <f t="shared" si="2"/>
        <v>0</v>
      </c>
      <c r="F27" s="84">
        <f t="shared" si="2"/>
        <v>0</v>
      </c>
      <c r="G27" s="84">
        <f t="shared" si="2"/>
        <v>0</v>
      </c>
      <c r="H27" s="84">
        <f t="shared" si="2"/>
        <v>0</v>
      </c>
      <c r="I27" s="84">
        <f t="shared" ref="I27:AE27" si="3">SUM(I15:I26)</f>
        <v>0</v>
      </c>
      <c r="J27" s="84">
        <f t="shared" si="3"/>
        <v>0</v>
      </c>
      <c r="K27" s="84">
        <f t="shared" si="3"/>
        <v>0</v>
      </c>
      <c r="L27" s="84">
        <f t="shared" si="3"/>
        <v>0</v>
      </c>
      <c r="M27" s="84">
        <f t="shared" si="3"/>
        <v>0</v>
      </c>
      <c r="N27" s="84">
        <f t="shared" si="3"/>
        <v>0</v>
      </c>
      <c r="O27" s="84">
        <f t="shared" si="3"/>
        <v>0</v>
      </c>
      <c r="P27" s="84">
        <f t="shared" si="3"/>
        <v>0</v>
      </c>
      <c r="Q27" s="84">
        <f t="shared" si="3"/>
        <v>0</v>
      </c>
      <c r="R27" s="84">
        <f t="shared" si="3"/>
        <v>0</v>
      </c>
      <c r="S27" s="84">
        <f t="shared" si="3"/>
        <v>0</v>
      </c>
      <c r="T27" s="84">
        <f t="shared" si="3"/>
        <v>0</v>
      </c>
      <c r="U27" s="84">
        <f t="shared" si="3"/>
        <v>0</v>
      </c>
      <c r="V27" s="84">
        <f t="shared" si="3"/>
        <v>0</v>
      </c>
      <c r="W27" s="84">
        <f t="shared" si="3"/>
        <v>0</v>
      </c>
      <c r="X27" s="84">
        <f t="shared" si="3"/>
        <v>0</v>
      </c>
      <c r="Y27" s="84">
        <f t="shared" si="3"/>
        <v>0</v>
      </c>
      <c r="Z27" s="84">
        <f t="shared" si="3"/>
        <v>0</v>
      </c>
      <c r="AA27" s="84">
        <f t="shared" si="3"/>
        <v>0</v>
      </c>
      <c r="AB27" s="84">
        <f t="shared" si="3"/>
        <v>0</v>
      </c>
      <c r="AC27" s="84">
        <f t="shared" si="3"/>
        <v>0</v>
      </c>
      <c r="AD27" s="84">
        <f t="shared" si="3"/>
        <v>0</v>
      </c>
      <c r="AE27" s="84">
        <f t="shared" si="3"/>
        <v>0</v>
      </c>
      <c r="AF27" s="85">
        <f t="shared" si="1"/>
        <v>0</v>
      </c>
    </row>
    <row r="28" spans="1:32" ht="21.95" customHeight="1" thickBot="1">
      <c r="A28" s="128" t="s">
        <v>23</v>
      </c>
      <c r="B28" s="129">
        <f t="shared" ref="B28:H28" si="4">IF(ISERR(B27/B4),0,B27/B4*1000000)</f>
        <v>0</v>
      </c>
      <c r="C28" s="129">
        <f t="shared" si="4"/>
        <v>0</v>
      </c>
      <c r="D28" s="129">
        <f t="shared" si="4"/>
        <v>0</v>
      </c>
      <c r="E28" s="129">
        <f t="shared" si="4"/>
        <v>0</v>
      </c>
      <c r="F28" s="129">
        <f t="shared" si="4"/>
        <v>0</v>
      </c>
      <c r="G28" s="129">
        <f t="shared" si="4"/>
        <v>0</v>
      </c>
      <c r="H28" s="129">
        <f t="shared" si="4"/>
        <v>0</v>
      </c>
      <c r="I28" s="129">
        <f t="shared" ref="I28:AF28" si="5">IF(ISERR(I27/I4),0,I27/I4*1000000)</f>
        <v>0</v>
      </c>
      <c r="J28" s="129">
        <f t="shared" si="5"/>
        <v>0</v>
      </c>
      <c r="K28" s="129">
        <f t="shared" si="5"/>
        <v>0</v>
      </c>
      <c r="L28" s="129">
        <f t="shared" si="5"/>
        <v>0</v>
      </c>
      <c r="M28" s="129">
        <f t="shared" si="5"/>
        <v>0</v>
      </c>
      <c r="N28" s="129">
        <f t="shared" si="5"/>
        <v>0</v>
      </c>
      <c r="O28" s="129">
        <f t="shared" si="5"/>
        <v>0</v>
      </c>
      <c r="P28" s="129">
        <f t="shared" si="5"/>
        <v>0</v>
      </c>
      <c r="Q28" s="129">
        <f t="shared" si="5"/>
        <v>0</v>
      </c>
      <c r="R28" s="129">
        <f t="shared" si="5"/>
        <v>0</v>
      </c>
      <c r="S28" s="129">
        <f t="shared" si="5"/>
        <v>0</v>
      </c>
      <c r="T28" s="129">
        <f t="shared" si="5"/>
        <v>0</v>
      </c>
      <c r="U28" s="129">
        <f t="shared" si="5"/>
        <v>0</v>
      </c>
      <c r="V28" s="129">
        <f t="shared" si="5"/>
        <v>0</v>
      </c>
      <c r="W28" s="129">
        <f t="shared" si="5"/>
        <v>0</v>
      </c>
      <c r="X28" s="129">
        <f t="shared" si="5"/>
        <v>0</v>
      </c>
      <c r="Y28" s="129">
        <f t="shared" si="5"/>
        <v>0</v>
      </c>
      <c r="Z28" s="129">
        <f t="shared" si="5"/>
        <v>0</v>
      </c>
      <c r="AA28" s="129">
        <f t="shared" si="5"/>
        <v>0</v>
      </c>
      <c r="AB28" s="129">
        <f t="shared" si="5"/>
        <v>0</v>
      </c>
      <c r="AC28" s="129">
        <f t="shared" si="5"/>
        <v>0</v>
      </c>
      <c r="AD28" s="129">
        <f t="shared" si="5"/>
        <v>0</v>
      </c>
      <c r="AE28" s="129">
        <f t="shared" si="5"/>
        <v>0</v>
      </c>
      <c r="AF28" s="130">
        <f t="shared" si="5"/>
        <v>0</v>
      </c>
    </row>
    <row r="29" spans="1:32" ht="21.95" customHeight="1">
      <c r="A29" s="134" t="str">
        <f>'SJCPIL-R 16-318-03 - Diurno'!A29</f>
        <v>Visto Supervisor</v>
      </c>
      <c r="B29" s="135"/>
      <c r="C29" s="135"/>
      <c r="D29" s="135"/>
      <c r="E29" s="135"/>
      <c r="F29" s="135"/>
      <c r="G29" s="135"/>
      <c r="H29" s="135"/>
      <c r="I29" s="135"/>
      <c r="J29" s="135"/>
      <c r="K29" s="135"/>
      <c r="L29" s="135"/>
      <c r="M29" s="135"/>
      <c r="N29" s="135"/>
      <c r="O29" s="135"/>
      <c r="P29" s="135"/>
      <c r="Q29" s="135"/>
      <c r="R29" s="135"/>
      <c r="S29" s="135"/>
      <c r="T29" s="135"/>
      <c r="U29" s="135"/>
      <c r="V29" s="135"/>
      <c r="W29" s="135"/>
      <c r="X29" s="135"/>
      <c r="Y29" s="135"/>
      <c r="Z29" s="135"/>
      <c r="AA29" s="135"/>
      <c r="AB29" s="135"/>
      <c r="AC29" s="135"/>
      <c r="AD29" s="135"/>
      <c r="AE29" s="135"/>
      <c r="AF29" s="136"/>
    </row>
    <row r="30" spans="1:32" ht="21.95" customHeight="1" thickBot="1">
      <c r="A30" s="137" t="s">
        <v>68</v>
      </c>
      <c r="B30" s="90"/>
      <c r="C30" s="90"/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90"/>
      <c r="S30" s="90"/>
      <c r="T30" s="90"/>
      <c r="U30" s="90"/>
      <c r="V30" s="90"/>
      <c r="W30" s="90"/>
      <c r="X30" s="90"/>
      <c r="Y30" s="90"/>
      <c r="Z30" s="90"/>
      <c r="AA30" s="90"/>
      <c r="AB30" s="90"/>
      <c r="AC30" s="90"/>
      <c r="AD30" s="90"/>
      <c r="AE30" s="90"/>
      <c r="AF30" s="91"/>
    </row>
    <row r="31" spans="1:32" ht="30" customHeight="1">
      <c r="A31" s="131" t="s">
        <v>42</v>
      </c>
      <c r="B31" s="132"/>
      <c r="C31" s="132"/>
      <c r="D31" s="132"/>
      <c r="E31" s="132"/>
      <c r="F31" s="132"/>
      <c r="G31" s="132"/>
      <c r="H31" s="132"/>
      <c r="I31" s="131" t="s">
        <v>44</v>
      </c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3"/>
      <c r="U31" s="131" t="s">
        <v>45</v>
      </c>
      <c r="V31" s="132"/>
      <c r="W31" s="132"/>
      <c r="X31" s="132"/>
      <c r="Y31" s="132"/>
      <c r="Z31" s="132"/>
      <c r="AA31" s="132"/>
      <c r="AB31" s="132"/>
      <c r="AC31" s="132"/>
      <c r="AD31" s="132"/>
      <c r="AE31" s="132"/>
      <c r="AF31" s="133"/>
    </row>
    <row r="32" spans="1:32" ht="30" customHeight="1" thickBot="1">
      <c r="A32" s="97" t="s">
        <v>43</v>
      </c>
      <c r="B32" s="98"/>
      <c r="C32" s="98"/>
      <c r="D32" s="143"/>
      <c r="E32" s="98"/>
      <c r="F32" s="98"/>
      <c r="G32" s="98"/>
      <c r="H32" s="98"/>
      <c r="I32" s="97" t="s">
        <v>43</v>
      </c>
      <c r="J32" s="98"/>
      <c r="K32" s="98"/>
      <c r="L32" s="98"/>
      <c r="M32" s="98"/>
      <c r="N32" s="98"/>
      <c r="O32" s="98"/>
      <c r="P32" s="98"/>
      <c r="Q32" s="98"/>
      <c r="R32" s="98"/>
      <c r="S32" s="98"/>
      <c r="T32" s="99"/>
      <c r="U32" s="97" t="s">
        <v>43</v>
      </c>
      <c r="V32" s="98"/>
      <c r="W32" s="98"/>
      <c r="X32" s="98"/>
      <c r="Y32" s="98"/>
      <c r="Z32" s="98"/>
      <c r="AA32" s="98"/>
      <c r="AB32" s="98"/>
      <c r="AC32" s="98"/>
      <c r="AD32" s="98"/>
      <c r="AE32" s="98"/>
      <c r="AF32" s="99"/>
    </row>
    <row r="33" spans="1:32">
      <c r="A33" t="s">
        <v>24</v>
      </c>
      <c r="B33" s="100">
        <f>'SJCPIL-R 16-318-03 - Diurno'!$B$33</f>
        <v>540</v>
      </c>
      <c r="C33" s="100"/>
      <c r="D33" s="100"/>
      <c r="E33" s="100"/>
      <c r="F33" s="100"/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  <c r="AB33" s="100"/>
      <c r="AC33" s="100"/>
      <c r="AD33" s="100"/>
      <c r="AE33" s="100"/>
      <c r="AF33" s="100"/>
    </row>
    <row r="35" spans="1:32">
      <c r="A35" s="42" t="s">
        <v>31</v>
      </c>
      <c r="B35" s="102"/>
      <c r="C35" s="102"/>
      <c r="D35" s="102"/>
      <c r="E35" s="102"/>
      <c r="F35" s="102"/>
      <c r="G35" s="102"/>
      <c r="H35" s="102"/>
      <c r="I35" s="102"/>
      <c r="J35" s="102"/>
      <c r="K35" s="102"/>
      <c r="L35" s="102"/>
      <c r="M35" s="102"/>
      <c r="N35" s="102"/>
      <c r="O35" s="102"/>
      <c r="P35" s="102"/>
      <c r="Q35" s="102"/>
      <c r="R35" s="102"/>
      <c r="S35" s="102" t="s">
        <v>71</v>
      </c>
      <c r="T35" s="102"/>
      <c r="U35" s="102"/>
      <c r="V35" s="102"/>
      <c r="W35" s="102"/>
      <c r="X35" s="102"/>
      <c r="Y35" s="102"/>
      <c r="Z35" s="102"/>
      <c r="AA35" s="102"/>
      <c r="AB35" s="102"/>
      <c r="AC35" s="102"/>
      <c r="AD35" s="102"/>
      <c r="AE35" s="102"/>
      <c r="AF35" s="102"/>
    </row>
    <row r="36" spans="1:32" ht="105" customHeight="1">
      <c r="A36" s="101" t="s">
        <v>33</v>
      </c>
      <c r="B36" s="74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63"/>
      <c r="X36" s="63"/>
      <c r="Y36" s="63"/>
      <c r="Z36" s="63"/>
      <c r="AA36" s="63"/>
      <c r="AB36" s="63"/>
      <c r="AC36" s="63"/>
      <c r="AD36" s="63"/>
      <c r="AE36" s="63"/>
      <c r="AF36" s="63"/>
    </row>
  </sheetData>
  <sheetProtection selectLockedCells="1"/>
  <mergeCells count="34">
    <mergeCell ref="E5:E14"/>
    <mergeCell ref="F5:F14"/>
    <mergeCell ref="G5:G14"/>
    <mergeCell ref="H5:H14"/>
    <mergeCell ref="A6:A14"/>
    <mergeCell ref="B5:B14"/>
    <mergeCell ref="C5:C14"/>
    <mergeCell ref="D5:D14"/>
    <mergeCell ref="M5:M14"/>
    <mergeCell ref="N5:N14"/>
    <mergeCell ref="O5:O14"/>
    <mergeCell ref="P5:P14"/>
    <mergeCell ref="I5:I14"/>
    <mergeCell ref="J5:J14"/>
    <mergeCell ref="K5:K14"/>
    <mergeCell ref="L5:L14"/>
    <mergeCell ref="U5:U14"/>
    <mergeCell ref="V5:V14"/>
    <mergeCell ref="W5:W14"/>
    <mergeCell ref="X5:X14"/>
    <mergeCell ref="Q5:Q14"/>
    <mergeCell ref="R5:R14"/>
    <mergeCell ref="S5:S14"/>
    <mergeCell ref="T5:T14"/>
    <mergeCell ref="AB1:AD1"/>
    <mergeCell ref="AE1:AF1"/>
    <mergeCell ref="Y5:Y14"/>
    <mergeCell ref="Z5:Z14"/>
    <mergeCell ref="AA5:AA14"/>
    <mergeCell ref="AF5:AF14"/>
    <mergeCell ref="AB5:AB14"/>
    <mergeCell ref="AC5:AC14"/>
    <mergeCell ref="AD5:AD14"/>
    <mergeCell ref="AE5:AE14"/>
  </mergeCells>
  <phoneticPr fontId="0" type="noConversion"/>
  <dataValidations xWindow="371" yWindow="125" count="2">
    <dataValidation type="list" allowBlank="1" showInputMessage="1" showErrorMessage="1" sqref="B3:AF3" xr:uid="{00000000-0002-0000-0300-000000000000}">
      <formula1>produtos</formula1>
    </dataValidation>
    <dataValidation type="date" allowBlank="1" showInputMessage="1" showErrorMessage="1" promptTitle="Data" prompt="Digitar data válida contendo pelo menos o dia/mês." sqref="B2:AE2" xr:uid="{9DAE6FF8-E80C-4448-9C32-3B605CF3BA15}">
      <formula1>44287</formula1>
      <formula2>44651</formula2>
    </dataValidation>
  </dataValidations>
  <printOptions horizontalCentered="1" verticalCentered="1" gridLines="1" gridLinesSet="0"/>
  <pageMargins left="0.27559055118110237" right="0.27559055118110237" top="0.39370078740157483" bottom="0.39370078740157483" header="0.27559055118110237" footer="0.27559055118110237"/>
  <pageSetup paperSize="9" scale="66" orientation="landscape" r:id="rId1"/>
  <headerFooter alignWithMargins="0">
    <oddFooter>&amp;RSJCPIL R16-318-03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1">
              <controlPr defaultSize="0" autoFill="0" autoLine="0" autoPict="0">
                <anchor moveWithCells="1">
                  <from>
                    <xdr:col>23</xdr:col>
                    <xdr:colOff>361950</xdr:colOff>
                    <xdr:row>0</xdr:row>
                    <xdr:rowOff>47625</xdr:rowOff>
                  </from>
                  <to>
                    <xdr:col>26</xdr:col>
                    <xdr:colOff>333375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Check Box 2">
              <controlPr defaultSize="0" autoFill="0" autoLine="0" autoPict="0">
                <anchor moveWithCells="1">
                  <from>
                    <xdr:col>23</xdr:col>
                    <xdr:colOff>361950</xdr:colOff>
                    <xdr:row>0</xdr:row>
                    <xdr:rowOff>295275</xdr:rowOff>
                  </from>
                  <to>
                    <xdr:col>26</xdr:col>
                    <xdr:colOff>333375</xdr:colOff>
                    <xdr:row>0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1">
    <pageSetUpPr fitToPage="1"/>
  </sheetPr>
  <dimension ref="A1:P37"/>
  <sheetViews>
    <sheetView workbookViewId="0">
      <pane xSplit="2" ySplit="2" topLeftCell="C6" activePane="bottomRight" state="frozen"/>
      <selection pane="topRight" activeCell="C1" sqref="C1"/>
      <selection pane="bottomLeft" activeCell="A3" sqref="A3"/>
      <selection pane="bottomRight" activeCell="M3" sqref="M3"/>
    </sheetView>
  </sheetViews>
  <sheetFormatPr defaultRowHeight="12.75"/>
  <cols>
    <col min="1" max="1" width="6.28515625" bestFit="1" customWidth="1"/>
    <col min="2" max="2" width="19.7109375" bestFit="1" customWidth="1"/>
    <col min="3" max="3" width="11.7109375" bestFit="1" customWidth="1"/>
    <col min="4" max="6" width="10.140625" bestFit="1" customWidth="1"/>
    <col min="7" max="7" width="9.7109375" bestFit="1" customWidth="1"/>
    <col min="8" max="8" width="9.28515625" bestFit="1" customWidth="1"/>
    <col min="9" max="9" width="10.140625" bestFit="1" customWidth="1"/>
    <col min="10" max="12" width="9.28515625" bestFit="1" customWidth="1"/>
    <col min="13" max="13" width="11.7109375" bestFit="1" customWidth="1"/>
    <col min="14" max="14" width="9.28515625" bestFit="1" customWidth="1"/>
  </cols>
  <sheetData>
    <row r="1" spans="1:14" ht="13.5" thickBot="1">
      <c r="A1" s="1" t="s">
        <v>9</v>
      </c>
      <c r="B1" s="2" t="s">
        <v>8</v>
      </c>
      <c r="C1" s="2" t="s">
        <v>60</v>
      </c>
      <c r="D1" s="2" t="s">
        <v>61</v>
      </c>
      <c r="E1" s="2">
        <v>1215</v>
      </c>
      <c r="F1" s="2" t="s">
        <v>53</v>
      </c>
      <c r="G1" s="2" t="s">
        <v>54</v>
      </c>
      <c r="H1" s="2"/>
      <c r="I1" s="2"/>
      <c r="J1" s="2"/>
      <c r="K1" s="2"/>
      <c r="L1" s="3"/>
      <c r="M1" s="4" t="s">
        <v>22</v>
      </c>
      <c r="N1" s="5" t="s">
        <v>23</v>
      </c>
    </row>
    <row r="2" spans="1:14" ht="13.5" thickBot="1">
      <c r="A2" s="173" t="s">
        <v>0</v>
      </c>
      <c r="B2" s="31" t="s">
        <v>10</v>
      </c>
      <c r="C2" s="6">
        <f t="array" ref="C2">SUM(IF('SJCPIL-R 16-318-03 - Diurno'!$B3:$AE3='Resumo de Falhas'!C1,'SJCPIL-R 16-318-03 - Diurno'!$B4:$AE4))</f>
        <v>0</v>
      </c>
      <c r="D2" s="6">
        <f t="array" ref="D2">SUM(IF('SJCPIL-R 16-318-03 - Diurno'!$B3:$AE3='Resumo de Falhas'!D1,'SJCPIL-R 16-318-03 - Diurno'!$B4:$AE4))</f>
        <v>0</v>
      </c>
      <c r="E2" s="6">
        <f t="array" ref="E2">SUM(IF('SJCPIL-R 16-318-03 - Diurno'!$B3:$AE3='Resumo de Falhas'!E1,'SJCPIL-R 16-318-03 - Diurno'!$B4:$AE4))</f>
        <v>0</v>
      </c>
      <c r="F2" s="6">
        <f t="array" ref="F2">SUM(IF('SJCPIL-R 16-318-03 - Diurno'!$B3:$AE3='Resumo de Falhas'!F1,'SJCPIL-R 16-318-03 - Diurno'!$B4:$AE4))</f>
        <v>0</v>
      </c>
      <c r="G2" s="6">
        <f t="array" ref="G2">SUM(IF('SJCPIL-R 16-318-03 - Diurno'!$B3:$AE3='Resumo de Falhas'!G1,'SJCPIL-R 16-318-03 - Diurno'!$B4:$AE4))</f>
        <v>0</v>
      </c>
      <c r="H2" s="6">
        <f t="array" ref="H2">SUM(IF('SJCPIL-R 16-318-03 - Diurno'!$B3:$AE3='Resumo de Falhas'!H1,'SJCPIL-R 16-318-03 - Diurno'!$B4:$AE4))</f>
        <v>0</v>
      </c>
      <c r="I2" s="6">
        <f t="array" ref="I2">SUM(IF('SJCPIL-R 16-318-03 - Diurno'!$B3:$AE3='Resumo de Falhas'!I1,'SJCPIL-R 16-318-03 - Diurno'!$B4:$AE4))</f>
        <v>0</v>
      </c>
      <c r="J2" s="7">
        <f t="array" ref="J2">SUM(IF('SJCPIL-R 16-318-03 - Diurno'!$B3:$AE3='Resumo de Falhas'!J1,'SJCPIL-R 16-318-03 - Diurno'!$B4:$AE4))</f>
        <v>0</v>
      </c>
      <c r="K2" s="6">
        <f t="array" ref="K2">SUM(IF('SJCPIL-R 16-318-03 - Diurno'!$B3:$AE3='Resumo de Falhas'!K1,'SJCPIL-R 16-318-03 - Diurno'!$B4:$AE4))</f>
        <v>0</v>
      </c>
      <c r="L2" s="8">
        <f t="array" ref="L2">SUM(IF('SJCPIL-R 16-318-03 - Diurno'!$B3:$AE3='Resumo de Falhas'!L1,'SJCPIL-R 16-318-03 - Diurno'!$B4:$AE4))</f>
        <v>0</v>
      </c>
      <c r="M2" s="9">
        <f>SUM(C2:L2)</f>
        <v>0</v>
      </c>
      <c r="N2" s="10"/>
    </row>
    <row r="3" spans="1:14">
      <c r="A3" s="174"/>
      <c r="B3" s="32" t="s">
        <v>3</v>
      </c>
      <c r="C3" s="11">
        <f t="array" ref="C3">SUM(IF('SJCPIL-R 16-318-03 - Diurno'!$B$3:$AE$3='Resumo de Falhas'!C$1,'SJCPIL-R 16-318-03 - Diurno'!$B15:$AE15))</f>
        <v>0</v>
      </c>
      <c r="D3" s="11">
        <f t="array" ref="D3">SUM(IF('SJCPIL-R 16-318-03 - Diurno'!$B$3:$AE$3='Resumo de Falhas'!D$1,'SJCPIL-R 16-318-03 - Diurno'!$B15:$AE15))</f>
        <v>0</v>
      </c>
      <c r="E3" s="11">
        <f t="array" ref="E3">SUM(IF('SJCPIL-R 16-318-03 - Diurno'!$B$3:$AE$3='Resumo de Falhas'!E$1,'SJCPIL-R 16-318-03 - Diurno'!$B15:$AE15))</f>
        <v>0</v>
      </c>
      <c r="F3" s="11">
        <f t="array" ref="F3">SUM(IF('SJCPIL-R 16-318-03 - Diurno'!$B$3:$AE$3='Resumo de Falhas'!F$1,'SJCPIL-R 16-318-03 - Diurno'!$B15:$AE15))</f>
        <v>0</v>
      </c>
      <c r="G3" s="11">
        <f t="array" ref="G3">SUM(IF('SJCPIL-R 16-318-03 - Diurno'!$B$3:$AE$3='Resumo de Falhas'!G$1,'SJCPIL-R 16-318-03 - Diurno'!$B15:$AE15))</f>
        <v>0</v>
      </c>
      <c r="H3" s="11">
        <f t="array" ref="H3">SUM(IF('SJCPIL-R 16-318-03 - Diurno'!$B$3:$AE$3='Resumo de Falhas'!H$1,'SJCPIL-R 16-318-03 - Diurno'!$B15:$AE15))</f>
        <v>0</v>
      </c>
      <c r="I3" s="11">
        <f t="array" ref="I3">SUM(IF('SJCPIL-R 16-318-03 - Diurno'!$B$3:$AE$3='Resumo de Falhas'!I$1,'SJCPIL-R 16-318-03 - Diurno'!$B15:$AE15))</f>
        <v>0</v>
      </c>
      <c r="J3" s="11">
        <f t="array" ref="J3">SUM(IF('SJCPIL-R 16-318-03 - Diurno'!$B$3:$AE$3='Resumo de Falhas'!J$1,'SJCPIL-R 16-318-03 - Diurno'!$B15:$AE15))</f>
        <v>0</v>
      </c>
      <c r="K3" s="11">
        <f t="array" ref="K3">SUM(IF('SJCPIL-R 16-318-03 - Diurno'!$B$3:$AE$3='Resumo de Falhas'!K$1,'SJCPIL-R 16-318-03 - Diurno'!$B15:$AE15))</f>
        <v>0</v>
      </c>
      <c r="L3" s="12">
        <f t="array" ref="L3">SUM(IF('SJCPIL-R 16-318-03 - Diurno'!$B$3:$AE$3='Resumo de Falhas'!L$1,'SJCPIL-R 16-318-03 - Diurno'!$B15:$AE15))</f>
        <v>0</v>
      </c>
      <c r="M3" s="13">
        <f>SUM(C3:L3)</f>
        <v>0</v>
      </c>
      <c r="N3" s="14" t="e">
        <f t="shared" ref="N3:N15" si="0">M3/M$2*1000000</f>
        <v>#DIV/0!</v>
      </c>
    </row>
    <row r="4" spans="1:14">
      <c r="A4" s="174"/>
      <c r="B4" s="33" t="s">
        <v>4</v>
      </c>
      <c r="C4" s="11">
        <f t="array" ref="C4">SUM(IF('SJCPIL-R 16-318-03 - Diurno'!$B$3:$AE$3='Resumo de Falhas'!C$1,'SJCPIL-R 16-318-03 - Diurno'!$B16:$AE16))</f>
        <v>0</v>
      </c>
      <c r="D4" s="11">
        <f t="array" ref="D4">SUM(IF('SJCPIL-R 16-318-03 - Diurno'!$B$3:$AE$3='Resumo de Falhas'!D$1,'SJCPIL-R 16-318-03 - Diurno'!$B16:$AE16))</f>
        <v>0</v>
      </c>
      <c r="E4" s="11">
        <f t="array" ref="E4">SUM(IF('SJCPIL-R 16-318-03 - Diurno'!$B$3:$AE$3='Resumo de Falhas'!E$1,'SJCPIL-R 16-318-03 - Diurno'!$B16:$AE16))</f>
        <v>0</v>
      </c>
      <c r="F4" s="11">
        <f t="array" ref="F4">SUM(IF('SJCPIL-R 16-318-03 - Diurno'!$B$3:$AE$3='Resumo de Falhas'!F$1,'SJCPIL-R 16-318-03 - Diurno'!$B16:$AE16))</f>
        <v>0</v>
      </c>
      <c r="G4" s="11">
        <f t="array" ref="G4">SUM(IF('SJCPIL-R 16-318-03 - Diurno'!$B$3:$AE$3='Resumo de Falhas'!G$1,'SJCPIL-R 16-318-03 - Diurno'!$B16:$AE16))</f>
        <v>0</v>
      </c>
      <c r="H4" s="11">
        <f t="array" ref="H4">SUM(IF('SJCPIL-R 16-318-03 - Diurno'!$B$3:$AE$3='Resumo de Falhas'!H$1,'SJCPIL-R 16-318-03 - Diurno'!$B16:$AE16))</f>
        <v>0</v>
      </c>
      <c r="I4" s="11">
        <f t="array" ref="I4">SUM(IF('SJCPIL-R 16-318-03 - Diurno'!$B$3:$AE$3='Resumo de Falhas'!I$1,'SJCPIL-R 16-318-03 - Diurno'!$B16:$AE16))</f>
        <v>0</v>
      </c>
      <c r="J4" s="11">
        <f t="array" ref="J4">SUM(IF('SJCPIL-R 16-318-03 - Diurno'!$B$3:$AE$3='Resumo de Falhas'!J$1,'SJCPIL-R 16-318-03 - Diurno'!$B16:$AE16))</f>
        <v>0</v>
      </c>
      <c r="K4" s="11">
        <f t="array" ref="K4">SUM(IF('SJCPIL-R 16-318-03 - Diurno'!$B$3:$AE$3='Resumo de Falhas'!K$1,'SJCPIL-R 16-318-03 - Diurno'!$B16:$AE16))</f>
        <v>0</v>
      </c>
      <c r="L4" s="12">
        <f t="array" ref="L4">SUM(IF('SJCPIL-R 16-318-03 - Diurno'!$B$3:$AE$3='Resumo de Falhas'!L$1,'SJCPIL-R 16-318-03 - Diurno'!$B16:$AE16))</f>
        <v>0</v>
      </c>
      <c r="M4" s="16">
        <f>SUM(C4:L4)</f>
        <v>0</v>
      </c>
      <c r="N4" s="17" t="e">
        <f t="shared" si="0"/>
        <v>#DIV/0!</v>
      </c>
    </row>
    <row r="5" spans="1:14">
      <c r="A5" s="174"/>
      <c r="B5" s="64" t="s">
        <v>46</v>
      </c>
      <c r="C5" s="11">
        <f t="array" ref="C5">SUM(IF('SJCPIL-R 16-318-03 - Diurno'!$B$3:$AE$3='Resumo de Falhas'!C$1,'SJCPIL-R 16-318-03 - Diurno'!$B17:$AE17))</f>
        <v>0</v>
      </c>
      <c r="D5" s="11">
        <f t="array" ref="D5">SUM(IF('SJCPIL-R 16-318-03 - Diurno'!$B$3:$AE$3='Resumo de Falhas'!D$1,'SJCPIL-R 16-318-03 - Diurno'!$B17:$AE17))</f>
        <v>0</v>
      </c>
      <c r="E5" s="11">
        <f t="array" ref="E5">SUM(IF('SJCPIL-R 16-318-03 - Diurno'!$B$3:$AE$3='Resumo de Falhas'!E$1,'SJCPIL-R 16-318-03 - Diurno'!$B17:$AE17))</f>
        <v>0</v>
      </c>
      <c r="F5" s="11">
        <f t="array" ref="F5">SUM(IF('SJCPIL-R 16-318-03 - Diurno'!$B$3:$AE$3='Resumo de Falhas'!F$1,'SJCPIL-R 16-318-03 - Diurno'!$B17:$AE17))</f>
        <v>0</v>
      </c>
      <c r="G5" s="11">
        <f t="array" ref="G5">SUM(IF('SJCPIL-R 16-318-03 - Diurno'!$B$3:$AE$3='Resumo de Falhas'!G$1,'SJCPIL-R 16-318-03 - Diurno'!$B17:$AE17))</f>
        <v>0</v>
      </c>
      <c r="H5" s="11">
        <f t="array" ref="H5">SUM(IF('SJCPIL-R 16-318-03 - Diurno'!$B$3:$AE$3='Resumo de Falhas'!H$1,'SJCPIL-R 16-318-03 - Diurno'!$B17:$AE17))</f>
        <v>0</v>
      </c>
      <c r="I5" s="11">
        <f t="array" ref="I5">SUM(IF('SJCPIL-R 16-318-03 - Diurno'!$B$3:$AE$3='Resumo de Falhas'!I$1,'SJCPIL-R 16-318-03 - Diurno'!$B17:$AE17))</f>
        <v>0</v>
      </c>
      <c r="J5" s="11">
        <f t="array" ref="J5">SUM(IF('SJCPIL-R 16-318-03 - Diurno'!$B$3:$AE$3='Resumo de Falhas'!J$1,'SJCPIL-R 16-318-03 - Diurno'!$B17:$AE17))</f>
        <v>0</v>
      </c>
      <c r="K5" s="11">
        <f t="array" ref="K5">SUM(IF('SJCPIL-R 16-318-03 - Diurno'!$B$3:$AE$3='Resumo de Falhas'!K$1,'SJCPIL-R 16-318-03 - Diurno'!$B17:$AE17))</f>
        <v>0</v>
      </c>
      <c r="L5" s="12">
        <f t="array" ref="L5">SUM(IF('SJCPIL-R 16-318-03 - Diurno'!$B$3:$AE$3='Resumo de Falhas'!L$1,'SJCPIL-R 16-318-03 - Diurno'!$B17:$AE17))</f>
        <v>0</v>
      </c>
      <c r="M5" s="16">
        <f t="shared" ref="M5:M11" si="1">SUM(C5:L5)</f>
        <v>0</v>
      </c>
      <c r="N5" s="17" t="e">
        <f t="shared" si="0"/>
        <v>#DIV/0!</v>
      </c>
    </row>
    <row r="6" spans="1:14">
      <c r="A6" s="174"/>
      <c r="B6" s="64" t="s">
        <v>47</v>
      </c>
      <c r="C6" s="11">
        <f t="array" ref="C6">SUM(IF('SJCPIL-R 16-318-03 - Diurno'!$B$3:$AE$3='Resumo de Falhas'!C$1,'SJCPIL-R 16-318-03 - Diurno'!$B18:$AE18))</f>
        <v>0</v>
      </c>
      <c r="D6" s="11">
        <f t="array" ref="D6">SUM(IF('SJCPIL-R 16-318-03 - Diurno'!$B$3:$AE$3='Resumo de Falhas'!D$1,'SJCPIL-R 16-318-03 - Diurno'!$B18:$AE18))</f>
        <v>0</v>
      </c>
      <c r="E6" s="11">
        <f t="array" ref="E6">SUM(IF('SJCPIL-R 16-318-03 - Diurno'!$B$3:$AE$3='Resumo de Falhas'!E$1,'SJCPIL-R 16-318-03 - Diurno'!$B18:$AE18))</f>
        <v>0</v>
      </c>
      <c r="F6" s="11">
        <f t="array" ref="F6">SUM(IF('SJCPIL-R 16-318-03 - Diurno'!$B$3:$AE$3='Resumo de Falhas'!F$1,'SJCPIL-R 16-318-03 - Diurno'!$B18:$AE18))</f>
        <v>0</v>
      </c>
      <c r="G6" s="11">
        <f t="array" ref="G6">SUM(IF('SJCPIL-R 16-318-03 - Diurno'!$B$3:$AE$3='Resumo de Falhas'!G$1,'SJCPIL-R 16-318-03 - Diurno'!$B18:$AE18))</f>
        <v>0</v>
      </c>
      <c r="H6" s="11">
        <f t="array" ref="H6">SUM(IF('SJCPIL-R 16-318-03 - Diurno'!$B$3:$AE$3='Resumo de Falhas'!H$1,'SJCPIL-R 16-318-03 - Diurno'!$B18:$AE18))</f>
        <v>0</v>
      </c>
      <c r="I6" s="11">
        <f t="array" ref="I6">SUM(IF('SJCPIL-R 16-318-03 - Diurno'!$B$3:$AE$3='Resumo de Falhas'!I$1,'SJCPIL-R 16-318-03 - Diurno'!$B18:$AE18))</f>
        <v>0</v>
      </c>
      <c r="J6" s="11">
        <f t="array" ref="J6">SUM(IF('SJCPIL-R 16-318-03 - Diurno'!$B$3:$AE$3='Resumo de Falhas'!J$1,'SJCPIL-R 16-318-03 - Diurno'!$B18:$AE18))</f>
        <v>0</v>
      </c>
      <c r="K6" s="11">
        <f t="array" ref="K6">SUM(IF('SJCPIL-R 16-318-03 - Diurno'!$B$3:$AE$3='Resumo de Falhas'!K$1,'SJCPIL-R 16-318-03 - Diurno'!$B18:$AE18))</f>
        <v>0</v>
      </c>
      <c r="L6" s="12">
        <f t="array" ref="L6">SUM(IF('SJCPIL-R 16-318-03 - Diurno'!$B$3:$AE$3='Resumo de Falhas'!L$1,'SJCPIL-R 16-318-03 - Diurno'!$B18:$AE18))</f>
        <v>0</v>
      </c>
      <c r="M6" s="16">
        <f t="shared" si="1"/>
        <v>0</v>
      </c>
      <c r="N6" s="17" t="e">
        <f t="shared" si="0"/>
        <v>#DIV/0!</v>
      </c>
    </row>
    <row r="7" spans="1:14">
      <c r="A7" s="174"/>
      <c r="B7" s="64" t="s">
        <v>57</v>
      </c>
      <c r="C7" s="11">
        <f t="array" ref="C7">SUM(IF('SJCPIL-R 16-318-03 - Diurno'!$B$3:$AE$3='Resumo de Falhas'!C$1,'SJCPIL-R 16-318-03 - Diurno'!$B19:$AE19))</f>
        <v>0</v>
      </c>
      <c r="D7" s="11">
        <f t="array" ref="D7">SUM(IF('SJCPIL-R 16-318-03 - Diurno'!$B$3:$AE$3='Resumo de Falhas'!D$1,'SJCPIL-R 16-318-03 - Diurno'!$B19:$AE19))</f>
        <v>0</v>
      </c>
      <c r="E7" s="11">
        <f t="array" ref="E7">SUM(IF('SJCPIL-R 16-318-03 - Diurno'!$B$3:$AE$3='Resumo de Falhas'!E$1,'SJCPIL-R 16-318-03 - Diurno'!$B19:$AE19))</f>
        <v>0</v>
      </c>
      <c r="F7" s="11">
        <f t="array" ref="F7">SUM(IF('SJCPIL-R 16-318-03 - Diurno'!$B$3:$AE$3='Resumo de Falhas'!F$1,'SJCPIL-R 16-318-03 - Diurno'!$B19:$AE19))</f>
        <v>0</v>
      </c>
      <c r="G7" s="11">
        <f t="array" ref="G7">SUM(IF('SJCPIL-R 16-318-03 - Diurno'!$B$3:$AE$3='Resumo de Falhas'!G$1,'SJCPIL-R 16-318-03 - Diurno'!$B19:$AE19))</f>
        <v>0</v>
      </c>
      <c r="H7" s="11">
        <f t="array" ref="H7">SUM(IF('SJCPIL-R 16-318-03 - Diurno'!$B$3:$AE$3='Resumo de Falhas'!H$1,'SJCPIL-R 16-318-03 - Diurno'!$B19:$AE19))</f>
        <v>0</v>
      </c>
      <c r="I7" s="11">
        <f t="array" ref="I7">SUM(IF('SJCPIL-R 16-318-03 - Diurno'!$B$3:$AE$3='Resumo de Falhas'!I$1,'SJCPIL-R 16-318-03 - Diurno'!$B19:$AE19))</f>
        <v>0</v>
      </c>
      <c r="J7" s="11">
        <f t="array" ref="J7">SUM(IF('SJCPIL-R 16-318-03 - Diurno'!$B$3:$AE$3='Resumo de Falhas'!J$1,'SJCPIL-R 16-318-03 - Diurno'!$B19:$AE19))</f>
        <v>0</v>
      </c>
      <c r="K7" s="11">
        <f t="array" ref="K7">SUM(IF('SJCPIL-R 16-318-03 - Diurno'!$B$3:$AE$3='Resumo de Falhas'!K$1,'SJCPIL-R 16-318-03 - Diurno'!$B19:$AE19))</f>
        <v>0</v>
      </c>
      <c r="L7" s="12">
        <f t="array" ref="L7">SUM(IF('SJCPIL-R 16-318-03 - Diurno'!$B$3:$AE$3='Resumo de Falhas'!L$1,'SJCPIL-R 16-318-03 - Diurno'!$B19:$AE19))</f>
        <v>0</v>
      </c>
      <c r="M7" s="16">
        <f t="shared" si="1"/>
        <v>0</v>
      </c>
      <c r="N7" s="17" t="e">
        <f t="shared" si="0"/>
        <v>#DIV/0!</v>
      </c>
    </row>
    <row r="8" spans="1:14">
      <c r="A8" s="174"/>
      <c r="B8" s="64" t="s">
        <v>58</v>
      </c>
      <c r="C8" s="11">
        <f t="array" ref="C8">SUM(IF('SJCPIL-R 16-318-03 - Diurno'!$B$3:$AE$3='Resumo de Falhas'!C$1,'SJCPIL-R 16-318-03 - Diurno'!$B20:$AE20))</f>
        <v>0</v>
      </c>
      <c r="D8" s="11">
        <f t="array" ref="D8">SUM(IF('SJCPIL-R 16-318-03 - Diurno'!$B$3:$AE$3='Resumo de Falhas'!D$1,'SJCPIL-R 16-318-03 - Diurno'!$B20:$AE20))</f>
        <v>0</v>
      </c>
      <c r="E8" s="11">
        <f t="array" ref="E8">SUM(IF('SJCPIL-R 16-318-03 - Diurno'!$B$3:$AE$3='Resumo de Falhas'!E$1,'SJCPIL-R 16-318-03 - Diurno'!$B20:$AE20))</f>
        <v>0</v>
      </c>
      <c r="F8" s="11">
        <f t="array" ref="F8">SUM(IF('SJCPIL-R 16-318-03 - Diurno'!$B$3:$AE$3='Resumo de Falhas'!F$1,'SJCPIL-R 16-318-03 - Diurno'!$B20:$AE20))</f>
        <v>0</v>
      </c>
      <c r="G8" s="11">
        <f t="array" ref="G8">SUM(IF('SJCPIL-R 16-318-03 - Diurno'!$B$3:$AE$3='Resumo de Falhas'!G$1,'SJCPIL-R 16-318-03 - Diurno'!$B20:$AE20))</f>
        <v>0</v>
      </c>
      <c r="H8" s="11">
        <f t="array" ref="H8">SUM(IF('SJCPIL-R 16-318-03 - Diurno'!$B$3:$AE$3='Resumo de Falhas'!H$1,'SJCPIL-R 16-318-03 - Diurno'!$B20:$AE20))</f>
        <v>0</v>
      </c>
      <c r="I8" s="11">
        <f t="array" ref="I8">SUM(IF('SJCPIL-R 16-318-03 - Diurno'!$B$3:$AE$3='Resumo de Falhas'!I$1,'SJCPIL-R 16-318-03 - Diurno'!$B20:$AE20))</f>
        <v>0</v>
      </c>
      <c r="J8" s="11">
        <f t="array" ref="J8">SUM(IF('SJCPIL-R 16-318-03 - Diurno'!$B$3:$AE$3='Resumo de Falhas'!J$1,'SJCPIL-R 16-318-03 - Diurno'!$B20:$AE20))</f>
        <v>0</v>
      </c>
      <c r="K8" s="11">
        <f t="array" ref="K8">SUM(IF('SJCPIL-R 16-318-03 - Diurno'!$B$3:$AE$3='Resumo de Falhas'!K$1,'SJCPIL-R 16-318-03 - Diurno'!$B20:$AE20))</f>
        <v>0</v>
      </c>
      <c r="L8" s="12"/>
      <c r="M8" s="16">
        <f t="shared" si="1"/>
        <v>0</v>
      </c>
      <c r="N8" s="17" t="e">
        <f t="shared" si="0"/>
        <v>#DIV/0!</v>
      </c>
    </row>
    <row r="9" spans="1:14">
      <c r="A9" s="174"/>
      <c r="B9" s="64" t="s">
        <v>48</v>
      </c>
      <c r="C9" s="11">
        <f t="array" ref="C9">SUM(IF('SJCPIL-R 16-318-03 - Diurno'!$B$3:$AE$3='Resumo de Falhas'!C$1,'SJCPIL-R 16-318-03 - Diurno'!$B21:$AE21))</f>
        <v>0</v>
      </c>
      <c r="D9" s="11">
        <f t="array" ref="D9">SUM(IF('SJCPIL-R 16-318-03 - Diurno'!$B$3:$AE$3='Resumo de Falhas'!D$1,'SJCPIL-R 16-318-03 - Diurno'!$B21:$AE21))</f>
        <v>0</v>
      </c>
      <c r="E9" s="11">
        <f t="array" ref="E9">SUM(IF('SJCPIL-R 16-318-03 - Diurno'!$B$3:$AE$3='Resumo de Falhas'!E$1,'SJCPIL-R 16-318-03 - Diurno'!$B21:$AE21))</f>
        <v>0</v>
      </c>
      <c r="F9" s="11">
        <f t="array" ref="F9">SUM(IF('SJCPIL-R 16-318-03 - Diurno'!$B$3:$AE$3='Resumo de Falhas'!F$1,'SJCPIL-R 16-318-03 - Diurno'!$B21:$AE21))</f>
        <v>0</v>
      </c>
      <c r="G9" s="11">
        <f t="array" ref="G9">SUM(IF('SJCPIL-R 16-318-03 - Diurno'!$B$3:$AE$3='Resumo de Falhas'!G$1,'SJCPIL-R 16-318-03 - Diurno'!$B21:$AE21))</f>
        <v>0</v>
      </c>
      <c r="H9" s="11">
        <f t="array" ref="H9">SUM(IF('SJCPIL-R 16-318-03 - Diurno'!$B$3:$AE$3='Resumo de Falhas'!H$1,'SJCPIL-R 16-318-03 - Diurno'!$B21:$AE21))</f>
        <v>0</v>
      </c>
      <c r="I9" s="11">
        <f t="array" ref="I9">SUM(IF('SJCPIL-R 16-318-03 - Diurno'!$B$3:$AE$3='Resumo de Falhas'!I$1,'SJCPIL-R 16-318-03 - Diurno'!$B21:$AE21))</f>
        <v>0</v>
      </c>
      <c r="J9" s="11">
        <f t="array" ref="J9">SUM(IF('SJCPIL-R 16-318-03 - Diurno'!$B$3:$AE$3='Resumo de Falhas'!J$1,'SJCPIL-R 16-318-03 - Diurno'!$B21:$AE21))</f>
        <v>0</v>
      </c>
      <c r="K9" s="11">
        <f t="array" ref="K9">SUM(IF('SJCPIL-R 16-318-03 - Diurno'!$B$3:$AE$3='Resumo de Falhas'!K$1,'SJCPIL-R 16-318-03 - Diurno'!$B21:$AE21))</f>
        <v>0</v>
      </c>
      <c r="L9" s="12">
        <f t="array" ref="L9">SUM(IF('SJCPIL-R 16-318-03 - Diurno'!$B$3:$AE$3='Resumo de Falhas'!L$1,'SJCPIL-R 16-318-03 - Diurno'!$B21:$AE21))</f>
        <v>0</v>
      </c>
      <c r="M9" s="16">
        <f t="shared" si="1"/>
        <v>0</v>
      </c>
      <c r="N9" s="17" t="e">
        <f t="shared" si="0"/>
        <v>#DIV/0!</v>
      </c>
    </row>
    <row r="10" spans="1:14" ht="24">
      <c r="A10" s="174"/>
      <c r="B10" s="65" t="s">
        <v>49</v>
      </c>
      <c r="C10" s="11">
        <f t="array" ref="C10">SUM(IF('SJCPIL-R 16-318-03 - Diurno'!$B$3:$AE$3='Resumo de Falhas'!C$1,'SJCPIL-R 16-318-03 - Diurno'!$B22:$AE22))</f>
        <v>0</v>
      </c>
      <c r="D10" s="11">
        <f t="array" ref="D10">SUM(IF('SJCPIL-R 16-318-03 - Diurno'!$B$3:$AE$3='Resumo de Falhas'!D$1,'SJCPIL-R 16-318-03 - Diurno'!$B22:$AE22))</f>
        <v>0</v>
      </c>
      <c r="E10" s="11">
        <f t="array" ref="E10">SUM(IF('SJCPIL-R 16-318-03 - Diurno'!$B$3:$AE$3='Resumo de Falhas'!E$1,'SJCPIL-R 16-318-03 - Diurno'!$B22:$AE22))</f>
        <v>0</v>
      </c>
      <c r="F10" s="11">
        <f t="array" ref="F10">SUM(IF('SJCPIL-R 16-318-03 - Diurno'!$B$3:$AE$3='Resumo de Falhas'!F$1,'SJCPIL-R 16-318-03 - Diurno'!$B22:$AE22))</f>
        <v>0</v>
      </c>
      <c r="G10" s="11">
        <f t="array" ref="G10">SUM(IF('SJCPIL-R 16-318-03 - Diurno'!$B$3:$AE$3='Resumo de Falhas'!G$1,'SJCPIL-R 16-318-03 - Diurno'!$B22:$AE22))</f>
        <v>0</v>
      </c>
      <c r="H10" s="11">
        <f t="array" ref="H10">SUM(IF('SJCPIL-R 16-318-03 - Diurno'!$B$3:$AE$3='Resumo de Falhas'!H$1,'SJCPIL-R 16-318-03 - Diurno'!$B22:$AE22))</f>
        <v>0</v>
      </c>
      <c r="I10" s="11">
        <f t="array" ref="I10">SUM(IF('SJCPIL-R 16-318-03 - Diurno'!$B$3:$AE$3='Resumo de Falhas'!I$1,'SJCPIL-R 16-318-03 - Diurno'!$B22:$AE22))</f>
        <v>0</v>
      </c>
      <c r="J10" s="11">
        <f t="array" ref="J10">SUM(IF('SJCPIL-R 16-318-03 - Diurno'!$B$3:$AE$3='Resumo de Falhas'!J$1,'SJCPIL-R 16-318-03 - Diurno'!$B22:$AE22))</f>
        <v>0</v>
      </c>
      <c r="K10" s="11">
        <f t="array" ref="K10">SUM(IF('SJCPIL-R 16-318-03 - Diurno'!$B$3:$AE$3='Resumo de Falhas'!K$1,'SJCPIL-R 16-318-03 - Diurno'!$B22:$AE22))</f>
        <v>0</v>
      </c>
      <c r="L10" s="12">
        <f t="array" ref="L10">SUM(IF('SJCPIL-R 16-318-03 - Diurno'!$B$3:$AE$3='Resumo de Falhas'!L$1,'SJCPIL-R 16-318-03 - Diurno'!$B22:$AE22))</f>
        <v>0</v>
      </c>
      <c r="M10" s="16">
        <f t="shared" si="1"/>
        <v>0</v>
      </c>
      <c r="N10" s="17" t="e">
        <f t="shared" si="0"/>
        <v>#DIV/0!</v>
      </c>
    </row>
    <row r="11" spans="1:14">
      <c r="A11" s="174"/>
      <c r="B11" s="64" t="s">
        <v>50</v>
      </c>
      <c r="C11" s="11">
        <f t="array" ref="C11">SUM(IF('SJCPIL-R 16-318-03 - Diurno'!$B$3:$AE$3='Resumo de Falhas'!C$1,'SJCPIL-R 16-318-03 - Diurno'!$B23:$AE23))</f>
        <v>0</v>
      </c>
      <c r="D11" s="11">
        <f t="array" ref="D11">SUM(IF('SJCPIL-R 16-318-03 - Diurno'!$B$3:$AE$3='Resumo de Falhas'!D$1,'SJCPIL-R 16-318-03 - Diurno'!$B23:$AE23))</f>
        <v>0</v>
      </c>
      <c r="E11" s="11">
        <f t="array" ref="E11">SUM(IF('SJCPIL-R 16-318-03 - Diurno'!$B$3:$AE$3='Resumo de Falhas'!E$1,'SJCPIL-R 16-318-03 - Diurno'!$B23:$AE23))</f>
        <v>0</v>
      </c>
      <c r="F11" s="11">
        <f t="array" ref="F11">SUM(IF('SJCPIL-R 16-318-03 - Diurno'!$B$3:$AE$3='Resumo de Falhas'!F$1,'SJCPIL-R 16-318-03 - Diurno'!$B23:$AE23))</f>
        <v>0</v>
      </c>
      <c r="G11" s="11">
        <f t="array" ref="G11">SUM(IF('SJCPIL-R 16-318-03 - Diurno'!$B$3:$AE$3='Resumo de Falhas'!G$1,'SJCPIL-R 16-318-03 - Diurno'!$B23:$AE23))</f>
        <v>0</v>
      </c>
      <c r="H11" s="11">
        <f t="array" ref="H11">SUM(IF('SJCPIL-R 16-318-03 - Diurno'!$B$3:$AE$3='Resumo de Falhas'!H$1,'SJCPIL-R 16-318-03 - Diurno'!$B23:$AE23))</f>
        <v>0</v>
      </c>
      <c r="I11" s="11">
        <f t="array" ref="I11">SUM(IF('SJCPIL-R 16-318-03 - Diurno'!$B$3:$AE$3='Resumo de Falhas'!I$1,'SJCPIL-R 16-318-03 - Diurno'!$B23:$AE23))</f>
        <v>0</v>
      </c>
      <c r="J11" s="11">
        <f t="array" ref="J11">SUM(IF('SJCPIL-R 16-318-03 - Diurno'!$B$3:$AE$3='Resumo de Falhas'!J$1,'SJCPIL-R 16-318-03 - Diurno'!$B23:$AE23))</f>
        <v>0</v>
      </c>
      <c r="K11" s="11">
        <f t="array" ref="K11">SUM(IF('SJCPIL-R 16-318-03 - Diurno'!$B$3:$AE$3='Resumo de Falhas'!K$1,'SJCPIL-R 16-318-03 - Diurno'!$B23:$AE23))</f>
        <v>0</v>
      </c>
      <c r="L11" s="12">
        <f t="array" ref="L11">SUM(IF('SJCPIL-R 16-318-03 - Diurno'!$B$3:$AE$3='Resumo de Falhas'!L$1,'SJCPIL-R 16-318-03 - Diurno'!$B23:$AE23))</f>
        <v>0</v>
      </c>
      <c r="M11" s="16">
        <f t="shared" si="1"/>
        <v>0</v>
      </c>
      <c r="N11" s="17" t="e">
        <f t="shared" si="0"/>
        <v>#DIV/0!</v>
      </c>
    </row>
    <row r="12" spans="1:14">
      <c r="A12" s="174"/>
      <c r="B12" s="127" t="s">
        <v>67</v>
      </c>
      <c r="C12" s="11">
        <f t="array" ref="C12">SUM(IF('SJCPIL-R 16-318-03 - Diurno'!$B$3:$AE$3='Resumo de Falhas'!C$1,'SJCPIL-R 16-318-03 - Diurno'!$B24:$AE24))</f>
        <v>0</v>
      </c>
      <c r="D12" s="11">
        <f t="array" ref="D12">SUM(IF('SJCPIL-R 16-318-03 - Diurno'!$B$3:$AE$3='Resumo de Falhas'!D$1,'SJCPIL-R 16-318-03 - Diurno'!$B24:$AE24))</f>
        <v>0</v>
      </c>
      <c r="E12" s="11">
        <f t="array" ref="E12">SUM(IF('SJCPIL-R 16-318-03 - Diurno'!$B$3:$AE$3='Resumo de Falhas'!E$1,'SJCPIL-R 16-318-03 - Diurno'!$B24:$AE24))</f>
        <v>0</v>
      </c>
      <c r="F12" s="11">
        <f t="array" ref="F12">SUM(IF('SJCPIL-R 16-318-03 - Diurno'!$B$3:$AE$3='Resumo de Falhas'!F$1,'SJCPIL-R 16-318-03 - Diurno'!$B24:$AE24))</f>
        <v>0</v>
      </c>
      <c r="G12" s="11">
        <f t="array" ref="G12">SUM(IF('SJCPIL-R 16-318-03 - Diurno'!$B$3:$AE$3='Resumo de Falhas'!G$1,'SJCPIL-R 16-318-03 - Diurno'!$B24:$AE24))</f>
        <v>0</v>
      </c>
      <c r="H12" s="11">
        <f t="array" ref="H12">SUM(IF('SJCPIL-R 16-318-03 - Diurno'!$B$3:$AE$3='Resumo de Falhas'!H$1,'SJCPIL-R 16-318-03 - Diurno'!$B24:$AE24))</f>
        <v>0</v>
      </c>
      <c r="I12" s="11">
        <f t="array" ref="I12">SUM(IF('SJCPIL-R 16-318-03 - Diurno'!$B$3:$AE$3='Resumo de Falhas'!I$1,'SJCPIL-R 16-318-03 - Diurno'!$B24:$AE24))</f>
        <v>0</v>
      </c>
      <c r="J12" s="11">
        <f t="array" ref="J12">SUM(IF('SJCPIL-R 16-318-03 - Diurno'!$B$3:$AE$3='Resumo de Falhas'!J$1,'SJCPIL-R 16-318-03 - Diurno'!$B24:$AE24))</f>
        <v>0</v>
      </c>
      <c r="K12" s="11">
        <f t="array" ref="K12">SUM(IF('SJCPIL-R 16-318-03 - Diurno'!$B$3:$AE$3='Resumo de Falhas'!K$1,'SJCPIL-R 16-318-03 - Diurno'!$B24:$AE24))</f>
        <v>0</v>
      </c>
      <c r="L12" s="12">
        <f t="array" ref="L12">SUM(IF('SJCPIL-R 16-318-03 - Diurno'!$B$3:$AE$3='Resumo de Falhas'!L$1,'SJCPIL-R 16-318-03 - Diurno'!$B24:$AE24))</f>
        <v>0</v>
      </c>
      <c r="M12" s="16">
        <f t="shared" ref="M12:M18" si="2">SUM(C12:L12)</f>
        <v>0</v>
      </c>
      <c r="N12" s="17" t="e">
        <f>M12/M$2*1000000</f>
        <v>#DIV/0!</v>
      </c>
    </row>
    <row r="13" spans="1:14">
      <c r="A13" s="174"/>
      <c r="B13" s="33" t="s">
        <v>5</v>
      </c>
      <c r="C13" s="11">
        <f t="array" ref="C13">SUM(IF('SJCPIL-R 16-318-03 - Diurno'!$B$3:$AE$3='Resumo de Falhas'!C$1,'SJCPIL-R 16-318-03 - Diurno'!$B25:$AE25))</f>
        <v>0</v>
      </c>
      <c r="D13" s="11">
        <f t="array" ref="D13">SUM(IF('SJCPIL-R 16-318-03 - Diurno'!$B$3:$AE$3='Resumo de Falhas'!D$1,'SJCPIL-R 16-318-03 - Diurno'!$B25:$AE25))</f>
        <v>0</v>
      </c>
      <c r="E13" s="11">
        <f t="array" ref="E13">SUM(IF('SJCPIL-R 16-318-03 - Diurno'!$B$3:$AE$3='Resumo de Falhas'!E$1,'SJCPIL-R 16-318-03 - Diurno'!$B25:$AE25))</f>
        <v>0</v>
      </c>
      <c r="F13" s="11">
        <f t="array" ref="F13">SUM(IF('SJCPIL-R 16-318-03 - Diurno'!$B$3:$AE$3='Resumo de Falhas'!F$1,'SJCPIL-R 16-318-03 - Diurno'!$B25:$AE25))</f>
        <v>0</v>
      </c>
      <c r="G13" s="11">
        <f t="array" ref="G13">SUM(IF('SJCPIL-R 16-318-03 - Diurno'!$B$3:$AE$3='Resumo de Falhas'!G$1,'SJCPIL-R 16-318-03 - Diurno'!$B25:$AE25))</f>
        <v>0</v>
      </c>
      <c r="H13" s="11">
        <f t="array" ref="H13">SUM(IF('SJCPIL-R 16-318-03 - Diurno'!$B$3:$AE$3='Resumo de Falhas'!H$1,'SJCPIL-R 16-318-03 - Diurno'!$B25:$AE25))</f>
        <v>0</v>
      </c>
      <c r="I13" s="11">
        <f t="array" ref="I13">SUM(IF('SJCPIL-R 16-318-03 - Diurno'!$B$3:$AE$3='Resumo de Falhas'!I$1,'SJCPIL-R 16-318-03 - Diurno'!$B25:$AE25))</f>
        <v>0</v>
      </c>
      <c r="J13" s="11">
        <f t="array" ref="J13">SUM(IF('SJCPIL-R 16-318-03 - Diurno'!$B$3:$AE$3='Resumo de Falhas'!J$1,'SJCPIL-R 16-318-03 - Diurno'!$B25:$AE25))</f>
        <v>0</v>
      </c>
      <c r="K13" s="11">
        <f t="array" ref="K13">SUM(IF('SJCPIL-R 16-318-03 - Diurno'!$B$3:$AE$3='Resumo de Falhas'!K$1,'SJCPIL-R 16-318-03 - Diurno'!$B25:$AE25))</f>
        <v>0</v>
      </c>
      <c r="L13" s="15">
        <f t="array" ref="L13">SUM(IF('SJCPIL-R 16-318-03 - Diurno'!$B$3:$AE$3='Resumo de Falhas'!L$1,'SJCPIL-R 16-318-03 - Diurno'!$B25:$AE25))</f>
        <v>0</v>
      </c>
      <c r="M13" s="16">
        <f t="shared" si="2"/>
        <v>0</v>
      </c>
      <c r="N13" s="17" t="e">
        <f t="shared" si="0"/>
        <v>#DIV/0!</v>
      </c>
    </row>
    <row r="14" spans="1:14">
      <c r="A14" s="175"/>
      <c r="B14" s="41" t="s">
        <v>6</v>
      </c>
      <c r="C14" s="11">
        <f t="array" ref="C14">SUM(IF('SJCPIL-R 16-318-03 - Diurno'!$B$3:$AE$3='Resumo de Falhas'!C$1,'SJCPIL-R 16-318-03 - Diurno'!$B26:$AE26))</f>
        <v>0</v>
      </c>
      <c r="D14" s="11">
        <f t="array" ref="D14">SUM(IF('SJCPIL-R 16-318-03 - Diurno'!$B$3:$AE$3='Resumo de Falhas'!D$1,'SJCPIL-R 16-318-03 - Diurno'!$B26:$AE26))</f>
        <v>0</v>
      </c>
      <c r="E14" s="11">
        <f t="array" ref="E14">SUM(IF('SJCPIL-R 16-318-03 - Diurno'!$B$3:$AE$3='Resumo de Falhas'!E$1,'SJCPIL-R 16-318-03 - Diurno'!$B26:$AE26))</f>
        <v>0</v>
      </c>
      <c r="F14" s="11">
        <f t="array" ref="F14">SUM(IF('SJCPIL-R 16-318-03 - Diurno'!$B$3:$AE$3='Resumo de Falhas'!F$1,'SJCPIL-R 16-318-03 - Diurno'!$B26:$AE26))</f>
        <v>0</v>
      </c>
      <c r="G14" s="11">
        <f t="array" ref="G14">SUM(IF('SJCPIL-R 16-318-03 - Diurno'!$B$3:$AE$3='Resumo de Falhas'!G$1,'SJCPIL-R 16-318-03 - Diurno'!$B26:$AE26))</f>
        <v>0</v>
      </c>
      <c r="H14" s="11">
        <f t="array" ref="H14">SUM(IF('SJCPIL-R 16-318-03 - Diurno'!$B$3:$AE$3='Resumo de Falhas'!H$1,'SJCPIL-R 16-318-03 - Diurno'!$B26:$AE26))</f>
        <v>0</v>
      </c>
      <c r="I14" s="11">
        <f t="array" ref="I14">SUM(IF('SJCPIL-R 16-318-03 - Diurno'!$B$3:$AE$3='Resumo de Falhas'!I$1,'SJCPIL-R 16-318-03 - Diurno'!$B26:$AE26))</f>
        <v>0</v>
      </c>
      <c r="J14" s="11">
        <f t="array" ref="J14">SUM(IF('SJCPIL-R 16-318-03 - Diurno'!$B$3:$AE$3='Resumo de Falhas'!J$1,'SJCPIL-R 16-318-03 - Diurno'!$B26:$AE26))</f>
        <v>0</v>
      </c>
      <c r="K14" s="11">
        <f t="array" ref="K14">SUM(IF('SJCPIL-R 16-318-03 - Diurno'!$B$3:$AE$3='Resumo de Falhas'!K$1,'SJCPIL-R 16-318-03 - Diurno'!$B26:$AE26))</f>
        <v>0</v>
      </c>
      <c r="L14" s="15">
        <f t="array" ref="L14">SUM(IF('SJCPIL-R 16-318-03 - Diurno'!$B$3:$AE$3='Resumo de Falhas'!L$1,'SJCPIL-R 16-318-03 - Diurno'!$B26:$AE26))</f>
        <v>0</v>
      </c>
      <c r="M14" s="16">
        <f t="shared" si="2"/>
        <v>0</v>
      </c>
      <c r="N14" s="17" t="e">
        <f t="shared" si="0"/>
        <v>#DIV/0!</v>
      </c>
    </row>
    <row r="15" spans="1:14" ht="13.5" thickBot="1">
      <c r="A15" s="176"/>
      <c r="B15" s="34" t="s">
        <v>11</v>
      </c>
      <c r="C15" s="18">
        <f t="shared" ref="C15:L15" si="3">SUM(C3:C14)</f>
        <v>0</v>
      </c>
      <c r="D15" s="18">
        <f t="shared" si="3"/>
        <v>0</v>
      </c>
      <c r="E15" s="18">
        <f t="shared" si="3"/>
        <v>0</v>
      </c>
      <c r="F15" s="18">
        <f t="shared" si="3"/>
        <v>0</v>
      </c>
      <c r="G15" s="18">
        <f t="shared" si="3"/>
        <v>0</v>
      </c>
      <c r="H15" s="18">
        <f t="shared" si="3"/>
        <v>0</v>
      </c>
      <c r="I15" s="18">
        <f t="shared" si="3"/>
        <v>0</v>
      </c>
      <c r="J15" s="18">
        <f t="shared" si="3"/>
        <v>0</v>
      </c>
      <c r="K15" s="18">
        <f t="shared" si="3"/>
        <v>0</v>
      </c>
      <c r="L15" s="18">
        <f t="shared" si="3"/>
        <v>0</v>
      </c>
      <c r="M15" s="70">
        <f t="shared" si="2"/>
        <v>0</v>
      </c>
      <c r="N15" s="17" t="e">
        <f t="shared" si="0"/>
        <v>#DIV/0!</v>
      </c>
    </row>
    <row r="16" spans="1:14" ht="13.5" thickBot="1">
      <c r="A16" s="173" t="s">
        <v>12</v>
      </c>
      <c r="B16" s="35" t="s">
        <v>10</v>
      </c>
      <c r="C16" s="6">
        <f t="array" ref="C16">SUM(IF('SJCPIL-R 16-318-03 - Noturno'!$B3:$AE3='Resumo de Falhas'!C1,'SJCPIL-R 16-318-03 - Noturno'!$B4:$AE4))</f>
        <v>0</v>
      </c>
      <c r="D16" s="6">
        <f t="array" ref="D16">SUM(IF('SJCPIL-R 16-318-03 - Noturno'!$B3:$AE3='Resumo de Falhas'!D1,'SJCPIL-R 16-318-03 - Noturno'!$B4:$AE4))</f>
        <v>0</v>
      </c>
      <c r="E16" s="6">
        <f t="array" ref="E16">SUM(IF('SJCPIL-R 16-318-03 - Noturno'!$B3:$AE3='Resumo de Falhas'!E1,'SJCPIL-R 16-318-03 - Noturno'!$B4:$AE4))</f>
        <v>0</v>
      </c>
      <c r="F16" s="6">
        <f t="array" ref="F16">SUM(IF('SJCPIL-R 16-318-03 - Noturno'!$B3:$AE3='Resumo de Falhas'!F1,'SJCPIL-R 16-318-03 - Noturno'!$B4:$AE4))</f>
        <v>0</v>
      </c>
      <c r="G16" s="6">
        <f t="array" ref="G16">SUM(IF('SJCPIL-R 16-318-03 - Noturno'!$B3:$AE3='Resumo de Falhas'!G1,'SJCPIL-R 16-318-03 - Noturno'!$B4:$AE4))</f>
        <v>0</v>
      </c>
      <c r="H16" s="6">
        <f t="array" ref="H16">SUM(IF('SJCPIL-R 16-318-03 - Noturno'!$B3:$AE3='Resumo de Falhas'!H1,'SJCPIL-R 16-318-03 - Noturno'!$B4:$AE4))</f>
        <v>0</v>
      </c>
      <c r="I16" s="6">
        <f t="array" ref="I16">SUM(IF('SJCPIL-R 16-318-03 - Noturno'!$B3:$AE3='Resumo de Falhas'!I1,'SJCPIL-R 16-318-03 - Noturno'!$B4:$AE4))</f>
        <v>0</v>
      </c>
      <c r="J16" s="6">
        <f t="array" ref="J16">SUM(IF('SJCPIL-R 16-318-03 - Noturno'!$B3:$AE3='Resumo de Falhas'!J1,'SJCPIL-R 16-318-03 - Noturno'!$B4:$AE4))</f>
        <v>0</v>
      </c>
      <c r="K16" s="6">
        <f t="array" ref="K16">SUM(IF('SJCPIL-R 16-318-03 - Noturno'!$B3:$AE3='Resumo de Falhas'!K1,'SJCPIL-R 16-318-03 - Noturno'!$B4:$AE4))</f>
        <v>0</v>
      </c>
      <c r="L16" s="6">
        <f t="array" ref="L16">SUM(IF('SJCPIL-R 16-318-03 - Noturno'!$B3:$AE3='Resumo de Falhas'!L1,'SJCPIL-R 16-318-03 - Noturno'!$B4:$AE4))</f>
        <v>0</v>
      </c>
      <c r="M16" s="9">
        <f t="shared" si="2"/>
        <v>0</v>
      </c>
      <c r="N16" s="10"/>
    </row>
    <row r="17" spans="1:16">
      <c r="A17" s="174"/>
      <c r="B17" s="32" t="s">
        <v>3</v>
      </c>
      <c r="C17" s="11">
        <f t="array" ref="C17">SUM(IF('SJCPIL-R 16-318-03 - Noturno'!$B$3:$AE$3='Resumo de Falhas'!C$1,'SJCPIL-R 16-318-03 - Noturno'!$B15:$AE15))</f>
        <v>0</v>
      </c>
      <c r="D17" s="11">
        <f t="array" ref="D17">SUM(IF('SJCPIL-R 16-318-03 - Noturno'!$B$3:$AE$3='Resumo de Falhas'!D$1,'SJCPIL-R 16-318-03 - Noturno'!$B15:$AE15))</f>
        <v>0</v>
      </c>
      <c r="E17" s="11">
        <f t="array" ref="E17">SUM(IF('SJCPIL-R 16-318-03 - Noturno'!$B$3:$AE$3='Resumo de Falhas'!E$1,'SJCPIL-R 16-318-03 - Noturno'!$B15:$AE15))</f>
        <v>0</v>
      </c>
      <c r="F17" s="11">
        <f t="array" ref="F17">SUM(IF('SJCPIL-R 16-318-03 - Noturno'!$B$3:$AE$3='Resumo de Falhas'!F$1,'SJCPIL-R 16-318-03 - Noturno'!$B15:$AE15))</f>
        <v>0</v>
      </c>
      <c r="G17" s="11">
        <f t="array" ref="G17">SUM(IF('SJCPIL-R 16-318-03 - Noturno'!$B$3:$AE$3='Resumo de Falhas'!G$1,'SJCPIL-R 16-318-03 - Noturno'!$B15:$AE15))</f>
        <v>0</v>
      </c>
      <c r="H17" s="11">
        <f t="array" ref="H17">SUM(IF('SJCPIL-R 16-318-03 - Noturno'!$B$3:$AE$3='Resumo de Falhas'!H$1,'SJCPIL-R 16-318-03 - Noturno'!$B15:$AE15))</f>
        <v>0</v>
      </c>
      <c r="I17" s="11">
        <f t="array" ref="I17">SUM(IF('SJCPIL-R 16-318-03 - Noturno'!$B$3:$AE$3='Resumo de Falhas'!I$1,'SJCPIL-R 16-318-03 - Noturno'!$B15:$AE15))</f>
        <v>0</v>
      </c>
      <c r="J17" s="11">
        <f t="array" ref="J17">SUM(IF('SJCPIL-R 16-318-03 - Noturno'!$B$3:$AE$3='Resumo de Falhas'!J$1,'SJCPIL-R 16-318-03 - Noturno'!$B15:$AE15))</f>
        <v>0</v>
      </c>
      <c r="K17" s="11">
        <f t="array" ref="K17">SUM(IF('SJCPIL-R 16-318-03 - Noturno'!$B$3:$AE$3='Resumo de Falhas'!K$1,'SJCPIL-R 16-318-03 - Noturno'!$B15:$AE15))</f>
        <v>0</v>
      </c>
      <c r="L17" s="11">
        <f t="array" ref="L17">SUM(IF('SJCPIL-R 16-318-03 - Noturno'!$B$3:$AE$3='Resumo de Falhas'!L$1,'SJCPIL-R 16-318-03 - Noturno'!$B15:$AE15))</f>
        <v>0</v>
      </c>
      <c r="M17" s="13">
        <f t="shared" si="2"/>
        <v>0</v>
      </c>
      <c r="N17" s="14" t="e">
        <f>M17/M$16*1000000</f>
        <v>#DIV/0!</v>
      </c>
      <c r="O17" s="75">
        <f t="shared" ref="O17:O27" si="4">M17+M3</f>
        <v>0</v>
      </c>
    </row>
    <row r="18" spans="1:16">
      <c r="A18" s="174"/>
      <c r="B18" s="33" t="s">
        <v>4</v>
      </c>
      <c r="C18" s="11">
        <f t="array" ref="C18">SUM(IF('SJCPIL-R 16-318-03 - Noturno'!$B$3:$AE$3='Resumo de Falhas'!C$1,'SJCPIL-R 16-318-03 - Noturno'!$B16:$AE16))</f>
        <v>0</v>
      </c>
      <c r="D18" s="11">
        <f t="array" ref="D18">SUM(IF('SJCPIL-R 16-318-03 - Noturno'!$B$3:$AE$3='Resumo de Falhas'!D$1,'SJCPIL-R 16-318-03 - Noturno'!$B16:$AE16))</f>
        <v>0</v>
      </c>
      <c r="E18" s="11">
        <f t="array" ref="E18">SUM(IF('SJCPIL-R 16-318-03 - Noturno'!$B$3:$AE$3='Resumo de Falhas'!E$1,'SJCPIL-R 16-318-03 - Noturno'!$B16:$AE16))</f>
        <v>0</v>
      </c>
      <c r="F18" s="11">
        <f t="array" ref="F18">SUM(IF('SJCPIL-R 16-318-03 - Noturno'!$B$3:$AE$3='Resumo de Falhas'!F$1,'SJCPIL-R 16-318-03 - Noturno'!$B16:$AE16))</f>
        <v>0</v>
      </c>
      <c r="G18" s="11">
        <f t="array" ref="G18">SUM(IF('SJCPIL-R 16-318-03 - Noturno'!$B$3:$AE$3='Resumo de Falhas'!G$1,'SJCPIL-R 16-318-03 - Noturno'!$B16:$AE16))</f>
        <v>0</v>
      </c>
      <c r="H18" s="11">
        <f t="array" ref="H18">SUM(IF('SJCPIL-R 16-318-03 - Noturno'!$B$3:$AE$3='Resumo de Falhas'!H$1,'SJCPIL-R 16-318-03 - Noturno'!$B16:$AE16))</f>
        <v>0</v>
      </c>
      <c r="I18" s="11">
        <f t="array" ref="I18">SUM(IF('SJCPIL-R 16-318-03 - Noturno'!$B$3:$AE$3='Resumo de Falhas'!I$1,'SJCPIL-R 16-318-03 - Noturno'!$B16:$AE16))</f>
        <v>0</v>
      </c>
      <c r="J18" s="11">
        <f t="array" ref="J18">SUM(IF('SJCPIL-R 16-318-03 - Noturno'!$B$3:$AE$3='Resumo de Falhas'!J$1,'SJCPIL-R 16-318-03 - Noturno'!$B16:$AE16))</f>
        <v>0</v>
      </c>
      <c r="K18" s="11">
        <f t="array" ref="K18">SUM(IF('SJCPIL-R 16-318-03 - Noturno'!$B$3:$AE$3='Resumo de Falhas'!K$1,'SJCPIL-R 16-318-03 - Noturno'!$B16:$AE16))</f>
        <v>0</v>
      </c>
      <c r="L18" s="11">
        <f t="array" ref="L18">SUM(IF('SJCPIL-R 16-318-03 - Noturno'!$B$3:$AE$3='Resumo de Falhas'!L$1,'SJCPIL-R 16-318-03 - Noturno'!$B16:$AE16))</f>
        <v>0</v>
      </c>
      <c r="M18" s="16">
        <f t="shared" si="2"/>
        <v>0</v>
      </c>
      <c r="N18" s="17" t="e">
        <f>M18/M$16*1000000</f>
        <v>#DIV/0!</v>
      </c>
      <c r="O18" s="75">
        <f t="shared" si="4"/>
        <v>0</v>
      </c>
    </row>
    <row r="19" spans="1:16">
      <c r="A19" s="174"/>
      <c r="B19" s="64" t="s">
        <v>46</v>
      </c>
      <c r="C19" s="11">
        <f t="array" ref="C19">SUM(IF('SJCPIL-R 16-318-03 - Noturno'!$B$3:$AE$3='Resumo de Falhas'!C$1,'SJCPIL-R 16-318-03 - Noturno'!$B17:$AE17))</f>
        <v>0</v>
      </c>
      <c r="D19" s="11">
        <f t="array" ref="D19">SUM(IF('SJCPIL-R 16-318-03 - Noturno'!$B$3:$AE$3='Resumo de Falhas'!D$1,'SJCPIL-R 16-318-03 - Noturno'!$B17:$AE17))</f>
        <v>0</v>
      </c>
      <c r="E19" s="11">
        <f t="array" ref="E19">SUM(IF('SJCPIL-R 16-318-03 - Noturno'!$B$3:$AE$3='Resumo de Falhas'!E$1,'SJCPIL-R 16-318-03 - Noturno'!$B17:$AE17))</f>
        <v>0</v>
      </c>
      <c r="F19" s="11">
        <f t="array" ref="F19">SUM(IF('SJCPIL-R 16-318-03 - Noturno'!$B$3:$AE$3='Resumo de Falhas'!F$1,'SJCPIL-R 16-318-03 - Noturno'!$B17:$AE17))</f>
        <v>0</v>
      </c>
      <c r="G19" s="11">
        <f t="array" ref="G19">SUM(IF('SJCPIL-R 16-318-03 - Noturno'!$B$3:$AE$3='Resumo de Falhas'!G$1,'SJCPIL-R 16-318-03 - Noturno'!$B17:$AE17))</f>
        <v>0</v>
      </c>
      <c r="H19" s="11">
        <f t="array" ref="H19">SUM(IF('SJCPIL-R 16-318-03 - Noturno'!$B$3:$AE$3='Resumo de Falhas'!H$1,'SJCPIL-R 16-318-03 - Noturno'!$B17:$AE17))</f>
        <v>0</v>
      </c>
      <c r="I19" s="11">
        <f t="array" ref="I19">SUM(IF('SJCPIL-R 16-318-03 - Noturno'!$B$3:$AE$3='Resumo de Falhas'!I$1,'SJCPIL-R 16-318-03 - Noturno'!$B17:$AE17))</f>
        <v>0</v>
      </c>
      <c r="J19" s="11">
        <f t="array" ref="J19">SUM(IF('SJCPIL-R 16-318-03 - Noturno'!$B$3:$AE$3='Resumo de Falhas'!J$1,'SJCPIL-R 16-318-03 - Noturno'!$B17:$AE17))</f>
        <v>0</v>
      </c>
      <c r="K19" s="11">
        <f t="array" ref="K19">SUM(IF('SJCPIL-R 16-318-03 - Noturno'!$B$3:$AE$3='Resumo de Falhas'!K$1,'SJCPIL-R 16-318-03 - Noturno'!$B17:$AE17))</f>
        <v>0</v>
      </c>
      <c r="L19" s="11">
        <f t="array" ref="L19">SUM(IF('SJCPIL-R 16-318-03 - Noturno'!$B$3:$AE$3='Resumo de Falhas'!L$1,'SJCPIL-R 16-318-03 - Noturno'!$B17:$AE17))</f>
        <v>0</v>
      </c>
      <c r="M19" s="16">
        <f t="shared" ref="M19:M25" si="5">SUM(C19:L19)</f>
        <v>0</v>
      </c>
      <c r="N19" s="17" t="e">
        <f t="shared" ref="N19:N25" si="6">M19/M$16*1000000</f>
        <v>#DIV/0!</v>
      </c>
      <c r="O19" s="75">
        <f t="shared" si="4"/>
        <v>0</v>
      </c>
    </row>
    <row r="20" spans="1:16">
      <c r="A20" s="174"/>
      <c r="B20" s="64" t="s">
        <v>47</v>
      </c>
      <c r="C20" s="11">
        <f t="array" ref="C20">SUM(IF('SJCPIL-R 16-318-03 - Noturno'!$B$3:$AE$3='Resumo de Falhas'!C$1,'SJCPIL-R 16-318-03 - Noturno'!$B18:$AE18))</f>
        <v>0</v>
      </c>
      <c r="D20" s="11">
        <f t="array" ref="D20">SUM(IF('SJCPIL-R 16-318-03 - Noturno'!$B$3:$AE$3='Resumo de Falhas'!D$1,'SJCPIL-R 16-318-03 - Noturno'!$B18:$AE18))</f>
        <v>0</v>
      </c>
      <c r="E20" s="11">
        <f t="array" ref="E20">SUM(IF('SJCPIL-R 16-318-03 - Noturno'!$B$3:$AE$3='Resumo de Falhas'!E$1,'SJCPIL-R 16-318-03 - Noturno'!$B18:$AE18))</f>
        <v>0</v>
      </c>
      <c r="F20" s="11">
        <f t="array" ref="F20">SUM(IF('SJCPIL-R 16-318-03 - Noturno'!$B$3:$AE$3='Resumo de Falhas'!F$1,'SJCPIL-R 16-318-03 - Noturno'!$B18:$AE18))</f>
        <v>0</v>
      </c>
      <c r="G20" s="11">
        <f t="array" ref="G20">SUM(IF('SJCPIL-R 16-318-03 - Noturno'!$B$3:$AE$3='Resumo de Falhas'!G$1,'SJCPIL-R 16-318-03 - Noturno'!$B18:$AE18))</f>
        <v>0</v>
      </c>
      <c r="H20" s="11">
        <f t="array" ref="H20">SUM(IF('SJCPIL-R 16-318-03 - Noturno'!$B$3:$AE$3='Resumo de Falhas'!H$1,'SJCPIL-R 16-318-03 - Noturno'!$B18:$AE18))</f>
        <v>0</v>
      </c>
      <c r="I20" s="11">
        <f t="array" ref="I20">SUM(IF('SJCPIL-R 16-318-03 - Noturno'!$B$3:$AE$3='Resumo de Falhas'!I$1,'SJCPIL-R 16-318-03 - Noturno'!$B18:$AE18))</f>
        <v>0</v>
      </c>
      <c r="J20" s="11">
        <f t="array" ref="J20">SUM(IF('SJCPIL-R 16-318-03 - Noturno'!$B$3:$AE$3='Resumo de Falhas'!J$1,'SJCPIL-R 16-318-03 - Noturno'!$B18:$AE18))</f>
        <v>0</v>
      </c>
      <c r="K20" s="11">
        <f t="array" ref="K20">SUM(IF('SJCPIL-R 16-318-03 - Noturno'!$B$3:$AE$3='Resumo de Falhas'!K$1,'SJCPIL-R 16-318-03 - Noturno'!$B18:$AE18))</f>
        <v>0</v>
      </c>
      <c r="L20" s="11">
        <f t="array" ref="L20">SUM(IF('SJCPIL-R 16-318-03 - Noturno'!$B$3:$AE$3='Resumo de Falhas'!L$1,'SJCPIL-R 16-318-03 - Noturno'!$B18:$AE18))</f>
        <v>0</v>
      </c>
      <c r="M20" s="16">
        <f t="shared" si="5"/>
        <v>0</v>
      </c>
      <c r="N20" s="17" t="e">
        <f t="shared" si="6"/>
        <v>#DIV/0!</v>
      </c>
      <c r="O20" s="75">
        <f t="shared" si="4"/>
        <v>0</v>
      </c>
    </row>
    <row r="21" spans="1:16">
      <c r="A21" s="174"/>
      <c r="B21" s="64" t="s">
        <v>57</v>
      </c>
      <c r="C21" s="11">
        <f t="array" ref="C21">SUM(IF('SJCPIL-R 16-318-03 - Noturno'!$B$3:$AE$3='Resumo de Falhas'!C$1,'SJCPIL-R 16-318-03 - Noturno'!$B19:$AE19))</f>
        <v>0</v>
      </c>
      <c r="D21" s="11">
        <f t="array" ref="D21">SUM(IF('SJCPIL-R 16-318-03 - Noturno'!$B$3:$AE$3='Resumo de Falhas'!D$1,'SJCPIL-R 16-318-03 - Noturno'!$B19:$AE19))</f>
        <v>0</v>
      </c>
      <c r="E21" s="11">
        <f t="array" ref="E21">SUM(IF('SJCPIL-R 16-318-03 - Noturno'!$B$3:$AE$3='Resumo de Falhas'!E$1,'SJCPIL-R 16-318-03 - Noturno'!$B19:$AE19))</f>
        <v>0</v>
      </c>
      <c r="F21" s="11">
        <f t="array" ref="F21">SUM(IF('SJCPIL-R 16-318-03 - Noturno'!$B$3:$AE$3='Resumo de Falhas'!F$1,'SJCPIL-R 16-318-03 - Noturno'!$B19:$AE19))</f>
        <v>0</v>
      </c>
      <c r="G21" s="11">
        <f t="array" ref="G21">SUM(IF('SJCPIL-R 16-318-03 - Noturno'!$B$3:$AE$3='Resumo de Falhas'!G$1,'SJCPIL-R 16-318-03 - Noturno'!$B19:$AE19))</f>
        <v>0</v>
      </c>
      <c r="H21" s="11">
        <f t="array" ref="H21">SUM(IF('SJCPIL-R 16-318-03 - Noturno'!$B$3:$AE$3='Resumo de Falhas'!H$1,'SJCPIL-R 16-318-03 - Noturno'!$B19:$AE19))</f>
        <v>0</v>
      </c>
      <c r="I21" s="11">
        <f t="array" ref="I21">SUM(IF('SJCPIL-R 16-318-03 - Noturno'!$B$3:$AE$3='Resumo de Falhas'!I$1,'SJCPIL-R 16-318-03 - Noturno'!$B19:$AE19))</f>
        <v>0</v>
      </c>
      <c r="J21" s="11">
        <f t="array" ref="J21">SUM(IF('SJCPIL-R 16-318-03 - Noturno'!$B$3:$AE$3='Resumo de Falhas'!J$1,'SJCPIL-R 16-318-03 - Noturno'!$B19:$AE19))</f>
        <v>0</v>
      </c>
      <c r="K21" s="11">
        <f t="array" ref="K21">SUM(IF('SJCPIL-R 16-318-03 - Noturno'!$B$3:$AE$3='Resumo de Falhas'!K$1,'SJCPIL-R 16-318-03 - Noturno'!$B19:$AE19))</f>
        <v>0</v>
      </c>
      <c r="L21" s="11">
        <f t="array" ref="L21">SUM(IF('SJCPIL-R 16-318-03 - Noturno'!$B$3:$AE$3='Resumo de Falhas'!L$1,'SJCPIL-R 16-318-03 - Noturno'!$B19:$AE19))</f>
        <v>0</v>
      </c>
      <c r="M21" s="16">
        <f t="shared" si="5"/>
        <v>0</v>
      </c>
      <c r="N21" s="17" t="e">
        <f t="shared" si="6"/>
        <v>#DIV/0!</v>
      </c>
      <c r="O21" s="75">
        <f t="shared" si="4"/>
        <v>0</v>
      </c>
    </row>
    <row r="22" spans="1:16">
      <c r="A22" s="174"/>
      <c r="B22" s="64" t="s">
        <v>58</v>
      </c>
      <c r="C22" s="11">
        <f t="array" ref="C22">SUM(IF('SJCPIL-R 16-318-03 - Noturno'!$B$3:$AE$3='Resumo de Falhas'!C$1,'SJCPIL-R 16-318-03 - Noturno'!$B20:$AE20))</f>
        <v>0</v>
      </c>
      <c r="D22" s="11">
        <f t="array" ref="D22">SUM(IF('SJCPIL-R 16-318-03 - Noturno'!$B$3:$AE$3='Resumo de Falhas'!D$1,'SJCPIL-R 16-318-03 - Noturno'!$B20:$AE20))</f>
        <v>0</v>
      </c>
      <c r="E22" s="11">
        <f t="array" ref="E22">SUM(IF('SJCPIL-R 16-318-03 - Noturno'!$B$3:$AE$3='Resumo de Falhas'!E$1,'SJCPIL-R 16-318-03 - Noturno'!$B20:$AE20))</f>
        <v>0</v>
      </c>
      <c r="F22" s="11">
        <f t="array" ref="F22">SUM(IF('SJCPIL-R 16-318-03 - Noturno'!$B$3:$AE$3='Resumo de Falhas'!F$1,'SJCPIL-R 16-318-03 - Noturno'!$B20:$AE20))</f>
        <v>0</v>
      </c>
      <c r="G22" s="11">
        <f t="array" ref="G22">SUM(IF('SJCPIL-R 16-318-03 - Noturno'!$B$3:$AE$3='Resumo de Falhas'!G$1,'SJCPIL-R 16-318-03 - Noturno'!$B20:$AE20))</f>
        <v>0</v>
      </c>
      <c r="H22" s="11">
        <f t="array" ref="H22">SUM(IF('SJCPIL-R 16-318-03 - Noturno'!$B$3:$AE$3='Resumo de Falhas'!H$1,'SJCPIL-R 16-318-03 - Noturno'!$B20:$AE20))</f>
        <v>0</v>
      </c>
      <c r="I22" s="11">
        <f t="array" ref="I22">SUM(IF('SJCPIL-R 16-318-03 - Noturno'!$B$3:$AE$3='Resumo de Falhas'!I$1,'SJCPIL-R 16-318-03 - Noturno'!$B20:$AE20))</f>
        <v>0</v>
      </c>
      <c r="J22" s="11">
        <f t="array" ref="J22">SUM(IF('SJCPIL-R 16-318-03 - Noturno'!$B$3:$AE$3='Resumo de Falhas'!J$1,'SJCPIL-R 16-318-03 - Noturno'!$B20:$AE20))</f>
        <v>0</v>
      </c>
      <c r="K22" s="11">
        <f t="array" ref="K22">SUM(IF('SJCPIL-R 16-318-03 - Noturno'!$B$3:$AE$3='Resumo de Falhas'!K$1,'SJCPIL-R 16-318-03 - Noturno'!$B20:$AE20))</f>
        <v>0</v>
      </c>
      <c r="L22" s="11">
        <f t="array" ref="L22">SUM(IF('SJCPIL-R 16-318-03 - Noturno'!$B$3:$AE$3='Resumo de Falhas'!L$1,'SJCPIL-R 16-318-03 - Noturno'!$B20:$AE20))</f>
        <v>0</v>
      </c>
      <c r="M22" s="16">
        <f t="shared" si="5"/>
        <v>0</v>
      </c>
      <c r="N22" s="17" t="e">
        <f t="shared" si="6"/>
        <v>#DIV/0!</v>
      </c>
      <c r="O22" s="75">
        <f t="shared" si="4"/>
        <v>0</v>
      </c>
    </row>
    <row r="23" spans="1:16">
      <c r="A23" s="174"/>
      <c r="B23" s="64" t="s">
        <v>48</v>
      </c>
      <c r="C23" s="11">
        <f t="array" ref="C23">SUM(IF('SJCPIL-R 16-318-03 - Noturno'!$B$3:$AE$3='Resumo de Falhas'!C$1,'SJCPIL-R 16-318-03 - Noturno'!$B21:$AE21))</f>
        <v>0</v>
      </c>
      <c r="D23" s="11">
        <f t="array" ref="D23">SUM(IF('SJCPIL-R 16-318-03 - Noturno'!$B$3:$AE$3='Resumo de Falhas'!D$1,'SJCPIL-R 16-318-03 - Noturno'!$B21:$AE21))</f>
        <v>0</v>
      </c>
      <c r="E23" s="11">
        <f t="array" ref="E23">SUM(IF('SJCPIL-R 16-318-03 - Noturno'!$B$3:$AE$3='Resumo de Falhas'!E$1,'SJCPIL-R 16-318-03 - Noturno'!$B21:$AE21))</f>
        <v>0</v>
      </c>
      <c r="F23" s="11">
        <f t="array" ref="F23">SUM(IF('SJCPIL-R 16-318-03 - Noturno'!$B$3:$AE$3='Resumo de Falhas'!F$1,'SJCPIL-R 16-318-03 - Noturno'!$B21:$AE21))</f>
        <v>0</v>
      </c>
      <c r="G23" s="11">
        <f t="array" ref="G23">SUM(IF('SJCPIL-R 16-318-03 - Noturno'!$B$3:$AE$3='Resumo de Falhas'!G$1,'SJCPIL-R 16-318-03 - Noturno'!$B21:$AE21))</f>
        <v>0</v>
      </c>
      <c r="H23" s="11">
        <f t="array" ref="H23">SUM(IF('SJCPIL-R 16-318-03 - Noturno'!$B$3:$AE$3='Resumo de Falhas'!H$1,'SJCPIL-R 16-318-03 - Noturno'!$B21:$AE21))</f>
        <v>0</v>
      </c>
      <c r="I23" s="11">
        <f t="array" ref="I23">SUM(IF('SJCPIL-R 16-318-03 - Noturno'!$B$3:$AE$3='Resumo de Falhas'!I$1,'SJCPIL-R 16-318-03 - Noturno'!$B21:$AE21))</f>
        <v>0</v>
      </c>
      <c r="J23" s="11">
        <f t="array" ref="J23">SUM(IF('SJCPIL-R 16-318-03 - Noturno'!$B$3:$AE$3='Resumo de Falhas'!J$1,'SJCPIL-R 16-318-03 - Noturno'!$B21:$AE21))</f>
        <v>0</v>
      </c>
      <c r="K23" s="11">
        <f t="array" ref="K23">SUM(IF('SJCPIL-R 16-318-03 - Noturno'!$B$3:$AE$3='Resumo de Falhas'!K$1,'SJCPIL-R 16-318-03 - Noturno'!$B21:$AE21))</f>
        <v>0</v>
      </c>
      <c r="L23" s="11">
        <f t="array" ref="L23">SUM(IF('SJCPIL-R 16-318-03 - Noturno'!$B$3:$AE$3='Resumo de Falhas'!L$1,'SJCPIL-R 16-318-03 - Noturno'!$B21:$AE21))</f>
        <v>0</v>
      </c>
      <c r="M23" s="16">
        <f t="shared" si="5"/>
        <v>0</v>
      </c>
      <c r="N23" s="17" t="e">
        <f t="shared" si="6"/>
        <v>#DIV/0!</v>
      </c>
      <c r="O23" s="75">
        <f t="shared" si="4"/>
        <v>0</v>
      </c>
    </row>
    <row r="24" spans="1:16" ht="24">
      <c r="A24" s="174"/>
      <c r="B24" s="65" t="s">
        <v>49</v>
      </c>
      <c r="C24" s="11">
        <f t="array" ref="C24">SUM(IF('SJCPIL-R 16-318-03 - Noturno'!$B$3:$AE$3='Resumo de Falhas'!C$1,'SJCPIL-R 16-318-03 - Noturno'!$B22:$AE22))</f>
        <v>0</v>
      </c>
      <c r="D24" s="11">
        <f t="array" ref="D24">SUM(IF('SJCPIL-R 16-318-03 - Noturno'!$B$3:$AE$3='Resumo de Falhas'!D$1,'SJCPIL-R 16-318-03 - Noturno'!$B22:$AE22))</f>
        <v>0</v>
      </c>
      <c r="E24" s="11">
        <f t="array" ref="E24">SUM(IF('SJCPIL-R 16-318-03 - Noturno'!$B$3:$AE$3='Resumo de Falhas'!E$1,'SJCPIL-R 16-318-03 - Noturno'!$B22:$AE22))</f>
        <v>0</v>
      </c>
      <c r="F24" s="11">
        <f t="array" ref="F24">SUM(IF('SJCPIL-R 16-318-03 - Noturno'!$B$3:$AE$3='Resumo de Falhas'!F$1,'SJCPIL-R 16-318-03 - Noturno'!$B22:$AE22))</f>
        <v>0</v>
      </c>
      <c r="G24" s="11">
        <f t="array" ref="G24">SUM(IF('SJCPIL-R 16-318-03 - Noturno'!$B$3:$AE$3='Resumo de Falhas'!G$1,'SJCPIL-R 16-318-03 - Noturno'!$B22:$AE22))</f>
        <v>0</v>
      </c>
      <c r="H24" s="11">
        <f t="array" ref="H24">SUM(IF('SJCPIL-R 16-318-03 - Noturno'!$B$3:$AE$3='Resumo de Falhas'!H$1,'SJCPIL-R 16-318-03 - Noturno'!$B22:$AE22))</f>
        <v>0</v>
      </c>
      <c r="I24" s="11">
        <f t="array" ref="I24">SUM(IF('SJCPIL-R 16-318-03 - Noturno'!$B$3:$AE$3='Resumo de Falhas'!I$1,'SJCPIL-R 16-318-03 - Noturno'!$B22:$AE22))</f>
        <v>0</v>
      </c>
      <c r="J24" s="11">
        <f t="array" ref="J24">SUM(IF('SJCPIL-R 16-318-03 - Noturno'!$B$3:$AE$3='Resumo de Falhas'!J$1,'SJCPIL-R 16-318-03 - Noturno'!$B22:$AE22))</f>
        <v>0</v>
      </c>
      <c r="K24" s="11">
        <f t="array" ref="K24">SUM(IF('SJCPIL-R 16-318-03 - Noturno'!$B$3:$AE$3='Resumo de Falhas'!K$1,'SJCPIL-R 16-318-03 - Noturno'!$B22:$AE22))</f>
        <v>0</v>
      </c>
      <c r="L24" s="11">
        <f t="array" ref="L24">SUM(IF('SJCPIL-R 16-318-03 - Noturno'!$B$3:$AE$3='Resumo de Falhas'!L$1,'SJCPIL-R 16-318-03 - Noturno'!$B22:$AE22))</f>
        <v>0</v>
      </c>
      <c r="M24" s="16">
        <f t="shared" si="5"/>
        <v>0</v>
      </c>
      <c r="N24" s="17" t="e">
        <f t="shared" si="6"/>
        <v>#DIV/0!</v>
      </c>
      <c r="O24" s="75">
        <f t="shared" si="4"/>
        <v>0</v>
      </c>
    </row>
    <row r="25" spans="1:16">
      <c r="A25" s="174"/>
      <c r="B25" s="64" t="s">
        <v>50</v>
      </c>
      <c r="C25" s="11">
        <f t="array" ref="C25">SUM(IF('SJCPIL-R 16-318-03 - Noturno'!$B$3:$AE$3='Resumo de Falhas'!C$1,'SJCPIL-R 16-318-03 - Noturno'!$B23:$AE23))</f>
        <v>0</v>
      </c>
      <c r="D25" s="11">
        <f t="array" ref="D25">SUM(IF('SJCPIL-R 16-318-03 - Noturno'!$B$3:$AE$3='Resumo de Falhas'!D$1,'SJCPIL-R 16-318-03 - Noturno'!$B23:$AE23))</f>
        <v>0</v>
      </c>
      <c r="E25" s="11">
        <f t="array" ref="E25">SUM(IF('SJCPIL-R 16-318-03 - Noturno'!$B$3:$AE$3='Resumo de Falhas'!E$1,'SJCPIL-R 16-318-03 - Noturno'!$B23:$AE23))</f>
        <v>0</v>
      </c>
      <c r="F25" s="11">
        <f t="array" ref="F25">SUM(IF('SJCPIL-R 16-318-03 - Noturno'!$B$3:$AE$3='Resumo de Falhas'!F$1,'SJCPIL-R 16-318-03 - Noturno'!$B23:$AE23))</f>
        <v>0</v>
      </c>
      <c r="G25" s="11">
        <f t="array" ref="G25">SUM(IF('SJCPIL-R 16-318-03 - Noturno'!$B$3:$AE$3='Resumo de Falhas'!G$1,'SJCPIL-R 16-318-03 - Noturno'!$B23:$AE23))</f>
        <v>0</v>
      </c>
      <c r="H25" s="11">
        <f t="array" ref="H25">SUM(IF('SJCPIL-R 16-318-03 - Noturno'!$B$3:$AE$3='Resumo de Falhas'!H$1,'SJCPIL-R 16-318-03 - Noturno'!$B23:$AE23))</f>
        <v>0</v>
      </c>
      <c r="I25" s="11">
        <f t="array" ref="I25">SUM(IF('SJCPIL-R 16-318-03 - Noturno'!$B$3:$AE$3='Resumo de Falhas'!I$1,'SJCPIL-R 16-318-03 - Noturno'!$B23:$AE23))</f>
        <v>0</v>
      </c>
      <c r="J25" s="11">
        <f t="array" ref="J25">SUM(IF('SJCPIL-R 16-318-03 - Noturno'!$B$3:$AE$3='Resumo de Falhas'!J$1,'SJCPIL-R 16-318-03 - Noturno'!$B23:$AE23))</f>
        <v>0</v>
      </c>
      <c r="K25" s="11">
        <f t="array" ref="K25">SUM(IF('SJCPIL-R 16-318-03 - Noturno'!$B$3:$AE$3='Resumo de Falhas'!K$1,'SJCPIL-R 16-318-03 - Noturno'!$B23:$AE23))</f>
        <v>0</v>
      </c>
      <c r="L25" s="11">
        <f t="array" ref="L25">SUM(IF('SJCPIL-R 16-318-03 - Noturno'!$B$3:$AE$3='Resumo de Falhas'!L$1,'SJCPIL-R 16-318-03 - Noturno'!$B23:$AE23))</f>
        <v>0</v>
      </c>
      <c r="M25" s="16">
        <f t="shared" si="5"/>
        <v>0</v>
      </c>
      <c r="N25" s="17" t="e">
        <f t="shared" si="6"/>
        <v>#DIV/0!</v>
      </c>
      <c r="O25" s="75">
        <f t="shared" si="4"/>
        <v>0</v>
      </c>
    </row>
    <row r="26" spans="1:16">
      <c r="A26" s="174"/>
      <c r="B26" s="127" t="s">
        <v>67</v>
      </c>
      <c r="C26" s="11">
        <f t="array" ref="C26">SUM(IF('SJCPIL-R 16-318-03 - Noturno'!$B$3:$AE$3='Resumo de Falhas'!C$1,'SJCPIL-R 16-318-03 - Noturno'!$B24:$AE24))</f>
        <v>0</v>
      </c>
      <c r="D26" s="11">
        <f t="array" ref="D26">SUM(IF('SJCPIL-R 16-318-03 - Noturno'!$B$3:$AE$3='Resumo de Falhas'!D$1,'SJCPIL-R 16-318-03 - Noturno'!$B24:$AE24))</f>
        <v>0</v>
      </c>
      <c r="E26" s="11">
        <f t="array" ref="E26">SUM(IF('SJCPIL-R 16-318-03 - Noturno'!$B$3:$AE$3='Resumo de Falhas'!E$1,'SJCPIL-R 16-318-03 - Noturno'!$B24:$AE24))</f>
        <v>0</v>
      </c>
      <c r="F26" s="11">
        <f t="array" ref="F26">SUM(IF('SJCPIL-R 16-318-03 - Noturno'!$B$3:$AE$3='Resumo de Falhas'!F$1,'SJCPIL-R 16-318-03 - Noturno'!$B24:$AE24))</f>
        <v>0</v>
      </c>
      <c r="G26" s="11">
        <f t="array" ref="G26">SUM(IF('SJCPIL-R 16-318-03 - Noturno'!$B$3:$AE$3='Resumo de Falhas'!G$1,'SJCPIL-R 16-318-03 - Noturno'!$B24:$AE24))</f>
        <v>0</v>
      </c>
      <c r="H26" s="11">
        <f t="array" ref="H26">SUM(IF('SJCPIL-R 16-318-03 - Noturno'!$B$3:$AE$3='Resumo de Falhas'!H$1,'SJCPIL-R 16-318-03 - Noturno'!$B24:$AE24))</f>
        <v>0</v>
      </c>
      <c r="I26" s="11">
        <f t="array" ref="I26">SUM(IF('SJCPIL-R 16-318-03 - Noturno'!$B$3:$AE$3='Resumo de Falhas'!I$1,'SJCPIL-R 16-318-03 - Noturno'!$B24:$AE24))</f>
        <v>0</v>
      </c>
      <c r="J26" s="11">
        <f t="array" ref="J26">SUM(IF('SJCPIL-R 16-318-03 - Noturno'!$B$3:$AE$3='Resumo de Falhas'!J$1,'SJCPIL-R 16-318-03 - Noturno'!$B24:$AE24))</f>
        <v>0</v>
      </c>
      <c r="K26" s="11">
        <f t="array" ref="K26">SUM(IF('SJCPIL-R 16-318-03 - Noturno'!$B$3:$AE$3='Resumo de Falhas'!K$1,'SJCPIL-R 16-318-03 - Noturno'!$B24:$AE24))</f>
        <v>0</v>
      </c>
      <c r="L26" s="11">
        <f t="array" ref="L26">SUM(IF('SJCPIL-R 16-318-03 - Noturno'!$B$3:$AE$3='Resumo de Falhas'!L$1,'SJCPIL-R 16-318-03 - Noturno'!$B24:$AE24))</f>
        <v>0</v>
      </c>
      <c r="M26" s="16">
        <f t="shared" ref="M26:M31" si="7">SUM(C26:L26)</f>
        <v>0</v>
      </c>
      <c r="N26" s="17" t="e">
        <f>M26/M$16*1000000</f>
        <v>#DIV/0!</v>
      </c>
      <c r="O26" s="75">
        <f t="shared" si="4"/>
        <v>0</v>
      </c>
    </row>
    <row r="27" spans="1:16">
      <c r="A27" s="174"/>
      <c r="B27" s="33" t="s">
        <v>5</v>
      </c>
      <c r="C27" s="11">
        <f t="array" ref="C27">SUM(IF('SJCPIL-R 16-318-03 - Noturno'!$B$3:$AE$3='Resumo de Falhas'!C$1,'SJCPIL-R 16-318-03 - Noturno'!$B25:$AE25))</f>
        <v>0</v>
      </c>
      <c r="D27" s="11">
        <f t="array" ref="D27">SUM(IF('SJCPIL-R 16-318-03 - Noturno'!$B$3:$AE$3='Resumo de Falhas'!D$1,'SJCPIL-R 16-318-03 - Noturno'!$B25:$AE25))</f>
        <v>0</v>
      </c>
      <c r="E27" s="11">
        <f t="array" ref="E27">SUM(IF('SJCPIL-R 16-318-03 - Noturno'!$B$3:$AE$3='Resumo de Falhas'!E$1,'SJCPIL-R 16-318-03 - Noturno'!$B25:$AE25))</f>
        <v>0</v>
      </c>
      <c r="F27" s="11">
        <f t="array" ref="F27">SUM(IF('SJCPIL-R 16-318-03 - Noturno'!$B$3:$AE$3='Resumo de Falhas'!F$1,'SJCPIL-R 16-318-03 - Noturno'!$B25:$AE25))</f>
        <v>0</v>
      </c>
      <c r="G27" s="11">
        <f t="array" ref="G27">SUM(IF('SJCPIL-R 16-318-03 - Noturno'!$B$3:$AE$3='Resumo de Falhas'!G$1,'SJCPIL-R 16-318-03 - Noturno'!$B25:$AE25))</f>
        <v>0</v>
      </c>
      <c r="H27" s="11">
        <f t="array" ref="H27">SUM(IF('SJCPIL-R 16-318-03 - Noturno'!$B$3:$AE$3='Resumo de Falhas'!H$1,'SJCPIL-R 16-318-03 - Noturno'!$B25:$AE25))</f>
        <v>0</v>
      </c>
      <c r="I27" s="11">
        <f t="array" ref="I27">SUM(IF('SJCPIL-R 16-318-03 - Noturno'!$B$3:$AE$3='Resumo de Falhas'!I$1,'SJCPIL-R 16-318-03 - Noturno'!$B25:$AE25))</f>
        <v>0</v>
      </c>
      <c r="J27" s="11">
        <f t="array" ref="J27">SUM(IF('SJCPIL-R 16-318-03 - Noturno'!$B$3:$AE$3='Resumo de Falhas'!J$1,'SJCPIL-R 16-318-03 - Noturno'!$B25:$AE25))</f>
        <v>0</v>
      </c>
      <c r="K27" s="11">
        <f t="array" ref="K27">SUM(IF('SJCPIL-R 16-318-03 - Noturno'!$B$3:$AE$3='Resumo de Falhas'!K$1,'SJCPIL-R 16-318-03 - Noturno'!$B25:$AE25))</f>
        <v>0</v>
      </c>
      <c r="L27" s="11">
        <f t="array" ref="L27">SUM(IF('SJCPIL-R 16-318-03 - Noturno'!$B$3:$AE$3='Resumo de Falhas'!L$1,'SJCPIL-R 16-318-03 - Noturno'!$B25:$AE25))</f>
        <v>0</v>
      </c>
      <c r="M27" s="16">
        <f t="shared" si="7"/>
        <v>0</v>
      </c>
      <c r="N27" s="17" t="e">
        <f>M27/M$16*1000000</f>
        <v>#DIV/0!</v>
      </c>
      <c r="O27" s="75">
        <f t="shared" si="4"/>
        <v>0</v>
      </c>
    </row>
    <row r="28" spans="1:16">
      <c r="A28" s="175"/>
      <c r="B28" s="41" t="s">
        <v>6</v>
      </c>
      <c r="C28" s="11">
        <f t="array" ref="C28">SUM(IF('SJCPIL-R 16-318-03 - Noturno'!$B$3:$AE$3='Resumo de Falhas'!C$1,'SJCPIL-R 16-318-03 - Noturno'!$B26:$AE26))</f>
        <v>0</v>
      </c>
      <c r="D28" s="11">
        <f t="array" ref="D28">SUM(IF('SJCPIL-R 16-318-03 - Noturno'!$B$3:$AE$3='Resumo de Falhas'!D$1,'SJCPIL-R 16-318-03 - Noturno'!$B26:$AE26))</f>
        <v>0</v>
      </c>
      <c r="E28" s="11">
        <f t="array" ref="E28">SUM(IF('SJCPIL-R 16-318-03 - Noturno'!$B$3:$AE$3='Resumo de Falhas'!E$1,'SJCPIL-R 16-318-03 - Noturno'!$B26:$AE26))</f>
        <v>0</v>
      </c>
      <c r="F28" s="11">
        <f t="array" ref="F28">SUM(IF('SJCPIL-R 16-318-03 - Noturno'!$B$3:$AE$3='Resumo de Falhas'!F$1,'SJCPIL-R 16-318-03 - Noturno'!$B26:$AE26))</f>
        <v>0</v>
      </c>
      <c r="G28" s="11">
        <f t="array" ref="G28">SUM(IF('SJCPIL-R 16-318-03 - Noturno'!$B$3:$AE$3='Resumo de Falhas'!G$1,'SJCPIL-R 16-318-03 - Noturno'!$B26:$AE26))</f>
        <v>0</v>
      </c>
      <c r="H28" s="11">
        <f t="array" ref="H28">SUM(IF('SJCPIL-R 16-318-03 - Noturno'!$B$3:$AE$3='Resumo de Falhas'!H$1,'SJCPIL-R 16-318-03 - Noturno'!$B26:$AE26))</f>
        <v>0</v>
      </c>
      <c r="I28" s="11">
        <f t="array" ref="I28">SUM(IF('SJCPIL-R 16-318-03 - Noturno'!$B$3:$AE$3='Resumo de Falhas'!I$1,'SJCPIL-R 16-318-03 - Noturno'!$B26:$AE26))</f>
        <v>0</v>
      </c>
      <c r="J28" s="11">
        <f t="array" ref="J28">SUM(IF('SJCPIL-R 16-318-03 - Noturno'!$B$3:$AE$3='Resumo de Falhas'!J$1,'SJCPIL-R 16-318-03 - Noturno'!$B26:$AE26))</f>
        <v>0</v>
      </c>
      <c r="K28" s="11">
        <f t="array" ref="K28">SUM(IF('SJCPIL-R 16-318-03 - Noturno'!$B$3:$AE$3='Resumo de Falhas'!K$1,'SJCPIL-R 16-318-03 - Noturno'!$B26:$AE26))</f>
        <v>0</v>
      </c>
      <c r="L28" s="11">
        <f t="array" ref="L28">SUM(IF('SJCPIL-R 16-318-03 - Noturno'!$B$3:$AE$3='Resumo de Falhas'!L$1,'SJCPIL-R 16-318-03 - Noturno'!$B26:$AE26))</f>
        <v>0</v>
      </c>
      <c r="M28" s="16">
        <f t="shared" si="7"/>
        <v>0</v>
      </c>
      <c r="N28" s="17" t="e">
        <f>M28/M$16*1000000</f>
        <v>#DIV/0!</v>
      </c>
      <c r="O28" s="75">
        <f>M28+M14</f>
        <v>0</v>
      </c>
    </row>
    <row r="29" spans="1:16" ht="13.5" thickBot="1">
      <c r="A29" s="176"/>
      <c r="B29" s="36" t="s">
        <v>11</v>
      </c>
      <c r="C29" s="19">
        <f t="shared" ref="C29:L29" si="8">SUM(C17:C28)</f>
        <v>0</v>
      </c>
      <c r="D29" s="19">
        <f t="shared" si="8"/>
        <v>0</v>
      </c>
      <c r="E29" s="19">
        <f t="shared" si="8"/>
        <v>0</v>
      </c>
      <c r="F29" s="19">
        <f t="shared" si="8"/>
        <v>0</v>
      </c>
      <c r="G29" s="19">
        <f t="shared" si="8"/>
        <v>0</v>
      </c>
      <c r="H29" s="19">
        <f t="shared" si="8"/>
        <v>0</v>
      </c>
      <c r="I29" s="19">
        <f t="shared" si="8"/>
        <v>0</v>
      </c>
      <c r="J29" s="19">
        <f t="shared" si="8"/>
        <v>0</v>
      </c>
      <c r="K29" s="19">
        <f t="shared" si="8"/>
        <v>0</v>
      </c>
      <c r="L29" s="19">
        <f t="shared" si="8"/>
        <v>0</v>
      </c>
      <c r="M29" s="16">
        <f t="shared" si="7"/>
        <v>0</v>
      </c>
      <c r="N29" s="17" t="e">
        <f>M29/M$16*1000000</f>
        <v>#DIV/0!</v>
      </c>
      <c r="O29" s="75">
        <f>M29+M15</f>
        <v>0</v>
      </c>
      <c r="P29" s="76" t="e">
        <f>O29/M30*1000000</f>
        <v>#DIV/0!</v>
      </c>
    </row>
    <row r="30" spans="1:16">
      <c r="A30" s="177" t="s">
        <v>13</v>
      </c>
      <c r="B30" s="178"/>
      <c r="C30" s="20">
        <f t="shared" ref="C30:L30" si="9">C2+C16</f>
        <v>0</v>
      </c>
      <c r="D30" s="20">
        <f t="shared" si="9"/>
        <v>0</v>
      </c>
      <c r="E30" s="20">
        <f t="shared" si="9"/>
        <v>0</v>
      </c>
      <c r="F30" s="20">
        <f t="shared" si="9"/>
        <v>0</v>
      </c>
      <c r="G30" s="20">
        <f t="shared" si="9"/>
        <v>0</v>
      </c>
      <c r="H30" s="20">
        <f t="shared" si="9"/>
        <v>0</v>
      </c>
      <c r="I30" s="20">
        <f t="shared" si="9"/>
        <v>0</v>
      </c>
      <c r="J30" s="20">
        <f t="shared" si="9"/>
        <v>0</v>
      </c>
      <c r="K30" s="20">
        <f t="shared" si="9"/>
        <v>0</v>
      </c>
      <c r="L30" s="21">
        <f t="shared" si="9"/>
        <v>0</v>
      </c>
      <c r="M30" s="22">
        <f t="shared" si="7"/>
        <v>0</v>
      </c>
      <c r="N30" s="23"/>
    </row>
    <row r="31" spans="1:16" ht="13.5" thickBot="1">
      <c r="A31" s="179" t="s">
        <v>14</v>
      </c>
      <c r="B31" s="180"/>
      <c r="C31" s="18">
        <f t="shared" ref="C31:L31" si="10">C15+C29</f>
        <v>0</v>
      </c>
      <c r="D31" s="18">
        <f t="shared" si="10"/>
        <v>0</v>
      </c>
      <c r="E31" s="18">
        <f t="shared" si="10"/>
        <v>0</v>
      </c>
      <c r="F31" s="18">
        <f t="shared" si="10"/>
        <v>0</v>
      </c>
      <c r="G31" s="18">
        <f t="shared" si="10"/>
        <v>0</v>
      </c>
      <c r="H31" s="18">
        <f t="shared" si="10"/>
        <v>0</v>
      </c>
      <c r="I31" s="18">
        <f t="shared" si="10"/>
        <v>0</v>
      </c>
      <c r="J31" s="24">
        <f t="shared" si="10"/>
        <v>0</v>
      </c>
      <c r="K31" s="18">
        <f t="shared" si="10"/>
        <v>0</v>
      </c>
      <c r="L31" s="25">
        <f t="shared" si="10"/>
        <v>0</v>
      </c>
      <c r="M31" s="26">
        <f t="shared" si="7"/>
        <v>0</v>
      </c>
      <c r="N31" s="27" t="e">
        <f>M31/M30*1000000</f>
        <v>#DIV/0!</v>
      </c>
    </row>
    <row r="32" spans="1:16" ht="13.5" thickBot="1"/>
    <row r="33" spans="1:7">
      <c r="A33" s="181" t="s">
        <v>15</v>
      </c>
      <c r="B33" s="182"/>
      <c r="C33" s="28" t="s">
        <v>18</v>
      </c>
      <c r="D33" s="37" t="s">
        <v>21</v>
      </c>
      <c r="E33" s="71" t="s">
        <v>0</v>
      </c>
      <c r="F33" s="28" t="s">
        <v>12</v>
      </c>
      <c r="G33" s="72" t="s">
        <v>25</v>
      </c>
    </row>
    <row r="34" spans="1:7">
      <c r="A34" s="171" t="s">
        <v>16</v>
      </c>
      <c r="B34" s="172"/>
      <c r="C34" s="29" t="s">
        <v>19</v>
      </c>
      <c r="D34" s="38">
        <f>SUM(C30:L30)</f>
        <v>0</v>
      </c>
      <c r="E34" s="15">
        <f>M2</f>
        <v>0</v>
      </c>
      <c r="F34" s="15">
        <f>M16</f>
        <v>0</v>
      </c>
      <c r="G34" s="39">
        <f>M2+M16-E34-F34</f>
        <v>0</v>
      </c>
    </row>
    <row r="35" spans="1:7">
      <c r="A35" s="171" t="s">
        <v>17</v>
      </c>
      <c r="B35" s="172"/>
      <c r="C35" s="29" t="s">
        <v>19</v>
      </c>
      <c r="D35" s="38">
        <f>SUM(C31:L31)</f>
        <v>0</v>
      </c>
      <c r="E35" s="42">
        <f>SUM('SJCPIL-R 16-318-03 - Diurno'!B27:AE27)</f>
        <v>0</v>
      </c>
      <c r="F35" s="42">
        <f>SUM('SJCPIL-R 16-318-03 - Noturno'!B27:AE27)</f>
        <v>0</v>
      </c>
      <c r="G35" s="39">
        <f>M15+M29-E35-F35</f>
        <v>0</v>
      </c>
    </row>
    <row r="36" spans="1:7" ht="13.5" thickBot="1">
      <c r="A36" s="169" t="s">
        <v>17</v>
      </c>
      <c r="B36" s="170"/>
      <c r="C36" s="30" t="s">
        <v>23</v>
      </c>
      <c r="D36" s="62" t="str">
        <f>IF(ISERR(D35/D34)," ",D35/D34*1000000)</f>
        <v xml:space="preserve"> </v>
      </c>
      <c r="E36" s="73"/>
      <c r="F36" s="73"/>
      <c r="G36" s="40"/>
    </row>
    <row r="37" spans="1:7">
      <c r="C37" s="43"/>
      <c r="D37" s="44">
        <f>'SJCPIL-R 16-318-03 - Diurno'!B33</f>
        <v>540</v>
      </c>
    </row>
  </sheetData>
  <sheetProtection algorithmName="SHA-512" hashValue="pkIhkBozSFEiaIEZ5vGHPszHcjz9+lEYevW5E2vFzU5ADaXBeQJKtPe+iLudkS4d1C3ZHtgXIC16y7j9Z1Up4A==" saltValue="ZxrBpViMcgGIdUCtcys48w==" spinCount="100000" sheet="1" objects="1" scenarios="1" selectLockedCells="1"/>
  <mergeCells count="8">
    <mergeCell ref="A36:B36"/>
    <mergeCell ref="A35:B35"/>
    <mergeCell ref="A34:B34"/>
    <mergeCell ref="A2:A15"/>
    <mergeCell ref="A16:A29"/>
    <mergeCell ref="A30:B30"/>
    <mergeCell ref="A31:B31"/>
    <mergeCell ref="A33:B33"/>
  </mergeCells>
  <phoneticPr fontId="0" type="noConversion"/>
  <conditionalFormatting sqref="G34">
    <cfRule type="cellIs" dxfId="2" priority="1" stopIfTrue="1" operator="notEqual">
      <formula>0</formula>
    </cfRule>
  </conditionalFormatting>
  <conditionalFormatting sqref="G35">
    <cfRule type="cellIs" dxfId="1" priority="2" stopIfTrue="1" operator="notEqual">
      <formula>0</formula>
    </cfRule>
  </conditionalFormatting>
  <conditionalFormatting sqref="D36">
    <cfRule type="cellIs" dxfId="0" priority="3" stopIfTrue="1" operator="greaterThanOrEqual">
      <formula>$D$37</formula>
    </cfRule>
  </conditionalFormatting>
  <pageMargins left="0.78740157499999996" right="0.78740157499999996" top="1.1299999999999999" bottom="0.984251969" header="0.49212598499999999" footer="0.49212598499999999"/>
  <pageSetup paperSize="9" scale="80" orientation="landscape" r:id="rId1"/>
  <headerFooter alignWithMargins="0">
    <oddHeader>&amp;L&amp;"SwitzerlandBlack,Negrito"&amp;16Panasonic
&amp;"Arial,Negrito"&amp;9PILHAS / BATERIAS&amp;C&amp;"Arial,Negrito"&amp;14RESUMO DE FALHAS UM-1</oddHeader>
    <oddFooter>&amp;L&amp;A&amp;R&amp;F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"/>
  <dimension ref="A1:J32"/>
  <sheetViews>
    <sheetView tabSelected="1" zoomScaleNormal="100" workbookViewId="0">
      <selection activeCell="Q10" sqref="Q10"/>
    </sheetView>
  </sheetViews>
  <sheetFormatPr defaultRowHeight="12.75"/>
  <cols>
    <col min="2" max="2" width="19.7109375" bestFit="1" customWidth="1"/>
    <col min="3" max="3" width="11.7109375" bestFit="1" customWidth="1"/>
    <col min="4" max="8" width="11.7109375" customWidth="1"/>
    <col min="9" max="9" width="9.28515625" bestFit="1" customWidth="1"/>
  </cols>
  <sheetData>
    <row r="1" spans="1:10">
      <c r="A1" s="52" t="s">
        <v>34</v>
      </c>
      <c r="B1" s="45" t="s">
        <v>8</v>
      </c>
      <c r="C1" s="45" t="s">
        <v>26</v>
      </c>
      <c r="D1" s="45" t="s">
        <v>27</v>
      </c>
      <c r="E1" s="45" t="s">
        <v>22</v>
      </c>
      <c r="F1" s="45" t="s">
        <v>20</v>
      </c>
      <c r="G1" s="183" t="s">
        <v>28</v>
      </c>
      <c r="H1" s="183"/>
      <c r="I1" s="45" t="s">
        <v>23</v>
      </c>
      <c r="J1" s="146" t="s">
        <v>72</v>
      </c>
    </row>
    <row r="2" spans="1:10" ht="13.5" customHeight="1">
      <c r="A2" s="42"/>
      <c r="B2" s="46" t="s">
        <v>10</v>
      </c>
      <c r="C2" s="15">
        <f>'Resumo de Falhas'!M2</f>
        <v>0</v>
      </c>
      <c r="D2" s="15">
        <f>'Resumo de Falhas'!$M$16</f>
        <v>0</v>
      </c>
      <c r="E2" s="15">
        <f>D2+C2</f>
        <v>0</v>
      </c>
      <c r="F2" s="15"/>
      <c r="G2" s="47" t="s">
        <v>29</v>
      </c>
      <c r="H2" s="47" t="s">
        <v>20</v>
      </c>
      <c r="I2" s="48"/>
      <c r="J2" s="42"/>
    </row>
    <row r="3" spans="1:10">
      <c r="A3" s="42">
        <v>1</v>
      </c>
      <c r="B3" s="49" t="str">
        <f>VLOOKUP($H18,$A$17:$E$29,2,0)</f>
        <v>SHRINK</v>
      </c>
      <c r="C3" s="50">
        <f>VLOOKUP($H18,$A$17:$E$29,3,0)</f>
        <v>0</v>
      </c>
      <c r="D3" s="50">
        <f>VLOOKUP($H18,$A$17:$E$29,4,0)</f>
        <v>0</v>
      </c>
      <c r="E3" s="50">
        <f>VLOOKUP($H18,$A$17:$E$29,5,0)</f>
        <v>0</v>
      </c>
      <c r="F3" s="15" t="e">
        <f>E3/E$15*100</f>
        <v>#DIV/0!</v>
      </c>
      <c r="G3" s="15">
        <f>E3</f>
        <v>0</v>
      </c>
      <c r="H3" s="15" t="e">
        <f t="shared" ref="H3:H11" si="0">G3/E$15*100</f>
        <v>#DIV/0!</v>
      </c>
      <c r="I3" s="15" t="e">
        <f>E3/E$2*1000000</f>
        <v>#DIV/0!</v>
      </c>
      <c r="J3" s="103" t="e">
        <f t="shared" ref="J3:J15" si="1">IF(($I$16&gt;TARGET)*(H3&lt;80),I3,0)</f>
        <v>#DIV/0!</v>
      </c>
    </row>
    <row r="4" spans="1:10">
      <c r="A4" s="42">
        <v>2</v>
      </c>
      <c r="B4" s="49" t="str">
        <f t="shared" ref="B4:B14" si="2">VLOOKUP($H19,$A$17:$E$29,2,0)</f>
        <v>FUNDO SUJO</v>
      </c>
      <c r="C4" s="50">
        <f t="shared" ref="C4:C14" si="3">VLOOKUP($H19,$A$17:$E$29,3,0)</f>
        <v>0</v>
      </c>
      <c r="D4" s="50">
        <f t="shared" ref="D4:D14" si="4">VLOOKUP($H19,$A$17:$E$29,4,0)</f>
        <v>0</v>
      </c>
      <c r="E4" s="50">
        <f t="shared" ref="E4:E14" si="5">VLOOKUP($H19,$A$17:$E$29,5,0)</f>
        <v>0</v>
      </c>
      <c r="F4" s="15" t="e">
        <f t="shared" ref="F4:F14" si="6">E4/E$15*100</f>
        <v>#DIV/0!</v>
      </c>
      <c r="G4" s="15">
        <f>E4+G3</f>
        <v>0</v>
      </c>
      <c r="H4" s="15" t="e">
        <f t="shared" si="0"/>
        <v>#DIV/0!</v>
      </c>
      <c r="I4" s="15" t="e">
        <f t="shared" ref="I4:I14" si="7">E4/E$2*1000000</f>
        <v>#DIV/0!</v>
      </c>
      <c r="J4" s="103" t="e">
        <f t="shared" si="1"/>
        <v>#DIV/0!</v>
      </c>
    </row>
    <row r="5" spans="1:10">
      <c r="A5" s="42">
        <v>3</v>
      </c>
      <c r="B5" s="49" t="str">
        <f t="shared" si="2"/>
        <v>S/ BOTTOM PLATE</v>
      </c>
      <c r="C5" s="50">
        <f t="shared" si="3"/>
        <v>0</v>
      </c>
      <c r="D5" s="50">
        <f t="shared" si="4"/>
        <v>0</v>
      </c>
      <c r="E5" s="50">
        <f t="shared" si="5"/>
        <v>0</v>
      </c>
      <c r="F5" s="15" t="e">
        <f t="shared" si="6"/>
        <v>#DIV/0!</v>
      </c>
      <c r="G5" s="15">
        <f t="shared" ref="G5:G14" si="8">E5+G4</f>
        <v>0</v>
      </c>
      <c r="H5" s="15" t="e">
        <f t="shared" si="0"/>
        <v>#DIV/0!</v>
      </c>
      <c r="I5" s="15" t="e">
        <f t="shared" si="7"/>
        <v>#DIV/0!</v>
      </c>
      <c r="J5" s="103" t="e">
        <f t="shared" si="1"/>
        <v>#DIV/0!</v>
      </c>
    </row>
    <row r="6" spans="1:10">
      <c r="A6" s="42">
        <v>4</v>
      </c>
      <c r="B6" s="49" t="str">
        <f t="shared" si="2"/>
        <v>S/ ARRUELA / ARR. DESLOCADA</v>
      </c>
      <c r="C6" s="50">
        <f t="shared" si="3"/>
        <v>0</v>
      </c>
      <c r="D6" s="50">
        <f t="shared" si="4"/>
        <v>0</v>
      </c>
      <c r="E6" s="50">
        <f t="shared" si="5"/>
        <v>0</v>
      </c>
      <c r="F6" s="15" t="e">
        <f t="shared" si="6"/>
        <v>#DIV/0!</v>
      </c>
      <c r="G6" s="15">
        <f t="shared" si="8"/>
        <v>0</v>
      </c>
      <c r="H6" s="15" t="e">
        <f t="shared" si="0"/>
        <v>#DIV/0!</v>
      </c>
      <c r="I6" s="15" t="e">
        <f t="shared" si="7"/>
        <v>#DIV/0!</v>
      </c>
      <c r="J6" s="103" t="e">
        <f t="shared" si="1"/>
        <v>#DIV/0!</v>
      </c>
    </row>
    <row r="7" spans="1:10">
      <c r="A7" s="42">
        <v>5</v>
      </c>
      <c r="B7" s="49" t="str">
        <f t="shared" si="2"/>
        <v>DEFEITO BLINDAGEM</v>
      </c>
      <c r="C7" s="50">
        <f t="shared" si="3"/>
        <v>0</v>
      </c>
      <c r="D7" s="50">
        <f t="shared" si="4"/>
        <v>0</v>
      </c>
      <c r="E7" s="50">
        <f t="shared" si="5"/>
        <v>0</v>
      </c>
      <c r="F7" s="15" t="e">
        <f t="shared" si="6"/>
        <v>#DIV/0!</v>
      </c>
      <c r="G7" s="15">
        <f t="shared" si="8"/>
        <v>0</v>
      </c>
      <c r="H7" s="15" t="e">
        <f t="shared" si="0"/>
        <v>#DIV/0!</v>
      </c>
      <c r="I7" s="15" t="e">
        <f t="shared" si="7"/>
        <v>#DIV/0!</v>
      </c>
      <c r="J7" s="103" t="e">
        <f t="shared" si="1"/>
        <v>#DIV/0!</v>
      </c>
    </row>
    <row r="8" spans="1:10">
      <c r="A8" s="42">
        <v>6</v>
      </c>
      <c r="B8" s="49" t="str">
        <f t="shared" si="2"/>
        <v>CH. MANCHADA</v>
      </c>
      <c r="C8" s="50">
        <f t="shared" si="3"/>
        <v>0</v>
      </c>
      <c r="D8" s="50">
        <f t="shared" si="4"/>
        <v>0</v>
      </c>
      <c r="E8" s="50">
        <f t="shared" si="5"/>
        <v>0</v>
      </c>
      <c r="F8" s="15" t="e">
        <f t="shared" si="6"/>
        <v>#DIV/0!</v>
      </c>
      <c r="G8" s="15">
        <f t="shared" si="8"/>
        <v>0</v>
      </c>
      <c r="H8" s="15" t="e">
        <f t="shared" si="0"/>
        <v>#DIV/0!</v>
      </c>
      <c r="I8" s="15" t="e">
        <f t="shared" si="7"/>
        <v>#DIV/0!</v>
      </c>
      <c r="J8" s="103" t="e">
        <f t="shared" si="1"/>
        <v>#DIV/0!</v>
      </c>
    </row>
    <row r="9" spans="1:10">
      <c r="A9" s="42">
        <v>7</v>
      </c>
      <c r="B9" s="49" t="str">
        <f t="shared" si="2"/>
        <v>CH. RISCADA</v>
      </c>
      <c r="C9" s="50">
        <f t="shared" si="3"/>
        <v>0</v>
      </c>
      <c r="D9" s="50">
        <f t="shared" si="4"/>
        <v>0</v>
      </c>
      <c r="E9" s="50">
        <f t="shared" si="5"/>
        <v>0</v>
      </c>
      <c r="F9" s="15" t="e">
        <f t="shared" si="6"/>
        <v>#DIV/0!</v>
      </c>
      <c r="G9" s="15">
        <f t="shared" si="8"/>
        <v>0</v>
      </c>
      <c r="H9" s="15" t="e">
        <f t="shared" si="0"/>
        <v>#DIV/0!</v>
      </c>
      <c r="I9" s="15" t="e">
        <f t="shared" si="7"/>
        <v>#DIV/0!</v>
      </c>
      <c r="J9" s="103" t="e">
        <f t="shared" si="1"/>
        <v>#DIV/0!</v>
      </c>
    </row>
    <row r="10" spans="1:10">
      <c r="A10" s="42">
        <v>8</v>
      </c>
      <c r="B10" s="49" t="str">
        <f t="shared" si="2"/>
        <v>S/ CAP</v>
      </c>
      <c r="C10" s="50">
        <f t="shared" si="3"/>
        <v>0</v>
      </c>
      <c r="D10" s="50">
        <f t="shared" si="4"/>
        <v>0</v>
      </c>
      <c r="E10" s="50">
        <f t="shared" si="5"/>
        <v>0</v>
      </c>
      <c r="F10" s="15" t="e">
        <f t="shared" si="6"/>
        <v>#DIV/0!</v>
      </c>
      <c r="G10" s="15">
        <f t="shared" si="8"/>
        <v>0</v>
      </c>
      <c r="H10" s="15" t="e">
        <f t="shared" si="0"/>
        <v>#DIV/0!</v>
      </c>
      <c r="I10" s="15" t="e">
        <f t="shared" si="7"/>
        <v>#DIV/0!</v>
      </c>
      <c r="J10" s="103" t="e">
        <f t="shared" si="1"/>
        <v>#DIV/0!</v>
      </c>
    </row>
    <row r="11" spans="1:10">
      <c r="A11" s="42">
        <v>9</v>
      </c>
      <c r="B11" s="49" t="str">
        <f t="shared" si="2"/>
        <v>S/ ANEL VERMELHO</v>
      </c>
      <c r="C11" s="50">
        <f t="shared" si="3"/>
        <v>0</v>
      </c>
      <c r="D11" s="50">
        <f t="shared" si="4"/>
        <v>0</v>
      </c>
      <c r="E11" s="50">
        <f t="shared" si="5"/>
        <v>0</v>
      </c>
      <c r="F11" s="15" t="e">
        <f t="shared" si="6"/>
        <v>#DIV/0!</v>
      </c>
      <c r="G11" s="15">
        <f t="shared" si="8"/>
        <v>0</v>
      </c>
      <c r="H11" s="15" t="e">
        <f t="shared" si="0"/>
        <v>#DIV/0!</v>
      </c>
      <c r="I11" s="15" t="e">
        <f t="shared" si="7"/>
        <v>#DIV/0!</v>
      </c>
      <c r="J11" s="103" t="e">
        <f t="shared" si="1"/>
        <v>#DIV/0!</v>
      </c>
    </row>
    <row r="12" spans="1:10">
      <c r="A12" s="42">
        <v>10</v>
      </c>
      <c r="B12" s="49" t="str">
        <f t="shared" si="2"/>
        <v>ENCAIXOTAMENTO</v>
      </c>
      <c r="C12" s="50">
        <f t="shared" si="3"/>
        <v>0</v>
      </c>
      <c r="D12" s="50">
        <f t="shared" si="4"/>
        <v>0</v>
      </c>
      <c r="E12" s="50">
        <f t="shared" si="5"/>
        <v>0</v>
      </c>
      <c r="F12" s="15" t="e">
        <f t="shared" si="6"/>
        <v>#DIV/0!</v>
      </c>
      <c r="G12" s="15">
        <f t="shared" ref="G12:G13" si="9">E12+G11</f>
        <v>0</v>
      </c>
      <c r="H12" s="15" t="e">
        <f t="shared" ref="H12:H13" si="10">G12/E$15*100</f>
        <v>#DIV/0!</v>
      </c>
      <c r="I12" s="15" t="e">
        <f t="shared" ref="I12:I13" si="11">E12/E$2*1000000</f>
        <v>#DIV/0!</v>
      </c>
      <c r="J12" s="103" t="e">
        <f t="shared" si="1"/>
        <v>#DIV/0!</v>
      </c>
    </row>
    <row r="13" spans="1:10">
      <c r="A13" s="42">
        <v>11</v>
      </c>
      <c r="B13" s="49" t="str">
        <f t="shared" si="2"/>
        <v>TESTADOR</v>
      </c>
      <c r="C13" s="50">
        <f t="shared" si="3"/>
        <v>0</v>
      </c>
      <c r="D13" s="50">
        <f t="shared" si="4"/>
        <v>0</v>
      </c>
      <c r="E13" s="50">
        <f t="shared" si="5"/>
        <v>0</v>
      </c>
      <c r="F13" s="15" t="e">
        <f t="shared" si="6"/>
        <v>#DIV/0!</v>
      </c>
      <c r="G13" s="15">
        <f t="shared" si="9"/>
        <v>0</v>
      </c>
      <c r="H13" s="15" t="e">
        <f t="shared" si="10"/>
        <v>#DIV/0!</v>
      </c>
      <c r="I13" s="15" t="e">
        <f t="shared" si="11"/>
        <v>#DIV/0!</v>
      </c>
      <c r="J13" s="103" t="e">
        <f t="shared" si="1"/>
        <v>#DIV/0!</v>
      </c>
    </row>
    <row r="14" spans="1:10">
      <c r="A14" s="42">
        <v>12</v>
      </c>
      <c r="B14" s="49" t="str">
        <f t="shared" si="2"/>
        <v>OUTROS</v>
      </c>
      <c r="C14" s="50">
        <f t="shared" si="3"/>
        <v>0</v>
      </c>
      <c r="D14" s="50">
        <f t="shared" si="4"/>
        <v>0</v>
      </c>
      <c r="E14" s="50">
        <f t="shared" si="5"/>
        <v>0</v>
      </c>
      <c r="F14" s="15" t="e">
        <f t="shared" si="6"/>
        <v>#DIV/0!</v>
      </c>
      <c r="G14" s="15">
        <f t="shared" si="8"/>
        <v>0</v>
      </c>
      <c r="H14" s="15" t="e">
        <f>G14/E$15*100</f>
        <v>#DIV/0!</v>
      </c>
      <c r="I14" s="15" t="e">
        <f t="shared" si="7"/>
        <v>#DIV/0!</v>
      </c>
      <c r="J14" s="103" t="e">
        <f t="shared" si="1"/>
        <v>#DIV/0!</v>
      </c>
    </row>
    <row r="15" spans="1:10">
      <c r="A15" s="42"/>
      <c r="B15" s="51" t="s">
        <v>11</v>
      </c>
      <c r="C15" s="15">
        <f>'Resumo de Falhas'!M15</f>
        <v>0</v>
      </c>
      <c r="D15" s="15">
        <f>'Resumo de Falhas'!M29</f>
        <v>0</v>
      </c>
      <c r="E15" s="15">
        <f>C15+D15</f>
        <v>0</v>
      </c>
      <c r="F15" s="15" t="e">
        <f>E15/E$15*100</f>
        <v>#DIV/0!</v>
      </c>
      <c r="G15" s="15">
        <f>E15</f>
        <v>0</v>
      </c>
      <c r="H15" s="15" t="e">
        <f>G15/E$15*100</f>
        <v>#DIV/0!</v>
      </c>
      <c r="I15" s="15" t="e">
        <f>E15/E$2*1000000</f>
        <v>#DIV/0!</v>
      </c>
      <c r="J15" s="103" t="e">
        <f t="shared" si="1"/>
        <v>#DIV/0!</v>
      </c>
    </row>
    <row r="17" spans="1:9">
      <c r="A17" s="66" t="s">
        <v>35</v>
      </c>
      <c r="B17" s="67" t="s">
        <v>36</v>
      </c>
      <c r="C17" s="68" t="s">
        <v>37</v>
      </c>
      <c r="D17" s="68" t="s">
        <v>38</v>
      </c>
      <c r="E17" s="68" t="s">
        <v>22</v>
      </c>
      <c r="F17" s="68" t="s">
        <v>39</v>
      </c>
      <c r="G17" s="68" t="s">
        <v>40</v>
      </c>
      <c r="H17" s="68" t="s">
        <v>41</v>
      </c>
      <c r="I17" s="68"/>
    </row>
    <row r="18" spans="1:9">
      <c r="A18" s="68">
        <v>1</v>
      </c>
      <c r="B18" s="67" t="str">
        <f>'Resumo de Falhas'!B3</f>
        <v>TESTADOR</v>
      </c>
      <c r="C18" s="69">
        <f>'Resumo de Falhas'!M3</f>
        <v>0</v>
      </c>
      <c r="D18" s="69">
        <f>'Resumo de Falhas'!M17</f>
        <v>0</v>
      </c>
      <c r="E18" s="69">
        <f>SUM(C18:D18)</f>
        <v>0</v>
      </c>
      <c r="F18" s="68">
        <f>E18*100+A18*15</f>
        <v>15</v>
      </c>
      <c r="G18" s="68">
        <f>LARGE(F$18:F$28,A18)</f>
        <v>165</v>
      </c>
      <c r="H18" s="68">
        <f>MATCH(G18,F$18:F$28,0)</f>
        <v>11</v>
      </c>
      <c r="I18" s="68"/>
    </row>
    <row r="19" spans="1:9">
      <c r="A19" s="68">
        <v>2</v>
      </c>
      <c r="B19" s="67" t="str">
        <f>'Resumo de Falhas'!B4</f>
        <v>ENCAIXOTAMENTO</v>
      </c>
      <c r="C19" s="69">
        <f>'Resumo de Falhas'!M4</f>
        <v>0</v>
      </c>
      <c r="D19" s="69">
        <f>'Resumo de Falhas'!M18</f>
        <v>0</v>
      </c>
      <c r="E19" s="69">
        <f t="shared" ref="E19:E30" si="12">SUM(C19:D19)</f>
        <v>0</v>
      </c>
      <c r="F19" s="68">
        <f t="shared" ref="F19:F30" si="13">E19*100+A19*15</f>
        <v>30</v>
      </c>
      <c r="G19" s="68">
        <f t="shared" ref="G19:G28" si="14">LARGE(F$18:F$28,A19)</f>
        <v>150</v>
      </c>
      <c r="H19" s="68">
        <f t="shared" ref="H19:H28" si="15">MATCH(G19,F$18:F$28,0)</f>
        <v>10</v>
      </c>
      <c r="I19" s="68"/>
    </row>
    <row r="20" spans="1:9">
      <c r="A20" s="68">
        <v>3</v>
      </c>
      <c r="B20" s="67" t="str">
        <f>'Resumo de Falhas'!B5</f>
        <v>S/ ANEL VERMELHO</v>
      </c>
      <c r="C20" s="69">
        <f>'Resumo de Falhas'!M5</f>
        <v>0</v>
      </c>
      <c r="D20" s="69">
        <f>'Resumo de Falhas'!M19</f>
        <v>0</v>
      </c>
      <c r="E20" s="69">
        <f t="shared" si="12"/>
        <v>0</v>
      </c>
      <c r="F20" s="68">
        <f t="shared" si="13"/>
        <v>45</v>
      </c>
      <c r="G20" s="68">
        <f t="shared" si="14"/>
        <v>135</v>
      </c>
      <c r="H20" s="68">
        <f t="shared" si="15"/>
        <v>9</v>
      </c>
      <c r="I20" s="68"/>
    </row>
    <row r="21" spans="1:9">
      <c r="A21" s="68">
        <v>4</v>
      </c>
      <c r="B21" s="67" t="str">
        <f>'Resumo de Falhas'!B6</f>
        <v>S/ CAP</v>
      </c>
      <c r="C21" s="69">
        <f>'Resumo de Falhas'!M6</f>
        <v>0</v>
      </c>
      <c r="D21" s="69">
        <f>'Resumo de Falhas'!M20</f>
        <v>0</v>
      </c>
      <c r="E21" s="69">
        <f t="shared" si="12"/>
        <v>0</v>
      </c>
      <c r="F21" s="68">
        <f t="shared" si="13"/>
        <v>60</v>
      </c>
      <c r="G21" s="68">
        <f t="shared" si="14"/>
        <v>120</v>
      </c>
      <c r="H21" s="68">
        <f t="shared" si="15"/>
        <v>8</v>
      </c>
      <c r="I21" s="68"/>
    </row>
    <row r="22" spans="1:9">
      <c r="A22" s="68">
        <v>5</v>
      </c>
      <c r="B22" s="67" t="str">
        <f>'Resumo de Falhas'!B7</f>
        <v>CH. RISCADA</v>
      </c>
      <c r="C22" s="69">
        <f>'Resumo de Falhas'!M7</f>
        <v>0</v>
      </c>
      <c r="D22" s="69">
        <f>'Resumo de Falhas'!M21</f>
        <v>0</v>
      </c>
      <c r="E22" s="69">
        <f t="shared" si="12"/>
        <v>0</v>
      </c>
      <c r="F22" s="68">
        <f t="shared" si="13"/>
        <v>75</v>
      </c>
      <c r="G22" s="68">
        <f t="shared" si="14"/>
        <v>105</v>
      </c>
      <c r="H22" s="68">
        <f t="shared" si="15"/>
        <v>7</v>
      </c>
      <c r="I22" s="68"/>
    </row>
    <row r="23" spans="1:9">
      <c r="A23" s="68">
        <v>6</v>
      </c>
      <c r="B23" s="67" t="str">
        <f>'Resumo de Falhas'!B8</f>
        <v>CH. MANCHADA</v>
      </c>
      <c r="C23" s="69">
        <f>'Resumo de Falhas'!M8</f>
        <v>0</v>
      </c>
      <c r="D23" s="69">
        <f>'Resumo de Falhas'!M22</f>
        <v>0</v>
      </c>
      <c r="E23" s="69">
        <f t="shared" si="12"/>
        <v>0</v>
      </c>
      <c r="F23" s="68">
        <f t="shared" si="13"/>
        <v>90</v>
      </c>
      <c r="G23" s="68">
        <f t="shared" si="14"/>
        <v>90</v>
      </c>
      <c r="H23" s="68">
        <f t="shared" si="15"/>
        <v>6</v>
      </c>
      <c r="I23" s="68"/>
    </row>
    <row r="24" spans="1:9">
      <c r="A24" s="68">
        <v>7</v>
      </c>
      <c r="B24" s="67" t="str">
        <f>'Resumo de Falhas'!B9</f>
        <v>DEFEITO BLINDAGEM</v>
      </c>
      <c r="C24" s="69">
        <f>'Resumo de Falhas'!M9</f>
        <v>0</v>
      </c>
      <c r="D24" s="69">
        <f>'Resumo de Falhas'!M23</f>
        <v>0</v>
      </c>
      <c r="E24" s="69">
        <f t="shared" si="12"/>
        <v>0</v>
      </c>
      <c r="F24" s="68">
        <f t="shared" si="13"/>
        <v>105</v>
      </c>
      <c r="G24" s="68">
        <f t="shared" si="14"/>
        <v>75</v>
      </c>
      <c r="H24" s="68">
        <f t="shared" si="15"/>
        <v>5</v>
      </c>
      <c r="I24" s="68"/>
    </row>
    <row r="25" spans="1:9">
      <c r="A25" s="68">
        <v>8</v>
      </c>
      <c r="B25" s="67" t="str">
        <f>'Resumo de Falhas'!B10</f>
        <v>S/ ARRUELA / ARR. DESLOCADA</v>
      </c>
      <c r="C25" s="69">
        <f>'Resumo de Falhas'!M10</f>
        <v>0</v>
      </c>
      <c r="D25" s="69">
        <f>'Resumo de Falhas'!M24</f>
        <v>0</v>
      </c>
      <c r="E25" s="69">
        <f t="shared" si="12"/>
        <v>0</v>
      </c>
      <c r="F25" s="68">
        <f t="shared" si="13"/>
        <v>120</v>
      </c>
      <c r="G25" s="68">
        <f t="shared" si="14"/>
        <v>60</v>
      </c>
      <c r="H25" s="68">
        <f t="shared" si="15"/>
        <v>4</v>
      </c>
      <c r="I25" s="68"/>
    </row>
    <row r="26" spans="1:9">
      <c r="A26" s="68">
        <v>9</v>
      </c>
      <c r="B26" s="67" t="str">
        <f>'Resumo de Falhas'!B11</f>
        <v>S/ BOTTOM PLATE</v>
      </c>
      <c r="C26" s="69">
        <f>'Resumo de Falhas'!M11</f>
        <v>0</v>
      </c>
      <c r="D26" s="69">
        <f>'Resumo de Falhas'!M25</f>
        <v>0</v>
      </c>
      <c r="E26" s="69">
        <f t="shared" si="12"/>
        <v>0</v>
      </c>
      <c r="F26" s="68">
        <f t="shared" si="13"/>
        <v>135</v>
      </c>
      <c r="G26" s="68">
        <f t="shared" si="14"/>
        <v>45</v>
      </c>
      <c r="H26" s="68">
        <f t="shared" si="15"/>
        <v>3</v>
      </c>
      <c r="I26" s="68"/>
    </row>
    <row r="27" spans="1:9">
      <c r="A27" s="68">
        <v>10</v>
      </c>
      <c r="B27" s="67" t="str">
        <f>'Resumo de Falhas'!B12</f>
        <v>FUNDO SUJO</v>
      </c>
      <c r="C27" s="69">
        <f>'Resumo de Falhas'!M12</f>
        <v>0</v>
      </c>
      <c r="D27" s="69">
        <f>'Resumo de Falhas'!M26</f>
        <v>0</v>
      </c>
      <c r="E27" s="69">
        <f t="shared" ref="E27:E29" si="16">SUM(C27:D27)</f>
        <v>0</v>
      </c>
      <c r="F27" s="68">
        <f t="shared" si="13"/>
        <v>150</v>
      </c>
      <c r="G27" s="68">
        <f t="shared" si="14"/>
        <v>30</v>
      </c>
      <c r="H27" s="68">
        <f t="shared" si="15"/>
        <v>2</v>
      </c>
      <c r="I27" s="68"/>
    </row>
    <row r="28" spans="1:9">
      <c r="A28" s="68">
        <v>11</v>
      </c>
      <c r="B28" s="67" t="str">
        <f>'Resumo de Falhas'!B13</f>
        <v>SHRINK</v>
      </c>
      <c r="C28" s="69">
        <f>'Resumo de Falhas'!M13</f>
        <v>0</v>
      </c>
      <c r="D28" s="69">
        <f>'Resumo de Falhas'!M27</f>
        <v>0</v>
      </c>
      <c r="E28" s="69">
        <f t="shared" si="16"/>
        <v>0</v>
      </c>
      <c r="F28" s="68">
        <f t="shared" si="13"/>
        <v>165</v>
      </c>
      <c r="G28" s="68">
        <f t="shared" si="14"/>
        <v>15</v>
      </c>
      <c r="H28" s="68">
        <f t="shared" si="15"/>
        <v>1</v>
      </c>
      <c r="I28" s="68"/>
    </row>
    <row r="29" spans="1:9">
      <c r="A29" s="68">
        <v>12</v>
      </c>
      <c r="B29" s="67" t="str">
        <f>'Resumo de Falhas'!B14</f>
        <v>OUTROS</v>
      </c>
      <c r="C29" s="69">
        <f>'Resumo de Falhas'!M14</f>
        <v>0</v>
      </c>
      <c r="D29" s="69">
        <f>'Resumo de Falhas'!M28</f>
        <v>0</v>
      </c>
      <c r="E29" s="69">
        <f t="shared" si="16"/>
        <v>0</v>
      </c>
      <c r="F29" s="68">
        <f t="shared" si="13"/>
        <v>180</v>
      </c>
      <c r="G29" s="68"/>
      <c r="H29" s="68">
        <f>A29</f>
        <v>12</v>
      </c>
      <c r="I29" s="68"/>
    </row>
    <row r="30" spans="1:9">
      <c r="A30" s="68">
        <v>11</v>
      </c>
      <c r="B30" s="67" t="str">
        <f>'Resumo de Falhas'!B15</f>
        <v>SUBTOTAL</v>
      </c>
      <c r="C30" s="69">
        <f>'Resumo de Falhas'!M15</f>
        <v>0</v>
      </c>
      <c r="D30" s="69">
        <f>'Resumo de Falhas'!M29</f>
        <v>0</v>
      </c>
      <c r="E30" s="69">
        <f t="shared" si="12"/>
        <v>0</v>
      </c>
      <c r="F30" s="68">
        <f t="shared" si="13"/>
        <v>165</v>
      </c>
      <c r="G30" s="68">
        <f>LARGE(F$18:F$30,A30)</f>
        <v>45</v>
      </c>
      <c r="H30" s="68">
        <f>MATCH(G30,F$18:F$30,0)</f>
        <v>3</v>
      </c>
      <c r="I30" s="68"/>
    </row>
    <row r="31" spans="1:9">
      <c r="A31" s="68"/>
      <c r="B31" s="67"/>
      <c r="C31" s="68"/>
      <c r="D31" s="68"/>
      <c r="E31" s="68"/>
      <c r="F31" s="68"/>
      <c r="G31" s="68"/>
      <c r="H31" s="68"/>
      <c r="I31" s="68"/>
    </row>
    <row r="32" spans="1:9">
      <c r="A32" s="68"/>
      <c r="B32" s="68"/>
      <c r="C32" s="68"/>
      <c r="D32" s="68"/>
      <c r="E32" s="68"/>
      <c r="F32" s="68"/>
      <c r="G32" s="68"/>
      <c r="H32" s="68"/>
      <c r="I32" s="68"/>
    </row>
  </sheetData>
  <sheetProtection algorithmName="SHA-512" hashValue="W6MbEUPvfPQnifpugQJR+ALQdIkwzESS3lDGpBmtaYRoFOb7cfO1TpCzAIzcmx/7jCytckAk4/hFOxX4ljBSQw==" saltValue="lhJtNiNIkhBDVfN0bvsSAw==" spinCount="100000" sheet="1" objects="1" scenarios="1" selectLockedCells="1"/>
  <mergeCells count="1">
    <mergeCell ref="G1:H1"/>
  </mergeCells>
  <phoneticPr fontId="0" type="noConversion"/>
  <pageMargins left="0.78740157480314965" right="0.78740157480314965" top="1.1417322834645669" bottom="0.98425196850393704" header="0.51181102362204722" footer="0.51181102362204722"/>
  <pageSetup paperSize="9" scale="95" orientation="landscape" r:id="rId1"/>
  <headerFooter alignWithMargins="0">
    <oddHeader>&amp;L&amp;"SwitzerlandBlack,Negrito"&amp;16Panasonic
&amp;"Arial,Negrito"&amp;9PILHAS / BATERIAS&amp;C&amp;"Arial,Negrito"&amp;14RESUMO DE FALHAS UM-1</oddHeader>
    <oddFooter>&amp;L&amp;A&amp;R&amp;F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6</vt:i4>
      </vt:variant>
    </vt:vector>
  </HeadingPairs>
  <TitlesOfParts>
    <vt:vector size="12" baseType="lpstr">
      <vt:lpstr>Instruções de Uso</vt:lpstr>
      <vt:lpstr>Instrução</vt:lpstr>
      <vt:lpstr>SJCPIL-R 16-318-03 - Diurno</vt:lpstr>
      <vt:lpstr>SJCPIL-R 16-318-03 - Noturno</vt:lpstr>
      <vt:lpstr>Resumo de Falhas</vt:lpstr>
      <vt:lpstr>Total por Defeito</vt:lpstr>
      <vt:lpstr>Instrução!Area_de_impressao</vt:lpstr>
      <vt:lpstr>'SJCPIL-R 16-318-03 - Diurno'!Area_de_impressao</vt:lpstr>
      <vt:lpstr>'SJCPIL-R 16-318-03 - Noturno'!Area_de_impressao</vt:lpstr>
      <vt:lpstr>'Total por Defeito'!Area_de_impressao</vt:lpstr>
      <vt:lpstr>produtos</vt:lpstr>
      <vt:lpstr>TARGET</vt:lpstr>
    </vt:vector>
  </TitlesOfParts>
  <Company>Panasonic do Brasil LTDA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Panasonic do Brasil LTDA</dc:creator>
  <cp:lastModifiedBy>Osvaldo Martins Torquati</cp:lastModifiedBy>
  <cp:lastPrinted>2021-04-26T18:13:53Z</cp:lastPrinted>
  <dcterms:created xsi:type="dcterms:W3CDTF">2003-08-07T14:29:32Z</dcterms:created>
  <dcterms:modified xsi:type="dcterms:W3CDTF">2022-02-21T10:58:06Z</dcterms:modified>
</cp:coreProperties>
</file>