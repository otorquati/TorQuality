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2) UM-3\ACABAMENTO\Shrink\"/>
    </mc:Choice>
  </mc:AlternateContent>
  <xr:revisionPtr revIDLastSave="0" documentId="13_ncr:1_{8FEF8CAF-8A10-440D-9301-96F1E93597D4}" xr6:coauthVersionLast="47" xr6:coauthVersionMax="47" xr10:uidLastSave="{00000000-0000-0000-0000-000000000000}"/>
  <workbookProtection lockStructure="1"/>
  <bookViews>
    <workbookView xWindow="-120" yWindow="-120" windowWidth="29040" windowHeight="16440" activeTab="5" xr2:uid="{00000000-000D-0000-FFFF-FFFF00000000}"/>
  </bookViews>
  <sheets>
    <sheet name="Instruções de Uso" sheetId="5" r:id="rId1"/>
    <sheet name="SJCPIL-R 16-318-03 - D" sheetId="1" r:id="rId2"/>
    <sheet name="SJCPIL-R 16-318-03 - N" sheetId="4" r:id="rId3"/>
    <sheet name="Pareto de Falhas" sheetId="3" r:id="rId4"/>
    <sheet name="Resumo de Falhas" sheetId="2" r:id="rId5"/>
    <sheet name="Resumo Acabamento" sheetId="6" r:id="rId6"/>
  </sheets>
  <externalReferences>
    <externalReference r:id="rId7"/>
    <externalReference r:id="rId8"/>
    <externalReference r:id="rId9"/>
    <externalReference r:id="rId10"/>
  </externalReferences>
  <definedNames>
    <definedName name="_xlnm.Print_Area" localSheetId="3">'Pareto de Falhas'!$A$1:$M$41</definedName>
    <definedName name="_xlnm.Print_Area" localSheetId="5">'Resumo Acabamento'!$A$1:$N$33</definedName>
    <definedName name="_xlnm.Print_Area" localSheetId="1">'SJCPIL-R 16-318-03 - D'!$A$1:$AL$32</definedName>
    <definedName name="_xlnm.Print_Area" localSheetId="2">'SJCPIL-R 16-318-03 - N'!$A$1:$AL$32</definedName>
    <definedName name="F7.58" localSheetId="2">'SJCPIL-R 16-318-03 - N'!$A$1</definedName>
    <definedName name="F7.58">'SJCPIL-R 16-318-03 - D'!$A$1</definedName>
    <definedName name="produtos" localSheetId="0">'[1]Resumo de Falhas'!$C$1:$L$1</definedName>
    <definedName name="produtos" localSheetId="5">'[2]Resumo de Falhas'!$C$1:$G$1</definedName>
    <definedName name="produtos">'Resumo de Falhas'!$C$1:$I$1</definedName>
    <definedName name="TARGET" localSheetId="5">'[2]SJCPIL-R 16-318-03 - Diurno'!$B$33</definedName>
    <definedName name="TARGET">'SJCPIL-R 16-318-03 - D'!$B$33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7" i="1" l="1"/>
  <c r="B33" i="1"/>
  <c r="D37" i="2" s="1"/>
  <c r="L14" i="2" a="1"/>
  <c r="L14" i="2" s="1"/>
  <c r="K14" i="2" a="1"/>
  <c r="K14" i="2" s="1"/>
  <c r="J14" i="2" a="1"/>
  <c r="J14" i="2" s="1"/>
  <c r="I14" i="2" a="1"/>
  <c r="I14" i="2" s="1"/>
  <c r="H14" i="2" a="1"/>
  <c r="H14" i="2" s="1"/>
  <c r="G14" i="2" a="1"/>
  <c r="G14" i="2" s="1"/>
  <c r="F14" i="2" a="1"/>
  <c r="F14" i="2" s="1"/>
  <c r="E14" i="2" a="1"/>
  <c r="E14" i="2" s="1"/>
  <c r="D14" i="2" a="1"/>
  <c r="D14" i="2" s="1"/>
  <c r="C14" i="2" a="1"/>
  <c r="C14" i="2" s="1"/>
  <c r="C15" i="6" s="1"/>
  <c r="L13" i="2" a="1"/>
  <c r="L13" i="2" s="1"/>
  <c r="K13" i="2" a="1"/>
  <c r="K13" i="2" s="1"/>
  <c r="J13" i="2" a="1"/>
  <c r="J13" i="2" s="1"/>
  <c r="I13" i="2" a="1"/>
  <c r="I13" i="2" s="1"/>
  <c r="H13" i="2" a="1"/>
  <c r="H13" i="2" s="1"/>
  <c r="G13" i="2" a="1"/>
  <c r="G13" i="2" s="1"/>
  <c r="F13" i="2" a="1"/>
  <c r="F13" i="2" s="1"/>
  <c r="E13" i="2" a="1"/>
  <c r="E13" i="2" s="1"/>
  <c r="D13" i="2" a="1"/>
  <c r="D13" i="2" s="1"/>
  <c r="C13" i="2" a="1"/>
  <c r="C13" i="2" s="1"/>
  <c r="C14" i="6" s="1"/>
  <c r="L12" i="2" a="1"/>
  <c r="L12" i="2" s="1"/>
  <c r="K12" i="2" a="1"/>
  <c r="K12" i="2" s="1"/>
  <c r="J12" i="2" a="1"/>
  <c r="J12" i="2" s="1"/>
  <c r="I12" i="2" a="1"/>
  <c r="I12" i="2" s="1"/>
  <c r="H12" i="2" a="1"/>
  <c r="H12" i="2" s="1"/>
  <c r="G12" i="2" a="1"/>
  <c r="G12" i="2" s="1"/>
  <c r="F12" i="2" a="1"/>
  <c r="F12" i="2" s="1"/>
  <c r="E12" i="2" a="1"/>
  <c r="E12" i="2" s="1"/>
  <c r="D12" i="2" a="1"/>
  <c r="D12" i="2" s="1"/>
  <c r="C12" i="2" a="1"/>
  <c r="C12" i="2" s="1"/>
  <c r="L11" i="2" a="1"/>
  <c r="L11" i="2" s="1"/>
  <c r="K11" i="2" a="1"/>
  <c r="K11" i="2" s="1"/>
  <c r="J11" i="2" a="1"/>
  <c r="J11" i="2" s="1"/>
  <c r="I11" i="2" a="1"/>
  <c r="I11" i="2" s="1"/>
  <c r="H11" i="2" a="1"/>
  <c r="H11" i="2" s="1"/>
  <c r="G11" i="2" a="1"/>
  <c r="G11" i="2" s="1"/>
  <c r="F11" i="2" a="1"/>
  <c r="F11" i="2" s="1"/>
  <c r="E11" i="2" a="1"/>
  <c r="E11" i="2" s="1"/>
  <c r="D11" i="2" a="1"/>
  <c r="D11" i="2" s="1"/>
  <c r="C11" i="2" a="1"/>
  <c r="C11" i="2" s="1"/>
  <c r="C12" i="6" s="1"/>
  <c r="L10" i="2" a="1"/>
  <c r="L10" i="2" s="1"/>
  <c r="K10" i="2" a="1"/>
  <c r="K10" i="2" s="1"/>
  <c r="J10" i="2" a="1"/>
  <c r="J10" i="2" s="1"/>
  <c r="I10" i="2" a="1"/>
  <c r="I10" i="2" s="1"/>
  <c r="H10" i="2" a="1"/>
  <c r="H10" i="2" s="1"/>
  <c r="G10" i="2" a="1"/>
  <c r="G10" i="2" s="1"/>
  <c r="F10" i="2" a="1"/>
  <c r="F10" i="2" s="1"/>
  <c r="E10" i="2" a="1"/>
  <c r="E10" i="2" s="1"/>
  <c r="D10" i="2" a="1"/>
  <c r="D10" i="2" s="1"/>
  <c r="C10" i="2" a="1"/>
  <c r="C10" i="2" s="1"/>
  <c r="C11" i="6" s="1"/>
  <c r="L9" i="2" a="1"/>
  <c r="L9" i="2" s="1"/>
  <c r="K9" i="2" a="1"/>
  <c r="K9" i="2" s="1"/>
  <c r="J9" i="2" a="1"/>
  <c r="J9" i="2" s="1"/>
  <c r="I9" i="2" a="1"/>
  <c r="I9" i="2" s="1"/>
  <c r="H9" i="2" a="1"/>
  <c r="H9" i="2" s="1"/>
  <c r="G9" i="2" a="1"/>
  <c r="G9" i="2" s="1"/>
  <c r="F9" i="2" a="1"/>
  <c r="F9" i="2" s="1"/>
  <c r="E9" i="2" a="1"/>
  <c r="E9" i="2" s="1"/>
  <c r="D9" i="2" a="1"/>
  <c r="D9" i="2" s="1"/>
  <c r="C9" i="2" a="1"/>
  <c r="C9" i="2" s="1"/>
  <c r="C10" i="6" s="1"/>
  <c r="K8" i="2" a="1"/>
  <c r="K8" i="2" s="1"/>
  <c r="J8" i="2" a="1"/>
  <c r="J8" i="2" s="1"/>
  <c r="I8" i="2" a="1"/>
  <c r="I8" i="2" s="1"/>
  <c r="H8" i="2" a="1"/>
  <c r="H8" i="2" s="1"/>
  <c r="G8" i="2" a="1"/>
  <c r="G8" i="2" s="1"/>
  <c r="F8" i="2" a="1"/>
  <c r="F8" i="2" s="1"/>
  <c r="E8" i="2" a="1"/>
  <c r="E8" i="2" s="1"/>
  <c r="D8" i="2" a="1"/>
  <c r="D8" i="2" s="1"/>
  <c r="C8" i="2" a="1"/>
  <c r="C8" i="2" s="1"/>
  <c r="L7" i="2" a="1"/>
  <c r="L7" i="2" s="1"/>
  <c r="K7" i="2" a="1"/>
  <c r="K7" i="2" s="1"/>
  <c r="J7" i="2" a="1"/>
  <c r="J7" i="2" s="1"/>
  <c r="I7" i="2" a="1"/>
  <c r="I7" i="2" s="1"/>
  <c r="H7" i="2" a="1"/>
  <c r="H7" i="2" s="1"/>
  <c r="G7" i="2" a="1"/>
  <c r="G7" i="2" s="1"/>
  <c r="F7" i="2" a="1"/>
  <c r="F7" i="2" s="1"/>
  <c r="E7" i="2" a="1"/>
  <c r="E7" i="2" s="1"/>
  <c r="D7" i="2" a="1"/>
  <c r="D7" i="2" s="1"/>
  <c r="C7" i="2" a="1"/>
  <c r="C7" i="2" s="1"/>
  <c r="L6" i="2" a="1"/>
  <c r="L6" i="2" s="1"/>
  <c r="K6" i="2" a="1"/>
  <c r="K6" i="2" s="1"/>
  <c r="J6" i="2" a="1"/>
  <c r="J6" i="2" s="1"/>
  <c r="I6" i="2" a="1"/>
  <c r="I6" i="2" s="1"/>
  <c r="H6" i="2" a="1"/>
  <c r="H6" i="2" s="1"/>
  <c r="G6" i="2" a="1"/>
  <c r="G6" i="2" s="1"/>
  <c r="F6" i="2" a="1"/>
  <c r="F6" i="2" s="1"/>
  <c r="E6" i="2" a="1"/>
  <c r="E6" i="2" s="1"/>
  <c r="D6" i="2" a="1"/>
  <c r="D6" i="2" s="1"/>
  <c r="C6" i="2" a="1"/>
  <c r="C6" i="2" s="1"/>
  <c r="C7" i="6" s="1"/>
  <c r="L5" i="2" a="1"/>
  <c r="L5" i="2" s="1"/>
  <c r="K5" i="2" a="1"/>
  <c r="K5" i="2" s="1"/>
  <c r="J5" i="2" a="1"/>
  <c r="J5" i="2" s="1"/>
  <c r="I5" i="2" a="1"/>
  <c r="I5" i="2" s="1"/>
  <c r="H5" i="2" a="1"/>
  <c r="H5" i="2" s="1"/>
  <c r="G5" i="2" a="1"/>
  <c r="G5" i="2" s="1"/>
  <c r="F5" i="2" a="1"/>
  <c r="F5" i="2" s="1"/>
  <c r="E5" i="2" a="1"/>
  <c r="E5" i="2" s="1"/>
  <c r="D5" i="2" a="1"/>
  <c r="D5" i="2" s="1"/>
  <c r="C5" i="2" a="1"/>
  <c r="C5" i="2" s="1"/>
  <c r="L4" i="2" a="1"/>
  <c r="L4" i="2" s="1"/>
  <c r="K4" i="2" a="1"/>
  <c r="K4" i="2" s="1"/>
  <c r="J4" i="2" a="1"/>
  <c r="J4" i="2" s="1"/>
  <c r="I4" i="2" a="1"/>
  <c r="I4" i="2" s="1"/>
  <c r="H4" i="2" a="1"/>
  <c r="H4" i="2" s="1"/>
  <c r="G4" i="2" a="1"/>
  <c r="G4" i="2" s="1"/>
  <c r="F4" i="2" a="1"/>
  <c r="F4" i="2" s="1"/>
  <c r="E4" i="2" a="1"/>
  <c r="E4" i="2" s="1"/>
  <c r="D4" i="2" a="1"/>
  <c r="D4" i="2" s="1"/>
  <c r="C4" i="2" a="1"/>
  <c r="C4" i="2" s="1"/>
  <c r="C5" i="6" s="1"/>
  <c r="L3" i="2" a="1"/>
  <c r="L3" i="2" s="1"/>
  <c r="K3" i="2" a="1"/>
  <c r="K3" i="2" s="1"/>
  <c r="J3" i="2" a="1"/>
  <c r="J3" i="2" s="1"/>
  <c r="I3" i="2" a="1"/>
  <c r="I3" i="2" s="1"/>
  <c r="H3" i="2" a="1"/>
  <c r="H3" i="2" s="1"/>
  <c r="G3" i="2" a="1"/>
  <c r="G3" i="2" s="1"/>
  <c r="F3" i="2" a="1"/>
  <c r="F3" i="2" s="1"/>
  <c r="E3" i="2" a="1"/>
  <c r="E3" i="2" s="1"/>
  <c r="D3" i="2" a="1"/>
  <c r="D3" i="2" s="1"/>
  <c r="C3" i="2" a="1"/>
  <c r="C3" i="2" s="1"/>
  <c r="L2" i="2" a="1"/>
  <c r="L2" i="2" s="1"/>
  <c r="K2" i="2" a="1"/>
  <c r="K2" i="2" s="1"/>
  <c r="J2" i="2" a="1"/>
  <c r="J2" i="2" s="1"/>
  <c r="I2" i="2" a="1"/>
  <c r="I2" i="2" s="1"/>
  <c r="H2" i="2" a="1"/>
  <c r="H2" i="2" s="1"/>
  <c r="G2" i="2" a="1"/>
  <c r="G2" i="2" s="1"/>
  <c r="F2" i="2" a="1"/>
  <c r="F2" i="2" s="1"/>
  <c r="E2" i="2" a="1"/>
  <c r="E2" i="2" s="1"/>
  <c r="D2" i="2" a="1"/>
  <c r="D2" i="2" s="1"/>
  <c r="C2" i="2" a="1"/>
  <c r="C2" i="2" s="1"/>
  <c r="AL4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F27" i="1"/>
  <c r="F28" i="1" s="1"/>
  <c r="G27" i="1"/>
  <c r="G28" i="1" s="1"/>
  <c r="H27" i="1"/>
  <c r="H28" i="1" s="1"/>
  <c r="I27" i="1"/>
  <c r="I28" i="1" s="1"/>
  <c r="J27" i="1"/>
  <c r="J28" i="1" s="1"/>
  <c r="L27" i="1"/>
  <c r="L28" i="1" s="1"/>
  <c r="M27" i="1"/>
  <c r="M28" i="1" s="1"/>
  <c r="N27" i="1"/>
  <c r="N28" i="1" s="1"/>
  <c r="O27" i="1"/>
  <c r="O28" i="1" s="1"/>
  <c r="P27" i="1"/>
  <c r="P28" i="1" s="1"/>
  <c r="Q27" i="1"/>
  <c r="Q28" i="1" s="1"/>
  <c r="R27" i="1"/>
  <c r="R28" i="1" s="1"/>
  <c r="S27" i="1"/>
  <c r="S28" i="1" s="1"/>
  <c r="T27" i="1"/>
  <c r="U27" i="1"/>
  <c r="U28" i="1" s="1"/>
  <c r="V27" i="1"/>
  <c r="V28" i="1" s="1"/>
  <c r="W27" i="1"/>
  <c r="W28" i="1" s="1"/>
  <c r="X27" i="1"/>
  <c r="Y27" i="1"/>
  <c r="Z27" i="1"/>
  <c r="Z28" i="1" s="1"/>
  <c r="AA27" i="1"/>
  <c r="AA28" i="1" s="1"/>
  <c r="AB27" i="1"/>
  <c r="AB28" i="1" s="1"/>
  <c r="AC27" i="1"/>
  <c r="AC28" i="1" s="1"/>
  <c r="AD27" i="1"/>
  <c r="AD28" i="1" s="1"/>
  <c r="AE27" i="1"/>
  <c r="AE28" i="1" s="1"/>
  <c r="AF27" i="1"/>
  <c r="AF28" i="1" s="1"/>
  <c r="AG27" i="1"/>
  <c r="AH27" i="1"/>
  <c r="AH28" i="1" s="1"/>
  <c r="AI27" i="1"/>
  <c r="AJ27" i="1"/>
  <c r="AK27" i="1"/>
  <c r="AK28" i="1" s="1"/>
  <c r="AK1" i="1"/>
  <c r="AK1" i="4" s="1"/>
  <c r="U35" i="1"/>
  <c r="V35" i="1"/>
  <c r="W35" i="1"/>
  <c r="X35" i="1"/>
  <c r="Y35" i="1"/>
  <c r="Z35" i="1"/>
  <c r="AA35" i="1"/>
  <c r="T35" i="1"/>
  <c r="B27" i="1"/>
  <c r="C27" i="1"/>
  <c r="C28" i="1" s="1"/>
  <c r="D27" i="1"/>
  <c r="D28" i="1" s="1"/>
  <c r="E27" i="1"/>
  <c r="E28" i="1" s="1"/>
  <c r="AF28" i="4"/>
  <c r="AK28" i="4"/>
  <c r="V28" i="4"/>
  <c r="W28" i="4"/>
  <c r="X28" i="4"/>
  <c r="Y28" i="4"/>
  <c r="Z28" i="4"/>
  <c r="AG28" i="1"/>
  <c r="AI28" i="1"/>
  <c r="AJ28" i="1"/>
  <c r="AL26" i="4"/>
  <c r="AL25" i="4"/>
  <c r="AL24" i="4"/>
  <c r="AL23" i="4"/>
  <c r="AL22" i="4"/>
  <c r="AL21" i="4"/>
  <c r="AL20" i="4"/>
  <c r="AL19" i="4"/>
  <c r="AL18" i="4"/>
  <c r="AL17" i="4"/>
  <c r="AL16" i="4"/>
  <c r="AL15" i="4"/>
  <c r="AL4" i="4"/>
  <c r="F34" i="2"/>
  <c r="L28" i="2" a="1"/>
  <c r="L28" i="2" s="1"/>
  <c r="K28" i="2" a="1"/>
  <c r="K28" i="2" s="1"/>
  <c r="J28" i="2" a="1"/>
  <c r="J28" i="2" s="1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D28" i="2" a="1"/>
  <c r="D28" i="2" s="1"/>
  <c r="C28" i="2" a="1"/>
  <c r="C28" i="2" s="1"/>
  <c r="L27" i="2" a="1"/>
  <c r="L27" i="2" s="1"/>
  <c r="K27" i="2" a="1"/>
  <c r="K27" i="2" s="1"/>
  <c r="J27" i="2" a="1"/>
  <c r="J27" i="2" s="1"/>
  <c r="I27" i="2" a="1"/>
  <c r="I27" i="2" s="1"/>
  <c r="H27" i="2" a="1"/>
  <c r="H27" i="2" s="1"/>
  <c r="G27" i="2" a="1"/>
  <c r="G27" i="2" s="1"/>
  <c r="F27" i="2" a="1"/>
  <c r="F27" i="2" s="1"/>
  <c r="E27" i="2" a="1"/>
  <c r="E27" i="2" s="1"/>
  <c r="D27" i="2" a="1"/>
  <c r="D27" i="2" s="1"/>
  <c r="C27" i="2" a="1"/>
  <c r="C27" i="2" s="1"/>
  <c r="L26" i="2" a="1"/>
  <c r="L26" i="2" s="1"/>
  <c r="K26" i="2" a="1"/>
  <c r="K26" i="2" s="1"/>
  <c r="J26" i="2" a="1"/>
  <c r="J26" i="2" s="1"/>
  <c r="I26" i="2" a="1"/>
  <c r="I26" i="2" s="1"/>
  <c r="H26" i="2" a="1"/>
  <c r="H26" i="2" s="1"/>
  <c r="G26" i="2" a="1"/>
  <c r="G26" i="2" s="1"/>
  <c r="F26" i="2" a="1"/>
  <c r="F26" i="2" s="1"/>
  <c r="E26" i="2" a="1"/>
  <c r="E26" i="2" s="1"/>
  <c r="D26" i="2" a="1"/>
  <c r="D26" i="2" s="1"/>
  <c r="C26" i="2" a="1"/>
  <c r="C26" i="2" s="1"/>
  <c r="L25" i="2" a="1"/>
  <c r="L25" i="2" s="1"/>
  <c r="K25" i="2" a="1"/>
  <c r="K25" i="2" s="1"/>
  <c r="J25" i="2" a="1"/>
  <c r="J25" i="2" s="1"/>
  <c r="I25" i="2" a="1"/>
  <c r="I25" i="2" s="1"/>
  <c r="H25" i="2" a="1"/>
  <c r="H25" i="2" s="1"/>
  <c r="G25" i="2" a="1"/>
  <c r="G25" i="2" s="1"/>
  <c r="F25" i="2" a="1"/>
  <c r="F25" i="2" s="1"/>
  <c r="E25" i="2" a="1"/>
  <c r="E25" i="2" s="1"/>
  <c r="D25" i="2" a="1"/>
  <c r="D25" i="2" s="1"/>
  <c r="C25" i="2" a="1"/>
  <c r="C25" i="2" s="1"/>
  <c r="C26" i="6" s="1"/>
  <c r="L24" i="2" a="1"/>
  <c r="L24" i="2" s="1"/>
  <c r="K24" i="2" a="1"/>
  <c r="K24" i="2" s="1"/>
  <c r="J24" i="2" a="1"/>
  <c r="J24" i="2" s="1"/>
  <c r="I24" i="2" a="1"/>
  <c r="I24" i="2" s="1"/>
  <c r="H24" i="2" a="1"/>
  <c r="H24" i="2" s="1"/>
  <c r="G24" i="2" a="1"/>
  <c r="G24" i="2" s="1"/>
  <c r="F24" i="2" a="1"/>
  <c r="F24" i="2" s="1"/>
  <c r="E24" i="2" a="1"/>
  <c r="E24" i="2" s="1"/>
  <c r="D24" i="2" a="1"/>
  <c r="D24" i="2" s="1"/>
  <c r="C24" i="2" a="1"/>
  <c r="C24" i="2" s="1"/>
  <c r="C25" i="6" s="1"/>
  <c r="L23" i="2" a="1"/>
  <c r="L23" i="2" s="1"/>
  <c r="K23" i="2" a="1"/>
  <c r="K23" i="2" s="1"/>
  <c r="J23" i="2" a="1"/>
  <c r="J23" i="2" s="1"/>
  <c r="I23" i="2" a="1"/>
  <c r="I23" i="2" s="1"/>
  <c r="H23" i="2" a="1"/>
  <c r="H23" i="2" s="1"/>
  <c r="G23" i="2" a="1"/>
  <c r="G23" i="2" s="1"/>
  <c r="F23" i="2" a="1"/>
  <c r="F23" i="2" s="1"/>
  <c r="E23" i="2" a="1"/>
  <c r="E23" i="2" s="1"/>
  <c r="D23" i="2" a="1"/>
  <c r="D23" i="2" s="1"/>
  <c r="C23" i="2" a="1"/>
  <c r="C23" i="2" s="1"/>
  <c r="L22" i="2" a="1"/>
  <c r="L22" i="2" s="1"/>
  <c r="K22" i="2" a="1"/>
  <c r="K22" i="2" s="1"/>
  <c r="J22" i="2" a="1"/>
  <c r="J22" i="2" s="1"/>
  <c r="I22" i="2" a="1"/>
  <c r="I22" i="2" s="1"/>
  <c r="H22" i="2" a="1"/>
  <c r="H22" i="2" s="1"/>
  <c r="G22" i="2" a="1"/>
  <c r="G22" i="2" s="1"/>
  <c r="F22" i="2" a="1"/>
  <c r="F22" i="2" s="1"/>
  <c r="E22" i="2" a="1"/>
  <c r="E22" i="2" s="1"/>
  <c r="D22" i="2" a="1"/>
  <c r="D22" i="2" s="1"/>
  <c r="C22" i="2" a="1"/>
  <c r="C22" i="2" s="1"/>
  <c r="L21" i="2" a="1"/>
  <c r="L21" i="2" s="1"/>
  <c r="K21" i="2" a="1"/>
  <c r="K21" i="2" s="1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E21" i="2" a="1"/>
  <c r="E21" i="2" s="1"/>
  <c r="D21" i="2" a="1"/>
  <c r="D21" i="2" s="1"/>
  <c r="C21" i="2" a="1"/>
  <c r="C21" i="2" s="1"/>
  <c r="C22" i="6" s="1"/>
  <c r="L20" i="2" a="1"/>
  <c r="L20" i="2" s="1"/>
  <c r="K20" i="2" a="1"/>
  <c r="K20" i="2" s="1"/>
  <c r="J20" i="2" a="1"/>
  <c r="J20" i="2" s="1"/>
  <c r="I20" i="2" a="1"/>
  <c r="I20" i="2" s="1"/>
  <c r="H20" i="2" a="1"/>
  <c r="H20" i="2" s="1"/>
  <c r="G20" i="2" a="1"/>
  <c r="G20" i="2" s="1"/>
  <c r="F20" i="2" a="1"/>
  <c r="F20" i="2" s="1"/>
  <c r="E20" i="2" a="1"/>
  <c r="E20" i="2" s="1"/>
  <c r="D20" i="2" a="1"/>
  <c r="D20" i="2" s="1"/>
  <c r="C20" i="2" a="1"/>
  <c r="C20" i="2" s="1"/>
  <c r="C21" i="6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 s="1"/>
  <c r="E19" i="2" a="1"/>
  <c r="E19" i="2" s="1"/>
  <c r="D19" i="2" a="1"/>
  <c r="D19" i="2" s="1"/>
  <c r="C19" i="2" a="1"/>
  <c r="C19" i="2" s="1"/>
  <c r="L18" i="2" a="1"/>
  <c r="L18" i="2" s="1"/>
  <c r="K18" i="2" a="1"/>
  <c r="K18" i="2" s="1"/>
  <c r="J18" i="2" a="1"/>
  <c r="J18" i="2" s="1"/>
  <c r="I18" i="2" a="1"/>
  <c r="I18" i="2" s="1"/>
  <c r="H18" i="2" a="1"/>
  <c r="H18" i="2" s="1"/>
  <c r="G18" i="2" a="1"/>
  <c r="G18" i="2" s="1"/>
  <c r="F18" i="2" a="1"/>
  <c r="F18" i="2" s="1"/>
  <c r="E18" i="2" a="1"/>
  <c r="E18" i="2" s="1"/>
  <c r="D18" i="2" a="1"/>
  <c r="D18" i="2" s="1"/>
  <c r="C18" i="2" a="1"/>
  <c r="C18" i="2" s="1"/>
  <c r="L17" i="2" a="1"/>
  <c r="L17" i="2" s="1"/>
  <c r="K17" i="2" a="1"/>
  <c r="K17" i="2" s="1"/>
  <c r="J17" i="2" a="1"/>
  <c r="J17" i="2" s="1"/>
  <c r="I17" i="2" a="1"/>
  <c r="I17" i="2" s="1"/>
  <c r="H17" i="2" a="1"/>
  <c r="H17" i="2" s="1"/>
  <c r="G17" i="2" a="1"/>
  <c r="G17" i="2" s="1"/>
  <c r="F17" i="2" a="1"/>
  <c r="F17" i="2" s="1"/>
  <c r="E17" i="2" a="1"/>
  <c r="E17" i="2" s="1"/>
  <c r="D17" i="2" a="1"/>
  <c r="D17" i="2" s="1"/>
  <c r="C17" i="2" a="1"/>
  <c r="C17" i="2" s="1"/>
  <c r="C18" i="6" s="1"/>
  <c r="L16" i="2" a="1"/>
  <c r="L16" i="2" s="1"/>
  <c r="K16" i="2" a="1"/>
  <c r="K16" i="2" s="1"/>
  <c r="J16" i="2" a="1"/>
  <c r="J16" i="2" s="1"/>
  <c r="I16" i="2" a="1"/>
  <c r="I16" i="2" s="1"/>
  <c r="H16" i="2" a="1"/>
  <c r="H16" i="2" s="1"/>
  <c r="G16" i="2" a="1"/>
  <c r="G16" i="2" s="1"/>
  <c r="F16" i="2" a="1"/>
  <c r="F16" i="2" s="1"/>
  <c r="E16" i="2" a="1"/>
  <c r="E16" i="2" s="1"/>
  <c r="D16" i="2" a="1"/>
  <c r="D16" i="2" s="1"/>
  <c r="C16" i="2" a="1"/>
  <c r="C16" i="2" s="1"/>
  <c r="AL5" i="4"/>
  <c r="G27" i="4"/>
  <c r="G28" i="4" s="1"/>
  <c r="N27" i="4"/>
  <c r="N28" i="4" s="1"/>
  <c r="B1" i="4"/>
  <c r="K28" i="1"/>
  <c r="A29" i="4"/>
  <c r="O27" i="4"/>
  <c r="O28" i="4" s="1"/>
  <c r="P27" i="4"/>
  <c r="P28" i="4" s="1"/>
  <c r="Q27" i="4"/>
  <c r="Q28" i="4" s="1"/>
  <c r="X28" i="1"/>
  <c r="Y28" i="1"/>
  <c r="E27" i="4"/>
  <c r="E28" i="4" s="1"/>
  <c r="T28" i="1"/>
  <c r="C27" i="4"/>
  <c r="C28" i="4" s="1"/>
  <c r="AG27" i="4"/>
  <c r="AG28" i="4"/>
  <c r="AH27" i="4"/>
  <c r="AH28" i="4"/>
  <c r="AI27" i="4"/>
  <c r="AI28" i="4"/>
  <c r="AJ27" i="4"/>
  <c r="AJ28" i="4"/>
  <c r="B27" i="4"/>
  <c r="AE27" i="4"/>
  <c r="AE28" i="4" s="1"/>
  <c r="AL35" i="1"/>
  <c r="K5" i="1"/>
  <c r="L5" i="1"/>
  <c r="M5" i="1"/>
  <c r="N5" i="1"/>
  <c r="P5" i="1"/>
  <c r="Q5" i="1"/>
  <c r="R5" i="1"/>
  <c r="S5" i="1"/>
  <c r="AL5" i="1"/>
  <c r="D27" i="4"/>
  <c r="F27" i="4"/>
  <c r="F28" i="4" s="1"/>
  <c r="H27" i="4"/>
  <c r="H28" i="4" s="1"/>
  <c r="I27" i="4"/>
  <c r="I28" i="4"/>
  <c r="J27" i="4"/>
  <c r="J28" i="4" s="1"/>
  <c r="K27" i="4"/>
  <c r="K28" i="4" s="1"/>
  <c r="L27" i="4"/>
  <c r="L28" i="4" s="1"/>
  <c r="M27" i="4"/>
  <c r="M28" i="4" s="1"/>
  <c r="R27" i="4"/>
  <c r="R28" i="4" s="1"/>
  <c r="S27" i="4"/>
  <c r="S28" i="4" s="1"/>
  <c r="T27" i="4"/>
  <c r="T28" i="4" s="1"/>
  <c r="U27" i="4"/>
  <c r="U28" i="4" s="1"/>
  <c r="AA27" i="4"/>
  <c r="AA28" i="4" s="1"/>
  <c r="AB27" i="4"/>
  <c r="AB28" i="4" s="1"/>
  <c r="AC27" i="4"/>
  <c r="AC28" i="4" s="1"/>
  <c r="AD27" i="4"/>
  <c r="AD28" i="4" s="1"/>
  <c r="AL33" i="1"/>
  <c r="F35" i="1"/>
  <c r="G35" i="1"/>
  <c r="C35" i="1"/>
  <c r="D35" i="1"/>
  <c r="E35" i="1"/>
  <c r="B35" i="1"/>
  <c r="B5" i="4"/>
  <c r="C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AA5" i="4"/>
  <c r="AB5" i="4"/>
  <c r="AC5" i="4"/>
  <c r="AD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AA35" i="4"/>
  <c r="AB35" i="4"/>
  <c r="AC35" i="4"/>
  <c r="AD35" i="4"/>
  <c r="AL35" i="4"/>
  <c r="H35" i="1"/>
  <c r="I35" i="1"/>
  <c r="J35" i="1"/>
  <c r="K35" i="1"/>
  <c r="L35" i="1"/>
  <c r="M35" i="1"/>
  <c r="N35" i="1"/>
  <c r="O35" i="1"/>
  <c r="P35" i="1"/>
  <c r="Q35" i="1"/>
  <c r="R35" i="1"/>
  <c r="S35" i="1"/>
  <c r="C5" i="1"/>
  <c r="D5" i="1"/>
  <c r="E5" i="1"/>
  <c r="F5" i="1"/>
  <c r="G5" i="1"/>
  <c r="H5" i="1"/>
  <c r="I5" i="1"/>
  <c r="J5" i="1"/>
  <c r="B5" i="1"/>
  <c r="F15" i="6" l="1"/>
  <c r="B33" i="4"/>
  <c r="F14" i="6"/>
  <c r="M6" i="2"/>
  <c r="C21" i="3" s="1"/>
  <c r="F9" i="6"/>
  <c r="M4" i="2"/>
  <c r="C19" i="3" s="1"/>
  <c r="M10" i="2"/>
  <c r="C25" i="3" s="1"/>
  <c r="AL27" i="1"/>
  <c r="AL28" i="1" s="1"/>
  <c r="M9" i="2"/>
  <c r="C24" i="3" s="1"/>
  <c r="M14" i="2"/>
  <c r="C29" i="3" s="1"/>
  <c r="E35" i="2"/>
  <c r="G15" i="2"/>
  <c r="K15" i="2"/>
  <c r="B28" i="1"/>
  <c r="C15" i="2"/>
  <c r="C16" i="6" s="1"/>
  <c r="M7" i="2"/>
  <c r="C22" i="3" s="1"/>
  <c r="F8" i="6"/>
  <c r="F6" i="6"/>
  <c r="H15" i="2"/>
  <c r="F10" i="6"/>
  <c r="I10" i="6" s="1"/>
  <c r="M11" i="2"/>
  <c r="C26" i="3" s="1"/>
  <c r="F13" i="6"/>
  <c r="F7" i="6"/>
  <c r="I7" i="6" s="1"/>
  <c r="M5" i="2"/>
  <c r="C20" i="3" s="1"/>
  <c r="F12" i="6"/>
  <c r="E15" i="2"/>
  <c r="I15" i="2"/>
  <c r="M13" i="2"/>
  <c r="C28" i="3" s="1"/>
  <c r="F3" i="6"/>
  <c r="J15" i="2"/>
  <c r="F5" i="6"/>
  <c r="I5" i="6" s="1"/>
  <c r="F4" i="6"/>
  <c r="L15" i="2"/>
  <c r="C13" i="6"/>
  <c r="M12" i="2"/>
  <c r="C27" i="3" s="1"/>
  <c r="C4" i="6"/>
  <c r="M3" i="2"/>
  <c r="C18" i="3" s="1"/>
  <c r="C6" i="6"/>
  <c r="D15" i="2"/>
  <c r="C9" i="6"/>
  <c r="M8" i="2"/>
  <c r="C23" i="3" s="1"/>
  <c r="F11" i="6"/>
  <c r="C8" i="6"/>
  <c r="F15" i="2"/>
  <c r="C3" i="6"/>
  <c r="M2" i="2"/>
  <c r="G30" i="2"/>
  <c r="K30" i="2"/>
  <c r="H30" i="2"/>
  <c r="L30" i="2"/>
  <c r="E30" i="2"/>
  <c r="I30" i="2"/>
  <c r="F30" i="2"/>
  <c r="J30" i="2"/>
  <c r="F35" i="2"/>
  <c r="F36" i="2" s="1"/>
  <c r="D28" i="4"/>
  <c r="F19" i="6"/>
  <c r="AL27" i="4"/>
  <c r="AL28" i="4" s="1"/>
  <c r="F29" i="6"/>
  <c r="F28" i="6"/>
  <c r="F27" i="6"/>
  <c r="B28" i="4"/>
  <c r="F24" i="6"/>
  <c r="E29" i="2"/>
  <c r="F23" i="6"/>
  <c r="F20" i="6"/>
  <c r="H29" i="2"/>
  <c r="G29" i="2"/>
  <c r="F29" i="2"/>
  <c r="C19" i="6"/>
  <c r="M18" i="2"/>
  <c r="C29" i="2"/>
  <c r="C23" i="6"/>
  <c r="M22" i="2"/>
  <c r="F25" i="6"/>
  <c r="M24" i="2"/>
  <c r="F26" i="6"/>
  <c r="M25" i="2"/>
  <c r="M27" i="2"/>
  <c r="C28" i="6"/>
  <c r="C29" i="6"/>
  <c r="M28" i="2"/>
  <c r="C27" i="6"/>
  <c r="M26" i="2"/>
  <c r="M16" i="2"/>
  <c r="C17" i="6"/>
  <c r="C30" i="2"/>
  <c r="M19" i="2"/>
  <c r="C20" i="6"/>
  <c r="F17" i="6"/>
  <c r="D30" i="2"/>
  <c r="D29" i="2"/>
  <c r="F18" i="6"/>
  <c r="M17" i="2"/>
  <c r="M20" i="2"/>
  <c r="F21" i="6"/>
  <c r="F22" i="6"/>
  <c r="M21" i="2"/>
  <c r="M23" i="2"/>
  <c r="C24" i="6"/>
  <c r="I15" i="6" l="1"/>
  <c r="K29" i="2" a="1"/>
  <c r="K29" i="2" s="1"/>
  <c r="K31" i="2" s="1"/>
  <c r="I6" i="6"/>
  <c r="I14" i="6"/>
  <c r="F16" i="6"/>
  <c r="G31" i="2"/>
  <c r="I8" i="6"/>
  <c r="H31" i="2"/>
  <c r="I12" i="6"/>
  <c r="I3" i="6"/>
  <c r="F31" i="2"/>
  <c r="E31" i="2"/>
  <c r="M15" i="2"/>
  <c r="C15" i="3" s="1"/>
  <c r="I9" i="6"/>
  <c r="I11" i="6"/>
  <c r="I4" i="6"/>
  <c r="I13" i="6"/>
  <c r="N12" i="2"/>
  <c r="N14" i="2"/>
  <c r="N6" i="2"/>
  <c r="E34" i="2"/>
  <c r="E36" i="2" s="1"/>
  <c r="N11" i="2"/>
  <c r="N4" i="2"/>
  <c r="N7" i="2"/>
  <c r="N5" i="2"/>
  <c r="N13" i="2"/>
  <c r="N10" i="2"/>
  <c r="N8" i="2"/>
  <c r="N9" i="2"/>
  <c r="N3" i="2"/>
  <c r="C2" i="3"/>
  <c r="I28" i="6"/>
  <c r="I27" i="6"/>
  <c r="L29" i="2" a="1"/>
  <c r="L29" i="2" s="1"/>
  <c r="L31" i="2" s="1"/>
  <c r="J29" i="2" a="1"/>
  <c r="J29" i="2" s="1"/>
  <c r="J31" i="2" s="1"/>
  <c r="I25" i="6"/>
  <c r="I29" i="2" a="1"/>
  <c r="I29" i="2" s="1"/>
  <c r="I31" i="2" s="1"/>
  <c r="I24" i="6"/>
  <c r="F30" i="6"/>
  <c r="D31" i="2"/>
  <c r="N19" i="2"/>
  <c r="D20" i="3"/>
  <c r="E20" i="3" s="1"/>
  <c r="F20" i="3" s="1"/>
  <c r="O19" i="2"/>
  <c r="N26" i="2"/>
  <c r="D27" i="3"/>
  <c r="E27" i="3" s="1"/>
  <c r="F27" i="3" s="1"/>
  <c r="O27" i="2"/>
  <c r="N27" i="2"/>
  <c r="D28" i="3"/>
  <c r="E28" i="3" s="1"/>
  <c r="F28" i="3" s="1"/>
  <c r="O18" i="2"/>
  <c r="N18" i="2"/>
  <c r="D19" i="3"/>
  <c r="E19" i="3" s="1"/>
  <c r="F19" i="3" s="1"/>
  <c r="M30" i="2"/>
  <c r="D34" i="2"/>
  <c r="D29" i="3"/>
  <c r="E29" i="3" s="1"/>
  <c r="F29" i="3" s="1"/>
  <c r="O28" i="2"/>
  <c r="N28" i="2"/>
  <c r="D26" i="3"/>
  <c r="E26" i="3" s="1"/>
  <c r="F26" i="3" s="1"/>
  <c r="N25" i="2"/>
  <c r="O25" i="2"/>
  <c r="O22" i="2"/>
  <c r="D23" i="3"/>
  <c r="E23" i="3" s="1"/>
  <c r="F23" i="3" s="1"/>
  <c r="N22" i="2"/>
  <c r="I19" i="6"/>
  <c r="D21" i="3"/>
  <c r="E21" i="3" s="1"/>
  <c r="F21" i="3" s="1"/>
  <c r="O20" i="2"/>
  <c r="N20" i="2"/>
  <c r="D22" i="3"/>
  <c r="E22" i="3" s="1"/>
  <c r="F22" i="3" s="1"/>
  <c r="N21" i="2"/>
  <c r="O21" i="2"/>
  <c r="D18" i="3"/>
  <c r="E18" i="3" s="1"/>
  <c r="F18" i="3" s="1"/>
  <c r="O17" i="2"/>
  <c r="N17" i="2"/>
  <c r="F31" i="6"/>
  <c r="I17" i="6"/>
  <c r="C31" i="6"/>
  <c r="I21" i="6"/>
  <c r="I29" i="6"/>
  <c r="I26" i="6"/>
  <c r="I23" i="6"/>
  <c r="I18" i="6"/>
  <c r="O23" i="2"/>
  <c r="D24" i="3"/>
  <c r="E24" i="3" s="1"/>
  <c r="F24" i="3" s="1"/>
  <c r="N23" i="2"/>
  <c r="I22" i="6"/>
  <c r="I20" i="6"/>
  <c r="D2" i="3"/>
  <c r="D25" i="3"/>
  <c r="E25" i="3" s="1"/>
  <c r="F25" i="3" s="1"/>
  <c r="O24" i="2"/>
  <c r="N24" i="2"/>
  <c r="C31" i="2"/>
  <c r="C30" i="6"/>
  <c r="E2" i="3" l="1"/>
  <c r="I16" i="6"/>
  <c r="G34" i="2"/>
  <c r="N15" i="2"/>
  <c r="I31" i="6"/>
  <c r="M29" i="2"/>
  <c r="D15" i="3" s="1"/>
  <c r="E15" i="3" s="1"/>
  <c r="G19" i="3"/>
  <c r="H19" i="3" s="1"/>
  <c r="G23" i="3"/>
  <c r="H23" i="3" s="1"/>
  <c r="G20" i="3"/>
  <c r="H20" i="3" s="1"/>
  <c r="G25" i="3"/>
  <c r="H25" i="3" s="1"/>
  <c r="G18" i="3"/>
  <c r="H18" i="3" s="1"/>
  <c r="G24" i="3"/>
  <c r="H24" i="3" s="1"/>
  <c r="G29" i="3"/>
  <c r="H29" i="3" s="1"/>
  <c r="G28" i="3"/>
  <c r="H28" i="3" s="1"/>
  <c r="G22" i="3"/>
  <c r="H22" i="3" s="1"/>
  <c r="G27" i="3"/>
  <c r="H27" i="3" s="1"/>
  <c r="G21" i="3"/>
  <c r="H21" i="3" s="1"/>
  <c r="G26" i="3"/>
  <c r="H26" i="3" s="1"/>
  <c r="F32" i="6"/>
  <c r="F33" i="6" s="1"/>
  <c r="C32" i="6"/>
  <c r="C33" i="6" s="1"/>
  <c r="I30" i="6"/>
  <c r="M31" i="2"/>
  <c r="N31" i="2" s="1"/>
  <c r="D35" i="2"/>
  <c r="D36" i="2" s="1"/>
  <c r="I32" i="6" l="1"/>
  <c r="I33" i="6" s="1"/>
  <c r="O29" i="2"/>
  <c r="G35" i="2"/>
  <c r="N29" i="2"/>
  <c r="E6" i="3"/>
  <c r="B6" i="3"/>
  <c r="D6" i="3"/>
  <c r="C6" i="3"/>
  <c r="D14" i="3"/>
  <c r="B14" i="3"/>
  <c r="E14" i="3"/>
  <c r="C14" i="3"/>
  <c r="B5" i="3"/>
  <c r="D5" i="3"/>
  <c r="E5" i="3"/>
  <c r="C5" i="3"/>
  <c r="D12" i="3"/>
  <c r="B12" i="3"/>
  <c r="E12" i="3"/>
  <c r="C12" i="3"/>
  <c r="B9" i="3"/>
  <c r="D9" i="3"/>
  <c r="E9" i="3"/>
  <c r="C9" i="3"/>
  <c r="B8" i="3"/>
  <c r="E8" i="3"/>
  <c r="D8" i="3"/>
  <c r="C8" i="3"/>
  <c r="B7" i="3"/>
  <c r="D7" i="3"/>
  <c r="E7" i="3"/>
  <c r="C7" i="3"/>
  <c r="B3" i="3"/>
  <c r="D3" i="3"/>
  <c r="E3" i="3"/>
  <c r="C3" i="3"/>
  <c r="E4" i="3"/>
  <c r="B4" i="3"/>
  <c r="D4" i="3"/>
  <c r="C4" i="3"/>
  <c r="I15" i="3"/>
  <c r="G15" i="3"/>
  <c r="H15" i="3" s="1"/>
  <c r="F15" i="3"/>
  <c r="E11" i="3"/>
  <c r="B11" i="3"/>
  <c r="D11" i="3"/>
  <c r="C11" i="3"/>
  <c r="D13" i="3"/>
  <c r="B13" i="3"/>
  <c r="E13" i="3"/>
  <c r="C13" i="3"/>
  <c r="D10" i="3"/>
  <c r="B10" i="3"/>
  <c r="E10" i="3"/>
  <c r="C10" i="3"/>
  <c r="F3" i="3" l="1"/>
  <c r="I3" i="3"/>
  <c r="G3" i="3"/>
  <c r="H3" i="3" s="1"/>
  <c r="I7" i="3"/>
  <c r="F7" i="3"/>
  <c r="I10" i="3"/>
  <c r="F10" i="3"/>
  <c r="I13" i="3"/>
  <c r="F13" i="3"/>
  <c r="I9" i="3"/>
  <c r="F9" i="3"/>
  <c r="F12" i="3"/>
  <c r="I12" i="3"/>
  <c r="F6" i="3"/>
  <c r="I6" i="3"/>
  <c r="I4" i="3"/>
  <c r="F4" i="3"/>
  <c r="F8" i="3"/>
  <c r="I8" i="3"/>
  <c r="I11" i="3"/>
  <c r="F11" i="3"/>
  <c r="I5" i="3"/>
  <c r="F5" i="3"/>
  <c r="I14" i="3"/>
  <c r="F14" i="3"/>
  <c r="J3" i="3" l="1"/>
  <c r="G4" i="3"/>
  <c r="H4" i="3" s="1"/>
  <c r="J4" i="3" s="1"/>
  <c r="G5" i="3" l="1"/>
  <c r="H5" i="3" s="1"/>
  <c r="J5" i="3" s="1"/>
  <c r="G6" i="3" l="1"/>
  <c r="H6" i="3" s="1"/>
  <c r="J6" i="3" s="1"/>
  <c r="G7" i="3" l="1"/>
  <c r="H7" i="3" s="1"/>
  <c r="J7" i="3" s="1"/>
  <c r="G8" i="3" l="1"/>
  <c r="H8" i="3" s="1"/>
  <c r="J8" i="3" s="1"/>
  <c r="G9" i="3" l="1"/>
  <c r="H9" i="3" s="1"/>
  <c r="J9" i="3" s="1"/>
  <c r="G10" i="3" l="1"/>
  <c r="H10" i="3" s="1"/>
  <c r="J10" i="3" s="1"/>
  <c r="G11" i="3" l="1"/>
  <c r="H11" i="3" s="1"/>
  <c r="J11" i="3" s="1"/>
  <c r="G12" i="3" l="1"/>
  <c r="H12" i="3" s="1"/>
  <c r="J12" i="3" s="1"/>
  <c r="G13" i="3" l="1"/>
  <c r="G14" i="3" s="1"/>
  <c r="H14" i="3" s="1"/>
  <c r="J14" i="3" s="1"/>
  <c r="H13" i="3" l="1"/>
  <c r="J13" i="3" s="1"/>
  <c r="G29" i="6" l="1"/>
  <c r="H29" i="6" s="1"/>
  <c r="G28" i="6"/>
  <c r="H28" i="6" s="1"/>
  <c r="D28" i="6"/>
  <c r="G27" i="6"/>
  <c r="H27" i="6" s="1"/>
  <c r="D27" i="6"/>
  <c r="G26" i="6"/>
  <c r="H26" i="6" s="1"/>
  <c r="D26" i="6"/>
  <c r="G25" i="6"/>
  <c r="H25" i="6" s="1"/>
  <c r="G24" i="6"/>
  <c r="H24" i="6" s="1"/>
  <c r="D24" i="6"/>
  <c r="G23" i="6"/>
  <c r="H23" i="6" s="1"/>
  <c r="D23" i="6"/>
  <c r="G22" i="6"/>
  <c r="H22" i="6" s="1"/>
  <c r="D22" i="6"/>
  <c r="G21" i="6"/>
  <c r="H21" i="6" s="1"/>
  <c r="G20" i="6"/>
  <c r="H20" i="6" s="1"/>
  <c r="D20" i="6"/>
  <c r="G19" i="6"/>
  <c r="H19" i="6" s="1"/>
  <c r="D19" i="6"/>
  <c r="G18" i="6"/>
  <c r="H18" i="6" s="1"/>
  <c r="D18" i="6"/>
  <c r="G17" i="6"/>
  <c r="H17" i="6" s="1"/>
  <c r="G15" i="6"/>
  <c r="H15" i="6" s="1"/>
  <c r="D15" i="6"/>
  <c r="G14" i="6"/>
  <c r="H14" i="6" s="1"/>
  <c r="G13" i="6"/>
  <c r="H13" i="6" s="1"/>
  <c r="D13" i="6"/>
  <c r="G12" i="6"/>
  <c r="H12" i="6" s="1"/>
  <c r="G11" i="6"/>
  <c r="H11" i="6" s="1"/>
  <c r="D11" i="6"/>
  <c r="G10" i="6"/>
  <c r="H10" i="6" s="1"/>
  <c r="G9" i="6"/>
  <c r="H9" i="6" s="1"/>
  <c r="G8" i="6"/>
  <c r="H8" i="6" s="1"/>
  <c r="D8" i="6"/>
  <c r="G7" i="6"/>
  <c r="H7" i="6" s="1"/>
  <c r="G6" i="6"/>
  <c r="H6" i="6" s="1"/>
  <c r="D6" i="6"/>
  <c r="G5" i="6"/>
  <c r="H5" i="6" s="1"/>
  <c r="G4" i="6"/>
  <c r="H4" i="6" s="1"/>
  <c r="D4" i="6"/>
  <c r="G3" i="6"/>
  <c r="J22" i="6" l="1"/>
  <c r="E22" i="6"/>
  <c r="K22" i="6" s="1"/>
  <c r="J26" i="6"/>
  <c r="E26" i="6"/>
  <c r="K26" i="6" s="1"/>
  <c r="E18" i="6"/>
  <c r="K18" i="6" s="1"/>
  <c r="J18" i="6"/>
  <c r="J19" i="6"/>
  <c r="E19" i="6"/>
  <c r="K19" i="6" s="1"/>
  <c r="J23" i="6"/>
  <c r="E23" i="6"/>
  <c r="K23" i="6" s="1"/>
  <c r="J20" i="6"/>
  <c r="E20" i="6"/>
  <c r="K20" i="6" s="1"/>
  <c r="J24" i="6"/>
  <c r="E24" i="6"/>
  <c r="K24" i="6" s="1"/>
  <c r="J28" i="6"/>
  <c r="E28" i="6"/>
  <c r="K28" i="6" s="1"/>
  <c r="J27" i="6"/>
  <c r="E27" i="6"/>
  <c r="K27" i="6" s="1"/>
  <c r="D17" i="6"/>
  <c r="D21" i="6"/>
  <c r="D25" i="6"/>
  <c r="D29" i="6"/>
  <c r="J13" i="6"/>
  <c r="E13" i="6"/>
  <c r="K13" i="6" s="1"/>
  <c r="D5" i="6"/>
  <c r="D9" i="6"/>
  <c r="D10" i="6"/>
  <c r="D14" i="6"/>
  <c r="J6" i="6"/>
  <c r="E6" i="6"/>
  <c r="K6" i="6" s="1"/>
  <c r="E11" i="6"/>
  <c r="K11" i="6" s="1"/>
  <c r="J11" i="6"/>
  <c r="E15" i="6"/>
  <c r="K15" i="6" s="1"/>
  <c r="J15" i="6"/>
  <c r="D3" i="6"/>
  <c r="D7" i="6"/>
  <c r="G31" i="6"/>
  <c r="H3" i="6"/>
  <c r="H31" i="6" s="1"/>
  <c r="D12" i="6"/>
  <c r="J4" i="6"/>
  <c r="E4" i="6"/>
  <c r="K4" i="6" s="1"/>
  <c r="J8" i="6"/>
  <c r="E8" i="6"/>
  <c r="K8" i="6" s="1"/>
  <c r="G16" i="6"/>
  <c r="G30" i="6"/>
  <c r="H30" i="6" s="1"/>
  <c r="J25" i="6" l="1"/>
  <c r="E25" i="6"/>
  <c r="K25" i="6" s="1"/>
  <c r="M25" i="6" s="1"/>
  <c r="C42" i="6" s="1"/>
  <c r="D42" i="6" s="1"/>
  <c r="J29" i="6"/>
  <c r="E29" i="6"/>
  <c r="K29" i="6" s="1"/>
  <c r="J17" i="6"/>
  <c r="E17" i="6"/>
  <c r="K17" i="6" s="1"/>
  <c r="L20" i="6" s="1"/>
  <c r="E21" i="6"/>
  <c r="K21" i="6" s="1"/>
  <c r="J21" i="6"/>
  <c r="D30" i="6"/>
  <c r="M18" i="6"/>
  <c r="C35" i="6" s="1"/>
  <c r="D35" i="6" s="1"/>
  <c r="D31" i="6"/>
  <c r="J31" i="6" s="1"/>
  <c r="J3" i="6"/>
  <c r="E3" i="6"/>
  <c r="J14" i="6"/>
  <c r="E14" i="6"/>
  <c r="K14" i="6" s="1"/>
  <c r="E10" i="6"/>
  <c r="K10" i="6" s="1"/>
  <c r="J10" i="6"/>
  <c r="E12" i="6"/>
  <c r="K12" i="6" s="1"/>
  <c r="J12" i="6"/>
  <c r="J9" i="6"/>
  <c r="E9" i="6"/>
  <c r="K9" i="6" s="1"/>
  <c r="G32" i="6"/>
  <c r="G33" i="6" s="1"/>
  <c r="H16" i="6"/>
  <c r="D16" i="6"/>
  <c r="E5" i="6"/>
  <c r="K5" i="6" s="1"/>
  <c r="J5" i="6"/>
  <c r="E7" i="6"/>
  <c r="K7" i="6" s="1"/>
  <c r="J7" i="6"/>
  <c r="M27" i="6"/>
  <c r="C44" i="6" s="1"/>
  <c r="D44" i="6" s="1"/>
  <c r="M22" i="6"/>
  <c r="C39" i="6" s="1"/>
  <c r="D39" i="6" s="1"/>
  <c r="M20" i="6"/>
  <c r="C37" i="6" s="1"/>
  <c r="D37" i="6" s="1"/>
  <c r="L19" i="6" l="1"/>
  <c r="L29" i="6"/>
  <c r="M29" i="6"/>
  <c r="C46" i="6" s="1"/>
  <c r="D46" i="6" s="1"/>
  <c r="L22" i="6"/>
  <c r="L21" i="6"/>
  <c r="J30" i="6"/>
  <c r="E30" i="6"/>
  <c r="K30" i="6" s="1"/>
  <c r="L30" i="6" s="1"/>
  <c r="L28" i="6"/>
  <c r="L24" i="6"/>
  <c r="L18" i="6"/>
  <c r="L27" i="6"/>
  <c r="L25" i="6"/>
  <c r="L23" i="6"/>
  <c r="L26" i="6"/>
  <c r="M21" i="6"/>
  <c r="C38" i="6" s="1"/>
  <c r="D38" i="6" s="1"/>
  <c r="K3" i="6"/>
  <c r="L5" i="6" s="1"/>
  <c r="E31" i="6"/>
  <c r="K31" i="6" s="1"/>
  <c r="M19" i="6"/>
  <c r="C36" i="6" s="1"/>
  <c r="D36" i="6" s="1"/>
  <c r="D32" i="6"/>
  <c r="D33" i="6" s="1"/>
  <c r="J16" i="6"/>
  <c r="E16" i="6"/>
  <c r="M26" i="6"/>
  <c r="C43" i="6" s="1"/>
  <c r="D43" i="6" s="1"/>
  <c r="H32" i="6"/>
  <c r="H33" i="6" s="1"/>
  <c r="M24" i="6"/>
  <c r="C41" i="6" s="1"/>
  <c r="D41" i="6" s="1"/>
  <c r="M23" i="6"/>
  <c r="C40" i="6" s="1"/>
  <c r="D40" i="6" s="1"/>
  <c r="M28" i="6"/>
  <c r="C45" i="6" s="1"/>
  <c r="D45" i="6" s="1"/>
  <c r="J32" i="6" l="1"/>
  <c r="J33" i="6" s="1"/>
  <c r="L12" i="6"/>
  <c r="L10" i="6"/>
  <c r="E44" i="6"/>
  <c r="F44" i="6" s="1"/>
  <c r="H44" i="6" s="1"/>
  <c r="E32" i="6"/>
  <c r="K32" i="6" s="1"/>
  <c r="K33" i="6" s="1"/>
  <c r="L14" i="6"/>
  <c r="L9" i="6"/>
  <c r="K16" i="6"/>
  <c r="L16" i="6" s="1"/>
  <c r="E38" i="6"/>
  <c r="F38" i="6" s="1"/>
  <c r="K38" i="6" s="1"/>
  <c r="E43" i="6"/>
  <c r="F43" i="6" s="1"/>
  <c r="E42" i="6"/>
  <c r="F42" i="6" s="1"/>
  <c r="E37" i="6"/>
  <c r="F37" i="6" s="1"/>
  <c r="E46" i="6"/>
  <c r="F46" i="6" s="1"/>
  <c r="E41" i="6"/>
  <c r="F41" i="6" s="1"/>
  <c r="E45" i="6"/>
  <c r="F45" i="6" s="1"/>
  <c r="L11" i="6"/>
  <c r="L13" i="6"/>
  <c r="L4" i="6"/>
  <c r="L8" i="6"/>
  <c r="L6" i="6"/>
  <c r="L15" i="6"/>
  <c r="E35" i="6"/>
  <c r="F35" i="6" s="1"/>
  <c r="E39" i="6"/>
  <c r="F39" i="6" s="1"/>
  <c r="L7" i="6"/>
  <c r="E40" i="6"/>
  <c r="F40" i="6" s="1"/>
  <c r="E36" i="6"/>
  <c r="F36" i="6" s="1"/>
  <c r="K44" i="6" l="1"/>
  <c r="L44" i="6" s="1"/>
  <c r="E33" i="6"/>
  <c r="M30" i="6"/>
  <c r="H38" i="6"/>
  <c r="K36" i="6"/>
  <c r="H36" i="6"/>
  <c r="H46" i="6"/>
  <c r="K46" i="6"/>
  <c r="L38" i="6"/>
  <c r="H40" i="6"/>
  <c r="K40" i="6"/>
  <c r="H37" i="6"/>
  <c r="K37" i="6"/>
  <c r="H41" i="6"/>
  <c r="K41" i="6"/>
  <c r="H39" i="6"/>
  <c r="K39" i="6"/>
  <c r="H42" i="6"/>
  <c r="K42" i="6"/>
  <c r="H35" i="6"/>
  <c r="K35" i="6"/>
  <c r="H43" i="6"/>
  <c r="K43" i="6"/>
  <c r="K45" i="6"/>
  <c r="H45" i="6"/>
  <c r="L42" i="6" l="1"/>
  <c r="L43" i="6"/>
  <c r="L39" i="6"/>
  <c r="L41" i="6"/>
  <c r="L40" i="6"/>
  <c r="L45" i="6"/>
  <c r="L46" i="6"/>
  <c r="M35" i="6"/>
  <c r="N35" i="6" s="1"/>
  <c r="L35" i="6"/>
  <c r="L37" i="6"/>
  <c r="L36" i="6"/>
  <c r="M36" i="6" l="1"/>
  <c r="N36" i="6" l="1"/>
  <c r="M37" i="6"/>
  <c r="N37" i="6" l="1"/>
  <c r="M38" i="6"/>
  <c r="N38" i="6" l="1"/>
  <c r="M39" i="6"/>
  <c r="N39" i="6" l="1"/>
  <c r="M40" i="6"/>
  <c r="N40" i="6" l="1"/>
  <c r="M41" i="6"/>
  <c r="N41" i="6" l="1"/>
  <c r="M42" i="6"/>
  <c r="N42" i="6" l="1"/>
  <c r="M43" i="6"/>
  <c r="N43" i="6" l="1"/>
  <c r="M44" i="6"/>
  <c r="N44" i="6" l="1"/>
  <c r="M45" i="6"/>
  <c r="N45" i="6" l="1"/>
  <c r="M46" i="6"/>
  <c r="N46" i="6" s="1"/>
</calcChain>
</file>

<file path=xl/sharedStrings.xml><?xml version="1.0" encoding="utf-8"?>
<sst xmlns="http://schemas.openxmlformats.org/spreadsheetml/2006/main" count="227" uniqueCount="87">
  <si>
    <t>DIA</t>
  </si>
  <si>
    <t>PRODUÇÃO</t>
  </si>
  <si>
    <t>DIURNO</t>
  </si>
  <si>
    <t>TESTADOR</t>
  </si>
  <si>
    <t>ENCAIXOTAMENTO</t>
  </si>
  <si>
    <t>SHRINK</t>
  </si>
  <si>
    <t>OUTROS</t>
  </si>
  <si>
    <t>T O T A L</t>
  </si>
  <si>
    <t>Modelo</t>
  </si>
  <si>
    <t>COL</t>
  </si>
  <si>
    <t>PH</t>
  </si>
  <si>
    <t>Turno</t>
  </si>
  <si>
    <t>Produção</t>
  </si>
  <si>
    <t>SUBTOTAL</t>
  </si>
  <si>
    <t>NOITE</t>
  </si>
  <si>
    <t>TOTAL DE PRODUÇÃO</t>
  </si>
  <si>
    <t>TOTAL DE FALHAS</t>
  </si>
  <si>
    <t>TOTAL</t>
  </si>
  <si>
    <t>Produzido</t>
  </si>
  <si>
    <t>Falhas</t>
  </si>
  <si>
    <t>Un.</t>
  </si>
  <si>
    <t>pçs</t>
  </si>
  <si>
    <t>%</t>
  </si>
  <si>
    <t>Valor</t>
  </si>
  <si>
    <t>Total</t>
  </si>
  <si>
    <t>ppm</t>
  </si>
  <si>
    <t>Objetivo</t>
  </si>
  <si>
    <t>Diferença</t>
  </si>
  <si>
    <t>Total Dia</t>
  </si>
  <si>
    <t>Total Noite</t>
  </si>
  <si>
    <t>Acumulado</t>
  </si>
  <si>
    <t>pcs</t>
  </si>
  <si>
    <t>MODELO</t>
  </si>
  <si>
    <t>Ocorrências</t>
  </si>
  <si>
    <t>Diurno</t>
  </si>
  <si>
    <t>Noturno</t>
  </si>
  <si>
    <t>it</t>
  </si>
  <si>
    <t>it.</t>
  </si>
  <si>
    <t>Operação</t>
  </si>
  <si>
    <t>Sub-Total Dia</t>
  </si>
  <si>
    <t>Sub-Total Noite</t>
  </si>
  <si>
    <t>Calculo</t>
  </si>
  <si>
    <t>Maior</t>
  </si>
  <si>
    <t>Corresp.</t>
  </si>
  <si>
    <t>Inspetor:</t>
  </si>
  <si>
    <t>Data:</t>
  </si>
  <si>
    <t>Produção:</t>
  </si>
  <si>
    <t>Controle da Qualidade:</t>
  </si>
  <si>
    <t>S/ ANEL VERMELHO</t>
  </si>
  <si>
    <t>S/ CAP</t>
  </si>
  <si>
    <t>DEFEITO BLINDAGEM</t>
  </si>
  <si>
    <t>S/ ARRUELA / ARR. DESLOCADA</t>
  </si>
  <si>
    <t>S/ BOTTOM PLATE</t>
  </si>
  <si>
    <t xml:space="preserve">S/ ARRUELA </t>
  </si>
  <si>
    <t>NOTURNO</t>
  </si>
  <si>
    <t>TSHB</t>
  </si>
  <si>
    <t>SN</t>
  </si>
  <si>
    <t>MANCHADA</t>
  </si>
  <si>
    <t>RISCADA</t>
  </si>
  <si>
    <t>CH. RISCADA</t>
  </si>
  <si>
    <t>CH. MANCHADA</t>
  </si>
  <si>
    <t>Planilhas Bloqueadas após fechamento do mês:</t>
  </si>
  <si>
    <t>Senhas: PANA.AAMM.CQ</t>
  </si>
  <si>
    <t>AA - Ano com 2 digitos</t>
  </si>
  <si>
    <t>MM - Mês com 2 dígitos</t>
  </si>
  <si>
    <t>3SH1</t>
  </si>
  <si>
    <t>3SH2</t>
  </si>
  <si>
    <t>FUNDO SUJO</t>
  </si>
  <si>
    <t>Total (D+N)</t>
  </si>
  <si>
    <t>Visto CQ</t>
  </si>
  <si>
    <t>Visto Supervisor</t>
  </si>
  <si>
    <t>FALHAS NÃO RECUPERÁVEIS DO ACABAMENTO UM-3 (SHRINK)</t>
  </si>
  <si>
    <t>Problemas</t>
  </si>
  <si>
    <t>Ac. %</t>
  </si>
  <si>
    <t>Ac.</t>
  </si>
  <si>
    <t>Qtd</t>
  </si>
  <si>
    <t>Defeito</t>
  </si>
  <si>
    <t>Cálculo</t>
  </si>
  <si>
    <t>Tipo de Defeito</t>
  </si>
  <si>
    <t>TAXA DEFEITUOSA</t>
  </si>
  <si>
    <t>ACB-2</t>
  </si>
  <si>
    <t>ACB1</t>
  </si>
  <si>
    <t>ACB-1</t>
  </si>
  <si>
    <t>UM-3-L2</t>
  </si>
  <si>
    <t>UM-3-L1</t>
  </si>
  <si>
    <t>LINHA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</si>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</sst>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_)"/>
    <numFmt numFmtId="165" formatCode="0.0"/>
    <numFmt numFmtId="166" formatCode="d/m;@"/>
  </numFmts>
  <fonts count="2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22"/>
      <name val="Arial"/>
      <family val="2"/>
    </font>
    <font>
      <sz val="14"/>
      <name val="Arial"/>
      <family val="2"/>
    </font>
    <font>
      <sz val="10"/>
      <color theme="3" tint="0.39997558519241921"/>
      <name val="Arial"/>
      <family val="2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4" fontId="3" fillId="0" borderId="0"/>
    <xf numFmtId="0" fontId="2" fillId="0" borderId="0"/>
    <xf numFmtId="10" fontId="4" fillId="0" borderId="0" applyFont="0" applyFill="0" applyBorder="0" applyAlignment="0" applyProtection="0"/>
    <xf numFmtId="0" fontId="5" fillId="0" borderId="0"/>
  </cellStyleXfs>
  <cellXfs count="266">
    <xf numFmtId="0" fontId="0" fillId="0" borderId="0" xfId="0"/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3" fontId="0" fillId="0" borderId="7" xfId="0" applyNumberFormat="1" applyBorder="1"/>
    <xf numFmtId="3" fontId="0" fillId="0" borderId="8" xfId="0" applyNumberFormat="1" applyBorder="1"/>
    <xf numFmtId="3" fontId="0" fillId="0" borderId="9" xfId="0" applyNumberFormat="1" applyBorder="1"/>
    <xf numFmtId="3" fontId="0" fillId="0" borderId="5" xfId="0" applyNumberFormat="1" applyBorder="1"/>
    <xf numFmtId="3" fontId="0" fillId="0" borderId="10" xfId="0" applyNumberFormat="1" applyBorder="1" applyAlignment="1">
      <alignment horizontal="center"/>
    </xf>
    <xf numFmtId="3" fontId="0" fillId="0" borderId="11" xfId="0" applyNumberFormat="1" applyBorder="1"/>
    <xf numFmtId="3" fontId="0" fillId="0" borderId="12" xfId="0" applyNumberFormat="1" applyBorder="1"/>
    <xf numFmtId="3" fontId="0" fillId="0" borderId="13" xfId="0" applyNumberFormat="1" applyBorder="1"/>
    <xf numFmtId="3" fontId="0" fillId="0" borderId="14" xfId="0" applyNumberFormat="1" applyBorder="1"/>
    <xf numFmtId="3" fontId="0" fillId="0" borderId="1" xfId="0" applyNumberFormat="1" applyBorder="1"/>
    <xf numFmtId="3" fontId="0" fillId="0" borderId="15" xfId="0" applyNumberFormat="1" applyBorder="1"/>
    <xf numFmtId="3" fontId="0" fillId="0" borderId="16" xfId="0" applyNumberFormat="1" applyBorder="1"/>
    <xf numFmtId="3" fontId="0" fillId="0" borderId="17" xfId="0" applyNumberFormat="1" applyBorder="1"/>
    <xf numFmtId="3" fontId="0" fillId="0" borderId="18" xfId="0" applyNumberFormat="1" applyBorder="1"/>
    <xf numFmtId="3" fontId="0" fillId="0" borderId="19" xfId="0" applyNumberFormat="1" applyBorder="1"/>
    <xf numFmtId="0" fontId="10" fillId="0" borderId="20" xfId="0" applyFont="1" applyBorder="1"/>
    <xf numFmtId="0" fontId="10" fillId="0" borderId="1" xfId="0" applyFont="1" applyBorder="1"/>
    <xf numFmtId="0" fontId="10" fillId="0" borderId="17" xfId="0" applyFont="1" applyBorder="1"/>
    <xf numFmtId="0" fontId="0" fillId="0" borderId="21" xfId="0" applyBorder="1" applyAlignment="1">
      <alignment horizontal="left"/>
    </xf>
    <xf numFmtId="0" fontId="8" fillId="0" borderId="22" xfId="0" applyFont="1" applyBorder="1" applyAlignment="1">
      <alignment horizontal="left" vertical="center"/>
    </xf>
    <xf numFmtId="0" fontId="8" fillId="0" borderId="23" xfId="0" applyFont="1" applyBorder="1" applyAlignment="1">
      <alignment horizontal="left" vertical="center"/>
    </xf>
    <xf numFmtId="0" fontId="9" fillId="0" borderId="24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9" fillId="0" borderId="26" xfId="0" applyFont="1" applyBorder="1" applyAlignment="1">
      <alignment horizontal="left" vertical="center"/>
    </xf>
    <xf numFmtId="0" fontId="10" fillId="0" borderId="27" xfId="0" applyFont="1" applyBorder="1"/>
    <xf numFmtId="3" fontId="0" fillId="0" borderId="28" xfId="0" applyNumberFormat="1" applyBorder="1"/>
    <xf numFmtId="0" fontId="0" fillId="0" borderId="29" xfId="0" applyBorder="1"/>
    <xf numFmtId="0" fontId="8" fillId="0" borderId="30" xfId="0" applyFont="1" applyBorder="1" applyAlignment="1">
      <alignment horizontal="left" vertical="center"/>
    </xf>
    <xf numFmtId="0" fontId="0" fillId="0" borderId="1" xfId="0" applyBorder="1"/>
    <xf numFmtId="0" fontId="10" fillId="0" borderId="0" xfId="0" applyFont="1"/>
    <xf numFmtId="0" fontId="13" fillId="0" borderId="0" xfId="0" applyFont="1"/>
    <xf numFmtId="0" fontId="10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31" xfId="0" applyNumberFormat="1" applyBorder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right" vertical="center"/>
    </xf>
    <xf numFmtId="0" fontId="9" fillId="0" borderId="1" xfId="0" applyFont="1" applyBorder="1" applyAlignment="1">
      <alignment horizontal="left" vertical="center"/>
    </xf>
    <xf numFmtId="0" fontId="0" fillId="2" borderId="1" xfId="0" applyFill="1" applyBorder="1"/>
    <xf numFmtId="1" fontId="10" fillId="0" borderId="32" xfId="0" applyNumberFormat="1" applyFont="1" applyBorder="1"/>
    <xf numFmtId="0" fontId="8" fillId="0" borderId="33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 wrapText="1"/>
    </xf>
    <xf numFmtId="0" fontId="2" fillId="0" borderId="0" xfId="0" applyFont="1"/>
    <xf numFmtId="0" fontId="14" fillId="0" borderId="0" xfId="0" applyFont="1" applyAlignment="1">
      <alignment horizontal="left" vertical="center"/>
    </xf>
    <xf numFmtId="0" fontId="15" fillId="0" borderId="0" xfId="0" applyFont="1"/>
    <xf numFmtId="3" fontId="15" fillId="0" borderId="0" xfId="0" applyNumberFormat="1" applyFont="1"/>
    <xf numFmtId="3" fontId="0" fillId="0" borderId="34" xfId="0" applyNumberFormat="1" applyBorder="1"/>
    <xf numFmtId="0" fontId="10" fillId="0" borderId="20" xfId="0" applyFont="1" applyBorder="1" applyAlignment="1">
      <alignment shrinkToFit="1"/>
    </xf>
    <xf numFmtId="0" fontId="10" fillId="0" borderId="35" xfId="0" applyFont="1" applyBorder="1"/>
    <xf numFmtId="1" fontId="0" fillId="0" borderId="0" xfId="0" applyNumberFormat="1"/>
    <xf numFmtId="0" fontId="0" fillId="0" borderId="3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8" fillId="0" borderId="33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1" fontId="0" fillId="0" borderId="17" xfId="0" applyNumberFormat="1" applyBorder="1" applyAlignment="1">
      <alignment horizontal="center" shrinkToFit="1"/>
    </xf>
    <xf numFmtId="0" fontId="0" fillId="0" borderId="38" xfId="0" applyBorder="1" applyAlignment="1">
      <alignment vertical="top"/>
    </xf>
    <xf numFmtId="0" fontId="0" fillId="0" borderId="39" xfId="0" applyBorder="1" applyAlignment="1">
      <alignment vertical="top"/>
    </xf>
    <xf numFmtId="0" fontId="0" fillId="0" borderId="40" xfId="0" applyBorder="1" applyAlignment="1">
      <alignment vertical="top"/>
    </xf>
    <xf numFmtId="0" fontId="0" fillId="0" borderId="37" xfId="0" applyBorder="1"/>
    <xf numFmtId="0" fontId="0" fillId="0" borderId="9" xfId="0" applyBorder="1"/>
    <xf numFmtId="0" fontId="0" fillId="0" borderId="41" xfId="0" applyBorder="1"/>
    <xf numFmtId="1" fontId="0" fillId="0" borderId="0" xfId="0" applyNumberFormat="1" applyAlignment="1">
      <alignment shrinkToFit="1"/>
    </xf>
    <xf numFmtId="0" fontId="0" fillId="0" borderId="1" xfId="0" applyBorder="1" applyAlignment="1">
      <alignment horizontal="center" vertical="center" textRotation="90"/>
    </xf>
    <xf numFmtId="0" fontId="17" fillId="4" borderId="0" xfId="4" applyFont="1" applyFill="1"/>
    <xf numFmtId="0" fontId="2" fillId="4" borderId="0" xfId="4" applyFill="1"/>
    <xf numFmtId="0" fontId="18" fillId="4" borderId="0" xfId="4" applyFont="1" applyFill="1"/>
    <xf numFmtId="0" fontId="19" fillId="4" borderId="0" xfId="4" applyFont="1" applyFill="1"/>
    <xf numFmtId="0" fontId="10" fillId="2" borderId="3" xfId="0" quotePrefix="1" applyFont="1" applyFill="1" applyBorder="1" applyAlignment="1">
      <alignment horizontal="center"/>
    </xf>
    <xf numFmtId="0" fontId="8" fillId="0" borderId="42" xfId="0" applyFont="1" applyBorder="1" applyAlignment="1">
      <alignment horizontal="left" vertical="center"/>
    </xf>
    <xf numFmtId="0" fontId="6" fillId="0" borderId="9" xfId="0" applyFont="1" applyBorder="1" applyAlignment="1">
      <alignment vertical="center"/>
    </xf>
    <xf numFmtId="0" fontId="2" fillId="0" borderId="39" xfId="0" applyFont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textRotation="90" wrapText="1"/>
    </xf>
    <xf numFmtId="3" fontId="10" fillId="0" borderId="20" xfId="0" applyNumberFormat="1" applyFont="1" applyBorder="1"/>
    <xf numFmtId="3" fontId="10" fillId="0" borderId="27" xfId="0" applyNumberFormat="1" applyFont="1" applyBorder="1"/>
    <xf numFmtId="3" fontId="10" fillId="0" borderId="43" xfId="0" applyNumberFormat="1" applyFont="1" applyBorder="1"/>
    <xf numFmtId="3" fontId="10" fillId="0" borderId="17" xfId="0" applyNumberFormat="1" applyFont="1" applyBorder="1"/>
    <xf numFmtId="3" fontId="10" fillId="0" borderId="32" xfId="0" applyNumberFormat="1" applyFont="1" applyBorder="1"/>
    <xf numFmtId="3" fontId="10" fillId="0" borderId="44" xfId="0" applyNumberFormat="1" applyFont="1" applyBorder="1"/>
    <xf numFmtId="3" fontId="10" fillId="0" borderId="19" xfId="0" applyNumberFormat="1" applyFont="1" applyBorder="1"/>
    <xf numFmtId="3" fontId="2" fillId="0" borderId="45" xfId="0" applyNumberFormat="1" applyFont="1" applyBorder="1"/>
    <xf numFmtId="3" fontId="0" fillId="0" borderId="5" xfId="0" applyNumberFormat="1" applyBorder="1" applyAlignment="1">
      <alignment horizontal="center"/>
    </xf>
    <xf numFmtId="3" fontId="10" fillId="0" borderId="40" xfId="0" applyNumberFormat="1" applyFont="1" applyBorder="1"/>
    <xf numFmtId="3" fontId="10" fillId="0" borderId="41" xfId="0" applyNumberFormat="1" applyFont="1" applyBorder="1"/>
    <xf numFmtId="3" fontId="10" fillId="0" borderId="46" xfId="0" applyNumberFormat="1" applyFont="1" applyBorder="1"/>
    <xf numFmtId="3" fontId="10" fillId="0" borderId="47" xfId="0" applyNumberFormat="1" applyFont="1" applyBorder="1"/>
    <xf numFmtId="0" fontId="0" fillId="0" borderId="0" xfId="0" applyAlignment="1">
      <alignment wrapText="1"/>
    </xf>
    <xf numFmtId="0" fontId="6" fillId="0" borderId="0" xfId="0" applyFont="1" applyAlignment="1">
      <alignment vertical="center"/>
    </xf>
    <xf numFmtId="0" fontId="9" fillId="0" borderId="48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shrinkToFit="1"/>
    </xf>
    <xf numFmtId="0" fontId="9" fillId="0" borderId="49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2" fillId="0" borderId="9" xfId="0" quotePrefix="1" applyFont="1" applyBorder="1" applyAlignment="1">
      <alignment wrapText="1"/>
    </xf>
    <xf numFmtId="3" fontId="0" fillId="0" borderId="28" xfId="0" applyNumberFormat="1" applyBorder="1" applyAlignment="1">
      <alignment horizontal="center"/>
    </xf>
    <xf numFmtId="3" fontId="0" fillId="0" borderId="29" xfId="0" applyNumberFormat="1" applyBorder="1" applyAlignment="1">
      <alignment horizontal="center" shrinkToFit="1"/>
    </xf>
    <xf numFmtId="3" fontId="0" fillId="0" borderId="51" xfId="0" applyNumberFormat="1" applyBorder="1" applyAlignment="1">
      <alignment horizontal="center" shrinkToFit="1"/>
    </xf>
    <xf numFmtId="0" fontId="10" fillId="2" borderId="52" xfId="0" applyFont="1" applyFill="1" applyBorder="1" applyAlignment="1">
      <alignment horizontal="center"/>
    </xf>
    <xf numFmtId="1" fontId="0" fillId="0" borderId="1" xfId="0" applyNumberFormat="1" applyBorder="1"/>
    <xf numFmtId="3" fontId="0" fillId="0" borderId="35" xfId="0" applyNumberFormat="1" applyBorder="1" applyAlignment="1">
      <alignment horizontal="center"/>
    </xf>
    <xf numFmtId="0" fontId="2" fillId="0" borderId="0" xfId="4"/>
    <xf numFmtId="1" fontId="2" fillId="0" borderId="0" xfId="4" applyNumberFormat="1"/>
    <xf numFmtId="165" fontId="2" fillId="0" borderId="0" xfId="4" applyNumberFormat="1"/>
    <xf numFmtId="3" fontId="2" fillId="0" borderId="0" xfId="4" applyNumberFormat="1"/>
    <xf numFmtId="3" fontId="2" fillId="5" borderId="29" xfId="4" applyNumberFormat="1" applyFill="1" applyBorder="1"/>
    <xf numFmtId="3" fontId="2" fillId="5" borderId="17" xfId="4" applyNumberFormat="1" applyFill="1" applyBorder="1"/>
    <xf numFmtId="3" fontId="2" fillId="5" borderId="24" xfId="4" applyNumberFormat="1" applyFill="1" applyBorder="1"/>
    <xf numFmtId="3" fontId="2" fillId="6" borderId="29" xfId="4" applyNumberFormat="1" applyFill="1" applyBorder="1"/>
    <xf numFmtId="3" fontId="2" fillId="6" borderId="17" xfId="4" applyNumberFormat="1" applyFill="1" applyBorder="1"/>
    <xf numFmtId="3" fontId="2" fillId="6" borderId="50" xfId="4" applyNumberFormat="1" applyFill="1" applyBorder="1"/>
    <xf numFmtId="3" fontId="2" fillId="7" borderId="29" xfId="4" applyNumberFormat="1" applyFill="1" applyBorder="1"/>
    <xf numFmtId="3" fontId="2" fillId="7" borderId="17" xfId="4" applyNumberFormat="1" applyFill="1" applyBorder="1"/>
    <xf numFmtId="3" fontId="2" fillId="7" borderId="50" xfId="4" applyNumberFormat="1" applyFill="1" applyBorder="1"/>
    <xf numFmtId="3" fontId="2" fillId="5" borderId="28" xfId="4" applyNumberFormat="1" applyFill="1" applyBorder="1"/>
    <xf numFmtId="3" fontId="2" fillId="5" borderId="1" xfId="4" applyNumberFormat="1" applyFill="1" applyBorder="1"/>
    <xf numFmtId="3" fontId="2" fillId="5" borderId="23" xfId="4" applyNumberFormat="1" applyFill="1" applyBorder="1"/>
    <xf numFmtId="3" fontId="2" fillId="6" borderId="28" xfId="4" applyNumberFormat="1" applyFill="1" applyBorder="1"/>
    <xf numFmtId="3" fontId="2" fillId="6" borderId="1" xfId="4" applyNumberFormat="1" applyFill="1" applyBorder="1"/>
    <xf numFmtId="3" fontId="2" fillId="6" borderId="53" xfId="4" applyNumberFormat="1" applyFill="1" applyBorder="1"/>
    <xf numFmtId="3" fontId="2" fillId="7" borderId="28" xfId="4" applyNumberFormat="1" applyFill="1" applyBorder="1"/>
    <xf numFmtId="3" fontId="2" fillId="7" borderId="1" xfId="4" applyNumberFormat="1" applyFill="1" applyBorder="1"/>
    <xf numFmtId="3" fontId="2" fillId="7" borderId="53" xfId="4" applyNumberFormat="1" applyFill="1" applyBorder="1"/>
    <xf numFmtId="3" fontId="2" fillId="5" borderId="35" xfId="4" applyNumberFormat="1" applyFill="1" applyBorder="1"/>
    <xf numFmtId="3" fontId="2" fillId="5" borderId="20" xfId="4" applyNumberFormat="1" applyFill="1" applyBorder="1"/>
    <xf numFmtId="3" fontId="2" fillId="5" borderId="54" xfId="4" applyNumberFormat="1" applyFill="1" applyBorder="1"/>
    <xf numFmtId="3" fontId="2" fillId="6" borderId="35" xfId="4" applyNumberFormat="1" applyFill="1" applyBorder="1"/>
    <xf numFmtId="3" fontId="2" fillId="6" borderId="20" xfId="4" applyNumberFormat="1" applyFill="1" applyBorder="1"/>
    <xf numFmtId="3" fontId="2" fillId="6" borderId="49" xfId="4" applyNumberFormat="1" applyFill="1" applyBorder="1"/>
    <xf numFmtId="3" fontId="2" fillId="7" borderId="35" xfId="4" applyNumberFormat="1" applyFill="1" applyBorder="1"/>
    <xf numFmtId="3" fontId="2" fillId="7" borderId="20" xfId="4" applyNumberFormat="1" applyFill="1" applyBorder="1"/>
    <xf numFmtId="3" fontId="2" fillId="7" borderId="49" xfId="4" applyNumberFormat="1" applyFill="1" applyBorder="1"/>
    <xf numFmtId="3" fontId="2" fillId="0" borderId="19" xfId="4" applyNumberFormat="1" applyBorder="1"/>
    <xf numFmtId="3" fontId="2" fillId="5" borderId="55" xfId="4" applyNumberFormat="1" applyFill="1" applyBorder="1"/>
    <xf numFmtId="3" fontId="2" fillId="5" borderId="9" xfId="4" applyNumberFormat="1" applyFill="1" applyBorder="1"/>
    <xf numFmtId="3" fontId="2" fillId="5" borderId="56" xfId="4" applyNumberFormat="1" applyFill="1" applyBorder="1"/>
    <xf numFmtId="3" fontId="2" fillId="6" borderId="57" xfId="4" applyNumberFormat="1" applyFill="1" applyBorder="1"/>
    <xf numFmtId="3" fontId="2" fillId="6" borderId="52" xfId="4" applyNumberFormat="1" applyFill="1" applyBorder="1"/>
    <xf numFmtId="3" fontId="2" fillId="7" borderId="52" xfId="4" applyNumberFormat="1" applyFill="1" applyBorder="1"/>
    <xf numFmtId="0" fontId="9" fillId="0" borderId="26" xfId="4" applyFont="1" applyBorder="1" applyAlignment="1">
      <alignment horizontal="left" vertical="center"/>
    </xf>
    <xf numFmtId="3" fontId="2" fillId="0" borderId="15" xfId="4" applyNumberFormat="1" applyBorder="1"/>
    <xf numFmtId="3" fontId="2" fillId="5" borderId="16" xfId="4" applyNumberFormat="1" applyFill="1" applyBorder="1"/>
    <xf numFmtId="3" fontId="2" fillId="5" borderId="12" xfId="4" applyNumberFormat="1" applyFill="1" applyBorder="1"/>
    <xf numFmtId="3" fontId="2" fillId="5" borderId="58" xfId="4" applyNumberFormat="1" applyFill="1" applyBorder="1"/>
    <xf numFmtId="3" fontId="2" fillId="6" borderId="59" xfId="4" applyNumberFormat="1" applyFill="1" applyBorder="1"/>
    <xf numFmtId="3" fontId="2" fillId="6" borderId="11" xfId="4" applyNumberFormat="1" applyFill="1" applyBorder="1"/>
    <xf numFmtId="3" fontId="2" fillId="7" borderId="11" xfId="4" applyNumberFormat="1" applyFill="1" applyBorder="1"/>
    <xf numFmtId="0" fontId="8" fillId="0" borderId="30" xfId="4" applyFont="1" applyBorder="1" applyAlignment="1">
      <alignment horizontal="left" vertical="center"/>
    </xf>
    <xf numFmtId="0" fontId="8" fillId="0" borderId="23" xfId="4" applyFont="1" applyBorder="1" applyAlignment="1">
      <alignment horizontal="left" vertical="center"/>
    </xf>
    <xf numFmtId="0" fontId="8" fillId="0" borderId="42" xfId="4" applyFont="1" applyBorder="1" applyAlignment="1">
      <alignment horizontal="left" vertical="center"/>
    </xf>
    <xf numFmtId="0" fontId="8" fillId="0" borderId="33" xfId="4" applyFont="1" applyBorder="1" applyAlignment="1">
      <alignment horizontal="left" vertical="center"/>
    </xf>
    <xf numFmtId="0" fontId="8" fillId="0" borderId="33" xfId="4" applyFont="1" applyBorder="1" applyAlignment="1">
      <alignment horizontal="left" vertical="center" wrapText="1"/>
    </xf>
    <xf numFmtId="3" fontId="2" fillId="0" borderId="43" xfId="4" applyNumberFormat="1" applyBorder="1"/>
    <xf numFmtId="3" fontId="2" fillId="5" borderId="14" xfId="4" applyNumberFormat="1" applyFill="1" applyBorder="1"/>
    <xf numFmtId="3" fontId="2" fillId="5" borderId="60" xfId="4" applyNumberFormat="1" applyFill="1" applyBorder="1"/>
    <xf numFmtId="0" fontId="8" fillId="0" borderId="22" xfId="4" applyFont="1" applyBorder="1" applyAlignment="1">
      <alignment horizontal="left" vertical="center"/>
    </xf>
    <xf numFmtId="0" fontId="2" fillId="0" borderId="5" xfId="4" applyBorder="1"/>
    <xf numFmtId="3" fontId="2" fillId="5" borderId="61" xfId="4" applyNumberFormat="1" applyFill="1" applyBorder="1" applyAlignment="1">
      <alignment horizontal="center"/>
    </xf>
    <xf numFmtId="3" fontId="2" fillId="5" borderId="62" xfId="4" applyNumberFormat="1" applyFill="1" applyBorder="1"/>
    <xf numFmtId="3" fontId="2" fillId="5" borderId="63" xfId="4" applyNumberFormat="1" applyFill="1" applyBorder="1"/>
    <xf numFmtId="3" fontId="2" fillId="5" borderId="2" xfId="4" applyNumberFormat="1" applyFill="1" applyBorder="1"/>
    <xf numFmtId="3" fontId="2" fillId="6" borderId="4" xfId="4" applyNumberFormat="1" applyFill="1" applyBorder="1"/>
    <xf numFmtId="3" fontId="2" fillId="6" borderId="3" xfId="4" applyNumberFormat="1" applyFill="1" applyBorder="1"/>
    <xf numFmtId="3" fontId="2" fillId="7" borderId="3" xfId="4" applyNumberFormat="1" applyFill="1" applyBorder="1"/>
    <xf numFmtId="0" fontId="8" fillId="0" borderId="2" xfId="4" applyFont="1" applyBorder="1" applyAlignment="1">
      <alignment horizontal="left" vertical="center"/>
    </xf>
    <xf numFmtId="3" fontId="2" fillId="5" borderId="64" xfId="4" applyNumberFormat="1" applyFill="1" applyBorder="1"/>
    <xf numFmtId="3" fontId="2" fillId="5" borderId="51" xfId="4" applyNumberFormat="1" applyFill="1" applyBorder="1"/>
    <xf numFmtId="3" fontId="2" fillId="5" borderId="65" xfId="4" applyNumberFormat="1" applyFill="1" applyBorder="1"/>
    <xf numFmtId="3" fontId="2" fillId="5" borderId="66" xfId="4" applyNumberFormat="1" applyFill="1" applyBorder="1"/>
    <xf numFmtId="3" fontId="2" fillId="6" borderId="67" xfId="4" applyNumberFormat="1" applyFill="1" applyBorder="1"/>
    <xf numFmtId="3" fontId="2" fillId="6" borderId="18" xfId="4" applyNumberFormat="1" applyFill="1" applyBorder="1"/>
    <xf numFmtId="3" fontId="2" fillId="7" borderId="18" xfId="4" applyNumberFormat="1" applyFill="1" applyBorder="1"/>
    <xf numFmtId="0" fontId="9" fillId="0" borderId="66" xfId="4" applyFont="1" applyBorder="1" applyAlignment="1">
      <alignment horizontal="left" vertical="center"/>
    </xf>
    <xf numFmtId="0" fontId="8" fillId="0" borderId="53" xfId="4" applyFont="1" applyBorder="1" applyAlignment="1">
      <alignment horizontal="left" vertical="center"/>
    </xf>
    <xf numFmtId="0" fontId="8" fillId="0" borderId="58" xfId="4" applyFont="1" applyBorder="1" applyAlignment="1">
      <alignment horizontal="left" vertical="center"/>
    </xf>
    <xf numFmtId="0" fontId="2" fillId="0" borderId="2" xfId="4" applyBorder="1" applyAlignment="1">
      <alignment horizontal="left"/>
    </xf>
    <xf numFmtId="0" fontId="10" fillId="5" borderId="6" xfId="4" applyFont="1" applyFill="1" applyBorder="1" applyAlignment="1">
      <alignment horizontal="center"/>
    </xf>
    <xf numFmtId="0" fontId="10" fillId="5" borderId="62" xfId="4" applyFont="1" applyFill="1" applyBorder="1" applyAlignment="1">
      <alignment horizontal="center"/>
    </xf>
    <xf numFmtId="0" fontId="10" fillId="5" borderId="63" xfId="4" applyFont="1" applyFill="1" applyBorder="1" applyAlignment="1">
      <alignment horizontal="center"/>
    </xf>
    <xf numFmtId="0" fontId="10" fillId="5" borderId="2" xfId="4" applyFont="1" applyFill="1" applyBorder="1" applyAlignment="1">
      <alignment horizontal="center"/>
    </xf>
    <xf numFmtId="0" fontId="10" fillId="2" borderId="8" xfId="4" applyFont="1" applyFill="1" applyBorder="1" applyAlignment="1">
      <alignment horizontal="center"/>
    </xf>
    <xf numFmtId="0" fontId="10" fillId="2" borderId="7" xfId="4" applyFont="1" applyFill="1" applyBorder="1" applyAlignment="1">
      <alignment horizontal="center"/>
    </xf>
    <xf numFmtId="0" fontId="10" fillId="2" borderId="56" xfId="4" applyFont="1" applyFill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1" fontId="0" fillId="0" borderId="20" xfId="0" applyNumberFormat="1" applyBorder="1" applyAlignment="1">
      <alignment horizontal="center" shrinkToFit="1"/>
    </xf>
    <xf numFmtId="1" fontId="0" fillId="0" borderId="27" xfId="0" applyNumberFormat="1" applyBorder="1" applyAlignment="1">
      <alignment horizontal="center" shrinkToFit="1"/>
    </xf>
    <xf numFmtId="1" fontId="0" fillId="0" borderId="35" xfId="0" applyNumberFormat="1" applyBorder="1" applyAlignment="1">
      <alignment horizontal="center" shrinkToFit="1"/>
    </xf>
    <xf numFmtId="1" fontId="0" fillId="0" borderId="32" xfId="0" applyNumberFormat="1" applyBorder="1" applyAlignment="1">
      <alignment horizontal="center" shrinkToFit="1"/>
    </xf>
    <xf numFmtId="1" fontId="0" fillId="0" borderId="29" xfId="0" applyNumberFormat="1" applyBorder="1" applyAlignment="1">
      <alignment horizontal="center" shrinkToFit="1"/>
    </xf>
    <xf numFmtId="0" fontId="12" fillId="0" borderId="1" xfId="0" applyFont="1" applyBorder="1" applyAlignment="1">
      <alignment horizontal="center" vertical="center" textRotation="90" wrapText="1"/>
    </xf>
    <xf numFmtId="0" fontId="16" fillId="0" borderId="1" xfId="0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10" fillId="0" borderId="45" xfId="0" applyFont="1" applyBorder="1" applyAlignment="1" applyProtection="1">
      <alignment horizontal="center"/>
      <protection locked="0"/>
    </xf>
    <xf numFmtId="0" fontId="1" fillId="0" borderId="17" xfId="0" applyFont="1" applyBorder="1" applyAlignment="1" applyProtection="1">
      <alignment horizontal="center" shrinkToFit="1"/>
      <protection locked="0"/>
    </xf>
    <xf numFmtId="0" fontId="12" fillId="0" borderId="17" xfId="0" applyFont="1" applyBorder="1" applyAlignment="1" applyProtection="1">
      <alignment horizontal="center" shrinkToFit="1"/>
      <protection locked="0"/>
    </xf>
    <xf numFmtId="0" fontId="0" fillId="0" borderId="17" xfId="0" applyBorder="1" applyAlignment="1" applyProtection="1">
      <alignment shrinkToFit="1"/>
      <protection locked="0"/>
    </xf>
    <xf numFmtId="0" fontId="4" fillId="0" borderId="17" xfId="0" applyFont="1" applyBorder="1" applyAlignment="1" applyProtection="1">
      <alignment horizontal="center" shrinkToFit="1"/>
      <protection locked="0"/>
    </xf>
    <xf numFmtId="0" fontId="0" fillId="0" borderId="17" xfId="0" applyBorder="1" applyAlignment="1" applyProtection="1">
      <alignment horizontal="center" shrinkToFit="1"/>
      <protection locked="0"/>
    </xf>
    <xf numFmtId="0" fontId="0" fillId="0" borderId="32" xfId="0" applyBorder="1" applyAlignment="1" applyProtection="1">
      <alignment horizontal="center" shrinkToFit="1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45" xfId="0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textRotation="90" wrapText="1"/>
      <protection locked="0"/>
    </xf>
    <xf numFmtId="0" fontId="2" fillId="0" borderId="1" xfId="0" applyFont="1" applyBorder="1" applyAlignment="1" applyProtection="1">
      <alignment horizontal="center" vertical="center" textRotation="90" wrapText="1"/>
      <protection locked="0"/>
    </xf>
    <xf numFmtId="0" fontId="12" fillId="0" borderId="1" xfId="0" applyFont="1" applyBorder="1" applyAlignment="1" applyProtection="1">
      <alignment horizontal="center" vertical="center" textRotation="90" wrapText="1"/>
      <protection locked="0"/>
    </xf>
    <xf numFmtId="0" fontId="2" fillId="0" borderId="9" xfId="0" quotePrefix="1" applyFont="1" applyBorder="1" applyAlignment="1">
      <alignment vertical="center" wrapText="1"/>
    </xf>
    <xf numFmtId="0" fontId="2" fillId="0" borderId="41" xfId="0" quotePrefix="1" applyFont="1" applyBorder="1" applyAlignment="1">
      <alignment vertical="center" wrapText="1"/>
    </xf>
    <xf numFmtId="166" fontId="11" fillId="0" borderId="20" xfId="0" applyNumberFormat="1" applyFont="1" applyBorder="1" applyAlignment="1" applyProtection="1">
      <alignment horizontal="center"/>
      <protection locked="0"/>
    </xf>
    <xf numFmtId="166" fontId="11" fillId="0" borderId="27" xfId="0" applyNumberFormat="1" applyFont="1" applyBorder="1" applyAlignment="1" applyProtection="1">
      <alignment horizontal="center"/>
      <protection locked="0"/>
    </xf>
    <xf numFmtId="0" fontId="2" fillId="0" borderId="68" xfId="0" quotePrefix="1" applyFont="1" applyBorder="1" applyAlignment="1">
      <alignment horizontal="center" vertical="center" wrapText="1"/>
    </xf>
    <xf numFmtId="0" fontId="2" fillId="0" borderId="6" xfId="0" quotePrefix="1" applyFont="1" applyBorder="1" applyAlignment="1">
      <alignment horizontal="center" vertical="center" wrapText="1"/>
    </xf>
    <xf numFmtId="0" fontId="2" fillId="0" borderId="63" xfId="0" quotePrefix="1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textRotation="90" wrapText="1"/>
    </xf>
    <xf numFmtId="0" fontId="2" fillId="0" borderId="69" xfId="0" applyFont="1" applyBorder="1" applyAlignment="1">
      <alignment horizontal="center" vertical="center" textRotation="90" wrapText="1"/>
    </xf>
    <xf numFmtId="0" fontId="2" fillId="0" borderId="41" xfId="0" applyFont="1" applyBorder="1" applyAlignment="1">
      <alignment horizontal="center" vertical="center" textRotation="90" wrapText="1"/>
    </xf>
    <xf numFmtId="0" fontId="2" fillId="0" borderId="39" xfId="0" applyFont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left" vertical="center" textRotation="90"/>
    </xf>
    <xf numFmtId="0" fontId="7" fillId="0" borderId="37" xfId="0" applyFont="1" applyBorder="1" applyAlignment="1">
      <alignment horizontal="left" vertical="center" textRotation="90"/>
    </xf>
    <xf numFmtId="0" fontId="10" fillId="2" borderId="1" xfId="0" applyFont="1" applyFill="1" applyBorder="1" applyAlignment="1">
      <alignment horizontal="center"/>
    </xf>
    <xf numFmtId="0" fontId="10" fillId="0" borderId="70" xfId="0" applyFont="1" applyBorder="1" applyAlignment="1">
      <alignment horizontal="left"/>
    </xf>
    <xf numFmtId="0" fontId="10" fillId="0" borderId="24" xfId="0" applyFont="1" applyBorder="1" applyAlignment="1">
      <alignment horizontal="left"/>
    </xf>
    <xf numFmtId="0" fontId="10" fillId="0" borderId="33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0" fillId="0" borderId="43" xfId="0" applyBorder="1" applyAlignment="1">
      <alignment horizontal="center" vertical="center" textRotation="90"/>
    </xf>
    <xf numFmtId="0" fontId="0" fillId="0" borderId="15" xfId="0" applyBorder="1" applyAlignment="1">
      <alignment horizontal="center" vertical="center" textRotation="90"/>
    </xf>
    <xf numFmtId="0" fontId="0" fillId="0" borderId="34" xfId="0" applyBorder="1" applyAlignment="1">
      <alignment horizontal="center" vertical="center" textRotation="90"/>
    </xf>
    <xf numFmtId="0" fontId="0" fillId="0" borderId="19" xfId="0" applyBorder="1" applyAlignment="1">
      <alignment horizontal="center" vertical="center" textRotation="90"/>
    </xf>
    <xf numFmtId="0" fontId="9" fillId="0" borderId="49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10" fillId="0" borderId="49" xfId="0" applyFont="1" applyBorder="1" applyAlignment="1">
      <alignment horizontal="left"/>
    </xf>
    <xf numFmtId="0" fontId="10" fillId="0" borderId="20" xfId="0" applyFont="1" applyBorder="1" applyAlignment="1">
      <alignment horizontal="left"/>
    </xf>
    <xf numFmtId="0" fontId="2" fillId="0" borderId="2" xfId="4" applyBorder="1" applyAlignment="1">
      <alignment horizontal="center"/>
    </xf>
    <xf numFmtId="0" fontId="2" fillId="0" borderId="3" xfId="4" applyBorder="1" applyAlignment="1">
      <alignment horizontal="center"/>
    </xf>
    <xf numFmtId="0" fontId="10" fillId="7" borderId="3" xfId="4" applyFont="1" applyFill="1" applyBorder="1" applyAlignment="1">
      <alignment horizontal="center"/>
    </xf>
    <xf numFmtId="0" fontId="10" fillId="6" borderId="3" xfId="4" applyFont="1" applyFill="1" applyBorder="1" applyAlignment="1">
      <alignment horizontal="center"/>
    </xf>
    <xf numFmtId="0" fontId="10" fillId="6" borderId="4" xfId="4" applyFont="1" applyFill="1" applyBorder="1" applyAlignment="1">
      <alignment horizontal="center"/>
    </xf>
    <xf numFmtId="0" fontId="10" fillId="5" borderId="68" xfId="4" applyFont="1" applyFill="1" applyBorder="1" applyAlignment="1">
      <alignment horizontal="center"/>
    </xf>
    <xf numFmtId="0" fontId="10" fillId="5" borderId="63" xfId="4" applyFont="1" applyFill="1" applyBorder="1" applyAlignment="1">
      <alignment horizontal="center"/>
    </xf>
    <xf numFmtId="0" fontId="10" fillId="5" borderId="6" xfId="4" applyFont="1" applyFill="1" applyBorder="1" applyAlignment="1">
      <alignment horizontal="center"/>
    </xf>
    <xf numFmtId="0" fontId="2" fillId="0" borderId="50" xfId="4" applyBorder="1" applyAlignment="1">
      <alignment horizontal="center"/>
    </xf>
    <xf numFmtId="0" fontId="2" fillId="0" borderId="32" xfId="4" applyBorder="1" applyAlignment="1">
      <alignment horizontal="center"/>
    </xf>
    <xf numFmtId="0" fontId="2" fillId="0" borderId="43" xfId="4" applyBorder="1" applyAlignment="1">
      <alignment horizontal="center" vertical="center" textRotation="90"/>
    </xf>
    <xf numFmtId="0" fontId="2" fillId="0" borderId="15" xfId="4" applyBorder="1" applyAlignment="1">
      <alignment horizontal="center" vertical="center" textRotation="90"/>
    </xf>
    <xf numFmtId="0" fontId="2" fillId="0" borderId="34" xfId="4" applyBorder="1" applyAlignment="1">
      <alignment horizontal="center" vertical="center" textRotation="90"/>
    </xf>
    <xf numFmtId="0" fontId="2" fillId="0" borderId="19" xfId="4" applyBorder="1" applyAlignment="1">
      <alignment horizontal="center" vertical="center" textRotation="90"/>
    </xf>
    <xf numFmtId="0" fontId="8" fillId="0" borderId="49" xfId="4" applyFont="1" applyBorder="1" applyAlignment="1">
      <alignment horizontal="center" vertical="center"/>
    </xf>
    <xf numFmtId="0" fontId="8" fillId="0" borderId="27" xfId="4" applyFont="1" applyBorder="1" applyAlignment="1">
      <alignment horizontal="center" vertical="center"/>
    </xf>
    <xf numFmtId="0" fontId="8" fillId="0" borderId="53" xfId="4" applyFont="1" applyBorder="1" applyAlignment="1">
      <alignment horizontal="center" vertical="center"/>
    </xf>
    <xf numFmtId="0" fontId="8" fillId="0" borderId="45" xfId="4" applyFont="1" applyBorder="1" applyAlignment="1">
      <alignment horizontal="center" vertical="center"/>
    </xf>
  </cellXfs>
  <cellStyles count="7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4" xr:uid="{00000000-0005-0000-0000-000004000000}"/>
    <cellStyle name="Percent [2]" xfId="5" xr:uid="{00000000-0005-0000-0000-000005000000}"/>
    <cellStyle name="標準_品質検査" xfId="6" xr:uid="{00000000-0005-0000-0000-000006000000}"/>
  </cellStyles>
  <dxfs count="7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440157480314962E-2"/>
          <c:y val="4.1558494265541632E-2"/>
          <c:w val="0.90012460629921243"/>
          <c:h val="0.91944715771288088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16-318-03 - D'!$A$28</c:f>
              <c:strCache>
                <c:ptCount val="1"/>
                <c:pt idx="0">
                  <c:v>ppm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'SJCPIL-R 16-318-03 - D'!$B$2:$AL$2</c:f>
              <c:strCache>
                <c:ptCount val="37"/>
                <c:pt idx="36">
                  <c:v>TOTAL</c:v>
                </c:pt>
              </c:strCache>
            </c:strRef>
          </c:cat>
          <c:val>
            <c:numRef>
              <c:f>'SJCPIL-R 16-318-03 - D'!$B$28:$AK$28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15-4DBC-BB3C-72B2012F2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8258960"/>
        <c:axId val="1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errBars>
            <c:errDir val="y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yVal>
            <c:numRef>
              <c:f>'SJCPIL-R 16-318-03 - D'!$B$33</c:f>
              <c:numCache>
                <c:formatCode>0</c:formatCode>
                <c:ptCount val="1"/>
                <c:pt idx="0">
                  <c:v>430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15-4DBC-BB3C-72B2012F2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798258960"/>
        <c:scaling>
          <c:orientation val="minMax"/>
        </c:scaling>
        <c:delete val="1"/>
        <c:axPos val="b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 w="12700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1"/>
      </c:catAx>
      <c:valAx>
        <c:axId val="1"/>
        <c:scaling>
          <c:orientation val="minMax"/>
          <c:max val="600"/>
          <c:min val="0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ysDash"/>
            </a:ln>
          </c:spPr>
        </c:minorGridlines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798258960"/>
        <c:crosses val="autoZero"/>
        <c:crossBetween val="between"/>
      </c:valAx>
      <c:valAx>
        <c:axId val="3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6023622047242E-2"/>
          <c:y val="4.1558494265541632E-2"/>
          <c:w val="0.90029934383202115"/>
          <c:h val="0.91948168562510857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16-318-03 - N'!$AL$2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spPr>
              <a:ln w="25400">
                <a:solidFill>
                  <a:srgbClr val="00206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F414-4C29-897C-7229575E4BD7}"/>
              </c:ext>
            </c:extLst>
          </c:dPt>
          <c:cat>
            <c:strRef>
              <c:f>'SJCPIL-R 16-318-03 - N'!$B$2:$AL$2</c:f>
              <c:strCache>
                <c:ptCount val="37"/>
                <c:pt idx="36">
                  <c:v>Total</c:v>
                </c:pt>
              </c:strCache>
            </c:strRef>
          </c:cat>
          <c:val>
            <c:numRef>
              <c:f>'SJCPIL-R 16-318-03 - N'!$B$28:$AK$28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14-4C29-897C-7229575E4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8259792"/>
        <c:axId val="1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16-318-03 - N'!$B$33</c:f>
              <c:numCache>
                <c:formatCode>0</c:formatCode>
                <c:ptCount val="1"/>
                <c:pt idx="0">
                  <c:v>430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14-4C29-897C-7229575E4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798259792"/>
        <c:scaling>
          <c:orientation val="minMax"/>
        </c:scaling>
        <c:delete val="1"/>
        <c:axPos val="b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600"/>
          <c:min val="0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ysDash"/>
            </a:ln>
          </c:spPr>
        </c:minorGridlines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798259792"/>
        <c:crosses val="autoZero"/>
        <c:crossBetween val="between"/>
      </c:valAx>
      <c:valAx>
        <c:axId val="3"/>
        <c:scaling>
          <c:orientation val="minMax"/>
          <c:max val="2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  <c:minorUnit val="0.5"/>
      </c:valAx>
      <c:valAx>
        <c:axId val="4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Pareto de Falhas do Acabamento UM-3</a:t>
            </a:r>
            <a:r>
              <a:rPr lang="pt-BR" baseline="0"/>
              <a:t> Shrink</a:t>
            </a:r>
            <a:endParaRPr lang="pt-BR"/>
          </a:p>
        </c:rich>
      </c:tx>
      <c:layout>
        <c:manualLayout>
          <c:xMode val="edge"/>
          <c:yMode val="edge"/>
          <c:x val="0.39307445806810809"/>
          <c:y val="3.03256592220753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517150395778361E-2"/>
          <c:y val="0.117816257262843"/>
          <c:w val="0.82981530343007914"/>
          <c:h val="0.68767911703344775"/>
        </c:manualLayout>
      </c:layout>
      <c:barChart>
        <c:barDir val="col"/>
        <c:grouping val="clustered"/>
        <c:varyColors val="0"/>
        <c:ser>
          <c:idx val="1"/>
          <c:order val="0"/>
          <c:tx>
            <c:v>Falhas</c:v>
          </c:tx>
          <c:spPr>
            <a:gradFill rotWithShape="0">
              <a:gsLst>
                <a:gs pos="0">
                  <a:srgbClr val="002060"/>
                </a:gs>
                <a:gs pos="50000">
                  <a:schemeClr val="accent1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'Pareto de Falhas'!$B$3:$B$14</c:f>
              <c:strCache>
                <c:ptCount val="12"/>
                <c:pt idx="0">
                  <c:v>OUTROS</c:v>
                </c:pt>
                <c:pt idx="1">
                  <c:v>SHRINK</c:v>
                </c:pt>
                <c:pt idx="2">
                  <c:v>FUNDO SUJO</c:v>
                </c:pt>
                <c:pt idx="3">
                  <c:v>S/ BOTTOM PLATE</c:v>
                </c:pt>
                <c:pt idx="4">
                  <c:v>S/ ARRUELA / ARR. DESLOCADA</c:v>
                </c:pt>
                <c:pt idx="5">
                  <c:v>DEFEITO BLINDAGEM</c:v>
                </c:pt>
                <c:pt idx="6">
                  <c:v>CH. MANCHADA</c:v>
                </c:pt>
                <c:pt idx="7">
                  <c:v>CH. RISCADA</c:v>
                </c:pt>
                <c:pt idx="8">
                  <c:v>S/ CAP</c:v>
                </c:pt>
                <c:pt idx="9">
                  <c:v>S/ ANEL VERMELHO</c:v>
                </c:pt>
                <c:pt idx="10">
                  <c:v>ENCAIXOTAMENTO</c:v>
                </c:pt>
                <c:pt idx="11">
                  <c:v>TESTADOR</c:v>
                </c:pt>
              </c:strCache>
            </c:strRef>
          </c:cat>
          <c:val>
            <c:numRef>
              <c:f>'Pareto de Falhas'!$I$3:$I$14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3B-4EF7-98B1-6E6F4448BC01}"/>
            </c:ext>
          </c:extLst>
        </c:ser>
        <c:ser>
          <c:idx val="2"/>
          <c:order val="1"/>
          <c:tx>
            <c:v>Problemas</c:v>
          </c:tx>
          <c:spPr>
            <a:gradFill>
              <a:gsLst>
                <a:gs pos="0">
                  <a:srgbClr val="FF0000"/>
                </a:gs>
                <a:gs pos="51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10800000" scaled="0"/>
            </a:gradFill>
            <a:ln>
              <a:solidFill>
                <a:schemeClr val="tx1"/>
              </a:solidFill>
            </a:ln>
          </c:spPr>
          <c:invertIfNegative val="0"/>
          <c:cat>
            <c:strLit>
              <c:ptCount val="10"/>
              <c:pt idx="0">
                <c:v>OUTROS</c:v>
              </c:pt>
              <c:pt idx="1">
                <c:v>SHRINK</c:v>
              </c:pt>
              <c:pt idx="2">
                <c:v>FUNDO SUJO</c:v>
              </c:pt>
              <c:pt idx="3">
                <c:v>S/ BOTTOM PLATE</c:v>
              </c:pt>
              <c:pt idx="4">
                <c:v>S/ ARRUELA / ARR. DESLOCADA</c:v>
              </c:pt>
              <c:pt idx="5">
                <c:v>DEFEITO BLINDAGEM</c:v>
              </c:pt>
              <c:pt idx="6">
                <c:v>CH. MANCHADA</c:v>
              </c:pt>
              <c:pt idx="7">
                <c:v>CH. RISCADA</c:v>
              </c:pt>
              <c:pt idx="8">
                <c:v>S/ CAP</c:v>
              </c:pt>
              <c:pt idx="9">
                <c:v>S/ ANEL VERMELHO</c:v>
              </c:pt>
            </c:strLit>
          </c:cat>
          <c:val>
            <c:numRef>
              <c:f>'Pareto de Falhas'!$J$3:$J$14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3B-4EF7-98B1-6E6F4448B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8258544"/>
        <c:axId val="1"/>
      </c:barChart>
      <c:lineChart>
        <c:grouping val="standard"/>
        <c:varyColors val="0"/>
        <c:ser>
          <c:idx val="0"/>
          <c:order val="2"/>
          <c:tx>
            <c:v>Acumulado%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'Pareto de Falhas'!$B$3:$B$14</c:f>
              <c:strCache>
                <c:ptCount val="12"/>
                <c:pt idx="0">
                  <c:v>OUTROS</c:v>
                </c:pt>
                <c:pt idx="1">
                  <c:v>SHRINK</c:v>
                </c:pt>
                <c:pt idx="2">
                  <c:v>FUNDO SUJO</c:v>
                </c:pt>
                <c:pt idx="3">
                  <c:v>S/ BOTTOM PLATE</c:v>
                </c:pt>
                <c:pt idx="4">
                  <c:v>S/ ARRUELA / ARR. DESLOCADA</c:v>
                </c:pt>
                <c:pt idx="5">
                  <c:v>DEFEITO BLINDAGEM</c:v>
                </c:pt>
                <c:pt idx="6">
                  <c:v>CH. MANCHADA</c:v>
                </c:pt>
                <c:pt idx="7">
                  <c:v>CH. RISCADA</c:v>
                </c:pt>
                <c:pt idx="8">
                  <c:v>S/ CAP</c:v>
                </c:pt>
                <c:pt idx="9">
                  <c:v>S/ ANEL VERMELHO</c:v>
                </c:pt>
                <c:pt idx="10">
                  <c:v>ENCAIXOTAMENTO</c:v>
                </c:pt>
                <c:pt idx="11">
                  <c:v>TESTADOR</c:v>
                </c:pt>
              </c:strCache>
            </c:strRef>
          </c:cat>
          <c:val>
            <c:numRef>
              <c:f>'Pareto de Falhas'!$H$3:$H$14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3B-4EF7-98B1-6E6F4448B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79825854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1108211913393522E-2"/>
              <c:y val="0.4727018572607902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79825854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10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Acumulado (%)</a:t>
                </a:r>
              </a:p>
            </c:rich>
          </c:tx>
          <c:layout>
            <c:manualLayout>
              <c:xMode val="edge"/>
              <c:yMode val="edge"/>
              <c:x val="0.94986809933215832"/>
              <c:y val="0.4640810871842712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"/>
        <c:crosses val="max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707365758165866"/>
          <c:y val="0.28552343509952649"/>
          <c:w val="0.11577825499085337"/>
          <c:h val="9.6144730850815707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>
      <c:oddHeader>&amp;A</c:oddHeader>
      <c:oddFooter>Page &amp;P</c:oddFooter>
    </c:headerFooter>
    <c:pageMargins b="0.98425196850393704" l="0.78740157480314965" r="0.78740157480314965" t="0.98425196850393704" header="0.51181102362204722" footer="0.51181102362204722"/>
    <c:pageSetup orientation="landscape"/>
  </c:printSettings>
  <c:userShapes r:id="rId1"/>
</c:chartSpac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SJCPIL-R 16-318-03 - D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1025" name="Texto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46685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571500</xdr:colOff>
      <xdr:row>4</xdr:row>
      <xdr:rowOff>9525</xdr:rowOff>
    </xdr:from>
    <xdr:to>
      <xdr:col>38</xdr:col>
      <xdr:colOff>38100</xdr:colOff>
      <xdr:row>13</xdr:row>
      <xdr:rowOff>342900</xdr:rowOff>
    </xdr:to>
    <xdr:graphicFrame macro="">
      <xdr:nvGraphicFramePr>
        <xdr:cNvPr id="2053" name="Gráfico 4">
          <a:extLs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342900</xdr:colOff>
          <xdr:row>0</xdr:row>
          <xdr:rowOff>9525</xdr:rowOff>
        </xdr:from>
        <xdr:to>
          <xdr:col>33</xdr:col>
          <xdr:colOff>361950</xdr:colOff>
          <xdr:row>0</xdr:row>
          <xdr:rowOff>228600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342900</xdr:colOff>
          <xdr:row>0</xdr:row>
          <xdr:rowOff>180975</xdr:rowOff>
        </xdr:from>
        <xdr:to>
          <xdr:col>33</xdr:col>
          <xdr:colOff>361950</xdr:colOff>
          <xdr:row>0</xdr:row>
          <xdr:rowOff>400050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4097" name="Texto 1">
          <a:extLst>
            <a:ext uri="{FF2B5EF4-FFF2-40B4-BE49-F238E27FC236}">
              <a16:creationId xmlns:a16="http://schemas.microsoft.com/office/drawing/2014/main" id="{00000000-0008-0000-0200-0000011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46685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657225</xdr:colOff>
      <xdr:row>3</xdr:row>
      <xdr:rowOff>371475</xdr:rowOff>
    </xdr:from>
    <xdr:to>
      <xdr:col>38</xdr:col>
      <xdr:colOff>104775</xdr:colOff>
      <xdr:row>13</xdr:row>
      <xdr:rowOff>333375</xdr:rowOff>
    </xdr:to>
    <xdr:graphicFrame macro="">
      <xdr:nvGraphicFramePr>
        <xdr:cNvPr id="3077" name="Gráfico 4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333375</xdr:colOff>
          <xdr:row>0</xdr:row>
          <xdr:rowOff>9525</xdr:rowOff>
        </xdr:from>
        <xdr:to>
          <xdr:col>33</xdr:col>
          <xdr:colOff>361950</xdr:colOff>
          <xdr:row>0</xdr:row>
          <xdr:rowOff>247650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333375</xdr:colOff>
          <xdr:row>0</xdr:row>
          <xdr:rowOff>180975</xdr:rowOff>
        </xdr:from>
        <xdr:to>
          <xdr:col>33</xdr:col>
          <xdr:colOff>361950</xdr:colOff>
          <xdr:row>1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590550</xdr:colOff>
      <xdr:row>40</xdr:row>
      <xdr:rowOff>142875</xdr:rowOff>
    </xdr:to>
    <xdr:graphicFrame macro="">
      <xdr:nvGraphicFramePr>
        <xdr:cNvPr id="4097" name="Gráfico 1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0.07857</cdr:x>
      <cdr:y>0.02391</cdr:y>
    </cdr:from>
    <cdr:to>
      <cdr:x>0.12063</cdr:x>
      <cdr:y>0.08152</cdr:y>
    </cdr:to>
    <cdr:pic>
      <cdr:nvPicPr>
        <cdr:cNvPr id="5" name="chart">
          <a:hlinkClick xmlns:a="http://schemas.openxmlformats.org/drawingml/2006/main" xmlns:r="http://schemas.openxmlformats.org/officeDocument/2006/relationships" r:id="rId1"/>
          <a:extLst xmlns:a="http://schemas.openxmlformats.org/drawingml/2006/main">
            <a:ext uri="{FF2B5EF4-FFF2-40B4-BE49-F238E27FC236}">
              <a16:creationId xmlns:a16="http://schemas.microsoft.com/office/drawing/2014/main" id="{FFF02988-EB78-4CFC-918A-AB4BB9B529D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962218" y="213828"/>
          <a:ext cx="515127" cy="515127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tg-00\pbrvol1\DADOS\PIL\PUB\QUALIDADE\2015\2%20-%20Resultados\2.2%20-%20FALHAS\UM-1\ACABAMENTO\F-7.58%20Rev%2006%20-%20150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ADOS\PIL\PUB\QUALIDADE\FY2019\(2)%20Resultados\2.2%20-%20FALHAS\UM-3\ACABAMENTO\Testador\SJCPIL-R%2016-318-03%20-%201911%20-%20ACB%20-%20FALHAS%20TESTADO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ACABAMENTO/Testador/SJCPIL-R%2016-318-03%20-%20ACB%20-%20TESTADOR%20-%202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F-7.58 Rev 06 - D"/>
      <sheetName val="F-7.58 Rev 06 - N"/>
      <sheetName val="Resumo de Falhas"/>
      <sheetName val="Total por Defeito"/>
    </sheetNames>
    <sheetDataSet>
      <sheetData sheetId="0"/>
      <sheetData sheetId="1"/>
      <sheetData sheetId="2"/>
      <sheetData sheetId="3">
        <row r="1">
          <cell r="C1" t="str">
            <v>SH</v>
          </cell>
          <cell r="D1" t="str">
            <v>COL</v>
          </cell>
          <cell r="E1" t="str">
            <v>PH</v>
          </cell>
          <cell r="F1">
            <v>1250</v>
          </cell>
          <cell r="G1" t="str">
            <v>NHT</v>
          </cell>
          <cell r="H1" t="str">
            <v>NEO</v>
          </cell>
          <cell r="I1" t="str">
            <v>NP</v>
          </cell>
          <cell r="J1" t="str">
            <v>BIC</v>
          </cell>
          <cell r="K1" t="str">
            <v>GT</v>
          </cell>
          <cell r="L1" t="str">
            <v>SN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Instrução"/>
      <sheetName val="SJCPIL-R 16-318-03 - Diurno"/>
      <sheetName val="SJCPIL-R 16-318-03 - Noturno"/>
      <sheetName val="Resumo de Falhas"/>
      <sheetName val="Total por Defeito"/>
    </sheetNames>
    <sheetDataSet>
      <sheetData sheetId="0"/>
      <sheetData sheetId="1"/>
      <sheetData sheetId="2">
        <row r="33">
          <cell r="B33">
            <v>600</v>
          </cell>
        </row>
      </sheetData>
      <sheetData sheetId="3"/>
      <sheetData sheetId="4">
        <row r="1">
          <cell r="C1" t="str">
            <v>3SH1</v>
          </cell>
          <cell r="D1" t="str">
            <v>3SH2</v>
          </cell>
          <cell r="E1">
            <v>1215</v>
          </cell>
          <cell r="F1" t="str">
            <v>TSHB</v>
          </cell>
          <cell r="G1" t="str">
            <v>SN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12">
          <cell r="Y12">
            <v>430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Instrução"/>
      <sheetName val="SJCPIL-R 16-318-03 - Diurno"/>
      <sheetName val="SJCPIL-R 16-318-03 - Noturno"/>
      <sheetName val="Resumo de Falhas"/>
      <sheetName val="Total por Defeito"/>
    </sheetNames>
    <sheetDataSet>
      <sheetData sheetId="0"/>
      <sheetData sheetId="1"/>
      <sheetData sheetId="2"/>
      <sheetData sheetId="3"/>
      <sheetData sheetId="4">
        <row r="2">
          <cell r="C2">
            <v>0</v>
          </cell>
          <cell r="D2">
            <v>0</v>
          </cell>
          <cell r="E2">
            <v>0</v>
          </cell>
        </row>
        <row r="3">
          <cell r="C3">
            <v>0</v>
          </cell>
          <cell r="D3">
            <v>0</v>
          </cell>
          <cell r="E3">
            <v>0</v>
          </cell>
        </row>
        <row r="4">
          <cell r="C4">
            <v>0</v>
          </cell>
          <cell r="D4">
            <v>0</v>
          </cell>
          <cell r="E4">
            <v>0</v>
          </cell>
        </row>
        <row r="5">
          <cell r="C5">
            <v>0</v>
          </cell>
          <cell r="D5">
            <v>0</v>
          </cell>
          <cell r="E5">
            <v>0</v>
          </cell>
        </row>
        <row r="6">
          <cell r="C6">
            <v>0</v>
          </cell>
          <cell r="D6">
            <v>0</v>
          </cell>
          <cell r="E6">
            <v>0</v>
          </cell>
        </row>
        <row r="7">
          <cell r="C7">
            <v>0</v>
          </cell>
          <cell r="D7">
            <v>0</v>
          </cell>
          <cell r="E7">
            <v>0</v>
          </cell>
        </row>
        <row r="8">
          <cell r="C8">
            <v>0</v>
          </cell>
          <cell r="D8">
            <v>0</v>
          </cell>
          <cell r="E8">
            <v>0</v>
          </cell>
        </row>
        <row r="9">
          <cell r="C9">
            <v>0</v>
          </cell>
          <cell r="D9">
            <v>0</v>
          </cell>
          <cell r="E9">
            <v>0</v>
          </cell>
        </row>
        <row r="10">
          <cell r="C10">
            <v>0</v>
          </cell>
          <cell r="D10">
            <v>0</v>
          </cell>
          <cell r="E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</row>
        <row r="19">
          <cell r="C19">
            <v>0</v>
          </cell>
          <cell r="D19">
            <v>0</v>
          </cell>
          <cell r="E19">
            <v>0</v>
          </cell>
        </row>
        <row r="20">
          <cell r="C20">
            <v>0</v>
          </cell>
          <cell r="D20">
            <v>0</v>
          </cell>
          <cell r="E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</row>
        <row r="24">
          <cell r="C24">
            <v>0</v>
          </cell>
          <cell r="D24">
            <v>0</v>
          </cell>
          <cell r="E24">
            <v>0</v>
          </cell>
        </row>
        <row r="25">
          <cell r="C25">
            <v>0</v>
          </cell>
          <cell r="D25">
            <v>0</v>
          </cell>
          <cell r="E25">
            <v>0</v>
          </cell>
        </row>
        <row r="26">
          <cell r="C26">
            <v>0</v>
          </cell>
          <cell r="D26">
            <v>0</v>
          </cell>
          <cell r="E26">
            <v>0</v>
          </cell>
        </row>
        <row r="27">
          <cell r="C27">
            <v>0</v>
          </cell>
          <cell r="D27">
            <v>0</v>
          </cell>
          <cell r="E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B2:S39"/>
  <sheetViews>
    <sheetView topLeftCell="A19" workbookViewId="0">
      <selection activeCell="K43" sqref="K43"/>
    </sheetView>
  </sheetViews>
  <sheetFormatPr defaultRowHeight="12.75"/>
  <cols>
    <col min="1" max="16384" width="9.140625" style="77"/>
  </cols>
  <sheetData>
    <row r="2" spans="2:19" ht="27"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</row>
    <row r="7" spans="2:19" ht="18">
      <c r="N7" s="78"/>
    </row>
    <row r="8" spans="2:19" ht="18">
      <c r="N8" s="78"/>
    </row>
    <row r="9" spans="2:19" ht="18">
      <c r="H9" s="78"/>
    </row>
    <row r="11" spans="2:19" ht="18">
      <c r="H11" s="78"/>
      <c r="I11" s="78"/>
      <c r="K11" s="78"/>
      <c r="M11" s="78"/>
      <c r="N11" s="78"/>
      <c r="O11" s="78"/>
      <c r="P11" s="78"/>
      <c r="Q11" s="78"/>
      <c r="R11" s="78"/>
      <c r="S11" s="78"/>
    </row>
    <row r="12" spans="2:19" ht="18"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</row>
    <row r="13" spans="2:19" ht="18">
      <c r="B13" s="78"/>
      <c r="C13" s="78"/>
      <c r="D13" s="78"/>
      <c r="E13" s="78"/>
      <c r="F13" s="78"/>
      <c r="G13" s="78"/>
      <c r="H13" s="78"/>
      <c r="I13" s="78"/>
      <c r="K13" s="78"/>
      <c r="L13" s="78"/>
      <c r="M13" s="78"/>
      <c r="N13" s="78"/>
      <c r="O13" s="78"/>
      <c r="P13" s="78"/>
      <c r="Q13" s="78"/>
      <c r="R13" s="78"/>
      <c r="S13" s="78"/>
    </row>
    <row r="14" spans="2:19" ht="18"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</row>
    <row r="15" spans="2:19" ht="18"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</row>
    <row r="16" spans="2:19" ht="18"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</row>
    <row r="17" spans="2:14" ht="18"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</row>
    <row r="18" spans="2:14" ht="18"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</row>
    <row r="19" spans="2:14" ht="18"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</row>
    <row r="20" spans="2:14" ht="18"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</row>
    <row r="21" spans="2:14" ht="18"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</row>
    <row r="22" spans="2:14" ht="18"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</row>
    <row r="23" spans="2:14" ht="18"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</row>
    <row r="24" spans="2:14" ht="18"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</row>
    <row r="25" spans="2:14" ht="18"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</row>
    <row r="35" spans="2:6">
      <c r="B35" s="79" t="s">
        <v>61</v>
      </c>
      <c r="C35" s="79"/>
      <c r="D35" s="79"/>
      <c r="E35" s="79"/>
      <c r="F35" s="79"/>
    </row>
    <row r="36" spans="2:6">
      <c r="B36" s="79" t="s">
        <v>62</v>
      </c>
      <c r="C36" s="79"/>
      <c r="D36" s="79"/>
      <c r="E36" s="79"/>
      <c r="F36" s="79"/>
    </row>
    <row r="37" spans="2:6">
      <c r="B37" s="79"/>
      <c r="C37" s="79"/>
      <c r="D37" s="79"/>
      <c r="E37" s="79"/>
      <c r="F37" s="79"/>
    </row>
    <row r="38" spans="2:6">
      <c r="B38" s="79" t="s">
        <v>63</v>
      </c>
      <c r="C38" s="79"/>
      <c r="D38" s="79"/>
      <c r="E38" s="79"/>
      <c r="F38" s="79"/>
    </row>
    <row r="39" spans="2:6">
      <c r="B39" s="79" t="s">
        <v>64</v>
      </c>
      <c r="C39" s="79"/>
      <c r="D39" s="79"/>
      <c r="E39" s="79"/>
      <c r="F39" s="79"/>
    </row>
  </sheetData>
  <sheetProtection algorithmName="SHA-512" hashValue="KwSdOrHauDcqNQlRqzF156rm/GtN79jy4ZgXVXLHZ+7JYHYJFWY/tMd3Pfi70nstClKJacVGXfxAx6ixXa7Ilw==" saltValue="OCg75TJWPsQFEll0g2Vx1w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96">
    <pageSetUpPr fitToPage="1"/>
  </sheetPr>
  <dimension ref="A1:AM36"/>
  <sheetViews>
    <sheetView showZeros="0" zoomScaleNormal="100" zoomScaleSheetLayoutView="100" workbookViewId="0">
      <selection activeCell="B2" sqref="B2"/>
    </sheetView>
  </sheetViews>
  <sheetFormatPr defaultColWidth="11.42578125" defaultRowHeight="12.75"/>
  <cols>
    <col min="1" max="1" width="22" customWidth="1"/>
    <col min="2" max="37" width="5.7109375" customWidth="1"/>
    <col min="38" max="38" width="8.85546875" bestFit="1" customWidth="1"/>
    <col min="39" max="39" width="1.42578125" customWidth="1"/>
  </cols>
  <sheetData>
    <row r="1" spans="1:38" ht="32.25" customHeight="1" thickBot="1">
      <c r="B1" s="100" t="s">
        <v>71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5"/>
      <c r="U1" s="72"/>
      <c r="V1" s="105"/>
      <c r="W1" s="105"/>
      <c r="X1" s="105"/>
      <c r="Y1" s="105"/>
      <c r="Z1" s="105"/>
      <c r="AA1" s="72"/>
      <c r="AB1" s="105"/>
      <c r="AC1" s="72"/>
      <c r="AD1" s="218"/>
      <c r="AE1" s="218"/>
      <c r="AF1" s="218"/>
      <c r="AG1" s="218"/>
      <c r="AH1" s="219"/>
      <c r="AI1" s="222" t="s">
        <v>86</v>
      </c>
      <c r="AJ1" s="223"/>
      <c r="AK1" s="224" t="str">
        <f ca="1">MID(CELL("nome.arquivo"),SEARCH(".xl",CELL("nome.arquivo"))-2,2)&amp;" / 20"&amp;MID(CELL("nome.arquivo"),SEARCH(".xl",CELL("nome.arquivo"))-4,2)</f>
        <v>03 / 2022</v>
      </c>
      <c r="AL1" s="223"/>
    </row>
    <row r="2" spans="1:38" ht="15" customHeight="1">
      <c r="A2" s="56" t="s">
        <v>0</v>
      </c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D2" s="221"/>
      <c r="AE2" s="221"/>
      <c r="AF2" s="221"/>
      <c r="AG2" s="221"/>
      <c r="AH2" s="221"/>
      <c r="AI2" s="221"/>
      <c r="AJ2" s="221"/>
      <c r="AK2" s="221"/>
      <c r="AL2" s="194" t="s">
        <v>17</v>
      </c>
    </row>
    <row r="3" spans="1:38" ht="15" customHeight="1">
      <c r="A3" s="57" t="s">
        <v>32</v>
      </c>
      <c r="B3" s="202"/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3"/>
      <c r="N3" s="203"/>
      <c r="O3" s="203"/>
      <c r="P3" s="203"/>
      <c r="Q3" s="203"/>
      <c r="R3" s="203"/>
      <c r="S3" s="203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195"/>
    </row>
    <row r="4" spans="1:38" ht="30" customHeight="1" thickBot="1">
      <c r="A4" s="58" t="s">
        <v>1</v>
      </c>
      <c r="B4" s="205"/>
      <c r="C4" s="206"/>
      <c r="D4" s="206"/>
      <c r="E4" s="207"/>
      <c r="F4" s="207"/>
      <c r="G4" s="207"/>
      <c r="H4" s="207"/>
      <c r="I4" s="208"/>
      <c r="J4" s="208"/>
      <c r="K4" s="208"/>
      <c r="L4" s="207"/>
      <c r="M4" s="207"/>
      <c r="N4" s="209"/>
      <c r="O4" s="209"/>
      <c r="P4" s="209"/>
      <c r="Q4" s="209"/>
      <c r="R4" s="209"/>
      <c r="S4" s="209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107">
        <f>SUM(B4:AK4)</f>
        <v>0</v>
      </c>
    </row>
    <row r="5" spans="1:38" ht="30" customHeight="1">
      <c r="A5" s="59" t="s">
        <v>25</v>
      </c>
      <c r="B5" s="228">
        <f>B36</f>
        <v>0</v>
      </c>
      <c r="C5" s="228">
        <f>C36</f>
        <v>0</v>
      </c>
      <c r="D5" s="228">
        <f t="shared" ref="D5:J5" si="0">D36</f>
        <v>0</v>
      </c>
      <c r="E5" s="228">
        <f t="shared" si="0"/>
        <v>0</v>
      </c>
      <c r="F5" s="228">
        <f t="shared" si="0"/>
        <v>0</v>
      </c>
      <c r="G5" s="228">
        <f t="shared" si="0"/>
        <v>0</v>
      </c>
      <c r="H5" s="228">
        <f>H36</f>
        <v>0</v>
      </c>
      <c r="I5" s="228">
        <f t="shared" si="0"/>
        <v>0</v>
      </c>
      <c r="J5" s="228">
        <f t="shared" si="0"/>
        <v>0</v>
      </c>
      <c r="K5" s="228">
        <f>K36</f>
        <v>0</v>
      </c>
      <c r="L5" s="228">
        <f>L36</f>
        <v>0</v>
      </c>
      <c r="M5" s="228">
        <f>M36</f>
        <v>0</v>
      </c>
      <c r="N5" s="228">
        <f>N36</f>
        <v>0</v>
      </c>
      <c r="O5" s="228"/>
      <c r="P5" s="228">
        <f>P36</f>
        <v>0</v>
      </c>
      <c r="Q5" s="228">
        <f>Q36</f>
        <v>0</v>
      </c>
      <c r="R5" s="228">
        <f>R36</f>
        <v>0</v>
      </c>
      <c r="S5" s="228">
        <f>S36</f>
        <v>0</v>
      </c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225">
        <f>AL36</f>
        <v>0</v>
      </c>
    </row>
    <row r="6" spans="1:38" ht="30" customHeight="1">
      <c r="A6" s="231" t="s">
        <v>2</v>
      </c>
      <c r="B6" s="229"/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29"/>
      <c r="R6" s="229"/>
      <c r="S6" s="229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226"/>
    </row>
    <row r="7" spans="1:38" ht="30" customHeight="1">
      <c r="A7" s="231"/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226"/>
    </row>
    <row r="8" spans="1:38" ht="30" customHeight="1">
      <c r="A8" s="231"/>
      <c r="B8" s="229"/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226"/>
    </row>
    <row r="9" spans="1:38" ht="30" customHeight="1">
      <c r="A9" s="231"/>
      <c r="B9" s="229"/>
      <c r="C9" s="229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226"/>
    </row>
    <row r="10" spans="1:38" ht="30" customHeight="1">
      <c r="A10" s="231"/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226"/>
    </row>
    <row r="11" spans="1:38" ht="30" customHeight="1">
      <c r="A11" s="231"/>
      <c r="B11" s="229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226"/>
    </row>
    <row r="12" spans="1:38" ht="30" customHeight="1">
      <c r="A12" s="231"/>
      <c r="B12" s="229"/>
      <c r="C12" s="229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226"/>
    </row>
    <row r="13" spans="1:38" ht="30" customHeight="1">
      <c r="A13" s="231"/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226"/>
    </row>
    <row r="14" spans="1:38" ht="30" customHeight="1" thickBot="1">
      <c r="A14" s="232"/>
      <c r="B14" s="230"/>
      <c r="C14" s="230"/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227"/>
    </row>
    <row r="15" spans="1:38" ht="21.95" customHeight="1">
      <c r="A15" s="60" t="s">
        <v>3</v>
      </c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2"/>
      <c r="U15" s="212"/>
      <c r="V15" s="212"/>
      <c r="W15" s="212"/>
      <c r="X15" s="212"/>
      <c r="Y15" s="212"/>
      <c r="Z15" s="212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2"/>
      <c r="AL15" s="111">
        <f t="shared" ref="AL15:AL26" si="1">SUM(B15:AK15)</f>
        <v>0</v>
      </c>
    </row>
    <row r="16" spans="1:38" ht="21.95" customHeight="1">
      <c r="A16" s="61" t="s">
        <v>4</v>
      </c>
      <c r="B16" s="213"/>
      <c r="C16" s="213"/>
      <c r="D16" s="213"/>
      <c r="E16" s="213"/>
      <c r="F16" s="213"/>
      <c r="G16" s="213"/>
      <c r="H16" s="213"/>
      <c r="I16" s="213"/>
      <c r="J16" s="213"/>
      <c r="K16" s="213"/>
      <c r="L16" s="213"/>
      <c r="M16" s="213"/>
      <c r="N16" s="213"/>
      <c r="O16" s="213"/>
      <c r="P16" s="213"/>
      <c r="Q16" s="213"/>
      <c r="R16" s="213"/>
      <c r="S16" s="213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106">
        <f t="shared" si="1"/>
        <v>0</v>
      </c>
    </row>
    <row r="17" spans="1:38" ht="21.95" customHeight="1">
      <c r="A17" s="61" t="s">
        <v>48</v>
      </c>
      <c r="B17" s="213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213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106">
        <f t="shared" si="1"/>
        <v>0</v>
      </c>
    </row>
    <row r="18" spans="1:38" ht="21.95" customHeight="1">
      <c r="A18" s="61" t="s">
        <v>49</v>
      </c>
      <c r="B18" s="213"/>
      <c r="C18" s="213"/>
      <c r="D18" s="213"/>
      <c r="E18" s="213"/>
      <c r="F18" s="213"/>
      <c r="G18" s="213"/>
      <c r="H18" s="213"/>
      <c r="I18" s="213"/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106">
        <f t="shared" si="1"/>
        <v>0</v>
      </c>
    </row>
    <row r="19" spans="1:38" ht="21.95" customHeight="1">
      <c r="A19" s="61" t="s">
        <v>58</v>
      </c>
      <c r="B19" s="213"/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  <c r="N19" s="213"/>
      <c r="O19" s="213"/>
      <c r="P19" s="213"/>
      <c r="Q19" s="213"/>
      <c r="R19" s="213"/>
      <c r="S19" s="213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106">
        <f t="shared" si="1"/>
        <v>0</v>
      </c>
    </row>
    <row r="20" spans="1:38" ht="21.95" customHeight="1">
      <c r="A20" s="61" t="s">
        <v>57</v>
      </c>
      <c r="B20" s="213"/>
      <c r="C20" s="213"/>
      <c r="D20" s="213"/>
      <c r="E20" s="213"/>
      <c r="F20" s="213"/>
      <c r="G20" s="213"/>
      <c r="H20" s="213"/>
      <c r="I20" s="213"/>
      <c r="J20" s="213"/>
      <c r="K20" s="213"/>
      <c r="L20" s="213"/>
      <c r="M20" s="213"/>
      <c r="N20" s="213"/>
      <c r="O20" s="213"/>
      <c r="P20" s="213"/>
      <c r="Q20" s="213"/>
      <c r="R20" s="213"/>
      <c r="S20" s="213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106">
        <f t="shared" si="1"/>
        <v>0</v>
      </c>
    </row>
    <row r="21" spans="1:38" ht="21.95" customHeight="1">
      <c r="A21" s="61" t="s">
        <v>50</v>
      </c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3"/>
      <c r="O21" s="213"/>
      <c r="P21" s="213"/>
      <c r="Q21" s="213"/>
      <c r="R21" s="213"/>
      <c r="S21" s="213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106">
        <f t="shared" si="1"/>
        <v>0</v>
      </c>
    </row>
    <row r="22" spans="1:38" ht="21.95" customHeight="1">
      <c r="A22" s="63" t="s">
        <v>53</v>
      </c>
      <c r="B22" s="213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213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106">
        <f t="shared" si="1"/>
        <v>0</v>
      </c>
    </row>
    <row r="23" spans="1:38" ht="21.95" customHeight="1">
      <c r="A23" s="61" t="s">
        <v>52</v>
      </c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106">
        <f t="shared" si="1"/>
        <v>0</v>
      </c>
    </row>
    <row r="24" spans="1:38" ht="21.95" customHeight="1">
      <c r="A24" s="61" t="s">
        <v>67</v>
      </c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106">
        <f t="shared" si="1"/>
        <v>0</v>
      </c>
    </row>
    <row r="25" spans="1:38" ht="21.95" customHeight="1">
      <c r="A25" s="61" t="s">
        <v>5</v>
      </c>
      <c r="B25" s="213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106">
        <f t="shared" si="1"/>
        <v>0</v>
      </c>
    </row>
    <row r="26" spans="1:38" ht="21.95" customHeight="1">
      <c r="A26" s="64" t="s">
        <v>6</v>
      </c>
      <c r="B26" s="213"/>
      <c r="C26" s="213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106">
        <f t="shared" si="1"/>
        <v>0</v>
      </c>
    </row>
    <row r="27" spans="1:38" ht="21.95" customHeight="1">
      <c r="A27" s="65" t="s">
        <v>7</v>
      </c>
      <c r="B27" s="62">
        <f t="shared" ref="B27:AK27" si="2">SUM(B15:B26)</f>
        <v>0</v>
      </c>
      <c r="C27" s="62">
        <f t="shared" si="2"/>
        <v>0</v>
      </c>
      <c r="D27" s="62">
        <f t="shared" si="2"/>
        <v>0</v>
      </c>
      <c r="E27" s="62">
        <f t="shared" si="2"/>
        <v>0</v>
      </c>
      <c r="F27" s="62">
        <f t="shared" si="2"/>
        <v>0</v>
      </c>
      <c r="G27" s="62">
        <f t="shared" si="2"/>
        <v>0</v>
      </c>
      <c r="H27" s="62">
        <f t="shared" si="2"/>
        <v>0</v>
      </c>
      <c r="I27" s="62">
        <f t="shared" si="2"/>
        <v>0</v>
      </c>
      <c r="J27" s="62">
        <f t="shared" si="2"/>
        <v>0</v>
      </c>
      <c r="K27" s="62">
        <f t="shared" si="2"/>
        <v>0</v>
      </c>
      <c r="L27" s="62">
        <f>SUM(L15:L26)</f>
        <v>0</v>
      </c>
      <c r="M27" s="62">
        <f t="shared" si="2"/>
        <v>0</v>
      </c>
      <c r="N27" s="62">
        <f t="shared" si="2"/>
        <v>0</v>
      </c>
      <c r="O27" s="62">
        <f t="shared" si="2"/>
        <v>0</v>
      </c>
      <c r="P27" s="62">
        <f t="shared" si="2"/>
        <v>0</v>
      </c>
      <c r="Q27" s="62">
        <f t="shared" si="2"/>
        <v>0</v>
      </c>
      <c r="R27" s="62">
        <f t="shared" si="2"/>
        <v>0</v>
      </c>
      <c r="S27" s="62">
        <f t="shared" si="2"/>
        <v>0</v>
      </c>
      <c r="T27" s="62">
        <f t="shared" si="2"/>
        <v>0</v>
      </c>
      <c r="U27" s="62">
        <f t="shared" si="2"/>
        <v>0</v>
      </c>
      <c r="V27" s="62">
        <f t="shared" si="2"/>
        <v>0</v>
      </c>
      <c r="W27" s="62">
        <f t="shared" si="2"/>
        <v>0</v>
      </c>
      <c r="X27" s="62">
        <f t="shared" si="2"/>
        <v>0</v>
      </c>
      <c r="Y27" s="62">
        <f t="shared" si="2"/>
        <v>0</v>
      </c>
      <c r="Z27" s="62">
        <f t="shared" si="2"/>
        <v>0</v>
      </c>
      <c r="AA27" s="62">
        <f t="shared" si="2"/>
        <v>0</v>
      </c>
      <c r="AB27" s="62">
        <f t="shared" si="2"/>
        <v>0</v>
      </c>
      <c r="AC27" s="62">
        <f t="shared" si="2"/>
        <v>0</v>
      </c>
      <c r="AD27" s="62">
        <f t="shared" si="2"/>
        <v>0</v>
      </c>
      <c r="AE27" s="62">
        <f t="shared" si="2"/>
        <v>0</v>
      </c>
      <c r="AF27" s="62">
        <f t="shared" si="2"/>
        <v>0</v>
      </c>
      <c r="AG27" s="62">
        <f t="shared" si="2"/>
        <v>0</v>
      </c>
      <c r="AH27" s="62">
        <f t="shared" si="2"/>
        <v>0</v>
      </c>
      <c r="AI27" s="62">
        <f t="shared" si="2"/>
        <v>0</v>
      </c>
      <c r="AJ27" s="62">
        <f t="shared" si="2"/>
        <v>0</v>
      </c>
      <c r="AK27" s="62">
        <f t="shared" si="2"/>
        <v>0</v>
      </c>
      <c r="AL27" s="106">
        <f>SUM(B27:AK27)</f>
        <v>0</v>
      </c>
    </row>
    <row r="28" spans="1:38" ht="21.95" customHeight="1" thickBot="1">
      <c r="A28" s="66" t="s">
        <v>25</v>
      </c>
      <c r="B28" s="67" t="str">
        <f t="shared" ref="B28:AL28" si="3">IF(ISERR(B27/B4),"",B27/B4*1000000)</f>
        <v/>
      </c>
      <c r="C28" s="67" t="str">
        <f t="shared" si="3"/>
        <v/>
      </c>
      <c r="D28" s="67" t="str">
        <f t="shared" si="3"/>
        <v/>
      </c>
      <c r="E28" s="67" t="str">
        <f t="shared" si="3"/>
        <v/>
      </c>
      <c r="F28" s="67" t="str">
        <f t="shared" si="3"/>
        <v/>
      </c>
      <c r="G28" s="67" t="str">
        <f t="shared" si="3"/>
        <v/>
      </c>
      <c r="H28" s="67" t="str">
        <f t="shared" si="3"/>
        <v/>
      </c>
      <c r="I28" s="67" t="str">
        <f t="shared" si="3"/>
        <v/>
      </c>
      <c r="J28" s="67" t="str">
        <f t="shared" si="3"/>
        <v/>
      </c>
      <c r="K28" s="67" t="str">
        <f t="shared" si="3"/>
        <v/>
      </c>
      <c r="L28" s="67" t="str">
        <f t="shared" si="3"/>
        <v/>
      </c>
      <c r="M28" s="67" t="str">
        <f t="shared" si="3"/>
        <v/>
      </c>
      <c r="N28" s="67" t="str">
        <f t="shared" si="3"/>
        <v/>
      </c>
      <c r="O28" s="67" t="str">
        <f t="shared" si="3"/>
        <v/>
      </c>
      <c r="P28" s="67" t="str">
        <f t="shared" si="3"/>
        <v/>
      </c>
      <c r="Q28" s="67" t="str">
        <f t="shared" si="3"/>
        <v/>
      </c>
      <c r="R28" s="67" t="str">
        <f t="shared" si="3"/>
        <v/>
      </c>
      <c r="S28" s="67" t="str">
        <f t="shared" si="3"/>
        <v/>
      </c>
      <c r="T28" s="67" t="str">
        <f t="shared" si="3"/>
        <v/>
      </c>
      <c r="U28" s="67" t="str">
        <f t="shared" si="3"/>
        <v/>
      </c>
      <c r="V28" s="67" t="str">
        <f t="shared" si="3"/>
        <v/>
      </c>
      <c r="W28" s="67" t="str">
        <f t="shared" si="3"/>
        <v/>
      </c>
      <c r="X28" s="67" t="str">
        <f t="shared" si="3"/>
        <v/>
      </c>
      <c r="Y28" s="67" t="str">
        <f t="shared" si="3"/>
        <v/>
      </c>
      <c r="Z28" s="67" t="str">
        <f t="shared" si="3"/>
        <v/>
      </c>
      <c r="AA28" s="67" t="str">
        <f t="shared" si="3"/>
        <v/>
      </c>
      <c r="AB28" s="67" t="str">
        <f t="shared" si="3"/>
        <v/>
      </c>
      <c r="AC28" s="67" t="str">
        <f t="shared" si="3"/>
        <v/>
      </c>
      <c r="AD28" s="67" t="str">
        <f t="shared" si="3"/>
        <v/>
      </c>
      <c r="AE28" s="67" t="str">
        <f t="shared" si="3"/>
        <v/>
      </c>
      <c r="AF28" s="67" t="str">
        <f t="shared" si="3"/>
        <v/>
      </c>
      <c r="AG28" s="67" t="str">
        <f t="shared" si="3"/>
        <v/>
      </c>
      <c r="AH28" s="67" t="str">
        <f t="shared" si="3"/>
        <v/>
      </c>
      <c r="AI28" s="67" t="str">
        <f t="shared" si="3"/>
        <v/>
      </c>
      <c r="AJ28" s="67" t="str">
        <f t="shared" si="3"/>
        <v/>
      </c>
      <c r="AK28" s="67" t="str">
        <f t="shared" si="3"/>
        <v/>
      </c>
      <c r="AL28" s="107" t="str">
        <f t="shared" si="3"/>
        <v/>
      </c>
    </row>
    <row r="29" spans="1:38" ht="21.95" customHeight="1">
      <c r="A29" s="103" t="s">
        <v>70</v>
      </c>
      <c r="B29" s="196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96"/>
      <c r="AC29" s="196"/>
      <c r="AD29" s="196"/>
      <c r="AE29" s="196"/>
      <c r="AF29" s="197"/>
      <c r="AG29" s="197"/>
      <c r="AH29" s="197"/>
      <c r="AI29" s="197"/>
      <c r="AJ29" s="197"/>
      <c r="AK29" s="197"/>
      <c r="AL29" s="198"/>
    </row>
    <row r="30" spans="1:38" ht="21.95" customHeight="1" thickBot="1">
      <c r="A30" s="104" t="s">
        <v>69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199"/>
      <c r="AG30" s="199"/>
      <c r="AH30" s="199"/>
      <c r="AI30" s="199"/>
      <c r="AJ30" s="199"/>
      <c r="AK30" s="199"/>
      <c r="AL30" s="200"/>
    </row>
    <row r="31" spans="1:38" ht="30" customHeight="1">
      <c r="A31" s="68" t="s">
        <v>44</v>
      </c>
      <c r="B31" s="69"/>
      <c r="C31" s="69"/>
      <c r="D31" s="69"/>
      <c r="E31" s="69"/>
      <c r="F31" s="69"/>
      <c r="G31" s="69"/>
      <c r="H31" s="69"/>
      <c r="I31" s="68" t="s">
        <v>46</v>
      </c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8" t="s">
        <v>47</v>
      </c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70"/>
    </row>
    <row r="32" spans="1:38" ht="30" customHeight="1" thickBot="1">
      <c r="A32" s="71" t="s">
        <v>45</v>
      </c>
      <c r="B32" s="72"/>
      <c r="C32" s="72"/>
      <c r="D32" s="72"/>
      <c r="E32" s="72"/>
      <c r="F32" s="72"/>
      <c r="G32" s="72"/>
      <c r="H32" s="72"/>
      <c r="I32" s="71" t="s">
        <v>45</v>
      </c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1" t="s">
        <v>45</v>
      </c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3"/>
    </row>
    <row r="33" spans="1:39">
      <c r="A33" t="s">
        <v>26</v>
      </c>
      <c r="B33" s="74">
        <f>'[3]SJCPIL 16-006-08'!$Y$12</f>
        <v>430</v>
      </c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>
        <f>AE33</f>
        <v>0</v>
      </c>
      <c r="AM33" s="74"/>
    </row>
    <row r="35" spans="1:39">
      <c r="A35" s="34" t="s">
        <v>33</v>
      </c>
      <c r="B35" s="34">
        <f t="shared" ref="B35:S35" si="4">B2</f>
        <v>0</v>
      </c>
      <c r="C35" s="34">
        <f t="shared" si="4"/>
        <v>0</v>
      </c>
      <c r="D35" s="34">
        <f t="shared" si="4"/>
        <v>0</v>
      </c>
      <c r="E35" s="34">
        <f t="shared" si="4"/>
        <v>0</v>
      </c>
      <c r="F35" s="34">
        <f t="shared" si="4"/>
        <v>0</v>
      </c>
      <c r="G35" s="34">
        <f t="shared" si="4"/>
        <v>0</v>
      </c>
      <c r="H35" s="34">
        <f t="shared" si="4"/>
        <v>0</v>
      </c>
      <c r="I35" s="34">
        <f t="shared" si="4"/>
        <v>0</v>
      </c>
      <c r="J35" s="34">
        <f t="shared" si="4"/>
        <v>0</v>
      </c>
      <c r="K35" s="34">
        <f t="shared" si="4"/>
        <v>0</v>
      </c>
      <c r="L35" s="34">
        <f t="shared" si="4"/>
        <v>0</v>
      </c>
      <c r="M35" s="34">
        <f t="shared" si="4"/>
        <v>0</v>
      </c>
      <c r="N35" s="34">
        <f t="shared" si="4"/>
        <v>0</v>
      </c>
      <c r="O35" s="34">
        <f t="shared" si="4"/>
        <v>0</v>
      </c>
      <c r="P35" s="34">
        <f t="shared" si="4"/>
        <v>0</v>
      </c>
      <c r="Q35" s="34">
        <f t="shared" si="4"/>
        <v>0</v>
      </c>
      <c r="R35" s="34">
        <f t="shared" si="4"/>
        <v>0</v>
      </c>
      <c r="S35" s="34">
        <f t="shared" si="4"/>
        <v>0</v>
      </c>
      <c r="T35" s="110">
        <f t="shared" ref="T35:AA35" si="5">U2</f>
        <v>0</v>
      </c>
      <c r="U35" s="110">
        <f t="shared" si="5"/>
        <v>0</v>
      </c>
      <c r="V35" s="110">
        <f t="shared" si="5"/>
        <v>0</v>
      </c>
      <c r="W35" s="110">
        <f t="shared" si="5"/>
        <v>0</v>
      </c>
      <c r="X35" s="110">
        <f t="shared" si="5"/>
        <v>0</v>
      </c>
      <c r="Y35" s="110">
        <f t="shared" si="5"/>
        <v>0</v>
      </c>
      <c r="Z35" s="110">
        <f t="shared" si="5"/>
        <v>0</v>
      </c>
      <c r="AA35" s="110">
        <f t="shared" si="5"/>
        <v>0</v>
      </c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 t="str">
        <f>AL2</f>
        <v>TOTAL</v>
      </c>
    </row>
    <row r="36" spans="1:39" ht="105" customHeight="1">
      <c r="A36" s="75" t="s">
        <v>34</v>
      </c>
      <c r="B36" s="215"/>
      <c r="C36" s="215"/>
      <c r="D36" s="215"/>
      <c r="E36" s="215"/>
      <c r="F36" s="215"/>
      <c r="G36" s="215"/>
      <c r="H36" s="215"/>
      <c r="I36" s="215"/>
      <c r="J36" s="215"/>
      <c r="K36" s="215"/>
      <c r="L36" s="215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01"/>
    </row>
  </sheetData>
  <sheetProtection selectLockedCells="1"/>
  <mergeCells count="22">
    <mergeCell ref="O5:O14"/>
    <mergeCell ref="A6:A14"/>
    <mergeCell ref="B5:B14"/>
    <mergeCell ref="C5:C14"/>
    <mergeCell ref="D5:D14"/>
    <mergeCell ref="E5:E14"/>
    <mergeCell ref="F5:F14"/>
    <mergeCell ref="G5:G14"/>
    <mergeCell ref="H5:H14"/>
    <mergeCell ref="I5:I14"/>
    <mergeCell ref="J5:J14"/>
    <mergeCell ref="K5:K14"/>
    <mergeCell ref="L5:L14"/>
    <mergeCell ref="M5:M14"/>
    <mergeCell ref="N5:N14"/>
    <mergeCell ref="AI1:AJ1"/>
    <mergeCell ref="AK1:AL1"/>
    <mergeCell ref="AL5:AL14"/>
    <mergeCell ref="P5:P14"/>
    <mergeCell ref="Q5:Q14"/>
    <mergeCell ref="R5:R14"/>
    <mergeCell ref="S5:S14"/>
  </mergeCells>
  <phoneticPr fontId="0" type="noConversion"/>
  <dataValidations count="2">
    <dataValidation type="list" allowBlank="1" showInputMessage="1" showErrorMessage="1" sqref="B3:AL3" xr:uid="{00000000-0002-0000-0100-000000000000}">
      <formula1>produtos</formula1>
    </dataValidation>
    <dataValidation type="date" allowBlank="1" showInputMessage="1" showErrorMessage="1" sqref="B2:AK2" xr:uid="{40D23774-54C6-40A7-B845-043ADA2BA928}">
      <formula1>44287</formula1>
      <formula2>44651</formula2>
    </dataValidation>
  </dataValidations>
  <printOptions horizontalCentered="1" verticalCentered="1" gridLines="1" gridLinesSet="0"/>
  <pageMargins left="0.27559055118110237" right="0.27559055118110237" top="0.39370078740157483" bottom="0.39370078740157483" header="0.27559055118110237" footer="0.27559055118110237"/>
  <pageSetup paperSize="9" scale="61" orientation="landscape" r:id="rId1"/>
  <headerFooter alignWithMargins="0">
    <oddFooter>&amp;RSJCPIL-R 16-318-03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31</xdr:col>
                    <xdr:colOff>342900</xdr:colOff>
                    <xdr:row>0</xdr:row>
                    <xdr:rowOff>9525</xdr:rowOff>
                  </from>
                  <to>
                    <xdr:col>33</xdr:col>
                    <xdr:colOff>361950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31</xdr:col>
                    <xdr:colOff>342900</xdr:colOff>
                    <xdr:row>0</xdr:row>
                    <xdr:rowOff>180975</xdr:rowOff>
                  </from>
                  <to>
                    <xdr:col>33</xdr:col>
                    <xdr:colOff>361950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7">
    <pageSetUpPr fitToPage="1"/>
  </sheetPr>
  <dimension ref="A1:AS36"/>
  <sheetViews>
    <sheetView showZeros="0" zoomScaleNormal="100" zoomScaleSheetLayoutView="100" workbookViewId="0">
      <selection activeCell="C5" sqref="C5:C14"/>
    </sheetView>
  </sheetViews>
  <sheetFormatPr defaultColWidth="11.42578125" defaultRowHeight="12.75"/>
  <cols>
    <col min="1" max="1" width="22" customWidth="1"/>
    <col min="2" max="37" width="5.7109375" customWidth="1"/>
    <col min="38" max="38" width="9.140625" bestFit="1" customWidth="1"/>
    <col min="39" max="39" width="4.7109375" customWidth="1"/>
  </cols>
  <sheetData>
    <row r="1" spans="1:45" ht="32.25" customHeight="1" thickBot="1">
      <c r="B1" s="82" t="str">
        <f>'SJCPIL-R 16-318-03 - D'!B1</f>
        <v>FALHAS NÃO RECUPERÁVEIS DO ACABAMENTO UM-3 (SHRINK)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222" t="s">
        <v>86</v>
      </c>
      <c r="AJ1" s="223"/>
      <c r="AK1" s="224" t="str">
        <f ca="1">'SJCPIL-R 16-318-03 - D'!AK1</f>
        <v>03 / 2022</v>
      </c>
      <c r="AL1" s="223"/>
      <c r="AM1" s="99"/>
      <c r="AN1" s="99"/>
      <c r="AO1" s="99"/>
      <c r="AP1" s="99"/>
      <c r="AQ1" s="99"/>
      <c r="AR1" s="99"/>
      <c r="AS1" s="99"/>
    </row>
    <row r="2" spans="1:45" ht="15" customHeight="1">
      <c r="A2" s="56" t="s">
        <v>0</v>
      </c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D2" s="221"/>
      <c r="AE2" s="221"/>
      <c r="AF2" s="221"/>
      <c r="AG2" s="221"/>
      <c r="AH2" s="221"/>
      <c r="AI2" s="221"/>
      <c r="AJ2" s="221"/>
      <c r="AK2" s="221"/>
      <c r="AL2" s="194" t="s">
        <v>24</v>
      </c>
    </row>
    <row r="3" spans="1:45" ht="15" customHeight="1">
      <c r="A3" s="57" t="s">
        <v>32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4"/>
      <c r="AF3" s="204"/>
      <c r="AG3" s="204"/>
      <c r="AH3" s="204"/>
      <c r="AI3" s="204"/>
      <c r="AJ3" s="204"/>
      <c r="AK3" s="204"/>
      <c r="AL3" s="195"/>
    </row>
    <row r="4" spans="1:45" ht="30" customHeight="1" thickBot="1">
      <c r="A4" s="58" t="s">
        <v>1</v>
      </c>
      <c r="B4" s="208"/>
      <c r="C4" s="207"/>
      <c r="D4" s="207"/>
      <c r="E4" s="207"/>
      <c r="F4" s="207"/>
      <c r="G4" s="207"/>
      <c r="H4" s="207"/>
      <c r="I4" s="207"/>
      <c r="J4" s="208"/>
      <c r="K4" s="207"/>
      <c r="L4" s="207"/>
      <c r="M4" s="207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10"/>
      <c r="AF4" s="210"/>
      <c r="AG4" s="210"/>
      <c r="AH4" s="210"/>
      <c r="AI4" s="210"/>
      <c r="AJ4" s="210"/>
      <c r="AK4" s="210"/>
      <c r="AL4" s="107">
        <f>SUM(B4:AK4)</f>
        <v>0</v>
      </c>
    </row>
    <row r="5" spans="1:45" ht="30" customHeight="1">
      <c r="A5" s="59" t="s">
        <v>25</v>
      </c>
      <c r="B5" s="228">
        <f t="shared" ref="B5:AD5" si="0">B36</f>
        <v>0</v>
      </c>
      <c r="C5" s="228">
        <f t="shared" si="0"/>
        <v>0</v>
      </c>
      <c r="D5" s="228"/>
      <c r="E5" s="228">
        <f t="shared" si="0"/>
        <v>0</v>
      </c>
      <c r="F5" s="228">
        <f t="shared" si="0"/>
        <v>0</v>
      </c>
      <c r="G5" s="228">
        <f t="shared" si="0"/>
        <v>0</v>
      </c>
      <c r="H5" s="228">
        <f t="shared" si="0"/>
        <v>0</v>
      </c>
      <c r="I5" s="228">
        <f t="shared" si="0"/>
        <v>0</v>
      </c>
      <c r="J5" s="228">
        <f t="shared" si="0"/>
        <v>0</v>
      </c>
      <c r="K5" s="228">
        <f t="shared" si="0"/>
        <v>0</v>
      </c>
      <c r="L5" s="228">
        <f t="shared" si="0"/>
        <v>0</v>
      </c>
      <c r="M5" s="228">
        <f t="shared" si="0"/>
        <v>0</v>
      </c>
      <c r="N5" s="228">
        <f t="shared" si="0"/>
        <v>0</v>
      </c>
      <c r="O5" s="228">
        <f t="shared" si="0"/>
        <v>0</v>
      </c>
      <c r="P5" s="228">
        <f t="shared" si="0"/>
        <v>0</v>
      </c>
      <c r="Q5" s="228">
        <f t="shared" si="0"/>
        <v>0</v>
      </c>
      <c r="R5" s="228">
        <f t="shared" si="0"/>
        <v>0</v>
      </c>
      <c r="S5" s="228">
        <f t="shared" si="0"/>
        <v>0</v>
      </c>
      <c r="T5" s="228">
        <f t="shared" si="0"/>
        <v>0</v>
      </c>
      <c r="U5" s="228">
        <f t="shared" si="0"/>
        <v>0</v>
      </c>
      <c r="V5" s="83"/>
      <c r="W5" s="83"/>
      <c r="X5" s="83"/>
      <c r="Y5" s="83"/>
      <c r="Z5" s="83"/>
      <c r="AA5" s="228">
        <f t="shared" si="0"/>
        <v>0</v>
      </c>
      <c r="AB5" s="228">
        <f t="shared" si="0"/>
        <v>0</v>
      </c>
      <c r="AC5" s="228">
        <f t="shared" si="0"/>
        <v>0</v>
      </c>
      <c r="AD5" s="228">
        <f t="shared" si="0"/>
        <v>0</v>
      </c>
      <c r="AE5" s="83"/>
      <c r="AF5" s="83"/>
      <c r="AG5" s="83"/>
      <c r="AH5" s="83"/>
      <c r="AI5" s="83"/>
      <c r="AJ5" s="83"/>
      <c r="AK5" s="83"/>
      <c r="AL5" s="225">
        <f>AL36</f>
        <v>0</v>
      </c>
    </row>
    <row r="6" spans="1:45" ht="30" customHeight="1">
      <c r="A6" s="231" t="s">
        <v>54</v>
      </c>
      <c r="B6" s="229"/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29"/>
      <c r="R6" s="229"/>
      <c r="S6" s="229"/>
      <c r="T6" s="229"/>
      <c r="U6" s="229"/>
      <c r="V6" s="84"/>
      <c r="W6" s="84"/>
      <c r="X6" s="84"/>
      <c r="Y6" s="84"/>
      <c r="Z6" s="84"/>
      <c r="AA6" s="229"/>
      <c r="AB6" s="229"/>
      <c r="AC6" s="229"/>
      <c r="AD6" s="229"/>
      <c r="AE6" s="84"/>
      <c r="AF6" s="84"/>
      <c r="AG6" s="84"/>
      <c r="AH6" s="84"/>
      <c r="AI6" s="84"/>
      <c r="AJ6" s="84"/>
      <c r="AK6" s="84"/>
      <c r="AL6" s="226"/>
    </row>
    <row r="7" spans="1:45" ht="30" customHeight="1">
      <c r="A7" s="231"/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84"/>
      <c r="W7" s="84"/>
      <c r="X7" s="84"/>
      <c r="Y7" s="84"/>
      <c r="Z7" s="84"/>
      <c r="AA7" s="229"/>
      <c r="AB7" s="229"/>
      <c r="AC7" s="229"/>
      <c r="AD7" s="229"/>
      <c r="AE7" s="84"/>
      <c r="AF7" s="84"/>
      <c r="AG7" s="84"/>
      <c r="AH7" s="84"/>
      <c r="AI7" s="84"/>
      <c r="AJ7" s="84"/>
      <c r="AK7" s="84"/>
      <c r="AL7" s="226"/>
    </row>
    <row r="8" spans="1:45" ht="30" customHeight="1">
      <c r="A8" s="231"/>
      <c r="B8" s="229"/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84"/>
      <c r="W8" s="84"/>
      <c r="X8" s="84"/>
      <c r="Y8" s="84"/>
      <c r="Z8" s="84"/>
      <c r="AA8" s="229"/>
      <c r="AB8" s="229"/>
      <c r="AC8" s="229"/>
      <c r="AD8" s="229"/>
      <c r="AE8" s="84"/>
      <c r="AF8" s="84"/>
      <c r="AG8" s="84"/>
      <c r="AH8" s="84"/>
      <c r="AI8" s="84"/>
      <c r="AJ8" s="84"/>
      <c r="AK8" s="84"/>
      <c r="AL8" s="226"/>
    </row>
    <row r="9" spans="1:45" ht="30" customHeight="1">
      <c r="A9" s="231"/>
      <c r="B9" s="229"/>
      <c r="C9" s="229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84"/>
      <c r="W9" s="84"/>
      <c r="X9" s="84"/>
      <c r="Y9" s="84"/>
      <c r="Z9" s="84"/>
      <c r="AA9" s="229"/>
      <c r="AB9" s="229"/>
      <c r="AC9" s="229"/>
      <c r="AD9" s="229"/>
      <c r="AE9" s="84"/>
      <c r="AF9" s="84"/>
      <c r="AG9" s="84"/>
      <c r="AH9" s="84"/>
      <c r="AI9" s="84"/>
      <c r="AJ9" s="84"/>
      <c r="AK9" s="84"/>
      <c r="AL9" s="226"/>
    </row>
    <row r="10" spans="1:45" ht="30" customHeight="1">
      <c r="A10" s="231"/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84"/>
      <c r="W10" s="84"/>
      <c r="X10" s="84"/>
      <c r="Y10" s="84"/>
      <c r="Z10" s="84"/>
      <c r="AA10" s="229"/>
      <c r="AB10" s="229"/>
      <c r="AC10" s="229"/>
      <c r="AD10" s="229"/>
      <c r="AE10" s="84"/>
      <c r="AF10" s="84"/>
      <c r="AG10" s="84"/>
      <c r="AH10" s="84"/>
      <c r="AI10" s="84"/>
      <c r="AJ10" s="84"/>
      <c r="AK10" s="84"/>
      <c r="AL10" s="226"/>
    </row>
    <row r="11" spans="1:45" ht="30" customHeight="1">
      <c r="A11" s="231"/>
      <c r="B11" s="229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84"/>
      <c r="W11" s="84"/>
      <c r="X11" s="84"/>
      <c r="Y11" s="84"/>
      <c r="Z11" s="84"/>
      <c r="AA11" s="229"/>
      <c r="AB11" s="229"/>
      <c r="AC11" s="229"/>
      <c r="AD11" s="229"/>
      <c r="AE11" s="84"/>
      <c r="AF11" s="84"/>
      <c r="AG11" s="84"/>
      <c r="AH11" s="84"/>
      <c r="AI11" s="84"/>
      <c r="AJ11" s="84"/>
      <c r="AK11" s="84"/>
      <c r="AL11" s="226"/>
    </row>
    <row r="12" spans="1:45" ht="30" customHeight="1">
      <c r="A12" s="231"/>
      <c r="B12" s="229"/>
      <c r="C12" s="229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84"/>
      <c r="W12" s="84"/>
      <c r="X12" s="84"/>
      <c r="Y12" s="84"/>
      <c r="Z12" s="84"/>
      <c r="AA12" s="229"/>
      <c r="AB12" s="229"/>
      <c r="AC12" s="229"/>
      <c r="AD12" s="229"/>
      <c r="AE12" s="84"/>
      <c r="AF12" s="84"/>
      <c r="AG12" s="84"/>
      <c r="AH12" s="84"/>
      <c r="AI12" s="84"/>
      <c r="AJ12" s="84"/>
      <c r="AK12" s="84"/>
      <c r="AL12" s="226"/>
    </row>
    <row r="13" spans="1:45" ht="30" customHeight="1">
      <c r="A13" s="231"/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84"/>
      <c r="W13" s="84"/>
      <c r="X13" s="84"/>
      <c r="Y13" s="84"/>
      <c r="Z13" s="84"/>
      <c r="AA13" s="229"/>
      <c r="AB13" s="229"/>
      <c r="AC13" s="229"/>
      <c r="AD13" s="229"/>
      <c r="AE13" s="84"/>
      <c r="AF13" s="84"/>
      <c r="AG13" s="84"/>
      <c r="AH13" s="84"/>
      <c r="AI13" s="84"/>
      <c r="AJ13" s="84"/>
      <c r="AK13" s="84"/>
      <c r="AL13" s="226"/>
    </row>
    <row r="14" spans="1:45" ht="30" customHeight="1" thickBot="1">
      <c r="A14" s="232"/>
      <c r="B14" s="230"/>
      <c r="C14" s="230"/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230"/>
      <c r="U14" s="230"/>
      <c r="V14" s="85"/>
      <c r="W14" s="85"/>
      <c r="X14" s="85"/>
      <c r="Y14" s="85"/>
      <c r="Z14" s="85"/>
      <c r="AA14" s="230"/>
      <c r="AB14" s="230"/>
      <c r="AC14" s="230"/>
      <c r="AD14" s="230"/>
      <c r="AE14" s="85"/>
      <c r="AF14" s="85"/>
      <c r="AG14" s="85"/>
      <c r="AH14" s="85"/>
      <c r="AI14" s="85"/>
      <c r="AJ14" s="85"/>
      <c r="AK14" s="85"/>
      <c r="AL14" s="227"/>
    </row>
    <row r="15" spans="1:45" ht="21.95" customHeight="1">
      <c r="A15" s="60" t="s">
        <v>3</v>
      </c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2"/>
      <c r="AF15" s="212"/>
      <c r="AG15" s="212"/>
      <c r="AH15" s="212"/>
      <c r="AI15" s="212"/>
      <c r="AJ15" s="212"/>
      <c r="AK15" s="212"/>
      <c r="AL15" s="111">
        <f t="shared" ref="AL15:AL26" si="1">SUM(B15:AK15)</f>
        <v>0</v>
      </c>
    </row>
    <row r="16" spans="1:45" ht="21.95" customHeight="1">
      <c r="A16" s="61" t="s">
        <v>4</v>
      </c>
      <c r="B16" s="213"/>
      <c r="C16" s="213"/>
      <c r="D16" s="213"/>
      <c r="E16" s="213"/>
      <c r="F16" s="213"/>
      <c r="G16" s="213"/>
      <c r="H16" s="213"/>
      <c r="I16" s="213"/>
      <c r="J16" s="213"/>
      <c r="K16" s="213"/>
      <c r="L16" s="213"/>
      <c r="M16" s="213"/>
      <c r="N16" s="213"/>
      <c r="O16" s="213"/>
      <c r="P16" s="213"/>
      <c r="Q16" s="213"/>
      <c r="R16" s="213"/>
      <c r="S16" s="213"/>
      <c r="T16" s="213"/>
      <c r="U16" s="213"/>
      <c r="V16" s="213"/>
      <c r="W16" s="213"/>
      <c r="X16" s="213"/>
      <c r="Y16" s="213"/>
      <c r="Z16" s="213"/>
      <c r="AA16" s="213"/>
      <c r="AB16" s="213"/>
      <c r="AC16" s="213"/>
      <c r="AD16" s="213"/>
      <c r="AE16" s="214"/>
      <c r="AF16" s="214"/>
      <c r="AG16" s="214"/>
      <c r="AH16" s="214"/>
      <c r="AI16" s="214"/>
      <c r="AJ16" s="214"/>
      <c r="AK16" s="214"/>
      <c r="AL16" s="106">
        <f t="shared" si="1"/>
        <v>0</v>
      </c>
    </row>
    <row r="17" spans="1:38" ht="21.95" customHeight="1">
      <c r="A17" s="61" t="s">
        <v>48</v>
      </c>
      <c r="B17" s="213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  <c r="AA17" s="213"/>
      <c r="AB17" s="213"/>
      <c r="AC17" s="213"/>
      <c r="AD17" s="213"/>
      <c r="AE17" s="214"/>
      <c r="AF17" s="214"/>
      <c r="AG17" s="214"/>
      <c r="AH17" s="214"/>
      <c r="AI17" s="214"/>
      <c r="AJ17" s="214"/>
      <c r="AK17" s="214"/>
      <c r="AL17" s="106">
        <f t="shared" si="1"/>
        <v>0</v>
      </c>
    </row>
    <row r="18" spans="1:38" ht="21.95" customHeight="1">
      <c r="A18" s="61" t="s">
        <v>49</v>
      </c>
      <c r="B18" s="213"/>
      <c r="C18" s="213"/>
      <c r="D18" s="213"/>
      <c r="E18" s="213"/>
      <c r="F18" s="213"/>
      <c r="G18" s="213"/>
      <c r="H18" s="213"/>
      <c r="I18" s="213"/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213"/>
      <c r="W18" s="213"/>
      <c r="X18" s="213"/>
      <c r="Y18" s="213"/>
      <c r="Z18" s="213"/>
      <c r="AA18" s="213"/>
      <c r="AB18" s="213"/>
      <c r="AC18" s="213"/>
      <c r="AD18" s="213"/>
      <c r="AE18" s="214"/>
      <c r="AF18" s="214"/>
      <c r="AG18" s="214"/>
      <c r="AH18" s="214"/>
      <c r="AI18" s="214"/>
      <c r="AJ18" s="214"/>
      <c r="AK18" s="214"/>
      <c r="AL18" s="106">
        <f t="shared" si="1"/>
        <v>0</v>
      </c>
    </row>
    <row r="19" spans="1:38" ht="21.95" customHeight="1">
      <c r="A19" s="61" t="s">
        <v>58</v>
      </c>
      <c r="B19" s="213"/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  <c r="N19" s="213"/>
      <c r="O19" s="213"/>
      <c r="P19" s="213"/>
      <c r="Q19" s="213"/>
      <c r="R19" s="213"/>
      <c r="S19" s="213"/>
      <c r="T19" s="213"/>
      <c r="U19" s="213"/>
      <c r="V19" s="213"/>
      <c r="W19" s="213"/>
      <c r="X19" s="213"/>
      <c r="Y19" s="213"/>
      <c r="Z19" s="213"/>
      <c r="AA19" s="213"/>
      <c r="AB19" s="213"/>
      <c r="AC19" s="213"/>
      <c r="AD19" s="213"/>
      <c r="AE19" s="214"/>
      <c r="AF19" s="214"/>
      <c r="AG19" s="214"/>
      <c r="AH19" s="214"/>
      <c r="AI19" s="214"/>
      <c r="AJ19" s="214"/>
      <c r="AK19" s="214"/>
      <c r="AL19" s="106">
        <f t="shared" si="1"/>
        <v>0</v>
      </c>
    </row>
    <row r="20" spans="1:38" ht="21.95" customHeight="1">
      <c r="A20" s="61" t="s">
        <v>57</v>
      </c>
      <c r="B20" s="213"/>
      <c r="C20" s="213"/>
      <c r="D20" s="213"/>
      <c r="E20" s="213"/>
      <c r="F20" s="213"/>
      <c r="G20" s="213"/>
      <c r="H20" s="213"/>
      <c r="I20" s="213"/>
      <c r="J20" s="213"/>
      <c r="K20" s="213"/>
      <c r="L20" s="213"/>
      <c r="M20" s="213"/>
      <c r="N20" s="213"/>
      <c r="O20" s="213"/>
      <c r="P20" s="213"/>
      <c r="Q20" s="213"/>
      <c r="R20" s="213"/>
      <c r="S20" s="213"/>
      <c r="T20" s="213"/>
      <c r="U20" s="213"/>
      <c r="V20" s="213"/>
      <c r="W20" s="213"/>
      <c r="X20" s="213"/>
      <c r="Y20" s="213"/>
      <c r="Z20" s="213"/>
      <c r="AA20" s="213"/>
      <c r="AB20" s="213"/>
      <c r="AC20" s="213"/>
      <c r="AD20" s="213"/>
      <c r="AE20" s="214"/>
      <c r="AF20" s="214"/>
      <c r="AG20" s="214"/>
      <c r="AH20" s="214"/>
      <c r="AI20" s="214"/>
      <c r="AJ20" s="214"/>
      <c r="AK20" s="214"/>
      <c r="AL20" s="106">
        <f t="shared" si="1"/>
        <v>0</v>
      </c>
    </row>
    <row r="21" spans="1:38" ht="21.95" customHeight="1">
      <c r="A21" s="61" t="s">
        <v>50</v>
      </c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3"/>
      <c r="O21" s="213"/>
      <c r="P21" s="213"/>
      <c r="Q21" s="213"/>
      <c r="R21" s="213"/>
      <c r="S21" s="213"/>
      <c r="T21" s="213"/>
      <c r="U21" s="213"/>
      <c r="V21" s="213"/>
      <c r="W21" s="213"/>
      <c r="X21" s="213"/>
      <c r="Y21" s="213"/>
      <c r="Z21" s="213"/>
      <c r="AA21" s="213"/>
      <c r="AB21" s="213"/>
      <c r="AC21" s="213"/>
      <c r="AD21" s="213"/>
      <c r="AE21" s="214"/>
      <c r="AF21" s="214"/>
      <c r="AG21" s="214"/>
      <c r="AH21" s="214"/>
      <c r="AI21" s="214"/>
      <c r="AJ21" s="214"/>
      <c r="AK21" s="214"/>
      <c r="AL21" s="106">
        <f t="shared" si="1"/>
        <v>0</v>
      </c>
    </row>
    <row r="22" spans="1:38" ht="21.95" customHeight="1">
      <c r="A22" s="63" t="s">
        <v>53</v>
      </c>
      <c r="B22" s="213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213"/>
      <c r="T22" s="213"/>
      <c r="U22" s="213"/>
      <c r="V22" s="213"/>
      <c r="W22" s="213"/>
      <c r="X22" s="213"/>
      <c r="Y22" s="213"/>
      <c r="Z22" s="213"/>
      <c r="AA22" s="213"/>
      <c r="AB22" s="213"/>
      <c r="AC22" s="213"/>
      <c r="AD22" s="213"/>
      <c r="AE22" s="214"/>
      <c r="AF22" s="214"/>
      <c r="AG22" s="214"/>
      <c r="AH22" s="214"/>
      <c r="AI22" s="214"/>
      <c r="AJ22" s="214"/>
      <c r="AK22" s="214"/>
      <c r="AL22" s="106">
        <f t="shared" si="1"/>
        <v>0</v>
      </c>
    </row>
    <row r="23" spans="1:38" ht="21.95" customHeight="1">
      <c r="A23" s="61" t="s">
        <v>52</v>
      </c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213"/>
      <c r="AC23" s="213"/>
      <c r="AD23" s="213"/>
      <c r="AE23" s="214"/>
      <c r="AF23" s="214"/>
      <c r="AG23" s="214"/>
      <c r="AH23" s="214"/>
      <c r="AI23" s="214"/>
      <c r="AJ23" s="214"/>
      <c r="AK23" s="214"/>
      <c r="AL23" s="106">
        <f t="shared" si="1"/>
        <v>0</v>
      </c>
    </row>
    <row r="24" spans="1:38" ht="21.95" customHeight="1">
      <c r="A24" s="61" t="s">
        <v>67</v>
      </c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213"/>
      <c r="V24" s="213"/>
      <c r="W24" s="213"/>
      <c r="X24" s="213"/>
      <c r="Y24" s="213"/>
      <c r="Z24" s="213"/>
      <c r="AA24" s="213"/>
      <c r="AB24" s="213"/>
      <c r="AC24" s="213"/>
      <c r="AD24" s="213"/>
      <c r="AE24" s="214"/>
      <c r="AF24" s="214"/>
      <c r="AG24" s="214"/>
      <c r="AH24" s="214"/>
      <c r="AI24" s="214"/>
      <c r="AJ24" s="214"/>
      <c r="AK24" s="214"/>
      <c r="AL24" s="106">
        <f t="shared" si="1"/>
        <v>0</v>
      </c>
    </row>
    <row r="25" spans="1:38" ht="21.95" customHeight="1">
      <c r="A25" s="61" t="s">
        <v>5</v>
      </c>
      <c r="B25" s="213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3"/>
      <c r="U25" s="213"/>
      <c r="V25" s="213"/>
      <c r="W25" s="213"/>
      <c r="X25" s="213"/>
      <c r="Y25" s="213"/>
      <c r="Z25" s="213"/>
      <c r="AA25" s="213"/>
      <c r="AB25" s="213"/>
      <c r="AC25" s="213"/>
      <c r="AD25" s="213"/>
      <c r="AE25" s="214"/>
      <c r="AF25" s="214"/>
      <c r="AG25" s="214"/>
      <c r="AH25" s="214"/>
      <c r="AI25" s="214"/>
      <c r="AJ25" s="214"/>
      <c r="AK25" s="214"/>
      <c r="AL25" s="106">
        <f t="shared" si="1"/>
        <v>0</v>
      </c>
    </row>
    <row r="26" spans="1:38" ht="21.95" customHeight="1">
      <c r="A26" s="64" t="s">
        <v>6</v>
      </c>
      <c r="B26" s="213"/>
      <c r="C26" s="213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  <c r="AC26" s="213"/>
      <c r="AD26" s="213"/>
      <c r="AE26" s="214"/>
      <c r="AF26" s="214"/>
      <c r="AG26" s="214"/>
      <c r="AH26" s="214"/>
      <c r="AI26" s="214"/>
      <c r="AJ26" s="214"/>
      <c r="AK26" s="214"/>
      <c r="AL26" s="106">
        <f t="shared" si="1"/>
        <v>0</v>
      </c>
    </row>
    <row r="27" spans="1:38" ht="21.95" customHeight="1">
      <c r="A27" s="65" t="s">
        <v>7</v>
      </c>
      <c r="B27" s="62">
        <f t="shared" ref="B27:AJ27" si="2">SUM(B15:B26)</f>
        <v>0</v>
      </c>
      <c r="C27" s="62">
        <f t="shared" si="2"/>
        <v>0</v>
      </c>
      <c r="D27" s="62">
        <f t="shared" si="2"/>
        <v>0</v>
      </c>
      <c r="E27" s="62">
        <f t="shared" si="2"/>
        <v>0</v>
      </c>
      <c r="F27" s="62">
        <f t="shared" si="2"/>
        <v>0</v>
      </c>
      <c r="G27" s="62">
        <f t="shared" si="2"/>
        <v>0</v>
      </c>
      <c r="H27" s="62">
        <f t="shared" si="2"/>
        <v>0</v>
      </c>
      <c r="I27" s="62">
        <f t="shared" si="2"/>
        <v>0</v>
      </c>
      <c r="J27" s="62">
        <f t="shared" si="2"/>
        <v>0</v>
      </c>
      <c r="K27" s="62">
        <f t="shared" si="2"/>
        <v>0</v>
      </c>
      <c r="L27" s="62">
        <f t="shared" si="2"/>
        <v>0</v>
      </c>
      <c r="M27" s="62">
        <f t="shared" si="2"/>
        <v>0</v>
      </c>
      <c r="N27" s="62">
        <f t="shared" si="2"/>
        <v>0</v>
      </c>
      <c r="O27" s="62">
        <f t="shared" si="2"/>
        <v>0</v>
      </c>
      <c r="P27" s="62">
        <f t="shared" si="2"/>
        <v>0</v>
      </c>
      <c r="Q27" s="62">
        <f t="shared" si="2"/>
        <v>0</v>
      </c>
      <c r="R27" s="62">
        <f t="shared" si="2"/>
        <v>0</v>
      </c>
      <c r="S27" s="62">
        <f t="shared" si="2"/>
        <v>0</v>
      </c>
      <c r="T27" s="62">
        <f t="shared" si="2"/>
        <v>0</v>
      </c>
      <c r="U27" s="62">
        <f t="shared" si="2"/>
        <v>0</v>
      </c>
      <c r="V27" s="62"/>
      <c r="W27" s="62"/>
      <c r="X27" s="62"/>
      <c r="Y27" s="62"/>
      <c r="Z27" s="62"/>
      <c r="AA27" s="62">
        <f t="shared" si="2"/>
        <v>0</v>
      </c>
      <c r="AB27" s="62">
        <f t="shared" si="2"/>
        <v>0</v>
      </c>
      <c r="AC27" s="62">
        <f t="shared" si="2"/>
        <v>0</v>
      </c>
      <c r="AD27" s="62">
        <f t="shared" si="2"/>
        <v>0</v>
      </c>
      <c r="AE27" s="62">
        <f t="shared" si="2"/>
        <v>0</v>
      </c>
      <c r="AF27" s="62"/>
      <c r="AG27" s="62">
        <f t="shared" si="2"/>
        <v>0</v>
      </c>
      <c r="AH27" s="62">
        <f t="shared" si="2"/>
        <v>0</v>
      </c>
      <c r="AI27" s="62">
        <f t="shared" si="2"/>
        <v>0</v>
      </c>
      <c r="AJ27" s="62">
        <f t="shared" si="2"/>
        <v>0</v>
      </c>
      <c r="AK27" s="62"/>
      <c r="AL27" s="106">
        <f>SUM(B27:AK27)</f>
        <v>0</v>
      </c>
    </row>
    <row r="28" spans="1:38" ht="21.95" customHeight="1" thickBot="1">
      <c r="A28" s="101" t="s">
        <v>25</v>
      </c>
      <c r="B28" s="102" t="str">
        <f t="shared" ref="B28:AL28" si="3">IF(ISERR(B27/B4),"",B27/B4*1000000)</f>
        <v/>
      </c>
      <c r="C28" s="102" t="str">
        <f t="shared" si="3"/>
        <v/>
      </c>
      <c r="D28" s="102" t="str">
        <f t="shared" si="3"/>
        <v/>
      </c>
      <c r="E28" s="102" t="str">
        <f t="shared" si="3"/>
        <v/>
      </c>
      <c r="F28" s="102" t="str">
        <f t="shared" si="3"/>
        <v/>
      </c>
      <c r="G28" s="102" t="str">
        <f t="shared" si="3"/>
        <v/>
      </c>
      <c r="H28" s="102" t="str">
        <f t="shared" si="3"/>
        <v/>
      </c>
      <c r="I28" s="102" t="str">
        <f t="shared" si="3"/>
        <v/>
      </c>
      <c r="J28" s="102" t="str">
        <f t="shared" si="3"/>
        <v/>
      </c>
      <c r="K28" s="102" t="str">
        <f t="shared" si="3"/>
        <v/>
      </c>
      <c r="L28" s="102" t="str">
        <f t="shared" si="3"/>
        <v/>
      </c>
      <c r="M28" s="102" t="str">
        <f t="shared" si="3"/>
        <v/>
      </c>
      <c r="N28" s="102" t="str">
        <f t="shared" si="3"/>
        <v/>
      </c>
      <c r="O28" s="102" t="str">
        <f t="shared" si="3"/>
        <v/>
      </c>
      <c r="P28" s="102" t="str">
        <f t="shared" si="3"/>
        <v/>
      </c>
      <c r="Q28" s="102" t="str">
        <f t="shared" si="3"/>
        <v/>
      </c>
      <c r="R28" s="102" t="str">
        <f t="shared" si="3"/>
        <v/>
      </c>
      <c r="S28" s="102" t="str">
        <f t="shared" si="3"/>
        <v/>
      </c>
      <c r="T28" s="102" t="str">
        <f t="shared" si="3"/>
        <v/>
      </c>
      <c r="U28" s="102" t="str">
        <f t="shared" si="3"/>
        <v/>
      </c>
      <c r="V28" s="102" t="str">
        <f t="shared" si="3"/>
        <v/>
      </c>
      <c r="W28" s="102" t="str">
        <f t="shared" si="3"/>
        <v/>
      </c>
      <c r="X28" s="102" t="str">
        <f t="shared" si="3"/>
        <v/>
      </c>
      <c r="Y28" s="102" t="str">
        <f t="shared" si="3"/>
        <v/>
      </c>
      <c r="Z28" s="102" t="str">
        <f t="shared" si="3"/>
        <v/>
      </c>
      <c r="AA28" s="102" t="str">
        <f t="shared" si="3"/>
        <v/>
      </c>
      <c r="AB28" s="102" t="str">
        <f t="shared" si="3"/>
        <v/>
      </c>
      <c r="AC28" s="102" t="str">
        <f t="shared" si="3"/>
        <v/>
      </c>
      <c r="AD28" s="102" t="str">
        <f t="shared" si="3"/>
        <v/>
      </c>
      <c r="AE28" s="102" t="str">
        <f t="shared" si="3"/>
        <v/>
      </c>
      <c r="AF28" s="102" t="str">
        <f t="shared" si="3"/>
        <v/>
      </c>
      <c r="AG28" s="102" t="str">
        <f t="shared" si="3"/>
        <v/>
      </c>
      <c r="AH28" s="102" t="str">
        <f t="shared" si="3"/>
        <v/>
      </c>
      <c r="AI28" s="102" t="str">
        <f t="shared" si="3"/>
        <v/>
      </c>
      <c r="AJ28" s="102" t="str">
        <f t="shared" si="3"/>
        <v/>
      </c>
      <c r="AK28" s="102" t="str">
        <f t="shared" si="3"/>
        <v/>
      </c>
      <c r="AL28" s="108" t="str">
        <f t="shared" si="3"/>
        <v/>
      </c>
    </row>
    <row r="29" spans="1:38" ht="21.95" customHeight="1">
      <c r="A29" s="103" t="str">
        <f>'SJCPIL-R 16-318-03 - D'!A29</f>
        <v>Visto Supervisor</v>
      </c>
      <c r="B29" s="196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96"/>
      <c r="AC29" s="196"/>
      <c r="AD29" s="196"/>
      <c r="AE29" s="196"/>
      <c r="AF29" s="196"/>
      <c r="AG29" s="196"/>
      <c r="AH29" s="196"/>
      <c r="AI29" s="196"/>
      <c r="AJ29" s="196"/>
      <c r="AK29" s="196"/>
      <c r="AL29" s="198"/>
    </row>
    <row r="30" spans="1:38" ht="21.95" customHeight="1" thickBot="1">
      <c r="A30" s="104" t="s">
        <v>69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200"/>
    </row>
    <row r="31" spans="1:38" ht="30" customHeight="1">
      <c r="A31" s="68" t="s">
        <v>44</v>
      </c>
      <c r="B31" s="69"/>
      <c r="C31" s="69"/>
      <c r="D31" s="69"/>
      <c r="E31" s="69"/>
      <c r="F31" s="69"/>
      <c r="G31" s="69"/>
      <c r="H31" s="69"/>
      <c r="I31" s="68" t="s">
        <v>46</v>
      </c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70"/>
      <c r="U31" s="68" t="s">
        <v>47</v>
      </c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70"/>
    </row>
    <row r="32" spans="1:38" ht="30" customHeight="1" thickBot="1">
      <c r="A32" s="71" t="s">
        <v>45</v>
      </c>
      <c r="B32" s="72"/>
      <c r="C32" s="72"/>
      <c r="D32" s="72"/>
      <c r="E32" s="72"/>
      <c r="F32" s="72"/>
      <c r="G32" s="72"/>
      <c r="H32" s="72"/>
      <c r="I32" s="71" t="s">
        <v>45</v>
      </c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3"/>
      <c r="U32" s="71" t="s">
        <v>45</v>
      </c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3"/>
    </row>
    <row r="33" spans="1:38">
      <c r="A33" t="s">
        <v>26</v>
      </c>
      <c r="B33" s="74">
        <f>'SJCPIL-R 16-318-03 - D'!$B$33</f>
        <v>430</v>
      </c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</row>
    <row r="35" spans="1:38">
      <c r="A35" s="34" t="s">
        <v>33</v>
      </c>
      <c r="B35" s="34">
        <f t="shared" ref="B35:AL35" si="4">B2</f>
        <v>0</v>
      </c>
      <c r="C35" s="34">
        <f t="shared" si="4"/>
        <v>0</v>
      </c>
      <c r="D35" s="34">
        <f t="shared" si="4"/>
        <v>0</v>
      </c>
      <c r="E35" s="34">
        <f t="shared" si="4"/>
        <v>0</v>
      </c>
      <c r="F35" s="34">
        <f t="shared" si="4"/>
        <v>0</v>
      </c>
      <c r="G35" s="34">
        <f t="shared" si="4"/>
        <v>0</v>
      </c>
      <c r="H35" s="34">
        <f t="shared" si="4"/>
        <v>0</v>
      </c>
      <c r="I35" s="34">
        <f t="shared" si="4"/>
        <v>0</v>
      </c>
      <c r="J35" s="34">
        <f t="shared" si="4"/>
        <v>0</v>
      </c>
      <c r="K35" s="34">
        <f t="shared" si="4"/>
        <v>0</v>
      </c>
      <c r="L35" s="34">
        <f t="shared" si="4"/>
        <v>0</v>
      </c>
      <c r="M35" s="34">
        <f t="shared" si="4"/>
        <v>0</v>
      </c>
      <c r="N35" s="34">
        <f t="shared" si="4"/>
        <v>0</v>
      </c>
      <c r="O35" s="34">
        <f t="shared" si="4"/>
        <v>0</v>
      </c>
      <c r="P35" s="34">
        <f t="shared" si="4"/>
        <v>0</v>
      </c>
      <c r="Q35" s="34">
        <f t="shared" si="4"/>
        <v>0</v>
      </c>
      <c r="R35" s="34">
        <f t="shared" si="4"/>
        <v>0</v>
      </c>
      <c r="S35" s="34">
        <f t="shared" si="4"/>
        <v>0</v>
      </c>
      <c r="T35" s="34">
        <f t="shared" si="4"/>
        <v>0</v>
      </c>
      <c r="U35" s="34">
        <f t="shared" si="4"/>
        <v>0</v>
      </c>
      <c r="V35" s="34"/>
      <c r="W35" s="34"/>
      <c r="X35" s="34"/>
      <c r="Y35" s="34"/>
      <c r="Z35" s="34"/>
      <c r="AA35" s="34">
        <f t="shared" si="4"/>
        <v>0</v>
      </c>
      <c r="AB35" s="34">
        <f t="shared" si="4"/>
        <v>0</v>
      </c>
      <c r="AC35" s="34">
        <f t="shared" si="4"/>
        <v>0</v>
      </c>
      <c r="AD35" s="34">
        <f t="shared" si="4"/>
        <v>0</v>
      </c>
      <c r="AE35" s="34"/>
      <c r="AF35" s="34"/>
      <c r="AG35" s="34"/>
      <c r="AH35" s="34"/>
      <c r="AI35" s="34"/>
      <c r="AJ35" s="34"/>
      <c r="AK35" s="34"/>
      <c r="AL35" s="34" t="str">
        <f t="shared" si="4"/>
        <v>Total</v>
      </c>
    </row>
    <row r="36" spans="1:38" ht="105" customHeight="1">
      <c r="A36" s="75" t="s">
        <v>35</v>
      </c>
      <c r="B36" s="215"/>
      <c r="C36" s="215"/>
      <c r="D36" s="215"/>
      <c r="E36" s="215"/>
      <c r="F36" s="215"/>
      <c r="G36" s="215"/>
      <c r="H36" s="215"/>
      <c r="I36" s="215"/>
      <c r="J36" s="215"/>
      <c r="K36" s="215"/>
      <c r="L36" s="215"/>
      <c r="M36" s="216"/>
      <c r="N36" s="215"/>
      <c r="O36" s="215"/>
      <c r="P36" s="215"/>
      <c r="Q36" s="215"/>
      <c r="R36" s="215"/>
      <c r="S36" s="215"/>
      <c r="T36" s="215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01"/>
    </row>
  </sheetData>
  <sheetProtection selectLockedCells="1"/>
  <mergeCells count="28">
    <mergeCell ref="AL5:AL14"/>
    <mergeCell ref="AA5:AA14"/>
    <mergeCell ref="AB5:AB14"/>
    <mergeCell ref="AC5:AC14"/>
    <mergeCell ref="AD5:AD14"/>
    <mergeCell ref="O5:O14"/>
    <mergeCell ref="P5:P14"/>
    <mergeCell ref="Q5:Q14"/>
    <mergeCell ref="U5:U14"/>
    <mergeCell ref="R5:R14"/>
    <mergeCell ref="S5:S14"/>
    <mergeCell ref="T5:T14"/>
    <mergeCell ref="N5:N14"/>
    <mergeCell ref="AI1:AJ1"/>
    <mergeCell ref="AK1:AL1"/>
    <mergeCell ref="A6:A14"/>
    <mergeCell ref="B5:B14"/>
    <mergeCell ref="C5:C14"/>
    <mergeCell ref="D5:D14"/>
    <mergeCell ref="K5:K14"/>
    <mergeCell ref="J5:J14"/>
    <mergeCell ref="E5:E14"/>
    <mergeCell ref="F5:F14"/>
    <mergeCell ref="G5:G14"/>
    <mergeCell ref="H5:H14"/>
    <mergeCell ref="I5:I14"/>
    <mergeCell ref="L5:L14"/>
    <mergeCell ref="M5:M14"/>
  </mergeCells>
  <phoneticPr fontId="0" type="noConversion"/>
  <dataValidations count="2">
    <dataValidation type="list" allowBlank="1" showInputMessage="1" showErrorMessage="1" sqref="B3:AL3" xr:uid="{00000000-0002-0000-0200-000000000000}">
      <formula1>produtos</formula1>
    </dataValidation>
    <dataValidation type="date" allowBlank="1" showInputMessage="1" showErrorMessage="1" sqref="B2:AK2" xr:uid="{ACF02719-13AE-498B-802C-983A87C4762C}">
      <formula1>44287</formula1>
      <formula2>44651</formula2>
    </dataValidation>
  </dataValidations>
  <printOptions horizontalCentered="1" verticalCentered="1" gridLines="1" gridLinesSet="0"/>
  <pageMargins left="0.27559055118110237" right="0.27559055118110237" top="0.39370078740157483" bottom="0.39370078740157483" header="0.27559055118110237" footer="0.27559055118110237"/>
  <pageSetup paperSize="9" scale="61" orientation="landscape" r:id="rId1"/>
  <headerFooter alignWithMargins="0">
    <oddFooter>&amp;RSJCPIL-R 16-318-03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31</xdr:col>
                    <xdr:colOff>333375</xdr:colOff>
                    <xdr:row>0</xdr:row>
                    <xdr:rowOff>9525</xdr:rowOff>
                  </from>
                  <to>
                    <xdr:col>33</xdr:col>
                    <xdr:colOff>361950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31</xdr:col>
                    <xdr:colOff>333375</xdr:colOff>
                    <xdr:row>0</xdr:row>
                    <xdr:rowOff>180975</xdr:rowOff>
                  </from>
                  <to>
                    <xdr:col>33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J29"/>
  <sheetViews>
    <sheetView zoomScale="98" zoomScaleNormal="98" workbookViewId="0">
      <selection activeCell="P14" sqref="P14"/>
    </sheetView>
  </sheetViews>
  <sheetFormatPr defaultRowHeight="12.75"/>
  <cols>
    <col min="2" max="2" width="19.7109375" bestFit="1" customWidth="1"/>
    <col min="3" max="3" width="11.7109375" bestFit="1" customWidth="1"/>
    <col min="4" max="8" width="11.7109375" customWidth="1"/>
    <col min="9" max="9" width="9.28515625" bestFit="1" customWidth="1"/>
    <col min="10" max="10" width="11" bestFit="1" customWidth="1"/>
  </cols>
  <sheetData>
    <row r="1" spans="1:10">
      <c r="A1" s="44" t="s">
        <v>36</v>
      </c>
      <c r="B1" s="37" t="s">
        <v>8</v>
      </c>
      <c r="C1" s="37" t="s">
        <v>28</v>
      </c>
      <c r="D1" s="37" t="s">
        <v>29</v>
      </c>
      <c r="E1" s="37" t="s">
        <v>24</v>
      </c>
      <c r="F1" s="37" t="s">
        <v>22</v>
      </c>
      <c r="G1" s="233" t="s">
        <v>30</v>
      </c>
      <c r="H1" s="233"/>
      <c r="I1" s="37" t="s">
        <v>25</v>
      </c>
      <c r="J1" s="109" t="s">
        <v>72</v>
      </c>
    </row>
    <row r="2" spans="1:10" ht="13.5" customHeight="1">
      <c r="A2" s="34"/>
      <c r="B2" s="38" t="s">
        <v>12</v>
      </c>
      <c r="C2" s="15">
        <f>'Resumo de Falhas'!M2</f>
        <v>0</v>
      </c>
      <c r="D2" s="15">
        <f>'Resumo de Falhas'!M16</f>
        <v>0</v>
      </c>
      <c r="E2" s="15">
        <f>D2+C2</f>
        <v>0</v>
      </c>
      <c r="F2" s="15"/>
      <c r="G2" s="39" t="s">
        <v>31</v>
      </c>
      <c r="H2" s="39" t="s">
        <v>22</v>
      </c>
      <c r="I2" s="40"/>
      <c r="J2" s="34"/>
    </row>
    <row r="3" spans="1:10">
      <c r="A3" s="34">
        <v>1</v>
      </c>
      <c r="B3" s="41" t="str">
        <f>VLOOKUP($H18,$A$17:$E$29,2,0)</f>
        <v>OUTROS</v>
      </c>
      <c r="C3" s="42">
        <f>VLOOKUP($H18,$A$17:$E$29,3,0)</f>
        <v>0</v>
      </c>
      <c r="D3" s="42">
        <f>VLOOKUP($H18,$A$17:$E$29,4,0)</f>
        <v>0</v>
      </c>
      <c r="E3" s="42">
        <f>VLOOKUP($H18,$A$17:$E$29,5,0)</f>
        <v>0</v>
      </c>
      <c r="F3" s="15" t="e">
        <f t="shared" ref="F3:F12" si="0">E3/E$15*100</f>
        <v>#DIV/0!</v>
      </c>
      <c r="G3" s="15">
        <f>E3</f>
        <v>0</v>
      </c>
      <c r="H3" s="15" t="e">
        <f t="shared" ref="H3:H12" si="1">G3/E$15*100</f>
        <v>#DIV/0!</v>
      </c>
      <c r="I3" s="15" t="e">
        <f>E3/E$2*1000000</f>
        <v>#DIV/0!</v>
      </c>
      <c r="J3" s="110" t="e">
        <f t="shared" ref="J3:J14" si="2">IF(($I$15&gt;TARGET)*(H3&lt;80),I3,0)</f>
        <v>#DIV/0!</v>
      </c>
    </row>
    <row r="4" spans="1:10">
      <c r="A4" s="34">
        <v>2</v>
      </c>
      <c r="B4" s="41" t="str">
        <f t="shared" ref="B4:B14" si="3">VLOOKUP($H19,$A$17:$E$29,2,0)</f>
        <v>SHRINK</v>
      </c>
      <c r="C4" s="42">
        <f t="shared" ref="C4:C14" si="4">VLOOKUP($H19,$A$17:$E$29,3,0)</f>
        <v>0</v>
      </c>
      <c r="D4" s="42">
        <f>VLOOKUP($H19,$A$17:$E$29,4,0)</f>
        <v>0</v>
      </c>
      <c r="E4" s="42">
        <f t="shared" ref="E4:E14" si="5">VLOOKUP($H19,$A$17:$E$29,5,0)</f>
        <v>0</v>
      </c>
      <c r="F4" s="15" t="e">
        <f t="shared" si="0"/>
        <v>#DIV/0!</v>
      </c>
      <c r="G4" s="15">
        <f>E4+G3</f>
        <v>0</v>
      </c>
      <c r="H4" s="15" t="e">
        <f t="shared" si="1"/>
        <v>#DIV/0!</v>
      </c>
      <c r="I4" s="15" t="e">
        <f t="shared" ref="I4:I14" si="6">E4/E$2*1000000</f>
        <v>#DIV/0!</v>
      </c>
      <c r="J4" s="110" t="e">
        <f t="shared" si="2"/>
        <v>#DIV/0!</v>
      </c>
    </row>
    <row r="5" spans="1:10">
      <c r="A5" s="34">
        <v>3</v>
      </c>
      <c r="B5" s="41" t="str">
        <f t="shared" si="3"/>
        <v>FUNDO SUJO</v>
      </c>
      <c r="C5" s="42">
        <f t="shared" si="4"/>
        <v>0</v>
      </c>
      <c r="D5" s="42">
        <f t="shared" ref="D5:D14" si="7">VLOOKUP($H20,$A$17:$E$27,4,0)</f>
        <v>0</v>
      </c>
      <c r="E5" s="42">
        <f t="shared" si="5"/>
        <v>0</v>
      </c>
      <c r="F5" s="15" t="e">
        <f t="shared" si="0"/>
        <v>#DIV/0!</v>
      </c>
      <c r="G5" s="15">
        <f t="shared" ref="G5:G14" si="8">E5+G4</f>
        <v>0</v>
      </c>
      <c r="H5" s="15" t="e">
        <f t="shared" si="1"/>
        <v>#DIV/0!</v>
      </c>
      <c r="I5" s="15" t="e">
        <f t="shared" si="6"/>
        <v>#DIV/0!</v>
      </c>
      <c r="J5" s="110" t="e">
        <f t="shared" si="2"/>
        <v>#DIV/0!</v>
      </c>
    </row>
    <row r="6" spans="1:10">
      <c r="A6" s="34">
        <v>4</v>
      </c>
      <c r="B6" s="41" t="str">
        <f t="shared" si="3"/>
        <v>S/ BOTTOM PLATE</v>
      </c>
      <c r="C6" s="42">
        <f t="shared" si="4"/>
        <v>0</v>
      </c>
      <c r="D6" s="42">
        <f t="shared" si="7"/>
        <v>0</v>
      </c>
      <c r="E6" s="42">
        <f t="shared" si="5"/>
        <v>0</v>
      </c>
      <c r="F6" s="15" t="e">
        <f t="shared" si="0"/>
        <v>#DIV/0!</v>
      </c>
      <c r="G6" s="15">
        <f t="shared" si="8"/>
        <v>0</v>
      </c>
      <c r="H6" s="15" t="e">
        <f t="shared" si="1"/>
        <v>#DIV/0!</v>
      </c>
      <c r="I6" s="15" t="e">
        <f t="shared" si="6"/>
        <v>#DIV/0!</v>
      </c>
      <c r="J6" s="110" t="e">
        <f t="shared" si="2"/>
        <v>#DIV/0!</v>
      </c>
    </row>
    <row r="7" spans="1:10">
      <c r="A7" s="34">
        <v>5</v>
      </c>
      <c r="B7" s="41" t="str">
        <f t="shared" si="3"/>
        <v>S/ ARRUELA / ARR. DESLOCADA</v>
      </c>
      <c r="C7" s="42">
        <f t="shared" si="4"/>
        <v>0</v>
      </c>
      <c r="D7" s="42">
        <f t="shared" si="7"/>
        <v>0</v>
      </c>
      <c r="E7" s="42">
        <f t="shared" si="5"/>
        <v>0</v>
      </c>
      <c r="F7" s="15" t="e">
        <f t="shared" si="0"/>
        <v>#DIV/0!</v>
      </c>
      <c r="G7" s="15">
        <f t="shared" si="8"/>
        <v>0</v>
      </c>
      <c r="H7" s="15" t="e">
        <f t="shared" si="1"/>
        <v>#DIV/0!</v>
      </c>
      <c r="I7" s="15" t="e">
        <f t="shared" si="6"/>
        <v>#DIV/0!</v>
      </c>
      <c r="J7" s="110" t="e">
        <f t="shared" si="2"/>
        <v>#DIV/0!</v>
      </c>
    </row>
    <row r="8" spans="1:10">
      <c r="A8" s="34">
        <v>6</v>
      </c>
      <c r="B8" s="41" t="str">
        <f t="shared" si="3"/>
        <v>DEFEITO BLINDAGEM</v>
      </c>
      <c r="C8" s="42">
        <f t="shared" si="4"/>
        <v>0</v>
      </c>
      <c r="D8" s="42">
        <f t="shared" si="7"/>
        <v>0</v>
      </c>
      <c r="E8" s="42">
        <f t="shared" si="5"/>
        <v>0</v>
      </c>
      <c r="F8" s="15" t="e">
        <f t="shared" si="0"/>
        <v>#DIV/0!</v>
      </c>
      <c r="G8" s="15">
        <f t="shared" si="8"/>
        <v>0</v>
      </c>
      <c r="H8" s="15" t="e">
        <f t="shared" si="1"/>
        <v>#DIV/0!</v>
      </c>
      <c r="I8" s="15" t="e">
        <f t="shared" si="6"/>
        <v>#DIV/0!</v>
      </c>
      <c r="J8" s="110" t="e">
        <f t="shared" si="2"/>
        <v>#DIV/0!</v>
      </c>
    </row>
    <row r="9" spans="1:10">
      <c r="A9" s="34">
        <v>7</v>
      </c>
      <c r="B9" s="41" t="str">
        <f t="shared" si="3"/>
        <v>CH. MANCHADA</v>
      </c>
      <c r="C9" s="42">
        <f t="shared" si="4"/>
        <v>0</v>
      </c>
      <c r="D9" s="42">
        <f t="shared" si="7"/>
        <v>0</v>
      </c>
      <c r="E9" s="42">
        <f t="shared" si="5"/>
        <v>0</v>
      </c>
      <c r="F9" s="15" t="e">
        <f t="shared" si="0"/>
        <v>#DIV/0!</v>
      </c>
      <c r="G9" s="15">
        <f t="shared" si="8"/>
        <v>0</v>
      </c>
      <c r="H9" s="15" t="e">
        <f t="shared" si="1"/>
        <v>#DIV/0!</v>
      </c>
      <c r="I9" s="15" t="e">
        <f t="shared" si="6"/>
        <v>#DIV/0!</v>
      </c>
      <c r="J9" s="110" t="e">
        <f t="shared" si="2"/>
        <v>#DIV/0!</v>
      </c>
    </row>
    <row r="10" spans="1:10">
      <c r="A10" s="34">
        <v>8</v>
      </c>
      <c r="B10" s="41" t="str">
        <f t="shared" si="3"/>
        <v>CH. RISCADA</v>
      </c>
      <c r="C10" s="42">
        <f t="shared" si="4"/>
        <v>0</v>
      </c>
      <c r="D10" s="42">
        <f t="shared" si="7"/>
        <v>0</v>
      </c>
      <c r="E10" s="42">
        <f t="shared" si="5"/>
        <v>0</v>
      </c>
      <c r="F10" s="15" t="e">
        <f t="shared" si="0"/>
        <v>#DIV/0!</v>
      </c>
      <c r="G10" s="15">
        <f t="shared" si="8"/>
        <v>0</v>
      </c>
      <c r="H10" s="15" t="e">
        <f t="shared" si="1"/>
        <v>#DIV/0!</v>
      </c>
      <c r="I10" s="15" t="e">
        <f t="shared" si="6"/>
        <v>#DIV/0!</v>
      </c>
      <c r="J10" s="110" t="e">
        <f t="shared" si="2"/>
        <v>#DIV/0!</v>
      </c>
    </row>
    <row r="11" spans="1:10">
      <c r="A11" s="34">
        <v>9</v>
      </c>
      <c r="B11" s="41" t="str">
        <f t="shared" si="3"/>
        <v>S/ CAP</v>
      </c>
      <c r="C11" s="42">
        <f t="shared" si="4"/>
        <v>0</v>
      </c>
      <c r="D11" s="42">
        <f t="shared" si="7"/>
        <v>0</v>
      </c>
      <c r="E11" s="42">
        <f t="shared" si="5"/>
        <v>0</v>
      </c>
      <c r="F11" s="15" t="e">
        <f t="shared" si="0"/>
        <v>#DIV/0!</v>
      </c>
      <c r="G11" s="15">
        <f t="shared" si="8"/>
        <v>0</v>
      </c>
      <c r="H11" s="15" t="e">
        <f t="shared" si="1"/>
        <v>#DIV/0!</v>
      </c>
      <c r="I11" s="15" t="e">
        <f t="shared" si="6"/>
        <v>#DIV/0!</v>
      </c>
      <c r="J11" s="110" t="e">
        <f t="shared" si="2"/>
        <v>#DIV/0!</v>
      </c>
    </row>
    <row r="12" spans="1:10">
      <c r="A12" s="34">
        <v>10</v>
      </c>
      <c r="B12" s="41" t="str">
        <f t="shared" si="3"/>
        <v>S/ ANEL VERMELHO</v>
      </c>
      <c r="C12" s="42">
        <f t="shared" si="4"/>
        <v>0</v>
      </c>
      <c r="D12" s="42">
        <f t="shared" si="7"/>
        <v>0</v>
      </c>
      <c r="E12" s="42">
        <f t="shared" si="5"/>
        <v>0</v>
      </c>
      <c r="F12" s="15" t="e">
        <f t="shared" si="0"/>
        <v>#DIV/0!</v>
      </c>
      <c r="G12" s="15">
        <f t="shared" si="8"/>
        <v>0</v>
      </c>
      <c r="H12" s="15" t="e">
        <f t="shared" si="1"/>
        <v>#DIV/0!</v>
      </c>
      <c r="I12" s="15" t="e">
        <f t="shared" si="6"/>
        <v>#DIV/0!</v>
      </c>
      <c r="J12" s="110" t="e">
        <f t="shared" si="2"/>
        <v>#DIV/0!</v>
      </c>
    </row>
    <row r="13" spans="1:10">
      <c r="A13" s="34">
        <v>11</v>
      </c>
      <c r="B13" s="41" t="str">
        <f t="shared" si="3"/>
        <v>ENCAIXOTAMENTO</v>
      </c>
      <c r="C13" s="42">
        <f t="shared" si="4"/>
        <v>0</v>
      </c>
      <c r="D13" s="42">
        <f t="shared" si="7"/>
        <v>0</v>
      </c>
      <c r="E13" s="42">
        <f t="shared" si="5"/>
        <v>0</v>
      </c>
      <c r="F13" s="15" t="e">
        <f>E13/E$15*100</f>
        <v>#DIV/0!</v>
      </c>
      <c r="G13" s="15">
        <f t="shared" si="8"/>
        <v>0</v>
      </c>
      <c r="H13" s="15" t="e">
        <f>G13/E$15*100</f>
        <v>#DIV/0!</v>
      </c>
      <c r="I13" s="15" t="e">
        <f t="shared" si="6"/>
        <v>#DIV/0!</v>
      </c>
      <c r="J13" s="110" t="e">
        <f t="shared" si="2"/>
        <v>#DIV/0!</v>
      </c>
    </row>
    <row r="14" spans="1:10">
      <c r="A14" s="34">
        <v>12</v>
      </c>
      <c r="B14" s="41" t="str">
        <f t="shared" si="3"/>
        <v>TESTADOR</v>
      </c>
      <c r="C14" s="42">
        <f t="shared" si="4"/>
        <v>0</v>
      </c>
      <c r="D14" s="42">
        <f t="shared" si="7"/>
        <v>0</v>
      </c>
      <c r="E14" s="42">
        <f t="shared" si="5"/>
        <v>0</v>
      </c>
      <c r="F14" s="15" t="e">
        <f>E14/E$15*100</f>
        <v>#DIV/0!</v>
      </c>
      <c r="G14" s="15">
        <f t="shared" si="8"/>
        <v>0</v>
      </c>
      <c r="H14" s="15" t="e">
        <f>G14/E$15*100</f>
        <v>#DIV/0!</v>
      </c>
      <c r="I14" s="15" t="e">
        <f t="shared" si="6"/>
        <v>#DIV/0!</v>
      </c>
      <c r="J14" s="110" t="e">
        <f t="shared" si="2"/>
        <v>#DIV/0!</v>
      </c>
    </row>
    <row r="15" spans="1:10">
      <c r="A15" s="34"/>
      <c r="B15" s="43" t="s">
        <v>13</v>
      </c>
      <c r="C15" s="15">
        <f>'Resumo de Falhas'!M15</f>
        <v>0</v>
      </c>
      <c r="D15" s="15">
        <f>'Resumo de Falhas'!M29</f>
        <v>0</v>
      </c>
      <c r="E15" s="15">
        <f>C15+D15</f>
        <v>0</v>
      </c>
      <c r="F15" s="15" t="e">
        <f>E15/E$15*100</f>
        <v>#DIV/0!</v>
      </c>
      <c r="G15" s="15">
        <f>E15</f>
        <v>0</v>
      </c>
      <c r="H15" s="15" t="e">
        <f>G15/E$15*100</f>
        <v>#DIV/0!</v>
      </c>
      <c r="I15" s="15" t="e">
        <f>E15/E$2*1000000</f>
        <v>#DIV/0!</v>
      </c>
    </row>
    <row r="17" spans="1:9">
      <c r="A17" s="48" t="s">
        <v>37</v>
      </c>
      <c r="B17" s="49" t="s">
        <v>38</v>
      </c>
      <c r="C17" s="50" t="s">
        <v>39</v>
      </c>
      <c r="D17" s="50" t="s">
        <v>40</v>
      </c>
      <c r="E17" s="50" t="s">
        <v>24</v>
      </c>
      <c r="F17" s="50" t="s">
        <v>41</v>
      </c>
      <c r="G17" s="50" t="s">
        <v>42</v>
      </c>
      <c r="H17" s="50" t="s">
        <v>43</v>
      </c>
      <c r="I17" s="50"/>
    </row>
    <row r="18" spans="1:9">
      <c r="A18" s="50">
        <v>1</v>
      </c>
      <c r="B18" s="49" t="s">
        <v>3</v>
      </c>
      <c r="C18" s="51">
        <f>'Resumo de Falhas'!M3</f>
        <v>0</v>
      </c>
      <c r="D18" s="51">
        <f>'Resumo de Falhas'!M17</f>
        <v>0</v>
      </c>
      <c r="E18" s="51">
        <f>SUM(C18:D18)</f>
        <v>0</v>
      </c>
      <c r="F18" s="50">
        <f>E18*100+A18*15</f>
        <v>15</v>
      </c>
      <c r="G18" s="50">
        <f>LARGE(F$18:F$29,A18)</f>
        <v>180</v>
      </c>
      <c r="H18" s="50">
        <f>MATCH(G18,F$18:F$29,0)</f>
        <v>12</v>
      </c>
      <c r="I18" s="50"/>
    </row>
    <row r="19" spans="1:9">
      <c r="A19" s="50">
        <v>2</v>
      </c>
      <c r="B19" s="49" t="s">
        <v>4</v>
      </c>
      <c r="C19" s="51">
        <f>'Resumo de Falhas'!M4</f>
        <v>0</v>
      </c>
      <c r="D19" s="51">
        <f>'Resumo de Falhas'!M18</f>
        <v>0</v>
      </c>
      <c r="E19" s="51">
        <f t="shared" ref="E19:E29" si="9">SUM(C19:D19)</f>
        <v>0</v>
      </c>
      <c r="F19" s="50">
        <f t="shared" ref="F19:F29" si="10">E19*100+A19*15</f>
        <v>30</v>
      </c>
      <c r="G19" s="50">
        <f t="shared" ref="G19:G29" si="11">LARGE(F$18:F$29,A19)</f>
        <v>165</v>
      </c>
      <c r="H19" s="50">
        <f t="shared" ref="H19:H29" si="12">MATCH(G19,F$18:F$29,0)</f>
        <v>11</v>
      </c>
      <c r="I19" s="50"/>
    </row>
    <row r="20" spans="1:9">
      <c r="A20" s="50">
        <v>3</v>
      </c>
      <c r="B20" s="49" t="s">
        <v>48</v>
      </c>
      <c r="C20" s="51">
        <f>'Resumo de Falhas'!M5</f>
        <v>0</v>
      </c>
      <c r="D20" s="51">
        <f>'Resumo de Falhas'!M19</f>
        <v>0</v>
      </c>
      <c r="E20" s="51">
        <f t="shared" si="9"/>
        <v>0</v>
      </c>
      <c r="F20" s="50">
        <f t="shared" si="10"/>
        <v>45</v>
      </c>
      <c r="G20" s="50">
        <f t="shared" si="11"/>
        <v>150</v>
      </c>
      <c r="H20" s="50">
        <f t="shared" si="12"/>
        <v>10</v>
      </c>
      <c r="I20" s="50"/>
    </row>
    <row r="21" spans="1:9">
      <c r="A21" s="50">
        <v>4</v>
      </c>
      <c r="B21" s="49" t="s">
        <v>49</v>
      </c>
      <c r="C21" s="51">
        <f>'Resumo de Falhas'!M6</f>
        <v>0</v>
      </c>
      <c r="D21" s="51">
        <f>'Resumo de Falhas'!M20</f>
        <v>0</v>
      </c>
      <c r="E21" s="51">
        <f t="shared" si="9"/>
        <v>0</v>
      </c>
      <c r="F21" s="50">
        <f t="shared" si="10"/>
        <v>60</v>
      </c>
      <c r="G21" s="50">
        <f t="shared" si="11"/>
        <v>135</v>
      </c>
      <c r="H21" s="50">
        <f t="shared" si="12"/>
        <v>9</v>
      </c>
      <c r="I21" s="50"/>
    </row>
    <row r="22" spans="1:9">
      <c r="A22" s="50">
        <v>5</v>
      </c>
      <c r="B22" s="49" t="s">
        <v>59</v>
      </c>
      <c r="C22" s="51">
        <f>'Resumo de Falhas'!M7</f>
        <v>0</v>
      </c>
      <c r="D22" s="51">
        <f>'Resumo de Falhas'!M21</f>
        <v>0</v>
      </c>
      <c r="E22" s="51">
        <f t="shared" si="9"/>
        <v>0</v>
      </c>
      <c r="F22" s="50">
        <f t="shared" si="10"/>
        <v>75</v>
      </c>
      <c r="G22" s="50">
        <f t="shared" si="11"/>
        <v>120</v>
      </c>
      <c r="H22" s="50">
        <f t="shared" si="12"/>
        <v>8</v>
      </c>
      <c r="I22" s="50"/>
    </row>
    <row r="23" spans="1:9">
      <c r="A23" s="50">
        <v>6</v>
      </c>
      <c r="B23" s="49" t="s">
        <v>60</v>
      </c>
      <c r="C23" s="51">
        <f>'Resumo de Falhas'!M8</f>
        <v>0</v>
      </c>
      <c r="D23" s="51">
        <f>'Resumo de Falhas'!M22</f>
        <v>0</v>
      </c>
      <c r="E23" s="51">
        <f t="shared" si="9"/>
        <v>0</v>
      </c>
      <c r="F23" s="50">
        <f t="shared" si="10"/>
        <v>90</v>
      </c>
      <c r="G23" s="50">
        <f t="shared" si="11"/>
        <v>105</v>
      </c>
      <c r="H23" s="50">
        <f t="shared" si="12"/>
        <v>7</v>
      </c>
      <c r="I23" s="50"/>
    </row>
    <row r="24" spans="1:9">
      <c r="A24" s="50">
        <v>7</v>
      </c>
      <c r="B24" s="49" t="s">
        <v>50</v>
      </c>
      <c r="C24" s="51">
        <f>'Resumo de Falhas'!M9</f>
        <v>0</v>
      </c>
      <c r="D24" s="51">
        <f>'Resumo de Falhas'!M23</f>
        <v>0</v>
      </c>
      <c r="E24" s="51">
        <f t="shared" si="9"/>
        <v>0</v>
      </c>
      <c r="F24" s="50">
        <f t="shared" si="10"/>
        <v>105</v>
      </c>
      <c r="G24" s="50">
        <f t="shared" si="11"/>
        <v>90</v>
      </c>
      <c r="H24" s="50">
        <f t="shared" si="12"/>
        <v>6</v>
      </c>
      <c r="I24" s="50"/>
    </row>
    <row r="25" spans="1:9">
      <c r="A25" s="50">
        <v>8</v>
      </c>
      <c r="B25" s="49" t="s">
        <v>51</v>
      </c>
      <c r="C25" s="51">
        <f>'Resumo de Falhas'!M10</f>
        <v>0</v>
      </c>
      <c r="D25" s="51">
        <f>'Resumo de Falhas'!M24</f>
        <v>0</v>
      </c>
      <c r="E25" s="51">
        <f t="shared" si="9"/>
        <v>0</v>
      </c>
      <c r="F25" s="50">
        <f t="shared" si="10"/>
        <v>120</v>
      </c>
      <c r="G25" s="50">
        <f t="shared" si="11"/>
        <v>75</v>
      </c>
      <c r="H25" s="50">
        <f t="shared" si="12"/>
        <v>5</v>
      </c>
      <c r="I25" s="50"/>
    </row>
    <row r="26" spans="1:9">
      <c r="A26" s="50">
        <v>9</v>
      </c>
      <c r="B26" s="49" t="s">
        <v>52</v>
      </c>
      <c r="C26" s="51">
        <f>'Resumo de Falhas'!M11</f>
        <v>0</v>
      </c>
      <c r="D26" s="51">
        <f>'Resumo de Falhas'!M25</f>
        <v>0</v>
      </c>
      <c r="E26" s="51">
        <f t="shared" si="9"/>
        <v>0</v>
      </c>
      <c r="F26" s="50">
        <f t="shared" si="10"/>
        <v>135</v>
      </c>
      <c r="G26" s="50">
        <f t="shared" si="11"/>
        <v>60</v>
      </c>
      <c r="H26" s="50">
        <f t="shared" si="12"/>
        <v>4</v>
      </c>
      <c r="I26" s="50"/>
    </row>
    <row r="27" spans="1:9">
      <c r="A27" s="50">
        <v>10</v>
      </c>
      <c r="B27" s="49" t="s">
        <v>67</v>
      </c>
      <c r="C27" s="51">
        <f>'Resumo de Falhas'!M12</f>
        <v>0</v>
      </c>
      <c r="D27" s="51">
        <f>'Resumo de Falhas'!M26</f>
        <v>0</v>
      </c>
      <c r="E27" s="51">
        <f t="shared" si="9"/>
        <v>0</v>
      </c>
      <c r="F27" s="50">
        <f t="shared" si="10"/>
        <v>150</v>
      </c>
      <c r="G27" s="50">
        <f t="shared" si="11"/>
        <v>45</v>
      </c>
      <c r="H27" s="50">
        <f t="shared" si="12"/>
        <v>3</v>
      </c>
      <c r="I27" s="50"/>
    </row>
    <row r="28" spans="1:9">
      <c r="A28" s="50">
        <v>11</v>
      </c>
      <c r="B28" s="49" t="s">
        <v>5</v>
      </c>
      <c r="C28" s="51">
        <f>'Resumo de Falhas'!M13</f>
        <v>0</v>
      </c>
      <c r="D28" s="51">
        <f>'Resumo de Falhas'!M27</f>
        <v>0</v>
      </c>
      <c r="E28" s="51">
        <f t="shared" si="9"/>
        <v>0</v>
      </c>
      <c r="F28" s="50">
        <f t="shared" si="10"/>
        <v>165</v>
      </c>
      <c r="G28" s="50">
        <f t="shared" si="11"/>
        <v>30</v>
      </c>
      <c r="H28" s="50">
        <f t="shared" si="12"/>
        <v>2</v>
      </c>
      <c r="I28" s="50"/>
    </row>
    <row r="29" spans="1:9">
      <c r="A29" s="50">
        <v>12</v>
      </c>
      <c r="B29" s="50" t="s">
        <v>6</v>
      </c>
      <c r="C29" s="51">
        <f>'Resumo de Falhas'!M14</f>
        <v>0</v>
      </c>
      <c r="D29" s="51">
        <f>'Resumo de Falhas'!M28</f>
        <v>0</v>
      </c>
      <c r="E29" s="51">
        <f t="shared" si="9"/>
        <v>0</v>
      </c>
      <c r="F29" s="50">
        <f t="shared" si="10"/>
        <v>180</v>
      </c>
      <c r="G29" s="50">
        <f t="shared" si="11"/>
        <v>15</v>
      </c>
      <c r="H29" s="50">
        <f t="shared" si="12"/>
        <v>1</v>
      </c>
      <c r="I29" s="50"/>
    </row>
  </sheetData>
  <sheetProtection algorithmName="SHA-512" hashValue="qofeJ1AfleRvDliI4MBu1yIoYEIS7HKyliLI65bptG4hORYzlgBfadp6btb4gIpibxNCAY2lprCT/5hBhsF+YA==" saltValue="hqeNikArxCXswKklXh8DvA==" spinCount="100000" sheet="1" objects="1" scenarios="1" selectLockedCells="1"/>
  <mergeCells count="1">
    <mergeCell ref="G1:H1"/>
  </mergeCells>
  <phoneticPr fontId="0" type="noConversion"/>
  <printOptions horizontalCentered="1" verticalCentered="1"/>
  <pageMargins left="0.78740157480314965" right="0.78740157480314965" top="1.1417322834645669" bottom="0.98425196850393704" header="0.51181102362204722" footer="0.51181102362204722"/>
  <pageSetup paperSize="9" scale="85" orientation="landscape" r:id="rId1"/>
  <headerFooter alignWithMargins="0">
    <oddHeader>&amp;L&amp;"SwitzerlandBlack,Negrito"&amp;16Panasonic
&amp;"Arial,Negrito"&amp;9PILHAS / BATERIAS&amp;C&amp;"Arial,Negrito"&amp;14RESUMO DE FALHAS UM-3</oddHeader>
    <oddFooter>&amp;L&amp;A&amp;R&amp;F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pageSetUpPr fitToPage="1"/>
  </sheetPr>
  <dimension ref="A1:P37"/>
  <sheetViews>
    <sheetView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C45" sqref="C45"/>
    </sheetView>
  </sheetViews>
  <sheetFormatPr defaultRowHeight="12.75"/>
  <cols>
    <col min="1" max="1" width="6.28515625" bestFit="1" customWidth="1"/>
    <col min="2" max="2" width="19.7109375" bestFit="1" customWidth="1"/>
    <col min="3" max="3" width="11.7109375" bestFit="1" customWidth="1"/>
    <col min="4" max="6" width="10.140625" bestFit="1" customWidth="1"/>
    <col min="7" max="7" width="9.7109375" bestFit="1" customWidth="1"/>
    <col min="8" max="8" width="9.28515625" bestFit="1" customWidth="1"/>
    <col min="9" max="9" width="10.140625" bestFit="1" customWidth="1"/>
    <col min="10" max="12" width="9.28515625" bestFit="1" customWidth="1"/>
    <col min="13" max="13" width="11.7109375" bestFit="1" customWidth="1"/>
    <col min="14" max="14" width="9.28515625" bestFit="1" customWidth="1"/>
    <col min="15" max="15" width="10.42578125" bestFit="1" customWidth="1"/>
  </cols>
  <sheetData>
    <row r="1" spans="1:15" ht="13.5" thickBot="1">
      <c r="A1" s="1" t="s">
        <v>11</v>
      </c>
      <c r="B1" s="2" t="s">
        <v>8</v>
      </c>
      <c r="C1" s="80" t="s">
        <v>65</v>
      </c>
      <c r="D1" s="80" t="s">
        <v>66</v>
      </c>
      <c r="E1" s="2" t="s">
        <v>9</v>
      </c>
      <c r="F1" s="2" t="s">
        <v>10</v>
      </c>
      <c r="G1" s="2">
        <v>1215</v>
      </c>
      <c r="H1" s="2" t="s">
        <v>55</v>
      </c>
      <c r="I1" s="2" t="s">
        <v>56</v>
      </c>
      <c r="J1" s="2"/>
      <c r="K1" s="2"/>
      <c r="L1" s="3"/>
      <c r="M1" s="4" t="s">
        <v>24</v>
      </c>
      <c r="N1" s="5" t="s">
        <v>25</v>
      </c>
    </row>
    <row r="2" spans="1:15" ht="13.5" thickBot="1">
      <c r="A2" s="238" t="s">
        <v>0</v>
      </c>
      <c r="B2" s="24" t="s">
        <v>12</v>
      </c>
      <c r="C2" s="6">
        <f t="array" ref="C2">SUM(IF('SJCPIL-R 16-318-03 - D'!$B3:$AK3='Resumo de Falhas'!C1,'SJCPIL-R 16-318-03 - D'!$B4:$AK4))</f>
        <v>0</v>
      </c>
      <c r="D2" s="6">
        <f t="array" ref="D2">SUM(IF('SJCPIL-R 16-318-03 - D'!$B3:$AK3='Resumo de Falhas'!D1,'SJCPIL-R 16-318-03 - D'!$B4:$AK4))</f>
        <v>0</v>
      </c>
      <c r="E2" s="6">
        <f t="array" ref="E2">SUM(IF('SJCPIL-R 16-318-03 - D'!$B3:$AK3='Resumo de Falhas'!E1,'SJCPIL-R 16-318-03 - D'!$B4:$AK4))</f>
        <v>0</v>
      </c>
      <c r="F2" s="6">
        <f t="array" ref="F2">SUM(IF('SJCPIL-R 16-318-03 - D'!$B3:$AK3='Resumo de Falhas'!F1,'SJCPIL-R 16-318-03 - D'!$B4:$AK4))</f>
        <v>0</v>
      </c>
      <c r="G2" s="6">
        <f t="array" ref="G2">SUM(IF('SJCPIL-R 16-318-03 - D'!$B3:$AK3='Resumo de Falhas'!G1,'SJCPIL-R 16-318-03 - D'!$B4:$AK4))</f>
        <v>0</v>
      </c>
      <c r="H2" s="6">
        <f t="array" ref="H2">SUM(IF('SJCPIL-R 16-318-03 - D'!$B3:$AK3='Resumo de Falhas'!H1,'SJCPIL-R 16-318-03 - D'!$B4:$AK4))</f>
        <v>0</v>
      </c>
      <c r="I2" s="6">
        <f t="array" ref="I2">SUM(IF('SJCPIL-R 16-318-03 - D'!$B3:$AK3='Resumo de Falhas'!I1,'SJCPIL-R 16-318-03 - D'!$B4:$AK4))</f>
        <v>0</v>
      </c>
      <c r="J2" s="7">
        <f t="array" ref="J2">SUM(IF('SJCPIL-R 16-318-03 - D'!$B3:$AK3='Resumo de Falhas'!J1,'SJCPIL-R 16-318-03 - D'!$B4:$AK4))</f>
        <v>0</v>
      </c>
      <c r="K2" s="6">
        <f t="array" ref="K2">SUM(IF('SJCPIL-R 16-318-03 - D'!$B3:$AK3='Resumo de Falhas'!K1,'SJCPIL-R 16-318-03 - D'!$B4:$AK4))</f>
        <v>0</v>
      </c>
      <c r="L2" s="8">
        <f t="array" ref="L2">SUM(IF('SJCPIL-R 16-318-03 - D'!$B3:$AK3='Resumo de Falhas'!L1,'SJCPIL-R 16-318-03 - D'!$B4:$AK4))</f>
        <v>0</v>
      </c>
      <c r="M2" s="9">
        <f>SUM(C2:L2)</f>
        <v>0</v>
      </c>
      <c r="N2" s="10"/>
    </row>
    <row r="3" spans="1:15">
      <c r="A3" s="239"/>
      <c r="B3" s="25" t="s">
        <v>3</v>
      </c>
      <c r="C3" s="11">
        <f t="array" ref="C3">SUM(IF('SJCPIL-R 16-318-03 - D'!$B$3:$AK$3='Resumo de Falhas'!C$1,'SJCPIL-R 16-318-03 - D'!$B15:$AK15))</f>
        <v>0</v>
      </c>
      <c r="D3" s="11">
        <f t="array" ref="D3">SUM(IF('SJCPIL-R 16-318-03 - D'!$B$3:$AK$3='Resumo de Falhas'!D$1,'SJCPIL-R 16-318-03 - D'!$B15:$AK15))</f>
        <v>0</v>
      </c>
      <c r="E3" s="11">
        <f t="array" ref="E3">SUM(IF('SJCPIL-R 16-318-03 - D'!$B$3:$AK$3='Resumo de Falhas'!E$1,'SJCPIL-R 16-318-03 - D'!$B15:$AK15))</f>
        <v>0</v>
      </c>
      <c r="F3" s="11">
        <f t="array" ref="F3">SUM(IF('SJCPIL-R 16-318-03 - D'!$B$3:$AK$3='Resumo de Falhas'!F$1,'SJCPIL-R 16-318-03 - D'!$B15:$AK15))</f>
        <v>0</v>
      </c>
      <c r="G3" s="11">
        <f t="array" ref="G3">SUM(IF('SJCPIL-R 16-318-03 - D'!$B$3:$AK$3='Resumo de Falhas'!G$1,'SJCPIL-R 16-318-03 - D'!$B15:$AK15))</f>
        <v>0</v>
      </c>
      <c r="H3" s="11">
        <f t="array" ref="H3">SUM(IF('SJCPIL-R 16-318-03 - D'!$B$3:$AK$3='Resumo de Falhas'!H$1,'SJCPIL-R 16-318-03 - D'!$B15:$AK15))</f>
        <v>0</v>
      </c>
      <c r="I3" s="11">
        <f t="array" ref="I3">SUM(IF('SJCPIL-R 16-318-03 - D'!$B$3:$AK$3='Resumo de Falhas'!I$1,'SJCPIL-R 16-318-03 - D'!$B15:$AK15))</f>
        <v>0</v>
      </c>
      <c r="J3" s="11">
        <f t="array" ref="J3">SUM(IF('SJCPIL-R 16-318-03 - D'!$B$3:$AK$3='Resumo de Falhas'!J$1,'SJCPIL-R 16-318-03 - D'!$B15:$AK15))</f>
        <v>0</v>
      </c>
      <c r="K3" s="11">
        <f t="array" ref="K3">SUM(IF('SJCPIL-R 16-318-03 - D'!$B$3:$AK$3='Resumo de Falhas'!K$1,'SJCPIL-R 16-318-03 - D'!$B15:$AK15))</f>
        <v>0</v>
      </c>
      <c r="L3" s="12">
        <f t="array" ref="L3">SUM(IF('SJCPIL-R 16-318-03 - D'!$B$3:$AK$3='Resumo de Falhas'!L$1,'SJCPIL-R 16-318-03 - D'!$B15:$AK15))</f>
        <v>0</v>
      </c>
      <c r="M3" s="13">
        <f>SUM(C3:L3)</f>
        <v>0</v>
      </c>
      <c r="N3" s="14" t="e">
        <f t="shared" ref="N3:N15" si="0">M3/M$2*1000000</f>
        <v>#DIV/0!</v>
      </c>
    </row>
    <row r="4" spans="1:15">
      <c r="A4" s="239"/>
      <c r="B4" s="26" t="s">
        <v>4</v>
      </c>
      <c r="C4" s="11">
        <f t="array" ref="C4">SUM(IF('SJCPIL-R 16-318-03 - D'!$B$3:$AK$3='Resumo de Falhas'!C$1,'SJCPIL-R 16-318-03 - D'!$B16:$AK16))</f>
        <v>0</v>
      </c>
      <c r="D4" s="11">
        <f t="array" ref="D4">SUM(IF('SJCPIL-R 16-318-03 - D'!$B$3:$AK$3='Resumo de Falhas'!D$1,'SJCPIL-R 16-318-03 - D'!$B16:$AK16))</f>
        <v>0</v>
      </c>
      <c r="E4" s="11">
        <f t="array" ref="E4">SUM(IF('SJCPIL-R 16-318-03 - D'!$B$3:$AK$3='Resumo de Falhas'!E$1,'SJCPIL-R 16-318-03 - D'!$B16:$AK16))</f>
        <v>0</v>
      </c>
      <c r="F4" s="11">
        <f t="array" ref="F4">SUM(IF('SJCPIL-R 16-318-03 - D'!$B$3:$AK$3='Resumo de Falhas'!F$1,'SJCPIL-R 16-318-03 - D'!$B16:$AK16))</f>
        <v>0</v>
      </c>
      <c r="G4" s="11">
        <f t="array" ref="G4">SUM(IF('SJCPIL-R 16-318-03 - D'!$B$3:$AK$3='Resumo de Falhas'!G$1,'SJCPIL-R 16-318-03 - D'!$B16:$AK16))</f>
        <v>0</v>
      </c>
      <c r="H4" s="11">
        <f t="array" ref="H4">SUM(IF('SJCPIL-R 16-318-03 - D'!$B$3:$AK$3='Resumo de Falhas'!H$1,'SJCPIL-R 16-318-03 - D'!$B16:$AK16))</f>
        <v>0</v>
      </c>
      <c r="I4" s="11">
        <f t="array" ref="I4">SUM(IF('SJCPIL-R 16-318-03 - D'!$B$3:$AK$3='Resumo de Falhas'!I$1,'SJCPIL-R 16-318-03 - D'!$B16:$AK16))</f>
        <v>0</v>
      </c>
      <c r="J4" s="11">
        <f t="array" ref="J4">SUM(IF('SJCPIL-R 16-318-03 - D'!$B$3:$AK$3='Resumo de Falhas'!J$1,'SJCPIL-R 16-318-03 - D'!$B16:$AK16))</f>
        <v>0</v>
      </c>
      <c r="K4" s="11">
        <f t="array" ref="K4">SUM(IF('SJCPIL-R 16-318-03 - D'!$B$3:$AK$3='Resumo de Falhas'!K$1,'SJCPIL-R 16-318-03 - D'!$B16:$AK16))</f>
        <v>0</v>
      </c>
      <c r="L4" s="12">
        <f t="array" ref="L4">SUM(IF('SJCPIL-R 16-318-03 - D'!$B$3:$AK$3='Resumo de Falhas'!L$1,'SJCPIL-R 16-318-03 - D'!$B16:$AK16))</f>
        <v>0</v>
      </c>
      <c r="M4" s="16">
        <f>SUM(C4:L4)</f>
        <v>0</v>
      </c>
      <c r="N4" s="17" t="e">
        <f t="shared" si="0"/>
        <v>#DIV/0!</v>
      </c>
    </row>
    <row r="5" spans="1:15">
      <c r="A5" s="239"/>
      <c r="B5" s="46" t="s">
        <v>48</v>
      </c>
      <c r="C5" s="11">
        <f t="array" ref="C5">SUM(IF('SJCPIL-R 16-318-03 - D'!$B$3:$AK$3='Resumo de Falhas'!C$1,'SJCPIL-R 16-318-03 - D'!$B17:$AK17))</f>
        <v>0</v>
      </c>
      <c r="D5" s="11">
        <f t="array" ref="D5">SUM(IF('SJCPIL-R 16-318-03 - D'!$B$3:$AK$3='Resumo de Falhas'!D$1,'SJCPIL-R 16-318-03 - D'!$B17:$AK17))</f>
        <v>0</v>
      </c>
      <c r="E5" s="11">
        <f t="array" ref="E5">SUM(IF('SJCPIL-R 16-318-03 - D'!$B$3:$AK$3='Resumo de Falhas'!E$1,'SJCPIL-R 16-318-03 - D'!$B17:$AK17))</f>
        <v>0</v>
      </c>
      <c r="F5" s="11">
        <f t="array" ref="F5">SUM(IF('SJCPIL-R 16-318-03 - D'!$B$3:$AK$3='Resumo de Falhas'!F$1,'SJCPIL-R 16-318-03 - D'!$B17:$AK17))</f>
        <v>0</v>
      </c>
      <c r="G5" s="11">
        <f t="array" ref="G5">SUM(IF('SJCPIL-R 16-318-03 - D'!$B$3:$AK$3='Resumo de Falhas'!G$1,'SJCPIL-R 16-318-03 - D'!$B17:$AK17))</f>
        <v>0</v>
      </c>
      <c r="H5" s="11">
        <f t="array" ref="H5">SUM(IF('SJCPIL-R 16-318-03 - D'!$B$3:$AK$3='Resumo de Falhas'!H$1,'SJCPIL-R 16-318-03 - D'!$B17:$AK17))</f>
        <v>0</v>
      </c>
      <c r="I5" s="11">
        <f t="array" ref="I5">SUM(IF('SJCPIL-R 16-318-03 - D'!$B$3:$AK$3='Resumo de Falhas'!I$1,'SJCPIL-R 16-318-03 - D'!$B17:$AK17))</f>
        <v>0</v>
      </c>
      <c r="J5" s="11">
        <f t="array" ref="J5">SUM(IF('SJCPIL-R 16-318-03 - D'!$B$3:$AK$3='Resumo de Falhas'!J$1,'SJCPIL-R 16-318-03 - D'!$B17:$AK17))</f>
        <v>0</v>
      </c>
      <c r="K5" s="11">
        <f t="array" ref="K5">SUM(IF('SJCPIL-R 16-318-03 - D'!$B$3:$AK$3='Resumo de Falhas'!K$1,'SJCPIL-R 16-318-03 - D'!$B17:$AK17))</f>
        <v>0</v>
      </c>
      <c r="L5" s="12">
        <f t="array" ref="L5">SUM(IF('SJCPIL-R 16-318-03 - D'!$B$3:$AK$3='Resumo de Falhas'!L$1,'SJCPIL-R 16-318-03 - D'!$B17:$AK17))</f>
        <v>0</v>
      </c>
      <c r="M5" s="16">
        <f t="shared" ref="M5:M11" si="1">SUM(C5:L5)</f>
        <v>0</v>
      </c>
      <c r="N5" s="17" t="e">
        <f t="shared" si="0"/>
        <v>#DIV/0!</v>
      </c>
    </row>
    <row r="6" spans="1:15">
      <c r="A6" s="239"/>
      <c r="B6" s="46" t="s">
        <v>49</v>
      </c>
      <c r="C6" s="11">
        <f t="array" ref="C6">SUM(IF('SJCPIL-R 16-318-03 - D'!$B$3:$AK$3='Resumo de Falhas'!C$1,'SJCPIL-R 16-318-03 - D'!$B18:$AK18))</f>
        <v>0</v>
      </c>
      <c r="D6" s="11">
        <f t="array" ref="D6">SUM(IF('SJCPIL-R 16-318-03 - D'!$B$3:$AK$3='Resumo de Falhas'!D$1,'SJCPIL-R 16-318-03 - D'!$B18:$AK18))</f>
        <v>0</v>
      </c>
      <c r="E6" s="11">
        <f t="array" ref="E6">SUM(IF('SJCPIL-R 16-318-03 - D'!$B$3:$AK$3='Resumo de Falhas'!E$1,'SJCPIL-R 16-318-03 - D'!$B18:$AK18))</f>
        <v>0</v>
      </c>
      <c r="F6" s="11">
        <f t="array" ref="F6">SUM(IF('SJCPIL-R 16-318-03 - D'!$B$3:$AK$3='Resumo de Falhas'!F$1,'SJCPIL-R 16-318-03 - D'!$B18:$AK18))</f>
        <v>0</v>
      </c>
      <c r="G6" s="11">
        <f t="array" ref="G6">SUM(IF('SJCPIL-R 16-318-03 - D'!$B$3:$AK$3='Resumo de Falhas'!G$1,'SJCPIL-R 16-318-03 - D'!$B18:$AK18))</f>
        <v>0</v>
      </c>
      <c r="H6" s="11">
        <f t="array" ref="H6">SUM(IF('SJCPIL-R 16-318-03 - D'!$B$3:$AK$3='Resumo de Falhas'!H$1,'SJCPIL-R 16-318-03 - D'!$B18:$AK18))</f>
        <v>0</v>
      </c>
      <c r="I6" s="11">
        <f t="array" ref="I6">SUM(IF('SJCPIL-R 16-318-03 - D'!$B$3:$AK$3='Resumo de Falhas'!I$1,'SJCPIL-R 16-318-03 - D'!$B18:$AK18))</f>
        <v>0</v>
      </c>
      <c r="J6" s="11">
        <f t="array" ref="J6">SUM(IF('SJCPIL-R 16-318-03 - D'!$B$3:$AK$3='Resumo de Falhas'!J$1,'SJCPIL-R 16-318-03 - D'!$B18:$AK18))</f>
        <v>0</v>
      </c>
      <c r="K6" s="11">
        <f t="array" ref="K6">SUM(IF('SJCPIL-R 16-318-03 - D'!$B$3:$AK$3='Resumo de Falhas'!K$1,'SJCPIL-R 16-318-03 - D'!$B18:$AK18))</f>
        <v>0</v>
      </c>
      <c r="L6" s="12">
        <f t="array" ref="L6">SUM(IF('SJCPIL-R 16-318-03 - D'!$B$3:$AK$3='Resumo de Falhas'!L$1,'SJCPIL-R 16-318-03 - D'!$B18:$AK18))</f>
        <v>0</v>
      </c>
      <c r="M6" s="16">
        <f t="shared" si="1"/>
        <v>0</v>
      </c>
      <c r="N6" s="17" t="e">
        <f t="shared" si="0"/>
        <v>#DIV/0!</v>
      </c>
    </row>
    <row r="7" spans="1:15">
      <c r="A7" s="239"/>
      <c r="B7" s="46" t="s">
        <v>59</v>
      </c>
      <c r="C7" s="11">
        <f t="array" ref="C7">SUM(IF('SJCPIL-R 16-318-03 - D'!$B$3:$AK$3='Resumo de Falhas'!C$1,'SJCPIL-R 16-318-03 - D'!$B19:$AK19))</f>
        <v>0</v>
      </c>
      <c r="D7" s="11">
        <f t="array" ref="D7">SUM(IF('SJCPIL-R 16-318-03 - D'!$B$3:$AK$3='Resumo de Falhas'!D$1,'SJCPIL-R 16-318-03 - D'!$B19:$AK19))</f>
        <v>0</v>
      </c>
      <c r="E7" s="11">
        <f t="array" ref="E7">SUM(IF('SJCPIL-R 16-318-03 - D'!$B$3:$AK$3='Resumo de Falhas'!E$1,'SJCPIL-R 16-318-03 - D'!$B19:$AK19))</f>
        <v>0</v>
      </c>
      <c r="F7" s="11">
        <f t="array" ref="F7">SUM(IF('SJCPIL-R 16-318-03 - D'!$B$3:$AK$3='Resumo de Falhas'!F$1,'SJCPIL-R 16-318-03 - D'!$B19:$AK19))</f>
        <v>0</v>
      </c>
      <c r="G7" s="11">
        <f t="array" ref="G7">SUM(IF('SJCPIL-R 16-318-03 - D'!$B$3:$AK$3='Resumo de Falhas'!G$1,'SJCPIL-R 16-318-03 - D'!$B19:$AK19))</f>
        <v>0</v>
      </c>
      <c r="H7" s="11">
        <f t="array" ref="H7">SUM(IF('SJCPIL-R 16-318-03 - D'!$B$3:$AK$3='Resumo de Falhas'!H$1,'SJCPIL-R 16-318-03 - D'!$B19:$AK19))</f>
        <v>0</v>
      </c>
      <c r="I7" s="11">
        <f t="array" ref="I7">SUM(IF('SJCPIL-R 16-318-03 - D'!$B$3:$AK$3='Resumo de Falhas'!I$1,'SJCPIL-R 16-318-03 - D'!$B19:$AK19))</f>
        <v>0</v>
      </c>
      <c r="J7" s="11">
        <f t="array" ref="J7">SUM(IF('SJCPIL-R 16-318-03 - D'!$B$3:$AK$3='Resumo de Falhas'!J$1,'SJCPIL-R 16-318-03 - D'!$B19:$AK19))</f>
        <v>0</v>
      </c>
      <c r="K7" s="11">
        <f t="array" ref="K7">SUM(IF('SJCPIL-R 16-318-03 - D'!$B$3:$AK$3='Resumo de Falhas'!K$1,'SJCPIL-R 16-318-03 - D'!$B19:$AK19))</f>
        <v>0</v>
      </c>
      <c r="L7" s="12">
        <f t="array" ref="L7">SUM(IF('SJCPIL-R 16-318-03 - D'!$B$3:$AK$3='Resumo de Falhas'!L$1,'SJCPIL-R 16-318-03 - D'!$B19:$AK19))</f>
        <v>0</v>
      </c>
      <c r="M7" s="16">
        <f t="shared" si="1"/>
        <v>0</v>
      </c>
      <c r="N7" s="17" t="e">
        <f t="shared" si="0"/>
        <v>#DIV/0!</v>
      </c>
    </row>
    <row r="8" spans="1:15">
      <c r="A8" s="239"/>
      <c r="B8" s="46" t="s">
        <v>60</v>
      </c>
      <c r="C8" s="11">
        <f t="array" ref="C8">SUM(IF('SJCPIL-R 16-318-03 - D'!$B$3:$AK$3='Resumo de Falhas'!C$1,'SJCPIL-R 16-318-03 - D'!$B20:$AK20))</f>
        <v>0</v>
      </c>
      <c r="D8" s="11">
        <f t="array" ref="D8">SUM(IF('SJCPIL-R 16-318-03 - D'!$B$3:$AK$3='Resumo de Falhas'!D$1,'SJCPIL-R 16-318-03 - D'!$B20:$AK20))</f>
        <v>0</v>
      </c>
      <c r="E8" s="11">
        <f t="array" ref="E8">SUM(IF('SJCPIL-R 16-318-03 - D'!$B$3:$AK$3='Resumo de Falhas'!E$1,'SJCPIL-R 16-318-03 - D'!$B20:$AK20))</f>
        <v>0</v>
      </c>
      <c r="F8" s="11">
        <f t="array" ref="F8">SUM(IF('SJCPIL-R 16-318-03 - D'!$B$3:$AK$3='Resumo de Falhas'!F$1,'SJCPIL-R 16-318-03 - D'!$B20:$AK20))</f>
        <v>0</v>
      </c>
      <c r="G8" s="11">
        <f t="array" ref="G8">SUM(IF('SJCPIL-R 16-318-03 - D'!$B$3:$AK$3='Resumo de Falhas'!G$1,'SJCPIL-R 16-318-03 - D'!$B20:$AK20))</f>
        <v>0</v>
      </c>
      <c r="H8" s="11">
        <f t="array" ref="H8">SUM(IF('SJCPIL-R 16-318-03 - D'!$B$3:$AK$3='Resumo de Falhas'!H$1,'SJCPIL-R 16-318-03 - D'!$B20:$AK20))</f>
        <v>0</v>
      </c>
      <c r="I8" s="11">
        <f t="array" ref="I8">SUM(IF('SJCPIL-R 16-318-03 - D'!$B$3:$AK$3='Resumo de Falhas'!I$1,'SJCPIL-R 16-318-03 - D'!$B20:$AK20))</f>
        <v>0</v>
      </c>
      <c r="J8" s="11">
        <f t="array" ref="J8">SUM(IF('SJCPIL-R 16-318-03 - D'!$B$3:$AK$3='Resumo de Falhas'!J$1,'SJCPIL-R 16-318-03 - D'!$B20:$AK20))</f>
        <v>0</v>
      </c>
      <c r="K8" s="11">
        <f t="array" ref="K8">SUM(IF('SJCPIL-R 16-318-03 - D'!$B$3:$AK$3='Resumo de Falhas'!K$1,'SJCPIL-R 16-318-03 - D'!$B20:$AK20))</f>
        <v>0</v>
      </c>
      <c r="L8" s="12"/>
      <c r="M8" s="16">
        <f t="shared" si="1"/>
        <v>0</v>
      </c>
      <c r="N8" s="17" t="e">
        <f t="shared" si="0"/>
        <v>#DIV/0!</v>
      </c>
    </row>
    <row r="9" spans="1:15">
      <c r="A9" s="239"/>
      <c r="B9" s="46" t="s">
        <v>50</v>
      </c>
      <c r="C9" s="11">
        <f t="array" ref="C9">SUM(IF('SJCPIL-R 16-318-03 - D'!$B$3:$AK$3='Resumo de Falhas'!C$1,'SJCPIL-R 16-318-03 - D'!$B21:$AK21))</f>
        <v>0</v>
      </c>
      <c r="D9" s="11">
        <f t="array" ref="D9">SUM(IF('SJCPIL-R 16-318-03 - D'!$B$3:$AK$3='Resumo de Falhas'!D$1,'SJCPIL-R 16-318-03 - D'!$B21:$AK21))</f>
        <v>0</v>
      </c>
      <c r="E9" s="11">
        <f t="array" ref="E9">SUM(IF('SJCPIL-R 16-318-03 - D'!$B$3:$AK$3='Resumo de Falhas'!E$1,'SJCPIL-R 16-318-03 - D'!$B21:$AK21))</f>
        <v>0</v>
      </c>
      <c r="F9" s="11">
        <f t="array" ref="F9">SUM(IF('SJCPIL-R 16-318-03 - D'!$B$3:$AK$3='Resumo de Falhas'!F$1,'SJCPIL-R 16-318-03 - D'!$B21:$AK21))</f>
        <v>0</v>
      </c>
      <c r="G9" s="11">
        <f t="array" ref="G9">SUM(IF('SJCPIL-R 16-318-03 - D'!$B$3:$AK$3='Resumo de Falhas'!G$1,'SJCPIL-R 16-318-03 - D'!$B21:$AK21))</f>
        <v>0</v>
      </c>
      <c r="H9" s="11">
        <f t="array" ref="H9">SUM(IF('SJCPIL-R 16-318-03 - D'!$B$3:$AK$3='Resumo de Falhas'!H$1,'SJCPIL-R 16-318-03 - D'!$B21:$AK21))</f>
        <v>0</v>
      </c>
      <c r="I9" s="11">
        <f t="array" ref="I9">SUM(IF('SJCPIL-R 16-318-03 - D'!$B$3:$AK$3='Resumo de Falhas'!I$1,'SJCPIL-R 16-318-03 - D'!$B21:$AK21))</f>
        <v>0</v>
      </c>
      <c r="J9" s="11">
        <f t="array" ref="J9">SUM(IF('SJCPIL-R 16-318-03 - D'!$B$3:$AK$3='Resumo de Falhas'!J$1,'SJCPIL-R 16-318-03 - D'!$B21:$AK21))</f>
        <v>0</v>
      </c>
      <c r="K9" s="11">
        <f t="array" ref="K9">SUM(IF('SJCPIL-R 16-318-03 - D'!$B$3:$AK$3='Resumo de Falhas'!K$1,'SJCPIL-R 16-318-03 - D'!$B21:$AK21))</f>
        <v>0</v>
      </c>
      <c r="L9" s="12">
        <f t="array" ref="L9">SUM(IF('SJCPIL-R 16-318-03 - D'!$B$3:$AK$3='Resumo de Falhas'!L$1,'SJCPIL-R 16-318-03 - D'!$B21:$AK21))</f>
        <v>0</v>
      </c>
      <c r="M9" s="16">
        <f t="shared" si="1"/>
        <v>0</v>
      </c>
      <c r="N9" s="17" t="e">
        <f t="shared" si="0"/>
        <v>#DIV/0!</v>
      </c>
    </row>
    <row r="10" spans="1:15" ht="24">
      <c r="A10" s="239"/>
      <c r="B10" s="47" t="s">
        <v>51</v>
      </c>
      <c r="C10" s="11">
        <f t="array" ref="C10">SUM(IF('SJCPIL-R 16-318-03 - D'!$B$3:$AK$3='Resumo de Falhas'!C$1,'SJCPIL-R 16-318-03 - D'!$B22:$AK22))</f>
        <v>0</v>
      </c>
      <c r="D10" s="11">
        <f t="array" ref="D10">SUM(IF('SJCPIL-R 16-318-03 - D'!$B$3:$AK$3='Resumo de Falhas'!D$1,'SJCPIL-R 16-318-03 - D'!$B22:$AK22))</f>
        <v>0</v>
      </c>
      <c r="E10" s="11">
        <f t="array" ref="E10">SUM(IF('SJCPIL-R 16-318-03 - D'!$B$3:$AK$3='Resumo de Falhas'!E$1,'SJCPIL-R 16-318-03 - D'!$B22:$AK22))</f>
        <v>0</v>
      </c>
      <c r="F10" s="11">
        <f t="array" ref="F10">SUM(IF('SJCPIL-R 16-318-03 - D'!$B$3:$AK$3='Resumo de Falhas'!F$1,'SJCPIL-R 16-318-03 - D'!$B22:$AK22))</f>
        <v>0</v>
      </c>
      <c r="G10" s="11">
        <f t="array" ref="G10">SUM(IF('SJCPIL-R 16-318-03 - D'!$B$3:$AK$3='Resumo de Falhas'!G$1,'SJCPIL-R 16-318-03 - D'!$B22:$AK22))</f>
        <v>0</v>
      </c>
      <c r="H10" s="11">
        <f t="array" ref="H10">SUM(IF('SJCPIL-R 16-318-03 - D'!$B$3:$AK$3='Resumo de Falhas'!H$1,'SJCPIL-R 16-318-03 - D'!$B22:$AK22))</f>
        <v>0</v>
      </c>
      <c r="I10" s="11">
        <f t="array" ref="I10">SUM(IF('SJCPIL-R 16-318-03 - D'!$B$3:$AK$3='Resumo de Falhas'!I$1,'SJCPIL-R 16-318-03 - D'!$B22:$AK22))</f>
        <v>0</v>
      </c>
      <c r="J10" s="11">
        <f t="array" ref="J10">SUM(IF('SJCPIL-R 16-318-03 - D'!$B$3:$AK$3='Resumo de Falhas'!J$1,'SJCPIL-R 16-318-03 - D'!$B22:$AK22))</f>
        <v>0</v>
      </c>
      <c r="K10" s="11">
        <f t="array" ref="K10">SUM(IF('SJCPIL-R 16-318-03 - D'!$B$3:$AK$3='Resumo de Falhas'!K$1,'SJCPIL-R 16-318-03 - D'!$B22:$AK22))</f>
        <v>0</v>
      </c>
      <c r="L10" s="12">
        <f t="array" ref="L10">SUM(IF('SJCPIL-R 16-318-03 - D'!$B$3:$AK$3='Resumo de Falhas'!L$1,'SJCPIL-R 16-318-03 - D'!$B22:$AK22))</f>
        <v>0</v>
      </c>
      <c r="M10" s="16">
        <f t="shared" si="1"/>
        <v>0</v>
      </c>
      <c r="N10" s="17" t="e">
        <f t="shared" si="0"/>
        <v>#DIV/0!</v>
      </c>
    </row>
    <row r="11" spans="1:15">
      <c r="A11" s="239"/>
      <c r="B11" s="46" t="s">
        <v>52</v>
      </c>
      <c r="C11" s="11">
        <f t="array" ref="C11">SUM(IF('SJCPIL-R 16-318-03 - D'!$B$3:$AK$3='Resumo de Falhas'!C$1,'SJCPIL-R 16-318-03 - D'!$B23:$AK23))</f>
        <v>0</v>
      </c>
      <c r="D11" s="11">
        <f t="array" ref="D11">SUM(IF('SJCPIL-R 16-318-03 - D'!$B$3:$AK$3='Resumo de Falhas'!D$1,'SJCPIL-R 16-318-03 - D'!$B23:$AK23))</f>
        <v>0</v>
      </c>
      <c r="E11" s="11">
        <f t="array" ref="E11">SUM(IF('SJCPIL-R 16-318-03 - D'!$B$3:$AK$3='Resumo de Falhas'!E$1,'SJCPIL-R 16-318-03 - D'!$B23:$AK23))</f>
        <v>0</v>
      </c>
      <c r="F11" s="11">
        <f t="array" ref="F11">SUM(IF('SJCPIL-R 16-318-03 - D'!$B$3:$AK$3='Resumo de Falhas'!F$1,'SJCPIL-R 16-318-03 - D'!$B23:$AK23))</f>
        <v>0</v>
      </c>
      <c r="G11" s="11">
        <f t="array" ref="G11">SUM(IF('SJCPIL-R 16-318-03 - D'!$B$3:$AK$3='Resumo de Falhas'!G$1,'SJCPIL-R 16-318-03 - D'!$B23:$AK23))</f>
        <v>0</v>
      </c>
      <c r="H11" s="11">
        <f t="array" ref="H11">SUM(IF('SJCPIL-R 16-318-03 - D'!$B$3:$AK$3='Resumo de Falhas'!H$1,'SJCPIL-R 16-318-03 - D'!$B23:$AK23))</f>
        <v>0</v>
      </c>
      <c r="I11" s="11">
        <f t="array" ref="I11">SUM(IF('SJCPIL-R 16-318-03 - D'!$B$3:$AK$3='Resumo de Falhas'!I$1,'SJCPIL-R 16-318-03 - D'!$B23:$AK23))</f>
        <v>0</v>
      </c>
      <c r="J11" s="11">
        <f t="array" ref="J11">SUM(IF('SJCPIL-R 16-318-03 - D'!$B$3:$AK$3='Resumo de Falhas'!J$1,'SJCPIL-R 16-318-03 - D'!$B23:$AK23))</f>
        <v>0</v>
      </c>
      <c r="K11" s="11">
        <f t="array" ref="K11">SUM(IF('SJCPIL-R 16-318-03 - D'!$B$3:$AK$3='Resumo de Falhas'!K$1,'SJCPIL-R 16-318-03 - D'!$B23:$AK23))</f>
        <v>0</v>
      </c>
      <c r="L11" s="12">
        <f t="array" ref="L11">SUM(IF('SJCPIL-R 16-318-03 - D'!$B$3:$AK$3='Resumo de Falhas'!L$1,'SJCPIL-R 16-318-03 - D'!$B23:$AK23))</f>
        <v>0</v>
      </c>
      <c r="M11" s="16">
        <f t="shared" si="1"/>
        <v>0</v>
      </c>
      <c r="N11" s="17" t="e">
        <f t="shared" si="0"/>
        <v>#DIV/0!</v>
      </c>
    </row>
    <row r="12" spans="1:15">
      <c r="A12" s="239"/>
      <c r="B12" s="81" t="s">
        <v>67</v>
      </c>
      <c r="C12" s="11">
        <f t="array" ref="C12">SUM(IF('SJCPIL-R 16-318-03 - D'!$B$3:$AK$3='Resumo de Falhas'!C$1,'SJCPIL-R 16-318-03 - D'!$B24:$AK24))</f>
        <v>0</v>
      </c>
      <c r="D12" s="11">
        <f t="array" ref="D12">SUM(IF('SJCPIL-R 16-318-03 - D'!$B$3:$AK$3='Resumo de Falhas'!D$1,'SJCPIL-R 16-318-03 - D'!$B24:$AK24))</f>
        <v>0</v>
      </c>
      <c r="E12" s="11">
        <f t="array" ref="E12">SUM(IF('SJCPIL-R 16-318-03 - D'!$B$3:$AK$3='Resumo de Falhas'!E$1,'SJCPIL-R 16-318-03 - D'!$B24:$AK24))</f>
        <v>0</v>
      </c>
      <c r="F12" s="11">
        <f t="array" ref="F12">SUM(IF('SJCPIL-R 16-318-03 - D'!$B$3:$AK$3='Resumo de Falhas'!F$1,'SJCPIL-R 16-318-03 - D'!$B24:$AK24))</f>
        <v>0</v>
      </c>
      <c r="G12" s="11">
        <f t="array" ref="G12">SUM(IF('SJCPIL-R 16-318-03 - D'!$B$3:$AK$3='Resumo de Falhas'!G$1,'SJCPIL-R 16-318-03 - D'!$B24:$AK24))</f>
        <v>0</v>
      </c>
      <c r="H12" s="11">
        <f t="array" ref="H12">SUM(IF('SJCPIL-R 16-318-03 - D'!$B$3:$AK$3='Resumo de Falhas'!H$1,'SJCPIL-R 16-318-03 - D'!$B24:$AK24))</f>
        <v>0</v>
      </c>
      <c r="I12" s="11">
        <f t="array" ref="I12">SUM(IF('SJCPIL-R 16-318-03 - D'!$B$3:$AK$3='Resumo de Falhas'!I$1,'SJCPIL-R 16-318-03 - D'!$B24:$AK24))</f>
        <v>0</v>
      </c>
      <c r="J12" s="11">
        <f t="array" ref="J12">SUM(IF('SJCPIL-R 16-318-03 - D'!$B$3:$AK$3='Resumo de Falhas'!J$1,'SJCPIL-R 16-318-03 - D'!$B24:$AK24))</f>
        <v>0</v>
      </c>
      <c r="K12" s="11">
        <f t="array" ref="K12">SUM(IF('SJCPIL-R 16-318-03 - D'!$B$3:$AK$3='Resumo de Falhas'!K$1,'SJCPIL-R 16-318-03 - D'!$B24:$AK24))</f>
        <v>0</v>
      </c>
      <c r="L12" s="12">
        <f t="array" ref="L12">SUM(IF('SJCPIL-R 16-318-03 - D'!$B$3:$AK$3='Resumo de Falhas'!L$1,'SJCPIL-R 16-318-03 - D'!$B24:$AK24))</f>
        <v>0</v>
      </c>
      <c r="M12" s="16">
        <f t="shared" ref="M12:M31" si="2">SUM(C12:L12)</f>
        <v>0</v>
      </c>
      <c r="N12" s="17" t="e">
        <f t="shared" si="0"/>
        <v>#DIV/0!</v>
      </c>
    </row>
    <row r="13" spans="1:15">
      <c r="A13" s="239"/>
      <c r="B13" s="26" t="s">
        <v>5</v>
      </c>
      <c r="C13" s="11">
        <f t="array" ref="C13">SUM(IF('SJCPIL-R 16-318-03 - D'!$B$3:$AK$3='Resumo de Falhas'!C$1,'SJCPIL-R 16-318-03 - D'!$B25:$AK25))</f>
        <v>0</v>
      </c>
      <c r="D13" s="11">
        <f t="array" ref="D13">SUM(IF('SJCPIL-R 16-318-03 - D'!$B$3:$AK$3='Resumo de Falhas'!D$1,'SJCPIL-R 16-318-03 - D'!$B25:$AK25))</f>
        <v>0</v>
      </c>
      <c r="E13" s="11">
        <f t="array" ref="E13">SUM(IF('SJCPIL-R 16-318-03 - D'!$B$3:$AK$3='Resumo de Falhas'!E$1,'SJCPIL-R 16-318-03 - D'!$B25:$AK25))</f>
        <v>0</v>
      </c>
      <c r="F13" s="11">
        <f t="array" ref="F13">SUM(IF('SJCPIL-R 16-318-03 - D'!$B$3:$AK$3='Resumo de Falhas'!F$1,'SJCPIL-R 16-318-03 - D'!$B25:$AK25))</f>
        <v>0</v>
      </c>
      <c r="G13" s="11">
        <f t="array" ref="G13">SUM(IF('SJCPIL-R 16-318-03 - D'!$B$3:$AK$3='Resumo de Falhas'!G$1,'SJCPIL-R 16-318-03 - D'!$B25:$AK25))</f>
        <v>0</v>
      </c>
      <c r="H13" s="11">
        <f t="array" ref="H13">SUM(IF('SJCPIL-R 16-318-03 - D'!$B$3:$AK$3='Resumo de Falhas'!H$1,'SJCPIL-R 16-318-03 - D'!$B25:$AK25))</f>
        <v>0</v>
      </c>
      <c r="I13" s="11">
        <f t="array" ref="I13">SUM(IF('SJCPIL-R 16-318-03 - D'!$B$3:$AK$3='Resumo de Falhas'!I$1,'SJCPIL-R 16-318-03 - D'!$B25:$AK25))</f>
        <v>0</v>
      </c>
      <c r="J13" s="11">
        <f t="array" ref="J13">SUM(IF('SJCPIL-R 16-318-03 - D'!$B$3:$AK$3='Resumo de Falhas'!J$1,'SJCPIL-R 16-318-03 - D'!$B25:$AK25))</f>
        <v>0</v>
      </c>
      <c r="K13" s="11">
        <f t="array" ref="K13">SUM(IF('SJCPIL-R 16-318-03 - D'!$B$3:$AK$3='Resumo de Falhas'!K$1,'SJCPIL-R 16-318-03 - D'!$B25:$AK25))</f>
        <v>0</v>
      </c>
      <c r="L13" s="15">
        <f t="array" ref="L13">SUM(IF('SJCPIL-R 16-318-03 - D'!$B$3:$AK$3='Resumo de Falhas'!L$1,'SJCPIL-R 16-318-03 - D'!$B25:$AK25))</f>
        <v>0</v>
      </c>
      <c r="M13" s="16">
        <f t="shared" si="2"/>
        <v>0</v>
      </c>
      <c r="N13" s="17" t="e">
        <f t="shared" si="0"/>
        <v>#DIV/0!</v>
      </c>
    </row>
    <row r="14" spans="1:15">
      <c r="A14" s="240"/>
      <c r="B14" s="33" t="s">
        <v>6</v>
      </c>
      <c r="C14" s="11">
        <f t="array" ref="C14">SUM(IF('SJCPIL-R 16-318-03 - D'!$B$3:$AK$3='Resumo de Falhas'!C$1,'SJCPIL-R 16-318-03 - D'!$B26:$AK26))</f>
        <v>0</v>
      </c>
      <c r="D14" s="11">
        <f t="array" ref="D14">SUM(IF('SJCPIL-R 16-318-03 - D'!$B$3:$AK$3='Resumo de Falhas'!D$1,'SJCPIL-R 16-318-03 - D'!$B26:$AK26))</f>
        <v>0</v>
      </c>
      <c r="E14" s="11">
        <f t="array" ref="E14">SUM(IF('SJCPIL-R 16-318-03 - D'!$B$3:$AK$3='Resumo de Falhas'!E$1,'SJCPIL-R 16-318-03 - D'!$B26:$AK26))</f>
        <v>0</v>
      </c>
      <c r="F14" s="11">
        <f t="array" ref="F14">SUM(IF('SJCPIL-R 16-318-03 - D'!$B$3:$AK$3='Resumo de Falhas'!F$1,'SJCPIL-R 16-318-03 - D'!$B26:$AK26))</f>
        <v>0</v>
      </c>
      <c r="G14" s="11">
        <f t="array" ref="G14">SUM(IF('SJCPIL-R 16-318-03 - D'!$B$3:$AK$3='Resumo de Falhas'!G$1,'SJCPIL-R 16-318-03 - D'!$B26:$AK26))</f>
        <v>0</v>
      </c>
      <c r="H14" s="11">
        <f t="array" ref="H14">SUM(IF('SJCPIL-R 16-318-03 - D'!$B$3:$AK$3='Resumo de Falhas'!H$1,'SJCPIL-R 16-318-03 - D'!$B26:$AK26))</f>
        <v>0</v>
      </c>
      <c r="I14" s="11">
        <f t="array" ref="I14">SUM(IF('SJCPIL-R 16-318-03 - D'!$B$3:$AK$3='Resumo de Falhas'!I$1,'SJCPIL-R 16-318-03 - D'!$B26:$AK26))</f>
        <v>0</v>
      </c>
      <c r="J14" s="11">
        <f t="array" ref="J14">SUM(IF('SJCPIL-R 16-318-03 - D'!$B$3:$AK$3='Resumo de Falhas'!J$1,'SJCPIL-R 16-318-03 - D'!$B26:$AK26))</f>
        <v>0</v>
      </c>
      <c r="K14" s="11">
        <f t="array" ref="K14">SUM(IF('SJCPIL-R 16-318-03 - D'!$B$3:$AK$3='Resumo de Falhas'!K$1,'SJCPIL-R 16-318-03 - D'!$B26:$AK26))</f>
        <v>0</v>
      </c>
      <c r="L14" s="15">
        <f t="array" ref="L14">SUM(IF('SJCPIL-R 16-318-03 - D'!$B$3:$AK$3='Resumo de Falhas'!L$1,'SJCPIL-R 16-318-03 - D'!$B26:$AK26))</f>
        <v>0</v>
      </c>
      <c r="M14" s="16">
        <f t="shared" si="2"/>
        <v>0</v>
      </c>
      <c r="N14" s="17" t="e">
        <f t="shared" si="0"/>
        <v>#DIV/0!</v>
      </c>
    </row>
    <row r="15" spans="1:15" ht="13.5" thickBot="1">
      <c r="A15" s="241"/>
      <c r="B15" s="27" t="s">
        <v>13</v>
      </c>
      <c r="C15" s="18">
        <f t="shared" ref="C15:L15" si="3">SUM(C3:C14)</f>
        <v>0</v>
      </c>
      <c r="D15" s="18">
        <f t="shared" si="3"/>
        <v>0</v>
      </c>
      <c r="E15" s="18">
        <f t="shared" si="3"/>
        <v>0</v>
      </c>
      <c r="F15" s="18">
        <f t="shared" si="3"/>
        <v>0</v>
      </c>
      <c r="G15" s="18">
        <f t="shared" si="3"/>
        <v>0</v>
      </c>
      <c r="H15" s="18">
        <f t="shared" si="3"/>
        <v>0</v>
      </c>
      <c r="I15" s="18">
        <f t="shared" si="3"/>
        <v>0</v>
      </c>
      <c r="J15" s="18">
        <f t="shared" si="3"/>
        <v>0</v>
      </c>
      <c r="K15" s="18">
        <f t="shared" si="3"/>
        <v>0</v>
      </c>
      <c r="L15" s="18">
        <f t="shared" si="3"/>
        <v>0</v>
      </c>
      <c r="M15" s="52">
        <f t="shared" si="2"/>
        <v>0</v>
      </c>
      <c r="N15" s="17" t="e">
        <f t="shared" si="0"/>
        <v>#DIV/0!</v>
      </c>
    </row>
    <row r="16" spans="1:15" ht="13.5" thickBot="1">
      <c r="A16" s="238" t="s">
        <v>14</v>
      </c>
      <c r="B16" s="28" t="s">
        <v>12</v>
      </c>
      <c r="C16" s="6">
        <f t="array" ref="C16">SUM(IF('SJCPIL-R 16-318-03 - N'!$B3:$AK3='Resumo de Falhas'!C1,'SJCPIL-R 16-318-03 - N'!$B4:$AK4))</f>
        <v>0</v>
      </c>
      <c r="D16" s="6">
        <f t="array" ref="D16">SUM(IF('SJCPIL-R 16-318-03 - N'!$B3:$AK3='Resumo de Falhas'!D1,'SJCPIL-R 16-318-03 - N'!$B4:$AK4))</f>
        <v>0</v>
      </c>
      <c r="E16" s="6">
        <f t="array" ref="E16">SUM(IF('SJCPIL-R 16-318-03 - N'!$B3:$AK3='Resumo de Falhas'!E1,'SJCPIL-R 16-318-03 - N'!$B4:$AK4))</f>
        <v>0</v>
      </c>
      <c r="F16" s="6">
        <f t="array" ref="F16">SUM(IF('SJCPIL-R 16-318-03 - N'!$B3:$AK3='Resumo de Falhas'!F1,'SJCPIL-R 16-318-03 - N'!$B4:$AK4))</f>
        <v>0</v>
      </c>
      <c r="G16" s="6">
        <f t="array" ref="G16">SUM(IF('SJCPIL-R 16-318-03 - N'!$B3:$AK3='Resumo de Falhas'!G1,'SJCPIL-R 16-318-03 - N'!$B4:$AK4))</f>
        <v>0</v>
      </c>
      <c r="H16" s="6">
        <f t="array" ref="H16">SUM(IF('SJCPIL-R 16-318-03 - N'!$B3:$AK3='Resumo de Falhas'!H1,'SJCPIL-R 16-318-03 - N'!$B4:$AK4))</f>
        <v>0</v>
      </c>
      <c r="I16" s="6">
        <f t="array" ref="I16">SUM(IF('SJCPIL-R 16-318-03 - N'!$B3:$AK3='Resumo de Falhas'!I1,'SJCPIL-R 16-318-03 - N'!$B4:$AK4))</f>
        <v>0</v>
      </c>
      <c r="J16" s="6">
        <f t="array" ref="J16">SUM(IF('SJCPIL-R 16-318-03 - N'!$B3:$AK3='Resumo de Falhas'!J1,'SJCPIL-R 16-318-03 - N'!$B4:$AK4))</f>
        <v>0</v>
      </c>
      <c r="K16" s="6">
        <f t="array" ref="K16">SUM(IF('SJCPIL-R 16-318-03 - N'!$B3:$AK3='Resumo de Falhas'!K1,'SJCPIL-R 16-318-03 - N'!$B4:$AK4))</f>
        <v>0</v>
      </c>
      <c r="L16" s="6">
        <f t="array" ref="L16">SUM(IF('SJCPIL-R 16-318-03 - N'!$B3:$AK3='Resumo de Falhas'!L1,'SJCPIL-R 16-318-03 - N'!$B4:$AK4))</f>
        <v>0</v>
      </c>
      <c r="M16" s="9">
        <f t="shared" si="2"/>
        <v>0</v>
      </c>
      <c r="N16" s="10"/>
      <c r="O16" s="94" t="s">
        <v>68</v>
      </c>
    </row>
    <row r="17" spans="1:16">
      <c r="A17" s="239"/>
      <c r="B17" s="25" t="s">
        <v>3</v>
      </c>
      <c r="C17" s="11">
        <f t="array" ref="C17">SUM(IF('SJCPIL-R 16-318-03 - N'!$B$3:$AK$3='Resumo de Falhas'!C$1,'SJCPIL-R 16-318-03 - N'!$B15:$AK15))</f>
        <v>0</v>
      </c>
      <c r="D17" s="11">
        <f t="array" ref="D17">SUM(IF('SJCPIL-R 16-318-03 - N'!$B$3:$AK$3='Resumo de Falhas'!D$1,'SJCPIL-R 16-318-03 - N'!$B15:$AK15))</f>
        <v>0</v>
      </c>
      <c r="E17" s="11">
        <f t="array" ref="E17">SUM(IF('SJCPIL-R 16-318-03 - N'!$B$3:$AK$3='Resumo de Falhas'!E$1,'SJCPIL-R 16-318-03 - N'!$B15:$AK15))</f>
        <v>0</v>
      </c>
      <c r="F17" s="11">
        <f t="array" ref="F17">SUM(IF('SJCPIL-R 16-318-03 - N'!$B$3:$AK$3='Resumo de Falhas'!F$1,'SJCPIL-R 16-318-03 - N'!$B15:$AK15))</f>
        <v>0</v>
      </c>
      <c r="G17" s="11">
        <f t="array" ref="G17">SUM(IF('SJCPIL-R 16-318-03 - N'!$B$3:$AK$3='Resumo de Falhas'!G$1,'SJCPIL-R 16-318-03 - N'!$B15:$AK15))</f>
        <v>0</v>
      </c>
      <c r="H17" s="11">
        <f t="array" ref="H17">SUM(IF('SJCPIL-R 16-318-03 - N'!$B$3:$AK$3='Resumo de Falhas'!H$1,'SJCPIL-R 16-318-03 - N'!$B15:$AK15))</f>
        <v>0</v>
      </c>
      <c r="I17" s="11">
        <f t="array" ref="I17">SUM(IF('SJCPIL-R 16-318-03 - N'!$B$3:$AK$3='Resumo de Falhas'!I$1,'SJCPIL-R 16-318-03 - N'!$B15:$AK15))</f>
        <v>0</v>
      </c>
      <c r="J17" s="11">
        <f t="array" ref="J17">SUM(IF('SJCPIL-R 16-318-03 - N'!$B$3:$AK$3='Resumo de Falhas'!J$1,'SJCPIL-R 16-318-03 - N'!$B15:$AK15))</f>
        <v>0</v>
      </c>
      <c r="K17" s="11">
        <f t="array" ref="K17">SUM(IF('SJCPIL-R 16-318-03 - N'!$B$3:$AK$3='Resumo de Falhas'!K$1,'SJCPIL-R 16-318-03 - N'!$B15:$AK15))</f>
        <v>0</v>
      </c>
      <c r="L17" s="11">
        <f t="array" ref="L17">SUM(IF('SJCPIL-R 16-318-03 - N'!$B$3:$AK$3='Resumo de Falhas'!L$1,'SJCPIL-R 16-318-03 - N'!$B15:$AK15))</f>
        <v>0</v>
      </c>
      <c r="M17" s="13">
        <f t="shared" si="2"/>
        <v>0</v>
      </c>
      <c r="N17" s="14" t="e">
        <f>M17/M$16*1000000</f>
        <v>#DIV/0!</v>
      </c>
      <c r="O17" s="13">
        <f t="shared" ref="O17:O25" si="4">M17+M3</f>
        <v>0</v>
      </c>
    </row>
    <row r="18" spans="1:16">
      <c r="A18" s="239"/>
      <c r="B18" s="26" t="s">
        <v>4</v>
      </c>
      <c r="C18" s="11">
        <f t="array" ref="C18">SUM(IF('SJCPIL-R 16-318-03 - N'!$B$3:$AK$3='Resumo de Falhas'!C$1,'SJCPIL-R 16-318-03 - N'!$B16:$AK16))</f>
        <v>0</v>
      </c>
      <c r="D18" s="11">
        <f t="array" ref="D18">SUM(IF('SJCPIL-R 16-318-03 - N'!$B$3:$AK$3='Resumo de Falhas'!D$1,'SJCPIL-R 16-318-03 - N'!$B16:$AK16))</f>
        <v>0</v>
      </c>
      <c r="E18" s="11">
        <f t="array" ref="E18">SUM(IF('SJCPIL-R 16-318-03 - N'!$B$3:$AK$3='Resumo de Falhas'!E$1,'SJCPIL-R 16-318-03 - N'!$B16:$AK16))</f>
        <v>0</v>
      </c>
      <c r="F18" s="11">
        <f t="array" ref="F18">SUM(IF('SJCPIL-R 16-318-03 - N'!$B$3:$AK$3='Resumo de Falhas'!F$1,'SJCPIL-R 16-318-03 - N'!$B16:$AK16))</f>
        <v>0</v>
      </c>
      <c r="G18" s="11">
        <f t="array" ref="G18">SUM(IF('SJCPIL-R 16-318-03 - N'!$B$3:$AK$3='Resumo de Falhas'!G$1,'SJCPIL-R 16-318-03 - N'!$B16:$AK16))</f>
        <v>0</v>
      </c>
      <c r="H18" s="11">
        <f t="array" ref="H18">SUM(IF('SJCPIL-R 16-318-03 - N'!$B$3:$AK$3='Resumo de Falhas'!H$1,'SJCPIL-R 16-318-03 - N'!$B16:$AK16))</f>
        <v>0</v>
      </c>
      <c r="I18" s="11">
        <f t="array" ref="I18">SUM(IF('SJCPIL-R 16-318-03 - N'!$B$3:$AK$3='Resumo de Falhas'!I$1,'SJCPIL-R 16-318-03 - N'!$B16:$AK16))</f>
        <v>0</v>
      </c>
      <c r="J18" s="11">
        <f t="array" ref="J18">SUM(IF('SJCPIL-R 16-318-03 - N'!$B$3:$AK$3='Resumo de Falhas'!J$1,'SJCPIL-R 16-318-03 - N'!$B16:$AK16))</f>
        <v>0</v>
      </c>
      <c r="K18" s="11">
        <f t="array" ref="K18">SUM(IF('SJCPIL-R 16-318-03 - N'!$B$3:$AK$3='Resumo de Falhas'!K$1,'SJCPIL-R 16-318-03 - N'!$B16:$AK16))</f>
        <v>0</v>
      </c>
      <c r="L18" s="11">
        <f t="array" ref="L18">SUM(IF('SJCPIL-R 16-318-03 - N'!$B$3:$AK$3='Resumo de Falhas'!L$1,'SJCPIL-R 16-318-03 - N'!$B16:$AK16))</f>
        <v>0</v>
      </c>
      <c r="M18" s="16">
        <f t="shared" si="2"/>
        <v>0</v>
      </c>
      <c r="N18" s="17" t="e">
        <f>M18/M$16*1000000</f>
        <v>#DIV/0!</v>
      </c>
      <c r="O18" s="16">
        <f t="shared" si="4"/>
        <v>0</v>
      </c>
    </row>
    <row r="19" spans="1:16">
      <c r="A19" s="239"/>
      <c r="B19" s="46" t="s">
        <v>48</v>
      </c>
      <c r="C19" s="11">
        <f t="array" ref="C19">SUM(IF('SJCPIL-R 16-318-03 - N'!$B$3:$AK$3='Resumo de Falhas'!C$1,'SJCPIL-R 16-318-03 - N'!$B17:$AK17))</f>
        <v>0</v>
      </c>
      <c r="D19" s="11">
        <f t="array" ref="D19">SUM(IF('SJCPIL-R 16-318-03 - N'!$B$3:$AK$3='Resumo de Falhas'!D$1,'SJCPIL-R 16-318-03 - N'!$B17:$AK17))</f>
        <v>0</v>
      </c>
      <c r="E19" s="11">
        <f t="array" ref="E19">SUM(IF('SJCPIL-R 16-318-03 - N'!$B$3:$AK$3='Resumo de Falhas'!E$1,'SJCPIL-R 16-318-03 - N'!$B17:$AK17))</f>
        <v>0</v>
      </c>
      <c r="F19" s="11">
        <f t="array" ref="F19">SUM(IF('SJCPIL-R 16-318-03 - N'!$B$3:$AK$3='Resumo de Falhas'!F$1,'SJCPIL-R 16-318-03 - N'!$B17:$AK17))</f>
        <v>0</v>
      </c>
      <c r="G19" s="11">
        <f t="array" ref="G19">SUM(IF('SJCPIL-R 16-318-03 - N'!$B$3:$AK$3='Resumo de Falhas'!G$1,'SJCPIL-R 16-318-03 - N'!$B17:$AK17))</f>
        <v>0</v>
      </c>
      <c r="H19" s="11">
        <f t="array" ref="H19">SUM(IF('SJCPIL-R 16-318-03 - N'!$B$3:$AK$3='Resumo de Falhas'!H$1,'SJCPIL-R 16-318-03 - N'!$B17:$AK17))</f>
        <v>0</v>
      </c>
      <c r="I19" s="11">
        <f t="array" ref="I19">SUM(IF('SJCPIL-R 16-318-03 - N'!$B$3:$AK$3='Resumo de Falhas'!I$1,'SJCPIL-R 16-318-03 - N'!$B17:$AK17))</f>
        <v>0</v>
      </c>
      <c r="J19" s="11">
        <f t="array" ref="J19">SUM(IF('SJCPIL-R 16-318-03 - N'!$B$3:$AK$3='Resumo de Falhas'!J$1,'SJCPIL-R 16-318-03 - N'!$B17:$AK17))</f>
        <v>0</v>
      </c>
      <c r="K19" s="11">
        <f t="array" ref="K19">SUM(IF('SJCPIL-R 16-318-03 - N'!$B$3:$AK$3='Resumo de Falhas'!K$1,'SJCPIL-R 16-318-03 - N'!$B17:$AK17))</f>
        <v>0</v>
      </c>
      <c r="L19" s="11">
        <f t="array" ref="L19">SUM(IF('SJCPIL-R 16-318-03 - N'!$B$3:$AK$3='Resumo de Falhas'!L$1,'SJCPIL-R 16-318-03 - N'!$B17:$AK17))</f>
        <v>0</v>
      </c>
      <c r="M19" s="16">
        <f t="shared" si="2"/>
        <v>0</v>
      </c>
      <c r="N19" s="17" t="e">
        <f t="shared" ref="N19:N27" si="5">M19/M$16*1000000</f>
        <v>#DIV/0!</v>
      </c>
      <c r="O19" s="16">
        <f t="shared" si="4"/>
        <v>0</v>
      </c>
    </row>
    <row r="20" spans="1:16">
      <c r="A20" s="239"/>
      <c r="B20" s="46" t="s">
        <v>49</v>
      </c>
      <c r="C20" s="11">
        <f t="array" ref="C20">SUM(IF('SJCPIL-R 16-318-03 - N'!$B$3:$AK$3='Resumo de Falhas'!C$1,'SJCPIL-R 16-318-03 - N'!$B18:$AK18))</f>
        <v>0</v>
      </c>
      <c r="D20" s="11">
        <f t="array" ref="D20">SUM(IF('SJCPIL-R 16-318-03 - N'!$B$3:$AK$3='Resumo de Falhas'!D$1,'SJCPIL-R 16-318-03 - N'!$B18:$AK18))</f>
        <v>0</v>
      </c>
      <c r="E20" s="11">
        <f t="array" ref="E20">SUM(IF('SJCPIL-R 16-318-03 - N'!$B$3:$AK$3='Resumo de Falhas'!E$1,'SJCPIL-R 16-318-03 - N'!$B18:$AK18))</f>
        <v>0</v>
      </c>
      <c r="F20" s="11">
        <f t="array" ref="F20">SUM(IF('SJCPIL-R 16-318-03 - N'!$B$3:$AK$3='Resumo de Falhas'!F$1,'SJCPIL-R 16-318-03 - N'!$B18:$AK18))</f>
        <v>0</v>
      </c>
      <c r="G20" s="11">
        <f t="array" ref="G20">SUM(IF('SJCPIL-R 16-318-03 - N'!$B$3:$AK$3='Resumo de Falhas'!G$1,'SJCPIL-R 16-318-03 - N'!$B18:$AK18))</f>
        <v>0</v>
      </c>
      <c r="H20" s="11">
        <f t="array" ref="H20">SUM(IF('SJCPIL-R 16-318-03 - N'!$B$3:$AK$3='Resumo de Falhas'!H$1,'SJCPIL-R 16-318-03 - N'!$B18:$AK18))</f>
        <v>0</v>
      </c>
      <c r="I20" s="11">
        <f t="array" ref="I20">SUM(IF('SJCPIL-R 16-318-03 - N'!$B$3:$AK$3='Resumo de Falhas'!I$1,'SJCPIL-R 16-318-03 - N'!$B18:$AK18))</f>
        <v>0</v>
      </c>
      <c r="J20" s="11">
        <f t="array" ref="J20">SUM(IF('SJCPIL-R 16-318-03 - N'!$B$3:$AK$3='Resumo de Falhas'!J$1,'SJCPIL-R 16-318-03 - N'!$B18:$AK18))</f>
        <v>0</v>
      </c>
      <c r="K20" s="11">
        <f t="array" ref="K20">SUM(IF('SJCPIL-R 16-318-03 - N'!$B$3:$AK$3='Resumo de Falhas'!K$1,'SJCPIL-R 16-318-03 - N'!$B18:$AK18))</f>
        <v>0</v>
      </c>
      <c r="L20" s="11">
        <f t="array" ref="L20">SUM(IF('SJCPIL-R 16-318-03 - N'!$B$3:$AK$3='Resumo de Falhas'!L$1,'SJCPIL-R 16-318-03 - N'!$B18:$AK18))</f>
        <v>0</v>
      </c>
      <c r="M20" s="16">
        <f t="shared" si="2"/>
        <v>0</v>
      </c>
      <c r="N20" s="17" t="e">
        <f t="shared" si="5"/>
        <v>#DIV/0!</v>
      </c>
      <c r="O20" s="16">
        <f t="shared" si="4"/>
        <v>0</v>
      </c>
    </row>
    <row r="21" spans="1:16">
      <c r="A21" s="239"/>
      <c r="B21" s="46" t="s">
        <v>59</v>
      </c>
      <c r="C21" s="11">
        <f t="array" ref="C21">SUM(IF('SJCPIL-R 16-318-03 - N'!$B$3:$AK$3='Resumo de Falhas'!C$1,'SJCPIL-R 16-318-03 - N'!$B19:$AK19))</f>
        <v>0</v>
      </c>
      <c r="D21" s="11">
        <f t="array" ref="D21">SUM(IF('SJCPIL-R 16-318-03 - N'!$B$3:$AK$3='Resumo de Falhas'!D$1,'SJCPIL-R 16-318-03 - N'!$B19:$AK19))</f>
        <v>0</v>
      </c>
      <c r="E21" s="11">
        <f t="array" ref="E21">SUM(IF('SJCPIL-R 16-318-03 - N'!$B$3:$AK$3='Resumo de Falhas'!E$1,'SJCPIL-R 16-318-03 - N'!$B19:$AK19))</f>
        <v>0</v>
      </c>
      <c r="F21" s="11">
        <f t="array" ref="F21">SUM(IF('SJCPIL-R 16-318-03 - N'!$B$3:$AK$3='Resumo de Falhas'!F$1,'SJCPIL-R 16-318-03 - N'!$B19:$AK19))</f>
        <v>0</v>
      </c>
      <c r="G21" s="11">
        <f t="array" ref="G21">SUM(IF('SJCPIL-R 16-318-03 - N'!$B$3:$AK$3='Resumo de Falhas'!G$1,'SJCPIL-R 16-318-03 - N'!$B19:$AK19))</f>
        <v>0</v>
      </c>
      <c r="H21" s="11">
        <f t="array" ref="H21">SUM(IF('SJCPIL-R 16-318-03 - N'!$B$3:$AK$3='Resumo de Falhas'!H$1,'SJCPIL-R 16-318-03 - N'!$B19:$AK19))</f>
        <v>0</v>
      </c>
      <c r="I21" s="11">
        <f t="array" ref="I21">SUM(IF('SJCPIL-R 16-318-03 - N'!$B$3:$AK$3='Resumo de Falhas'!I$1,'SJCPIL-R 16-318-03 - N'!$B19:$AK19))</f>
        <v>0</v>
      </c>
      <c r="J21" s="11">
        <f t="array" ref="J21">SUM(IF('SJCPIL-R 16-318-03 - N'!$B$3:$AK$3='Resumo de Falhas'!J$1,'SJCPIL-R 16-318-03 - N'!$B19:$AK19))</f>
        <v>0</v>
      </c>
      <c r="K21" s="11">
        <f t="array" ref="K21">SUM(IF('SJCPIL-R 16-318-03 - N'!$B$3:$AK$3='Resumo de Falhas'!K$1,'SJCPIL-R 16-318-03 - N'!$B19:$AK19))</f>
        <v>0</v>
      </c>
      <c r="L21" s="11">
        <f t="array" ref="L21">SUM(IF('SJCPIL-R 16-318-03 - N'!$B$3:$AK$3='Resumo de Falhas'!L$1,'SJCPIL-R 16-318-03 - N'!$B19:$AK19))</f>
        <v>0</v>
      </c>
      <c r="M21" s="16">
        <f t="shared" si="2"/>
        <v>0</v>
      </c>
      <c r="N21" s="17" t="e">
        <f t="shared" si="5"/>
        <v>#DIV/0!</v>
      </c>
      <c r="O21" s="16">
        <f t="shared" si="4"/>
        <v>0</v>
      </c>
    </row>
    <row r="22" spans="1:16">
      <c r="A22" s="239"/>
      <c r="B22" s="46" t="s">
        <v>60</v>
      </c>
      <c r="C22" s="11">
        <f t="array" ref="C22">SUM(IF('SJCPIL-R 16-318-03 - N'!$B$3:$AK$3='Resumo de Falhas'!C$1,'SJCPIL-R 16-318-03 - N'!$B20:$AK20))</f>
        <v>0</v>
      </c>
      <c r="D22" s="11">
        <f t="array" ref="D22">SUM(IF('SJCPIL-R 16-318-03 - N'!$B$3:$AK$3='Resumo de Falhas'!D$1,'SJCPIL-R 16-318-03 - N'!$B20:$AK20))</f>
        <v>0</v>
      </c>
      <c r="E22" s="11">
        <f t="array" ref="E22">SUM(IF('SJCPIL-R 16-318-03 - N'!$B$3:$AK$3='Resumo de Falhas'!E$1,'SJCPIL-R 16-318-03 - N'!$B20:$AK20))</f>
        <v>0</v>
      </c>
      <c r="F22" s="11">
        <f t="array" ref="F22">SUM(IF('SJCPIL-R 16-318-03 - N'!$B$3:$AK$3='Resumo de Falhas'!F$1,'SJCPIL-R 16-318-03 - N'!$B20:$AK20))</f>
        <v>0</v>
      </c>
      <c r="G22" s="11">
        <f t="array" ref="G22">SUM(IF('SJCPIL-R 16-318-03 - N'!$B$3:$AK$3='Resumo de Falhas'!G$1,'SJCPIL-R 16-318-03 - N'!$B20:$AK20))</f>
        <v>0</v>
      </c>
      <c r="H22" s="11">
        <f t="array" ref="H22">SUM(IF('SJCPIL-R 16-318-03 - N'!$B$3:$AK$3='Resumo de Falhas'!H$1,'SJCPIL-R 16-318-03 - N'!$B20:$AK20))</f>
        <v>0</v>
      </c>
      <c r="I22" s="11">
        <f t="array" ref="I22">SUM(IF('SJCPIL-R 16-318-03 - N'!$B$3:$AK$3='Resumo de Falhas'!I$1,'SJCPIL-R 16-318-03 - N'!$B20:$AK20))</f>
        <v>0</v>
      </c>
      <c r="J22" s="11">
        <f t="array" ref="J22">SUM(IF('SJCPIL-R 16-318-03 - N'!$B$3:$AK$3='Resumo de Falhas'!J$1,'SJCPIL-R 16-318-03 - N'!$B20:$AK20))</f>
        <v>0</v>
      </c>
      <c r="K22" s="11">
        <f t="array" ref="K22">SUM(IF('SJCPIL-R 16-318-03 - N'!$B$3:$AK$3='Resumo de Falhas'!K$1,'SJCPIL-R 16-318-03 - N'!$B20:$AK20))</f>
        <v>0</v>
      </c>
      <c r="L22" s="11">
        <f t="array" ref="L22">SUM(IF('SJCPIL-R 16-318-03 - N'!$B$3:$AK$3='Resumo de Falhas'!L$1,'SJCPIL-R 16-318-03 - N'!$B20:$AK20))</f>
        <v>0</v>
      </c>
      <c r="M22" s="16">
        <f t="shared" si="2"/>
        <v>0</v>
      </c>
      <c r="N22" s="17" t="e">
        <f t="shared" si="5"/>
        <v>#DIV/0!</v>
      </c>
      <c r="O22" s="16">
        <f t="shared" si="4"/>
        <v>0</v>
      </c>
    </row>
    <row r="23" spans="1:16">
      <c r="A23" s="239"/>
      <c r="B23" s="46" t="s">
        <v>50</v>
      </c>
      <c r="C23" s="11">
        <f t="array" ref="C23">SUM(IF('SJCPIL-R 16-318-03 - N'!$B$3:$AK$3='Resumo de Falhas'!C$1,'SJCPIL-R 16-318-03 - N'!$B21:$AK21))</f>
        <v>0</v>
      </c>
      <c r="D23" s="11">
        <f t="array" ref="D23">SUM(IF('SJCPIL-R 16-318-03 - N'!$B$3:$AK$3='Resumo de Falhas'!D$1,'SJCPIL-R 16-318-03 - N'!$B21:$AK21))</f>
        <v>0</v>
      </c>
      <c r="E23" s="11">
        <f t="array" ref="E23">SUM(IF('SJCPIL-R 16-318-03 - N'!$B$3:$AK$3='Resumo de Falhas'!E$1,'SJCPIL-R 16-318-03 - N'!$B21:$AK21))</f>
        <v>0</v>
      </c>
      <c r="F23" s="11">
        <f t="array" ref="F23">SUM(IF('SJCPIL-R 16-318-03 - N'!$B$3:$AK$3='Resumo de Falhas'!F$1,'SJCPIL-R 16-318-03 - N'!$B21:$AK21))</f>
        <v>0</v>
      </c>
      <c r="G23" s="11">
        <f t="array" ref="G23">SUM(IF('SJCPIL-R 16-318-03 - N'!$B$3:$AK$3='Resumo de Falhas'!G$1,'SJCPIL-R 16-318-03 - N'!$B21:$AK21))</f>
        <v>0</v>
      </c>
      <c r="H23" s="11">
        <f t="array" ref="H23">SUM(IF('SJCPIL-R 16-318-03 - N'!$B$3:$AK$3='Resumo de Falhas'!H$1,'SJCPIL-R 16-318-03 - N'!$B21:$AK21))</f>
        <v>0</v>
      </c>
      <c r="I23" s="11">
        <f t="array" ref="I23">SUM(IF('SJCPIL-R 16-318-03 - N'!$B$3:$AK$3='Resumo de Falhas'!I$1,'SJCPIL-R 16-318-03 - N'!$B21:$AK21))</f>
        <v>0</v>
      </c>
      <c r="J23" s="11">
        <f t="array" ref="J23">SUM(IF('SJCPIL-R 16-318-03 - N'!$B$3:$AK$3='Resumo de Falhas'!J$1,'SJCPIL-R 16-318-03 - N'!$B21:$AK21))</f>
        <v>0</v>
      </c>
      <c r="K23" s="11">
        <f t="array" ref="K23">SUM(IF('SJCPIL-R 16-318-03 - N'!$B$3:$AK$3='Resumo de Falhas'!K$1,'SJCPIL-R 16-318-03 - N'!$B21:$AK21))</f>
        <v>0</v>
      </c>
      <c r="L23" s="11">
        <f t="array" ref="L23">SUM(IF('SJCPIL-R 16-318-03 - N'!$B$3:$AK$3='Resumo de Falhas'!L$1,'SJCPIL-R 16-318-03 - N'!$B21:$AK21))</f>
        <v>0</v>
      </c>
      <c r="M23" s="16">
        <f t="shared" si="2"/>
        <v>0</v>
      </c>
      <c r="N23" s="17" t="e">
        <f t="shared" si="5"/>
        <v>#DIV/0!</v>
      </c>
      <c r="O23" s="16">
        <f t="shared" si="4"/>
        <v>0</v>
      </c>
    </row>
    <row r="24" spans="1:16" ht="24">
      <c r="A24" s="239"/>
      <c r="B24" s="47" t="s">
        <v>51</v>
      </c>
      <c r="C24" s="11">
        <f t="array" ref="C24">SUM(IF('SJCPIL-R 16-318-03 - N'!$B$3:$AK$3='Resumo de Falhas'!C$1,'SJCPIL-R 16-318-03 - N'!$B22:$AK22))</f>
        <v>0</v>
      </c>
      <c r="D24" s="11">
        <f t="array" ref="D24">SUM(IF('SJCPIL-R 16-318-03 - N'!$B$3:$AK$3='Resumo de Falhas'!D$1,'SJCPIL-R 16-318-03 - N'!$B22:$AK22))</f>
        <v>0</v>
      </c>
      <c r="E24" s="11">
        <f t="array" ref="E24">SUM(IF('SJCPIL-R 16-318-03 - N'!$B$3:$AK$3='Resumo de Falhas'!E$1,'SJCPIL-R 16-318-03 - N'!$B22:$AK22))</f>
        <v>0</v>
      </c>
      <c r="F24" s="11">
        <f t="array" ref="F24">SUM(IF('SJCPIL-R 16-318-03 - N'!$B$3:$AK$3='Resumo de Falhas'!F$1,'SJCPIL-R 16-318-03 - N'!$B22:$AK22))</f>
        <v>0</v>
      </c>
      <c r="G24" s="11">
        <f t="array" ref="G24">SUM(IF('SJCPIL-R 16-318-03 - N'!$B$3:$AK$3='Resumo de Falhas'!G$1,'SJCPIL-R 16-318-03 - N'!$B22:$AK22))</f>
        <v>0</v>
      </c>
      <c r="H24" s="11">
        <f t="array" ref="H24">SUM(IF('SJCPIL-R 16-318-03 - N'!$B$3:$AK$3='Resumo de Falhas'!H$1,'SJCPIL-R 16-318-03 - N'!$B22:$AK22))</f>
        <v>0</v>
      </c>
      <c r="I24" s="11">
        <f t="array" ref="I24">SUM(IF('SJCPIL-R 16-318-03 - N'!$B$3:$AK$3='Resumo de Falhas'!I$1,'SJCPIL-R 16-318-03 - N'!$B22:$AK22))</f>
        <v>0</v>
      </c>
      <c r="J24" s="11">
        <f t="array" ref="J24">SUM(IF('SJCPIL-R 16-318-03 - N'!$B$3:$AK$3='Resumo de Falhas'!J$1,'SJCPIL-R 16-318-03 - N'!$B22:$AK22))</f>
        <v>0</v>
      </c>
      <c r="K24" s="11">
        <f t="array" ref="K24">SUM(IF('SJCPIL-R 16-318-03 - N'!$B$3:$AK$3='Resumo de Falhas'!K$1,'SJCPIL-R 16-318-03 - N'!$B22:$AK22))</f>
        <v>0</v>
      </c>
      <c r="L24" s="11">
        <f t="array" ref="L24">SUM(IF('SJCPIL-R 16-318-03 - N'!$B$3:$AK$3='Resumo de Falhas'!L$1,'SJCPIL-R 16-318-03 - N'!$B22:$AK22))</f>
        <v>0</v>
      </c>
      <c r="M24" s="16">
        <f t="shared" si="2"/>
        <v>0</v>
      </c>
      <c r="N24" s="17" t="e">
        <f t="shared" si="5"/>
        <v>#DIV/0!</v>
      </c>
      <c r="O24" s="16">
        <f t="shared" si="4"/>
        <v>0</v>
      </c>
    </row>
    <row r="25" spans="1:16">
      <c r="A25" s="239"/>
      <c r="B25" s="46" t="s">
        <v>52</v>
      </c>
      <c r="C25" s="11">
        <f t="array" ref="C25">SUM(IF('SJCPIL-R 16-318-03 - N'!$B$3:$AK$3='Resumo de Falhas'!C$1,'SJCPIL-R 16-318-03 - N'!$B23:$AK23))</f>
        <v>0</v>
      </c>
      <c r="D25" s="11">
        <f t="array" ref="D25">SUM(IF('SJCPIL-R 16-318-03 - N'!$B$3:$AK$3='Resumo de Falhas'!D$1,'SJCPIL-R 16-318-03 - N'!$B23:$AK23))</f>
        <v>0</v>
      </c>
      <c r="E25" s="11">
        <f t="array" ref="E25">SUM(IF('SJCPIL-R 16-318-03 - N'!$B$3:$AK$3='Resumo de Falhas'!E$1,'SJCPIL-R 16-318-03 - N'!$B23:$AK23))</f>
        <v>0</v>
      </c>
      <c r="F25" s="11">
        <f t="array" ref="F25">SUM(IF('SJCPIL-R 16-318-03 - N'!$B$3:$AK$3='Resumo de Falhas'!F$1,'SJCPIL-R 16-318-03 - N'!$B23:$AK23))</f>
        <v>0</v>
      </c>
      <c r="G25" s="11">
        <f t="array" ref="G25">SUM(IF('SJCPIL-R 16-318-03 - N'!$B$3:$AK$3='Resumo de Falhas'!G$1,'SJCPIL-R 16-318-03 - N'!$B23:$AK23))</f>
        <v>0</v>
      </c>
      <c r="H25" s="11">
        <f t="array" ref="H25">SUM(IF('SJCPIL-R 16-318-03 - N'!$B$3:$AK$3='Resumo de Falhas'!H$1,'SJCPIL-R 16-318-03 - N'!$B23:$AK23))</f>
        <v>0</v>
      </c>
      <c r="I25" s="11">
        <f t="array" ref="I25">SUM(IF('SJCPIL-R 16-318-03 - N'!$B$3:$AK$3='Resumo de Falhas'!I$1,'SJCPIL-R 16-318-03 - N'!$B23:$AK23))</f>
        <v>0</v>
      </c>
      <c r="J25" s="11">
        <f t="array" ref="J25">SUM(IF('SJCPIL-R 16-318-03 - N'!$B$3:$AK$3='Resumo de Falhas'!J$1,'SJCPIL-R 16-318-03 - N'!$B23:$AK23))</f>
        <v>0</v>
      </c>
      <c r="K25" s="11">
        <f t="array" ref="K25">SUM(IF('SJCPIL-R 16-318-03 - N'!$B$3:$AK$3='Resumo de Falhas'!K$1,'SJCPIL-R 16-318-03 - N'!$B23:$AK23))</f>
        <v>0</v>
      </c>
      <c r="L25" s="11">
        <f t="array" ref="L25">SUM(IF('SJCPIL-R 16-318-03 - N'!$B$3:$AK$3='Resumo de Falhas'!L$1,'SJCPIL-R 16-318-03 - N'!$B23:$AK23))</f>
        <v>0</v>
      </c>
      <c r="M25" s="16">
        <f t="shared" si="2"/>
        <v>0</v>
      </c>
      <c r="N25" s="17" t="e">
        <f t="shared" si="5"/>
        <v>#DIV/0!</v>
      </c>
      <c r="O25" s="16">
        <f t="shared" si="4"/>
        <v>0</v>
      </c>
    </row>
    <row r="26" spans="1:16">
      <c r="A26" s="239"/>
      <c r="B26" s="81" t="s">
        <v>67</v>
      </c>
      <c r="C26" s="11">
        <f t="array" ref="C26">SUM(IF('SJCPIL-R 16-318-03 - N'!$B$3:$AK$3='Resumo de Falhas'!C$1,'SJCPIL-R 16-318-03 - N'!$B24:$AK24))</f>
        <v>0</v>
      </c>
      <c r="D26" s="11">
        <f t="array" ref="D26">SUM(IF('SJCPIL-R 16-318-03 - N'!$B$3:$AK$3='Resumo de Falhas'!D$1,'SJCPIL-R 16-318-03 - N'!$B24:$AK24))</f>
        <v>0</v>
      </c>
      <c r="E26" s="11">
        <f t="array" ref="E26">SUM(IF('SJCPIL-R 16-318-03 - N'!$B$3:$AK$3='Resumo de Falhas'!E$1,'SJCPIL-R 16-318-03 - N'!$B24:$AK24))</f>
        <v>0</v>
      </c>
      <c r="F26" s="11">
        <f t="array" ref="F26">SUM(IF('SJCPIL-R 16-318-03 - N'!$B$3:$AK$3='Resumo de Falhas'!F$1,'SJCPIL-R 16-318-03 - N'!$B24:$AK24))</f>
        <v>0</v>
      </c>
      <c r="G26" s="11">
        <f t="array" ref="G26">SUM(IF('SJCPIL-R 16-318-03 - N'!$B$3:$AK$3='Resumo de Falhas'!G$1,'SJCPIL-R 16-318-03 - N'!$B24:$AK24))</f>
        <v>0</v>
      </c>
      <c r="H26" s="11">
        <f t="array" ref="H26">SUM(IF('SJCPIL-R 16-318-03 - N'!$B$3:$AK$3='Resumo de Falhas'!H$1,'SJCPIL-R 16-318-03 - N'!$B24:$AK24))</f>
        <v>0</v>
      </c>
      <c r="I26" s="11">
        <f t="array" ref="I26">SUM(IF('SJCPIL-R 16-318-03 - N'!$B$3:$AK$3='Resumo de Falhas'!I$1,'SJCPIL-R 16-318-03 - N'!$B24:$AK24))</f>
        <v>0</v>
      </c>
      <c r="J26" s="11">
        <f t="array" ref="J26">SUM(IF('SJCPIL-R 16-318-03 - N'!$B$3:$AK$3='Resumo de Falhas'!J$1,'SJCPIL-R 16-318-03 - N'!$B24:$AK24))</f>
        <v>0</v>
      </c>
      <c r="K26" s="11">
        <f t="array" ref="K26">SUM(IF('SJCPIL-R 16-318-03 - N'!$B$3:$AK$3='Resumo de Falhas'!K$1,'SJCPIL-R 16-318-03 - N'!$B24:$AK24))</f>
        <v>0</v>
      </c>
      <c r="L26" s="11">
        <f t="array" ref="L26">SUM(IF('SJCPIL-R 16-318-03 - N'!$B$3:$AK$3='Resumo de Falhas'!L$1,'SJCPIL-R 16-318-03 - N'!$B24:$AK24))</f>
        <v>0</v>
      </c>
      <c r="M26" s="16">
        <f t="shared" si="2"/>
        <v>0</v>
      </c>
      <c r="N26" s="17" t="e">
        <f t="shared" si="5"/>
        <v>#DIV/0!</v>
      </c>
      <c r="O26" s="16"/>
    </row>
    <row r="27" spans="1:16">
      <c r="A27" s="239"/>
      <c r="B27" s="26" t="s">
        <v>5</v>
      </c>
      <c r="C27" s="11">
        <f t="array" ref="C27">SUM(IF('SJCPIL-R 16-318-03 - N'!$B$3:$AK$3='Resumo de Falhas'!C$1,'SJCPIL-R 16-318-03 - N'!$B25:$AK25))</f>
        <v>0</v>
      </c>
      <c r="D27" s="11">
        <f t="array" ref="D27">SUM(IF('SJCPIL-R 16-318-03 - N'!$B$3:$AK$3='Resumo de Falhas'!D$1,'SJCPIL-R 16-318-03 - N'!$B25:$AK25))</f>
        <v>0</v>
      </c>
      <c r="E27" s="11">
        <f t="array" ref="E27">SUM(IF('SJCPIL-R 16-318-03 - N'!$B$3:$AK$3='Resumo de Falhas'!E$1,'SJCPIL-R 16-318-03 - N'!$B25:$AK25))</f>
        <v>0</v>
      </c>
      <c r="F27" s="11">
        <f t="array" ref="F27">SUM(IF('SJCPIL-R 16-318-03 - N'!$B$3:$AK$3='Resumo de Falhas'!F$1,'SJCPIL-R 16-318-03 - N'!$B25:$AK25))</f>
        <v>0</v>
      </c>
      <c r="G27" s="11">
        <f t="array" ref="G27">SUM(IF('SJCPIL-R 16-318-03 - N'!$B$3:$AK$3='Resumo de Falhas'!G$1,'SJCPIL-R 16-318-03 - N'!$B25:$AK25))</f>
        <v>0</v>
      </c>
      <c r="H27" s="11">
        <f t="array" ref="H27">SUM(IF('SJCPIL-R 16-318-03 - N'!$B$3:$AK$3='Resumo de Falhas'!H$1,'SJCPIL-R 16-318-03 - N'!$B25:$AK25))</f>
        <v>0</v>
      </c>
      <c r="I27" s="11">
        <f t="array" ref="I27">SUM(IF('SJCPIL-R 16-318-03 - N'!$B$3:$AK$3='Resumo de Falhas'!I$1,'SJCPIL-R 16-318-03 - N'!$B25:$AK25))</f>
        <v>0</v>
      </c>
      <c r="J27" s="11">
        <f t="array" ref="J27">SUM(IF('SJCPIL-R 16-318-03 - N'!$B$3:$AK$3='Resumo de Falhas'!J$1,'SJCPIL-R 16-318-03 - N'!$B25:$AK25))</f>
        <v>0</v>
      </c>
      <c r="K27" s="11">
        <f t="array" ref="K27">SUM(IF('SJCPIL-R 16-318-03 - N'!$B$3:$AK$3='Resumo de Falhas'!K$1,'SJCPIL-R 16-318-03 - N'!$B25:$AK25))</f>
        <v>0</v>
      </c>
      <c r="L27" s="11">
        <f t="array" ref="L27">SUM(IF('SJCPIL-R 16-318-03 - N'!$B$3:$AK$3='Resumo de Falhas'!L$1,'SJCPIL-R 16-318-03 - N'!$B25:$AK25))</f>
        <v>0</v>
      </c>
      <c r="M27" s="16">
        <f t="shared" si="2"/>
        <v>0</v>
      </c>
      <c r="N27" s="17" t="e">
        <f t="shared" si="5"/>
        <v>#DIV/0!</v>
      </c>
      <c r="O27" s="16">
        <f>M27+M13</f>
        <v>0</v>
      </c>
    </row>
    <row r="28" spans="1:16">
      <c r="A28" s="240"/>
      <c r="B28" s="33" t="s">
        <v>6</v>
      </c>
      <c r="C28" s="11">
        <f t="array" ref="C28">SUM(IF('SJCPIL-R 16-318-03 - N'!$B$3:$AK$3='Resumo de Falhas'!C$1,'SJCPIL-R 16-318-03 - N'!$B26:$AK26))</f>
        <v>0</v>
      </c>
      <c r="D28" s="11">
        <f t="array" ref="D28">SUM(IF('SJCPIL-R 16-318-03 - N'!$B$3:$AK$3='Resumo de Falhas'!D$1,'SJCPIL-R 16-318-03 - N'!$B26:$AK26))</f>
        <v>0</v>
      </c>
      <c r="E28" s="11">
        <f t="array" ref="E28">SUM(IF('SJCPIL-R 16-318-03 - N'!$B$3:$AK$3='Resumo de Falhas'!E$1,'SJCPIL-R 16-318-03 - N'!$B26:$AK26))</f>
        <v>0</v>
      </c>
      <c r="F28" s="11">
        <f t="array" ref="F28">SUM(IF('SJCPIL-R 16-318-03 - N'!$B$3:$AK$3='Resumo de Falhas'!F$1,'SJCPIL-R 16-318-03 - N'!$B26:$AK26))</f>
        <v>0</v>
      </c>
      <c r="G28" s="11">
        <f t="array" ref="G28">SUM(IF('SJCPIL-R 16-318-03 - N'!$B$3:$AK$3='Resumo de Falhas'!G$1,'SJCPIL-R 16-318-03 - N'!$B26:$AK26))</f>
        <v>0</v>
      </c>
      <c r="H28" s="11">
        <f t="array" ref="H28">SUM(IF('SJCPIL-R 16-318-03 - N'!$B$3:$AK$3='Resumo de Falhas'!H$1,'SJCPIL-R 16-318-03 - N'!$B26:$AK26))</f>
        <v>0</v>
      </c>
      <c r="I28" s="11">
        <f t="array" ref="I28">SUM(IF('SJCPIL-R 16-318-03 - N'!$B$3:$AK$3='Resumo de Falhas'!I$1,'SJCPIL-R 16-318-03 - N'!$B26:$AK26))</f>
        <v>0</v>
      </c>
      <c r="J28" s="11">
        <f t="array" ref="J28">SUM(IF('SJCPIL-R 16-318-03 - N'!$B$3:$AK$3='Resumo de Falhas'!J$1,'SJCPIL-R 16-318-03 - N'!$B26:$AK26))</f>
        <v>0</v>
      </c>
      <c r="K28" s="11">
        <f t="array" ref="K28">SUM(IF('SJCPIL-R 16-318-03 - N'!$B$3:$AK$3='Resumo de Falhas'!K$1,'SJCPIL-R 16-318-03 - N'!$B26:$AK26))</f>
        <v>0</v>
      </c>
      <c r="L28" s="11">
        <f t="array" ref="L28">SUM(IF('SJCPIL-R 16-318-03 - N'!$B$3:$AK$3='Resumo de Falhas'!L$1,'SJCPIL-R 16-318-03 - N'!$B26:$AK26))</f>
        <v>0</v>
      </c>
      <c r="M28" s="16">
        <f t="shared" si="2"/>
        <v>0</v>
      </c>
      <c r="N28" s="17" t="e">
        <f>M28/M$16*1000000</f>
        <v>#DIV/0!</v>
      </c>
      <c r="O28" s="16">
        <f>M28+M14</f>
        <v>0</v>
      </c>
    </row>
    <row r="29" spans="1:16" ht="13.5" thickBot="1">
      <c r="A29" s="241"/>
      <c r="B29" s="29" t="s">
        <v>13</v>
      </c>
      <c r="C29" s="19">
        <f t="shared" ref="C29:H29" si="6">SUM(C17:C28)</f>
        <v>0</v>
      </c>
      <c r="D29" s="19">
        <f t="shared" si="6"/>
        <v>0</v>
      </c>
      <c r="E29" s="19">
        <f t="shared" si="6"/>
        <v>0</v>
      </c>
      <c r="F29" s="19">
        <f t="shared" si="6"/>
        <v>0</v>
      </c>
      <c r="G29" s="19">
        <f t="shared" si="6"/>
        <v>0</v>
      </c>
      <c r="H29" s="19">
        <f t="shared" si="6"/>
        <v>0</v>
      </c>
      <c r="I29" s="11">
        <f t="array" ref="I29">SUM(IF('SJCPIL-R 16-318-03 - N'!$B$3:$AK$3='Resumo de Falhas'!I$1,'SJCPIL-R 16-318-03 - N'!$B28:$AK28))</f>
        <v>0</v>
      </c>
      <c r="J29" s="11">
        <f t="array" ref="J29">SUM(IF('SJCPIL-R 16-318-03 - N'!$B$3:$AK$3='Resumo de Falhas'!J$1,'SJCPIL-R 16-318-03 - N'!$B28:$AK28))</f>
        <v>0</v>
      </c>
      <c r="K29" s="11">
        <f t="array" ref="K29">SUM(IF('SJCPIL-R 16-318-03 - N'!$B$3:$AK$3='Resumo de Falhas'!K$1,'SJCPIL-R 16-318-03 - N'!$B28:$AK28))</f>
        <v>0</v>
      </c>
      <c r="L29" s="11">
        <f t="array" ref="L29">SUM(IF('SJCPIL-R 16-318-03 - N'!$B$3:$AK$3='Resumo de Falhas'!L$1,'SJCPIL-R 16-318-03 - N'!$B28:$AK28))</f>
        <v>0</v>
      </c>
      <c r="M29" s="16">
        <f t="shared" si="2"/>
        <v>0</v>
      </c>
      <c r="N29" s="17" t="e">
        <f>M29/M$16*1000000</f>
        <v>#DIV/0!</v>
      </c>
      <c r="O29" s="20">
        <f>M29+M15</f>
        <v>0</v>
      </c>
      <c r="P29" s="55"/>
    </row>
    <row r="30" spans="1:16">
      <c r="A30" s="242" t="s">
        <v>15</v>
      </c>
      <c r="B30" s="243"/>
      <c r="C30" s="86">
        <f t="shared" ref="C30:L30" si="7">C2+C16</f>
        <v>0</v>
      </c>
      <c r="D30" s="86">
        <f t="shared" si="7"/>
        <v>0</v>
      </c>
      <c r="E30" s="86">
        <f t="shared" si="7"/>
        <v>0</v>
      </c>
      <c r="F30" s="86">
        <f t="shared" si="7"/>
        <v>0</v>
      </c>
      <c r="G30" s="86">
        <f t="shared" si="7"/>
        <v>0</v>
      </c>
      <c r="H30" s="86">
        <f t="shared" si="7"/>
        <v>0</v>
      </c>
      <c r="I30" s="86">
        <f t="shared" si="7"/>
        <v>0</v>
      </c>
      <c r="J30" s="86">
        <f t="shared" si="7"/>
        <v>0</v>
      </c>
      <c r="K30" s="86">
        <f t="shared" si="7"/>
        <v>0</v>
      </c>
      <c r="L30" s="87">
        <f t="shared" si="7"/>
        <v>0</v>
      </c>
      <c r="M30" s="88">
        <f t="shared" si="2"/>
        <v>0</v>
      </c>
      <c r="N30" s="97"/>
      <c r="O30" s="95"/>
    </row>
    <row r="31" spans="1:16" ht="13.5" thickBot="1">
      <c r="A31" s="244" t="s">
        <v>16</v>
      </c>
      <c r="B31" s="245"/>
      <c r="C31" s="89">
        <f t="shared" ref="C31:L31" si="8">C15+C29</f>
        <v>0</v>
      </c>
      <c r="D31" s="89">
        <f t="shared" si="8"/>
        <v>0</v>
      </c>
      <c r="E31" s="89">
        <f t="shared" si="8"/>
        <v>0</v>
      </c>
      <c r="F31" s="89">
        <f t="shared" si="8"/>
        <v>0</v>
      </c>
      <c r="G31" s="89">
        <f t="shared" si="8"/>
        <v>0</v>
      </c>
      <c r="H31" s="89">
        <f t="shared" si="8"/>
        <v>0</v>
      </c>
      <c r="I31" s="89">
        <f t="shared" si="8"/>
        <v>0</v>
      </c>
      <c r="J31" s="90">
        <f t="shared" si="8"/>
        <v>0</v>
      </c>
      <c r="K31" s="89">
        <f t="shared" si="8"/>
        <v>0</v>
      </c>
      <c r="L31" s="91">
        <f t="shared" si="8"/>
        <v>0</v>
      </c>
      <c r="M31" s="92">
        <f t="shared" si="2"/>
        <v>0</v>
      </c>
      <c r="N31" s="98" t="e">
        <f>M31/M30*1000000</f>
        <v>#DIV/0!</v>
      </c>
      <c r="O31" s="96"/>
    </row>
    <row r="32" spans="1:16" ht="13.5" thickBot="1"/>
    <row r="33" spans="1:7">
      <c r="A33" s="246" t="s">
        <v>17</v>
      </c>
      <c r="B33" s="247"/>
      <c r="C33" s="21" t="s">
        <v>20</v>
      </c>
      <c r="D33" s="30" t="s">
        <v>23</v>
      </c>
      <c r="E33" s="53" t="s">
        <v>0</v>
      </c>
      <c r="F33" s="21" t="s">
        <v>14</v>
      </c>
      <c r="G33" s="54" t="s">
        <v>27</v>
      </c>
    </row>
    <row r="34" spans="1:7">
      <c r="A34" s="236" t="s">
        <v>18</v>
      </c>
      <c r="B34" s="237"/>
      <c r="C34" s="22" t="s">
        <v>21</v>
      </c>
      <c r="D34" s="93">
        <f>SUM(C30:L30)</f>
        <v>0</v>
      </c>
      <c r="E34" s="15">
        <f>M2</f>
        <v>0</v>
      </c>
      <c r="F34" s="34">
        <f>SUM('SJCPIL-R 16-318-03 - N'!B4:AK4)</f>
        <v>0</v>
      </c>
      <c r="G34" s="31">
        <f>M2+M16-E34-F34</f>
        <v>0</v>
      </c>
    </row>
    <row r="35" spans="1:7">
      <c r="A35" s="236" t="s">
        <v>19</v>
      </c>
      <c r="B35" s="237"/>
      <c r="C35" s="22" t="s">
        <v>21</v>
      </c>
      <c r="D35" s="93">
        <f>SUM(C31:L31)</f>
        <v>0</v>
      </c>
      <c r="E35" s="34">
        <f>SUM('SJCPIL-R 16-318-03 - D'!B27:AK27)</f>
        <v>0</v>
      </c>
      <c r="F35" s="34">
        <f>SUM('SJCPIL-R 16-318-03 - N'!B27:AK27)</f>
        <v>0</v>
      </c>
      <c r="G35" s="31">
        <f>M15+M29-E35-F35</f>
        <v>0</v>
      </c>
    </row>
    <row r="36" spans="1:7" ht="13.5" thickBot="1">
      <c r="A36" s="234" t="s">
        <v>19</v>
      </c>
      <c r="B36" s="235"/>
      <c r="C36" s="23" t="s">
        <v>25</v>
      </c>
      <c r="D36" s="45" t="str">
        <f>IF(ISERR(D35/D34)," ",D35/D34*1000000)</f>
        <v xml:space="preserve"> </v>
      </c>
      <c r="E36" s="45" t="str">
        <f>IF(ISERR(E35/E34)," ",E35/E34*1000000)</f>
        <v xml:space="preserve"> </v>
      </c>
      <c r="F36" s="45" t="str">
        <f>IF(ISERR(F35/F34)," ",F35/F34*1000000)</f>
        <v xml:space="preserve"> </v>
      </c>
      <c r="G36" s="32"/>
    </row>
    <row r="37" spans="1:7">
      <c r="C37" s="35"/>
      <c r="D37" s="36">
        <f>'SJCPIL-R 16-318-03 - D'!B33</f>
        <v>430</v>
      </c>
    </row>
  </sheetData>
  <sheetProtection algorithmName="SHA-512" hashValue="3biY+ts2nd3mmR1QmVEbOZRobIKP5+zk/rjUAT1GJM/9SKUjWCnIWgwYew3hPVPqUhKB7IosILbcIvzT804piQ==" saltValue="GPvgLVt3/6Xx4lUks2vUmQ==" spinCount="100000" sheet="1" objects="1" scenarios="1" selectLockedCells="1"/>
  <mergeCells count="8">
    <mergeCell ref="A36:B36"/>
    <mergeCell ref="A35:B35"/>
    <mergeCell ref="A34:B34"/>
    <mergeCell ref="A2:A15"/>
    <mergeCell ref="A16:A29"/>
    <mergeCell ref="A30:B30"/>
    <mergeCell ref="A31:B31"/>
    <mergeCell ref="A33:B33"/>
  </mergeCells>
  <phoneticPr fontId="0" type="noConversion"/>
  <conditionalFormatting sqref="G34">
    <cfRule type="cellIs" dxfId="6" priority="5" stopIfTrue="1" operator="notEqual">
      <formula>0</formula>
    </cfRule>
  </conditionalFormatting>
  <conditionalFormatting sqref="G35">
    <cfRule type="cellIs" dxfId="5" priority="6" stopIfTrue="1" operator="notEqual">
      <formula>0</formula>
    </cfRule>
  </conditionalFormatting>
  <conditionalFormatting sqref="D36">
    <cfRule type="cellIs" dxfId="4" priority="7" stopIfTrue="1" operator="greaterThanOrEqual">
      <formula>$D$37</formula>
    </cfRule>
  </conditionalFormatting>
  <conditionalFormatting sqref="E36">
    <cfRule type="cellIs" dxfId="3" priority="4" stopIfTrue="1" operator="greaterThanOrEqual">
      <formula>$D$37</formula>
    </cfRule>
  </conditionalFormatting>
  <conditionalFormatting sqref="F36">
    <cfRule type="cellIs" dxfId="2" priority="3" stopIfTrue="1" operator="greaterThanOrEqual">
      <formula>$D$37</formula>
    </cfRule>
  </conditionalFormatting>
  <conditionalFormatting sqref="B2:N29">
    <cfRule type="expression" dxfId="1" priority="2">
      <formula>MOD(ROW(),2)=0</formula>
    </cfRule>
  </conditionalFormatting>
  <conditionalFormatting sqref="O16:O29">
    <cfRule type="expression" dxfId="0" priority="1">
      <formula>MOD(ROW(),2)=0</formula>
    </cfRule>
  </conditionalFormatting>
  <pageMargins left="0.78740157480314965" right="0.78740157480314965" top="1.1417322834645669" bottom="0.98425196850393704" header="0.51181102362204722" footer="0.51181102362204722"/>
  <pageSetup paperSize="9" scale="84" orientation="landscape" r:id="rId1"/>
  <headerFooter alignWithMargins="0">
    <oddHeader>&amp;L&amp;"SwitzerlandBlack,Negrito"&amp;16Panasonic
&amp;"Arial,Negrito"&amp;9PILHAS / BATERIAS&amp;C&amp;"Arial,Negrito"&amp;14RESUMO DE FALHAS UM-3</oddHeader>
    <oddFooter>&amp;L&amp;A&amp;R&amp;F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>
    <pageSetUpPr fitToPage="1"/>
  </sheetPr>
  <dimension ref="A1:O46"/>
  <sheetViews>
    <sheetView tabSelected="1" zoomScaleNormal="100" workbookViewId="0">
      <selection sqref="A1:B1"/>
    </sheetView>
  </sheetViews>
  <sheetFormatPr defaultRowHeight="12.75"/>
  <cols>
    <col min="1" max="1" width="6.28515625" style="112" bestFit="1" customWidth="1"/>
    <col min="2" max="2" width="31" style="112" bestFit="1" customWidth="1"/>
    <col min="3" max="6" width="10.140625" style="112" bestFit="1" customWidth="1"/>
    <col min="7" max="7" width="9.28515625" style="112" bestFit="1" customWidth="1"/>
    <col min="8" max="8" width="10.140625" style="112" bestFit="1" customWidth="1"/>
    <col min="9" max="10" width="10.140625" style="112" customWidth="1"/>
    <col min="11" max="11" width="11.7109375" style="112" bestFit="1" customWidth="1"/>
    <col min="12" max="12" width="9.28515625" style="112" bestFit="1" customWidth="1"/>
    <col min="13" max="13" width="10.42578125" style="112" bestFit="1" customWidth="1"/>
    <col min="14" max="16384" width="9.140625" style="112"/>
  </cols>
  <sheetData>
    <row r="1" spans="1:12" ht="13.5" thickBot="1">
      <c r="A1" s="248" t="s">
        <v>85</v>
      </c>
      <c r="B1" s="249"/>
      <c r="C1" s="250" t="s">
        <v>84</v>
      </c>
      <c r="D1" s="250"/>
      <c r="E1" s="250"/>
      <c r="F1" s="251" t="s">
        <v>83</v>
      </c>
      <c r="G1" s="251"/>
      <c r="H1" s="252"/>
      <c r="I1" s="253" t="s">
        <v>24</v>
      </c>
      <c r="J1" s="254"/>
      <c r="K1" s="254"/>
      <c r="L1" s="255"/>
    </row>
    <row r="2" spans="1:12" ht="13.5" thickBot="1">
      <c r="A2" s="193" t="s">
        <v>11</v>
      </c>
      <c r="B2" s="192" t="s">
        <v>8</v>
      </c>
      <c r="C2" s="192" t="s">
        <v>82</v>
      </c>
      <c r="D2" s="192" t="s">
        <v>80</v>
      </c>
      <c r="E2" s="192" t="s">
        <v>24</v>
      </c>
      <c r="F2" s="192" t="s">
        <v>82</v>
      </c>
      <c r="G2" s="192" t="s">
        <v>80</v>
      </c>
      <c r="H2" s="191" t="s">
        <v>24</v>
      </c>
      <c r="I2" s="190" t="s">
        <v>81</v>
      </c>
      <c r="J2" s="189" t="s">
        <v>80</v>
      </c>
      <c r="K2" s="188" t="s">
        <v>24</v>
      </c>
      <c r="L2" s="187" t="s">
        <v>25</v>
      </c>
    </row>
    <row r="3" spans="1:12" ht="13.5" thickBot="1">
      <c r="A3" s="258" t="s">
        <v>0</v>
      </c>
      <c r="B3" s="186" t="s">
        <v>12</v>
      </c>
      <c r="C3" s="174">
        <f>'Resumo de Falhas'!$C$2</f>
        <v>0</v>
      </c>
      <c r="D3" s="174">
        <f>'[4]Resumo de Falhas'!C2+'[4]Resumo de Falhas'!E2</f>
        <v>0</v>
      </c>
      <c r="E3" s="174">
        <f t="shared" ref="E3:E30" si="0">C3+D3</f>
        <v>0</v>
      </c>
      <c r="F3" s="173">
        <f>'Resumo de Falhas'!$D2+'Resumo de Falhas'!$G2</f>
        <v>0</v>
      </c>
      <c r="G3" s="173">
        <f>'[4]Resumo de Falhas'!D2</f>
        <v>0</v>
      </c>
      <c r="H3" s="172">
        <f t="shared" ref="H3:H30" si="1">F3+G3</f>
        <v>0</v>
      </c>
      <c r="I3" s="171">
        <f t="shared" ref="I3:I31" si="2">C3+F3</f>
        <v>0</v>
      </c>
      <c r="J3" s="170">
        <f t="shared" ref="J3:J31" si="3">D3+G3</f>
        <v>0</v>
      </c>
      <c r="K3" s="169">
        <f t="shared" ref="K3:K31" si="4">E3+H3</f>
        <v>0</v>
      </c>
      <c r="L3" s="168"/>
    </row>
    <row r="4" spans="1:12">
      <c r="A4" s="259"/>
      <c r="B4" s="185" t="s">
        <v>3</v>
      </c>
      <c r="C4" s="157">
        <f>'Resumo de Falhas'!C3</f>
        <v>0</v>
      </c>
      <c r="D4" s="157">
        <f>'[4]Resumo de Falhas'!C3+'[4]Resumo de Falhas'!E3</f>
        <v>0</v>
      </c>
      <c r="E4" s="157">
        <f t="shared" si="0"/>
        <v>0</v>
      </c>
      <c r="F4" s="156">
        <f>'Resumo de Falhas'!$D3+'Resumo de Falhas'!$G3</f>
        <v>0</v>
      </c>
      <c r="G4" s="156">
        <f>'[4]Resumo de Falhas'!D3</f>
        <v>0</v>
      </c>
      <c r="H4" s="155">
        <f t="shared" si="1"/>
        <v>0</v>
      </c>
      <c r="I4" s="154">
        <f t="shared" si="2"/>
        <v>0</v>
      </c>
      <c r="J4" s="153">
        <f t="shared" si="3"/>
        <v>0</v>
      </c>
      <c r="K4" s="165">
        <f t="shared" si="4"/>
        <v>0</v>
      </c>
      <c r="L4" s="164" t="e">
        <f t="shared" ref="L4:L16" si="5">K4/K$3*1000000</f>
        <v>#DIV/0!</v>
      </c>
    </row>
    <row r="5" spans="1:12">
      <c r="A5" s="259"/>
      <c r="B5" s="184" t="s">
        <v>4</v>
      </c>
      <c r="C5" s="157">
        <f>'Resumo de Falhas'!C4</f>
        <v>0</v>
      </c>
      <c r="D5" s="157">
        <f>'[4]Resumo de Falhas'!C4+'[4]Resumo de Falhas'!E4</f>
        <v>0</v>
      </c>
      <c r="E5" s="157">
        <f t="shared" si="0"/>
        <v>0</v>
      </c>
      <c r="F5" s="156">
        <f>'Resumo de Falhas'!$D4+'Resumo de Falhas'!$G4</f>
        <v>0</v>
      </c>
      <c r="G5" s="156">
        <f>'[4]Resumo de Falhas'!D4</f>
        <v>0</v>
      </c>
      <c r="H5" s="155">
        <f t="shared" si="1"/>
        <v>0</v>
      </c>
      <c r="I5" s="154">
        <f t="shared" si="2"/>
        <v>0</v>
      </c>
      <c r="J5" s="153">
        <f t="shared" si="3"/>
        <v>0</v>
      </c>
      <c r="K5" s="125">
        <f t="shared" si="4"/>
        <v>0</v>
      </c>
      <c r="L5" s="152" t="e">
        <f t="shared" si="5"/>
        <v>#DIV/0!</v>
      </c>
    </row>
    <row r="6" spans="1:12">
      <c r="A6" s="259"/>
      <c r="B6" s="161" t="s">
        <v>48</v>
      </c>
      <c r="C6" s="157">
        <f>'Resumo de Falhas'!C5</f>
        <v>0</v>
      </c>
      <c r="D6" s="157">
        <f>'[4]Resumo de Falhas'!C5+'[4]Resumo de Falhas'!E5</f>
        <v>0</v>
      </c>
      <c r="E6" s="157">
        <f t="shared" si="0"/>
        <v>0</v>
      </c>
      <c r="F6" s="156">
        <f>'Resumo de Falhas'!$D5+'Resumo de Falhas'!$G5</f>
        <v>0</v>
      </c>
      <c r="G6" s="156">
        <f>'[4]Resumo de Falhas'!D5</f>
        <v>0</v>
      </c>
      <c r="H6" s="155">
        <f t="shared" si="1"/>
        <v>0</v>
      </c>
      <c r="I6" s="154">
        <f t="shared" si="2"/>
        <v>0</v>
      </c>
      <c r="J6" s="153">
        <f t="shared" si="3"/>
        <v>0</v>
      </c>
      <c r="K6" s="125">
        <f t="shared" si="4"/>
        <v>0</v>
      </c>
      <c r="L6" s="152" t="e">
        <f t="shared" si="5"/>
        <v>#DIV/0!</v>
      </c>
    </row>
    <row r="7" spans="1:12">
      <c r="A7" s="259"/>
      <c r="B7" s="161" t="s">
        <v>49</v>
      </c>
      <c r="C7" s="157">
        <f>'Resumo de Falhas'!C6</f>
        <v>0</v>
      </c>
      <c r="D7" s="157">
        <f>'[4]Resumo de Falhas'!C6+'[4]Resumo de Falhas'!E6</f>
        <v>0</v>
      </c>
      <c r="E7" s="157">
        <f t="shared" si="0"/>
        <v>0</v>
      </c>
      <c r="F7" s="156">
        <f>'Resumo de Falhas'!$D6+'Resumo de Falhas'!$G6</f>
        <v>0</v>
      </c>
      <c r="G7" s="156">
        <f>'[4]Resumo de Falhas'!D6</f>
        <v>0</v>
      </c>
      <c r="H7" s="155">
        <f t="shared" si="1"/>
        <v>0</v>
      </c>
      <c r="I7" s="154">
        <f t="shared" si="2"/>
        <v>0</v>
      </c>
      <c r="J7" s="153">
        <f t="shared" si="3"/>
        <v>0</v>
      </c>
      <c r="K7" s="125">
        <f t="shared" si="4"/>
        <v>0</v>
      </c>
      <c r="L7" s="152" t="e">
        <f t="shared" si="5"/>
        <v>#DIV/0!</v>
      </c>
    </row>
    <row r="8" spans="1:12">
      <c r="A8" s="259"/>
      <c r="B8" s="161" t="s">
        <v>59</v>
      </c>
      <c r="C8" s="157">
        <f>'Resumo de Falhas'!C7</f>
        <v>0</v>
      </c>
      <c r="D8" s="157">
        <f>'[4]Resumo de Falhas'!C7+'[4]Resumo de Falhas'!E7</f>
        <v>0</v>
      </c>
      <c r="E8" s="157">
        <f t="shared" si="0"/>
        <v>0</v>
      </c>
      <c r="F8" s="156">
        <f>'Resumo de Falhas'!$D7+'Resumo de Falhas'!$G7</f>
        <v>0</v>
      </c>
      <c r="G8" s="156">
        <f>'[4]Resumo de Falhas'!D7</f>
        <v>0</v>
      </c>
      <c r="H8" s="155">
        <f t="shared" si="1"/>
        <v>0</v>
      </c>
      <c r="I8" s="154">
        <f t="shared" si="2"/>
        <v>0</v>
      </c>
      <c r="J8" s="153">
        <f t="shared" si="3"/>
        <v>0</v>
      </c>
      <c r="K8" s="125">
        <f t="shared" si="4"/>
        <v>0</v>
      </c>
      <c r="L8" s="152" t="e">
        <f t="shared" si="5"/>
        <v>#DIV/0!</v>
      </c>
    </row>
    <row r="9" spans="1:12">
      <c r="A9" s="259"/>
      <c r="B9" s="161" t="s">
        <v>60</v>
      </c>
      <c r="C9" s="157">
        <f>'Resumo de Falhas'!C8</f>
        <v>0</v>
      </c>
      <c r="D9" s="157">
        <f>'[4]Resumo de Falhas'!C8+'[4]Resumo de Falhas'!E8</f>
        <v>0</v>
      </c>
      <c r="E9" s="157">
        <f t="shared" si="0"/>
        <v>0</v>
      </c>
      <c r="F9" s="156">
        <f>'Resumo de Falhas'!$D8+'Resumo de Falhas'!$G8</f>
        <v>0</v>
      </c>
      <c r="G9" s="156">
        <f>'[4]Resumo de Falhas'!D8</f>
        <v>0</v>
      </c>
      <c r="H9" s="155">
        <f t="shared" si="1"/>
        <v>0</v>
      </c>
      <c r="I9" s="154">
        <f t="shared" si="2"/>
        <v>0</v>
      </c>
      <c r="J9" s="153">
        <f t="shared" si="3"/>
        <v>0</v>
      </c>
      <c r="K9" s="125">
        <f t="shared" si="4"/>
        <v>0</v>
      </c>
      <c r="L9" s="152" t="e">
        <f t="shared" si="5"/>
        <v>#DIV/0!</v>
      </c>
    </row>
    <row r="10" spans="1:12">
      <c r="A10" s="259"/>
      <c r="B10" s="161" t="s">
        <v>50</v>
      </c>
      <c r="C10" s="157">
        <f>'Resumo de Falhas'!C9</f>
        <v>0</v>
      </c>
      <c r="D10" s="157">
        <f>'[4]Resumo de Falhas'!C9+'[4]Resumo de Falhas'!E9</f>
        <v>0</v>
      </c>
      <c r="E10" s="157">
        <f t="shared" si="0"/>
        <v>0</v>
      </c>
      <c r="F10" s="156">
        <f>'Resumo de Falhas'!$D9+'Resumo de Falhas'!$G9</f>
        <v>0</v>
      </c>
      <c r="G10" s="156">
        <f>'[4]Resumo de Falhas'!D9</f>
        <v>0</v>
      </c>
      <c r="H10" s="155">
        <f t="shared" si="1"/>
        <v>0</v>
      </c>
      <c r="I10" s="154">
        <f t="shared" si="2"/>
        <v>0</v>
      </c>
      <c r="J10" s="153">
        <f t="shared" si="3"/>
        <v>0</v>
      </c>
      <c r="K10" s="125">
        <f t="shared" si="4"/>
        <v>0</v>
      </c>
      <c r="L10" s="152" t="e">
        <f t="shared" si="5"/>
        <v>#DIV/0!</v>
      </c>
    </row>
    <row r="11" spans="1:12">
      <c r="A11" s="259"/>
      <c r="B11" s="162" t="s">
        <v>51</v>
      </c>
      <c r="C11" s="157">
        <f>'Resumo de Falhas'!C10</f>
        <v>0</v>
      </c>
      <c r="D11" s="157">
        <f>'[4]Resumo de Falhas'!C10+'[4]Resumo de Falhas'!E10</f>
        <v>0</v>
      </c>
      <c r="E11" s="157">
        <f t="shared" si="0"/>
        <v>0</v>
      </c>
      <c r="F11" s="156">
        <f>'Resumo de Falhas'!$D10+'Resumo de Falhas'!$G10</f>
        <v>0</v>
      </c>
      <c r="G11" s="156">
        <f>'[4]Resumo de Falhas'!D10</f>
        <v>0</v>
      </c>
      <c r="H11" s="155">
        <f t="shared" si="1"/>
        <v>0</v>
      </c>
      <c r="I11" s="154">
        <f t="shared" si="2"/>
        <v>0</v>
      </c>
      <c r="J11" s="153">
        <f t="shared" si="3"/>
        <v>0</v>
      </c>
      <c r="K11" s="125">
        <f t="shared" si="4"/>
        <v>0</v>
      </c>
      <c r="L11" s="152" t="e">
        <f t="shared" si="5"/>
        <v>#DIV/0!</v>
      </c>
    </row>
    <row r="12" spans="1:12">
      <c r="A12" s="259"/>
      <c r="B12" s="161" t="s">
        <v>52</v>
      </c>
      <c r="C12" s="157">
        <f>'Resumo de Falhas'!C11</f>
        <v>0</v>
      </c>
      <c r="D12" s="157">
        <f>'[4]Resumo de Falhas'!C11+'[4]Resumo de Falhas'!E11</f>
        <v>0</v>
      </c>
      <c r="E12" s="157">
        <f t="shared" si="0"/>
        <v>0</v>
      </c>
      <c r="F12" s="156">
        <f>'Resumo de Falhas'!$D11+'Resumo de Falhas'!$G11</f>
        <v>0</v>
      </c>
      <c r="G12" s="156">
        <f>'[4]Resumo de Falhas'!D11</f>
        <v>0</v>
      </c>
      <c r="H12" s="155">
        <f t="shared" si="1"/>
        <v>0</v>
      </c>
      <c r="I12" s="154">
        <f t="shared" si="2"/>
        <v>0</v>
      </c>
      <c r="J12" s="153">
        <f t="shared" si="3"/>
        <v>0</v>
      </c>
      <c r="K12" s="125">
        <f t="shared" si="4"/>
        <v>0</v>
      </c>
      <c r="L12" s="152" t="e">
        <f t="shared" si="5"/>
        <v>#DIV/0!</v>
      </c>
    </row>
    <row r="13" spans="1:12">
      <c r="A13" s="259"/>
      <c r="B13" s="161" t="s">
        <v>67</v>
      </c>
      <c r="C13" s="157">
        <f>'Resumo de Falhas'!C12</f>
        <v>0</v>
      </c>
      <c r="D13" s="157">
        <f>'[4]Resumo de Falhas'!C12+'[4]Resumo de Falhas'!E12</f>
        <v>0</v>
      </c>
      <c r="E13" s="157">
        <f t="shared" si="0"/>
        <v>0</v>
      </c>
      <c r="F13" s="156">
        <f>'Resumo de Falhas'!$D12+'Resumo de Falhas'!$G12</f>
        <v>0</v>
      </c>
      <c r="G13" s="156">
        <f>'[4]Resumo de Falhas'!D12</f>
        <v>0</v>
      </c>
      <c r="H13" s="155">
        <f t="shared" si="1"/>
        <v>0</v>
      </c>
      <c r="I13" s="154">
        <f t="shared" si="2"/>
        <v>0</v>
      </c>
      <c r="J13" s="153">
        <f t="shared" si="3"/>
        <v>0</v>
      </c>
      <c r="K13" s="125">
        <f t="shared" si="4"/>
        <v>0</v>
      </c>
      <c r="L13" s="152" t="e">
        <f t="shared" si="5"/>
        <v>#DIV/0!</v>
      </c>
    </row>
    <row r="14" spans="1:12">
      <c r="A14" s="259"/>
      <c r="B14" s="184" t="s">
        <v>5</v>
      </c>
      <c r="C14" s="157">
        <f>'Resumo de Falhas'!C13</f>
        <v>0</v>
      </c>
      <c r="D14" s="157">
        <f>'[4]Resumo de Falhas'!C13+'[4]Resumo de Falhas'!E13</f>
        <v>0</v>
      </c>
      <c r="E14" s="157">
        <f t="shared" si="0"/>
        <v>0</v>
      </c>
      <c r="F14" s="156">
        <f>'Resumo de Falhas'!$D13+'Resumo de Falhas'!$G13</f>
        <v>0</v>
      </c>
      <c r="G14" s="156">
        <f>'[4]Resumo de Falhas'!D13</f>
        <v>0</v>
      </c>
      <c r="H14" s="155">
        <f t="shared" si="1"/>
        <v>0</v>
      </c>
      <c r="I14" s="154">
        <f t="shared" si="2"/>
        <v>0</v>
      </c>
      <c r="J14" s="153">
        <f t="shared" si="3"/>
        <v>0</v>
      </c>
      <c r="K14" s="125">
        <f t="shared" si="4"/>
        <v>0</v>
      </c>
      <c r="L14" s="152" t="e">
        <f t="shared" si="5"/>
        <v>#DIV/0!</v>
      </c>
    </row>
    <row r="15" spans="1:12">
      <c r="A15" s="260"/>
      <c r="B15" s="158" t="s">
        <v>6</v>
      </c>
      <c r="C15" s="157">
        <f>'Resumo de Falhas'!C14</f>
        <v>0</v>
      </c>
      <c r="D15" s="157">
        <f>'[4]Resumo de Falhas'!C14+'[4]Resumo de Falhas'!E14</f>
        <v>0</v>
      </c>
      <c r="E15" s="157">
        <f t="shared" si="0"/>
        <v>0</v>
      </c>
      <c r="F15" s="156">
        <f>'Resumo de Falhas'!$D14+'Resumo de Falhas'!$G14</f>
        <v>0</v>
      </c>
      <c r="G15" s="156">
        <f>'[4]Resumo de Falhas'!D14</f>
        <v>0</v>
      </c>
      <c r="H15" s="155">
        <f t="shared" si="1"/>
        <v>0</v>
      </c>
      <c r="I15" s="154">
        <f t="shared" si="2"/>
        <v>0</v>
      </c>
      <c r="J15" s="153">
        <f t="shared" si="3"/>
        <v>0</v>
      </c>
      <c r="K15" s="125">
        <f t="shared" si="4"/>
        <v>0</v>
      </c>
      <c r="L15" s="152" t="e">
        <f t="shared" si="5"/>
        <v>#DIV/0!</v>
      </c>
    </row>
    <row r="16" spans="1:12" ht="13.5" thickBot="1">
      <c r="A16" s="261"/>
      <c r="B16" s="183" t="s">
        <v>13</v>
      </c>
      <c r="C16" s="149">
        <f>'Resumo de Falhas'!C15</f>
        <v>0</v>
      </c>
      <c r="D16" s="149">
        <f>'[4]Resumo de Falhas'!C15+'[4]Resumo de Falhas'!E15</f>
        <v>0</v>
      </c>
      <c r="E16" s="182">
        <f t="shared" si="0"/>
        <v>0</v>
      </c>
      <c r="F16" s="148">
        <f>'Resumo de Falhas'!$D15+'Resumo de Falhas'!$G15</f>
        <v>0</v>
      </c>
      <c r="G16" s="181">
        <f>'[4]Resumo de Falhas'!D15</f>
        <v>0</v>
      </c>
      <c r="H16" s="180">
        <f t="shared" si="1"/>
        <v>0</v>
      </c>
      <c r="I16" s="179">
        <f t="shared" si="2"/>
        <v>0</v>
      </c>
      <c r="J16" s="178">
        <f t="shared" si="3"/>
        <v>0</v>
      </c>
      <c r="K16" s="177">
        <f t="shared" si="4"/>
        <v>0</v>
      </c>
      <c r="L16" s="176" t="e">
        <f t="shared" si="5"/>
        <v>#DIV/0!</v>
      </c>
    </row>
    <row r="17" spans="1:13" ht="13.5" thickBot="1">
      <c r="A17" s="258" t="s">
        <v>14</v>
      </c>
      <c r="B17" s="175" t="s">
        <v>12</v>
      </c>
      <c r="C17" s="174">
        <f>'Resumo de Falhas'!C16</f>
        <v>0</v>
      </c>
      <c r="D17" s="174">
        <f>'[4]Resumo de Falhas'!C16+'[4]Resumo de Falhas'!E16</f>
        <v>0</v>
      </c>
      <c r="E17" s="174">
        <f t="shared" si="0"/>
        <v>0</v>
      </c>
      <c r="F17" s="173">
        <f>'Resumo de Falhas'!$D16+'Resumo de Falhas'!$G16</f>
        <v>0</v>
      </c>
      <c r="G17" s="173">
        <f>'[4]Resumo de Falhas'!D16</f>
        <v>0</v>
      </c>
      <c r="H17" s="172">
        <f t="shared" si="1"/>
        <v>0</v>
      </c>
      <c r="I17" s="171">
        <f t="shared" si="2"/>
        <v>0</v>
      </c>
      <c r="J17" s="170">
        <f t="shared" si="3"/>
        <v>0</v>
      </c>
      <c r="K17" s="169">
        <f t="shared" si="4"/>
        <v>0</v>
      </c>
      <c r="L17" s="168"/>
      <c r="M17" s="167" t="s">
        <v>68</v>
      </c>
    </row>
    <row r="18" spans="1:13">
      <c r="A18" s="259"/>
      <c r="B18" s="166" t="s">
        <v>3</v>
      </c>
      <c r="C18" s="157">
        <f>'Resumo de Falhas'!C17</f>
        <v>0</v>
      </c>
      <c r="D18" s="157">
        <f>'[4]Resumo de Falhas'!C17+'[4]Resumo de Falhas'!E17</f>
        <v>0</v>
      </c>
      <c r="E18" s="157">
        <f t="shared" si="0"/>
        <v>0</v>
      </c>
      <c r="F18" s="156">
        <f>'Resumo de Falhas'!$D17+'Resumo de Falhas'!$G17</f>
        <v>0</v>
      </c>
      <c r="G18" s="156">
        <f>'[4]Resumo de Falhas'!D17</f>
        <v>0</v>
      </c>
      <c r="H18" s="155">
        <f t="shared" si="1"/>
        <v>0</v>
      </c>
      <c r="I18" s="154">
        <f t="shared" si="2"/>
        <v>0</v>
      </c>
      <c r="J18" s="153">
        <f t="shared" si="3"/>
        <v>0</v>
      </c>
      <c r="K18" s="165">
        <f t="shared" si="4"/>
        <v>0</v>
      </c>
      <c r="L18" s="164" t="e">
        <f t="shared" ref="L18:L30" si="6">K18/K$17*1000000</f>
        <v>#DIV/0!</v>
      </c>
      <c r="M18" s="163">
        <f t="shared" ref="M18:M30" si="7">K18+K4</f>
        <v>0</v>
      </c>
    </row>
    <row r="19" spans="1:13">
      <c r="A19" s="259"/>
      <c r="B19" s="159" t="s">
        <v>4</v>
      </c>
      <c r="C19" s="157">
        <f>'Resumo de Falhas'!C18</f>
        <v>0</v>
      </c>
      <c r="D19" s="157">
        <f>'[4]Resumo de Falhas'!C18+'[4]Resumo de Falhas'!E18</f>
        <v>0</v>
      </c>
      <c r="E19" s="157">
        <f t="shared" si="0"/>
        <v>0</v>
      </c>
      <c r="F19" s="156">
        <f>'Resumo de Falhas'!$D18+'Resumo de Falhas'!$G18</f>
        <v>0</v>
      </c>
      <c r="G19" s="156">
        <f>'[4]Resumo de Falhas'!D18</f>
        <v>0</v>
      </c>
      <c r="H19" s="155">
        <f t="shared" si="1"/>
        <v>0</v>
      </c>
      <c r="I19" s="154">
        <f t="shared" si="2"/>
        <v>0</v>
      </c>
      <c r="J19" s="153">
        <f t="shared" si="3"/>
        <v>0</v>
      </c>
      <c r="K19" s="125">
        <f t="shared" si="4"/>
        <v>0</v>
      </c>
      <c r="L19" s="152" t="e">
        <f t="shared" si="6"/>
        <v>#DIV/0!</v>
      </c>
      <c r="M19" s="151">
        <f t="shared" si="7"/>
        <v>0</v>
      </c>
    </row>
    <row r="20" spans="1:13">
      <c r="A20" s="259"/>
      <c r="B20" s="161" t="s">
        <v>48</v>
      </c>
      <c r="C20" s="157">
        <f>'Resumo de Falhas'!C19</f>
        <v>0</v>
      </c>
      <c r="D20" s="157">
        <f>'[4]Resumo de Falhas'!C19+'[4]Resumo de Falhas'!E19</f>
        <v>0</v>
      </c>
      <c r="E20" s="157">
        <f t="shared" si="0"/>
        <v>0</v>
      </c>
      <c r="F20" s="156">
        <f>'Resumo de Falhas'!$D19+'Resumo de Falhas'!$G19</f>
        <v>0</v>
      </c>
      <c r="G20" s="156">
        <f>'[4]Resumo de Falhas'!D19</f>
        <v>0</v>
      </c>
      <c r="H20" s="155">
        <f t="shared" si="1"/>
        <v>0</v>
      </c>
      <c r="I20" s="154">
        <f t="shared" si="2"/>
        <v>0</v>
      </c>
      <c r="J20" s="153">
        <f t="shared" si="3"/>
        <v>0</v>
      </c>
      <c r="K20" s="125">
        <f t="shared" si="4"/>
        <v>0</v>
      </c>
      <c r="L20" s="152" t="e">
        <f t="shared" si="6"/>
        <v>#DIV/0!</v>
      </c>
      <c r="M20" s="151">
        <f t="shared" si="7"/>
        <v>0</v>
      </c>
    </row>
    <row r="21" spans="1:13">
      <c r="A21" s="259"/>
      <c r="B21" s="161" t="s">
        <v>49</v>
      </c>
      <c r="C21" s="157">
        <f>'Resumo de Falhas'!C20</f>
        <v>0</v>
      </c>
      <c r="D21" s="157">
        <f>'[4]Resumo de Falhas'!C20+'[4]Resumo de Falhas'!E20</f>
        <v>0</v>
      </c>
      <c r="E21" s="157">
        <f t="shared" si="0"/>
        <v>0</v>
      </c>
      <c r="F21" s="156">
        <f>'Resumo de Falhas'!$D20+'Resumo de Falhas'!$G20</f>
        <v>0</v>
      </c>
      <c r="G21" s="156">
        <f>'[4]Resumo de Falhas'!D20</f>
        <v>0</v>
      </c>
      <c r="H21" s="155">
        <f t="shared" si="1"/>
        <v>0</v>
      </c>
      <c r="I21" s="154">
        <f t="shared" si="2"/>
        <v>0</v>
      </c>
      <c r="J21" s="153">
        <f t="shared" si="3"/>
        <v>0</v>
      </c>
      <c r="K21" s="125">
        <f t="shared" si="4"/>
        <v>0</v>
      </c>
      <c r="L21" s="152" t="e">
        <f t="shared" si="6"/>
        <v>#DIV/0!</v>
      </c>
      <c r="M21" s="151">
        <f t="shared" si="7"/>
        <v>0</v>
      </c>
    </row>
    <row r="22" spans="1:13">
      <c r="A22" s="259"/>
      <c r="B22" s="161" t="s">
        <v>59</v>
      </c>
      <c r="C22" s="157">
        <f>'Resumo de Falhas'!C21</f>
        <v>0</v>
      </c>
      <c r="D22" s="157">
        <f>'[4]Resumo de Falhas'!C21+'[4]Resumo de Falhas'!E21</f>
        <v>0</v>
      </c>
      <c r="E22" s="157">
        <f t="shared" si="0"/>
        <v>0</v>
      </c>
      <c r="F22" s="156">
        <f>'Resumo de Falhas'!$D21+'Resumo de Falhas'!$G21</f>
        <v>0</v>
      </c>
      <c r="G22" s="156">
        <f>'[4]Resumo de Falhas'!D21</f>
        <v>0</v>
      </c>
      <c r="H22" s="155">
        <f t="shared" si="1"/>
        <v>0</v>
      </c>
      <c r="I22" s="154">
        <f t="shared" si="2"/>
        <v>0</v>
      </c>
      <c r="J22" s="153">
        <f t="shared" si="3"/>
        <v>0</v>
      </c>
      <c r="K22" s="125">
        <f t="shared" si="4"/>
        <v>0</v>
      </c>
      <c r="L22" s="152" t="e">
        <f t="shared" si="6"/>
        <v>#DIV/0!</v>
      </c>
      <c r="M22" s="151">
        <f t="shared" si="7"/>
        <v>0</v>
      </c>
    </row>
    <row r="23" spans="1:13">
      <c r="A23" s="259"/>
      <c r="B23" s="161" t="s">
        <v>60</v>
      </c>
      <c r="C23" s="157">
        <f>'Resumo de Falhas'!C22</f>
        <v>0</v>
      </c>
      <c r="D23" s="157">
        <f>'[4]Resumo de Falhas'!C22+'[4]Resumo de Falhas'!E22</f>
        <v>0</v>
      </c>
      <c r="E23" s="157">
        <f t="shared" si="0"/>
        <v>0</v>
      </c>
      <c r="F23" s="156">
        <f>'Resumo de Falhas'!$D22+'Resumo de Falhas'!$G22</f>
        <v>0</v>
      </c>
      <c r="G23" s="156">
        <f>'[4]Resumo de Falhas'!D22</f>
        <v>0</v>
      </c>
      <c r="H23" s="155">
        <f t="shared" si="1"/>
        <v>0</v>
      </c>
      <c r="I23" s="154">
        <f t="shared" si="2"/>
        <v>0</v>
      </c>
      <c r="J23" s="153">
        <f t="shared" si="3"/>
        <v>0</v>
      </c>
      <c r="K23" s="125">
        <f t="shared" si="4"/>
        <v>0</v>
      </c>
      <c r="L23" s="152" t="e">
        <f t="shared" si="6"/>
        <v>#DIV/0!</v>
      </c>
      <c r="M23" s="151">
        <f t="shared" si="7"/>
        <v>0</v>
      </c>
    </row>
    <row r="24" spans="1:13">
      <c r="A24" s="259"/>
      <c r="B24" s="161" t="s">
        <v>50</v>
      </c>
      <c r="C24" s="157">
        <f>'Resumo de Falhas'!C23</f>
        <v>0</v>
      </c>
      <c r="D24" s="157">
        <f>'[4]Resumo de Falhas'!C23+'[4]Resumo de Falhas'!E23</f>
        <v>0</v>
      </c>
      <c r="E24" s="157">
        <f t="shared" si="0"/>
        <v>0</v>
      </c>
      <c r="F24" s="156">
        <f>'Resumo de Falhas'!$D23+'Resumo de Falhas'!$G23</f>
        <v>0</v>
      </c>
      <c r="G24" s="156">
        <f>'[4]Resumo de Falhas'!D23</f>
        <v>0</v>
      </c>
      <c r="H24" s="155">
        <f t="shared" si="1"/>
        <v>0</v>
      </c>
      <c r="I24" s="154">
        <f t="shared" si="2"/>
        <v>0</v>
      </c>
      <c r="J24" s="153">
        <f t="shared" si="3"/>
        <v>0</v>
      </c>
      <c r="K24" s="125">
        <f t="shared" si="4"/>
        <v>0</v>
      </c>
      <c r="L24" s="152" t="e">
        <f t="shared" si="6"/>
        <v>#DIV/0!</v>
      </c>
      <c r="M24" s="151">
        <f t="shared" si="7"/>
        <v>0</v>
      </c>
    </row>
    <row r="25" spans="1:13">
      <c r="A25" s="259"/>
      <c r="B25" s="162" t="s">
        <v>51</v>
      </c>
      <c r="C25" s="157">
        <f>'Resumo de Falhas'!C24</f>
        <v>0</v>
      </c>
      <c r="D25" s="157">
        <f>'[4]Resumo de Falhas'!C24+'[4]Resumo de Falhas'!E24</f>
        <v>0</v>
      </c>
      <c r="E25" s="157">
        <f t="shared" si="0"/>
        <v>0</v>
      </c>
      <c r="F25" s="156">
        <f>'Resumo de Falhas'!$D24+'Resumo de Falhas'!$G24</f>
        <v>0</v>
      </c>
      <c r="G25" s="156">
        <f>'[4]Resumo de Falhas'!D24</f>
        <v>0</v>
      </c>
      <c r="H25" s="155">
        <f t="shared" si="1"/>
        <v>0</v>
      </c>
      <c r="I25" s="154">
        <f t="shared" si="2"/>
        <v>0</v>
      </c>
      <c r="J25" s="153">
        <f t="shared" si="3"/>
        <v>0</v>
      </c>
      <c r="K25" s="125">
        <f t="shared" si="4"/>
        <v>0</v>
      </c>
      <c r="L25" s="152" t="e">
        <f t="shared" si="6"/>
        <v>#DIV/0!</v>
      </c>
      <c r="M25" s="151">
        <f t="shared" si="7"/>
        <v>0</v>
      </c>
    </row>
    <row r="26" spans="1:13">
      <c r="A26" s="259"/>
      <c r="B26" s="161" t="s">
        <v>52</v>
      </c>
      <c r="C26" s="157">
        <f>'Resumo de Falhas'!C25</f>
        <v>0</v>
      </c>
      <c r="D26" s="157">
        <f>'[4]Resumo de Falhas'!C25+'[4]Resumo de Falhas'!E25</f>
        <v>0</v>
      </c>
      <c r="E26" s="157">
        <f t="shared" si="0"/>
        <v>0</v>
      </c>
      <c r="F26" s="156">
        <f>'Resumo de Falhas'!$D25+'Resumo de Falhas'!$G25</f>
        <v>0</v>
      </c>
      <c r="G26" s="156">
        <f>'[4]Resumo de Falhas'!D25</f>
        <v>0</v>
      </c>
      <c r="H26" s="155">
        <f t="shared" si="1"/>
        <v>0</v>
      </c>
      <c r="I26" s="154">
        <f t="shared" si="2"/>
        <v>0</v>
      </c>
      <c r="J26" s="153">
        <f t="shared" si="3"/>
        <v>0</v>
      </c>
      <c r="K26" s="125">
        <f t="shared" si="4"/>
        <v>0</v>
      </c>
      <c r="L26" s="152" t="e">
        <f t="shared" si="6"/>
        <v>#DIV/0!</v>
      </c>
      <c r="M26" s="151">
        <f t="shared" si="7"/>
        <v>0</v>
      </c>
    </row>
    <row r="27" spans="1:13">
      <c r="A27" s="259"/>
      <c r="B27" s="160" t="s">
        <v>67</v>
      </c>
      <c r="C27" s="157">
        <f>'Resumo de Falhas'!C26</f>
        <v>0</v>
      </c>
      <c r="D27" s="157">
        <f>'[4]Resumo de Falhas'!C26+'[4]Resumo de Falhas'!E26</f>
        <v>0</v>
      </c>
      <c r="E27" s="157">
        <f t="shared" si="0"/>
        <v>0</v>
      </c>
      <c r="F27" s="156">
        <f>'Resumo de Falhas'!$D26+'Resumo de Falhas'!$G26</f>
        <v>0</v>
      </c>
      <c r="G27" s="156">
        <f>'[4]Resumo de Falhas'!D26</f>
        <v>0</v>
      </c>
      <c r="H27" s="155">
        <f t="shared" si="1"/>
        <v>0</v>
      </c>
      <c r="I27" s="154">
        <f t="shared" si="2"/>
        <v>0</v>
      </c>
      <c r="J27" s="153">
        <f t="shared" si="3"/>
        <v>0</v>
      </c>
      <c r="K27" s="125">
        <f t="shared" si="4"/>
        <v>0</v>
      </c>
      <c r="L27" s="152" t="e">
        <f t="shared" si="6"/>
        <v>#DIV/0!</v>
      </c>
      <c r="M27" s="151">
        <f t="shared" si="7"/>
        <v>0</v>
      </c>
    </row>
    <row r="28" spans="1:13">
      <c r="A28" s="259"/>
      <c r="B28" s="159" t="s">
        <v>5</v>
      </c>
      <c r="C28" s="157">
        <f>'Resumo de Falhas'!C27</f>
        <v>0</v>
      </c>
      <c r="D28" s="157">
        <f>'[4]Resumo de Falhas'!C27+'[4]Resumo de Falhas'!E27</f>
        <v>0</v>
      </c>
      <c r="E28" s="157">
        <f t="shared" si="0"/>
        <v>0</v>
      </c>
      <c r="F28" s="156">
        <f>'Resumo de Falhas'!$D27+'Resumo de Falhas'!$G27</f>
        <v>0</v>
      </c>
      <c r="G28" s="156">
        <f>'[4]Resumo de Falhas'!D27</f>
        <v>0</v>
      </c>
      <c r="H28" s="155">
        <f t="shared" si="1"/>
        <v>0</v>
      </c>
      <c r="I28" s="154">
        <f t="shared" si="2"/>
        <v>0</v>
      </c>
      <c r="J28" s="153">
        <f t="shared" si="3"/>
        <v>0</v>
      </c>
      <c r="K28" s="125">
        <f t="shared" si="4"/>
        <v>0</v>
      </c>
      <c r="L28" s="152" t="e">
        <f t="shared" si="6"/>
        <v>#DIV/0!</v>
      </c>
      <c r="M28" s="151">
        <f t="shared" si="7"/>
        <v>0</v>
      </c>
    </row>
    <row r="29" spans="1:13">
      <c r="A29" s="260"/>
      <c r="B29" s="158" t="s">
        <v>6</v>
      </c>
      <c r="C29" s="157">
        <f>'Resumo de Falhas'!C28</f>
        <v>0</v>
      </c>
      <c r="D29" s="157">
        <f>'[4]Resumo de Falhas'!C28+'[4]Resumo de Falhas'!E28</f>
        <v>0</v>
      </c>
      <c r="E29" s="157">
        <f t="shared" si="0"/>
        <v>0</v>
      </c>
      <c r="F29" s="156">
        <f>'Resumo de Falhas'!$D28+'Resumo de Falhas'!$G28</f>
        <v>0</v>
      </c>
      <c r="G29" s="156">
        <f>'[4]Resumo de Falhas'!D28</f>
        <v>0</v>
      </c>
      <c r="H29" s="155">
        <f t="shared" si="1"/>
        <v>0</v>
      </c>
      <c r="I29" s="154">
        <f t="shared" si="2"/>
        <v>0</v>
      </c>
      <c r="J29" s="153">
        <f t="shared" si="3"/>
        <v>0</v>
      </c>
      <c r="K29" s="125">
        <f t="shared" si="4"/>
        <v>0</v>
      </c>
      <c r="L29" s="152" t="e">
        <f t="shared" si="6"/>
        <v>#DIV/0!</v>
      </c>
      <c r="M29" s="151">
        <f t="shared" si="7"/>
        <v>0</v>
      </c>
    </row>
    <row r="30" spans="1:13" ht="13.5" thickBot="1">
      <c r="A30" s="260"/>
      <c r="B30" s="150" t="s">
        <v>13</v>
      </c>
      <c r="C30" s="149">
        <f>'Resumo de Falhas'!C29</f>
        <v>0</v>
      </c>
      <c r="D30" s="149">
        <f>'[4]Resumo de Falhas'!C29+'[4]Resumo de Falhas'!E29</f>
        <v>0</v>
      </c>
      <c r="E30" s="149">
        <f t="shared" si="0"/>
        <v>0</v>
      </c>
      <c r="F30" s="148">
        <f>'Resumo de Falhas'!$D29+'Resumo de Falhas'!$G29</f>
        <v>0</v>
      </c>
      <c r="G30" s="148">
        <f>'[4]Resumo de Falhas'!D29</f>
        <v>0</v>
      </c>
      <c r="H30" s="147">
        <f t="shared" si="1"/>
        <v>0</v>
      </c>
      <c r="I30" s="146">
        <f t="shared" si="2"/>
        <v>0</v>
      </c>
      <c r="J30" s="145">
        <f t="shared" si="3"/>
        <v>0</v>
      </c>
      <c r="K30" s="116">
        <f t="shared" si="4"/>
        <v>0</v>
      </c>
      <c r="L30" s="144" t="e">
        <f t="shared" si="6"/>
        <v>#DIV/0!</v>
      </c>
      <c r="M30" s="143">
        <f t="shared" si="7"/>
        <v>0</v>
      </c>
    </row>
    <row r="31" spans="1:13">
      <c r="A31" s="262" t="s">
        <v>15</v>
      </c>
      <c r="B31" s="263"/>
      <c r="C31" s="142">
        <f t="shared" ref="C31:H31" si="8">C3+C17</f>
        <v>0</v>
      </c>
      <c r="D31" s="141">
        <f t="shared" si="8"/>
        <v>0</v>
      </c>
      <c r="E31" s="140">
        <f t="shared" si="8"/>
        <v>0</v>
      </c>
      <c r="F31" s="139">
        <f t="shared" si="8"/>
        <v>0</v>
      </c>
      <c r="G31" s="138">
        <f t="shared" si="8"/>
        <v>0</v>
      </c>
      <c r="H31" s="137">
        <f t="shared" si="8"/>
        <v>0</v>
      </c>
      <c r="I31" s="136">
        <f t="shared" si="2"/>
        <v>0</v>
      </c>
      <c r="J31" s="135">
        <f t="shared" si="3"/>
        <v>0</v>
      </c>
      <c r="K31" s="134">
        <f t="shared" si="4"/>
        <v>0</v>
      </c>
    </row>
    <row r="32" spans="1:13">
      <c r="A32" s="264" t="s">
        <v>16</v>
      </c>
      <c r="B32" s="265"/>
      <c r="C32" s="133">
        <f t="shared" ref="C32:J32" si="9">C16+C30</f>
        <v>0</v>
      </c>
      <c r="D32" s="132">
        <f t="shared" si="9"/>
        <v>0</v>
      </c>
      <c r="E32" s="131">
        <f t="shared" si="9"/>
        <v>0</v>
      </c>
      <c r="F32" s="130">
        <f t="shared" si="9"/>
        <v>0</v>
      </c>
      <c r="G32" s="129">
        <f t="shared" si="9"/>
        <v>0</v>
      </c>
      <c r="H32" s="128">
        <f t="shared" si="9"/>
        <v>0</v>
      </c>
      <c r="I32" s="127">
        <f t="shared" si="9"/>
        <v>0</v>
      </c>
      <c r="J32" s="126">
        <f t="shared" si="9"/>
        <v>0</v>
      </c>
      <c r="K32" s="125">
        <f>E32+H32</f>
        <v>0</v>
      </c>
    </row>
    <row r="33" spans="1:15" ht="13.5" thickBot="1">
      <c r="A33" s="256" t="s">
        <v>79</v>
      </c>
      <c r="B33" s="257"/>
      <c r="C33" s="124" t="e">
        <f t="shared" ref="C33:K33" si="10">C32/C31*1000000</f>
        <v>#DIV/0!</v>
      </c>
      <c r="D33" s="123" t="e">
        <f t="shared" si="10"/>
        <v>#DIV/0!</v>
      </c>
      <c r="E33" s="122" t="e">
        <f t="shared" si="10"/>
        <v>#DIV/0!</v>
      </c>
      <c r="F33" s="121" t="e">
        <f t="shared" si="10"/>
        <v>#DIV/0!</v>
      </c>
      <c r="G33" s="120" t="e">
        <f t="shared" si="10"/>
        <v>#DIV/0!</v>
      </c>
      <c r="H33" s="119" t="e">
        <f t="shared" si="10"/>
        <v>#DIV/0!</v>
      </c>
      <c r="I33" s="118" t="e">
        <f t="shared" si="10"/>
        <v>#DIV/0!</v>
      </c>
      <c r="J33" s="117" t="e">
        <f t="shared" si="10"/>
        <v>#DIV/0!</v>
      </c>
      <c r="K33" s="116" t="e">
        <f t="shared" si="10"/>
        <v>#DIV/0!</v>
      </c>
    </row>
    <row r="34" spans="1:15">
      <c r="B34" s="112" t="s">
        <v>78</v>
      </c>
      <c r="D34" s="112" t="s">
        <v>77</v>
      </c>
      <c r="E34" s="112" t="s">
        <v>42</v>
      </c>
      <c r="H34" s="112" t="s">
        <v>76</v>
      </c>
      <c r="K34" s="112" t="s">
        <v>75</v>
      </c>
      <c r="L34" s="112" t="s">
        <v>25</v>
      </c>
      <c r="M34" s="112" t="s">
        <v>74</v>
      </c>
      <c r="N34" s="112" t="s">
        <v>73</v>
      </c>
      <c r="O34" s="112" t="s">
        <v>19</v>
      </c>
    </row>
    <row r="35" spans="1:15">
      <c r="A35" s="112">
        <v>1</v>
      </c>
      <c r="B35" s="112" t="s">
        <v>3</v>
      </c>
      <c r="C35" s="115">
        <f t="shared" ref="C35:C46" si="11">M18</f>
        <v>0</v>
      </c>
      <c r="D35" s="112">
        <f t="shared" ref="D35:D46" si="12">C35*100+A35</f>
        <v>1</v>
      </c>
      <c r="E35" s="112">
        <f t="shared" ref="E35:E46" si="13">LARGE(D$35:D$46,A35)</f>
        <v>12</v>
      </c>
      <c r="F35" s="112">
        <f t="shared" ref="F35:F46" si="14">MATCH(E35,D$35:D$46,)</f>
        <v>12</v>
      </c>
      <c r="H35" s="112" t="str">
        <f t="shared" ref="H35:H46" si="15">VLOOKUP(F35,A$35:C$46,2,)</f>
        <v>OUTROS</v>
      </c>
      <c r="K35" s="112">
        <f t="shared" ref="K35:K46" si="16">VLOOKUP(F35,A$35:C$46,3,)</f>
        <v>0</v>
      </c>
      <c r="L35" s="113" t="e">
        <f t="shared" ref="L35:L46" si="17">K35/K$31*1000000</f>
        <v>#DIV/0!</v>
      </c>
      <c r="M35" s="112">
        <f>K35</f>
        <v>0</v>
      </c>
      <c r="N35" s="114" t="e">
        <f t="shared" ref="N35:N46" si="18">M35/M$30*100</f>
        <v>#DIV/0!</v>
      </c>
      <c r="O35" s="113">
        <v>538.93494624342986</v>
      </c>
    </row>
    <row r="36" spans="1:15">
      <c r="A36" s="112">
        <v>2</v>
      </c>
      <c r="B36" s="112" t="s">
        <v>4</v>
      </c>
      <c r="C36" s="115">
        <f t="shared" si="11"/>
        <v>0</v>
      </c>
      <c r="D36" s="112">
        <f t="shared" si="12"/>
        <v>2</v>
      </c>
      <c r="E36" s="112">
        <f t="shared" si="13"/>
        <v>11</v>
      </c>
      <c r="F36" s="112">
        <f t="shared" si="14"/>
        <v>11</v>
      </c>
      <c r="H36" s="112" t="str">
        <f t="shared" si="15"/>
        <v>SHRINK</v>
      </c>
      <c r="K36" s="112">
        <f t="shared" si="16"/>
        <v>0</v>
      </c>
      <c r="L36" s="113" t="e">
        <f t="shared" si="17"/>
        <v>#DIV/0!</v>
      </c>
      <c r="M36" s="112">
        <f t="shared" ref="M36:M46" si="19">K36+M35</f>
        <v>0</v>
      </c>
      <c r="N36" s="114" t="e">
        <f t="shared" si="18"/>
        <v>#DIV/0!</v>
      </c>
      <c r="O36" s="113">
        <v>0</v>
      </c>
    </row>
    <row r="37" spans="1:15">
      <c r="A37" s="112">
        <v>3</v>
      </c>
      <c r="B37" s="112" t="s">
        <v>48</v>
      </c>
      <c r="C37" s="115">
        <f t="shared" si="11"/>
        <v>0</v>
      </c>
      <c r="D37" s="112">
        <f t="shared" si="12"/>
        <v>3</v>
      </c>
      <c r="E37" s="112">
        <f t="shared" si="13"/>
        <v>10</v>
      </c>
      <c r="F37" s="112">
        <f t="shared" si="14"/>
        <v>10</v>
      </c>
      <c r="H37" s="112" t="str">
        <f t="shared" si="15"/>
        <v>FUNDO SUJO</v>
      </c>
      <c r="K37" s="112">
        <f t="shared" si="16"/>
        <v>0</v>
      </c>
      <c r="L37" s="113" t="e">
        <f t="shared" si="17"/>
        <v>#DIV/0!</v>
      </c>
      <c r="M37" s="112">
        <f t="shared" si="19"/>
        <v>0</v>
      </c>
      <c r="N37" s="114" t="e">
        <f t="shared" si="18"/>
        <v>#DIV/0!</v>
      </c>
      <c r="O37" s="113">
        <v>0</v>
      </c>
    </row>
    <row r="38" spans="1:15">
      <c r="A38" s="112">
        <v>4</v>
      </c>
      <c r="B38" s="112" t="s">
        <v>49</v>
      </c>
      <c r="C38" s="115">
        <f t="shared" si="11"/>
        <v>0</v>
      </c>
      <c r="D38" s="112">
        <f t="shared" si="12"/>
        <v>4</v>
      </c>
      <c r="E38" s="112">
        <f t="shared" si="13"/>
        <v>9</v>
      </c>
      <c r="F38" s="112">
        <f t="shared" si="14"/>
        <v>9</v>
      </c>
      <c r="H38" s="112" t="str">
        <f t="shared" si="15"/>
        <v>S/ BOTTOM PLATE</v>
      </c>
      <c r="K38" s="112">
        <f t="shared" si="16"/>
        <v>0</v>
      </c>
      <c r="L38" s="113" t="e">
        <f t="shared" si="17"/>
        <v>#DIV/0!</v>
      </c>
      <c r="M38" s="112">
        <f t="shared" si="19"/>
        <v>0</v>
      </c>
      <c r="N38" s="114" t="e">
        <f t="shared" si="18"/>
        <v>#DIV/0!</v>
      </c>
      <c r="O38" s="113">
        <v>0</v>
      </c>
    </row>
    <row r="39" spans="1:15">
      <c r="A39" s="112">
        <v>5</v>
      </c>
      <c r="B39" s="112" t="s">
        <v>59</v>
      </c>
      <c r="C39" s="115">
        <f t="shared" si="11"/>
        <v>0</v>
      </c>
      <c r="D39" s="112">
        <f t="shared" si="12"/>
        <v>5</v>
      </c>
      <c r="E39" s="112">
        <f t="shared" si="13"/>
        <v>8</v>
      </c>
      <c r="F39" s="112">
        <f t="shared" si="14"/>
        <v>8</v>
      </c>
      <c r="H39" s="112" t="str">
        <f t="shared" si="15"/>
        <v>S/ ARRUELA / ARR. DESLOCADA</v>
      </c>
      <c r="K39" s="112">
        <f t="shared" si="16"/>
        <v>0</v>
      </c>
      <c r="L39" s="113" t="e">
        <f t="shared" si="17"/>
        <v>#DIV/0!</v>
      </c>
      <c r="M39" s="112">
        <f t="shared" si="19"/>
        <v>0</v>
      </c>
      <c r="N39" s="114" t="e">
        <f t="shared" si="18"/>
        <v>#DIV/0!</v>
      </c>
      <c r="O39" s="113">
        <v>0</v>
      </c>
    </row>
    <row r="40" spans="1:15">
      <c r="A40" s="112">
        <v>6</v>
      </c>
      <c r="B40" s="112" t="s">
        <v>60</v>
      </c>
      <c r="C40" s="115">
        <f t="shared" si="11"/>
        <v>0</v>
      </c>
      <c r="D40" s="112">
        <f t="shared" si="12"/>
        <v>6</v>
      </c>
      <c r="E40" s="112">
        <f t="shared" si="13"/>
        <v>7</v>
      </c>
      <c r="F40" s="112">
        <f t="shared" si="14"/>
        <v>7</v>
      </c>
      <c r="H40" s="112" t="str">
        <f t="shared" si="15"/>
        <v>DEFEITO BLINDAGEM</v>
      </c>
      <c r="K40" s="112">
        <f t="shared" si="16"/>
        <v>0</v>
      </c>
      <c r="L40" s="113" t="e">
        <f t="shared" si="17"/>
        <v>#DIV/0!</v>
      </c>
      <c r="M40" s="112">
        <f t="shared" si="19"/>
        <v>0</v>
      </c>
      <c r="N40" s="114" t="e">
        <f t="shared" si="18"/>
        <v>#DIV/0!</v>
      </c>
      <c r="O40" s="113">
        <v>0</v>
      </c>
    </row>
    <row r="41" spans="1:15">
      <c r="A41" s="112">
        <v>7</v>
      </c>
      <c r="B41" s="112" t="s">
        <v>50</v>
      </c>
      <c r="C41" s="115">
        <f t="shared" si="11"/>
        <v>0</v>
      </c>
      <c r="D41" s="112">
        <f t="shared" si="12"/>
        <v>7</v>
      </c>
      <c r="E41" s="112">
        <f t="shared" si="13"/>
        <v>6</v>
      </c>
      <c r="F41" s="112">
        <f t="shared" si="14"/>
        <v>6</v>
      </c>
      <c r="H41" s="112" t="str">
        <f t="shared" si="15"/>
        <v>CH. MANCHADA</v>
      </c>
      <c r="K41" s="112">
        <f t="shared" si="16"/>
        <v>0</v>
      </c>
      <c r="L41" s="113" t="e">
        <f t="shared" si="17"/>
        <v>#DIV/0!</v>
      </c>
      <c r="M41" s="112">
        <f t="shared" si="19"/>
        <v>0</v>
      </c>
      <c r="N41" s="114" t="e">
        <f t="shared" si="18"/>
        <v>#DIV/0!</v>
      </c>
      <c r="O41" s="113">
        <v>0</v>
      </c>
    </row>
    <row r="42" spans="1:15">
      <c r="A42" s="112">
        <v>8</v>
      </c>
      <c r="B42" s="112" t="s">
        <v>51</v>
      </c>
      <c r="C42" s="115">
        <f t="shared" si="11"/>
        <v>0</v>
      </c>
      <c r="D42" s="112">
        <f t="shared" si="12"/>
        <v>8</v>
      </c>
      <c r="E42" s="112">
        <f t="shared" si="13"/>
        <v>5</v>
      </c>
      <c r="F42" s="112">
        <f t="shared" si="14"/>
        <v>5</v>
      </c>
      <c r="H42" s="112" t="str">
        <f t="shared" si="15"/>
        <v>CH. RISCADA</v>
      </c>
      <c r="K42" s="112">
        <f t="shared" si="16"/>
        <v>0</v>
      </c>
      <c r="L42" s="113" t="e">
        <f t="shared" si="17"/>
        <v>#DIV/0!</v>
      </c>
      <c r="M42" s="112">
        <f t="shared" si="19"/>
        <v>0</v>
      </c>
      <c r="N42" s="114" t="e">
        <f t="shared" si="18"/>
        <v>#DIV/0!</v>
      </c>
      <c r="O42" s="113">
        <v>0</v>
      </c>
    </row>
    <row r="43" spans="1:15">
      <c r="A43" s="112">
        <v>9</v>
      </c>
      <c r="B43" s="112" t="s">
        <v>52</v>
      </c>
      <c r="C43" s="115">
        <f t="shared" si="11"/>
        <v>0</v>
      </c>
      <c r="D43" s="112">
        <f t="shared" si="12"/>
        <v>9</v>
      </c>
      <c r="E43" s="112">
        <f t="shared" si="13"/>
        <v>4</v>
      </c>
      <c r="F43" s="112">
        <f t="shared" si="14"/>
        <v>4</v>
      </c>
      <c r="H43" s="112" t="str">
        <f t="shared" si="15"/>
        <v>S/ CAP</v>
      </c>
      <c r="K43" s="112">
        <f t="shared" si="16"/>
        <v>0</v>
      </c>
      <c r="L43" s="113" t="e">
        <f t="shared" si="17"/>
        <v>#DIV/0!</v>
      </c>
      <c r="M43" s="112">
        <f t="shared" si="19"/>
        <v>0</v>
      </c>
      <c r="N43" s="114" t="e">
        <f t="shared" si="18"/>
        <v>#DIV/0!</v>
      </c>
      <c r="O43" s="113">
        <v>0</v>
      </c>
    </row>
    <row r="44" spans="1:15">
      <c r="A44" s="112">
        <v>10</v>
      </c>
      <c r="B44" s="112" t="s">
        <v>67</v>
      </c>
      <c r="C44" s="115">
        <f t="shared" si="11"/>
        <v>0</v>
      </c>
      <c r="D44" s="112">
        <f t="shared" si="12"/>
        <v>10</v>
      </c>
      <c r="E44" s="112">
        <f t="shared" si="13"/>
        <v>3</v>
      </c>
      <c r="F44" s="112">
        <f t="shared" si="14"/>
        <v>3</v>
      </c>
      <c r="H44" s="112" t="str">
        <f t="shared" si="15"/>
        <v>S/ ANEL VERMELHO</v>
      </c>
      <c r="K44" s="112">
        <f t="shared" si="16"/>
        <v>0</v>
      </c>
      <c r="L44" s="113" t="e">
        <f t="shared" si="17"/>
        <v>#DIV/0!</v>
      </c>
      <c r="M44" s="112">
        <f t="shared" si="19"/>
        <v>0</v>
      </c>
      <c r="N44" s="114" t="e">
        <f t="shared" si="18"/>
        <v>#DIV/0!</v>
      </c>
      <c r="O44" s="113">
        <v>0</v>
      </c>
    </row>
    <row r="45" spans="1:15">
      <c r="A45" s="112">
        <v>11</v>
      </c>
      <c r="B45" s="112" t="s">
        <v>5</v>
      </c>
      <c r="C45" s="115">
        <f t="shared" si="11"/>
        <v>0</v>
      </c>
      <c r="D45" s="112">
        <f t="shared" si="12"/>
        <v>11</v>
      </c>
      <c r="E45" s="112">
        <f t="shared" si="13"/>
        <v>2</v>
      </c>
      <c r="F45" s="112">
        <f t="shared" si="14"/>
        <v>2</v>
      </c>
      <c r="H45" s="112" t="str">
        <f t="shared" si="15"/>
        <v>ENCAIXOTAMENTO</v>
      </c>
      <c r="K45" s="112">
        <f t="shared" si="16"/>
        <v>0</v>
      </c>
      <c r="L45" s="113" t="e">
        <f t="shared" si="17"/>
        <v>#DIV/0!</v>
      </c>
      <c r="M45" s="112">
        <f t="shared" si="19"/>
        <v>0</v>
      </c>
      <c r="N45" s="114" t="e">
        <f t="shared" si="18"/>
        <v>#DIV/0!</v>
      </c>
      <c r="O45" s="113">
        <v>0</v>
      </c>
    </row>
    <row r="46" spans="1:15">
      <c r="A46" s="112">
        <v>12</v>
      </c>
      <c r="B46" s="112" t="s">
        <v>6</v>
      </c>
      <c r="C46" s="115">
        <f t="shared" si="11"/>
        <v>0</v>
      </c>
      <c r="D46" s="112">
        <f t="shared" si="12"/>
        <v>12</v>
      </c>
      <c r="E46" s="112">
        <f t="shared" si="13"/>
        <v>1</v>
      </c>
      <c r="F46" s="112">
        <f t="shared" si="14"/>
        <v>1</v>
      </c>
      <c r="H46" s="112" t="str">
        <f t="shared" si="15"/>
        <v>TESTADOR</v>
      </c>
      <c r="K46" s="112">
        <f t="shared" si="16"/>
        <v>0</v>
      </c>
      <c r="L46" s="113" t="e">
        <f t="shared" si="17"/>
        <v>#DIV/0!</v>
      </c>
      <c r="M46" s="112">
        <f t="shared" si="19"/>
        <v>0</v>
      </c>
      <c r="N46" s="114" t="e">
        <f t="shared" si="18"/>
        <v>#DIV/0!</v>
      </c>
      <c r="O46" s="113">
        <v>0</v>
      </c>
    </row>
  </sheetData>
  <sheetProtection algorithmName="SHA-512" hashValue="sQtUAfkxIH3DzAZQeHex9KL6/DeplsWhHTLNNSHgMnNnYy1yTgwReFcjKzBwyIQLhoyB3i2dNW4sOcDbmLvNLg==" saltValue="R+b1b3Lhk/5SPw7Ah0Az9A==" spinCount="100000" sheet="1" objects="1" scenarios="1" selectLockedCells="1"/>
  <mergeCells count="9">
    <mergeCell ref="A1:B1"/>
    <mergeCell ref="C1:E1"/>
    <mergeCell ref="F1:H1"/>
    <mergeCell ref="I1:L1"/>
    <mergeCell ref="A33:B33"/>
    <mergeCell ref="A3:A16"/>
    <mergeCell ref="A17:A30"/>
    <mergeCell ref="A31:B31"/>
    <mergeCell ref="A32:B32"/>
  </mergeCells>
  <pageMargins left="0.78740157480314965" right="0.78740157480314965" top="1.1417322834645669" bottom="0.98425196850393704" header="0.51181102362204722" footer="0.51181102362204722"/>
  <pageSetup paperSize="9" scale="83" orientation="landscape" r:id="rId1"/>
  <headerFooter alignWithMargins="0">
    <oddHeader>&amp;L&amp;"SwitzerlandBlack,Negrito"&amp;16Panasonic
&amp;"Arial,Negrito"&amp;9PILHAS / BATERIAS&amp;C&amp;"Arial,Negrito"&amp;14RESUMO DE FALHAS UM-3</oddHeader>
    <oddFooter>&amp;L&amp;A&amp;R&amp;F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Instruções de Uso</vt:lpstr>
      <vt:lpstr>SJCPIL-R 16-318-03 - D</vt:lpstr>
      <vt:lpstr>SJCPIL-R 16-318-03 - N</vt:lpstr>
      <vt:lpstr>Pareto de Falhas</vt:lpstr>
      <vt:lpstr>Resumo de Falhas</vt:lpstr>
      <vt:lpstr>Resumo Acabamento</vt:lpstr>
      <vt:lpstr>'Pareto de Falhas'!Area_de_impressao</vt:lpstr>
      <vt:lpstr>'Resumo Acabamento'!Area_de_impressao</vt:lpstr>
      <vt:lpstr>'SJCPIL-R 16-318-03 - D'!Area_de_impressao</vt:lpstr>
      <vt:lpstr>'SJCPIL-R 16-318-03 - N'!Area_de_impressao</vt:lpstr>
      <vt:lpstr>'SJCPIL-R 16-318-03 - N'!F7.58</vt:lpstr>
      <vt:lpstr>F7.58</vt:lpstr>
      <vt:lpstr>produtos</vt:lpstr>
      <vt:lpstr>TARGET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2021-04-26T18:05:39Z</cp:lastPrinted>
  <dcterms:created xsi:type="dcterms:W3CDTF">2003-08-07T14:29:32Z</dcterms:created>
  <dcterms:modified xsi:type="dcterms:W3CDTF">2022-02-21T10:58:48Z</dcterms:modified>
</cp:coreProperties>
</file>