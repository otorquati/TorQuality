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2 - FALHAS\(5) PVC\"/>
    </mc:Choice>
  </mc:AlternateContent>
  <xr:revisionPtr revIDLastSave="0" documentId="13_ncr:1_{8DE4561C-B99E-423D-9A19-1D5D78771306}" xr6:coauthVersionLast="47" xr6:coauthVersionMax="47" xr10:uidLastSave="{00000000-0000-0000-0000-000000000000}"/>
  <workbookProtection workbookAlgorithmName="SHA-512" workbookHashValue="J+9KncC9mjew+BHqCOz9nkYc3RGbYrXOvRO6BPb8yEcOtpSyvI4Vaxnc6+iiI2uMEseSMTqxmNRhEk/wIHeFlw==" workbookSaltValue="VjwG5bvJipD3d0oOe6VShA==" workbookSpinCount="100000" lockStructure="1"/>
  <bookViews>
    <workbookView xWindow="-120" yWindow="-120" windowWidth="29040" windowHeight="16440" activeTab="1" xr2:uid="{00000000-000D-0000-FFFF-FFFF00000000}"/>
  </bookViews>
  <sheets>
    <sheet name="SJCPIL-R 14-002-03 - Diurno" sheetId="1" r:id="rId1"/>
    <sheet name="SJCPIL-R 14-002-03 - Noite" sheetId="5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\A" localSheetId="1">#REF!</definedName>
    <definedName name="\A">#REF!</definedName>
    <definedName name="_um2" localSheetId="1">#REF!</definedName>
    <definedName name="_um2">#REF!</definedName>
    <definedName name="_um3" localSheetId="1">#REF!</definedName>
    <definedName name="_um3">#REF!</definedName>
    <definedName name="_UM30" localSheetId="1">#REF!</definedName>
    <definedName name="_UM30">#REF!</definedName>
    <definedName name="ALK" localSheetId="1">'[1]F-7.102 Rev 00'!#REF!</definedName>
    <definedName name="ALK">'[1]F-7.102 Rev 00'!#REF!</definedName>
    <definedName name="ALKCOIN" localSheetId="1">'[2]Alk Nac'!#REF!</definedName>
    <definedName name="ALKCOIN">'[2]Alk Nac'!#REF!</definedName>
    <definedName name="ALKEXP" localSheetId="1">'[1]F-7.102 Rev 00'!#REF!</definedName>
    <definedName name="ALKEXP">'[1]F-7.102 Rev 00'!#REF!</definedName>
    <definedName name="_xlnm.Print_Area" localSheetId="0">'SJCPIL-R 14-002-03 - Diurno'!$A$1:$Z$42</definedName>
    <definedName name="_xlnm.Print_Area" localSheetId="1">'SJCPIL-R 14-002-03 - Noite'!$A$1:$Z$42</definedName>
    <definedName name="F7.01">'[3]F-7.01 Rev 00'!$A$1</definedName>
    <definedName name="F7.02">'[3]F-7.02 Rev 00'!$A$1</definedName>
    <definedName name="F7.03">'[3]F-7.03 Rev 00'!$A$1</definedName>
    <definedName name="F7.04">'[4]F-7.04 Rev 01'!$D$1</definedName>
    <definedName name="F7.05">'[4]F-7.05 Rev 01'!$A$1</definedName>
    <definedName name="F7.06">'[4]F-7.06 Rev 01'!$A$1</definedName>
    <definedName name="F7.07">'[5]F-7.07 Rev 00'!$A$1</definedName>
    <definedName name="F7.08" localSheetId="1">'[5]F-7.08 Rev 02'!#REF!</definedName>
    <definedName name="F7.08">'[5]F-7.08 Rev 02'!#REF!</definedName>
    <definedName name="F7.09">'[5]F-7.09 Rev 01'!$A$1</definedName>
    <definedName name="F7.10">'[5]F-7.10 Rev 00'!$A$1</definedName>
    <definedName name="F7.103">'[6]F-7.103 Rev 01 '!$A$1</definedName>
    <definedName name="F7.105">'[7]F-7.105 Rev 00'!$A$1</definedName>
    <definedName name="F7.108">'[8]F-7.108 Rev 00'!$A$1</definedName>
    <definedName name="F7.109">'[9]F-7.109 Rev 00'!$A$1</definedName>
    <definedName name="F7.11">'[10]F-7.11 Rev 00'!$A$1</definedName>
    <definedName name="F7.111">'[9]F-7.111 Rev 00'!$B$1</definedName>
    <definedName name="F7.112">'[9]F-7.112 Rev 00'!$A$1</definedName>
    <definedName name="F7.115">'[9]F-7.115 Rev 01'!$A$1</definedName>
    <definedName name="F7.116">'[10]F-7.116 Rev 00'!$A$1</definedName>
    <definedName name="F7.118">'[6]F-7.118 Rev 02'!$A$1</definedName>
    <definedName name="F7.119">'[6]F-7.119 Rev 01'!$A$1</definedName>
    <definedName name="F7.120">'[11]F-7.120 Rev 00'!$A$1</definedName>
    <definedName name="F7.124">'[9]F-7.124 Rev 00 '!$A$1</definedName>
    <definedName name="F7.15">'[12]F-7.15 Rev 00'!$A$1</definedName>
    <definedName name="F7.16">'[12]F-7.16 Rev 00'!$A$1</definedName>
    <definedName name="F7.17">'[12]F-7.17 Rev 00'!$A$1</definedName>
    <definedName name="F7.18">'[12]F-7.18 Rev 00'!$A$1</definedName>
    <definedName name="F7.19">'[12]F-7.19 Rev 00'!$A$1</definedName>
    <definedName name="F7.20">'[12]F-7.20 Rev 00'!$A$1</definedName>
    <definedName name="F7.21">'[12]F-7.21 Rev 00'!$A$1</definedName>
    <definedName name="F7.22">'[12]F-7.22 Rev 00'!$A$1</definedName>
    <definedName name="F7.23">'[13]F-7.23 Rev 00'!$A$1</definedName>
    <definedName name="F7.24">'[13]F-7.24 Rev 00'!$A$1</definedName>
    <definedName name="F7.25">'[14]F-7.25 Rev 01'!$A$1</definedName>
    <definedName name="F7.26">'[15]F-7.26 Rev 00'!$A$1</definedName>
    <definedName name="F7.27">'[15]F-7.27 Rev 00'!$A$1</definedName>
    <definedName name="F7.28">'[15]F-7.28 Rev 00'!$A$1</definedName>
    <definedName name="F7.29">'[3]F-7.29 Rev 00'!$A$1</definedName>
    <definedName name="F7.31" localSheetId="1">'SJCPIL-R 14-002-03 - Noite'!$A$1</definedName>
    <definedName name="F7.31">'SJCPIL-R 14-002-03 - Diurno'!$A$1</definedName>
    <definedName name="F7.32">'[14]F-7.32 Rev 00'!$A$1</definedName>
    <definedName name="F7.34">'[11]F-7.34 Rev 00'!$A$1</definedName>
    <definedName name="F7.35">'[11]F-7.35 Rev 01'!$A$1</definedName>
    <definedName name="F7.36">'[11]F-7.36 Rev 00'!$A$1</definedName>
    <definedName name="F7.37">'[11]F-7.37 Rev 00'!$A$1</definedName>
    <definedName name="F7.38">'[6]F-7.38 Rev 01'!$A$1</definedName>
    <definedName name="F7.39" localSheetId="1">#REF!</definedName>
    <definedName name="F7.39">#REF!</definedName>
    <definedName name="F7.41">'[6]F-7.41 Rev 03'!$A$1</definedName>
    <definedName name="F7.42">'[6]F-7.42 Rev 00'!$A$1</definedName>
    <definedName name="F7.44">'[6]F-7.44 Rev 01'!$A$1</definedName>
    <definedName name="F7.45">'[6]F-7.45 Rev 00'!$A$1</definedName>
    <definedName name="F7.46">'[6]F-7.46 Rev 01'!$A$1</definedName>
    <definedName name="F7.47">'[6]F-7.47 Rev 01'!$A$1</definedName>
    <definedName name="F7.48">'[6]F-7.48 Rev 00'!$A$1</definedName>
    <definedName name="F7.49">'[6]F-7.49 Rev 01'!$A$1</definedName>
    <definedName name="F7.50">'[8]F-7.50 Rev 00'!$A$1</definedName>
    <definedName name="F7.52">'[6]F-7.52 Rev 01'!$A$1</definedName>
    <definedName name="F7.53">'[6]F-7.53 Rev 02'!$A$1</definedName>
    <definedName name="F7.55">'[8]F-7.55 Rev 00'!$A$1</definedName>
    <definedName name="F7.56">'[8]F-7.56 Rev 00'!$A$1</definedName>
    <definedName name="F7.57">'[6]F-7.57 Rev 00'!$A$1</definedName>
    <definedName name="F7.58">'[6]F-7.58 Rev 02'!$A$1</definedName>
    <definedName name="F7.65">'[11]F-7.65 Rev 00'!$A$1</definedName>
    <definedName name="F7.66">'[6]F-7.66 Rev 01'!$A$1</definedName>
    <definedName name="F7.68">'[4]F-7.68 Rev 00'!$A$1</definedName>
    <definedName name="F7.69">'[11]F-7.69 Rev 00'!$A$1</definedName>
    <definedName name="F7.70">'[11]F-7.70 Rev 00'!$A$1</definedName>
    <definedName name="F7.71">'[11]F-7.71 Rev 00'!$A$1</definedName>
    <definedName name="F7.72" localSheetId="1">#REF!</definedName>
    <definedName name="F7.72">#REF!</definedName>
    <definedName name="F7.73">'[8]F-7.73 Rev 00'!$A$1</definedName>
    <definedName name="F7.86" localSheetId="1">#REF!</definedName>
    <definedName name="F7.86">#REF!</definedName>
    <definedName name="F7.88" localSheetId="1">#REF!</definedName>
    <definedName name="F7.88">#REF!</definedName>
    <definedName name="F7.89" localSheetId="1">#REF!</definedName>
    <definedName name="F7.89">#REF!</definedName>
    <definedName name="F7.91">'[9]F-7.91 Rev 00'!$A$1</definedName>
    <definedName name="F7.92">'[9]F-7.92 Rev 00'!$A$1</definedName>
    <definedName name="F7.93">'[9]F-7.93 Rev 00'!$A$1</definedName>
    <definedName name="F7.94">'[9]F-7.94 Rev 00'!$A$1</definedName>
    <definedName name="F7.95">'[15]F-7.95 Rev 00'!$A$1</definedName>
    <definedName name="F7.96">'[15]F-7.96 Rev 00'!$A$1</definedName>
    <definedName name="F7.97">'[13]F-7.97 Rev 00'!$A$1</definedName>
    <definedName name="F7.98">'[6]F-7.98 Rev 01'!$A$1</definedName>
    <definedName name="LANT" localSheetId="1">#REF!</definedName>
    <definedName name="LANT">#REF!</definedName>
    <definedName name="MnValor" localSheetId="1">#REF!</definedName>
    <definedName name="MnValor">#REF!</definedName>
    <definedName name="OUTROS" localSheetId="1">#REF!</definedName>
    <definedName name="OUTROS">#REF!</definedName>
    <definedName name="total" localSheetId="1">#REF!</definedName>
    <definedName name="tota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4" i="1" l="1"/>
  <c r="B43" i="1"/>
  <c r="Y1" i="1"/>
  <c r="B19" i="5"/>
  <c r="C19" i="5"/>
  <c r="Y1" i="5" l="1"/>
  <c r="B37" i="1" l="1"/>
  <c r="D19" i="5" l="1"/>
  <c r="B44" i="5" l="1"/>
  <c r="B43" i="5"/>
  <c r="L36" i="1" l="1"/>
  <c r="C37" i="5" l="1"/>
  <c r="B37" i="5"/>
  <c r="C36" i="5"/>
  <c r="B36" i="5"/>
  <c r="C23" i="5"/>
  <c r="B23" i="5"/>
  <c r="C20" i="5"/>
  <c r="B20" i="5"/>
  <c r="C4" i="5"/>
  <c r="B4" i="5"/>
  <c r="C37" i="1"/>
  <c r="C36" i="1"/>
  <c r="B36" i="1"/>
  <c r="C23" i="1"/>
  <c r="B23" i="1"/>
  <c r="C20" i="1"/>
  <c r="B20" i="1"/>
  <c r="C19" i="1"/>
  <c r="B19" i="1"/>
  <c r="C4" i="1"/>
  <c r="B4" i="1"/>
  <c r="B21" i="1" l="1"/>
  <c r="B38" i="1" l="1"/>
  <c r="B13" i="5" s="1"/>
  <c r="Z12" i="5"/>
  <c r="Y37" i="5" l="1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Y36" i="5" l="1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Z35" i="5"/>
  <c r="Z34" i="5"/>
  <c r="Z33" i="5"/>
  <c r="Z32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Z18" i="5"/>
  <c r="Z17" i="5"/>
  <c r="Z16" i="5"/>
  <c r="Z15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Z14" i="1"/>
  <c r="Z12" i="1"/>
  <c r="Z20" i="5" l="1"/>
  <c r="Z37" i="5"/>
  <c r="Z38" i="5" s="1"/>
  <c r="Z19" i="5"/>
  <c r="Z36" i="5"/>
  <c r="Y37" i="1"/>
  <c r="X37" i="1"/>
  <c r="W37" i="1"/>
  <c r="V37" i="1"/>
  <c r="U37" i="1"/>
  <c r="T37" i="1"/>
  <c r="S37" i="1"/>
  <c r="R37" i="1"/>
  <c r="Q37" i="1"/>
  <c r="P37" i="1"/>
  <c r="O37" i="1"/>
  <c r="N37" i="1"/>
  <c r="M37" i="1"/>
  <c r="L37" i="1"/>
  <c r="K37" i="1"/>
  <c r="J37" i="1"/>
  <c r="I37" i="1"/>
  <c r="H37" i="1"/>
  <c r="G37" i="1"/>
  <c r="F37" i="1"/>
  <c r="E37" i="1"/>
  <c r="D37" i="1"/>
  <c r="D19" i="1" l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35" i="1" l="1"/>
  <c r="Z18" i="1"/>
  <c r="Z16" i="1" l="1"/>
  <c r="Z17" i="1"/>
  <c r="Z33" i="1"/>
  <c r="D36" i="1"/>
  <c r="E36" i="1"/>
  <c r="F36" i="1"/>
  <c r="G36" i="1"/>
  <c r="H36" i="1"/>
  <c r="I36" i="1"/>
  <c r="J36" i="1"/>
  <c r="K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4" i="1"/>
  <c r="Z32" i="1"/>
  <c r="Z15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36" i="1" l="1"/>
  <c r="Z20" i="1"/>
  <c r="Z37" i="1"/>
  <c r="Z38" i="1" s="1"/>
  <c r="Z13" i="5" s="1"/>
  <c r="Z19" i="1"/>
  <c r="B21" i="5"/>
  <c r="B38" i="5" s="1"/>
  <c r="C13" i="1" s="1"/>
  <c r="C21" i="1" l="1"/>
  <c r="C38" i="1" s="1"/>
  <c r="C13" i="5" s="1"/>
  <c r="C21" i="5" s="1"/>
  <c r="C38" i="5" s="1"/>
  <c r="D13" i="1" s="1"/>
  <c r="D21" i="1" s="1"/>
  <c r="D38" i="1" s="1"/>
  <c r="D13" i="5" s="1"/>
  <c r="D21" i="5" s="1"/>
  <c r="D38" i="5" s="1"/>
  <c r="E13" i="1" s="1"/>
  <c r="E21" i="1" s="1"/>
  <c r="E38" i="1" s="1"/>
  <c r="E13" i="5" s="1"/>
  <c r="E21" i="5" s="1"/>
  <c r="E38" i="5" s="1"/>
  <c r="F13" i="1" s="1"/>
  <c r="F21" i="1" s="1"/>
  <c r="F38" i="1" s="1"/>
  <c r="F13" i="5" s="1"/>
  <c r="F21" i="5" s="1"/>
  <c r="F38" i="5" s="1"/>
  <c r="G13" i="1" l="1"/>
  <c r="G21" i="1" s="1"/>
  <c r="G38" i="1" s="1"/>
  <c r="G13" i="5" s="1"/>
  <c r="G21" i="5" s="1"/>
  <c r="G38" i="5" s="1"/>
  <c r="H13" i="1" s="1"/>
  <c r="H21" i="1" s="1"/>
  <c r="H38" i="1" s="1"/>
  <c r="H13" i="5" s="1"/>
  <c r="H21" i="5" s="1"/>
  <c r="H38" i="5" s="1"/>
  <c r="I13" i="1" s="1"/>
  <c r="I21" i="1" s="1"/>
  <c r="I38" i="1" s="1"/>
  <c r="I13" i="5" s="1"/>
  <c r="I21" i="5" s="1"/>
  <c r="I38" i="5" s="1"/>
  <c r="J13" i="1" s="1"/>
  <c r="J21" i="1" s="1"/>
  <c r="J38" i="1" s="1"/>
  <c r="J13" i="5" s="1"/>
  <c r="J21" i="5" s="1"/>
  <c r="J38" i="5" s="1"/>
  <c r="K13" i="1" s="1"/>
  <c r="K21" i="1" s="1"/>
  <c r="K38" i="1" s="1"/>
  <c r="K13" i="5" s="1"/>
  <c r="K21" i="5" s="1"/>
  <c r="K38" i="5" s="1"/>
  <c r="L13" i="1" s="1"/>
  <c r="L21" i="1" s="1"/>
  <c r="L38" i="1" s="1"/>
  <c r="L13" i="5" s="1"/>
  <c r="L21" i="5" s="1"/>
  <c r="L38" i="5" s="1"/>
  <c r="M13" i="1" s="1"/>
  <c r="M21" i="1" s="1"/>
  <c r="M38" i="1" s="1"/>
  <c r="M13" i="5" s="1"/>
  <c r="M21" i="5" s="1"/>
  <c r="M38" i="5" s="1"/>
  <c r="N13" i="1" s="1"/>
  <c r="N21" i="1" s="1"/>
  <c r="N38" i="1" s="1"/>
  <c r="N13" i="5" s="1"/>
  <c r="N21" i="5" s="1"/>
  <c r="N38" i="5" s="1"/>
  <c r="O13" i="1" s="1"/>
  <c r="O21" i="1" s="1"/>
  <c r="O38" i="1" s="1"/>
  <c r="O13" i="5" s="1"/>
  <c r="O21" i="5" s="1"/>
  <c r="O38" i="5" s="1"/>
  <c r="P13" i="1" s="1"/>
  <c r="P21" i="1" s="1"/>
  <c r="P38" i="1" s="1"/>
  <c r="P13" i="5" s="1"/>
  <c r="P21" i="5" s="1"/>
  <c r="P38" i="5" s="1"/>
  <c r="Q13" i="1" s="1"/>
  <c r="Q21" i="1" s="1"/>
  <c r="Q38" i="1" s="1"/>
  <c r="Q13" i="5" s="1"/>
  <c r="Q21" i="5" s="1"/>
  <c r="Q38" i="5" s="1"/>
  <c r="R13" i="1" s="1"/>
  <c r="R21" i="1" s="1"/>
  <c r="R38" i="1" s="1"/>
  <c r="R13" i="5" s="1"/>
  <c r="R21" i="5" s="1"/>
  <c r="R38" i="5" s="1"/>
  <c r="S13" i="1" s="1"/>
  <c r="S21" i="1" s="1"/>
  <c r="S38" i="1" s="1"/>
  <c r="S13" i="5" s="1"/>
  <c r="S21" i="5" s="1"/>
  <c r="S38" i="5" s="1"/>
  <c r="T13" i="1" s="1"/>
  <c r="T21" i="1" s="1"/>
  <c r="T38" i="1" s="1"/>
  <c r="T13" i="5" s="1"/>
  <c r="T21" i="5" s="1"/>
  <c r="T38" i="5" s="1"/>
  <c r="U13" i="1" s="1"/>
  <c r="U21" i="1" s="1"/>
  <c r="U38" i="1" s="1"/>
  <c r="U13" i="5" s="1"/>
  <c r="U21" i="5" s="1"/>
  <c r="U38" i="5" s="1"/>
  <c r="V13" i="1" s="1"/>
  <c r="V21" i="1" s="1"/>
  <c r="V38" i="1" s="1"/>
  <c r="V13" i="5" s="1"/>
  <c r="V21" i="5" s="1"/>
  <c r="V38" i="5" s="1"/>
  <c r="W13" i="1" s="1"/>
  <c r="W21" i="1" s="1"/>
  <c r="W38" i="1" s="1"/>
  <c r="W13" i="5" s="1"/>
  <c r="W21" i="5" s="1"/>
  <c r="W38" i="5" s="1"/>
  <c r="X13" i="1" l="1"/>
  <c r="X21" i="1" s="1"/>
  <c r="X38" i="1" s="1"/>
  <c r="X13" i="5" s="1"/>
  <c r="X21" i="5" s="1"/>
  <c r="X38" i="5" s="1"/>
  <c r="Y13" i="1" s="1"/>
  <c r="Y21" i="1" s="1"/>
  <c r="Y38" i="1" s="1"/>
  <c r="Y13" i="5" s="1"/>
  <c r="Y21" i="5" s="1"/>
  <c r="Y38" i="5" s="1"/>
  <c r="Z1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Marcelo Teramoto</author>
  </authors>
  <commentList>
    <comment ref="B13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Marcelo Teramoto:</t>
        </r>
        <r>
          <rPr>
            <sz val="9"/>
            <color indexed="81"/>
            <rFont val="Segoe UI"/>
            <family val="2"/>
          </rPr>
          <t xml:space="preserve">
Luis Eduardo somou dia 30/09/2020</t>
        </r>
      </text>
    </comment>
  </commentList>
</comments>
</file>

<file path=xl/sharedStrings.xml><?xml version="1.0" encoding="utf-8"?>
<sst xmlns="http://schemas.openxmlformats.org/spreadsheetml/2006/main" count="80" uniqueCount="32">
  <si>
    <t>DIA</t>
  </si>
  <si>
    <t>LOTE</t>
  </si>
  <si>
    <t>PRODUÇÃO</t>
  </si>
  <si>
    <t>FALHAS (Kg)</t>
  </si>
  <si>
    <t>UM-3</t>
  </si>
  <si>
    <t>TOTAL</t>
  </si>
  <si>
    <t>OBJETIVO UM-1</t>
  </si>
  <si>
    <t>OBJETIVO UM-3</t>
  </si>
  <si>
    <t>Ocorrencias</t>
  </si>
  <si>
    <t>UM-1</t>
  </si>
  <si>
    <t>Inspetor:</t>
  </si>
  <si>
    <t>Data:</t>
  </si>
  <si>
    <t>Produção:</t>
  </si>
  <si>
    <t>Controle da Qualidade:</t>
  </si>
  <si>
    <t>UM-1 (ppm)</t>
  </si>
  <si>
    <t>UM-3 (ppm)</t>
  </si>
  <si>
    <t>ppm</t>
  </si>
  <si>
    <t>PREPARAÇÃO</t>
  </si>
  <si>
    <t>Visto CQ</t>
  </si>
  <si>
    <t>Visto Supervisor</t>
  </si>
  <si>
    <t>REFUGO DA LINHA (Kg)</t>
  </si>
  <si>
    <t>MATERIAL DISPONÍVEL</t>
  </si>
  <si>
    <t>FALHAS DA LINHA (Kg)</t>
  </si>
  <si>
    <t>ENTRADA DE  MATERIAL</t>
  </si>
  <si>
    <t>MATERIAL INSERIDO</t>
  </si>
  <si>
    <t>ESTOQUE PROVISÓRIO</t>
  </si>
  <si>
    <t>DIFERENÇA DO DIA</t>
  </si>
  <si>
    <t>PREPARAÇÃO/FINAL</t>
  </si>
  <si>
    <t>FALHAS DO PVC - Diurno</t>
  </si>
  <si>
    <r>
      <t xml:space="preserve">Sistema de Gestão Integrado
</t>
    </r>
    <r>
      <rPr>
        <b/>
        <sz val="16"/>
        <rFont val="Arial"/>
        <family val="2"/>
      </rPr>
      <t>Panasonic do Brasil Limitada</t>
    </r>
  </si>
  <si>
    <t>FALHAS DO PVC - Noturno</t>
  </si>
  <si>
    <t>MÊS/ANO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</si>
</sst>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"/>
    <numFmt numFmtId="165" formatCode="d/m;@"/>
  </numFmts>
  <fonts count="17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sz val="11"/>
      <name val="ＭＳ Ｐゴシック"/>
      <charset val="128"/>
    </font>
    <font>
      <b/>
      <sz val="14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i/>
      <sz val="8"/>
      <name val="Arial"/>
      <family val="2"/>
    </font>
    <font>
      <b/>
      <sz val="16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8"/>
      <color rgb="FFFF0000"/>
      <name val="Arial"/>
      <family val="2"/>
    </font>
    <font>
      <sz val="8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38" fontId="2" fillId="2" borderId="0" applyNumberFormat="0" applyBorder="0" applyAlignment="0" applyProtection="0"/>
    <xf numFmtId="10" fontId="2" fillId="3" borderId="1" applyNumberFormat="0" applyBorder="0" applyAlignment="0" applyProtection="0"/>
    <xf numFmtId="164" fontId="3" fillId="0" borderId="0"/>
    <xf numFmtId="10" fontId="4" fillId="0" borderId="0" applyFont="0" applyFill="0" applyBorder="0" applyAlignment="0" applyProtection="0"/>
    <xf numFmtId="0" fontId="5" fillId="0" borderId="0"/>
  </cellStyleXfs>
  <cellXfs count="123">
    <xf numFmtId="0" fontId="0" fillId="0" borderId="0" xfId="0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right" vertical="center"/>
    </xf>
    <xf numFmtId="0" fontId="0" fillId="0" borderId="7" xfId="0" applyBorder="1"/>
    <xf numFmtId="2" fontId="0" fillId="0" borderId="8" xfId="0" applyNumberFormat="1" applyBorder="1"/>
    <xf numFmtId="0" fontId="0" fillId="0" borderId="8" xfId="0" applyBorder="1"/>
    <xf numFmtId="0" fontId="0" fillId="0" borderId="1" xfId="0" applyBorder="1"/>
    <xf numFmtId="0" fontId="0" fillId="0" borderId="1" xfId="0" applyBorder="1" applyAlignment="1">
      <alignment horizontal="center" vertical="center" textRotation="90"/>
    </xf>
    <xf numFmtId="0" fontId="0" fillId="0" borderId="10" xfId="0" applyBorder="1"/>
    <xf numFmtId="0" fontId="4" fillId="0" borderId="9" xfId="0" applyFont="1" applyBorder="1"/>
    <xf numFmtId="0" fontId="4" fillId="0" borderId="11" xfId="0" applyFont="1" applyBorder="1"/>
    <xf numFmtId="0" fontId="4" fillId="0" borderId="12" xfId="0" applyFont="1" applyBorder="1"/>
    <xf numFmtId="14" fontId="4" fillId="0" borderId="11" xfId="0" applyNumberFormat="1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3" fontId="0" fillId="0" borderId="13" xfId="0" applyNumberFormat="1" applyBorder="1" applyAlignment="1">
      <alignment shrinkToFit="1"/>
    </xf>
    <xf numFmtId="165" fontId="0" fillId="0" borderId="1" xfId="0" applyNumberFormat="1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2" fontId="0" fillId="0" borderId="1" xfId="0" applyNumberFormat="1" applyBorder="1" applyAlignment="1" applyProtection="1">
      <alignment shrinkToFit="1"/>
      <protection locked="0"/>
    </xf>
    <xf numFmtId="2" fontId="2" fillId="0" borderId="1" xfId="0" applyNumberFormat="1" applyFont="1" applyBorder="1" applyAlignment="1" applyProtection="1">
      <alignment shrinkToFit="1"/>
      <protection locked="0"/>
    </xf>
    <xf numFmtId="0" fontId="9" fillId="0" borderId="1" xfId="0" applyFont="1" applyBorder="1" applyAlignment="1" applyProtection="1">
      <alignment horizontal="center" vertical="center" textRotation="90" wrapText="1"/>
      <protection locked="0"/>
    </xf>
    <xf numFmtId="0" fontId="2" fillId="0" borderId="1" xfId="0" applyFont="1" applyBorder="1" applyAlignment="1" applyProtection="1">
      <alignment horizontal="center" vertical="center" textRotation="90" wrapText="1"/>
      <protection locked="0"/>
    </xf>
    <xf numFmtId="3" fontId="4" fillId="0" borderId="0" xfId="0" applyNumberFormat="1" applyFont="1" applyAlignment="1">
      <alignment shrinkToFit="1"/>
    </xf>
    <xf numFmtId="3" fontId="0" fillId="0" borderId="0" xfId="0" applyNumberFormat="1" applyAlignment="1">
      <alignment shrinkToFit="1"/>
    </xf>
    <xf numFmtId="0" fontId="0" fillId="0" borderId="19" xfId="0" applyBorder="1" applyProtection="1">
      <protection locked="0"/>
    </xf>
    <xf numFmtId="2" fontId="4" fillId="0" borderId="1" xfId="0" applyNumberFormat="1" applyFont="1" applyBorder="1" applyAlignment="1" applyProtection="1">
      <alignment shrinkToFit="1"/>
      <protection locked="0"/>
    </xf>
    <xf numFmtId="1" fontId="0" fillId="0" borderId="15" xfId="0" applyNumberFormat="1" applyBorder="1" applyAlignment="1" applyProtection="1">
      <alignment horizontal="center" vertical="center"/>
      <protection locked="0"/>
    </xf>
    <xf numFmtId="0" fontId="4" fillId="0" borderId="6" xfId="0" applyFont="1" applyBorder="1" applyAlignment="1">
      <alignment vertical="top"/>
    </xf>
    <xf numFmtId="0" fontId="4" fillId="0" borderId="0" xfId="0" applyFont="1" applyAlignment="1">
      <alignment vertical="top"/>
    </xf>
    <xf numFmtId="3" fontId="0" fillId="0" borderId="15" xfId="0" applyNumberFormat="1" applyBorder="1" applyAlignment="1">
      <alignment shrinkToFit="1"/>
    </xf>
    <xf numFmtId="3" fontId="0" fillId="0" borderId="3" xfId="0" applyNumberFormat="1" applyBorder="1"/>
    <xf numFmtId="3" fontId="0" fillId="0" borderId="14" xfId="0" applyNumberFormat="1" applyBorder="1"/>
    <xf numFmtId="2" fontId="0" fillId="0" borderId="19" xfId="0" applyNumberFormat="1" applyBorder="1" applyAlignment="1" applyProtection="1">
      <alignment shrinkToFit="1"/>
      <protection locked="0"/>
    </xf>
    <xf numFmtId="0" fontId="8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2" fontId="0" fillId="0" borderId="4" xfId="0" applyNumberFormat="1" applyBorder="1" applyAlignment="1" applyProtection="1">
      <alignment shrinkToFit="1"/>
      <protection locked="0"/>
    </xf>
    <xf numFmtId="3" fontId="0" fillId="0" borderId="26" xfId="0" applyNumberFormat="1" applyBorder="1" applyAlignment="1">
      <alignment shrinkToFit="1"/>
    </xf>
    <xf numFmtId="3" fontId="0" fillId="0" borderId="27" xfId="0" applyNumberFormat="1" applyBorder="1" applyAlignment="1">
      <alignment shrinkToFit="1"/>
    </xf>
    <xf numFmtId="0" fontId="0" fillId="0" borderId="24" xfId="0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2" fillId="0" borderId="16" xfId="0" applyFont="1" applyBorder="1" applyAlignment="1" applyProtection="1">
      <alignment horizontal="center" vertical="center" textRotation="90" wrapText="1"/>
      <protection locked="0"/>
    </xf>
    <xf numFmtId="0" fontId="9" fillId="0" borderId="16" xfId="0" applyFont="1" applyBorder="1" applyAlignment="1" applyProtection="1">
      <alignment horizontal="center" vertical="center" textRotation="90" wrapText="1"/>
      <protection locked="0"/>
    </xf>
    <xf numFmtId="0" fontId="0" fillId="0" borderId="20" xfId="0" applyBorder="1"/>
    <xf numFmtId="3" fontId="0" fillId="0" borderId="30" xfId="0" applyNumberFormat="1" applyBorder="1" applyAlignment="1">
      <alignment shrinkToFit="1"/>
    </xf>
    <xf numFmtId="3" fontId="0" fillId="0" borderId="20" xfId="0" applyNumberFormat="1" applyBorder="1" applyAlignment="1">
      <alignment shrinkToFit="1"/>
    </xf>
    <xf numFmtId="0" fontId="1" fillId="0" borderId="28" xfId="0" applyFont="1" applyBorder="1" applyAlignment="1">
      <alignment horizontal="center" vertical="center"/>
    </xf>
    <xf numFmtId="3" fontId="0" fillId="0" borderId="31" xfId="0" applyNumberFormat="1" applyBorder="1" applyAlignment="1">
      <alignment shrinkToFit="1"/>
    </xf>
    <xf numFmtId="3" fontId="0" fillId="0" borderId="29" xfId="0" applyNumberFormat="1" applyBorder="1"/>
    <xf numFmtId="2" fontId="0" fillId="0" borderId="40" xfId="0" applyNumberFormat="1" applyBorder="1" applyAlignment="1" applyProtection="1">
      <alignment shrinkToFit="1"/>
      <protection locked="0"/>
    </xf>
    <xf numFmtId="2" fontId="0" fillId="0" borderId="34" xfId="0" applyNumberFormat="1" applyBorder="1" applyAlignment="1" applyProtection="1">
      <alignment shrinkToFit="1"/>
      <protection locked="0"/>
    </xf>
    <xf numFmtId="2" fontId="0" fillId="0" borderId="35" xfId="0" applyNumberFormat="1" applyBorder="1"/>
    <xf numFmtId="0" fontId="0" fillId="0" borderId="32" xfId="0" applyBorder="1" applyAlignment="1">
      <alignment horizontal="center" vertical="center"/>
    </xf>
    <xf numFmtId="2" fontId="0" fillId="0" borderId="33" xfId="0" applyNumberFormat="1" applyBorder="1" applyAlignment="1" applyProtection="1">
      <alignment shrinkToFit="1"/>
      <protection locked="0"/>
    </xf>
    <xf numFmtId="0" fontId="0" fillId="0" borderId="41" xfId="0" applyBorder="1" applyAlignment="1">
      <alignment horizontal="center" vertical="center"/>
    </xf>
    <xf numFmtId="0" fontId="0" fillId="0" borderId="42" xfId="0" applyBorder="1" applyProtection="1">
      <protection locked="0"/>
    </xf>
    <xf numFmtId="0" fontId="0" fillId="0" borderId="43" xfId="0" applyBorder="1"/>
    <xf numFmtId="0" fontId="10" fillId="4" borderId="32" xfId="0" applyFont="1" applyFill="1" applyBorder="1" applyAlignment="1">
      <alignment horizontal="center" vertical="center" wrapText="1"/>
    </xf>
    <xf numFmtId="0" fontId="10" fillId="5" borderId="47" xfId="0" applyFont="1" applyFill="1" applyBorder="1" applyAlignment="1">
      <alignment horizontal="center" vertical="center"/>
    </xf>
    <xf numFmtId="0" fontId="10" fillId="5" borderId="25" xfId="0" applyFont="1" applyFill="1" applyBorder="1" applyAlignment="1">
      <alignment horizontal="center" vertical="center"/>
    </xf>
    <xf numFmtId="0" fontId="10" fillId="5" borderId="23" xfId="0" applyFont="1" applyFill="1" applyBorder="1" applyAlignment="1">
      <alignment horizontal="center" vertical="center" wrapText="1"/>
    </xf>
    <xf numFmtId="0" fontId="10" fillId="5" borderId="32" xfId="0" applyFont="1" applyFill="1" applyBorder="1" applyAlignment="1">
      <alignment horizontal="center" vertical="center" wrapText="1"/>
    </xf>
    <xf numFmtId="0" fontId="10" fillId="5" borderId="44" xfId="0" applyFont="1" applyFill="1" applyBorder="1" applyAlignment="1">
      <alignment horizontal="center" vertical="center" wrapText="1"/>
    </xf>
    <xf numFmtId="0" fontId="11" fillId="5" borderId="3" xfId="0" applyFont="1" applyFill="1" applyBorder="1"/>
    <xf numFmtId="0" fontId="11" fillId="5" borderId="37" xfId="0" applyFont="1" applyFill="1" applyBorder="1"/>
    <xf numFmtId="3" fontId="11" fillId="5" borderId="46" xfId="0" applyNumberFormat="1" applyFont="1" applyFill="1" applyBorder="1" applyAlignment="1">
      <alignment horizontal="center" vertical="center" shrinkToFit="1"/>
    </xf>
    <xf numFmtId="3" fontId="11" fillId="5" borderId="38" xfId="0" applyNumberFormat="1" applyFont="1" applyFill="1" applyBorder="1" applyAlignment="1">
      <alignment horizontal="center" vertical="center" shrinkToFit="1"/>
    </xf>
    <xf numFmtId="3" fontId="11" fillId="5" borderId="39" xfId="0" applyNumberFormat="1" applyFont="1" applyFill="1" applyBorder="1" applyAlignment="1">
      <alignment horizontal="center" vertical="center"/>
    </xf>
    <xf numFmtId="3" fontId="11" fillId="5" borderId="27" xfId="0" applyNumberFormat="1" applyFont="1" applyFill="1" applyBorder="1" applyAlignment="1">
      <alignment horizontal="center" vertical="center" shrinkToFit="1"/>
    </xf>
    <xf numFmtId="3" fontId="11" fillId="5" borderId="13" xfId="0" applyNumberFormat="1" applyFont="1" applyFill="1" applyBorder="1" applyAlignment="1">
      <alignment horizontal="center" vertical="center" shrinkToFit="1"/>
    </xf>
    <xf numFmtId="3" fontId="11" fillId="5" borderId="14" xfId="0" applyNumberFormat="1" applyFont="1" applyFill="1" applyBorder="1" applyAlignment="1">
      <alignment horizontal="center" vertical="center" shrinkToFit="1"/>
    </xf>
    <xf numFmtId="0" fontId="11" fillId="4" borderId="3" xfId="0" applyFont="1" applyFill="1" applyBorder="1" applyAlignment="1">
      <alignment horizontal="center" vertical="center" wrapText="1"/>
    </xf>
    <xf numFmtId="0" fontId="10" fillId="5" borderId="3" xfId="0" applyFont="1" applyFill="1" applyBorder="1"/>
    <xf numFmtId="3" fontId="11" fillId="5" borderId="15" xfId="0" applyNumberFormat="1" applyFont="1" applyFill="1" applyBorder="1" applyAlignment="1">
      <alignment horizontal="center" vertical="center" shrinkToFit="1"/>
    </xf>
    <xf numFmtId="3" fontId="11" fillId="5" borderId="3" xfId="0" applyNumberFormat="1" applyFont="1" applyFill="1" applyBorder="1" applyAlignment="1">
      <alignment horizontal="center" vertical="center" shrinkToFit="1"/>
    </xf>
    <xf numFmtId="3" fontId="11" fillId="5" borderId="21" xfId="0" applyNumberFormat="1" applyFont="1" applyFill="1" applyBorder="1" applyAlignment="1">
      <alignment horizontal="center" vertical="center" shrinkToFit="1"/>
    </xf>
    <xf numFmtId="3" fontId="11" fillId="5" borderId="22" xfId="0" applyNumberFormat="1" applyFont="1" applyFill="1" applyBorder="1" applyAlignment="1">
      <alignment horizontal="center" vertical="center" shrinkToFit="1"/>
    </xf>
    <xf numFmtId="0" fontId="10" fillId="5" borderId="23" xfId="0" applyFont="1" applyFill="1" applyBorder="1" applyAlignment="1">
      <alignment horizontal="center" vertical="center"/>
    </xf>
    <xf numFmtId="0" fontId="10" fillId="4" borderId="48" xfId="0" applyFont="1" applyFill="1" applyBorder="1" applyAlignment="1">
      <alignment horizontal="center" vertical="center" wrapText="1"/>
    </xf>
    <xf numFmtId="0" fontId="11" fillId="4" borderId="51" xfId="0" applyFont="1" applyFill="1" applyBorder="1" applyAlignment="1">
      <alignment horizontal="center" vertical="center" wrapText="1"/>
    </xf>
    <xf numFmtId="3" fontId="0" fillId="0" borderId="14" xfId="0" applyNumberFormat="1" applyBorder="1" applyAlignment="1">
      <alignment shrinkToFit="1"/>
    </xf>
    <xf numFmtId="3" fontId="10" fillId="5" borderId="8" xfId="0" applyNumberFormat="1" applyFont="1" applyFill="1" applyBorder="1" applyAlignment="1">
      <alignment horizontal="center" vertical="center" wrapText="1"/>
    </xf>
    <xf numFmtId="3" fontId="11" fillId="5" borderId="35" xfId="0" applyNumberFormat="1" applyFont="1" applyFill="1" applyBorder="1"/>
    <xf numFmtId="0" fontId="10" fillId="5" borderId="21" xfId="0" applyFont="1" applyFill="1" applyBorder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 wrapText="1"/>
      <protection locked="0"/>
    </xf>
    <xf numFmtId="0" fontId="10" fillId="5" borderId="33" xfId="0" applyFont="1" applyFill="1" applyBorder="1" applyAlignment="1" applyProtection="1">
      <alignment horizontal="center" vertical="center" wrapText="1"/>
      <protection locked="0"/>
    </xf>
    <xf numFmtId="3" fontId="10" fillId="5" borderId="34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45" xfId="0" applyFont="1" applyFill="1" applyBorder="1" applyAlignment="1" applyProtection="1">
      <alignment horizontal="center" vertical="center" wrapText="1"/>
      <protection locked="0"/>
    </xf>
    <xf numFmtId="3" fontId="11" fillId="5" borderId="36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36" xfId="0" applyFont="1" applyFill="1" applyBorder="1" applyAlignment="1" applyProtection="1">
      <alignment horizontal="center" vertical="center" wrapText="1"/>
      <protection locked="0"/>
    </xf>
    <xf numFmtId="0" fontId="11" fillId="4" borderId="49" xfId="0" applyFont="1" applyFill="1" applyBorder="1" applyAlignment="1" applyProtection="1">
      <alignment horizontal="center" vertical="center" wrapText="1"/>
      <protection locked="0"/>
    </xf>
    <xf numFmtId="0" fontId="11" fillId="4" borderId="52" xfId="0" applyFont="1" applyFill="1" applyBorder="1" applyAlignment="1" applyProtection="1">
      <alignment horizontal="center" vertical="center" wrapText="1"/>
      <protection locked="0"/>
    </xf>
    <xf numFmtId="0" fontId="11" fillId="4" borderId="50" xfId="0" applyFont="1" applyFill="1" applyBorder="1" applyAlignment="1" applyProtection="1">
      <alignment horizontal="center" vertical="center" wrapText="1"/>
      <protection locked="0"/>
    </xf>
    <xf numFmtId="3" fontId="11" fillId="5" borderId="33" xfId="0" applyNumberFormat="1" applyFont="1" applyFill="1" applyBorder="1" applyAlignment="1" applyProtection="1">
      <alignment horizontal="center" vertical="center" wrapText="1"/>
      <protection locked="0"/>
    </xf>
    <xf numFmtId="0" fontId="11" fillId="4" borderId="26" xfId="0" applyFont="1" applyFill="1" applyBorder="1" applyAlignment="1" applyProtection="1">
      <alignment horizontal="center" vertical="center" wrapText="1"/>
      <protection locked="0"/>
    </xf>
    <xf numFmtId="0" fontId="11" fillId="4" borderId="15" xfId="0" applyFont="1" applyFill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4" fillId="0" borderId="11" xfId="0" applyFont="1" applyBorder="1" applyAlignment="1">
      <alignment horizontal="centerContinuous" vertical="center" wrapText="1"/>
    </xf>
    <xf numFmtId="0" fontId="0" fillId="0" borderId="11" xfId="0" applyBorder="1" applyAlignment="1">
      <alignment horizontal="centerContinuous" vertical="center" wrapText="1"/>
    </xf>
    <xf numFmtId="1" fontId="0" fillId="0" borderId="34" xfId="0" applyNumberFormat="1" applyBorder="1" applyAlignment="1" applyProtection="1">
      <alignment horizontal="center" vertical="center"/>
      <protection locked="0"/>
    </xf>
    <xf numFmtId="0" fontId="0" fillId="0" borderId="35" xfId="0" applyBorder="1"/>
    <xf numFmtId="0" fontId="15" fillId="0" borderId="1" xfId="0" applyFont="1" applyBorder="1" applyAlignment="1" applyProtection="1">
      <alignment horizontal="center" vertical="center" textRotation="90" wrapText="1"/>
      <protection locked="0"/>
    </xf>
    <xf numFmtId="0" fontId="16" fillId="0" borderId="1" xfId="0" applyFont="1" applyBorder="1" applyAlignment="1" applyProtection="1">
      <alignment horizontal="center" vertical="center" textRotation="90" wrapText="1"/>
      <protection locked="0"/>
    </xf>
    <xf numFmtId="0" fontId="9" fillId="0" borderId="18" xfId="0" applyFont="1" applyBorder="1" applyAlignment="1">
      <alignment horizontal="center" vertical="center" textRotation="90" wrapText="1"/>
    </xf>
    <xf numFmtId="0" fontId="9" fillId="0" borderId="0" xfId="0" applyFont="1" applyAlignment="1">
      <alignment horizontal="center" vertical="center" textRotation="90" wrapText="1"/>
    </xf>
    <xf numFmtId="0" fontId="7" fillId="0" borderId="6" xfId="0" applyFont="1" applyBorder="1" applyAlignment="1">
      <alignment horizontal="left" vertical="center" textRotation="90"/>
    </xf>
    <xf numFmtId="0" fontId="7" fillId="0" borderId="9" xfId="0" applyFont="1" applyBorder="1" applyAlignment="1">
      <alignment horizontal="left" vertical="center" textRotation="90"/>
    </xf>
    <xf numFmtId="0" fontId="2" fillId="0" borderId="18" xfId="0" applyFont="1" applyBorder="1" applyAlignment="1">
      <alignment horizontal="center" vertical="center" textRotation="90" wrapText="1"/>
    </xf>
    <xf numFmtId="0" fontId="2" fillId="0" borderId="0" xfId="0" applyFont="1" applyAlignment="1">
      <alignment horizontal="center" vertical="center" textRotation="90" wrapText="1"/>
    </xf>
    <xf numFmtId="0" fontId="4" fillId="0" borderId="6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14" fontId="4" fillId="0" borderId="0" xfId="0" applyNumberFormat="1" applyFont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49" xfId="0" applyFont="1" applyBorder="1" applyAlignment="1">
      <alignment horizontal="center" vertical="center" wrapText="1"/>
    </xf>
    <xf numFmtId="0" fontId="4" fillId="0" borderId="50" xfId="0" applyFont="1" applyBorder="1" applyAlignment="1">
      <alignment horizontal="center" vertical="center" wrapText="1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</cellXfs>
  <cellStyles count="6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Percent [2]" xfId="4" xr:uid="{00000000-0005-0000-0000-000004000000}"/>
    <cellStyle name="標準_品質検査" xfId="5" xr:uid="{00000000-0005-0000-0000-000005000000}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externalLink" Target="externalLinks/externalLink16.xml"/><Relationship Id="rId3" Type="http://schemas.openxmlformats.org/officeDocument/2006/relationships/externalLink" Target="externalLinks/externalLink1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externalLink" Target="externalLinks/externalLink1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externalLink" Target="externalLinks/externalLink13.xml"/><Relationship Id="rId23" Type="http://schemas.microsoft.com/office/2006/relationships/vbaProject" Target="vbaProject.bin"/><Relationship Id="rId10" Type="http://schemas.openxmlformats.org/officeDocument/2006/relationships/externalLink" Target="externalLinks/externalLink8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834518422753713E-2"/>
          <c:y val="4.1416111447607505E-2"/>
          <c:w val="0.94570135746606332"/>
          <c:h val="0.92430900861801724"/>
        </c:manualLayout>
      </c:layout>
      <c:lineChart>
        <c:grouping val="standard"/>
        <c:varyColors val="0"/>
        <c:ser>
          <c:idx val="0"/>
          <c:order val="0"/>
          <c:tx>
            <c:v>PORECENTAGEM</c:v>
          </c:tx>
          <c:spPr>
            <a:ln w="254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strRef>
              <c:f>'SJCPIL-R 14-002-03 - Diurno'!$B$2:$Z$2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'SJCPIL-R 14-002-03 - Diurno'!$B$19:$Y$19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82-406A-8C25-BF7664D67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267360"/>
        <c:axId val="22026422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14-002-03 - Diurno'!$B$43:$Y$43</c:f>
              <c:numCache>
                <c:formatCode>#,##0</c:formatCode>
                <c:ptCount val="24"/>
                <c:pt idx="0">
                  <c:v>30650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82-406A-8C25-BF7664D67B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66576"/>
        <c:axId val="220266968"/>
      </c:scatterChart>
      <c:catAx>
        <c:axId val="22026736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220264224"/>
        <c:crosses val="autoZero"/>
        <c:auto val="1"/>
        <c:lblAlgn val="ctr"/>
        <c:lblOffset val="100"/>
        <c:noMultiLvlLbl val="0"/>
      </c:catAx>
      <c:valAx>
        <c:axId val="220264224"/>
        <c:scaling>
          <c:orientation val="minMax"/>
          <c:max val="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0267360"/>
        <c:crosses val="autoZero"/>
        <c:crossBetween val="between"/>
      </c:valAx>
      <c:valAx>
        <c:axId val="220266968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20266576"/>
        <c:crosses val="max"/>
        <c:crossBetween val="midCat"/>
      </c:valAx>
      <c:valAx>
        <c:axId val="220266576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0266968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23717119448038E-2"/>
          <c:y val="4.3850342236632173E-2"/>
          <c:w val="0.94717577831878397"/>
          <c:h val="0.92321012814574643"/>
        </c:manualLayout>
      </c:layout>
      <c:lineChart>
        <c:grouping val="standard"/>
        <c:varyColors val="0"/>
        <c:ser>
          <c:idx val="0"/>
          <c:order val="0"/>
          <c:tx>
            <c:v>PORCENTAGEM</c:v>
          </c:tx>
          <c:spPr>
            <a:ln w="254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strRef>
              <c:f>'SJCPIL-R 14-002-03 - Diurno'!$B$2:$Z$2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'SJCPIL-R 14-002-03 - Diurno'!$B$36:$Y$36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2-416F-B6C9-F60C5B652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265792"/>
        <c:axId val="22026618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14-002-03 - Diurno'!$B$44:$Y$44</c:f>
              <c:numCache>
                <c:formatCode>#,##0</c:formatCode>
                <c:ptCount val="24"/>
                <c:pt idx="0">
                  <c:v>18470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C2-416F-B6C9-F60C5B652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65008"/>
        <c:axId val="220264616"/>
      </c:scatterChart>
      <c:catAx>
        <c:axId val="220265792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220266184"/>
        <c:crosses val="autoZero"/>
        <c:auto val="1"/>
        <c:lblAlgn val="ctr"/>
        <c:lblOffset val="100"/>
        <c:noMultiLvlLbl val="0"/>
      </c:catAx>
      <c:valAx>
        <c:axId val="220266184"/>
        <c:scaling>
          <c:orientation val="minMax"/>
          <c:max val="3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0265792"/>
        <c:crosses val="autoZero"/>
        <c:crossBetween val="between"/>
        <c:majorUnit val="5000"/>
        <c:minorUnit val="1000"/>
      </c:valAx>
      <c:valAx>
        <c:axId val="220264616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20265008"/>
        <c:crosses val="max"/>
        <c:crossBetween val="midCat"/>
      </c:valAx>
      <c:valAx>
        <c:axId val="220265008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0264616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7834518422753713E-2"/>
          <c:y val="4.1416111447607505E-2"/>
          <c:w val="0.94570135746606332"/>
          <c:h val="0.92430900861801724"/>
        </c:manualLayout>
      </c:layout>
      <c:lineChart>
        <c:grouping val="standard"/>
        <c:varyColors val="0"/>
        <c:ser>
          <c:idx val="0"/>
          <c:order val="0"/>
          <c:tx>
            <c:v>PORECENTAGEM</c:v>
          </c:tx>
          <c:spPr>
            <a:ln w="254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strRef>
              <c:f>'SJCPIL-R 14-002-03 - Noite'!$B$2:$Z$2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'SJCPIL-R 14-002-03 - Noite'!$B$19:$Y$19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4E-4FED-8A07-A7EE44E11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21800"/>
        <c:axId val="220922584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14-002-03 - Noite'!$B$43:$Y$43</c:f>
              <c:numCache>
                <c:formatCode>#,##0</c:formatCode>
                <c:ptCount val="24"/>
                <c:pt idx="0">
                  <c:v>30650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4E-4FED-8A07-A7EE44E11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192"/>
        <c:axId val="220918272"/>
      </c:scatterChart>
      <c:catAx>
        <c:axId val="220921800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220922584"/>
        <c:crosses val="autoZero"/>
        <c:auto val="1"/>
        <c:lblAlgn val="ctr"/>
        <c:lblOffset val="100"/>
        <c:noMultiLvlLbl val="0"/>
      </c:catAx>
      <c:valAx>
        <c:axId val="220922584"/>
        <c:scaling>
          <c:orientation val="minMax"/>
          <c:max val="5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0921800"/>
        <c:crosses val="autoZero"/>
        <c:crossBetween val="between"/>
      </c:valAx>
      <c:valAx>
        <c:axId val="220918272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20922192"/>
        <c:crosses val="max"/>
        <c:crossBetween val="midCat"/>
      </c:valAx>
      <c:valAx>
        <c:axId val="22092219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0918272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023717119448038E-2"/>
          <c:y val="4.3850342236632173E-2"/>
          <c:w val="0.94717577831878397"/>
          <c:h val="0.92321012814574643"/>
        </c:manualLayout>
      </c:layout>
      <c:lineChart>
        <c:grouping val="standard"/>
        <c:varyColors val="0"/>
        <c:ser>
          <c:idx val="0"/>
          <c:order val="0"/>
          <c:tx>
            <c:v>PORCENTAGEM</c:v>
          </c:tx>
          <c:spPr>
            <a:ln w="25400">
              <a:solidFill>
                <a:srgbClr val="002060"/>
              </a:solidFill>
              <a:prstDash val="solid"/>
            </a:ln>
          </c:spPr>
          <c:marker>
            <c:symbol val="none"/>
          </c:marker>
          <c:cat>
            <c:strRef>
              <c:f>'SJCPIL-R 14-002-03 - Noite'!$B$2:$Z$2</c:f>
              <c:strCache>
                <c:ptCount val="25"/>
                <c:pt idx="24">
                  <c:v>TOTAL</c:v>
                </c:pt>
              </c:strCache>
            </c:strRef>
          </c:cat>
          <c:val>
            <c:numRef>
              <c:f>'SJCPIL-R 14-002-03 - Noite'!$B$36:$Y$36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30-4D1C-B55B-239DA59B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0919056"/>
        <c:axId val="220915920"/>
      </c:lineChart>
      <c:scatterChart>
        <c:scatterStyle val="lineMarker"/>
        <c:varyColors val="0"/>
        <c:ser>
          <c:idx val="1"/>
          <c:order val="1"/>
          <c:tx>
            <c:v>objetivo</c:v>
          </c:tx>
          <c:spPr>
            <a:ln w="25400">
              <a:noFill/>
            </a:ln>
          </c:spPr>
          <c:marker>
            <c:symbol val="none"/>
          </c:marker>
          <c:dLbls>
            <c:spPr>
              <a:solidFill>
                <a:srgbClr val="FF0000"/>
              </a:solidFill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both"/>
            <c:errValType val="fixedVal"/>
            <c:noEndCap val="0"/>
            <c:val val="1"/>
            <c:spPr>
              <a:ln w="25400">
                <a:solidFill>
                  <a:srgbClr val="FF0000"/>
                </a:solidFill>
              </a:ln>
            </c:spPr>
          </c:errBars>
          <c:yVal>
            <c:numRef>
              <c:f>'SJCPIL-R 14-002-03 - Noite'!$B$44:$Y$44</c:f>
              <c:numCache>
                <c:formatCode>#,##0</c:formatCode>
                <c:ptCount val="24"/>
                <c:pt idx="0">
                  <c:v>18470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E30-4D1C-B55B-239DA59B77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16312"/>
        <c:axId val="220919840"/>
      </c:scatterChart>
      <c:catAx>
        <c:axId val="22091905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crossAx val="220915920"/>
        <c:crosses val="autoZero"/>
        <c:auto val="1"/>
        <c:lblAlgn val="ctr"/>
        <c:lblOffset val="100"/>
        <c:noMultiLvlLbl val="0"/>
      </c:catAx>
      <c:valAx>
        <c:axId val="220915920"/>
        <c:scaling>
          <c:orientation val="minMax"/>
          <c:max val="300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0919056"/>
        <c:crosses val="autoZero"/>
        <c:crossBetween val="between"/>
        <c:majorUnit val="5000"/>
        <c:minorUnit val="1000"/>
      </c:valAx>
      <c:valAx>
        <c:axId val="220919840"/>
        <c:scaling>
          <c:orientation val="minMax"/>
        </c:scaling>
        <c:delete val="1"/>
        <c:axPos val="r"/>
        <c:numFmt formatCode="#,##0" sourceLinked="1"/>
        <c:majorTickMark val="out"/>
        <c:minorTickMark val="none"/>
        <c:tickLblPos val="nextTo"/>
        <c:crossAx val="220916312"/>
        <c:crosses val="max"/>
        <c:crossBetween val="midCat"/>
      </c:valAx>
      <c:valAx>
        <c:axId val="220916312"/>
        <c:scaling>
          <c:orientation val="minMax"/>
          <c:max val="2"/>
          <c:min val="0"/>
        </c:scaling>
        <c:delete val="1"/>
        <c:axPos val="t"/>
        <c:majorTickMark val="out"/>
        <c:minorTickMark val="none"/>
        <c:tickLblPos val="nextTo"/>
        <c:crossAx val="220919840"/>
        <c:crosses val="max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3</xdr:row>
      <xdr:rowOff>57150</xdr:rowOff>
    </xdr:from>
    <xdr:to>
      <xdr:col>25</xdr:col>
      <xdr:colOff>101025</xdr:colOff>
      <xdr:row>10</xdr:row>
      <xdr:rowOff>276225</xdr:rowOff>
    </xdr:to>
    <xdr:graphicFrame macro="">
      <xdr:nvGraphicFramePr>
        <xdr:cNvPr id="1054" name="Gráfico 6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22</xdr:row>
      <xdr:rowOff>114300</xdr:rowOff>
    </xdr:from>
    <xdr:to>
      <xdr:col>25</xdr:col>
      <xdr:colOff>53400</xdr:colOff>
      <xdr:row>30</xdr:row>
      <xdr:rowOff>28575</xdr:rowOff>
    </xdr:to>
    <xdr:graphicFrame macro="">
      <xdr:nvGraphicFramePr>
        <xdr:cNvPr id="1056" name="Gráfico 8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3</xdr:row>
      <xdr:rowOff>57150</xdr:rowOff>
    </xdr:from>
    <xdr:to>
      <xdr:col>25</xdr:col>
      <xdr:colOff>101025</xdr:colOff>
      <xdr:row>10</xdr:row>
      <xdr:rowOff>276225</xdr:rowOff>
    </xdr:to>
    <xdr:graphicFrame macro="">
      <xdr:nvGraphicFramePr>
        <xdr:cNvPr id="3" name="Gráfico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600075</xdr:colOff>
      <xdr:row>22</xdr:row>
      <xdr:rowOff>57150</xdr:rowOff>
    </xdr:from>
    <xdr:to>
      <xdr:col>25</xdr:col>
      <xdr:colOff>53400</xdr:colOff>
      <xdr:row>29</xdr:row>
      <xdr:rowOff>285750</xdr:rowOff>
    </xdr:to>
    <xdr:graphicFrame macro="">
      <xdr:nvGraphicFramePr>
        <xdr:cNvPr id="4" name="Gráfico 8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ANASONIC-SJC\PBRVOL1\DADOS\PIL\PUB\PROG\proj20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PROGRAMA&#199;&#195;O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ELETROL&#205;TICO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MISTURA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MONTAGE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AQUISI&#199;&#195;O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ACABAMENTO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CQ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FUNDIC&#195;O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BLINDAGEM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PR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INJETORA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IMPREGNA&#199;&#195;O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r-sjc-sup-01\pbrvol1\DADOS\PIL\ISO9002\Versao%202000\Formularios\F-7\FPGQ-7-ESTAMPARIA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ADOS/PIL/PUB/QUALIDADE/FY2021/(1)%20Quality%20Business%20Plan/1.3%20-%20Medi&#231;&#227;o%20e%20Monitoramento/SJCPIL%2016-006-08%20-%20FY2021%20-%20Medi&#231;&#227;o%20e%20Monitoramen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04 Rev 01"/>
      <sheetName val="F-7.05 Rev 01"/>
      <sheetName val="F-7.06 Rev 01"/>
      <sheetName val="F-7.07 Rev 00"/>
      <sheetName val="F-7.08 Rev 02"/>
      <sheetName val="F-7.09 Rev 01"/>
      <sheetName val="F-7.10 Rev 00"/>
      <sheetName val="F-7.11 Rev 00"/>
      <sheetName val="F-7.12  Rev 00"/>
      <sheetName val="F-7.13 Rev 00"/>
      <sheetName val="F-7.14 Rev 00"/>
      <sheetName val="F-7.23 Rev 00"/>
      <sheetName val="F-7.24 Rev 00"/>
      <sheetName val="F-7.25 Rev 01"/>
      <sheetName val="F-7.26 Rev 00"/>
      <sheetName val="F-7.27 Rev 00"/>
      <sheetName val="F-7.28 Rev 00"/>
      <sheetName val="F-7.29 Rev 00"/>
      <sheetName val="F-7.30 Rev 00"/>
      <sheetName val="F7.31 Rev 00"/>
      <sheetName val="F-7.32 Rev 00"/>
      <sheetName val="F-7.33 Rev 00"/>
      <sheetName val="F-7.34 Rev 00"/>
      <sheetName val="F-7.35 Rev 01"/>
      <sheetName val="F-7.36 Rev 00"/>
      <sheetName val="F-7.37 Rev 00"/>
      <sheetName val="F-7.38 Rev 01"/>
      <sheetName val="F-7.39 Rev 01"/>
      <sheetName val="F-7.40 Rev 00"/>
      <sheetName val="F-7.41 Rev 03"/>
      <sheetName val="F-7.42 Rev 00"/>
      <sheetName val="F-7.43 Rev 00"/>
      <sheetName val="F-7.44 Rev 01"/>
      <sheetName val="F-7.45 Rev 00"/>
      <sheetName val="F-7.46 Rev 01"/>
      <sheetName val="F-7.47 Rev 01"/>
      <sheetName val="F-7.48 Rev 00"/>
      <sheetName val="F-7.49 Rev 01"/>
      <sheetName val="F-7.50 Rev 00"/>
      <sheetName val="F-7.51 Rev 01"/>
      <sheetName val="F-7.52 Rev 01(1)"/>
      <sheetName val="F-7.52 Rev 01"/>
      <sheetName val="F-7.53 Rev 02"/>
      <sheetName val="F-7.54 Rev 01"/>
      <sheetName val="F-7.55 Rev 00"/>
      <sheetName val="F-7.56 Rev 00"/>
      <sheetName val="F-7.57 Rev 00"/>
      <sheetName val="F-7.58 Rev 02"/>
      <sheetName val="F-7.59 Rev 00"/>
      <sheetName val="F-7.60 Rev 00"/>
      <sheetName val="F-7.61 Rev 00"/>
      <sheetName val="F-7.62 Rev 00"/>
      <sheetName val="F-7.63 Rev 00"/>
      <sheetName val="F-7.64 Rev 00"/>
      <sheetName val="F-7.65 Rev 00"/>
      <sheetName val="F-7.66 Rev 01"/>
      <sheetName val="F-7.67 Rev 00"/>
      <sheetName val="F-7.68 Rev 00"/>
      <sheetName val="F-7.69 Rev 00"/>
      <sheetName val="F-7.70 Rev 00"/>
      <sheetName val="F-7.71 Rev 00"/>
      <sheetName val="F-7.72 Rev 01"/>
      <sheetName val="F-7.73 Rev 00"/>
      <sheetName val="F-7.74 Rev 00"/>
      <sheetName val="F-7.75 Rev 00"/>
      <sheetName val="F-7.76 Rev 00"/>
      <sheetName val="F-7.88 Rev 01"/>
      <sheetName val="F-7.89 Rev 01"/>
      <sheetName val="F-7.90 Rev 01"/>
      <sheetName val="F-7.91 Rev 00"/>
      <sheetName val="F-7.92 Rev 00"/>
      <sheetName val="F-7.93 Rev 00"/>
      <sheetName val="F-7.94 Rev 00"/>
      <sheetName val="F-7.95 Rev 00"/>
      <sheetName val="F-7.96 Rev 00"/>
      <sheetName val="F-7.97 Rev 00"/>
      <sheetName val="F-7.98 Rev 01"/>
      <sheetName val="F-7.99 Rev 01"/>
      <sheetName val="F-7.99 Rev 02"/>
      <sheetName val="F-7.100 Rev 00"/>
      <sheetName val="F-7.101 Rev 00"/>
      <sheetName val="F-7.102 Rev 00"/>
      <sheetName val="F-7.103 Rev 01 "/>
      <sheetName val="F-7.105 Rev 00"/>
      <sheetName val="F-7.108 Rev 00"/>
      <sheetName val="F-7.109 Rev 00"/>
      <sheetName val="F-7.111 Rev 00"/>
      <sheetName val="F-7.112 Rev 00"/>
      <sheetName val="F-7.113 Rev 00"/>
      <sheetName val="F-7.114 Rev 00"/>
      <sheetName val="F-7.115 Rev 01"/>
      <sheetName val="F-7.116 Rev 00"/>
      <sheetName val="F-7.117  Rev 00 "/>
      <sheetName val="F-7.118 Rev 02"/>
      <sheetName val="F-7.119 Rev 01"/>
      <sheetName val="F-7.120 Rev 00"/>
      <sheetName val="F-7.121 Rev 00"/>
      <sheetName val="F-7.122 Rev 00"/>
      <sheetName val="F-7.123 Rev 00"/>
      <sheetName val="F-7.124 Rev 00 "/>
      <sheetName val="F-7.126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g"/>
      <sheetName val="Proj-cal (2)"/>
      <sheetName val="Alk Nac"/>
      <sheetName val="Alk Imp"/>
      <sheetName val="Zinc Air"/>
      <sheetName val="Ni Cadmium"/>
      <sheetName val="Lithium"/>
      <sheetName val="Outros"/>
      <sheetName val="LANT"/>
      <sheetName val="VLR-MENSAL (2)"/>
      <sheetName val="VLR-MENSAL"/>
      <sheetName val="Plan7"/>
      <sheetName val="Plan8"/>
      <sheetName val="Plan9"/>
      <sheetName val="Plan10"/>
      <sheetName val="Plan11"/>
      <sheetName val="Plan12"/>
      <sheetName val="Plan13"/>
      <sheetName val="Plan14"/>
      <sheetName val="Plan15"/>
      <sheetName val="Plan1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1 Rev 00"/>
      <sheetName val="F-7.02 Rev 00"/>
      <sheetName val="F-7.03 Rev 00"/>
      <sheetName val="F-7.29 Rev 00"/>
    </sheetNames>
    <sheetDataSet>
      <sheetData sheetId="0"/>
      <sheetData sheetId="1"/>
      <sheetData sheetId="2">
        <row r="1">
          <cell r="A1" t="str">
            <v xml:space="preserve"> Div. Pilhas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4 Rev 01"/>
      <sheetName val="F-7.05 Rev 01"/>
      <sheetName val="F-7.06 Rev 01"/>
      <sheetName val="F-7.68 Rev 00"/>
      <sheetName val="F-7.136 Rev 00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07 Rev 00"/>
      <sheetName val="F-7.08 Rev 02"/>
      <sheetName val="F-7.09 Rev 01"/>
      <sheetName val="F-7.10 Rev 00"/>
      <sheetName val="F-7.139 Rev 00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8 Rev 01"/>
      <sheetName val="F-7.41 Rev 03"/>
      <sheetName val="F-7.42 Rev 00"/>
      <sheetName val="F-7.44 Rev 01"/>
      <sheetName val="F-7.45 Rev 00"/>
      <sheetName val="F-7.46 Rev 01"/>
      <sheetName val="F-7.47 Rev 01"/>
      <sheetName val="F-7.48 Rev 00"/>
      <sheetName val="F-7.49 Rev 01"/>
      <sheetName val="F-7.52 Rev 01"/>
      <sheetName val="F-7.53 Rev 02"/>
      <sheetName val="F-7.57 Rev 00"/>
      <sheetName val="F-7.58 Rev 02"/>
      <sheetName val="F-7.66 Rev 01"/>
      <sheetName val="F-7.72 Rev 01"/>
      <sheetName val="F-7.88 Rev 01"/>
      <sheetName val="F-7.89 Rev 01"/>
      <sheetName val="F-7.98 Rev 01"/>
      <sheetName val="F-7.99 Rev 01"/>
      <sheetName val="F-7.103 Rev 01 "/>
      <sheetName val="F-7.118 Rev 02"/>
      <sheetName val="F-7.119 Rev 01"/>
      <sheetName val="F-7.99 Rev 0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/>
      <sheetData sheetId="20"/>
      <sheetData sheetId="21"/>
      <sheetData sheetId="2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05 Rev 00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50 Rev 00"/>
      <sheetName val="F-7.55 Rev 00"/>
      <sheetName val="F-7.56 Rev 00"/>
      <sheetName val="F-7.73 Rev 00"/>
      <sheetName val="F-7.108 Rev 00"/>
      <sheetName val="F-7.58 Rev 02"/>
      <sheetName val="F-7.138 Rev 00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91 Rev 00"/>
      <sheetName val="F-7.92 Rev 00"/>
      <sheetName val="F-7.93 Rev 00"/>
      <sheetName val="F-7.94 Rev 00"/>
      <sheetName val="F-7.109 Rev 00"/>
      <sheetName val="F-7.111 Rev 00"/>
      <sheetName val="F-7.112 Rev 00"/>
      <sheetName val="F-7.113 Rev 00"/>
      <sheetName val="F-7.115 Rev 01"/>
      <sheetName val="F-7.124 Rev 00 "/>
      <sheetName val="F-7.126 Rev 00"/>
      <sheetName val="F-7.12  Rev 00"/>
      <sheetName val="F-7.14 Rev 00"/>
      <sheetName val="F-7.40 Rev 00"/>
      <sheetName val="F-7.43 Rev 00"/>
      <sheetName val="F-7.54 Rev 01"/>
      <sheetName val="F-7.75 Rev 00"/>
      <sheetName val="F-7.76 Rev 00"/>
      <sheetName val="F-7.90 Rev 01"/>
      <sheetName val="F-7.100 Rev 00"/>
      <sheetName val="F-7.101 Rev 00"/>
      <sheetName val="F-7.117  Rev 00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 refreshError="1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1 Rev 00"/>
      <sheetName val="F-7.13 Rev 00"/>
      <sheetName val="F-7.116 Rev 00"/>
    </sheetNames>
    <sheetDataSet>
      <sheetData sheetId="0"/>
      <sheetData sheetId="1" refreshError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34 Rev 00"/>
      <sheetName val="F-7.35 Rev 01"/>
      <sheetName val="F-7.36 Rev 00"/>
      <sheetName val="F-7.37 Rev 00"/>
      <sheetName val="F-7.65 Rev 00"/>
      <sheetName val="F-7.69 Rev 00"/>
      <sheetName val="F-7.70 Rev 00"/>
      <sheetName val="F-7.71 Rev 00"/>
      <sheetName val="F-7.120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15 Rev 00"/>
      <sheetName val="F-7.16 Rev 00"/>
      <sheetName val="F-7.17 Rev 00"/>
      <sheetName val="F-7.18 Rev 00"/>
      <sheetName val="F-7.19 Rev 00"/>
      <sheetName val="F-7.20 Rev 00"/>
      <sheetName val="F-7.21 Rev 00"/>
      <sheetName val="F-7.22 Rev 00"/>
      <sheetName val="F-7.125 Rev 0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3 Rev 00"/>
      <sheetName val="F-7.24 Rev 00"/>
      <sheetName val="F-7.97 Rev 00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5 Rev 01"/>
      <sheetName val="F-7.32 Rev 00"/>
      <sheetName val="F-7.39 Rev 01"/>
    </sheetNames>
    <sheetDataSet>
      <sheetData sheetId="0"/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-7.26 Rev 00"/>
      <sheetName val="F-7.27 Rev 00"/>
      <sheetName val="F-7.28 Rev 00"/>
      <sheetName val="F-7.96 Rev 00"/>
      <sheetName val="F-7.95 Rev 00"/>
      <sheetName val="F-7.130 Rev 00"/>
      <sheetName val="F-7.123 Rev 00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JCPIL 16-006-08"/>
    </sheetNames>
    <sheetDataSet>
      <sheetData sheetId="0">
        <row r="25">
          <cell r="Y25">
            <v>30650</v>
          </cell>
        </row>
        <row r="26">
          <cell r="Y26">
            <v>18470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28">
    <pageSetUpPr fitToPage="1"/>
  </sheetPr>
  <dimension ref="A1:Z48"/>
  <sheetViews>
    <sheetView showZeros="0" zoomScaleNormal="100" workbookViewId="0"/>
  </sheetViews>
  <sheetFormatPr defaultColWidth="11.42578125" defaultRowHeight="12.75"/>
  <cols>
    <col min="1" max="1" width="20.42578125" bestFit="1" customWidth="1"/>
    <col min="2" max="26" width="8.7109375" customWidth="1"/>
  </cols>
  <sheetData>
    <row r="1" spans="1:26" ht="42" customHeight="1" thickBot="1">
      <c r="A1" s="100" t="s">
        <v>29</v>
      </c>
      <c r="B1" s="101"/>
      <c r="C1" s="101"/>
      <c r="D1" s="101"/>
      <c r="E1" s="101"/>
      <c r="F1" s="101"/>
      <c r="G1" s="98" t="s">
        <v>28</v>
      </c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9"/>
      <c r="W1" s="117" t="s">
        <v>31</v>
      </c>
      <c r="X1" s="118"/>
      <c r="Y1" s="119" t="str">
        <f ca="1">MID(CELL("nome.arquivo"),SEARCH(".xl",CELL("nome.arquivo"))-2,2)&amp;" / 20"&amp;MID(CELL("nome.arquivo"),SEARCH(".xl",CELL("nome.arquivo"))-4,2)</f>
        <v>03 / 2022</v>
      </c>
      <c r="Z1" s="120"/>
    </row>
    <row r="2" spans="1:26" ht="20.100000000000001" customHeight="1">
      <c r="A2" s="1" t="s">
        <v>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102"/>
      <c r="X2" s="102"/>
      <c r="Y2" s="102"/>
      <c r="Z2" s="103" t="s">
        <v>5</v>
      </c>
    </row>
    <row r="3" spans="1:26" ht="20.100000000000001" customHeight="1">
      <c r="A3" s="2" t="s">
        <v>1</v>
      </c>
      <c r="B3" s="18"/>
      <c r="C3" s="19"/>
      <c r="D3" s="19"/>
      <c r="E3" s="19"/>
      <c r="F3" s="26"/>
      <c r="G3" s="18"/>
      <c r="H3" s="19"/>
      <c r="I3" s="19"/>
      <c r="J3" s="19"/>
      <c r="K3" s="26"/>
      <c r="L3" s="18"/>
      <c r="M3" s="19"/>
      <c r="N3" s="19"/>
      <c r="O3" s="19"/>
      <c r="P3" s="26"/>
      <c r="Q3" s="18"/>
      <c r="R3" s="19"/>
      <c r="S3" s="19"/>
      <c r="T3" s="19"/>
      <c r="U3" s="26"/>
      <c r="V3" s="19"/>
      <c r="W3" s="19"/>
      <c r="X3" s="19"/>
      <c r="Y3" s="19"/>
      <c r="Z3" s="10"/>
    </row>
    <row r="4" spans="1:26" ht="24.95" customHeight="1">
      <c r="A4" s="4"/>
      <c r="B4" s="110">
        <f>B47</f>
        <v>0</v>
      </c>
      <c r="C4" s="110">
        <f>C47</f>
        <v>0</v>
      </c>
      <c r="D4" s="106">
        <f t="shared" ref="D4:Y4" si="0">D47</f>
        <v>0</v>
      </c>
      <c r="E4" s="106">
        <f t="shared" si="0"/>
        <v>0</v>
      </c>
      <c r="F4" s="106">
        <f t="shared" si="0"/>
        <v>0</v>
      </c>
      <c r="G4" s="106">
        <f t="shared" si="0"/>
        <v>0</v>
      </c>
      <c r="H4" s="106">
        <f t="shared" si="0"/>
        <v>0</v>
      </c>
      <c r="I4" s="106">
        <f t="shared" si="0"/>
        <v>0</v>
      </c>
      <c r="J4" s="106">
        <f t="shared" si="0"/>
        <v>0</v>
      </c>
      <c r="K4" s="106">
        <f t="shared" si="0"/>
        <v>0</v>
      </c>
      <c r="L4" s="106">
        <f>L47</f>
        <v>0</v>
      </c>
      <c r="M4" s="106">
        <f t="shared" si="0"/>
        <v>0</v>
      </c>
      <c r="N4" s="106">
        <f>N47</f>
        <v>0</v>
      </c>
      <c r="O4" s="106">
        <f t="shared" si="0"/>
        <v>0</v>
      </c>
      <c r="P4" s="106">
        <f t="shared" si="0"/>
        <v>0</v>
      </c>
      <c r="Q4" s="106">
        <f t="shared" si="0"/>
        <v>0</v>
      </c>
      <c r="R4" s="106">
        <f t="shared" si="0"/>
        <v>0</v>
      </c>
      <c r="S4" s="106">
        <f t="shared" si="0"/>
        <v>0</v>
      </c>
      <c r="T4" s="106">
        <f t="shared" si="0"/>
        <v>0</v>
      </c>
      <c r="U4" s="106">
        <f t="shared" si="0"/>
        <v>0</v>
      </c>
      <c r="V4" s="106">
        <f t="shared" si="0"/>
        <v>0</v>
      </c>
      <c r="W4" s="106">
        <f t="shared" si="0"/>
        <v>0</v>
      </c>
      <c r="X4" s="106">
        <f t="shared" si="0"/>
        <v>0</v>
      </c>
      <c r="Y4" s="106">
        <f t="shared" si="0"/>
        <v>0</v>
      </c>
      <c r="Z4" s="5"/>
    </row>
    <row r="5" spans="1:26" ht="24.95" customHeight="1">
      <c r="A5" s="108" t="s">
        <v>14</v>
      </c>
      <c r="B5" s="111"/>
      <c r="C5" s="111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3"/>
    </row>
    <row r="6" spans="1:26" ht="24.95" customHeight="1">
      <c r="A6" s="108"/>
      <c r="B6" s="111"/>
      <c r="C6" s="111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3"/>
    </row>
    <row r="7" spans="1:26" ht="24.95" customHeight="1">
      <c r="A7" s="108"/>
      <c r="B7" s="111"/>
      <c r="C7" s="111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3"/>
    </row>
    <row r="8" spans="1:26" ht="24.95" customHeight="1">
      <c r="A8" s="108"/>
      <c r="B8" s="111"/>
      <c r="C8" s="111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3"/>
    </row>
    <row r="9" spans="1:26" ht="24.95" customHeight="1">
      <c r="A9" s="108"/>
      <c r="B9" s="111"/>
      <c r="C9" s="111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3"/>
    </row>
    <row r="10" spans="1:26" ht="24.95" customHeight="1">
      <c r="A10" s="108"/>
      <c r="B10" s="111"/>
      <c r="C10" s="111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3"/>
    </row>
    <row r="11" spans="1:26" ht="24.95" customHeight="1" thickBot="1">
      <c r="A11" s="108"/>
      <c r="B11" s="111"/>
      <c r="C11" s="111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3"/>
    </row>
    <row r="12" spans="1:26" ht="25.5" customHeight="1">
      <c r="A12" s="62" t="s">
        <v>23</v>
      </c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74">
        <f>SUM(B12:Y12)</f>
        <v>0</v>
      </c>
    </row>
    <row r="13" spans="1:26" ht="23.25" customHeight="1">
      <c r="A13" s="63" t="s">
        <v>21</v>
      </c>
      <c r="B13" s="87"/>
      <c r="C13" s="88">
        <f>'SJCPIL-R 14-002-03 - Noite'!B38+'SJCPIL-R 14-002-03 - Diurno'!C12</f>
        <v>0</v>
      </c>
      <c r="D13" s="88">
        <f>'SJCPIL-R 14-002-03 - Noite'!C38+'SJCPIL-R 14-002-03 - Diurno'!D12</f>
        <v>0</v>
      </c>
      <c r="E13" s="88">
        <f>'SJCPIL-R 14-002-03 - Noite'!D38+'SJCPIL-R 14-002-03 - Diurno'!E12</f>
        <v>0</v>
      </c>
      <c r="F13" s="88">
        <f>'SJCPIL-R 14-002-03 - Noite'!E38+'SJCPIL-R 14-002-03 - Diurno'!F12</f>
        <v>0</v>
      </c>
      <c r="G13" s="88">
        <f>'SJCPIL-R 14-002-03 - Noite'!F38+'SJCPIL-R 14-002-03 - Diurno'!G12</f>
        <v>0</v>
      </c>
      <c r="H13" s="88">
        <f>'SJCPIL-R 14-002-03 - Noite'!G38+'SJCPIL-R 14-002-03 - Diurno'!H12</f>
        <v>0</v>
      </c>
      <c r="I13" s="88">
        <f>'SJCPIL-R 14-002-03 - Noite'!H38+'SJCPIL-R 14-002-03 - Diurno'!I12</f>
        <v>0</v>
      </c>
      <c r="J13" s="88">
        <f>'SJCPIL-R 14-002-03 - Noite'!I38+'SJCPIL-R 14-002-03 - Diurno'!J12</f>
        <v>0</v>
      </c>
      <c r="K13" s="88">
        <f>'SJCPIL-R 14-002-03 - Noite'!J38+'SJCPIL-R 14-002-03 - Diurno'!K12</f>
        <v>0</v>
      </c>
      <c r="L13" s="88">
        <f>'SJCPIL-R 14-002-03 - Noite'!K38+'SJCPIL-R 14-002-03 - Diurno'!L12</f>
        <v>0</v>
      </c>
      <c r="M13" s="88">
        <f>'SJCPIL-R 14-002-03 - Noite'!L38+'SJCPIL-R 14-002-03 - Diurno'!M12</f>
        <v>0</v>
      </c>
      <c r="N13" s="88">
        <f>'SJCPIL-R 14-002-03 - Noite'!M38+'SJCPIL-R 14-002-03 - Diurno'!N12</f>
        <v>0</v>
      </c>
      <c r="O13" s="88">
        <f>'SJCPIL-R 14-002-03 - Noite'!N38+'SJCPIL-R 14-002-03 - Diurno'!O12</f>
        <v>0</v>
      </c>
      <c r="P13" s="88">
        <f>'SJCPIL-R 14-002-03 - Noite'!O38+'SJCPIL-R 14-002-03 - Diurno'!P12</f>
        <v>0</v>
      </c>
      <c r="Q13" s="88">
        <f>'SJCPIL-R 14-002-03 - Noite'!P38+'SJCPIL-R 14-002-03 - Diurno'!Q12</f>
        <v>0</v>
      </c>
      <c r="R13" s="88">
        <f>'SJCPIL-R 14-002-03 - Noite'!Q38+'SJCPIL-R 14-002-03 - Diurno'!R12</f>
        <v>0</v>
      </c>
      <c r="S13" s="88">
        <f>'SJCPIL-R 14-002-03 - Noite'!R38+'SJCPIL-R 14-002-03 - Diurno'!S12</f>
        <v>0</v>
      </c>
      <c r="T13" s="88">
        <f>'SJCPIL-R 14-002-03 - Noite'!S38+'SJCPIL-R 14-002-03 - Diurno'!T12</f>
        <v>0</v>
      </c>
      <c r="U13" s="88">
        <f>'SJCPIL-R 14-002-03 - Noite'!T38+'SJCPIL-R 14-002-03 - Diurno'!U12</f>
        <v>0</v>
      </c>
      <c r="V13" s="88">
        <f>'SJCPIL-R 14-002-03 - Noite'!U38+'SJCPIL-R 14-002-03 - Diurno'!V12</f>
        <v>0</v>
      </c>
      <c r="W13" s="88">
        <f>'SJCPIL-R 14-002-03 - Noite'!V38+'SJCPIL-R 14-002-03 - Diurno'!W12</f>
        <v>0</v>
      </c>
      <c r="X13" s="88">
        <f>'SJCPIL-R 14-002-03 - Noite'!W38+'SJCPIL-R 14-002-03 - Diurno'!X12</f>
        <v>0</v>
      </c>
      <c r="Y13" s="88">
        <f>'SJCPIL-R 14-002-03 - Noite'!X38+'SJCPIL-R 14-002-03 - Diurno'!Y12</f>
        <v>0</v>
      </c>
      <c r="Z13" s="83">
        <f>'SJCPIL-R 14-002-03 - Noite'!W38+Z12</f>
        <v>0</v>
      </c>
    </row>
    <row r="14" spans="1:26" ht="19.5" customHeight="1" thickBot="1">
      <c r="A14" s="64" t="s">
        <v>24</v>
      </c>
      <c r="B14" s="89"/>
      <c r="C14" s="90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66">
        <f>SUM(B14:Y14)</f>
        <v>0</v>
      </c>
    </row>
    <row r="15" spans="1:26" ht="20.100000000000001" customHeight="1">
      <c r="A15" s="54" t="s">
        <v>27</v>
      </c>
      <c r="B15" s="55"/>
      <c r="C15" s="52"/>
      <c r="D15" s="52"/>
      <c r="E15" s="52"/>
      <c r="F15" s="52"/>
      <c r="G15" s="52"/>
      <c r="H15" s="23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3">
        <f>SUM(B15:Y15)</f>
        <v>0</v>
      </c>
    </row>
    <row r="16" spans="1:26" ht="20.100000000000001" customHeight="1">
      <c r="A16" s="41" t="s">
        <v>2</v>
      </c>
      <c r="B16" s="34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6">
        <f>SUM(B16:Y16)</f>
        <v>0</v>
      </c>
    </row>
    <row r="17" spans="1:26" ht="20.100000000000001" customHeight="1">
      <c r="A17" s="42" t="s">
        <v>3</v>
      </c>
      <c r="B17" s="34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7">
        <f>SUM(B17:Y17)</f>
        <v>0</v>
      </c>
    </row>
    <row r="18" spans="1:26" ht="20.100000000000001" customHeight="1">
      <c r="A18" s="35" t="s">
        <v>22</v>
      </c>
      <c r="B18" s="34"/>
      <c r="C18" s="20"/>
      <c r="D18" s="20"/>
      <c r="E18" s="20"/>
      <c r="F18" s="20"/>
      <c r="G18" s="20"/>
      <c r="H18" s="20"/>
      <c r="I18" s="20"/>
      <c r="J18" s="20"/>
      <c r="K18" s="20"/>
      <c r="L18" s="27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6">
        <f>SUM(B18:Y18)</f>
        <v>0</v>
      </c>
    </row>
    <row r="19" spans="1:26" ht="20.100000000000001" customHeight="1" thickBot="1">
      <c r="A19" s="48" t="s">
        <v>16</v>
      </c>
      <c r="B19" s="46" t="str">
        <f>IF(B16=0,"",(B17+B18)/(B16+B17+B18)*1000000)</f>
        <v/>
      </c>
      <c r="C19" s="46" t="str">
        <f>IF(C16=0,"",(C17+C18)/(C16+C17+C18)*1000000)</f>
        <v/>
      </c>
      <c r="D19" s="46" t="str">
        <f t="shared" ref="D19:Z19" si="1">IF(D16=0,"",(D17+D18)/(D16+D17+D18)*1000000)</f>
        <v/>
      </c>
      <c r="E19" s="46" t="str">
        <f t="shared" si="1"/>
        <v/>
      </c>
      <c r="F19" s="46" t="str">
        <f t="shared" si="1"/>
        <v/>
      </c>
      <c r="G19" s="46" t="str">
        <f t="shared" si="1"/>
        <v/>
      </c>
      <c r="H19" s="46" t="str">
        <f t="shared" si="1"/>
        <v/>
      </c>
      <c r="I19" s="46" t="str">
        <f t="shared" si="1"/>
        <v/>
      </c>
      <c r="J19" s="46" t="str">
        <f t="shared" si="1"/>
        <v/>
      </c>
      <c r="K19" s="46" t="str">
        <f t="shared" si="1"/>
        <v/>
      </c>
      <c r="L19" s="46" t="str">
        <f t="shared" si="1"/>
        <v/>
      </c>
      <c r="M19" s="46" t="str">
        <f t="shared" si="1"/>
        <v/>
      </c>
      <c r="N19" s="46" t="str">
        <f t="shared" si="1"/>
        <v/>
      </c>
      <c r="O19" s="46" t="str">
        <f t="shared" si="1"/>
        <v/>
      </c>
      <c r="P19" s="46" t="str">
        <f t="shared" si="1"/>
        <v/>
      </c>
      <c r="Q19" s="46" t="str">
        <f t="shared" si="1"/>
        <v/>
      </c>
      <c r="R19" s="46" t="str">
        <f t="shared" si="1"/>
        <v/>
      </c>
      <c r="S19" s="46" t="str">
        <f t="shared" si="1"/>
        <v/>
      </c>
      <c r="T19" s="46" t="str">
        <f t="shared" si="1"/>
        <v/>
      </c>
      <c r="U19" s="46" t="str">
        <f t="shared" si="1"/>
        <v/>
      </c>
      <c r="V19" s="46" t="str">
        <f t="shared" si="1"/>
        <v/>
      </c>
      <c r="W19" s="46" t="str">
        <f t="shared" si="1"/>
        <v/>
      </c>
      <c r="X19" s="46" t="str">
        <f t="shared" si="1"/>
        <v/>
      </c>
      <c r="Y19" s="46" t="str">
        <f t="shared" si="1"/>
        <v/>
      </c>
      <c r="Z19" s="82" t="str">
        <f t="shared" si="1"/>
        <v/>
      </c>
    </row>
    <row r="20" spans="1:26" ht="20.100000000000001" customHeight="1">
      <c r="A20" s="79" t="s">
        <v>26</v>
      </c>
      <c r="B20" s="77">
        <f>B14-SUM(B15:B18)</f>
        <v>0</v>
      </c>
      <c r="C20" s="75">
        <f>C14-SUM(C15:C18)</f>
        <v>0</v>
      </c>
      <c r="D20" s="75">
        <f t="shared" ref="D20:Y20" si="2">D14-SUM(D15:D18)</f>
        <v>0</v>
      </c>
      <c r="E20" s="75">
        <f t="shared" si="2"/>
        <v>0</v>
      </c>
      <c r="F20" s="75">
        <f t="shared" si="2"/>
        <v>0</v>
      </c>
      <c r="G20" s="75">
        <f t="shared" si="2"/>
        <v>0</v>
      </c>
      <c r="H20" s="75">
        <f t="shared" si="2"/>
        <v>0</v>
      </c>
      <c r="I20" s="75">
        <f t="shared" si="2"/>
        <v>0</v>
      </c>
      <c r="J20" s="75">
        <f t="shared" si="2"/>
        <v>0</v>
      </c>
      <c r="K20" s="75">
        <f t="shared" si="2"/>
        <v>0</v>
      </c>
      <c r="L20" s="75">
        <f t="shared" si="2"/>
        <v>0</v>
      </c>
      <c r="M20" s="75">
        <f t="shared" si="2"/>
        <v>0</v>
      </c>
      <c r="N20" s="75">
        <f t="shared" si="2"/>
        <v>0</v>
      </c>
      <c r="O20" s="75">
        <f t="shared" si="2"/>
        <v>0</v>
      </c>
      <c r="P20" s="75">
        <f t="shared" si="2"/>
        <v>0</v>
      </c>
      <c r="Q20" s="75">
        <f t="shared" si="2"/>
        <v>0</v>
      </c>
      <c r="R20" s="75">
        <f t="shared" si="2"/>
        <v>0</v>
      </c>
      <c r="S20" s="75">
        <f t="shared" si="2"/>
        <v>0</v>
      </c>
      <c r="T20" s="75">
        <f t="shared" si="2"/>
        <v>0</v>
      </c>
      <c r="U20" s="75">
        <f t="shared" si="2"/>
        <v>0</v>
      </c>
      <c r="V20" s="75">
        <f t="shared" si="2"/>
        <v>0</v>
      </c>
      <c r="W20" s="75">
        <f t="shared" si="2"/>
        <v>0</v>
      </c>
      <c r="X20" s="75">
        <f t="shared" si="2"/>
        <v>0</v>
      </c>
      <c r="Y20" s="75">
        <f t="shared" si="2"/>
        <v>0</v>
      </c>
      <c r="Z20" s="76">
        <f>Z14-(Z15+Z16+Z17+Z18)</f>
        <v>0</v>
      </c>
    </row>
    <row r="21" spans="1:26" ht="20.100000000000001" customHeight="1" thickBot="1">
      <c r="A21" s="61" t="s">
        <v>25</v>
      </c>
      <c r="B21" s="78">
        <f>B13-B14+B20</f>
        <v>0</v>
      </c>
      <c r="C21" s="71">
        <f>C13-C14+C20</f>
        <v>0</v>
      </c>
      <c r="D21" s="71">
        <f t="shared" ref="D21:Y21" si="3">D13-D14+D20</f>
        <v>0</v>
      </c>
      <c r="E21" s="71">
        <f t="shared" si="3"/>
        <v>0</v>
      </c>
      <c r="F21" s="71">
        <f t="shared" si="3"/>
        <v>0</v>
      </c>
      <c r="G21" s="71">
        <f t="shared" si="3"/>
        <v>0</v>
      </c>
      <c r="H21" s="71">
        <f t="shared" si="3"/>
        <v>0</v>
      </c>
      <c r="I21" s="71">
        <f t="shared" si="3"/>
        <v>0</v>
      </c>
      <c r="J21" s="71">
        <f t="shared" si="3"/>
        <v>0</v>
      </c>
      <c r="K21" s="71">
        <f t="shared" si="3"/>
        <v>0</v>
      </c>
      <c r="L21" s="71">
        <f t="shared" si="3"/>
        <v>0</v>
      </c>
      <c r="M21" s="71">
        <f t="shared" si="3"/>
        <v>0</v>
      </c>
      <c r="N21" s="71">
        <f t="shared" si="3"/>
        <v>0</v>
      </c>
      <c r="O21" s="71">
        <f t="shared" si="3"/>
        <v>0</v>
      </c>
      <c r="P21" s="71">
        <f t="shared" si="3"/>
        <v>0</v>
      </c>
      <c r="Q21" s="71">
        <f t="shared" si="3"/>
        <v>0</v>
      </c>
      <c r="R21" s="71">
        <f t="shared" si="3"/>
        <v>0</v>
      </c>
      <c r="S21" s="71">
        <f t="shared" si="3"/>
        <v>0</v>
      </c>
      <c r="T21" s="71">
        <f t="shared" si="3"/>
        <v>0</v>
      </c>
      <c r="U21" s="71">
        <f t="shared" si="3"/>
        <v>0</v>
      </c>
      <c r="V21" s="71">
        <f t="shared" si="3"/>
        <v>0</v>
      </c>
      <c r="W21" s="71">
        <f t="shared" si="3"/>
        <v>0</v>
      </c>
      <c r="X21" s="71">
        <f t="shared" si="3"/>
        <v>0</v>
      </c>
      <c r="Y21" s="71">
        <f t="shared" si="3"/>
        <v>0</v>
      </c>
      <c r="Z21" s="72"/>
    </row>
    <row r="22" spans="1:26" ht="24.95" customHeight="1">
      <c r="A22" s="56" t="s">
        <v>1</v>
      </c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8"/>
    </row>
    <row r="23" spans="1:26" ht="24.95" customHeight="1">
      <c r="A23" s="4"/>
      <c r="B23" s="110">
        <f>B48</f>
        <v>0</v>
      </c>
      <c r="C23" s="110">
        <f>C48</f>
        <v>0</v>
      </c>
      <c r="D23" s="106">
        <f t="shared" ref="D23:Y23" si="4">D48</f>
        <v>0</v>
      </c>
      <c r="E23" s="106">
        <f t="shared" si="4"/>
        <v>0</v>
      </c>
      <c r="F23" s="106">
        <f t="shared" si="4"/>
        <v>0</v>
      </c>
      <c r="G23" s="106">
        <f t="shared" si="4"/>
        <v>0</v>
      </c>
      <c r="H23" s="106">
        <f t="shared" si="4"/>
        <v>0</v>
      </c>
      <c r="I23" s="106">
        <f t="shared" si="4"/>
        <v>0</v>
      </c>
      <c r="J23" s="106">
        <f t="shared" si="4"/>
        <v>0</v>
      </c>
      <c r="K23" s="106">
        <f t="shared" si="4"/>
        <v>0</v>
      </c>
      <c r="L23" s="106">
        <f t="shared" si="4"/>
        <v>0</v>
      </c>
      <c r="M23" s="106">
        <f t="shared" si="4"/>
        <v>0</v>
      </c>
      <c r="N23" s="106">
        <f t="shared" si="4"/>
        <v>0</v>
      </c>
      <c r="O23" s="106">
        <f t="shared" si="4"/>
        <v>0</v>
      </c>
      <c r="P23" s="106">
        <f t="shared" si="4"/>
        <v>0</v>
      </c>
      <c r="Q23" s="106">
        <f t="shared" si="4"/>
        <v>0</v>
      </c>
      <c r="R23" s="106">
        <f t="shared" si="4"/>
        <v>0</v>
      </c>
      <c r="S23" s="106">
        <f t="shared" si="4"/>
        <v>0</v>
      </c>
      <c r="T23" s="106">
        <f t="shared" si="4"/>
        <v>0</v>
      </c>
      <c r="U23" s="106">
        <f t="shared" si="4"/>
        <v>0</v>
      </c>
      <c r="V23" s="106">
        <f t="shared" si="4"/>
        <v>0</v>
      </c>
      <c r="W23" s="106">
        <f t="shared" si="4"/>
        <v>0</v>
      </c>
      <c r="X23" s="106">
        <f t="shared" si="4"/>
        <v>0</v>
      </c>
      <c r="Y23" s="106">
        <f t="shared" si="4"/>
        <v>0</v>
      </c>
      <c r="Z23" s="5"/>
    </row>
    <row r="24" spans="1:26" ht="24.95" customHeight="1">
      <c r="A24" s="108" t="s">
        <v>15</v>
      </c>
      <c r="B24" s="111"/>
      <c r="C24" s="111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3"/>
    </row>
    <row r="25" spans="1:26" ht="24.95" customHeight="1">
      <c r="A25" s="108"/>
      <c r="B25" s="111"/>
      <c r="C25" s="111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3"/>
    </row>
    <row r="26" spans="1:26" ht="24.95" customHeight="1">
      <c r="A26" s="108"/>
      <c r="B26" s="111"/>
      <c r="C26" s="111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3"/>
    </row>
    <row r="27" spans="1:26" ht="24.95" customHeight="1">
      <c r="A27" s="108"/>
      <c r="B27" s="111"/>
      <c r="C27" s="111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3"/>
    </row>
    <row r="28" spans="1:26" ht="24.95" customHeight="1">
      <c r="A28" s="108"/>
      <c r="B28" s="111"/>
      <c r="C28" s="111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3"/>
    </row>
    <row r="29" spans="1:26" ht="24.95" customHeight="1">
      <c r="A29" s="108"/>
      <c r="B29" s="111"/>
      <c r="C29" s="111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3"/>
    </row>
    <row r="30" spans="1:26" ht="24.95" customHeight="1" thickBot="1">
      <c r="A30" s="109"/>
      <c r="B30" s="111"/>
      <c r="C30" s="111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3"/>
    </row>
    <row r="31" spans="1:26" ht="20.100000000000001" customHeight="1" thickBot="1">
      <c r="A31" s="80" t="s">
        <v>24</v>
      </c>
      <c r="B31" s="92"/>
      <c r="C31" s="93"/>
      <c r="D31" s="94"/>
      <c r="E31" s="94"/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94"/>
      <c r="V31" s="94"/>
      <c r="W31" s="94"/>
      <c r="X31" s="94"/>
      <c r="Y31" s="94"/>
      <c r="Z31" s="81"/>
    </row>
    <row r="32" spans="1:26" ht="20.100000000000001" customHeight="1">
      <c r="A32" s="54" t="s">
        <v>27</v>
      </c>
      <c r="B32" s="55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3">
        <f>SUM(B32:Y32)</f>
        <v>0</v>
      </c>
    </row>
    <row r="33" spans="1:26" ht="20.100000000000001" customHeight="1">
      <c r="A33" s="41" t="s">
        <v>2</v>
      </c>
      <c r="B33" s="34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52"/>
      <c r="R33" s="20"/>
      <c r="S33" s="20"/>
      <c r="T33" s="20"/>
      <c r="U33" s="20"/>
      <c r="V33" s="20"/>
      <c r="W33" s="20"/>
      <c r="X33" s="20"/>
      <c r="Y33" s="20"/>
      <c r="Z33" s="6">
        <f>SUM(B33:Y33)</f>
        <v>0</v>
      </c>
    </row>
    <row r="34" spans="1:26" ht="20.100000000000001" customHeight="1">
      <c r="A34" s="42" t="s">
        <v>3</v>
      </c>
      <c r="B34" s="34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6">
        <f>SUM(B34:Y34)</f>
        <v>0</v>
      </c>
    </row>
    <row r="35" spans="1:26" ht="20.100000000000001" customHeight="1">
      <c r="A35" s="35" t="s">
        <v>20</v>
      </c>
      <c r="B35" s="34"/>
      <c r="C35" s="20"/>
      <c r="D35" s="20"/>
      <c r="E35" s="20"/>
      <c r="F35" s="20"/>
      <c r="G35" s="20"/>
      <c r="H35" s="20"/>
      <c r="I35" s="27"/>
      <c r="J35" s="21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6">
        <f>SUM(B35:Y35)</f>
        <v>0</v>
      </c>
    </row>
    <row r="36" spans="1:26" ht="20.100000000000001" customHeight="1" thickBot="1">
      <c r="A36" s="48" t="s">
        <v>16</v>
      </c>
      <c r="B36" s="49" t="str">
        <f>IF(B33=0,"",(B34+B35)/(B33+B34+B35)*1000000)</f>
        <v/>
      </c>
      <c r="C36" s="47" t="str">
        <f>IF(C33=0,"",(C34+C35)/(C33+C34+C35)*1000000)</f>
        <v/>
      </c>
      <c r="D36" s="47" t="str">
        <f t="shared" ref="D36:Y36" si="5">IF(D33=0,"",(D34+D35)/(D33+D34+D35)*1000000)</f>
        <v/>
      </c>
      <c r="E36" s="47" t="str">
        <f t="shared" si="5"/>
        <v/>
      </c>
      <c r="F36" s="47" t="str">
        <f t="shared" si="5"/>
        <v/>
      </c>
      <c r="G36" s="47" t="str">
        <f t="shared" si="5"/>
        <v/>
      </c>
      <c r="H36" s="47" t="str">
        <f t="shared" si="5"/>
        <v/>
      </c>
      <c r="I36" s="47" t="str">
        <f t="shared" si="5"/>
        <v/>
      </c>
      <c r="J36" s="47" t="str">
        <f t="shared" si="5"/>
        <v/>
      </c>
      <c r="K36" s="47" t="str">
        <f t="shared" si="5"/>
        <v/>
      </c>
      <c r="L36" s="47" t="str">
        <f t="shared" si="5"/>
        <v/>
      </c>
      <c r="M36" s="47" t="str">
        <f t="shared" si="5"/>
        <v/>
      </c>
      <c r="N36" s="47" t="str">
        <f t="shared" si="5"/>
        <v/>
      </c>
      <c r="O36" s="47" t="str">
        <f t="shared" si="5"/>
        <v/>
      </c>
      <c r="P36" s="47" t="str">
        <f t="shared" si="5"/>
        <v/>
      </c>
      <c r="Q36" s="47" t="str">
        <f t="shared" si="5"/>
        <v/>
      </c>
      <c r="R36" s="47" t="str">
        <f t="shared" si="5"/>
        <v/>
      </c>
      <c r="S36" s="47" t="str">
        <f t="shared" si="5"/>
        <v/>
      </c>
      <c r="T36" s="47" t="str">
        <f t="shared" si="5"/>
        <v/>
      </c>
      <c r="U36" s="47" t="str">
        <f t="shared" si="5"/>
        <v/>
      </c>
      <c r="V36" s="47" t="str">
        <f t="shared" si="5"/>
        <v/>
      </c>
      <c r="W36" s="47" t="str">
        <f t="shared" si="5"/>
        <v/>
      </c>
      <c r="X36" s="47" t="str">
        <f t="shared" si="5"/>
        <v/>
      </c>
      <c r="Y36" s="47" t="str">
        <f t="shared" si="5"/>
        <v/>
      </c>
      <c r="Z36" s="50" t="str">
        <f>IF(Z33=0,"",(Z34+Z35)/(Z33+Z34+Z35)*1000000)</f>
        <v/>
      </c>
    </row>
    <row r="37" spans="1:26" ht="20.100000000000001" customHeight="1">
      <c r="A37" s="60" t="s">
        <v>26</v>
      </c>
      <c r="B37" s="67">
        <f>B31-SUM(B32:B35)</f>
        <v>0</v>
      </c>
      <c r="C37" s="68">
        <f>C31-(C32+C33+C34+C35)</f>
        <v>0</v>
      </c>
      <c r="D37" s="68">
        <f t="shared" ref="D37:Z37" si="6">D31-(D32+D33+D34+D35)</f>
        <v>0</v>
      </c>
      <c r="E37" s="68">
        <f t="shared" si="6"/>
        <v>0</v>
      </c>
      <c r="F37" s="68">
        <f t="shared" si="6"/>
        <v>0</v>
      </c>
      <c r="G37" s="68">
        <f t="shared" si="6"/>
        <v>0</v>
      </c>
      <c r="H37" s="68">
        <f t="shared" si="6"/>
        <v>0</v>
      </c>
      <c r="I37" s="68">
        <f t="shared" si="6"/>
        <v>0</v>
      </c>
      <c r="J37" s="68">
        <f t="shared" si="6"/>
        <v>0</v>
      </c>
      <c r="K37" s="68">
        <f t="shared" si="6"/>
        <v>0</v>
      </c>
      <c r="L37" s="68">
        <f t="shared" si="6"/>
        <v>0</v>
      </c>
      <c r="M37" s="68">
        <f t="shared" si="6"/>
        <v>0</v>
      </c>
      <c r="N37" s="68">
        <f t="shared" si="6"/>
        <v>0</v>
      </c>
      <c r="O37" s="68">
        <f t="shared" si="6"/>
        <v>0</v>
      </c>
      <c r="P37" s="68">
        <f t="shared" si="6"/>
        <v>0</v>
      </c>
      <c r="Q37" s="68">
        <f t="shared" si="6"/>
        <v>0</v>
      </c>
      <c r="R37" s="68">
        <f t="shared" si="6"/>
        <v>0</v>
      </c>
      <c r="S37" s="68">
        <f t="shared" si="6"/>
        <v>0</v>
      </c>
      <c r="T37" s="68">
        <f t="shared" si="6"/>
        <v>0</v>
      </c>
      <c r="U37" s="68">
        <f t="shared" si="6"/>
        <v>0</v>
      </c>
      <c r="V37" s="68">
        <f t="shared" si="6"/>
        <v>0</v>
      </c>
      <c r="W37" s="68">
        <f t="shared" si="6"/>
        <v>0</v>
      </c>
      <c r="X37" s="68">
        <f t="shared" si="6"/>
        <v>0</v>
      </c>
      <c r="Y37" s="68">
        <f t="shared" si="6"/>
        <v>0</v>
      </c>
      <c r="Z37" s="69">
        <f t="shared" si="6"/>
        <v>0</v>
      </c>
    </row>
    <row r="38" spans="1:26" ht="20.100000000000001" customHeight="1" thickBot="1">
      <c r="A38" s="61" t="s">
        <v>21</v>
      </c>
      <c r="B38" s="70">
        <f>B21-B31+B37</f>
        <v>0</v>
      </c>
      <c r="C38" s="71">
        <f>C21-C31+C37</f>
        <v>0</v>
      </c>
      <c r="D38" s="71">
        <f t="shared" ref="D38:Z38" si="7">D21-D31+D37</f>
        <v>0</v>
      </c>
      <c r="E38" s="71">
        <f t="shared" si="7"/>
        <v>0</v>
      </c>
      <c r="F38" s="71">
        <f t="shared" si="7"/>
        <v>0</v>
      </c>
      <c r="G38" s="71">
        <f t="shared" si="7"/>
        <v>0</v>
      </c>
      <c r="H38" s="71">
        <f t="shared" si="7"/>
        <v>0</v>
      </c>
      <c r="I38" s="71">
        <f t="shared" si="7"/>
        <v>0</v>
      </c>
      <c r="J38" s="71">
        <f t="shared" si="7"/>
        <v>0</v>
      </c>
      <c r="K38" s="71">
        <f t="shared" si="7"/>
        <v>0</v>
      </c>
      <c r="L38" s="71">
        <f t="shared" si="7"/>
        <v>0</v>
      </c>
      <c r="M38" s="71">
        <f t="shared" si="7"/>
        <v>0</v>
      </c>
      <c r="N38" s="71">
        <f t="shared" si="7"/>
        <v>0</v>
      </c>
      <c r="O38" s="71">
        <f t="shared" si="7"/>
        <v>0</v>
      </c>
      <c r="P38" s="71">
        <f t="shared" si="7"/>
        <v>0</v>
      </c>
      <c r="Q38" s="71">
        <f t="shared" si="7"/>
        <v>0</v>
      </c>
      <c r="R38" s="71">
        <f t="shared" si="7"/>
        <v>0</v>
      </c>
      <c r="S38" s="71">
        <f t="shared" si="7"/>
        <v>0</v>
      </c>
      <c r="T38" s="71">
        <f t="shared" si="7"/>
        <v>0</v>
      </c>
      <c r="U38" s="71">
        <f t="shared" si="7"/>
        <v>0</v>
      </c>
      <c r="V38" s="71">
        <f t="shared" si="7"/>
        <v>0</v>
      </c>
      <c r="W38" s="71">
        <f t="shared" si="7"/>
        <v>0</v>
      </c>
      <c r="X38" s="71">
        <f t="shared" si="7"/>
        <v>0</v>
      </c>
      <c r="Y38" s="71">
        <f t="shared" si="7"/>
        <v>0</v>
      </c>
      <c r="Z38" s="72">
        <f t="shared" si="7"/>
        <v>0</v>
      </c>
    </row>
    <row r="39" spans="1:26" ht="20.100000000000001" customHeight="1">
      <c r="A39" s="36" t="s">
        <v>19</v>
      </c>
      <c r="B39" s="39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2"/>
    </row>
    <row r="40" spans="1:26" ht="20.100000000000001" customHeight="1" thickBot="1">
      <c r="A40" s="37" t="s">
        <v>18</v>
      </c>
      <c r="B40" s="40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33"/>
    </row>
    <row r="41" spans="1:26" ht="20.100000000000001" customHeight="1">
      <c r="A41" s="112" t="s">
        <v>10</v>
      </c>
      <c r="B41" s="113"/>
      <c r="C41" s="113"/>
      <c r="D41" s="113"/>
      <c r="E41" s="113"/>
      <c r="F41" s="113"/>
      <c r="G41" s="114"/>
      <c r="H41" s="29" t="s">
        <v>12</v>
      </c>
      <c r="I41" s="30"/>
      <c r="J41" s="30"/>
      <c r="K41" s="30"/>
      <c r="L41" s="30"/>
      <c r="M41" s="30"/>
      <c r="N41" s="30"/>
      <c r="O41" s="30"/>
      <c r="P41" s="30"/>
      <c r="Q41" s="30"/>
      <c r="R41" s="29" t="s">
        <v>13</v>
      </c>
      <c r="S41" s="30"/>
      <c r="T41" s="30"/>
      <c r="U41" s="30"/>
      <c r="V41" s="30"/>
      <c r="W41" s="30"/>
      <c r="X41" s="30"/>
      <c r="Y41" s="115"/>
      <c r="Z41" s="116"/>
    </row>
    <row r="42" spans="1:26" ht="20.100000000000001" customHeight="1" thickBot="1">
      <c r="A42" s="11" t="s">
        <v>11</v>
      </c>
      <c r="B42" s="12"/>
      <c r="C42" s="12"/>
      <c r="D42" s="12"/>
      <c r="E42" s="12"/>
      <c r="F42" s="12"/>
      <c r="G42" s="13"/>
      <c r="H42" s="11" t="s">
        <v>11</v>
      </c>
      <c r="I42" s="12"/>
      <c r="J42" s="12"/>
      <c r="K42" s="12"/>
      <c r="L42" s="12"/>
      <c r="M42" s="12"/>
      <c r="N42" s="12"/>
      <c r="O42" s="12"/>
      <c r="P42" s="12"/>
      <c r="Q42" s="12"/>
      <c r="R42" s="11" t="s">
        <v>11</v>
      </c>
      <c r="S42" s="12"/>
      <c r="T42" s="12"/>
      <c r="U42" s="12"/>
      <c r="V42" s="12"/>
      <c r="W42" s="12"/>
      <c r="X42" s="12"/>
      <c r="Y42" s="14"/>
      <c r="Z42" s="15"/>
    </row>
    <row r="43" spans="1:26">
      <c r="A43" t="s">
        <v>6</v>
      </c>
      <c r="B43" s="24">
        <f>'[16]SJCPIL 16-006-08'!$Y$25</f>
        <v>30650</v>
      </c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</row>
    <row r="44" spans="1:26">
      <c r="A44" t="s">
        <v>7</v>
      </c>
      <c r="B44" s="25">
        <f>'[16]SJCPIL 16-006-08'!$Y$26</f>
        <v>18470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</row>
    <row r="46" spans="1:26">
      <c r="A46" s="8" t="s">
        <v>8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45"/>
    </row>
    <row r="47" spans="1:26" ht="114.95" customHeight="1">
      <c r="A47" s="9" t="s">
        <v>9</v>
      </c>
      <c r="B47" s="23"/>
      <c r="C47" s="23"/>
      <c r="D47" s="23"/>
      <c r="E47" s="23"/>
      <c r="F47" s="104"/>
      <c r="G47" s="23"/>
      <c r="H47" s="23"/>
      <c r="I47" s="23"/>
      <c r="J47" s="105"/>
      <c r="K47" s="23"/>
      <c r="L47" s="104"/>
      <c r="M47" s="23"/>
      <c r="N47" s="105"/>
      <c r="O47" s="23"/>
      <c r="P47" s="105"/>
      <c r="Q47" s="23"/>
      <c r="R47" s="23"/>
      <c r="S47" s="23"/>
      <c r="T47" s="23"/>
      <c r="U47" s="22"/>
      <c r="V47" s="22"/>
      <c r="W47" s="22"/>
      <c r="X47" s="22"/>
      <c r="Y47" s="43"/>
      <c r="Z47" s="8"/>
    </row>
    <row r="48" spans="1:26" ht="114.95" customHeight="1">
      <c r="A48" s="9" t="s">
        <v>4</v>
      </c>
      <c r="B48" s="23"/>
      <c r="C48" s="23"/>
      <c r="D48" s="23"/>
      <c r="E48" s="23"/>
      <c r="F48" s="104"/>
      <c r="G48" s="23"/>
      <c r="H48" s="23"/>
      <c r="I48" s="23"/>
      <c r="J48" s="105"/>
      <c r="K48" s="23"/>
      <c r="L48" s="23"/>
      <c r="M48" s="23"/>
      <c r="N48" s="23"/>
      <c r="O48" s="23"/>
      <c r="P48" s="23"/>
      <c r="Q48" s="105"/>
      <c r="R48" s="23"/>
      <c r="S48" s="23"/>
      <c r="T48" s="23"/>
      <c r="U48" s="23"/>
      <c r="V48" s="23"/>
      <c r="W48" s="22"/>
      <c r="X48" s="23"/>
      <c r="Y48" s="44"/>
      <c r="Z48" s="8"/>
    </row>
  </sheetData>
  <sheetProtection algorithmName="SHA-512" hashValue="fLOWyTTlY0jSv8SHvbqaR7OdXPdLMR1qTtl+cDYcLsPzNQkkI0KSZj1vO4g7mq917fo4pL+CE1UVPzlE+qqfoA==" saltValue="VS5wCSmYBk73GG7a68+jUg==" spinCount="100000" sheet="1" objects="1" scenarios="1" selectLockedCells="1"/>
  <mergeCells count="54">
    <mergeCell ref="X4:X11"/>
    <mergeCell ref="Y4:Y11"/>
    <mergeCell ref="W23:W30"/>
    <mergeCell ref="X23:X30"/>
    <mergeCell ref="V4:V11"/>
    <mergeCell ref="W4:W11"/>
    <mergeCell ref="W1:X1"/>
    <mergeCell ref="U4:U11"/>
    <mergeCell ref="Y1:Z1"/>
    <mergeCell ref="B23:B30"/>
    <mergeCell ref="C23:C30"/>
    <mergeCell ref="D23:D30"/>
    <mergeCell ref="E23:E30"/>
    <mergeCell ref="F23:F30"/>
    <mergeCell ref="G23:G30"/>
    <mergeCell ref="H23:H30"/>
    <mergeCell ref="I23:I30"/>
    <mergeCell ref="J23:J30"/>
    <mergeCell ref="K23:K30"/>
    <mergeCell ref="L23:L30"/>
    <mergeCell ref="M23:M30"/>
    <mergeCell ref="N23:N30"/>
    <mergeCell ref="A41:G41"/>
    <mergeCell ref="P23:P30"/>
    <mergeCell ref="Q23:Q30"/>
    <mergeCell ref="R23:R30"/>
    <mergeCell ref="Y41:Z41"/>
    <mergeCell ref="S23:S30"/>
    <mergeCell ref="T23:T30"/>
    <mergeCell ref="O23:O30"/>
    <mergeCell ref="Y23:Y30"/>
    <mergeCell ref="V23:V30"/>
    <mergeCell ref="A5:A11"/>
    <mergeCell ref="A24:A30"/>
    <mergeCell ref="B4:B11"/>
    <mergeCell ref="C4:C11"/>
    <mergeCell ref="D4:D11"/>
    <mergeCell ref="E4:E11"/>
    <mergeCell ref="F4:F11"/>
    <mergeCell ref="G4:G11"/>
    <mergeCell ref="H4:H11"/>
    <mergeCell ref="I4:I11"/>
    <mergeCell ref="J4:J11"/>
    <mergeCell ref="K4:K11"/>
    <mergeCell ref="L4:L11"/>
    <mergeCell ref="S4:S11"/>
    <mergeCell ref="U23:U30"/>
    <mergeCell ref="M4:M11"/>
    <mergeCell ref="N4:N11"/>
    <mergeCell ref="O4:O11"/>
    <mergeCell ref="T4:T11"/>
    <mergeCell ref="P4:P11"/>
    <mergeCell ref="Q4:Q11"/>
    <mergeCell ref="R4:R11"/>
  </mergeCells>
  <phoneticPr fontId="0" type="noConversion"/>
  <printOptions horizontalCentered="1" verticalCentered="1" gridLines="1" gridLinesSet="0"/>
  <pageMargins left="0.39370078740157483" right="0.39370078740157483" top="0.19685039370078741" bottom="0.59055118110236227" header="0" footer="0.39370078740157483"/>
  <pageSetup paperSize="9" scale="56" orientation="landscape" r:id="rId1"/>
  <headerFooter>
    <oddFooter>&amp;RSJCPIL-R 14-002-03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9">
    <pageSetUpPr fitToPage="1"/>
  </sheetPr>
  <dimension ref="A1:Z48"/>
  <sheetViews>
    <sheetView showZeros="0" tabSelected="1" zoomScaleNormal="100" workbookViewId="0">
      <selection activeCell="B12" sqref="B12"/>
    </sheetView>
  </sheetViews>
  <sheetFormatPr defaultColWidth="11.42578125" defaultRowHeight="12.75"/>
  <cols>
    <col min="1" max="1" width="20.42578125" bestFit="1" customWidth="1"/>
    <col min="2" max="26" width="8.7109375" customWidth="1"/>
  </cols>
  <sheetData>
    <row r="1" spans="1:26" ht="42" customHeight="1" thickBot="1">
      <c r="A1" s="100" t="s">
        <v>29</v>
      </c>
      <c r="B1" s="101"/>
      <c r="C1" s="101"/>
      <c r="D1" s="101"/>
      <c r="E1" s="101"/>
      <c r="F1" s="101"/>
      <c r="G1" s="98" t="s">
        <v>30</v>
      </c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9"/>
      <c r="W1" s="121" t="s">
        <v>31</v>
      </c>
      <c r="X1" s="122"/>
      <c r="Y1" s="119" t="str">
        <f ca="1">'SJCPIL-R 14-002-03 - Diurno'!Y1</f>
        <v>03 / 2022</v>
      </c>
      <c r="Z1" s="120"/>
    </row>
    <row r="2" spans="1:26" ht="20.100000000000001" customHeight="1">
      <c r="A2" s="1" t="s">
        <v>0</v>
      </c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102"/>
      <c r="X2" s="102"/>
      <c r="Y2" s="102"/>
      <c r="Z2" s="103" t="s">
        <v>5</v>
      </c>
    </row>
    <row r="3" spans="1:26" ht="20.100000000000001" customHeight="1">
      <c r="A3" s="2" t="s">
        <v>1</v>
      </c>
      <c r="B3" s="18"/>
      <c r="C3" s="19"/>
      <c r="D3" s="19"/>
      <c r="E3" s="19"/>
      <c r="F3" s="26"/>
      <c r="G3" s="18"/>
      <c r="H3" s="19"/>
      <c r="I3" s="19"/>
      <c r="J3" s="19"/>
      <c r="K3" s="26"/>
      <c r="L3" s="18"/>
      <c r="M3" s="19"/>
      <c r="N3" s="19"/>
      <c r="O3" s="19"/>
      <c r="P3" s="26"/>
      <c r="Q3" s="18"/>
      <c r="R3" s="19"/>
      <c r="S3" s="19"/>
      <c r="T3" s="19"/>
      <c r="U3" s="26"/>
      <c r="V3" s="19"/>
      <c r="W3" s="19"/>
      <c r="X3" s="19"/>
      <c r="Y3" s="19"/>
      <c r="Z3" s="10"/>
    </row>
    <row r="4" spans="1:26" ht="24.95" customHeight="1">
      <c r="A4" s="4"/>
      <c r="B4" s="110">
        <f>B47</f>
        <v>0</v>
      </c>
      <c r="C4" s="110">
        <f>C47</f>
        <v>0</v>
      </c>
      <c r="D4" s="106">
        <f t="shared" ref="D4:Y4" si="0">D47</f>
        <v>0</v>
      </c>
      <c r="E4" s="106">
        <f t="shared" si="0"/>
        <v>0</v>
      </c>
      <c r="F4" s="106">
        <f t="shared" si="0"/>
        <v>0</v>
      </c>
      <c r="G4" s="106">
        <f t="shared" si="0"/>
        <v>0</v>
      </c>
      <c r="H4" s="106">
        <f t="shared" si="0"/>
        <v>0</v>
      </c>
      <c r="I4" s="106">
        <f t="shared" si="0"/>
        <v>0</v>
      </c>
      <c r="J4" s="106">
        <f t="shared" si="0"/>
        <v>0</v>
      </c>
      <c r="K4" s="106">
        <f t="shared" si="0"/>
        <v>0</v>
      </c>
      <c r="L4" s="106">
        <f>L47</f>
        <v>0</v>
      </c>
      <c r="M4" s="106">
        <f t="shared" si="0"/>
        <v>0</v>
      </c>
      <c r="N4" s="106">
        <f>N47</f>
        <v>0</v>
      </c>
      <c r="O4" s="106">
        <f t="shared" si="0"/>
        <v>0</v>
      </c>
      <c r="P4" s="106">
        <f t="shared" si="0"/>
        <v>0</v>
      </c>
      <c r="Q4" s="106">
        <f t="shared" si="0"/>
        <v>0</v>
      </c>
      <c r="R4" s="106">
        <f t="shared" si="0"/>
        <v>0</v>
      </c>
      <c r="S4" s="106">
        <f t="shared" si="0"/>
        <v>0</v>
      </c>
      <c r="T4" s="106">
        <f t="shared" si="0"/>
        <v>0</v>
      </c>
      <c r="U4" s="106">
        <f t="shared" si="0"/>
        <v>0</v>
      </c>
      <c r="V4" s="106">
        <f t="shared" si="0"/>
        <v>0</v>
      </c>
      <c r="W4" s="106">
        <f t="shared" si="0"/>
        <v>0</v>
      </c>
      <c r="X4" s="106">
        <f t="shared" si="0"/>
        <v>0</v>
      </c>
      <c r="Y4" s="106">
        <f t="shared" si="0"/>
        <v>0</v>
      </c>
      <c r="Z4" s="5"/>
    </row>
    <row r="5" spans="1:26" ht="24.95" customHeight="1">
      <c r="A5" s="108" t="s">
        <v>14</v>
      </c>
      <c r="B5" s="111"/>
      <c r="C5" s="111"/>
      <c r="D5" s="107"/>
      <c r="E5" s="107"/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3"/>
    </row>
    <row r="6" spans="1:26" ht="24.95" customHeight="1">
      <c r="A6" s="108"/>
      <c r="B6" s="111"/>
      <c r="C6" s="111"/>
      <c r="D6" s="107"/>
      <c r="E6" s="107"/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3"/>
    </row>
    <row r="7" spans="1:26" ht="24.95" customHeight="1">
      <c r="A7" s="108"/>
      <c r="B7" s="111"/>
      <c r="C7" s="111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  <c r="Y7" s="107"/>
      <c r="Z7" s="3"/>
    </row>
    <row r="8" spans="1:26" ht="24.95" customHeight="1">
      <c r="A8" s="108"/>
      <c r="B8" s="111"/>
      <c r="C8" s="111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  <c r="Y8" s="107"/>
      <c r="Z8" s="3"/>
    </row>
    <row r="9" spans="1:26" ht="24.95" customHeight="1">
      <c r="A9" s="108"/>
      <c r="B9" s="111"/>
      <c r="C9" s="111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3"/>
    </row>
    <row r="10" spans="1:26" ht="24.95" customHeight="1">
      <c r="A10" s="108"/>
      <c r="B10" s="111"/>
      <c r="C10" s="111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3"/>
    </row>
    <row r="11" spans="1:26" ht="24.95" customHeight="1" thickBot="1">
      <c r="A11" s="108"/>
      <c r="B11" s="111"/>
      <c r="C11" s="111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  <c r="Y11" s="107"/>
      <c r="Z11" s="3"/>
    </row>
    <row r="12" spans="1:26" ht="24.95" customHeight="1">
      <c r="A12" s="62" t="s">
        <v>23</v>
      </c>
      <c r="B12" s="85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65">
        <f>SUM(B12:Y12)</f>
        <v>0</v>
      </c>
    </row>
    <row r="13" spans="1:26" ht="20.100000000000001" customHeight="1">
      <c r="A13" s="63" t="s">
        <v>21</v>
      </c>
      <c r="B13" s="95">
        <f>'SJCPIL-R 14-002-03 - Diurno'!B38+'SJCPIL-R 14-002-03 - Noite'!B12</f>
        <v>0</v>
      </c>
      <c r="C13" s="95">
        <f>'SJCPIL-R 14-002-03 - Diurno'!C38+'SJCPIL-R 14-002-03 - Noite'!C12</f>
        <v>0</v>
      </c>
      <c r="D13" s="95">
        <f>'SJCPIL-R 14-002-03 - Diurno'!D38+'SJCPIL-R 14-002-03 - Noite'!D12</f>
        <v>0</v>
      </c>
      <c r="E13" s="95">
        <f>'SJCPIL-R 14-002-03 - Diurno'!E38+'SJCPIL-R 14-002-03 - Noite'!E12</f>
        <v>0</v>
      </c>
      <c r="F13" s="95">
        <f>'SJCPIL-R 14-002-03 - Diurno'!F38+'SJCPIL-R 14-002-03 - Noite'!F12</f>
        <v>0</v>
      </c>
      <c r="G13" s="95">
        <f>'SJCPIL-R 14-002-03 - Diurno'!G38+'SJCPIL-R 14-002-03 - Noite'!G12</f>
        <v>0</v>
      </c>
      <c r="H13" s="95">
        <f>'SJCPIL-R 14-002-03 - Diurno'!H38+'SJCPIL-R 14-002-03 - Noite'!H12</f>
        <v>0</v>
      </c>
      <c r="I13" s="95">
        <f>'SJCPIL-R 14-002-03 - Diurno'!I38+'SJCPIL-R 14-002-03 - Noite'!I12</f>
        <v>0</v>
      </c>
      <c r="J13" s="95">
        <f>'SJCPIL-R 14-002-03 - Diurno'!J38+'SJCPIL-R 14-002-03 - Noite'!J12</f>
        <v>0</v>
      </c>
      <c r="K13" s="95">
        <f>'SJCPIL-R 14-002-03 - Diurno'!K38+'SJCPIL-R 14-002-03 - Noite'!K12</f>
        <v>0</v>
      </c>
      <c r="L13" s="95">
        <f>'SJCPIL-R 14-002-03 - Diurno'!L38+'SJCPIL-R 14-002-03 - Noite'!L12</f>
        <v>0</v>
      </c>
      <c r="M13" s="95">
        <f>'SJCPIL-R 14-002-03 - Diurno'!M38+'SJCPIL-R 14-002-03 - Noite'!M12</f>
        <v>0</v>
      </c>
      <c r="N13" s="95">
        <f>'SJCPIL-R 14-002-03 - Diurno'!N38+'SJCPIL-R 14-002-03 - Noite'!N12</f>
        <v>0</v>
      </c>
      <c r="O13" s="95">
        <f>'SJCPIL-R 14-002-03 - Diurno'!O38+'SJCPIL-R 14-002-03 - Noite'!O12</f>
        <v>0</v>
      </c>
      <c r="P13" s="95">
        <f>'SJCPIL-R 14-002-03 - Diurno'!P38+'SJCPIL-R 14-002-03 - Noite'!P12</f>
        <v>0</v>
      </c>
      <c r="Q13" s="95">
        <f>'SJCPIL-R 14-002-03 - Diurno'!Q38+'SJCPIL-R 14-002-03 - Noite'!Q12</f>
        <v>0</v>
      </c>
      <c r="R13" s="95">
        <f>'SJCPIL-R 14-002-03 - Diurno'!R38+'SJCPIL-R 14-002-03 - Noite'!R12</f>
        <v>0</v>
      </c>
      <c r="S13" s="95">
        <f>'SJCPIL-R 14-002-03 - Diurno'!S38+'SJCPIL-R 14-002-03 - Noite'!S12</f>
        <v>0</v>
      </c>
      <c r="T13" s="95">
        <f>'SJCPIL-R 14-002-03 - Diurno'!T38+'SJCPIL-R 14-002-03 - Noite'!T12</f>
        <v>0</v>
      </c>
      <c r="U13" s="95">
        <f>'SJCPIL-R 14-002-03 - Diurno'!U38+'SJCPIL-R 14-002-03 - Noite'!U12</f>
        <v>0</v>
      </c>
      <c r="V13" s="95">
        <f>'SJCPIL-R 14-002-03 - Diurno'!V38+'SJCPIL-R 14-002-03 - Noite'!V12</f>
        <v>0</v>
      </c>
      <c r="W13" s="95">
        <f>'SJCPIL-R 14-002-03 - Diurno'!W38+'SJCPIL-R 14-002-03 - Noite'!W12</f>
        <v>0</v>
      </c>
      <c r="X13" s="95">
        <f>'SJCPIL-R 14-002-03 - Diurno'!X38+'SJCPIL-R 14-002-03 - Noite'!X12</f>
        <v>0</v>
      </c>
      <c r="Y13" s="95">
        <f>'SJCPIL-R 14-002-03 - Diurno'!Y38+'SJCPIL-R 14-002-03 - Noite'!Y12</f>
        <v>0</v>
      </c>
      <c r="Z13" s="84">
        <f>'SJCPIL-R 14-002-03 - Diurno'!Z38+Z12</f>
        <v>0</v>
      </c>
    </row>
    <row r="14" spans="1:26" ht="20.100000000000001" customHeight="1" thickBot="1">
      <c r="A14" s="64" t="s">
        <v>24</v>
      </c>
      <c r="B14" s="89"/>
      <c r="C14" s="89"/>
      <c r="D14" s="89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66"/>
    </row>
    <row r="15" spans="1:26" ht="20.100000000000001" customHeight="1">
      <c r="A15" s="54" t="s">
        <v>27</v>
      </c>
      <c r="B15" s="55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3">
        <f>SUM(B15:Y15)</f>
        <v>0</v>
      </c>
    </row>
    <row r="16" spans="1:26" ht="20.100000000000001" customHeight="1">
      <c r="A16" s="41" t="s">
        <v>2</v>
      </c>
      <c r="B16" s="34"/>
      <c r="C16" s="34"/>
      <c r="D16" s="34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6">
        <f>SUM(B16:Y16)</f>
        <v>0</v>
      </c>
    </row>
    <row r="17" spans="1:26" ht="20.100000000000001" customHeight="1">
      <c r="A17" s="42" t="s">
        <v>3</v>
      </c>
      <c r="B17" s="34"/>
      <c r="C17" s="34"/>
      <c r="D17" s="34"/>
      <c r="E17" s="20"/>
      <c r="F17" s="20"/>
      <c r="G17" s="20"/>
      <c r="H17" s="20"/>
      <c r="I17" s="20"/>
      <c r="J17" s="20"/>
      <c r="K17" s="20"/>
      <c r="L17" s="27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7">
        <f>SUM(B17:Y17)</f>
        <v>0</v>
      </c>
    </row>
    <row r="18" spans="1:26" ht="20.100000000000001" customHeight="1">
      <c r="A18" s="35" t="s">
        <v>22</v>
      </c>
      <c r="B18" s="34"/>
      <c r="C18" s="20"/>
      <c r="D18" s="20"/>
      <c r="E18" s="20"/>
      <c r="F18" s="20"/>
      <c r="G18" s="20"/>
      <c r="H18" s="20"/>
      <c r="I18" s="20"/>
      <c r="J18" s="20"/>
      <c r="K18" s="20"/>
      <c r="L18" s="27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6">
        <f>SUM(B18:Y18)</f>
        <v>0</v>
      </c>
    </row>
    <row r="19" spans="1:26" ht="20.100000000000001" customHeight="1" thickBot="1">
      <c r="A19" s="48" t="s">
        <v>16</v>
      </c>
      <c r="B19" s="46" t="str">
        <f t="shared" ref="B19:Z19" si="1">IF(B16=0,"",(B17+B18)/(B16+B17+B18)*1000000)</f>
        <v/>
      </c>
      <c r="C19" s="46" t="str">
        <f t="shared" si="1"/>
        <v/>
      </c>
      <c r="D19" s="46" t="str">
        <f t="shared" si="1"/>
        <v/>
      </c>
      <c r="E19" s="46" t="str">
        <f t="shared" si="1"/>
        <v/>
      </c>
      <c r="F19" s="46" t="str">
        <f t="shared" si="1"/>
        <v/>
      </c>
      <c r="G19" s="46" t="str">
        <f t="shared" si="1"/>
        <v/>
      </c>
      <c r="H19" s="46" t="str">
        <f t="shared" si="1"/>
        <v/>
      </c>
      <c r="I19" s="46" t="str">
        <f t="shared" si="1"/>
        <v/>
      </c>
      <c r="J19" s="46" t="str">
        <f t="shared" si="1"/>
        <v/>
      </c>
      <c r="K19" s="46" t="str">
        <f t="shared" si="1"/>
        <v/>
      </c>
      <c r="L19" s="46" t="str">
        <f t="shared" si="1"/>
        <v/>
      </c>
      <c r="M19" s="46" t="str">
        <f t="shared" si="1"/>
        <v/>
      </c>
      <c r="N19" s="46" t="str">
        <f t="shared" si="1"/>
        <v/>
      </c>
      <c r="O19" s="46" t="str">
        <f t="shared" si="1"/>
        <v/>
      </c>
      <c r="P19" s="46" t="str">
        <f t="shared" si="1"/>
        <v/>
      </c>
      <c r="Q19" s="46" t="str">
        <f t="shared" si="1"/>
        <v/>
      </c>
      <c r="R19" s="46" t="str">
        <f t="shared" si="1"/>
        <v/>
      </c>
      <c r="S19" s="46" t="str">
        <f t="shared" si="1"/>
        <v/>
      </c>
      <c r="T19" s="46" t="str">
        <f t="shared" si="1"/>
        <v/>
      </c>
      <c r="U19" s="46" t="str">
        <f t="shared" si="1"/>
        <v/>
      </c>
      <c r="V19" s="46" t="str">
        <f t="shared" si="1"/>
        <v/>
      </c>
      <c r="W19" s="46" t="str">
        <f t="shared" si="1"/>
        <v/>
      </c>
      <c r="X19" s="46" t="str">
        <f t="shared" si="1"/>
        <v/>
      </c>
      <c r="Y19" s="46" t="str">
        <f t="shared" si="1"/>
        <v/>
      </c>
      <c r="Z19" s="82" t="str">
        <f t="shared" si="1"/>
        <v/>
      </c>
    </row>
    <row r="20" spans="1:26" ht="20.100000000000001" customHeight="1">
      <c r="A20" s="79" t="s">
        <v>26</v>
      </c>
      <c r="B20" s="77">
        <f>B14-SUM(B15:B18)</f>
        <v>0</v>
      </c>
      <c r="C20" s="75">
        <f>C14-SUM(C15:C18)</f>
        <v>0</v>
      </c>
      <c r="D20" s="75">
        <f t="shared" ref="D20:Z20" si="2">D14-SUM(D15:D18)</f>
        <v>0</v>
      </c>
      <c r="E20" s="75">
        <f t="shared" si="2"/>
        <v>0</v>
      </c>
      <c r="F20" s="75">
        <f t="shared" si="2"/>
        <v>0</v>
      </c>
      <c r="G20" s="75">
        <f t="shared" si="2"/>
        <v>0</v>
      </c>
      <c r="H20" s="75">
        <f t="shared" si="2"/>
        <v>0</v>
      </c>
      <c r="I20" s="75">
        <f t="shared" si="2"/>
        <v>0</v>
      </c>
      <c r="J20" s="75">
        <f t="shared" si="2"/>
        <v>0</v>
      </c>
      <c r="K20" s="75">
        <f t="shared" si="2"/>
        <v>0</v>
      </c>
      <c r="L20" s="75">
        <f t="shared" si="2"/>
        <v>0</v>
      </c>
      <c r="M20" s="75">
        <f t="shared" si="2"/>
        <v>0</v>
      </c>
      <c r="N20" s="75">
        <f t="shared" si="2"/>
        <v>0</v>
      </c>
      <c r="O20" s="75">
        <f t="shared" si="2"/>
        <v>0</v>
      </c>
      <c r="P20" s="75">
        <f t="shared" si="2"/>
        <v>0</v>
      </c>
      <c r="Q20" s="75">
        <f t="shared" si="2"/>
        <v>0</v>
      </c>
      <c r="R20" s="75">
        <f t="shared" si="2"/>
        <v>0</v>
      </c>
      <c r="S20" s="75">
        <f t="shared" si="2"/>
        <v>0</v>
      </c>
      <c r="T20" s="75">
        <f t="shared" si="2"/>
        <v>0</v>
      </c>
      <c r="U20" s="75">
        <f t="shared" si="2"/>
        <v>0</v>
      </c>
      <c r="V20" s="75">
        <f t="shared" si="2"/>
        <v>0</v>
      </c>
      <c r="W20" s="75">
        <f t="shared" si="2"/>
        <v>0</v>
      </c>
      <c r="X20" s="75">
        <f t="shared" si="2"/>
        <v>0</v>
      </c>
      <c r="Y20" s="75">
        <f t="shared" si="2"/>
        <v>0</v>
      </c>
      <c r="Z20" s="76">
        <f t="shared" si="2"/>
        <v>0</v>
      </c>
    </row>
    <row r="21" spans="1:26" ht="20.100000000000001" customHeight="1" thickBot="1">
      <c r="A21" s="61" t="s">
        <v>25</v>
      </c>
      <c r="B21" s="78">
        <f>+B13-B14+B20</f>
        <v>0</v>
      </c>
      <c r="C21" s="71">
        <f>C13-C14+C20</f>
        <v>0</v>
      </c>
      <c r="D21" s="71">
        <f>D13-D14+D20</f>
        <v>0</v>
      </c>
      <c r="E21" s="71">
        <f t="shared" ref="E21:Y21" si="3">E13-E14+E20</f>
        <v>0</v>
      </c>
      <c r="F21" s="71">
        <f t="shared" si="3"/>
        <v>0</v>
      </c>
      <c r="G21" s="71">
        <f t="shared" si="3"/>
        <v>0</v>
      </c>
      <c r="H21" s="71">
        <f t="shared" si="3"/>
        <v>0</v>
      </c>
      <c r="I21" s="71">
        <f t="shared" si="3"/>
        <v>0</v>
      </c>
      <c r="J21" s="71">
        <f t="shared" si="3"/>
        <v>0</v>
      </c>
      <c r="K21" s="71">
        <f t="shared" si="3"/>
        <v>0</v>
      </c>
      <c r="L21" s="71">
        <f t="shared" si="3"/>
        <v>0</v>
      </c>
      <c r="M21" s="71">
        <f t="shared" si="3"/>
        <v>0</v>
      </c>
      <c r="N21" s="71">
        <f t="shared" si="3"/>
        <v>0</v>
      </c>
      <c r="O21" s="71">
        <f t="shared" si="3"/>
        <v>0</v>
      </c>
      <c r="P21" s="71">
        <f t="shared" si="3"/>
        <v>0</v>
      </c>
      <c r="Q21" s="71">
        <f t="shared" si="3"/>
        <v>0</v>
      </c>
      <c r="R21" s="71">
        <f t="shared" si="3"/>
        <v>0</v>
      </c>
      <c r="S21" s="71">
        <f t="shared" si="3"/>
        <v>0</v>
      </c>
      <c r="T21" s="71">
        <f t="shared" si="3"/>
        <v>0</v>
      </c>
      <c r="U21" s="71">
        <f t="shared" si="3"/>
        <v>0</v>
      </c>
      <c r="V21" s="71">
        <f t="shared" si="3"/>
        <v>0</v>
      </c>
      <c r="W21" s="71">
        <f t="shared" si="3"/>
        <v>0</v>
      </c>
      <c r="X21" s="71">
        <f t="shared" si="3"/>
        <v>0</v>
      </c>
      <c r="Y21" s="71">
        <f t="shared" si="3"/>
        <v>0</v>
      </c>
      <c r="Z21" s="72"/>
    </row>
    <row r="22" spans="1:26" ht="24.95" customHeight="1">
      <c r="A22" s="56" t="s">
        <v>1</v>
      </c>
      <c r="B22" s="57"/>
      <c r="C22" s="57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8"/>
    </row>
    <row r="23" spans="1:26" ht="24.95" customHeight="1">
      <c r="A23" s="4"/>
      <c r="B23" s="110">
        <f>B48</f>
        <v>0</v>
      </c>
      <c r="C23" s="110">
        <f>C48</f>
        <v>0</v>
      </c>
      <c r="D23" s="106">
        <f t="shared" ref="D23:Y23" si="4">D48</f>
        <v>0</v>
      </c>
      <c r="E23" s="106">
        <f t="shared" si="4"/>
        <v>0</v>
      </c>
      <c r="F23" s="106">
        <f t="shared" si="4"/>
        <v>0</v>
      </c>
      <c r="G23" s="106">
        <f t="shared" si="4"/>
        <v>0</v>
      </c>
      <c r="H23" s="106">
        <f t="shared" si="4"/>
        <v>0</v>
      </c>
      <c r="I23" s="106">
        <f t="shared" si="4"/>
        <v>0</v>
      </c>
      <c r="J23" s="106">
        <f t="shared" si="4"/>
        <v>0</v>
      </c>
      <c r="K23" s="106">
        <f t="shared" si="4"/>
        <v>0</v>
      </c>
      <c r="L23" s="106">
        <f t="shared" si="4"/>
        <v>0</v>
      </c>
      <c r="M23" s="106">
        <f t="shared" si="4"/>
        <v>0</v>
      </c>
      <c r="N23" s="106">
        <f t="shared" si="4"/>
        <v>0</v>
      </c>
      <c r="O23" s="106">
        <f t="shared" si="4"/>
        <v>0</v>
      </c>
      <c r="P23" s="106">
        <f t="shared" si="4"/>
        <v>0</v>
      </c>
      <c r="Q23" s="106">
        <f t="shared" si="4"/>
        <v>0</v>
      </c>
      <c r="R23" s="106">
        <f t="shared" si="4"/>
        <v>0</v>
      </c>
      <c r="S23" s="106">
        <f t="shared" si="4"/>
        <v>0</v>
      </c>
      <c r="T23" s="106">
        <f t="shared" si="4"/>
        <v>0</v>
      </c>
      <c r="U23" s="106">
        <f t="shared" si="4"/>
        <v>0</v>
      </c>
      <c r="V23" s="106">
        <f t="shared" si="4"/>
        <v>0</v>
      </c>
      <c r="W23" s="106">
        <f t="shared" si="4"/>
        <v>0</v>
      </c>
      <c r="X23" s="106">
        <f t="shared" si="4"/>
        <v>0</v>
      </c>
      <c r="Y23" s="106">
        <f t="shared" si="4"/>
        <v>0</v>
      </c>
      <c r="Z23" s="5"/>
    </row>
    <row r="24" spans="1:26" ht="24.95" customHeight="1">
      <c r="A24" s="108" t="s">
        <v>15</v>
      </c>
      <c r="B24" s="111"/>
      <c r="C24" s="111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  <c r="Y24" s="107"/>
      <c r="Z24" s="3"/>
    </row>
    <row r="25" spans="1:26" ht="24.95" customHeight="1">
      <c r="A25" s="108"/>
      <c r="B25" s="111"/>
      <c r="C25" s="111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3"/>
    </row>
    <row r="26" spans="1:26" ht="24.95" customHeight="1">
      <c r="A26" s="108"/>
      <c r="B26" s="111"/>
      <c r="C26" s="111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  <c r="Y26" s="107"/>
      <c r="Z26" s="3"/>
    </row>
    <row r="27" spans="1:26" ht="24.95" customHeight="1">
      <c r="A27" s="108"/>
      <c r="B27" s="111"/>
      <c r="C27" s="111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3"/>
    </row>
    <row r="28" spans="1:26" ht="24.95" customHeight="1">
      <c r="A28" s="108"/>
      <c r="B28" s="111"/>
      <c r="C28" s="111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  <c r="Y28" s="107"/>
      <c r="Z28" s="3"/>
    </row>
    <row r="29" spans="1:26" ht="24.95" customHeight="1">
      <c r="A29" s="108"/>
      <c r="B29" s="111"/>
      <c r="C29" s="111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  <c r="Y29" s="107"/>
      <c r="Z29" s="3"/>
    </row>
    <row r="30" spans="1:26" ht="24.95" customHeight="1" thickBot="1">
      <c r="A30" s="109"/>
      <c r="B30" s="111"/>
      <c r="C30" s="111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  <c r="Y30" s="107"/>
      <c r="Z30" s="3"/>
    </row>
    <row r="31" spans="1:26" ht="20.100000000000001" customHeight="1">
      <c r="A31" s="59" t="s">
        <v>24</v>
      </c>
      <c r="B31" s="96"/>
      <c r="C31" s="96"/>
      <c r="D31" s="96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73"/>
    </row>
    <row r="32" spans="1:26" ht="20.100000000000001" customHeight="1">
      <c r="A32" s="54" t="s">
        <v>17</v>
      </c>
      <c r="B32" s="51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3">
        <f>SUM(B32:Y32)</f>
        <v>0</v>
      </c>
    </row>
    <row r="33" spans="1:26" ht="20.100000000000001" customHeight="1">
      <c r="A33" s="41" t="s">
        <v>2</v>
      </c>
      <c r="B33" s="34"/>
      <c r="C33" s="34"/>
      <c r="D33" s="34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52"/>
      <c r="R33" s="20"/>
      <c r="S33" s="20"/>
      <c r="T33" s="20"/>
      <c r="U33" s="20"/>
      <c r="V33" s="20"/>
      <c r="W33" s="20"/>
      <c r="X33" s="20"/>
      <c r="Y33" s="20"/>
      <c r="Z33" s="6">
        <f>SUM(B33:Y33)</f>
        <v>0</v>
      </c>
    </row>
    <row r="34" spans="1:26" ht="20.100000000000001" customHeight="1">
      <c r="A34" s="42" t="s">
        <v>3</v>
      </c>
      <c r="B34" s="34"/>
      <c r="C34" s="34"/>
      <c r="D34" s="34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6">
        <f>SUM(B34:Y34)</f>
        <v>0</v>
      </c>
    </row>
    <row r="35" spans="1:26" ht="20.100000000000001" customHeight="1">
      <c r="A35" s="35" t="s">
        <v>20</v>
      </c>
      <c r="B35" s="38"/>
      <c r="C35" s="20"/>
      <c r="D35" s="20"/>
      <c r="E35" s="20"/>
      <c r="F35" s="20"/>
      <c r="G35" s="20"/>
      <c r="H35" s="20"/>
      <c r="I35" s="27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6">
        <f>SUM(B35:Y35)</f>
        <v>0</v>
      </c>
    </row>
    <row r="36" spans="1:26" ht="20.100000000000001" customHeight="1" thickBot="1">
      <c r="A36" s="48" t="s">
        <v>16</v>
      </c>
      <c r="B36" s="49" t="str">
        <f>IF(B33=0,"",(B34+B35)/(B33+B34+B35)*1000000)</f>
        <v/>
      </c>
      <c r="C36" s="47" t="str">
        <f>IF(C33=0,"",(C34+C35)/(C33+C34+C35)*1000000)</f>
        <v/>
      </c>
      <c r="D36" s="47" t="str">
        <f t="shared" ref="D36:Z36" si="5">IF(D33=0,"",(D34+D35)/(D33+D34+D35)*1000000)</f>
        <v/>
      </c>
      <c r="E36" s="47" t="str">
        <f t="shared" si="5"/>
        <v/>
      </c>
      <c r="F36" s="47" t="str">
        <f t="shared" si="5"/>
        <v/>
      </c>
      <c r="G36" s="47" t="str">
        <f t="shared" si="5"/>
        <v/>
      </c>
      <c r="H36" s="47" t="str">
        <f t="shared" si="5"/>
        <v/>
      </c>
      <c r="I36" s="47" t="str">
        <f t="shared" si="5"/>
        <v/>
      </c>
      <c r="J36" s="47" t="str">
        <f t="shared" si="5"/>
        <v/>
      </c>
      <c r="K36" s="47" t="str">
        <f t="shared" si="5"/>
        <v/>
      </c>
      <c r="L36" s="47" t="str">
        <f t="shared" si="5"/>
        <v/>
      </c>
      <c r="M36" s="47" t="str">
        <f t="shared" si="5"/>
        <v/>
      </c>
      <c r="N36" s="47" t="str">
        <f t="shared" si="5"/>
        <v/>
      </c>
      <c r="O36" s="47" t="str">
        <f t="shared" si="5"/>
        <v/>
      </c>
      <c r="P36" s="47" t="str">
        <f t="shared" si="5"/>
        <v/>
      </c>
      <c r="Q36" s="47" t="str">
        <f t="shared" si="5"/>
        <v/>
      </c>
      <c r="R36" s="47" t="str">
        <f t="shared" si="5"/>
        <v/>
      </c>
      <c r="S36" s="47" t="str">
        <f t="shared" si="5"/>
        <v/>
      </c>
      <c r="T36" s="47" t="str">
        <f t="shared" si="5"/>
        <v/>
      </c>
      <c r="U36" s="47" t="str">
        <f t="shared" si="5"/>
        <v/>
      </c>
      <c r="V36" s="47" t="str">
        <f t="shared" si="5"/>
        <v/>
      </c>
      <c r="W36" s="47" t="str">
        <f t="shared" si="5"/>
        <v/>
      </c>
      <c r="X36" s="47" t="str">
        <f t="shared" si="5"/>
        <v/>
      </c>
      <c r="Y36" s="47" t="str">
        <f t="shared" si="5"/>
        <v/>
      </c>
      <c r="Z36" s="50" t="str">
        <f t="shared" si="5"/>
        <v/>
      </c>
    </row>
    <row r="37" spans="1:26" ht="20.100000000000001" customHeight="1">
      <c r="A37" s="60" t="s">
        <v>26</v>
      </c>
      <c r="B37" s="67">
        <f>B31-SUM(B32:B35)</f>
        <v>0</v>
      </c>
      <c r="C37" s="68">
        <f>C31-SUM(C32:C35)</f>
        <v>0</v>
      </c>
      <c r="D37" s="68">
        <f t="shared" ref="D37:Z37" si="6">D31-SUM(D32:D35)</f>
        <v>0</v>
      </c>
      <c r="E37" s="68">
        <f t="shared" si="6"/>
        <v>0</v>
      </c>
      <c r="F37" s="68">
        <f t="shared" si="6"/>
        <v>0</v>
      </c>
      <c r="G37" s="68">
        <f t="shared" si="6"/>
        <v>0</v>
      </c>
      <c r="H37" s="68">
        <f t="shared" si="6"/>
        <v>0</v>
      </c>
      <c r="I37" s="68">
        <f t="shared" si="6"/>
        <v>0</v>
      </c>
      <c r="J37" s="68">
        <f t="shared" si="6"/>
        <v>0</v>
      </c>
      <c r="K37" s="68">
        <f t="shared" si="6"/>
        <v>0</v>
      </c>
      <c r="L37" s="68">
        <f t="shared" si="6"/>
        <v>0</v>
      </c>
      <c r="M37" s="68">
        <f t="shared" si="6"/>
        <v>0</v>
      </c>
      <c r="N37" s="68">
        <f t="shared" si="6"/>
        <v>0</v>
      </c>
      <c r="O37" s="68">
        <f t="shared" si="6"/>
        <v>0</v>
      </c>
      <c r="P37" s="68">
        <f t="shared" si="6"/>
        <v>0</v>
      </c>
      <c r="Q37" s="68">
        <f t="shared" si="6"/>
        <v>0</v>
      </c>
      <c r="R37" s="68">
        <f t="shared" si="6"/>
        <v>0</v>
      </c>
      <c r="S37" s="68">
        <f t="shared" si="6"/>
        <v>0</v>
      </c>
      <c r="T37" s="68">
        <f t="shared" si="6"/>
        <v>0</v>
      </c>
      <c r="U37" s="68">
        <f t="shared" si="6"/>
        <v>0</v>
      </c>
      <c r="V37" s="68">
        <f t="shared" si="6"/>
        <v>0</v>
      </c>
      <c r="W37" s="68">
        <f t="shared" si="6"/>
        <v>0</v>
      </c>
      <c r="X37" s="68">
        <f t="shared" si="6"/>
        <v>0</v>
      </c>
      <c r="Y37" s="68">
        <f t="shared" si="6"/>
        <v>0</v>
      </c>
      <c r="Z37" s="69">
        <f t="shared" si="6"/>
        <v>0</v>
      </c>
    </row>
    <row r="38" spans="1:26" ht="20.100000000000001" customHeight="1" thickBot="1">
      <c r="A38" s="61" t="s">
        <v>21</v>
      </c>
      <c r="B38" s="70">
        <f>B21-B31+B37</f>
        <v>0</v>
      </c>
      <c r="C38" s="71">
        <f>C21-C31+C37</f>
        <v>0</v>
      </c>
      <c r="D38" s="71">
        <f t="shared" ref="D38:Z38" si="7">D21-D31+D37</f>
        <v>0</v>
      </c>
      <c r="E38" s="71">
        <f t="shared" si="7"/>
        <v>0</v>
      </c>
      <c r="F38" s="71">
        <f t="shared" si="7"/>
        <v>0</v>
      </c>
      <c r="G38" s="71">
        <f t="shared" si="7"/>
        <v>0</v>
      </c>
      <c r="H38" s="71">
        <f t="shared" si="7"/>
        <v>0</v>
      </c>
      <c r="I38" s="71">
        <f t="shared" si="7"/>
        <v>0</v>
      </c>
      <c r="J38" s="71">
        <f t="shared" si="7"/>
        <v>0</v>
      </c>
      <c r="K38" s="71">
        <f t="shared" si="7"/>
        <v>0</v>
      </c>
      <c r="L38" s="71">
        <f t="shared" si="7"/>
        <v>0</v>
      </c>
      <c r="M38" s="71">
        <f t="shared" si="7"/>
        <v>0</v>
      </c>
      <c r="N38" s="71">
        <f t="shared" si="7"/>
        <v>0</v>
      </c>
      <c r="O38" s="71">
        <f t="shared" si="7"/>
        <v>0</v>
      </c>
      <c r="P38" s="71">
        <f t="shared" si="7"/>
        <v>0</v>
      </c>
      <c r="Q38" s="71">
        <f t="shared" si="7"/>
        <v>0</v>
      </c>
      <c r="R38" s="71">
        <f t="shared" si="7"/>
        <v>0</v>
      </c>
      <c r="S38" s="71">
        <f t="shared" si="7"/>
        <v>0</v>
      </c>
      <c r="T38" s="71">
        <f t="shared" si="7"/>
        <v>0</v>
      </c>
      <c r="U38" s="71">
        <f t="shared" si="7"/>
        <v>0</v>
      </c>
      <c r="V38" s="71">
        <f t="shared" si="7"/>
        <v>0</v>
      </c>
      <c r="W38" s="71">
        <f t="shared" si="7"/>
        <v>0</v>
      </c>
      <c r="X38" s="71">
        <f t="shared" si="7"/>
        <v>0</v>
      </c>
      <c r="Y38" s="71">
        <f t="shared" si="7"/>
        <v>0</v>
      </c>
      <c r="Z38" s="72">
        <f t="shared" si="7"/>
        <v>0</v>
      </c>
    </row>
    <row r="39" spans="1:26" ht="20.100000000000001" customHeight="1">
      <c r="A39" s="36" t="s">
        <v>19</v>
      </c>
      <c r="B39" s="39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  <c r="V39" s="31"/>
      <c r="W39" s="31"/>
      <c r="X39" s="31"/>
      <c r="Y39" s="31"/>
      <c r="Z39" s="32"/>
    </row>
    <row r="40" spans="1:26" ht="20.100000000000001" customHeight="1" thickBot="1">
      <c r="A40" s="37" t="s">
        <v>18</v>
      </c>
      <c r="B40" s="40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33"/>
    </row>
    <row r="41" spans="1:26" ht="20.100000000000001" customHeight="1">
      <c r="A41" s="112" t="s">
        <v>10</v>
      </c>
      <c r="B41" s="113"/>
      <c r="C41" s="113"/>
      <c r="D41" s="113"/>
      <c r="E41" s="113"/>
      <c r="F41" s="113"/>
      <c r="G41" s="114"/>
      <c r="H41" s="29" t="s">
        <v>12</v>
      </c>
      <c r="I41" s="30"/>
      <c r="J41" s="30"/>
      <c r="K41" s="30"/>
      <c r="L41" s="30"/>
      <c r="M41" s="30"/>
      <c r="N41" s="30"/>
      <c r="O41" s="30"/>
      <c r="P41" s="30"/>
      <c r="Q41" s="30"/>
      <c r="R41" s="29" t="s">
        <v>13</v>
      </c>
      <c r="S41" s="30"/>
      <c r="T41" s="30"/>
      <c r="U41" s="30"/>
      <c r="V41" s="30"/>
      <c r="W41" s="30"/>
      <c r="X41" s="30"/>
      <c r="Y41" s="115"/>
      <c r="Z41" s="116"/>
    </row>
    <row r="42" spans="1:26" ht="20.100000000000001" customHeight="1" thickBot="1">
      <c r="A42" s="11" t="s">
        <v>11</v>
      </c>
      <c r="B42" s="12"/>
      <c r="C42" s="12"/>
      <c r="D42" s="12"/>
      <c r="E42" s="12"/>
      <c r="F42" s="12"/>
      <c r="G42" s="13"/>
      <c r="H42" s="11" t="s">
        <v>11</v>
      </c>
      <c r="I42" s="12"/>
      <c r="J42" s="12"/>
      <c r="K42" s="12"/>
      <c r="L42" s="12"/>
      <c r="M42" s="12"/>
      <c r="N42" s="12"/>
      <c r="O42" s="12"/>
      <c r="P42" s="12"/>
      <c r="Q42" s="12"/>
      <c r="R42" s="11" t="s">
        <v>11</v>
      </c>
      <c r="S42" s="12"/>
      <c r="T42" s="12"/>
      <c r="U42" s="12"/>
      <c r="V42" s="12"/>
      <c r="W42" s="12"/>
      <c r="X42" s="12"/>
      <c r="Y42" s="14"/>
      <c r="Z42" s="15"/>
    </row>
    <row r="43" spans="1:26">
      <c r="A43" t="s">
        <v>6</v>
      </c>
      <c r="B43" s="24">
        <f>'SJCPIL-R 14-002-03 - Diurno'!B43</f>
        <v>30650</v>
      </c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</row>
    <row r="44" spans="1:26">
      <c r="A44" t="s">
        <v>7</v>
      </c>
      <c r="B44" s="25">
        <f>'SJCPIL-R 14-002-03 - Diurno'!B44</f>
        <v>18470</v>
      </c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</row>
    <row r="46" spans="1:26">
      <c r="A46" s="8" t="s">
        <v>8</v>
      </c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45"/>
    </row>
    <row r="47" spans="1:26" ht="114.95" customHeight="1">
      <c r="A47" s="9" t="s">
        <v>9</v>
      </c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2"/>
      <c r="R47" s="23"/>
      <c r="S47" s="23"/>
      <c r="T47" s="23"/>
      <c r="U47" s="22"/>
      <c r="V47" s="22"/>
      <c r="W47" s="22"/>
      <c r="X47" s="22"/>
      <c r="Y47" s="43"/>
      <c r="Z47" s="8"/>
    </row>
    <row r="48" spans="1:26" ht="114.95" customHeight="1">
      <c r="A48" s="9" t="s">
        <v>4</v>
      </c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2"/>
      <c r="T48" s="23"/>
      <c r="U48" s="23"/>
      <c r="V48" s="23"/>
      <c r="W48" s="22"/>
      <c r="X48" s="23"/>
      <c r="Y48" s="44"/>
      <c r="Z48" s="8"/>
    </row>
  </sheetData>
  <sheetProtection algorithmName="SHA-512" hashValue="kOOYoeY4YQbNyuEJPu2MxPl9FiMW7wPieSu3SHVrEcjSK4zWhPA73zdIvJP8b+WtEIZ4/b8BWFlGCjVaxkWWGQ==" saltValue="x7xtrMFOOerKHjN1+tZqUA==" spinCount="100000" sheet="1" objects="1" scenarios="1" selectLockedCells="1"/>
  <mergeCells count="54">
    <mergeCell ref="W1:X1"/>
    <mergeCell ref="Y1:Z1"/>
    <mergeCell ref="R23:R30"/>
    <mergeCell ref="K23:K30"/>
    <mergeCell ref="Y23:Y30"/>
    <mergeCell ref="P4:P11"/>
    <mergeCell ref="Q4:Q11"/>
    <mergeCell ref="W4:W11"/>
    <mergeCell ref="X4:X11"/>
    <mergeCell ref="Y4:Y11"/>
    <mergeCell ref="A41:G41"/>
    <mergeCell ref="Y41:Z41"/>
    <mergeCell ref="S23:S30"/>
    <mergeCell ref="T23:T30"/>
    <mergeCell ref="U23:U30"/>
    <mergeCell ref="V23:V30"/>
    <mergeCell ref="W23:W30"/>
    <mergeCell ref="X23:X30"/>
    <mergeCell ref="M23:M30"/>
    <mergeCell ref="N23:N30"/>
    <mergeCell ref="O23:O30"/>
    <mergeCell ref="P23:P30"/>
    <mergeCell ref="Q23:Q30"/>
    <mergeCell ref="F23:F30"/>
    <mergeCell ref="L23:L30"/>
    <mergeCell ref="G23:G30"/>
    <mergeCell ref="A5:A11"/>
    <mergeCell ref="B23:B30"/>
    <mergeCell ref="C23:C30"/>
    <mergeCell ref="D23:D30"/>
    <mergeCell ref="E23:E30"/>
    <mergeCell ref="B4:B11"/>
    <mergeCell ref="C4:C11"/>
    <mergeCell ref="D4:D11"/>
    <mergeCell ref="E4:E11"/>
    <mergeCell ref="A24:A30"/>
    <mergeCell ref="H23:H30"/>
    <mergeCell ref="I23:I30"/>
    <mergeCell ref="J23:J30"/>
    <mergeCell ref="S4:S11"/>
    <mergeCell ref="J4:J11"/>
    <mergeCell ref="K4:K11"/>
    <mergeCell ref="L4:L11"/>
    <mergeCell ref="M4:M11"/>
    <mergeCell ref="N4:N11"/>
    <mergeCell ref="O4:O11"/>
    <mergeCell ref="F4:F11"/>
    <mergeCell ref="G4:G11"/>
    <mergeCell ref="H4:H11"/>
    <mergeCell ref="I4:I11"/>
    <mergeCell ref="V4:V11"/>
    <mergeCell ref="T4:T11"/>
    <mergeCell ref="U4:U11"/>
    <mergeCell ref="R4:R11"/>
  </mergeCells>
  <printOptions horizontalCentered="1" verticalCentered="1" gridLines="1" gridLinesSet="0"/>
  <pageMargins left="0.39370078740157483" right="0.39370078740157483" top="0.19685039370078741" bottom="0.59055118110236227" header="0" footer="0.39370078740157483"/>
  <pageSetup paperSize="9" scale="56" orientation="landscape" r:id="rId1"/>
  <headerFooter>
    <oddFooter>&amp;RSJCPIL-R 14-002-03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4</vt:i4>
      </vt:variant>
    </vt:vector>
  </HeadingPairs>
  <TitlesOfParts>
    <vt:vector size="6" baseType="lpstr">
      <vt:lpstr>SJCPIL-R 14-002-03 - Diurno</vt:lpstr>
      <vt:lpstr>SJCPIL-R 14-002-03 - Noite</vt:lpstr>
      <vt:lpstr>'SJCPIL-R 14-002-03 - Diurno'!Area_de_impressao</vt:lpstr>
      <vt:lpstr>'SJCPIL-R 14-002-03 - Noite'!Area_de_impressao</vt:lpstr>
      <vt:lpstr>'SJCPIL-R 14-002-03 - Noite'!F7.31</vt:lpstr>
      <vt:lpstr>F7.31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Panasonic do Brasil LTDA</dc:creator>
  <cp:lastModifiedBy>Osvaldo Martins Torquati</cp:lastModifiedBy>
  <cp:lastPrinted>2021-04-26T19:47:52Z</cp:lastPrinted>
  <dcterms:created xsi:type="dcterms:W3CDTF">2004-07-01T13:35:00Z</dcterms:created>
  <dcterms:modified xsi:type="dcterms:W3CDTF">2022-02-21T11:56:39Z</dcterms:modified>
</cp:coreProperties>
</file>