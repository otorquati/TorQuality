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VA\"/>
    </mc:Choice>
  </mc:AlternateContent>
  <xr:revisionPtr revIDLastSave="0" documentId="13_ncr:1_{A4C719C3-1D8E-4B7F-8F6E-51D42E1A9CF3}" xr6:coauthVersionLast="47" xr6:coauthVersionMax="47" xr10:uidLastSave="{00000000-0000-0000-0000-000000000000}"/>
  <bookViews>
    <workbookView xWindow="-120" yWindow="-120" windowWidth="29040" windowHeight="16440" activeTab="6" xr2:uid="{00000000-000D-0000-FFFF-FFFF00000000}"/>
  </bookViews>
  <sheets>
    <sheet name="Menu" sheetId="4" r:id="rId1"/>
    <sheet name="UM-1 - Dia" sheetId="2" r:id="rId2"/>
    <sheet name="UM-1 - Noite" sheetId="28" r:id="rId3"/>
    <sheet name="Falhas por Modelo" sheetId="10" r:id="rId4"/>
    <sheet name="Tipos de Defeitos" sheetId="26" r:id="rId5"/>
    <sheet name="Gráfico" sheetId="27" r:id="rId6"/>
    <sheet name="Rascunho" sheetId="19" r:id="rId7"/>
  </sheets>
  <externalReferences>
    <externalReference r:id="rId8"/>
  </externalReferences>
  <definedNames>
    <definedName name="A_RATIO" localSheetId="2">'UM-1 - Noite'!$AS$104</definedName>
    <definedName name="Lin_AC_Y">OFFSET(Rascunho!$N$12,0,0,COUNTIF(Rascunho!$N$12:$N$78,"&lt;100")+1,1)</definedName>
    <definedName name="Lin_Falhas_Y">OFFSET(Rascunho!$O$12,0,0,COUNTIF(Rascunho!$N$12:$N$78,"&lt;100")+1,1)</definedName>
    <definedName name="Lin_Prob_Y">OFFSET(Rascunho!$P$12,0,0,COUNTIF(Rascunho!$N$12:$N$78,"&lt;100")+1,1)</definedName>
    <definedName name="Lin_X">OFFSET(Rascunho!$K$12,0,0,COUNTIF(Rascunho!$N$12:$N$78,"&lt;100")+1,1)</definedName>
    <definedName name="PRODUTOS" localSheetId="4">'Falhas por Modelo'!$C$1:$I$1</definedName>
    <definedName name="PRODUTOS">'Falhas por Modelo'!$C$1:$I$1</definedName>
    <definedName name="Total_Falhas_Dia" localSheetId="6">Rascunho!$E$5:$E$77</definedName>
    <definedName name="Total_Falhas_Dia" localSheetId="2">'UM-1 - Noite'!$AS$2:$AS$7,'UM-1 - Noite'!$AS$23:$AS$77,'UM-1 - Noite'!$AS$86:$AS$102</definedName>
    <definedName name="Total_Falhas_Dia">'UM-1 - Dia'!$AS$2:$AS$7,'UM-1 - Dia'!$AS$23:$AS$77,'UM-1 - Dia'!$AS$86:$AS$102</definedName>
    <definedName name="Turno">Menu!$B$21</definedName>
    <definedName name="V_RATIO" localSheetId="2">'UM-1 - Noite'!$AS$80</definedName>
    <definedName name="VA_RATIO" localSheetId="2">'UM-1 - Noite'!$AS$105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7" i="2" l="1"/>
  <c r="D105" i="2"/>
  <c r="D106" i="2" s="1"/>
  <c r="D103" i="2"/>
  <c r="D104" i="2" s="1"/>
  <c r="D85" i="2"/>
  <c r="D84" i="2"/>
  <c r="D81" i="2"/>
  <c r="D82" i="2" s="1"/>
  <c r="D79" i="2"/>
  <c r="D78" i="2"/>
  <c r="D80" i="2" s="1"/>
  <c r="D26" i="2"/>
  <c r="AR107" i="28"/>
  <c r="AQ107" i="28"/>
  <c r="AP107" i="28"/>
  <c r="AO107" i="28"/>
  <c r="AN107" i="28"/>
  <c r="AM107" i="28"/>
  <c r="AL107" i="28"/>
  <c r="AK107" i="28"/>
  <c r="AJ107" i="28"/>
  <c r="AI107" i="28"/>
  <c r="AH107" i="28"/>
  <c r="AG107" i="28"/>
  <c r="AF107" i="28"/>
  <c r="AE107" i="28"/>
  <c r="AD107" i="28"/>
  <c r="AC107" i="28"/>
  <c r="AB107" i="28"/>
  <c r="AA107" i="28"/>
  <c r="Z107" i="28"/>
  <c r="Y107" i="28"/>
  <c r="X107" i="28"/>
  <c r="W107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AR106" i="28"/>
  <c r="AQ106" i="28"/>
  <c r="AP106" i="28"/>
  <c r="AO106" i="28"/>
  <c r="AN106" i="28"/>
  <c r="AM106" i="28"/>
  <c r="AL106" i="28"/>
  <c r="AK106" i="28"/>
  <c r="AJ106" i="28"/>
  <c r="AI106" i="28"/>
  <c r="AH106" i="28"/>
  <c r="AG106" i="28"/>
  <c r="AF106" i="28"/>
  <c r="AE106" i="28"/>
  <c r="AD106" i="28"/>
  <c r="AC106" i="28"/>
  <c r="AB106" i="28"/>
  <c r="AA106" i="28"/>
  <c r="Z106" i="28"/>
  <c r="Y106" i="28"/>
  <c r="X106" i="28"/>
  <c r="W106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AR105" i="28"/>
  <c r="AQ105" i="28"/>
  <c r="AP105" i="28"/>
  <c r="AO105" i="28"/>
  <c r="AN105" i="28"/>
  <c r="AM105" i="28"/>
  <c r="AL105" i="28"/>
  <c r="AK105" i="28"/>
  <c r="AJ105" i="28"/>
  <c r="AI105" i="28"/>
  <c r="AH105" i="28"/>
  <c r="AG105" i="28"/>
  <c r="AF105" i="28"/>
  <c r="AE105" i="28"/>
  <c r="AD105" i="28"/>
  <c r="AC105" i="28"/>
  <c r="AB105" i="28"/>
  <c r="AA105" i="28"/>
  <c r="Z105" i="28"/>
  <c r="Y105" i="28"/>
  <c r="X105" i="28"/>
  <c r="W105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AR103" i="28"/>
  <c r="AR104" i="28" s="1"/>
  <c r="AQ103" i="28"/>
  <c r="AQ104" i="28" s="1"/>
  <c r="AP103" i="28"/>
  <c r="AP104" i="28" s="1"/>
  <c r="AO103" i="28"/>
  <c r="AO104" i="28" s="1"/>
  <c r="AN103" i="28"/>
  <c r="AN104" i="28" s="1"/>
  <c r="AM103" i="28"/>
  <c r="AM104" i="28" s="1"/>
  <c r="AL103" i="28"/>
  <c r="AL104" i="28" s="1"/>
  <c r="AK103" i="28"/>
  <c r="AK104" i="28" s="1"/>
  <c r="AJ103" i="28"/>
  <c r="AJ104" i="28" s="1"/>
  <c r="AI103" i="28"/>
  <c r="AI104" i="28" s="1"/>
  <c r="AH103" i="28"/>
  <c r="AH104" i="28" s="1"/>
  <c r="AG103" i="28"/>
  <c r="AG104" i="28" s="1"/>
  <c r="AF103" i="28"/>
  <c r="AF104" i="28" s="1"/>
  <c r="AE103" i="28"/>
  <c r="AE104" i="28" s="1"/>
  <c r="AD103" i="28"/>
  <c r="AD104" i="28" s="1"/>
  <c r="AC103" i="28"/>
  <c r="AC104" i="28" s="1"/>
  <c r="AB103" i="28"/>
  <c r="AB104" i="28" s="1"/>
  <c r="AA103" i="28"/>
  <c r="AA104" i="28" s="1"/>
  <c r="Z103" i="28"/>
  <c r="Z104" i="28" s="1"/>
  <c r="Y103" i="28"/>
  <c r="Y104" i="28" s="1"/>
  <c r="X103" i="28"/>
  <c r="X104" i="28" s="1"/>
  <c r="W103" i="28"/>
  <c r="W104" i="28" s="1"/>
  <c r="V103" i="28"/>
  <c r="V104" i="28" s="1"/>
  <c r="U103" i="28"/>
  <c r="U104" i="28" s="1"/>
  <c r="T103" i="28"/>
  <c r="T104" i="28" s="1"/>
  <c r="S103" i="28"/>
  <c r="S104" i="28" s="1"/>
  <c r="R103" i="28"/>
  <c r="R104" i="28" s="1"/>
  <c r="Q103" i="28"/>
  <c r="Q104" i="28" s="1"/>
  <c r="P103" i="28"/>
  <c r="P104" i="28" s="1"/>
  <c r="O103" i="28"/>
  <c r="O104" i="28" s="1"/>
  <c r="N103" i="28"/>
  <c r="N104" i="28" s="1"/>
  <c r="M103" i="28"/>
  <c r="M104" i="28" s="1"/>
  <c r="L103" i="28"/>
  <c r="L104" i="28" s="1"/>
  <c r="K103" i="28"/>
  <c r="K104" i="28" s="1"/>
  <c r="J103" i="28"/>
  <c r="J104" i="28" s="1"/>
  <c r="I103" i="28"/>
  <c r="I104" i="28" s="1"/>
  <c r="H103" i="28"/>
  <c r="H104" i="28" s="1"/>
  <c r="G103" i="28"/>
  <c r="G104" i="28" s="1"/>
  <c r="F103" i="28"/>
  <c r="F104" i="28" s="1"/>
  <c r="E103" i="28"/>
  <c r="E104" i="28" s="1"/>
  <c r="D103" i="28"/>
  <c r="D104" i="28" s="1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I106" i="2"/>
  <c r="H106" i="2"/>
  <c r="F106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M106" i="2" s="1"/>
  <c r="L105" i="2"/>
  <c r="L106" i="2" s="1"/>
  <c r="K105" i="2"/>
  <c r="K106" i="2" s="1"/>
  <c r="J105" i="2"/>
  <c r="J106" i="2" s="1"/>
  <c r="I105" i="2"/>
  <c r="H105" i="2"/>
  <c r="G105" i="2"/>
  <c r="G106" i="2" s="1"/>
  <c r="F105" i="2"/>
  <c r="E105" i="2"/>
  <c r="E106" i="2" s="1"/>
  <c r="AR103" i="2"/>
  <c r="AR104" i="2" s="1"/>
  <c r="AQ103" i="2"/>
  <c r="AQ104" i="2" s="1"/>
  <c r="AP103" i="2"/>
  <c r="AP104" i="2" s="1"/>
  <c r="AO103" i="2"/>
  <c r="AO104" i="2" s="1"/>
  <c r="AN103" i="2"/>
  <c r="AN104" i="2" s="1"/>
  <c r="AM103" i="2"/>
  <c r="AM104" i="2" s="1"/>
  <c r="AL103" i="2"/>
  <c r="AL104" i="2" s="1"/>
  <c r="AK103" i="2"/>
  <c r="AK104" i="2" s="1"/>
  <c r="AJ103" i="2"/>
  <c r="AJ104" i="2" s="1"/>
  <c r="AI103" i="2"/>
  <c r="AI104" i="2" s="1"/>
  <c r="AH103" i="2"/>
  <c r="AH104" i="2" s="1"/>
  <c r="AG103" i="2"/>
  <c r="AG104" i="2" s="1"/>
  <c r="AF103" i="2"/>
  <c r="AF104" i="2" s="1"/>
  <c r="AE103" i="2"/>
  <c r="AE104" i="2" s="1"/>
  <c r="AD103" i="2"/>
  <c r="AD104" i="2" s="1"/>
  <c r="AC103" i="2"/>
  <c r="AC104" i="2" s="1"/>
  <c r="AB103" i="2"/>
  <c r="AB104" i="2" s="1"/>
  <c r="AA103" i="2"/>
  <c r="AA104" i="2" s="1"/>
  <c r="Z103" i="2"/>
  <c r="Z104" i="2" s="1"/>
  <c r="Y103" i="2"/>
  <c r="Y104" i="2" s="1"/>
  <c r="X103" i="2"/>
  <c r="X104" i="2" s="1"/>
  <c r="W103" i="2"/>
  <c r="W104" i="2" s="1"/>
  <c r="V103" i="2"/>
  <c r="V104" i="2" s="1"/>
  <c r="U103" i="2"/>
  <c r="U104" i="2" s="1"/>
  <c r="T103" i="2"/>
  <c r="T104" i="2" s="1"/>
  <c r="S103" i="2"/>
  <c r="S104" i="2" s="1"/>
  <c r="R103" i="2"/>
  <c r="R104" i="2" s="1"/>
  <c r="Q103" i="2"/>
  <c r="Q104" i="2" s="1"/>
  <c r="P103" i="2"/>
  <c r="P104" i="2" s="1"/>
  <c r="O103" i="2"/>
  <c r="O104" i="2" s="1"/>
  <c r="N103" i="2"/>
  <c r="N104" i="2" s="1"/>
  <c r="M103" i="2"/>
  <c r="M104" i="2" s="1"/>
  <c r="L103" i="2"/>
  <c r="L104" i="2" s="1"/>
  <c r="K103" i="2"/>
  <c r="K104" i="2" s="1"/>
  <c r="J103" i="2"/>
  <c r="J104" i="2" s="1"/>
  <c r="I103" i="2"/>
  <c r="I104" i="2" s="1"/>
  <c r="H103" i="2"/>
  <c r="H104" i="2" s="1"/>
  <c r="G103" i="2"/>
  <c r="G104" i="2" s="1"/>
  <c r="F103" i="2"/>
  <c r="F104" i="2" s="1"/>
  <c r="E103" i="2"/>
  <c r="E104" i="2" s="1"/>
  <c r="N84" i="2"/>
  <c r="D5" i="2"/>
  <c r="D2" i="2"/>
  <c r="D2" i="28" s="1"/>
  <c r="E5" i="2" l="1"/>
  <c r="D2" i="19" l="1"/>
  <c r="C3" i="2"/>
  <c r="G5" i="2" l="1"/>
  <c r="D5" i="28"/>
  <c r="E5" i="28"/>
  <c r="F5" i="28"/>
  <c r="AD5" i="28"/>
  <c r="AE5" i="28"/>
  <c r="AF5" i="28"/>
  <c r="AG5" i="28"/>
  <c r="AH5" i="28"/>
  <c r="AI5" i="28"/>
  <c r="AJ5" i="28"/>
  <c r="AK5" i="28"/>
  <c r="AL5" i="28"/>
  <c r="AM5" i="28"/>
  <c r="AN5" i="28"/>
  <c r="AO5" i="28"/>
  <c r="AP5" i="28"/>
  <c r="AQ5" i="28"/>
  <c r="AR5" i="28"/>
  <c r="L7" i="10" a="1"/>
  <c r="L7" i="10" s="1"/>
  <c r="K7" i="10" a="1"/>
  <c r="K7" i="10" s="1"/>
  <c r="J7" i="10" a="1"/>
  <c r="J7" i="10" s="1"/>
  <c r="I7" i="10" a="1"/>
  <c r="I7" i="10" s="1"/>
  <c r="H7" i="10" a="1"/>
  <c r="H7" i="10" s="1"/>
  <c r="G7" i="10" a="1"/>
  <c r="G7" i="10" s="1"/>
  <c r="F7" i="10" a="1"/>
  <c r="F7" i="10" s="1"/>
  <c r="E7" i="10" a="1"/>
  <c r="E7" i="10" s="1"/>
  <c r="D7" i="10" a="1"/>
  <c r="D7" i="10" s="1"/>
  <c r="S5" i="2"/>
  <c r="T5" i="2"/>
  <c r="U5" i="2"/>
  <c r="V5" i="2"/>
  <c r="W5" i="2"/>
  <c r="X5" i="2"/>
  <c r="Y5" i="2"/>
  <c r="Z5" i="2"/>
  <c r="H5" i="2"/>
  <c r="I5" i="2"/>
  <c r="J5" i="2"/>
  <c r="K5" i="2"/>
  <c r="L5" i="2"/>
  <c r="M5" i="2"/>
  <c r="N5" i="2"/>
  <c r="O5" i="2"/>
  <c r="P5" i="2"/>
  <c r="Q5" i="2"/>
  <c r="R5" i="2"/>
  <c r="AA5" i="2"/>
  <c r="AB5" i="2"/>
  <c r="AC5" i="2"/>
  <c r="AD5" i="2"/>
  <c r="AH5" i="2"/>
  <c r="AI5" i="2"/>
  <c r="AJ5" i="2"/>
  <c r="AK5" i="2"/>
  <c r="AL5" i="2"/>
  <c r="AM5" i="2"/>
  <c r="AN5" i="2"/>
  <c r="AO5" i="2"/>
  <c r="AP5" i="2"/>
  <c r="AQ5" i="2"/>
  <c r="AR5" i="2"/>
  <c r="AS24" i="2" a="1"/>
  <c r="AS24" i="2" s="1"/>
  <c r="AS47" i="2"/>
  <c r="E31" i="19" s="1"/>
  <c r="G31" i="19" s="1"/>
  <c r="AS44" i="2"/>
  <c r="E28" i="19" s="1"/>
  <c r="G28" i="19" s="1"/>
  <c r="AS31" i="2"/>
  <c r="E15" i="19" s="1"/>
  <c r="G15" i="19" s="1"/>
  <c r="AS57" i="2"/>
  <c r="E41" i="19" s="1"/>
  <c r="G41" i="19" s="1"/>
  <c r="AS58" i="2"/>
  <c r="E42" i="19" s="1"/>
  <c r="G42" i="19" s="1"/>
  <c r="AS77" i="2"/>
  <c r="E61" i="19" s="1"/>
  <c r="G61" i="19" s="1"/>
  <c r="AS72" i="2"/>
  <c r="E56" i="19" s="1"/>
  <c r="G56" i="19" s="1"/>
  <c r="AS33" i="2"/>
  <c r="E17" i="19" s="1"/>
  <c r="G17" i="19" s="1"/>
  <c r="AS41" i="2"/>
  <c r="E25" i="19" s="1"/>
  <c r="G25" i="19" s="1"/>
  <c r="AS92" i="2"/>
  <c r="E68" i="19" s="1"/>
  <c r="G68" i="19" s="1"/>
  <c r="AS35" i="2"/>
  <c r="E19" i="19" s="1"/>
  <c r="G19" i="19" s="1"/>
  <c r="AS28" i="2"/>
  <c r="E12" i="19" s="1"/>
  <c r="G12" i="19" s="1"/>
  <c r="AS65" i="2"/>
  <c r="E49" i="19" s="1"/>
  <c r="G49" i="19" s="1"/>
  <c r="AS90" i="2"/>
  <c r="AS93" i="2"/>
  <c r="E69" i="19" s="1"/>
  <c r="G69" i="19" s="1"/>
  <c r="AS29" i="2"/>
  <c r="AS30" i="2"/>
  <c r="E14" i="19" s="1"/>
  <c r="G14" i="19" s="1"/>
  <c r="AS32" i="2"/>
  <c r="E16" i="19" s="1"/>
  <c r="G16" i="19" s="1"/>
  <c r="AS34" i="2"/>
  <c r="E18" i="19" s="1"/>
  <c r="G18" i="19" s="1"/>
  <c r="AS36" i="2"/>
  <c r="E20" i="19" s="1"/>
  <c r="G20" i="19" s="1"/>
  <c r="AS37" i="2"/>
  <c r="E21" i="19" s="1"/>
  <c r="G21" i="19" s="1"/>
  <c r="AS38" i="2"/>
  <c r="E22" i="19" s="1"/>
  <c r="G22" i="19" s="1"/>
  <c r="AS39" i="2"/>
  <c r="E23" i="19" s="1"/>
  <c r="G23" i="19" s="1"/>
  <c r="AS40" i="2"/>
  <c r="E24" i="19" s="1"/>
  <c r="G24" i="19" s="1"/>
  <c r="AS42" i="2"/>
  <c r="E26" i="19" s="1"/>
  <c r="G26" i="19" s="1"/>
  <c r="AS43" i="2"/>
  <c r="E27" i="19" s="1"/>
  <c r="G27" i="19" s="1"/>
  <c r="AS45" i="2"/>
  <c r="E29" i="19" s="1"/>
  <c r="G29" i="19" s="1"/>
  <c r="AS46" i="2"/>
  <c r="E30" i="19" s="1"/>
  <c r="G30" i="19" s="1"/>
  <c r="AS48" i="2"/>
  <c r="E32" i="19" s="1"/>
  <c r="G32" i="19" s="1"/>
  <c r="AS49" i="2"/>
  <c r="E33" i="19" s="1"/>
  <c r="G33" i="19" s="1"/>
  <c r="AS50" i="2"/>
  <c r="E34" i="19" s="1"/>
  <c r="G34" i="19" s="1"/>
  <c r="AS51" i="2"/>
  <c r="E35" i="19" s="1"/>
  <c r="G35" i="19" s="1"/>
  <c r="AS52" i="2"/>
  <c r="E36" i="19" s="1"/>
  <c r="G36" i="19" s="1"/>
  <c r="AS53" i="2"/>
  <c r="E37" i="19" s="1"/>
  <c r="G37" i="19" s="1"/>
  <c r="AS54" i="2"/>
  <c r="E38" i="19" s="1"/>
  <c r="G38" i="19" s="1"/>
  <c r="AS55" i="2"/>
  <c r="E39" i="19" s="1"/>
  <c r="G39" i="19" s="1"/>
  <c r="AS56" i="2"/>
  <c r="E40" i="19" s="1"/>
  <c r="G40" i="19" s="1"/>
  <c r="AS59" i="2"/>
  <c r="AS60" i="2"/>
  <c r="E44" i="19" s="1"/>
  <c r="G44" i="19" s="1"/>
  <c r="AS61" i="2"/>
  <c r="E45" i="19" s="1"/>
  <c r="G45" i="19" s="1"/>
  <c r="AS62" i="2"/>
  <c r="E46" i="19" s="1"/>
  <c r="G46" i="19" s="1"/>
  <c r="AS63" i="2"/>
  <c r="E47" i="19" s="1"/>
  <c r="G47" i="19" s="1"/>
  <c r="AS64" i="2"/>
  <c r="E48" i="19" s="1"/>
  <c r="G48" i="19" s="1"/>
  <c r="AS66" i="2"/>
  <c r="E50" i="19" s="1"/>
  <c r="G50" i="19" s="1"/>
  <c r="AS67" i="2"/>
  <c r="E51" i="19" s="1"/>
  <c r="G51" i="19" s="1"/>
  <c r="AS68" i="2"/>
  <c r="E52" i="19" s="1"/>
  <c r="G52" i="19" s="1"/>
  <c r="AS69" i="2"/>
  <c r="E53" i="19" s="1"/>
  <c r="G53" i="19" s="1"/>
  <c r="AS70" i="2"/>
  <c r="E54" i="19" s="1"/>
  <c r="G54" i="19" s="1"/>
  <c r="AS71" i="2"/>
  <c r="E55" i="19" s="1"/>
  <c r="G55" i="19" s="1"/>
  <c r="AS73" i="2"/>
  <c r="E57" i="19" s="1"/>
  <c r="G57" i="19" s="1"/>
  <c r="AS74" i="2"/>
  <c r="E58" i="19" s="1"/>
  <c r="G58" i="19" s="1"/>
  <c r="AS75" i="2"/>
  <c r="E59" i="19" s="1"/>
  <c r="G59" i="19" s="1"/>
  <c r="AS76" i="2"/>
  <c r="E60" i="19" s="1"/>
  <c r="G60" i="19" s="1"/>
  <c r="AS86" i="2"/>
  <c r="E62" i="19" s="1"/>
  <c r="G62" i="19" s="1"/>
  <c r="AS87" i="2"/>
  <c r="E63" i="19" s="1"/>
  <c r="G63" i="19" s="1"/>
  <c r="AS88" i="2"/>
  <c r="E64" i="19" s="1"/>
  <c r="G64" i="19" s="1"/>
  <c r="AS89" i="2"/>
  <c r="AS91" i="2"/>
  <c r="AS94" i="2"/>
  <c r="E70" i="19" s="1"/>
  <c r="G70" i="19" s="1"/>
  <c r="AS95" i="2"/>
  <c r="E71" i="19" s="1"/>
  <c r="G71" i="19" s="1"/>
  <c r="AS96" i="2"/>
  <c r="E72" i="19" s="1"/>
  <c r="G72" i="19" s="1"/>
  <c r="AS97" i="2"/>
  <c r="E73" i="19" s="1"/>
  <c r="G73" i="19" s="1"/>
  <c r="AS98" i="2"/>
  <c r="E74" i="19" s="1"/>
  <c r="G74" i="19" s="1"/>
  <c r="AS99" i="2"/>
  <c r="E75" i="19" s="1"/>
  <c r="G75" i="19" s="1"/>
  <c r="AS100" i="2"/>
  <c r="E76" i="19" s="1"/>
  <c r="G76" i="19" s="1"/>
  <c r="AS101" i="2"/>
  <c r="E77" i="19" s="1"/>
  <c r="G77" i="19" s="1"/>
  <c r="AS102" i="2"/>
  <c r="E78" i="19" s="1"/>
  <c r="G78" i="19" s="1"/>
  <c r="AS27" i="2" a="1"/>
  <c r="AS27" i="2" s="1"/>
  <c r="F85" i="2"/>
  <c r="E85" i="2"/>
  <c r="F84" i="2"/>
  <c r="E84" i="2"/>
  <c r="F81" i="2"/>
  <c r="F82" i="2" s="1"/>
  <c r="E81" i="2"/>
  <c r="E82" i="2" s="1"/>
  <c r="F79" i="2"/>
  <c r="E79" i="2"/>
  <c r="F78" i="2"/>
  <c r="F80" i="2" s="1"/>
  <c r="E78" i="2"/>
  <c r="E80" i="2" s="1"/>
  <c r="F26" i="2"/>
  <c r="E26" i="2"/>
  <c r="J26" i="2"/>
  <c r="Z26" i="2"/>
  <c r="C3" i="28"/>
  <c r="C16" i="10"/>
  <c r="D26" i="28"/>
  <c r="E26" i="28"/>
  <c r="F26" i="28"/>
  <c r="G26" i="28"/>
  <c r="H26" i="28"/>
  <c r="I26" i="28"/>
  <c r="J26" i="28"/>
  <c r="K26" i="28"/>
  <c r="L26" i="28"/>
  <c r="M26" i="28"/>
  <c r="N26" i="28"/>
  <c r="O26" i="28"/>
  <c r="P26" i="28"/>
  <c r="Q26" i="28"/>
  <c r="R26" i="28"/>
  <c r="S26" i="28"/>
  <c r="T26" i="28"/>
  <c r="U26" i="28"/>
  <c r="V26" i="28"/>
  <c r="W26" i="28"/>
  <c r="X26" i="28"/>
  <c r="Y26" i="28"/>
  <c r="Z26" i="28"/>
  <c r="AA26" i="28"/>
  <c r="AB26" i="28"/>
  <c r="AC26" i="28"/>
  <c r="D78" i="28"/>
  <c r="D80" i="28" s="1"/>
  <c r="E78" i="28"/>
  <c r="E80" i="28" s="1"/>
  <c r="F78" i="28"/>
  <c r="F80" i="28" s="1"/>
  <c r="G78" i="28"/>
  <c r="G80" i="28" s="1"/>
  <c r="H78" i="28"/>
  <c r="H80" i="28" s="1"/>
  <c r="I78" i="28"/>
  <c r="I80" i="28" s="1"/>
  <c r="J78" i="28"/>
  <c r="J80" i="28" s="1"/>
  <c r="K78" i="28"/>
  <c r="K80" i="28" s="1"/>
  <c r="L78" i="28"/>
  <c r="L80" i="28" s="1"/>
  <c r="M78" i="28"/>
  <c r="M80" i="28" s="1"/>
  <c r="N78" i="28"/>
  <c r="N80" i="28" s="1"/>
  <c r="O78" i="28"/>
  <c r="O80" i="28" s="1"/>
  <c r="P78" i="28"/>
  <c r="P80" i="28" s="1"/>
  <c r="Q78" i="28"/>
  <c r="Q80" i="28" s="1"/>
  <c r="R78" i="28"/>
  <c r="R80" i="28" s="1"/>
  <c r="S78" i="28"/>
  <c r="S80" i="28" s="1"/>
  <c r="T78" i="28"/>
  <c r="T80" i="28" s="1"/>
  <c r="U78" i="28"/>
  <c r="U80" i="28" s="1"/>
  <c r="V78" i="28"/>
  <c r="V80" i="28" s="1"/>
  <c r="W78" i="28"/>
  <c r="W80" i="28" s="1"/>
  <c r="X78" i="28"/>
  <c r="X80" i="28" s="1"/>
  <c r="Y78" i="28"/>
  <c r="Y80" i="28" s="1"/>
  <c r="Z78" i="28"/>
  <c r="Z80" i="28" s="1"/>
  <c r="AA78" i="28"/>
  <c r="AA80" i="28" s="1"/>
  <c r="AB78" i="28"/>
  <c r="AB80" i="28" s="1"/>
  <c r="AC78" i="28"/>
  <c r="AC80" i="28" s="1"/>
  <c r="D79" i="28"/>
  <c r="E79" i="28"/>
  <c r="F79" i="28"/>
  <c r="G79" i="28"/>
  <c r="H79" i="28"/>
  <c r="I79" i="28"/>
  <c r="J79" i="28"/>
  <c r="K79" i="28"/>
  <c r="L79" i="28"/>
  <c r="M79" i="28"/>
  <c r="N79" i="28"/>
  <c r="O79" i="28"/>
  <c r="P79" i="28"/>
  <c r="Q79" i="28"/>
  <c r="R79" i="28"/>
  <c r="S79" i="28"/>
  <c r="T79" i="28"/>
  <c r="U79" i="28"/>
  <c r="V79" i="28"/>
  <c r="W79" i="28"/>
  <c r="X79" i="28"/>
  <c r="Y79" i="28"/>
  <c r="Z79" i="28"/>
  <c r="AA79" i="28"/>
  <c r="AB79" i="28"/>
  <c r="AC79" i="28"/>
  <c r="D81" i="28"/>
  <c r="D82" i="28" s="1"/>
  <c r="E81" i="28"/>
  <c r="E82" i="28" s="1"/>
  <c r="F81" i="28"/>
  <c r="G81" i="28"/>
  <c r="H81" i="28"/>
  <c r="I81" i="28"/>
  <c r="J81" i="28"/>
  <c r="K81" i="28"/>
  <c r="L81" i="28"/>
  <c r="M81" i="28"/>
  <c r="N81" i="28"/>
  <c r="O81" i="28"/>
  <c r="P81" i="28"/>
  <c r="Q81" i="28"/>
  <c r="R81" i="28"/>
  <c r="S81" i="28"/>
  <c r="T81" i="28"/>
  <c r="U81" i="28"/>
  <c r="V81" i="28"/>
  <c r="W81" i="28"/>
  <c r="X81" i="28"/>
  <c r="Y81" i="28"/>
  <c r="Z81" i="28"/>
  <c r="AA81" i="28"/>
  <c r="AB81" i="28"/>
  <c r="AC81" i="28"/>
  <c r="F82" i="28"/>
  <c r="G82" i="28"/>
  <c r="H82" i="28"/>
  <c r="I82" i="28"/>
  <c r="J82" i="28"/>
  <c r="K82" i="28"/>
  <c r="L82" i="28"/>
  <c r="M82" i="28"/>
  <c r="N82" i="28"/>
  <c r="O82" i="28"/>
  <c r="P82" i="28"/>
  <c r="Q82" i="28"/>
  <c r="R82" i="28"/>
  <c r="S82" i="28"/>
  <c r="T82" i="28"/>
  <c r="U82" i="28"/>
  <c r="V82" i="28"/>
  <c r="W82" i="28"/>
  <c r="X82" i="28"/>
  <c r="Y82" i="28"/>
  <c r="Z82" i="28"/>
  <c r="AA82" i="28"/>
  <c r="AB82" i="28"/>
  <c r="AC82" i="28"/>
  <c r="D84" i="28"/>
  <c r="E84" i="28"/>
  <c r="F84" i="28"/>
  <c r="G84" i="28"/>
  <c r="H84" i="28"/>
  <c r="I84" i="28"/>
  <c r="J84" i="28"/>
  <c r="K84" i="28"/>
  <c r="L84" i="28"/>
  <c r="M84" i="28"/>
  <c r="N84" i="28"/>
  <c r="O84" i="28"/>
  <c r="P84" i="28"/>
  <c r="Q84" i="28"/>
  <c r="R84" i="28"/>
  <c r="S84" i="28"/>
  <c r="T84" i="28"/>
  <c r="U84" i="28"/>
  <c r="V84" i="28"/>
  <c r="W84" i="28"/>
  <c r="X84" i="28"/>
  <c r="Y84" i="28"/>
  <c r="Z84" i="28"/>
  <c r="AA84" i="28"/>
  <c r="AB84" i="28"/>
  <c r="AC84" i="28"/>
  <c r="D85" i="28"/>
  <c r="E85" i="28"/>
  <c r="F85" i="28"/>
  <c r="G85" i="28"/>
  <c r="H85" i="28"/>
  <c r="I85" i="28"/>
  <c r="J85" i="28"/>
  <c r="K85" i="28"/>
  <c r="L85" i="28"/>
  <c r="M85" i="28"/>
  <c r="N85" i="28"/>
  <c r="O85" i="28"/>
  <c r="P85" i="28"/>
  <c r="Q85" i="28"/>
  <c r="R85" i="28"/>
  <c r="S85" i="28"/>
  <c r="T85" i="28"/>
  <c r="U85" i="28"/>
  <c r="V85" i="28"/>
  <c r="W85" i="28"/>
  <c r="X85" i="28"/>
  <c r="Y85" i="28"/>
  <c r="Z85" i="28"/>
  <c r="AA85" i="28"/>
  <c r="AB85" i="28"/>
  <c r="AC85" i="28"/>
  <c r="AG131" i="28"/>
  <c r="AS102" i="28"/>
  <c r="AS101" i="28"/>
  <c r="AS100" i="28"/>
  <c r="AS99" i="28"/>
  <c r="AS98" i="28"/>
  <c r="AS97" i="28"/>
  <c r="AS96" i="28"/>
  <c r="AS95" i="28"/>
  <c r="AS94" i="28"/>
  <c r="AS93" i="28"/>
  <c r="AS92" i="28"/>
  <c r="AS91" i="28"/>
  <c r="AS90" i="28"/>
  <c r="AS89" i="28"/>
  <c r="AS88" i="28"/>
  <c r="AS87" i="28"/>
  <c r="AS86" i="28"/>
  <c r="AR85" i="28"/>
  <c r="AQ85" i="28"/>
  <c r="AP85" i="28"/>
  <c r="AO85" i="28"/>
  <c r="AN85" i="28"/>
  <c r="AM85" i="28"/>
  <c r="AL85" i="28"/>
  <c r="AK85" i="28"/>
  <c r="AJ85" i="28"/>
  <c r="AI85" i="28"/>
  <c r="AH85" i="28"/>
  <c r="AG85" i="28"/>
  <c r="AF85" i="28"/>
  <c r="AE85" i="28"/>
  <c r="AD85" i="28"/>
  <c r="AR84" i="28"/>
  <c r="AQ84" i="28"/>
  <c r="AP84" i="28"/>
  <c r="AO84" i="28"/>
  <c r="AN84" i="28"/>
  <c r="AM84" i="28"/>
  <c r="AL84" i="28"/>
  <c r="AK84" i="28"/>
  <c r="AJ84" i="28"/>
  <c r="AI84" i="28"/>
  <c r="AH84" i="28"/>
  <c r="AG84" i="28"/>
  <c r="AF84" i="28"/>
  <c r="AE84" i="28"/>
  <c r="AD84" i="28"/>
  <c r="AS83" i="28"/>
  <c r="AR82" i="28"/>
  <c r="AQ82" i="28"/>
  <c r="AP82" i="28"/>
  <c r="AO82" i="28"/>
  <c r="AN82" i="28"/>
  <c r="AM82" i="28"/>
  <c r="AL82" i="28"/>
  <c r="AK82" i="28"/>
  <c r="AJ82" i="28"/>
  <c r="AI82" i="28"/>
  <c r="AH82" i="28"/>
  <c r="AG82" i="28"/>
  <c r="AF82" i="28"/>
  <c r="AE82" i="28"/>
  <c r="AD82" i="28"/>
  <c r="AR81" i="28"/>
  <c r="AQ81" i="28"/>
  <c r="AP81" i="28"/>
  <c r="AO81" i="28"/>
  <c r="AN81" i="28"/>
  <c r="AM81" i="28"/>
  <c r="AL81" i="28"/>
  <c r="AK81" i="28"/>
  <c r="AJ81" i="28"/>
  <c r="AI81" i="28"/>
  <c r="AH81" i="28"/>
  <c r="AG81" i="28"/>
  <c r="AF81" i="28"/>
  <c r="AE81" i="28"/>
  <c r="AD81" i="28"/>
  <c r="AR79" i="28"/>
  <c r="AQ79" i="28"/>
  <c r="AP79" i="28"/>
  <c r="AO79" i="28"/>
  <c r="AN79" i="28"/>
  <c r="AM79" i="28"/>
  <c r="AL79" i="28"/>
  <c r="AK79" i="28"/>
  <c r="AJ79" i="28"/>
  <c r="AI79" i="28"/>
  <c r="AH79" i="28"/>
  <c r="AG79" i="28"/>
  <c r="AF79" i="28"/>
  <c r="AE79" i="28"/>
  <c r="AD79" i="28"/>
  <c r="AR78" i="28"/>
  <c r="AR80" i="28" s="1"/>
  <c r="AQ78" i="28"/>
  <c r="AQ80" i="28" s="1"/>
  <c r="AP78" i="28"/>
  <c r="AP80" i="28" s="1"/>
  <c r="AO78" i="28"/>
  <c r="AO80" i="28" s="1"/>
  <c r="AN78" i="28"/>
  <c r="AN80" i="28" s="1"/>
  <c r="AM78" i="28"/>
  <c r="AM80" i="28" s="1"/>
  <c r="AL78" i="28"/>
  <c r="AL80" i="28" s="1"/>
  <c r="AK78" i="28"/>
  <c r="AK80" i="28" s="1"/>
  <c r="AJ78" i="28"/>
  <c r="AJ80" i="28" s="1"/>
  <c r="AI78" i="28"/>
  <c r="AI80" i="28" s="1"/>
  <c r="AH78" i="28"/>
  <c r="AH80" i="28" s="1"/>
  <c r="AG78" i="28"/>
  <c r="AG80" i="28" s="1"/>
  <c r="AF78" i="28"/>
  <c r="AF80" i="28" s="1"/>
  <c r="AE78" i="28"/>
  <c r="AE80" i="28" s="1"/>
  <c r="AD78" i="28"/>
  <c r="AD80" i="28" s="1"/>
  <c r="AS77" i="28"/>
  <c r="AS76" i="28"/>
  <c r="AS75" i="28"/>
  <c r="AS74" i="28"/>
  <c r="AS73" i="28"/>
  <c r="AS72" i="28"/>
  <c r="AS71" i="28"/>
  <c r="AS70" i="28"/>
  <c r="AS69" i="28"/>
  <c r="AS68" i="28"/>
  <c r="AS67" i="28"/>
  <c r="AS66" i="28"/>
  <c r="AS65" i="28"/>
  <c r="AS64" i="28"/>
  <c r="AT64" i="28" s="1"/>
  <c r="AS63" i="28"/>
  <c r="AS62" i="28"/>
  <c r="AS61" i="28"/>
  <c r="AS60" i="28"/>
  <c r="AS59" i="28"/>
  <c r="AS58" i="28"/>
  <c r="AS57" i="28"/>
  <c r="AS56" i="28"/>
  <c r="AS55" i="28"/>
  <c r="AS54" i="28"/>
  <c r="AS53" i="28"/>
  <c r="AS52" i="28"/>
  <c r="AS51" i="28"/>
  <c r="AS50" i="28"/>
  <c r="AS49" i="28"/>
  <c r="AS48" i="28"/>
  <c r="AS47" i="28"/>
  <c r="AS46" i="28"/>
  <c r="AS45" i="28"/>
  <c r="AS44" i="28"/>
  <c r="AS43" i="28"/>
  <c r="AS42" i="28"/>
  <c r="AS41" i="28"/>
  <c r="AS40" i="28"/>
  <c r="AS39" i="28"/>
  <c r="AS38" i="28"/>
  <c r="AS37" i="28"/>
  <c r="AS36" i="28"/>
  <c r="AS35" i="28"/>
  <c r="AS34" i="28"/>
  <c r="AS33" i="28"/>
  <c r="AS32" i="28"/>
  <c r="AT32" i="28" s="1"/>
  <c r="AS31" i="28"/>
  <c r="AS30" i="28"/>
  <c r="AS29" i="28"/>
  <c r="AS28" i="28"/>
  <c r="AS27" i="28" a="1"/>
  <c r="AS27" i="28" s="1"/>
  <c r="AR26" i="28"/>
  <c r="AQ26" i="28"/>
  <c r="AP26" i="28"/>
  <c r="AO26" i="28"/>
  <c r="AN26" i="28"/>
  <c r="AM26" i="28"/>
  <c r="AL26" i="28"/>
  <c r="AK26" i="28"/>
  <c r="AJ26" i="28"/>
  <c r="AI26" i="28"/>
  <c r="AH26" i="28"/>
  <c r="AG26" i="28"/>
  <c r="AF26" i="28"/>
  <c r="AE26" i="28"/>
  <c r="AD26" i="28"/>
  <c r="AS25" i="28"/>
  <c r="AS24" i="28" a="1"/>
  <c r="AS24" i="28" s="1"/>
  <c r="AS23" i="28" a="1"/>
  <c r="AS23" i="28" s="1"/>
  <c r="B4" i="28"/>
  <c r="B5" i="28" s="1"/>
  <c r="C1" i="28"/>
  <c r="G81" i="2"/>
  <c r="G82" i="2" s="1"/>
  <c r="H81" i="2"/>
  <c r="H82" i="2" s="1"/>
  <c r="I81" i="2"/>
  <c r="I82" i="2" s="1"/>
  <c r="J81" i="2"/>
  <c r="J82" i="2" s="1"/>
  <c r="K81" i="2"/>
  <c r="K82" i="2" s="1"/>
  <c r="L81" i="2"/>
  <c r="L82" i="2" s="1"/>
  <c r="M81" i="2"/>
  <c r="M82" i="2" s="1"/>
  <c r="N81" i="2"/>
  <c r="N82" i="2" s="1"/>
  <c r="O81" i="2"/>
  <c r="O82" i="2" s="1"/>
  <c r="P81" i="2"/>
  <c r="P82" i="2" s="1"/>
  <c r="Q81" i="2"/>
  <c r="Q82" i="2" s="1"/>
  <c r="R81" i="2"/>
  <c r="R82" i="2" s="1"/>
  <c r="S81" i="2"/>
  <c r="S82" i="2" s="1"/>
  <c r="T81" i="2"/>
  <c r="T82" i="2" s="1"/>
  <c r="U81" i="2"/>
  <c r="V81" i="2"/>
  <c r="V82" i="2" s="1"/>
  <c r="W81" i="2"/>
  <c r="W82" i="2" s="1"/>
  <c r="X81" i="2"/>
  <c r="X82" i="2" s="1"/>
  <c r="Y81" i="2"/>
  <c r="Y82" i="2" s="1"/>
  <c r="Z81" i="2"/>
  <c r="Z82" i="2" s="1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K26" i="2"/>
  <c r="J78" i="2"/>
  <c r="J80" i="2" s="1"/>
  <c r="J79" i="2"/>
  <c r="J84" i="2"/>
  <c r="J85" i="2"/>
  <c r="L26" i="2"/>
  <c r="M26" i="2"/>
  <c r="N26" i="2"/>
  <c r="K78" i="2"/>
  <c r="K80" i="2" s="1"/>
  <c r="L78" i="2"/>
  <c r="L80" i="2" s="1"/>
  <c r="M78" i="2"/>
  <c r="M80" i="2" s="1"/>
  <c r="N78" i="2"/>
  <c r="N80" i="2" s="1"/>
  <c r="K79" i="2"/>
  <c r="L79" i="2"/>
  <c r="M79" i="2"/>
  <c r="N79" i="2"/>
  <c r="K84" i="2"/>
  <c r="L84" i="2"/>
  <c r="M84" i="2"/>
  <c r="K85" i="2"/>
  <c r="L85" i="2"/>
  <c r="M85" i="2"/>
  <c r="N85" i="2"/>
  <c r="V26" i="2"/>
  <c r="W26" i="2"/>
  <c r="X26" i="2"/>
  <c r="Y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V78" i="2"/>
  <c r="V80" i="2" s="1"/>
  <c r="W78" i="2"/>
  <c r="W80" i="2" s="1"/>
  <c r="X78" i="2"/>
  <c r="X80" i="2" s="1"/>
  <c r="Y78" i="2"/>
  <c r="Y80" i="2" s="1"/>
  <c r="Z78" i="2"/>
  <c r="Z80" i="2" s="1"/>
  <c r="AA78" i="2"/>
  <c r="AA80" i="2" s="1"/>
  <c r="AB78" i="2"/>
  <c r="AB80" i="2" s="1"/>
  <c r="AC78" i="2"/>
  <c r="AC80" i="2" s="1"/>
  <c r="AD78" i="2"/>
  <c r="AD80" i="2" s="1"/>
  <c r="AE78" i="2"/>
  <c r="AE80" i="2" s="1"/>
  <c r="AF78" i="2"/>
  <c r="AF80" i="2" s="1"/>
  <c r="AG78" i="2"/>
  <c r="AG80" i="2" s="1"/>
  <c r="AH78" i="2"/>
  <c r="AH80" i="2" s="1"/>
  <c r="AI78" i="2"/>
  <c r="AI80" i="2" s="1"/>
  <c r="AJ78" i="2"/>
  <c r="AJ80" i="2" s="1"/>
  <c r="AK78" i="2"/>
  <c r="AK80" i="2" s="1"/>
  <c r="AL78" i="2"/>
  <c r="AL80" i="2" s="1"/>
  <c r="AM78" i="2"/>
  <c r="AM80" i="2" s="1"/>
  <c r="AN78" i="2"/>
  <c r="AN80" i="2" s="1"/>
  <c r="AO78" i="2"/>
  <c r="AO80" i="2" s="1"/>
  <c r="AP78" i="2"/>
  <c r="AP80" i="2" s="1"/>
  <c r="AQ78" i="2"/>
  <c r="AQ80" i="2" s="1"/>
  <c r="AR78" i="2"/>
  <c r="AR80" i="2" s="1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G85" i="2"/>
  <c r="G84" i="2"/>
  <c r="G79" i="2"/>
  <c r="G78" i="2"/>
  <c r="G80" i="2" s="1"/>
  <c r="G26" i="2"/>
  <c r="P84" i="2"/>
  <c r="O84" i="2"/>
  <c r="O26" i="2"/>
  <c r="P26" i="2"/>
  <c r="O78" i="2"/>
  <c r="O80" i="2" s="1"/>
  <c r="P78" i="2"/>
  <c r="P80" i="2" s="1"/>
  <c r="O79" i="2"/>
  <c r="P79" i="2"/>
  <c r="O85" i="2"/>
  <c r="P85" i="2"/>
  <c r="T26" i="2"/>
  <c r="Q26" i="2"/>
  <c r="Q78" i="2"/>
  <c r="Q80" i="2" s="1"/>
  <c r="Q79" i="2"/>
  <c r="Q84" i="2"/>
  <c r="Q85" i="2"/>
  <c r="H26" i="2"/>
  <c r="H78" i="2"/>
  <c r="H80" i="2" s="1"/>
  <c r="H79" i="2"/>
  <c r="H84" i="2"/>
  <c r="H85" i="2"/>
  <c r="U26" i="2"/>
  <c r="R84" i="2"/>
  <c r="S84" i="2"/>
  <c r="T84" i="2"/>
  <c r="R26" i="2"/>
  <c r="S26" i="2"/>
  <c r="R78" i="2"/>
  <c r="R80" i="2" s="1"/>
  <c r="S78" i="2"/>
  <c r="S80" i="2" s="1"/>
  <c r="T78" i="2"/>
  <c r="T80" i="2" s="1"/>
  <c r="R79" i="2"/>
  <c r="S79" i="2"/>
  <c r="T79" i="2"/>
  <c r="R85" i="2"/>
  <c r="S85" i="2"/>
  <c r="T85" i="2"/>
  <c r="I26" i="2"/>
  <c r="I78" i="2"/>
  <c r="I80" i="2" s="1"/>
  <c r="U78" i="2"/>
  <c r="U80" i="2" s="1"/>
  <c r="I79" i="2"/>
  <c r="U79" i="2"/>
  <c r="U82" i="2"/>
  <c r="I84" i="2"/>
  <c r="U84" i="2"/>
  <c r="I85" i="2"/>
  <c r="U85" i="2"/>
  <c r="AS23" i="2" a="1"/>
  <c r="AS23" i="2" s="1"/>
  <c r="E2" i="19"/>
  <c r="E3" i="19"/>
  <c r="E4" i="19"/>
  <c r="E5" i="19"/>
  <c r="AS25" i="2"/>
  <c r="E9" i="19" s="1"/>
  <c r="E1" i="19"/>
  <c r="C1" i="2"/>
  <c r="B4" i="2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AS83" i="2"/>
  <c r="AG131" i="2"/>
  <c r="AT94" i="28" l="1"/>
  <c r="AT63" i="28"/>
  <c r="AT57" i="28"/>
  <c r="AS105" i="28"/>
  <c r="AS103" i="28"/>
  <c r="E66" i="19"/>
  <c r="G66" i="19" s="1"/>
  <c r="AS103" i="2"/>
  <c r="AS105" i="2"/>
  <c r="AT69" i="28"/>
  <c r="AT33" i="28"/>
  <c r="E9" i="10" a="1"/>
  <c r="E9" i="10" s="1"/>
  <c r="E11" i="10" s="1"/>
  <c r="AT51" i="28"/>
  <c r="AT61" i="28"/>
  <c r="AT97" i="28"/>
  <c r="AT90" i="28"/>
  <c r="AT71" i="28"/>
  <c r="AT92" i="28"/>
  <c r="AT37" i="28"/>
  <c r="AT67" i="28"/>
  <c r="C4" i="28"/>
  <c r="AT76" i="28"/>
  <c r="AS7" i="28" a="1"/>
  <c r="AS7" i="28" s="1"/>
  <c r="AS106" i="28" s="1"/>
  <c r="AT102" i="28"/>
  <c r="C9" i="10" a="1"/>
  <c r="C9" i="10" s="1"/>
  <c r="E8" i="10" a="1"/>
  <c r="E8" i="10" s="1"/>
  <c r="I8" i="10" a="1"/>
  <c r="I8" i="10" s="1"/>
  <c r="H8" i="10" a="1"/>
  <c r="H8" i="10" s="1"/>
  <c r="C7" i="10" a="1"/>
  <c r="C7" i="10" s="1"/>
  <c r="G8" i="10" a="1"/>
  <c r="G8" i="10" s="1"/>
  <c r="E67" i="19"/>
  <c r="G67" i="19" s="1"/>
  <c r="AT91" i="28"/>
  <c r="C5" i="28"/>
  <c r="B6" i="28"/>
  <c r="C4" i="2"/>
  <c r="B5" i="2"/>
  <c r="AS78" i="28"/>
  <c r="AS109" i="28" s="1"/>
  <c r="AT56" i="28"/>
  <c r="AT68" i="28"/>
  <c r="AS84" i="28"/>
  <c r="G9" i="10" a="1"/>
  <c r="G9" i="10" s="1"/>
  <c r="G11" i="10" s="1"/>
  <c r="H9" i="10" a="1"/>
  <c r="H9" i="10" s="1"/>
  <c r="H11" i="10" s="1"/>
  <c r="D78" i="19"/>
  <c r="D74" i="19"/>
  <c r="D70" i="19"/>
  <c r="D66" i="19"/>
  <c r="D62" i="19"/>
  <c r="D58" i="19"/>
  <c r="D54" i="19"/>
  <c r="D50" i="19"/>
  <c r="D46" i="19"/>
  <c r="D42" i="19"/>
  <c r="D38" i="19"/>
  <c r="D34" i="19"/>
  <c r="D30" i="19"/>
  <c r="D26" i="19"/>
  <c r="D22" i="19"/>
  <c r="D18" i="19"/>
  <c r="D14" i="19"/>
  <c r="D10" i="19"/>
  <c r="D6" i="19"/>
  <c r="D31" i="19"/>
  <c r="D7" i="19"/>
  <c r="D77" i="19"/>
  <c r="D73" i="19"/>
  <c r="D69" i="19"/>
  <c r="D65" i="19"/>
  <c r="D61" i="19"/>
  <c r="D57" i="19"/>
  <c r="D53" i="19"/>
  <c r="D49" i="19"/>
  <c r="D45" i="19"/>
  <c r="D41" i="19"/>
  <c r="D37" i="19"/>
  <c r="D33" i="19"/>
  <c r="D29" i="19"/>
  <c r="D25" i="19"/>
  <c r="D21" i="19"/>
  <c r="D17" i="19"/>
  <c r="D13" i="19"/>
  <c r="D9" i="19"/>
  <c r="D5" i="19"/>
  <c r="D71" i="19"/>
  <c r="D63" i="19"/>
  <c r="D55" i="19"/>
  <c r="D47" i="19"/>
  <c r="D39" i="19"/>
  <c r="D27" i="19"/>
  <c r="D19" i="19"/>
  <c r="D11" i="19"/>
  <c r="D76" i="19"/>
  <c r="D72" i="19"/>
  <c r="D68" i="19"/>
  <c r="D64" i="19"/>
  <c r="D60" i="19"/>
  <c r="D56" i="19"/>
  <c r="D52" i="19"/>
  <c r="D48" i="19"/>
  <c r="D44" i="19"/>
  <c r="D40" i="19"/>
  <c r="D36" i="19"/>
  <c r="D32" i="19"/>
  <c r="D28" i="19"/>
  <c r="D24" i="19"/>
  <c r="D20" i="19"/>
  <c r="D16" i="19"/>
  <c r="D12" i="19"/>
  <c r="D8" i="19"/>
  <c r="D4" i="19"/>
  <c r="D75" i="19"/>
  <c r="D67" i="19"/>
  <c r="D59" i="19"/>
  <c r="D51" i="19"/>
  <c r="D43" i="19"/>
  <c r="D35" i="19"/>
  <c r="D23" i="19"/>
  <c r="D15" i="19"/>
  <c r="D3" i="19"/>
  <c r="AT50" i="28"/>
  <c r="C8" i="10" a="1"/>
  <c r="C8" i="10" s="1"/>
  <c r="K8" i="10" a="1"/>
  <c r="K8" i="10" s="1"/>
  <c r="I9" i="10" a="1"/>
  <c r="I9" i="10" s="1"/>
  <c r="I11" i="10" s="1"/>
  <c r="D8" i="10" a="1"/>
  <c r="D8" i="10" s="1"/>
  <c r="L8" i="10" a="1"/>
  <c r="L8" i="10" s="1"/>
  <c r="J9" i="10" a="1"/>
  <c r="J9" i="10" s="1"/>
  <c r="J11" i="10" s="1"/>
  <c r="L9" i="10" a="1"/>
  <c r="L9" i="10" s="1"/>
  <c r="L11" i="10" s="1"/>
  <c r="F8" i="10" a="1"/>
  <c r="F8" i="10" s="1"/>
  <c r="D9" i="10" a="1"/>
  <c r="D9" i="10" s="1"/>
  <c r="D11" i="10" s="1"/>
  <c r="E10" i="10" a="1"/>
  <c r="E10" i="10" s="1"/>
  <c r="F9" i="10" a="1"/>
  <c r="F9" i="10" s="1"/>
  <c r="F11" i="10" s="1"/>
  <c r="J8" i="10" a="1"/>
  <c r="J8" i="10" s="1"/>
  <c r="AT75" i="28"/>
  <c r="AT70" i="28"/>
  <c r="AS81" i="28"/>
  <c r="AT30" i="28"/>
  <c r="F10" i="10" a="1"/>
  <c r="F10" i="10" s="1"/>
  <c r="AT89" i="28"/>
  <c r="AT29" i="28"/>
  <c r="I10" i="10" a="1"/>
  <c r="I10" i="10" s="1"/>
  <c r="AT59" i="28"/>
  <c r="J10" i="10" a="1"/>
  <c r="J10" i="10" s="1"/>
  <c r="AS26" i="28"/>
  <c r="K9" i="10" a="1"/>
  <c r="K9" i="10" s="1"/>
  <c r="K11" i="10" s="1"/>
  <c r="L10" i="10" a="1"/>
  <c r="L10" i="10" s="1"/>
  <c r="AT95" i="28"/>
  <c r="AT45" i="28"/>
  <c r="C10" i="10" a="1"/>
  <c r="C10" i="10" s="1"/>
  <c r="D10" i="10" a="1"/>
  <c r="D10" i="10" s="1"/>
  <c r="AT44" i="28"/>
  <c r="AT62" i="28"/>
  <c r="E65" i="19"/>
  <c r="G65" i="19" s="1"/>
  <c r="E43" i="19"/>
  <c r="G43" i="19" s="1"/>
  <c r="AT39" i="28"/>
  <c r="AT74" i="28"/>
  <c r="AT87" i="28"/>
  <c r="AT60" i="28"/>
  <c r="AT38" i="28"/>
  <c r="AT54" i="28"/>
  <c r="AT100" i="28"/>
  <c r="E13" i="19"/>
  <c r="G13" i="19" s="1"/>
  <c r="AT53" i="28"/>
  <c r="AT41" i="28"/>
  <c r="AT31" i="28"/>
  <c r="C3" i="10" a="1"/>
  <c r="C3" i="10" s="1"/>
  <c r="AT34" i="28"/>
  <c r="AS7" i="2" a="1"/>
  <c r="AS7" i="2" s="1"/>
  <c r="AS107" i="2" s="1"/>
  <c r="AS85" i="28"/>
  <c r="AS79" i="28"/>
  <c r="G10" i="10" a="1"/>
  <c r="G10" i="10" s="1"/>
  <c r="K10" i="10" a="1"/>
  <c r="K10" i="10" s="1"/>
  <c r="AT98" i="28"/>
  <c r="AT52" i="28"/>
  <c r="AT40" i="28"/>
  <c r="AT101" i="28"/>
  <c r="AT86" i="28"/>
  <c r="H10" i="10" a="1"/>
  <c r="H10" i="10" s="1"/>
  <c r="AT96" i="28"/>
  <c r="AT73" i="28"/>
  <c r="AT77" i="28"/>
  <c r="AT35" i="28"/>
  <c r="AT72" i="28"/>
  <c r="AT93" i="28"/>
  <c r="C22" i="10"/>
  <c r="AT49" i="28"/>
  <c r="AT43" i="28"/>
  <c r="AT36" i="28"/>
  <c r="AT55" i="28"/>
  <c r="C17" i="10" a="1"/>
  <c r="C17" i="10" s="1"/>
  <c r="AT48" i="28"/>
  <c r="AT65" i="28"/>
  <c r="AT88" i="28"/>
  <c r="AT99" i="28"/>
  <c r="I2" i="10" a="1"/>
  <c r="I2" i="10" s="1"/>
  <c r="I12" i="10" s="1"/>
  <c r="L5" i="10" a="1"/>
  <c r="L5" i="10" s="1"/>
  <c r="D2" i="10" a="1"/>
  <c r="D2" i="10" s="1"/>
  <c r="D12" i="10" s="1"/>
  <c r="C2" i="10" a="1"/>
  <c r="C2" i="10" s="1"/>
  <c r="F2" i="10" a="1"/>
  <c r="F2" i="10" s="1"/>
  <c r="F12" i="10" s="1"/>
  <c r="E2" i="10" a="1"/>
  <c r="E2" i="10" s="1"/>
  <c r="E12" i="10" s="1"/>
  <c r="G2" i="10" a="1"/>
  <c r="G2" i="10" s="1"/>
  <c r="G12" i="10" s="1"/>
  <c r="K2" i="10" a="1"/>
  <c r="K2" i="10" s="1"/>
  <c r="K12" i="10" s="1"/>
  <c r="H2" i="10" a="1"/>
  <c r="H2" i="10" s="1"/>
  <c r="H12" i="10" s="1"/>
  <c r="L2" i="10" a="1"/>
  <c r="L2" i="10" s="1"/>
  <c r="L12" i="10" s="1"/>
  <c r="G3" i="10" a="1"/>
  <c r="G3" i="10" s="1"/>
  <c r="J2" i="10" a="1"/>
  <c r="J2" i="10" s="1"/>
  <c r="J12" i="10" s="1"/>
  <c r="E3" i="10" a="1"/>
  <c r="E3" i="10" s="1"/>
  <c r="L3" i="10" a="1"/>
  <c r="L3" i="10" s="1"/>
  <c r="D3" i="10" a="1"/>
  <c r="D3" i="10" s="1"/>
  <c r="I3" i="10" a="1"/>
  <c r="I3" i="10" s="1"/>
  <c r="F3" i="10" a="1"/>
  <c r="F3" i="10" s="1"/>
  <c r="AT66" i="28"/>
  <c r="H3" i="10" a="1"/>
  <c r="H3" i="10" s="1"/>
  <c r="AS26" i="2"/>
  <c r="E10" i="19" s="1"/>
  <c r="I4" i="10" a="1"/>
  <c r="I4" i="10" s="1"/>
  <c r="AT28" i="28"/>
  <c r="AT47" i="28"/>
  <c r="AT58" i="28"/>
  <c r="J3" i="10" a="1"/>
  <c r="J3" i="10" s="1"/>
  <c r="D4" i="10" a="1"/>
  <c r="D4" i="10" s="1"/>
  <c r="K3" i="10" a="1"/>
  <c r="K3" i="10" s="1"/>
  <c r="E4" i="10" a="1"/>
  <c r="E4" i="10" s="1"/>
  <c r="F4" i="10" a="1"/>
  <c r="F4" i="10" s="1"/>
  <c r="K4" i="10" a="1"/>
  <c r="K4" i="10" s="1"/>
  <c r="C4" i="10" a="1"/>
  <c r="C4" i="10" s="1"/>
  <c r="E5" i="10" a="1"/>
  <c r="E5" i="10" s="1"/>
  <c r="AS84" i="2"/>
  <c r="AT42" i="28"/>
  <c r="G4" i="10" a="1"/>
  <c r="G4" i="10" s="1"/>
  <c r="AS81" i="2"/>
  <c r="AT46" i="28"/>
  <c r="AS78" i="2"/>
  <c r="AS109" i="2" s="1"/>
  <c r="H4" i="10" a="1"/>
  <c r="H4" i="10" s="1"/>
  <c r="L4" i="10" a="1"/>
  <c r="L4" i="10" s="1"/>
  <c r="C5" i="10" a="1"/>
  <c r="C5" i="10" s="1"/>
  <c r="G5" i="10" a="1"/>
  <c r="G5" i="10" s="1"/>
  <c r="J4" i="10" a="1"/>
  <c r="J4" i="10" s="1"/>
  <c r="K5" i="10" a="1"/>
  <c r="K5" i="10" s="1"/>
  <c r="D5" i="10" a="1"/>
  <c r="D5" i="10" s="1"/>
  <c r="F5" i="10" a="1"/>
  <c r="F5" i="10" s="1"/>
  <c r="H5" i="10" a="1"/>
  <c r="H5" i="10" s="1"/>
  <c r="I5" i="10" a="1"/>
  <c r="I5" i="10" s="1"/>
  <c r="J5" i="10" a="1"/>
  <c r="J5" i="10" s="1"/>
  <c r="E7" i="19"/>
  <c r="AT23" i="28"/>
  <c r="E11" i="19"/>
  <c r="AT27" i="28"/>
  <c r="AT24" i="28"/>
  <c r="E8" i="19"/>
  <c r="H59" i="19"/>
  <c r="I59" i="19" s="1"/>
  <c r="AT105" i="28" l="1"/>
  <c r="AS110" i="2"/>
  <c r="AT103" i="28"/>
  <c r="AT110" i="28" s="1"/>
  <c r="AS110" i="28"/>
  <c r="AS104" i="28"/>
  <c r="AS107" i="28"/>
  <c r="AS104" i="2"/>
  <c r="AS106" i="2"/>
  <c r="AS80" i="28"/>
  <c r="H26" i="19"/>
  <c r="I26" i="19" s="1"/>
  <c r="L26" i="19" s="1"/>
  <c r="H23" i="19"/>
  <c r="I23" i="19" s="1"/>
  <c r="L23" i="19" s="1"/>
  <c r="C13" i="10"/>
  <c r="H29" i="19"/>
  <c r="I29" i="19" s="1"/>
  <c r="L29" i="19" s="1"/>
  <c r="H65" i="19"/>
  <c r="I65" i="19" s="1"/>
  <c r="L65" i="19" s="1"/>
  <c r="H24" i="19"/>
  <c r="I24" i="19" s="1"/>
  <c r="L24" i="19" s="1"/>
  <c r="H55" i="19"/>
  <c r="I55" i="19" s="1"/>
  <c r="L55" i="19" s="1"/>
  <c r="H60" i="19"/>
  <c r="I60" i="19" s="1"/>
  <c r="L60" i="19" s="1"/>
  <c r="H33" i="19"/>
  <c r="I33" i="19" s="1"/>
  <c r="L33" i="19" s="1"/>
  <c r="H28" i="19"/>
  <c r="I28" i="19" s="1"/>
  <c r="L28" i="19" s="1"/>
  <c r="H27" i="19"/>
  <c r="I27" i="19" s="1"/>
  <c r="L27" i="19" s="1"/>
  <c r="H61" i="19"/>
  <c r="I61" i="19" s="1"/>
  <c r="L61" i="19" s="1"/>
  <c r="H56" i="19"/>
  <c r="I56" i="19" s="1"/>
  <c r="L56" i="19" s="1"/>
  <c r="H18" i="19"/>
  <c r="I18" i="19" s="1"/>
  <c r="L18" i="19" s="1"/>
  <c r="H37" i="19"/>
  <c r="I37" i="19" s="1"/>
  <c r="L37" i="19" s="1"/>
  <c r="H69" i="19"/>
  <c r="I69" i="19" s="1"/>
  <c r="L69" i="19" s="1"/>
  <c r="H32" i="19"/>
  <c r="I32" i="19" s="1"/>
  <c r="K32" i="19" s="1"/>
  <c r="H64" i="19"/>
  <c r="I64" i="19" s="1"/>
  <c r="L64" i="19" s="1"/>
  <c r="H31" i="19"/>
  <c r="I31" i="19" s="1"/>
  <c r="K31" i="19" s="1"/>
  <c r="H63" i="19"/>
  <c r="I63" i="19" s="1"/>
  <c r="K63" i="19" s="1"/>
  <c r="H41" i="19"/>
  <c r="I41" i="19" s="1"/>
  <c r="K41" i="19" s="1"/>
  <c r="H73" i="19"/>
  <c r="I73" i="19" s="1"/>
  <c r="K73" i="19" s="1"/>
  <c r="H36" i="19"/>
  <c r="I36" i="19" s="1"/>
  <c r="L36" i="19" s="1"/>
  <c r="H68" i="19"/>
  <c r="I68" i="19" s="1"/>
  <c r="K68" i="19" s="1"/>
  <c r="H35" i="19"/>
  <c r="I35" i="19" s="1"/>
  <c r="L35" i="19" s="1"/>
  <c r="H67" i="19"/>
  <c r="I67" i="19" s="1"/>
  <c r="K67" i="19" s="1"/>
  <c r="H13" i="19"/>
  <c r="I13" i="19" s="1"/>
  <c r="L13" i="19" s="1"/>
  <c r="H45" i="19"/>
  <c r="I45" i="19" s="1"/>
  <c r="K45" i="19" s="1"/>
  <c r="H77" i="19"/>
  <c r="I77" i="19" s="1"/>
  <c r="K77" i="19" s="1"/>
  <c r="H40" i="19"/>
  <c r="I40" i="19" s="1"/>
  <c r="L40" i="19" s="1"/>
  <c r="H72" i="19"/>
  <c r="I72" i="19" s="1"/>
  <c r="L72" i="19" s="1"/>
  <c r="H39" i="19"/>
  <c r="I39" i="19" s="1"/>
  <c r="L39" i="19" s="1"/>
  <c r="H71" i="19"/>
  <c r="I71" i="19" s="1"/>
  <c r="L71" i="19" s="1"/>
  <c r="H17" i="19"/>
  <c r="I17" i="19" s="1"/>
  <c r="K17" i="19" s="1"/>
  <c r="H49" i="19"/>
  <c r="I49" i="19" s="1"/>
  <c r="L49" i="19" s="1"/>
  <c r="H12" i="19"/>
  <c r="I12" i="19" s="1"/>
  <c r="L12" i="19" s="1"/>
  <c r="H44" i="19"/>
  <c r="I44" i="19" s="1"/>
  <c r="K44" i="19" s="1"/>
  <c r="H76" i="19"/>
  <c r="I76" i="19" s="1"/>
  <c r="K76" i="19" s="1"/>
  <c r="H43" i="19"/>
  <c r="I43" i="19" s="1"/>
  <c r="K43" i="19" s="1"/>
  <c r="H75" i="19"/>
  <c r="I75" i="19" s="1"/>
  <c r="L75" i="19" s="1"/>
  <c r="H21" i="19"/>
  <c r="I21" i="19" s="1"/>
  <c r="L21" i="19" s="1"/>
  <c r="H53" i="19"/>
  <c r="I53" i="19" s="1"/>
  <c r="L53" i="19" s="1"/>
  <c r="H16" i="19"/>
  <c r="I16" i="19" s="1"/>
  <c r="K16" i="19" s="1"/>
  <c r="H48" i="19"/>
  <c r="I48" i="19" s="1"/>
  <c r="L48" i="19" s="1"/>
  <c r="H15" i="19"/>
  <c r="I15" i="19" s="1"/>
  <c r="K15" i="19" s="1"/>
  <c r="H47" i="19"/>
  <c r="I47" i="19" s="1"/>
  <c r="K47" i="19" s="1"/>
  <c r="H14" i="19"/>
  <c r="I14" i="19" s="1"/>
  <c r="L14" i="19" s="1"/>
  <c r="H25" i="19"/>
  <c r="I25" i="19" s="1"/>
  <c r="K25" i="19" s="1"/>
  <c r="H57" i="19"/>
  <c r="I57" i="19" s="1"/>
  <c r="L57" i="19" s="1"/>
  <c r="H20" i="19"/>
  <c r="I20" i="19" s="1"/>
  <c r="L20" i="19" s="1"/>
  <c r="H52" i="19"/>
  <c r="I52" i="19" s="1"/>
  <c r="K52" i="19" s="1"/>
  <c r="H19" i="19"/>
  <c r="I19" i="19" s="1"/>
  <c r="K19" i="19" s="1"/>
  <c r="H51" i="19"/>
  <c r="I51" i="19" s="1"/>
  <c r="L51" i="19" s="1"/>
  <c r="H58" i="19"/>
  <c r="I58" i="19" s="1"/>
  <c r="L58" i="19" s="1"/>
  <c r="E13" i="10"/>
  <c r="H30" i="19"/>
  <c r="I30" i="19" s="1"/>
  <c r="K30" i="19" s="1"/>
  <c r="H38" i="19"/>
  <c r="I38" i="19" s="1"/>
  <c r="K38" i="19" s="1"/>
  <c r="H42" i="19"/>
  <c r="I42" i="19" s="1"/>
  <c r="L42" i="19" s="1"/>
  <c r="G13" i="10"/>
  <c r="H46" i="19"/>
  <c r="I46" i="19" s="1"/>
  <c r="L46" i="19" s="1"/>
  <c r="C11" i="10"/>
  <c r="M11" i="10" s="1"/>
  <c r="H54" i="19"/>
  <c r="I54" i="19" s="1"/>
  <c r="K54" i="19" s="1"/>
  <c r="H62" i="19"/>
  <c r="I62" i="19" s="1"/>
  <c r="L62" i="19" s="1"/>
  <c r="H22" i="19"/>
  <c r="I22" i="19" s="1"/>
  <c r="K22" i="19" s="1"/>
  <c r="H74" i="19"/>
  <c r="I74" i="19" s="1"/>
  <c r="L74" i="19" s="1"/>
  <c r="H34" i="19"/>
  <c r="I34" i="19" s="1"/>
  <c r="K34" i="19" s="1"/>
  <c r="H50" i="19"/>
  <c r="I50" i="19" s="1"/>
  <c r="L50" i="19" s="1"/>
  <c r="H66" i="19"/>
  <c r="I66" i="19" s="1"/>
  <c r="L66" i="19" s="1"/>
  <c r="H78" i="19"/>
  <c r="I78" i="19" s="1"/>
  <c r="L78" i="19" s="1"/>
  <c r="H70" i="19"/>
  <c r="I70" i="19" s="1"/>
  <c r="K70" i="19" s="1"/>
  <c r="AT78" i="28"/>
  <c r="AT109" i="28" s="1"/>
  <c r="H13" i="10"/>
  <c r="AS82" i="28"/>
  <c r="L13" i="10"/>
  <c r="J13" i="10"/>
  <c r="M7" i="10"/>
  <c r="C12" i="10"/>
  <c r="M12" i="10" s="1"/>
  <c r="C19" i="10" s="1"/>
  <c r="M8" i="10"/>
  <c r="C5" i="2"/>
  <c r="B6" i="2"/>
  <c r="B7" i="28"/>
  <c r="C6" i="28"/>
  <c r="D13" i="10"/>
  <c r="F13" i="10"/>
  <c r="I13" i="10"/>
  <c r="K13" i="10"/>
  <c r="M10" i="10"/>
  <c r="M9" i="10"/>
  <c r="O9" i="10" s="1"/>
  <c r="E6" i="19"/>
  <c r="G8" i="19" s="1"/>
  <c r="AS82" i="2"/>
  <c r="AT7" i="28"/>
  <c r="AS79" i="2"/>
  <c r="AS85" i="2"/>
  <c r="AT85" i="28" s="1"/>
  <c r="D6" i="10"/>
  <c r="M2" i="10"/>
  <c r="N2" i="10" s="1"/>
  <c r="N12" i="10" s="1"/>
  <c r="K6" i="10"/>
  <c r="I6" i="10"/>
  <c r="M3" i="10"/>
  <c r="C6" i="10"/>
  <c r="G6" i="10"/>
  <c r="F6" i="10"/>
  <c r="L6" i="10"/>
  <c r="E6" i="10"/>
  <c r="AS80" i="2"/>
  <c r="H6" i="10"/>
  <c r="J6" i="10"/>
  <c r="M4" i="10"/>
  <c r="N4" i="10" s="1"/>
  <c r="N13" i="10" s="1"/>
  <c r="M5" i="10"/>
  <c r="N5" i="10" s="1"/>
  <c r="L59" i="19"/>
  <c r="K59" i="19"/>
  <c r="K29" i="19" l="1"/>
  <c r="AT107" i="28"/>
  <c r="AT106" i="28"/>
  <c r="AT104" i="28"/>
  <c r="K23" i="19"/>
  <c r="K26" i="19"/>
  <c r="L73" i="19"/>
  <c r="O73" i="19" s="1"/>
  <c r="K65" i="19"/>
  <c r="K55" i="19"/>
  <c r="K56" i="19"/>
  <c r="K60" i="19"/>
  <c r="K24" i="19"/>
  <c r="K18" i="19"/>
  <c r="K40" i="19"/>
  <c r="K27" i="19"/>
  <c r="K64" i="19"/>
  <c r="L76" i="19"/>
  <c r="O76" i="19" s="1"/>
  <c r="K28" i="19"/>
  <c r="L17" i="19"/>
  <c r="O17" i="19" s="1"/>
  <c r="K53" i="19"/>
  <c r="K33" i="19"/>
  <c r="L67" i="19"/>
  <c r="O67" i="19" s="1"/>
  <c r="K37" i="19"/>
  <c r="K61" i="19"/>
  <c r="K14" i="19"/>
  <c r="L31" i="19"/>
  <c r="O31" i="19" s="1"/>
  <c r="K36" i="19"/>
  <c r="K13" i="19"/>
  <c r="K72" i="19"/>
  <c r="K49" i="19"/>
  <c r="L43" i="19"/>
  <c r="O43" i="19" s="1"/>
  <c r="L68" i="19"/>
  <c r="O68" i="19" s="1"/>
  <c r="L63" i="19"/>
  <c r="O63" i="19" s="1"/>
  <c r="L16" i="19"/>
  <c r="O16" i="19" s="1"/>
  <c r="L52" i="19"/>
  <c r="O52" i="19" s="1"/>
  <c r="K12" i="19"/>
  <c r="K20" i="19"/>
  <c r="K35" i="19"/>
  <c r="L77" i="19"/>
  <c r="O77" i="19" s="1"/>
  <c r="L32" i="19"/>
  <c r="O32" i="19" s="1"/>
  <c r="L45" i="19"/>
  <c r="O45" i="19" s="1"/>
  <c r="L47" i="19"/>
  <c r="O47" i="19" s="1"/>
  <c r="K48" i="19"/>
  <c r="K69" i="19"/>
  <c r="K39" i="19"/>
  <c r="L19" i="19"/>
  <c r="O19" i="19" s="1"/>
  <c r="L44" i="19"/>
  <c r="O44" i="19" s="1"/>
  <c r="K21" i="19"/>
  <c r="K71" i="19"/>
  <c r="L15" i="19"/>
  <c r="O15" i="19" s="1"/>
  <c r="L41" i="19"/>
  <c r="O41" i="19" s="1"/>
  <c r="K75" i="19"/>
  <c r="L25" i="19"/>
  <c r="O25" i="19" s="1"/>
  <c r="K57" i="19"/>
  <c r="K51" i="19"/>
  <c r="K58" i="19"/>
  <c r="L38" i="19"/>
  <c r="O38" i="19" s="1"/>
  <c r="L22" i="19"/>
  <c r="O22" i="19" s="1"/>
  <c r="K78" i="19"/>
  <c r="K74" i="19"/>
  <c r="K46" i="19"/>
  <c r="L30" i="19"/>
  <c r="O30" i="19" s="1"/>
  <c r="K42" i="19"/>
  <c r="L34" i="19"/>
  <c r="O34" i="19" s="1"/>
  <c r="L54" i="19"/>
  <c r="O54" i="19" s="1"/>
  <c r="K62" i="19"/>
  <c r="L70" i="19"/>
  <c r="O70" i="19" s="1"/>
  <c r="K50" i="19"/>
  <c r="K66" i="19"/>
  <c r="O8" i="10"/>
  <c r="C20" i="10"/>
  <c r="D20" i="10" s="1"/>
  <c r="C7" i="28"/>
  <c r="B8" i="28"/>
  <c r="C6" i="2"/>
  <c r="B7" i="2"/>
  <c r="AT80" i="28"/>
  <c r="AT79" i="28"/>
  <c r="O3" i="10"/>
  <c r="N3" i="10"/>
  <c r="M6" i="10"/>
  <c r="O4" i="10"/>
  <c r="M13" i="10"/>
  <c r="C21" i="10"/>
  <c r="D21" i="10" s="1"/>
  <c r="O46" i="19"/>
  <c r="O53" i="19"/>
  <c r="O62" i="19"/>
  <c r="O64" i="19"/>
  <c r="O69" i="19"/>
  <c r="O37" i="19"/>
  <c r="O58" i="19"/>
  <c r="O26" i="19"/>
  <c r="O59" i="19"/>
  <c r="O27" i="19"/>
  <c r="O28" i="19"/>
  <c r="O74" i="19"/>
  <c r="O55" i="19"/>
  <c r="O23" i="19"/>
  <c r="O56" i="19"/>
  <c r="O24" i="19"/>
  <c r="O61" i="19"/>
  <c r="O29" i="19"/>
  <c r="O35" i="19"/>
  <c r="O20" i="19"/>
  <c r="O49" i="19"/>
  <c r="O66" i="19"/>
  <c r="O78" i="19"/>
  <c r="O48" i="19"/>
  <c r="O21" i="19"/>
  <c r="O14" i="19"/>
  <c r="O42" i="19"/>
  <c r="O75" i="19"/>
  <c r="O60" i="19"/>
  <c r="O33" i="19"/>
  <c r="O71" i="19"/>
  <c r="O39" i="19"/>
  <c r="O72" i="19"/>
  <c r="O40" i="19"/>
  <c r="O13" i="19"/>
  <c r="O36" i="19"/>
  <c r="O57" i="19"/>
  <c r="M12" i="19"/>
  <c r="M13" i="19" s="1"/>
  <c r="O12" i="19"/>
  <c r="O50" i="19"/>
  <c r="O18" i="19"/>
  <c r="O51" i="19"/>
  <c r="O65" i="19"/>
  <c r="C7" i="2" l="1"/>
  <c r="B8" i="2"/>
  <c r="B9" i="28"/>
  <c r="C8" i="28"/>
  <c r="D23" i="10"/>
  <c r="M14" i="19"/>
  <c r="B10" i="28" l="1"/>
  <c r="C9" i="28"/>
  <c r="C8" i="2"/>
  <c r="B9" i="2"/>
  <c r="M15" i="19"/>
  <c r="C9" i="2" l="1"/>
  <c r="B10" i="2"/>
  <c r="B11" i="28"/>
  <c r="C10" i="28"/>
  <c r="M16" i="19"/>
  <c r="B12" i="28" l="1"/>
  <c r="C11" i="28"/>
  <c r="C10" i="2"/>
  <c r="B11" i="2"/>
  <c r="M17" i="19"/>
  <c r="C11" i="2" l="1"/>
  <c r="B12" i="2"/>
  <c r="B13" i="28"/>
  <c r="C12" i="28"/>
  <c r="M18" i="19"/>
  <c r="C13" i="28" l="1"/>
  <c r="B14" i="28"/>
  <c r="C12" i="2"/>
  <c r="B13" i="2"/>
  <c r="M19" i="19"/>
  <c r="C13" i="2" l="1"/>
  <c r="B14" i="2"/>
  <c r="B15" i="28"/>
  <c r="C14" i="28"/>
  <c r="M20" i="19"/>
  <c r="B16" i="28" l="1"/>
  <c r="C15" i="28"/>
  <c r="C14" i="2"/>
  <c r="B15" i="2"/>
  <c r="M21" i="19"/>
  <c r="C15" i="2" l="1"/>
  <c r="B16" i="2"/>
  <c r="B17" i="28"/>
  <c r="C16" i="28"/>
  <c r="M22" i="19"/>
  <c r="B18" i="28" l="1"/>
  <c r="C17" i="28"/>
  <c r="C16" i="2"/>
  <c r="B17" i="2"/>
  <c r="M23" i="19"/>
  <c r="C17" i="2" l="1"/>
  <c r="B18" i="2"/>
  <c r="B19" i="28"/>
  <c r="C18" i="28"/>
  <c r="M24" i="19"/>
  <c r="B20" i="28" l="1"/>
  <c r="C19" i="28"/>
  <c r="C18" i="2"/>
  <c r="B19" i="2"/>
  <c r="M25" i="19"/>
  <c r="C19" i="2" l="1"/>
  <c r="B20" i="2"/>
  <c r="B21" i="28"/>
  <c r="C20" i="28"/>
  <c r="M26" i="19"/>
  <c r="C21" i="28" l="1"/>
  <c r="B22" i="28"/>
  <c r="C20" i="2"/>
  <c r="B21" i="2"/>
  <c r="M27" i="19"/>
  <c r="C21" i="2" l="1"/>
  <c r="B22" i="2"/>
  <c r="B23" i="28"/>
  <c r="C22" i="28"/>
  <c r="M28" i="19"/>
  <c r="B24" i="28" l="1"/>
  <c r="C23" i="28"/>
  <c r="C22" i="2"/>
  <c r="B23" i="2"/>
  <c r="M29" i="19"/>
  <c r="B25" i="28" l="1"/>
  <c r="C24" i="28"/>
  <c r="C23" i="2"/>
  <c r="B24" i="2"/>
  <c r="M30" i="19"/>
  <c r="C24" i="2" l="1"/>
  <c r="B25" i="2"/>
  <c r="B26" i="28"/>
  <c r="C25" i="28"/>
  <c r="M31" i="19"/>
  <c r="B27" i="28" l="1"/>
  <c r="C26" i="28"/>
  <c r="C25" i="2"/>
  <c r="B26" i="2"/>
  <c r="M32" i="19"/>
  <c r="C26" i="2" l="1"/>
  <c r="B27" i="2"/>
  <c r="B28" i="28"/>
  <c r="C27" i="28"/>
  <c r="M33" i="19"/>
  <c r="C28" i="28" l="1"/>
  <c r="B29" i="28"/>
  <c r="C27" i="2"/>
  <c r="B28" i="2"/>
  <c r="M34" i="19"/>
  <c r="C28" i="2" l="1"/>
  <c r="B29" i="2"/>
  <c r="C29" i="28"/>
  <c r="B30" i="28"/>
  <c r="M35" i="19"/>
  <c r="B31" i="28" l="1"/>
  <c r="C30" i="28"/>
  <c r="C29" i="2"/>
  <c r="B30" i="2"/>
  <c r="M36" i="19"/>
  <c r="C30" i="2" l="1"/>
  <c r="B31" i="2"/>
  <c r="B32" i="28"/>
  <c r="C31" i="28"/>
  <c r="M37" i="19"/>
  <c r="B33" i="28" l="1"/>
  <c r="C32" i="28"/>
  <c r="C31" i="2"/>
  <c r="B32" i="2"/>
  <c r="M38" i="19"/>
  <c r="C32" i="2" l="1"/>
  <c r="B33" i="2"/>
  <c r="C33" i="28"/>
  <c r="B34" i="28"/>
  <c r="M39" i="19"/>
  <c r="B35" i="28" l="1"/>
  <c r="C34" i="28"/>
  <c r="C33" i="2"/>
  <c r="B34" i="2"/>
  <c r="M40" i="19"/>
  <c r="C34" i="2" l="1"/>
  <c r="B35" i="2"/>
  <c r="B36" i="28"/>
  <c r="C35" i="28"/>
  <c r="M41" i="19"/>
  <c r="B37" i="28" l="1"/>
  <c r="C36" i="28"/>
  <c r="C35" i="2"/>
  <c r="B36" i="2"/>
  <c r="M42" i="19"/>
  <c r="C36" i="2" l="1"/>
  <c r="B37" i="2"/>
  <c r="B38" i="28"/>
  <c r="C37" i="28"/>
  <c r="M43" i="19"/>
  <c r="B39" i="28" l="1"/>
  <c r="C38" i="28"/>
  <c r="C37" i="2"/>
  <c r="B38" i="2"/>
  <c r="M44" i="19"/>
  <c r="C38" i="2" l="1"/>
  <c r="B39" i="2"/>
  <c r="B40" i="28"/>
  <c r="C39" i="28"/>
  <c r="M45" i="19"/>
  <c r="B41" i="28" l="1"/>
  <c r="C40" i="28"/>
  <c r="C39" i="2"/>
  <c r="B40" i="2"/>
  <c r="M46" i="19"/>
  <c r="C40" i="2" l="1"/>
  <c r="B41" i="2"/>
  <c r="B42" i="28"/>
  <c r="C41" i="28"/>
  <c r="M47" i="19"/>
  <c r="B43" i="28" l="1"/>
  <c r="C42" i="28"/>
  <c r="C41" i="2"/>
  <c r="B42" i="2"/>
  <c r="M48" i="19"/>
  <c r="C42" i="2" l="1"/>
  <c r="B43" i="2"/>
  <c r="B44" i="28"/>
  <c r="C43" i="28"/>
  <c r="M49" i="19"/>
  <c r="B45" i="28" l="1"/>
  <c r="C44" i="28"/>
  <c r="C43" i="2"/>
  <c r="B44" i="2"/>
  <c r="M50" i="19"/>
  <c r="C44" i="2" l="1"/>
  <c r="B45" i="2"/>
  <c r="C45" i="28"/>
  <c r="B46" i="28"/>
  <c r="M51" i="19"/>
  <c r="B47" i="28" l="1"/>
  <c r="C46" i="28"/>
  <c r="C45" i="2"/>
  <c r="B46" i="2"/>
  <c r="M52" i="19"/>
  <c r="C46" i="2" l="1"/>
  <c r="B47" i="2"/>
  <c r="B48" i="28"/>
  <c r="C47" i="28"/>
  <c r="M53" i="19"/>
  <c r="B49" i="28" l="1"/>
  <c r="C48" i="28"/>
  <c r="C47" i="2"/>
  <c r="B48" i="2"/>
  <c r="M54" i="19"/>
  <c r="C48" i="2" l="1"/>
  <c r="B49" i="2"/>
  <c r="B50" i="28"/>
  <c r="C49" i="28"/>
  <c r="M55" i="19"/>
  <c r="B51" i="28" l="1"/>
  <c r="C50" i="28"/>
  <c r="C49" i="2"/>
  <c r="B50" i="2"/>
  <c r="M56" i="19"/>
  <c r="C50" i="2" l="1"/>
  <c r="B51" i="2"/>
  <c r="B52" i="28"/>
  <c r="C51" i="28"/>
  <c r="M57" i="19"/>
  <c r="B53" i="28" l="1"/>
  <c r="C52" i="28"/>
  <c r="C51" i="2"/>
  <c r="B52" i="2"/>
  <c r="M58" i="19"/>
  <c r="C52" i="2" l="1"/>
  <c r="B53" i="2"/>
  <c r="C53" i="28"/>
  <c r="B54" i="28"/>
  <c r="M59" i="19"/>
  <c r="B55" i="28" l="1"/>
  <c r="C54" i="28"/>
  <c r="C53" i="2"/>
  <c r="B54" i="2"/>
  <c r="M60" i="19"/>
  <c r="C54" i="2" l="1"/>
  <c r="B55" i="2"/>
  <c r="B56" i="28"/>
  <c r="C55" i="28"/>
  <c r="M61" i="19"/>
  <c r="B57" i="28" l="1"/>
  <c r="C56" i="28"/>
  <c r="C55" i="2"/>
  <c r="B56" i="2"/>
  <c r="M62" i="19"/>
  <c r="C56" i="2" l="1"/>
  <c r="B57" i="2"/>
  <c r="B58" i="28"/>
  <c r="C57" i="28"/>
  <c r="M63" i="19"/>
  <c r="B59" i="28" l="1"/>
  <c r="C58" i="28"/>
  <c r="C57" i="2"/>
  <c r="B58" i="2"/>
  <c r="M64" i="19"/>
  <c r="C58" i="2" l="1"/>
  <c r="B59" i="2"/>
  <c r="B60" i="28"/>
  <c r="C59" i="28"/>
  <c r="M65" i="19"/>
  <c r="C60" i="28" l="1"/>
  <c r="B61" i="28"/>
  <c r="C59" i="2"/>
  <c r="B60" i="2"/>
  <c r="M66" i="19"/>
  <c r="C60" i="2" l="1"/>
  <c r="B61" i="2"/>
  <c r="C61" i="28"/>
  <c r="B62" i="28"/>
  <c r="M67" i="19"/>
  <c r="B63" i="28" l="1"/>
  <c r="C62" i="28"/>
  <c r="C61" i="2"/>
  <c r="B62" i="2"/>
  <c r="M68" i="19"/>
  <c r="C62" i="2" l="1"/>
  <c r="B63" i="2"/>
  <c r="B64" i="28"/>
  <c r="C63" i="28"/>
  <c r="M69" i="19"/>
  <c r="B65" i="28" l="1"/>
  <c r="C64" i="28"/>
  <c r="C63" i="2"/>
  <c r="B64" i="2"/>
  <c r="M70" i="19"/>
  <c r="C64" i="2" l="1"/>
  <c r="B65" i="2"/>
  <c r="C65" i="28"/>
  <c r="B66" i="28"/>
  <c r="M71" i="19"/>
  <c r="B67" i="28" l="1"/>
  <c r="C66" i="28"/>
  <c r="C65" i="2"/>
  <c r="B66" i="2"/>
  <c r="M72" i="19"/>
  <c r="C66" i="2" l="1"/>
  <c r="B67" i="2"/>
  <c r="B68" i="28"/>
  <c r="C67" i="28"/>
  <c r="M73" i="19"/>
  <c r="B69" i="28" l="1"/>
  <c r="C68" i="28"/>
  <c r="C67" i="2"/>
  <c r="B68" i="2"/>
  <c r="M74" i="19"/>
  <c r="C68" i="2" l="1"/>
  <c r="B69" i="2"/>
  <c r="C69" i="28"/>
  <c r="B70" i="28"/>
  <c r="M75" i="19"/>
  <c r="B71" i="28" l="1"/>
  <c r="C70" i="28"/>
  <c r="C69" i="2"/>
  <c r="B70" i="2"/>
  <c r="M76" i="19"/>
  <c r="C70" i="2" l="1"/>
  <c r="B71" i="2"/>
  <c r="B72" i="28"/>
  <c r="C71" i="28"/>
  <c r="M77" i="19"/>
  <c r="B73" i="28" l="1"/>
  <c r="C72" i="28"/>
  <c r="C71" i="2"/>
  <c r="B72" i="2"/>
  <c r="M78" i="19"/>
  <c r="C72" i="2" l="1"/>
  <c r="B73" i="2"/>
  <c r="B74" i="28"/>
  <c r="C73" i="28"/>
  <c r="N78" i="19"/>
  <c r="P78" i="19" s="1"/>
  <c r="N13" i="19"/>
  <c r="P13" i="19" s="1"/>
  <c r="N12" i="19"/>
  <c r="N14" i="19"/>
  <c r="P14" i="19" s="1"/>
  <c r="N15" i="19"/>
  <c r="P15" i="19" s="1"/>
  <c r="N16" i="19"/>
  <c r="P16" i="19" s="1"/>
  <c r="N17" i="19"/>
  <c r="P17" i="19" s="1"/>
  <c r="N18" i="19"/>
  <c r="P18" i="19" s="1"/>
  <c r="N19" i="19"/>
  <c r="P19" i="19" s="1"/>
  <c r="N20" i="19"/>
  <c r="P20" i="19" s="1"/>
  <c r="N21" i="19"/>
  <c r="P21" i="19" s="1"/>
  <c r="N22" i="19"/>
  <c r="P22" i="19" s="1"/>
  <c r="N23" i="19"/>
  <c r="P23" i="19" s="1"/>
  <c r="N24" i="19"/>
  <c r="P24" i="19" s="1"/>
  <c r="N25" i="19"/>
  <c r="P25" i="19" s="1"/>
  <c r="N26" i="19"/>
  <c r="P26" i="19" s="1"/>
  <c r="N27" i="19"/>
  <c r="P27" i="19" s="1"/>
  <c r="N28" i="19"/>
  <c r="P28" i="19" s="1"/>
  <c r="N29" i="19"/>
  <c r="P29" i="19" s="1"/>
  <c r="N30" i="19"/>
  <c r="P30" i="19" s="1"/>
  <c r="N31" i="19"/>
  <c r="P31" i="19" s="1"/>
  <c r="N32" i="19"/>
  <c r="P32" i="19" s="1"/>
  <c r="N33" i="19"/>
  <c r="P33" i="19" s="1"/>
  <c r="N34" i="19"/>
  <c r="P34" i="19" s="1"/>
  <c r="N35" i="19"/>
  <c r="P35" i="19" s="1"/>
  <c r="N36" i="19"/>
  <c r="P36" i="19" s="1"/>
  <c r="N37" i="19"/>
  <c r="P37" i="19" s="1"/>
  <c r="N38" i="19"/>
  <c r="P38" i="19" s="1"/>
  <c r="N39" i="19"/>
  <c r="P39" i="19" s="1"/>
  <c r="N40" i="19"/>
  <c r="P40" i="19" s="1"/>
  <c r="N41" i="19"/>
  <c r="P41" i="19" s="1"/>
  <c r="N42" i="19"/>
  <c r="P42" i="19" s="1"/>
  <c r="N43" i="19"/>
  <c r="P43" i="19" s="1"/>
  <c r="N44" i="19"/>
  <c r="P44" i="19" s="1"/>
  <c r="N45" i="19"/>
  <c r="P45" i="19" s="1"/>
  <c r="N46" i="19"/>
  <c r="P46" i="19" s="1"/>
  <c r="N47" i="19"/>
  <c r="P47" i="19" s="1"/>
  <c r="N48" i="19"/>
  <c r="P48" i="19" s="1"/>
  <c r="N49" i="19"/>
  <c r="P49" i="19" s="1"/>
  <c r="N50" i="19"/>
  <c r="P50" i="19" s="1"/>
  <c r="N51" i="19"/>
  <c r="P51" i="19" s="1"/>
  <c r="N52" i="19"/>
  <c r="P52" i="19" s="1"/>
  <c r="N53" i="19"/>
  <c r="P53" i="19" s="1"/>
  <c r="N54" i="19"/>
  <c r="P54" i="19" s="1"/>
  <c r="N55" i="19"/>
  <c r="P55" i="19" s="1"/>
  <c r="N56" i="19"/>
  <c r="P56" i="19" s="1"/>
  <c r="N57" i="19"/>
  <c r="P57" i="19" s="1"/>
  <c r="N58" i="19"/>
  <c r="P58" i="19" s="1"/>
  <c r="N59" i="19"/>
  <c r="P59" i="19" s="1"/>
  <c r="N60" i="19"/>
  <c r="P60" i="19" s="1"/>
  <c r="N61" i="19"/>
  <c r="P61" i="19" s="1"/>
  <c r="N62" i="19"/>
  <c r="P62" i="19" s="1"/>
  <c r="N63" i="19"/>
  <c r="P63" i="19" s="1"/>
  <c r="N64" i="19"/>
  <c r="P64" i="19" s="1"/>
  <c r="N65" i="19"/>
  <c r="P65" i="19" s="1"/>
  <c r="N66" i="19"/>
  <c r="P66" i="19" s="1"/>
  <c r="N67" i="19"/>
  <c r="P67" i="19" s="1"/>
  <c r="N68" i="19"/>
  <c r="P68" i="19" s="1"/>
  <c r="N69" i="19"/>
  <c r="P69" i="19" s="1"/>
  <c r="N70" i="19"/>
  <c r="P70" i="19" s="1"/>
  <c r="N71" i="19"/>
  <c r="P71" i="19" s="1"/>
  <c r="N72" i="19"/>
  <c r="P72" i="19" s="1"/>
  <c r="N73" i="19"/>
  <c r="P73" i="19" s="1"/>
  <c r="N74" i="19"/>
  <c r="P74" i="19" s="1"/>
  <c r="N75" i="19"/>
  <c r="P75" i="19" s="1"/>
  <c r="N76" i="19"/>
  <c r="P76" i="19" s="1"/>
  <c r="N77" i="19"/>
  <c r="P77" i="19" s="1"/>
  <c r="B75" i="28" l="1"/>
  <c r="C74" i="28"/>
  <c r="C73" i="2"/>
  <c r="B74" i="2"/>
  <c r="S4" i="19"/>
  <c r="P12" i="19"/>
  <c r="S5" i="19" s="1"/>
  <c r="S3" i="19"/>
  <c r="S2" i="19"/>
  <c r="C74" i="2" l="1"/>
  <c r="B75" i="2"/>
  <c r="B76" i="28"/>
  <c r="C75" i="28"/>
  <c r="B77" i="28" l="1"/>
  <c r="C76" i="28"/>
  <c r="C75" i="2"/>
  <c r="B76" i="2"/>
  <c r="C76" i="2" l="1"/>
  <c r="B77" i="2"/>
  <c r="B78" i="28"/>
  <c r="C77" i="28"/>
  <c r="B79" i="28" l="1"/>
  <c r="C78" i="28"/>
  <c r="C77" i="2"/>
  <c r="B78" i="2"/>
  <c r="C78" i="2" l="1"/>
  <c r="B79" i="2"/>
  <c r="B80" i="28"/>
  <c r="C79" i="28"/>
  <c r="B81" i="28" l="1"/>
  <c r="C80" i="28"/>
  <c r="C79" i="2"/>
  <c r="B80" i="2"/>
  <c r="C80" i="2" l="1"/>
  <c r="B81" i="2"/>
  <c r="C81" i="28"/>
  <c r="B82" i="28"/>
  <c r="B83" i="28" l="1"/>
  <c r="C82" i="28"/>
  <c r="C81" i="2"/>
  <c r="B82" i="2"/>
  <c r="C82" i="2" l="1"/>
  <c r="B83" i="2"/>
  <c r="B84" i="28"/>
  <c r="C83" i="28"/>
  <c r="B85" i="28" l="1"/>
  <c r="C84" i="28"/>
  <c r="C83" i="2"/>
  <c r="B84" i="2"/>
  <c r="C84" i="2" l="1"/>
  <c r="B85" i="2"/>
  <c r="C85" i="28"/>
  <c r="B86" i="28"/>
  <c r="B87" i="28" l="1"/>
  <c r="C86" i="28"/>
  <c r="C85" i="2"/>
  <c r="B86" i="2"/>
  <c r="C86" i="2" l="1"/>
  <c r="B87" i="2"/>
  <c r="B88" i="28"/>
  <c r="C87" i="28"/>
  <c r="B89" i="28" l="1"/>
  <c r="C88" i="28"/>
  <c r="C87" i="2"/>
  <c r="B88" i="2"/>
  <c r="C88" i="2" l="1"/>
  <c r="B89" i="2"/>
  <c r="B90" i="28"/>
  <c r="C89" i="28"/>
  <c r="B91" i="28" l="1"/>
  <c r="C90" i="28"/>
  <c r="C89" i="2"/>
  <c r="B90" i="2"/>
  <c r="C90" i="2" l="1"/>
  <c r="B91" i="2"/>
  <c r="B92" i="28"/>
  <c r="C91" i="28"/>
  <c r="C92" i="28" l="1"/>
  <c r="B93" i="28"/>
  <c r="C91" i="2"/>
  <c r="B92" i="2"/>
  <c r="C92" i="2" l="1"/>
  <c r="B93" i="2"/>
  <c r="C93" i="28"/>
  <c r="B94" i="28"/>
  <c r="B95" i="28" l="1"/>
  <c r="C94" i="28"/>
  <c r="C93" i="2"/>
  <c r="B94" i="2"/>
  <c r="C94" i="2" l="1"/>
  <c r="B95" i="2"/>
  <c r="B96" i="28"/>
  <c r="C95" i="28"/>
  <c r="B97" i="28" l="1"/>
  <c r="C96" i="28"/>
  <c r="C95" i="2"/>
  <c r="B96" i="2"/>
  <c r="C96" i="2" l="1"/>
  <c r="B97" i="2"/>
  <c r="C97" i="28"/>
  <c r="B98" i="28"/>
  <c r="B99" i="28" l="1"/>
  <c r="C98" i="28"/>
  <c r="C97" i="2"/>
  <c r="B98" i="2"/>
  <c r="C98" i="2" l="1"/>
  <c r="B99" i="2"/>
  <c r="B100" i="28"/>
  <c r="C99" i="28"/>
  <c r="B101" i="28" l="1"/>
  <c r="C100" i="28"/>
  <c r="C99" i="2"/>
  <c r="B100" i="2"/>
  <c r="C100" i="2" l="1"/>
  <c r="B101" i="2"/>
  <c r="C101" i="28"/>
  <c r="B102" i="28"/>
  <c r="B103" i="28" s="1"/>
  <c r="C103" i="28" l="1"/>
  <c r="B104" i="28"/>
  <c r="C102" i="28"/>
  <c r="C101" i="2"/>
  <c r="B102" i="2"/>
  <c r="B103" i="2" s="1"/>
  <c r="B104" i="2" l="1"/>
  <c r="C103" i="2"/>
  <c r="C104" i="28"/>
  <c r="B105" i="28"/>
  <c r="C102" i="2"/>
  <c r="B106" i="28" l="1"/>
  <c r="C105" i="28"/>
  <c r="B105" i="2"/>
  <c r="C104" i="2"/>
  <c r="B106" i="2" l="1"/>
  <c r="C105" i="2"/>
  <c r="C106" i="28"/>
  <c r="B107" i="28"/>
  <c r="C107" i="28" s="1"/>
  <c r="C106" i="2" l="1"/>
  <c r="B107" i="2"/>
  <c r="C10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Custodio da Silva</author>
  </authors>
  <commentList>
    <comment ref="C31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Gabriel Custodio da Silva:</t>
        </r>
        <r>
          <rPr>
            <sz val="9"/>
            <color indexed="81"/>
            <rFont val="Segoe UI"/>
            <family val="2"/>
          </rPr>
          <t xml:space="preserve">
Dobrado após tampão</t>
        </r>
      </text>
    </comment>
    <comment ref="C32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Gabriel Custodio da Silva:</t>
        </r>
        <r>
          <rPr>
            <sz val="9"/>
            <color indexed="81"/>
            <rFont val="Segoe UI"/>
            <family val="2"/>
          </rPr>
          <t xml:space="preserve">
Dobrado até tampão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Osvaldo Martins Torquati</author>
    <author>Panasonic do Brasil LTDA</author>
  </authors>
  <commentList>
    <comment ref="E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Osvaldo Martins Torquati:</t>
        </r>
        <r>
          <rPr>
            <sz val="9"/>
            <color indexed="81"/>
            <rFont val="Segoe UI"/>
            <family val="2"/>
          </rPr>
          <t xml:space="preserve">
Eveready
</t>
        </r>
      </text>
    </comment>
    <comment ref="F15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Os limite determinados objetivo e o desvio padrão dos ultimos 6 meses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<sst xmlns="http://schemas.openxmlformats.org/spreadsheetml/2006/main" count="409" uniqueCount="340">
  <si>
    <t>Data do Acabamento</t>
  </si>
  <si>
    <t>Aging</t>
  </si>
  <si>
    <t>Qt. Produzida</t>
  </si>
  <si>
    <t>Qt. Testada</t>
  </si>
  <si>
    <t>Sem Papel Separador</t>
  </si>
  <si>
    <t>Papel Dobrado Sup.</t>
  </si>
  <si>
    <t>Papel Dobrado Meio</t>
  </si>
  <si>
    <t>Papel Dobrado Inf.</t>
  </si>
  <si>
    <t>Papel Afundado</t>
  </si>
  <si>
    <t>Papel Deslocado</t>
  </si>
  <si>
    <t>Sem Disco</t>
  </si>
  <si>
    <t>Isolador fora de centro</t>
  </si>
  <si>
    <t>Papel sujo</t>
  </si>
  <si>
    <t>Manchado</t>
  </si>
  <si>
    <t>Ferro</t>
  </si>
  <si>
    <t>Cobre</t>
  </si>
  <si>
    <t>Mistura no Tubo</t>
  </si>
  <si>
    <t>Pó de Mistura</t>
  </si>
  <si>
    <t>Bobina Baixa</t>
  </si>
  <si>
    <t>Bobina Alta</t>
  </si>
  <si>
    <t>Bobina Molhada</t>
  </si>
  <si>
    <t>Mistura seca</t>
  </si>
  <si>
    <t>Contem estranho</t>
  </si>
  <si>
    <t>Carvão Quebrado</t>
  </si>
  <si>
    <t>Sem Selante</t>
  </si>
  <si>
    <t>Curto Circuito Externo</t>
  </si>
  <si>
    <t>Total</t>
  </si>
  <si>
    <t>Taxa defeituosa (ppm)</t>
  </si>
  <si>
    <t>Defeitos de Amperagem</t>
  </si>
  <si>
    <t>Amperagem Ajustada</t>
  </si>
  <si>
    <t>Papel Separdor Duplo</t>
  </si>
  <si>
    <t>Pedra de Negro</t>
  </si>
  <si>
    <t>Pedra de Cl de Amônia</t>
  </si>
  <si>
    <t>Bobina Rachada</t>
  </si>
  <si>
    <t>Emenda de Papel</t>
  </si>
  <si>
    <t>Metade do Carvão</t>
  </si>
  <si>
    <t>Carvão Frouxo</t>
  </si>
  <si>
    <t>Tubo de Zinco Sujo</t>
  </si>
  <si>
    <t>Bottom Plate Amassado</t>
  </si>
  <si>
    <t>PVC Comprido</t>
  </si>
  <si>
    <t>Papel Separador Cortado</t>
  </si>
  <si>
    <t>Tubo de Zinco Amassado</t>
  </si>
  <si>
    <t>Turno: Dia</t>
  </si>
  <si>
    <t>TURNO</t>
  </si>
  <si>
    <t>Menu Principal</t>
  </si>
  <si>
    <t>TOTAL</t>
  </si>
  <si>
    <t>Tubo com Rebarba</t>
  </si>
  <si>
    <t>ppm</t>
  </si>
  <si>
    <t>DIA</t>
  </si>
  <si>
    <t>Modelo</t>
  </si>
  <si>
    <t>SH</t>
  </si>
  <si>
    <t>Nº Defeitos V/A</t>
  </si>
  <si>
    <t>Sub-Total</t>
  </si>
  <si>
    <t>NOITE</t>
  </si>
  <si>
    <t>Pcs</t>
  </si>
  <si>
    <t>Produzido</t>
  </si>
  <si>
    <t>Testado</t>
  </si>
  <si>
    <t>Defeitos</t>
  </si>
  <si>
    <t>PY Fora de Centro</t>
  </si>
  <si>
    <t>Disco Dobrado</t>
  </si>
  <si>
    <t>Disco Cortado</t>
  </si>
  <si>
    <t>Isolador afundado</t>
  </si>
  <si>
    <t>Pilha Boa</t>
  </si>
  <si>
    <t>Curto Circ. Externo -  recuperada</t>
  </si>
  <si>
    <t>PPM</t>
  </si>
  <si>
    <t>Limites de Alerta</t>
  </si>
  <si>
    <t>Disco fora de centro / deslocado</t>
  </si>
  <si>
    <t>Analisado (dia)</t>
  </si>
  <si>
    <t>Analisado (Noite)</t>
  </si>
  <si>
    <t>Total Analisado</t>
  </si>
  <si>
    <t>Isolador Inclinado</t>
  </si>
  <si>
    <t>Disco Rasgado</t>
  </si>
  <si>
    <t>Disco Furado</t>
  </si>
  <si>
    <t>CONF.</t>
  </si>
  <si>
    <t>PY Queimado</t>
  </si>
  <si>
    <t>Pedra de Óxido</t>
  </si>
  <si>
    <t>NHT</t>
  </si>
  <si>
    <t>Papel Separador Rasgado</t>
  </si>
  <si>
    <t>PY c/ Falha de Injeção</t>
  </si>
  <si>
    <t>Total de Falhas</t>
  </si>
  <si>
    <t>Total Analizado</t>
  </si>
  <si>
    <t>Fatores Internos</t>
  </si>
  <si>
    <t>Pelota de Manganês</t>
  </si>
  <si>
    <t>acima de 200 ppm</t>
  </si>
  <si>
    <t>101 a 200 ppm</t>
  </si>
  <si>
    <t>abaixo de 100 ppm</t>
  </si>
  <si>
    <t>Cod.</t>
  </si>
  <si>
    <t>Outros - Amperagem</t>
  </si>
  <si>
    <t>Outros - Voltagem</t>
  </si>
  <si>
    <t>Papel menor</t>
  </si>
  <si>
    <t>Cálculo</t>
  </si>
  <si>
    <t>Maior</t>
  </si>
  <si>
    <t>Correspondencia</t>
  </si>
  <si>
    <t>Tubo Rachado - Câmera</t>
  </si>
  <si>
    <r>
      <t xml:space="preserve">Tubo Rachado - </t>
    </r>
    <r>
      <rPr>
        <sz val="10"/>
        <color indexed="10"/>
        <rFont val="Arial"/>
        <family val="2"/>
      </rPr>
      <t>Operador</t>
    </r>
  </si>
  <si>
    <t>Pilha recuperada do Acabamento</t>
  </si>
  <si>
    <t>Instruções</t>
  </si>
  <si>
    <t>CTRL + SHIFT + p -&gt; PROTEGE TODAS AS PLANILHAS</t>
  </si>
  <si>
    <t>CTRL + u -&gt; DESPROTEGE TODAS AS PLANILHAS</t>
  </si>
  <si>
    <t>CTRL + SHIFT + r -&gt; APAGA DADOS DAS PLANILHAS (UTILIZE COM CUIDADO!)</t>
  </si>
  <si>
    <t>Manchado Superior</t>
  </si>
  <si>
    <t>Causa Desconhecida - Amperagem</t>
  </si>
  <si>
    <t>Causa Desconhecida - Voltagem</t>
  </si>
  <si>
    <t>No separator</t>
  </si>
  <si>
    <t>Sliced Separator Paper</t>
  </si>
  <si>
    <t>Ripped Separator Paper</t>
  </si>
  <si>
    <t>Folded Separator (Top)</t>
  </si>
  <si>
    <t>Folded Separator</t>
  </si>
  <si>
    <t>Folded Separator (Bottom)</t>
  </si>
  <si>
    <t xml:space="preserve">Separator pape go down </t>
  </si>
  <si>
    <t>Shifted Separator Paper</t>
  </si>
  <si>
    <t>Smaller Separator Paper</t>
  </si>
  <si>
    <t>No Bottom Insulator</t>
  </si>
  <si>
    <t>Sliced Bottom Insulator</t>
  </si>
  <si>
    <t>Ripped Bottom Insulator</t>
  </si>
  <si>
    <t>Drilled Bottom Insulator</t>
  </si>
  <si>
    <t>Folded Bottom Insulator</t>
  </si>
  <si>
    <t>Shifted Bottom Insulator</t>
  </si>
  <si>
    <t>Bottom Insulator off-center</t>
  </si>
  <si>
    <t>Bottom Insulator sunk</t>
  </si>
  <si>
    <t>Bottom Insulator inclined</t>
  </si>
  <si>
    <t>Dirty Separator Paper</t>
  </si>
  <si>
    <t>Mottled</t>
  </si>
  <si>
    <t>Mottled (top)</t>
  </si>
  <si>
    <t>Iron</t>
  </si>
  <si>
    <t>Copper</t>
  </si>
  <si>
    <t>Mix touch</t>
  </si>
  <si>
    <t>Stranger content</t>
  </si>
  <si>
    <t>Zinc Oxide</t>
  </si>
  <si>
    <t>Broken Cabon Rod</t>
  </si>
  <si>
    <t>No Sealant</t>
  </si>
  <si>
    <t>Injecton defect on PY</t>
  </si>
  <si>
    <t>PY off-center</t>
  </si>
  <si>
    <t>PY burned</t>
  </si>
  <si>
    <t>Zinc Can Dent</t>
  </si>
  <si>
    <t>Zinc Can Dent - Camera</t>
  </si>
  <si>
    <t>Zinc Can Dent - Restored</t>
  </si>
  <si>
    <t>Zinc Can Cracked - Operator</t>
  </si>
  <si>
    <t>Zinc Can Cracked</t>
  </si>
  <si>
    <t>Zinc Can Smashed</t>
  </si>
  <si>
    <t>Zinc Can with Burr</t>
  </si>
  <si>
    <t>Outer Short Circuit</t>
  </si>
  <si>
    <t>Outer Short Circuit - restored</t>
  </si>
  <si>
    <t>Restored Battery from Finishing</t>
  </si>
  <si>
    <t>Unknow Causes</t>
  </si>
  <si>
    <t>No defects</t>
  </si>
  <si>
    <t>Others - Voltage</t>
  </si>
  <si>
    <t>Double Separator Paper</t>
  </si>
  <si>
    <t>Acetylene Black</t>
  </si>
  <si>
    <t>Ammonium Chloride</t>
  </si>
  <si>
    <t>Manganese</t>
  </si>
  <si>
    <t>Lower Bobbin</t>
  </si>
  <si>
    <t>Cracked Bobbin</t>
  </si>
  <si>
    <t>Separator Paper Emendation</t>
  </si>
  <si>
    <t>Half Carbon Rod</t>
  </si>
  <si>
    <t>Dirty Zinc Can</t>
  </si>
  <si>
    <t>Dry Mix</t>
  </si>
  <si>
    <t>Bottom Plate Smashed</t>
  </si>
  <si>
    <t>Others - Amperage</t>
  </si>
  <si>
    <t>English</t>
  </si>
  <si>
    <t>Portuguese</t>
  </si>
  <si>
    <t>Qty of inner defects</t>
  </si>
  <si>
    <t>Inner Defect Ratio (ppm)</t>
  </si>
  <si>
    <t>Defect Ratio (ppm)</t>
  </si>
  <si>
    <t>Voltage (AVG)</t>
  </si>
  <si>
    <t>Voltage (Setup)</t>
  </si>
  <si>
    <t>Qty of batteries analyzed</t>
  </si>
  <si>
    <t>Overall Defect Ratio (ppm)</t>
  </si>
  <si>
    <t>Long PVC</t>
  </si>
  <si>
    <t>Incompact Carbon Rod</t>
  </si>
  <si>
    <t>Mix Powder</t>
  </si>
  <si>
    <t>High Bobbin</t>
  </si>
  <si>
    <t>Wet Bobbin</t>
  </si>
  <si>
    <t>Checked Qty (pcs)</t>
  </si>
  <si>
    <t>Defect Qty (pcs)</t>
  </si>
  <si>
    <t>Total (pcs)</t>
  </si>
  <si>
    <t>Assembly Date</t>
  </si>
  <si>
    <t>Finishing Date</t>
  </si>
  <si>
    <t>Data da Montagem</t>
  </si>
  <si>
    <t>Descanso:</t>
  </si>
  <si>
    <t>Production Qty (pcs)</t>
  </si>
  <si>
    <t>Qtd de Produção (pçs)</t>
  </si>
  <si>
    <t>Qtd. Retestada (pçs)</t>
  </si>
  <si>
    <t>Defeitos (Qty)</t>
  </si>
  <si>
    <t>Voltagem (Moda)</t>
  </si>
  <si>
    <t>Voltagem (ajustada)</t>
  </si>
  <si>
    <t>Qtd. Analisada (pçs)</t>
  </si>
  <si>
    <t>NMD - Supplier</t>
  </si>
  <si>
    <t>Lot.</t>
  </si>
  <si>
    <t>GCA - Acetylene Black - Supplier</t>
  </si>
  <si>
    <t>Qty</t>
  </si>
  <si>
    <t>Dados de Rastreabilidade da Mistura</t>
  </si>
  <si>
    <t>Inspeção</t>
  </si>
  <si>
    <t>Defeitos de Vlotagem</t>
  </si>
  <si>
    <t>Resultado</t>
  </si>
  <si>
    <t>Cód.</t>
  </si>
  <si>
    <t>GME - Fornecedor</t>
  </si>
  <si>
    <t>Nº Lote</t>
  </si>
  <si>
    <t>Qtd</t>
  </si>
  <si>
    <t>GCA - Fornecedor</t>
  </si>
  <si>
    <t>GZI - Supplier</t>
  </si>
  <si>
    <t>Total (pçs)</t>
  </si>
  <si>
    <t>Qtd. Defeitos internos (pçs)</t>
  </si>
  <si>
    <t>Defeitos Internos - Taxa defeituosa (ppm)</t>
  </si>
  <si>
    <t>Amperage (Avg)</t>
  </si>
  <si>
    <t>Amperage (Setup)</t>
  </si>
  <si>
    <t>Amperagem (Moda)</t>
  </si>
  <si>
    <t>Qtd Baterias analisadas (pçs)</t>
  </si>
  <si>
    <t>Qty Total (pcs)</t>
  </si>
  <si>
    <t>Taxa Defeituosa Total (ppm)</t>
  </si>
  <si>
    <t>Model</t>
  </si>
  <si>
    <t>EMD - Supplier</t>
  </si>
  <si>
    <t>Lot. Nº</t>
  </si>
  <si>
    <t>GMT - Fornecedor</t>
  </si>
  <si>
    <t>Lot Nº</t>
  </si>
  <si>
    <t>GZO - Fornecedor</t>
  </si>
  <si>
    <t>Solution nº 125 - Qty</t>
  </si>
  <si>
    <t>Solução nº 125 Qtd</t>
  </si>
  <si>
    <t>Carbon Rod - Supplier</t>
  </si>
  <si>
    <t>Carvão - Fornecedor</t>
  </si>
  <si>
    <t>No PY</t>
  </si>
  <si>
    <t>Sem PY</t>
  </si>
  <si>
    <t>Descrição\Mês\Turno</t>
  </si>
  <si>
    <t>Dia</t>
  </si>
  <si>
    <t>Taxa Defeituosa 1º Teste</t>
  </si>
  <si>
    <t>Defect Ratio 1st finishing test</t>
  </si>
  <si>
    <t>Qt</t>
  </si>
  <si>
    <t>Ac</t>
  </si>
  <si>
    <t>Ac (%)</t>
  </si>
  <si>
    <t>Descrição</t>
  </si>
  <si>
    <t>AS</t>
  </si>
  <si>
    <t>V</t>
  </si>
  <si>
    <t>A</t>
  </si>
  <si>
    <t>D+N</t>
  </si>
  <si>
    <t>Linguagem</t>
  </si>
  <si>
    <t>Inglês</t>
  </si>
  <si>
    <t>Português</t>
  </si>
  <si>
    <t>Problemas</t>
  </si>
  <si>
    <t>conta</t>
  </si>
  <si>
    <t>Lin_X</t>
  </si>
  <si>
    <t>Lin_Falhas_Y</t>
  </si>
  <si>
    <t>Lin_Problemas_Y</t>
  </si>
  <si>
    <t xml:space="preserve">    </t>
  </si>
  <si>
    <t>紙セパレータなし</t>
  </si>
  <si>
    <t>カット紙セパレーター</t>
  </si>
  <si>
    <t>引き裂かれたセパレータ紙</t>
  </si>
  <si>
    <t>折り畳まれた紙のスープ。</t>
  </si>
  <si>
    <t>二つ折り紙</t>
  </si>
  <si>
    <t>折り畳まれた紙</t>
  </si>
  <si>
    <t>沈んだ紙</t>
  </si>
  <si>
    <t>オフセット紙</t>
  </si>
  <si>
    <t>より小さな役割</t>
  </si>
  <si>
    <t>ディスクレス</t>
  </si>
  <si>
    <t>ディスクカット</t>
  </si>
  <si>
    <t>破れたディスク</t>
  </si>
  <si>
    <t>フラットディスク</t>
  </si>
  <si>
    <t>折り畳まれたディスク</t>
  </si>
  <si>
    <t>中心からずれたディスク/オフセット</t>
  </si>
  <si>
    <t>オフセンター絶縁体</t>
  </si>
  <si>
    <t>沈んだ絶縁体</t>
  </si>
  <si>
    <t>傾斜In子</t>
  </si>
  <si>
    <t>汚れた紙</t>
  </si>
  <si>
    <t>ステンド</t>
  </si>
  <si>
    <t>優れた斑点</t>
  </si>
  <si>
    <t>鉄</t>
  </si>
  <si>
    <t>銅</t>
  </si>
  <si>
    <t>チューブミックス</t>
  </si>
  <si>
    <t>混合粉</t>
  </si>
  <si>
    <t>低コイル</t>
  </si>
  <si>
    <t>ハイコイル</t>
  </si>
  <si>
    <t>ウェットコイル</t>
  </si>
  <si>
    <t>ドライミックス</t>
  </si>
  <si>
    <t>見知らぬ人が含まれています</t>
  </si>
  <si>
    <t>酸化物の石</t>
  </si>
  <si>
    <t>壊れた石炭</t>
  </si>
  <si>
    <t>シーラントなし</t>
  </si>
  <si>
    <t>PY w /インジェクション失敗</t>
  </si>
  <si>
    <t>PYなし</t>
  </si>
  <si>
    <t>中心から外れた</t>
  </si>
  <si>
    <t>PYバーント</t>
  </si>
  <si>
    <t>割れたパイプ-オペレーター</t>
  </si>
  <si>
    <t>割れたチューブ-カメラ</t>
  </si>
  <si>
    <t>しわ亜鉛管</t>
  </si>
  <si>
    <t>バリパイプ</t>
  </si>
  <si>
    <t>短絡外部回路</t>
  </si>
  <si>
    <t>ショートサークル。 外部-回復済み</t>
  </si>
  <si>
    <t>回収された仕上げスタック</t>
  </si>
  <si>
    <t>不明な原因-電圧</t>
  </si>
  <si>
    <t>良い山</t>
  </si>
  <si>
    <t>その他-電圧</t>
  </si>
  <si>
    <r>
      <t xml:space="preserve">Tubo com Boca Amassada - </t>
    </r>
    <r>
      <rPr>
        <sz val="10"/>
        <color indexed="10"/>
        <rFont val="Arial"/>
        <family val="2"/>
      </rPr>
      <t>Operador</t>
    </r>
  </si>
  <si>
    <t>Tubo com Boca Amassada - Câmera</t>
  </si>
  <si>
    <t>Tubo com Boca Amassada - recuperada</t>
  </si>
  <si>
    <t>しわ口チューブ-オペレーター</t>
  </si>
  <si>
    <t>くしゃくしゃの口管-カメラ</t>
  </si>
  <si>
    <t>しわ口チューブ-再生</t>
  </si>
  <si>
    <t>Japonês</t>
  </si>
  <si>
    <t>ダブルセパレーターペーパー</t>
  </si>
  <si>
    <t>黒人の石</t>
  </si>
  <si>
    <t>Clアンモニア石</t>
  </si>
  <si>
    <t>マンガンペレット</t>
  </si>
  <si>
    <t>割れたコイル</t>
  </si>
  <si>
    <t>紙の縫い目</t>
  </si>
  <si>
    <t>石炭の半分</t>
  </si>
  <si>
    <t>緩い石炭</t>
  </si>
  <si>
    <t>汚れた亜鉛管</t>
  </si>
  <si>
    <t>しわくちゃの底板</t>
  </si>
  <si>
    <t>長いPVC</t>
  </si>
  <si>
    <t>不明な原因-アンペア</t>
  </si>
  <si>
    <t>その他-アンペア数</t>
  </si>
  <si>
    <t>組立日</t>
  </si>
  <si>
    <t>終了日</t>
  </si>
  <si>
    <t>休憩：</t>
  </si>
  <si>
    <t>テンプレート</t>
  </si>
  <si>
    <t>生産数量（個）</t>
  </si>
  <si>
    <t>GME-サプライヤー</t>
  </si>
  <si>
    <t>ロット番号</t>
  </si>
  <si>
    <t>数量</t>
  </si>
  <si>
    <t>GMT-サプライヤー</t>
  </si>
  <si>
    <t>GCA-サプライヤー</t>
  </si>
  <si>
    <t>たくさん</t>
  </si>
  <si>
    <t>GZO-サプライヤー</t>
  </si>
  <si>
    <t>ソリューション＃125数量</t>
  </si>
  <si>
    <t>石炭-サプライヤー</t>
  </si>
  <si>
    <t>再テスト済み数量（個）</t>
  </si>
  <si>
    <t>欠陥（数量）</t>
  </si>
  <si>
    <t>電圧（ファッション）</t>
  </si>
  <si>
    <t>電圧（調整済み）</t>
  </si>
  <si>
    <t>分析された数量（個）</t>
  </si>
  <si>
    <t>合計（個）</t>
  </si>
  <si>
    <t>不良率1回目のテスト</t>
  </si>
  <si>
    <t>欠陥率（ppm）</t>
  </si>
  <si>
    <t>数量内部欠陥（個）</t>
  </si>
  <si>
    <t>内部欠陥-欠陥率（ppm）</t>
  </si>
  <si>
    <t>アンペア数（ファッション）</t>
  </si>
  <si>
    <t>調整されたアンペア数</t>
  </si>
  <si>
    <t>数量分析済みバッテリー（個）</t>
  </si>
  <si>
    <t>Qtd Voltagem</t>
  </si>
  <si>
    <t>Qtd Amperagem</t>
  </si>
  <si>
    <t>Selecione o turno ao lado e clique nas opções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</si>
</sst>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* #,##0.00_-;\-&quot;R$&quot;* #,##0.00_-;_-&quot;R$&quot;* &quot;-&quot;??_-;_-@_-"/>
    <numFmt numFmtId="165" formatCode="0.0"/>
    <numFmt numFmtId="166" formatCode="0.000"/>
    <numFmt numFmtId="167" formatCode="0.00_)"/>
    <numFmt numFmtId="168" formatCode="d/m"/>
    <numFmt numFmtId="169" formatCode="d/m;@"/>
    <numFmt numFmtId="170" formatCode="#,##0.000"/>
  </numFmts>
  <fonts count="24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43"/>
      <name val="Arial"/>
      <family val="2"/>
    </font>
    <font>
      <b/>
      <i/>
      <sz val="14"/>
      <color indexed="62"/>
      <name val="Arial"/>
      <family val="2"/>
    </font>
    <font>
      <sz val="10"/>
      <color indexed="44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name val="Arial"/>
      <family val="2"/>
    </font>
    <font>
      <sz val="8"/>
      <color rgb="FF000000"/>
      <name val="Tahoma"/>
      <family val="2"/>
    </font>
    <font>
      <sz val="10"/>
      <color rgb="FFFF0000"/>
      <name val="Arial"/>
      <family val="2"/>
    </font>
    <font>
      <sz val="7"/>
      <name val="Arial"/>
      <family val="2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4" fontId="19" fillId="0" borderId="0" applyFont="0" applyFill="0" applyBorder="0" applyAlignment="0" applyProtection="0"/>
    <xf numFmtId="167" fontId="4" fillId="0" borderId="0"/>
    <xf numFmtId="0" fontId="2" fillId="0" borderId="0"/>
    <xf numFmtId="0" fontId="3" fillId="0" borderId="0"/>
    <xf numFmtId="10" fontId="5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6" fillId="0" borderId="0"/>
  </cellStyleXfs>
  <cellXfs count="310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9" fillId="4" borderId="0" xfId="0" applyFont="1" applyFill="1"/>
    <xf numFmtId="0" fontId="5" fillId="4" borderId="0" xfId="0" applyFont="1" applyFill="1"/>
    <xf numFmtId="0" fontId="10" fillId="4" borderId="0" xfId="0" applyFont="1" applyFill="1"/>
    <xf numFmtId="0" fontId="7" fillId="4" borderId="0" xfId="0" applyFont="1" applyFill="1"/>
    <xf numFmtId="0" fontId="8" fillId="4" borderId="2" xfId="0" applyFont="1" applyFill="1" applyBorder="1"/>
    <xf numFmtId="0" fontId="8" fillId="4" borderId="3" xfId="0" applyFont="1" applyFill="1" applyBorder="1"/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/>
    <xf numFmtId="0" fontId="8" fillId="4" borderId="6" xfId="0" applyFont="1" applyFill="1" applyBorder="1"/>
    <xf numFmtId="0" fontId="8" fillId="4" borderId="7" xfId="0" applyFont="1" applyFill="1" applyBorder="1"/>
    <xf numFmtId="0" fontId="11" fillId="4" borderId="0" xfId="0" applyFont="1" applyFill="1"/>
    <xf numFmtId="0" fontId="0" fillId="0" borderId="8" xfId="0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/>
    <xf numFmtId="1" fontId="0" fillId="0" borderId="12" xfId="0" applyNumberFormat="1" applyBorder="1"/>
    <xf numFmtId="3" fontId="0" fillId="0" borderId="1" xfId="0" applyNumberFormat="1" applyBorder="1"/>
    <xf numFmtId="3" fontId="0" fillId="0" borderId="10" xfId="0" applyNumberFormat="1" applyBorder="1"/>
    <xf numFmtId="0" fontId="8" fillId="0" borderId="8" xfId="0" applyFont="1" applyBorder="1"/>
    <xf numFmtId="0" fontId="0" fillId="0" borderId="13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3" fontId="0" fillId="0" borderId="15" xfId="0" applyNumberFormat="1" applyBorder="1"/>
    <xf numFmtId="3" fontId="0" fillId="0" borderId="16" xfId="0" applyNumberFormat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3" fontId="0" fillId="0" borderId="12" xfId="0" applyNumberFormat="1" applyBorder="1"/>
    <xf numFmtId="0" fontId="0" fillId="0" borderId="20" xfId="0" applyBorder="1"/>
    <xf numFmtId="0" fontId="0" fillId="0" borderId="8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21" xfId="0" applyFont="1" applyBorder="1" applyAlignment="1">
      <alignment horizontal="center"/>
    </xf>
    <xf numFmtId="3" fontId="0" fillId="0" borderId="22" xfId="0" applyNumberFormat="1" applyBorder="1"/>
    <xf numFmtId="3" fontId="0" fillId="0" borderId="23" xfId="0" applyNumberFormat="1" applyBorder="1"/>
    <xf numFmtId="3" fontId="0" fillId="0" borderId="24" xfId="0" applyNumberFormat="1" applyBorder="1"/>
    <xf numFmtId="3" fontId="0" fillId="0" borderId="25" xfId="0" applyNumberFormat="1" applyBorder="1"/>
    <xf numFmtId="3" fontId="0" fillId="0" borderId="26" xfId="0" applyNumberFormat="1" applyBorder="1"/>
    <xf numFmtId="3" fontId="8" fillId="0" borderId="12" xfId="0" applyNumberFormat="1" applyFont="1" applyBorder="1"/>
    <xf numFmtId="0" fontId="0" fillId="0" borderId="27" xfId="0" applyBorder="1"/>
    <xf numFmtId="1" fontId="0" fillId="0" borderId="28" xfId="0" applyNumberFormat="1" applyBorder="1"/>
    <xf numFmtId="1" fontId="0" fillId="0" borderId="13" xfId="0" applyNumberFormat="1" applyBorder="1"/>
    <xf numFmtId="0" fontId="0" fillId="5" borderId="29" xfId="0" applyFill="1" applyBorder="1"/>
    <xf numFmtId="0" fontId="0" fillId="6" borderId="29" xfId="0" applyFill="1" applyBorder="1"/>
    <xf numFmtId="0" fontId="0" fillId="7" borderId="29" xfId="0" applyFill="1" applyBorder="1"/>
    <xf numFmtId="0" fontId="0" fillId="8" borderId="29" xfId="0" applyFill="1" applyBorder="1"/>
    <xf numFmtId="0" fontId="5" fillId="0" borderId="0" xfId="6" applyFont="1"/>
    <xf numFmtId="0" fontId="5" fillId="0" borderId="0" xfId="6" applyFont="1" applyAlignment="1">
      <alignment horizontal="center"/>
    </xf>
    <xf numFmtId="0" fontId="8" fillId="0" borderId="11" xfId="6" applyFont="1" applyBorder="1" applyAlignment="1">
      <alignment horizontal="center"/>
    </xf>
    <xf numFmtId="1" fontId="0" fillId="0" borderId="9" xfId="0" applyNumberFormat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31" xfId="0" applyFill="1" applyBorder="1"/>
    <xf numFmtId="0" fontId="0" fillId="4" borderId="7" xfId="0" applyFill="1" applyBorder="1"/>
    <xf numFmtId="0" fontId="15" fillId="9" borderId="32" xfId="0" applyFont="1" applyFill="1" applyBorder="1"/>
    <xf numFmtId="0" fontId="15" fillId="9" borderId="33" xfId="0" applyFont="1" applyFill="1" applyBorder="1"/>
    <xf numFmtId="0" fontId="16" fillId="9" borderId="33" xfId="0" applyFont="1" applyFill="1" applyBorder="1"/>
    <xf numFmtId="0" fontId="16" fillId="9" borderId="34" xfId="0" applyFont="1" applyFill="1" applyBorder="1"/>
    <xf numFmtId="0" fontId="8" fillId="0" borderId="0" xfId="6" applyFont="1" applyAlignment="1">
      <alignment vertical="center"/>
    </xf>
    <xf numFmtId="3" fontId="0" fillId="0" borderId="35" xfId="0" applyNumberFormat="1" applyBorder="1"/>
    <xf numFmtId="3" fontId="0" fillId="0" borderId="36" xfId="0" applyNumberFormat="1" applyBorder="1"/>
    <xf numFmtId="3" fontId="0" fillId="0" borderId="37" xfId="0" applyNumberFormat="1" applyBorder="1"/>
    <xf numFmtId="0" fontId="0" fillId="0" borderId="38" xfId="0" applyBorder="1"/>
    <xf numFmtId="3" fontId="0" fillId="0" borderId="39" xfId="0" applyNumberFormat="1" applyBorder="1"/>
    <xf numFmtId="3" fontId="0" fillId="0" borderId="40" xfId="0" applyNumberFormat="1" applyBorder="1"/>
    <xf numFmtId="3" fontId="0" fillId="0" borderId="41" xfId="0" applyNumberFormat="1" applyBorder="1"/>
    <xf numFmtId="3" fontId="0" fillId="0" borderId="42" xfId="0" applyNumberFormat="1" applyBorder="1"/>
    <xf numFmtId="3" fontId="0" fillId="0" borderId="11" xfId="0" applyNumberFormat="1" applyBorder="1"/>
    <xf numFmtId="3" fontId="0" fillId="0" borderId="27" xfId="0" applyNumberFormat="1" applyBorder="1"/>
    <xf numFmtId="0" fontId="0" fillId="0" borderId="43" xfId="0" applyBorder="1"/>
    <xf numFmtId="3" fontId="0" fillId="0" borderId="44" xfId="0" applyNumberFormat="1" applyBorder="1"/>
    <xf numFmtId="0" fontId="0" fillId="0" borderId="45" xfId="0" applyBorder="1"/>
    <xf numFmtId="3" fontId="0" fillId="0" borderId="8" xfId="0" applyNumberFormat="1" applyBorder="1"/>
    <xf numFmtId="3" fontId="0" fillId="0" borderId="14" xfId="0" applyNumberFormat="1" applyBorder="1"/>
    <xf numFmtId="3" fontId="0" fillId="0" borderId="9" xfId="0" applyNumberFormat="1" applyBorder="1"/>
    <xf numFmtId="3" fontId="0" fillId="0" borderId="46" xfId="0" applyNumberFormat="1" applyBorder="1"/>
    <xf numFmtId="0" fontId="2" fillId="0" borderId="1" xfId="6" applyFont="1" applyBorder="1"/>
    <xf numFmtId="0" fontId="2" fillId="0" borderId="9" xfId="6" applyFont="1" applyBorder="1"/>
    <xf numFmtId="0" fontId="8" fillId="0" borderId="1" xfId="6" applyFont="1" applyBorder="1"/>
    <xf numFmtId="0" fontId="8" fillId="0" borderId="8" xfId="6" applyFont="1" applyBorder="1"/>
    <xf numFmtId="0" fontId="8" fillId="0" borderId="9" xfId="6" applyFont="1" applyBorder="1"/>
    <xf numFmtId="0" fontId="8" fillId="0" borderId="42" xfId="6" applyFont="1" applyBorder="1" applyAlignment="1">
      <alignment horizontal="center"/>
    </xf>
    <xf numFmtId="0" fontId="2" fillId="0" borderId="17" xfId="6" applyFont="1" applyBorder="1"/>
    <xf numFmtId="0" fontId="8" fillId="0" borderId="27" xfId="6" applyFont="1" applyBorder="1" applyAlignment="1">
      <alignment horizontal="center"/>
    </xf>
    <xf numFmtId="0" fontId="2" fillId="0" borderId="12" xfId="6" applyFont="1" applyBorder="1"/>
    <xf numFmtId="0" fontId="2" fillId="0" borderId="8" xfId="6" applyFont="1" applyBorder="1"/>
    <xf numFmtId="0" fontId="2" fillId="0" borderId="28" xfId="6" applyFont="1" applyBorder="1"/>
    <xf numFmtId="0" fontId="8" fillId="0" borderId="17" xfId="6" applyFont="1" applyBorder="1"/>
    <xf numFmtId="0" fontId="8" fillId="0" borderId="12" xfId="6" applyFont="1" applyBorder="1"/>
    <xf numFmtId="0" fontId="8" fillId="0" borderId="28" xfId="6" quotePrefix="1" applyFont="1" applyBorder="1" applyAlignment="1">
      <alignment horizontal="left"/>
    </xf>
    <xf numFmtId="0" fontId="8" fillId="0" borderId="8" xfId="6" quotePrefix="1" applyFont="1" applyBorder="1" applyAlignment="1">
      <alignment horizontal="left"/>
    </xf>
    <xf numFmtId="0" fontId="8" fillId="0" borderId="1" xfId="6" quotePrefix="1" applyFont="1" applyBorder="1" applyAlignment="1">
      <alignment horizontal="left"/>
    </xf>
    <xf numFmtId="0" fontId="8" fillId="0" borderId="28" xfId="6" applyFont="1" applyBorder="1"/>
    <xf numFmtId="0" fontId="8" fillId="0" borderId="17" xfId="6" quotePrefix="1" applyFont="1" applyBorder="1" applyAlignment="1">
      <alignment horizontal="left"/>
    </xf>
    <xf numFmtId="0" fontId="8" fillId="0" borderId="12" xfId="6" quotePrefix="1" applyFont="1" applyBorder="1" applyAlignment="1">
      <alignment horizontal="left"/>
    </xf>
    <xf numFmtId="0" fontId="8" fillId="0" borderId="47" xfId="6" applyFont="1" applyBorder="1"/>
    <xf numFmtId="0" fontId="8" fillId="0" borderId="10" xfId="6" applyFont="1" applyBorder="1"/>
    <xf numFmtId="0" fontId="8" fillId="0" borderId="48" xfId="6" applyFont="1" applyBorder="1"/>
    <xf numFmtId="0" fontId="8" fillId="0" borderId="49" xfId="6" applyFont="1" applyBorder="1"/>
    <xf numFmtId="0" fontId="8" fillId="0" borderId="50" xfId="6" applyFont="1" applyBorder="1"/>
    <xf numFmtId="0" fontId="8" fillId="0" borderId="51" xfId="6" applyFont="1" applyBorder="1"/>
    <xf numFmtId="0" fontId="8" fillId="0" borderId="40" xfId="6" applyFont="1" applyBorder="1" applyAlignment="1">
      <alignment horizontal="center"/>
    </xf>
    <xf numFmtId="0" fontId="8" fillId="0" borderId="41" xfId="6" applyFont="1" applyBorder="1" applyAlignment="1">
      <alignment horizontal="center"/>
    </xf>
    <xf numFmtId="0" fontId="2" fillId="0" borderId="0" xfId="5"/>
    <xf numFmtId="0" fontId="8" fillId="0" borderId="0" xfId="5" applyFont="1" applyAlignment="1">
      <alignment horizontal="left"/>
    </xf>
    <xf numFmtId="0" fontId="8" fillId="10" borderId="52" xfId="5" applyFont="1" applyFill="1" applyBorder="1" applyAlignment="1">
      <alignment horizontal="center"/>
    </xf>
    <xf numFmtId="0" fontId="8" fillId="10" borderId="53" xfId="5" applyFont="1" applyFill="1" applyBorder="1"/>
    <xf numFmtId="0" fontId="8" fillId="10" borderId="54" xfId="5" applyFont="1" applyFill="1" applyBorder="1"/>
    <xf numFmtId="0" fontId="8" fillId="0" borderId="55" xfId="6" applyFont="1" applyBorder="1" applyAlignment="1">
      <alignment horizontal="center"/>
    </xf>
    <xf numFmtId="0" fontId="2" fillId="0" borderId="1" xfId="6" quotePrefix="1" applyFont="1" applyBorder="1" applyAlignment="1">
      <alignment horizontal="left"/>
    </xf>
    <xf numFmtId="0" fontId="2" fillId="0" borderId="12" xfId="6" quotePrefix="1" applyFont="1" applyBorder="1" applyAlignment="1">
      <alignment horizontal="left"/>
    </xf>
    <xf numFmtId="0" fontId="8" fillId="0" borderId="56" xfId="6" applyFont="1" applyBorder="1" applyAlignment="1">
      <alignment horizontal="center"/>
    </xf>
    <xf numFmtId="0" fontId="2" fillId="0" borderId="1" xfId="5" applyBorder="1"/>
    <xf numFmtId="0" fontId="8" fillId="0" borderId="28" xfId="5" applyFont="1" applyBorder="1"/>
    <xf numFmtId="0" fontId="8" fillId="0" borderId="0" xfId="5" applyFont="1" applyAlignment="1">
      <alignment horizontal="center"/>
    </xf>
    <xf numFmtId="0" fontId="8" fillId="0" borderId="1" xfId="6" applyFont="1" applyBorder="1" applyAlignment="1">
      <alignment vertical="center"/>
    </xf>
    <xf numFmtId="0" fontId="8" fillId="0" borderId="8" xfId="6" applyFont="1" applyBorder="1" applyAlignment="1">
      <alignment vertical="center"/>
    </xf>
    <xf numFmtId="0" fontId="8" fillId="0" borderId="9" xfId="6" applyFont="1" applyBorder="1" applyAlignment="1">
      <alignment vertical="center"/>
    </xf>
    <xf numFmtId="0" fontId="2" fillId="0" borderId="11" xfId="6" applyFont="1" applyBorder="1" applyAlignment="1" applyProtection="1">
      <alignment horizontal="center"/>
      <protection locked="0"/>
    </xf>
    <xf numFmtId="0" fontId="2" fillId="0" borderId="40" xfId="6" applyFont="1" applyBorder="1" applyAlignment="1" applyProtection="1">
      <alignment horizontal="center"/>
      <protection locked="0"/>
    </xf>
    <xf numFmtId="0" fontId="2" fillId="0" borderId="40" xfId="8" applyNumberFormat="1" applyFont="1" applyBorder="1" applyAlignment="1" applyProtection="1">
      <alignment horizontal="center"/>
      <protection locked="0"/>
    </xf>
    <xf numFmtId="0" fontId="2" fillId="0" borderId="42" xfId="6" applyFont="1" applyBorder="1" applyAlignment="1" applyProtection="1">
      <alignment horizontal="center"/>
      <protection locked="0"/>
    </xf>
    <xf numFmtId="0" fontId="2" fillId="0" borderId="62" xfId="6" applyFont="1" applyBorder="1" applyAlignment="1" applyProtection="1">
      <alignment horizontal="center"/>
      <protection locked="0"/>
    </xf>
    <xf numFmtId="0" fontId="2" fillId="0" borderId="27" xfId="6" applyFont="1" applyBorder="1" applyAlignment="1" applyProtection="1">
      <alignment horizontal="center"/>
      <protection locked="0"/>
    </xf>
    <xf numFmtId="0" fontId="2" fillId="0" borderId="55" xfId="6" applyFont="1" applyBorder="1" applyAlignment="1" applyProtection="1">
      <alignment horizontal="center"/>
      <protection locked="0"/>
    </xf>
    <xf numFmtId="0" fontId="5" fillId="0" borderId="1" xfId="6" applyFont="1" applyBorder="1"/>
    <xf numFmtId="168" fontId="5" fillId="0" borderId="1" xfId="6" applyNumberFormat="1" applyFont="1" applyBorder="1" applyAlignment="1">
      <alignment horizontal="center"/>
    </xf>
    <xf numFmtId="165" fontId="5" fillId="0" borderId="1" xfId="6" applyNumberFormat="1" applyFont="1" applyBorder="1" applyAlignment="1">
      <alignment horizontal="center"/>
    </xf>
    <xf numFmtId="0" fontId="5" fillId="0" borderId="1" xfId="6" applyFont="1" applyBorder="1" applyAlignment="1">
      <alignment horizontal="center"/>
    </xf>
    <xf numFmtId="38" fontId="5" fillId="0" borderId="1" xfId="6" applyNumberFormat="1" applyFont="1" applyBorder="1" applyAlignment="1">
      <alignment horizontal="center"/>
    </xf>
    <xf numFmtId="166" fontId="5" fillId="0" borderId="1" xfId="6" applyNumberFormat="1" applyFont="1" applyBorder="1" applyAlignment="1">
      <alignment horizontal="center"/>
    </xf>
    <xf numFmtId="0" fontId="5" fillId="0" borderId="42" xfId="6" applyFont="1" applyBorder="1"/>
    <xf numFmtId="168" fontId="5" fillId="0" borderId="8" xfId="6" applyNumberFormat="1" applyFont="1" applyBorder="1" applyAlignment="1">
      <alignment horizontal="center"/>
    </xf>
    <xf numFmtId="0" fontId="5" fillId="0" borderId="8" xfId="6" applyFont="1" applyBorder="1"/>
    <xf numFmtId="0" fontId="5" fillId="0" borderId="17" xfId="6" applyFont="1" applyBorder="1"/>
    <xf numFmtId="0" fontId="5" fillId="0" borderId="11" xfId="6" applyFont="1" applyBorder="1"/>
    <xf numFmtId="0" fontId="5" fillId="0" borderId="12" xfId="6" applyFont="1" applyBorder="1"/>
    <xf numFmtId="0" fontId="8" fillId="0" borderId="11" xfId="6" applyFont="1" applyBorder="1" applyAlignment="1">
      <alignment horizontal="center" vertical="center" textRotation="90"/>
    </xf>
    <xf numFmtId="0" fontId="8" fillId="0" borderId="27" xfId="6" applyFont="1" applyBorder="1" applyAlignment="1">
      <alignment horizontal="center" vertical="center" textRotation="90"/>
    </xf>
    <xf numFmtId="0" fontId="5" fillId="0" borderId="9" xfId="6" applyFont="1" applyBorder="1" applyAlignment="1">
      <alignment horizontal="center"/>
    </xf>
    <xf numFmtId="0" fontId="5" fillId="0" borderId="9" xfId="6" applyFont="1" applyBorder="1"/>
    <xf numFmtId="0" fontId="5" fillId="0" borderId="28" xfId="6" applyFont="1" applyBorder="1"/>
    <xf numFmtId="0" fontId="8" fillId="0" borderId="0" xfId="6" applyFont="1" applyAlignment="1">
      <alignment vertical="center" textRotation="90"/>
    </xf>
    <xf numFmtId="0" fontId="8" fillId="0" borderId="42" xfId="6" applyFont="1" applyBorder="1" applyAlignment="1">
      <alignment horizontal="center" vertical="center"/>
    </xf>
    <xf numFmtId="0" fontId="5" fillId="0" borderId="8" xfId="6" applyFont="1" applyBorder="1" applyAlignment="1">
      <alignment horizontal="center"/>
    </xf>
    <xf numFmtId="0" fontId="8" fillId="0" borderId="11" xfId="6" applyFont="1" applyBorder="1" applyAlignment="1">
      <alignment horizontal="center" vertical="center"/>
    </xf>
    <xf numFmtId="0" fontId="8" fillId="0" borderId="27" xfId="6" applyFont="1" applyBorder="1" applyAlignment="1">
      <alignment horizontal="center" vertical="center"/>
    </xf>
    <xf numFmtId="1" fontId="5" fillId="0" borderId="9" xfId="6" applyNumberFormat="1" applyFont="1" applyBorder="1" applyAlignment="1">
      <alignment horizontal="center"/>
    </xf>
    <xf numFmtId="0" fontId="2" fillId="0" borderId="40" xfId="6" applyFont="1" applyBorder="1" applyAlignment="1" applyProtection="1">
      <alignment horizontal="center" shrinkToFit="1"/>
      <protection locked="0"/>
    </xf>
    <xf numFmtId="0" fontId="2" fillId="0" borderId="40" xfId="8" applyNumberFormat="1" applyFont="1" applyBorder="1" applyAlignment="1" applyProtection="1">
      <alignment horizontal="center" shrinkToFit="1"/>
      <protection locked="0"/>
    </xf>
    <xf numFmtId="0" fontId="8" fillId="0" borderId="23" xfId="6" applyFont="1" applyBorder="1" applyAlignment="1">
      <alignment vertical="center"/>
    </xf>
    <xf numFmtId="0" fontId="2" fillId="0" borderId="23" xfId="6" applyFont="1" applyBorder="1"/>
    <xf numFmtId="0" fontId="5" fillId="0" borderId="65" xfId="6" applyFont="1" applyBorder="1" applyAlignment="1">
      <alignment horizontal="center"/>
    </xf>
    <xf numFmtId="0" fontId="5" fillId="0" borderId="12" xfId="6" applyFont="1" applyBorder="1" applyAlignment="1">
      <alignment horizontal="center"/>
    </xf>
    <xf numFmtId="0" fontId="5" fillId="0" borderId="28" xfId="6" applyFont="1" applyBorder="1" applyAlignment="1">
      <alignment horizontal="center"/>
    </xf>
    <xf numFmtId="0" fontId="5" fillId="0" borderId="0" xfId="6" applyFont="1" applyAlignment="1">
      <alignment horizontal="left"/>
    </xf>
    <xf numFmtId="0" fontId="2" fillId="0" borderId="66" xfId="6" applyFont="1" applyBorder="1" applyAlignment="1">
      <alignment horizontal="left" vertical="center"/>
    </xf>
    <xf numFmtId="0" fontId="2" fillId="0" borderId="11" xfId="6" applyFont="1" applyBorder="1" applyAlignment="1">
      <alignment horizontal="left" vertical="center"/>
    </xf>
    <xf numFmtId="0" fontId="2" fillId="0" borderId="27" xfId="6" applyFont="1" applyBorder="1" applyAlignment="1">
      <alignment horizontal="left" vertical="center"/>
    </xf>
    <xf numFmtId="0" fontId="8" fillId="0" borderId="67" xfId="6" applyFont="1" applyBorder="1" applyAlignment="1">
      <alignment horizontal="center"/>
    </xf>
    <xf numFmtId="0" fontId="8" fillId="0" borderId="25" xfId="6" applyFont="1" applyBorder="1" applyAlignment="1">
      <alignment horizontal="center"/>
    </xf>
    <xf numFmtId="0" fontId="8" fillId="0" borderId="68" xfId="6" applyFont="1" applyBorder="1" applyAlignment="1">
      <alignment horizontal="center"/>
    </xf>
    <xf numFmtId="165" fontId="5" fillId="0" borderId="23" xfId="6" applyNumberFormat="1" applyFont="1" applyBorder="1" applyAlignment="1">
      <alignment horizontal="center"/>
    </xf>
    <xf numFmtId="165" fontId="5" fillId="0" borderId="9" xfId="6" applyNumberFormat="1" applyFont="1" applyBorder="1" applyAlignment="1">
      <alignment horizontal="center"/>
    </xf>
    <xf numFmtId="169" fontId="2" fillId="0" borderId="69" xfId="6" applyNumberFormat="1" applyFont="1" applyBorder="1" applyAlignment="1" applyProtection="1">
      <alignment horizontal="center"/>
      <protection locked="0"/>
    </xf>
    <xf numFmtId="169" fontId="2" fillId="0" borderId="30" xfId="6" applyNumberFormat="1" applyFont="1" applyBorder="1" applyAlignment="1" applyProtection="1">
      <alignment horizontal="center"/>
      <protection locked="0"/>
    </xf>
    <xf numFmtId="170" fontId="2" fillId="0" borderId="11" xfId="6" applyNumberFormat="1" applyFont="1" applyBorder="1" applyAlignment="1" applyProtection="1">
      <alignment horizontal="center"/>
      <protection locked="0"/>
    </xf>
    <xf numFmtId="0" fontId="2" fillId="0" borderId="12" xfId="6" quotePrefix="1" applyFont="1" applyBorder="1" applyAlignment="1">
      <alignment horizontal="center"/>
    </xf>
    <xf numFmtId="3" fontId="2" fillId="0" borderId="70" xfId="6" applyNumberFormat="1" applyFont="1" applyBorder="1" applyAlignment="1" applyProtection="1">
      <alignment horizontal="center"/>
      <protection locked="0"/>
    </xf>
    <xf numFmtId="0" fontId="2" fillId="0" borderId="56" xfId="6" applyFont="1" applyBorder="1" applyAlignment="1" applyProtection="1">
      <alignment horizontal="center"/>
      <protection locked="0"/>
    </xf>
    <xf numFmtId="0" fontId="2" fillId="0" borderId="41" xfId="6" applyFont="1" applyBorder="1" applyAlignment="1" applyProtection="1">
      <alignment horizontal="center"/>
      <protection locked="0"/>
    </xf>
    <xf numFmtId="165" fontId="2" fillId="0" borderId="42" xfId="6" applyNumberFormat="1" applyFont="1" applyBorder="1" applyAlignment="1" applyProtection="1">
      <alignment horizontal="center"/>
      <protection locked="0"/>
    </xf>
    <xf numFmtId="0" fontId="2" fillId="11" borderId="40" xfId="6" applyFont="1" applyFill="1" applyBorder="1" applyAlignment="1" applyProtection="1">
      <alignment horizontal="center"/>
      <protection locked="0"/>
    </xf>
    <xf numFmtId="0" fontId="2" fillId="0" borderId="40" xfId="6" applyFont="1" applyBorder="1" applyAlignment="1" applyProtection="1">
      <alignment horizontal="center" wrapText="1"/>
      <protection locked="0"/>
    </xf>
    <xf numFmtId="0" fontId="2" fillId="0" borderId="56" xfId="6" applyFont="1" applyBorder="1" applyAlignment="1" applyProtection="1">
      <alignment horizontal="center" wrapText="1"/>
      <protection locked="0"/>
    </xf>
    <xf numFmtId="0" fontId="2" fillId="0" borderId="11" xfId="0" applyFont="1" applyBorder="1"/>
    <xf numFmtId="0" fontId="2" fillId="0" borderId="55" xfId="0" applyFont="1" applyBorder="1"/>
    <xf numFmtId="3" fontId="8" fillId="0" borderId="48" xfId="0" applyNumberFormat="1" applyFont="1" applyBorder="1"/>
    <xf numFmtId="0" fontId="2" fillId="0" borderId="1" xfId="0" applyFont="1" applyBorder="1"/>
    <xf numFmtId="0" fontId="2" fillId="0" borderId="10" xfId="0" applyFont="1" applyBorder="1"/>
    <xf numFmtId="1" fontId="5" fillId="0" borderId="1" xfId="6" applyNumberFormat="1" applyFont="1" applyBorder="1"/>
    <xf numFmtId="0" fontId="2" fillId="0" borderId="0" xfId="6" applyFont="1"/>
    <xf numFmtId="165" fontId="5" fillId="0" borderId="0" xfId="6" applyNumberFormat="1" applyFont="1"/>
    <xf numFmtId="0" fontId="2" fillId="0" borderId="0" xfId="0" applyFont="1"/>
    <xf numFmtId="0" fontId="21" fillId="4" borderId="0" xfId="0" applyFont="1" applyFill="1"/>
    <xf numFmtId="0" fontId="5" fillId="0" borderId="0" xfId="6" applyFont="1" applyProtection="1"/>
    <xf numFmtId="168" fontId="5" fillId="0" borderId="0" xfId="6" applyNumberFormat="1" applyFont="1" applyProtection="1"/>
    <xf numFmtId="0" fontId="2" fillId="0" borderId="0" xfId="6" applyFont="1" applyAlignment="1" applyProtection="1">
      <alignment horizontal="center"/>
    </xf>
    <xf numFmtId="0" fontId="2" fillId="0" borderId="2" xfId="6" applyFont="1" applyBorder="1" applyProtection="1"/>
    <xf numFmtId="0" fontId="2" fillId="0" borderId="2" xfId="6" quotePrefix="1" applyFont="1" applyBorder="1" applyAlignment="1" applyProtection="1">
      <alignment horizontal="left"/>
    </xf>
    <xf numFmtId="17" fontId="2" fillId="0" borderId="71" xfId="6" quotePrefix="1" applyNumberFormat="1" applyFont="1" applyBorder="1" applyAlignment="1" applyProtection="1">
      <alignment horizontal="centerContinuous"/>
    </xf>
    <xf numFmtId="17" fontId="2" fillId="0" borderId="71" xfId="6" applyNumberFormat="1" applyFont="1" applyBorder="1" applyAlignment="1" applyProtection="1">
      <alignment horizontal="centerContinuous"/>
    </xf>
    <xf numFmtId="17" fontId="2" fillId="0" borderId="71" xfId="6" applyNumberFormat="1" applyFont="1" applyBorder="1" applyAlignment="1" applyProtection="1">
      <alignment horizontal="center"/>
    </xf>
    <xf numFmtId="168" fontId="2" fillId="0" borderId="3" xfId="6" applyNumberFormat="1" applyFont="1" applyBorder="1" applyAlignment="1" applyProtection="1">
      <alignment horizontal="center"/>
    </xf>
    <xf numFmtId="0" fontId="8" fillId="0" borderId="21" xfId="6" applyFont="1" applyBorder="1" applyAlignment="1" applyProtection="1">
      <alignment vertical="center"/>
    </xf>
    <xf numFmtId="0" fontId="2" fillId="0" borderId="39" xfId="6" applyFont="1" applyBorder="1" applyProtection="1"/>
    <xf numFmtId="168" fontId="2" fillId="0" borderId="39" xfId="6" applyNumberFormat="1" applyFont="1" applyBorder="1" applyAlignment="1" applyProtection="1">
      <alignment horizontal="center"/>
    </xf>
    <xf numFmtId="0" fontId="8" fillId="0" borderId="22" xfId="6" applyFont="1" applyBorder="1" applyAlignment="1" applyProtection="1">
      <alignment vertical="center"/>
    </xf>
    <xf numFmtId="0" fontId="2" fillId="0" borderId="40" xfId="6" applyFont="1" applyBorder="1" applyProtection="1"/>
    <xf numFmtId="168" fontId="5" fillId="0" borderId="40" xfId="6" applyNumberFormat="1" applyFont="1" applyBorder="1" applyAlignment="1" applyProtection="1">
      <alignment horizontal="center"/>
    </xf>
    <xf numFmtId="0" fontId="2" fillId="0" borderId="40" xfId="6" applyFont="1" applyBorder="1" applyAlignment="1" applyProtection="1">
      <alignment horizontal="center"/>
    </xf>
    <xf numFmtId="0" fontId="8" fillId="0" borderId="72" xfId="6" applyFont="1" applyBorder="1" applyAlignment="1" applyProtection="1">
      <alignment vertical="center"/>
    </xf>
    <xf numFmtId="0" fontId="2" fillId="0" borderId="41" xfId="6" applyFont="1" applyBorder="1" applyProtection="1"/>
    <xf numFmtId="3" fontId="5" fillId="0" borderId="41" xfId="6" applyNumberFormat="1" applyFont="1" applyBorder="1" applyAlignment="1" applyProtection="1">
      <alignment horizontal="center"/>
    </xf>
    <xf numFmtId="0" fontId="8" fillId="0" borderId="57" xfId="6" applyFont="1" applyBorder="1" applyAlignment="1" applyProtection="1">
      <alignment vertical="center"/>
    </xf>
    <xf numFmtId="0" fontId="2" fillId="0" borderId="64" xfId="6" applyFont="1" applyBorder="1" applyProtection="1"/>
    <xf numFmtId="165" fontId="5" fillId="0" borderId="56" xfId="6" applyNumberFormat="1" applyFont="1" applyBorder="1" applyAlignment="1" applyProtection="1">
      <alignment horizontal="center"/>
    </xf>
    <xf numFmtId="0" fontId="8" fillId="0" borderId="1" xfId="6" applyFont="1" applyBorder="1" applyAlignment="1" applyProtection="1">
      <alignment vertical="center"/>
    </xf>
    <xf numFmtId="0" fontId="2" fillId="0" borderId="15" xfId="6" applyFont="1" applyBorder="1" applyProtection="1"/>
    <xf numFmtId="165" fontId="5" fillId="0" borderId="40" xfId="6" applyNumberFormat="1" applyFont="1" applyBorder="1" applyAlignment="1" applyProtection="1">
      <alignment horizontal="center"/>
    </xf>
    <xf numFmtId="0" fontId="5" fillId="0" borderId="40" xfId="6" applyFont="1" applyBorder="1" applyAlignment="1" applyProtection="1">
      <alignment horizontal="center"/>
    </xf>
    <xf numFmtId="38" fontId="5" fillId="0" borderId="40" xfId="6" applyNumberFormat="1" applyFont="1" applyBorder="1" applyAlignment="1" applyProtection="1">
      <alignment horizontal="center"/>
    </xf>
    <xf numFmtId="166" fontId="5" fillId="0" borderId="40" xfId="6" applyNumberFormat="1" applyFont="1" applyBorder="1" applyAlignment="1" applyProtection="1">
      <alignment horizontal="center"/>
    </xf>
    <xf numFmtId="0" fontId="8" fillId="0" borderId="9" xfId="6" applyFont="1" applyBorder="1" applyAlignment="1" applyProtection="1">
      <alignment vertical="center"/>
    </xf>
    <xf numFmtId="0" fontId="2" fillId="0" borderId="46" xfId="6" applyFont="1" applyBorder="1" applyProtection="1"/>
    <xf numFmtId="0" fontId="2" fillId="0" borderId="41" xfId="6" applyFont="1" applyBorder="1" applyAlignment="1" applyProtection="1">
      <alignment horizontal="center"/>
    </xf>
    <xf numFmtId="166" fontId="5" fillId="0" borderId="41" xfId="6" applyNumberFormat="1" applyFont="1" applyBorder="1" applyAlignment="1" applyProtection="1">
      <alignment horizontal="center"/>
    </xf>
    <xf numFmtId="0" fontId="8" fillId="0" borderId="8" xfId="6" applyFont="1" applyBorder="1" applyAlignment="1" applyProtection="1">
      <alignment vertical="center"/>
    </xf>
    <xf numFmtId="0" fontId="2" fillId="0" borderId="58" xfId="6" applyFont="1" applyBorder="1" applyProtection="1"/>
    <xf numFmtId="0" fontId="5" fillId="0" borderId="39" xfId="6" applyFont="1" applyBorder="1" applyAlignment="1" applyProtection="1">
      <alignment horizontal="center"/>
    </xf>
    <xf numFmtId="0" fontId="2" fillId="0" borderId="59" xfId="6" applyFont="1" applyBorder="1" applyProtection="1"/>
    <xf numFmtId="0" fontId="5" fillId="0" borderId="56" xfId="6" applyFont="1" applyBorder="1" applyAlignment="1" applyProtection="1">
      <alignment horizontal="center"/>
    </xf>
    <xf numFmtId="165" fontId="5" fillId="0" borderId="0" xfId="6" applyNumberFormat="1" applyFont="1" applyProtection="1"/>
    <xf numFmtId="0" fontId="2" fillId="0" borderId="22" xfId="6" applyFont="1" applyBorder="1" applyAlignment="1" applyProtection="1">
      <alignment horizontal="center"/>
    </xf>
    <xf numFmtId="166" fontId="2" fillId="0" borderId="22" xfId="6" applyNumberFormat="1" applyFont="1" applyBorder="1" applyAlignment="1" applyProtection="1">
      <alignment horizontal="center"/>
    </xf>
    <xf numFmtId="0" fontId="2" fillId="0" borderId="60" xfId="6" applyFont="1" applyBorder="1" applyProtection="1"/>
    <xf numFmtId="0" fontId="5" fillId="0" borderId="41" xfId="6" applyFont="1" applyBorder="1" applyAlignment="1" applyProtection="1">
      <alignment horizontal="center"/>
    </xf>
    <xf numFmtId="1" fontId="5" fillId="0" borderId="0" xfId="6" applyNumberFormat="1" applyFont="1" applyProtection="1"/>
    <xf numFmtId="0" fontId="5" fillId="0" borderId="30" xfId="6" applyFont="1" applyBorder="1" applyAlignment="1" applyProtection="1">
      <alignment horizontal="center"/>
    </xf>
    <xf numFmtId="0" fontId="5" fillId="0" borderId="0" xfId="6" applyFont="1" applyAlignment="1" applyProtection="1">
      <alignment horizontal="center"/>
    </xf>
    <xf numFmtId="0" fontId="2" fillId="0" borderId="39" xfId="6" applyFont="1" applyBorder="1" applyAlignment="1" applyProtection="1">
      <alignment horizontal="center"/>
    </xf>
    <xf numFmtId="1" fontId="2" fillId="0" borderId="56" xfId="6" applyNumberFormat="1" applyFont="1" applyBorder="1" applyAlignment="1" applyProtection="1">
      <alignment horizontal="center"/>
    </xf>
    <xf numFmtId="1" fontId="5" fillId="0" borderId="40" xfId="6" applyNumberFormat="1" applyFont="1" applyBorder="1" applyAlignment="1" applyProtection="1">
      <alignment horizontal="center"/>
    </xf>
    <xf numFmtId="1" fontId="5" fillId="0" borderId="41" xfId="6" applyNumberFormat="1" applyFont="1" applyBorder="1" applyAlignment="1" applyProtection="1">
      <alignment horizontal="center"/>
    </xf>
    <xf numFmtId="1" fontId="8" fillId="0" borderId="8" xfId="3" applyNumberFormat="1" applyFont="1" applyBorder="1" applyAlignment="1" applyProtection="1">
      <alignment vertical="center"/>
    </xf>
    <xf numFmtId="165" fontId="2" fillId="0" borderId="58" xfId="6" applyNumberFormat="1" applyFont="1" applyBorder="1" applyProtection="1"/>
    <xf numFmtId="165" fontId="5" fillId="0" borderId="39" xfId="6" applyNumberFormat="1" applyFont="1" applyBorder="1" applyAlignment="1" applyProtection="1">
      <alignment horizontal="center"/>
    </xf>
    <xf numFmtId="1" fontId="8" fillId="0" borderId="1" xfId="3" applyNumberFormat="1" applyFont="1" applyBorder="1" applyAlignment="1" applyProtection="1">
      <alignment vertical="center"/>
    </xf>
    <xf numFmtId="165" fontId="2" fillId="0" borderId="59" xfId="6" applyNumberFormat="1" applyFont="1" applyBorder="1" applyProtection="1"/>
    <xf numFmtId="165" fontId="2" fillId="0" borderId="11" xfId="6" applyNumberFormat="1" applyFont="1" applyBorder="1" applyAlignment="1" applyProtection="1">
      <alignment horizontal="center"/>
    </xf>
    <xf numFmtId="0" fontId="2" fillId="0" borderId="36" xfId="6" applyFont="1" applyBorder="1" applyAlignment="1" applyProtection="1">
      <alignment horizontal="center"/>
    </xf>
    <xf numFmtId="0" fontId="5" fillId="0" borderId="36" xfId="6" applyFont="1" applyBorder="1" applyAlignment="1" applyProtection="1">
      <alignment horizontal="center"/>
    </xf>
    <xf numFmtId="0" fontId="2" fillId="0" borderId="61" xfId="6" applyFont="1" applyBorder="1" applyProtection="1"/>
    <xf numFmtId="0" fontId="8" fillId="0" borderId="10" xfId="6" applyFont="1" applyBorder="1" applyAlignment="1" applyProtection="1">
      <alignment vertical="center"/>
    </xf>
    <xf numFmtId="0" fontId="2" fillId="0" borderId="63" xfId="6" applyFont="1" applyBorder="1" applyProtection="1"/>
    <xf numFmtId="168" fontId="5" fillId="0" borderId="0" xfId="6" applyNumberFormat="1" applyFont="1" applyAlignment="1" applyProtection="1">
      <alignment horizontal="center"/>
    </xf>
    <xf numFmtId="0" fontId="2" fillId="0" borderId="56" xfId="6" applyFont="1" applyBorder="1" applyAlignment="1" applyProtection="1">
      <alignment horizontal="center" vertical="center" wrapText="1"/>
      <protection locked="0"/>
    </xf>
    <xf numFmtId="0" fontId="22" fillId="0" borderId="40" xfId="6" applyFont="1" applyBorder="1" applyAlignment="1" applyProtection="1">
      <alignment horizontal="center"/>
      <protection locked="0"/>
    </xf>
    <xf numFmtId="0" fontId="22" fillId="0" borderId="40" xfId="6" applyFont="1" applyBorder="1" applyAlignment="1" applyProtection="1">
      <alignment horizontal="center" wrapText="1"/>
      <protection locked="0"/>
    </xf>
    <xf numFmtId="0" fontId="2" fillId="12" borderId="40" xfId="6" applyFont="1" applyFill="1" applyBorder="1" applyAlignment="1" applyProtection="1">
      <alignment horizontal="center"/>
      <protection locked="0"/>
    </xf>
    <xf numFmtId="1" fontId="2" fillId="0" borderId="42" xfId="3" applyNumberFormat="1" applyFont="1" applyBorder="1" applyAlignment="1" applyProtection="1">
      <alignment horizontal="center"/>
      <protection locked="0"/>
    </xf>
    <xf numFmtId="168" fontId="2" fillId="0" borderId="73" xfId="6" applyNumberFormat="1" applyFont="1" applyBorder="1" applyAlignment="1" applyProtection="1">
      <alignment horizontal="center"/>
    </xf>
    <xf numFmtId="0" fontId="2" fillId="0" borderId="73" xfId="6" applyFont="1" applyBorder="1" applyAlignment="1" applyProtection="1">
      <alignment horizontal="center"/>
    </xf>
    <xf numFmtId="0" fontId="8" fillId="0" borderId="0" xfId="6" applyFont="1" applyAlignment="1">
      <alignment horizontal="center" vertical="center" textRotation="90"/>
    </xf>
    <xf numFmtId="0" fontId="2" fillId="0" borderId="42" xfId="6" applyFont="1" applyBorder="1" applyAlignment="1">
      <alignment horizontal="center"/>
    </xf>
    <xf numFmtId="0" fontId="2" fillId="0" borderId="39" xfId="6" applyFont="1" applyBorder="1" applyAlignment="1">
      <alignment horizontal="center"/>
    </xf>
    <xf numFmtId="1" fontId="2" fillId="0" borderId="11" xfId="6" applyNumberFormat="1" applyFont="1" applyBorder="1" applyAlignment="1">
      <alignment horizontal="center"/>
    </xf>
    <xf numFmtId="0" fontId="2" fillId="0" borderId="40" xfId="6" applyFont="1" applyBorder="1" applyAlignment="1">
      <alignment horizontal="center"/>
    </xf>
    <xf numFmtId="1" fontId="2" fillId="0" borderId="55" xfId="6" applyNumberFormat="1" applyFont="1" applyBorder="1" applyAlignment="1">
      <alignment horizontal="center"/>
    </xf>
    <xf numFmtId="1" fontId="2" fillId="0" borderId="27" xfId="6" applyNumberFormat="1" applyFont="1" applyBorder="1" applyAlignment="1">
      <alignment horizontal="center"/>
    </xf>
    <xf numFmtId="1" fontId="2" fillId="0" borderId="41" xfId="6" applyNumberFormat="1" applyFont="1" applyBorder="1" applyAlignment="1">
      <alignment horizontal="center"/>
    </xf>
    <xf numFmtId="1" fontId="2" fillId="0" borderId="0" xfId="6" applyNumberFormat="1" applyFont="1" applyAlignment="1">
      <alignment horizontal="center"/>
    </xf>
    <xf numFmtId="0" fontId="2" fillId="0" borderId="41" xfId="6" quotePrefix="1" applyFont="1" applyBorder="1" applyAlignment="1" applyProtection="1">
      <alignment horizontal="center"/>
      <protection locked="0"/>
    </xf>
    <xf numFmtId="0" fontId="8" fillId="4" borderId="32" xfId="0" applyFont="1" applyFill="1" applyBorder="1" applyAlignment="1">
      <alignment horizontal="center"/>
    </xf>
    <xf numFmtId="0" fontId="8" fillId="4" borderId="34" xfId="0" applyFont="1" applyFill="1" applyBorder="1" applyAlignment="1">
      <alignment horizontal="center"/>
    </xf>
    <xf numFmtId="0" fontId="8" fillId="4" borderId="0" xfId="0" applyFont="1" applyFill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2" fillId="0" borderId="42" xfId="5" applyBorder="1" applyAlignment="1">
      <alignment horizontal="center" textRotation="90" shrinkToFit="1"/>
    </xf>
    <xf numFmtId="0" fontId="2" fillId="0" borderId="11" xfId="5" applyBorder="1" applyAlignment="1">
      <alignment horizontal="center" textRotation="90" shrinkToFit="1"/>
    </xf>
    <xf numFmtId="0" fontId="2" fillId="0" borderId="55" xfId="5" applyBorder="1" applyAlignment="1">
      <alignment horizontal="center" textRotation="90" shrinkToFit="1"/>
    </xf>
    <xf numFmtId="0" fontId="2" fillId="0" borderId="27" xfId="5" applyBorder="1" applyAlignment="1">
      <alignment horizontal="center" textRotation="90" shrinkToFit="1"/>
    </xf>
    <xf numFmtId="0" fontId="2" fillId="0" borderId="2" xfId="5" applyBorder="1" applyAlignment="1" applyProtection="1">
      <alignment horizontal="center" vertical="center" textRotation="90" shrinkToFit="1"/>
    </xf>
    <xf numFmtId="0" fontId="2" fillId="0" borderId="4" xfId="5" applyBorder="1" applyAlignment="1" applyProtection="1">
      <alignment horizontal="center" vertical="center" textRotation="90" shrinkToFit="1"/>
    </xf>
    <xf numFmtId="0" fontId="2" fillId="0" borderId="6" xfId="5" applyBorder="1" applyAlignment="1" applyProtection="1">
      <alignment horizontal="center" vertical="center" textRotation="90" shrinkToFit="1"/>
    </xf>
    <xf numFmtId="0" fontId="2" fillId="0" borderId="4" xfId="5" applyBorder="1" applyAlignment="1" applyProtection="1">
      <alignment horizontal="center" vertical="center" textRotation="90"/>
    </xf>
    <xf numFmtId="0" fontId="2" fillId="0" borderId="21" xfId="5" applyBorder="1" applyAlignment="1" applyProtection="1">
      <alignment horizontal="center" vertical="center" textRotation="90"/>
    </xf>
    <xf numFmtId="0" fontId="2" fillId="0" borderId="22" xfId="5" applyBorder="1" applyAlignment="1" applyProtection="1">
      <alignment horizontal="center" vertical="center" textRotation="90"/>
    </xf>
    <xf numFmtId="0" fontId="2" fillId="0" borderId="11" xfId="5" applyBorder="1" applyAlignment="1" applyProtection="1">
      <alignment horizontal="center" vertical="center" textRotation="90"/>
    </xf>
    <xf numFmtId="0" fontId="2" fillId="0" borderId="27" xfId="5" applyBorder="1" applyAlignment="1" applyProtection="1">
      <alignment horizontal="center" vertical="center" textRotation="90"/>
    </xf>
    <xf numFmtId="0" fontId="2" fillId="0" borderId="2" xfId="5" applyBorder="1" applyAlignment="1" applyProtection="1">
      <alignment horizontal="center" vertical="center" textRotation="90"/>
    </xf>
    <xf numFmtId="0" fontId="2" fillId="0" borderId="6" xfId="5" applyBorder="1" applyAlignment="1" applyProtection="1">
      <alignment horizontal="center" vertical="center" textRotation="90"/>
    </xf>
    <xf numFmtId="0" fontId="0" fillId="6" borderId="29" xfId="0" applyFill="1" applyBorder="1" applyAlignment="1">
      <alignment horizontal="left"/>
    </xf>
    <xf numFmtId="0" fontId="8" fillId="6" borderId="29" xfId="0" applyFont="1" applyFill="1" applyBorder="1" applyAlignment="1">
      <alignment horizontal="center"/>
    </xf>
    <xf numFmtId="0" fontId="0" fillId="0" borderId="42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 textRotation="90"/>
    </xf>
    <xf numFmtId="0" fontId="0" fillId="0" borderId="6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2" xfId="5" applyBorder="1" applyAlignment="1">
      <alignment horizontal="center" textRotation="90" shrinkToFit="1"/>
    </xf>
    <xf numFmtId="0" fontId="2" fillId="0" borderId="4" xfId="5" applyBorder="1" applyAlignment="1">
      <alignment horizontal="center" textRotation="90" shrinkToFit="1"/>
    </xf>
    <xf numFmtId="0" fontId="2" fillId="0" borderId="6" xfId="5" applyBorder="1" applyAlignment="1">
      <alignment horizontal="center" textRotation="90" shrinkToFit="1"/>
    </xf>
    <xf numFmtId="0" fontId="2" fillId="0" borderId="2" xfId="5" applyBorder="1" applyAlignment="1">
      <alignment horizontal="center" vertical="center" textRotation="90"/>
    </xf>
    <xf numFmtId="0" fontId="2" fillId="0" borderId="4" xfId="5" applyBorder="1" applyAlignment="1">
      <alignment horizontal="center" vertical="center" textRotation="90"/>
    </xf>
    <xf numFmtId="0" fontId="2" fillId="0" borderId="6" xfId="5" applyBorder="1" applyAlignment="1">
      <alignment horizontal="center" vertical="center" textRotation="90"/>
    </xf>
    <xf numFmtId="0" fontId="2" fillId="0" borderId="2" xfId="5" applyBorder="1" applyAlignment="1">
      <alignment horizontal="center" vertical="center" textRotation="90" shrinkToFit="1"/>
    </xf>
    <xf numFmtId="0" fontId="2" fillId="0" borderId="4" xfId="5" applyBorder="1" applyAlignment="1">
      <alignment horizontal="center" vertical="center" textRotation="90" shrinkToFit="1"/>
    </xf>
    <xf numFmtId="0" fontId="2" fillId="0" borderId="6" xfId="5" applyBorder="1" applyAlignment="1">
      <alignment horizontal="center" vertical="center" textRotation="90" shrinkToFit="1"/>
    </xf>
    <xf numFmtId="0" fontId="8" fillId="0" borderId="0" xfId="6" applyFont="1" applyAlignment="1">
      <alignment horizontal="center" vertical="center" textRotation="90"/>
    </xf>
  </cellXfs>
  <cellStyles count="10">
    <cellStyle name="Grey" xfId="1" xr:uid="{00000000-0005-0000-0000-000000000000}"/>
    <cellStyle name="Input [yellow]" xfId="2" xr:uid="{00000000-0005-0000-0000-000001000000}"/>
    <cellStyle name="Moeda" xfId="3" builtinId="4"/>
    <cellStyle name="Normal" xfId="0" builtinId="0"/>
    <cellStyle name="Normal - Style1" xfId="4" xr:uid="{00000000-0005-0000-0000-000004000000}"/>
    <cellStyle name="Normal 2" xfId="5" xr:uid="{00000000-0005-0000-0000-000005000000}"/>
    <cellStyle name="Normal_F-7.115 rev 02" xfId="6" xr:uid="{00000000-0005-0000-0000-000006000000}"/>
    <cellStyle name="Percent [2]" xfId="7" xr:uid="{00000000-0005-0000-0000-000007000000}"/>
    <cellStyle name="Separador de milhares [0]_F-7.115 rev 02" xfId="8" xr:uid="{00000000-0005-0000-0000-000008000000}"/>
    <cellStyle name="標準_品質検査" xfId="9" xr:uid="{00000000-0005-0000-0000-000009000000}"/>
  </cellStyles>
  <dxfs count="6609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de V/A - Montagem UM-1
FEVEREIRO/2022</a:t>
            </a:r>
          </a:p>
        </c:rich>
      </c:tx>
      <c:layout>
        <c:manualLayout>
          <c:xMode val="edge"/>
          <c:yMode val="edge"/>
          <c:x val="0.26640927620991284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637065637065631E-2"/>
          <c:y val="0.16143497757847533"/>
          <c:w val="0.84986557273649666"/>
          <c:h val="0.56805815230708201"/>
        </c:manualLayout>
      </c:layout>
      <c:barChart>
        <c:barDir val="col"/>
        <c:grouping val="clustered"/>
        <c:varyColors val="0"/>
        <c:ser>
          <c:idx val="1"/>
          <c:order val="0"/>
          <c:tx>
            <c:v>Falhas</c:v>
          </c:tx>
          <c:spPr>
            <a:gradFill rotWithShape="0">
              <a:gsLst>
                <a:gs pos="0">
                  <a:srgbClr val="0070C0"/>
                </a:gs>
                <a:gs pos="50000">
                  <a:schemeClr val="accent5">
                    <a:lumMod val="60000"/>
                    <a:lumOff val="40000"/>
                  </a:schemeClr>
                </a:gs>
                <a:gs pos="100000">
                  <a:srgbClr val="0070C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E33-4B40-AF1D-3FA31EDBF48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E33-4B40-AF1D-3FA31EDBF48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E33-4B40-AF1D-3FA31EDBF48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E33-4B40-AF1D-3FA31EDBF48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E33-4B40-AF1D-3FA31EDBF48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E33-4B40-AF1D-3FA31EDBF48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E33-4B40-AF1D-3FA31EDBF487}"/>
              </c:ext>
            </c:extLst>
          </c:dPt>
          <c:dLbls>
            <c:dLbl>
              <c:idx val="0"/>
              <c:layout>
                <c:manualLayout>
                  <c:x val="-2.6048726501063696E-3"/>
                  <c:y val="7.5934201918446541E-4"/>
                </c:manualLayout>
              </c:layout>
              <c:spPr>
                <a:noFill/>
                <a:ln w="25400">
                  <a:noFill/>
                </a:ln>
              </c:spPr>
              <c:txPr>
                <a:bodyPr rot="-5400000" vert="horz"/>
                <a:lstStyle/>
                <a:p>
                  <a:pPr algn="r">
                    <a:defRPr sz="10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33-4B40-AF1D-3FA31EDBF487}"/>
                </c:ext>
              </c:extLst>
            </c:dLbl>
            <c:spPr>
              <a:noFill/>
              <a:ln w="25400">
                <a:noFill/>
              </a:ln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[0]!Lin_X</c:f>
              <c:strCache>
                <c:ptCount val="1"/>
                <c:pt idx="0">
                  <c:v>Causa Desconhecida - Amperagem</c:v>
                </c:pt>
              </c:strCache>
            </c:strRef>
          </c:cat>
          <c:val>
            <c:numRef>
              <c:f>[0]!Lin_Falhas_Y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33-4B40-AF1D-3FA31EDBF487}"/>
            </c:ext>
          </c:extLst>
        </c:ser>
        <c:ser>
          <c:idx val="2"/>
          <c:order val="1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10800000" scaled="0"/>
            </a:gradFill>
            <a:ln>
              <a:solidFill>
                <a:schemeClr val="tx1">
                  <a:alpha val="94000"/>
                </a:schemeClr>
              </a:solidFill>
            </a:ln>
          </c:spPr>
          <c:invertIfNegative val="0"/>
          <c:cat>
            <c:strRef>
              <c:f>[0]!Lin_X</c:f>
              <c:strCache>
                <c:ptCount val="1"/>
                <c:pt idx="0">
                  <c:v>Causa Desconhecida - Amperagem</c:v>
                </c:pt>
              </c:strCache>
            </c:strRef>
          </c:cat>
          <c:val>
            <c:numRef>
              <c:f>[0]!Lin_Prob_Y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15-4655-A56D-DAD65040A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505512528"/>
        <c:axId val="784197520"/>
      </c:barChart>
      <c:lineChart>
        <c:grouping val="standard"/>
        <c:varyColors val="0"/>
        <c:ser>
          <c:idx val="0"/>
          <c:order val="2"/>
          <c:tx>
            <c:v>Acumulado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6440193525132388E-2"/>
                  <c:y val="-7.40851087307780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33-4B40-AF1D-3FA31EDBF48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[0]!Lin_AC_Y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E33-4B40-AF1D-3FA31EDBF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197128"/>
        <c:axId val="784198696"/>
      </c:lineChart>
      <c:catAx>
        <c:axId val="50551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Tipo de Defeito</a:t>
                </a:r>
              </a:p>
            </c:rich>
          </c:tx>
          <c:layout>
            <c:manualLayout>
              <c:xMode val="edge"/>
              <c:yMode val="edge"/>
              <c:x val="0.45270270133061219"/>
              <c:y val="0.965620265935226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7841975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84197520"/>
        <c:scaling>
          <c:orientation val="minMax"/>
          <c:max val="36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Frequência (ppm)</a:t>
                </a:r>
              </a:p>
            </c:rich>
          </c:tx>
          <c:layout>
            <c:manualLayout>
              <c:xMode val="edge"/>
              <c:yMode val="edge"/>
              <c:x val="1.1582976692710316E-2"/>
              <c:y val="0.319880352793738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5512528"/>
        <c:crosses val="autoZero"/>
        <c:crossBetween val="between"/>
        <c:majorUnit val="40"/>
      </c:valAx>
      <c:catAx>
        <c:axId val="784197128"/>
        <c:scaling>
          <c:orientation val="minMax"/>
        </c:scaling>
        <c:delete val="1"/>
        <c:axPos val="b"/>
        <c:majorTickMark val="out"/>
        <c:minorTickMark val="none"/>
        <c:tickLblPos val="nextTo"/>
        <c:crossAx val="784198696"/>
        <c:crosses val="autoZero"/>
        <c:auto val="0"/>
        <c:lblAlgn val="ctr"/>
        <c:lblOffset val="100"/>
        <c:noMultiLvlLbl val="0"/>
      </c:catAx>
      <c:valAx>
        <c:axId val="7841986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5667989865788094"/>
              <c:y val="0.333333374192204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78419712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56098848734402"/>
          <c:y val="0.32488430507240407"/>
          <c:w val="7.9498375132386404E-2"/>
          <c:h val="7.7034130362970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Radio" checked="Checked" firstButton="1" fmlaLink="$B$2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Drop" dropStyle="combo" dx="22" fmlaLink="$B$22" fmlaRange="$C$22:$C$24" noThreeD="1" sel="2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76200</xdr:rowOff>
    </xdr:from>
    <xdr:to>
      <xdr:col>11</xdr:col>
      <xdr:colOff>0</xdr:colOff>
      <xdr:row>3</xdr:row>
      <xdr:rowOff>95250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0" y="238125"/>
          <a:ext cx="6705600" cy="342900"/>
        </a:xfrm>
        <a:prstGeom prst="rect">
          <a:avLst/>
        </a:prstGeom>
        <a:gradFill rotWithShape="0">
          <a:gsLst>
            <a:gs pos="0">
              <a:srgbClr val="0000FF">
                <a:gamma/>
                <a:shade val="46275"/>
                <a:invGamma/>
              </a:srgbClr>
            </a:gs>
            <a:gs pos="50000">
              <a:srgbClr val="0000FF"/>
            </a:gs>
            <a:gs pos="100000">
              <a:srgbClr val="0000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REGISTRO DE PRODUÇÃO E FALHAS DE VOLTAGEM E AMPERAGEM </a:t>
          </a:r>
        </a:p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 MONTAGEM - UM-1</a:t>
          </a:r>
        </a:p>
      </xdr:txBody>
    </xdr:sp>
    <xdr:clientData/>
  </xdr:twoCellAnchor>
  <xdr:twoCellAnchor>
    <xdr:from>
      <xdr:col>2</xdr:col>
      <xdr:colOff>9525</xdr:colOff>
      <xdr:row>10</xdr:row>
      <xdr:rowOff>6350</xdr:rowOff>
    </xdr:from>
    <xdr:to>
      <xdr:col>6</xdr:col>
      <xdr:colOff>561975</xdr:colOff>
      <xdr:row>11</xdr:row>
      <xdr:rowOff>6350</xdr:rowOff>
    </xdr:to>
    <xdr:sp macro="[0]!btnDadosVA_Click" textlink="">
      <xdr:nvSpPr>
        <xdr:cNvPr id="3086" name="Rectangle 9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>
          <a:spLocks noChangeArrowheads="1"/>
        </xdr:cNvSpPr>
      </xdr:nvSpPr>
      <xdr:spPr bwMode="auto">
        <a:xfrm>
          <a:off x="1228725" y="1746250"/>
          <a:ext cx="2990850" cy="165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7</xdr:row>
          <xdr:rowOff>38100</xdr:rowOff>
        </xdr:from>
        <xdr:to>
          <xdr:col>8</xdr:col>
          <xdr:colOff>523875</xdr:colOff>
          <xdr:row>8</xdr:row>
          <xdr:rowOff>85725</xdr:rowOff>
        </xdr:to>
        <xdr:sp macro="" textlink="">
          <xdr:nvSpPr>
            <xdr:cNvPr id="3079" name="Option Button 7" descr="DIA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9</xdr:row>
          <xdr:rowOff>104775</xdr:rowOff>
        </xdr:from>
        <xdr:to>
          <xdr:col>8</xdr:col>
          <xdr:colOff>523875</xdr:colOff>
          <xdr:row>10</xdr:row>
          <xdr:rowOff>152400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7</xdr:row>
          <xdr:rowOff>85725</xdr:rowOff>
        </xdr:from>
        <xdr:to>
          <xdr:col>10</xdr:col>
          <xdr:colOff>523875</xdr:colOff>
          <xdr:row>8</xdr:row>
          <xdr:rowOff>123825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38100</xdr:rowOff>
        </xdr:from>
        <xdr:to>
          <xdr:col>3</xdr:col>
          <xdr:colOff>409575</xdr:colOff>
          <xdr:row>11</xdr:row>
          <xdr:rowOff>76200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Folha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10</xdr:row>
          <xdr:rowOff>38100</xdr:rowOff>
        </xdr:from>
        <xdr:to>
          <xdr:col>6</xdr:col>
          <xdr:colOff>247650</xdr:colOff>
          <xdr:row>11</xdr:row>
          <xdr:rowOff>76200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Gráfico de Pareto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85725</xdr:rowOff>
    </xdr:from>
    <xdr:to>
      <xdr:col>3</xdr:col>
      <xdr:colOff>736749</xdr:colOff>
      <xdr:row>1</xdr:row>
      <xdr:rowOff>126222</xdr:rowOff>
    </xdr:to>
    <xdr:pic macro="[0]!btnMenu_Click">
      <xdr:nvPicPr>
        <xdr:cNvPr id="2" nam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0" y="85725"/>
          <a:ext cx="679599" cy="211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47625</xdr:rowOff>
    </xdr:from>
    <xdr:to>
      <xdr:col>3</xdr:col>
      <xdr:colOff>736749</xdr:colOff>
      <xdr:row>1</xdr:row>
      <xdr:rowOff>88122</xdr:rowOff>
    </xdr:to>
    <xdr:pic macro="[0]!btnMenu_Click">
      <xdr:nvPicPr>
        <xdr:cNvPr id="2" nam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0" y="47625"/>
          <a:ext cx="679599" cy="2119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38100</xdr:rowOff>
    </xdr:from>
    <xdr:to>
      <xdr:col>20</xdr:col>
      <xdr:colOff>38099</xdr:colOff>
      <xdr:row>51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0.34475</cdr:x>
      <cdr:y>0.1055</cdr:y>
    </cdr:from>
    <cdr:to>
      <cdr:x>0.702</cdr:x>
      <cdr:y>0.15175</cdr:y>
    </cdr:to>
    <cdr:sp macro="" textlink="">
      <cdr:nvSpPr>
        <cdr:cNvPr id="3143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01959" y="672270"/>
          <a:ext cx="3525307" cy="294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pt-B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Taxa defeituosa total:                ppm</a:t>
          </a:r>
          <a:r>
            <a:rPr lang="pt-BR" sz="1075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  <cdr:relSizeAnchor xmlns:cdr="http://schemas.openxmlformats.org/drawingml/2006/chartDrawing">
    <cdr:from>
      <cdr:x>0.48482</cdr:x>
      <cdr:y>0.09349</cdr:y>
    </cdr:from>
    <cdr:to>
      <cdr:x>0.53607</cdr:x>
      <cdr:y>0.14649</cdr:y>
    </cdr:to>
    <cdr:sp macro="" textlink="'Falhas por Modelo'!$D$21">
      <cdr:nvSpPr>
        <cdr:cNvPr id="314375" name="Text Box 7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887852" y="747998"/>
          <a:ext cx="622399" cy="4240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A5C8F2EC-696F-469D-B36B-69E9D5771208}" type="TxLink"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#DIV/0!</a:t>
          </a:fld>
          <a:endParaRPr lang="pt-BR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0.02146</cdr:x>
      <cdr:y>0.00859</cdr:y>
    </cdr:from>
    <cdr:to>
      <cdr:x>0.31521</cdr:x>
      <cdr:y>0.19059</cdr:y>
    </cdr:to>
    <cdr:sp macro="" textlink="">
      <cdr:nvSpPr>
        <cdr:cNvPr id="314377" name="AutoShape 9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1355" y="54488"/>
          <a:ext cx="2893100" cy="1154544"/>
        </a:xfrm>
        <a:prstGeom xmlns:a="http://schemas.openxmlformats.org/drawingml/2006/main" prst="downArrow">
          <a:avLst>
            <a:gd name="adj1" fmla="val 50000"/>
            <a:gd name="adj2" fmla="val 25000"/>
          </a:avLst>
        </a:prstGeom>
        <a:solidFill xmlns:a="http://schemas.openxmlformats.org/drawingml/2006/main">
          <a:srgbClr val="FFFFFF">
            <a:alpha val="48000"/>
          </a:srgbClr>
        </a:solidFill>
        <a:ln xmlns:a="http://schemas.openxmlformats.org/drawingml/2006/main" w="38100">
          <a:solidFill>
            <a:srgbClr val="FF0000"/>
          </a:solidFill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975" b="1" i="0" u="none" strike="noStrike" baseline="0">
              <a:solidFill>
                <a:srgbClr val="FF0000"/>
              </a:solidFill>
              <a:latin typeface="Arial"/>
              <a:cs typeface="Arial"/>
            </a:rPr>
            <a:t>PRINCIPAIS PROBLEMAS A SEREM ANÁLISADOS</a:t>
          </a:r>
        </a:p>
      </cdr:txBody>
    </cdr:sp>
  </cdr:relSizeAnchor>
  <cdr:relSizeAnchor xmlns:cdr="http://schemas.openxmlformats.org/drawingml/2006/chartDrawing">
    <cdr:from>
      <cdr:x>0.85432</cdr:x>
      <cdr:y>0.03118</cdr:y>
    </cdr:from>
    <cdr:to>
      <cdr:x>0.91028</cdr:x>
      <cdr:y>0.05767</cdr:y>
    </cdr:to>
    <cdr:pic macro="[0]!btnMenu_Click"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F17B1C4A-90F8-443F-89FB-45069FE8F8A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886950" y="190500"/>
          <a:ext cx="647619" cy="161905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5-115-00%20-%20UM-1%20-%2021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1 - Dia"/>
      <sheetName val="UM-1 - Noite"/>
      <sheetName val="Gráfico"/>
      <sheetName val="Rascunho"/>
    </sheetNames>
    <sheetDataSet>
      <sheetData sheetId="0">
        <row r="22">
          <cell r="B22">
            <v>2</v>
          </cell>
        </row>
      </sheetData>
      <sheetData sheetId="1"/>
      <sheetData sheetId="2">
        <row r="4">
          <cell r="B4">
            <v>10</v>
          </cell>
          <cell r="C4" t="str">
            <v>Assembly Date</v>
          </cell>
          <cell r="D4" t="str">
            <v>Data da Montagem</v>
          </cell>
          <cell r="E4" t="str">
            <v>組立日</v>
          </cell>
        </row>
        <row r="5">
          <cell r="B5">
            <v>20</v>
          </cell>
          <cell r="C5" t="str">
            <v>Finishing Date</v>
          </cell>
          <cell r="D5" t="str">
            <v>Data do Acabamento</v>
          </cell>
          <cell r="E5" t="str">
            <v>終了日</v>
          </cell>
        </row>
        <row r="6">
          <cell r="B6">
            <v>30</v>
          </cell>
          <cell r="C6" t="str">
            <v>Aging</v>
          </cell>
          <cell r="D6" t="str">
            <v>Descanso:</v>
          </cell>
          <cell r="E6" t="str">
            <v>休憩：</v>
          </cell>
        </row>
        <row r="7">
          <cell r="B7">
            <v>40</v>
          </cell>
          <cell r="C7" t="str">
            <v>Model</v>
          </cell>
          <cell r="D7" t="str">
            <v>Modelo</v>
          </cell>
          <cell r="E7" t="str">
            <v>テンプレート</v>
          </cell>
        </row>
        <row r="8">
          <cell r="B8">
            <v>50</v>
          </cell>
          <cell r="C8" t="str">
            <v>Production Qty (pcs)</v>
          </cell>
          <cell r="D8" t="str">
            <v>Qtd de Produção (pçs)</v>
          </cell>
          <cell r="E8" t="str">
            <v>生産数量（個）</v>
          </cell>
        </row>
        <row r="9">
          <cell r="B9">
            <v>60</v>
          </cell>
          <cell r="C9" t="str">
            <v>EMD - Supplier</v>
          </cell>
          <cell r="D9" t="str">
            <v>GME - Fornecedor</v>
          </cell>
          <cell r="E9" t="str">
            <v>GME-サプライヤー</v>
          </cell>
        </row>
        <row r="10">
          <cell r="B10">
            <v>70</v>
          </cell>
          <cell r="C10" t="str">
            <v>Lot. Nº</v>
          </cell>
          <cell r="D10" t="str">
            <v>Nº Lote</v>
          </cell>
          <cell r="E10" t="str">
            <v>ロット番号</v>
          </cell>
        </row>
        <row r="11">
          <cell r="B11">
            <v>80</v>
          </cell>
          <cell r="C11" t="str">
            <v>Qty</v>
          </cell>
          <cell r="D11" t="str">
            <v>Qtd</v>
          </cell>
          <cell r="E11" t="str">
            <v>数量</v>
          </cell>
        </row>
        <row r="12">
          <cell r="B12">
            <v>90</v>
          </cell>
          <cell r="C12" t="str">
            <v>NMD - Supplier</v>
          </cell>
          <cell r="D12" t="str">
            <v>GMT - Fornecedor</v>
          </cell>
          <cell r="E12" t="str">
            <v>GMT-サプライヤー</v>
          </cell>
        </row>
        <row r="13">
          <cell r="B13">
            <v>100</v>
          </cell>
          <cell r="C13" t="str">
            <v>Lot. Nº</v>
          </cell>
          <cell r="D13" t="str">
            <v>Nº Lote</v>
          </cell>
          <cell r="E13" t="str">
            <v>ロット番号</v>
          </cell>
        </row>
        <row r="14">
          <cell r="B14">
            <v>110</v>
          </cell>
          <cell r="C14" t="str">
            <v>Qty</v>
          </cell>
          <cell r="D14" t="str">
            <v>Qtd</v>
          </cell>
          <cell r="E14" t="str">
            <v>数量</v>
          </cell>
        </row>
        <row r="15">
          <cell r="B15">
            <v>120</v>
          </cell>
          <cell r="C15" t="str">
            <v>GCA - Acetylene Black - Supplier</v>
          </cell>
          <cell r="D15" t="str">
            <v>GCA - Fornecedor</v>
          </cell>
          <cell r="E15" t="str">
            <v>GCA-サプライヤー</v>
          </cell>
        </row>
        <row r="16">
          <cell r="B16">
            <v>130</v>
          </cell>
          <cell r="C16" t="str">
            <v>Lot Nº</v>
          </cell>
          <cell r="D16" t="str">
            <v>Lot.</v>
          </cell>
          <cell r="E16" t="str">
            <v>たくさん</v>
          </cell>
        </row>
        <row r="17">
          <cell r="B17">
            <v>140</v>
          </cell>
          <cell r="C17" t="str">
            <v>Qty</v>
          </cell>
          <cell r="D17" t="str">
            <v>Qtd</v>
          </cell>
          <cell r="E17" t="str">
            <v>数量</v>
          </cell>
        </row>
        <row r="18">
          <cell r="B18">
            <v>150</v>
          </cell>
          <cell r="C18" t="str">
            <v>GZI - Supplier</v>
          </cell>
          <cell r="D18" t="str">
            <v>GZO - Fornecedor</v>
          </cell>
          <cell r="E18" t="str">
            <v>GZO-サプライヤー</v>
          </cell>
        </row>
        <row r="19">
          <cell r="B19">
            <v>160</v>
          </cell>
          <cell r="C19" t="str">
            <v>Lot.</v>
          </cell>
          <cell r="D19" t="str">
            <v>Nº Lote</v>
          </cell>
          <cell r="E19" t="str">
            <v>ロット番号</v>
          </cell>
        </row>
        <row r="20">
          <cell r="B20">
            <v>170</v>
          </cell>
          <cell r="C20" t="str">
            <v>Qtd</v>
          </cell>
          <cell r="D20" t="str">
            <v>Qtd</v>
          </cell>
          <cell r="E20" t="str">
            <v>数量</v>
          </cell>
        </row>
        <row r="21">
          <cell r="B21">
            <v>180</v>
          </cell>
          <cell r="C21" t="str">
            <v>Solution nº 125 - Qty</v>
          </cell>
          <cell r="D21" t="str">
            <v>Solução nº 125 Qtd</v>
          </cell>
          <cell r="E21" t="str">
            <v>ソリューション＃125数量</v>
          </cell>
        </row>
        <row r="22">
          <cell r="B22">
            <v>190</v>
          </cell>
          <cell r="C22" t="str">
            <v>Carbon Rod - Supplier</v>
          </cell>
          <cell r="D22" t="str">
            <v>Carvão - Fornecedor</v>
          </cell>
          <cell r="E22" t="str">
            <v>石炭-サプライヤー</v>
          </cell>
        </row>
        <row r="23">
          <cell r="B23">
            <v>200</v>
          </cell>
          <cell r="C23" t="str">
            <v>Lot Nº</v>
          </cell>
          <cell r="D23" t="str">
            <v>Nº Lote</v>
          </cell>
          <cell r="E23" t="str">
            <v>ロット番号</v>
          </cell>
        </row>
        <row r="24">
          <cell r="B24">
            <v>210</v>
          </cell>
          <cell r="C24" t="str">
            <v>Checked Qty (pcs)</v>
          </cell>
          <cell r="D24" t="str">
            <v>Qtd. Retestada (pçs)</v>
          </cell>
          <cell r="E24" t="str">
            <v>再テスト済み数量（個）</v>
          </cell>
        </row>
        <row r="25">
          <cell r="B25">
            <v>220</v>
          </cell>
          <cell r="C25" t="str">
            <v>Defect Qty (pcs)</v>
          </cell>
          <cell r="D25" t="str">
            <v>Defeitos (Qty)</v>
          </cell>
          <cell r="E25" t="str">
            <v>欠陥（数量）</v>
          </cell>
        </row>
        <row r="26">
          <cell r="B26">
            <v>230</v>
          </cell>
          <cell r="C26" t="str">
            <v>Voltage (AVG)</v>
          </cell>
          <cell r="D26" t="str">
            <v>Voltagem (Moda)</v>
          </cell>
          <cell r="E26" t="str">
            <v>電圧（ファッション）</v>
          </cell>
        </row>
        <row r="27">
          <cell r="B27">
            <v>240</v>
          </cell>
          <cell r="C27" t="str">
            <v>Voltage (Setup)</v>
          </cell>
          <cell r="D27" t="str">
            <v>Voltagem (ajustada)</v>
          </cell>
          <cell r="E27" t="str">
            <v>電圧（調整済み）</v>
          </cell>
        </row>
        <row r="28">
          <cell r="B28">
            <v>250</v>
          </cell>
          <cell r="C28" t="str">
            <v>Qty of batteries analyzed</v>
          </cell>
          <cell r="D28" t="str">
            <v>Qtd. Analisada (pçs)</v>
          </cell>
          <cell r="E28" t="str">
            <v>分析された数量（個）</v>
          </cell>
        </row>
        <row r="29">
          <cell r="B29">
            <v>260</v>
          </cell>
          <cell r="C29" t="str">
            <v>No separator</v>
          </cell>
          <cell r="D29" t="str">
            <v>Sem Papel Separador</v>
          </cell>
          <cell r="E29" t="str">
            <v>紙セパレータなし</v>
          </cell>
        </row>
        <row r="30">
          <cell r="B30">
            <v>270</v>
          </cell>
          <cell r="C30" t="str">
            <v>Sliced Separator Paper</v>
          </cell>
          <cell r="D30" t="str">
            <v>Papel Separador Cortado</v>
          </cell>
          <cell r="E30" t="str">
            <v>カット紙セパレーター</v>
          </cell>
        </row>
        <row r="31">
          <cell r="B31">
            <v>280</v>
          </cell>
          <cell r="C31" t="str">
            <v>Ripped Separator Paper</v>
          </cell>
          <cell r="D31" t="str">
            <v>Papel Separador Rasgado</v>
          </cell>
          <cell r="E31" t="str">
            <v>引き裂かれたセパレータ紙</v>
          </cell>
        </row>
        <row r="32">
          <cell r="B32">
            <v>290</v>
          </cell>
          <cell r="C32" t="str">
            <v>Folded Separator (Top)</v>
          </cell>
          <cell r="D32" t="str">
            <v>Papel Dobrado Sup.</v>
          </cell>
          <cell r="E32" t="str">
            <v>折り畳まれた紙のスープ。</v>
          </cell>
        </row>
        <row r="33">
          <cell r="B33">
            <v>300</v>
          </cell>
          <cell r="C33" t="str">
            <v>Folded Separator</v>
          </cell>
          <cell r="D33" t="str">
            <v>Papel Dobrado Meio</v>
          </cell>
          <cell r="E33" t="str">
            <v>二つ折り紙</v>
          </cell>
        </row>
        <row r="34">
          <cell r="B34">
            <v>310</v>
          </cell>
          <cell r="C34" t="str">
            <v>Folded Separator (Bottom)</v>
          </cell>
          <cell r="D34" t="str">
            <v>Papel Dobrado Inf.</v>
          </cell>
          <cell r="E34" t="str">
            <v>折り畳まれた紙</v>
          </cell>
        </row>
        <row r="35">
          <cell r="B35">
            <v>320</v>
          </cell>
          <cell r="C35" t="str">
            <v xml:space="preserve">Separator pape go down </v>
          </cell>
          <cell r="D35" t="str">
            <v>Papel Afundado</v>
          </cell>
          <cell r="E35" t="str">
            <v>沈んだ紙</v>
          </cell>
        </row>
        <row r="36">
          <cell r="B36">
            <v>330</v>
          </cell>
          <cell r="C36" t="str">
            <v>Shifted Separator Paper</v>
          </cell>
          <cell r="D36" t="str">
            <v>Papel Deslocado</v>
          </cell>
          <cell r="E36" t="str">
            <v>オフセット紙</v>
          </cell>
        </row>
        <row r="37">
          <cell r="B37">
            <v>340</v>
          </cell>
          <cell r="C37" t="str">
            <v>Smaller Separator Paper</v>
          </cell>
          <cell r="D37" t="str">
            <v>Papel menor</v>
          </cell>
          <cell r="E37" t="str">
            <v>より小さな役割</v>
          </cell>
        </row>
        <row r="38">
          <cell r="B38">
            <v>350</v>
          </cell>
          <cell r="C38" t="str">
            <v>No Bottom Insulator</v>
          </cell>
          <cell r="D38" t="str">
            <v>Sem Disco</v>
          </cell>
          <cell r="E38" t="str">
            <v>ディスクレス</v>
          </cell>
        </row>
        <row r="39">
          <cell r="B39">
            <v>360</v>
          </cell>
          <cell r="C39" t="str">
            <v>Sliced Bottom Insulator</v>
          </cell>
          <cell r="D39" t="str">
            <v>Disco Cortado</v>
          </cell>
          <cell r="E39" t="str">
            <v>ディスクカット</v>
          </cell>
        </row>
        <row r="40">
          <cell r="B40">
            <v>370</v>
          </cell>
          <cell r="C40" t="str">
            <v>Ripped Bottom Insulator</v>
          </cell>
          <cell r="D40" t="str">
            <v>Disco Rasgado</v>
          </cell>
          <cell r="E40" t="str">
            <v>破れたディスク</v>
          </cell>
        </row>
        <row r="41">
          <cell r="B41">
            <v>380</v>
          </cell>
          <cell r="C41" t="str">
            <v>Drilled Bottom Insulator</v>
          </cell>
          <cell r="D41" t="str">
            <v>Disco Furado</v>
          </cell>
          <cell r="E41" t="str">
            <v>フラットディスク</v>
          </cell>
        </row>
        <row r="42">
          <cell r="B42">
            <v>390</v>
          </cell>
          <cell r="C42" t="str">
            <v>Folded Bottom Insulator</v>
          </cell>
          <cell r="D42" t="str">
            <v>Disco Dobrado</v>
          </cell>
          <cell r="E42" t="str">
            <v>折り畳まれたディスク</v>
          </cell>
        </row>
        <row r="43">
          <cell r="B43">
            <v>400</v>
          </cell>
          <cell r="C43" t="str">
            <v>Shifted Bottom Insulator</v>
          </cell>
          <cell r="D43" t="str">
            <v>Disco fora de centro / deslocado</v>
          </cell>
          <cell r="E43" t="str">
            <v>中心からずれたディスク/オフセット</v>
          </cell>
        </row>
        <row r="44">
          <cell r="B44">
            <v>410</v>
          </cell>
          <cell r="C44" t="str">
            <v>Bottom Insulator off-center</v>
          </cell>
          <cell r="D44" t="str">
            <v>Isolador fora de centro</v>
          </cell>
          <cell r="E44" t="str">
            <v>オフセンター絶縁体</v>
          </cell>
        </row>
        <row r="45">
          <cell r="B45">
            <v>420</v>
          </cell>
          <cell r="C45" t="str">
            <v>Bottom Insulator sunk</v>
          </cell>
          <cell r="D45" t="str">
            <v>Isolador afundado</v>
          </cell>
          <cell r="E45" t="str">
            <v>沈んだ絶縁体</v>
          </cell>
        </row>
        <row r="46">
          <cell r="B46">
            <v>430</v>
          </cell>
          <cell r="C46" t="str">
            <v>Bottom Insulator inclined</v>
          </cell>
          <cell r="D46" t="str">
            <v>Isolador Inclinado</v>
          </cell>
          <cell r="E46" t="str">
            <v>傾斜In子</v>
          </cell>
        </row>
        <row r="47">
          <cell r="B47">
            <v>440</v>
          </cell>
          <cell r="C47" t="str">
            <v>Dirty Separator Paper</v>
          </cell>
          <cell r="D47" t="str">
            <v>Papel sujo</v>
          </cell>
          <cell r="E47" t="str">
            <v>汚れた紙</v>
          </cell>
        </row>
        <row r="48">
          <cell r="B48">
            <v>450</v>
          </cell>
          <cell r="C48" t="str">
            <v>Mottled</v>
          </cell>
          <cell r="D48" t="str">
            <v>Manchado</v>
          </cell>
          <cell r="E48" t="str">
            <v>ステンド</v>
          </cell>
        </row>
        <row r="49">
          <cell r="B49">
            <v>460</v>
          </cell>
          <cell r="C49" t="str">
            <v>Mottled (top)</v>
          </cell>
          <cell r="D49" t="str">
            <v>Manchado Superior</v>
          </cell>
          <cell r="E49" t="str">
            <v>優れた斑点</v>
          </cell>
        </row>
        <row r="50">
          <cell r="B50">
            <v>470</v>
          </cell>
          <cell r="C50" t="str">
            <v>Iron</v>
          </cell>
          <cell r="D50" t="str">
            <v>Ferro</v>
          </cell>
          <cell r="E50" t="str">
            <v>鉄</v>
          </cell>
        </row>
        <row r="51">
          <cell r="B51">
            <v>480</v>
          </cell>
          <cell r="C51" t="str">
            <v>Copper</v>
          </cell>
          <cell r="D51" t="str">
            <v>Cobre</v>
          </cell>
          <cell r="E51" t="str">
            <v>銅</v>
          </cell>
        </row>
        <row r="52">
          <cell r="B52">
            <v>490</v>
          </cell>
          <cell r="C52" t="str">
            <v>Mix touch</v>
          </cell>
          <cell r="D52" t="str">
            <v>Mistura no Tubo</v>
          </cell>
          <cell r="E52" t="str">
            <v>チューブミックス</v>
          </cell>
        </row>
        <row r="53">
          <cell r="B53">
            <v>500</v>
          </cell>
          <cell r="C53" t="str">
            <v>Mix Powder</v>
          </cell>
          <cell r="D53" t="str">
            <v>Pó de Mistura</v>
          </cell>
          <cell r="E53" t="str">
            <v>混合粉</v>
          </cell>
        </row>
        <row r="54">
          <cell r="B54">
            <v>510</v>
          </cell>
          <cell r="C54" t="str">
            <v>Lower Bobbin</v>
          </cell>
          <cell r="D54" t="str">
            <v>Bobina Baixa</v>
          </cell>
          <cell r="E54" t="str">
            <v>低コイル</v>
          </cell>
        </row>
        <row r="55">
          <cell r="B55">
            <v>520</v>
          </cell>
          <cell r="C55" t="str">
            <v>High Bobbin</v>
          </cell>
          <cell r="D55" t="str">
            <v>Bobina Alta</v>
          </cell>
          <cell r="E55" t="str">
            <v>ハイコイル</v>
          </cell>
        </row>
        <row r="56">
          <cell r="B56">
            <v>530</v>
          </cell>
          <cell r="C56" t="str">
            <v>Wet Bobbin</v>
          </cell>
          <cell r="D56" t="str">
            <v>Bobina Molhada</v>
          </cell>
          <cell r="E56" t="str">
            <v>ウェットコイル</v>
          </cell>
        </row>
        <row r="57">
          <cell r="B57">
            <v>540</v>
          </cell>
          <cell r="C57" t="str">
            <v>Mistura seca</v>
          </cell>
          <cell r="D57" t="str">
            <v>Mistura seca</v>
          </cell>
          <cell r="E57" t="str">
            <v>ドライミックス</v>
          </cell>
        </row>
        <row r="58">
          <cell r="B58">
            <v>550</v>
          </cell>
          <cell r="C58" t="str">
            <v>Stranger content</v>
          </cell>
          <cell r="D58" t="str">
            <v>Contem estranho</v>
          </cell>
          <cell r="E58" t="str">
            <v>見知らぬ人が含まれています</v>
          </cell>
        </row>
        <row r="59">
          <cell r="B59">
            <v>560</v>
          </cell>
          <cell r="C59" t="str">
            <v>Zinc Oxide</v>
          </cell>
          <cell r="D59" t="str">
            <v>Pedra de Óxido</v>
          </cell>
          <cell r="E59" t="str">
            <v>酸化物の石</v>
          </cell>
        </row>
        <row r="60">
          <cell r="B60">
            <v>570</v>
          </cell>
          <cell r="C60" t="str">
            <v>Broken Cabon Rod</v>
          </cell>
          <cell r="D60" t="str">
            <v>Carvão Quebrado</v>
          </cell>
          <cell r="E60" t="str">
            <v>壊れた石炭</v>
          </cell>
        </row>
        <row r="61">
          <cell r="B61">
            <v>580</v>
          </cell>
          <cell r="C61" t="str">
            <v>No Sealant</v>
          </cell>
          <cell r="D61" t="str">
            <v>Sem Selante</v>
          </cell>
          <cell r="E61" t="str">
            <v>シーラントなし</v>
          </cell>
        </row>
        <row r="62">
          <cell r="B62">
            <v>590</v>
          </cell>
          <cell r="C62" t="str">
            <v>Injecton defect on PY</v>
          </cell>
          <cell r="D62" t="str">
            <v>PY c/ Falha de Injeção</v>
          </cell>
          <cell r="E62" t="str">
            <v>PY w /インジェクション失敗</v>
          </cell>
        </row>
        <row r="63">
          <cell r="B63">
            <v>600</v>
          </cell>
          <cell r="C63" t="str">
            <v>No PY</v>
          </cell>
          <cell r="D63" t="str">
            <v>Sem PY</v>
          </cell>
          <cell r="E63" t="str">
            <v>PYなし</v>
          </cell>
        </row>
        <row r="64">
          <cell r="B64">
            <v>610</v>
          </cell>
          <cell r="C64" t="str">
            <v>PY off-center</v>
          </cell>
          <cell r="D64" t="str">
            <v>PY Fora de Centro</v>
          </cell>
          <cell r="E64" t="str">
            <v>中心から外れた</v>
          </cell>
        </row>
        <row r="65">
          <cell r="B65">
            <v>620</v>
          </cell>
          <cell r="C65" t="str">
            <v>PY burned</v>
          </cell>
          <cell r="D65" t="str">
            <v>PY Queimado</v>
          </cell>
          <cell r="E65" t="str">
            <v>PYバーント</v>
          </cell>
        </row>
        <row r="66">
          <cell r="B66">
            <v>630</v>
          </cell>
          <cell r="C66" t="str">
            <v>Zinc Can Dent</v>
          </cell>
          <cell r="D66" t="str">
            <v>Tubo com Boca Amassada - Operador</v>
          </cell>
          <cell r="E66" t="str">
            <v>しわ口チューブ-オペレーター</v>
          </cell>
        </row>
        <row r="67">
          <cell r="B67">
            <v>640</v>
          </cell>
          <cell r="C67" t="str">
            <v>Zinc Can Dent - Camera</v>
          </cell>
          <cell r="D67" t="str">
            <v>Tubo com Boca Amassada - Câmera</v>
          </cell>
          <cell r="E67" t="str">
            <v>くしゃくしゃの口管-カメラ</v>
          </cell>
        </row>
        <row r="68">
          <cell r="B68">
            <v>650</v>
          </cell>
          <cell r="C68" t="str">
            <v>Zinc Can Dent - Restored</v>
          </cell>
          <cell r="D68" t="str">
            <v>Tubo com Boca Amassada - recuperada</v>
          </cell>
          <cell r="E68" t="str">
            <v>しわ口チューブ-再生</v>
          </cell>
        </row>
        <row r="69">
          <cell r="B69">
            <v>660</v>
          </cell>
          <cell r="C69" t="str">
            <v>Zinc Can Cracked - Operator</v>
          </cell>
          <cell r="D69" t="str">
            <v>Tubo Rachado - Operador</v>
          </cell>
          <cell r="E69" t="str">
            <v>割れたパイプ-オペレーター</v>
          </cell>
        </row>
        <row r="70">
          <cell r="B70">
            <v>670</v>
          </cell>
          <cell r="C70" t="str">
            <v>Zinc Can Cracked</v>
          </cell>
          <cell r="D70" t="str">
            <v>Tubo Rachado - Câmera</v>
          </cell>
          <cell r="E70" t="str">
            <v>割れたチューブ-カメラ</v>
          </cell>
        </row>
        <row r="71">
          <cell r="B71">
            <v>680</v>
          </cell>
          <cell r="C71" t="str">
            <v>Zinc Can Smashed</v>
          </cell>
          <cell r="D71" t="str">
            <v>Tubo de Zinco Amassado</v>
          </cell>
          <cell r="E71" t="str">
            <v>しわ亜鉛管</v>
          </cell>
        </row>
        <row r="72">
          <cell r="B72">
            <v>690</v>
          </cell>
          <cell r="C72" t="str">
            <v>Zinc Can with Burr</v>
          </cell>
          <cell r="D72" t="str">
            <v>Tubo com Rebarba</v>
          </cell>
          <cell r="E72" t="str">
            <v>バリパイプ</v>
          </cell>
        </row>
        <row r="73">
          <cell r="B73">
            <v>700</v>
          </cell>
          <cell r="C73" t="str">
            <v>Outer Short Circuit</v>
          </cell>
          <cell r="D73" t="str">
            <v>Curto Circuito Externo</v>
          </cell>
          <cell r="E73" t="str">
            <v>短絡外部回路</v>
          </cell>
        </row>
        <row r="74">
          <cell r="B74">
            <v>710</v>
          </cell>
          <cell r="C74" t="str">
            <v>Outer Short Circuit - restored</v>
          </cell>
          <cell r="D74" t="str">
            <v>Curto Circ. Externo -  recuperada</v>
          </cell>
          <cell r="E74" t="str">
            <v>ショートサークル。 外部-回復済み</v>
          </cell>
        </row>
        <row r="75">
          <cell r="B75">
            <v>720</v>
          </cell>
          <cell r="C75" t="str">
            <v>Restored Battery from Finishing</v>
          </cell>
          <cell r="D75" t="str">
            <v>Pilha recuperada do Acabamento</v>
          </cell>
          <cell r="E75" t="str">
            <v>回収された仕上げスタック</v>
          </cell>
        </row>
        <row r="76">
          <cell r="B76">
            <v>730</v>
          </cell>
          <cell r="C76" t="str">
            <v>Unknow Causes</v>
          </cell>
          <cell r="D76" t="str">
            <v>Causa Desconhecida - Voltagem</v>
          </cell>
          <cell r="E76" t="str">
            <v>不明な原因-電圧</v>
          </cell>
        </row>
        <row r="77">
          <cell r="B77">
            <v>740</v>
          </cell>
          <cell r="C77" t="str">
            <v>No defects</v>
          </cell>
          <cell r="D77" t="str">
            <v>Pilha Boa</v>
          </cell>
          <cell r="E77" t="str">
            <v>良い山</v>
          </cell>
        </row>
        <row r="78">
          <cell r="B78">
            <v>750</v>
          </cell>
          <cell r="C78" t="str">
            <v>Others - Voltage</v>
          </cell>
          <cell r="D78" t="str">
            <v>Outros - Voltagem</v>
          </cell>
          <cell r="E78" t="str">
            <v>その他-電圧</v>
          </cell>
        </row>
        <row r="79">
          <cell r="B79">
            <v>760</v>
          </cell>
          <cell r="C79" t="str">
            <v>Total (pcs)</v>
          </cell>
          <cell r="D79" t="str">
            <v>Total (pçs)</v>
          </cell>
          <cell r="E79" t="str">
            <v>合計（個）</v>
          </cell>
        </row>
        <row r="80">
          <cell r="B80">
            <v>770</v>
          </cell>
          <cell r="C80" t="str">
            <v>Defect Ratio 1st finishing test</v>
          </cell>
          <cell r="D80" t="str">
            <v>Taxa Defeituosa 1º Teste</v>
          </cell>
          <cell r="E80" t="str">
            <v>不良率1回目のテスト</v>
          </cell>
        </row>
        <row r="81">
          <cell r="B81">
            <v>780</v>
          </cell>
          <cell r="C81" t="str">
            <v>Defect Ratio (ppm)</v>
          </cell>
          <cell r="D81" t="str">
            <v>Taxa defeituosa (ppm)</v>
          </cell>
          <cell r="E81" t="str">
            <v>欠陥率（ppm）</v>
          </cell>
        </row>
        <row r="82">
          <cell r="B82">
            <v>790</v>
          </cell>
          <cell r="C82" t="str">
            <v>Qty of inner defects</v>
          </cell>
          <cell r="D82" t="str">
            <v>Qtd. Defeitos internos (pçs)</v>
          </cell>
          <cell r="E82" t="str">
            <v>数量内部欠陥（個）</v>
          </cell>
        </row>
        <row r="83">
          <cell r="B83">
            <v>800</v>
          </cell>
          <cell r="C83" t="str">
            <v>Inner Defect Ratio (ppm)</v>
          </cell>
          <cell r="D83" t="str">
            <v>Defeitos Internos - Taxa defeituosa (ppm)</v>
          </cell>
          <cell r="E83" t="str">
            <v>内部欠陥-欠陥率（ppm）</v>
          </cell>
        </row>
        <row r="84">
          <cell r="B84">
            <v>810</v>
          </cell>
          <cell r="C84" t="str">
            <v>Amperage (Avg)</v>
          </cell>
          <cell r="D84" t="str">
            <v>Amperagem (Moda)</v>
          </cell>
          <cell r="E84" t="str">
            <v>アンペア数（ファッション）</v>
          </cell>
        </row>
        <row r="85">
          <cell r="B85">
            <v>820</v>
          </cell>
          <cell r="C85" t="str">
            <v>Amperage (Setup)</v>
          </cell>
          <cell r="D85" t="str">
            <v>Amperagem Ajustada</v>
          </cell>
          <cell r="E85" t="str">
            <v>調整されたアンペア数</v>
          </cell>
        </row>
        <row r="86">
          <cell r="B86">
            <v>830</v>
          </cell>
          <cell r="C86" t="str">
            <v>Qty of batteries analyzed</v>
          </cell>
          <cell r="D86" t="str">
            <v>Qtd Baterias analisadas (pçs)</v>
          </cell>
          <cell r="E86" t="str">
            <v>数量分析済みバッテリー（個）</v>
          </cell>
        </row>
        <row r="87">
          <cell r="B87">
            <v>840</v>
          </cell>
          <cell r="C87" t="str">
            <v>Double Separator Paper</v>
          </cell>
          <cell r="D87" t="str">
            <v>Papel Separdor Duplo</v>
          </cell>
          <cell r="E87" t="str">
            <v>ダブルセパレーターペーパー</v>
          </cell>
        </row>
        <row r="88">
          <cell r="B88">
            <v>850</v>
          </cell>
          <cell r="C88" t="str">
            <v>Acetylene Black</v>
          </cell>
          <cell r="D88" t="str">
            <v>Pedra de Negro</v>
          </cell>
          <cell r="E88" t="str">
            <v>黒人の石</v>
          </cell>
        </row>
        <row r="89">
          <cell r="B89">
            <v>860</v>
          </cell>
          <cell r="C89" t="str">
            <v>Ammonium Chloride</v>
          </cell>
          <cell r="D89" t="str">
            <v>Pedra de Cl de Amônia</v>
          </cell>
          <cell r="E89" t="str">
            <v>Clアンモニア石</v>
          </cell>
        </row>
        <row r="90">
          <cell r="B90">
            <v>870</v>
          </cell>
          <cell r="C90" t="str">
            <v>Manganese</v>
          </cell>
          <cell r="D90" t="str">
            <v>Pelota de Manganês</v>
          </cell>
          <cell r="E90" t="str">
            <v>マンガンペレット</v>
          </cell>
        </row>
        <row r="91">
          <cell r="B91">
            <v>880</v>
          </cell>
          <cell r="C91" t="str">
            <v>Lower Bobbin</v>
          </cell>
          <cell r="D91" t="str">
            <v>Bobina Baixa</v>
          </cell>
          <cell r="E91" t="str">
            <v>低コイル</v>
          </cell>
        </row>
        <row r="92">
          <cell r="B92">
            <v>890</v>
          </cell>
          <cell r="C92" t="str">
            <v>Cracked Bobbin</v>
          </cell>
          <cell r="D92" t="str">
            <v>Bobina Rachada</v>
          </cell>
          <cell r="E92" t="str">
            <v>割れたコイル</v>
          </cell>
        </row>
        <row r="93">
          <cell r="B93">
            <v>900</v>
          </cell>
          <cell r="C93" t="str">
            <v>Separator Paper Emendation</v>
          </cell>
          <cell r="D93" t="str">
            <v>Emenda de Papel</v>
          </cell>
          <cell r="E93" t="str">
            <v>紙の縫い目</v>
          </cell>
        </row>
        <row r="94">
          <cell r="B94">
            <v>910</v>
          </cell>
          <cell r="C94" t="str">
            <v>Broken Cabon Rod</v>
          </cell>
          <cell r="D94" t="str">
            <v>Carvão Quebrado</v>
          </cell>
          <cell r="E94" t="str">
            <v>壊れた石炭</v>
          </cell>
        </row>
        <row r="95">
          <cell r="B95">
            <v>920</v>
          </cell>
          <cell r="C95" t="str">
            <v>Half Carbon Rod</v>
          </cell>
          <cell r="D95" t="str">
            <v>Metade do Carvão</v>
          </cell>
          <cell r="E95" t="str">
            <v>石炭の半分</v>
          </cell>
        </row>
        <row r="96">
          <cell r="B96">
            <v>930</v>
          </cell>
          <cell r="C96" t="str">
            <v>Incompact Carbon Rod</v>
          </cell>
          <cell r="D96" t="str">
            <v>Carvão Frouxo</v>
          </cell>
          <cell r="E96" t="str">
            <v>緩い石炭</v>
          </cell>
        </row>
        <row r="97">
          <cell r="B97">
            <v>940</v>
          </cell>
          <cell r="C97" t="str">
            <v>Dirty Zinc Can</v>
          </cell>
          <cell r="D97" t="str">
            <v>Tubo de Zinco Sujo</v>
          </cell>
          <cell r="E97" t="str">
            <v>汚れた亜鉛管</v>
          </cell>
        </row>
        <row r="98">
          <cell r="B98">
            <v>950</v>
          </cell>
          <cell r="C98" t="str">
            <v>Stranger content</v>
          </cell>
          <cell r="D98" t="str">
            <v>Contem estranho</v>
          </cell>
          <cell r="E98" t="str">
            <v>見知らぬ人が含まれています</v>
          </cell>
        </row>
        <row r="99">
          <cell r="B99">
            <v>960</v>
          </cell>
          <cell r="C99" t="str">
            <v>Dry Mix</v>
          </cell>
          <cell r="D99" t="str">
            <v>Mistura seca</v>
          </cell>
          <cell r="E99" t="str">
            <v>ドライミックス</v>
          </cell>
        </row>
        <row r="100">
          <cell r="B100">
            <v>970</v>
          </cell>
          <cell r="C100" t="str">
            <v>Bottom Plate Smashed</v>
          </cell>
          <cell r="D100" t="str">
            <v>Bottom Plate Amassado</v>
          </cell>
          <cell r="E100" t="str">
            <v>しわくちゃの底板</v>
          </cell>
        </row>
        <row r="101">
          <cell r="B101">
            <v>980</v>
          </cell>
          <cell r="C101" t="str">
            <v>Long PVC</v>
          </cell>
          <cell r="D101" t="str">
            <v>PVC Comprido</v>
          </cell>
          <cell r="E101" t="str">
            <v>長いPVC</v>
          </cell>
        </row>
        <row r="102">
          <cell r="B102">
            <v>990</v>
          </cell>
          <cell r="C102" t="str">
            <v>Unknow Causes</v>
          </cell>
          <cell r="D102" t="str">
            <v>Causa Desconhecida - Amperagem</v>
          </cell>
          <cell r="E102" t="str">
            <v>不明な原因-アンペア</v>
          </cell>
        </row>
        <row r="103">
          <cell r="B103">
            <v>1000</v>
          </cell>
          <cell r="C103" t="str">
            <v>Others - Amperage</v>
          </cell>
          <cell r="D103" t="str">
            <v>Outros - Amperagem</v>
          </cell>
          <cell r="E103" t="str">
            <v>その他-アンペア数</v>
          </cell>
        </row>
        <row r="104">
          <cell r="B104">
            <v>1010</v>
          </cell>
          <cell r="C104" t="str">
            <v>Qty Total (pcs)</v>
          </cell>
          <cell r="D104" t="str">
            <v>Total</v>
          </cell>
          <cell r="E104"/>
        </row>
        <row r="105">
          <cell r="B105">
            <v>1020</v>
          </cell>
          <cell r="C105" t="str">
            <v>Defect Ratio (ppm)</v>
          </cell>
          <cell r="D105" t="str">
            <v>Taxa defeituosa (ppm)</v>
          </cell>
          <cell r="E105"/>
        </row>
        <row r="106">
          <cell r="B106">
            <v>1030</v>
          </cell>
          <cell r="C106" t="str">
            <v>Qty of inner defects</v>
          </cell>
          <cell r="D106" t="str">
            <v>Qtd. Defeitos internos (pçs)</v>
          </cell>
          <cell r="E106" t="str">
            <v>数量内部欠陥（個）</v>
          </cell>
        </row>
        <row r="107">
          <cell r="B107">
            <v>1040</v>
          </cell>
          <cell r="C107" t="str">
            <v>Inner Defect Ratio (ppm)</v>
          </cell>
          <cell r="D107" t="str">
            <v>Defeitos Internos - Taxa defeituosa (ppm)</v>
          </cell>
          <cell r="E107" t="str">
            <v>内部欠陥-欠陥率（ppm）</v>
          </cell>
        </row>
        <row r="108">
          <cell r="B108">
            <v>1050</v>
          </cell>
          <cell r="C108" t="str">
            <v>Overall Defect Ratio (ppm)</v>
          </cell>
          <cell r="D108" t="str">
            <v>Taxa Defeituosa Total (ppm)</v>
          </cell>
          <cell r="E108"/>
        </row>
      </sheetData>
      <sheetData sheetId="3">
        <row r="103">
          <cell r="AS103">
            <v>12</v>
          </cell>
        </row>
      </sheetData>
      <sheetData sheetId="4">
        <row r="7">
          <cell r="AT7">
            <v>1384163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6:K28"/>
  <sheetViews>
    <sheetView topLeftCell="A5" zoomScale="150" workbookViewId="0">
      <selection activeCell="C13" sqref="C13"/>
    </sheetView>
  </sheetViews>
  <sheetFormatPr defaultRowHeight="12.75"/>
  <cols>
    <col min="1" max="16384" width="9.140625" style="1"/>
  </cols>
  <sheetData>
    <row r="6" spans="2:11" ht="13.5" thickBot="1"/>
    <row r="7" spans="2:11" ht="19.5" thickBot="1">
      <c r="C7" s="7" t="s">
        <v>44</v>
      </c>
      <c r="D7" s="8"/>
      <c r="G7" s="2"/>
      <c r="H7" s="270" t="s">
        <v>43</v>
      </c>
      <c r="I7" s="271"/>
      <c r="J7" s="270" t="s">
        <v>234</v>
      </c>
      <c r="K7" s="271"/>
    </row>
    <row r="8" spans="2:11">
      <c r="B8" s="6"/>
      <c r="C8" s="6"/>
      <c r="D8" s="6"/>
      <c r="E8" s="6"/>
      <c r="F8" s="6"/>
      <c r="G8" s="6"/>
      <c r="H8" s="9"/>
      <c r="I8" s="10"/>
      <c r="J8" s="56"/>
      <c r="K8" s="57"/>
    </row>
    <row r="9" spans="2:11">
      <c r="B9" s="3"/>
      <c r="C9" s="272" t="s">
        <v>339</v>
      </c>
      <c r="D9" s="272"/>
      <c r="E9" s="272"/>
      <c r="F9" s="272"/>
      <c r="G9" s="273"/>
      <c r="H9" s="11"/>
      <c r="I9" s="12"/>
      <c r="J9" s="56"/>
      <c r="K9" s="57"/>
    </row>
    <row r="10" spans="2:11">
      <c r="B10" s="3"/>
      <c r="C10" s="272"/>
      <c r="D10" s="272"/>
      <c r="E10" s="272"/>
      <c r="F10" s="272"/>
      <c r="G10" s="273"/>
      <c r="H10" s="11"/>
      <c r="I10" s="12"/>
      <c r="J10" s="56"/>
      <c r="K10" s="57"/>
    </row>
    <row r="11" spans="2:11">
      <c r="B11" s="3"/>
      <c r="C11" s="3"/>
      <c r="D11" s="3"/>
      <c r="E11" s="3"/>
      <c r="F11" s="3"/>
      <c r="G11" s="4"/>
      <c r="H11" s="11"/>
      <c r="I11" s="12"/>
      <c r="J11" s="56"/>
      <c r="K11" s="57"/>
    </row>
    <row r="12" spans="2:11" ht="13.5" thickBot="1">
      <c r="B12" s="3"/>
      <c r="C12" s="3"/>
      <c r="D12" s="3"/>
      <c r="E12" s="3"/>
      <c r="F12" s="3"/>
      <c r="G12" s="3"/>
      <c r="H12" s="13"/>
      <c r="I12" s="14"/>
      <c r="J12" s="58"/>
      <c r="K12" s="60"/>
    </row>
    <row r="13" spans="2:11">
      <c r="B13" s="3"/>
      <c r="C13" s="3"/>
      <c r="D13" s="3"/>
      <c r="E13" s="3"/>
      <c r="F13" s="3"/>
      <c r="G13" s="3"/>
    </row>
    <row r="14" spans="2:11" ht="13.5" thickBot="1">
      <c r="B14" s="3"/>
      <c r="C14" s="3"/>
      <c r="D14" s="3"/>
      <c r="E14" s="3"/>
      <c r="F14" s="3"/>
      <c r="G14" s="3"/>
    </row>
    <row r="15" spans="2:11" ht="13.5" thickBot="1">
      <c r="B15" s="5"/>
      <c r="C15" s="61" t="s">
        <v>96</v>
      </c>
      <c r="D15" s="62"/>
      <c r="E15" s="62"/>
      <c r="F15" s="62"/>
      <c r="G15" s="62"/>
      <c r="H15" s="63"/>
      <c r="I15" s="63"/>
      <c r="J15" s="64"/>
    </row>
    <row r="16" spans="2:11">
      <c r="C16" s="56" t="s">
        <v>97</v>
      </c>
      <c r="J16" s="57"/>
    </row>
    <row r="17" spans="2:10">
      <c r="C17" s="56" t="s">
        <v>98</v>
      </c>
      <c r="J17" s="57"/>
    </row>
    <row r="18" spans="2:10" ht="13.5" thickBot="1">
      <c r="C18" s="58" t="s">
        <v>99</v>
      </c>
      <c r="D18" s="59"/>
      <c r="E18" s="59"/>
      <c r="F18" s="59"/>
      <c r="G18" s="59"/>
      <c r="H18" s="59"/>
      <c r="I18" s="59"/>
      <c r="J18" s="60"/>
    </row>
    <row r="20" spans="2:10">
      <c r="B20" s="15">
        <v>0</v>
      </c>
    </row>
    <row r="21" spans="2:10">
      <c r="B21" s="191">
        <v>1</v>
      </c>
      <c r="C21" s="191"/>
      <c r="D21" s="191"/>
    </row>
    <row r="22" spans="2:10">
      <c r="B22" s="191">
        <v>2</v>
      </c>
      <c r="C22" s="191" t="s">
        <v>235</v>
      </c>
      <c r="D22" s="191"/>
    </row>
    <row r="23" spans="2:10">
      <c r="B23" s="191"/>
      <c r="C23" s="191" t="s">
        <v>236</v>
      </c>
      <c r="D23" s="191"/>
    </row>
    <row r="24" spans="2:10">
      <c r="B24" s="191"/>
      <c r="C24" s="191" t="s">
        <v>296</v>
      </c>
      <c r="D24" s="191"/>
    </row>
    <row r="25" spans="2:10">
      <c r="B25" s="191"/>
      <c r="C25" s="191"/>
      <c r="D25" s="191"/>
    </row>
    <row r="26" spans="2:10">
      <c r="B26" s="191"/>
      <c r="C26" s="191"/>
      <c r="D26" s="191"/>
    </row>
    <row r="27" spans="2:10">
      <c r="B27" s="191"/>
      <c r="C27" s="191"/>
      <c r="D27" s="191"/>
    </row>
    <row r="28" spans="2:10">
      <c r="B28" s="191"/>
      <c r="C28" s="191"/>
      <c r="D28" s="191"/>
    </row>
  </sheetData>
  <sheetProtection algorithmName="SHA-512" hashValue="GddMy72Yfz/qxAY6/HpNf7tgMfN1MuaypgNYfnS5zJmuoHI7FH7ThLjz5VRLw9Fhg2ZjZrtcTlLdVqhB+tBbag==" saltValue="ufW9xf1FV72G3nhjs+aPrQ==" spinCount="100000" sheet="1" objects="1" scenarios="1" selectLockedCells="1"/>
  <mergeCells count="3">
    <mergeCell ref="H7:I7"/>
    <mergeCell ref="J7:K7"/>
    <mergeCell ref="C9:G10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Option Button 7">
              <controlPr locked="0" defaultSize="0" print="0" autoFill="0" autoLine="0" autoPict="0" altText="DIA_x000a_">
                <anchor>
                  <from>
                    <xdr:col>7</xdr:col>
                    <xdr:colOff>142875</xdr:colOff>
                    <xdr:row>7</xdr:row>
                    <xdr:rowOff>38100</xdr:rowOff>
                  </from>
                  <to>
                    <xdr:col>8</xdr:col>
                    <xdr:colOff>523875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Option Button 8">
              <controlPr defaultSize="0" autoFill="0" autoLine="0" autoPict="0">
                <anchor moveWithCells="1">
                  <from>
                    <xdr:col>7</xdr:col>
                    <xdr:colOff>142875</xdr:colOff>
                    <xdr:row>9</xdr:row>
                    <xdr:rowOff>104775</xdr:rowOff>
                  </from>
                  <to>
                    <xdr:col>8</xdr:col>
                    <xdr:colOff>523875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Drop Down 18">
              <controlPr defaultSize="0" autoLine="0" autoPict="0">
                <anchor moveWithCells="1">
                  <from>
                    <xdr:col>9</xdr:col>
                    <xdr:colOff>76200</xdr:colOff>
                    <xdr:row>7</xdr:row>
                    <xdr:rowOff>85725</xdr:rowOff>
                  </from>
                  <to>
                    <xdr:col>10</xdr:col>
                    <xdr:colOff>523875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DadosVA">
                <anchor moveWithCells="1">
                  <from>
                    <xdr:col>2</xdr:col>
                    <xdr:colOff>28575</xdr:colOff>
                    <xdr:row>10</xdr:row>
                    <xdr:rowOff>38100</xdr:rowOff>
                  </from>
                  <to>
                    <xdr:col>3</xdr:col>
                    <xdr:colOff>409575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mcrGraficoTotal">
                <anchor moveWithCells="1">
                  <from>
                    <xdr:col>4</xdr:col>
                    <xdr:colOff>381000</xdr:colOff>
                    <xdr:row>10</xdr:row>
                    <xdr:rowOff>38100</xdr:rowOff>
                  </from>
                  <to>
                    <xdr:col>6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U131"/>
  <sheetViews>
    <sheetView zoomScaleNormal="100" workbookViewId="0">
      <pane xSplit="3" topLeftCell="D1" activePane="topRight" state="frozen"/>
      <selection activeCell="AR32" sqref="AR32"/>
      <selection pane="topRight" activeCell="D10" sqref="D10"/>
    </sheetView>
  </sheetViews>
  <sheetFormatPr defaultColWidth="10.28515625" defaultRowHeight="12.75"/>
  <cols>
    <col min="1" max="1" width="3.28515625" style="192" bestFit="1" customWidth="1"/>
    <col min="2" max="2" width="5.5703125" style="192" customWidth="1"/>
    <col min="3" max="3" width="35.7109375" style="192" bestFit="1" customWidth="1"/>
    <col min="4" max="4" width="12" style="192" customWidth="1"/>
    <col min="5" max="7" width="12" style="192" bestFit="1" customWidth="1"/>
    <col min="8" max="8" width="12" style="192" customWidth="1"/>
    <col min="9" max="9" width="12" style="192" bestFit="1" customWidth="1"/>
    <col min="10" max="13" width="12" style="192" customWidth="1"/>
    <col min="14" max="14" width="12" style="192" bestFit="1" customWidth="1"/>
    <col min="15" max="20" width="12" style="192" customWidth="1"/>
    <col min="21" max="21" width="12" style="192" bestFit="1" customWidth="1"/>
    <col min="22" max="24" width="12" style="192" customWidth="1"/>
    <col min="25" max="25" width="12" style="192" bestFit="1" customWidth="1"/>
    <col min="26" max="27" width="12" style="192" customWidth="1"/>
    <col min="28" max="30" width="12" style="192" bestFit="1" customWidth="1"/>
    <col min="31" max="31" width="12" style="192" customWidth="1"/>
    <col min="32" max="32" width="12" style="192" bestFit="1" customWidth="1"/>
    <col min="33" max="44" width="12" style="192" customWidth="1"/>
    <col min="45" max="45" width="12.42578125" style="236" bestFit="1" customWidth="1"/>
    <col min="46" max="46" width="10.28515625" style="192" customWidth="1"/>
    <col min="47" max="47" width="26.85546875" style="192" bestFit="1" customWidth="1"/>
    <col min="48" max="16384" width="10.28515625" style="192"/>
  </cols>
  <sheetData>
    <row r="1" spans="1:45" ht="13.5" thickBot="1">
      <c r="C1" s="193" t="str">
        <f>AS2</f>
        <v>Dia</v>
      </c>
      <c r="AS1" s="194" t="s">
        <v>230</v>
      </c>
    </row>
    <row r="2" spans="1:45" ht="13.5" thickBot="1">
      <c r="B2" s="195" t="s">
        <v>195</v>
      </c>
      <c r="C2" s="196" t="s">
        <v>222</v>
      </c>
      <c r="D2" s="197" t="str">
        <f ca="1">MID(CELL("nome.arquivo"),SEARCH(".xl",CELL("nome.arquivo"))-2,2)&amp;" / 20"&amp;MID(CELL("nome.arquivo"),SEARCH(".xl",CELL("nome.arquivo"))-4,2)</f>
        <v>03 / 2022</v>
      </c>
      <c r="E2" s="197"/>
      <c r="F2" s="197"/>
      <c r="G2" s="197"/>
      <c r="H2" s="197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8"/>
      <c r="AF2" s="198"/>
      <c r="AG2" s="198"/>
      <c r="AH2" s="198"/>
      <c r="AI2" s="198"/>
      <c r="AJ2" s="198"/>
      <c r="AK2" s="199"/>
      <c r="AL2" s="199"/>
      <c r="AM2" s="199"/>
      <c r="AN2" s="199"/>
      <c r="AO2" s="199"/>
      <c r="AP2" s="199"/>
      <c r="AQ2" s="199"/>
      <c r="AR2" s="199"/>
      <c r="AS2" s="200" t="s">
        <v>223</v>
      </c>
    </row>
    <row r="3" spans="1:45">
      <c r="A3" s="282" t="s">
        <v>191</v>
      </c>
      <c r="B3" s="201">
        <v>10</v>
      </c>
      <c r="C3" s="202" t="str">
        <f>VLOOKUP(B3,'Tipos de Defeitos'!B$4:E$106,Menu!$B$22+1,)</f>
        <v>Data da Montagem</v>
      </c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203" t="s">
        <v>26</v>
      </c>
    </row>
    <row r="4" spans="1:45">
      <c r="A4" s="283"/>
      <c r="B4" s="204">
        <f>(B3/10+1)*10</f>
        <v>20</v>
      </c>
      <c r="C4" s="205" t="str">
        <f>VLOOKUP(B4,'Tipos de Defeitos'!B$4:E$106,Menu!$B$22+1,)</f>
        <v>Data do Acabamento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206"/>
    </row>
    <row r="5" spans="1:45">
      <c r="A5" s="283"/>
      <c r="B5" s="204">
        <f t="shared" ref="B5:B75" si="0">(B4/10+1)*10</f>
        <v>30</v>
      </c>
      <c r="C5" s="205" t="str">
        <f>VLOOKUP(B5,'Tipos de Defeitos'!B$4:E$106,Menu!$B$22+1,)</f>
        <v>Descanso:</v>
      </c>
      <c r="D5" s="207" t="str">
        <f t="shared" ref="D5:E5" si="1">IF(D4="","",D4-D3)</f>
        <v/>
      </c>
      <c r="E5" s="207" t="str">
        <f t="shared" si="1"/>
        <v/>
      </c>
      <c r="F5" s="207"/>
      <c r="G5" s="207" t="str">
        <f t="shared" ref="G5" si="2">IF(G4="","",G4-G3)</f>
        <v/>
      </c>
      <c r="H5" s="207" t="str">
        <f t="shared" ref="H5:I5" si="3">IF(H4="","",H4-H3)</f>
        <v/>
      </c>
      <c r="I5" s="207" t="str">
        <f t="shared" si="3"/>
        <v/>
      </c>
      <c r="J5" s="207" t="str">
        <f t="shared" ref="J5:N5" si="4">IF(J4="","",J4-J3)</f>
        <v/>
      </c>
      <c r="K5" s="207" t="str">
        <f t="shared" si="4"/>
        <v/>
      </c>
      <c r="L5" s="207" t="str">
        <f t="shared" si="4"/>
        <v/>
      </c>
      <c r="M5" s="207" t="str">
        <f t="shared" si="4"/>
        <v/>
      </c>
      <c r="N5" s="207" t="str">
        <f t="shared" si="4"/>
        <v/>
      </c>
      <c r="O5" s="207" t="str">
        <f>IF(O4="","",O4-O3)</f>
        <v/>
      </c>
      <c r="P5" s="207" t="str">
        <f>IF(P4="","",P4-P3)</f>
        <v/>
      </c>
      <c r="Q5" s="207" t="str">
        <f t="shared" ref="Q5" si="5">IF(Q4="","",Q4-Q3)</f>
        <v/>
      </c>
      <c r="R5" s="207" t="str">
        <f t="shared" ref="R5:T5" si="6">IF(R4="","",R4-R3)</f>
        <v/>
      </c>
      <c r="S5" s="207" t="str">
        <f t="shared" si="6"/>
        <v/>
      </c>
      <c r="T5" s="207" t="str">
        <f t="shared" si="6"/>
        <v/>
      </c>
      <c r="U5" s="207" t="str">
        <f t="shared" ref="U5" si="7">IF(U4="","",U4-U3)</f>
        <v/>
      </c>
      <c r="V5" s="207" t="str">
        <f t="shared" ref="V5:AR5" si="8">IF(V4="","",V4-V3)</f>
        <v/>
      </c>
      <c r="W5" s="207" t="str">
        <f t="shared" si="8"/>
        <v/>
      </c>
      <c r="X5" s="207" t="str">
        <f t="shared" si="8"/>
        <v/>
      </c>
      <c r="Y5" s="207" t="str">
        <f t="shared" si="8"/>
        <v/>
      </c>
      <c r="Z5" s="207" t="str">
        <f t="shared" si="8"/>
        <v/>
      </c>
      <c r="AA5" s="207" t="str">
        <f t="shared" si="8"/>
        <v/>
      </c>
      <c r="AB5" s="207" t="str">
        <f t="shared" si="8"/>
        <v/>
      </c>
      <c r="AC5" s="207" t="str">
        <f t="shared" si="8"/>
        <v/>
      </c>
      <c r="AD5" s="207" t="str">
        <f t="shared" ref="AD5" si="9">IF(AD4="","",AD4-AD3)</f>
        <v/>
      </c>
      <c r="AE5" s="207"/>
      <c r="AF5" s="207"/>
      <c r="AG5" s="207"/>
      <c r="AH5" s="207" t="str">
        <f t="shared" si="8"/>
        <v/>
      </c>
      <c r="AI5" s="207" t="str">
        <f t="shared" si="8"/>
        <v/>
      </c>
      <c r="AJ5" s="207" t="str">
        <f t="shared" si="8"/>
        <v/>
      </c>
      <c r="AK5" s="207" t="str">
        <f t="shared" si="8"/>
        <v/>
      </c>
      <c r="AL5" s="207" t="str">
        <f t="shared" si="8"/>
        <v/>
      </c>
      <c r="AM5" s="207" t="str">
        <f t="shared" si="8"/>
        <v/>
      </c>
      <c r="AN5" s="207" t="str">
        <f t="shared" si="8"/>
        <v/>
      </c>
      <c r="AO5" s="207" t="str">
        <f t="shared" si="8"/>
        <v/>
      </c>
      <c r="AP5" s="207" t="str">
        <f t="shared" si="8"/>
        <v/>
      </c>
      <c r="AQ5" s="207" t="str">
        <f t="shared" si="8"/>
        <v/>
      </c>
      <c r="AR5" s="207" t="str">
        <f t="shared" si="8"/>
        <v/>
      </c>
      <c r="AS5" s="206"/>
    </row>
    <row r="6" spans="1:45">
      <c r="A6" s="283"/>
      <c r="B6" s="204">
        <f>(B5/10+1)*10</f>
        <v>40</v>
      </c>
      <c r="C6" s="205" t="str">
        <f>VLOOKUP(B6,'Tipos de Defeitos'!B$4:E$106,Menu!$B$22+1,)</f>
        <v>Modelo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206"/>
    </row>
    <row r="7" spans="1:45" ht="13.5" thickBot="1">
      <c r="A7" s="283"/>
      <c r="B7" s="208">
        <f t="shared" si="0"/>
        <v>50</v>
      </c>
      <c r="C7" s="209" t="str">
        <f>VLOOKUP(B7,'Tipos de Defeitos'!B$4:E$106,Menu!$B$22+1,)</f>
        <v>Qtd de Produção (pçs)</v>
      </c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210">
        <f t="array" ref="AS7">SUM(IF(D5:AJ5&lt;&gt;"",D7:AJ7))</f>
        <v>0</v>
      </c>
    </row>
    <row r="8" spans="1:45">
      <c r="A8" s="284"/>
      <c r="B8" s="211">
        <f t="shared" si="0"/>
        <v>60</v>
      </c>
      <c r="C8" s="212" t="str">
        <f>VLOOKUP(B8,'Tipos de Defeitos'!B$4:E$106,Menu!$B$22+1,)</f>
        <v>GME - Fornecedor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253"/>
      <c r="AA8" s="253"/>
      <c r="AB8" s="253"/>
      <c r="AC8" s="253"/>
      <c r="AD8" s="253"/>
      <c r="AE8" s="181"/>
      <c r="AF8" s="181"/>
      <c r="AG8" s="181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213"/>
    </row>
    <row r="9" spans="1:45">
      <c r="A9" s="284"/>
      <c r="B9" s="214">
        <f t="shared" si="0"/>
        <v>70</v>
      </c>
      <c r="C9" s="215" t="str">
        <f>VLOOKUP(B9,'Tipos de Defeitos'!B$4:E$106,Menu!$B$22+1,)</f>
        <v>Nº Lote</v>
      </c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216"/>
    </row>
    <row r="10" spans="1:45">
      <c r="A10" s="284"/>
      <c r="B10" s="214">
        <f t="shared" si="0"/>
        <v>80</v>
      </c>
      <c r="C10" s="215" t="str">
        <f>VLOOKUP(B10,'Tipos de Defeitos'!B$4:E$106,Menu!$B$22+1,)</f>
        <v>Qtd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217"/>
    </row>
    <row r="11" spans="1:45">
      <c r="A11" s="284"/>
      <c r="B11" s="214">
        <f t="shared" si="0"/>
        <v>90</v>
      </c>
      <c r="C11" s="215" t="str">
        <f>VLOOKUP(B11,'Tipos de Defeitos'!B$4:E$106,Menu!$B$22+1,)</f>
        <v>GMT - Fornecedor</v>
      </c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26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217"/>
    </row>
    <row r="12" spans="1:45">
      <c r="A12" s="284"/>
      <c r="B12" s="214">
        <f t="shared" si="0"/>
        <v>100</v>
      </c>
      <c r="C12" s="215" t="str">
        <f>VLOOKUP(B12,'Tipos de Defeitos'!B$4:E$106,Menu!$B$22+1,)</f>
        <v>Nº Lote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/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180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217"/>
    </row>
    <row r="13" spans="1:45">
      <c r="A13" s="284"/>
      <c r="B13" s="214">
        <f t="shared" si="0"/>
        <v>110</v>
      </c>
      <c r="C13" s="215" t="str">
        <f>VLOOKUP(B13,'Tipos de Defeitos'!B$4:E$106,Menu!$B$22+1,)</f>
        <v>Qtd</v>
      </c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217"/>
    </row>
    <row r="14" spans="1:45">
      <c r="A14" s="284"/>
      <c r="B14" s="214">
        <f t="shared" si="0"/>
        <v>120</v>
      </c>
      <c r="C14" s="215" t="str">
        <f>VLOOKUP(B14,'Tipos de Defeitos'!B$4:E$106,Menu!$B$22+1,)</f>
        <v>GCA - Fornecedor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217"/>
    </row>
    <row r="15" spans="1:45">
      <c r="A15" s="284"/>
      <c r="B15" s="214">
        <f t="shared" si="0"/>
        <v>130</v>
      </c>
      <c r="C15" s="215" t="str">
        <f>VLOOKUP(B15,'Tipos de Defeitos'!B$4:E$106,Menu!$B$22+1,)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217"/>
    </row>
    <row r="16" spans="1:45">
      <c r="A16" s="284"/>
      <c r="B16" s="214">
        <f t="shared" si="0"/>
        <v>140</v>
      </c>
      <c r="C16" s="215" t="str">
        <f>VLOOKUP(B16,'Tipos de Defeitos'!B$4:E$106,Menu!$B$22+1,)</f>
        <v>Qtd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217"/>
    </row>
    <row r="17" spans="1:47">
      <c r="A17" s="284"/>
      <c r="B17" s="214">
        <f t="shared" si="0"/>
        <v>150</v>
      </c>
      <c r="C17" s="215" t="str">
        <f>VLOOKUP(B17,'Tipos de Defeitos'!B$4:E$106,Menu!$B$22+1,)</f>
        <v>GZO - Fornecedor</v>
      </c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217"/>
    </row>
    <row r="18" spans="1:47">
      <c r="A18" s="284"/>
      <c r="B18" s="214">
        <f t="shared" si="0"/>
        <v>160</v>
      </c>
      <c r="C18" s="215" t="str">
        <f>VLOOKUP(B18,'Tipos de Defeitos'!B$4:E$106,Menu!$B$22+1,)</f>
        <v>Nº Lote</v>
      </c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2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218"/>
    </row>
    <row r="19" spans="1:47">
      <c r="A19" s="284"/>
      <c r="B19" s="214">
        <f t="shared" si="0"/>
        <v>170</v>
      </c>
      <c r="C19" s="215" t="str">
        <f>VLOOKUP(B19,'Tipos de Defeitos'!B$4:E$106,Menu!$B$22+1,)</f>
        <v>Qtd</v>
      </c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  <c r="AS19" s="218"/>
    </row>
    <row r="20" spans="1:47">
      <c r="A20" s="284"/>
      <c r="B20" s="214">
        <f t="shared" si="0"/>
        <v>180</v>
      </c>
      <c r="C20" s="215" t="str">
        <f>VLOOKUP(B20,'Tipos de Defeitos'!B$4:E$106,Menu!$B$22+1,)</f>
        <v>Solução nº 125 Qtd</v>
      </c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256"/>
      <c r="AA20" s="256"/>
      <c r="AB20" s="256"/>
      <c r="AC20" s="256"/>
      <c r="AD20" s="256"/>
      <c r="AE20" s="179"/>
      <c r="AF20" s="179"/>
      <c r="AG20" s="179"/>
      <c r="AH20" s="179"/>
      <c r="AI20" s="179"/>
      <c r="AJ20" s="179"/>
      <c r="AK20" s="179"/>
      <c r="AL20" s="179"/>
      <c r="AM20" s="179"/>
      <c r="AN20" s="179"/>
      <c r="AO20" s="179"/>
      <c r="AP20" s="179"/>
      <c r="AQ20" s="179"/>
      <c r="AR20" s="179"/>
      <c r="AS20" s="217"/>
    </row>
    <row r="21" spans="1:47" ht="12.75" customHeight="1">
      <c r="A21" s="284"/>
      <c r="B21" s="214">
        <f t="shared" si="0"/>
        <v>190</v>
      </c>
      <c r="C21" s="215" t="str">
        <f>VLOOKUP(B21,'Tipos de Defeitos'!B$4:E$106,Menu!$B$22+1,)</f>
        <v>Carvão - Fornecedor</v>
      </c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219"/>
    </row>
    <row r="22" spans="1:47" ht="13.5" thickBot="1">
      <c r="A22" s="285"/>
      <c r="B22" s="220">
        <f t="shared" si="0"/>
        <v>200</v>
      </c>
      <c r="C22" s="221" t="str">
        <f>VLOOKUP(B22,'Tipos de Defeitos'!B$4:E$106,Menu!$B$22+1,)</f>
        <v>Nº Lote</v>
      </c>
      <c r="D22" s="177"/>
      <c r="E22" s="177"/>
      <c r="F22" s="269"/>
      <c r="G22" s="269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223"/>
    </row>
    <row r="23" spans="1:47">
      <c r="A23" s="286" t="s">
        <v>192</v>
      </c>
      <c r="B23" s="224">
        <f t="shared" si="0"/>
        <v>210</v>
      </c>
      <c r="C23" s="225" t="str">
        <f>VLOOKUP(B23,'Tipos de Defeitos'!B$4:E$106,Menu!$B$22+1,)</f>
        <v>Qtd. Retestada (pçs)</v>
      </c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257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226">
        <f t="array" ref="AS23">SUM(IF(D$4:AJ$4&gt;0,D23:AJ23))</f>
        <v>0</v>
      </c>
    </row>
    <row r="24" spans="1:47" ht="13.5" customHeight="1">
      <c r="A24" s="281"/>
      <c r="B24" s="214">
        <f t="shared" si="0"/>
        <v>220</v>
      </c>
      <c r="C24" s="227" t="str">
        <f>VLOOKUP(B24,'Tipos de Defeitos'!B$4:E$106,Menu!$B$22+1,)</f>
        <v>Defeitos (Qty)</v>
      </c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228">
        <f t="array" ref="AS24">SUM(IF(D$4:AJ$4&gt;0,D24:AJ24))</f>
        <v>0</v>
      </c>
      <c r="AT24" s="229"/>
    </row>
    <row r="25" spans="1:47">
      <c r="A25" s="281"/>
      <c r="B25" s="214">
        <f t="shared" si="0"/>
        <v>230</v>
      </c>
      <c r="C25" s="227" t="str">
        <f>VLOOKUP(B25,'Tipos de Defeitos'!B$4:E$106,Menu!$B$22+1,)</f>
        <v>Voltagem (Moda)</v>
      </c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  <c r="AP25" s="173"/>
      <c r="AQ25" s="173"/>
      <c r="AR25" s="173"/>
      <c r="AS25" s="219" t="e">
        <f>AVERAGE(D25:AJ25)</f>
        <v>#DIV/0!</v>
      </c>
      <c r="AT25" s="229"/>
    </row>
    <row r="26" spans="1:47">
      <c r="A26" s="281"/>
      <c r="B26" s="214">
        <f t="shared" si="0"/>
        <v>240</v>
      </c>
      <c r="C26" s="227" t="str">
        <f>VLOOKUP(B26,'Tipos de Defeitos'!B$4:E$106,Menu!$B$22+1,)</f>
        <v>Voltagem (ajustada)</v>
      </c>
      <c r="D26" s="230" t="str">
        <f t="shared" ref="D26" si="10">IF(D25&gt;0,D25-0.003,"")</f>
        <v/>
      </c>
      <c r="E26" s="230" t="str">
        <f t="shared" ref="E26:F26" si="11">IF(E25&gt;0,E25-0.003,"")</f>
        <v/>
      </c>
      <c r="F26" s="230" t="str">
        <f t="shared" si="11"/>
        <v/>
      </c>
      <c r="G26" s="230" t="str">
        <f t="shared" ref="G26" si="12">IF(G25&gt;0,G25-0.003,"")</f>
        <v/>
      </c>
      <c r="H26" s="231" t="str">
        <f t="shared" ref="H26" si="13">IF(H25&gt;0,H25-0.003,"")</f>
        <v/>
      </c>
      <c r="I26" s="231" t="str">
        <f t="shared" ref="I26:U26" si="14">IF(I25&gt;0,I25-0.003,"")</f>
        <v/>
      </c>
      <c r="J26" s="231" t="str">
        <f t="shared" si="14"/>
        <v/>
      </c>
      <c r="K26" s="230" t="str">
        <f>IF(K25&gt;0,K25-0.003,"")</f>
        <v/>
      </c>
      <c r="L26" s="230" t="str">
        <f t="shared" ref="L26:N26" si="15">IF(L25&gt;0,L25-0.003,"")</f>
        <v/>
      </c>
      <c r="M26" s="230" t="str">
        <f t="shared" si="15"/>
        <v/>
      </c>
      <c r="N26" s="230" t="str">
        <f t="shared" si="15"/>
        <v/>
      </c>
      <c r="O26" s="230" t="str">
        <f t="shared" ref="O26:P26" si="16">IF(O25&gt;0,O25-0.003,"")</f>
        <v/>
      </c>
      <c r="P26" s="230" t="str">
        <f t="shared" si="16"/>
        <v/>
      </c>
      <c r="Q26" s="230" t="str">
        <f t="shared" si="14"/>
        <v/>
      </c>
      <c r="R26" s="230" t="str">
        <f t="shared" ref="R26:T26" si="17">IF(R25&gt;0,R25-0.003,"")</f>
        <v/>
      </c>
      <c r="S26" s="230" t="str">
        <f t="shared" si="17"/>
        <v/>
      </c>
      <c r="T26" s="230" t="str">
        <f t="shared" si="17"/>
        <v/>
      </c>
      <c r="U26" s="230" t="str">
        <f t="shared" si="14"/>
        <v/>
      </c>
      <c r="V26" s="230" t="str">
        <f t="shared" ref="V26:AR26" si="18">IF(V25&gt;0,V25-0.003,"")</f>
        <v/>
      </c>
      <c r="W26" s="230" t="str">
        <f t="shared" si="18"/>
        <v/>
      </c>
      <c r="X26" s="230" t="str">
        <f t="shared" si="18"/>
        <v/>
      </c>
      <c r="Y26" s="230" t="str">
        <f t="shared" si="18"/>
        <v/>
      </c>
      <c r="Z26" s="230" t="str">
        <f t="shared" si="18"/>
        <v/>
      </c>
      <c r="AA26" s="230" t="str">
        <f t="shared" si="18"/>
        <v/>
      </c>
      <c r="AB26" s="230" t="str">
        <f t="shared" si="18"/>
        <v/>
      </c>
      <c r="AC26" s="230" t="str">
        <f t="shared" si="18"/>
        <v/>
      </c>
      <c r="AD26" s="230" t="str">
        <f t="shared" si="18"/>
        <v/>
      </c>
      <c r="AE26" s="230" t="str">
        <f t="shared" si="18"/>
        <v/>
      </c>
      <c r="AF26" s="230" t="str">
        <f t="shared" si="18"/>
        <v/>
      </c>
      <c r="AG26" s="230" t="str">
        <f t="shared" si="18"/>
        <v/>
      </c>
      <c r="AH26" s="230" t="str">
        <f t="shared" si="18"/>
        <v/>
      </c>
      <c r="AI26" s="230" t="str">
        <f t="shared" si="18"/>
        <v/>
      </c>
      <c r="AJ26" s="230" t="str">
        <f t="shared" si="18"/>
        <v/>
      </c>
      <c r="AK26" s="230" t="str">
        <f t="shared" si="18"/>
        <v/>
      </c>
      <c r="AL26" s="230" t="str">
        <f t="shared" si="18"/>
        <v/>
      </c>
      <c r="AM26" s="230" t="str">
        <f t="shared" si="18"/>
        <v/>
      </c>
      <c r="AN26" s="230" t="str">
        <f t="shared" si="18"/>
        <v/>
      </c>
      <c r="AO26" s="230" t="str">
        <f t="shared" si="18"/>
        <v/>
      </c>
      <c r="AP26" s="230" t="str">
        <f t="shared" si="18"/>
        <v/>
      </c>
      <c r="AQ26" s="230" t="str">
        <f t="shared" si="18"/>
        <v/>
      </c>
      <c r="AR26" s="230" t="str">
        <f t="shared" si="18"/>
        <v/>
      </c>
      <c r="AS26" s="219" t="e">
        <f>AVERAGE(D26:AJ26)</f>
        <v>#DIV/0!</v>
      </c>
      <c r="AT26" s="229"/>
    </row>
    <row r="27" spans="1:47" ht="13.5" thickBot="1">
      <c r="A27" s="287"/>
      <c r="B27" s="220">
        <f t="shared" si="0"/>
        <v>250</v>
      </c>
      <c r="C27" s="232" t="str">
        <f>VLOOKUP(B27,'Tipos de Defeitos'!B$4:E$106,Menu!$B$22+1,)</f>
        <v>Qtd. Analisada (pçs)</v>
      </c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233">
        <f t="array" ref="AS27">SUM(IF(D$4:AJ$4&gt;0,D27:AJ27))</f>
        <v>0</v>
      </c>
      <c r="AT27" s="229"/>
      <c r="AU27" s="234"/>
    </row>
    <row r="28" spans="1:47">
      <c r="A28" s="286" t="s">
        <v>193</v>
      </c>
      <c r="B28" s="224">
        <f t="shared" si="0"/>
        <v>260</v>
      </c>
      <c r="C28" s="225" t="str">
        <f>VLOOKUP(B28,'Tipos de Defeitos'!B$4:E$106,Menu!$B$22+1,)</f>
        <v>Sem Papel Separador</v>
      </c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226">
        <f t="shared" ref="AS28:AS59" si="19">SUM(D28:AJ28)</f>
        <v>0</v>
      </c>
      <c r="AT28" s="229"/>
    </row>
    <row r="29" spans="1:47">
      <c r="A29" s="281"/>
      <c r="B29" s="214">
        <f t="shared" si="0"/>
        <v>270</v>
      </c>
      <c r="C29" s="227" t="str">
        <f>VLOOKUP(B29,'Tipos de Defeitos'!B$4:E$106,Menu!$B$22+1,)</f>
        <v>Papel Separador Cortado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217">
        <f t="shared" si="19"/>
        <v>0</v>
      </c>
      <c r="AT29" s="229"/>
    </row>
    <row r="30" spans="1:47">
      <c r="A30" s="281"/>
      <c r="B30" s="214">
        <f t="shared" si="0"/>
        <v>280</v>
      </c>
      <c r="C30" s="227" t="str">
        <f>VLOOKUP(B30,'Tipos de Defeitos'!B$4:E$106,Menu!$B$22+1,)</f>
        <v>Papel Separador Rasgado</v>
      </c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217">
        <f t="shared" si="19"/>
        <v>0</v>
      </c>
      <c r="AT30" s="229"/>
    </row>
    <row r="31" spans="1:47">
      <c r="A31" s="281"/>
      <c r="B31" s="214">
        <f t="shared" si="0"/>
        <v>290</v>
      </c>
      <c r="C31" s="227" t="str">
        <f>VLOOKUP(B31,'Tipos de Defeitos'!B$4:E$106,Menu!$B$22+1,)</f>
        <v>Papel Dobrado Sup.</v>
      </c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217">
        <f t="shared" si="19"/>
        <v>0</v>
      </c>
      <c r="AT31" s="229"/>
    </row>
    <row r="32" spans="1:47">
      <c r="A32" s="281"/>
      <c r="B32" s="214">
        <f t="shared" si="0"/>
        <v>300</v>
      </c>
      <c r="C32" s="227" t="str">
        <f>VLOOKUP(B32,'Tipos de Defeitos'!B$4:E$106,Menu!$B$22+1,)</f>
        <v>Papel Dobrado Meio</v>
      </c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217">
        <f t="shared" si="19"/>
        <v>0</v>
      </c>
      <c r="AT32" s="229"/>
    </row>
    <row r="33" spans="1:46">
      <c r="A33" s="281"/>
      <c r="B33" s="214">
        <f t="shared" si="0"/>
        <v>310</v>
      </c>
      <c r="C33" s="227" t="str">
        <f>VLOOKUP(B33,'Tipos de Defeitos'!B$4:E$106,Menu!$B$22+1,)</f>
        <v>Papel Dobrado Inf.</v>
      </c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217">
        <f t="shared" si="19"/>
        <v>0</v>
      </c>
      <c r="AT33" s="229"/>
    </row>
    <row r="34" spans="1:46">
      <c r="A34" s="281"/>
      <c r="B34" s="214">
        <f t="shared" si="0"/>
        <v>320</v>
      </c>
      <c r="C34" s="227" t="str">
        <f>VLOOKUP(B34,'Tipos de Defeitos'!B$4:E$106,Menu!$B$22+1,)</f>
        <v>Papel Afundado</v>
      </c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217">
        <f t="shared" si="19"/>
        <v>0</v>
      </c>
      <c r="AT34" s="229"/>
    </row>
    <row r="35" spans="1:46">
      <c r="A35" s="281"/>
      <c r="B35" s="214">
        <f t="shared" si="0"/>
        <v>330</v>
      </c>
      <c r="C35" s="227" t="str">
        <f>VLOOKUP(B35,'Tipos de Defeitos'!B$4:E$106,Menu!$B$22+1,)</f>
        <v>Papel Deslocado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217">
        <f t="shared" si="19"/>
        <v>0</v>
      </c>
      <c r="AT35" s="229"/>
    </row>
    <row r="36" spans="1:46" ht="12.75" customHeight="1">
      <c r="A36" s="281"/>
      <c r="B36" s="214">
        <f t="shared" si="0"/>
        <v>340</v>
      </c>
      <c r="C36" s="227" t="str">
        <f>VLOOKUP(B36,'Tipos de Defeitos'!B$4:E$106,Menu!$B$22+1,)</f>
        <v>Papel menor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217">
        <f t="shared" si="19"/>
        <v>0</v>
      </c>
      <c r="AT36" s="229"/>
    </row>
    <row r="37" spans="1:46">
      <c r="A37" s="281"/>
      <c r="B37" s="214">
        <f t="shared" si="0"/>
        <v>350</v>
      </c>
      <c r="C37" s="227" t="str">
        <f>VLOOKUP(B37,'Tipos de Defeitos'!B$4:E$106,Menu!$B$22+1,)</f>
        <v>Sem Disco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217">
        <f t="shared" si="19"/>
        <v>0</v>
      </c>
      <c r="AT37" s="229"/>
    </row>
    <row r="38" spans="1:46">
      <c r="A38" s="281"/>
      <c r="B38" s="214">
        <f t="shared" si="0"/>
        <v>360</v>
      </c>
      <c r="C38" s="227" t="str">
        <f>VLOOKUP(B38,'Tipos de Defeitos'!B$4:E$106,Menu!$B$22+1,)</f>
        <v>Disco Cortado</v>
      </c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217">
        <f t="shared" si="19"/>
        <v>0</v>
      </c>
      <c r="AT38" s="229"/>
    </row>
    <row r="39" spans="1:46">
      <c r="A39" s="281"/>
      <c r="B39" s="214">
        <f t="shared" si="0"/>
        <v>370</v>
      </c>
      <c r="C39" s="227" t="str">
        <f>VLOOKUP(B39,'Tipos de Defeitos'!B$4:E$106,Menu!$B$22+1,)</f>
        <v>Disco Rasgado</v>
      </c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217">
        <f t="shared" si="19"/>
        <v>0</v>
      </c>
      <c r="AT39" s="229"/>
    </row>
    <row r="40" spans="1:46">
      <c r="A40" s="281"/>
      <c r="B40" s="214">
        <f t="shared" si="0"/>
        <v>380</v>
      </c>
      <c r="C40" s="227" t="str">
        <f>VLOOKUP(B40,'Tipos de Defeitos'!B$4:E$106,Menu!$B$22+1,)</f>
        <v>Disco Furado</v>
      </c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217">
        <f t="shared" si="19"/>
        <v>0</v>
      </c>
      <c r="AT40" s="229"/>
    </row>
    <row r="41" spans="1:46">
      <c r="A41" s="281"/>
      <c r="B41" s="214">
        <f t="shared" si="0"/>
        <v>390</v>
      </c>
      <c r="C41" s="227" t="str">
        <f>VLOOKUP(B41,'Tipos de Defeitos'!B$4:E$106,Menu!$B$22+1,)</f>
        <v>Disco Dobrado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217">
        <f t="shared" si="19"/>
        <v>0</v>
      </c>
      <c r="AT41" s="229"/>
    </row>
    <row r="42" spans="1:46">
      <c r="A42" s="281"/>
      <c r="B42" s="214">
        <f t="shared" si="0"/>
        <v>400</v>
      </c>
      <c r="C42" s="227" t="str">
        <f>VLOOKUP(B42,'Tipos de Defeitos'!B$4:E$106,Menu!$B$22+1,)</f>
        <v>Disco fora de centro / deslocado</v>
      </c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217">
        <f t="shared" si="19"/>
        <v>0</v>
      </c>
      <c r="AT42" s="229"/>
    </row>
    <row r="43" spans="1:46">
      <c r="A43" s="281"/>
      <c r="B43" s="214">
        <f t="shared" si="0"/>
        <v>410</v>
      </c>
      <c r="C43" s="227" t="str">
        <f>VLOOKUP(B43,'Tipos de Defeitos'!B$4:E$106,Menu!$B$22+1,)</f>
        <v>Isolador fora de centro</v>
      </c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217">
        <f t="shared" si="19"/>
        <v>0</v>
      </c>
      <c r="AT43" s="235"/>
    </row>
    <row r="44" spans="1:46">
      <c r="A44" s="281"/>
      <c r="B44" s="214">
        <f t="shared" si="0"/>
        <v>420</v>
      </c>
      <c r="C44" s="227" t="str">
        <f>VLOOKUP(B44,'Tipos de Defeitos'!B$4:E$106,Menu!$B$22+1,)</f>
        <v>Isolador afundado</v>
      </c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217">
        <f t="shared" si="19"/>
        <v>0</v>
      </c>
      <c r="AT44" s="236"/>
    </row>
    <row r="45" spans="1:46">
      <c r="A45" s="281"/>
      <c r="B45" s="214">
        <f t="shared" si="0"/>
        <v>430</v>
      </c>
      <c r="C45" s="227" t="str">
        <f>VLOOKUP(B45,'Tipos de Defeitos'!B$4:E$106,Menu!$B$22+1,)</f>
        <v>Isolador Inclinado</v>
      </c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217">
        <f t="shared" si="19"/>
        <v>0</v>
      </c>
      <c r="AT45" s="229"/>
    </row>
    <row r="46" spans="1:46">
      <c r="A46" s="281"/>
      <c r="B46" s="214">
        <f t="shared" si="0"/>
        <v>440</v>
      </c>
      <c r="C46" s="227" t="str">
        <f>VLOOKUP(B46,'Tipos de Defeitos'!B$4:E$106,Menu!$B$22+1,)</f>
        <v>Papel sujo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217">
        <f t="shared" si="19"/>
        <v>0</v>
      </c>
      <c r="AT46" s="229"/>
    </row>
    <row r="47" spans="1:46">
      <c r="A47" s="281"/>
      <c r="B47" s="214">
        <f t="shared" si="0"/>
        <v>450</v>
      </c>
      <c r="C47" s="227" t="str">
        <f>VLOOKUP(B47,'Tipos de Defeitos'!B$4:E$106,Menu!$B$22+1,)</f>
        <v>Manchado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217">
        <f t="shared" si="19"/>
        <v>0</v>
      </c>
      <c r="AT47" s="229"/>
    </row>
    <row r="48" spans="1:46">
      <c r="A48" s="281"/>
      <c r="B48" s="214">
        <f t="shared" si="0"/>
        <v>460</v>
      </c>
      <c r="C48" s="227" t="str">
        <f>VLOOKUP(B48,'Tipos de Defeitos'!B$4:E$106,Menu!$B$22+1,)</f>
        <v>Manchado Superior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217">
        <f t="shared" si="19"/>
        <v>0</v>
      </c>
      <c r="AT48" s="229"/>
    </row>
    <row r="49" spans="1:46">
      <c r="A49" s="281"/>
      <c r="B49" s="214">
        <f t="shared" si="0"/>
        <v>470</v>
      </c>
      <c r="C49" s="227" t="str">
        <f>VLOOKUP(B49,'Tipos de Defeitos'!B$4:E$106,Menu!$B$22+1,)</f>
        <v>Ferro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217">
        <f t="shared" si="19"/>
        <v>0</v>
      </c>
      <c r="AT49" s="229"/>
    </row>
    <row r="50" spans="1:46">
      <c r="A50" s="281"/>
      <c r="B50" s="214">
        <f t="shared" si="0"/>
        <v>480</v>
      </c>
      <c r="C50" s="227" t="str">
        <f>VLOOKUP(B50,'Tipos de Defeitos'!B$4:E$106,Menu!$B$22+1,)</f>
        <v>Cobre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217">
        <f t="shared" si="19"/>
        <v>0</v>
      </c>
      <c r="AT50" s="229"/>
    </row>
    <row r="51" spans="1:46">
      <c r="A51" s="281"/>
      <c r="B51" s="214">
        <f t="shared" si="0"/>
        <v>490</v>
      </c>
      <c r="C51" s="227" t="str">
        <f>VLOOKUP(B51,'Tipos de Defeitos'!B$4:E$106,Menu!$B$22+1,)</f>
        <v>Mistura no Tubo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217">
        <f t="shared" si="19"/>
        <v>0</v>
      </c>
      <c r="AT51" s="229"/>
    </row>
    <row r="52" spans="1:46">
      <c r="A52" s="281"/>
      <c r="B52" s="214">
        <f t="shared" si="0"/>
        <v>500</v>
      </c>
      <c r="C52" s="227" t="str">
        <f>VLOOKUP(B52,'Tipos de Defeitos'!B$4:E$106,Menu!$B$22+1,)</f>
        <v>Pó de Mistura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217">
        <f t="shared" si="19"/>
        <v>0</v>
      </c>
      <c r="AT52" s="229"/>
    </row>
    <row r="53" spans="1:46">
      <c r="A53" s="281"/>
      <c r="B53" s="214">
        <f t="shared" si="0"/>
        <v>510</v>
      </c>
      <c r="C53" s="227" t="str">
        <f>VLOOKUP(B53,'Tipos de Defeitos'!B$4:E$106,Menu!$B$22+1,)</f>
        <v>Bobina Baixa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217">
        <f t="shared" si="19"/>
        <v>0</v>
      </c>
      <c r="AT53" s="229"/>
    </row>
    <row r="54" spans="1:46">
      <c r="A54" s="281"/>
      <c r="B54" s="214">
        <f t="shared" si="0"/>
        <v>520</v>
      </c>
      <c r="C54" s="227" t="str">
        <f>VLOOKUP(B54,'Tipos de Defeitos'!B$4:E$106,Menu!$B$22+1,)</f>
        <v>Bobina Alta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217">
        <f t="shared" si="19"/>
        <v>0</v>
      </c>
      <c r="AT54" s="229"/>
    </row>
    <row r="55" spans="1:46">
      <c r="A55" s="281"/>
      <c r="B55" s="214">
        <f t="shared" si="0"/>
        <v>530</v>
      </c>
      <c r="C55" s="227" t="str">
        <f>VLOOKUP(B55,'Tipos de Defeitos'!B$4:E$106,Menu!$B$22+1,)</f>
        <v>Bobina Molhada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217">
        <f t="shared" si="19"/>
        <v>0</v>
      </c>
      <c r="AT55" s="229"/>
    </row>
    <row r="56" spans="1:46">
      <c r="A56" s="281"/>
      <c r="B56" s="214">
        <f t="shared" si="0"/>
        <v>540</v>
      </c>
      <c r="C56" s="227" t="str">
        <f>VLOOKUP(B56,'Tipos de Defeitos'!B$4:E$106,Menu!$B$22+1,)</f>
        <v>Mistura seca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217">
        <f t="shared" si="19"/>
        <v>0</v>
      </c>
      <c r="AT56" s="229"/>
    </row>
    <row r="57" spans="1:46">
      <c r="A57" s="281"/>
      <c r="B57" s="214">
        <f t="shared" si="0"/>
        <v>550</v>
      </c>
      <c r="C57" s="227" t="str">
        <f>VLOOKUP(B57,'Tipos de Defeitos'!B$4:E$106,Menu!$B$22+1,)</f>
        <v>Contem estranho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217">
        <f t="shared" si="19"/>
        <v>0</v>
      </c>
      <c r="AT57" s="229"/>
    </row>
    <row r="58" spans="1:46">
      <c r="A58" s="281"/>
      <c r="B58" s="214">
        <f t="shared" si="0"/>
        <v>560</v>
      </c>
      <c r="C58" s="227" t="str">
        <f>VLOOKUP(B58,'Tipos de Defeitos'!B$4:E$106,Menu!$B$22+1,)</f>
        <v>Pedra de Óxido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217">
        <f t="shared" si="19"/>
        <v>0</v>
      </c>
      <c r="AT58" s="229"/>
    </row>
    <row r="59" spans="1:46">
      <c r="A59" s="281"/>
      <c r="B59" s="214">
        <f t="shared" si="0"/>
        <v>570</v>
      </c>
      <c r="C59" s="227" t="str">
        <f>VLOOKUP(B59,'Tipos de Defeitos'!B$4:E$106,Menu!$B$22+1,)</f>
        <v>Carvão Quebrado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217">
        <f t="shared" si="19"/>
        <v>0</v>
      </c>
      <c r="AT59" s="229"/>
    </row>
    <row r="60" spans="1:46">
      <c r="A60" s="281"/>
      <c r="B60" s="214">
        <f t="shared" si="0"/>
        <v>580</v>
      </c>
      <c r="C60" s="227" t="str">
        <f>VLOOKUP(B60,'Tipos de Defeitos'!B$4:E$106,Menu!$B$22+1,)</f>
        <v>Sem Selante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217">
        <f t="shared" ref="AS60:AS77" si="20">SUM(D60:AJ60)</f>
        <v>0</v>
      </c>
      <c r="AT60" s="229"/>
    </row>
    <row r="61" spans="1:46">
      <c r="A61" s="281"/>
      <c r="B61" s="214">
        <f t="shared" si="0"/>
        <v>590</v>
      </c>
      <c r="C61" s="227" t="str">
        <f>VLOOKUP(B61,'Tipos de Defeitos'!B$4:E$106,Menu!$B$22+1,)</f>
        <v>PY c/ Falha de Injeção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217">
        <f t="shared" si="20"/>
        <v>0</v>
      </c>
      <c r="AT61" s="229"/>
    </row>
    <row r="62" spans="1:46">
      <c r="A62" s="281"/>
      <c r="B62" s="214">
        <f t="shared" si="0"/>
        <v>600</v>
      </c>
      <c r="C62" s="227" t="str">
        <f>VLOOKUP(B62,'Tipos de Defeitos'!B$4:E$106,Menu!$B$22+1,)</f>
        <v>Sem PY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217">
        <f t="shared" si="20"/>
        <v>0</v>
      </c>
      <c r="AT62" s="229"/>
    </row>
    <row r="63" spans="1:46">
      <c r="A63" s="281"/>
      <c r="B63" s="214">
        <f t="shared" si="0"/>
        <v>610</v>
      </c>
      <c r="C63" s="227" t="str">
        <f>VLOOKUP(B63,'Tipos de Defeitos'!B$4:E$106,Menu!$B$22+1,)</f>
        <v>PY Fora de Centro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217">
        <f t="shared" si="20"/>
        <v>0</v>
      </c>
      <c r="AT63" s="229"/>
    </row>
    <row r="64" spans="1:46">
      <c r="A64" s="281"/>
      <c r="B64" s="214">
        <f t="shared" si="0"/>
        <v>620</v>
      </c>
      <c r="C64" s="227" t="str">
        <f>VLOOKUP(B64,'Tipos de Defeitos'!B$4:E$106,Menu!$B$22+1,)</f>
        <v>PY Queimado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217">
        <f t="shared" si="20"/>
        <v>0</v>
      </c>
      <c r="AT64" s="229"/>
    </row>
    <row r="65" spans="1:46">
      <c r="A65" s="281"/>
      <c r="B65" s="214">
        <f t="shared" si="0"/>
        <v>630</v>
      </c>
      <c r="C65" s="227" t="str">
        <f>VLOOKUP(B65,'Tipos de Defeitos'!B$4:E$106,Menu!$B$22+1,)</f>
        <v>Tubo com Boca Amassada - Operador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217">
        <f t="shared" si="20"/>
        <v>0</v>
      </c>
      <c r="AT65" s="229"/>
    </row>
    <row r="66" spans="1:46">
      <c r="A66" s="281"/>
      <c r="B66" s="214">
        <f t="shared" si="0"/>
        <v>640</v>
      </c>
      <c r="C66" s="227" t="str">
        <f>VLOOKUP(B66,'Tipos de Defeitos'!B$4:E$106,Menu!$B$22+1,)</f>
        <v>Tubo com Boca Amassada - Câmera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217">
        <f t="shared" si="20"/>
        <v>0</v>
      </c>
      <c r="AT66" s="229"/>
    </row>
    <row r="67" spans="1:46">
      <c r="A67" s="281"/>
      <c r="B67" s="214">
        <f t="shared" si="0"/>
        <v>650</v>
      </c>
      <c r="C67" s="227" t="str">
        <f>VLOOKUP(B67,'Tipos de Defeitos'!B$4:E$106,Menu!$B$22+1,)</f>
        <v>Tubo com Boca Amassada - recuperada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217">
        <f t="shared" si="20"/>
        <v>0</v>
      </c>
      <c r="AT67" s="229"/>
    </row>
    <row r="68" spans="1:46">
      <c r="A68" s="281"/>
      <c r="B68" s="214">
        <f t="shared" si="0"/>
        <v>660</v>
      </c>
      <c r="C68" s="227" t="str">
        <f>VLOOKUP(B68,'Tipos de Defeitos'!B$4:E$106,Menu!$B$22+1,)</f>
        <v>Tubo Rachado - Operador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217">
        <f t="shared" si="20"/>
        <v>0</v>
      </c>
      <c r="AT68" s="229"/>
    </row>
    <row r="69" spans="1:46">
      <c r="A69" s="281"/>
      <c r="B69" s="214">
        <f t="shared" si="0"/>
        <v>670</v>
      </c>
      <c r="C69" s="227" t="str">
        <f>VLOOKUP(B69,'Tipos de Defeitos'!B$4:E$106,Menu!$B$22+1,)</f>
        <v>Tubo Rachado - Câmera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217">
        <f t="shared" si="20"/>
        <v>0</v>
      </c>
      <c r="AT69" s="229"/>
    </row>
    <row r="70" spans="1:46">
      <c r="A70" s="281"/>
      <c r="B70" s="214">
        <f t="shared" si="0"/>
        <v>680</v>
      </c>
      <c r="C70" s="227" t="str">
        <f>VLOOKUP(B70,'Tipos de Defeitos'!B$4:E$106,Menu!$B$22+1,)</f>
        <v>Tubo de Zinco Amassado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217">
        <f t="shared" si="20"/>
        <v>0</v>
      </c>
      <c r="AT70" s="229"/>
    </row>
    <row r="71" spans="1:46">
      <c r="A71" s="281"/>
      <c r="B71" s="214">
        <f t="shared" si="0"/>
        <v>690</v>
      </c>
      <c r="C71" s="227" t="str">
        <f>VLOOKUP(B71,'Tipos de Defeitos'!B$4:E$106,Menu!$B$22+1,)</f>
        <v>Tubo com Rebarba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217">
        <f t="shared" si="20"/>
        <v>0</v>
      </c>
      <c r="AT71" s="229"/>
    </row>
    <row r="72" spans="1:46">
      <c r="A72" s="281"/>
      <c r="B72" s="214">
        <f t="shared" si="0"/>
        <v>700</v>
      </c>
      <c r="C72" s="227" t="str">
        <f>VLOOKUP(B72,'Tipos de Defeitos'!B$4:E$106,Menu!$B$22+1,)</f>
        <v>Curto Circuito Externo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217">
        <f t="shared" si="20"/>
        <v>0</v>
      </c>
      <c r="AT72" s="229"/>
    </row>
    <row r="73" spans="1:46">
      <c r="A73" s="281"/>
      <c r="B73" s="214">
        <f t="shared" si="0"/>
        <v>710</v>
      </c>
      <c r="C73" s="227" t="str">
        <f>VLOOKUP(B73,'Tipos de Defeitos'!B$4:E$106,Menu!$B$22+1,)</f>
        <v>Curto Circ. Externo -  recuperada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217">
        <f t="shared" si="20"/>
        <v>0</v>
      </c>
      <c r="AT73" s="229"/>
    </row>
    <row r="74" spans="1:46">
      <c r="A74" s="281"/>
      <c r="B74" s="214">
        <f>(B73/10+1)*10</f>
        <v>720</v>
      </c>
      <c r="C74" s="227" t="str">
        <f>VLOOKUP(B74,'Tipos de Defeitos'!B$4:E$106,Menu!$B$22+1,)</f>
        <v>Pilha recuperada do Acabamento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217">
        <f t="shared" si="20"/>
        <v>0</v>
      </c>
      <c r="AT74" s="229"/>
    </row>
    <row r="75" spans="1:46">
      <c r="A75" s="281"/>
      <c r="B75" s="214">
        <f t="shared" si="0"/>
        <v>730</v>
      </c>
      <c r="C75" s="227" t="str">
        <f>VLOOKUP(B75,'Tipos de Defeitos'!B$4:E$106,Menu!$B$22+1,)</f>
        <v>Causa Desconhecida - Voltagem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217">
        <f t="shared" si="20"/>
        <v>0</v>
      </c>
      <c r="AT75" s="229"/>
    </row>
    <row r="76" spans="1:46">
      <c r="A76" s="281"/>
      <c r="B76" s="214">
        <f>(B75/10+1)*10</f>
        <v>740</v>
      </c>
      <c r="C76" s="227" t="str">
        <f>VLOOKUP(B76,'Tipos de Defeitos'!B$4:E$106,Menu!$B$22+1,)</f>
        <v>Pilha Boa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217">
        <f t="shared" si="20"/>
        <v>0</v>
      </c>
      <c r="AT76" s="229"/>
    </row>
    <row r="77" spans="1:46" ht="13.5" thickBot="1">
      <c r="A77" s="287"/>
      <c r="B77" s="220">
        <f>(B76/10+1)*10</f>
        <v>750</v>
      </c>
      <c r="C77" s="232" t="str">
        <f>VLOOKUP(B77,'Tipos de Defeitos'!B$4:E$106,Menu!$B$22+1,)</f>
        <v>Outros - Voltagem</v>
      </c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233">
        <f t="shared" si="20"/>
        <v>0</v>
      </c>
      <c r="AT77" s="229"/>
    </row>
    <row r="78" spans="1:46">
      <c r="A78" s="286" t="s">
        <v>194</v>
      </c>
      <c r="B78" s="224">
        <f t="shared" ref="B78:B107" si="21">(B77/10+1)*10</f>
        <v>760</v>
      </c>
      <c r="C78" s="225" t="str">
        <f>VLOOKUP(B78,'Tipos de Defeitos'!B$4:E$106,Menu!$B$22+1,)</f>
        <v>Total (pçs)</v>
      </c>
      <c r="D78" s="237">
        <f t="shared" ref="D78" si="22">SUM(D28:D77)</f>
        <v>0</v>
      </c>
      <c r="E78" s="237">
        <f t="shared" ref="E78:F78" si="23">SUM(E28:E77)</f>
        <v>0</v>
      </c>
      <c r="F78" s="237">
        <f t="shared" si="23"/>
        <v>0</v>
      </c>
      <c r="G78" s="237">
        <f t="shared" ref="G78" si="24">SUM(G28:G77)</f>
        <v>0</v>
      </c>
      <c r="H78" s="237">
        <f t="shared" ref="H78" si="25">SUM(H28:H77)</f>
        <v>0</v>
      </c>
      <c r="I78" s="237">
        <f t="shared" ref="I78:U78" si="26">SUM(I28:I77)</f>
        <v>0</v>
      </c>
      <c r="J78" s="237">
        <f t="shared" ref="J78" si="27">SUM(J28:J77)</f>
        <v>0</v>
      </c>
      <c r="K78" s="237">
        <f t="shared" si="26"/>
        <v>0</v>
      </c>
      <c r="L78" s="237">
        <f t="shared" si="26"/>
        <v>0</v>
      </c>
      <c r="M78" s="237">
        <f t="shared" si="26"/>
        <v>0</v>
      </c>
      <c r="N78" s="237">
        <f t="shared" si="26"/>
        <v>0</v>
      </c>
      <c r="O78" s="237">
        <f t="shared" ref="O78:P78" si="28">SUM(O28:O77)</f>
        <v>0</v>
      </c>
      <c r="P78" s="237">
        <f t="shared" si="28"/>
        <v>0</v>
      </c>
      <c r="Q78" s="237">
        <f t="shared" si="26"/>
        <v>0</v>
      </c>
      <c r="R78" s="237">
        <f t="shared" ref="R78:T78" si="29">SUM(R28:R77)</f>
        <v>0</v>
      </c>
      <c r="S78" s="237">
        <f t="shared" si="29"/>
        <v>0</v>
      </c>
      <c r="T78" s="237">
        <f t="shared" si="29"/>
        <v>0</v>
      </c>
      <c r="U78" s="237">
        <f t="shared" si="26"/>
        <v>0</v>
      </c>
      <c r="V78" s="237">
        <f t="shared" ref="V78:AR78" si="30">SUM(V28:V77)</f>
        <v>0</v>
      </c>
      <c r="W78" s="237">
        <f t="shared" si="30"/>
        <v>0</v>
      </c>
      <c r="X78" s="237">
        <f t="shared" si="30"/>
        <v>0</v>
      </c>
      <c r="Y78" s="237">
        <f t="shared" si="30"/>
        <v>0</v>
      </c>
      <c r="Z78" s="237">
        <f t="shared" si="30"/>
        <v>0</v>
      </c>
      <c r="AA78" s="237">
        <f t="shared" si="30"/>
        <v>0</v>
      </c>
      <c r="AB78" s="237">
        <f t="shared" si="30"/>
        <v>0</v>
      </c>
      <c r="AC78" s="237">
        <f t="shared" si="30"/>
        <v>0</v>
      </c>
      <c r="AD78" s="237">
        <f t="shared" si="30"/>
        <v>0</v>
      </c>
      <c r="AE78" s="237">
        <f t="shared" si="30"/>
        <v>0</v>
      </c>
      <c r="AF78" s="237">
        <f t="shared" si="30"/>
        <v>0</v>
      </c>
      <c r="AG78" s="237">
        <f t="shared" si="30"/>
        <v>0</v>
      </c>
      <c r="AH78" s="237">
        <f t="shared" si="30"/>
        <v>0</v>
      </c>
      <c r="AI78" s="237">
        <f t="shared" si="30"/>
        <v>0</v>
      </c>
      <c r="AJ78" s="237">
        <f t="shared" si="30"/>
        <v>0</v>
      </c>
      <c r="AK78" s="237">
        <f t="shared" si="30"/>
        <v>0</v>
      </c>
      <c r="AL78" s="237">
        <f t="shared" si="30"/>
        <v>0</v>
      </c>
      <c r="AM78" s="237">
        <f t="shared" si="30"/>
        <v>0</v>
      </c>
      <c r="AN78" s="237">
        <f t="shared" si="30"/>
        <v>0</v>
      </c>
      <c r="AO78" s="237">
        <f t="shared" si="30"/>
        <v>0</v>
      </c>
      <c r="AP78" s="237">
        <f t="shared" si="30"/>
        <v>0</v>
      </c>
      <c r="AQ78" s="237">
        <f t="shared" si="30"/>
        <v>0</v>
      </c>
      <c r="AR78" s="237">
        <f t="shared" si="30"/>
        <v>0</v>
      </c>
      <c r="AS78" s="226">
        <f>SUM(AS28:AS77)</f>
        <v>0</v>
      </c>
    </row>
    <row r="79" spans="1:46">
      <c r="A79" s="281"/>
      <c r="B79" s="214">
        <f t="shared" si="21"/>
        <v>770</v>
      </c>
      <c r="C79" s="227" t="str">
        <f>VLOOKUP(B79,'Tipos de Defeitos'!B$4:E$106,Menu!$B$22+1,)</f>
        <v>Taxa Defeituosa 1º Teste</v>
      </c>
      <c r="D79" s="238" t="str">
        <f t="shared" ref="D79" si="31">IF(D7&gt;0,D24/D7*1000000,"")</f>
        <v/>
      </c>
      <c r="E79" s="238" t="str">
        <f t="shared" ref="E79:F79" si="32">IF(E7&gt;0,E24/E7*1000000,"")</f>
        <v/>
      </c>
      <c r="F79" s="238" t="str">
        <f t="shared" si="32"/>
        <v/>
      </c>
      <c r="G79" s="238" t="str">
        <f t="shared" ref="G79" si="33">IF(G7&gt;0,G24/G7*1000000,"")</f>
        <v/>
      </c>
      <c r="H79" s="238" t="str">
        <f t="shared" ref="H79" si="34">IF(H7&gt;0,H24/H7*1000000,"")</f>
        <v/>
      </c>
      <c r="I79" s="238" t="str">
        <f t="shared" ref="I79:U79" si="35">IF(I7&gt;0,I24/I7*1000000,"")</f>
        <v/>
      </c>
      <c r="J79" s="238" t="str">
        <f t="shared" ref="J79" si="36">IF(J7&gt;0,J24/J7*1000000,"")</f>
        <v/>
      </c>
      <c r="K79" s="238" t="str">
        <f t="shared" si="35"/>
        <v/>
      </c>
      <c r="L79" s="238" t="str">
        <f t="shared" si="35"/>
        <v/>
      </c>
      <c r="M79" s="238" t="str">
        <f t="shared" si="35"/>
        <v/>
      </c>
      <c r="N79" s="238" t="str">
        <f t="shared" si="35"/>
        <v/>
      </c>
      <c r="O79" s="238" t="str">
        <f t="shared" ref="O79:P79" si="37">IF(O7&gt;0,O24/O7*1000000,"")</f>
        <v/>
      </c>
      <c r="P79" s="238" t="str">
        <f t="shared" si="37"/>
        <v/>
      </c>
      <c r="Q79" s="238" t="str">
        <f t="shared" si="35"/>
        <v/>
      </c>
      <c r="R79" s="238" t="str">
        <f t="shared" ref="R79:T79" si="38">IF(R7&gt;0,R24/R7*1000000,"")</f>
        <v/>
      </c>
      <c r="S79" s="238" t="str">
        <f t="shared" si="38"/>
        <v/>
      </c>
      <c r="T79" s="238" t="str">
        <f t="shared" si="38"/>
        <v/>
      </c>
      <c r="U79" s="238" t="str">
        <f t="shared" si="35"/>
        <v/>
      </c>
      <c r="V79" s="238" t="str">
        <f t="shared" ref="V79:AR79" si="39">IF(V7&gt;0,V24/V7*1000000,"")</f>
        <v/>
      </c>
      <c r="W79" s="238" t="str">
        <f t="shared" si="39"/>
        <v/>
      </c>
      <c r="X79" s="238" t="str">
        <f t="shared" si="39"/>
        <v/>
      </c>
      <c r="Y79" s="238" t="str">
        <f t="shared" si="39"/>
        <v/>
      </c>
      <c r="Z79" s="238" t="str">
        <f t="shared" si="39"/>
        <v/>
      </c>
      <c r="AA79" s="238" t="str">
        <f t="shared" si="39"/>
        <v/>
      </c>
      <c r="AB79" s="238" t="str">
        <f t="shared" si="39"/>
        <v/>
      </c>
      <c r="AC79" s="238" t="str">
        <f t="shared" si="39"/>
        <v/>
      </c>
      <c r="AD79" s="238" t="str">
        <f t="shared" si="39"/>
        <v/>
      </c>
      <c r="AE79" s="238" t="str">
        <f t="shared" si="39"/>
        <v/>
      </c>
      <c r="AF79" s="238" t="str">
        <f t="shared" si="39"/>
        <v/>
      </c>
      <c r="AG79" s="238" t="str">
        <f t="shared" si="39"/>
        <v/>
      </c>
      <c r="AH79" s="238" t="str">
        <f t="shared" si="39"/>
        <v/>
      </c>
      <c r="AI79" s="238" t="str">
        <f t="shared" si="39"/>
        <v/>
      </c>
      <c r="AJ79" s="238" t="str">
        <f t="shared" si="39"/>
        <v/>
      </c>
      <c r="AK79" s="238" t="str">
        <f t="shared" si="39"/>
        <v/>
      </c>
      <c r="AL79" s="238" t="str">
        <f t="shared" si="39"/>
        <v/>
      </c>
      <c r="AM79" s="238" t="str">
        <f t="shared" si="39"/>
        <v/>
      </c>
      <c r="AN79" s="238" t="str">
        <f t="shared" si="39"/>
        <v/>
      </c>
      <c r="AO79" s="238" t="str">
        <f t="shared" si="39"/>
        <v/>
      </c>
      <c r="AP79" s="238" t="str">
        <f t="shared" si="39"/>
        <v/>
      </c>
      <c r="AQ79" s="238" t="str">
        <f t="shared" si="39"/>
        <v/>
      </c>
      <c r="AR79" s="238" t="str">
        <f t="shared" si="39"/>
        <v/>
      </c>
      <c r="AS79" s="239">
        <f>IF(AS7&gt;0,AS23/AS7*1000000,0)</f>
        <v>0</v>
      </c>
    </row>
    <row r="80" spans="1:46">
      <c r="A80" s="281"/>
      <c r="B80" s="214">
        <f t="shared" si="21"/>
        <v>780</v>
      </c>
      <c r="C80" s="227" t="str">
        <f>VLOOKUP(B80,'Tipos de Defeitos'!B$4:E$106,Menu!$B$22+1,)</f>
        <v>Taxa defeituosa (ppm)</v>
      </c>
      <c r="D80" s="207">
        <f t="shared" ref="D80" si="40">IF(ISERR(D78/D27*D24/D7),0,ROUND(D78/D27*D24/D7*1000000,0))</f>
        <v>0</v>
      </c>
      <c r="E80" s="207">
        <f t="shared" ref="E80:F80" si="41">IF(ISERR(E78/E27*E24/E7),0,ROUND(E78/E27*E24/E7*1000000,0))</f>
        <v>0</v>
      </c>
      <c r="F80" s="207">
        <f t="shared" si="41"/>
        <v>0</v>
      </c>
      <c r="G80" s="207">
        <f t="shared" ref="G80" si="42">IF(ISERR(G78/G27*G24/G7),0,ROUND(G78/G27*G24/G7*1000000,0))</f>
        <v>0</v>
      </c>
      <c r="H80" s="207">
        <f t="shared" ref="H80" si="43">IF(ISERR(H78/H27*H24/H7),0,ROUND(H78/H27*H24/H7*1000000,0))</f>
        <v>0</v>
      </c>
      <c r="I80" s="207">
        <f t="shared" ref="I80:U80" si="44">IF(ISERR(I78/I27*I24/I7),0,ROUND(I78/I27*I24/I7*1000000,0))</f>
        <v>0</v>
      </c>
      <c r="J80" s="207">
        <f t="shared" ref="J80" si="45">IF(ISERR(J78/J27*J24/J7),0,ROUND(J78/J27*J24/J7*1000000,0))</f>
        <v>0</v>
      </c>
      <c r="K80" s="207">
        <f t="shared" si="44"/>
        <v>0</v>
      </c>
      <c r="L80" s="207">
        <f t="shared" si="44"/>
        <v>0</v>
      </c>
      <c r="M80" s="207">
        <f t="shared" si="44"/>
        <v>0</v>
      </c>
      <c r="N80" s="207">
        <f t="shared" si="44"/>
        <v>0</v>
      </c>
      <c r="O80" s="207">
        <f t="shared" ref="O80:P80" si="46">IF(ISERR(O78/O27*O24/O7),0,ROUND(O78/O27*O24/O7*1000000,0))</f>
        <v>0</v>
      </c>
      <c r="P80" s="207">
        <f t="shared" si="46"/>
        <v>0</v>
      </c>
      <c r="Q80" s="207">
        <f t="shared" si="44"/>
        <v>0</v>
      </c>
      <c r="R80" s="207">
        <f t="shared" ref="R80:T80" si="47">IF(ISERR(R78/R27*R24/R7),0,ROUND(R78/R27*R24/R7*1000000,0))</f>
        <v>0</v>
      </c>
      <c r="S80" s="207">
        <f t="shared" si="47"/>
        <v>0</v>
      </c>
      <c r="T80" s="207">
        <f t="shared" si="47"/>
        <v>0</v>
      </c>
      <c r="U80" s="207">
        <f t="shared" si="44"/>
        <v>0</v>
      </c>
      <c r="V80" s="207">
        <f t="shared" ref="V80:AR80" si="48">IF(ISERR(V78/V27*V24/V7),0,ROUND(V78/V27*V24/V7*1000000,0))</f>
        <v>0</v>
      </c>
      <c r="W80" s="207">
        <f t="shared" si="48"/>
        <v>0</v>
      </c>
      <c r="X80" s="207">
        <f t="shared" si="48"/>
        <v>0</v>
      </c>
      <c r="Y80" s="207">
        <f t="shared" si="48"/>
        <v>0</v>
      </c>
      <c r="Z80" s="207">
        <f t="shared" si="48"/>
        <v>0</v>
      </c>
      <c r="AA80" s="207">
        <f t="shared" si="48"/>
        <v>0</v>
      </c>
      <c r="AB80" s="207">
        <f t="shared" si="48"/>
        <v>0</v>
      </c>
      <c r="AC80" s="207">
        <f t="shared" si="48"/>
        <v>0</v>
      </c>
      <c r="AD80" s="207">
        <f t="shared" si="48"/>
        <v>0</v>
      </c>
      <c r="AE80" s="207">
        <f t="shared" si="48"/>
        <v>0</v>
      </c>
      <c r="AF80" s="207">
        <f t="shared" si="48"/>
        <v>0</v>
      </c>
      <c r="AG80" s="207">
        <f t="shared" si="48"/>
        <v>0</v>
      </c>
      <c r="AH80" s="207">
        <f t="shared" si="48"/>
        <v>0</v>
      </c>
      <c r="AI80" s="207">
        <f t="shared" si="48"/>
        <v>0</v>
      </c>
      <c r="AJ80" s="207">
        <f t="shared" si="48"/>
        <v>0</v>
      </c>
      <c r="AK80" s="207">
        <f t="shared" si="48"/>
        <v>0</v>
      </c>
      <c r="AL80" s="207">
        <f t="shared" si="48"/>
        <v>0</v>
      </c>
      <c r="AM80" s="207">
        <f t="shared" si="48"/>
        <v>0</v>
      </c>
      <c r="AN80" s="207">
        <f t="shared" si="48"/>
        <v>0</v>
      </c>
      <c r="AO80" s="207">
        <f t="shared" si="48"/>
        <v>0</v>
      </c>
      <c r="AP80" s="207">
        <f t="shared" si="48"/>
        <v>0</v>
      </c>
      <c r="AQ80" s="207">
        <f t="shared" si="48"/>
        <v>0</v>
      </c>
      <c r="AR80" s="207">
        <f t="shared" si="48"/>
        <v>0</v>
      </c>
      <c r="AS80" s="239">
        <f>IF(ISERR(AS78/AS27*AS24/AS7),0,ROUND(AS78/AS27*AS24/AS7*1000000,0))</f>
        <v>0</v>
      </c>
    </row>
    <row r="81" spans="1:45">
      <c r="A81" s="281"/>
      <c r="B81" s="214">
        <f t="shared" si="21"/>
        <v>790</v>
      </c>
      <c r="C81" s="227" t="str">
        <f>VLOOKUP(B81,'Tipos de Defeitos'!B$4:E$106,Menu!$B$22+1,)</f>
        <v>Qtd. Defeitos internos (pçs)</v>
      </c>
      <c r="D81" s="207">
        <f t="shared" ref="D81" si="49">SUM(D28:D71,D86:D98)</f>
        <v>0</v>
      </c>
      <c r="E81" s="207">
        <f t="shared" ref="E81:F81" si="50">SUM(E28:E71,E86:E98)</f>
        <v>0</v>
      </c>
      <c r="F81" s="207">
        <f t="shared" si="50"/>
        <v>0</v>
      </c>
      <c r="G81" s="207">
        <f t="shared" ref="G81:AR81" si="51">SUM(G28:G71,G86:G98)</f>
        <v>0</v>
      </c>
      <c r="H81" s="207">
        <f t="shared" si="51"/>
        <v>0</v>
      </c>
      <c r="I81" s="207">
        <f t="shared" si="51"/>
        <v>0</v>
      </c>
      <c r="J81" s="207">
        <f t="shared" si="51"/>
        <v>0</v>
      </c>
      <c r="K81" s="207">
        <f t="shared" si="51"/>
        <v>0</v>
      </c>
      <c r="L81" s="207">
        <f t="shared" si="51"/>
        <v>0</v>
      </c>
      <c r="M81" s="207">
        <f t="shared" si="51"/>
        <v>0</v>
      </c>
      <c r="N81" s="207">
        <f t="shared" si="51"/>
        <v>0</v>
      </c>
      <c r="O81" s="207">
        <f t="shared" si="51"/>
        <v>0</v>
      </c>
      <c r="P81" s="207">
        <f t="shared" si="51"/>
        <v>0</v>
      </c>
      <c r="Q81" s="207">
        <f t="shared" si="51"/>
        <v>0</v>
      </c>
      <c r="R81" s="207">
        <f t="shared" si="51"/>
        <v>0</v>
      </c>
      <c r="S81" s="207">
        <f t="shared" si="51"/>
        <v>0</v>
      </c>
      <c r="T81" s="207">
        <f t="shared" si="51"/>
        <v>0</v>
      </c>
      <c r="U81" s="207">
        <f t="shared" si="51"/>
        <v>0</v>
      </c>
      <c r="V81" s="207">
        <f t="shared" si="51"/>
        <v>0</v>
      </c>
      <c r="W81" s="207">
        <f t="shared" si="51"/>
        <v>0</v>
      </c>
      <c r="X81" s="207">
        <f t="shared" si="51"/>
        <v>0</v>
      </c>
      <c r="Y81" s="207">
        <f t="shared" si="51"/>
        <v>0</v>
      </c>
      <c r="Z81" s="207">
        <f t="shared" si="51"/>
        <v>0</v>
      </c>
      <c r="AA81" s="207">
        <f t="shared" si="51"/>
        <v>0</v>
      </c>
      <c r="AB81" s="207">
        <f t="shared" si="51"/>
        <v>0</v>
      </c>
      <c r="AC81" s="207">
        <f t="shared" si="51"/>
        <v>0</v>
      </c>
      <c r="AD81" s="207">
        <f t="shared" si="51"/>
        <v>0</v>
      </c>
      <c r="AE81" s="207">
        <f t="shared" si="51"/>
        <v>0</v>
      </c>
      <c r="AF81" s="207">
        <f t="shared" si="51"/>
        <v>0</v>
      </c>
      <c r="AG81" s="207">
        <f t="shared" si="51"/>
        <v>0</v>
      </c>
      <c r="AH81" s="207">
        <f t="shared" si="51"/>
        <v>0</v>
      </c>
      <c r="AI81" s="207">
        <f t="shared" si="51"/>
        <v>0</v>
      </c>
      <c r="AJ81" s="207">
        <f t="shared" si="51"/>
        <v>0</v>
      </c>
      <c r="AK81" s="207">
        <f t="shared" si="51"/>
        <v>0</v>
      </c>
      <c r="AL81" s="207">
        <f t="shared" si="51"/>
        <v>0</v>
      </c>
      <c r="AM81" s="207">
        <f t="shared" si="51"/>
        <v>0</v>
      </c>
      <c r="AN81" s="207">
        <f t="shared" si="51"/>
        <v>0</v>
      </c>
      <c r="AO81" s="207">
        <f t="shared" si="51"/>
        <v>0</v>
      </c>
      <c r="AP81" s="207">
        <f t="shared" si="51"/>
        <v>0</v>
      </c>
      <c r="AQ81" s="207">
        <f t="shared" si="51"/>
        <v>0</v>
      </c>
      <c r="AR81" s="207">
        <f t="shared" si="51"/>
        <v>0</v>
      </c>
      <c r="AS81" s="217">
        <f>SUM(AS28:AS77)</f>
        <v>0</v>
      </c>
    </row>
    <row r="82" spans="1:45" ht="13.5" thickBot="1">
      <c r="A82" s="287"/>
      <c r="B82" s="220">
        <f t="shared" si="21"/>
        <v>800</v>
      </c>
      <c r="C82" s="232" t="str">
        <f>VLOOKUP(B82,'Tipos de Defeitos'!B$4:E$106,Menu!$B$22+1,)</f>
        <v>Defeitos Internos - Taxa defeituosa (ppm)</v>
      </c>
      <c r="D82" s="222" t="str">
        <f t="shared" ref="D82" si="52">IF((D7&gt;0)*(D23&gt;0),ROUND(D81/D27*D24/D7*1000000,0),"")</f>
        <v/>
      </c>
      <c r="E82" s="222" t="str">
        <f t="shared" ref="E82:F82" si="53">IF((E7&gt;0)*(E23&gt;0),ROUND(E81/E27*E24/E7*1000000,0),"")</f>
        <v/>
      </c>
      <c r="F82" s="222" t="str">
        <f t="shared" si="53"/>
        <v/>
      </c>
      <c r="G82" s="222" t="str">
        <f t="shared" ref="G82" si="54">IF((G7&gt;0)*(G23&gt;0),ROUND(G81/G27*G24/G7*1000000,0),"")</f>
        <v/>
      </c>
      <c r="H82" s="222" t="str">
        <f t="shared" ref="H82" si="55">IF((H7&gt;0)*(H23&gt;0),ROUND(H81/H27*H24/H7*1000000,0),"")</f>
        <v/>
      </c>
      <c r="I82" s="222" t="str">
        <f t="shared" ref="I82:U82" si="56">IF((I7&gt;0)*(I23&gt;0),ROUND(I81/I27*I24/I7*1000000,0),"")</f>
        <v/>
      </c>
      <c r="J82" s="222" t="str">
        <f t="shared" ref="J82" si="57">IF((J7&gt;0)*(J23&gt;0),ROUND(J81/J27*J24/J7*1000000,0),"")</f>
        <v/>
      </c>
      <c r="K82" s="222" t="str">
        <f t="shared" si="56"/>
        <v/>
      </c>
      <c r="L82" s="222" t="str">
        <f t="shared" si="56"/>
        <v/>
      </c>
      <c r="M82" s="222" t="str">
        <f t="shared" si="56"/>
        <v/>
      </c>
      <c r="N82" s="222" t="str">
        <f t="shared" si="56"/>
        <v/>
      </c>
      <c r="O82" s="222" t="str">
        <f t="shared" ref="O82:P82" si="58">IF((O7&gt;0)*(O23&gt;0),ROUND(O81/O27*O24/O7*1000000,0),"")</f>
        <v/>
      </c>
      <c r="P82" s="222" t="str">
        <f t="shared" si="58"/>
        <v/>
      </c>
      <c r="Q82" s="222" t="str">
        <f t="shared" si="56"/>
        <v/>
      </c>
      <c r="R82" s="222" t="str">
        <f t="shared" ref="R82:T82" si="59">IF((R7&gt;0)*(R23&gt;0),ROUND(R81/R27*R24/R7*1000000,0),"")</f>
        <v/>
      </c>
      <c r="S82" s="222" t="str">
        <f t="shared" si="59"/>
        <v/>
      </c>
      <c r="T82" s="222" t="str">
        <f t="shared" si="59"/>
        <v/>
      </c>
      <c r="U82" s="222" t="str">
        <f t="shared" si="56"/>
        <v/>
      </c>
      <c r="V82" s="222" t="str">
        <f t="shared" ref="V82:AR82" si="60">IF((V7&gt;0)*(V23&gt;0),ROUND(V81/V27*V24/V7*1000000,0),"")</f>
        <v/>
      </c>
      <c r="W82" s="222" t="str">
        <f t="shared" si="60"/>
        <v/>
      </c>
      <c r="X82" s="222" t="str">
        <f t="shared" si="60"/>
        <v/>
      </c>
      <c r="Y82" s="222" t="str">
        <f t="shared" si="60"/>
        <v/>
      </c>
      <c r="Z82" s="222" t="str">
        <f t="shared" si="60"/>
        <v/>
      </c>
      <c r="AA82" s="222" t="str">
        <f t="shared" si="60"/>
        <v/>
      </c>
      <c r="AB82" s="222" t="str">
        <f t="shared" si="60"/>
        <v/>
      </c>
      <c r="AC82" s="222" t="str">
        <f t="shared" si="60"/>
        <v/>
      </c>
      <c r="AD82" s="222" t="str">
        <f t="shared" si="60"/>
        <v/>
      </c>
      <c r="AE82" s="222" t="str">
        <f t="shared" si="60"/>
        <v/>
      </c>
      <c r="AF82" s="222" t="str">
        <f t="shared" si="60"/>
        <v/>
      </c>
      <c r="AG82" s="222" t="str">
        <f t="shared" si="60"/>
        <v/>
      </c>
      <c r="AH82" s="222" t="str">
        <f t="shared" si="60"/>
        <v/>
      </c>
      <c r="AI82" s="222" t="str">
        <f t="shared" si="60"/>
        <v/>
      </c>
      <c r="AJ82" s="222" t="str">
        <f t="shared" si="60"/>
        <v/>
      </c>
      <c r="AK82" s="222" t="str">
        <f t="shared" si="60"/>
        <v/>
      </c>
      <c r="AL82" s="222" t="str">
        <f t="shared" si="60"/>
        <v/>
      </c>
      <c r="AM82" s="222" t="str">
        <f t="shared" si="60"/>
        <v/>
      </c>
      <c r="AN82" s="222" t="str">
        <f t="shared" si="60"/>
        <v/>
      </c>
      <c r="AO82" s="222" t="str">
        <f t="shared" si="60"/>
        <v/>
      </c>
      <c r="AP82" s="222" t="str">
        <f t="shared" si="60"/>
        <v/>
      </c>
      <c r="AQ82" s="222" t="str">
        <f t="shared" si="60"/>
        <v/>
      </c>
      <c r="AR82" s="222" t="str">
        <f t="shared" si="60"/>
        <v/>
      </c>
      <c r="AS82" s="240" t="str">
        <f>IF((AS7&gt;0)*(AS23&gt;0),ROUND(AS81/AS27*AS24/AS7*1000000,0),"")</f>
        <v/>
      </c>
    </row>
    <row r="83" spans="1:45" s="229" customFormat="1" ht="14.25" customHeight="1">
      <c r="A83" s="278" t="s">
        <v>192</v>
      </c>
      <c r="B83" s="241">
        <f t="shared" si="21"/>
        <v>810</v>
      </c>
      <c r="C83" s="242" t="str">
        <f>VLOOKUP(B83,'Tipos de Defeitos'!B$4:E$106,Menu!$B$22+1,)</f>
        <v>Amperagem (Moda)</v>
      </c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8"/>
      <c r="AJ83" s="178"/>
      <c r="AK83" s="178"/>
      <c r="AL83" s="178"/>
      <c r="AM83" s="178"/>
      <c r="AN83" s="178"/>
      <c r="AO83" s="178"/>
      <c r="AP83" s="178"/>
      <c r="AQ83" s="178"/>
      <c r="AR83" s="178"/>
      <c r="AS83" s="243" t="e">
        <f>AVERAGE(D83:AJ83)</f>
        <v>#DIV/0!</v>
      </c>
    </row>
    <row r="84" spans="1:45" s="229" customFormat="1">
      <c r="A84" s="279"/>
      <c r="B84" s="244">
        <f t="shared" si="21"/>
        <v>820</v>
      </c>
      <c r="C84" s="245" t="str">
        <f>VLOOKUP(B84,'Tipos de Defeitos'!B$4:E$106,Menu!$B$22+1,)</f>
        <v>Amperagem Ajustada</v>
      </c>
      <c r="D84" s="246" t="str">
        <f t="shared" ref="D84" si="61">IF(D83&gt;0,D83-1,"")</f>
        <v/>
      </c>
      <c r="E84" s="246" t="str">
        <f t="shared" ref="E84:F84" si="62">IF(E83&gt;0,E83-1,"")</f>
        <v/>
      </c>
      <c r="F84" s="246" t="str">
        <f t="shared" si="62"/>
        <v/>
      </c>
      <c r="G84" s="246" t="str">
        <f t="shared" ref="G84" si="63">IF(G83&gt;0,G83-1,"")</f>
        <v/>
      </c>
      <c r="H84" s="246" t="str">
        <f t="shared" ref="H84" si="64">IF(H83&gt;0,H83-1,"")</f>
        <v/>
      </c>
      <c r="I84" s="246" t="str">
        <f t="shared" ref="I84:U84" si="65">IF(I83&gt;0,I83-1,"")</f>
        <v/>
      </c>
      <c r="J84" s="246" t="str">
        <f t="shared" si="65"/>
        <v/>
      </c>
      <c r="K84" s="246" t="str">
        <f t="shared" ref="K84:N84" si="66">IF(K83&gt;0,K83-1,"")</f>
        <v/>
      </c>
      <c r="L84" s="246" t="str">
        <f t="shared" si="66"/>
        <v/>
      </c>
      <c r="M84" s="246" t="str">
        <f t="shared" si="66"/>
        <v/>
      </c>
      <c r="N84" s="246" t="str">
        <f t="shared" si="66"/>
        <v/>
      </c>
      <c r="O84" s="246" t="str">
        <f t="shared" si="65"/>
        <v/>
      </c>
      <c r="P84" s="246" t="str">
        <f>IF(P83&gt;0,P83-1,"")</f>
        <v/>
      </c>
      <c r="Q84" s="246" t="str">
        <f t="shared" si="65"/>
        <v/>
      </c>
      <c r="R84" s="246" t="str">
        <f t="shared" ref="R84:T84" si="67">IF(R83&gt;0,R83-1,"")</f>
        <v/>
      </c>
      <c r="S84" s="246" t="str">
        <f t="shared" si="67"/>
        <v/>
      </c>
      <c r="T84" s="246" t="str">
        <f t="shared" si="67"/>
        <v/>
      </c>
      <c r="U84" s="246" t="str">
        <f t="shared" si="65"/>
        <v/>
      </c>
      <c r="V84" s="246" t="str">
        <f t="shared" ref="V84:AR84" si="68">IF(V83&gt;0,V83-1,"")</f>
        <v/>
      </c>
      <c r="W84" s="246" t="str">
        <f t="shared" si="68"/>
        <v/>
      </c>
      <c r="X84" s="246" t="str">
        <f t="shared" si="68"/>
        <v/>
      </c>
      <c r="Y84" s="246" t="str">
        <f t="shared" si="68"/>
        <v/>
      </c>
      <c r="Z84" s="246" t="str">
        <f t="shared" si="68"/>
        <v/>
      </c>
      <c r="AA84" s="246" t="str">
        <f t="shared" si="68"/>
        <v/>
      </c>
      <c r="AB84" s="246" t="str">
        <f t="shared" si="68"/>
        <v/>
      </c>
      <c r="AC84" s="246" t="str">
        <f t="shared" si="68"/>
        <v/>
      </c>
      <c r="AD84" s="246" t="str">
        <f t="shared" si="68"/>
        <v/>
      </c>
      <c r="AE84" s="246" t="str">
        <f t="shared" si="68"/>
        <v/>
      </c>
      <c r="AF84" s="246" t="str">
        <f t="shared" si="68"/>
        <v/>
      </c>
      <c r="AG84" s="246" t="str">
        <f t="shared" si="68"/>
        <v/>
      </c>
      <c r="AH84" s="246" t="str">
        <f t="shared" si="68"/>
        <v/>
      </c>
      <c r="AI84" s="246" t="str">
        <f t="shared" si="68"/>
        <v/>
      </c>
      <c r="AJ84" s="246" t="str">
        <f t="shared" si="68"/>
        <v/>
      </c>
      <c r="AK84" s="246" t="str">
        <f t="shared" si="68"/>
        <v/>
      </c>
      <c r="AL84" s="246" t="str">
        <f t="shared" si="68"/>
        <v/>
      </c>
      <c r="AM84" s="246" t="str">
        <f t="shared" si="68"/>
        <v/>
      </c>
      <c r="AN84" s="246" t="str">
        <f t="shared" si="68"/>
        <v/>
      </c>
      <c r="AO84" s="246" t="str">
        <f t="shared" si="68"/>
        <v/>
      </c>
      <c r="AP84" s="246" t="str">
        <f t="shared" si="68"/>
        <v/>
      </c>
      <c r="AQ84" s="246" t="str">
        <f t="shared" si="68"/>
        <v/>
      </c>
      <c r="AR84" s="246" t="str">
        <f t="shared" si="68"/>
        <v/>
      </c>
      <c r="AS84" s="216" t="e">
        <f>AVERAGE(D84:AJ84)</f>
        <v>#DIV/0!</v>
      </c>
    </row>
    <row r="85" spans="1:45" ht="13.5" thickBot="1">
      <c r="A85" s="280"/>
      <c r="B85" s="220">
        <f t="shared" si="21"/>
        <v>830</v>
      </c>
      <c r="C85" s="232" t="str">
        <f>VLOOKUP(B85,'Tipos de Defeitos'!B$4:E$106,Menu!$B$22+1,)</f>
        <v>Qtd Baterias analisadas (pçs)</v>
      </c>
      <c r="D85" s="247">
        <f t="shared" ref="D85" si="69">SUM(D86:D102)</f>
        <v>0</v>
      </c>
      <c r="E85" s="247">
        <f t="shared" ref="E85:F85" si="70">SUM(E86:E102)</f>
        <v>0</v>
      </c>
      <c r="F85" s="247">
        <f t="shared" si="70"/>
        <v>0</v>
      </c>
      <c r="G85" s="247">
        <f t="shared" ref="G85" si="71">SUM(G86:G102)</f>
        <v>0</v>
      </c>
      <c r="H85" s="247">
        <f t="shared" ref="H85" si="72">SUM(H86:H102)</f>
        <v>0</v>
      </c>
      <c r="I85" s="247">
        <f t="shared" ref="I85:U85" si="73">SUM(I86:I102)</f>
        <v>0</v>
      </c>
      <c r="J85" s="247">
        <f t="shared" ref="J85" si="74">SUM(J86:J102)</f>
        <v>0</v>
      </c>
      <c r="K85" s="247">
        <f t="shared" si="73"/>
        <v>0</v>
      </c>
      <c r="L85" s="247">
        <f t="shared" si="73"/>
        <v>0</v>
      </c>
      <c r="M85" s="247">
        <f t="shared" si="73"/>
        <v>0</v>
      </c>
      <c r="N85" s="247">
        <f t="shared" si="73"/>
        <v>0</v>
      </c>
      <c r="O85" s="247">
        <f t="shared" ref="O85:P85" si="75">SUM(O86:O102)</f>
        <v>0</v>
      </c>
      <c r="P85" s="247">
        <f t="shared" si="75"/>
        <v>0</v>
      </c>
      <c r="Q85" s="247">
        <f t="shared" si="73"/>
        <v>0</v>
      </c>
      <c r="R85" s="247">
        <f t="shared" ref="R85:T85" si="76">SUM(R86:R102)</f>
        <v>0</v>
      </c>
      <c r="S85" s="247">
        <f t="shared" si="76"/>
        <v>0</v>
      </c>
      <c r="T85" s="247">
        <f t="shared" si="76"/>
        <v>0</v>
      </c>
      <c r="U85" s="247">
        <f t="shared" si="73"/>
        <v>0</v>
      </c>
      <c r="V85" s="247">
        <f t="shared" ref="V85:AR85" si="77">SUM(V86:V102)</f>
        <v>0</v>
      </c>
      <c r="W85" s="247">
        <f t="shared" si="77"/>
        <v>0</v>
      </c>
      <c r="X85" s="247">
        <f t="shared" si="77"/>
        <v>0</v>
      </c>
      <c r="Y85" s="247">
        <f t="shared" si="77"/>
        <v>0</v>
      </c>
      <c r="Z85" s="247">
        <f t="shared" si="77"/>
        <v>0</v>
      </c>
      <c r="AA85" s="247">
        <f t="shared" si="77"/>
        <v>0</v>
      </c>
      <c r="AB85" s="247">
        <f t="shared" si="77"/>
        <v>0</v>
      </c>
      <c r="AC85" s="247">
        <f t="shared" si="77"/>
        <v>0</v>
      </c>
      <c r="AD85" s="247">
        <f t="shared" si="77"/>
        <v>0</v>
      </c>
      <c r="AE85" s="247">
        <f t="shared" si="77"/>
        <v>0</v>
      </c>
      <c r="AF85" s="247">
        <f t="shared" si="77"/>
        <v>0</v>
      </c>
      <c r="AG85" s="247">
        <f t="shared" si="77"/>
        <v>0</v>
      </c>
      <c r="AH85" s="247">
        <f t="shared" si="77"/>
        <v>0</v>
      </c>
      <c r="AI85" s="247">
        <f t="shared" si="77"/>
        <v>0</v>
      </c>
      <c r="AJ85" s="247">
        <f t="shared" si="77"/>
        <v>0</v>
      </c>
      <c r="AK85" s="247">
        <f t="shared" si="77"/>
        <v>0</v>
      </c>
      <c r="AL85" s="247">
        <f t="shared" si="77"/>
        <v>0</v>
      </c>
      <c r="AM85" s="247">
        <f t="shared" si="77"/>
        <v>0</v>
      </c>
      <c r="AN85" s="247">
        <f t="shared" si="77"/>
        <v>0</v>
      </c>
      <c r="AO85" s="247">
        <f t="shared" si="77"/>
        <v>0</v>
      </c>
      <c r="AP85" s="247">
        <f t="shared" si="77"/>
        <v>0</v>
      </c>
      <c r="AQ85" s="247">
        <f t="shared" si="77"/>
        <v>0</v>
      </c>
      <c r="AR85" s="247">
        <f t="shared" si="77"/>
        <v>0</v>
      </c>
      <c r="AS85" s="248">
        <f>SUM(AS86:AS103)</f>
        <v>0</v>
      </c>
    </row>
    <row r="86" spans="1:45" ht="13.5" customHeight="1">
      <c r="A86" s="281" t="s">
        <v>28</v>
      </c>
      <c r="B86" s="211">
        <f t="shared" si="21"/>
        <v>840</v>
      </c>
      <c r="C86" s="249" t="str">
        <f>VLOOKUP(B86,'Tipos de Defeitos'!B$4:E$106,Menu!$B$22+1,)</f>
        <v>Papel Separdor Duplo</v>
      </c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228">
        <f t="shared" ref="AS86:AS102" si="78">SUM(D86:AJ86)</f>
        <v>0</v>
      </c>
    </row>
    <row r="87" spans="1:45">
      <c r="A87" s="281"/>
      <c r="B87" s="214">
        <f t="shared" si="21"/>
        <v>850</v>
      </c>
      <c r="C87" s="227" t="str">
        <f>VLOOKUP(B87,'Tipos de Defeitos'!B$4:E$106,Menu!$B$22+1,)</f>
        <v>Pedra de Negro</v>
      </c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  <c r="AS87" s="228">
        <f t="shared" si="78"/>
        <v>0</v>
      </c>
    </row>
    <row r="88" spans="1:45">
      <c r="A88" s="281"/>
      <c r="B88" s="214">
        <f t="shared" si="21"/>
        <v>860</v>
      </c>
      <c r="C88" s="227" t="str">
        <f>VLOOKUP(B88,'Tipos de Defeitos'!B$4:E$106,Menu!$B$22+1,)</f>
        <v>Pedra de Cl de Amônia</v>
      </c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  <c r="AS88" s="228">
        <f t="shared" si="78"/>
        <v>0</v>
      </c>
    </row>
    <row r="89" spans="1:45">
      <c r="A89" s="281"/>
      <c r="B89" s="214">
        <f t="shared" si="21"/>
        <v>870</v>
      </c>
      <c r="C89" s="227" t="str">
        <f>VLOOKUP(B89,'Tipos de Defeitos'!B$4:E$106,Menu!$B$22+1,)</f>
        <v>Pelota de Manganês</v>
      </c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228">
        <f t="shared" si="78"/>
        <v>0</v>
      </c>
    </row>
    <row r="90" spans="1:45">
      <c r="A90" s="281"/>
      <c r="B90" s="214">
        <f t="shared" si="21"/>
        <v>880</v>
      </c>
      <c r="C90" s="227" t="str">
        <f>VLOOKUP(B90,'Tipos de Defeitos'!B$4:E$106,Menu!$B$22+1,)</f>
        <v>Bobina Baixa</v>
      </c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  <c r="AS90" s="228">
        <f t="shared" si="78"/>
        <v>0</v>
      </c>
    </row>
    <row r="91" spans="1:45">
      <c r="A91" s="281"/>
      <c r="B91" s="214">
        <f t="shared" si="21"/>
        <v>890</v>
      </c>
      <c r="C91" s="227" t="str">
        <f>VLOOKUP(B91,'Tipos de Defeitos'!B$4:E$106,Menu!$B$22+1,)</f>
        <v>Bobina Rachada</v>
      </c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228">
        <f t="shared" si="78"/>
        <v>0</v>
      </c>
    </row>
    <row r="92" spans="1:45">
      <c r="A92" s="281"/>
      <c r="B92" s="214">
        <f t="shared" si="21"/>
        <v>900</v>
      </c>
      <c r="C92" s="227" t="str">
        <f>VLOOKUP(B92,'Tipos de Defeitos'!B$4:E$106,Menu!$B$22+1,)</f>
        <v>Emenda de Papel</v>
      </c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/>
      <c r="AQ92" s="125"/>
      <c r="AR92" s="125"/>
      <c r="AS92" s="228">
        <f t="shared" si="78"/>
        <v>0</v>
      </c>
    </row>
    <row r="93" spans="1:45">
      <c r="A93" s="281"/>
      <c r="B93" s="214">
        <f t="shared" si="21"/>
        <v>910</v>
      </c>
      <c r="C93" s="227" t="str">
        <f>VLOOKUP(B93,'Tipos de Defeitos'!B$4:E$106,Menu!$B$22+1,)</f>
        <v>Carvão Quebrado</v>
      </c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228">
        <f t="shared" si="78"/>
        <v>0</v>
      </c>
    </row>
    <row r="94" spans="1:45">
      <c r="A94" s="281"/>
      <c r="B94" s="214">
        <f t="shared" si="21"/>
        <v>920</v>
      </c>
      <c r="C94" s="227" t="str">
        <f>VLOOKUP(B94,'Tipos de Defeitos'!B$4:E$106,Menu!$B$22+1,)</f>
        <v>Metade do Carvão</v>
      </c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228">
        <f t="shared" si="78"/>
        <v>0</v>
      </c>
    </row>
    <row r="95" spans="1:45">
      <c r="A95" s="281"/>
      <c r="B95" s="214">
        <f t="shared" si="21"/>
        <v>930</v>
      </c>
      <c r="C95" s="227" t="str">
        <f>VLOOKUP(B95,'Tipos de Defeitos'!B$4:E$106,Menu!$B$22+1,)</f>
        <v>Carvão Frouxo</v>
      </c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228">
        <f t="shared" si="78"/>
        <v>0</v>
      </c>
    </row>
    <row r="96" spans="1:45">
      <c r="A96" s="281"/>
      <c r="B96" s="214">
        <f t="shared" si="21"/>
        <v>940</v>
      </c>
      <c r="C96" s="227" t="str">
        <f>VLOOKUP(B96,'Tipos de Defeitos'!B$4:E$106,Menu!$B$22+1,)</f>
        <v>Tubo de Zinco Sujo</v>
      </c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/>
      <c r="AQ96" s="125"/>
      <c r="AR96" s="125"/>
      <c r="AS96" s="228">
        <f t="shared" si="78"/>
        <v>0</v>
      </c>
    </row>
    <row r="97" spans="1:45">
      <c r="A97" s="281"/>
      <c r="B97" s="214">
        <f t="shared" si="21"/>
        <v>950</v>
      </c>
      <c r="C97" s="227" t="str">
        <f>VLOOKUP(B97,'Tipos de Defeitos'!B$4:E$106,Menu!$B$22+1,)</f>
        <v>Contem estranho</v>
      </c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/>
      <c r="AS97" s="228">
        <f t="shared" si="78"/>
        <v>0</v>
      </c>
    </row>
    <row r="98" spans="1:45">
      <c r="A98" s="281"/>
      <c r="B98" s="214">
        <f t="shared" si="21"/>
        <v>960</v>
      </c>
      <c r="C98" s="227" t="str">
        <f>VLOOKUP(B98,'Tipos de Defeitos'!B$4:E$106,Menu!$B$22+1,)</f>
        <v>Mistura seca</v>
      </c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228">
        <f t="shared" si="78"/>
        <v>0</v>
      </c>
    </row>
    <row r="99" spans="1:45">
      <c r="A99" s="281"/>
      <c r="B99" s="214">
        <f t="shared" si="21"/>
        <v>970</v>
      </c>
      <c r="C99" s="227" t="str">
        <f>VLOOKUP(B99,'Tipos de Defeitos'!B$4:E$106,Menu!$B$22+1,)</f>
        <v>Bottom Plate Amassado</v>
      </c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25"/>
      <c r="AO99" s="125"/>
      <c r="AP99" s="125"/>
      <c r="AQ99" s="125"/>
      <c r="AR99" s="125"/>
      <c r="AS99" s="228">
        <f t="shared" si="78"/>
        <v>0</v>
      </c>
    </row>
    <row r="100" spans="1:45">
      <c r="A100" s="281"/>
      <c r="B100" s="214">
        <f t="shared" si="21"/>
        <v>980</v>
      </c>
      <c r="C100" s="227" t="str">
        <f>VLOOKUP(B100,'Tipos de Defeitos'!B$4:E$106,Menu!$B$22+1,)</f>
        <v>PVC Comprido</v>
      </c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228">
        <f t="shared" si="78"/>
        <v>0</v>
      </c>
    </row>
    <row r="101" spans="1:45">
      <c r="A101" s="281"/>
      <c r="B101" s="214">
        <f t="shared" si="21"/>
        <v>990</v>
      </c>
      <c r="C101" s="227" t="str">
        <f>VLOOKUP(B101,'Tipos de Defeitos'!B$4:E$106,Menu!$B$22+1,)</f>
        <v>Causa Desconhecida - Amperagem</v>
      </c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228">
        <f t="shared" si="78"/>
        <v>0</v>
      </c>
    </row>
    <row r="102" spans="1:45" ht="13.5" thickBot="1">
      <c r="A102" s="281"/>
      <c r="B102" s="250">
        <f t="shared" si="21"/>
        <v>1000</v>
      </c>
      <c r="C102" s="251" t="str">
        <f>VLOOKUP(B102,'Tipos de Defeitos'!B$4:E$106,Menu!$B$22+1,)</f>
        <v>Outros - Amperagem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228">
        <f t="shared" si="78"/>
        <v>0</v>
      </c>
    </row>
    <row r="103" spans="1:45" ht="12.75" customHeight="1">
      <c r="A103" s="274" t="s">
        <v>194</v>
      </c>
      <c r="B103" s="123">
        <f t="shared" si="21"/>
        <v>1010</v>
      </c>
      <c r="C103" s="92" t="str">
        <f>VLOOKUP(B103,'[1]Tipos de Defeitos'!B$4:E$108,[1]Menu!$B$22+1,)</f>
        <v>Total</v>
      </c>
      <c r="D103" s="261">
        <f t="shared" ref="D103" si="79">SUM(D86:D102)</f>
        <v>0</v>
      </c>
      <c r="E103" s="261">
        <f t="shared" ref="E103:AR103" si="80">SUM(E86:E102)</f>
        <v>0</v>
      </c>
      <c r="F103" s="261">
        <f t="shared" si="80"/>
        <v>0</v>
      </c>
      <c r="G103" s="261">
        <f t="shared" si="80"/>
        <v>0</v>
      </c>
      <c r="H103" s="261">
        <f t="shared" si="80"/>
        <v>0</v>
      </c>
      <c r="I103" s="261">
        <f t="shared" si="80"/>
        <v>0</v>
      </c>
      <c r="J103" s="261">
        <f t="shared" si="80"/>
        <v>0</v>
      </c>
      <c r="K103" s="261">
        <f t="shared" si="80"/>
        <v>0</v>
      </c>
      <c r="L103" s="261">
        <f t="shared" si="80"/>
        <v>0</v>
      </c>
      <c r="M103" s="261">
        <f t="shared" si="80"/>
        <v>0</v>
      </c>
      <c r="N103" s="261">
        <f t="shared" si="80"/>
        <v>0</v>
      </c>
      <c r="O103" s="261">
        <f t="shared" si="80"/>
        <v>0</v>
      </c>
      <c r="P103" s="261">
        <f t="shared" si="80"/>
        <v>0</v>
      </c>
      <c r="Q103" s="261">
        <f t="shared" si="80"/>
        <v>0</v>
      </c>
      <c r="R103" s="261">
        <f t="shared" si="80"/>
        <v>0</v>
      </c>
      <c r="S103" s="261">
        <f t="shared" si="80"/>
        <v>0</v>
      </c>
      <c r="T103" s="261">
        <f t="shared" si="80"/>
        <v>0</v>
      </c>
      <c r="U103" s="261">
        <f t="shared" si="80"/>
        <v>0</v>
      </c>
      <c r="V103" s="261">
        <f t="shared" si="80"/>
        <v>0</v>
      </c>
      <c r="W103" s="261">
        <f t="shared" si="80"/>
        <v>0</v>
      </c>
      <c r="X103" s="261">
        <f t="shared" si="80"/>
        <v>0</v>
      </c>
      <c r="Y103" s="261">
        <f t="shared" si="80"/>
        <v>0</v>
      </c>
      <c r="Z103" s="261">
        <f t="shared" si="80"/>
        <v>0</v>
      </c>
      <c r="AA103" s="261">
        <f t="shared" si="80"/>
        <v>0</v>
      </c>
      <c r="AB103" s="261">
        <f t="shared" si="80"/>
        <v>0</v>
      </c>
      <c r="AC103" s="261">
        <f t="shared" si="80"/>
        <v>0</v>
      </c>
      <c r="AD103" s="261">
        <f t="shared" si="80"/>
        <v>0</v>
      </c>
      <c r="AE103" s="261">
        <f t="shared" si="80"/>
        <v>0</v>
      </c>
      <c r="AF103" s="261">
        <f t="shared" si="80"/>
        <v>0</v>
      </c>
      <c r="AG103" s="261">
        <f t="shared" si="80"/>
        <v>0</v>
      </c>
      <c r="AH103" s="261">
        <f t="shared" si="80"/>
        <v>0</v>
      </c>
      <c r="AI103" s="261">
        <f t="shared" si="80"/>
        <v>0</v>
      </c>
      <c r="AJ103" s="261">
        <f t="shared" si="80"/>
        <v>0</v>
      </c>
      <c r="AK103" s="261">
        <f t="shared" si="80"/>
        <v>0</v>
      </c>
      <c r="AL103" s="261">
        <f t="shared" si="80"/>
        <v>0</v>
      </c>
      <c r="AM103" s="261">
        <f t="shared" si="80"/>
        <v>0</v>
      </c>
      <c r="AN103" s="261">
        <f t="shared" si="80"/>
        <v>0</v>
      </c>
      <c r="AO103" s="261">
        <f t="shared" si="80"/>
        <v>0</v>
      </c>
      <c r="AP103" s="261">
        <f t="shared" si="80"/>
        <v>0</v>
      </c>
      <c r="AQ103" s="261">
        <f t="shared" si="80"/>
        <v>0</v>
      </c>
      <c r="AR103" s="261">
        <f t="shared" si="80"/>
        <v>0</v>
      </c>
      <c r="AS103" s="262">
        <f>SUM(AS86:AS102)</f>
        <v>0</v>
      </c>
    </row>
    <row r="104" spans="1:45">
      <c r="A104" s="275"/>
      <c r="B104" s="122">
        <f t="shared" si="21"/>
        <v>1020</v>
      </c>
      <c r="C104" s="83" t="str">
        <f>VLOOKUP(B104,'[1]Tipos de Defeitos'!B$4:E$108,[1]Menu!$B$22+1,)</f>
        <v>Taxa defeituosa (ppm)</v>
      </c>
      <c r="D104" s="263">
        <f t="shared" ref="D104" si="81">IF(ISERR(D103/D27*D24/D7*1000000),0,D103/D27*D24/D7*1000000)</f>
        <v>0</v>
      </c>
      <c r="E104" s="263">
        <f t="shared" ref="E104:AR104" si="82">IF(ISERR(E103/E27*E24/E7*1000000),0,E103/E27*E24/E7*1000000)</f>
        <v>0</v>
      </c>
      <c r="F104" s="263">
        <f t="shared" si="82"/>
        <v>0</v>
      </c>
      <c r="G104" s="263">
        <f t="shared" si="82"/>
        <v>0</v>
      </c>
      <c r="H104" s="263">
        <f t="shared" si="82"/>
        <v>0</v>
      </c>
      <c r="I104" s="263">
        <f t="shared" si="82"/>
        <v>0</v>
      </c>
      <c r="J104" s="263">
        <f t="shared" si="82"/>
        <v>0</v>
      </c>
      <c r="K104" s="263">
        <f t="shared" si="82"/>
        <v>0</v>
      </c>
      <c r="L104" s="263">
        <f t="shared" si="82"/>
        <v>0</v>
      </c>
      <c r="M104" s="263">
        <f t="shared" si="82"/>
        <v>0</v>
      </c>
      <c r="N104" s="263">
        <f t="shared" si="82"/>
        <v>0</v>
      </c>
      <c r="O104" s="263">
        <f t="shared" si="82"/>
        <v>0</v>
      </c>
      <c r="P104" s="263">
        <f t="shared" si="82"/>
        <v>0</v>
      </c>
      <c r="Q104" s="263">
        <f t="shared" si="82"/>
        <v>0</v>
      </c>
      <c r="R104" s="263">
        <f t="shared" si="82"/>
        <v>0</v>
      </c>
      <c r="S104" s="263">
        <f t="shared" si="82"/>
        <v>0</v>
      </c>
      <c r="T104" s="263">
        <f t="shared" si="82"/>
        <v>0</v>
      </c>
      <c r="U104" s="263">
        <f t="shared" si="82"/>
        <v>0</v>
      </c>
      <c r="V104" s="263">
        <f t="shared" si="82"/>
        <v>0</v>
      </c>
      <c r="W104" s="263">
        <f t="shared" si="82"/>
        <v>0</v>
      </c>
      <c r="X104" s="263">
        <f t="shared" si="82"/>
        <v>0</v>
      </c>
      <c r="Y104" s="263">
        <f t="shared" si="82"/>
        <v>0</v>
      </c>
      <c r="Z104" s="263">
        <f t="shared" si="82"/>
        <v>0</v>
      </c>
      <c r="AA104" s="263">
        <f t="shared" si="82"/>
        <v>0</v>
      </c>
      <c r="AB104" s="263">
        <f t="shared" si="82"/>
        <v>0</v>
      </c>
      <c r="AC104" s="263">
        <f t="shared" si="82"/>
        <v>0</v>
      </c>
      <c r="AD104" s="263">
        <f t="shared" si="82"/>
        <v>0</v>
      </c>
      <c r="AE104" s="263">
        <f t="shared" si="82"/>
        <v>0</v>
      </c>
      <c r="AF104" s="263">
        <f t="shared" si="82"/>
        <v>0</v>
      </c>
      <c r="AG104" s="263">
        <f t="shared" si="82"/>
        <v>0</v>
      </c>
      <c r="AH104" s="263">
        <f t="shared" si="82"/>
        <v>0</v>
      </c>
      <c r="AI104" s="263">
        <f t="shared" si="82"/>
        <v>0</v>
      </c>
      <c r="AJ104" s="263">
        <f t="shared" si="82"/>
        <v>0</v>
      </c>
      <c r="AK104" s="263">
        <f t="shared" si="82"/>
        <v>0</v>
      </c>
      <c r="AL104" s="263">
        <f t="shared" si="82"/>
        <v>0</v>
      </c>
      <c r="AM104" s="263">
        <f t="shared" si="82"/>
        <v>0</v>
      </c>
      <c r="AN104" s="263">
        <f t="shared" si="82"/>
        <v>0</v>
      </c>
      <c r="AO104" s="263">
        <f t="shared" si="82"/>
        <v>0</v>
      </c>
      <c r="AP104" s="263">
        <f t="shared" si="82"/>
        <v>0</v>
      </c>
      <c r="AQ104" s="263">
        <f t="shared" si="82"/>
        <v>0</v>
      </c>
      <c r="AR104" s="263">
        <f t="shared" si="82"/>
        <v>0</v>
      </c>
      <c r="AS104" s="264">
        <f>IF(ISERR(AS103/AS27*AS24/AS7*1000000),0,ROUND(AS103/AS27*AS24/AS7*1000000,0))</f>
        <v>0</v>
      </c>
    </row>
    <row r="105" spans="1:45">
      <c r="A105" s="276"/>
      <c r="B105" s="122">
        <f t="shared" si="21"/>
        <v>1030</v>
      </c>
      <c r="C105" s="83" t="str">
        <f>VLOOKUP(B105,'[1]Tipos de Defeitos'!B$4:E$108,[1]Menu!$B$22+1,)</f>
        <v>Qtd. Defeitos internos (pçs)</v>
      </c>
      <c r="D105" s="265">
        <f t="shared" ref="D105" si="83">SUM(D86:D98)</f>
        <v>0</v>
      </c>
      <c r="E105" s="265">
        <f t="shared" ref="E105:AR105" si="84">SUM(E86:E98)</f>
        <v>0</v>
      </c>
      <c r="F105" s="265">
        <f t="shared" si="84"/>
        <v>0</v>
      </c>
      <c r="G105" s="265">
        <f t="shared" si="84"/>
        <v>0</v>
      </c>
      <c r="H105" s="265">
        <f t="shared" si="84"/>
        <v>0</v>
      </c>
      <c r="I105" s="265">
        <f t="shared" si="84"/>
        <v>0</v>
      </c>
      <c r="J105" s="265">
        <f t="shared" si="84"/>
        <v>0</v>
      </c>
      <c r="K105" s="265">
        <f t="shared" si="84"/>
        <v>0</v>
      </c>
      <c r="L105" s="265">
        <f t="shared" si="84"/>
        <v>0</v>
      </c>
      <c r="M105" s="265">
        <f t="shared" si="84"/>
        <v>0</v>
      </c>
      <c r="N105" s="265">
        <f t="shared" si="84"/>
        <v>0</v>
      </c>
      <c r="O105" s="265">
        <f t="shared" si="84"/>
        <v>0</v>
      </c>
      <c r="P105" s="265">
        <f t="shared" si="84"/>
        <v>0</v>
      </c>
      <c r="Q105" s="265">
        <f t="shared" si="84"/>
        <v>0</v>
      </c>
      <c r="R105" s="265">
        <f t="shared" si="84"/>
        <v>0</v>
      </c>
      <c r="S105" s="265">
        <f t="shared" si="84"/>
        <v>0</v>
      </c>
      <c r="T105" s="265">
        <f t="shared" si="84"/>
        <v>0</v>
      </c>
      <c r="U105" s="265">
        <f t="shared" si="84"/>
        <v>0</v>
      </c>
      <c r="V105" s="265">
        <f t="shared" si="84"/>
        <v>0</v>
      </c>
      <c r="W105" s="265">
        <f t="shared" si="84"/>
        <v>0</v>
      </c>
      <c r="X105" s="265">
        <f t="shared" si="84"/>
        <v>0</v>
      </c>
      <c r="Y105" s="265">
        <f t="shared" si="84"/>
        <v>0</v>
      </c>
      <c r="Z105" s="265">
        <f t="shared" si="84"/>
        <v>0</v>
      </c>
      <c r="AA105" s="265">
        <f t="shared" si="84"/>
        <v>0</v>
      </c>
      <c r="AB105" s="265">
        <f t="shared" si="84"/>
        <v>0</v>
      </c>
      <c r="AC105" s="265">
        <f t="shared" si="84"/>
        <v>0</v>
      </c>
      <c r="AD105" s="265">
        <f t="shared" si="84"/>
        <v>0</v>
      </c>
      <c r="AE105" s="265">
        <f t="shared" si="84"/>
        <v>0</v>
      </c>
      <c r="AF105" s="265">
        <f t="shared" si="84"/>
        <v>0</v>
      </c>
      <c r="AG105" s="265">
        <f t="shared" si="84"/>
        <v>0</v>
      </c>
      <c r="AH105" s="265">
        <f t="shared" si="84"/>
        <v>0</v>
      </c>
      <c r="AI105" s="265">
        <f t="shared" si="84"/>
        <v>0</v>
      </c>
      <c r="AJ105" s="265">
        <f t="shared" si="84"/>
        <v>0</v>
      </c>
      <c r="AK105" s="265">
        <f t="shared" si="84"/>
        <v>0</v>
      </c>
      <c r="AL105" s="265">
        <f t="shared" si="84"/>
        <v>0</v>
      </c>
      <c r="AM105" s="265">
        <f t="shared" si="84"/>
        <v>0</v>
      </c>
      <c r="AN105" s="265">
        <f t="shared" si="84"/>
        <v>0</v>
      </c>
      <c r="AO105" s="265">
        <f t="shared" si="84"/>
        <v>0</v>
      </c>
      <c r="AP105" s="265">
        <f t="shared" si="84"/>
        <v>0</v>
      </c>
      <c r="AQ105" s="265">
        <f t="shared" si="84"/>
        <v>0</v>
      </c>
      <c r="AR105" s="265">
        <f t="shared" si="84"/>
        <v>0</v>
      </c>
      <c r="AS105" s="265" t="e">
        <f>SUM(AS86:AS98)/AS27*AS24</f>
        <v>#DIV/0!</v>
      </c>
    </row>
    <row r="106" spans="1:45">
      <c r="A106" s="276"/>
      <c r="B106" s="122">
        <f t="shared" si="21"/>
        <v>1040</v>
      </c>
      <c r="C106" s="83" t="str">
        <f>VLOOKUP(B106,'[1]Tipos de Defeitos'!B$4:E$108,[1]Menu!$B$22+1,)</f>
        <v>Defeitos Internos - Taxa defeituosa (ppm)</v>
      </c>
      <c r="D106" s="265" t="str">
        <f t="shared" ref="D106" si="85">IF((D$7&gt;0)*(D$23&gt;0),ROUND(D105/D$27*D$24/D$7*1000000,0),"")</f>
        <v/>
      </c>
      <c r="E106" s="265" t="str">
        <f t="shared" ref="E106:AR106" si="86">IF((E$7&gt;0)*(E$23&gt;0),ROUND(E105/E$27*E$24/E$7*1000000,0),"")</f>
        <v/>
      </c>
      <c r="F106" s="265" t="str">
        <f t="shared" si="86"/>
        <v/>
      </c>
      <c r="G106" s="265" t="str">
        <f t="shared" si="86"/>
        <v/>
      </c>
      <c r="H106" s="265" t="str">
        <f t="shared" si="86"/>
        <v/>
      </c>
      <c r="I106" s="265" t="str">
        <f t="shared" si="86"/>
        <v/>
      </c>
      <c r="J106" s="265" t="str">
        <f t="shared" si="86"/>
        <v/>
      </c>
      <c r="K106" s="265" t="str">
        <f t="shared" si="86"/>
        <v/>
      </c>
      <c r="L106" s="265" t="str">
        <f t="shared" si="86"/>
        <v/>
      </c>
      <c r="M106" s="265" t="str">
        <f t="shared" si="86"/>
        <v/>
      </c>
      <c r="N106" s="265" t="str">
        <f t="shared" si="86"/>
        <v/>
      </c>
      <c r="O106" s="265" t="str">
        <f t="shared" si="86"/>
        <v/>
      </c>
      <c r="P106" s="265" t="str">
        <f t="shared" si="86"/>
        <v/>
      </c>
      <c r="Q106" s="265" t="str">
        <f t="shared" si="86"/>
        <v/>
      </c>
      <c r="R106" s="265" t="str">
        <f t="shared" si="86"/>
        <v/>
      </c>
      <c r="S106" s="265" t="str">
        <f t="shared" si="86"/>
        <v/>
      </c>
      <c r="T106" s="265" t="str">
        <f t="shared" si="86"/>
        <v/>
      </c>
      <c r="U106" s="265" t="str">
        <f t="shared" si="86"/>
        <v/>
      </c>
      <c r="V106" s="265" t="str">
        <f t="shared" si="86"/>
        <v/>
      </c>
      <c r="W106" s="265" t="str">
        <f t="shared" si="86"/>
        <v/>
      </c>
      <c r="X106" s="265" t="str">
        <f t="shared" si="86"/>
        <v/>
      </c>
      <c r="Y106" s="265" t="str">
        <f t="shared" si="86"/>
        <v/>
      </c>
      <c r="Z106" s="265" t="str">
        <f t="shared" si="86"/>
        <v/>
      </c>
      <c r="AA106" s="265" t="str">
        <f t="shared" si="86"/>
        <v/>
      </c>
      <c r="AB106" s="265" t="str">
        <f t="shared" si="86"/>
        <v/>
      </c>
      <c r="AC106" s="265" t="str">
        <f t="shared" si="86"/>
        <v/>
      </c>
      <c r="AD106" s="265" t="str">
        <f t="shared" si="86"/>
        <v/>
      </c>
      <c r="AE106" s="265" t="str">
        <f t="shared" si="86"/>
        <v/>
      </c>
      <c r="AF106" s="265" t="str">
        <f t="shared" si="86"/>
        <v/>
      </c>
      <c r="AG106" s="265" t="str">
        <f t="shared" si="86"/>
        <v/>
      </c>
      <c r="AH106" s="265" t="str">
        <f t="shared" si="86"/>
        <v/>
      </c>
      <c r="AI106" s="265" t="str">
        <f t="shared" si="86"/>
        <v/>
      </c>
      <c r="AJ106" s="265" t="str">
        <f t="shared" si="86"/>
        <v/>
      </c>
      <c r="AK106" s="265" t="str">
        <f t="shared" si="86"/>
        <v/>
      </c>
      <c r="AL106" s="265" t="str">
        <f t="shared" si="86"/>
        <v/>
      </c>
      <c r="AM106" s="265" t="str">
        <f t="shared" si="86"/>
        <v/>
      </c>
      <c r="AN106" s="265" t="str">
        <f t="shared" si="86"/>
        <v/>
      </c>
      <c r="AO106" s="265" t="str">
        <f t="shared" si="86"/>
        <v/>
      </c>
      <c r="AP106" s="265" t="str">
        <f t="shared" si="86"/>
        <v/>
      </c>
      <c r="AQ106" s="265" t="str">
        <f t="shared" si="86"/>
        <v/>
      </c>
      <c r="AR106" s="265" t="str">
        <f t="shared" si="86"/>
        <v/>
      </c>
      <c r="AS106" s="265" t="str">
        <f>IF((AS$7&gt;0)*(AS$23&gt;0),ROUND(AS105/AS$7*1000000,0),"")</f>
        <v/>
      </c>
    </row>
    <row r="107" spans="1:45" ht="13.5" thickBot="1">
      <c r="A107" s="277"/>
      <c r="B107" s="122">
        <f t="shared" si="21"/>
        <v>1050</v>
      </c>
      <c r="C107" s="84" t="str">
        <f>VLOOKUP(B107,'[1]Tipos de Defeitos'!B$4:E$108,[1]Menu!$B$22+1,)</f>
        <v>Taxa Defeituosa Total (ppm)</v>
      </c>
      <c r="D107" s="266">
        <f t="shared" ref="D107" si="87">IF(ISERR(D24/D7*1000000),0,D24/D7*1000000)</f>
        <v>0</v>
      </c>
      <c r="E107" s="266">
        <f t="shared" ref="E107:AR107" si="88">IF(ISERR(E24/E7*1000000),0,E24/E7*1000000)</f>
        <v>0</v>
      </c>
      <c r="F107" s="266">
        <f t="shared" si="88"/>
        <v>0</v>
      </c>
      <c r="G107" s="266">
        <f t="shared" si="88"/>
        <v>0</v>
      </c>
      <c r="H107" s="266">
        <f t="shared" si="88"/>
        <v>0</v>
      </c>
      <c r="I107" s="266">
        <f t="shared" si="88"/>
        <v>0</v>
      </c>
      <c r="J107" s="266">
        <f t="shared" si="88"/>
        <v>0</v>
      </c>
      <c r="K107" s="266">
        <f t="shared" si="88"/>
        <v>0</v>
      </c>
      <c r="L107" s="266">
        <f t="shared" si="88"/>
        <v>0</v>
      </c>
      <c r="M107" s="266">
        <f t="shared" si="88"/>
        <v>0</v>
      </c>
      <c r="N107" s="266">
        <f t="shared" si="88"/>
        <v>0</v>
      </c>
      <c r="O107" s="266">
        <f t="shared" si="88"/>
        <v>0</v>
      </c>
      <c r="P107" s="266">
        <f t="shared" si="88"/>
        <v>0</v>
      </c>
      <c r="Q107" s="266">
        <f t="shared" si="88"/>
        <v>0</v>
      </c>
      <c r="R107" s="266">
        <f t="shared" si="88"/>
        <v>0</v>
      </c>
      <c r="S107" s="266">
        <f t="shared" si="88"/>
        <v>0</v>
      </c>
      <c r="T107" s="266">
        <f t="shared" si="88"/>
        <v>0</v>
      </c>
      <c r="U107" s="266">
        <f t="shared" si="88"/>
        <v>0</v>
      </c>
      <c r="V107" s="266">
        <f t="shared" si="88"/>
        <v>0</v>
      </c>
      <c r="W107" s="266">
        <f t="shared" si="88"/>
        <v>0</v>
      </c>
      <c r="X107" s="266">
        <f t="shared" si="88"/>
        <v>0</v>
      </c>
      <c r="Y107" s="266">
        <f t="shared" si="88"/>
        <v>0</v>
      </c>
      <c r="Z107" s="266">
        <f t="shared" si="88"/>
        <v>0</v>
      </c>
      <c r="AA107" s="266">
        <f t="shared" si="88"/>
        <v>0</v>
      </c>
      <c r="AB107" s="266">
        <f t="shared" si="88"/>
        <v>0</v>
      </c>
      <c r="AC107" s="266">
        <f t="shared" si="88"/>
        <v>0</v>
      </c>
      <c r="AD107" s="266">
        <f t="shared" si="88"/>
        <v>0</v>
      </c>
      <c r="AE107" s="266">
        <f t="shared" si="88"/>
        <v>0</v>
      </c>
      <c r="AF107" s="266">
        <f t="shared" si="88"/>
        <v>0</v>
      </c>
      <c r="AG107" s="266">
        <f t="shared" si="88"/>
        <v>0</v>
      </c>
      <c r="AH107" s="266">
        <f t="shared" si="88"/>
        <v>0</v>
      </c>
      <c r="AI107" s="266">
        <f t="shared" si="88"/>
        <v>0</v>
      </c>
      <c r="AJ107" s="266">
        <f t="shared" si="88"/>
        <v>0</v>
      </c>
      <c r="AK107" s="266">
        <f t="shared" si="88"/>
        <v>0</v>
      </c>
      <c r="AL107" s="266">
        <f t="shared" si="88"/>
        <v>0</v>
      </c>
      <c r="AM107" s="266">
        <f t="shared" si="88"/>
        <v>0</v>
      </c>
      <c r="AN107" s="266">
        <f t="shared" si="88"/>
        <v>0</v>
      </c>
      <c r="AO107" s="266">
        <f t="shared" si="88"/>
        <v>0</v>
      </c>
      <c r="AP107" s="266">
        <f t="shared" si="88"/>
        <v>0</v>
      </c>
      <c r="AQ107" s="266">
        <f t="shared" si="88"/>
        <v>0</v>
      </c>
      <c r="AR107" s="266">
        <f t="shared" si="88"/>
        <v>0</v>
      </c>
      <c r="AS107" s="267" t="e">
        <f>ROUNDDOWN(AS24/AS7*1000000,0)</f>
        <v>#DIV/0!</v>
      </c>
    </row>
    <row r="108" spans="1:45">
      <c r="A108" s="260"/>
      <c r="B108" s="65"/>
      <c r="C108" s="188"/>
      <c r="D108" s="268"/>
      <c r="E108" s="268"/>
      <c r="F108" s="268"/>
      <c r="G108" s="268"/>
      <c r="H108" s="268"/>
      <c r="I108" s="268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  <c r="T108" s="268"/>
      <c r="U108" s="268"/>
      <c r="V108" s="268"/>
      <c r="W108" s="268"/>
      <c r="X108" s="268"/>
      <c r="Y108" s="268"/>
      <c r="Z108" s="268"/>
      <c r="AA108" s="268"/>
      <c r="AB108" s="268"/>
      <c r="AC108" s="268"/>
      <c r="AD108" s="26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</row>
    <row r="109" spans="1:45">
      <c r="A109" s="260"/>
      <c r="B109" s="65"/>
      <c r="C109" s="188"/>
      <c r="D109" s="268"/>
      <c r="E109" s="268"/>
      <c r="F109" s="268"/>
      <c r="G109" s="268"/>
      <c r="H109" s="268"/>
      <c r="I109" s="268"/>
      <c r="J109" s="268"/>
      <c r="K109" s="268"/>
      <c r="L109" s="268"/>
      <c r="M109" s="268"/>
      <c r="N109" s="268"/>
      <c r="O109" s="268"/>
      <c r="P109" s="268"/>
      <c r="Q109" s="268"/>
      <c r="R109" s="268"/>
      <c r="S109" s="268"/>
      <c r="T109" s="268"/>
      <c r="U109" s="268"/>
      <c r="V109" s="268"/>
      <c r="W109" s="268"/>
      <c r="X109" s="268"/>
      <c r="Y109" s="268"/>
      <c r="Z109" s="268"/>
      <c r="AA109" s="268"/>
      <c r="AB109" s="268"/>
      <c r="AC109" s="268"/>
      <c r="AD109" s="26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 t="s">
        <v>337</v>
      </c>
      <c r="AS109" s="268">
        <f>IF(ISERR(AS78/$AS$27*$AS$24),0,AS78/AS27*$AS$24)</f>
        <v>0</v>
      </c>
    </row>
    <row r="110" spans="1:45">
      <c r="A110" s="260"/>
      <c r="B110" s="65"/>
      <c r="C110" s="188"/>
      <c r="D110" s="268"/>
      <c r="E110" s="268"/>
      <c r="F110" s="268"/>
      <c r="G110" s="268"/>
      <c r="H110" s="268"/>
      <c r="I110" s="268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  <c r="T110" s="268"/>
      <c r="U110" s="268"/>
      <c r="V110" s="268"/>
      <c r="W110" s="268"/>
      <c r="X110" s="268"/>
      <c r="Y110" s="268"/>
      <c r="Z110" s="268"/>
      <c r="AA110" s="268"/>
      <c r="AB110" s="268"/>
      <c r="AC110" s="268"/>
      <c r="AD110" s="26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 t="s">
        <v>338</v>
      </c>
      <c r="AS110" s="268">
        <f>IF(ISERR(AS103/$AS$27*$AS$24),0,AS103/AS27*$AS$24)</f>
        <v>0</v>
      </c>
    </row>
    <row r="111" spans="1:45">
      <c r="D111" s="236"/>
      <c r="E111" s="236"/>
      <c r="F111" s="236"/>
      <c r="G111" s="236"/>
      <c r="H111" s="236"/>
      <c r="I111" s="236"/>
      <c r="J111" s="236"/>
      <c r="K111" s="236"/>
      <c r="L111" s="236"/>
      <c r="M111" s="236"/>
      <c r="N111" s="236"/>
      <c r="O111" s="236"/>
      <c r="P111" s="236"/>
      <c r="Q111" s="236"/>
      <c r="R111" s="236"/>
      <c r="S111" s="236"/>
      <c r="T111" s="236"/>
      <c r="U111" s="236"/>
      <c r="V111" s="236"/>
      <c r="W111" s="236"/>
      <c r="X111" s="236"/>
      <c r="Y111" s="236"/>
      <c r="Z111" s="236"/>
      <c r="AA111" s="236"/>
      <c r="AB111" s="236"/>
      <c r="AC111" s="236"/>
      <c r="AD111" s="236"/>
      <c r="AE111" s="236"/>
      <c r="AF111" s="236"/>
      <c r="AG111" s="236"/>
      <c r="AH111" s="236"/>
      <c r="AI111" s="236"/>
      <c r="AJ111" s="236"/>
      <c r="AK111" s="236"/>
      <c r="AL111" s="236"/>
      <c r="AM111" s="236"/>
      <c r="AN111" s="236"/>
      <c r="AO111" s="236"/>
      <c r="AP111" s="236"/>
      <c r="AQ111" s="236"/>
      <c r="AR111" s="236"/>
    </row>
    <row r="131" spans="4:44" s="236" customFormat="1">
      <c r="D131" s="252"/>
      <c r="E131" s="252"/>
      <c r="F131" s="252"/>
      <c r="G131" s="252"/>
      <c r="H131" s="252"/>
      <c r="I131" s="252"/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  <c r="AA131" s="252"/>
      <c r="AB131" s="252"/>
      <c r="AC131" s="252"/>
      <c r="AD131" s="252"/>
      <c r="AE131" s="252"/>
      <c r="AF131" s="252"/>
      <c r="AG131" s="252">
        <f>AG2</f>
        <v>0</v>
      </c>
      <c r="AH131" s="252"/>
      <c r="AI131" s="252"/>
      <c r="AJ131" s="252"/>
      <c r="AK131" s="252"/>
      <c r="AL131" s="252"/>
      <c r="AM131" s="252"/>
      <c r="AN131" s="252"/>
      <c r="AO131" s="252"/>
      <c r="AP131" s="252"/>
      <c r="AQ131" s="252"/>
      <c r="AR131" s="252"/>
    </row>
  </sheetData>
  <sheetProtection algorithmName="SHA-512" hashValue="VN04j3Ijem+cRj1nw/T9bHZqlkV+P4TzZoRHf0eTc8hx/q8Xry8uknEJItPz5TjBXTOEWLfPO/CnxQCzQgH6yQ==" saltValue="tFEF3Lk5W/yLU8kHDb3DIg==" spinCount="100000" sheet="1" objects="1" scenarios="1" selectLockedCells="1"/>
  <mergeCells count="7">
    <mergeCell ref="A103:A107"/>
    <mergeCell ref="A83:A85"/>
    <mergeCell ref="A86:A102"/>
    <mergeCell ref="A3:A22"/>
    <mergeCell ref="A23:A27"/>
    <mergeCell ref="A28:A77"/>
    <mergeCell ref="A78:A82"/>
  </mergeCells>
  <phoneticPr fontId="3"/>
  <conditionalFormatting sqref="B3:C102 H23:I80 AS3:AS102 T86:AR102 H82:I102 G81:AR81 J26:AR80 T23:AR25 J82:AR85">
    <cfRule type="expression" dxfId="6608" priority="46279">
      <formula>MOD(ROW(),2)=0</formula>
    </cfRule>
  </conditionalFormatting>
  <conditionalFormatting sqref="H27:AS27">
    <cfRule type="expression" dxfId="6607" priority="46278">
      <formula>H$27&gt;(H$78+H$103)</formula>
    </cfRule>
  </conditionalFormatting>
  <conditionalFormatting sqref="J5:O5 AG3:AR5 AE3:AE5 Q5:AC5 U3:AC4">
    <cfRule type="expression" dxfId="6606" priority="46259">
      <formula>MOD(ROW(),2)=0</formula>
    </cfRule>
  </conditionalFormatting>
  <conditionalFormatting sqref="T3:T4">
    <cfRule type="expression" dxfId="6605" priority="42553">
      <formula>MOD(ROW(),2)=0</formula>
    </cfRule>
  </conditionalFormatting>
  <conditionalFormatting sqref="T3:T4">
    <cfRule type="expression" dxfId="6604" priority="42552">
      <formula>MOD(ROW(),2)=0</formula>
    </cfRule>
  </conditionalFormatting>
  <conditionalFormatting sqref="AE7:AR7 T7:AC7">
    <cfRule type="expression" dxfId="6603" priority="41189">
      <formula>MOD(ROW(),2)=0</formula>
    </cfRule>
  </conditionalFormatting>
  <conditionalFormatting sqref="H3:I5">
    <cfRule type="expression" dxfId="6602" priority="41061">
      <formula>MOD(ROW(),2)=0</formula>
    </cfRule>
  </conditionalFormatting>
  <conditionalFormatting sqref="H3:I4">
    <cfRule type="expression" dxfId="6601" priority="41060">
      <formula>MOD(ROW(),2)=0</formula>
    </cfRule>
  </conditionalFormatting>
  <conditionalFormatting sqref="H5:I5">
    <cfRule type="expression" dxfId="6600" priority="41059">
      <formula>MOD(ROW(),2)=0</formula>
    </cfRule>
  </conditionalFormatting>
  <conditionalFormatting sqref="H7:I7">
    <cfRule type="expression" dxfId="6599" priority="40869">
      <formula>MOD(ROW(),2)=0</formula>
    </cfRule>
  </conditionalFormatting>
  <conditionalFormatting sqref="AE7:AR7 T7:AC7">
    <cfRule type="expression" dxfId="6598" priority="40653">
      <formula>MOD(ROW(),2)=0</formula>
    </cfRule>
  </conditionalFormatting>
  <conditionalFormatting sqref="H3:I4">
    <cfRule type="expression" dxfId="6597" priority="40419">
      <formula>MOD(ROW(),2)=0</formula>
    </cfRule>
  </conditionalFormatting>
  <conditionalFormatting sqref="H3:I4">
    <cfRule type="expression" dxfId="6596" priority="40418">
      <formula>MOD(ROW(),2)=0</formula>
    </cfRule>
  </conditionalFormatting>
  <conditionalFormatting sqref="H3:I4">
    <cfRule type="expression" dxfId="6595" priority="40415">
      <formula>MOD(ROW(),2)=0</formula>
    </cfRule>
  </conditionalFormatting>
  <conditionalFormatting sqref="H7:I7">
    <cfRule type="expression" dxfId="6594" priority="40412">
      <formula>MOD(ROW(),2)=0</formula>
    </cfRule>
  </conditionalFormatting>
  <conditionalFormatting sqref="H7:I7">
    <cfRule type="expression" dxfId="6593" priority="40407">
      <formula>MOD(ROW(),2)=0</formula>
    </cfRule>
  </conditionalFormatting>
  <conditionalFormatting sqref="H23:I25">
    <cfRule type="expression" dxfId="6592" priority="40383">
      <formula>MOD(ROW(),2)=0</formula>
    </cfRule>
  </conditionalFormatting>
  <conditionalFormatting sqref="H27:I27">
    <cfRule type="expression" dxfId="6591" priority="40355">
      <formula>MOD(ROW(),2)=0</formula>
    </cfRule>
  </conditionalFormatting>
  <conditionalFormatting sqref="H28:I77">
    <cfRule type="expression" dxfId="6590" priority="40347">
      <formula>MOD(ROW(),2)=0</formula>
    </cfRule>
  </conditionalFormatting>
  <conditionalFormatting sqref="H83:I83">
    <cfRule type="expression" dxfId="6589" priority="40342">
      <formula>MOD(ROW(),2)=0</formula>
    </cfRule>
  </conditionalFormatting>
  <conditionalFormatting sqref="H7:I7">
    <cfRule type="expression" dxfId="6588" priority="39851">
      <formula>MOD(ROW(),2)=0</formula>
    </cfRule>
  </conditionalFormatting>
  <conditionalFormatting sqref="H7:I7">
    <cfRule type="expression" dxfId="6587" priority="39850">
      <formula>MOD(ROW(),2)=0</formula>
    </cfRule>
  </conditionalFormatting>
  <conditionalFormatting sqref="H3:I4">
    <cfRule type="expression" dxfId="6586" priority="39886">
      <formula>MOD(ROW(),2)=0</formula>
    </cfRule>
  </conditionalFormatting>
  <conditionalFormatting sqref="H3:I4">
    <cfRule type="expression" dxfId="6585" priority="39885">
      <formula>MOD(ROW(),2)=0</formula>
    </cfRule>
  </conditionalFormatting>
  <conditionalFormatting sqref="H3:I4">
    <cfRule type="expression" dxfId="6584" priority="39880">
      <formula>MOD(ROW(),2)=0</formula>
    </cfRule>
  </conditionalFormatting>
  <conditionalFormatting sqref="H3:I4">
    <cfRule type="expression" dxfId="6583" priority="39876">
      <formula>MOD(ROW(),2)=0</formula>
    </cfRule>
  </conditionalFormatting>
  <conditionalFormatting sqref="H3:I4">
    <cfRule type="expression" dxfId="6582" priority="39873">
      <formula>MOD(ROW(),2)=0</formula>
    </cfRule>
  </conditionalFormatting>
  <conditionalFormatting sqref="H7:I7">
    <cfRule type="expression" dxfId="6581" priority="39868">
      <formula>MOD(ROW(),2)=0</formula>
    </cfRule>
  </conditionalFormatting>
  <conditionalFormatting sqref="H7:I7">
    <cfRule type="expression" dxfId="6580" priority="39854">
      <formula>MOD(ROW(),2)=0</formula>
    </cfRule>
  </conditionalFormatting>
  <conditionalFormatting sqref="H83:I83">
    <cfRule type="expression" dxfId="6579" priority="39729">
      <formula>MOD(ROW(),2)=0</formula>
    </cfRule>
  </conditionalFormatting>
  <conditionalFormatting sqref="H3:I4">
    <cfRule type="expression" dxfId="6578" priority="39726">
      <formula>MOD(ROW(),2)=0</formula>
    </cfRule>
  </conditionalFormatting>
  <conditionalFormatting sqref="H3:I4">
    <cfRule type="expression" dxfId="6577" priority="39725">
      <formula>MOD(ROW(),2)=0</formula>
    </cfRule>
  </conditionalFormatting>
  <conditionalFormatting sqref="H23:I25">
    <cfRule type="expression" dxfId="6576" priority="39828">
      <formula>MOD(ROW(),2)=0</formula>
    </cfRule>
  </conditionalFormatting>
  <conditionalFormatting sqref="H23:I25">
    <cfRule type="expression" dxfId="6575" priority="39818">
      <formula>MOD(ROW(),2)=0</formula>
    </cfRule>
  </conditionalFormatting>
  <conditionalFormatting sqref="H23:I25">
    <cfRule type="expression" dxfId="6574" priority="39808">
      <formula>MOD(ROW(),2)=0</formula>
    </cfRule>
  </conditionalFormatting>
  <conditionalFormatting sqref="H83:I83">
    <cfRule type="expression" dxfId="6573" priority="39736">
      <formula>MOD(ROW(),2)=0</formula>
    </cfRule>
  </conditionalFormatting>
  <conditionalFormatting sqref="H83:I83">
    <cfRule type="expression" dxfId="6572" priority="39733">
      <formula>MOD(ROW(),2)=0</formula>
    </cfRule>
  </conditionalFormatting>
  <conditionalFormatting sqref="H28:I77">
    <cfRule type="expression" dxfId="6571" priority="39742">
      <formula>MOD(ROW(),2)=0</formula>
    </cfRule>
  </conditionalFormatting>
  <conditionalFormatting sqref="H7:I7">
    <cfRule type="expression" dxfId="6570" priority="39674">
      <formula>MOD(ROW(),2)=0</formula>
    </cfRule>
  </conditionalFormatting>
  <conditionalFormatting sqref="H27:I77">
    <cfRule type="expression" dxfId="6569" priority="39763">
      <formula>MOD(ROW(),2)=0</formula>
    </cfRule>
  </conditionalFormatting>
  <conditionalFormatting sqref="H27:I27">
    <cfRule type="expression" dxfId="6568" priority="39756">
      <formula>MOD(ROW(),2)=0</formula>
    </cfRule>
  </conditionalFormatting>
  <conditionalFormatting sqref="H27:I27">
    <cfRule type="expression" dxfId="6567" priority="39750">
      <formula>MOD(ROW(),2)=0</formula>
    </cfRule>
  </conditionalFormatting>
  <conditionalFormatting sqref="H28:I77">
    <cfRule type="expression" dxfId="6566" priority="39746">
      <formula>MOD(ROW(),2)=0</formula>
    </cfRule>
  </conditionalFormatting>
  <conditionalFormatting sqref="H3:I4">
    <cfRule type="expression" dxfId="6565" priority="39722">
      <formula>MOD(ROW(),2)=0</formula>
    </cfRule>
  </conditionalFormatting>
  <conditionalFormatting sqref="H3:I4">
    <cfRule type="expression" dxfId="6564" priority="39719">
      <formula>MOD(ROW(),2)=0</formula>
    </cfRule>
  </conditionalFormatting>
  <conditionalFormatting sqref="H3:I4">
    <cfRule type="expression" dxfId="6563" priority="39717">
      <formula>MOD(ROW(),2)=0</formula>
    </cfRule>
  </conditionalFormatting>
  <conditionalFormatting sqref="H3:I4">
    <cfRule type="expression" dxfId="6562" priority="39711">
      <formula>MOD(ROW(),2)=0</formula>
    </cfRule>
  </conditionalFormatting>
  <conditionalFormatting sqref="H3:I4">
    <cfRule type="expression" dxfId="6561" priority="39709">
      <formula>MOD(ROW(),2)=0</formula>
    </cfRule>
  </conditionalFormatting>
  <conditionalFormatting sqref="H3:I4">
    <cfRule type="expression" dxfId="6560" priority="39705">
      <formula>MOD(ROW(),2)=0</formula>
    </cfRule>
  </conditionalFormatting>
  <conditionalFormatting sqref="H3:I4">
    <cfRule type="expression" dxfId="6559" priority="39702">
      <formula>MOD(ROW(),2)=0</formula>
    </cfRule>
  </conditionalFormatting>
  <conditionalFormatting sqref="H7:I7">
    <cfRule type="expression" dxfId="6558" priority="39699">
      <formula>MOD(ROW(),2)=0</formula>
    </cfRule>
  </conditionalFormatting>
  <conditionalFormatting sqref="H7:I7">
    <cfRule type="expression" dxfId="6557" priority="39695">
      <formula>MOD(ROW(),2)=0</formula>
    </cfRule>
  </conditionalFormatting>
  <conditionalFormatting sqref="H7:I7">
    <cfRule type="expression" dxfId="6556" priority="39693">
      <formula>MOD(ROW(),2)=0</formula>
    </cfRule>
  </conditionalFormatting>
  <conditionalFormatting sqref="H7:I7">
    <cfRule type="expression" dxfId="6555" priority="39692">
      <formula>MOD(ROW(),2)=0</formula>
    </cfRule>
  </conditionalFormatting>
  <conditionalFormatting sqref="H7:I7">
    <cfRule type="expression" dxfId="6554" priority="39683">
      <formula>MOD(ROW(),2)=0</formula>
    </cfRule>
  </conditionalFormatting>
  <conditionalFormatting sqref="H7:I7">
    <cfRule type="expression" dxfId="6553" priority="39681">
      <formula>MOD(ROW(),2)=0</formula>
    </cfRule>
  </conditionalFormatting>
  <conditionalFormatting sqref="H7:I7">
    <cfRule type="expression" dxfId="6552" priority="39677">
      <formula>MOD(ROW(),2)=0</formula>
    </cfRule>
  </conditionalFormatting>
  <conditionalFormatting sqref="H23:I25">
    <cfRule type="expression" dxfId="6551" priority="39572">
      <formula>MOD(ROW(),2)=0</formula>
    </cfRule>
  </conditionalFormatting>
  <conditionalFormatting sqref="H23:I25">
    <cfRule type="expression" dxfId="6550" priority="39571">
      <formula>MOD(ROW(),2)=0</formula>
    </cfRule>
  </conditionalFormatting>
  <conditionalFormatting sqref="H23:I25">
    <cfRule type="expression" dxfId="6549" priority="39569">
      <formula>MOD(ROW(),2)=0</formula>
    </cfRule>
  </conditionalFormatting>
  <conditionalFormatting sqref="H23:I25">
    <cfRule type="expression" dxfId="6548" priority="39566">
      <formula>MOD(ROW(),2)=0</formula>
    </cfRule>
  </conditionalFormatting>
  <conditionalFormatting sqref="H23:I25">
    <cfRule type="expression" dxfId="6547" priority="39564">
      <formula>MOD(ROW(),2)=0</formula>
    </cfRule>
  </conditionalFormatting>
  <conditionalFormatting sqref="H23:I25">
    <cfRule type="expression" dxfId="6546" priority="39562">
      <formula>MOD(ROW(),2)=0</formula>
    </cfRule>
  </conditionalFormatting>
  <conditionalFormatting sqref="H23:I25">
    <cfRule type="expression" dxfId="6545" priority="39559">
      <formula>MOD(ROW(),2)=0</formula>
    </cfRule>
  </conditionalFormatting>
  <conditionalFormatting sqref="H27:I27">
    <cfRule type="expression" dxfId="6544" priority="39557">
      <formula>MOD(ROW(),2)=0</formula>
    </cfRule>
  </conditionalFormatting>
  <conditionalFormatting sqref="H27:I27">
    <cfRule type="expression" dxfId="6543" priority="39555">
      <formula>MOD(ROW(),2)=0</formula>
    </cfRule>
  </conditionalFormatting>
  <conditionalFormatting sqref="H27:I27">
    <cfRule type="expression" dxfId="6542" priority="39551">
      <formula>MOD(ROW(),2)=0</formula>
    </cfRule>
  </conditionalFormatting>
  <conditionalFormatting sqref="H27:I27">
    <cfRule type="expression" dxfId="6541" priority="39545">
      <formula>MOD(ROW(),2)=0</formula>
    </cfRule>
  </conditionalFormatting>
  <conditionalFormatting sqref="H27:I27">
    <cfRule type="expression" dxfId="6540" priority="39541">
      <formula>MOD(ROW(),2)=0</formula>
    </cfRule>
  </conditionalFormatting>
  <conditionalFormatting sqref="H27:I27">
    <cfRule type="expression" dxfId="6539" priority="39537">
      <formula>MOD(ROW(),2)=0</formula>
    </cfRule>
  </conditionalFormatting>
  <conditionalFormatting sqref="H27:I27">
    <cfRule type="expression" dxfId="6538" priority="39531">
      <formula>MOD(ROW(),2)=0</formula>
    </cfRule>
  </conditionalFormatting>
  <conditionalFormatting sqref="H28:I77">
    <cfRule type="expression" dxfId="6537" priority="39527">
      <formula>MOD(ROW(),2)=0</formula>
    </cfRule>
  </conditionalFormatting>
  <conditionalFormatting sqref="H28:I77">
    <cfRule type="expression" dxfId="6536" priority="39526">
      <formula>MOD(ROW(),2)=0</formula>
    </cfRule>
  </conditionalFormatting>
  <conditionalFormatting sqref="H28:I77">
    <cfRule type="expression" dxfId="6535" priority="39524">
      <formula>MOD(ROW(),2)=0</formula>
    </cfRule>
  </conditionalFormatting>
  <conditionalFormatting sqref="H28:I77">
    <cfRule type="expression" dxfId="6534" priority="39521">
      <formula>MOD(ROW(),2)=0</formula>
    </cfRule>
  </conditionalFormatting>
  <conditionalFormatting sqref="H28:I77">
    <cfRule type="expression" dxfId="6533" priority="39519">
      <formula>MOD(ROW(),2)=0</formula>
    </cfRule>
  </conditionalFormatting>
  <conditionalFormatting sqref="H28:I77">
    <cfRule type="expression" dxfId="6532" priority="39517">
      <formula>MOD(ROW(),2)=0</formula>
    </cfRule>
  </conditionalFormatting>
  <conditionalFormatting sqref="H28:I77">
    <cfRule type="expression" dxfId="6531" priority="39515">
      <formula>MOD(ROW(),2)=0</formula>
    </cfRule>
  </conditionalFormatting>
  <conditionalFormatting sqref="H83:I83">
    <cfRule type="expression" dxfId="6530" priority="39512">
      <formula>MOD(ROW(),2)=0</formula>
    </cfRule>
  </conditionalFormatting>
  <conditionalFormatting sqref="H83:I83">
    <cfRule type="expression" dxfId="6529" priority="39511">
      <formula>MOD(ROW(),2)=0</formula>
    </cfRule>
  </conditionalFormatting>
  <conditionalFormatting sqref="H83:I83">
    <cfRule type="expression" dxfId="6528" priority="39509">
      <formula>MOD(ROW(),2)=0</formula>
    </cfRule>
  </conditionalFormatting>
  <conditionalFormatting sqref="H83:I83">
    <cfRule type="expression" dxfId="6527" priority="39506">
      <formula>MOD(ROW(),2)=0</formula>
    </cfRule>
  </conditionalFormatting>
  <conditionalFormatting sqref="H83:I83">
    <cfRule type="expression" dxfId="6526" priority="39504">
      <formula>MOD(ROW(),2)=0</formula>
    </cfRule>
  </conditionalFormatting>
  <conditionalFormatting sqref="H83:I83">
    <cfRule type="expression" dxfId="6525" priority="39502">
      <formula>MOD(ROW(),2)=0</formula>
    </cfRule>
  </conditionalFormatting>
  <conditionalFormatting sqref="H83:I83">
    <cfRule type="expression" dxfId="6524" priority="39500">
      <formula>MOD(ROW(),2)=0</formula>
    </cfRule>
  </conditionalFormatting>
  <conditionalFormatting sqref="J28:R77">
    <cfRule type="expression" dxfId="6523" priority="39148">
      <formula>MOD(ROW(),2)=0</formula>
    </cfRule>
  </conditionalFormatting>
  <conditionalFormatting sqref="J3:R4">
    <cfRule type="expression" dxfId="6522" priority="39096">
      <formula>MOD(ROW(),2)=0</formula>
    </cfRule>
  </conditionalFormatting>
  <conditionalFormatting sqref="J3:R4">
    <cfRule type="expression" dxfId="6521" priority="39095">
      <formula>MOD(ROW(),2)=0</formula>
    </cfRule>
  </conditionalFormatting>
  <conditionalFormatting sqref="S3:S4">
    <cfRule type="expression" dxfId="6520" priority="39094">
      <formula>MOD(ROW(),2)=0</formula>
    </cfRule>
  </conditionalFormatting>
  <conditionalFormatting sqref="S3:S4">
    <cfRule type="expression" dxfId="6519" priority="39093">
      <formula>MOD(ROW(),2)=0</formula>
    </cfRule>
  </conditionalFormatting>
  <conditionalFormatting sqref="J3:R4">
    <cfRule type="expression" dxfId="6518" priority="39092">
      <formula>MOD(ROW(),2)=0</formula>
    </cfRule>
  </conditionalFormatting>
  <conditionalFormatting sqref="J3:R4">
    <cfRule type="expression" dxfId="6517" priority="39091">
      <formula>MOD(ROW(),2)=0</formula>
    </cfRule>
  </conditionalFormatting>
  <conditionalFormatting sqref="J3:R4">
    <cfRule type="expression" dxfId="6516" priority="39090">
      <formula>MOD(ROW(),2)=0</formula>
    </cfRule>
  </conditionalFormatting>
  <conditionalFormatting sqref="J3:R4">
    <cfRule type="expression" dxfId="6515" priority="39089">
      <formula>MOD(ROW(),2)=0</formula>
    </cfRule>
  </conditionalFormatting>
  <conditionalFormatting sqref="J3:R4">
    <cfRule type="expression" dxfId="6514" priority="39088">
      <formula>MOD(ROW(),2)=0</formula>
    </cfRule>
  </conditionalFormatting>
  <conditionalFormatting sqref="J3:R4">
    <cfRule type="expression" dxfId="6513" priority="39087">
      <formula>MOD(ROW(),2)=0</formula>
    </cfRule>
  </conditionalFormatting>
  <conditionalFormatting sqref="S3:S4">
    <cfRule type="expression" dxfId="6512" priority="39086">
      <formula>MOD(ROW(),2)=0</formula>
    </cfRule>
  </conditionalFormatting>
  <conditionalFormatting sqref="S3:S4">
    <cfRule type="expression" dxfId="6511" priority="39085">
      <formula>MOD(ROW(),2)=0</formula>
    </cfRule>
  </conditionalFormatting>
  <conditionalFormatting sqref="J3:R4">
    <cfRule type="expression" dxfId="6510" priority="39084">
      <formula>MOD(ROW(),2)=0</formula>
    </cfRule>
  </conditionalFormatting>
  <conditionalFormatting sqref="J3:R4">
    <cfRule type="expression" dxfId="6509" priority="39083">
      <formula>MOD(ROW(),2)=0</formula>
    </cfRule>
  </conditionalFormatting>
  <conditionalFormatting sqref="J3:R4">
    <cfRule type="expression" dxfId="6508" priority="39082">
      <formula>MOD(ROW(),2)=0</formula>
    </cfRule>
  </conditionalFormatting>
  <conditionalFormatting sqref="J3:R4">
    <cfRule type="expression" dxfId="6507" priority="39081">
      <formula>MOD(ROW(),2)=0</formula>
    </cfRule>
  </conditionalFormatting>
  <conditionalFormatting sqref="J3:R4">
    <cfRule type="expression" dxfId="6506" priority="39080">
      <formula>MOD(ROW(),2)=0</formula>
    </cfRule>
  </conditionalFormatting>
  <conditionalFormatting sqref="J3:R4">
    <cfRule type="expression" dxfId="6505" priority="39079">
      <formula>MOD(ROW(),2)=0</formula>
    </cfRule>
  </conditionalFormatting>
  <conditionalFormatting sqref="S3:S4">
    <cfRule type="expression" dxfId="6504" priority="39078">
      <formula>MOD(ROW(),2)=0</formula>
    </cfRule>
  </conditionalFormatting>
  <conditionalFormatting sqref="S3:S4">
    <cfRule type="expression" dxfId="6503" priority="39077">
      <formula>MOD(ROW(),2)=0</formula>
    </cfRule>
  </conditionalFormatting>
  <conditionalFormatting sqref="S3:S4">
    <cfRule type="expression" dxfId="6502" priority="39076">
      <formula>MOD(ROW(),2)=0</formula>
    </cfRule>
  </conditionalFormatting>
  <conditionalFormatting sqref="S3:S4">
    <cfRule type="expression" dxfId="6501" priority="39075">
      <formula>MOD(ROW(),2)=0</formula>
    </cfRule>
  </conditionalFormatting>
  <conditionalFormatting sqref="S3:S4">
    <cfRule type="expression" dxfId="6500" priority="39074">
      <formula>MOD(ROW(),2)=0</formula>
    </cfRule>
  </conditionalFormatting>
  <conditionalFormatting sqref="J3:R4">
    <cfRule type="expression" dxfId="6499" priority="39073">
      <formula>MOD(ROW(),2)=0</formula>
    </cfRule>
  </conditionalFormatting>
  <conditionalFormatting sqref="J3:R4">
    <cfRule type="expression" dxfId="6498" priority="39072">
      <formula>MOD(ROW(),2)=0</formula>
    </cfRule>
  </conditionalFormatting>
  <conditionalFormatting sqref="J3:R4">
    <cfRule type="expression" dxfId="6497" priority="39071">
      <formula>MOD(ROW(),2)=0</formula>
    </cfRule>
  </conditionalFormatting>
  <conditionalFormatting sqref="J3:R4">
    <cfRule type="expression" dxfId="6496" priority="39070">
      <formula>MOD(ROW(),2)=0</formula>
    </cfRule>
  </conditionalFormatting>
  <conditionalFormatting sqref="J3:R4">
    <cfRule type="expression" dxfId="6495" priority="39069">
      <formula>MOD(ROW(),2)=0</formula>
    </cfRule>
  </conditionalFormatting>
  <conditionalFormatting sqref="J3:R4">
    <cfRule type="expression" dxfId="6494" priority="39068">
      <formula>MOD(ROW(),2)=0</formula>
    </cfRule>
  </conditionalFormatting>
  <conditionalFormatting sqref="S3:S4">
    <cfRule type="expression" dxfId="6493" priority="39067">
      <formula>MOD(ROW(),2)=0</formula>
    </cfRule>
  </conditionalFormatting>
  <conditionalFormatting sqref="J23:S25">
    <cfRule type="expression" dxfId="6492" priority="39066">
      <formula>MOD(ROW(),2)=0</formula>
    </cfRule>
  </conditionalFormatting>
  <conditionalFormatting sqref="J7:R7">
    <cfRule type="expression" dxfId="6491" priority="39064">
      <formula>MOD(ROW(),2)=0</formula>
    </cfRule>
  </conditionalFormatting>
  <conditionalFormatting sqref="J7:R7">
    <cfRule type="expression" dxfId="6490" priority="39063">
      <formula>MOD(ROW(),2)=0</formula>
    </cfRule>
  </conditionalFormatting>
  <conditionalFormatting sqref="S7">
    <cfRule type="expression" dxfId="6489" priority="39060">
      <formula>MOD(ROW(),2)=0</formula>
    </cfRule>
  </conditionalFormatting>
  <conditionalFormatting sqref="S7">
    <cfRule type="expression" dxfId="6488" priority="39059">
      <formula>MOD(ROW(),2)=0</formula>
    </cfRule>
  </conditionalFormatting>
  <conditionalFormatting sqref="S23:S25">
    <cfRule type="expression" dxfId="6487" priority="39061">
      <formula>MOD(ROW(),2)=0</formula>
    </cfRule>
  </conditionalFormatting>
  <conditionalFormatting sqref="J7:R7">
    <cfRule type="expression" dxfId="6486" priority="39015">
      <formula>MOD(ROW(),2)=0</formula>
    </cfRule>
  </conditionalFormatting>
  <conditionalFormatting sqref="J7:R7">
    <cfRule type="expression" dxfId="6485" priority="39014">
      <formula>MOD(ROW(),2)=0</formula>
    </cfRule>
  </conditionalFormatting>
  <conditionalFormatting sqref="J7:R7">
    <cfRule type="expression" dxfId="6484" priority="39013">
      <formula>MOD(ROW(),2)=0</formula>
    </cfRule>
  </conditionalFormatting>
  <conditionalFormatting sqref="J7:R7">
    <cfRule type="expression" dxfId="6483" priority="39011">
      <formula>MOD(ROW(),2)=0</formula>
    </cfRule>
  </conditionalFormatting>
  <conditionalFormatting sqref="J23:R25">
    <cfRule type="expression" dxfId="6482" priority="38996">
      <formula>MOD(ROW(),2)=0</formula>
    </cfRule>
  </conditionalFormatting>
  <conditionalFormatting sqref="J23:R25">
    <cfRule type="expression" dxfId="6481" priority="38995">
      <formula>MOD(ROW(),2)=0</formula>
    </cfRule>
  </conditionalFormatting>
  <conditionalFormatting sqref="S7">
    <cfRule type="expression" dxfId="6480" priority="38993">
      <formula>MOD(ROW(),2)=0</formula>
    </cfRule>
  </conditionalFormatting>
  <conditionalFormatting sqref="S7">
    <cfRule type="expression" dxfId="6479" priority="38992">
      <formula>MOD(ROW(),2)=0</formula>
    </cfRule>
  </conditionalFormatting>
  <conditionalFormatting sqref="J7:R7">
    <cfRule type="expression" dxfId="6478" priority="38989">
      <formula>MOD(ROW(),2)=0</formula>
    </cfRule>
  </conditionalFormatting>
  <conditionalFormatting sqref="J7:R7">
    <cfRule type="expression" dxfId="6477" priority="38988">
      <formula>MOD(ROW(),2)=0</formula>
    </cfRule>
  </conditionalFormatting>
  <conditionalFormatting sqref="J7:R7">
    <cfRule type="expression" dxfId="6476" priority="38987">
      <formula>MOD(ROW(),2)=0</formula>
    </cfRule>
  </conditionalFormatting>
  <conditionalFormatting sqref="J7:R7">
    <cfRule type="expression" dxfId="6475" priority="38985">
      <formula>MOD(ROW(),2)=0</formula>
    </cfRule>
  </conditionalFormatting>
  <conditionalFormatting sqref="S7">
    <cfRule type="expression" dxfId="6474" priority="38983">
      <formula>MOD(ROW(),2)=0</formula>
    </cfRule>
  </conditionalFormatting>
  <conditionalFormatting sqref="S7">
    <cfRule type="expression" dxfId="6473" priority="38982">
      <formula>MOD(ROW(),2)=0</formula>
    </cfRule>
  </conditionalFormatting>
  <conditionalFormatting sqref="S7">
    <cfRule type="expression" dxfId="6472" priority="38981">
      <formula>MOD(ROW(),2)=0</formula>
    </cfRule>
  </conditionalFormatting>
  <conditionalFormatting sqref="J7:R7">
    <cfRule type="expression" dxfId="6471" priority="38979">
      <formula>MOD(ROW(),2)=0</formula>
    </cfRule>
  </conditionalFormatting>
  <conditionalFormatting sqref="J7:R7">
    <cfRule type="expression" dxfId="6470" priority="38977">
      <formula>MOD(ROW(),2)=0</formula>
    </cfRule>
  </conditionalFormatting>
  <conditionalFormatting sqref="J7:R7">
    <cfRule type="expression" dxfId="6469" priority="38976">
      <formula>MOD(ROW(),2)=0</formula>
    </cfRule>
  </conditionalFormatting>
  <conditionalFormatting sqref="J7:R7">
    <cfRule type="expression" dxfId="6468" priority="38975">
      <formula>MOD(ROW(),2)=0</formula>
    </cfRule>
  </conditionalFormatting>
  <conditionalFormatting sqref="S7">
    <cfRule type="expression" dxfId="6467" priority="38973">
      <formula>MOD(ROW(),2)=0</formula>
    </cfRule>
  </conditionalFormatting>
  <conditionalFormatting sqref="J23:R25">
    <cfRule type="expression" dxfId="6466" priority="38951">
      <formula>MOD(ROW(),2)=0</formula>
    </cfRule>
  </conditionalFormatting>
  <conditionalFormatting sqref="J23:R25">
    <cfRule type="expression" dxfId="6465" priority="38943">
      <formula>MOD(ROW(),2)=0</formula>
    </cfRule>
  </conditionalFormatting>
  <conditionalFormatting sqref="J23:R25">
    <cfRule type="expression" dxfId="6464" priority="38907">
      <formula>MOD(ROW(),2)=0</formula>
    </cfRule>
  </conditionalFormatting>
  <conditionalFormatting sqref="S23:S25">
    <cfRule type="expression" dxfId="6463" priority="38906">
      <formula>MOD(ROW(),2)=0</formula>
    </cfRule>
  </conditionalFormatting>
  <conditionalFormatting sqref="J23:R25">
    <cfRule type="expression" dxfId="6462" priority="38905">
      <formula>MOD(ROW(),2)=0</formula>
    </cfRule>
  </conditionalFormatting>
  <conditionalFormatting sqref="S23:S25">
    <cfRule type="expression" dxfId="6461" priority="38904">
      <formula>MOD(ROW(),2)=0</formula>
    </cfRule>
  </conditionalFormatting>
  <conditionalFormatting sqref="S27">
    <cfRule type="expression" dxfId="6460" priority="38903">
      <formula>MOD(ROW(),2)=0</formula>
    </cfRule>
  </conditionalFormatting>
  <conditionalFormatting sqref="S27">
    <cfRule type="expression" dxfId="6459" priority="38902">
      <formula>S$27&gt;(S$78+S$103)</formula>
    </cfRule>
  </conditionalFormatting>
  <conditionalFormatting sqref="J27:R27">
    <cfRule type="expression" dxfId="6458" priority="38901">
      <formula>MOD(ROW(),2)=0</formula>
    </cfRule>
  </conditionalFormatting>
  <conditionalFormatting sqref="J27:R27">
    <cfRule type="expression" dxfId="6457" priority="38900">
      <formula>J$27&gt;(J$78+J$103)</formula>
    </cfRule>
  </conditionalFormatting>
  <conditionalFormatting sqref="J27:R27">
    <cfRule type="expression" dxfId="6456" priority="38899">
      <formula>MOD(ROW(),2)=0</formula>
    </cfRule>
  </conditionalFormatting>
  <conditionalFormatting sqref="J27:R27">
    <cfRule type="expression" dxfId="6455" priority="38898">
      <formula>J$27&gt;(J$78+J$103)</formula>
    </cfRule>
  </conditionalFormatting>
  <conditionalFormatting sqref="J27:R27">
    <cfRule type="expression" dxfId="6454" priority="38897">
      <formula>MOD(ROW(),2)=0</formula>
    </cfRule>
  </conditionalFormatting>
  <conditionalFormatting sqref="J27:R27">
    <cfRule type="expression" dxfId="6453" priority="38896">
      <formula>J$27&gt;(J$78+J$103)</formula>
    </cfRule>
  </conditionalFormatting>
  <conditionalFormatting sqref="J27:R27">
    <cfRule type="expression" dxfId="6452" priority="38895">
      <formula>MOD(ROW(),2)=0</formula>
    </cfRule>
  </conditionalFormatting>
  <conditionalFormatting sqref="J27:R27">
    <cfRule type="expression" dxfId="6451" priority="38894">
      <formula>J$27&gt;(J$78+J$103)</formula>
    </cfRule>
  </conditionalFormatting>
  <conditionalFormatting sqref="J27:R27">
    <cfRule type="expression" dxfId="6450" priority="38893">
      <formula>MOD(ROW(),2)=0</formula>
    </cfRule>
  </conditionalFormatting>
  <conditionalFormatting sqref="J27:R27">
    <cfRule type="expression" dxfId="6449" priority="38892">
      <formula>J$27&gt;(J$78+J$103)</formula>
    </cfRule>
  </conditionalFormatting>
  <conditionalFormatting sqref="S27">
    <cfRule type="expression" dxfId="6448" priority="38891">
      <formula>MOD(ROW(),2)=0</formula>
    </cfRule>
  </conditionalFormatting>
  <conditionalFormatting sqref="S27">
    <cfRule type="expression" dxfId="6447" priority="38890">
      <formula>S$27&gt;(S$78+S$103)</formula>
    </cfRule>
  </conditionalFormatting>
  <conditionalFormatting sqref="J27:R27">
    <cfRule type="expression" dxfId="6446" priority="38889">
      <formula>MOD(ROW(),2)=0</formula>
    </cfRule>
  </conditionalFormatting>
  <conditionalFormatting sqref="J27:R27">
    <cfRule type="expression" dxfId="6445" priority="38888">
      <formula>J$27&gt;(J$78+J$103)</formula>
    </cfRule>
  </conditionalFormatting>
  <conditionalFormatting sqref="S27">
    <cfRule type="expression" dxfId="6444" priority="38887">
      <formula>MOD(ROW(),2)=0</formula>
    </cfRule>
  </conditionalFormatting>
  <conditionalFormatting sqref="S27">
    <cfRule type="expression" dxfId="6443" priority="38886">
      <formula>S$27&gt;(S$78+S$103)</formula>
    </cfRule>
  </conditionalFormatting>
  <conditionalFormatting sqref="S28:S77">
    <cfRule type="expression" dxfId="6442" priority="38885">
      <formula>MOD(ROW(),2)=0</formula>
    </cfRule>
  </conditionalFormatting>
  <conditionalFormatting sqref="J28:R77">
    <cfRule type="expression" dxfId="6441" priority="38884">
      <formula>MOD(ROW(),2)=0</formula>
    </cfRule>
  </conditionalFormatting>
  <conditionalFormatting sqref="J28:R77">
    <cfRule type="expression" dxfId="6440" priority="38883">
      <formula>MOD(ROW(),2)=0</formula>
    </cfRule>
  </conditionalFormatting>
  <conditionalFormatting sqref="J28:R77">
    <cfRule type="expression" dxfId="6439" priority="38882">
      <formula>MOD(ROW(),2)=0</formula>
    </cfRule>
  </conditionalFormatting>
  <conditionalFormatting sqref="J28:R77">
    <cfRule type="expression" dxfId="6438" priority="38881">
      <formula>MOD(ROW(),2)=0</formula>
    </cfRule>
  </conditionalFormatting>
  <conditionalFormatting sqref="J28:R77">
    <cfRule type="expression" dxfId="6437" priority="38880">
      <formula>MOD(ROW(),2)=0</formula>
    </cfRule>
  </conditionalFormatting>
  <conditionalFormatting sqref="S28:S77">
    <cfRule type="expression" dxfId="6436" priority="38879">
      <formula>MOD(ROW(),2)=0</formula>
    </cfRule>
  </conditionalFormatting>
  <conditionalFormatting sqref="J28:R77">
    <cfRule type="expression" dxfId="6435" priority="38878">
      <formula>MOD(ROW(),2)=0</formula>
    </cfRule>
  </conditionalFormatting>
  <conditionalFormatting sqref="S28:S77">
    <cfRule type="expression" dxfId="6434" priority="38877">
      <formula>MOD(ROW(),2)=0</formula>
    </cfRule>
  </conditionalFormatting>
  <conditionalFormatting sqref="S83">
    <cfRule type="expression" dxfId="6433" priority="38876">
      <formula>MOD(ROW(),2)=0</formula>
    </cfRule>
  </conditionalFormatting>
  <conditionalFormatting sqref="J83:R83">
    <cfRule type="expression" dxfId="6432" priority="38875">
      <formula>MOD(ROW(),2)=0</formula>
    </cfRule>
  </conditionalFormatting>
  <conditionalFormatting sqref="J83:R83">
    <cfRule type="expression" dxfId="6431" priority="38874">
      <formula>MOD(ROW(),2)=0</formula>
    </cfRule>
  </conditionalFormatting>
  <conditionalFormatting sqref="J83:R83">
    <cfRule type="expression" dxfId="6430" priority="38873">
      <formula>MOD(ROW(),2)=0</formula>
    </cfRule>
  </conditionalFormatting>
  <conditionalFormatting sqref="J83:R83">
    <cfRule type="expression" dxfId="6429" priority="38872">
      <formula>MOD(ROW(),2)=0</formula>
    </cfRule>
  </conditionalFormatting>
  <conditionalFormatting sqref="J83:R83">
    <cfRule type="expression" dxfId="6428" priority="38871">
      <formula>MOD(ROW(),2)=0</formula>
    </cfRule>
  </conditionalFormatting>
  <conditionalFormatting sqref="S83">
    <cfRule type="expression" dxfId="6427" priority="38870">
      <formula>MOD(ROW(),2)=0</formula>
    </cfRule>
  </conditionalFormatting>
  <conditionalFormatting sqref="J83:R83">
    <cfRule type="expression" dxfId="6426" priority="38869">
      <formula>MOD(ROW(),2)=0</formula>
    </cfRule>
  </conditionalFormatting>
  <conditionalFormatting sqref="S83">
    <cfRule type="expression" dxfId="6425" priority="38868">
      <formula>MOD(ROW(),2)=0</formula>
    </cfRule>
  </conditionalFormatting>
  <conditionalFormatting sqref="J86:R92 J94:R102">
    <cfRule type="expression" dxfId="6424" priority="38867">
      <formula>MOD(ROW(),2)=0</formula>
    </cfRule>
  </conditionalFormatting>
  <conditionalFormatting sqref="S86:S102">
    <cfRule type="expression" dxfId="6423" priority="38866">
      <formula>MOD(ROW(),2)=0</formula>
    </cfRule>
  </conditionalFormatting>
  <conditionalFormatting sqref="J93:R93">
    <cfRule type="expression" dxfId="6422" priority="38865">
      <formula>MOD(ROW(),2)=0</formula>
    </cfRule>
  </conditionalFormatting>
  <conditionalFormatting sqref="S86:S92 S94:S102">
    <cfRule type="expression" dxfId="6421" priority="38864">
      <formula>MOD(ROW(),2)=0</formula>
    </cfRule>
  </conditionalFormatting>
  <conditionalFormatting sqref="J86:R92 J94:R102">
    <cfRule type="expression" dxfId="6420" priority="38863">
      <formula>MOD(ROW(),2)=0</formula>
    </cfRule>
  </conditionalFormatting>
  <conditionalFormatting sqref="J93:R93">
    <cfRule type="expression" dxfId="6419" priority="38862">
      <formula>MOD(ROW(),2)=0</formula>
    </cfRule>
  </conditionalFormatting>
  <conditionalFormatting sqref="S93">
    <cfRule type="expression" dxfId="6418" priority="38861">
      <formula>MOD(ROW(),2)=0</formula>
    </cfRule>
  </conditionalFormatting>
  <conditionalFormatting sqref="AE9:AR9">
    <cfRule type="expression" dxfId="6417" priority="37888">
      <formula>MOD(ROW(),2)=0</formula>
    </cfRule>
  </conditionalFormatting>
  <conditionalFormatting sqref="AE8:AR8">
    <cfRule type="expression" dxfId="6416" priority="37887">
      <formula>MOD(ROW(),2)=0</formula>
    </cfRule>
  </conditionalFormatting>
  <conditionalFormatting sqref="AE15:AR16 AE12:AR13">
    <cfRule type="expression" dxfId="6415" priority="37886">
      <formula>MOD(ROW(),2)=0</formula>
    </cfRule>
  </conditionalFormatting>
  <conditionalFormatting sqref="AE14:AR14 AE17:AR21">
    <cfRule type="expression" dxfId="6414" priority="37885">
      <formula>MOD(ROW(),2)=0</formula>
    </cfRule>
  </conditionalFormatting>
  <conditionalFormatting sqref="AE11:AR11">
    <cfRule type="expression" dxfId="6413" priority="37884">
      <formula>MOD(ROW(),2)=0</formula>
    </cfRule>
  </conditionalFormatting>
  <conditionalFormatting sqref="AE22:AR22">
    <cfRule type="expression" dxfId="6412" priority="37883">
      <formula>MOD(ROW(),2)=0</formula>
    </cfRule>
  </conditionalFormatting>
  <conditionalFormatting sqref="AE10:AR10">
    <cfRule type="expression" dxfId="6411" priority="37882">
      <formula>MOD(ROW(),2)=0</formula>
    </cfRule>
  </conditionalFormatting>
  <conditionalFormatting sqref="AE9:AR9">
    <cfRule type="expression" dxfId="6410" priority="37881">
      <formula>MOD(ROW(),2)=0</formula>
    </cfRule>
  </conditionalFormatting>
  <conditionalFormatting sqref="AE8:AR8">
    <cfRule type="expression" dxfId="6409" priority="37880">
      <formula>MOD(ROW(),2)=0</formula>
    </cfRule>
  </conditionalFormatting>
  <conditionalFormatting sqref="AE15:AR16 AE12:AR13">
    <cfRule type="expression" dxfId="6408" priority="37879">
      <formula>MOD(ROW(),2)=0</formula>
    </cfRule>
  </conditionalFormatting>
  <conditionalFormatting sqref="AE14:AR14 AE17:AR21">
    <cfRule type="expression" dxfId="6407" priority="37878">
      <formula>MOD(ROW(),2)=0</formula>
    </cfRule>
  </conditionalFormatting>
  <conditionalFormatting sqref="AE11:AR11">
    <cfRule type="expression" dxfId="6406" priority="37877">
      <formula>MOD(ROW(),2)=0</formula>
    </cfRule>
  </conditionalFormatting>
  <conditionalFormatting sqref="AE22:AR22">
    <cfRule type="expression" dxfId="6405" priority="37876">
      <formula>MOD(ROW(),2)=0</formula>
    </cfRule>
  </conditionalFormatting>
  <conditionalFormatting sqref="AE10:AR10">
    <cfRule type="expression" dxfId="6404" priority="37875">
      <formula>MOD(ROW(),2)=0</formula>
    </cfRule>
  </conditionalFormatting>
  <conditionalFormatting sqref="AE9:AR9">
    <cfRule type="expression" dxfId="6403" priority="37874">
      <formula>MOD(ROW(),2)=0</formula>
    </cfRule>
  </conditionalFormatting>
  <conditionalFormatting sqref="AE8:AR8">
    <cfRule type="expression" dxfId="6402" priority="37873">
      <formula>MOD(ROW(),2)=0</formula>
    </cfRule>
  </conditionalFormatting>
  <conditionalFormatting sqref="AE15:AR16 AE12:AR13">
    <cfRule type="expression" dxfId="6401" priority="37872">
      <formula>MOD(ROW(),2)=0</formula>
    </cfRule>
  </conditionalFormatting>
  <conditionalFormatting sqref="AE14:AR14 AE17:AR21">
    <cfRule type="expression" dxfId="6400" priority="37871">
      <formula>MOD(ROW(),2)=0</formula>
    </cfRule>
  </conditionalFormatting>
  <conditionalFormatting sqref="AE11:AR11">
    <cfRule type="expression" dxfId="6399" priority="37870">
      <formula>MOD(ROW(),2)=0</formula>
    </cfRule>
  </conditionalFormatting>
  <conditionalFormatting sqref="AE22:AR22">
    <cfRule type="expression" dxfId="6398" priority="37869">
      <formula>MOD(ROW(),2)=0</formula>
    </cfRule>
  </conditionalFormatting>
  <conditionalFormatting sqref="AE10:AR10">
    <cfRule type="expression" dxfId="6397" priority="37868">
      <formula>MOD(ROW(),2)=0</formula>
    </cfRule>
  </conditionalFormatting>
  <conditionalFormatting sqref="AE9:AR9">
    <cfRule type="expression" dxfId="6396" priority="37867">
      <formula>MOD(ROW(),2)=0</formula>
    </cfRule>
  </conditionalFormatting>
  <conditionalFormatting sqref="AE8:AR8">
    <cfRule type="expression" dxfId="6395" priority="37866">
      <formula>MOD(ROW(),2)=0</formula>
    </cfRule>
  </conditionalFormatting>
  <conditionalFormatting sqref="AE15:AR16 AE12:AR13">
    <cfRule type="expression" dxfId="6394" priority="37865">
      <formula>MOD(ROW(),2)=0</formula>
    </cfRule>
  </conditionalFormatting>
  <conditionalFormatting sqref="AE14:AR14 AE17:AR21">
    <cfRule type="expression" dxfId="6393" priority="37864">
      <formula>MOD(ROW(),2)=0</formula>
    </cfRule>
  </conditionalFormatting>
  <conditionalFormatting sqref="AE11:AR11">
    <cfRule type="expression" dxfId="6392" priority="37863">
      <formula>MOD(ROW(),2)=0</formula>
    </cfRule>
  </conditionalFormatting>
  <conditionalFormatting sqref="AE22:AR22">
    <cfRule type="expression" dxfId="6391" priority="37862">
      <formula>MOD(ROW(),2)=0</formula>
    </cfRule>
  </conditionalFormatting>
  <conditionalFormatting sqref="AE10:AR10">
    <cfRule type="expression" dxfId="6390" priority="37861">
      <formula>MOD(ROW(),2)=0</formula>
    </cfRule>
  </conditionalFormatting>
  <conditionalFormatting sqref="AE9:AR9">
    <cfRule type="expression" dxfId="6389" priority="37860">
      <formula>MOD(ROW(),2)=0</formula>
    </cfRule>
  </conditionalFormatting>
  <conditionalFormatting sqref="AE8:AR8">
    <cfRule type="expression" dxfId="6388" priority="37859">
      <formula>MOD(ROW(),2)=0</formula>
    </cfRule>
  </conditionalFormatting>
  <conditionalFormatting sqref="AE15:AR16 AE12:AR13">
    <cfRule type="expression" dxfId="6387" priority="37858">
      <formula>MOD(ROW(),2)=0</formula>
    </cfRule>
  </conditionalFormatting>
  <conditionalFormatting sqref="AE14:AR14 AE17:AR21">
    <cfRule type="expression" dxfId="6386" priority="37857">
      <formula>MOD(ROW(),2)=0</formula>
    </cfRule>
  </conditionalFormatting>
  <conditionalFormatting sqref="AE11:AR11">
    <cfRule type="expression" dxfId="6385" priority="37856">
      <formula>MOD(ROW(),2)=0</formula>
    </cfRule>
  </conditionalFormatting>
  <conditionalFormatting sqref="AE22:AR22">
    <cfRule type="expression" dxfId="6384" priority="37855">
      <formula>MOD(ROW(),2)=0</formula>
    </cfRule>
  </conditionalFormatting>
  <conditionalFormatting sqref="AE10:AR10">
    <cfRule type="expression" dxfId="6383" priority="37854">
      <formula>MOD(ROW(),2)=0</formula>
    </cfRule>
  </conditionalFormatting>
  <conditionalFormatting sqref="AE9:AR9">
    <cfRule type="expression" dxfId="6382" priority="37853">
      <formula>MOD(ROW(),2)=0</formula>
    </cfRule>
  </conditionalFormatting>
  <conditionalFormatting sqref="AE8:AR8">
    <cfRule type="expression" dxfId="6381" priority="37852">
      <formula>MOD(ROW(),2)=0</formula>
    </cfRule>
  </conditionalFormatting>
  <conditionalFormatting sqref="AE15:AR16 AE12:AR13">
    <cfRule type="expression" dxfId="6380" priority="37851">
      <formula>MOD(ROW(),2)=0</formula>
    </cfRule>
  </conditionalFormatting>
  <conditionalFormatting sqref="AE14:AR14 AE17:AR21">
    <cfRule type="expression" dxfId="6379" priority="37850">
      <formula>MOD(ROW(),2)=0</formula>
    </cfRule>
  </conditionalFormatting>
  <conditionalFormatting sqref="AE11:AR11">
    <cfRule type="expression" dxfId="6378" priority="37849">
      <formula>MOD(ROW(),2)=0</formula>
    </cfRule>
  </conditionalFormatting>
  <conditionalFormatting sqref="AE22:AR22">
    <cfRule type="expression" dxfId="6377" priority="37848">
      <formula>MOD(ROW(),2)=0</formula>
    </cfRule>
  </conditionalFormatting>
  <conditionalFormatting sqref="AE10:AR10">
    <cfRule type="expression" dxfId="6376" priority="37847">
      <formula>MOD(ROW(),2)=0</formula>
    </cfRule>
  </conditionalFormatting>
  <conditionalFormatting sqref="AE9:AR9">
    <cfRule type="expression" dxfId="6375" priority="37846">
      <formula>MOD(ROW(),2)=0</formula>
    </cfRule>
  </conditionalFormatting>
  <conditionalFormatting sqref="AE8:AR8">
    <cfRule type="expression" dxfId="6374" priority="37845">
      <formula>MOD(ROW(),2)=0</formula>
    </cfRule>
  </conditionalFormatting>
  <conditionalFormatting sqref="AE15:AR16 AE12:AR13">
    <cfRule type="expression" dxfId="6373" priority="37844">
      <formula>MOD(ROW(),2)=0</formula>
    </cfRule>
  </conditionalFormatting>
  <conditionalFormatting sqref="AE14:AR14 AE17:AR21">
    <cfRule type="expression" dxfId="6372" priority="37843">
      <formula>MOD(ROW(),2)=0</formula>
    </cfRule>
  </conditionalFormatting>
  <conditionalFormatting sqref="AE11:AR11">
    <cfRule type="expression" dxfId="6371" priority="37842">
      <formula>MOD(ROW(),2)=0</formula>
    </cfRule>
  </conditionalFormatting>
  <conditionalFormatting sqref="AE10:AR10">
    <cfRule type="expression" dxfId="6370" priority="37841">
      <formula>MOD(ROW(),2)=0</formula>
    </cfRule>
  </conditionalFormatting>
  <conditionalFormatting sqref="AE22:AR22">
    <cfRule type="expression" dxfId="6369" priority="37840">
      <formula>MOD(ROW(),2)=0</formula>
    </cfRule>
  </conditionalFormatting>
  <conditionalFormatting sqref="AE9:AR9">
    <cfRule type="expression" dxfId="6368" priority="37839">
      <formula>MOD(ROW(),2)=0</formula>
    </cfRule>
  </conditionalFormatting>
  <conditionalFormatting sqref="AE8:AR8">
    <cfRule type="expression" dxfId="6367" priority="37838">
      <formula>MOD(ROW(),2)=0</formula>
    </cfRule>
  </conditionalFormatting>
  <conditionalFormatting sqref="AE15:AR16 AE12:AR13">
    <cfRule type="expression" dxfId="6366" priority="37837">
      <formula>MOD(ROW(),2)=0</formula>
    </cfRule>
  </conditionalFormatting>
  <conditionalFormatting sqref="AE14:AR14 AE17:AR21">
    <cfRule type="expression" dxfId="6365" priority="37836">
      <formula>MOD(ROW(),2)=0</formula>
    </cfRule>
  </conditionalFormatting>
  <conditionalFormatting sqref="AE11:AR11">
    <cfRule type="expression" dxfId="6364" priority="37835">
      <formula>MOD(ROW(),2)=0</formula>
    </cfRule>
  </conditionalFormatting>
  <conditionalFormatting sqref="AE22:AR22">
    <cfRule type="expression" dxfId="6363" priority="37834">
      <formula>MOD(ROW(),2)=0</formula>
    </cfRule>
  </conditionalFormatting>
  <conditionalFormatting sqref="AE10:AR10">
    <cfRule type="expression" dxfId="6362" priority="37833">
      <formula>MOD(ROW(),2)=0</formula>
    </cfRule>
  </conditionalFormatting>
  <conditionalFormatting sqref="G23:G80 G82:G102">
    <cfRule type="expression" dxfId="6361" priority="36758">
      <formula>MOD(ROW(),2)=0</formula>
    </cfRule>
  </conditionalFormatting>
  <conditionalFormatting sqref="G27">
    <cfRule type="expression" dxfId="6360" priority="36757">
      <formula>G$27&gt;(G$78+G$103)</formula>
    </cfRule>
  </conditionalFormatting>
  <conditionalFormatting sqref="I7 I3:I5">
    <cfRule type="expression" dxfId="6359" priority="36756">
      <formula>MOD(ROW(),2)=0</formula>
    </cfRule>
  </conditionalFormatting>
  <conditionalFormatting sqref="Q6:AR6 D6:O6">
    <cfRule type="expression" dxfId="6358" priority="36747">
      <formula>MOD(ROW(),2)=0</formula>
    </cfRule>
  </conditionalFormatting>
  <conditionalFormatting sqref="Q6:AR6 D6:O6">
    <cfRule type="expression" dxfId="6357" priority="36278">
      <formula>MOD(ROW(),2)=0</formula>
    </cfRule>
  </conditionalFormatting>
  <conditionalFormatting sqref="H7 H3:H5">
    <cfRule type="expression" dxfId="6356" priority="36273">
      <formula>MOD(ROW(),2)=0</formula>
    </cfRule>
  </conditionalFormatting>
  <conditionalFormatting sqref="AF3:AF5">
    <cfRule type="expression" dxfId="6355" priority="33573">
      <formula>MOD(ROW(),2)=0</formula>
    </cfRule>
  </conditionalFormatting>
  <conditionalFormatting sqref="AD3:AD5">
    <cfRule type="expression" dxfId="6354" priority="33571">
      <formula>MOD(ROW(),2)=0</formula>
    </cfRule>
  </conditionalFormatting>
  <conditionalFormatting sqref="AD7">
    <cfRule type="expression" dxfId="6353" priority="33570">
      <formula>MOD(ROW(),2)=0</formula>
    </cfRule>
  </conditionalFormatting>
  <conditionalFormatting sqref="AD7">
    <cfRule type="expression" dxfId="6352" priority="33569">
      <formula>MOD(ROW(),2)=0</formula>
    </cfRule>
  </conditionalFormatting>
  <conditionalFormatting sqref="G3:G4">
    <cfRule type="expression" dxfId="6351" priority="33196">
      <formula>MOD(ROW(),2)=0</formula>
    </cfRule>
  </conditionalFormatting>
  <conditionalFormatting sqref="G7">
    <cfRule type="expression" dxfId="6350" priority="33195">
      <formula>MOD(ROW(),2)=0</formula>
    </cfRule>
  </conditionalFormatting>
  <conditionalFormatting sqref="G7">
    <cfRule type="expression" dxfId="6349" priority="33194">
      <formula>MOD(ROW(),2)=0</formula>
    </cfRule>
  </conditionalFormatting>
  <conditionalFormatting sqref="P5">
    <cfRule type="expression" dxfId="6348" priority="29825">
      <formula>MOD(ROW(),2)=0</formula>
    </cfRule>
  </conditionalFormatting>
  <conditionalFormatting sqref="P3:P4">
    <cfRule type="expression" dxfId="6347" priority="29824">
      <formula>MOD(ROW(),2)=0</formula>
    </cfRule>
  </conditionalFormatting>
  <conditionalFormatting sqref="P3:P4">
    <cfRule type="expression" dxfId="6346" priority="29823">
      <formula>MOD(ROW(),2)=0</formula>
    </cfRule>
  </conditionalFormatting>
  <conditionalFormatting sqref="P3:P4">
    <cfRule type="expression" dxfId="6345" priority="29822">
      <formula>MOD(ROW(),2)=0</formula>
    </cfRule>
  </conditionalFormatting>
  <conditionalFormatting sqref="P3:P4">
    <cfRule type="expression" dxfId="6344" priority="29821">
      <formula>MOD(ROW(),2)=0</formula>
    </cfRule>
  </conditionalFormatting>
  <conditionalFormatting sqref="P3:P4">
    <cfRule type="expression" dxfId="6343" priority="29820">
      <formula>MOD(ROW(),2)=0</formula>
    </cfRule>
  </conditionalFormatting>
  <conditionalFormatting sqref="P3:P4">
    <cfRule type="expression" dxfId="6342" priority="29819">
      <formula>MOD(ROW(),2)=0</formula>
    </cfRule>
  </conditionalFormatting>
  <conditionalFormatting sqref="P3:P4">
    <cfRule type="expression" dxfId="6341" priority="29818">
      <formula>MOD(ROW(),2)=0</formula>
    </cfRule>
  </conditionalFormatting>
  <conditionalFormatting sqref="P3:P4">
    <cfRule type="expression" dxfId="6340" priority="29817">
      <formula>MOD(ROW(),2)=0</formula>
    </cfRule>
  </conditionalFormatting>
  <conditionalFormatting sqref="P3:P4">
    <cfRule type="expression" dxfId="6339" priority="29816">
      <formula>MOD(ROW(),2)=0</formula>
    </cfRule>
  </conditionalFormatting>
  <conditionalFormatting sqref="P3:P4">
    <cfRule type="expression" dxfId="6338" priority="29815">
      <formula>MOD(ROW(),2)=0</formula>
    </cfRule>
  </conditionalFormatting>
  <conditionalFormatting sqref="P3:P4">
    <cfRule type="expression" dxfId="6337" priority="29814">
      <formula>MOD(ROW(),2)=0</formula>
    </cfRule>
  </conditionalFormatting>
  <conditionalFormatting sqref="P3:P4">
    <cfRule type="expression" dxfId="6336" priority="29813">
      <formula>MOD(ROW(),2)=0</formula>
    </cfRule>
  </conditionalFormatting>
  <conditionalFormatting sqref="P3:P4">
    <cfRule type="expression" dxfId="6335" priority="29812">
      <formula>MOD(ROW(),2)=0</formula>
    </cfRule>
  </conditionalFormatting>
  <conditionalFormatting sqref="P3:P4">
    <cfRule type="expression" dxfId="6334" priority="29811">
      <formula>MOD(ROW(),2)=0</formula>
    </cfRule>
  </conditionalFormatting>
  <conditionalFormatting sqref="P3:P4">
    <cfRule type="expression" dxfId="6333" priority="29810">
      <formula>MOD(ROW(),2)=0</formula>
    </cfRule>
  </conditionalFormatting>
  <conditionalFormatting sqref="P3:P4">
    <cfRule type="expression" dxfId="6332" priority="29809">
      <formula>MOD(ROW(),2)=0</formula>
    </cfRule>
  </conditionalFormatting>
  <conditionalFormatting sqref="P3:P4">
    <cfRule type="expression" dxfId="6331" priority="29808">
      <formula>MOD(ROW(),2)=0</formula>
    </cfRule>
  </conditionalFormatting>
  <conditionalFormatting sqref="P3:P4">
    <cfRule type="expression" dxfId="6330" priority="29807">
      <formula>MOD(ROW(),2)=0</formula>
    </cfRule>
  </conditionalFormatting>
  <conditionalFormatting sqref="P3:P4">
    <cfRule type="expression" dxfId="6329" priority="29806">
      <formula>MOD(ROW(),2)=0</formula>
    </cfRule>
  </conditionalFormatting>
  <conditionalFormatting sqref="P3:P4">
    <cfRule type="expression" dxfId="6328" priority="29805">
      <formula>MOD(ROW(),2)=0</formula>
    </cfRule>
  </conditionalFormatting>
  <conditionalFormatting sqref="P6">
    <cfRule type="expression" dxfId="6327" priority="29804">
      <formula>MOD(ROW(),2)=0</formula>
    </cfRule>
  </conditionalFormatting>
  <conditionalFormatting sqref="P6">
    <cfRule type="expression" dxfId="6326" priority="29803">
      <formula>MOD(ROW(),2)=0</formula>
    </cfRule>
  </conditionalFormatting>
  <conditionalFormatting sqref="AC9">
    <cfRule type="expression" dxfId="6325" priority="28458">
      <formula>MOD(ROW(),2)=0</formula>
    </cfRule>
  </conditionalFormatting>
  <conditionalFormatting sqref="AC8">
    <cfRule type="expression" dxfId="6324" priority="28457">
      <formula>MOD(ROW(),2)=0</formula>
    </cfRule>
  </conditionalFormatting>
  <conditionalFormatting sqref="AC15:AC16 AC12:AC13">
    <cfRule type="expression" dxfId="6323" priority="28456">
      <formula>MOD(ROW(),2)=0</formula>
    </cfRule>
  </conditionalFormatting>
  <conditionalFormatting sqref="AC14 AC17:AC21">
    <cfRule type="expression" dxfId="6322" priority="28455">
      <formula>MOD(ROW(),2)=0</formula>
    </cfRule>
  </conditionalFormatting>
  <conditionalFormatting sqref="AC11">
    <cfRule type="expression" dxfId="6321" priority="28454">
      <formula>MOD(ROW(),2)=0</formula>
    </cfRule>
  </conditionalFormatting>
  <conditionalFormatting sqref="AC22">
    <cfRule type="expression" dxfId="6320" priority="28453">
      <formula>MOD(ROW(),2)=0</formula>
    </cfRule>
  </conditionalFormatting>
  <conditionalFormatting sqref="AC10">
    <cfRule type="expression" dxfId="6319" priority="28452">
      <formula>MOD(ROW(),2)=0</formula>
    </cfRule>
  </conditionalFormatting>
  <conditionalFormatting sqref="AC9">
    <cfRule type="expression" dxfId="6318" priority="28451">
      <formula>MOD(ROW(),2)=0</formula>
    </cfRule>
  </conditionalFormatting>
  <conditionalFormatting sqref="AC8">
    <cfRule type="expression" dxfId="6317" priority="28450">
      <formula>MOD(ROW(),2)=0</formula>
    </cfRule>
  </conditionalFormatting>
  <conditionalFormatting sqref="AC15:AC16 AC12:AC13">
    <cfRule type="expression" dxfId="6316" priority="28449">
      <formula>MOD(ROW(),2)=0</formula>
    </cfRule>
  </conditionalFormatting>
  <conditionalFormatting sqref="AC14 AC17:AC21">
    <cfRule type="expression" dxfId="6315" priority="28448">
      <formula>MOD(ROW(),2)=0</formula>
    </cfRule>
  </conditionalFormatting>
  <conditionalFormatting sqref="AC11">
    <cfRule type="expression" dxfId="6314" priority="28447">
      <formula>MOD(ROW(),2)=0</formula>
    </cfRule>
  </conditionalFormatting>
  <conditionalFormatting sqref="AC22">
    <cfRule type="expression" dxfId="6313" priority="28446">
      <formula>MOD(ROW(),2)=0</formula>
    </cfRule>
  </conditionalFormatting>
  <conditionalFormatting sqref="AC10">
    <cfRule type="expression" dxfId="6312" priority="28445">
      <formula>MOD(ROW(),2)=0</formula>
    </cfRule>
  </conditionalFormatting>
  <conditionalFormatting sqref="AC9">
    <cfRule type="expression" dxfId="6311" priority="28444">
      <formula>MOD(ROW(),2)=0</formula>
    </cfRule>
  </conditionalFormatting>
  <conditionalFormatting sqref="AC8">
    <cfRule type="expression" dxfId="6310" priority="28443">
      <formula>MOD(ROW(),2)=0</formula>
    </cfRule>
  </conditionalFormatting>
  <conditionalFormatting sqref="AC15:AC16 AC12:AC13">
    <cfRule type="expression" dxfId="6309" priority="28442">
      <formula>MOD(ROW(),2)=0</formula>
    </cfRule>
  </conditionalFormatting>
  <conditionalFormatting sqref="AC14 AC17:AC21">
    <cfRule type="expression" dxfId="6308" priority="28441">
      <formula>MOD(ROW(),2)=0</formula>
    </cfRule>
  </conditionalFormatting>
  <conditionalFormatting sqref="AC11">
    <cfRule type="expression" dxfId="6307" priority="28440">
      <formula>MOD(ROW(),2)=0</formula>
    </cfRule>
  </conditionalFormatting>
  <conditionalFormatting sqref="AC22">
    <cfRule type="expression" dxfId="6306" priority="28439">
      <formula>MOD(ROW(),2)=0</formula>
    </cfRule>
  </conditionalFormatting>
  <conditionalFormatting sqref="AC10">
    <cfRule type="expression" dxfId="6305" priority="28438">
      <formula>MOD(ROW(),2)=0</formula>
    </cfRule>
  </conditionalFormatting>
  <conditionalFormatting sqref="AC9">
    <cfRule type="expression" dxfId="6304" priority="28437">
      <formula>MOD(ROW(),2)=0</formula>
    </cfRule>
  </conditionalFormatting>
  <conditionalFormatting sqref="AC8">
    <cfRule type="expression" dxfId="6303" priority="28436">
      <formula>MOD(ROW(),2)=0</formula>
    </cfRule>
  </conditionalFormatting>
  <conditionalFormatting sqref="AC15:AC16 AC12:AC13">
    <cfRule type="expression" dxfId="6302" priority="28435">
      <formula>MOD(ROW(),2)=0</formula>
    </cfRule>
  </conditionalFormatting>
  <conditionalFormatting sqref="AC14 AC17:AC21">
    <cfRule type="expression" dxfId="6301" priority="28434">
      <formula>MOD(ROW(),2)=0</formula>
    </cfRule>
  </conditionalFormatting>
  <conditionalFormatting sqref="AC11">
    <cfRule type="expression" dxfId="6300" priority="28433">
      <formula>MOD(ROW(),2)=0</formula>
    </cfRule>
  </conditionalFormatting>
  <conditionalFormatting sqref="AC22">
    <cfRule type="expression" dxfId="6299" priority="28432">
      <formula>MOD(ROW(),2)=0</formula>
    </cfRule>
  </conditionalFormatting>
  <conditionalFormatting sqref="AC10">
    <cfRule type="expression" dxfId="6298" priority="28431">
      <formula>MOD(ROW(),2)=0</formula>
    </cfRule>
  </conditionalFormatting>
  <conditionalFormatting sqref="AC9">
    <cfRule type="expression" dxfId="6297" priority="28430">
      <formula>MOD(ROW(),2)=0</formula>
    </cfRule>
  </conditionalFormatting>
  <conditionalFormatting sqref="AC8">
    <cfRule type="expression" dxfId="6296" priority="28429">
      <formula>MOD(ROW(),2)=0</formula>
    </cfRule>
  </conditionalFormatting>
  <conditionalFormatting sqref="AC15:AC16 AC12:AC13">
    <cfRule type="expression" dxfId="6295" priority="28428">
      <formula>MOD(ROW(),2)=0</formula>
    </cfRule>
  </conditionalFormatting>
  <conditionalFormatting sqref="AC14 AC17:AC21">
    <cfRule type="expression" dxfId="6294" priority="28427">
      <formula>MOD(ROW(),2)=0</formula>
    </cfRule>
  </conditionalFormatting>
  <conditionalFormatting sqref="AC11">
    <cfRule type="expression" dxfId="6293" priority="28426">
      <formula>MOD(ROW(),2)=0</formula>
    </cfRule>
  </conditionalFormatting>
  <conditionalFormatting sqref="AC22">
    <cfRule type="expression" dxfId="6292" priority="28425">
      <formula>MOD(ROW(),2)=0</formula>
    </cfRule>
  </conditionalFormatting>
  <conditionalFormatting sqref="AC10">
    <cfRule type="expression" dxfId="6291" priority="28424">
      <formula>MOD(ROW(),2)=0</formula>
    </cfRule>
  </conditionalFormatting>
  <conditionalFormatting sqref="AC9">
    <cfRule type="expression" dxfId="6290" priority="28423">
      <formula>MOD(ROW(),2)=0</formula>
    </cfRule>
  </conditionalFormatting>
  <conditionalFormatting sqref="AC8">
    <cfRule type="expression" dxfId="6289" priority="28422">
      <formula>MOD(ROW(),2)=0</formula>
    </cfRule>
  </conditionalFormatting>
  <conditionalFormatting sqref="AC15:AC16 AC12:AC13">
    <cfRule type="expression" dxfId="6288" priority="28421">
      <formula>MOD(ROW(),2)=0</formula>
    </cfRule>
  </conditionalFormatting>
  <conditionalFormatting sqref="AC14 AC17:AC21">
    <cfRule type="expression" dxfId="6287" priority="28420">
      <formula>MOD(ROW(),2)=0</formula>
    </cfRule>
  </conditionalFormatting>
  <conditionalFormatting sqref="AC11">
    <cfRule type="expression" dxfId="6286" priority="28419">
      <formula>MOD(ROW(),2)=0</formula>
    </cfRule>
  </conditionalFormatting>
  <conditionalFormatting sqref="AC22">
    <cfRule type="expression" dxfId="6285" priority="28418">
      <formula>MOD(ROW(),2)=0</formula>
    </cfRule>
  </conditionalFormatting>
  <conditionalFormatting sqref="AC10">
    <cfRule type="expression" dxfId="6284" priority="28417">
      <formula>MOD(ROW(),2)=0</formula>
    </cfRule>
  </conditionalFormatting>
  <conditionalFormatting sqref="AC9">
    <cfRule type="expression" dxfId="6283" priority="28416">
      <formula>MOD(ROW(),2)=0</formula>
    </cfRule>
  </conditionalFormatting>
  <conditionalFormatting sqref="AC8">
    <cfRule type="expression" dxfId="6282" priority="28415">
      <formula>MOD(ROW(),2)=0</formula>
    </cfRule>
  </conditionalFormatting>
  <conditionalFormatting sqref="AC15:AC16 AC12:AC13">
    <cfRule type="expression" dxfId="6281" priority="28414">
      <formula>MOD(ROW(),2)=0</formula>
    </cfRule>
  </conditionalFormatting>
  <conditionalFormatting sqref="AC14 AC17:AC21">
    <cfRule type="expression" dxfId="6280" priority="28413">
      <formula>MOD(ROW(),2)=0</formula>
    </cfRule>
  </conditionalFormatting>
  <conditionalFormatting sqref="AC11">
    <cfRule type="expression" dxfId="6279" priority="28412">
      <formula>MOD(ROW(),2)=0</formula>
    </cfRule>
  </conditionalFormatting>
  <conditionalFormatting sqref="AC10">
    <cfRule type="expression" dxfId="6278" priority="28411">
      <formula>MOD(ROW(),2)=0</formula>
    </cfRule>
  </conditionalFormatting>
  <conditionalFormatting sqref="AC22">
    <cfRule type="expression" dxfId="6277" priority="28410">
      <formula>MOD(ROW(),2)=0</formula>
    </cfRule>
  </conditionalFormatting>
  <conditionalFormatting sqref="AC9">
    <cfRule type="expression" dxfId="6276" priority="28409">
      <formula>MOD(ROW(),2)=0</formula>
    </cfRule>
  </conditionalFormatting>
  <conditionalFormatting sqref="AC8">
    <cfRule type="expression" dxfId="6275" priority="28408">
      <formula>MOD(ROW(),2)=0</formula>
    </cfRule>
  </conditionalFormatting>
  <conditionalFormatting sqref="AC15:AC16 AC12:AC13">
    <cfRule type="expression" dxfId="6274" priority="28407">
      <formula>MOD(ROW(),2)=0</formula>
    </cfRule>
  </conditionalFormatting>
  <conditionalFormatting sqref="AC14 AC17:AC21">
    <cfRule type="expression" dxfId="6273" priority="28406">
      <formula>MOD(ROW(),2)=0</formula>
    </cfRule>
  </conditionalFormatting>
  <conditionalFormatting sqref="AC11">
    <cfRule type="expression" dxfId="6272" priority="28405">
      <formula>MOD(ROW(),2)=0</formula>
    </cfRule>
  </conditionalFormatting>
  <conditionalFormatting sqref="AC22">
    <cfRule type="expression" dxfId="6271" priority="28404">
      <formula>MOD(ROW(),2)=0</formula>
    </cfRule>
  </conditionalFormatting>
  <conditionalFormatting sqref="AC10">
    <cfRule type="expression" dxfId="6270" priority="28403">
      <formula>MOD(ROW(),2)=0</formula>
    </cfRule>
  </conditionalFormatting>
  <conditionalFormatting sqref="AC9">
    <cfRule type="expression" dxfId="6269" priority="28402">
      <formula>MOD(ROW(),2)=0</formula>
    </cfRule>
  </conditionalFormatting>
  <conditionalFormatting sqref="AC8">
    <cfRule type="expression" dxfId="6268" priority="28401">
      <formula>MOD(ROW(),2)=0</formula>
    </cfRule>
  </conditionalFormatting>
  <conditionalFormatting sqref="AC15:AC16 AC12:AC13">
    <cfRule type="expression" dxfId="6267" priority="28400">
      <formula>MOD(ROW(),2)=0</formula>
    </cfRule>
  </conditionalFormatting>
  <conditionalFormatting sqref="AC14 AC17:AC21">
    <cfRule type="expression" dxfId="6266" priority="28399">
      <formula>MOD(ROW(),2)=0</formula>
    </cfRule>
  </conditionalFormatting>
  <conditionalFormatting sqref="AC11">
    <cfRule type="expression" dxfId="6265" priority="28398">
      <formula>MOD(ROW(),2)=0</formula>
    </cfRule>
  </conditionalFormatting>
  <conditionalFormatting sqref="AC22">
    <cfRule type="expression" dxfId="6264" priority="28397">
      <formula>MOD(ROW(),2)=0</formula>
    </cfRule>
  </conditionalFormatting>
  <conditionalFormatting sqref="AC10">
    <cfRule type="expression" dxfId="6263" priority="28396">
      <formula>MOD(ROW(),2)=0</formula>
    </cfRule>
  </conditionalFormatting>
  <conditionalFormatting sqref="AC9">
    <cfRule type="expression" dxfId="6262" priority="28395">
      <formula>MOD(ROW(),2)=0</formula>
    </cfRule>
  </conditionalFormatting>
  <conditionalFormatting sqref="AC8">
    <cfRule type="expression" dxfId="6261" priority="28394">
      <formula>MOD(ROW(),2)=0</formula>
    </cfRule>
  </conditionalFormatting>
  <conditionalFormatting sqref="AC15:AC16 AC12:AC13">
    <cfRule type="expression" dxfId="6260" priority="28393">
      <formula>MOD(ROW(),2)=0</formula>
    </cfRule>
  </conditionalFormatting>
  <conditionalFormatting sqref="AC14 AC17:AC21">
    <cfRule type="expression" dxfId="6259" priority="28392">
      <formula>MOD(ROW(),2)=0</formula>
    </cfRule>
  </conditionalFormatting>
  <conditionalFormatting sqref="AC11">
    <cfRule type="expression" dxfId="6258" priority="28391">
      <formula>MOD(ROW(),2)=0</formula>
    </cfRule>
  </conditionalFormatting>
  <conditionalFormatting sqref="AC22">
    <cfRule type="expression" dxfId="6257" priority="28390">
      <formula>MOD(ROW(),2)=0</formula>
    </cfRule>
  </conditionalFormatting>
  <conditionalFormatting sqref="AC10">
    <cfRule type="expression" dxfId="6256" priority="28389">
      <formula>MOD(ROW(),2)=0</formula>
    </cfRule>
  </conditionalFormatting>
  <conditionalFormatting sqref="AC9">
    <cfRule type="expression" dxfId="6255" priority="28388">
      <formula>MOD(ROW(),2)=0</formula>
    </cfRule>
  </conditionalFormatting>
  <conditionalFormatting sqref="AC8">
    <cfRule type="expression" dxfId="6254" priority="28387">
      <formula>MOD(ROW(),2)=0</formula>
    </cfRule>
  </conditionalFormatting>
  <conditionalFormatting sqref="AC15:AC16 AC12:AC13">
    <cfRule type="expression" dxfId="6253" priority="28386">
      <formula>MOD(ROW(),2)=0</formula>
    </cfRule>
  </conditionalFormatting>
  <conditionalFormatting sqref="AC14 AC17:AC21">
    <cfRule type="expression" dxfId="6252" priority="28385">
      <formula>MOD(ROW(),2)=0</formula>
    </cfRule>
  </conditionalFormatting>
  <conditionalFormatting sqref="AC11">
    <cfRule type="expression" dxfId="6251" priority="28384">
      <formula>MOD(ROW(),2)=0</formula>
    </cfRule>
  </conditionalFormatting>
  <conditionalFormatting sqref="AC22">
    <cfRule type="expression" dxfId="6250" priority="28383">
      <formula>MOD(ROW(),2)=0</formula>
    </cfRule>
  </conditionalFormatting>
  <conditionalFormatting sqref="AC10">
    <cfRule type="expression" dxfId="6249" priority="28382">
      <formula>MOD(ROW(),2)=0</formula>
    </cfRule>
  </conditionalFormatting>
  <conditionalFormatting sqref="AC9">
    <cfRule type="expression" dxfId="6248" priority="28381">
      <formula>MOD(ROW(),2)=0</formula>
    </cfRule>
  </conditionalFormatting>
  <conditionalFormatting sqref="AC8">
    <cfRule type="expression" dxfId="6247" priority="28380">
      <formula>MOD(ROW(),2)=0</formula>
    </cfRule>
  </conditionalFormatting>
  <conditionalFormatting sqref="AC15:AC16 AC12:AC13">
    <cfRule type="expression" dxfId="6246" priority="28379">
      <formula>MOD(ROW(),2)=0</formula>
    </cfRule>
  </conditionalFormatting>
  <conditionalFormatting sqref="AC14 AC17:AC21">
    <cfRule type="expression" dxfId="6245" priority="28378">
      <formula>MOD(ROW(),2)=0</formula>
    </cfRule>
  </conditionalFormatting>
  <conditionalFormatting sqref="AC11">
    <cfRule type="expression" dxfId="6244" priority="28377">
      <formula>MOD(ROW(),2)=0</formula>
    </cfRule>
  </conditionalFormatting>
  <conditionalFormatting sqref="AC22">
    <cfRule type="expression" dxfId="6243" priority="28376">
      <formula>MOD(ROW(),2)=0</formula>
    </cfRule>
  </conditionalFormatting>
  <conditionalFormatting sqref="AC10">
    <cfRule type="expression" dxfId="6242" priority="28375">
      <formula>MOD(ROW(),2)=0</formula>
    </cfRule>
  </conditionalFormatting>
  <conditionalFormatting sqref="AC9">
    <cfRule type="expression" dxfId="6241" priority="28374">
      <formula>MOD(ROW(),2)=0</formula>
    </cfRule>
  </conditionalFormatting>
  <conditionalFormatting sqref="AC8">
    <cfRule type="expression" dxfId="6240" priority="28373">
      <formula>MOD(ROW(),2)=0</formula>
    </cfRule>
  </conditionalFormatting>
  <conditionalFormatting sqref="AC15:AC16 AC12:AC13">
    <cfRule type="expression" dxfId="6239" priority="28372">
      <formula>MOD(ROW(),2)=0</formula>
    </cfRule>
  </conditionalFormatting>
  <conditionalFormatting sqref="AC14 AC17:AC21">
    <cfRule type="expression" dxfId="6238" priority="28371">
      <formula>MOD(ROW(),2)=0</formula>
    </cfRule>
  </conditionalFormatting>
  <conditionalFormatting sqref="AC11">
    <cfRule type="expression" dxfId="6237" priority="28370">
      <formula>MOD(ROW(),2)=0</formula>
    </cfRule>
  </conditionalFormatting>
  <conditionalFormatting sqref="AC22">
    <cfRule type="expression" dxfId="6236" priority="28369">
      <formula>MOD(ROW(),2)=0</formula>
    </cfRule>
  </conditionalFormatting>
  <conditionalFormatting sqref="AC10">
    <cfRule type="expression" dxfId="6235" priority="28368">
      <formula>MOD(ROW(),2)=0</formula>
    </cfRule>
  </conditionalFormatting>
  <conditionalFormatting sqref="AC9">
    <cfRule type="expression" dxfId="6234" priority="28367">
      <formula>MOD(ROW(),2)=0</formula>
    </cfRule>
  </conditionalFormatting>
  <conditionalFormatting sqref="AC8">
    <cfRule type="expression" dxfId="6233" priority="28366">
      <formula>MOD(ROW(),2)=0</formula>
    </cfRule>
  </conditionalFormatting>
  <conditionalFormatting sqref="AC15:AC16 AC12:AC13">
    <cfRule type="expression" dxfId="6232" priority="28365">
      <formula>MOD(ROW(),2)=0</formula>
    </cfRule>
  </conditionalFormatting>
  <conditionalFormatting sqref="AC14 AC17:AC21">
    <cfRule type="expression" dxfId="6231" priority="28364">
      <formula>MOD(ROW(),2)=0</formula>
    </cfRule>
  </conditionalFormatting>
  <conditionalFormatting sqref="AC11">
    <cfRule type="expression" dxfId="6230" priority="28363">
      <formula>MOD(ROW(),2)=0</formula>
    </cfRule>
  </conditionalFormatting>
  <conditionalFormatting sqref="AC22">
    <cfRule type="expression" dxfId="6229" priority="28362">
      <formula>MOD(ROW(),2)=0</formula>
    </cfRule>
  </conditionalFormatting>
  <conditionalFormatting sqref="AC10">
    <cfRule type="expression" dxfId="6228" priority="28361">
      <formula>MOD(ROW(),2)=0</formula>
    </cfRule>
  </conditionalFormatting>
  <conditionalFormatting sqref="AC9">
    <cfRule type="expression" dxfId="6227" priority="28360">
      <formula>MOD(ROW(),2)=0</formula>
    </cfRule>
  </conditionalFormatting>
  <conditionalFormatting sqref="AC8">
    <cfRule type="expression" dxfId="6226" priority="28359">
      <formula>MOD(ROW(),2)=0</formula>
    </cfRule>
  </conditionalFormatting>
  <conditionalFormatting sqref="AC15:AC16 AC12:AC13">
    <cfRule type="expression" dxfId="6225" priority="28358">
      <formula>MOD(ROW(),2)=0</formula>
    </cfRule>
  </conditionalFormatting>
  <conditionalFormatting sqref="AC14 AC17:AC21">
    <cfRule type="expression" dxfId="6224" priority="28357">
      <formula>MOD(ROW(),2)=0</formula>
    </cfRule>
  </conditionalFormatting>
  <conditionalFormatting sqref="AC11">
    <cfRule type="expression" dxfId="6223" priority="28356">
      <formula>MOD(ROW(),2)=0</formula>
    </cfRule>
  </conditionalFormatting>
  <conditionalFormatting sqref="AC10">
    <cfRule type="expression" dxfId="6222" priority="28355">
      <formula>MOD(ROW(),2)=0</formula>
    </cfRule>
  </conditionalFormatting>
  <conditionalFormatting sqref="AC22">
    <cfRule type="expression" dxfId="6221" priority="28354">
      <formula>MOD(ROW(),2)=0</formula>
    </cfRule>
  </conditionalFormatting>
  <conditionalFormatting sqref="AC9">
    <cfRule type="expression" dxfId="6220" priority="28353">
      <formula>MOD(ROW(),2)=0</formula>
    </cfRule>
  </conditionalFormatting>
  <conditionalFormatting sqref="AC8">
    <cfRule type="expression" dxfId="6219" priority="28352">
      <formula>MOD(ROW(),2)=0</formula>
    </cfRule>
  </conditionalFormatting>
  <conditionalFormatting sqref="AC15:AC16 AC12:AC13">
    <cfRule type="expression" dxfId="6218" priority="28351">
      <formula>MOD(ROW(),2)=0</formula>
    </cfRule>
  </conditionalFormatting>
  <conditionalFormatting sqref="AC14 AC17:AC21">
    <cfRule type="expression" dxfId="6217" priority="28350">
      <formula>MOD(ROW(),2)=0</formula>
    </cfRule>
  </conditionalFormatting>
  <conditionalFormatting sqref="AC11">
    <cfRule type="expression" dxfId="6216" priority="28349">
      <formula>MOD(ROW(),2)=0</formula>
    </cfRule>
  </conditionalFormatting>
  <conditionalFormatting sqref="AC22">
    <cfRule type="expression" dxfId="6215" priority="28348">
      <formula>MOD(ROW(),2)=0</formula>
    </cfRule>
  </conditionalFormatting>
  <conditionalFormatting sqref="AC10">
    <cfRule type="expression" dxfId="6214" priority="28347">
      <formula>MOD(ROW(),2)=0</formula>
    </cfRule>
  </conditionalFormatting>
  <conditionalFormatting sqref="AD9">
    <cfRule type="expression" dxfId="6213" priority="28346">
      <formula>MOD(ROW(),2)=0</formula>
    </cfRule>
  </conditionalFormatting>
  <conditionalFormatting sqref="AD8">
    <cfRule type="expression" dxfId="6212" priority="28345">
      <formula>MOD(ROW(),2)=0</formula>
    </cfRule>
  </conditionalFormatting>
  <conditionalFormatting sqref="AD15:AD16 AD12:AD13">
    <cfRule type="expression" dxfId="6211" priority="28344">
      <formula>MOD(ROW(),2)=0</formula>
    </cfRule>
  </conditionalFormatting>
  <conditionalFormatting sqref="AD14 AD17:AD21">
    <cfRule type="expression" dxfId="6210" priority="28343">
      <formula>MOD(ROW(),2)=0</formula>
    </cfRule>
  </conditionalFormatting>
  <conditionalFormatting sqref="AD11">
    <cfRule type="expression" dxfId="6209" priority="28342">
      <formula>MOD(ROW(),2)=0</formula>
    </cfRule>
  </conditionalFormatting>
  <conditionalFormatting sqref="AD22">
    <cfRule type="expression" dxfId="6208" priority="28341">
      <formula>MOD(ROW(),2)=0</formula>
    </cfRule>
  </conditionalFormatting>
  <conditionalFormatting sqref="AD10">
    <cfRule type="expression" dxfId="6207" priority="28340">
      <formula>MOD(ROW(),2)=0</formula>
    </cfRule>
  </conditionalFormatting>
  <conditionalFormatting sqref="AD9">
    <cfRule type="expression" dxfId="6206" priority="28339">
      <formula>MOD(ROW(),2)=0</formula>
    </cfRule>
  </conditionalFormatting>
  <conditionalFormatting sqref="AD8">
    <cfRule type="expression" dxfId="6205" priority="28338">
      <formula>MOD(ROW(),2)=0</formula>
    </cfRule>
  </conditionalFormatting>
  <conditionalFormatting sqref="AD15:AD16 AD12:AD13">
    <cfRule type="expression" dxfId="6204" priority="28337">
      <formula>MOD(ROW(),2)=0</formula>
    </cfRule>
  </conditionalFormatting>
  <conditionalFormatting sqref="AD14 AD17:AD21">
    <cfRule type="expression" dxfId="6203" priority="28336">
      <formula>MOD(ROW(),2)=0</formula>
    </cfRule>
  </conditionalFormatting>
  <conditionalFormatting sqref="AD11">
    <cfRule type="expression" dxfId="6202" priority="28335">
      <formula>MOD(ROW(),2)=0</formula>
    </cfRule>
  </conditionalFormatting>
  <conditionalFormatting sqref="AD22">
    <cfRule type="expression" dxfId="6201" priority="28334">
      <formula>MOD(ROW(),2)=0</formula>
    </cfRule>
  </conditionalFormatting>
  <conditionalFormatting sqref="AD10">
    <cfRule type="expression" dxfId="6200" priority="28333">
      <formula>MOD(ROW(),2)=0</formula>
    </cfRule>
  </conditionalFormatting>
  <conditionalFormatting sqref="AD9">
    <cfRule type="expression" dxfId="6199" priority="28332">
      <formula>MOD(ROW(),2)=0</formula>
    </cfRule>
  </conditionalFormatting>
  <conditionalFormatting sqref="AD8">
    <cfRule type="expression" dxfId="6198" priority="28331">
      <formula>MOD(ROW(),2)=0</formula>
    </cfRule>
  </conditionalFormatting>
  <conditionalFormatting sqref="AD15:AD16 AD12:AD13">
    <cfRule type="expression" dxfId="6197" priority="28330">
      <formula>MOD(ROW(),2)=0</formula>
    </cfRule>
  </conditionalFormatting>
  <conditionalFormatting sqref="AD14 AD17:AD21">
    <cfRule type="expression" dxfId="6196" priority="28329">
      <formula>MOD(ROW(),2)=0</formula>
    </cfRule>
  </conditionalFormatting>
  <conditionalFormatting sqref="AD11">
    <cfRule type="expression" dxfId="6195" priority="28328">
      <formula>MOD(ROW(),2)=0</formula>
    </cfRule>
  </conditionalFormatting>
  <conditionalFormatting sqref="AD22">
    <cfRule type="expression" dxfId="6194" priority="28327">
      <formula>MOD(ROW(),2)=0</formula>
    </cfRule>
  </conditionalFormatting>
  <conditionalFormatting sqref="AD10">
    <cfRule type="expression" dxfId="6193" priority="28326">
      <formula>MOD(ROW(),2)=0</formula>
    </cfRule>
  </conditionalFormatting>
  <conditionalFormatting sqref="AD9">
    <cfRule type="expression" dxfId="6192" priority="28325">
      <formula>MOD(ROW(),2)=0</formula>
    </cfRule>
  </conditionalFormatting>
  <conditionalFormatting sqref="AD8">
    <cfRule type="expression" dxfId="6191" priority="28324">
      <formula>MOD(ROW(),2)=0</formula>
    </cfRule>
  </conditionalFormatting>
  <conditionalFormatting sqref="AD15:AD16 AD12:AD13">
    <cfRule type="expression" dxfId="6190" priority="28323">
      <formula>MOD(ROW(),2)=0</formula>
    </cfRule>
  </conditionalFormatting>
  <conditionalFormatting sqref="AD14 AD17:AD21">
    <cfRule type="expression" dxfId="6189" priority="28322">
      <formula>MOD(ROW(),2)=0</formula>
    </cfRule>
  </conditionalFormatting>
  <conditionalFormatting sqref="AD11">
    <cfRule type="expression" dxfId="6188" priority="28321">
      <formula>MOD(ROW(),2)=0</formula>
    </cfRule>
  </conditionalFormatting>
  <conditionalFormatting sqref="AD22">
    <cfRule type="expression" dxfId="6187" priority="28320">
      <formula>MOD(ROW(),2)=0</formula>
    </cfRule>
  </conditionalFormatting>
  <conditionalFormatting sqref="AD10">
    <cfRule type="expression" dxfId="6186" priority="28319">
      <formula>MOD(ROW(),2)=0</formula>
    </cfRule>
  </conditionalFormatting>
  <conditionalFormatting sqref="AD9">
    <cfRule type="expression" dxfId="6185" priority="28318">
      <formula>MOD(ROW(),2)=0</formula>
    </cfRule>
  </conditionalFormatting>
  <conditionalFormatting sqref="AD8">
    <cfRule type="expression" dxfId="6184" priority="28317">
      <formula>MOD(ROW(),2)=0</formula>
    </cfRule>
  </conditionalFormatting>
  <conditionalFormatting sqref="AD15:AD16 AD12:AD13">
    <cfRule type="expression" dxfId="6183" priority="28316">
      <formula>MOD(ROW(),2)=0</formula>
    </cfRule>
  </conditionalFormatting>
  <conditionalFormatting sqref="AD14 AD17:AD21">
    <cfRule type="expression" dxfId="6182" priority="28315">
      <formula>MOD(ROW(),2)=0</formula>
    </cfRule>
  </conditionalFormatting>
  <conditionalFormatting sqref="AD11">
    <cfRule type="expression" dxfId="6181" priority="28314">
      <formula>MOD(ROW(),2)=0</formula>
    </cfRule>
  </conditionalFormatting>
  <conditionalFormatting sqref="AD22">
    <cfRule type="expression" dxfId="6180" priority="28313">
      <formula>MOD(ROW(),2)=0</formula>
    </cfRule>
  </conditionalFormatting>
  <conditionalFormatting sqref="AD10">
    <cfRule type="expression" dxfId="6179" priority="28312">
      <formula>MOD(ROW(),2)=0</formula>
    </cfRule>
  </conditionalFormatting>
  <conditionalFormatting sqref="AD9">
    <cfRule type="expression" dxfId="6178" priority="28311">
      <formula>MOD(ROW(),2)=0</formula>
    </cfRule>
  </conditionalFormatting>
  <conditionalFormatting sqref="AD8">
    <cfRule type="expression" dxfId="6177" priority="28310">
      <formula>MOD(ROW(),2)=0</formula>
    </cfRule>
  </conditionalFormatting>
  <conditionalFormatting sqref="AD15:AD16 AD12:AD13">
    <cfRule type="expression" dxfId="6176" priority="28309">
      <formula>MOD(ROW(),2)=0</formula>
    </cfRule>
  </conditionalFormatting>
  <conditionalFormatting sqref="AD14 AD17:AD21">
    <cfRule type="expression" dxfId="6175" priority="28308">
      <formula>MOD(ROW(),2)=0</formula>
    </cfRule>
  </conditionalFormatting>
  <conditionalFormatting sqref="AD11">
    <cfRule type="expression" dxfId="6174" priority="28307">
      <formula>MOD(ROW(),2)=0</formula>
    </cfRule>
  </conditionalFormatting>
  <conditionalFormatting sqref="AD22">
    <cfRule type="expression" dxfId="6173" priority="28306">
      <formula>MOD(ROW(),2)=0</formula>
    </cfRule>
  </conditionalFormatting>
  <conditionalFormatting sqref="AD10">
    <cfRule type="expression" dxfId="6172" priority="28305">
      <formula>MOD(ROW(),2)=0</formula>
    </cfRule>
  </conditionalFormatting>
  <conditionalFormatting sqref="AD9">
    <cfRule type="expression" dxfId="6171" priority="28304">
      <formula>MOD(ROW(),2)=0</formula>
    </cfRule>
  </conditionalFormatting>
  <conditionalFormatting sqref="AD8">
    <cfRule type="expression" dxfId="6170" priority="28303">
      <formula>MOD(ROW(),2)=0</formula>
    </cfRule>
  </conditionalFormatting>
  <conditionalFormatting sqref="AD15:AD16 AD12:AD13">
    <cfRule type="expression" dxfId="6169" priority="28302">
      <formula>MOD(ROW(),2)=0</formula>
    </cfRule>
  </conditionalFormatting>
  <conditionalFormatting sqref="AD14 AD17:AD21">
    <cfRule type="expression" dxfId="6168" priority="28301">
      <formula>MOD(ROW(),2)=0</formula>
    </cfRule>
  </conditionalFormatting>
  <conditionalFormatting sqref="AD11">
    <cfRule type="expression" dxfId="6167" priority="28300">
      <formula>MOD(ROW(),2)=0</formula>
    </cfRule>
  </conditionalFormatting>
  <conditionalFormatting sqref="AD10">
    <cfRule type="expression" dxfId="6166" priority="28299">
      <formula>MOD(ROW(),2)=0</formula>
    </cfRule>
  </conditionalFormatting>
  <conditionalFormatting sqref="AD22">
    <cfRule type="expression" dxfId="6165" priority="28298">
      <formula>MOD(ROW(),2)=0</formula>
    </cfRule>
  </conditionalFormatting>
  <conditionalFormatting sqref="AD9">
    <cfRule type="expression" dxfId="6164" priority="28297">
      <formula>MOD(ROW(),2)=0</formula>
    </cfRule>
  </conditionalFormatting>
  <conditionalFormatting sqref="AD8">
    <cfRule type="expression" dxfId="6163" priority="28296">
      <formula>MOD(ROW(),2)=0</formula>
    </cfRule>
  </conditionalFormatting>
  <conditionalFormatting sqref="AD15:AD16 AD12:AD13">
    <cfRule type="expression" dxfId="6162" priority="28295">
      <formula>MOD(ROW(),2)=0</formula>
    </cfRule>
  </conditionalFormatting>
  <conditionalFormatting sqref="AD14 AD17:AD21">
    <cfRule type="expression" dxfId="6161" priority="28294">
      <formula>MOD(ROW(),2)=0</formula>
    </cfRule>
  </conditionalFormatting>
  <conditionalFormatting sqref="AD11">
    <cfRule type="expression" dxfId="6160" priority="28293">
      <formula>MOD(ROW(),2)=0</formula>
    </cfRule>
  </conditionalFormatting>
  <conditionalFormatting sqref="AD22">
    <cfRule type="expression" dxfId="6159" priority="28292">
      <formula>MOD(ROW(),2)=0</formula>
    </cfRule>
  </conditionalFormatting>
  <conditionalFormatting sqref="AD10">
    <cfRule type="expression" dxfId="6158" priority="28291">
      <formula>MOD(ROW(),2)=0</formula>
    </cfRule>
  </conditionalFormatting>
  <conditionalFormatting sqref="AD9">
    <cfRule type="expression" dxfId="6157" priority="28290">
      <formula>MOD(ROW(),2)=0</formula>
    </cfRule>
  </conditionalFormatting>
  <conditionalFormatting sqref="AD8">
    <cfRule type="expression" dxfId="6156" priority="28289">
      <formula>MOD(ROW(),2)=0</formula>
    </cfRule>
  </conditionalFormatting>
  <conditionalFormatting sqref="AD15:AD16 AD12:AD13">
    <cfRule type="expression" dxfId="6155" priority="28288">
      <formula>MOD(ROW(),2)=0</formula>
    </cfRule>
  </conditionalFormatting>
  <conditionalFormatting sqref="AD14 AD17:AD21">
    <cfRule type="expression" dxfId="6154" priority="28287">
      <formula>MOD(ROW(),2)=0</formula>
    </cfRule>
  </conditionalFormatting>
  <conditionalFormatting sqref="AD11">
    <cfRule type="expression" dxfId="6153" priority="28286">
      <formula>MOD(ROW(),2)=0</formula>
    </cfRule>
  </conditionalFormatting>
  <conditionalFormatting sqref="AD22">
    <cfRule type="expression" dxfId="6152" priority="28285">
      <formula>MOD(ROW(),2)=0</formula>
    </cfRule>
  </conditionalFormatting>
  <conditionalFormatting sqref="AD10">
    <cfRule type="expression" dxfId="6151" priority="28284">
      <formula>MOD(ROW(),2)=0</formula>
    </cfRule>
  </conditionalFormatting>
  <conditionalFormatting sqref="AD9">
    <cfRule type="expression" dxfId="6150" priority="28283">
      <formula>MOD(ROW(),2)=0</formula>
    </cfRule>
  </conditionalFormatting>
  <conditionalFormatting sqref="AD8">
    <cfRule type="expression" dxfId="6149" priority="28282">
      <formula>MOD(ROW(),2)=0</formula>
    </cfRule>
  </conditionalFormatting>
  <conditionalFormatting sqref="AD15:AD16 AD12:AD13">
    <cfRule type="expression" dxfId="6148" priority="28281">
      <formula>MOD(ROW(),2)=0</formula>
    </cfRule>
  </conditionalFormatting>
  <conditionalFormatting sqref="AD14 AD17:AD21">
    <cfRule type="expression" dxfId="6147" priority="28280">
      <formula>MOD(ROW(),2)=0</formula>
    </cfRule>
  </conditionalFormatting>
  <conditionalFormatting sqref="AD11">
    <cfRule type="expression" dxfId="6146" priority="28279">
      <formula>MOD(ROW(),2)=0</formula>
    </cfRule>
  </conditionalFormatting>
  <conditionalFormatting sqref="AD22">
    <cfRule type="expression" dxfId="6145" priority="28278">
      <formula>MOD(ROW(),2)=0</formula>
    </cfRule>
  </conditionalFormatting>
  <conditionalFormatting sqref="AD10">
    <cfRule type="expression" dxfId="6144" priority="28277">
      <formula>MOD(ROW(),2)=0</formula>
    </cfRule>
  </conditionalFormatting>
  <conditionalFormatting sqref="AD9">
    <cfRule type="expression" dxfId="6143" priority="28276">
      <formula>MOD(ROW(),2)=0</formula>
    </cfRule>
  </conditionalFormatting>
  <conditionalFormatting sqref="AD8">
    <cfRule type="expression" dxfId="6142" priority="28275">
      <formula>MOD(ROW(),2)=0</formula>
    </cfRule>
  </conditionalFormatting>
  <conditionalFormatting sqref="AD15:AD16 AD12:AD13">
    <cfRule type="expression" dxfId="6141" priority="28274">
      <formula>MOD(ROW(),2)=0</formula>
    </cfRule>
  </conditionalFormatting>
  <conditionalFormatting sqref="AD14 AD17:AD21">
    <cfRule type="expression" dxfId="6140" priority="28273">
      <formula>MOD(ROW(),2)=0</formula>
    </cfRule>
  </conditionalFormatting>
  <conditionalFormatting sqref="AD11">
    <cfRule type="expression" dxfId="6139" priority="28272">
      <formula>MOD(ROW(),2)=0</formula>
    </cfRule>
  </conditionalFormatting>
  <conditionalFormatting sqref="AD22">
    <cfRule type="expression" dxfId="6138" priority="28271">
      <formula>MOD(ROW(),2)=0</formula>
    </cfRule>
  </conditionalFormatting>
  <conditionalFormatting sqref="AD10">
    <cfRule type="expression" dxfId="6137" priority="28270">
      <formula>MOD(ROW(),2)=0</formula>
    </cfRule>
  </conditionalFormatting>
  <conditionalFormatting sqref="AD9">
    <cfRule type="expression" dxfId="6136" priority="28269">
      <formula>MOD(ROW(),2)=0</formula>
    </cfRule>
  </conditionalFormatting>
  <conditionalFormatting sqref="AD8">
    <cfRule type="expression" dxfId="6135" priority="28268">
      <formula>MOD(ROW(),2)=0</formula>
    </cfRule>
  </conditionalFormatting>
  <conditionalFormatting sqref="AD15:AD16 AD12:AD13">
    <cfRule type="expression" dxfId="6134" priority="28267">
      <formula>MOD(ROW(),2)=0</formula>
    </cfRule>
  </conditionalFormatting>
  <conditionalFormatting sqref="AD14 AD17:AD21">
    <cfRule type="expression" dxfId="6133" priority="28266">
      <formula>MOD(ROW(),2)=0</formula>
    </cfRule>
  </conditionalFormatting>
  <conditionalFormatting sqref="AD11">
    <cfRule type="expression" dxfId="6132" priority="28265">
      <formula>MOD(ROW(),2)=0</formula>
    </cfRule>
  </conditionalFormatting>
  <conditionalFormatting sqref="AD22">
    <cfRule type="expression" dxfId="6131" priority="28264">
      <formula>MOD(ROW(),2)=0</formula>
    </cfRule>
  </conditionalFormatting>
  <conditionalFormatting sqref="AD10">
    <cfRule type="expression" dxfId="6130" priority="28263">
      <formula>MOD(ROW(),2)=0</formula>
    </cfRule>
  </conditionalFormatting>
  <conditionalFormatting sqref="AD9">
    <cfRule type="expression" dxfId="6129" priority="28262">
      <formula>MOD(ROW(),2)=0</formula>
    </cfRule>
  </conditionalFormatting>
  <conditionalFormatting sqref="AD8">
    <cfRule type="expression" dxfId="6128" priority="28261">
      <formula>MOD(ROW(),2)=0</formula>
    </cfRule>
  </conditionalFormatting>
  <conditionalFormatting sqref="AD15:AD16 AD12:AD13">
    <cfRule type="expression" dxfId="6127" priority="28260">
      <formula>MOD(ROW(),2)=0</formula>
    </cfRule>
  </conditionalFormatting>
  <conditionalFormatting sqref="AD14 AD17:AD21">
    <cfRule type="expression" dxfId="6126" priority="28259">
      <formula>MOD(ROW(),2)=0</formula>
    </cfRule>
  </conditionalFormatting>
  <conditionalFormatting sqref="AD11">
    <cfRule type="expression" dxfId="6125" priority="28258">
      <formula>MOD(ROW(),2)=0</formula>
    </cfRule>
  </conditionalFormatting>
  <conditionalFormatting sqref="AD22">
    <cfRule type="expression" dxfId="6124" priority="28257">
      <formula>MOD(ROW(),2)=0</formula>
    </cfRule>
  </conditionalFormatting>
  <conditionalFormatting sqref="AD10">
    <cfRule type="expression" dxfId="6123" priority="28256">
      <formula>MOD(ROW(),2)=0</formula>
    </cfRule>
  </conditionalFormatting>
  <conditionalFormatting sqref="AD9">
    <cfRule type="expression" dxfId="6122" priority="28255">
      <formula>MOD(ROW(),2)=0</formula>
    </cfRule>
  </conditionalFormatting>
  <conditionalFormatting sqref="AD8">
    <cfRule type="expression" dxfId="6121" priority="28254">
      <formula>MOD(ROW(),2)=0</formula>
    </cfRule>
  </conditionalFormatting>
  <conditionalFormatting sqref="AD15:AD16 AD12:AD13">
    <cfRule type="expression" dxfId="6120" priority="28253">
      <formula>MOD(ROW(),2)=0</formula>
    </cfRule>
  </conditionalFormatting>
  <conditionalFormatting sqref="AD14 AD17:AD21">
    <cfRule type="expression" dxfId="6119" priority="28252">
      <formula>MOD(ROW(),2)=0</formula>
    </cfRule>
  </conditionalFormatting>
  <conditionalFormatting sqref="AD11">
    <cfRule type="expression" dxfId="6118" priority="28251">
      <formula>MOD(ROW(),2)=0</formula>
    </cfRule>
  </conditionalFormatting>
  <conditionalFormatting sqref="AD22">
    <cfRule type="expression" dxfId="6117" priority="28250">
      <formula>MOD(ROW(),2)=0</formula>
    </cfRule>
  </conditionalFormatting>
  <conditionalFormatting sqref="AD10">
    <cfRule type="expression" dxfId="6116" priority="28249">
      <formula>MOD(ROW(),2)=0</formula>
    </cfRule>
  </conditionalFormatting>
  <conditionalFormatting sqref="AD9">
    <cfRule type="expression" dxfId="6115" priority="28248">
      <formula>MOD(ROW(),2)=0</formula>
    </cfRule>
  </conditionalFormatting>
  <conditionalFormatting sqref="AD8">
    <cfRule type="expression" dxfId="6114" priority="28247">
      <formula>MOD(ROW(),2)=0</formula>
    </cfRule>
  </conditionalFormatting>
  <conditionalFormatting sqref="AD15:AD16 AD12:AD13">
    <cfRule type="expression" dxfId="6113" priority="28246">
      <formula>MOD(ROW(),2)=0</formula>
    </cfRule>
  </conditionalFormatting>
  <conditionalFormatting sqref="AD14 AD17:AD21">
    <cfRule type="expression" dxfId="6112" priority="28245">
      <formula>MOD(ROW(),2)=0</formula>
    </cfRule>
  </conditionalFormatting>
  <conditionalFormatting sqref="AD11">
    <cfRule type="expression" dxfId="6111" priority="28244">
      <formula>MOD(ROW(),2)=0</formula>
    </cfRule>
  </conditionalFormatting>
  <conditionalFormatting sqref="AD10">
    <cfRule type="expression" dxfId="6110" priority="28243">
      <formula>MOD(ROW(),2)=0</formula>
    </cfRule>
  </conditionalFormatting>
  <conditionalFormatting sqref="AD22">
    <cfRule type="expression" dxfId="6109" priority="28242">
      <formula>MOD(ROW(),2)=0</formula>
    </cfRule>
  </conditionalFormatting>
  <conditionalFormatting sqref="AD9">
    <cfRule type="expression" dxfId="6108" priority="28241">
      <formula>MOD(ROW(),2)=0</formula>
    </cfRule>
  </conditionalFormatting>
  <conditionalFormatting sqref="AD8">
    <cfRule type="expression" dxfId="6107" priority="28240">
      <formula>MOD(ROW(),2)=0</formula>
    </cfRule>
  </conditionalFormatting>
  <conditionalFormatting sqref="AD15:AD16 AD12:AD13">
    <cfRule type="expression" dxfId="6106" priority="28239">
      <formula>MOD(ROW(),2)=0</formula>
    </cfRule>
  </conditionalFormatting>
  <conditionalFormatting sqref="AD14 AD17:AD21">
    <cfRule type="expression" dxfId="6105" priority="28238">
      <formula>MOD(ROW(),2)=0</formula>
    </cfRule>
  </conditionalFormatting>
  <conditionalFormatting sqref="AD11">
    <cfRule type="expression" dxfId="6104" priority="28237">
      <formula>MOD(ROW(),2)=0</formula>
    </cfRule>
  </conditionalFormatting>
  <conditionalFormatting sqref="AD22">
    <cfRule type="expression" dxfId="6103" priority="28236">
      <formula>MOD(ROW(),2)=0</formula>
    </cfRule>
  </conditionalFormatting>
  <conditionalFormatting sqref="AD10">
    <cfRule type="expression" dxfId="6102" priority="28235">
      <formula>MOD(ROW(),2)=0</formula>
    </cfRule>
  </conditionalFormatting>
  <conditionalFormatting sqref="E23:F102">
    <cfRule type="expression" dxfId="6101" priority="28234">
      <formula>MOD(ROW(),2)=0</formula>
    </cfRule>
  </conditionalFormatting>
  <conditionalFormatting sqref="E27:F27">
    <cfRule type="expression" dxfId="6100" priority="28233">
      <formula>E$27&gt;(E$78+E$103)</formula>
    </cfRule>
  </conditionalFormatting>
  <conditionalFormatting sqref="AA14">
    <cfRule type="expression" dxfId="6099" priority="25399">
      <formula>MOD(ROW(),2)=0</formula>
    </cfRule>
  </conditionalFormatting>
  <conditionalFormatting sqref="AA14">
    <cfRule type="expression" dxfId="6098" priority="25398">
      <formula>MOD(ROW(),2)=0</formula>
    </cfRule>
  </conditionalFormatting>
  <conditionalFormatting sqref="AA14">
    <cfRule type="expression" dxfId="6097" priority="25397">
      <formula>MOD(ROW(),2)=0</formula>
    </cfRule>
  </conditionalFormatting>
  <conditionalFormatting sqref="AA14">
    <cfRule type="expression" dxfId="6096" priority="25396">
      <formula>MOD(ROW(),2)=0</formula>
    </cfRule>
  </conditionalFormatting>
  <conditionalFormatting sqref="AA14">
    <cfRule type="expression" dxfId="6095" priority="25395">
      <formula>MOD(ROW(),2)=0</formula>
    </cfRule>
  </conditionalFormatting>
  <conditionalFormatting sqref="AA14">
    <cfRule type="expression" dxfId="6094" priority="25394">
      <formula>MOD(ROW(),2)=0</formula>
    </cfRule>
  </conditionalFormatting>
  <conditionalFormatting sqref="AA14">
    <cfRule type="expression" dxfId="6093" priority="25393">
      <formula>MOD(ROW(),2)=0</formula>
    </cfRule>
  </conditionalFormatting>
  <conditionalFormatting sqref="AA14">
    <cfRule type="expression" dxfId="6092" priority="25392">
      <formula>MOD(ROW(),2)=0</formula>
    </cfRule>
  </conditionalFormatting>
  <conditionalFormatting sqref="AA14">
    <cfRule type="expression" dxfId="6091" priority="25391">
      <formula>MOD(ROW(),2)=0</formula>
    </cfRule>
  </conditionalFormatting>
  <conditionalFormatting sqref="AA14">
    <cfRule type="expression" dxfId="6090" priority="25390">
      <formula>MOD(ROW(),2)=0</formula>
    </cfRule>
  </conditionalFormatting>
  <conditionalFormatting sqref="AA14">
    <cfRule type="expression" dxfId="6089" priority="25389">
      <formula>MOD(ROW(),2)=0</formula>
    </cfRule>
  </conditionalFormatting>
  <conditionalFormatting sqref="AA14">
    <cfRule type="expression" dxfId="6088" priority="25388">
      <formula>MOD(ROW(),2)=0</formula>
    </cfRule>
  </conditionalFormatting>
  <conditionalFormatting sqref="AA14">
    <cfRule type="expression" dxfId="6087" priority="25387">
      <formula>MOD(ROW(),2)=0</formula>
    </cfRule>
  </conditionalFormatting>
  <conditionalFormatting sqref="AA14">
    <cfRule type="expression" dxfId="6086" priority="25386">
      <formula>MOD(ROW(),2)=0</formula>
    </cfRule>
  </conditionalFormatting>
  <conditionalFormatting sqref="AA14">
    <cfRule type="expression" dxfId="6085" priority="25385">
      <formula>MOD(ROW(),2)=0</formula>
    </cfRule>
  </conditionalFormatting>
  <conditionalFormatting sqref="AA14">
    <cfRule type="expression" dxfId="6084" priority="25384">
      <formula>MOD(ROW(),2)=0</formula>
    </cfRule>
  </conditionalFormatting>
  <conditionalFormatting sqref="AA14">
    <cfRule type="expression" dxfId="6083" priority="25383">
      <formula>MOD(ROW(),2)=0</formula>
    </cfRule>
  </conditionalFormatting>
  <conditionalFormatting sqref="AA14">
    <cfRule type="expression" dxfId="6082" priority="25382">
      <formula>MOD(ROW(),2)=0</formula>
    </cfRule>
  </conditionalFormatting>
  <conditionalFormatting sqref="AA14">
    <cfRule type="expression" dxfId="6081" priority="25381">
      <formula>MOD(ROW(),2)=0</formula>
    </cfRule>
  </conditionalFormatting>
  <conditionalFormatting sqref="AA14">
    <cfRule type="expression" dxfId="6080" priority="25380">
      <formula>MOD(ROW(),2)=0</formula>
    </cfRule>
  </conditionalFormatting>
  <conditionalFormatting sqref="AA14">
    <cfRule type="expression" dxfId="6079" priority="25379">
      <formula>MOD(ROW(),2)=0</formula>
    </cfRule>
  </conditionalFormatting>
  <conditionalFormatting sqref="AA14">
    <cfRule type="expression" dxfId="6078" priority="25378">
      <formula>MOD(ROW(),2)=0</formula>
    </cfRule>
  </conditionalFormatting>
  <conditionalFormatting sqref="AA14">
    <cfRule type="expression" dxfId="6077" priority="25377">
      <formula>MOD(ROW(),2)=0</formula>
    </cfRule>
  </conditionalFormatting>
  <conditionalFormatting sqref="AA14">
    <cfRule type="expression" dxfId="6076" priority="25376">
      <formula>MOD(ROW(),2)=0</formula>
    </cfRule>
  </conditionalFormatting>
  <conditionalFormatting sqref="AA14">
    <cfRule type="expression" dxfId="6075" priority="25375">
      <formula>MOD(ROW(),2)=0</formula>
    </cfRule>
  </conditionalFormatting>
  <conditionalFormatting sqref="AA14">
    <cfRule type="expression" dxfId="6074" priority="25374">
      <formula>MOD(ROW(),2)=0</formula>
    </cfRule>
  </conditionalFormatting>
  <conditionalFormatting sqref="AA14">
    <cfRule type="expression" dxfId="6073" priority="25373">
      <formula>MOD(ROW(),2)=0</formula>
    </cfRule>
  </conditionalFormatting>
  <conditionalFormatting sqref="AA14">
    <cfRule type="expression" dxfId="6072" priority="25372">
      <formula>MOD(ROW(),2)=0</formula>
    </cfRule>
  </conditionalFormatting>
  <conditionalFormatting sqref="AA14">
    <cfRule type="expression" dxfId="6071" priority="25371">
      <formula>MOD(ROW(),2)=0</formula>
    </cfRule>
  </conditionalFormatting>
  <conditionalFormatting sqref="AA14">
    <cfRule type="expression" dxfId="6070" priority="25370">
      <formula>MOD(ROW(),2)=0</formula>
    </cfRule>
  </conditionalFormatting>
  <conditionalFormatting sqref="AA14">
    <cfRule type="expression" dxfId="6069" priority="25369">
      <formula>MOD(ROW(),2)=0</formula>
    </cfRule>
  </conditionalFormatting>
  <conditionalFormatting sqref="AA14">
    <cfRule type="expression" dxfId="6068" priority="25368">
      <formula>MOD(ROW(),2)=0</formula>
    </cfRule>
  </conditionalFormatting>
  <conditionalFormatting sqref="AA9">
    <cfRule type="expression" dxfId="6067" priority="25367">
      <formula>MOD(ROW(),2)=0</formula>
    </cfRule>
  </conditionalFormatting>
  <conditionalFormatting sqref="AA8">
    <cfRule type="expression" dxfId="6066" priority="25366">
      <formula>MOD(ROW(),2)=0</formula>
    </cfRule>
  </conditionalFormatting>
  <conditionalFormatting sqref="AA12:AA13 AA15:AA17">
    <cfRule type="expression" dxfId="6065" priority="25365">
      <formula>MOD(ROW(),2)=0</formula>
    </cfRule>
  </conditionalFormatting>
  <conditionalFormatting sqref="AA15 AA17:AA22">
    <cfRule type="expression" dxfId="6064" priority="25364">
      <formula>MOD(ROW(),2)=0</formula>
    </cfRule>
  </conditionalFormatting>
  <conditionalFormatting sqref="AA11">
    <cfRule type="expression" dxfId="6063" priority="25363">
      <formula>MOD(ROW(),2)=0</formula>
    </cfRule>
  </conditionalFormatting>
  <conditionalFormatting sqref="AA22">
    <cfRule type="expression" dxfId="6062" priority="25362">
      <formula>MOD(ROW(),2)=0</formula>
    </cfRule>
  </conditionalFormatting>
  <conditionalFormatting sqref="AA10">
    <cfRule type="expression" dxfId="6061" priority="25361">
      <formula>MOD(ROW(),2)=0</formula>
    </cfRule>
  </conditionalFormatting>
  <conditionalFormatting sqref="AA9">
    <cfRule type="expression" dxfId="6060" priority="25360">
      <formula>MOD(ROW(),2)=0</formula>
    </cfRule>
  </conditionalFormatting>
  <conditionalFormatting sqref="AA8">
    <cfRule type="expression" dxfId="6059" priority="25359">
      <formula>MOD(ROW(),2)=0</formula>
    </cfRule>
  </conditionalFormatting>
  <conditionalFormatting sqref="AA12:AA13 AA15:AA17">
    <cfRule type="expression" dxfId="6058" priority="25358">
      <formula>MOD(ROW(),2)=0</formula>
    </cfRule>
  </conditionalFormatting>
  <conditionalFormatting sqref="AA15 AA17:AA22">
    <cfRule type="expression" dxfId="6057" priority="25357">
      <formula>MOD(ROW(),2)=0</formula>
    </cfRule>
  </conditionalFormatting>
  <conditionalFormatting sqref="AA11">
    <cfRule type="expression" dxfId="6056" priority="25356">
      <formula>MOD(ROW(),2)=0</formula>
    </cfRule>
  </conditionalFormatting>
  <conditionalFormatting sqref="AA22">
    <cfRule type="expression" dxfId="6055" priority="25355">
      <formula>MOD(ROW(),2)=0</formula>
    </cfRule>
  </conditionalFormatting>
  <conditionalFormatting sqref="AA10">
    <cfRule type="expression" dxfId="6054" priority="25354">
      <formula>MOD(ROW(),2)=0</formula>
    </cfRule>
  </conditionalFormatting>
  <conditionalFormatting sqref="AA9">
    <cfRule type="expression" dxfId="6053" priority="25353">
      <formula>MOD(ROW(),2)=0</formula>
    </cfRule>
  </conditionalFormatting>
  <conditionalFormatting sqref="AA8">
    <cfRule type="expression" dxfId="6052" priority="25352">
      <formula>MOD(ROW(),2)=0</formula>
    </cfRule>
  </conditionalFormatting>
  <conditionalFormatting sqref="AA12:AA13 AA15:AA17">
    <cfRule type="expression" dxfId="6051" priority="25351">
      <formula>MOD(ROW(),2)=0</formula>
    </cfRule>
  </conditionalFormatting>
  <conditionalFormatting sqref="AA15 AA17:AA22">
    <cfRule type="expression" dxfId="6050" priority="25350">
      <formula>MOD(ROW(),2)=0</formula>
    </cfRule>
  </conditionalFormatting>
  <conditionalFormatting sqref="AA11">
    <cfRule type="expression" dxfId="6049" priority="25349">
      <formula>MOD(ROW(),2)=0</formula>
    </cfRule>
  </conditionalFormatting>
  <conditionalFormatting sqref="AA22">
    <cfRule type="expression" dxfId="6048" priority="25348">
      <formula>MOD(ROW(),2)=0</formula>
    </cfRule>
  </conditionalFormatting>
  <conditionalFormatting sqref="AA10">
    <cfRule type="expression" dxfId="6047" priority="25347">
      <formula>MOD(ROW(),2)=0</formula>
    </cfRule>
  </conditionalFormatting>
  <conditionalFormatting sqref="AA9">
    <cfRule type="expression" dxfId="6046" priority="25346">
      <formula>MOD(ROW(),2)=0</formula>
    </cfRule>
  </conditionalFormatting>
  <conditionalFormatting sqref="AA8">
    <cfRule type="expression" dxfId="6045" priority="25345">
      <formula>MOD(ROW(),2)=0</formula>
    </cfRule>
  </conditionalFormatting>
  <conditionalFormatting sqref="AA12:AA13 AA15:AA17">
    <cfRule type="expression" dxfId="6044" priority="25344">
      <formula>MOD(ROW(),2)=0</formula>
    </cfRule>
  </conditionalFormatting>
  <conditionalFormatting sqref="AA15 AA17:AA22">
    <cfRule type="expression" dxfId="6043" priority="25343">
      <formula>MOD(ROW(),2)=0</formula>
    </cfRule>
  </conditionalFormatting>
  <conditionalFormatting sqref="AA11">
    <cfRule type="expression" dxfId="6042" priority="25342">
      <formula>MOD(ROW(),2)=0</formula>
    </cfRule>
  </conditionalFormatting>
  <conditionalFormatting sqref="AA22">
    <cfRule type="expression" dxfId="6041" priority="25341">
      <formula>MOD(ROW(),2)=0</formula>
    </cfRule>
  </conditionalFormatting>
  <conditionalFormatting sqref="AA10">
    <cfRule type="expression" dxfId="6040" priority="25340">
      <formula>MOD(ROW(),2)=0</formula>
    </cfRule>
  </conditionalFormatting>
  <conditionalFormatting sqref="AA9">
    <cfRule type="expression" dxfId="6039" priority="25339">
      <formula>MOD(ROW(),2)=0</formula>
    </cfRule>
  </conditionalFormatting>
  <conditionalFormatting sqref="AA8">
    <cfRule type="expression" dxfId="6038" priority="25338">
      <formula>MOD(ROW(),2)=0</formula>
    </cfRule>
  </conditionalFormatting>
  <conditionalFormatting sqref="AA12:AA13 AA15:AA17">
    <cfRule type="expression" dxfId="6037" priority="25337">
      <formula>MOD(ROW(),2)=0</formula>
    </cfRule>
  </conditionalFormatting>
  <conditionalFormatting sqref="AA15 AA17:AA22">
    <cfRule type="expression" dxfId="6036" priority="25336">
      <formula>MOD(ROW(),2)=0</formula>
    </cfRule>
  </conditionalFormatting>
  <conditionalFormatting sqref="AA11">
    <cfRule type="expression" dxfId="6035" priority="25335">
      <formula>MOD(ROW(),2)=0</formula>
    </cfRule>
  </conditionalFormatting>
  <conditionalFormatting sqref="AA22">
    <cfRule type="expression" dxfId="6034" priority="25334">
      <formula>MOD(ROW(),2)=0</formula>
    </cfRule>
  </conditionalFormatting>
  <conditionalFormatting sqref="AA10">
    <cfRule type="expression" dxfId="6033" priority="25333">
      <formula>MOD(ROW(),2)=0</formula>
    </cfRule>
  </conditionalFormatting>
  <conditionalFormatting sqref="AA9">
    <cfRule type="expression" dxfId="6032" priority="25332">
      <formula>MOD(ROW(),2)=0</formula>
    </cfRule>
  </conditionalFormatting>
  <conditionalFormatting sqref="AA8">
    <cfRule type="expression" dxfId="6031" priority="25331">
      <formula>MOD(ROW(),2)=0</formula>
    </cfRule>
  </conditionalFormatting>
  <conditionalFormatting sqref="AA12:AA13 AA15:AA17">
    <cfRule type="expression" dxfId="6030" priority="25330">
      <formula>MOD(ROW(),2)=0</formula>
    </cfRule>
  </conditionalFormatting>
  <conditionalFormatting sqref="AA15 AA17:AA22">
    <cfRule type="expression" dxfId="6029" priority="25329">
      <formula>MOD(ROW(),2)=0</formula>
    </cfRule>
  </conditionalFormatting>
  <conditionalFormatting sqref="AA11">
    <cfRule type="expression" dxfId="6028" priority="25328">
      <formula>MOD(ROW(),2)=0</formula>
    </cfRule>
  </conditionalFormatting>
  <conditionalFormatting sqref="AA22">
    <cfRule type="expression" dxfId="6027" priority="25327">
      <formula>MOD(ROW(),2)=0</formula>
    </cfRule>
  </conditionalFormatting>
  <conditionalFormatting sqref="AA10">
    <cfRule type="expression" dxfId="6026" priority="25326">
      <formula>MOD(ROW(),2)=0</formula>
    </cfRule>
  </conditionalFormatting>
  <conditionalFormatting sqref="AA9">
    <cfRule type="expression" dxfId="6025" priority="25325">
      <formula>MOD(ROW(),2)=0</formula>
    </cfRule>
  </conditionalFormatting>
  <conditionalFormatting sqref="AA8">
    <cfRule type="expression" dxfId="6024" priority="25324">
      <formula>MOD(ROW(),2)=0</formula>
    </cfRule>
  </conditionalFormatting>
  <conditionalFormatting sqref="AA12:AA13 AA15:AA17">
    <cfRule type="expression" dxfId="6023" priority="25323">
      <formula>MOD(ROW(),2)=0</formula>
    </cfRule>
  </conditionalFormatting>
  <conditionalFormatting sqref="AA15 AA17:AA22">
    <cfRule type="expression" dxfId="6022" priority="25322">
      <formula>MOD(ROW(),2)=0</formula>
    </cfRule>
  </conditionalFormatting>
  <conditionalFormatting sqref="AA11">
    <cfRule type="expression" dxfId="6021" priority="25321">
      <formula>MOD(ROW(),2)=0</formula>
    </cfRule>
  </conditionalFormatting>
  <conditionalFormatting sqref="AA10">
    <cfRule type="expression" dxfId="6020" priority="25320">
      <formula>MOD(ROW(),2)=0</formula>
    </cfRule>
  </conditionalFormatting>
  <conditionalFormatting sqref="AA22">
    <cfRule type="expression" dxfId="6019" priority="25319">
      <formula>MOD(ROW(),2)=0</formula>
    </cfRule>
  </conditionalFormatting>
  <conditionalFormatting sqref="AA9">
    <cfRule type="expression" dxfId="6018" priority="25318">
      <formula>MOD(ROW(),2)=0</formula>
    </cfRule>
  </conditionalFormatting>
  <conditionalFormatting sqref="AA8">
    <cfRule type="expression" dxfId="6017" priority="25317">
      <formula>MOD(ROW(),2)=0</formula>
    </cfRule>
  </conditionalFormatting>
  <conditionalFormatting sqref="AA12:AA13 AA15:AA17">
    <cfRule type="expression" dxfId="6016" priority="25316">
      <formula>MOD(ROW(),2)=0</formula>
    </cfRule>
  </conditionalFormatting>
  <conditionalFormatting sqref="AA15 AA17:AA22">
    <cfRule type="expression" dxfId="6015" priority="25315">
      <formula>MOD(ROW(),2)=0</formula>
    </cfRule>
  </conditionalFormatting>
  <conditionalFormatting sqref="AA11">
    <cfRule type="expression" dxfId="6014" priority="25314">
      <formula>MOD(ROW(),2)=0</formula>
    </cfRule>
  </conditionalFormatting>
  <conditionalFormatting sqref="AA22">
    <cfRule type="expression" dxfId="6013" priority="25313">
      <formula>MOD(ROW(),2)=0</formula>
    </cfRule>
  </conditionalFormatting>
  <conditionalFormatting sqref="AA10">
    <cfRule type="expression" dxfId="6012" priority="25312">
      <formula>MOD(ROW(),2)=0</formula>
    </cfRule>
  </conditionalFormatting>
  <conditionalFormatting sqref="AA9">
    <cfRule type="expression" dxfId="6011" priority="25311">
      <formula>MOD(ROW(),2)=0</formula>
    </cfRule>
  </conditionalFormatting>
  <conditionalFormatting sqref="AA8">
    <cfRule type="expression" dxfId="6010" priority="25310">
      <formula>MOD(ROW(),2)=0</formula>
    </cfRule>
  </conditionalFormatting>
  <conditionalFormatting sqref="AA12:AA13 AA15:AA17">
    <cfRule type="expression" dxfId="6009" priority="25309">
      <formula>MOD(ROW(),2)=0</formula>
    </cfRule>
  </conditionalFormatting>
  <conditionalFormatting sqref="AA15 AA17:AA22">
    <cfRule type="expression" dxfId="6008" priority="25308">
      <formula>MOD(ROW(),2)=0</formula>
    </cfRule>
  </conditionalFormatting>
  <conditionalFormatting sqref="AA11">
    <cfRule type="expression" dxfId="6007" priority="25307">
      <formula>MOD(ROW(),2)=0</formula>
    </cfRule>
  </conditionalFormatting>
  <conditionalFormatting sqref="AA22">
    <cfRule type="expression" dxfId="6006" priority="25306">
      <formula>MOD(ROW(),2)=0</formula>
    </cfRule>
  </conditionalFormatting>
  <conditionalFormatting sqref="AA10">
    <cfRule type="expression" dxfId="6005" priority="25305">
      <formula>MOD(ROW(),2)=0</formula>
    </cfRule>
  </conditionalFormatting>
  <conditionalFormatting sqref="AA9">
    <cfRule type="expression" dxfId="6004" priority="25304">
      <formula>MOD(ROW(),2)=0</formula>
    </cfRule>
  </conditionalFormatting>
  <conditionalFormatting sqref="AA8">
    <cfRule type="expression" dxfId="6003" priority="25303">
      <formula>MOD(ROW(),2)=0</formula>
    </cfRule>
  </conditionalFormatting>
  <conditionalFormatting sqref="AA12:AA13 AA15:AA17">
    <cfRule type="expression" dxfId="6002" priority="25302">
      <formula>MOD(ROW(),2)=0</formula>
    </cfRule>
  </conditionalFormatting>
  <conditionalFormatting sqref="AA15 AA17:AA22">
    <cfRule type="expression" dxfId="6001" priority="25301">
      <formula>MOD(ROW(),2)=0</formula>
    </cfRule>
  </conditionalFormatting>
  <conditionalFormatting sqref="AA11">
    <cfRule type="expression" dxfId="6000" priority="25300">
      <formula>MOD(ROW(),2)=0</formula>
    </cfRule>
  </conditionalFormatting>
  <conditionalFormatting sqref="AA22">
    <cfRule type="expression" dxfId="5999" priority="25299">
      <formula>MOD(ROW(),2)=0</formula>
    </cfRule>
  </conditionalFormatting>
  <conditionalFormatting sqref="AA10">
    <cfRule type="expression" dxfId="5998" priority="25298">
      <formula>MOD(ROW(),2)=0</formula>
    </cfRule>
  </conditionalFormatting>
  <conditionalFormatting sqref="AA9">
    <cfRule type="expression" dxfId="5997" priority="25297">
      <formula>MOD(ROW(),2)=0</formula>
    </cfRule>
  </conditionalFormatting>
  <conditionalFormatting sqref="AA8">
    <cfRule type="expression" dxfId="5996" priority="25296">
      <formula>MOD(ROW(),2)=0</formula>
    </cfRule>
  </conditionalFormatting>
  <conditionalFormatting sqref="AA12:AA13 AA15:AA17">
    <cfRule type="expression" dxfId="5995" priority="25295">
      <formula>MOD(ROW(),2)=0</formula>
    </cfRule>
  </conditionalFormatting>
  <conditionalFormatting sqref="AA15 AA17:AA22">
    <cfRule type="expression" dxfId="5994" priority="25294">
      <formula>MOD(ROW(),2)=0</formula>
    </cfRule>
  </conditionalFormatting>
  <conditionalFormatting sqref="AA11">
    <cfRule type="expression" dxfId="5993" priority="25293">
      <formula>MOD(ROW(),2)=0</formula>
    </cfRule>
  </conditionalFormatting>
  <conditionalFormatting sqref="AA22">
    <cfRule type="expression" dxfId="5992" priority="25292">
      <formula>MOD(ROW(),2)=0</formula>
    </cfRule>
  </conditionalFormatting>
  <conditionalFormatting sqref="AA10">
    <cfRule type="expression" dxfId="5991" priority="25291">
      <formula>MOD(ROW(),2)=0</formula>
    </cfRule>
  </conditionalFormatting>
  <conditionalFormatting sqref="AA9">
    <cfRule type="expression" dxfId="5990" priority="25290">
      <formula>MOD(ROW(),2)=0</formula>
    </cfRule>
  </conditionalFormatting>
  <conditionalFormatting sqref="AA8">
    <cfRule type="expression" dxfId="5989" priority="25289">
      <formula>MOD(ROW(),2)=0</formula>
    </cfRule>
  </conditionalFormatting>
  <conditionalFormatting sqref="AA12:AA13 AA15:AA17">
    <cfRule type="expression" dxfId="5988" priority="25288">
      <formula>MOD(ROW(),2)=0</formula>
    </cfRule>
  </conditionalFormatting>
  <conditionalFormatting sqref="AA15 AA17:AA22">
    <cfRule type="expression" dxfId="5987" priority="25287">
      <formula>MOD(ROW(),2)=0</formula>
    </cfRule>
  </conditionalFormatting>
  <conditionalFormatting sqref="AA11">
    <cfRule type="expression" dxfId="5986" priority="25286">
      <formula>MOD(ROW(),2)=0</formula>
    </cfRule>
  </conditionalFormatting>
  <conditionalFormatting sqref="AA22">
    <cfRule type="expression" dxfId="5985" priority="25285">
      <formula>MOD(ROW(),2)=0</formula>
    </cfRule>
  </conditionalFormatting>
  <conditionalFormatting sqref="AA10">
    <cfRule type="expression" dxfId="5984" priority="25284">
      <formula>MOD(ROW(),2)=0</formula>
    </cfRule>
  </conditionalFormatting>
  <conditionalFormatting sqref="AA9">
    <cfRule type="expression" dxfId="5983" priority="25283">
      <formula>MOD(ROW(),2)=0</formula>
    </cfRule>
  </conditionalFormatting>
  <conditionalFormatting sqref="AA8">
    <cfRule type="expression" dxfId="5982" priority="25282">
      <formula>MOD(ROW(),2)=0</formula>
    </cfRule>
  </conditionalFormatting>
  <conditionalFormatting sqref="AA12:AA13 AA15:AA17">
    <cfRule type="expression" dxfId="5981" priority="25281">
      <formula>MOD(ROW(),2)=0</formula>
    </cfRule>
  </conditionalFormatting>
  <conditionalFormatting sqref="AA15 AA17:AA22">
    <cfRule type="expression" dxfId="5980" priority="25280">
      <formula>MOD(ROW(),2)=0</formula>
    </cfRule>
  </conditionalFormatting>
  <conditionalFormatting sqref="AA11">
    <cfRule type="expression" dxfId="5979" priority="25279">
      <formula>MOD(ROW(),2)=0</formula>
    </cfRule>
  </conditionalFormatting>
  <conditionalFormatting sqref="AA22">
    <cfRule type="expression" dxfId="5978" priority="25278">
      <formula>MOD(ROW(),2)=0</formula>
    </cfRule>
  </conditionalFormatting>
  <conditionalFormatting sqref="AA10">
    <cfRule type="expression" dxfId="5977" priority="25277">
      <formula>MOD(ROW(),2)=0</formula>
    </cfRule>
  </conditionalFormatting>
  <conditionalFormatting sqref="AA9">
    <cfRule type="expression" dxfId="5976" priority="25276">
      <formula>MOD(ROW(),2)=0</formula>
    </cfRule>
  </conditionalFormatting>
  <conditionalFormatting sqref="AA8">
    <cfRule type="expression" dxfId="5975" priority="25275">
      <formula>MOD(ROW(),2)=0</formula>
    </cfRule>
  </conditionalFormatting>
  <conditionalFormatting sqref="AA12:AA13 AA15:AA17">
    <cfRule type="expression" dxfId="5974" priority="25274">
      <formula>MOD(ROW(),2)=0</formula>
    </cfRule>
  </conditionalFormatting>
  <conditionalFormatting sqref="AA15 AA17:AA22">
    <cfRule type="expression" dxfId="5973" priority="25273">
      <formula>MOD(ROW(),2)=0</formula>
    </cfRule>
  </conditionalFormatting>
  <conditionalFormatting sqref="AA11">
    <cfRule type="expression" dxfId="5972" priority="25272">
      <formula>MOD(ROW(),2)=0</formula>
    </cfRule>
  </conditionalFormatting>
  <conditionalFormatting sqref="AA22">
    <cfRule type="expression" dxfId="5971" priority="25271">
      <formula>MOD(ROW(),2)=0</formula>
    </cfRule>
  </conditionalFormatting>
  <conditionalFormatting sqref="AA10">
    <cfRule type="expression" dxfId="5970" priority="25270">
      <formula>MOD(ROW(),2)=0</formula>
    </cfRule>
  </conditionalFormatting>
  <conditionalFormatting sqref="AA9">
    <cfRule type="expression" dxfId="5969" priority="25269">
      <formula>MOD(ROW(),2)=0</formula>
    </cfRule>
  </conditionalFormatting>
  <conditionalFormatting sqref="AA8">
    <cfRule type="expression" dxfId="5968" priority="25268">
      <formula>MOD(ROW(),2)=0</formula>
    </cfRule>
  </conditionalFormatting>
  <conditionalFormatting sqref="AA12:AA13 AA15:AA17">
    <cfRule type="expression" dxfId="5967" priority="25267">
      <formula>MOD(ROW(),2)=0</formula>
    </cfRule>
  </conditionalFormatting>
  <conditionalFormatting sqref="AA15 AA17:AA22">
    <cfRule type="expression" dxfId="5966" priority="25266">
      <formula>MOD(ROW(),2)=0</formula>
    </cfRule>
  </conditionalFormatting>
  <conditionalFormatting sqref="AA11">
    <cfRule type="expression" dxfId="5965" priority="25265">
      <formula>MOD(ROW(),2)=0</formula>
    </cfRule>
  </conditionalFormatting>
  <conditionalFormatting sqref="AA10">
    <cfRule type="expression" dxfId="5964" priority="25264">
      <formula>MOD(ROW(),2)=0</formula>
    </cfRule>
  </conditionalFormatting>
  <conditionalFormatting sqref="AA22">
    <cfRule type="expression" dxfId="5963" priority="25263">
      <formula>MOD(ROW(),2)=0</formula>
    </cfRule>
  </conditionalFormatting>
  <conditionalFormatting sqref="AA9">
    <cfRule type="expression" dxfId="5962" priority="25262">
      <formula>MOD(ROW(),2)=0</formula>
    </cfRule>
  </conditionalFormatting>
  <conditionalFormatting sqref="AA8">
    <cfRule type="expression" dxfId="5961" priority="25261">
      <formula>MOD(ROW(),2)=0</formula>
    </cfRule>
  </conditionalFormatting>
  <conditionalFormatting sqref="AA12:AA13 AA15:AA17">
    <cfRule type="expression" dxfId="5960" priority="25260">
      <formula>MOD(ROW(),2)=0</formula>
    </cfRule>
  </conditionalFormatting>
  <conditionalFormatting sqref="AA15 AA17:AA22">
    <cfRule type="expression" dxfId="5959" priority="25259">
      <formula>MOD(ROW(),2)=0</formula>
    </cfRule>
  </conditionalFormatting>
  <conditionalFormatting sqref="AA11">
    <cfRule type="expression" dxfId="5958" priority="25258">
      <formula>MOD(ROW(),2)=0</formula>
    </cfRule>
  </conditionalFormatting>
  <conditionalFormatting sqref="AA22">
    <cfRule type="expression" dxfId="5957" priority="25257">
      <formula>MOD(ROW(),2)=0</formula>
    </cfRule>
  </conditionalFormatting>
  <conditionalFormatting sqref="AA10">
    <cfRule type="expression" dxfId="5956" priority="25256">
      <formula>MOD(ROW(),2)=0</formula>
    </cfRule>
  </conditionalFormatting>
  <conditionalFormatting sqref="AB14">
    <cfRule type="expression" dxfId="5955" priority="25255">
      <formula>MOD(ROW(),2)=0</formula>
    </cfRule>
  </conditionalFormatting>
  <conditionalFormatting sqref="AB14">
    <cfRule type="expression" dxfId="5954" priority="25254">
      <formula>MOD(ROW(),2)=0</formula>
    </cfRule>
  </conditionalFormatting>
  <conditionalFormatting sqref="AB14">
    <cfRule type="expression" dxfId="5953" priority="25253">
      <formula>MOD(ROW(),2)=0</formula>
    </cfRule>
  </conditionalFormatting>
  <conditionalFormatting sqref="AB14">
    <cfRule type="expression" dxfId="5952" priority="25252">
      <formula>MOD(ROW(),2)=0</formula>
    </cfRule>
  </conditionalFormatting>
  <conditionalFormatting sqref="AB14">
    <cfRule type="expression" dxfId="5951" priority="25251">
      <formula>MOD(ROW(),2)=0</formula>
    </cfRule>
  </conditionalFormatting>
  <conditionalFormatting sqref="AB14">
    <cfRule type="expression" dxfId="5950" priority="25250">
      <formula>MOD(ROW(),2)=0</formula>
    </cfRule>
  </conditionalFormatting>
  <conditionalFormatting sqref="AB14">
    <cfRule type="expression" dxfId="5949" priority="25249">
      <formula>MOD(ROW(),2)=0</formula>
    </cfRule>
  </conditionalFormatting>
  <conditionalFormatting sqref="AB14">
    <cfRule type="expression" dxfId="5948" priority="25248">
      <formula>MOD(ROW(),2)=0</formula>
    </cfRule>
  </conditionalFormatting>
  <conditionalFormatting sqref="AB14">
    <cfRule type="expression" dxfId="5947" priority="25247">
      <formula>MOD(ROW(),2)=0</formula>
    </cfRule>
  </conditionalFormatting>
  <conditionalFormatting sqref="AB14">
    <cfRule type="expression" dxfId="5946" priority="25246">
      <formula>MOD(ROW(),2)=0</formula>
    </cfRule>
  </conditionalFormatting>
  <conditionalFormatting sqref="AB14">
    <cfRule type="expression" dxfId="5945" priority="25245">
      <formula>MOD(ROW(),2)=0</formula>
    </cfRule>
  </conditionalFormatting>
  <conditionalFormatting sqref="AB14">
    <cfRule type="expression" dxfId="5944" priority="25244">
      <formula>MOD(ROW(),2)=0</formula>
    </cfRule>
  </conditionalFormatting>
  <conditionalFormatting sqref="AB14">
    <cfRule type="expression" dxfId="5943" priority="25243">
      <formula>MOD(ROW(),2)=0</formula>
    </cfRule>
  </conditionalFormatting>
  <conditionalFormatting sqref="AB14">
    <cfRule type="expression" dxfId="5942" priority="25242">
      <formula>MOD(ROW(),2)=0</formula>
    </cfRule>
  </conditionalFormatting>
  <conditionalFormatting sqref="AB14">
    <cfRule type="expression" dxfId="5941" priority="25241">
      <formula>MOD(ROW(),2)=0</formula>
    </cfRule>
  </conditionalFormatting>
  <conditionalFormatting sqref="AB14">
    <cfRule type="expression" dxfId="5940" priority="25240">
      <formula>MOD(ROW(),2)=0</formula>
    </cfRule>
  </conditionalFormatting>
  <conditionalFormatting sqref="AB14">
    <cfRule type="expression" dxfId="5939" priority="25239">
      <formula>MOD(ROW(),2)=0</formula>
    </cfRule>
  </conditionalFormatting>
  <conditionalFormatting sqref="AB14">
    <cfRule type="expression" dxfId="5938" priority="25238">
      <formula>MOD(ROW(),2)=0</formula>
    </cfRule>
  </conditionalFormatting>
  <conditionalFormatting sqref="AB14">
    <cfRule type="expression" dxfId="5937" priority="25237">
      <formula>MOD(ROW(),2)=0</formula>
    </cfRule>
  </conditionalFormatting>
  <conditionalFormatting sqref="AB14">
    <cfRule type="expression" dxfId="5936" priority="25236">
      <formula>MOD(ROW(),2)=0</formula>
    </cfRule>
  </conditionalFormatting>
  <conditionalFormatting sqref="AB14">
    <cfRule type="expression" dxfId="5935" priority="25235">
      <formula>MOD(ROW(),2)=0</formula>
    </cfRule>
  </conditionalFormatting>
  <conditionalFormatting sqref="AB14">
    <cfRule type="expression" dxfId="5934" priority="25234">
      <formula>MOD(ROW(),2)=0</formula>
    </cfRule>
  </conditionalFormatting>
  <conditionalFormatting sqref="AB14">
    <cfRule type="expression" dxfId="5933" priority="25233">
      <formula>MOD(ROW(),2)=0</formula>
    </cfRule>
  </conditionalFormatting>
  <conditionalFormatting sqref="AB14">
    <cfRule type="expression" dxfId="5932" priority="25232">
      <formula>MOD(ROW(),2)=0</formula>
    </cfRule>
  </conditionalFormatting>
  <conditionalFormatting sqref="AB14">
    <cfRule type="expression" dxfId="5931" priority="25231">
      <formula>MOD(ROW(),2)=0</formula>
    </cfRule>
  </conditionalFormatting>
  <conditionalFormatting sqref="AB14">
    <cfRule type="expression" dxfId="5930" priority="25230">
      <formula>MOD(ROW(),2)=0</formula>
    </cfRule>
  </conditionalFormatting>
  <conditionalFormatting sqref="AB14">
    <cfRule type="expression" dxfId="5929" priority="25229">
      <formula>MOD(ROW(),2)=0</formula>
    </cfRule>
  </conditionalFormatting>
  <conditionalFormatting sqref="AB14">
    <cfRule type="expression" dxfId="5928" priority="25228">
      <formula>MOD(ROW(),2)=0</formula>
    </cfRule>
  </conditionalFormatting>
  <conditionalFormatting sqref="AB14">
    <cfRule type="expression" dxfId="5927" priority="25227">
      <formula>MOD(ROW(),2)=0</formula>
    </cfRule>
  </conditionalFormatting>
  <conditionalFormatting sqref="AB14">
    <cfRule type="expression" dxfId="5926" priority="25226">
      <formula>MOD(ROW(),2)=0</formula>
    </cfRule>
  </conditionalFormatting>
  <conditionalFormatting sqref="AB14">
    <cfRule type="expression" dxfId="5925" priority="25225">
      <formula>MOD(ROW(),2)=0</formula>
    </cfRule>
  </conditionalFormatting>
  <conditionalFormatting sqref="AB14">
    <cfRule type="expression" dxfId="5924" priority="25224">
      <formula>MOD(ROW(),2)=0</formula>
    </cfRule>
  </conditionalFormatting>
  <conditionalFormatting sqref="AB9">
    <cfRule type="expression" dxfId="5923" priority="25223">
      <formula>MOD(ROW(),2)=0</formula>
    </cfRule>
  </conditionalFormatting>
  <conditionalFormatting sqref="AB8">
    <cfRule type="expression" dxfId="5922" priority="25222">
      <formula>MOD(ROW(),2)=0</formula>
    </cfRule>
  </conditionalFormatting>
  <conditionalFormatting sqref="AB12:AB13 AB15:AB17">
    <cfRule type="expression" dxfId="5921" priority="25221">
      <formula>MOD(ROW(),2)=0</formula>
    </cfRule>
  </conditionalFormatting>
  <conditionalFormatting sqref="AB15 AB17:AB22">
    <cfRule type="expression" dxfId="5920" priority="25220">
      <formula>MOD(ROW(),2)=0</formula>
    </cfRule>
  </conditionalFormatting>
  <conditionalFormatting sqref="AB11">
    <cfRule type="expression" dxfId="5919" priority="25219">
      <formula>MOD(ROW(),2)=0</formula>
    </cfRule>
  </conditionalFormatting>
  <conditionalFormatting sqref="AB22">
    <cfRule type="expression" dxfId="5918" priority="25218">
      <formula>MOD(ROW(),2)=0</formula>
    </cfRule>
  </conditionalFormatting>
  <conditionalFormatting sqref="AB10">
    <cfRule type="expression" dxfId="5917" priority="25217">
      <formula>MOD(ROW(),2)=0</formula>
    </cfRule>
  </conditionalFormatting>
  <conditionalFormatting sqref="AB9">
    <cfRule type="expression" dxfId="5916" priority="25216">
      <formula>MOD(ROW(),2)=0</formula>
    </cfRule>
  </conditionalFormatting>
  <conditionalFormatting sqref="AB8">
    <cfRule type="expression" dxfId="5915" priority="25215">
      <formula>MOD(ROW(),2)=0</formula>
    </cfRule>
  </conditionalFormatting>
  <conditionalFormatting sqref="AB12:AB13 AB15:AB17">
    <cfRule type="expression" dxfId="5914" priority="25214">
      <formula>MOD(ROW(),2)=0</formula>
    </cfRule>
  </conditionalFormatting>
  <conditionalFormatting sqref="AB15 AB17:AB22">
    <cfRule type="expression" dxfId="5913" priority="25213">
      <formula>MOD(ROW(),2)=0</formula>
    </cfRule>
  </conditionalFormatting>
  <conditionalFormatting sqref="AB11">
    <cfRule type="expression" dxfId="5912" priority="25212">
      <formula>MOD(ROW(),2)=0</formula>
    </cfRule>
  </conditionalFormatting>
  <conditionalFormatting sqref="AB22">
    <cfRule type="expression" dxfId="5911" priority="25211">
      <formula>MOD(ROW(),2)=0</formula>
    </cfRule>
  </conditionalFormatting>
  <conditionalFormatting sqref="AB10">
    <cfRule type="expression" dxfId="5910" priority="25210">
      <formula>MOD(ROW(),2)=0</formula>
    </cfRule>
  </conditionalFormatting>
  <conditionalFormatting sqref="AB9">
    <cfRule type="expression" dxfId="5909" priority="25209">
      <formula>MOD(ROW(),2)=0</formula>
    </cfRule>
  </conditionalFormatting>
  <conditionalFormatting sqref="AB8">
    <cfRule type="expression" dxfId="5908" priority="25208">
      <formula>MOD(ROW(),2)=0</formula>
    </cfRule>
  </conditionalFormatting>
  <conditionalFormatting sqref="AB12:AB13 AB15:AB17">
    <cfRule type="expression" dxfId="5907" priority="25207">
      <formula>MOD(ROW(),2)=0</formula>
    </cfRule>
  </conditionalFormatting>
  <conditionalFormatting sqref="AB15 AB17:AB22">
    <cfRule type="expression" dxfId="5906" priority="25206">
      <formula>MOD(ROW(),2)=0</formula>
    </cfRule>
  </conditionalFormatting>
  <conditionalFormatting sqref="AB11">
    <cfRule type="expression" dxfId="5905" priority="25205">
      <formula>MOD(ROW(),2)=0</formula>
    </cfRule>
  </conditionalFormatting>
  <conditionalFormatting sqref="AB22">
    <cfRule type="expression" dxfId="5904" priority="25204">
      <formula>MOD(ROW(),2)=0</formula>
    </cfRule>
  </conditionalFormatting>
  <conditionalFormatting sqref="AB10">
    <cfRule type="expression" dxfId="5903" priority="25203">
      <formula>MOD(ROW(),2)=0</formula>
    </cfRule>
  </conditionalFormatting>
  <conditionalFormatting sqref="AB9">
    <cfRule type="expression" dxfId="5902" priority="25202">
      <formula>MOD(ROW(),2)=0</formula>
    </cfRule>
  </conditionalFormatting>
  <conditionalFormatting sqref="AB8">
    <cfRule type="expression" dxfId="5901" priority="25201">
      <formula>MOD(ROW(),2)=0</formula>
    </cfRule>
  </conditionalFormatting>
  <conditionalFormatting sqref="AB12:AB13 AB15:AB17">
    <cfRule type="expression" dxfId="5900" priority="25200">
      <formula>MOD(ROW(),2)=0</formula>
    </cfRule>
  </conditionalFormatting>
  <conditionalFormatting sqref="AB15 AB17:AB22">
    <cfRule type="expression" dxfId="5899" priority="25199">
      <formula>MOD(ROW(),2)=0</formula>
    </cfRule>
  </conditionalFormatting>
  <conditionalFormatting sqref="AB11">
    <cfRule type="expression" dxfId="5898" priority="25198">
      <formula>MOD(ROW(),2)=0</formula>
    </cfRule>
  </conditionalFormatting>
  <conditionalFormatting sqref="AB22">
    <cfRule type="expression" dxfId="5897" priority="25197">
      <formula>MOD(ROW(),2)=0</formula>
    </cfRule>
  </conditionalFormatting>
  <conditionalFormatting sqref="AB10">
    <cfRule type="expression" dxfId="5896" priority="25196">
      <formula>MOD(ROW(),2)=0</formula>
    </cfRule>
  </conditionalFormatting>
  <conditionalFormatting sqref="AB9">
    <cfRule type="expression" dxfId="5895" priority="25195">
      <formula>MOD(ROW(),2)=0</formula>
    </cfRule>
  </conditionalFormatting>
  <conditionalFormatting sqref="AB8">
    <cfRule type="expression" dxfId="5894" priority="25194">
      <formula>MOD(ROW(),2)=0</formula>
    </cfRule>
  </conditionalFormatting>
  <conditionalFormatting sqref="AB12:AB13 AB15:AB17">
    <cfRule type="expression" dxfId="5893" priority="25193">
      <formula>MOD(ROW(),2)=0</formula>
    </cfRule>
  </conditionalFormatting>
  <conditionalFormatting sqref="AB15 AB17:AB22">
    <cfRule type="expression" dxfId="5892" priority="25192">
      <formula>MOD(ROW(),2)=0</formula>
    </cfRule>
  </conditionalFormatting>
  <conditionalFormatting sqref="AB11">
    <cfRule type="expression" dxfId="5891" priority="25191">
      <formula>MOD(ROW(),2)=0</formula>
    </cfRule>
  </conditionalFormatting>
  <conditionalFormatting sqref="AB22">
    <cfRule type="expression" dxfId="5890" priority="25190">
      <formula>MOD(ROW(),2)=0</formula>
    </cfRule>
  </conditionalFormatting>
  <conditionalFormatting sqref="AB10">
    <cfRule type="expression" dxfId="5889" priority="25189">
      <formula>MOD(ROW(),2)=0</formula>
    </cfRule>
  </conditionalFormatting>
  <conditionalFormatting sqref="AB9">
    <cfRule type="expression" dxfId="5888" priority="25188">
      <formula>MOD(ROW(),2)=0</formula>
    </cfRule>
  </conditionalFormatting>
  <conditionalFormatting sqref="AB8">
    <cfRule type="expression" dxfId="5887" priority="25187">
      <formula>MOD(ROW(),2)=0</formula>
    </cfRule>
  </conditionalFormatting>
  <conditionalFormatting sqref="AB12:AB13 AB15:AB17">
    <cfRule type="expression" dxfId="5886" priority="25186">
      <formula>MOD(ROW(),2)=0</formula>
    </cfRule>
  </conditionalFormatting>
  <conditionalFormatting sqref="AB15 AB17:AB22">
    <cfRule type="expression" dxfId="5885" priority="25185">
      <formula>MOD(ROW(),2)=0</formula>
    </cfRule>
  </conditionalFormatting>
  <conditionalFormatting sqref="AB11">
    <cfRule type="expression" dxfId="5884" priority="25184">
      <formula>MOD(ROW(),2)=0</formula>
    </cfRule>
  </conditionalFormatting>
  <conditionalFormatting sqref="AB22">
    <cfRule type="expression" dxfId="5883" priority="25183">
      <formula>MOD(ROW(),2)=0</formula>
    </cfRule>
  </conditionalFormatting>
  <conditionalFormatting sqref="AB10">
    <cfRule type="expression" dxfId="5882" priority="25182">
      <formula>MOD(ROW(),2)=0</formula>
    </cfRule>
  </conditionalFormatting>
  <conditionalFormatting sqref="AB9">
    <cfRule type="expression" dxfId="5881" priority="25181">
      <formula>MOD(ROW(),2)=0</formula>
    </cfRule>
  </conditionalFormatting>
  <conditionalFormatting sqref="AB8">
    <cfRule type="expression" dxfId="5880" priority="25180">
      <formula>MOD(ROW(),2)=0</formula>
    </cfRule>
  </conditionalFormatting>
  <conditionalFormatting sqref="AB12:AB13 AB15:AB17">
    <cfRule type="expression" dxfId="5879" priority="25179">
      <formula>MOD(ROW(),2)=0</formula>
    </cfRule>
  </conditionalFormatting>
  <conditionalFormatting sqref="AB15 AB17:AB22">
    <cfRule type="expression" dxfId="5878" priority="25178">
      <formula>MOD(ROW(),2)=0</formula>
    </cfRule>
  </conditionalFormatting>
  <conditionalFormatting sqref="AB11">
    <cfRule type="expression" dxfId="5877" priority="25177">
      <formula>MOD(ROW(),2)=0</formula>
    </cfRule>
  </conditionalFormatting>
  <conditionalFormatting sqref="AB10">
    <cfRule type="expression" dxfId="5876" priority="25176">
      <formula>MOD(ROW(),2)=0</formula>
    </cfRule>
  </conditionalFormatting>
  <conditionalFormatting sqref="AB22">
    <cfRule type="expression" dxfId="5875" priority="25175">
      <formula>MOD(ROW(),2)=0</formula>
    </cfRule>
  </conditionalFormatting>
  <conditionalFormatting sqref="AB9">
    <cfRule type="expression" dxfId="5874" priority="25174">
      <formula>MOD(ROW(),2)=0</formula>
    </cfRule>
  </conditionalFormatting>
  <conditionalFormatting sqref="AB8">
    <cfRule type="expression" dxfId="5873" priority="25173">
      <formula>MOD(ROW(),2)=0</formula>
    </cfRule>
  </conditionalFormatting>
  <conditionalFormatting sqref="AB12:AB13 AB15:AB17">
    <cfRule type="expression" dxfId="5872" priority="25172">
      <formula>MOD(ROW(),2)=0</formula>
    </cfRule>
  </conditionalFormatting>
  <conditionalFormatting sqref="AB15 AB17:AB22">
    <cfRule type="expression" dxfId="5871" priority="25171">
      <formula>MOD(ROW(),2)=0</formula>
    </cfRule>
  </conditionalFormatting>
  <conditionalFormatting sqref="AB11">
    <cfRule type="expression" dxfId="5870" priority="25170">
      <formula>MOD(ROW(),2)=0</formula>
    </cfRule>
  </conditionalFormatting>
  <conditionalFormatting sqref="AB22">
    <cfRule type="expression" dxfId="5869" priority="25169">
      <formula>MOD(ROW(),2)=0</formula>
    </cfRule>
  </conditionalFormatting>
  <conditionalFormatting sqref="AB10">
    <cfRule type="expression" dxfId="5868" priority="25168">
      <formula>MOD(ROW(),2)=0</formula>
    </cfRule>
  </conditionalFormatting>
  <conditionalFormatting sqref="AB9">
    <cfRule type="expression" dxfId="5867" priority="25167">
      <formula>MOD(ROW(),2)=0</formula>
    </cfRule>
  </conditionalFormatting>
  <conditionalFormatting sqref="AB8">
    <cfRule type="expression" dxfId="5866" priority="25166">
      <formula>MOD(ROW(),2)=0</formula>
    </cfRule>
  </conditionalFormatting>
  <conditionalFormatting sqref="AB12:AB13 AB15:AB17">
    <cfRule type="expression" dxfId="5865" priority="25165">
      <formula>MOD(ROW(),2)=0</formula>
    </cfRule>
  </conditionalFormatting>
  <conditionalFormatting sqref="AB15 AB17:AB22">
    <cfRule type="expression" dxfId="5864" priority="25164">
      <formula>MOD(ROW(),2)=0</formula>
    </cfRule>
  </conditionalFormatting>
  <conditionalFormatting sqref="AB11">
    <cfRule type="expression" dxfId="5863" priority="25163">
      <formula>MOD(ROW(),2)=0</formula>
    </cfRule>
  </conditionalFormatting>
  <conditionalFormatting sqref="AB22">
    <cfRule type="expression" dxfId="5862" priority="25162">
      <formula>MOD(ROW(),2)=0</formula>
    </cfRule>
  </conditionalFormatting>
  <conditionalFormatting sqref="AB10">
    <cfRule type="expression" dxfId="5861" priority="25161">
      <formula>MOD(ROW(),2)=0</formula>
    </cfRule>
  </conditionalFormatting>
  <conditionalFormatting sqref="AB9">
    <cfRule type="expression" dxfId="5860" priority="25160">
      <formula>MOD(ROW(),2)=0</formula>
    </cfRule>
  </conditionalFormatting>
  <conditionalFormatting sqref="AB8">
    <cfRule type="expression" dxfId="5859" priority="25159">
      <formula>MOD(ROW(),2)=0</formula>
    </cfRule>
  </conditionalFormatting>
  <conditionalFormatting sqref="AB12:AB13 AB15:AB17">
    <cfRule type="expression" dxfId="5858" priority="25158">
      <formula>MOD(ROW(),2)=0</formula>
    </cfRule>
  </conditionalFormatting>
  <conditionalFormatting sqref="AB15 AB17:AB22">
    <cfRule type="expression" dxfId="5857" priority="25157">
      <formula>MOD(ROW(),2)=0</formula>
    </cfRule>
  </conditionalFormatting>
  <conditionalFormatting sqref="AB11">
    <cfRule type="expression" dxfId="5856" priority="25156">
      <formula>MOD(ROW(),2)=0</formula>
    </cfRule>
  </conditionalFormatting>
  <conditionalFormatting sqref="AB22">
    <cfRule type="expression" dxfId="5855" priority="25155">
      <formula>MOD(ROW(),2)=0</formula>
    </cfRule>
  </conditionalFormatting>
  <conditionalFormatting sqref="AB10">
    <cfRule type="expression" dxfId="5854" priority="25154">
      <formula>MOD(ROW(),2)=0</formula>
    </cfRule>
  </conditionalFormatting>
  <conditionalFormatting sqref="AB9">
    <cfRule type="expression" dxfId="5853" priority="25153">
      <formula>MOD(ROW(),2)=0</formula>
    </cfRule>
  </conditionalFormatting>
  <conditionalFormatting sqref="AB8">
    <cfRule type="expression" dxfId="5852" priority="25152">
      <formula>MOD(ROW(),2)=0</formula>
    </cfRule>
  </conditionalFormatting>
  <conditionalFormatting sqref="AB12:AB13 AB15:AB17">
    <cfRule type="expression" dxfId="5851" priority="25151">
      <formula>MOD(ROW(),2)=0</formula>
    </cfRule>
  </conditionalFormatting>
  <conditionalFormatting sqref="AB15 AB17:AB22">
    <cfRule type="expression" dxfId="5850" priority="25150">
      <formula>MOD(ROW(),2)=0</formula>
    </cfRule>
  </conditionalFormatting>
  <conditionalFormatting sqref="AB11">
    <cfRule type="expression" dxfId="5849" priority="25149">
      <formula>MOD(ROW(),2)=0</formula>
    </cfRule>
  </conditionalFormatting>
  <conditionalFormatting sqref="AB22">
    <cfRule type="expression" dxfId="5848" priority="25148">
      <formula>MOD(ROW(),2)=0</formula>
    </cfRule>
  </conditionalFormatting>
  <conditionalFormatting sqref="AB10">
    <cfRule type="expression" dxfId="5847" priority="25147">
      <formula>MOD(ROW(),2)=0</formula>
    </cfRule>
  </conditionalFormatting>
  <conditionalFormatting sqref="AB9">
    <cfRule type="expression" dxfId="5846" priority="25146">
      <formula>MOD(ROW(),2)=0</formula>
    </cfRule>
  </conditionalFormatting>
  <conditionalFormatting sqref="AB8">
    <cfRule type="expression" dxfId="5845" priority="25145">
      <formula>MOD(ROW(),2)=0</formula>
    </cfRule>
  </conditionalFormatting>
  <conditionalFormatting sqref="AB12:AB13 AB15:AB17">
    <cfRule type="expression" dxfId="5844" priority="25144">
      <formula>MOD(ROW(),2)=0</formula>
    </cfRule>
  </conditionalFormatting>
  <conditionalFormatting sqref="AB15 AB17:AB22">
    <cfRule type="expression" dxfId="5843" priority="25143">
      <formula>MOD(ROW(),2)=0</formula>
    </cfRule>
  </conditionalFormatting>
  <conditionalFormatting sqref="AB11">
    <cfRule type="expression" dxfId="5842" priority="25142">
      <formula>MOD(ROW(),2)=0</formula>
    </cfRule>
  </conditionalFormatting>
  <conditionalFormatting sqref="AB22">
    <cfRule type="expression" dxfId="5841" priority="25141">
      <formula>MOD(ROW(),2)=0</formula>
    </cfRule>
  </conditionalFormatting>
  <conditionalFormatting sqref="AB10">
    <cfRule type="expression" dxfId="5840" priority="25140">
      <formula>MOD(ROW(),2)=0</formula>
    </cfRule>
  </conditionalFormatting>
  <conditionalFormatting sqref="AB9">
    <cfRule type="expression" dxfId="5839" priority="25139">
      <formula>MOD(ROW(),2)=0</formula>
    </cfRule>
  </conditionalFormatting>
  <conditionalFormatting sqref="AB8">
    <cfRule type="expression" dxfId="5838" priority="25138">
      <formula>MOD(ROW(),2)=0</formula>
    </cfRule>
  </conditionalFormatting>
  <conditionalFormatting sqref="AB12:AB13 AB15:AB17">
    <cfRule type="expression" dxfId="5837" priority="25137">
      <formula>MOD(ROW(),2)=0</formula>
    </cfRule>
  </conditionalFormatting>
  <conditionalFormatting sqref="AB15 AB17:AB22">
    <cfRule type="expression" dxfId="5836" priority="25136">
      <formula>MOD(ROW(),2)=0</formula>
    </cfRule>
  </conditionalFormatting>
  <conditionalFormatting sqref="AB11">
    <cfRule type="expression" dxfId="5835" priority="25135">
      <formula>MOD(ROW(),2)=0</formula>
    </cfRule>
  </conditionalFormatting>
  <conditionalFormatting sqref="AB22">
    <cfRule type="expression" dxfId="5834" priority="25134">
      <formula>MOD(ROW(),2)=0</formula>
    </cfRule>
  </conditionalFormatting>
  <conditionalFormatting sqref="AB10">
    <cfRule type="expression" dxfId="5833" priority="25133">
      <formula>MOD(ROW(),2)=0</formula>
    </cfRule>
  </conditionalFormatting>
  <conditionalFormatting sqref="AB9">
    <cfRule type="expression" dxfId="5832" priority="25132">
      <formula>MOD(ROW(),2)=0</formula>
    </cfRule>
  </conditionalFormatting>
  <conditionalFormatting sqref="AB8">
    <cfRule type="expression" dxfId="5831" priority="25131">
      <formula>MOD(ROW(),2)=0</formula>
    </cfRule>
  </conditionalFormatting>
  <conditionalFormatting sqref="AB12:AB13 AB15:AB17">
    <cfRule type="expression" dxfId="5830" priority="25130">
      <formula>MOD(ROW(),2)=0</formula>
    </cfRule>
  </conditionalFormatting>
  <conditionalFormatting sqref="AB15 AB17:AB22">
    <cfRule type="expression" dxfId="5829" priority="25129">
      <formula>MOD(ROW(),2)=0</formula>
    </cfRule>
  </conditionalFormatting>
  <conditionalFormatting sqref="AB11">
    <cfRule type="expression" dxfId="5828" priority="25128">
      <formula>MOD(ROW(),2)=0</formula>
    </cfRule>
  </conditionalFormatting>
  <conditionalFormatting sqref="AB22">
    <cfRule type="expression" dxfId="5827" priority="25127">
      <formula>MOD(ROW(),2)=0</formula>
    </cfRule>
  </conditionalFormatting>
  <conditionalFormatting sqref="AB10">
    <cfRule type="expression" dxfId="5826" priority="25126">
      <formula>MOD(ROW(),2)=0</formula>
    </cfRule>
  </conditionalFormatting>
  <conditionalFormatting sqref="AB9">
    <cfRule type="expression" dxfId="5825" priority="25125">
      <formula>MOD(ROW(),2)=0</formula>
    </cfRule>
  </conditionalFormatting>
  <conditionalFormatting sqref="AB8">
    <cfRule type="expression" dxfId="5824" priority="25124">
      <formula>MOD(ROW(),2)=0</formula>
    </cfRule>
  </conditionalFormatting>
  <conditionalFormatting sqref="AB12:AB13 AB15:AB17">
    <cfRule type="expression" dxfId="5823" priority="25123">
      <formula>MOD(ROW(),2)=0</formula>
    </cfRule>
  </conditionalFormatting>
  <conditionalFormatting sqref="AB15 AB17:AB22">
    <cfRule type="expression" dxfId="5822" priority="25122">
      <formula>MOD(ROW(),2)=0</formula>
    </cfRule>
  </conditionalFormatting>
  <conditionalFormatting sqref="AB11">
    <cfRule type="expression" dxfId="5821" priority="25121">
      <formula>MOD(ROW(),2)=0</formula>
    </cfRule>
  </conditionalFormatting>
  <conditionalFormatting sqref="AB10">
    <cfRule type="expression" dxfId="5820" priority="25120">
      <formula>MOD(ROW(),2)=0</formula>
    </cfRule>
  </conditionalFormatting>
  <conditionalFormatting sqref="AB22">
    <cfRule type="expression" dxfId="5819" priority="25119">
      <formula>MOD(ROW(),2)=0</formula>
    </cfRule>
  </conditionalFormatting>
  <conditionalFormatting sqref="AB9">
    <cfRule type="expression" dxfId="5818" priority="25118">
      <formula>MOD(ROW(),2)=0</formula>
    </cfRule>
  </conditionalFormatting>
  <conditionalFormatting sqref="AB8">
    <cfRule type="expression" dxfId="5817" priority="25117">
      <formula>MOD(ROW(),2)=0</formula>
    </cfRule>
  </conditionalFormatting>
  <conditionalFormatting sqref="AB12:AB13 AB15:AB17">
    <cfRule type="expression" dxfId="5816" priority="25116">
      <formula>MOD(ROW(),2)=0</formula>
    </cfRule>
  </conditionalFormatting>
  <conditionalFormatting sqref="AB15 AB17:AB22">
    <cfRule type="expression" dxfId="5815" priority="25115">
      <formula>MOD(ROW(),2)=0</formula>
    </cfRule>
  </conditionalFormatting>
  <conditionalFormatting sqref="AB11">
    <cfRule type="expression" dxfId="5814" priority="25114">
      <formula>MOD(ROW(),2)=0</formula>
    </cfRule>
  </conditionalFormatting>
  <conditionalFormatting sqref="AB22">
    <cfRule type="expression" dxfId="5813" priority="25113">
      <formula>MOD(ROW(),2)=0</formula>
    </cfRule>
  </conditionalFormatting>
  <conditionalFormatting sqref="AB10">
    <cfRule type="expression" dxfId="5812" priority="25112">
      <formula>MOD(ROW(),2)=0</formula>
    </cfRule>
  </conditionalFormatting>
  <conditionalFormatting sqref="G5">
    <cfRule type="expression" dxfId="5811" priority="25111">
      <formula>MOD(ROW(),2)=0</formula>
    </cfRule>
  </conditionalFormatting>
  <conditionalFormatting sqref="Q3:Q4">
    <cfRule type="expression" dxfId="5810" priority="23654">
      <formula>MOD(ROW(),2)=0</formula>
    </cfRule>
  </conditionalFormatting>
  <conditionalFormatting sqref="Q3:Q4">
    <cfRule type="expression" dxfId="5809" priority="23653">
      <formula>MOD(ROW(),2)=0</formula>
    </cfRule>
  </conditionalFormatting>
  <conditionalFormatting sqref="Q3:Q4">
    <cfRule type="expression" dxfId="5808" priority="23652">
      <formula>MOD(ROW(),2)=0</formula>
    </cfRule>
  </conditionalFormatting>
  <conditionalFormatting sqref="Q3:Q4">
    <cfRule type="expression" dxfId="5807" priority="23651">
      <formula>MOD(ROW(),2)=0</formula>
    </cfRule>
  </conditionalFormatting>
  <conditionalFormatting sqref="Q3:Q4">
    <cfRule type="expression" dxfId="5806" priority="23650">
      <formula>MOD(ROW(),2)=0</formula>
    </cfRule>
  </conditionalFormatting>
  <conditionalFormatting sqref="Q3:Q4">
    <cfRule type="expression" dxfId="5805" priority="23649">
      <formula>MOD(ROW(),2)=0</formula>
    </cfRule>
  </conditionalFormatting>
  <conditionalFormatting sqref="Q3:Q4">
    <cfRule type="expression" dxfId="5804" priority="23648">
      <formula>MOD(ROW(),2)=0</formula>
    </cfRule>
  </conditionalFormatting>
  <conditionalFormatting sqref="Q3:Q4">
    <cfRule type="expression" dxfId="5803" priority="23647">
      <formula>MOD(ROW(),2)=0</formula>
    </cfRule>
  </conditionalFormatting>
  <conditionalFormatting sqref="Q3:Q4">
    <cfRule type="expression" dxfId="5802" priority="23646">
      <formula>MOD(ROW(),2)=0</formula>
    </cfRule>
  </conditionalFormatting>
  <conditionalFormatting sqref="Q3:Q4">
    <cfRule type="expression" dxfId="5801" priority="23645">
      <formula>MOD(ROW(),2)=0</formula>
    </cfRule>
  </conditionalFormatting>
  <conditionalFormatting sqref="Q3:Q4">
    <cfRule type="expression" dxfId="5800" priority="23644">
      <formula>MOD(ROW(),2)=0</formula>
    </cfRule>
  </conditionalFormatting>
  <conditionalFormatting sqref="Q3:Q4">
    <cfRule type="expression" dxfId="5799" priority="23643">
      <formula>MOD(ROW(),2)=0</formula>
    </cfRule>
  </conditionalFormatting>
  <conditionalFormatting sqref="Q3:Q4">
    <cfRule type="expression" dxfId="5798" priority="23642">
      <formula>MOD(ROW(),2)=0</formula>
    </cfRule>
  </conditionalFormatting>
  <conditionalFormatting sqref="Q3:Q4">
    <cfRule type="expression" dxfId="5797" priority="23641">
      <formula>MOD(ROW(),2)=0</formula>
    </cfRule>
  </conditionalFormatting>
  <conditionalFormatting sqref="Q3:Q4">
    <cfRule type="expression" dxfId="5796" priority="23640">
      <formula>MOD(ROW(),2)=0</formula>
    </cfRule>
  </conditionalFormatting>
  <conditionalFormatting sqref="Q3:Q4">
    <cfRule type="expression" dxfId="5795" priority="23639">
      <formula>MOD(ROW(),2)=0</formula>
    </cfRule>
  </conditionalFormatting>
  <conditionalFormatting sqref="Q3:Q4">
    <cfRule type="expression" dxfId="5794" priority="23638">
      <formula>MOD(ROW(),2)=0</formula>
    </cfRule>
  </conditionalFormatting>
  <conditionalFormatting sqref="Q3:Q4">
    <cfRule type="expression" dxfId="5793" priority="23637">
      <formula>MOD(ROW(),2)=0</formula>
    </cfRule>
  </conditionalFormatting>
  <conditionalFormatting sqref="Q3:Q4">
    <cfRule type="expression" dxfId="5792" priority="23636">
      <formula>MOD(ROW(),2)=0</formula>
    </cfRule>
  </conditionalFormatting>
  <conditionalFormatting sqref="Q3:Q4">
    <cfRule type="expression" dxfId="5791" priority="23635">
      <formula>MOD(ROW(),2)=0</formula>
    </cfRule>
  </conditionalFormatting>
  <conditionalFormatting sqref="Z8">
    <cfRule type="expression" dxfId="5790" priority="15010">
      <formula>MOD(ROW(),2)=0</formula>
    </cfRule>
  </conditionalFormatting>
  <conditionalFormatting sqref="Z15:Z16 Z12:Z13">
    <cfRule type="expression" dxfId="5789" priority="15009">
      <formula>MOD(ROW(),2)=0</formula>
    </cfRule>
  </conditionalFormatting>
  <conditionalFormatting sqref="Z14 Z17 Z19:Z21">
    <cfRule type="expression" dxfId="5788" priority="15008">
      <formula>MOD(ROW(),2)=0</formula>
    </cfRule>
  </conditionalFormatting>
  <conditionalFormatting sqref="Z11">
    <cfRule type="expression" dxfId="5787" priority="15007">
      <formula>MOD(ROW(),2)=0</formula>
    </cfRule>
  </conditionalFormatting>
  <conditionalFormatting sqref="Z22">
    <cfRule type="expression" dxfId="5786" priority="15006">
      <formula>MOD(ROW(),2)=0</formula>
    </cfRule>
  </conditionalFormatting>
  <conditionalFormatting sqref="Z8">
    <cfRule type="expression" dxfId="5785" priority="15005">
      <formula>MOD(ROW(),2)=0</formula>
    </cfRule>
  </conditionalFormatting>
  <conditionalFormatting sqref="Z15:Z16 Z12:Z13">
    <cfRule type="expression" dxfId="5784" priority="15004">
      <formula>MOD(ROW(),2)=0</formula>
    </cfRule>
  </conditionalFormatting>
  <conditionalFormatting sqref="Z14 Z17 Z19:Z21">
    <cfRule type="expression" dxfId="5783" priority="15003">
      <formula>MOD(ROW(),2)=0</formula>
    </cfRule>
  </conditionalFormatting>
  <conditionalFormatting sqref="Z11">
    <cfRule type="expression" dxfId="5782" priority="15002">
      <formula>MOD(ROW(),2)=0</formula>
    </cfRule>
  </conditionalFormatting>
  <conditionalFormatting sqref="Z22">
    <cfRule type="expression" dxfId="5781" priority="15001">
      <formula>MOD(ROW(),2)=0</formula>
    </cfRule>
  </conditionalFormatting>
  <conditionalFormatting sqref="Z8">
    <cfRule type="expression" dxfId="5780" priority="15000">
      <formula>MOD(ROW(),2)=0</formula>
    </cfRule>
  </conditionalFormatting>
  <conditionalFormatting sqref="Z15:Z16 Z12:Z13">
    <cfRule type="expression" dxfId="5779" priority="14999">
      <formula>MOD(ROW(),2)=0</formula>
    </cfRule>
  </conditionalFormatting>
  <conditionalFormatting sqref="Z14 Z17 Z19:Z21">
    <cfRule type="expression" dxfId="5778" priority="14998">
      <formula>MOD(ROW(),2)=0</formula>
    </cfRule>
  </conditionalFormatting>
  <conditionalFormatting sqref="Z11">
    <cfRule type="expression" dxfId="5777" priority="14997">
      <formula>MOD(ROW(),2)=0</formula>
    </cfRule>
  </conditionalFormatting>
  <conditionalFormatting sqref="Z22">
    <cfRule type="expression" dxfId="5776" priority="14996">
      <formula>MOD(ROW(),2)=0</formula>
    </cfRule>
  </conditionalFormatting>
  <conditionalFormatting sqref="Z8">
    <cfRule type="expression" dxfId="5775" priority="14995">
      <formula>MOD(ROW(),2)=0</formula>
    </cfRule>
  </conditionalFormatting>
  <conditionalFormatting sqref="Z15:Z16 Z12:Z13">
    <cfRule type="expression" dxfId="5774" priority="14994">
      <formula>MOD(ROW(),2)=0</formula>
    </cfRule>
  </conditionalFormatting>
  <conditionalFormatting sqref="Z14 Z17 Z19:Z21">
    <cfRule type="expression" dxfId="5773" priority="14993">
      <formula>MOD(ROW(),2)=0</formula>
    </cfRule>
  </conditionalFormatting>
  <conditionalFormatting sqref="Z11">
    <cfRule type="expression" dxfId="5772" priority="14992">
      <formula>MOD(ROW(),2)=0</formula>
    </cfRule>
  </conditionalFormatting>
  <conditionalFormatting sqref="Z22">
    <cfRule type="expression" dxfId="5771" priority="14991">
      <formula>MOD(ROW(),2)=0</formula>
    </cfRule>
  </conditionalFormatting>
  <conditionalFormatting sqref="Z8">
    <cfRule type="expression" dxfId="5770" priority="14990">
      <formula>MOD(ROW(),2)=0</formula>
    </cfRule>
  </conditionalFormatting>
  <conditionalFormatting sqref="Z15:Z16 Z12:Z13">
    <cfRule type="expression" dxfId="5769" priority="14989">
      <formula>MOD(ROW(),2)=0</formula>
    </cfRule>
  </conditionalFormatting>
  <conditionalFormatting sqref="Z14 Z17 Z19:Z21">
    <cfRule type="expression" dxfId="5768" priority="14988">
      <formula>MOD(ROW(),2)=0</formula>
    </cfRule>
  </conditionalFormatting>
  <conditionalFormatting sqref="Z11">
    <cfRule type="expression" dxfId="5767" priority="14987">
      <formula>MOD(ROW(),2)=0</formula>
    </cfRule>
  </conditionalFormatting>
  <conditionalFormatting sqref="Z22">
    <cfRule type="expression" dxfId="5766" priority="14986">
      <formula>MOD(ROW(),2)=0</formula>
    </cfRule>
  </conditionalFormatting>
  <conditionalFormatting sqref="Z8">
    <cfRule type="expression" dxfId="5765" priority="14985">
      <formula>MOD(ROW(),2)=0</formula>
    </cfRule>
  </conditionalFormatting>
  <conditionalFormatting sqref="Z15:Z16 Z12:Z13">
    <cfRule type="expression" dxfId="5764" priority="14984">
      <formula>MOD(ROW(),2)=0</formula>
    </cfRule>
  </conditionalFormatting>
  <conditionalFormatting sqref="Z14 Z17 Z19:Z21">
    <cfRule type="expression" dxfId="5763" priority="14983">
      <formula>MOD(ROW(),2)=0</formula>
    </cfRule>
  </conditionalFormatting>
  <conditionalFormatting sqref="Z11">
    <cfRule type="expression" dxfId="5762" priority="14982">
      <formula>MOD(ROW(),2)=0</formula>
    </cfRule>
  </conditionalFormatting>
  <conditionalFormatting sqref="Z22">
    <cfRule type="expression" dxfId="5761" priority="14981">
      <formula>MOD(ROW(),2)=0</formula>
    </cfRule>
  </conditionalFormatting>
  <conditionalFormatting sqref="Z8">
    <cfRule type="expression" dxfId="5760" priority="14980">
      <formula>MOD(ROW(),2)=0</formula>
    </cfRule>
  </conditionalFormatting>
  <conditionalFormatting sqref="Z15:Z16 Z12:Z13">
    <cfRule type="expression" dxfId="5759" priority="14979">
      <formula>MOD(ROW(),2)=0</formula>
    </cfRule>
  </conditionalFormatting>
  <conditionalFormatting sqref="Z14 Z17 Z19:Z21">
    <cfRule type="expression" dxfId="5758" priority="14978">
      <formula>MOD(ROW(),2)=0</formula>
    </cfRule>
  </conditionalFormatting>
  <conditionalFormatting sqref="Z11">
    <cfRule type="expression" dxfId="5757" priority="14977">
      <formula>MOD(ROW(),2)=0</formula>
    </cfRule>
  </conditionalFormatting>
  <conditionalFormatting sqref="Z22">
    <cfRule type="expression" dxfId="5756" priority="14976">
      <formula>MOD(ROW(),2)=0</formula>
    </cfRule>
  </conditionalFormatting>
  <conditionalFormatting sqref="Z8">
    <cfRule type="expression" dxfId="5755" priority="14975">
      <formula>MOD(ROW(),2)=0</formula>
    </cfRule>
  </conditionalFormatting>
  <conditionalFormatting sqref="Z15:Z16 Z12:Z13">
    <cfRule type="expression" dxfId="5754" priority="14974">
      <formula>MOD(ROW(),2)=0</formula>
    </cfRule>
  </conditionalFormatting>
  <conditionalFormatting sqref="Z14 Z17 Z19:Z21">
    <cfRule type="expression" dxfId="5753" priority="14973">
      <formula>MOD(ROW(),2)=0</formula>
    </cfRule>
  </conditionalFormatting>
  <conditionalFormatting sqref="Z11">
    <cfRule type="expression" dxfId="5752" priority="14972">
      <formula>MOD(ROW(),2)=0</formula>
    </cfRule>
  </conditionalFormatting>
  <conditionalFormatting sqref="Z22">
    <cfRule type="expression" dxfId="5751" priority="14971">
      <formula>MOD(ROW(),2)=0</formula>
    </cfRule>
  </conditionalFormatting>
  <conditionalFormatting sqref="Z8">
    <cfRule type="expression" dxfId="5750" priority="14970">
      <formula>MOD(ROW(),2)=0</formula>
    </cfRule>
  </conditionalFormatting>
  <conditionalFormatting sqref="Z15:Z16 Z12:Z13">
    <cfRule type="expression" dxfId="5749" priority="14969">
      <formula>MOD(ROW(),2)=0</formula>
    </cfRule>
  </conditionalFormatting>
  <conditionalFormatting sqref="Z14 Z17 Z19:Z21">
    <cfRule type="expression" dxfId="5748" priority="14968">
      <formula>MOD(ROW(),2)=0</formula>
    </cfRule>
  </conditionalFormatting>
  <conditionalFormatting sqref="Z11">
    <cfRule type="expression" dxfId="5747" priority="14967">
      <formula>MOD(ROW(),2)=0</formula>
    </cfRule>
  </conditionalFormatting>
  <conditionalFormatting sqref="Z22">
    <cfRule type="expression" dxfId="5746" priority="14966">
      <formula>MOD(ROW(),2)=0</formula>
    </cfRule>
  </conditionalFormatting>
  <conditionalFormatting sqref="Z8">
    <cfRule type="expression" dxfId="5745" priority="14965">
      <formula>MOD(ROW(),2)=0</formula>
    </cfRule>
  </conditionalFormatting>
  <conditionalFormatting sqref="Z15:Z16 Z12:Z13">
    <cfRule type="expression" dxfId="5744" priority="14964">
      <formula>MOD(ROW(),2)=0</formula>
    </cfRule>
  </conditionalFormatting>
  <conditionalFormatting sqref="Z14 Z17 Z19:Z21">
    <cfRule type="expression" dxfId="5743" priority="14963">
      <formula>MOD(ROW(),2)=0</formula>
    </cfRule>
  </conditionalFormatting>
  <conditionalFormatting sqref="Z11">
    <cfRule type="expression" dxfId="5742" priority="14962">
      <formula>MOD(ROW(),2)=0</formula>
    </cfRule>
  </conditionalFormatting>
  <conditionalFormatting sqref="Z22">
    <cfRule type="expression" dxfId="5741" priority="14961">
      <formula>MOD(ROW(),2)=0</formula>
    </cfRule>
  </conditionalFormatting>
  <conditionalFormatting sqref="Z8">
    <cfRule type="expression" dxfId="5740" priority="14960">
      <formula>MOD(ROW(),2)=0</formula>
    </cfRule>
  </conditionalFormatting>
  <conditionalFormatting sqref="Z15:Z16 Z12:Z13">
    <cfRule type="expression" dxfId="5739" priority="14959">
      <formula>MOD(ROW(),2)=0</formula>
    </cfRule>
  </conditionalFormatting>
  <conditionalFormatting sqref="Z14 Z17 Z19:Z21">
    <cfRule type="expression" dxfId="5738" priority="14958">
      <formula>MOD(ROW(),2)=0</formula>
    </cfRule>
  </conditionalFormatting>
  <conditionalFormatting sqref="Z11">
    <cfRule type="expression" dxfId="5737" priority="14957">
      <formula>MOD(ROW(),2)=0</formula>
    </cfRule>
  </conditionalFormatting>
  <conditionalFormatting sqref="Z22">
    <cfRule type="expression" dxfId="5736" priority="14956">
      <formula>MOD(ROW(),2)=0</formula>
    </cfRule>
  </conditionalFormatting>
  <conditionalFormatting sqref="Z8">
    <cfRule type="expression" dxfId="5735" priority="14955">
      <formula>MOD(ROW(),2)=0</formula>
    </cfRule>
  </conditionalFormatting>
  <conditionalFormatting sqref="Z15:Z16 Z12:Z13">
    <cfRule type="expression" dxfId="5734" priority="14954">
      <formula>MOD(ROW(),2)=0</formula>
    </cfRule>
  </conditionalFormatting>
  <conditionalFormatting sqref="Z14 Z17 Z19:Z21">
    <cfRule type="expression" dxfId="5733" priority="14953">
      <formula>MOD(ROW(),2)=0</formula>
    </cfRule>
  </conditionalFormatting>
  <conditionalFormatting sqref="Z11">
    <cfRule type="expression" dxfId="5732" priority="14952">
      <formula>MOD(ROW(),2)=0</formula>
    </cfRule>
  </conditionalFormatting>
  <conditionalFormatting sqref="Z22">
    <cfRule type="expression" dxfId="5731" priority="14951">
      <formula>MOD(ROW(),2)=0</formula>
    </cfRule>
  </conditionalFormatting>
  <conditionalFormatting sqref="Z8">
    <cfRule type="expression" dxfId="5730" priority="14950">
      <formula>MOD(ROW(),2)=0</formula>
    </cfRule>
  </conditionalFormatting>
  <conditionalFormatting sqref="Z15:Z16 Z12:Z13">
    <cfRule type="expression" dxfId="5729" priority="14949">
      <formula>MOD(ROW(),2)=0</formula>
    </cfRule>
  </conditionalFormatting>
  <conditionalFormatting sqref="Z14 Z17 Z19:Z21">
    <cfRule type="expression" dxfId="5728" priority="14948">
      <formula>MOD(ROW(),2)=0</formula>
    </cfRule>
  </conditionalFormatting>
  <conditionalFormatting sqref="Z11">
    <cfRule type="expression" dxfId="5727" priority="14947">
      <formula>MOD(ROW(),2)=0</formula>
    </cfRule>
  </conditionalFormatting>
  <conditionalFormatting sqref="Z22">
    <cfRule type="expression" dxfId="5726" priority="14946">
      <formula>MOD(ROW(),2)=0</formula>
    </cfRule>
  </conditionalFormatting>
  <conditionalFormatting sqref="Z8">
    <cfRule type="expression" dxfId="5725" priority="14945">
      <formula>MOD(ROW(),2)=0</formula>
    </cfRule>
  </conditionalFormatting>
  <conditionalFormatting sqref="Z15:Z16 Z12:Z13">
    <cfRule type="expression" dxfId="5724" priority="14944">
      <formula>MOD(ROW(),2)=0</formula>
    </cfRule>
  </conditionalFormatting>
  <conditionalFormatting sqref="Z14 Z17 Z19:Z21">
    <cfRule type="expression" dxfId="5723" priority="14943">
      <formula>MOD(ROW(),2)=0</formula>
    </cfRule>
  </conditionalFormatting>
  <conditionalFormatting sqref="Z11">
    <cfRule type="expression" dxfId="5722" priority="14942">
      <formula>MOD(ROW(),2)=0</formula>
    </cfRule>
  </conditionalFormatting>
  <conditionalFormatting sqref="Z22">
    <cfRule type="expression" dxfId="5721" priority="14941">
      <formula>MOD(ROW(),2)=0</formula>
    </cfRule>
  </conditionalFormatting>
  <conditionalFormatting sqref="Z8">
    <cfRule type="expression" dxfId="5720" priority="14940">
      <formula>MOD(ROW(),2)=0</formula>
    </cfRule>
  </conditionalFormatting>
  <conditionalFormatting sqref="Z15:Z16 Z12:Z13">
    <cfRule type="expression" dxfId="5719" priority="14939">
      <formula>MOD(ROW(),2)=0</formula>
    </cfRule>
  </conditionalFormatting>
  <conditionalFormatting sqref="Z14 Z17 Z19:Z21">
    <cfRule type="expression" dxfId="5718" priority="14938">
      <formula>MOD(ROW(),2)=0</formula>
    </cfRule>
  </conditionalFormatting>
  <conditionalFormatting sqref="Z11">
    <cfRule type="expression" dxfId="5717" priority="14937">
      <formula>MOD(ROW(),2)=0</formula>
    </cfRule>
  </conditionalFormatting>
  <conditionalFormatting sqref="Z22">
    <cfRule type="expression" dxfId="5716" priority="14936">
      <formula>MOD(ROW(),2)=0</formula>
    </cfRule>
  </conditionalFormatting>
  <conditionalFormatting sqref="Z8">
    <cfRule type="expression" dxfId="5715" priority="14935">
      <formula>MOD(ROW(),2)=0</formula>
    </cfRule>
  </conditionalFormatting>
  <conditionalFormatting sqref="Z15:Z16 Z12:Z13">
    <cfRule type="expression" dxfId="5714" priority="14934">
      <formula>MOD(ROW(),2)=0</formula>
    </cfRule>
  </conditionalFormatting>
  <conditionalFormatting sqref="Z14 Z17 Z19:Z21">
    <cfRule type="expression" dxfId="5713" priority="14933">
      <formula>MOD(ROW(),2)=0</formula>
    </cfRule>
  </conditionalFormatting>
  <conditionalFormatting sqref="Z11">
    <cfRule type="expression" dxfId="5712" priority="14932">
      <formula>MOD(ROW(),2)=0</formula>
    </cfRule>
  </conditionalFormatting>
  <conditionalFormatting sqref="Z22">
    <cfRule type="expression" dxfId="5711" priority="14931">
      <formula>MOD(ROW(),2)=0</formula>
    </cfRule>
  </conditionalFormatting>
  <conditionalFormatting sqref="Z10">
    <cfRule type="expression" dxfId="5710" priority="14930">
      <formula>MOD(ROW(),2)=0</formula>
    </cfRule>
  </conditionalFormatting>
  <conditionalFormatting sqref="Z10">
    <cfRule type="expression" dxfId="5709" priority="14929">
      <formula>MOD(ROW(),2)=0</formula>
    </cfRule>
  </conditionalFormatting>
  <conditionalFormatting sqref="Z10">
    <cfRule type="expression" dxfId="5708" priority="14928">
      <formula>MOD(ROW(),2)=0</formula>
    </cfRule>
  </conditionalFormatting>
  <conditionalFormatting sqref="Z10">
    <cfRule type="expression" dxfId="5707" priority="14927">
      <formula>MOD(ROW(),2)=0</formula>
    </cfRule>
  </conditionalFormatting>
  <conditionalFormatting sqref="Z10">
    <cfRule type="expression" dxfId="5706" priority="14926">
      <formula>MOD(ROW(),2)=0</formula>
    </cfRule>
  </conditionalFormatting>
  <conditionalFormatting sqref="Z10">
    <cfRule type="expression" dxfId="5705" priority="14925">
      <formula>MOD(ROW(),2)=0</formula>
    </cfRule>
  </conditionalFormatting>
  <conditionalFormatting sqref="Z10">
    <cfRule type="expression" dxfId="5704" priority="14924">
      <formula>MOD(ROW(),2)=0</formula>
    </cfRule>
  </conditionalFormatting>
  <conditionalFormatting sqref="Z10">
    <cfRule type="expression" dxfId="5703" priority="14923">
      <formula>MOD(ROW(),2)=0</formula>
    </cfRule>
  </conditionalFormatting>
  <conditionalFormatting sqref="Z10">
    <cfRule type="expression" dxfId="5702" priority="14922">
      <formula>MOD(ROW(),2)=0</formula>
    </cfRule>
  </conditionalFormatting>
  <conditionalFormatting sqref="Z10">
    <cfRule type="expression" dxfId="5701" priority="14921">
      <formula>MOD(ROW(),2)=0</formula>
    </cfRule>
  </conditionalFormatting>
  <conditionalFormatting sqref="Z10">
    <cfRule type="expression" dxfId="5700" priority="14920">
      <formula>MOD(ROW(),2)=0</formula>
    </cfRule>
  </conditionalFormatting>
  <conditionalFormatting sqref="Z10">
    <cfRule type="expression" dxfId="5699" priority="14919">
      <formula>MOD(ROW(),2)=0</formula>
    </cfRule>
  </conditionalFormatting>
  <conditionalFormatting sqref="Z10">
    <cfRule type="expression" dxfId="5698" priority="14918">
      <formula>MOD(ROW(),2)=0</formula>
    </cfRule>
  </conditionalFormatting>
  <conditionalFormatting sqref="Z10">
    <cfRule type="expression" dxfId="5697" priority="14917">
      <formula>MOD(ROW(),2)=0</formula>
    </cfRule>
  </conditionalFormatting>
  <conditionalFormatting sqref="Z10">
    <cfRule type="expression" dxfId="5696" priority="14916">
      <formula>MOD(ROW(),2)=0</formula>
    </cfRule>
  </conditionalFormatting>
  <conditionalFormatting sqref="Z10">
    <cfRule type="expression" dxfId="5695" priority="14915">
      <formula>MOD(ROW(),2)=0</formula>
    </cfRule>
  </conditionalFormatting>
  <conditionalFormatting sqref="Z18">
    <cfRule type="expression" dxfId="5694" priority="14914">
      <formula>MOD(ROW(),2)=0</formula>
    </cfRule>
  </conditionalFormatting>
  <conditionalFormatting sqref="Z18">
    <cfRule type="expression" dxfId="5693" priority="14913">
      <formula>MOD(ROW(),2)=0</formula>
    </cfRule>
  </conditionalFormatting>
  <conditionalFormatting sqref="Z18">
    <cfRule type="expression" dxfId="5692" priority="14912">
      <formula>MOD(ROW(),2)=0</formula>
    </cfRule>
  </conditionalFormatting>
  <conditionalFormatting sqref="Z18">
    <cfRule type="expression" dxfId="5691" priority="14911">
      <formula>MOD(ROW(),2)=0</formula>
    </cfRule>
  </conditionalFormatting>
  <conditionalFormatting sqref="Z18">
    <cfRule type="expression" dxfId="5690" priority="14910">
      <formula>MOD(ROW(),2)=0</formula>
    </cfRule>
  </conditionalFormatting>
  <conditionalFormatting sqref="Z18">
    <cfRule type="expression" dxfId="5689" priority="14909">
      <formula>MOD(ROW(),2)=0</formula>
    </cfRule>
  </conditionalFormatting>
  <conditionalFormatting sqref="Z18">
    <cfRule type="expression" dxfId="5688" priority="14908">
      <formula>MOD(ROW(),2)=0</formula>
    </cfRule>
  </conditionalFormatting>
  <conditionalFormatting sqref="Z18">
    <cfRule type="expression" dxfId="5687" priority="14907">
      <formula>MOD(ROW(),2)=0</formula>
    </cfRule>
  </conditionalFormatting>
  <conditionalFormatting sqref="Z18">
    <cfRule type="expression" dxfId="5686" priority="14906">
      <formula>MOD(ROW(),2)=0</formula>
    </cfRule>
  </conditionalFormatting>
  <conditionalFormatting sqref="Z18">
    <cfRule type="expression" dxfId="5685" priority="14905">
      <formula>MOD(ROW(),2)=0</formula>
    </cfRule>
  </conditionalFormatting>
  <conditionalFormatting sqref="Z18">
    <cfRule type="expression" dxfId="5684" priority="14904">
      <formula>MOD(ROW(),2)=0</formula>
    </cfRule>
  </conditionalFormatting>
  <conditionalFormatting sqref="Z18">
    <cfRule type="expression" dxfId="5683" priority="14903">
      <formula>MOD(ROW(),2)=0</formula>
    </cfRule>
  </conditionalFormatting>
  <conditionalFormatting sqref="Z18">
    <cfRule type="expression" dxfId="5682" priority="14902">
      <formula>MOD(ROW(),2)=0</formula>
    </cfRule>
  </conditionalFormatting>
  <conditionalFormatting sqref="Z18">
    <cfRule type="expression" dxfId="5681" priority="14901">
      <formula>MOD(ROW(),2)=0</formula>
    </cfRule>
  </conditionalFormatting>
  <conditionalFormatting sqref="Z18">
    <cfRule type="expression" dxfId="5680" priority="14900">
      <formula>MOD(ROW(),2)=0</formula>
    </cfRule>
  </conditionalFormatting>
  <conditionalFormatting sqref="Z18">
    <cfRule type="expression" dxfId="5679" priority="14899">
      <formula>MOD(ROW(),2)=0</formula>
    </cfRule>
  </conditionalFormatting>
  <conditionalFormatting sqref="Z12">
    <cfRule type="expression" dxfId="5678" priority="14898">
      <formula>MOD(ROW(),2)=0</formula>
    </cfRule>
  </conditionalFormatting>
  <conditionalFormatting sqref="Z12">
    <cfRule type="expression" dxfId="5677" priority="14897">
      <formula>MOD(ROW(),2)=0</formula>
    </cfRule>
  </conditionalFormatting>
  <conditionalFormatting sqref="Z12">
    <cfRule type="expression" dxfId="5676" priority="14896">
      <formula>MOD(ROW(),2)=0</formula>
    </cfRule>
  </conditionalFormatting>
  <conditionalFormatting sqref="Z12">
    <cfRule type="expression" dxfId="5675" priority="14895">
      <formula>MOD(ROW(),2)=0</formula>
    </cfRule>
  </conditionalFormatting>
  <conditionalFormatting sqref="Z12">
    <cfRule type="expression" dxfId="5674" priority="14894">
      <formula>MOD(ROW(),2)=0</formula>
    </cfRule>
  </conditionalFormatting>
  <conditionalFormatting sqref="Z12">
    <cfRule type="expression" dxfId="5673" priority="14893">
      <formula>MOD(ROW(),2)=0</formula>
    </cfRule>
  </conditionalFormatting>
  <conditionalFormatting sqref="Z12">
    <cfRule type="expression" dxfId="5672" priority="14892">
      <formula>MOD(ROW(),2)=0</formula>
    </cfRule>
  </conditionalFormatting>
  <conditionalFormatting sqref="Z12">
    <cfRule type="expression" dxfId="5671" priority="14891">
      <formula>MOD(ROW(),2)=0</formula>
    </cfRule>
  </conditionalFormatting>
  <conditionalFormatting sqref="Z12">
    <cfRule type="expression" dxfId="5670" priority="14890">
      <formula>MOD(ROW(),2)=0</formula>
    </cfRule>
  </conditionalFormatting>
  <conditionalFormatting sqref="Z12">
    <cfRule type="expression" dxfId="5669" priority="14889">
      <formula>MOD(ROW(),2)=0</formula>
    </cfRule>
  </conditionalFormatting>
  <conditionalFormatting sqref="Z12">
    <cfRule type="expression" dxfId="5668" priority="14888">
      <formula>MOD(ROW(),2)=0</formula>
    </cfRule>
  </conditionalFormatting>
  <conditionalFormatting sqref="Z12">
    <cfRule type="expression" dxfId="5667" priority="14887">
      <formula>MOD(ROW(),2)=0</formula>
    </cfRule>
  </conditionalFormatting>
  <conditionalFormatting sqref="Z12">
    <cfRule type="expression" dxfId="5666" priority="14886">
      <formula>MOD(ROW(),2)=0</formula>
    </cfRule>
  </conditionalFormatting>
  <conditionalFormatting sqref="Z12">
    <cfRule type="expression" dxfId="5665" priority="14885">
      <formula>MOD(ROW(),2)=0</formula>
    </cfRule>
  </conditionalFormatting>
  <conditionalFormatting sqref="Z12">
    <cfRule type="expression" dxfId="5664" priority="14884">
      <formula>MOD(ROW(),2)=0</formula>
    </cfRule>
  </conditionalFormatting>
  <conditionalFormatting sqref="Z12">
    <cfRule type="expression" dxfId="5663" priority="14883">
      <formula>MOD(ROW(),2)=0</formula>
    </cfRule>
  </conditionalFormatting>
  <conditionalFormatting sqref="Z11">
    <cfRule type="expression" dxfId="5662" priority="14882">
      <formula>MOD(ROW(),2)=0</formula>
    </cfRule>
  </conditionalFormatting>
  <conditionalFormatting sqref="Z11">
    <cfRule type="expression" dxfId="5661" priority="14881">
      <formula>MOD(ROW(),2)=0</formula>
    </cfRule>
  </conditionalFormatting>
  <conditionalFormatting sqref="Z11">
    <cfRule type="expression" dxfId="5660" priority="14880">
      <formula>MOD(ROW(),2)=0</formula>
    </cfRule>
  </conditionalFormatting>
  <conditionalFormatting sqref="Z11">
    <cfRule type="expression" dxfId="5659" priority="14879">
      <formula>MOD(ROW(),2)=0</formula>
    </cfRule>
  </conditionalFormatting>
  <conditionalFormatting sqref="Z11">
    <cfRule type="expression" dxfId="5658" priority="14878">
      <formula>MOD(ROW(),2)=0</formula>
    </cfRule>
  </conditionalFormatting>
  <conditionalFormatting sqref="Z11">
    <cfRule type="expression" dxfId="5657" priority="14877">
      <formula>MOD(ROW(),2)=0</formula>
    </cfRule>
  </conditionalFormatting>
  <conditionalFormatting sqref="Z11">
    <cfRule type="expression" dxfId="5656" priority="14876">
      <formula>MOD(ROW(),2)=0</formula>
    </cfRule>
  </conditionalFormatting>
  <conditionalFormatting sqref="Z11">
    <cfRule type="expression" dxfId="5655" priority="14875">
      <formula>MOD(ROW(),2)=0</formula>
    </cfRule>
  </conditionalFormatting>
  <conditionalFormatting sqref="Z11">
    <cfRule type="expression" dxfId="5654" priority="14874">
      <formula>MOD(ROW(),2)=0</formula>
    </cfRule>
  </conditionalFormatting>
  <conditionalFormatting sqref="Z11">
    <cfRule type="expression" dxfId="5653" priority="14873">
      <formula>MOD(ROW(),2)=0</formula>
    </cfRule>
  </conditionalFormatting>
  <conditionalFormatting sqref="Z11">
    <cfRule type="expression" dxfId="5652" priority="14872">
      <formula>MOD(ROW(),2)=0</formula>
    </cfRule>
  </conditionalFormatting>
  <conditionalFormatting sqref="Z11">
    <cfRule type="expression" dxfId="5651" priority="14871">
      <formula>MOD(ROW(),2)=0</formula>
    </cfRule>
  </conditionalFormatting>
  <conditionalFormatting sqref="Z11">
    <cfRule type="expression" dxfId="5650" priority="14870">
      <formula>MOD(ROW(),2)=0</formula>
    </cfRule>
  </conditionalFormatting>
  <conditionalFormatting sqref="Z11">
    <cfRule type="expression" dxfId="5649" priority="14869">
      <formula>MOD(ROW(),2)=0</formula>
    </cfRule>
  </conditionalFormatting>
  <conditionalFormatting sqref="Z11">
    <cfRule type="expression" dxfId="5648" priority="14868">
      <formula>MOD(ROW(),2)=0</formula>
    </cfRule>
  </conditionalFormatting>
  <conditionalFormatting sqref="Z11">
    <cfRule type="expression" dxfId="5647" priority="14867">
      <formula>MOD(ROW(),2)=0</formula>
    </cfRule>
  </conditionalFormatting>
  <conditionalFormatting sqref="Z9">
    <cfRule type="expression" dxfId="5646" priority="14866">
      <formula>MOD(ROW(),2)=0</formula>
    </cfRule>
  </conditionalFormatting>
  <conditionalFormatting sqref="Z9">
    <cfRule type="expression" dxfId="5645" priority="14865">
      <formula>MOD(ROW(),2)=0</formula>
    </cfRule>
  </conditionalFormatting>
  <conditionalFormatting sqref="Z9">
    <cfRule type="expression" dxfId="5644" priority="14864">
      <formula>MOD(ROW(),2)=0</formula>
    </cfRule>
  </conditionalFormatting>
  <conditionalFormatting sqref="Z9">
    <cfRule type="expression" dxfId="5643" priority="14863">
      <formula>MOD(ROW(),2)=0</formula>
    </cfRule>
  </conditionalFormatting>
  <conditionalFormatting sqref="Z9">
    <cfRule type="expression" dxfId="5642" priority="14862">
      <formula>MOD(ROW(),2)=0</formula>
    </cfRule>
  </conditionalFormatting>
  <conditionalFormatting sqref="Z9">
    <cfRule type="expression" dxfId="5641" priority="14861">
      <formula>MOD(ROW(),2)=0</formula>
    </cfRule>
  </conditionalFormatting>
  <conditionalFormatting sqref="Z9">
    <cfRule type="expression" dxfId="5640" priority="14860">
      <formula>MOD(ROW(),2)=0</formula>
    </cfRule>
  </conditionalFormatting>
  <conditionalFormatting sqref="Z9">
    <cfRule type="expression" dxfId="5639" priority="14859">
      <formula>MOD(ROW(),2)=0</formula>
    </cfRule>
  </conditionalFormatting>
  <conditionalFormatting sqref="Z9">
    <cfRule type="expression" dxfId="5638" priority="14858">
      <formula>MOD(ROW(),2)=0</formula>
    </cfRule>
  </conditionalFormatting>
  <conditionalFormatting sqref="Z9">
    <cfRule type="expression" dxfId="5637" priority="14857">
      <formula>MOD(ROW(),2)=0</formula>
    </cfRule>
  </conditionalFormatting>
  <conditionalFormatting sqref="Z9">
    <cfRule type="expression" dxfId="5636" priority="14856">
      <formula>MOD(ROW(),2)=0</formula>
    </cfRule>
  </conditionalFormatting>
  <conditionalFormatting sqref="Z9">
    <cfRule type="expression" dxfId="5635" priority="14855">
      <formula>MOD(ROW(),2)=0</formula>
    </cfRule>
  </conditionalFormatting>
  <conditionalFormatting sqref="Z9">
    <cfRule type="expression" dxfId="5634" priority="14854">
      <formula>MOD(ROW(),2)=0</formula>
    </cfRule>
  </conditionalFormatting>
  <conditionalFormatting sqref="Z9">
    <cfRule type="expression" dxfId="5633" priority="14853">
      <formula>MOD(ROW(),2)=0</formula>
    </cfRule>
  </conditionalFormatting>
  <conditionalFormatting sqref="Z9">
    <cfRule type="expression" dxfId="5632" priority="14852">
      <formula>MOD(ROW(),2)=0</formula>
    </cfRule>
  </conditionalFormatting>
  <conditionalFormatting sqref="Z9">
    <cfRule type="expression" dxfId="5631" priority="14851">
      <formula>MOD(ROW(),2)=0</formula>
    </cfRule>
  </conditionalFormatting>
  <conditionalFormatting sqref="D5:F5">
    <cfRule type="expression" dxfId="5630" priority="12546">
      <formula>MOD(ROW(),2)=0</formula>
    </cfRule>
  </conditionalFormatting>
  <conditionalFormatting sqref="D3:E4">
    <cfRule type="expression" dxfId="5629" priority="12545">
      <formula>MOD(ROW(),2)=0</formula>
    </cfRule>
  </conditionalFormatting>
  <conditionalFormatting sqref="D3:E4">
    <cfRule type="expression" dxfId="5628" priority="12544">
      <formula>MOD(ROW(),2)=0</formula>
    </cfRule>
  </conditionalFormatting>
  <conditionalFormatting sqref="F3:F4">
    <cfRule type="expression" dxfId="5627" priority="12543">
      <formula>MOD(ROW(),2)=0</formula>
    </cfRule>
  </conditionalFormatting>
  <conditionalFormatting sqref="F3:F4">
    <cfRule type="expression" dxfId="5626" priority="12542">
      <formula>MOD(ROW(),2)=0</formula>
    </cfRule>
  </conditionalFormatting>
  <conditionalFormatting sqref="D3:E4">
    <cfRule type="expression" dxfId="5625" priority="12541">
      <formula>MOD(ROW(),2)=0</formula>
    </cfRule>
  </conditionalFormatting>
  <conditionalFormatting sqref="D3:E4">
    <cfRule type="expression" dxfId="5624" priority="12540">
      <formula>MOD(ROW(),2)=0</formula>
    </cfRule>
  </conditionalFormatting>
  <conditionalFormatting sqref="D3:E4">
    <cfRule type="expression" dxfId="5623" priority="12539">
      <formula>MOD(ROW(),2)=0</formula>
    </cfRule>
  </conditionalFormatting>
  <conditionalFormatting sqref="D3:E4">
    <cfRule type="expression" dxfId="5622" priority="12538">
      <formula>MOD(ROW(),2)=0</formula>
    </cfRule>
  </conditionalFormatting>
  <conditionalFormatting sqref="D3:E4">
    <cfRule type="expression" dxfId="5621" priority="12537">
      <formula>MOD(ROW(),2)=0</formula>
    </cfRule>
  </conditionalFormatting>
  <conditionalFormatting sqref="D3:E4">
    <cfRule type="expression" dxfId="5620" priority="12536">
      <formula>MOD(ROW(),2)=0</formula>
    </cfRule>
  </conditionalFormatting>
  <conditionalFormatting sqref="F3:F4">
    <cfRule type="expression" dxfId="5619" priority="12535">
      <formula>MOD(ROW(),2)=0</formula>
    </cfRule>
  </conditionalFormatting>
  <conditionalFormatting sqref="F3:F4">
    <cfRule type="expression" dxfId="5618" priority="12534">
      <formula>MOD(ROW(),2)=0</formula>
    </cfRule>
  </conditionalFormatting>
  <conditionalFormatting sqref="D3:E4">
    <cfRule type="expression" dxfId="5617" priority="12533">
      <formula>MOD(ROW(),2)=0</formula>
    </cfRule>
  </conditionalFormatting>
  <conditionalFormatting sqref="D3:E4">
    <cfRule type="expression" dxfId="5616" priority="12532">
      <formula>MOD(ROW(),2)=0</formula>
    </cfRule>
  </conditionalFormatting>
  <conditionalFormatting sqref="D3:E4">
    <cfRule type="expression" dxfId="5615" priority="12531">
      <formula>MOD(ROW(),2)=0</formula>
    </cfRule>
  </conditionalFormatting>
  <conditionalFormatting sqref="D3:E4">
    <cfRule type="expression" dxfId="5614" priority="12530">
      <formula>MOD(ROW(),2)=0</formula>
    </cfRule>
  </conditionalFormatting>
  <conditionalFormatting sqref="D3:E4">
    <cfRule type="expression" dxfId="5613" priority="12529">
      <formula>MOD(ROW(),2)=0</formula>
    </cfRule>
  </conditionalFormatting>
  <conditionalFormatting sqref="D3:E4">
    <cfRule type="expression" dxfId="5612" priority="12528">
      <formula>MOD(ROW(),2)=0</formula>
    </cfRule>
  </conditionalFormatting>
  <conditionalFormatting sqref="F3:F4">
    <cfRule type="expression" dxfId="5611" priority="12527">
      <formula>MOD(ROW(),2)=0</formula>
    </cfRule>
  </conditionalFormatting>
  <conditionalFormatting sqref="F3:F4">
    <cfRule type="expression" dxfId="5610" priority="12526">
      <formula>MOD(ROW(),2)=0</formula>
    </cfRule>
  </conditionalFormatting>
  <conditionalFormatting sqref="F3:F4">
    <cfRule type="expression" dxfId="5609" priority="12525">
      <formula>MOD(ROW(),2)=0</formula>
    </cfRule>
  </conditionalFormatting>
  <conditionalFormatting sqref="F3:F4">
    <cfRule type="expression" dxfId="5608" priority="12524">
      <formula>MOD(ROW(),2)=0</formula>
    </cfRule>
  </conditionalFormatting>
  <conditionalFormatting sqref="F3:F4">
    <cfRule type="expression" dxfId="5607" priority="12523">
      <formula>MOD(ROW(),2)=0</formula>
    </cfRule>
  </conditionalFormatting>
  <conditionalFormatting sqref="D3:E4">
    <cfRule type="expression" dxfId="5606" priority="12522">
      <formula>MOD(ROW(),2)=0</formula>
    </cfRule>
  </conditionalFormatting>
  <conditionalFormatting sqref="D3:E4">
    <cfRule type="expression" dxfId="5605" priority="12521">
      <formula>MOD(ROW(),2)=0</formula>
    </cfRule>
  </conditionalFormatting>
  <conditionalFormatting sqref="D3:E4">
    <cfRule type="expression" dxfId="5604" priority="12520">
      <formula>MOD(ROW(),2)=0</formula>
    </cfRule>
  </conditionalFormatting>
  <conditionalFormatting sqref="D3:E4">
    <cfRule type="expression" dxfId="5603" priority="12519">
      <formula>MOD(ROW(),2)=0</formula>
    </cfRule>
  </conditionalFormatting>
  <conditionalFormatting sqref="D3:E4">
    <cfRule type="expression" dxfId="5602" priority="12518">
      <formula>MOD(ROW(),2)=0</formula>
    </cfRule>
  </conditionalFormatting>
  <conditionalFormatting sqref="D3:E4">
    <cfRule type="expression" dxfId="5601" priority="12517">
      <formula>MOD(ROW(),2)=0</formula>
    </cfRule>
  </conditionalFormatting>
  <conditionalFormatting sqref="F3:F4">
    <cfRule type="expression" dxfId="5600" priority="12516">
      <formula>MOD(ROW(),2)=0</formula>
    </cfRule>
  </conditionalFormatting>
  <conditionalFormatting sqref="D3:D4 E4">
    <cfRule type="expression" dxfId="5599" priority="12513">
      <formula>MOD(ROW(),2)=0</formula>
    </cfRule>
  </conditionalFormatting>
  <conditionalFormatting sqref="D3:D4 E4">
    <cfRule type="expression" dxfId="5598" priority="12512">
      <formula>MOD(ROW(),2)=0</formula>
    </cfRule>
  </conditionalFormatting>
  <conditionalFormatting sqref="D3:D4 E4">
    <cfRule type="expression" dxfId="5597" priority="12511">
      <formula>MOD(ROW(),2)=0</formula>
    </cfRule>
  </conditionalFormatting>
  <conditionalFormatting sqref="D3:D4 E4">
    <cfRule type="expression" dxfId="5596" priority="12510">
      <formula>MOD(ROW(),2)=0</formula>
    </cfRule>
  </conditionalFormatting>
  <conditionalFormatting sqref="D3:D4 E4">
    <cfRule type="expression" dxfId="5595" priority="12509">
      <formula>MOD(ROW(),2)=0</formula>
    </cfRule>
  </conditionalFormatting>
  <conditionalFormatting sqref="D3:D4 E4">
    <cfRule type="expression" dxfId="5594" priority="12508">
      <formula>MOD(ROW(),2)=0</formula>
    </cfRule>
  </conditionalFormatting>
  <conditionalFormatting sqref="D3:D4 E4">
    <cfRule type="expression" dxfId="5593" priority="12507">
      <formula>MOD(ROW(),2)=0</formula>
    </cfRule>
  </conditionalFormatting>
  <conditionalFormatting sqref="D3:D4 E4">
    <cfRule type="expression" dxfId="5592" priority="12506">
      <formula>MOD(ROW(),2)=0</formula>
    </cfRule>
  </conditionalFormatting>
  <conditionalFormatting sqref="D3:D4 E4">
    <cfRule type="expression" dxfId="5591" priority="12505">
      <formula>MOD(ROW(),2)=0</formula>
    </cfRule>
  </conditionalFormatting>
  <conditionalFormatting sqref="D3:D4 E4">
    <cfRule type="expression" dxfId="5590" priority="12504">
      <formula>MOD(ROW(),2)=0</formula>
    </cfRule>
  </conditionalFormatting>
  <conditionalFormatting sqref="D3:D4 E4">
    <cfRule type="expression" dxfId="5589" priority="12503">
      <formula>MOD(ROW(),2)=0</formula>
    </cfRule>
  </conditionalFormatting>
  <conditionalFormatting sqref="D3:D4 E4">
    <cfRule type="expression" dxfId="5588" priority="12502">
      <formula>MOD(ROW(),2)=0</formula>
    </cfRule>
  </conditionalFormatting>
  <conditionalFormatting sqref="D3:D4 E4">
    <cfRule type="expression" dxfId="5587" priority="12501">
      <formula>MOD(ROW(),2)=0</formula>
    </cfRule>
  </conditionalFormatting>
  <conditionalFormatting sqref="D3:D4 E4">
    <cfRule type="expression" dxfId="5586" priority="12500">
      <formula>MOD(ROW(),2)=0</formula>
    </cfRule>
  </conditionalFormatting>
  <conditionalFormatting sqref="D3:D4 E4">
    <cfRule type="expression" dxfId="5585" priority="12499">
      <formula>MOD(ROW(),2)=0</formula>
    </cfRule>
  </conditionalFormatting>
  <conditionalFormatting sqref="D3:D4 E4">
    <cfRule type="expression" dxfId="5584" priority="12498">
      <formula>MOD(ROW(),2)=0</formula>
    </cfRule>
  </conditionalFormatting>
  <conditionalFormatting sqref="D3:D4 E4">
    <cfRule type="expression" dxfId="5583" priority="12497">
      <formula>MOD(ROW(),2)=0</formula>
    </cfRule>
  </conditionalFormatting>
  <conditionalFormatting sqref="D3:D4 E4">
    <cfRule type="expression" dxfId="5582" priority="12496">
      <formula>MOD(ROW(),2)=0</formula>
    </cfRule>
  </conditionalFormatting>
  <conditionalFormatting sqref="D3:D4 E4">
    <cfRule type="expression" dxfId="5581" priority="12495">
      <formula>MOD(ROW(),2)=0</formula>
    </cfRule>
  </conditionalFormatting>
  <conditionalFormatting sqref="D3:D4 E4">
    <cfRule type="expression" dxfId="5580" priority="12494">
      <formula>MOD(ROW(),2)=0</formula>
    </cfRule>
  </conditionalFormatting>
  <conditionalFormatting sqref="D7:F7">
    <cfRule type="expression" dxfId="5579" priority="12493">
      <formula>MOD(ROW(),2)=0</formula>
    </cfRule>
  </conditionalFormatting>
  <conditionalFormatting sqref="D7:F7">
    <cfRule type="expression" dxfId="5578" priority="12492">
      <formula>MOD(ROW(),2)=0</formula>
    </cfRule>
  </conditionalFormatting>
  <conditionalFormatting sqref="N9">
    <cfRule type="expression" dxfId="5577" priority="5307">
      <formula>MOD(ROW(),2)=0</formula>
    </cfRule>
  </conditionalFormatting>
  <conditionalFormatting sqref="N8">
    <cfRule type="expression" dxfId="5576" priority="5306">
      <formula>MOD(ROW(),2)=0</formula>
    </cfRule>
  </conditionalFormatting>
  <conditionalFormatting sqref="N16 N12:N13">
    <cfRule type="expression" dxfId="5575" priority="5305">
      <formula>MOD(ROW(),2)=0</formula>
    </cfRule>
  </conditionalFormatting>
  <conditionalFormatting sqref="N14 N17:N19 N21">
    <cfRule type="expression" dxfId="5574" priority="5304">
      <formula>MOD(ROW(),2)=0</formula>
    </cfRule>
  </conditionalFormatting>
  <conditionalFormatting sqref="N11">
    <cfRule type="expression" dxfId="5573" priority="5303">
      <formula>MOD(ROW(),2)=0</formula>
    </cfRule>
  </conditionalFormatting>
  <conditionalFormatting sqref="N22">
    <cfRule type="expression" dxfId="5572" priority="5302">
      <formula>MOD(ROW(),2)=0</formula>
    </cfRule>
  </conditionalFormatting>
  <conditionalFormatting sqref="N10">
    <cfRule type="expression" dxfId="5571" priority="5301">
      <formula>MOD(ROW(),2)=0</formula>
    </cfRule>
  </conditionalFormatting>
  <conditionalFormatting sqref="N9">
    <cfRule type="expression" dxfId="5570" priority="5300">
      <formula>MOD(ROW(),2)=0</formula>
    </cfRule>
  </conditionalFormatting>
  <conditionalFormatting sqref="N8">
    <cfRule type="expression" dxfId="5569" priority="5299">
      <formula>MOD(ROW(),2)=0</formula>
    </cfRule>
  </conditionalFormatting>
  <conditionalFormatting sqref="N16 N12:N13">
    <cfRule type="expression" dxfId="5568" priority="5298">
      <formula>MOD(ROW(),2)=0</formula>
    </cfRule>
  </conditionalFormatting>
  <conditionalFormatting sqref="N14 N17:N19 N21">
    <cfRule type="expression" dxfId="5567" priority="5297">
      <formula>MOD(ROW(),2)=0</formula>
    </cfRule>
  </conditionalFormatting>
  <conditionalFormatting sqref="N11">
    <cfRule type="expression" dxfId="5566" priority="5296">
      <formula>MOD(ROW(),2)=0</formula>
    </cfRule>
  </conditionalFormatting>
  <conditionalFormatting sqref="N22">
    <cfRule type="expression" dxfId="5565" priority="5295">
      <formula>MOD(ROW(),2)=0</formula>
    </cfRule>
  </conditionalFormatting>
  <conditionalFormatting sqref="N10">
    <cfRule type="expression" dxfId="5564" priority="5294">
      <formula>MOD(ROW(),2)=0</formula>
    </cfRule>
  </conditionalFormatting>
  <conditionalFormatting sqref="N9">
    <cfRule type="expression" dxfId="5563" priority="5293">
      <formula>MOD(ROW(),2)=0</formula>
    </cfRule>
  </conditionalFormatting>
  <conditionalFormatting sqref="N8">
    <cfRule type="expression" dxfId="5562" priority="5292">
      <formula>MOD(ROW(),2)=0</formula>
    </cfRule>
  </conditionalFormatting>
  <conditionalFormatting sqref="N16 N12:N13">
    <cfRule type="expression" dxfId="5561" priority="5291">
      <formula>MOD(ROW(),2)=0</formula>
    </cfRule>
  </conditionalFormatting>
  <conditionalFormatting sqref="N14 N17:N19 N21">
    <cfRule type="expression" dxfId="5560" priority="5290">
      <formula>MOD(ROW(),2)=0</formula>
    </cfRule>
  </conditionalFormatting>
  <conditionalFormatting sqref="N11">
    <cfRule type="expression" dxfId="5559" priority="5289">
      <formula>MOD(ROW(),2)=0</formula>
    </cfRule>
  </conditionalFormatting>
  <conditionalFormatting sqref="N22">
    <cfRule type="expression" dxfId="5558" priority="5288">
      <formula>MOD(ROW(),2)=0</formula>
    </cfRule>
  </conditionalFormatting>
  <conditionalFormatting sqref="N10">
    <cfRule type="expression" dxfId="5557" priority="5287">
      <formula>MOD(ROW(),2)=0</formula>
    </cfRule>
  </conditionalFormatting>
  <conditionalFormatting sqref="N9">
    <cfRule type="expression" dxfId="5556" priority="5286">
      <formula>MOD(ROW(),2)=0</formula>
    </cfRule>
  </conditionalFormatting>
  <conditionalFormatting sqref="N8">
    <cfRule type="expression" dxfId="5555" priority="5285">
      <formula>MOD(ROW(),2)=0</formula>
    </cfRule>
  </conditionalFormatting>
  <conditionalFormatting sqref="N16 N12:N13">
    <cfRule type="expression" dxfId="5554" priority="5284">
      <formula>MOD(ROW(),2)=0</formula>
    </cfRule>
  </conditionalFormatting>
  <conditionalFormatting sqref="N14 N17:N19 N21">
    <cfRule type="expression" dxfId="5553" priority="5283">
      <formula>MOD(ROW(),2)=0</formula>
    </cfRule>
  </conditionalFormatting>
  <conditionalFormatting sqref="N11">
    <cfRule type="expression" dxfId="5552" priority="5282">
      <formula>MOD(ROW(),2)=0</formula>
    </cfRule>
  </conditionalFormatting>
  <conditionalFormatting sqref="N22">
    <cfRule type="expression" dxfId="5551" priority="5281">
      <formula>MOD(ROW(),2)=0</formula>
    </cfRule>
  </conditionalFormatting>
  <conditionalFormatting sqref="N10">
    <cfRule type="expression" dxfId="5550" priority="5280">
      <formula>MOD(ROW(),2)=0</formula>
    </cfRule>
  </conditionalFormatting>
  <conditionalFormatting sqref="N9">
    <cfRule type="expression" dxfId="5549" priority="5279">
      <formula>MOD(ROW(),2)=0</formula>
    </cfRule>
  </conditionalFormatting>
  <conditionalFormatting sqref="N8">
    <cfRule type="expression" dxfId="5548" priority="5278">
      <formula>MOD(ROW(),2)=0</formula>
    </cfRule>
  </conditionalFormatting>
  <conditionalFormatting sqref="N16 N12:N13">
    <cfRule type="expression" dxfId="5547" priority="5277">
      <formula>MOD(ROW(),2)=0</formula>
    </cfRule>
  </conditionalFormatting>
  <conditionalFormatting sqref="N14 N17:N19 N21">
    <cfRule type="expression" dxfId="5546" priority="5276">
      <formula>MOD(ROW(),2)=0</formula>
    </cfRule>
  </conditionalFormatting>
  <conditionalFormatting sqref="N11">
    <cfRule type="expression" dxfId="5545" priority="5275">
      <formula>MOD(ROW(),2)=0</formula>
    </cfRule>
  </conditionalFormatting>
  <conditionalFormatting sqref="N22">
    <cfRule type="expression" dxfId="5544" priority="5274">
      <formula>MOD(ROW(),2)=0</formula>
    </cfRule>
  </conditionalFormatting>
  <conditionalFormatting sqref="N10">
    <cfRule type="expression" dxfId="5543" priority="5273">
      <formula>MOD(ROW(),2)=0</formula>
    </cfRule>
  </conditionalFormatting>
  <conditionalFormatting sqref="N9">
    <cfRule type="expression" dxfId="5542" priority="5272">
      <formula>MOD(ROW(),2)=0</formula>
    </cfRule>
  </conditionalFormatting>
  <conditionalFormatting sqref="N8">
    <cfRule type="expression" dxfId="5541" priority="5271">
      <formula>MOD(ROW(),2)=0</formula>
    </cfRule>
  </conditionalFormatting>
  <conditionalFormatting sqref="N16 N12:N13">
    <cfRule type="expression" dxfId="5540" priority="5270">
      <formula>MOD(ROW(),2)=0</formula>
    </cfRule>
  </conditionalFormatting>
  <conditionalFormatting sqref="N14 N17:N19 N21">
    <cfRule type="expression" dxfId="5539" priority="5269">
      <formula>MOD(ROW(),2)=0</formula>
    </cfRule>
  </conditionalFormatting>
  <conditionalFormatting sqref="N11">
    <cfRule type="expression" dxfId="5538" priority="5268">
      <formula>MOD(ROW(),2)=0</formula>
    </cfRule>
  </conditionalFormatting>
  <conditionalFormatting sqref="N22">
    <cfRule type="expression" dxfId="5537" priority="5267">
      <formula>MOD(ROW(),2)=0</formula>
    </cfRule>
  </conditionalFormatting>
  <conditionalFormatting sqref="N10">
    <cfRule type="expression" dxfId="5536" priority="5266">
      <formula>MOD(ROW(),2)=0</formula>
    </cfRule>
  </conditionalFormatting>
  <conditionalFormatting sqref="N9">
    <cfRule type="expression" dxfId="5535" priority="5265">
      <formula>MOD(ROW(),2)=0</formula>
    </cfRule>
  </conditionalFormatting>
  <conditionalFormatting sqref="N8">
    <cfRule type="expression" dxfId="5534" priority="5264">
      <formula>MOD(ROW(),2)=0</formula>
    </cfRule>
  </conditionalFormatting>
  <conditionalFormatting sqref="N16 N12:N13">
    <cfRule type="expression" dxfId="5533" priority="5263">
      <formula>MOD(ROW(),2)=0</formula>
    </cfRule>
  </conditionalFormatting>
  <conditionalFormatting sqref="N14 N17:N19 N21">
    <cfRule type="expression" dxfId="5532" priority="5262">
      <formula>MOD(ROW(),2)=0</formula>
    </cfRule>
  </conditionalFormatting>
  <conditionalFormatting sqref="N11">
    <cfRule type="expression" dxfId="5531" priority="5261">
      <formula>MOD(ROW(),2)=0</formula>
    </cfRule>
  </conditionalFormatting>
  <conditionalFormatting sqref="N10">
    <cfRule type="expression" dxfId="5530" priority="5260">
      <formula>MOD(ROW(),2)=0</formula>
    </cfRule>
  </conditionalFormatting>
  <conditionalFormatting sqref="N22">
    <cfRule type="expression" dxfId="5529" priority="5259">
      <formula>MOD(ROW(),2)=0</formula>
    </cfRule>
  </conditionalFormatting>
  <conditionalFormatting sqref="N9">
    <cfRule type="expression" dxfId="5528" priority="5258">
      <formula>MOD(ROW(),2)=0</formula>
    </cfRule>
  </conditionalFormatting>
  <conditionalFormatting sqref="N8">
    <cfRule type="expression" dxfId="5527" priority="5257">
      <formula>MOD(ROW(),2)=0</formula>
    </cfRule>
  </conditionalFormatting>
  <conditionalFormatting sqref="N16 N12:N13">
    <cfRule type="expression" dxfId="5526" priority="5256">
      <formula>MOD(ROW(),2)=0</formula>
    </cfRule>
  </conditionalFormatting>
  <conditionalFormatting sqref="N14 N17:N19 N21">
    <cfRule type="expression" dxfId="5525" priority="5255">
      <formula>MOD(ROW(),2)=0</formula>
    </cfRule>
  </conditionalFormatting>
  <conditionalFormatting sqref="N11">
    <cfRule type="expression" dxfId="5524" priority="5254">
      <formula>MOD(ROW(),2)=0</formula>
    </cfRule>
  </conditionalFormatting>
  <conditionalFormatting sqref="N22">
    <cfRule type="expression" dxfId="5523" priority="5253">
      <formula>MOD(ROW(),2)=0</formula>
    </cfRule>
  </conditionalFormatting>
  <conditionalFormatting sqref="N10">
    <cfRule type="expression" dxfId="5522" priority="5252">
      <formula>MOD(ROW(),2)=0</formula>
    </cfRule>
  </conditionalFormatting>
  <conditionalFormatting sqref="N9">
    <cfRule type="expression" dxfId="5521" priority="5251">
      <formula>MOD(ROW(),2)=0</formula>
    </cfRule>
  </conditionalFormatting>
  <conditionalFormatting sqref="N8">
    <cfRule type="expression" dxfId="5520" priority="5250">
      <formula>MOD(ROW(),2)=0</formula>
    </cfRule>
  </conditionalFormatting>
  <conditionalFormatting sqref="N16 N12:N13">
    <cfRule type="expression" dxfId="5519" priority="5249">
      <formula>MOD(ROW(),2)=0</formula>
    </cfRule>
  </conditionalFormatting>
  <conditionalFormatting sqref="N14 N17:N19 N21">
    <cfRule type="expression" dxfId="5518" priority="5248">
      <formula>MOD(ROW(),2)=0</formula>
    </cfRule>
  </conditionalFormatting>
  <conditionalFormatting sqref="N11">
    <cfRule type="expression" dxfId="5517" priority="5247">
      <formula>MOD(ROW(),2)=0</formula>
    </cfRule>
  </conditionalFormatting>
  <conditionalFormatting sqref="N22">
    <cfRule type="expression" dxfId="5516" priority="5246">
      <formula>MOD(ROW(),2)=0</formula>
    </cfRule>
  </conditionalFormatting>
  <conditionalFormatting sqref="N10">
    <cfRule type="expression" dxfId="5515" priority="5245">
      <formula>MOD(ROW(),2)=0</formula>
    </cfRule>
  </conditionalFormatting>
  <conditionalFormatting sqref="N9">
    <cfRule type="expression" dxfId="5514" priority="5244">
      <formula>MOD(ROW(),2)=0</formula>
    </cfRule>
  </conditionalFormatting>
  <conditionalFormatting sqref="N8">
    <cfRule type="expression" dxfId="5513" priority="5243">
      <formula>MOD(ROW(),2)=0</formula>
    </cfRule>
  </conditionalFormatting>
  <conditionalFormatting sqref="N16 N12:N13">
    <cfRule type="expression" dxfId="5512" priority="5242">
      <formula>MOD(ROW(),2)=0</formula>
    </cfRule>
  </conditionalFormatting>
  <conditionalFormatting sqref="N14 N17:N19 N21">
    <cfRule type="expression" dxfId="5511" priority="5241">
      <formula>MOD(ROW(),2)=0</formula>
    </cfRule>
  </conditionalFormatting>
  <conditionalFormatting sqref="N11">
    <cfRule type="expression" dxfId="5510" priority="5240">
      <formula>MOD(ROW(),2)=0</formula>
    </cfRule>
  </conditionalFormatting>
  <conditionalFormatting sqref="N22">
    <cfRule type="expression" dxfId="5509" priority="5239">
      <formula>MOD(ROW(),2)=0</formula>
    </cfRule>
  </conditionalFormatting>
  <conditionalFormatting sqref="N10">
    <cfRule type="expression" dxfId="5508" priority="5238">
      <formula>MOD(ROW(),2)=0</formula>
    </cfRule>
  </conditionalFormatting>
  <conditionalFormatting sqref="N9">
    <cfRule type="expression" dxfId="5507" priority="5237">
      <formula>MOD(ROW(),2)=0</formula>
    </cfRule>
  </conditionalFormatting>
  <conditionalFormatting sqref="N8">
    <cfRule type="expression" dxfId="5506" priority="5236">
      <formula>MOD(ROW(),2)=0</formula>
    </cfRule>
  </conditionalFormatting>
  <conditionalFormatting sqref="N16 N12:N13">
    <cfRule type="expression" dxfId="5505" priority="5235">
      <formula>MOD(ROW(),2)=0</formula>
    </cfRule>
  </conditionalFormatting>
  <conditionalFormatting sqref="N14 N17:N19 N21">
    <cfRule type="expression" dxfId="5504" priority="5234">
      <formula>MOD(ROW(),2)=0</formula>
    </cfRule>
  </conditionalFormatting>
  <conditionalFormatting sqref="N11">
    <cfRule type="expression" dxfId="5503" priority="5233">
      <formula>MOD(ROW(),2)=0</formula>
    </cfRule>
  </conditionalFormatting>
  <conditionalFormatting sqref="N22">
    <cfRule type="expression" dxfId="5502" priority="5232">
      <formula>MOD(ROW(),2)=0</formula>
    </cfRule>
  </conditionalFormatting>
  <conditionalFormatting sqref="N10">
    <cfRule type="expression" dxfId="5501" priority="5231">
      <formula>MOD(ROW(),2)=0</formula>
    </cfRule>
  </conditionalFormatting>
  <conditionalFormatting sqref="N9">
    <cfRule type="expression" dxfId="5500" priority="5230">
      <formula>MOD(ROW(),2)=0</formula>
    </cfRule>
  </conditionalFormatting>
  <conditionalFormatting sqref="N8">
    <cfRule type="expression" dxfId="5499" priority="5229">
      <formula>MOD(ROW(),2)=0</formula>
    </cfRule>
  </conditionalFormatting>
  <conditionalFormatting sqref="N16 N12:N13">
    <cfRule type="expression" dxfId="5498" priority="5228">
      <formula>MOD(ROW(),2)=0</formula>
    </cfRule>
  </conditionalFormatting>
  <conditionalFormatting sqref="N14 N17:N19 N21">
    <cfRule type="expression" dxfId="5497" priority="5227">
      <formula>MOD(ROW(),2)=0</formula>
    </cfRule>
  </conditionalFormatting>
  <conditionalFormatting sqref="N11">
    <cfRule type="expression" dxfId="5496" priority="5226">
      <formula>MOD(ROW(),2)=0</formula>
    </cfRule>
  </conditionalFormatting>
  <conditionalFormatting sqref="N22">
    <cfRule type="expression" dxfId="5495" priority="5225">
      <formula>MOD(ROW(),2)=0</formula>
    </cfRule>
  </conditionalFormatting>
  <conditionalFormatting sqref="N10">
    <cfRule type="expression" dxfId="5494" priority="5224">
      <formula>MOD(ROW(),2)=0</formula>
    </cfRule>
  </conditionalFormatting>
  <conditionalFormatting sqref="N9">
    <cfRule type="expression" dxfId="5493" priority="5223">
      <formula>MOD(ROW(),2)=0</formula>
    </cfRule>
  </conditionalFormatting>
  <conditionalFormatting sqref="N8">
    <cfRule type="expression" dxfId="5492" priority="5222">
      <formula>MOD(ROW(),2)=0</formula>
    </cfRule>
  </conditionalFormatting>
  <conditionalFormatting sqref="N16 N12:N13">
    <cfRule type="expression" dxfId="5491" priority="5221">
      <formula>MOD(ROW(),2)=0</formula>
    </cfRule>
  </conditionalFormatting>
  <conditionalFormatting sqref="N14 N17:N19 N21">
    <cfRule type="expression" dxfId="5490" priority="5220">
      <formula>MOD(ROW(),2)=0</formula>
    </cfRule>
  </conditionalFormatting>
  <conditionalFormatting sqref="N11">
    <cfRule type="expression" dxfId="5489" priority="5219">
      <formula>MOD(ROW(),2)=0</formula>
    </cfRule>
  </conditionalFormatting>
  <conditionalFormatting sqref="N22">
    <cfRule type="expression" dxfId="5488" priority="5218">
      <formula>MOD(ROW(),2)=0</formula>
    </cfRule>
  </conditionalFormatting>
  <conditionalFormatting sqref="N10">
    <cfRule type="expression" dxfId="5487" priority="5217">
      <formula>MOD(ROW(),2)=0</formula>
    </cfRule>
  </conditionalFormatting>
  <conditionalFormatting sqref="N9">
    <cfRule type="expression" dxfId="5486" priority="5216">
      <formula>MOD(ROW(),2)=0</formula>
    </cfRule>
  </conditionalFormatting>
  <conditionalFormatting sqref="N8">
    <cfRule type="expression" dxfId="5485" priority="5215">
      <formula>MOD(ROW(),2)=0</formula>
    </cfRule>
  </conditionalFormatting>
  <conditionalFormatting sqref="N16 N12:N13">
    <cfRule type="expression" dxfId="5484" priority="5214">
      <formula>MOD(ROW(),2)=0</formula>
    </cfRule>
  </conditionalFormatting>
  <conditionalFormatting sqref="N14 N17:N19 N21">
    <cfRule type="expression" dxfId="5483" priority="5213">
      <formula>MOD(ROW(),2)=0</formula>
    </cfRule>
  </conditionalFormatting>
  <conditionalFormatting sqref="N11">
    <cfRule type="expression" dxfId="5482" priority="5212">
      <formula>MOD(ROW(),2)=0</formula>
    </cfRule>
  </conditionalFormatting>
  <conditionalFormatting sqref="N22">
    <cfRule type="expression" dxfId="5481" priority="5211">
      <formula>MOD(ROW(),2)=0</formula>
    </cfRule>
  </conditionalFormatting>
  <conditionalFormatting sqref="N10">
    <cfRule type="expression" dxfId="5480" priority="5210">
      <formula>MOD(ROW(),2)=0</formula>
    </cfRule>
  </conditionalFormatting>
  <conditionalFormatting sqref="N9">
    <cfRule type="expression" dxfId="5479" priority="5209">
      <formula>MOD(ROW(),2)=0</formula>
    </cfRule>
  </conditionalFormatting>
  <conditionalFormatting sqref="N8">
    <cfRule type="expression" dxfId="5478" priority="5208">
      <formula>MOD(ROW(),2)=0</formula>
    </cfRule>
  </conditionalFormatting>
  <conditionalFormatting sqref="N16 N12:N13">
    <cfRule type="expression" dxfId="5477" priority="5207">
      <formula>MOD(ROW(),2)=0</formula>
    </cfRule>
  </conditionalFormatting>
  <conditionalFormatting sqref="N14 N17:N19 N21">
    <cfRule type="expression" dxfId="5476" priority="5206">
      <formula>MOD(ROW(),2)=0</formula>
    </cfRule>
  </conditionalFormatting>
  <conditionalFormatting sqref="N11">
    <cfRule type="expression" dxfId="5475" priority="5205">
      <formula>MOD(ROW(),2)=0</formula>
    </cfRule>
  </conditionalFormatting>
  <conditionalFormatting sqref="N10">
    <cfRule type="expression" dxfId="5474" priority="5204">
      <formula>MOD(ROW(),2)=0</formula>
    </cfRule>
  </conditionalFormatting>
  <conditionalFormatting sqref="N22">
    <cfRule type="expression" dxfId="5473" priority="5203">
      <formula>MOD(ROW(),2)=0</formula>
    </cfRule>
  </conditionalFormatting>
  <conditionalFormatting sqref="N9">
    <cfRule type="expression" dxfId="5472" priority="5202">
      <formula>MOD(ROW(),2)=0</formula>
    </cfRule>
  </conditionalFormatting>
  <conditionalFormatting sqref="N8">
    <cfRule type="expression" dxfId="5471" priority="5201">
      <formula>MOD(ROW(),2)=0</formula>
    </cfRule>
  </conditionalFormatting>
  <conditionalFormatting sqref="N16 N12:N13">
    <cfRule type="expression" dxfId="5470" priority="5200">
      <formula>MOD(ROW(),2)=0</formula>
    </cfRule>
  </conditionalFormatting>
  <conditionalFormatting sqref="N14 N17:N19 N21">
    <cfRule type="expression" dxfId="5469" priority="5199">
      <formula>MOD(ROW(),2)=0</formula>
    </cfRule>
  </conditionalFormatting>
  <conditionalFormatting sqref="N11">
    <cfRule type="expression" dxfId="5468" priority="5198">
      <formula>MOD(ROW(),2)=0</formula>
    </cfRule>
  </conditionalFormatting>
  <conditionalFormatting sqref="N22">
    <cfRule type="expression" dxfId="5467" priority="5197">
      <formula>MOD(ROW(),2)=0</formula>
    </cfRule>
  </conditionalFormatting>
  <conditionalFormatting sqref="N10">
    <cfRule type="expression" dxfId="5466" priority="5196">
      <formula>MOD(ROW(),2)=0</formula>
    </cfRule>
  </conditionalFormatting>
  <conditionalFormatting sqref="N15">
    <cfRule type="expression" dxfId="5465" priority="5195">
      <formula>MOD(ROW(),2)=0</formula>
    </cfRule>
  </conditionalFormatting>
  <conditionalFormatting sqref="N15">
    <cfRule type="expression" dxfId="5464" priority="5194">
      <formula>MOD(ROW(),2)=0</formula>
    </cfRule>
  </conditionalFormatting>
  <conditionalFormatting sqref="N15">
    <cfRule type="expression" dxfId="5463" priority="5193">
      <formula>MOD(ROW(),2)=0</formula>
    </cfRule>
  </conditionalFormatting>
  <conditionalFormatting sqref="N15">
    <cfRule type="expression" dxfId="5462" priority="5192">
      <formula>MOD(ROW(),2)=0</formula>
    </cfRule>
  </conditionalFormatting>
  <conditionalFormatting sqref="N15">
    <cfRule type="expression" dxfId="5461" priority="5191">
      <formula>MOD(ROW(),2)=0</formula>
    </cfRule>
  </conditionalFormatting>
  <conditionalFormatting sqref="N15">
    <cfRule type="expression" dxfId="5460" priority="5190">
      <formula>MOD(ROW(),2)=0</formula>
    </cfRule>
  </conditionalFormatting>
  <conditionalFormatting sqref="N15">
    <cfRule type="expression" dxfId="5459" priority="5189">
      <formula>MOD(ROW(),2)=0</formula>
    </cfRule>
  </conditionalFormatting>
  <conditionalFormatting sqref="N15">
    <cfRule type="expression" dxfId="5458" priority="5188">
      <formula>MOD(ROW(),2)=0</formula>
    </cfRule>
  </conditionalFormatting>
  <conditionalFormatting sqref="N15">
    <cfRule type="expression" dxfId="5457" priority="5187">
      <formula>MOD(ROW(),2)=0</formula>
    </cfRule>
  </conditionalFormatting>
  <conditionalFormatting sqref="N15">
    <cfRule type="expression" dxfId="5456" priority="5186">
      <formula>MOD(ROW(),2)=0</formula>
    </cfRule>
  </conditionalFormatting>
  <conditionalFormatting sqref="N15">
    <cfRule type="expression" dxfId="5455" priority="5185">
      <formula>MOD(ROW(),2)=0</formula>
    </cfRule>
  </conditionalFormatting>
  <conditionalFormatting sqref="N15">
    <cfRule type="expression" dxfId="5454" priority="5184">
      <formula>MOD(ROW(),2)=0</formula>
    </cfRule>
  </conditionalFormatting>
  <conditionalFormatting sqref="N15">
    <cfRule type="expression" dxfId="5453" priority="5183">
      <formula>MOD(ROW(),2)=0</formula>
    </cfRule>
  </conditionalFormatting>
  <conditionalFormatting sqref="N15">
    <cfRule type="expression" dxfId="5452" priority="5182">
      <formula>MOD(ROW(),2)=0</formula>
    </cfRule>
  </conditionalFormatting>
  <conditionalFormatting sqref="N15">
    <cfRule type="expression" dxfId="5451" priority="5181">
      <formula>MOD(ROW(),2)=0</formula>
    </cfRule>
  </conditionalFormatting>
  <conditionalFormatting sqref="N15">
    <cfRule type="expression" dxfId="5450" priority="5180">
      <formula>MOD(ROW(),2)=0</formula>
    </cfRule>
  </conditionalFormatting>
  <conditionalFormatting sqref="N20">
    <cfRule type="expression" dxfId="5449" priority="5179">
      <formula>MOD(ROW(),2)=0</formula>
    </cfRule>
  </conditionalFormatting>
  <conditionalFormatting sqref="N20">
    <cfRule type="expression" dxfId="5448" priority="5178">
      <formula>MOD(ROW(),2)=0</formula>
    </cfRule>
  </conditionalFormatting>
  <conditionalFormatting sqref="N20">
    <cfRule type="expression" dxfId="5447" priority="5177">
      <formula>MOD(ROW(),2)=0</formula>
    </cfRule>
  </conditionalFormatting>
  <conditionalFormatting sqref="N20">
    <cfRule type="expression" dxfId="5446" priority="5176">
      <formula>MOD(ROW(),2)=0</formula>
    </cfRule>
  </conditionalFormatting>
  <conditionalFormatting sqref="N20">
    <cfRule type="expression" dxfId="5445" priority="5175">
      <formula>MOD(ROW(),2)=0</formula>
    </cfRule>
  </conditionalFormatting>
  <conditionalFormatting sqref="N20">
    <cfRule type="expression" dxfId="5444" priority="5174">
      <formula>MOD(ROW(),2)=0</formula>
    </cfRule>
  </conditionalFormatting>
  <conditionalFormatting sqref="N20">
    <cfRule type="expression" dxfId="5443" priority="5173">
      <formula>MOD(ROW(),2)=0</formula>
    </cfRule>
  </conditionalFormatting>
  <conditionalFormatting sqref="N20">
    <cfRule type="expression" dxfId="5442" priority="5172">
      <formula>MOD(ROW(),2)=0</formula>
    </cfRule>
  </conditionalFormatting>
  <conditionalFormatting sqref="N20">
    <cfRule type="expression" dxfId="5441" priority="5171">
      <formula>MOD(ROW(),2)=0</formula>
    </cfRule>
  </conditionalFormatting>
  <conditionalFormatting sqref="N20">
    <cfRule type="expression" dxfId="5440" priority="5170">
      <formula>MOD(ROW(),2)=0</formula>
    </cfRule>
  </conditionalFormatting>
  <conditionalFormatting sqref="N20">
    <cfRule type="expression" dxfId="5439" priority="5169">
      <formula>MOD(ROW(),2)=0</formula>
    </cfRule>
  </conditionalFormatting>
  <conditionalFormatting sqref="N20">
    <cfRule type="expression" dxfId="5438" priority="5168">
      <formula>MOD(ROW(),2)=0</formula>
    </cfRule>
  </conditionalFormatting>
  <conditionalFormatting sqref="N20">
    <cfRule type="expression" dxfId="5437" priority="5167">
      <formula>MOD(ROW(),2)=0</formula>
    </cfRule>
  </conditionalFormatting>
  <conditionalFormatting sqref="N20">
    <cfRule type="expression" dxfId="5436" priority="5166">
      <formula>MOD(ROW(),2)=0</formula>
    </cfRule>
  </conditionalFormatting>
  <conditionalFormatting sqref="N20">
    <cfRule type="expression" dxfId="5435" priority="5165">
      <formula>MOD(ROW(),2)=0</formula>
    </cfRule>
  </conditionalFormatting>
  <conditionalFormatting sqref="N20">
    <cfRule type="expression" dxfId="5434" priority="5164">
      <formula>MOD(ROW(),2)=0</formula>
    </cfRule>
  </conditionalFormatting>
  <conditionalFormatting sqref="O9">
    <cfRule type="expression" dxfId="5433" priority="5163">
      <formula>MOD(ROW(),2)=0</formula>
    </cfRule>
  </conditionalFormatting>
  <conditionalFormatting sqref="O8">
    <cfRule type="expression" dxfId="5432" priority="5162">
      <formula>MOD(ROW(),2)=0</formula>
    </cfRule>
  </conditionalFormatting>
  <conditionalFormatting sqref="O16 O12:O13">
    <cfRule type="expression" dxfId="5431" priority="5161">
      <formula>MOD(ROW(),2)=0</formula>
    </cfRule>
  </conditionalFormatting>
  <conditionalFormatting sqref="O14 O17:O19 O21">
    <cfRule type="expression" dxfId="5430" priority="5160">
      <formula>MOD(ROW(),2)=0</formula>
    </cfRule>
  </conditionalFormatting>
  <conditionalFormatting sqref="O11">
    <cfRule type="expression" dxfId="5429" priority="5159">
      <formula>MOD(ROW(),2)=0</formula>
    </cfRule>
  </conditionalFormatting>
  <conditionalFormatting sqref="O22">
    <cfRule type="expression" dxfId="5428" priority="5158">
      <formula>MOD(ROW(),2)=0</formula>
    </cfRule>
  </conditionalFormatting>
  <conditionalFormatting sqref="O10">
    <cfRule type="expression" dxfId="5427" priority="5157">
      <formula>MOD(ROW(),2)=0</formula>
    </cfRule>
  </conditionalFormatting>
  <conditionalFormatting sqref="O9">
    <cfRule type="expression" dxfId="5426" priority="5156">
      <formula>MOD(ROW(),2)=0</formula>
    </cfRule>
  </conditionalFormatting>
  <conditionalFormatting sqref="O8">
    <cfRule type="expression" dxfId="5425" priority="5155">
      <formula>MOD(ROW(),2)=0</formula>
    </cfRule>
  </conditionalFormatting>
  <conditionalFormatting sqref="O16 O12:O13">
    <cfRule type="expression" dxfId="5424" priority="5154">
      <formula>MOD(ROW(),2)=0</formula>
    </cfRule>
  </conditionalFormatting>
  <conditionalFormatting sqref="O14 O17:O19 O21">
    <cfRule type="expression" dxfId="5423" priority="5153">
      <formula>MOD(ROW(),2)=0</formula>
    </cfRule>
  </conditionalFormatting>
  <conditionalFormatting sqref="O11">
    <cfRule type="expression" dxfId="5422" priority="5152">
      <formula>MOD(ROW(),2)=0</formula>
    </cfRule>
  </conditionalFormatting>
  <conditionalFormatting sqref="O22">
    <cfRule type="expression" dxfId="5421" priority="5151">
      <formula>MOD(ROW(),2)=0</formula>
    </cfRule>
  </conditionalFormatting>
  <conditionalFormatting sqref="O10">
    <cfRule type="expression" dxfId="5420" priority="5150">
      <formula>MOD(ROW(),2)=0</formula>
    </cfRule>
  </conditionalFormatting>
  <conditionalFormatting sqref="O9">
    <cfRule type="expression" dxfId="5419" priority="5149">
      <formula>MOD(ROW(),2)=0</formula>
    </cfRule>
  </conditionalFormatting>
  <conditionalFormatting sqref="O8">
    <cfRule type="expression" dxfId="5418" priority="5148">
      <formula>MOD(ROW(),2)=0</formula>
    </cfRule>
  </conditionalFormatting>
  <conditionalFormatting sqref="O16 O12:O13">
    <cfRule type="expression" dxfId="5417" priority="5147">
      <formula>MOD(ROW(),2)=0</formula>
    </cfRule>
  </conditionalFormatting>
  <conditionalFormatting sqref="O14 O17:O19 O21">
    <cfRule type="expression" dxfId="5416" priority="5146">
      <formula>MOD(ROW(),2)=0</formula>
    </cfRule>
  </conditionalFormatting>
  <conditionalFormatting sqref="O11">
    <cfRule type="expression" dxfId="5415" priority="5145">
      <formula>MOD(ROW(),2)=0</formula>
    </cfRule>
  </conditionalFormatting>
  <conditionalFormatting sqref="O22">
    <cfRule type="expression" dxfId="5414" priority="5144">
      <formula>MOD(ROW(),2)=0</formula>
    </cfRule>
  </conditionalFormatting>
  <conditionalFormatting sqref="O10">
    <cfRule type="expression" dxfId="5413" priority="5143">
      <formula>MOD(ROW(),2)=0</formula>
    </cfRule>
  </conditionalFormatting>
  <conditionalFormatting sqref="O9">
    <cfRule type="expression" dxfId="5412" priority="5142">
      <formula>MOD(ROW(),2)=0</formula>
    </cfRule>
  </conditionalFormatting>
  <conditionalFormatting sqref="O8">
    <cfRule type="expression" dxfId="5411" priority="5141">
      <formula>MOD(ROW(),2)=0</formula>
    </cfRule>
  </conditionalFormatting>
  <conditionalFormatting sqref="O16 O12:O13">
    <cfRule type="expression" dxfId="5410" priority="5140">
      <formula>MOD(ROW(),2)=0</formula>
    </cfRule>
  </conditionalFormatting>
  <conditionalFormatting sqref="O14 O17:O19 O21">
    <cfRule type="expression" dxfId="5409" priority="5139">
      <formula>MOD(ROW(),2)=0</formula>
    </cfRule>
  </conditionalFormatting>
  <conditionalFormatting sqref="O11">
    <cfRule type="expression" dxfId="5408" priority="5138">
      <formula>MOD(ROW(),2)=0</formula>
    </cfRule>
  </conditionalFormatting>
  <conditionalFormatting sqref="O22">
    <cfRule type="expression" dxfId="5407" priority="5137">
      <formula>MOD(ROW(),2)=0</formula>
    </cfRule>
  </conditionalFormatting>
  <conditionalFormatting sqref="O10">
    <cfRule type="expression" dxfId="5406" priority="5136">
      <formula>MOD(ROW(),2)=0</formula>
    </cfRule>
  </conditionalFormatting>
  <conditionalFormatting sqref="O9">
    <cfRule type="expression" dxfId="5405" priority="5135">
      <formula>MOD(ROW(),2)=0</formula>
    </cfRule>
  </conditionalFormatting>
  <conditionalFormatting sqref="O8">
    <cfRule type="expression" dxfId="5404" priority="5134">
      <formula>MOD(ROW(),2)=0</formula>
    </cfRule>
  </conditionalFormatting>
  <conditionalFormatting sqref="O16 O12:O13">
    <cfRule type="expression" dxfId="5403" priority="5133">
      <formula>MOD(ROW(),2)=0</formula>
    </cfRule>
  </conditionalFormatting>
  <conditionalFormatting sqref="O14 O17:O19 O21">
    <cfRule type="expression" dxfId="5402" priority="5132">
      <formula>MOD(ROW(),2)=0</formula>
    </cfRule>
  </conditionalFormatting>
  <conditionalFormatting sqref="O11">
    <cfRule type="expression" dxfId="5401" priority="5131">
      <formula>MOD(ROW(),2)=0</formula>
    </cfRule>
  </conditionalFormatting>
  <conditionalFormatting sqref="O22">
    <cfRule type="expression" dxfId="5400" priority="5130">
      <formula>MOD(ROW(),2)=0</formula>
    </cfRule>
  </conditionalFormatting>
  <conditionalFormatting sqref="O10">
    <cfRule type="expression" dxfId="5399" priority="5129">
      <formula>MOD(ROW(),2)=0</formula>
    </cfRule>
  </conditionalFormatting>
  <conditionalFormatting sqref="O9">
    <cfRule type="expression" dxfId="5398" priority="5128">
      <formula>MOD(ROW(),2)=0</formula>
    </cfRule>
  </conditionalFormatting>
  <conditionalFormatting sqref="O8">
    <cfRule type="expression" dxfId="5397" priority="5127">
      <formula>MOD(ROW(),2)=0</formula>
    </cfRule>
  </conditionalFormatting>
  <conditionalFormatting sqref="O16 O12:O13">
    <cfRule type="expression" dxfId="5396" priority="5126">
      <formula>MOD(ROW(),2)=0</formula>
    </cfRule>
  </conditionalFormatting>
  <conditionalFormatting sqref="O14 O17:O19 O21">
    <cfRule type="expression" dxfId="5395" priority="5125">
      <formula>MOD(ROW(),2)=0</formula>
    </cfRule>
  </conditionalFormatting>
  <conditionalFormatting sqref="O11">
    <cfRule type="expression" dxfId="5394" priority="5124">
      <formula>MOD(ROW(),2)=0</formula>
    </cfRule>
  </conditionalFormatting>
  <conditionalFormatting sqref="O22">
    <cfRule type="expression" dxfId="5393" priority="5123">
      <formula>MOD(ROW(),2)=0</formula>
    </cfRule>
  </conditionalFormatting>
  <conditionalFormatting sqref="O10">
    <cfRule type="expression" dxfId="5392" priority="5122">
      <formula>MOD(ROW(),2)=0</formula>
    </cfRule>
  </conditionalFormatting>
  <conditionalFormatting sqref="O9">
    <cfRule type="expression" dxfId="5391" priority="5121">
      <formula>MOD(ROW(),2)=0</formula>
    </cfRule>
  </conditionalFormatting>
  <conditionalFormatting sqref="O8">
    <cfRule type="expression" dxfId="5390" priority="5120">
      <formula>MOD(ROW(),2)=0</formula>
    </cfRule>
  </conditionalFormatting>
  <conditionalFormatting sqref="O16 O12:O13">
    <cfRule type="expression" dxfId="5389" priority="5119">
      <formula>MOD(ROW(),2)=0</formula>
    </cfRule>
  </conditionalFormatting>
  <conditionalFormatting sqref="O14 O17:O19 O21">
    <cfRule type="expression" dxfId="5388" priority="5118">
      <formula>MOD(ROW(),2)=0</formula>
    </cfRule>
  </conditionalFormatting>
  <conditionalFormatting sqref="O11">
    <cfRule type="expression" dxfId="5387" priority="5117">
      <formula>MOD(ROW(),2)=0</formula>
    </cfRule>
  </conditionalFormatting>
  <conditionalFormatting sqref="O10">
    <cfRule type="expression" dxfId="5386" priority="5116">
      <formula>MOD(ROW(),2)=0</formula>
    </cfRule>
  </conditionalFormatting>
  <conditionalFormatting sqref="O22">
    <cfRule type="expression" dxfId="5385" priority="5115">
      <formula>MOD(ROW(),2)=0</formula>
    </cfRule>
  </conditionalFormatting>
  <conditionalFormatting sqref="O9">
    <cfRule type="expression" dxfId="5384" priority="5114">
      <formula>MOD(ROW(),2)=0</formula>
    </cfRule>
  </conditionalFormatting>
  <conditionalFormatting sqref="O8">
    <cfRule type="expression" dxfId="5383" priority="5113">
      <formula>MOD(ROW(),2)=0</formula>
    </cfRule>
  </conditionalFormatting>
  <conditionalFormatting sqref="O16 O12:O13">
    <cfRule type="expression" dxfId="5382" priority="5112">
      <formula>MOD(ROW(),2)=0</formula>
    </cfRule>
  </conditionalFormatting>
  <conditionalFormatting sqref="O14 O17:O19 O21">
    <cfRule type="expression" dxfId="5381" priority="5111">
      <formula>MOD(ROW(),2)=0</formula>
    </cfRule>
  </conditionalFormatting>
  <conditionalFormatting sqref="O11">
    <cfRule type="expression" dxfId="5380" priority="5110">
      <formula>MOD(ROW(),2)=0</formula>
    </cfRule>
  </conditionalFormatting>
  <conditionalFormatting sqref="O22">
    <cfRule type="expression" dxfId="5379" priority="5109">
      <formula>MOD(ROW(),2)=0</formula>
    </cfRule>
  </conditionalFormatting>
  <conditionalFormatting sqref="O10">
    <cfRule type="expression" dxfId="5378" priority="5108">
      <formula>MOD(ROW(),2)=0</formula>
    </cfRule>
  </conditionalFormatting>
  <conditionalFormatting sqref="O9">
    <cfRule type="expression" dxfId="5377" priority="5107">
      <formula>MOD(ROW(),2)=0</formula>
    </cfRule>
  </conditionalFormatting>
  <conditionalFormatting sqref="O8">
    <cfRule type="expression" dxfId="5376" priority="5106">
      <formula>MOD(ROW(),2)=0</formula>
    </cfRule>
  </conditionalFormatting>
  <conditionalFormatting sqref="O16 O12:O13">
    <cfRule type="expression" dxfId="5375" priority="5105">
      <formula>MOD(ROW(),2)=0</formula>
    </cfRule>
  </conditionalFormatting>
  <conditionalFormatting sqref="O14 O17:O19 O21">
    <cfRule type="expression" dxfId="5374" priority="5104">
      <formula>MOD(ROW(),2)=0</formula>
    </cfRule>
  </conditionalFormatting>
  <conditionalFormatting sqref="O11">
    <cfRule type="expression" dxfId="5373" priority="5103">
      <formula>MOD(ROW(),2)=0</formula>
    </cfRule>
  </conditionalFormatting>
  <conditionalFormatting sqref="O22">
    <cfRule type="expression" dxfId="5372" priority="5102">
      <formula>MOD(ROW(),2)=0</formula>
    </cfRule>
  </conditionalFormatting>
  <conditionalFormatting sqref="O10">
    <cfRule type="expression" dxfId="5371" priority="5101">
      <formula>MOD(ROW(),2)=0</formula>
    </cfRule>
  </conditionalFormatting>
  <conditionalFormatting sqref="O9">
    <cfRule type="expression" dxfId="5370" priority="5100">
      <formula>MOD(ROW(),2)=0</formula>
    </cfRule>
  </conditionalFormatting>
  <conditionalFormatting sqref="O8">
    <cfRule type="expression" dxfId="5369" priority="5099">
      <formula>MOD(ROW(),2)=0</formula>
    </cfRule>
  </conditionalFormatting>
  <conditionalFormatting sqref="O16 O12:O13">
    <cfRule type="expression" dxfId="5368" priority="5098">
      <formula>MOD(ROW(),2)=0</formula>
    </cfRule>
  </conditionalFormatting>
  <conditionalFormatting sqref="O14 O17:O19 O21">
    <cfRule type="expression" dxfId="5367" priority="5097">
      <formula>MOD(ROW(),2)=0</formula>
    </cfRule>
  </conditionalFormatting>
  <conditionalFormatting sqref="O11">
    <cfRule type="expression" dxfId="5366" priority="5096">
      <formula>MOD(ROW(),2)=0</formula>
    </cfRule>
  </conditionalFormatting>
  <conditionalFormatting sqref="O22">
    <cfRule type="expression" dxfId="5365" priority="5095">
      <formula>MOD(ROW(),2)=0</formula>
    </cfRule>
  </conditionalFormatting>
  <conditionalFormatting sqref="O10">
    <cfRule type="expression" dxfId="5364" priority="5094">
      <formula>MOD(ROW(),2)=0</formula>
    </cfRule>
  </conditionalFormatting>
  <conditionalFormatting sqref="O9">
    <cfRule type="expression" dxfId="5363" priority="5093">
      <formula>MOD(ROW(),2)=0</formula>
    </cfRule>
  </conditionalFormatting>
  <conditionalFormatting sqref="O8">
    <cfRule type="expression" dxfId="5362" priority="5092">
      <formula>MOD(ROW(),2)=0</formula>
    </cfRule>
  </conditionalFormatting>
  <conditionalFormatting sqref="O16 O12:O13">
    <cfRule type="expression" dxfId="5361" priority="5091">
      <formula>MOD(ROW(),2)=0</formula>
    </cfRule>
  </conditionalFormatting>
  <conditionalFormatting sqref="O14 O17:O19 O21">
    <cfRule type="expression" dxfId="5360" priority="5090">
      <formula>MOD(ROW(),2)=0</formula>
    </cfRule>
  </conditionalFormatting>
  <conditionalFormatting sqref="O11">
    <cfRule type="expression" dxfId="5359" priority="5089">
      <formula>MOD(ROW(),2)=0</formula>
    </cfRule>
  </conditionalFormatting>
  <conditionalFormatting sqref="O22">
    <cfRule type="expression" dxfId="5358" priority="5088">
      <formula>MOD(ROW(),2)=0</formula>
    </cfRule>
  </conditionalFormatting>
  <conditionalFormatting sqref="O10">
    <cfRule type="expression" dxfId="5357" priority="5087">
      <formula>MOD(ROW(),2)=0</formula>
    </cfRule>
  </conditionalFormatting>
  <conditionalFormatting sqref="O9">
    <cfRule type="expression" dxfId="5356" priority="5086">
      <formula>MOD(ROW(),2)=0</formula>
    </cfRule>
  </conditionalFormatting>
  <conditionalFormatting sqref="O8">
    <cfRule type="expression" dxfId="5355" priority="5085">
      <formula>MOD(ROW(),2)=0</formula>
    </cfRule>
  </conditionalFormatting>
  <conditionalFormatting sqref="O16 O12:O13">
    <cfRule type="expression" dxfId="5354" priority="5084">
      <formula>MOD(ROW(),2)=0</formula>
    </cfRule>
  </conditionalFormatting>
  <conditionalFormatting sqref="O14 O17:O19 O21">
    <cfRule type="expression" dxfId="5353" priority="5083">
      <formula>MOD(ROW(),2)=0</formula>
    </cfRule>
  </conditionalFormatting>
  <conditionalFormatting sqref="O11">
    <cfRule type="expression" dxfId="5352" priority="5082">
      <formula>MOD(ROW(),2)=0</formula>
    </cfRule>
  </conditionalFormatting>
  <conditionalFormatting sqref="O22">
    <cfRule type="expression" dxfId="5351" priority="5081">
      <formula>MOD(ROW(),2)=0</formula>
    </cfRule>
  </conditionalFormatting>
  <conditionalFormatting sqref="O10">
    <cfRule type="expression" dxfId="5350" priority="5080">
      <formula>MOD(ROW(),2)=0</formula>
    </cfRule>
  </conditionalFormatting>
  <conditionalFormatting sqref="O9">
    <cfRule type="expression" dxfId="5349" priority="5079">
      <formula>MOD(ROW(),2)=0</formula>
    </cfRule>
  </conditionalFormatting>
  <conditionalFormatting sqref="O8">
    <cfRule type="expression" dxfId="5348" priority="5078">
      <formula>MOD(ROW(),2)=0</formula>
    </cfRule>
  </conditionalFormatting>
  <conditionalFormatting sqref="O16 O12:O13">
    <cfRule type="expression" dxfId="5347" priority="5077">
      <formula>MOD(ROW(),2)=0</formula>
    </cfRule>
  </conditionalFormatting>
  <conditionalFormatting sqref="O14 O17:O19 O21">
    <cfRule type="expression" dxfId="5346" priority="5076">
      <formula>MOD(ROW(),2)=0</formula>
    </cfRule>
  </conditionalFormatting>
  <conditionalFormatting sqref="O11">
    <cfRule type="expression" dxfId="5345" priority="5075">
      <formula>MOD(ROW(),2)=0</formula>
    </cfRule>
  </conditionalFormatting>
  <conditionalFormatting sqref="O22">
    <cfRule type="expression" dxfId="5344" priority="5074">
      <formula>MOD(ROW(),2)=0</formula>
    </cfRule>
  </conditionalFormatting>
  <conditionalFormatting sqref="O10">
    <cfRule type="expression" dxfId="5343" priority="5073">
      <formula>MOD(ROW(),2)=0</formula>
    </cfRule>
  </conditionalFormatting>
  <conditionalFormatting sqref="O9">
    <cfRule type="expression" dxfId="5342" priority="5072">
      <formula>MOD(ROW(),2)=0</formula>
    </cfRule>
  </conditionalFormatting>
  <conditionalFormatting sqref="O8">
    <cfRule type="expression" dxfId="5341" priority="5071">
      <formula>MOD(ROW(),2)=0</formula>
    </cfRule>
  </conditionalFormatting>
  <conditionalFormatting sqref="O16 O12:O13">
    <cfRule type="expression" dxfId="5340" priority="5070">
      <formula>MOD(ROW(),2)=0</formula>
    </cfRule>
  </conditionalFormatting>
  <conditionalFormatting sqref="O14 O17:O19 O21">
    <cfRule type="expression" dxfId="5339" priority="5069">
      <formula>MOD(ROW(),2)=0</formula>
    </cfRule>
  </conditionalFormatting>
  <conditionalFormatting sqref="O11">
    <cfRule type="expression" dxfId="5338" priority="5068">
      <formula>MOD(ROW(),2)=0</formula>
    </cfRule>
  </conditionalFormatting>
  <conditionalFormatting sqref="O22">
    <cfRule type="expression" dxfId="5337" priority="5067">
      <formula>MOD(ROW(),2)=0</formula>
    </cfRule>
  </conditionalFormatting>
  <conditionalFormatting sqref="O10">
    <cfRule type="expression" dxfId="5336" priority="5066">
      <formula>MOD(ROW(),2)=0</formula>
    </cfRule>
  </conditionalFormatting>
  <conditionalFormatting sqref="O9">
    <cfRule type="expression" dxfId="5335" priority="5065">
      <formula>MOD(ROW(),2)=0</formula>
    </cfRule>
  </conditionalFormatting>
  <conditionalFormatting sqref="O8">
    <cfRule type="expression" dxfId="5334" priority="5064">
      <formula>MOD(ROW(),2)=0</formula>
    </cfRule>
  </conditionalFormatting>
  <conditionalFormatting sqref="O16 O12:O13">
    <cfRule type="expression" dxfId="5333" priority="5063">
      <formula>MOD(ROW(),2)=0</formula>
    </cfRule>
  </conditionalFormatting>
  <conditionalFormatting sqref="O14 O17:O19 O21">
    <cfRule type="expression" dxfId="5332" priority="5062">
      <formula>MOD(ROW(),2)=0</formula>
    </cfRule>
  </conditionalFormatting>
  <conditionalFormatting sqref="O11">
    <cfRule type="expression" dxfId="5331" priority="5061">
      <formula>MOD(ROW(),2)=0</formula>
    </cfRule>
  </conditionalFormatting>
  <conditionalFormatting sqref="O10">
    <cfRule type="expression" dxfId="5330" priority="5060">
      <formula>MOD(ROW(),2)=0</formula>
    </cfRule>
  </conditionalFormatting>
  <conditionalFormatting sqref="O22">
    <cfRule type="expression" dxfId="5329" priority="5059">
      <formula>MOD(ROW(),2)=0</formula>
    </cfRule>
  </conditionalFormatting>
  <conditionalFormatting sqref="O9">
    <cfRule type="expression" dxfId="5328" priority="5058">
      <formula>MOD(ROW(),2)=0</formula>
    </cfRule>
  </conditionalFormatting>
  <conditionalFormatting sqref="O8">
    <cfRule type="expression" dxfId="5327" priority="5057">
      <formula>MOD(ROW(),2)=0</formula>
    </cfRule>
  </conditionalFormatting>
  <conditionalFormatting sqref="O16 O12:O13">
    <cfRule type="expression" dxfId="5326" priority="5056">
      <formula>MOD(ROW(),2)=0</formula>
    </cfRule>
  </conditionalFormatting>
  <conditionalFormatting sqref="O14 O17:O19 O21">
    <cfRule type="expression" dxfId="5325" priority="5055">
      <formula>MOD(ROW(),2)=0</formula>
    </cfRule>
  </conditionalFormatting>
  <conditionalFormatting sqref="O11">
    <cfRule type="expression" dxfId="5324" priority="5054">
      <formula>MOD(ROW(),2)=0</formula>
    </cfRule>
  </conditionalFormatting>
  <conditionalFormatting sqref="O22">
    <cfRule type="expression" dxfId="5323" priority="5053">
      <formula>MOD(ROW(),2)=0</formula>
    </cfRule>
  </conditionalFormatting>
  <conditionalFormatting sqref="O10">
    <cfRule type="expression" dxfId="5322" priority="5052">
      <formula>MOD(ROW(),2)=0</formula>
    </cfRule>
  </conditionalFormatting>
  <conditionalFormatting sqref="O15">
    <cfRule type="expression" dxfId="5321" priority="5051">
      <formula>MOD(ROW(),2)=0</formula>
    </cfRule>
  </conditionalFormatting>
  <conditionalFormatting sqref="O15">
    <cfRule type="expression" dxfId="5320" priority="5050">
      <formula>MOD(ROW(),2)=0</formula>
    </cfRule>
  </conditionalFormatting>
  <conditionalFormatting sqref="O15">
    <cfRule type="expression" dxfId="5319" priority="5049">
      <formula>MOD(ROW(),2)=0</formula>
    </cfRule>
  </conditionalFormatting>
  <conditionalFormatting sqref="O15">
    <cfRule type="expression" dxfId="5318" priority="5048">
      <formula>MOD(ROW(),2)=0</formula>
    </cfRule>
  </conditionalFormatting>
  <conditionalFormatting sqref="O15">
    <cfRule type="expression" dxfId="5317" priority="5047">
      <formula>MOD(ROW(),2)=0</formula>
    </cfRule>
  </conditionalFormatting>
  <conditionalFormatting sqref="O15">
    <cfRule type="expression" dxfId="5316" priority="5046">
      <formula>MOD(ROW(),2)=0</formula>
    </cfRule>
  </conditionalFormatting>
  <conditionalFormatting sqref="O15">
    <cfRule type="expression" dxfId="5315" priority="5045">
      <formula>MOD(ROW(),2)=0</formula>
    </cfRule>
  </conditionalFormatting>
  <conditionalFormatting sqref="O15">
    <cfRule type="expression" dxfId="5314" priority="5044">
      <formula>MOD(ROW(),2)=0</formula>
    </cfRule>
  </conditionalFormatting>
  <conditionalFormatting sqref="O15">
    <cfRule type="expression" dxfId="5313" priority="5043">
      <formula>MOD(ROW(),2)=0</formula>
    </cfRule>
  </conditionalFormatting>
  <conditionalFormatting sqref="O15">
    <cfRule type="expression" dxfId="5312" priority="5042">
      <formula>MOD(ROW(),2)=0</formula>
    </cfRule>
  </conditionalFormatting>
  <conditionalFormatting sqref="O15">
    <cfRule type="expression" dxfId="5311" priority="5041">
      <formula>MOD(ROW(),2)=0</formula>
    </cfRule>
  </conditionalFormatting>
  <conditionalFormatting sqref="O15">
    <cfRule type="expression" dxfId="5310" priority="5040">
      <formula>MOD(ROW(),2)=0</formula>
    </cfRule>
  </conditionalFormatting>
  <conditionalFormatting sqref="O15">
    <cfRule type="expression" dxfId="5309" priority="5039">
      <formula>MOD(ROW(),2)=0</formula>
    </cfRule>
  </conditionalFormatting>
  <conditionalFormatting sqref="O15">
    <cfRule type="expression" dxfId="5308" priority="5038">
      <formula>MOD(ROW(),2)=0</formula>
    </cfRule>
  </conditionalFormatting>
  <conditionalFormatting sqref="O15">
    <cfRule type="expression" dxfId="5307" priority="5037">
      <formula>MOD(ROW(),2)=0</formula>
    </cfRule>
  </conditionalFormatting>
  <conditionalFormatting sqref="O15">
    <cfRule type="expression" dxfId="5306" priority="5036">
      <formula>MOD(ROW(),2)=0</formula>
    </cfRule>
  </conditionalFormatting>
  <conditionalFormatting sqref="O20">
    <cfRule type="expression" dxfId="5305" priority="5035">
      <formula>MOD(ROW(),2)=0</formula>
    </cfRule>
  </conditionalFormatting>
  <conditionalFormatting sqref="O20">
    <cfRule type="expression" dxfId="5304" priority="5034">
      <formula>MOD(ROW(),2)=0</formula>
    </cfRule>
  </conditionalFormatting>
  <conditionalFormatting sqref="O20">
    <cfRule type="expression" dxfId="5303" priority="5033">
      <formula>MOD(ROW(),2)=0</formula>
    </cfRule>
  </conditionalFormatting>
  <conditionalFormatting sqref="O20">
    <cfRule type="expression" dxfId="5302" priority="5032">
      <formula>MOD(ROW(),2)=0</formula>
    </cfRule>
  </conditionalFormatting>
  <conditionalFormatting sqref="O20">
    <cfRule type="expression" dxfId="5301" priority="5031">
      <formula>MOD(ROW(),2)=0</formula>
    </cfRule>
  </conditionalFormatting>
  <conditionalFormatting sqref="O20">
    <cfRule type="expression" dxfId="5300" priority="5030">
      <formula>MOD(ROW(),2)=0</formula>
    </cfRule>
  </conditionalFormatting>
  <conditionalFormatting sqref="O20">
    <cfRule type="expression" dxfId="5299" priority="5029">
      <formula>MOD(ROW(),2)=0</formula>
    </cfRule>
  </conditionalFormatting>
  <conditionalFormatting sqref="O20">
    <cfRule type="expression" dxfId="5298" priority="5028">
      <formula>MOD(ROW(),2)=0</formula>
    </cfRule>
  </conditionalFormatting>
  <conditionalFormatting sqref="O20">
    <cfRule type="expression" dxfId="5297" priority="5027">
      <formula>MOD(ROW(),2)=0</formula>
    </cfRule>
  </conditionalFormatting>
  <conditionalFormatting sqref="O20">
    <cfRule type="expression" dxfId="5296" priority="5026">
      <formula>MOD(ROW(),2)=0</formula>
    </cfRule>
  </conditionalFormatting>
  <conditionalFormatting sqref="O20">
    <cfRule type="expression" dxfId="5295" priority="5025">
      <formula>MOD(ROW(),2)=0</formula>
    </cfRule>
  </conditionalFormatting>
  <conditionalFormatting sqref="O20">
    <cfRule type="expression" dxfId="5294" priority="5024">
      <formula>MOD(ROW(),2)=0</formula>
    </cfRule>
  </conditionalFormatting>
  <conditionalFormatting sqref="O20">
    <cfRule type="expression" dxfId="5293" priority="5023">
      <formula>MOD(ROW(),2)=0</formula>
    </cfRule>
  </conditionalFormatting>
  <conditionalFormatting sqref="O20">
    <cfRule type="expression" dxfId="5292" priority="5022">
      <formula>MOD(ROW(),2)=0</formula>
    </cfRule>
  </conditionalFormatting>
  <conditionalFormatting sqref="O20">
    <cfRule type="expression" dxfId="5291" priority="5021">
      <formula>MOD(ROW(),2)=0</formula>
    </cfRule>
  </conditionalFormatting>
  <conditionalFormatting sqref="O20">
    <cfRule type="expression" dxfId="5290" priority="5020">
      <formula>MOD(ROW(),2)=0</formula>
    </cfRule>
  </conditionalFormatting>
  <conditionalFormatting sqref="P9">
    <cfRule type="expression" dxfId="5289" priority="5019">
      <formula>MOD(ROW(),2)=0</formula>
    </cfRule>
  </conditionalFormatting>
  <conditionalFormatting sqref="P8">
    <cfRule type="expression" dxfId="5288" priority="5018">
      <formula>MOD(ROW(),2)=0</formula>
    </cfRule>
  </conditionalFormatting>
  <conditionalFormatting sqref="P16 P12:P13">
    <cfRule type="expression" dxfId="5287" priority="5017">
      <formula>MOD(ROW(),2)=0</formula>
    </cfRule>
  </conditionalFormatting>
  <conditionalFormatting sqref="P14 P17:P19 P21">
    <cfRule type="expression" dxfId="5286" priority="5016">
      <formula>MOD(ROW(),2)=0</formula>
    </cfRule>
  </conditionalFormatting>
  <conditionalFormatting sqref="P11">
    <cfRule type="expression" dxfId="5285" priority="5015">
      <formula>MOD(ROW(),2)=0</formula>
    </cfRule>
  </conditionalFormatting>
  <conditionalFormatting sqref="P22">
    <cfRule type="expression" dxfId="5284" priority="5014">
      <formula>MOD(ROW(),2)=0</formula>
    </cfRule>
  </conditionalFormatting>
  <conditionalFormatting sqref="P10">
    <cfRule type="expression" dxfId="5283" priority="5013">
      <formula>MOD(ROW(),2)=0</formula>
    </cfRule>
  </conditionalFormatting>
  <conditionalFormatting sqref="P9">
    <cfRule type="expression" dxfId="5282" priority="5012">
      <formula>MOD(ROW(),2)=0</formula>
    </cfRule>
  </conditionalFormatting>
  <conditionalFormatting sqref="P8">
    <cfRule type="expression" dxfId="5281" priority="5011">
      <formula>MOD(ROW(),2)=0</formula>
    </cfRule>
  </conditionalFormatting>
  <conditionalFormatting sqref="P16 P12:P13">
    <cfRule type="expression" dxfId="5280" priority="5010">
      <formula>MOD(ROW(),2)=0</formula>
    </cfRule>
  </conditionalFormatting>
  <conditionalFormatting sqref="P14 P17:P19 P21">
    <cfRule type="expression" dxfId="5279" priority="5009">
      <formula>MOD(ROW(),2)=0</formula>
    </cfRule>
  </conditionalFormatting>
  <conditionalFormatting sqref="P11">
    <cfRule type="expression" dxfId="5278" priority="5008">
      <formula>MOD(ROW(),2)=0</formula>
    </cfRule>
  </conditionalFormatting>
  <conditionalFormatting sqref="P22">
    <cfRule type="expression" dxfId="5277" priority="5007">
      <formula>MOD(ROW(),2)=0</formula>
    </cfRule>
  </conditionalFormatting>
  <conditionalFormatting sqref="P10">
    <cfRule type="expression" dxfId="5276" priority="5006">
      <formula>MOD(ROW(),2)=0</formula>
    </cfRule>
  </conditionalFormatting>
  <conditionalFormatting sqref="P9">
    <cfRule type="expression" dxfId="5275" priority="5005">
      <formula>MOD(ROW(),2)=0</formula>
    </cfRule>
  </conditionalFormatting>
  <conditionalFormatting sqref="P8">
    <cfRule type="expression" dxfId="5274" priority="5004">
      <formula>MOD(ROW(),2)=0</formula>
    </cfRule>
  </conditionalFormatting>
  <conditionalFormatting sqref="P16 P12:P13">
    <cfRule type="expression" dxfId="5273" priority="5003">
      <formula>MOD(ROW(),2)=0</formula>
    </cfRule>
  </conditionalFormatting>
  <conditionalFormatting sqref="P14 P17:P19 P21">
    <cfRule type="expression" dxfId="5272" priority="5002">
      <formula>MOD(ROW(),2)=0</formula>
    </cfRule>
  </conditionalFormatting>
  <conditionalFormatting sqref="P11">
    <cfRule type="expression" dxfId="5271" priority="5001">
      <formula>MOD(ROW(),2)=0</formula>
    </cfRule>
  </conditionalFormatting>
  <conditionalFormatting sqref="P22">
    <cfRule type="expression" dxfId="5270" priority="5000">
      <formula>MOD(ROW(),2)=0</formula>
    </cfRule>
  </conditionalFormatting>
  <conditionalFormatting sqref="P10">
    <cfRule type="expression" dxfId="5269" priority="4999">
      <formula>MOD(ROW(),2)=0</formula>
    </cfRule>
  </conditionalFormatting>
  <conditionalFormatting sqref="P9">
    <cfRule type="expression" dxfId="5268" priority="4998">
      <formula>MOD(ROW(),2)=0</formula>
    </cfRule>
  </conditionalFormatting>
  <conditionalFormatting sqref="P8">
    <cfRule type="expression" dxfId="5267" priority="4997">
      <formula>MOD(ROW(),2)=0</formula>
    </cfRule>
  </conditionalFormatting>
  <conditionalFormatting sqref="P16 P12:P13">
    <cfRule type="expression" dxfId="5266" priority="4996">
      <formula>MOD(ROW(),2)=0</formula>
    </cfRule>
  </conditionalFormatting>
  <conditionalFormatting sqref="P14 P17:P19 P21">
    <cfRule type="expression" dxfId="5265" priority="4995">
      <formula>MOD(ROW(),2)=0</formula>
    </cfRule>
  </conditionalFormatting>
  <conditionalFormatting sqref="P11">
    <cfRule type="expression" dxfId="5264" priority="4994">
      <formula>MOD(ROW(),2)=0</formula>
    </cfRule>
  </conditionalFormatting>
  <conditionalFormatting sqref="P22">
    <cfRule type="expression" dxfId="5263" priority="4993">
      <formula>MOD(ROW(),2)=0</formula>
    </cfRule>
  </conditionalFormatting>
  <conditionalFormatting sqref="P10">
    <cfRule type="expression" dxfId="5262" priority="4992">
      <formula>MOD(ROW(),2)=0</formula>
    </cfRule>
  </conditionalFormatting>
  <conditionalFormatting sqref="P9">
    <cfRule type="expression" dxfId="5261" priority="4991">
      <formula>MOD(ROW(),2)=0</formula>
    </cfRule>
  </conditionalFormatting>
  <conditionalFormatting sqref="P8">
    <cfRule type="expression" dxfId="5260" priority="4990">
      <formula>MOD(ROW(),2)=0</formula>
    </cfRule>
  </conditionalFormatting>
  <conditionalFormatting sqref="P16 P12:P13">
    <cfRule type="expression" dxfId="5259" priority="4989">
      <formula>MOD(ROW(),2)=0</formula>
    </cfRule>
  </conditionalFormatting>
  <conditionalFormatting sqref="P14 P17:P19 P21">
    <cfRule type="expression" dxfId="5258" priority="4988">
      <formula>MOD(ROW(),2)=0</formula>
    </cfRule>
  </conditionalFormatting>
  <conditionalFormatting sqref="P11">
    <cfRule type="expression" dxfId="5257" priority="4987">
      <formula>MOD(ROW(),2)=0</formula>
    </cfRule>
  </conditionalFormatting>
  <conditionalFormatting sqref="P22">
    <cfRule type="expression" dxfId="5256" priority="4986">
      <formula>MOD(ROW(),2)=0</formula>
    </cfRule>
  </conditionalFormatting>
  <conditionalFormatting sqref="P10">
    <cfRule type="expression" dxfId="5255" priority="4985">
      <formula>MOD(ROW(),2)=0</formula>
    </cfRule>
  </conditionalFormatting>
  <conditionalFormatting sqref="P9">
    <cfRule type="expression" dxfId="5254" priority="4984">
      <formula>MOD(ROW(),2)=0</formula>
    </cfRule>
  </conditionalFormatting>
  <conditionalFormatting sqref="P8">
    <cfRule type="expression" dxfId="5253" priority="4983">
      <formula>MOD(ROW(),2)=0</formula>
    </cfRule>
  </conditionalFormatting>
  <conditionalFormatting sqref="P16 P12:P13">
    <cfRule type="expression" dxfId="5252" priority="4982">
      <formula>MOD(ROW(),2)=0</formula>
    </cfRule>
  </conditionalFormatting>
  <conditionalFormatting sqref="P14 P17:P19 P21">
    <cfRule type="expression" dxfId="5251" priority="4981">
      <formula>MOD(ROW(),2)=0</formula>
    </cfRule>
  </conditionalFormatting>
  <conditionalFormatting sqref="P11">
    <cfRule type="expression" dxfId="5250" priority="4980">
      <formula>MOD(ROW(),2)=0</formula>
    </cfRule>
  </conditionalFormatting>
  <conditionalFormatting sqref="P22">
    <cfRule type="expression" dxfId="5249" priority="4979">
      <formula>MOD(ROW(),2)=0</formula>
    </cfRule>
  </conditionalFormatting>
  <conditionalFormatting sqref="P10">
    <cfRule type="expression" dxfId="5248" priority="4978">
      <formula>MOD(ROW(),2)=0</formula>
    </cfRule>
  </conditionalFormatting>
  <conditionalFormatting sqref="P9">
    <cfRule type="expression" dxfId="5247" priority="4977">
      <formula>MOD(ROW(),2)=0</formula>
    </cfRule>
  </conditionalFormatting>
  <conditionalFormatting sqref="P8">
    <cfRule type="expression" dxfId="5246" priority="4976">
      <formula>MOD(ROW(),2)=0</formula>
    </cfRule>
  </conditionalFormatting>
  <conditionalFormatting sqref="P16 P12:P13">
    <cfRule type="expression" dxfId="5245" priority="4975">
      <formula>MOD(ROW(),2)=0</formula>
    </cfRule>
  </conditionalFormatting>
  <conditionalFormatting sqref="P14 P17:P19 P21">
    <cfRule type="expression" dxfId="5244" priority="4974">
      <formula>MOD(ROW(),2)=0</formula>
    </cfRule>
  </conditionalFormatting>
  <conditionalFormatting sqref="P11">
    <cfRule type="expression" dxfId="5243" priority="4973">
      <formula>MOD(ROW(),2)=0</formula>
    </cfRule>
  </conditionalFormatting>
  <conditionalFormatting sqref="P10">
    <cfRule type="expression" dxfId="5242" priority="4972">
      <formula>MOD(ROW(),2)=0</formula>
    </cfRule>
  </conditionalFormatting>
  <conditionalFormatting sqref="P22">
    <cfRule type="expression" dxfId="5241" priority="4971">
      <formula>MOD(ROW(),2)=0</formula>
    </cfRule>
  </conditionalFormatting>
  <conditionalFormatting sqref="P9">
    <cfRule type="expression" dxfId="5240" priority="4970">
      <formula>MOD(ROW(),2)=0</formula>
    </cfRule>
  </conditionalFormatting>
  <conditionalFormatting sqref="P8">
    <cfRule type="expression" dxfId="5239" priority="4969">
      <formula>MOD(ROW(),2)=0</formula>
    </cfRule>
  </conditionalFormatting>
  <conditionalFormatting sqref="P16 P12:P13">
    <cfRule type="expression" dxfId="5238" priority="4968">
      <formula>MOD(ROW(),2)=0</formula>
    </cfRule>
  </conditionalFormatting>
  <conditionalFormatting sqref="P14 P17:P19 P21">
    <cfRule type="expression" dxfId="5237" priority="4967">
      <formula>MOD(ROW(),2)=0</formula>
    </cfRule>
  </conditionalFormatting>
  <conditionalFormatting sqref="P11">
    <cfRule type="expression" dxfId="5236" priority="4966">
      <formula>MOD(ROW(),2)=0</formula>
    </cfRule>
  </conditionalFormatting>
  <conditionalFormatting sqref="P22">
    <cfRule type="expression" dxfId="5235" priority="4965">
      <formula>MOD(ROW(),2)=0</formula>
    </cfRule>
  </conditionalFormatting>
  <conditionalFormatting sqref="P10">
    <cfRule type="expression" dxfId="5234" priority="4964">
      <formula>MOD(ROW(),2)=0</formula>
    </cfRule>
  </conditionalFormatting>
  <conditionalFormatting sqref="P9">
    <cfRule type="expression" dxfId="5233" priority="4963">
      <formula>MOD(ROW(),2)=0</formula>
    </cfRule>
  </conditionalFormatting>
  <conditionalFormatting sqref="P8">
    <cfRule type="expression" dxfId="5232" priority="4962">
      <formula>MOD(ROW(),2)=0</formula>
    </cfRule>
  </conditionalFormatting>
  <conditionalFormatting sqref="P16 P12:P13">
    <cfRule type="expression" dxfId="5231" priority="4961">
      <formula>MOD(ROW(),2)=0</formula>
    </cfRule>
  </conditionalFormatting>
  <conditionalFormatting sqref="P14 P17:P19 P21">
    <cfRule type="expression" dxfId="5230" priority="4960">
      <formula>MOD(ROW(),2)=0</formula>
    </cfRule>
  </conditionalFormatting>
  <conditionalFormatting sqref="P11">
    <cfRule type="expression" dxfId="5229" priority="4959">
      <formula>MOD(ROW(),2)=0</formula>
    </cfRule>
  </conditionalFormatting>
  <conditionalFormatting sqref="P22">
    <cfRule type="expression" dxfId="5228" priority="4958">
      <formula>MOD(ROW(),2)=0</formula>
    </cfRule>
  </conditionalFormatting>
  <conditionalFormatting sqref="P10">
    <cfRule type="expression" dxfId="5227" priority="4957">
      <formula>MOD(ROW(),2)=0</formula>
    </cfRule>
  </conditionalFormatting>
  <conditionalFormatting sqref="P9">
    <cfRule type="expression" dxfId="5226" priority="4956">
      <formula>MOD(ROW(),2)=0</formula>
    </cfRule>
  </conditionalFormatting>
  <conditionalFormatting sqref="P8">
    <cfRule type="expression" dxfId="5225" priority="4955">
      <formula>MOD(ROW(),2)=0</formula>
    </cfRule>
  </conditionalFormatting>
  <conditionalFormatting sqref="P16 P12:P13">
    <cfRule type="expression" dxfId="5224" priority="4954">
      <formula>MOD(ROW(),2)=0</formula>
    </cfRule>
  </conditionalFormatting>
  <conditionalFormatting sqref="P14 P17:P19 P21">
    <cfRule type="expression" dxfId="5223" priority="4953">
      <formula>MOD(ROW(),2)=0</formula>
    </cfRule>
  </conditionalFormatting>
  <conditionalFormatting sqref="P11">
    <cfRule type="expression" dxfId="5222" priority="4952">
      <formula>MOD(ROW(),2)=0</formula>
    </cfRule>
  </conditionalFormatting>
  <conditionalFormatting sqref="P22">
    <cfRule type="expression" dxfId="5221" priority="4951">
      <formula>MOD(ROW(),2)=0</formula>
    </cfRule>
  </conditionalFormatting>
  <conditionalFormatting sqref="P10">
    <cfRule type="expression" dxfId="5220" priority="4950">
      <formula>MOD(ROW(),2)=0</formula>
    </cfRule>
  </conditionalFormatting>
  <conditionalFormatting sqref="P9">
    <cfRule type="expression" dxfId="5219" priority="4949">
      <formula>MOD(ROW(),2)=0</formula>
    </cfRule>
  </conditionalFormatting>
  <conditionalFormatting sqref="P8">
    <cfRule type="expression" dxfId="5218" priority="4948">
      <formula>MOD(ROW(),2)=0</formula>
    </cfRule>
  </conditionalFormatting>
  <conditionalFormatting sqref="P16 P12:P13">
    <cfRule type="expression" dxfId="5217" priority="4947">
      <formula>MOD(ROW(),2)=0</formula>
    </cfRule>
  </conditionalFormatting>
  <conditionalFormatting sqref="P14 P17:P19 P21">
    <cfRule type="expression" dxfId="5216" priority="4946">
      <formula>MOD(ROW(),2)=0</formula>
    </cfRule>
  </conditionalFormatting>
  <conditionalFormatting sqref="P11">
    <cfRule type="expression" dxfId="5215" priority="4945">
      <formula>MOD(ROW(),2)=0</formula>
    </cfRule>
  </conditionalFormatting>
  <conditionalFormatting sqref="P22">
    <cfRule type="expression" dxfId="5214" priority="4944">
      <formula>MOD(ROW(),2)=0</formula>
    </cfRule>
  </conditionalFormatting>
  <conditionalFormatting sqref="P10">
    <cfRule type="expression" dxfId="5213" priority="4943">
      <formula>MOD(ROW(),2)=0</formula>
    </cfRule>
  </conditionalFormatting>
  <conditionalFormatting sqref="P9">
    <cfRule type="expression" dxfId="5212" priority="4942">
      <formula>MOD(ROW(),2)=0</formula>
    </cfRule>
  </conditionalFormatting>
  <conditionalFormatting sqref="P8">
    <cfRule type="expression" dxfId="5211" priority="4941">
      <formula>MOD(ROW(),2)=0</formula>
    </cfRule>
  </conditionalFormatting>
  <conditionalFormatting sqref="P16 P12:P13">
    <cfRule type="expression" dxfId="5210" priority="4940">
      <formula>MOD(ROW(),2)=0</formula>
    </cfRule>
  </conditionalFormatting>
  <conditionalFormatting sqref="P14 P17:P19 P21">
    <cfRule type="expression" dxfId="5209" priority="4939">
      <formula>MOD(ROW(),2)=0</formula>
    </cfRule>
  </conditionalFormatting>
  <conditionalFormatting sqref="P11">
    <cfRule type="expression" dxfId="5208" priority="4938">
      <formula>MOD(ROW(),2)=0</formula>
    </cfRule>
  </conditionalFormatting>
  <conditionalFormatting sqref="P22">
    <cfRule type="expression" dxfId="5207" priority="4937">
      <formula>MOD(ROW(),2)=0</formula>
    </cfRule>
  </conditionalFormatting>
  <conditionalFormatting sqref="P10">
    <cfRule type="expression" dxfId="5206" priority="4936">
      <formula>MOD(ROW(),2)=0</formula>
    </cfRule>
  </conditionalFormatting>
  <conditionalFormatting sqref="P9">
    <cfRule type="expression" dxfId="5205" priority="4935">
      <formula>MOD(ROW(),2)=0</formula>
    </cfRule>
  </conditionalFormatting>
  <conditionalFormatting sqref="P8">
    <cfRule type="expression" dxfId="5204" priority="4934">
      <formula>MOD(ROW(),2)=0</formula>
    </cfRule>
  </conditionalFormatting>
  <conditionalFormatting sqref="P16 P12:P13">
    <cfRule type="expression" dxfId="5203" priority="4933">
      <formula>MOD(ROW(),2)=0</formula>
    </cfRule>
  </conditionalFormatting>
  <conditionalFormatting sqref="P14 P17:P19 P21">
    <cfRule type="expression" dxfId="5202" priority="4932">
      <formula>MOD(ROW(),2)=0</formula>
    </cfRule>
  </conditionalFormatting>
  <conditionalFormatting sqref="P11">
    <cfRule type="expression" dxfId="5201" priority="4931">
      <formula>MOD(ROW(),2)=0</formula>
    </cfRule>
  </conditionalFormatting>
  <conditionalFormatting sqref="P22">
    <cfRule type="expression" dxfId="5200" priority="4930">
      <formula>MOD(ROW(),2)=0</formula>
    </cfRule>
  </conditionalFormatting>
  <conditionalFormatting sqref="P10">
    <cfRule type="expression" dxfId="5199" priority="4929">
      <formula>MOD(ROW(),2)=0</formula>
    </cfRule>
  </conditionalFormatting>
  <conditionalFormatting sqref="P9">
    <cfRule type="expression" dxfId="5198" priority="4928">
      <formula>MOD(ROW(),2)=0</formula>
    </cfRule>
  </conditionalFormatting>
  <conditionalFormatting sqref="P8">
    <cfRule type="expression" dxfId="5197" priority="4927">
      <formula>MOD(ROW(),2)=0</formula>
    </cfRule>
  </conditionalFormatting>
  <conditionalFormatting sqref="P16 P12:P13">
    <cfRule type="expression" dxfId="5196" priority="4926">
      <formula>MOD(ROW(),2)=0</formula>
    </cfRule>
  </conditionalFormatting>
  <conditionalFormatting sqref="P14 P17:P19 P21">
    <cfRule type="expression" dxfId="5195" priority="4925">
      <formula>MOD(ROW(),2)=0</formula>
    </cfRule>
  </conditionalFormatting>
  <conditionalFormatting sqref="P11">
    <cfRule type="expression" dxfId="5194" priority="4924">
      <formula>MOD(ROW(),2)=0</formula>
    </cfRule>
  </conditionalFormatting>
  <conditionalFormatting sqref="P22">
    <cfRule type="expression" dxfId="5193" priority="4923">
      <formula>MOD(ROW(),2)=0</formula>
    </cfRule>
  </conditionalFormatting>
  <conditionalFormatting sqref="P10">
    <cfRule type="expression" dxfId="5192" priority="4922">
      <formula>MOD(ROW(),2)=0</formula>
    </cfRule>
  </conditionalFormatting>
  <conditionalFormatting sqref="P9">
    <cfRule type="expression" dxfId="5191" priority="4921">
      <formula>MOD(ROW(),2)=0</formula>
    </cfRule>
  </conditionalFormatting>
  <conditionalFormatting sqref="P8">
    <cfRule type="expression" dxfId="5190" priority="4920">
      <formula>MOD(ROW(),2)=0</formula>
    </cfRule>
  </conditionalFormatting>
  <conditionalFormatting sqref="P16 P12:P13">
    <cfRule type="expression" dxfId="5189" priority="4919">
      <formula>MOD(ROW(),2)=0</formula>
    </cfRule>
  </conditionalFormatting>
  <conditionalFormatting sqref="P14 P17:P19 P21">
    <cfRule type="expression" dxfId="5188" priority="4918">
      <formula>MOD(ROW(),2)=0</formula>
    </cfRule>
  </conditionalFormatting>
  <conditionalFormatting sqref="P11">
    <cfRule type="expression" dxfId="5187" priority="4917">
      <formula>MOD(ROW(),2)=0</formula>
    </cfRule>
  </conditionalFormatting>
  <conditionalFormatting sqref="P10">
    <cfRule type="expression" dxfId="5186" priority="4916">
      <formula>MOD(ROW(),2)=0</formula>
    </cfRule>
  </conditionalFormatting>
  <conditionalFormatting sqref="P22">
    <cfRule type="expression" dxfId="5185" priority="4915">
      <formula>MOD(ROW(),2)=0</formula>
    </cfRule>
  </conditionalFormatting>
  <conditionalFormatting sqref="P9">
    <cfRule type="expression" dxfId="5184" priority="4914">
      <formula>MOD(ROW(),2)=0</formula>
    </cfRule>
  </conditionalFormatting>
  <conditionalFormatting sqref="P8">
    <cfRule type="expression" dxfId="5183" priority="4913">
      <formula>MOD(ROW(),2)=0</formula>
    </cfRule>
  </conditionalFormatting>
  <conditionalFormatting sqref="P16 P12:P13">
    <cfRule type="expression" dxfId="5182" priority="4912">
      <formula>MOD(ROW(),2)=0</formula>
    </cfRule>
  </conditionalFormatting>
  <conditionalFormatting sqref="P14 P17:P19 P21">
    <cfRule type="expression" dxfId="5181" priority="4911">
      <formula>MOD(ROW(),2)=0</formula>
    </cfRule>
  </conditionalFormatting>
  <conditionalFormatting sqref="P11">
    <cfRule type="expression" dxfId="5180" priority="4910">
      <formula>MOD(ROW(),2)=0</formula>
    </cfRule>
  </conditionalFormatting>
  <conditionalFormatting sqref="P22">
    <cfRule type="expression" dxfId="5179" priority="4909">
      <formula>MOD(ROW(),2)=0</formula>
    </cfRule>
  </conditionalFormatting>
  <conditionalFormatting sqref="P10">
    <cfRule type="expression" dxfId="5178" priority="4908">
      <formula>MOD(ROW(),2)=0</formula>
    </cfRule>
  </conditionalFormatting>
  <conditionalFormatting sqref="P15">
    <cfRule type="expression" dxfId="5177" priority="4907">
      <formula>MOD(ROW(),2)=0</formula>
    </cfRule>
  </conditionalFormatting>
  <conditionalFormatting sqref="P15">
    <cfRule type="expression" dxfId="5176" priority="4906">
      <formula>MOD(ROW(),2)=0</formula>
    </cfRule>
  </conditionalFormatting>
  <conditionalFormatting sqref="P15">
    <cfRule type="expression" dxfId="5175" priority="4905">
      <formula>MOD(ROW(),2)=0</formula>
    </cfRule>
  </conditionalFormatting>
  <conditionalFormatting sqref="P15">
    <cfRule type="expression" dxfId="5174" priority="4904">
      <formula>MOD(ROW(),2)=0</formula>
    </cfRule>
  </conditionalFormatting>
  <conditionalFormatting sqref="P15">
    <cfRule type="expression" dxfId="5173" priority="4903">
      <formula>MOD(ROW(),2)=0</formula>
    </cfRule>
  </conditionalFormatting>
  <conditionalFormatting sqref="P15">
    <cfRule type="expression" dxfId="5172" priority="4902">
      <formula>MOD(ROW(),2)=0</formula>
    </cfRule>
  </conditionalFormatting>
  <conditionalFormatting sqref="P15">
    <cfRule type="expression" dxfId="5171" priority="4901">
      <formula>MOD(ROW(),2)=0</formula>
    </cfRule>
  </conditionalFormatting>
  <conditionalFormatting sqref="P15">
    <cfRule type="expression" dxfId="5170" priority="4900">
      <formula>MOD(ROW(),2)=0</formula>
    </cfRule>
  </conditionalFormatting>
  <conditionalFormatting sqref="P15">
    <cfRule type="expression" dxfId="5169" priority="4899">
      <formula>MOD(ROW(),2)=0</formula>
    </cfRule>
  </conditionalFormatting>
  <conditionalFormatting sqref="P15">
    <cfRule type="expression" dxfId="5168" priority="4898">
      <formula>MOD(ROW(),2)=0</formula>
    </cfRule>
  </conditionalFormatting>
  <conditionalFormatting sqref="P15">
    <cfRule type="expression" dxfId="5167" priority="4897">
      <formula>MOD(ROW(),2)=0</formula>
    </cfRule>
  </conditionalFormatting>
  <conditionalFormatting sqref="P15">
    <cfRule type="expression" dxfId="5166" priority="4896">
      <formula>MOD(ROW(),2)=0</formula>
    </cfRule>
  </conditionalFormatting>
  <conditionalFormatting sqref="P15">
    <cfRule type="expression" dxfId="5165" priority="4895">
      <formula>MOD(ROW(),2)=0</formula>
    </cfRule>
  </conditionalFormatting>
  <conditionalFormatting sqref="P15">
    <cfRule type="expression" dxfId="5164" priority="4894">
      <formula>MOD(ROW(),2)=0</formula>
    </cfRule>
  </conditionalFormatting>
  <conditionalFormatting sqref="P15">
    <cfRule type="expression" dxfId="5163" priority="4893">
      <formula>MOD(ROW(),2)=0</formula>
    </cfRule>
  </conditionalFormatting>
  <conditionalFormatting sqref="P15">
    <cfRule type="expression" dxfId="5162" priority="4892">
      <formula>MOD(ROW(),2)=0</formula>
    </cfRule>
  </conditionalFormatting>
  <conditionalFormatting sqref="P20">
    <cfRule type="expression" dxfId="5161" priority="4891">
      <formula>MOD(ROW(),2)=0</formula>
    </cfRule>
  </conditionalFormatting>
  <conditionalFormatting sqref="P20">
    <cfRule type="expression" dxfId="5160" priority="4890">
      <formula>MOD(ROW(),2)=0</formula>
    </cfRule>
  </conditionalFormatting>
  <conditionalFormatting sqref="P20">
    <cfRule type="expression" dxfId="5159" priority="4889">
      <formula>MOD(ROW(),2)=0</formula>
    </cfRule>
  </conditionalFormatting>
  <conditionalFormatting sqref="P20">
    <cfRule type="expression" dxfId="5158" priority="4888">
      <formula>MOD(ROW(),2)=0</formula>
    </cfRule>
  </conditionalFormatting>
  <conditionalFormatting sqref="P20">
    <cfRule type="expression" dxfId="5157" priority="4887">
      <formula>MOD(ROW(),2)=0</formula>
    </cfRule>
  </conditionalFormatting>
  <conditionalFormatting sqref="P20">
    <cfRule type="expression" dxfId="5156" priority="4886">
      <formula>MOD(ROW(),2)=0</formula>
    </cfRule>
  </conditionalFormatting>
  <conditionalFormatting sqref="P20">
    <cfRule type="expression" dxfId="5155" priority="4885">
      <formula>MOD(ROW(),2)=0</formula>
    </cfRule>
  </conditionalFormatting>
  <conditionalFormatting sqref="P20">
    <cfRule type="expression" dxfId="5154" priority="4884">
      <formula>MOD(ROW(),2)=0</formula>
    </cfRule>
  </conditionalFormatting>
  <conditionalFormatting sqref="P20">
    <cfRule type="expression" dxfId="5153" priority="4883">
      <formula>MOD(ROW(),2)=0</formula>
    </cfRule>
  </conditionalFormatting>
  <conditionalFormatting sqref="P20">
    <cfRule type="expression" dxfId="5152" priority="4882">
      <formula>MOD(ROW(),2)=0</formula>
    </cfRule>
  </conditionalFormatting>
  <conditionalFormatting sqref="P20">
    <cfRule type="expression" dxfId="5151" priority="4881">
      <formula>MOD(ROW(),2)=0</formula>
    </cfRule>
  </conditionalFormatting>
  <conditionalFormatting sqref="P20">
    <cfRule type="expression" dxfId="5150" priority="4880">
      <formula>MOD(ROW(),2)=0</formula>
    </cfRule>
  </conditionalFormatting>
  <conditionalFormatting sqref="P20">
    <cfRule type="expression" dxfId="5149" priority="4879">
      <formula>MOD(ROW(),2)=0</formula>
    </cfRule>
  </conditionalFormatting>
  <conditionalFormatting sqref="P20">
    <cfRule type="expression" dxfId="5148" priority="4878">
      <formula>MOD(ROW(),2)=0</formula>
    </cfRule>
  </conditionalFormatting>
  <conditionalFormatting sqref="P20">
    <cfRule type="expression" dxfId="5147" priority="4877">
      <formula>MOD(ROW(),2)=0</formula>
    </cfRule>
  </conditionalFormatting>
  <conditionalFormatting sqref="P20">
    <cfRule type="expression" dxfId="5146" priority="4876">
      <formula>MOD(ROW(),2)=0</formula>
    </cfRule>
  </conditionalFormatting>
  <conditionalFormatting sqref="Q9">
    <cfRule type="expression" dxfId="5145" priority="4875">
      <formula>MOD(ROW(),2)=0</formula>
    </cfRule>
  </conditionalFormatting>
  <conditionalFormatting sqref="Q8">
    <cfRule type="expression" dxfId="5144" priority="4874">
      <formula>MOD(ROW(),2)=0</formula>
    </cfRule>
  </conditionalFormatting>
  <conditionalFormatting sqref="Q16 Q12:Q13">
    <cfRule type="expression" dxfId="5143" priority="4873">
      <formula>MOD(ROW(),2)=0</formula>
    </cfRule>
  </conditionalFormatting>
  <conditionalFormatting sqref="Q14 Q17:Q19 Q21">
    <cfRule type="expression" dxfId="5142" priority="4872">
      <formula>MOD(ROW(),2)=0</formula>
    </cfRule>
  </conditionalFormatting>
  <conditionalFormatting sqref="Q11">
    <cfRule type="expression" dxfId="5141" priority="4871">
      <formula>MOD(ROW(),2)=0</formula>
    </cfRule>
  </conditionalFormatting>
  <conditionalFormatting sqref="Q22">
    <cfRule type="expression" dxfId="5140" priority="4870">
      <formula>MOD(ROW(),2)=0</formula>
    </cfRule>
  </conditionalFormatting>
  <conditionalFormatting sqref="Q10">
    <cfRule type="expression" dxfId="5139" priority="4869">
      <formula>MOD(ROW(),2)=0</formula>
    </cfRule>
  </conditionalFormatting>
  <conditionalFormatting sqref="Q9">
    <cfRule type="expression" dxfId="5138" priority="4868">
      <formula>MOD(ROW(),2)=0</formula>
    </cfRule>
  </conditionalFormatting>
  <conditionalFormatting sqref="Q8">
    <cfRule type="expression" dxfId="5137" priority="4867">
      <formula>MOD(ROW(),2)=0</formula>
    </cfRule>
  </conditionalFormatting>
  <conditionalFormatting sqref="Q16 Q12:Q13">
    <cfRule type="expression" dxfId="5136" priority="4866">
      <formula>MOD(ROW(),2)=0</formula>
    </cfRule>
  </conditionalFormatting>
  <conditionalFormatting sqref="Q14 Q17:Q19 Q21">
    <cfRule type="expression" dxfId="5135" priority="4865">
      <formula>MOD(ROW(),2)=0</formula>
    </cfRule>
  </conditionalFormatting>
  <conditionalFormatting sqref="Q11">
    <cfRule type="expression" dxfId="5134" priority="4864">
      <formula>MOD(ROW(),2)=0</formula>
    </cfRule>
  </conditionalFormatting>
  <conditionalFormatting sqref="Q22">
    <cfRule type="expression" dxfId="5133" priority="4863">
      <formula>MOD(ROW(),2)=0</formula>
    </cfRule>
  </conditionalFormatting>
  <conditionalFormatting sqref="Q10">
    <cfRule type="expression" dxfId="5132" priority="4862">
      <formula>MOD(ROW(),2)=0</formula>
    </cfRule>
  </conditionalFormatting>
  <conditionalFormatting sqref="Q9">
    <cfRule type="expression" dxfId="5131" priority="4861">
      <formula>MOD(ROW(),2)=0</formula>
    </cfRule>
  </conditionalFormatting>
  <conditionalFormatting sqref="Q8">
    <cfRule type="expression" dxfId="5130" priority="4860">
      <formula>MOD(ROW(),2)=0</formula>
    </cfRule>
  </conditionalFormatting>
  <conditionalFormatting sqref="Q16 Q12:Q13">
    <cfRule type="expression" dxfId="5129" priority="4859">
      <formula>MOD(ROW(),2)=0</formula>
    </cfRule>
  </conditionalFormatting>
  <conditionalFormatting sqref="Q14 Q17:Q19 Q21">
    <cfRule type="expression" dxfId="5128" priority="4858">
      <formula>MOD(ROW(),2)=0</formula>
    </cfRule>
  </conditionalFormatting>
  <conditionalFormatting sqref="Q11">
    <cfRule type="expression" dxfId="5127" priority="4857">
      <formula>MOD(ROW(),2)=0</formula>
    </cfRule>
  </conditionalFormatting>
  <conditionalFormatting sqref="Q22">
    <cfRule type="expression" dxfId="5126" priority="4856">
      <formula>MOD(ROW(),2)=0</formula>
    </cfRule>
  </conditionalFormatting>
  <conditionalFormatting sqref="Q10">
    <cfRule type="expression" dxfId="5125" priority="4855">
      <formula>MOD(ROW(),2)=0</formula>
    </cfRule>
  </conditionalFormatting>
  <conditionalFormatting sqref="Q9">
    <cfRule type="expression" dxfId="5124" priority="4854">
      <formula>MOD(ROW(),2)=0</formula>
    </cfRule>
  </conditionalFormatting>
  <conditionalFormatting sqref="Q8">
    <cfRule type="expression" dxfId="5123" priority="4853">
      <formula>MOD(ROW(),2)=0</formula>
    </cfRule>
  </conditionalFormatting>
  <conditionalFormatting sqref="Q16 Q12:Q13">
    <cfRule type="expression" dxfId="5122" priority="4852">
      <formula>MOD(ROW(),2)=0</formula>
    </cfRule>
  </conditionalFormatting>
  <conditionalFormatting sqref="Q14 Q17:Q19 Q21">
    <cfRule type="expression" dxfId="5121" priority="4851">
      <formula>MOD(ROW(),2)=0</formula>
    </cfRule>
  </conditionalFormatting>
  <conditionalFormatting sqref="Q11">
    <cfRule type="expression" dxfId="5120" priority="4850">
      <formula>MOD(ROW(),2)=0</formula>
    </cfRule>
  </conditionalFormatting>
  <conditionalFormatting sqref="Q22">
    <cfRule type="expression" dxfId="5119" priority="4849">
      <formula>MOD(ROW(),2)=0</formula>
    </cfRule>
  </conditionalFormatting>
  <conditionalFormatting sqref="Q10">
    <cfRule type="expression" dxfId="5118" priority="4848">
      <formula>MOD(ROW(),2)=0</formula>
    </cfRule>
  </conditionalFormatting>
  <conditionalFormatting sqref="Q9">
    <cfRule type="expression" dxfId="5117" priority="4847">
      <formula>MOD(ROW(),2)=0</formula>
    </cfRule>
  </conditionalFormatting>
  <conditionalFormatting sqref="Q8">
    <cfRule type="expression" dxfId="5116" priority="4846">
      <formula>MOD(ROW(),2)=0</formula>
    </cfRule>
  </conditionalFormatting>
  <conditionalFormatting sqref="Q16 Q12:Q13">
    <cfRule type="expression" dxfId="5115" priority="4845">
      <formula>MOD(ROW(),2)=0</formula>
    </cfRule>
  </conditionalFormatting>
  <conditionalFormatting sqref="Q14 Q17:Q19 Q21">
    <cfRule type="expression" dxfId="5114" priority="4844">
      <formula>MOD(ROW(),2)=0</formula>
    </cfRule>
  </conditionalFormatting>
  <conditionalFormatting sqref="Q11">
    <cfRule type="expression" dxfId="5113" priority="4843">
      <formula>MOD(ROW(),2)=0</formula>
    </cfRule>
  </conditionalFormatting>
  <conditionalFormatting sqref="Q22">
    <cfRule type="expression" dxfId="5112" priority="4842">
      <formula>MOD(ROW(),2)=0</formula>
    </cfRule>
  </conditionalFormatting>
  <conditionalFormatting sqref="Q10">
    <cfRule type="expression" dxfId="5111" priority="4841">
      <formula>MOD(ROW(),2)=0</formula>
    </cfRule>
  </conditionalFormatting>
  <conditionalFormatting sqref="Q9">
    <cfRule type="expression" dxfId="5110" priority="4840">
      <formula>MOD(ROW(),2)=0</formula>
    </cfRule>
  </conditionalFormatting>
  <conditionalFormatting sqref="Q8">
    <cfRule type="expression" dxfId="5109" priority="4839">
      <formula>MOD(ROW(),2)=0</formula>
    </cfRule>
  </conditionalFormatting>
  <conditionalFormatting sqref="Q16 Q12:Q13">
    <cfRule type="expression" dxfId="5108" priority="4838">
      <formula>MOD(ROW(),2)=0</formula>
    </cfRule>
  </conditionalFormatting>
  <conditionalFormatting sqref="Q14 Q17:Q19 Q21">
    <cfRule type="expression" dxfId="5107" priority="4837">
      <formula>MOD(ROW(),2)=0</formula>
    </cfRule>
  </conditionalFormatting>
  <conditionalFormatting sqref="Q11">
    <cfRule type="expression" dxfId="5106" priority="4836">
      <formula>MOD(ROW(),2)=0</formula>
    </cfRule>
  </conditionalFormatting>
  <conditionalFormatting sqref="Q22">
    <cfRule type="expression" dxfId="5105" priority="4835">
      <formula>MOD(ROW(),2)=0</formula>
    </cfRule>
  </conditionalFormatting>
  <conditionalFormatting sqref="Q10">
    <cfRule type="expression" dxfId="5104" priority="4834">
      <formula>MOD(ROW(),2)=0</formula>
    </cfRule>
  </conditionalFormatting>
  <conditionalFormatting sqref="Q9">
    <cfRule type="expression" dxfId="5103" priority="4833">
      <formula>MOD(ROW(),2)=0</formula>
    </cfRule>
  </conditionalFormatting>
  <conditionalFormatting sqref="Q8">
    <cfRule type="expression" dxfId="5102" priority="4832">
      <formula>MOD(ROW(),2)=0</formula>
    </cfRule>
  </conditionalFormatting>
  <conditionalFormatting sqref="Q16 Q12:Q13">
    <cfRule type="expression" dxfId="5101" priority="4831">
      <formula>MOD(ROW(),2)=0</formula>
    </cfRule>
  </conditionalFormatting>
  <conditionalFormatting sqref="Q14 Q17:Q19 Q21">
    <cfRule type="expression" dxfId="5100" priority="4830">
      <formula>MOD(ROW(),2)=0</formula>
    </cfRule>
  </conditionalFormatting>
  <conditionalFormatting sqref="Q11">
    <cfRule type="expression" dxfId="5099" priority="4829">
      <formula>MOD(ROW(),2)=0</formula>
    </cfRule>
  </conditionalFormatting>
  <conditionalFormatting sqref="Q10">
    <cfRule type="expression" dxfId="5098" priority="4828">
      <formula>MOD(ROW(),2)=0</formula>
    </cfRule>
  </conditionalFormatting>
  <conditionalFormatting sqref="Q22">
    <cfRule type="expression" dxfId="5097" priority="4827">
      <formula>MOD(ROW(),2)=0</formula>
    </cfRule>
  </conditionalFormatting>
  <conditionalFormatting sqref="Q9">
    <cfRule type="expression" dxfId="5096" priority="4826">
      <formula>MOD(ROW(),2)=0</formula>
    </cfRule>
  </conditionalFormatting>
  <conditionalFormatting sqref="Q8">
    <cfRule type="expression" dxfId="5095" priority="4825">
      <formula>MOD(ROW(),2)=0</formula>
    </cfRule>
  </conditionalFormatting>
  <conditionalFormatting sqref="Q16 Q12:Q13">
    <cfRule type="expression" dxfId="5094" priority="4824">
      <formula>MOD(ROW(),2)=0</formula>
    </cfRule>
  </conditionalFormatting>
  <conditionalFormatting sqref="Q14 Q17:Q19 Q21">
    <cfRule type="expression" dxfId="5093" priority="4823">
      <formula>MOD(ROW(),2)=0</formula>
    </cfRule>
  </conditionalFormatting>
  <conditionalFormatting sqref="Q11">
    <cfRule type="expression" dxfId="5092" priority="4822">
      <formula>MOD(ROW(),2)=0</formula>
    </cfRule>
  </conditionalFormatting>
  <conditionalFormatting sqref="Q22">
    <cfRule type="expression" dxfId="5091" priority="4821">
      <formula>MOD(ROW(),2)=0</formula>
    </cfRule>
  </conditionalFormatting>
  <conditionalFormatting sqref="Q10">
    <cfRule type="expression" dxfId="5090" priority="4820">
      <formula>MOD(ROW(),2)=0</formula>
    </cfRule>
  </conditionalFormatting>
  <conditionalFormatting sqref="Q9">
    <cfRule type="expression" dxfId="5089" priority="4819">
      <formula>MOD(ROW(),2)=0</formula>
    </cfRule>
  </conditionalFormatting>
  <conditionalFormatting sqref="Q8">
    <cfRule type="expression" dxfId="5088" priority="4818">
      <formula>MOD(ROW(),2)=0</formula>
    </cfRule>
  </conditionalFormatting>
  <conditionalFormatting sqref="Q16 Q12:Q13">
    <cfRule type="expression" dxfId="5087" priority="4817">
      <formula>MOD(ROW(),2)=0</formula>
    </cfRule>
  </conditionalFormatting>
  <conditionalFormatting sqref="Q14 Q17:Q19 Q21">
    <cfRule type="expression" dxfId="5086" priority="4816">
      <formula>MOD(ROW(),2)=0</formula>
    </cfRule>
  </conditionalFormatting>
  <conditionalFormatting sqref="Q11">
    <cfRule type="expression" dxfId="5085" priority="4815">
      <formula>MOD(ROW(),2)=0</formula>
    </cfRule>
  </conditionalFormatting>
  <conditionalFormatting sqref="Q22">
    <cfRule type="expression" dxfId="5084" priority="4814">
      <formula>MOD(ROW(),2)=0</formula>
    </cfRule>
  </conditionalFormatting>
  <conditionalFormatting sqref="Q10">
    <cfRule type="expression" dxfId="5083" priority="4813">
      <formula>MOD(ROW(),2)=0</formula>
    </cfRule>
  </conditionalFormatting>
  <conditionalFormatting sqref="Q9">
    <cfRule type="expression" dxfId="5082" priority="4812">
      <formula>MOD(ROW(),2)=0</formula>
    </cfRule>
  </conditionalFormatting>
  <conditionalFormatting sqref="Q8">
    <cfRule type="expression" dxfId="5081" priority="4811">
      <formula>MOD(ROW(),2)=0</formula>
    </cfRule>
  </conditionalFormatting>
  <conditionalFormatting sqref="Q16 Q12:Q13">
    <cfRule type="expression" dxfId="5080" priority="4810">
      <formula>MOD(ROW(),2)=0</formula>
    </cfRule>
  </conditionalFormatting>
  <conditionalFormatting sqref="Q14 Q17:Q19 Q21">
    <cfRule type="expression" dxfId="5079" priority="4809">
      <formula>MOD(ROW(),2)=0</formula>
    </cfRule>
  </conditionalFormatting>
  <conditionalFormatting sqref="Q11">
    <cfRule type="expression" dxfId="5078" priority="4808">
      <formula>MOD(ROW(),2)=0</formula>
    </cfRule>
  </conditionalFormatting>
  <conditionalFormatting sqref="Q22">
    <cfRule type="expression" dxfId="5077" priority="4807">
      <formula>MOD(ROW(),2)=0</formula>
    </cfRule>
  </conditionalFormatting>
  <conditionalFormatting sqref="Q10">
    <cfRule type="expression" dxfId="5076" priority="4806">
      <formula>MOD(ROW(),2)=0</formula>
    </cfRule>
  </conditionalFormatting>
  <conditionalFormatting sqref="Q9">
    <cfRule type="expression" dxfId="5075" priority="4805">
      <formula>MOD(ROW(),2)=0</formula>
    </cfRule>
  </conditionalFormatting>
  <conditionalFormatting sqref="Q8">
    <cfRule type="expression" dxfId="5074" priority="4804">
      <formula>MOD(ROW(),2)=0</formula>
    </cfRule>
  </conditionalFormatting>
  <conditionalFormatting sqref="Q16 Q12:Q13">
    <cfRule type="expression" dxfId="5073" priority="4803">
      <formula>MOD(ROW(),2)=0</formula>
    </cfRule>
  </conditionalFormatting>
  <conditionalFormatting sqref="Q14 Q17:Q19 Q21">
    <cfRule type="expression" dxfId="5072" priority="4802">
      <formula>MOD(ROW(),2)=0</formula>
    </cfRule>
  </conditionalFormatting>
  <conditionalFormatting sqref="Q11">
    <cfRule type="expression" dxfId="5071" priority="4801">
      <formula>MOD(ROW(),2)=0</formula>
    </cfRule>
  </conditionalFormatting>
  <conditionalFormatting sqref="Q22">
    <cfRule type="expression" dxfId="5070" priority="4800">
      <formula>MOD(ROW(),2)=0</formula>
    </cfRule>
  </conditionalFormatting>
  <conditionalFormatting sqref="Q10">
    <cfRule type="expression" dxfId="5069" priority="4799">
      <formula>MOD(ROW(),2)=0</formula>
    </cfRule>
  </conditionalFormatting>
  <conditionalFormatting sqref="Q9">
    <cfRule type="expression" dxfId="5068" priority="4798">
      <formula>MOD(ROW(),2)=0</formula>
    </cfRule>
  </conditionalFormatting>
  <conditionalFormatting sqref="Q8">
    <cfRule type="expression" dxfId="5067" priority="4797">
      <formula>MOD(ROW(),2)=0</formula>
    </cfRule>
  </conditionalFormatting>
  <conditionalFormatting sqref="Q16 Q12:Q13">
    <cfRule type="expression" dxfId="5066" priority="4796">
      <formula>MOD(ROW(),2)=0</formula>
    </cfRule>
  </conditionalFormatting>
  <conditionalFormatting sqref="Q14 Q17:Q19 Q21">
    <cfRule type="expression" dxfId="5065" priority="4795">
      <formula>MOD(ROW(),2)=0</formula>
    </cfRule>
  </conditionalFormatting>
  <conditionalFormatting sqref="Q11">
    <cfRule type="expression" dxfId="5064" priority="4794">
      <formula>MOD(ROW(),2)=0</formula>
    </cfRule>
  </conditionalFormatting>
  <conditionalFormatting sqref="Q22">
    <cfRule type="expression" dxfId="5063" priority="4793">
      <formula>MOD(ROW(),2)=0</formula>
    </cfRule>
  </conditionalFormatting>
  <conditionalFormatting sqref="Q10">
    <cfRule type="expression" dxfId="5062" priority="4792">
      <formula>MOD(ROW(),2)=0</formula>
    </cfRule>
  </conditionalFormatting>
  <conditionalFormatting sqref="Q9">
    <cfRule type="expression" dxfId="5061" priority="4791">
      <formula>MOD(ROW(),2)=0</formula>
    </cfRule>
  </conditionalFormatting>
  <conditionalFormatting sqref="Q8">
    <cfRule type="expression" dxfId="5060" priority="4790">
      <formula>MOD(ROW(),2)=0</formula>
    </cfRule>
  </conditionalFormatting>
  <conditionalFormatting sqref="Q16 Q12:Q13">
    <cfRule type="expression" dxfId="5059" priority="4789">
      <formula>MOD(ROW(),2)=0</formula>
    </cfRule>
  </conditionalFormatting>
  <conditionalFormatting sqref="Q14 Q17:Q19 Q21">
    <cfRule type="expression" dxfId="5058" priority="4788">
      <formula>MOD(ROW(),2)=0</formula>
    </cfRule>
  </conditionalFormatting>
  <conditionalFormatting sqref="Q11">
    <cfRule type="expression" dxfId="5057" priority="4787">
      <formula>MOD(ROW(),2)=0</formula>
    </cfRule>
  </conditionalFormatting>
  <conditionalFormatting sqref="Q22">
    <cfRule type="expression" dxfId="5056" priority="4786">
      <formula>MOD(ROW(),2)=0</formula>
    </cfRule>
  </conditionalFormatting>
  <conditionalFormatting sqref="Q10">
    <cfRule type="expression" dxfId="5055" priority="4785">
      <formula>MOD(ROW(),2)=0</formula>
    </cfRule>
  </conditionalFormatting>
  <conditionalFormatting sqref="Q9">
    <cfRule type="expression" dxfId="5054" priority="4784">
      <formula>MOD(ROW(),2)=0</formula>
    </cfRule>
  </conditionalFormatting>
  <conditionalFormatting sqref="Q8">
    <cfRule type="expression" dxfId="5053" priority="4783">
      <formula>MOD(ROW(),2)=0</formula>
    </cfRule>
  </conditionalFormatting>
  <conditionalFormatting sqref="Q16 Q12:Q13">
    <cfRule type="expression" dxfId="5052" priority="4782">
      <formula>MOD(ROW(),2)=0</formula>
    </cfRule>
  </conditionalFormatting>
  <conditionalFormatting sqref="Q14 Q17:Q19 Q21">
    <cfRule type="expression" dxfId="5051" priority="4781">
      <formula>MOD(ROW(),2)=0</formula>
    </cfRule>
  </conditionalFormatting>
  <conditionalFormatting sqref="Q11">
    <cfRule type="expression" dxfId="5050" priority="4780">
      <formula>MOD(ROW(),2)=0</formula>
    </cfRule>
  </conditionalFormatting>
  <conditionalFormatting sqref="Q22">
    <cfRule type="expression" dxfId="5049" priority="4779">
      <formula>MOD(ROW(),2)=0</formula>
    </cfRule>
  </conditionalFormatting>
  <conditionalFormatting sqref="Q10">
    <cfRule type="expression" dxfId="5048" priority="4778">
      <formula>MOD(ROW(),2)=0</formula>
    </cfRule>
  </conditionalFormatting>
  <conditionalFormatting sqref="Q9">
    <cfRule type="expression" dxfId="5047" priority="4777">
      <formula>MOD(ROW(),2)=0</formula>
    </cfRule>
  </conditionalFormatting>
  <conditionalFormatting sqref="Q8">
    <cfRule type="expression" dxfId="5046" priority="4776">
      <formula>MOD(ROW(),2)=0</formula>
    </cfRule>
  </conditionalFormatting>
  <conditionalFormatting sqref="Q16 Q12:Q13">
    <cfRule type="expression" dxfId="5045" priority="4775">
      <formula>MOD(ROW(),2)=0</formula>
    </cfRule>
  </conditionalFormatting>
  <conditionalFormatting sqref="Q14 Q17:Q19 Q21">
    <cfRule type="expression" dxfId="5044" priority="4774">
      <formula>MOD(ROW(),2)=0</formula>
    </cfRule>
  </conditionalFormatting>
  <conditionalFormatting sqref="Q11">
    <cfRule type="expression" dxfId="5043" priority="4773">
      <formula>MOD(ROW(),2)=0</formula>
    </cfRule>
  </conditionalFormatting>
  <conditionalFormatting sqref="Q10">
    <cfRule type="expression" dxfId="5042" priority="4772">
      <formula>MOD(ROW(),2)=0</formula>
    </cfRule>
  </conditionalFormatting>
  <conditionalFormatting sqref="Q22">
    <cfRule type="expression" dxfId="5041" priority="4771">
      <formula>MOD(ROW(),2)=0</formula>
    </cfRule>
  </conditionalFormatting>
  <conditionalFormatting sqref="Q9">
    <cfRule type="expression" dxfId="5040" priority="4770">
      <formula>MOD(ROW(),2)=0</formula>
    </cfRule>
  </conditionalFormatting>
  <conditionalFormatting sqref="Q8">
    <cfRule type="expression" dxfId="5039" priority="4769">
      <formula>MOD(ROW(),2)=0</formula>
    </cfRule>
  </conditionalFormatting>
  <conditionalFormatting sqref="Q16 Q12:Q13">
    <cfRule type="expression" dxfId="5038" priority="4768">
      <formula>MOD(ROW(),2)=0</formula>
    </cfRule>
  </conditionalFormatting>
  <conditionalFormatting sqref="Q14 Q17:Q19 Q21">
    <cfRule type="expression" dxfId="5037" priority="4767">
      <formula>MOD(ROW(),2)=0</formula>
    </cfRule>
  </conditionalFormatting>
  <conditionalFormatting sqref="Q11">
    <cfRule type="expression" dxfId="5036" priority="4766">
      <formula>MOD(ROW(),2)=0</formula>
    </cfRule>
  </conditionalFormatting>
  <conditionalFormatting sqref="Q22">
    <cfRule type="expression" dxfId="5035" priority="4765">
      <formula>MOD(ROW(),2)=0</formula>
    </cfRule>
  </conditionalFormatting>
  <conditionalFormatting sqref="Q10">
    <cfRule type="expression" dxfId="5034" priority="4764">
      <formula>MOD(ROW(),2)=0</formula>
    </cfRule>
  </conditionalFormatting>
  <conditionalFormatting sqref="Q15">
    <cfRule type="expression" dxfId="5033" priority="4763">
      <formula>MOD(ROW(),2)=0</formula>
    </cfRule>
  </conditionalFormatting>
  <conditionalFormatting sqref="Q15">
    <cfRule type="expression" dxfId="5032" priority="4762">
      <formula>MOD(ROW(),2)=0</formula>
    </cfRule>
  </conditionalFormatting>
  <conditionalFormatting sqref="Q15">
    <cfRule type="expression" dxfId="5031" priority="4761">
      <formula>MOD(ROW(),2)=0</formula>
    </cfRule>
  </conditionalFormatting>
  <conditionalFormatting sqref="Q15">
    <cfRule type="expression" dxfId="5030" priority="4760">
      <formula>MOD(ROW(),2)=0</formula>
    </cfRule>
  </conditionalFormatting>
  <conditionalFormatting sqref="Q15">
    <cfRule type="expression" dxfId="5029" priority="4759">
      <formula>MOD(ROW(),2)=0</formula>
    </cfRule>
  </conditionalFormatting>
  <conditionalFormatting sqref="Q15">
    <cfRule type="expression" dxfId="5028" priority="4758">
      <formula>MOD(ROW(),2)=0</formula>
    </cfRule>
  </conditionalFormatting>
  <conditionalFormatting sqref="Q15">
    <cfRule type="expression" dxfId="5027" priority="4757">
      <formula>MOD(ROW(),2)=0</formula>
    </cfRule>
  </conditionalFormatting>
  <conditionalFormatting sqref="Q15">
    <cfRule type="expression" dxfId="5026" priority="4756">
      <formula>MOD(ROW(),2)=0</formula>
    </cfRule>
  </conditionalFormatting>
  <conditionalFormatting sqref="Q15">
    <cfRule type="expression" dxfId="5025" priority="4755">
      <formula>MOD(ROW(),2)=0</formula>
    </cfRule>
  </conditionalFormatting>
  <conditionalFormatting sqref="Q15">
    <cfRule type="expression" dxfId="5024" priority="4754">
      <formula>MOD(ROW(),2)=0</formula>
    </cfRule>
  </conditionalFormatting>
  <conditionalFormatting sqref="Q15">
    <cfRule type="expression" dxfId="5023" priority="4753">
      <formula>MOD(ROW(),2)=0</formula>
    </cfRule>
  </conditionalFormatting>
  <conditionalFormatting sqref="Q15">
    <cfRule type="expression" dxfId="5022" priority="4752">
      <formula>MOD(ROW(),2)=0</formula>
    </cfRule>
  </conditionalFormatting>
  <conditionalFormatting sqref="Q15">
    <cfRule type="expression" dxfId="5021" priority="4751">
      <formula>MOD(ROW(),2)=0</formula>
    </cfRule>
  </conditionalFormatting>
  <conditionalFormatting sqref="Q15">
    <cfRule type="expression" dxfId="5020" priority="4750">
      <formula>MOD(ROW(),2)=0</formula>
    </cfRule>
  </conditionalFormatting>
  <conditionalFormatting sqref="Q15">
    <cfRule type="expression" dxfId="5019" priority="4749">
      <formula>MOD(ROW(),2)=0</formula>
    </cfRule>
  </conditionalFormatting>
  <conditionalFormatting sqref="Q15">
    <cfRule type="expression" dxfId="5018" priority="4748">
      <formula>MOD(ROW(),2)=0</formula>
    </cfRule>
  </conditionalFormatting>
  <conditionalFormatting sqref="Q20">
    <cfRule type="expression" dxfId="5017" priority="4747">
      <formula>MOD(ROW(),2)=0</formula>
    </cfRule>
  </conditionalFormatting>
  <conditionalFormatting sqref="Q20">
    <cfRule type="expression" dxfId="5016" priority="4746">
      <formula>MOD(ROW(),2)=0</formula>
    </cfRule>
  </conditionalFormatting>
  <conditionalFormatting sqref="Q20">
    <cfRule type="expression" dxfId="5015" priority="4745">
      <formula>MOD(ROW(),2)=0</formula>
    </cfRule>
  </conditionalFormatting>
  <conditionalFormatting sqref="Q20">
    <cfRule type="expression" dxfId="5014" priority="4744">
      <formula>MOD(ROW(),2)=0</formula>
    </cfRule>
  </conditionalFormatting>
  <conditionalFormatting sqref="Q20">
    <cfRule type="expression" dxfId="5013" priority="4743">
      <formula>MOD(ROW(),2)=0</formula>
    </cfRule>
  </conditionalFormatting>
  <conditionalFormatting sqref="Q20">
    <cfRule type="expression" dxfId="5012" priority="4742">
      <formula>MOD(ROW(),2)=0</formula>
    </cfRule>
  </conditionalFormatting>
  <conditionalFormatting sqref="Q20">
    <cfRule type="expression" dxfId="5011" priority="4741">
      <formula>MOD(ROW(),2)=0</formula>
    </cfRule>
  </conditionalFormatting>
  <conditionalFormatting sqref="Q20">
    <cfRule type="expression" dxfId="5010" priority="4740">
      <formula>MOD(ROW(),2)=0</formula>
    </cfRule>
  </conditionalFormatting>
  <conditionalFormatting sqref="Q20">
    <cfRule type="expression" dxfId="5009" priority="4739">
      <formula>MOD(ROW(),2)=0</formula>
    </cfRule>
  </conditionalFormatting>
  <conditionalFormatting sqref="Q20">
    <cfRule type="expression" dxfId="5008" priority="4738">
      <formula>MOD(ROW(),2)=0</formula>
    </cfRule>
  </conditionalFormatting>
  <conditionalFormatting sqref="Q20">
    <cfRule type="expression" dxfId="5007" priority="4737">
      <formula>MOD(ROW(),2)=0</formula>
    </cfRule>
  </conditionalFormatting>
  <conditionalFormatting sqref="Q20">
    <cfRule type="expression" dxfId="5006" priority="4736">
      <formula>MOD(ROW(),2)=0</formula>
    </cfRule>
  </conditionalFormatting>
  <conditionalFormatting sqref="Q20">
    <cfRule type="expression" dxfId="5005" priority="4735">
      <formula>MOD(ROW(),2)=0</formula>
    </cfRule>
  </conditionalFormatting>
  <conditionalFormatting sqref="Q20">
    <cfRule type="expression" dxfId="5004" priority="4734">
      <formula>MOD(ROW(),2)=0</formula>
    </cfRule>
  </conditionalFormatting>
  <conditionalFormatting sqref="Q20">
    <cfRule type="expression" dxfId="5003" priority="4733">
      <formula>MOD(ROW(),2)=0</formula>
    </cfRule>
  </conditionalFormatting>
  <conditionalFormatting sqref="Q20">
    <cfRule type="expression" dxfId="5002" priority="4732">
      <formula>MOD(ROW(),2)=0</formula>
    </cfRule>
  </conditionalFormatting>
  <conditionalFormatting sqref="R9">
    <cfRule type="expression" dxfId="5001" priority="4731">
      <formula>MOD(ROW(),2)=0</formula>
    </cfRule>
  </conditionalFormatting>
  <conditionalFormatting sqref="R8">
    <cfRule type="expression" dxfId="5000" priority="4730">
      <formula>MOD(ROW(),2)=0</formula>
    </cfRule>
  </conditionalFormatting>
  <conditionalFormatting sqref="R16 R12:R13">
    <cfRule type="expression" dxfId="4999" priority="4729">
      <formula>MOD(ROW(),2)=0</formula>
    </cfRule>
  </conditionalFormatting>
  <conditionalFormatting sqref="R14 R17:R19 R21">
    <cfRule type="expression" dxfId="4998" priority="4728">
      <formula>MOD(ROW(),2)=0</formula>
    </cfRule>
  </conditionalFormatting>
  <conditionalFormatting sqref="R11">
    <cfRule type="expression" dxfId="4997" priority="4727">
      <formula>MOD(ROW(),2)=0</formula>
    </cfRule>
  </conditionalFormatting>
  <conditionalFormatting sqref="R22">
    <cfRule type="expression" dxfId="4996" priority="4726">
      <formula>MOD(ROW(),2)=0</formula>
    </cfRule>
  </conditionalFormatting>
  <conditionalFormatting sqref="R10">
    <cfRule type="expression" dxfId="4995" priority="4725">
      <formula>MOD(ROW(),2)=0</formula>
    </cfRule>
  </conditionalFormatting>
  <conditionalFormatting sqref="R9">
    <cfRule type="expression" dxfId="4994" priority="4724">
      <formula>MOD(ROW(),2)=0</formula>
    </cfRule>
  </conditionalFormatting>
  <conditionalFormatting sqref="R8">
    <cfRule type="expression" dxfId="4993" priority="4723">
      <formula>MOD(ROW(),2)=0</formula>
    </cfRule>
  </conditionalFormatting>
  <conditionalFormatting sqref="R16 R12:R13">
    <cfRule type="expression" dxfId="4992" priority="4722">
      <formula>MOD(ROW(),2)=0</formula>
    </cfRule>
  </conditionalFormatting>
  <conditionalFormatting sqref="R14 R17:R19 R21">
    <cfRule type="expression" dxfId="4991" priority="4721">
      <formula>MOD(ROW(),2)=0</formula>
    </cfRule>
  </conditionalFormatting>
  <conditionalFormatting sqref="R11">
    <cfRule type="expression" dxfId="4990" priority="4720">
      <formula>MOD(ROW(),2)=0</formula>
    </cfRule>
  </conditionalFormatting>
  <conditionalFormatting sqref="R22">
    <cfRule type="expression" dxfId="4989" priority="4719">
      <formula>MOD(ROW(),2)=0</formula>
    </cfRule>
  </conditionalFormatting>
  <conditionalFormatting sqref="R10">
    <cfRule type="expression" dxfId="4988" priority="4718">
      <formula>MOD(ROW(),2)=0</formula>
    </cfRule>
  </conditionalFormatting>
  <conditionalFormatting sqref="R9">
    <cfRule type="expression" dxfId="4987" priority="4717">
      <formula>MOD(ROW(),2)=0</formula>
    </cfRule>
  </conditionalFormatting>
  <conditionalFormatting sqref="R8">
    <cfRule type="expression" dxfId="4986" priority="4716">
      <formula>MOD(ROW(),2)=0</formula>
    </cfRule>
  </conditionalFormatting>
  <conditionalFormatting sqref="R16 R12:R13">
    <cfRule type="expression" dxfId="4985" priority="4715">
      <formula>MOD(ROW(),2)=0</formula>
    </cfRule>
  </conditionalFormatting>
  <conditionalFormatting sqref="R14 R17:R19 R21">
    <cfRule type="expression" dxfId="4984" priority="4714">
      <formula>MOD(ROW(),2)=0</formula>
    </cfRule>
  </conditionalFormatting>
  <conditionalFormatting sqref="R11">
    <cfRule type="expression" dxfId="4983" priority="4713">
      <formula>MOD(ROW(),2)=0</formula>
    </cfRule>
  </conditionalFormatting>
  <conditionalFormatting sqref="R22">
    <cfRule type="expression" dxfId="4982" priority="4712">
      <formula>MOD(ROW(),2)=0</formula>
    </cfRule>
  </conditionalFormatting>
  <conditionalFormatting sqref="R10">
    <cfRule type="expression" dxfId="4981" priority="4711">
      <formula>MOD(ROW(),2)=0</formula>
    </cfRule>
  </conditionalFormatting>
  <conditionalFormatting sqref="R9">
    <cfRule type="expression" dxfId="4980" priority="4710">
      <formula>MOD(ROW(),2)=0</formula>
    </cfRule>
  </conditionalFormatting>
  <conditionalFormatting sqref="R8">
    <cfRule type="expression" dxfId="4979" priority="4709">
      <formula>MOD(ROW(),2)=0</formula>
    </cfRule>
  </conditionalFormatting>
  <conditionalFormatting sqref="R16 R12:R13">
    <cfRule type="expression" dxfId="4978" priority="4708">
      <formula>MOD(ROW(),2)=0</formula>
    </cfRule>
  </conditionalFormatting>
  <conditionalFormatting sqref="R14 R17:R19 R21">
    <cfRule type="expression" dxfId="4977" priority="4707">
      <formula>MOD(ROW(),2)=0</formula>
    </cfRule>
  </conditionalFormatting>
  <conditionalFormatting sqref="R11">
    <cfRule type="expression" dxfId="4976" priority="4706">
      <formula>MOD(ROW(),2)=0</formula>
    </cfRule>
  </conditionalFormatting>
  <conditionalFormatting sqref="R22">
    <cfRule type="expression" dxfId="4975" priority="4705">
      <formula>MOD(ROW(),2)=0</formula>
    </cfRule>
  </conditionalFormatting>
  <conditionalFormatting sqref="R10">
    <cfRule type="expression" dxfId="4974" priority="4704">
      <formula>MOD(ROW(),2)=0</formula>
    </cfRule>
  </conditionalFormatting>
  <conditionalFormatting sqref="R9">
    <cfRule type="expression" dxfId="4973" priority="4703">
      <formula>MOD(ROW(),2)=0</formula>
    </cfRule>
  </conditionalFormatting>
  <conditionalFormatting sqref="R8">
    <cfRule type="expression" dxfId="4972" priority="4702">
      <formula>MOD(ROW(),2)=0</formula>
    </cfRule>
  </conditionalFormatting>
  <conditionalFormatting sqref="R16 R12:R13">
    <cfRule type="expression" dxfId="4971" priority="4701">
      <formula>MOD(ROW(),2)=0</formula>
    </cfRule>
  </conditionalFormatting>
  <conditionalFormatting sqref="R14 R17:R19 R21">
    <cfRule type="expression" dxfId="4970" priority="4700">
      <formula>MOD(ROW(),2)=0</formula>
    </cfRule>
  </conditionalFormatting>
  <conditionalFormatting sqref="R11">
    <cfRule type="expression" dxfId="4969" priority="4699">
      <formula>MOD(ROW(),2)=0</formula>
    </cfRule>
  </conditionalFormatting>
  <conditionalFormatting sqref="R22">
    <cfRule type="expression" dxfId="4968" priority="4698">
      <formula>MOD(ROW(),2)=0</formula>
    </cfRule>
  </conditionalFormatting>
  <conditionalFormatting sqref="R10">
    <cfRule type="expression" dxfId="4967" priority="4697">
      <formula>MOD(ROW(),2)=0</formula>
    </cfRule>
  </conditionalFormatting>
  <conditionalFormatting sqref="R9">
    <cfRule type="expression" dxfId="4966" priority="4696">
      <formula>MOD(ROW(),2)=0</formula>
    </cfRule>
  </conditionalFormatting>
  <conditionalFormatting sqref="R8">
    <cfRule type="expression" dxfId="4965" priority="4695">
      <formula>MOD(ROW(),2)=0</formula>
    </cfRule>
  </conditionalFormatting>
  <conditionalFormatting sqref="R16 R12:R13">
    <cfRule type="expression" dxfId="4964" priority="4694">
      <formula>MOD(ROW(),2)=0</formula>
    </cfRule>
  </conditionalFormatting>
  <conditionalFormatting sqref="R14 R17:R19 R21">
    <cfRule type="expression" dxfId="4963" priority="4693">
      <formula>MOD(ROW(),2)=0</formula>
    </cfRule>
  </conditionalFormatting>
  <conditionalFormatting sqref="R11">
    <cfRule type="expression" dxfId="4962" priority="4692">
      <formula>MOD(ROW(),2)=0</formula>
    </cfRule>
  </conditionalFormatting>
  <conditionalFormatting sqref="R22">
    <cfRule type="expression" dxfId="4961" priority="4691">
      <formula>MOD(ROW(),2)=0</formula>
    </cfRule>
  </conditionalFormatting>
  <conditionalFormatting sqref="R10">
    <cfRule type="expression" dxfId="4960" priority="4690">
      <formula>MOD(ROW(),2)=0</formula>
    </cfRule>
  </conditionalFormatting>
  <conditionalFormatting sqref="R9">
    <cfRule type="expression" dxfId="4959" priority="4689">
      <formula>MOD(ROW(),2)=0</formula>
    </cfRule>
  </conditionalFormatting>
  <conditionalFormatting sqref="R8">
    <cfRule type="expression" dxfId="4958" priority="4688">
      <formula>MOD(ROW(),2)=0</formula>
    </cfRule>
  </conditionalFormatting>
  <conditionalFormatting sqref="R16 R12:R13">
    <cfRule type="expression" dxfId="4957" priority="4687">
      <formula>MOD(ROW(),2)=0</formula>
    </cfRule>
  </conditionalFormatting>
  <conditionalFormatting sqref="R14 R17:R19 R21">
    <cfRule type="expression" dxfId="4956" priority="4686">
      <formula>MOD(ROW(),2)=0</formula>
    </cfRule>
  </conditionalFormatting>
  <conditionalFormatting sqref="R11">
    <cfRule type="expression" dxfId="4955" priority="4685">
      <formula>MOD(ROW(),2)=0</formula>
    </cfRule>
  </conditionalFormatting>
  <conditionalFormatting sqref="R10">
    <cfRule type="expression" dxfId="4954" priority="4684">
      <formula>MOD(ROW(),2)=0</formula>
    </cfRule>
  </conditionalFormatting>
  <conditionalFormatting sqref="R22">
    <cfRule type="expression" dxfId="4953" priority="4683">
      <formula>MOD(ROW(),2)=0</formula>
    </cfRule>
  </conditionalFormatting>
  <conditionalFormatting sqref="R9">
    <cfRule type="expression" dxfId="4952" priority="4682">
      <formula>MOD(ROW(),2)=0</formula>
    </cfRule>
  </conditionalFormatting>
  <conditionalFormatting sqref="R8">
    <cfRule type="expression" dxfId="4951" priority="4681">
      <formula>MOD(ROW(),2)=0</formula>
    </cfRule>
  </conditionalFormatting>
  <conditionalFormatting sqref="R16 R12:R13">
    <cfRule type="expression" dxfId="4950" priority="4680">
      <formula>MOD(ROW(),2)=0</formula>
    </cfRule>
  </conditionalFormatting>
  <conditionalFormatting sqref="R14 R17:R19 R21">
    <cfRule type="expression" dxfId="4949" priority="4679">
      <formula>MOD(ROW(),2)=0</formula>
    </cfRule>
  </conditionalFormatting>
  <conditionalFormatting sqref="R11">
    <cfRule type="expression" dxfId="4948" priority="4678">
      <formula>MOD(ROW(),2)=0</formula>
    </cfRule>
  </conditionalFormatting>
  <conditionalFormatting sqref="R22">
    <cfRule type="expression" dxfId="4947" priority="4677">
      <formula>MOD(ROW(),2)=0</formula>
    </cfRule>
  </conditionalFormatting>
  <conditionalFormatting sqref="R10">
    <cfRule type="expression" dxfId="4946" priority="4676">
      <formula>MOD(ROW(),2)=0</formula>
    </cfRule>
  </conditionalFormatting>
  <conditionalFormatting sqref="R9">
    <cfRule type="expression" dxfId="4945" priority="4675">
      <formula>MOD(ROW(),2)=0</formula>
    </cfRule>
  </conditionalFormatting>
  <conditionalFormatting sqref="R8">
    <cfRule type="expression" dxfId="4944" priority="4674">
      <formula>MOD(ROW(),2)=0</formula>
    </cfRule>
  </conditionalFormatting>
  <conditionalFormatting sqref="R16 R12:R13">
    <cfRule type="expression" dxfId="4943" priority="4673">
      <formula>MOD(ROW(),2)=0</formula>
    </cfRule>
  </conditionalFormatting>
  <conditionalFormatting sqref="R14 R17:R19 R21">
    <cfRule type="expression" dxfId="4942" priority="4672">
      <formula>MOD(ROW(),2)=0</formula>
    </cfRule>
  </conditionalFormatting>
  <conditionalFormatting sqref="R11">
    <cfRule type="expression" dxfId="4941" priority="4671">
      <formula>MOD(ROW(),2)=0</formula>
    </cfRule>
  </conditionalFormatting>
  <conditionalFormatting sqref="R22">
    <cfRule type="expression" dxfId="4940" priority="4670">
      <formula>MOD(ROW(),2)=0</formula>
    </cfRule>
  </conditionalFormatting>
  <conditionalFormatting sqref="R10">
    <cfRule type="expression" dxfId="4939" priority="4669">
      <formula>MOD(ROW(),2)=0</formula>
    </cfRule>
  </conditionalFormatting>
  <conditionalFormatting sqref="R9">
    <cfRule type="expression" dxfId="4938" priority="4668">
      <formula>MOD(ROW(),2)=0</formula>
    </cfRule>
  </conditionalFormatting>
  <conditionalFormatting sqref="R8">
    <cfRule type="expression" dxfId="4937" priority="4667">
      <formula>MOD(ROW(),2)=0</formula>
    </cfRule>
  </conditionalFormatting>
  <conditionalFormatting sqref="R16 R12:R13">
    <cfRule type="expression" dxfId="4936" priority="4666">
      <formula>MOD(ROW(),2)=0</formula>
    </cfRule>
  </conditionalFormatting>
  <conditionalFormatting sqref="R14 R17:R19 R21">
    <cfRule type="expression" dxfId="4935" priority="4665">
      <formula>MOD(ROW(),2)=0</formula>
    </cfRule>
  </conditionalFormatting>
  <conditionalFormatting sqref="R11">
    <cfRule type="expression" dxfId="4934" priority="4664">
      <formula>MOD(ROW(),2)=0</formula>
    </cfRule>
  </conditionalFormatting>
  <conditionalFormatting sqref="R22">
    <cfRule type="expression" dxfId="4933" priority="4663">
      <formula>MOD(ROW(),2)=0</formula>
    </cfRule>
  </conditionalFormatting>
  <conditionalFormatting sqref="R10">
    <cfRule type="expression" dxfId="4932" priority="4662">
      <formula>MOD(ROW(),2)=0</formula>
    </cfRule>
  </conditionalFormatting>
  <conditionalFormatting sqref="R9">
    <cfRule type="expression" dxfId="4931" priority="4661">
      <formula>MOD(ROW(),2)=0</formula>
    </cfRule>
  </conditionalFormatting>
  <conditionalFormatting sqref="R8">
    <cfRule type="expression" dxfId="4930" priority="4660">
      <formula>MOD(ROW(),2)=0</formula>
    </cfRule>
  </conditionalFormatting>
  <conditionalFormatting sqref="R16 R12:R13">
    <cfRule type="expression" dxfId="4929" priority="4659">
      <formula>MOD(ROW(),2)=0</formula>
    </cfRule>
  </conditionalFormatting>
  <conditionalFormatting sqref="R14 R17:R19 R21">
    <cfRule type="expression" dxfId="4928" priority="4658">
      <formula>MOD(ROW(),2)=0</formula>
    </cfRule>
  </conditionalFormatting>
  <conditionalFormatting sqref="R11">
    <cfRule type="expression" dxfId="4927" priority="4657">
      <formula>MOD(ROW(),2)=0</formula>
    </cfRule>
  </conditionalFormatting>
  <conditionalFormatting sqref="R22">
    <cfRule type="expression" dxfId="4926" priority="4656">
      <formula>MOD(ROW(),2)=0</formula>
    </cfRule>
  </conditionalFormatting>
  <conditionalFormatting sqref="R10">
    <cfRule type="expression" dxfId="4925" priority="4655">
      <formula>MOD(ROW(),2)=0</formula>
    </cfRule>
  </conditionalFormatting>
  <conditionalFormatting sqref="R9">
    <cfRule type="expression" dxfId="4924" priority="4654">
      <formula>MOD(ROW(),2)=0</formula>
    </cfRule>
  </conditionalFormatting>
  <conditionalFormatting sqref="R8">
    <cfRule type="expression" dxfId="4923" priority="4653">
      <formula>MOD(ROW(),2)=0</formula>
    </cfRule>
  </conditionalFormatting>
  <conditionalFormatting sqref="R16 R12:R13">
    <cfRule type="expression" dxfId="4922" priority="4652">
      <formula>MOD(ROW(),2)=0</formula>
    </cfRule>
  </conditionalFormatting>
  <conditionalFormatting sqref="R14 R17:R19 R21">
    <cfRule type="expression" dxfId="4921" priority="4651">
      <formula>MOD(ROW(),2)=0</formula>
    </cfRule>
  </conditionalFormatting>
  <conditionalFormatting sqref="R11">
    <cfRule type="expression" dxfId="4920" priority="4650">
      <formula>MOD(ROW(),2)=0</formula>
    </cfRule>
  </conditionalFormatting>
  <conditionalFormatting sqref="R22">
    <cfRule type="expression" dxfId="4919" priority="4649">
      <formula>MOD(ROW(),2)=0</formula>
    </cfRule>
  </conditionalFormatting>
  <conditionalFormatting sqref="R10">
    <cfRule type="expression" dxfId="4918" priority="4648">
      <formula>MOD(ROW(),2)=0</formula>
    </cfRule>
  </conditionalFormatting>
  <conditionalFormatting sqref="R9">
    <cfRule type="expression" dxfId="4917" priority="4647">
      <formula>MOD(ROW(),2)=0</formula>
    </cfRule>
  </conditionalFormatting>
  <conditionalFormatting sqref="R8">
    <cfRule type="expression" dxfId="4916" priority="4646">
      <formula>MOD(ROW(),2)=0</formula>
    </cfRule>
  </conditionalFormatting>
  <conditionalFormatting sqref="R16 R12:R13">
    <cfRule type="expression" dxfId="4915" priority="4645">
      <formula>MOD(ROW(),2)=0</formula>
    </cfRule>
  </conditionalFormatting>
  <conditionalFormatting sqref="R14 R17:R19 R21">
    <cfRule type="expression" dxfId="4914" priority="4644">
      <formula>MOD(ROW(),2)=0</formula>
    </cfRule>
  </conditionalFormatting>
  <conditionalFormatting sqref="R11">
    <cfRule type="expression" dxfId="4913" priority="4643">
      <formula>MOD(ROW(),2)=0</formula>
    </cfRule>
  </conditionalFormatting>
  <conditionalFormatting sqref="R22">
    <cfRule type="expression" dxfId="4912" priority="4642">
      <formula>MOD(ROW(),2)=0</formula>
    </cfRule>
  </conditionalFormatting>
  <conditionalFormatting sqref="R10">
    <cfRule type="expression" dxfId="4911" priority="4641">
      <formula>MOD(ROW(),2)=0</formula>
    </cfRule>
  </conditionalFormatting>
  <conditionalFormatting sqref="R9">
    <cfRule type="expression" dxfId="4910" priority="4640">
      <formula>MOD(ROW(),2)=0</formula>
    </cfRule>
  </conditionalFormatting>
  <conditionalFormatting sqref="R8">
    <cfRule type="expression" dxfId="4909" priority="4639">
      <formula>MOD(ROW(),2)=0</formula>
    </cfRule>
  </conditionalFormatting>
  <conditionalFormatting sqref="R16 R12:R13">
    <cfRule type="expression" dxfId="4908" priority="4638">
      <formula>MOD(ROW(),2)=0</formula>
    </cfRule>
  </conditionalFormatting>
  <conditionalFormatting sqref="R14 R17:R19 R21">
    <cfRule type="expression" dxfId="4907" priority="4637">
      <formula>MOD(ROW(),2)=0</formula>
    </cfRule>
  </conditionalFormatting>
  <conditionalFormatting sqref="R11">
    <cfRule type="expression" dxfId="4906" priority="4636">
      <formula>MOD(ROW(),2)=0</formula>
    </cfRule>
  </conditionalFormatting>
  <conditionalFormatting sqref="R22">
    <cfRule type="expression" dxfId="4905" priority="4635">
      <formula>MOD(ROW(),2)=0</formula>
    </cfRule>
  </conditionalFormatting>
  <conditionalFormatting sqref="R10">
    <cfRule type="expression" dxfId="4904" priority="4634">
      <formula>MOD(ROW(),2)=0</formula>
    </cfRule>
  </conditionalFormatting>
  <conditionalFormatting sqref="R9">
    <cfRule type="expression" dxfId="4903" priority="4633">
      <formula>MOD(ROW(),2)=0</formula>
    </cfRule>
  </conditionalFormatting>
  <conditionalFormatting sqref="R8">
    <cfRule type="expression" dxfId="4902" priority="4632">
      <formula>MOD(ROW(),2)=0</formula>
    </cfRule>
  </conditionalFormatting>
  <conditionalFormatting sqref="R16 R12:R13">
    <cfRule type="expression" dxfId="4901" priority="4631">
      <formula>MOD(ROW(),2)=0</formula>
    </cfRule>
  </conditionalFormatting>
  <conditionalFormatting sqref="R14 R17:R19 R21">
    <cfRule type="expression" dxfId="4900" priority="4630">
      <formula>MOD(ROW(),2)=0</formula>
    </cfRule>
  </conditionalFormatting>
  <conditionalFormatting sqref="R11">
    <cfRule type="expression" dxfId="4899" priority="4629">
      <formula>MOD(ROW(),2)=0</formula>
    </cfRule>
  </conditionalFormatting>
  <conditionalFormatting sqref="R10">
    <cfRule type="expression" dxfId="4898" priority="4628">
      <formula>MOD(ROW(),2)=0</formula>
    </cfRule>
  </conditionalFormatting>
  <conditionalFormatting sqref="R22">
    <cfRule type="expression" dxfId="4897" priority="4627">
      <formula>MOD(ROW(),2)=0</formula>
    </cfRule>
  </conditionalFormatting>
  <conditionalFormatting sqref="R9">
    <cfRule type="expression" dxfId="4896" priority="4626">
      <formula>MOD(ROW(),2)=0</formula>
    </cfRule>
  </conditionalFormatting>
  <conditionalFormatting sqref="R8">
    <cfRule type="expression" dxfId="4895" priority="4625">
      <formula>MOD(ROW(),2)=0</formula>
    </cfRule>
  </conditionalFormatting>
  <conditionalFormatting sqref="R16 R12:R13">
    <cfRule type="expression" dxfId="4894" priority="4624">
      <formula>MOD(ROW(),2)=0</formula>
    </cfRule>
  </conditionalFormatting>
  <conditionalFormatting sqref="R14 R17:R19 R21">
    <cfRule type="expression" dxfId="4893" priority="4623">
      <formula>MOD(ROW(),2)=0</formula>
    </cfRule>
  </conditionalFormatting>
  <conditionalFormatting sqref="R11">
    <cfRule type="expression" dxfId="4892" priority="4622">
      <formula>MOD(ROW(),2)=0</formula>
    </cfRule>
  </conditionalFormatting>
  <conditionalFormatting sqref="R22">
    <cfRule type="expression" dxfId="4891" priority="4621">
      <formula>MOD(ROW(),2)=0</formula>
    </cfRule>
  </conditionalFormatting>
  <conditionalFormatting sqref="R10">
    <cfRule type="expression" dxfId="4890" priority="4620">
      <formula>MOD(ROW(),2)=0</formula>
    </cfRule>
  </conditionalFormatting>
  <conditionalFormatting sqref="R15">
    <cfRule type="expression" dxfId="4889" priority="4619">
      <formula>MOD(ROW(),2)=0</formula>
    </cfRule>
  </conditionalFormatting>
  <conditionalFormatting sqref="R15">
    <cfRule type="expression" dxfId="4888" priority="4618">
      <formula>MOD(ROW(),2)=0</formula>
    </cfRule>
  </conditionalFormatting>
  <conditionalFormatting sqref="R15">
    <cfRule type="expression" dxfId="4887" priority="4617">
      <formula>MOD(ROW(),2)=0</formula>
    </cfRule>
  </conditionalFormatting>
  <conditionalFormatting sqref="R15">
    <cfRule type="expression" dxfId="4886" priority="4616">
      <formula>MOD(ROW(),2)=0</formula>
    </cfRule>
  </conditionalFormatting>
  <conditionalFormatting sqref="R15">
    <cfRule type="expression" dxfId="4885" priority="4615">
      <formula>MOD(ROW(),2)=0</formula>
    </cfRule>
  </conditionalFormatting>
  <conditionalFormatting sqref="R15">
    <cfRule type="expression" dxfId="4884" priority="4614">
      <formula>MOD(ROW(),2)=0</formula>
    </cfRule>
  </conditionalFormatting>
  <conditionalFormatting sqref="R15">
    <cfRule type="expression" dxfId="4883" priority="4613">
      <formula>MOD(ROW(),2)=0</formula>
    </cfRule>
  </conditionalFormatting>
  <conditionalFormatting sqref="R15">
    <cfRule type="expression" dxfId="4882" priority="4612">
      <formula>MOD(ROW(),2)=0</formula>
    </cfRule>
  </conditionalFormatting>
  <conditionalFormatting sqref="R15">
    <cfRule type="expression" dxfId="4881" priority="4611">
      <formula>MOD(ROW(),2)=0</formula>
    </cfRule>
  </conditionalFormatting>
  <conditionalFormatting sqref="R15">
    <cfRule type="expression" dxfId="4880" priority="4610">
      <formula>MOD(ROW(),2)=0</formula>
    </cfRule>
  </conditionalFormatting>
  <conditionalFormatting sqref="R15">
    <cfRule type="expression" dxfId="4879" priority="4609">
      <formula>MOD(ROW(),2)=0</formula>
    </cfRule>
  </conditionalFormatting>
  <conditionalFormatting sqref="R15">
    <cfRule type="expression" dxfId="4878" priority="4608">
      <formula>MOD(ROW(),2)=0</formula>
    </cfRule>
  </conditionalFormatting>
  <conditionalFormatting sqref="R15">
    <cfRule type="expression" dxfId="4877" priority="4607">
      <formula>MOD(ROW(),2)=0</formula>
    </cfRule>
  </conditionalFormatting>
  <conditionalFormatting sqref="R15">
    <cfRule type="expression" dxfId="4876" priority="4606">
      <formula>MOD(ROW(),2)=0</formula>
    </cfRule>
  </conditionalFormatting>
  <conditionalFormatting sqref="R15">
    <cfRule type="expression" dxfId="4875" priority="4605">
      <formula>MOD(ROW(),2)=0</formula>
    </cfRule>
  </conditionalFormatting>
  <conditionalFormatting sqref="R15">
    <cfRule type="expression" dxfId="4874" priority="4604">
      <formula>MOD(ROW(),2)=0</formula>
    </cfRule>
  </conditionalFormatting>
  <conditionalFormatting sqref="R20">
    <cfRule type="expression" dxfId="4873" priority="4603">
      <formula>MOD(ROW(),2)=0</formula>
    </cfRule>
  </conditionalFormatting>
  <conditionalFormatting sqref="R20">
    <cfRule type="expression" dxfId="4872" priority="4602">
      <formula>MOD(ROW(),2)=0</formula>
    </cfRule>
  </conditionalFormatting>
  <conditionalFormatting sqref="R20">
    <cfRule type="expression" dxfId="4871" priority="4601">
      <formula>MOD(ROW(),2)=0</formula>
    </cfRule>
  </conditionalFormatting>
  <conditionalFormatting sqref="R20">
    <cfRule type="expression" dxfId="4870" priority="4600">
      <formula>MOD(ROW(),2)=0</formula>
    </cfRule>
  </conditionalFormatting>
  <conditionalFormatting sqref="R20">
    <cfRule type="expression" dxfId="4869" priority="4599">
      <formula>MOD(ROW(),2)=0</formula>
    </cfRule>
  </conditionalFormatting>
  <conditionalFormatting sqref="R20">
    <cfRule type="expression" dxfId="4868" priority="4598">
      <formula>MOD(ROW(),2)=0</formula>
    </cfRule>
  </conditionalFormatting>
  <conditionalFormatting sqref="R20">
    <cfRule type="expression" dxfId="4867" priority="4597">
      <formula>MOD(ROW(),2)=0</formula>
    </cfRule>
  </conditionalFormatting>
  <conditionalFormatting sqref="R20">
    <cfRule type="expression" dxfId="4866" priority="4596">
      <formula>MOD(ROW(),2)=0</formula>
    </cfRule>
  </conditionalFormatting>
  <conditionalFormatting sqref="R20">
    <cfRule type="expression" dxfId="4865" priority="4595">
      <formula>MOD(ROW(),2)=0</formula>
    </cfRule>
  </conditionalFormatting>
  <conditionalFormatting sqref="R20">
    <cfRule type="expression" dxfId="4864" priority="4594">
      <formula>MOD(ROW(),2)=0</formula>
    </cfRule>
  </conditionalFormatting>
  <conditionalFormatting sqref="R20">
    <cfRule type="expression" dxfId="4863" priority="4593">
      <formula>MOD(ROW(),2)=0</formula>
    </cfRule>
  </conditionalFormatting>
  <conditionalFormatting sqref="R20">
    <cfRule type="expression" dxfId="4862" priority="4592">
      <formula>MOD(ROW(),2)=0</formula>
    </cfRule>
  </conditionalFormatting>
  <conditionalFormatting sqref="R20">
    <cfRule type="expression" dxfId="4861" priority="4591">
      <formula>MOD(ROW(),2)=0</formula>
    </cfRule>
  </conditionalFormatting>
  <conditionalFormatting sqref="R20">
    <cfRule type="expression" dxfId="4860" priority="4590">
      <formula>MOD(ROW(),2)=0</formula>
    </cfRule>
  </conditionalFormatting>
  <conditionalFormatting sqref="R20">
    <cfRule type="expression" dxfId="4859" priority="4589">
      <formula>MOD(ROW(),2)=0</formula>
    </cfRule>
  </conditionalFormatting>
  <conditionalFormatting sqref="R20">
    <cfRule type="expression" dxfId="4858" priority="4588">
      <formula>MOD(ROW(),2)=0</formula>
    </cfRule>
  </conditionalFormatting>
  <conditionalFormatting sqref="S9">
    <cfRule type="expression" dxfId="4857" priority="4587">
      <formula>MOD(ROW(),2)=0</formula>
    </cfRule>
  </conditionalFormatting>
  <conditionalFormatting sqref="S8">
    <cfRule type="expression" dxfId="4856" priority="4586">
      <formula>MOD(ROW(),2)=0</formula>
    </cfRule>
  </conditionalFormatting>
  <conditionalFormatting sqref="S16 S12:S13">
    <cfRule type="expression" dxfId="4855" priority="4585">
      <formula>MOD(ROW(),2)=0</formula>
    </cfRule>
  </conditionalFormatting>
  <conditionalFormatting sqref="S14 S17:S19 S21">
    <cfRule type="expression" dxfId="4854" priority="4584">
      <formula>MOD(ROW(),2)=0</formula>
    </cfRule>
  </conditionalFormatting>
  <conditionalFormatting sqref="S11">
    <cfRule type="expression" dxfId="4853" priority="4583">
      <formula>MOD(ROW(),2)=0</formula>
    </cfRule>
  </conditionalFormatting>
  <conditionalFormatting sqref="S22">
    <cfRule type="expression" dxfId="4852" priority="4582">
      <formula>MOD(ROW(),2)=0</formula>
    </cfRule>
  </conditionalFormatting>
  <conditionalFormatting sqref="S10">
    <cfRule type="expression" dxfId="4851" priority="4581">
      <formula>MOD(ROW(),2)=0</formula>
    </cfRule>
  </conditionalFormatting>
  <conditionalFormatting sqref="S9">
    <cfRule type="expression" dxfId="4850" priority="4580">
      <formula>MOD(ROW(),2)=0</formula>
    </cfRule>
  </conditionalFormatting>
  <conditionalFormatting sqref="S8">
    <cfRule type="expression" dxfId="4849" priority="4579">
      <formula>MOD(ROW(),2)=0</formula>
    </cfRule>
  </conditionalFormatting>
  <conditionalFormatting sqref="S16 S12:S13">
    <cfRule type="expression" dxfId="4848" priority="4578">
      <formula>MOD(ROW(),2)=0</formula>
    </cfRule>
  </conditionalFormatting>
  <conditionalFormatting sqref="S14 S17:S19 S21">
    <cfRule type="expression" dxfId="4847" priority="4577">
      <formula>MOD(ROW(),2)=0</formula>
    </cfRule>
  </conditionalFormatting>
  <conditionalFormatting sqref="S11">
    <cfRule type="expression" dxfId="4846" priority="4576">
      <formula>MOD(ROW(),2)=0</formula>
    </cfRule>
  </conditionalFormatting>
  <conditionalFormatting sqref="S22">
    <cfRule type="expression" dxfId="4845" priority="4575">
      <formula>MOD(ROW(),2)=0</formula>
    </cfRule>
  </conditionalFormatting>
  <conditionalFormatting sqref="S10">
    <cfRule type="expression" dxfId="4844" priority="4574">
      <formula>MOD(ROW(),2)=0</formula>
    </cfRule>
  </conditionalFormatting>
  <conditionalFormatting sqref="S9">
    <cfRule type="expression" dxfId="4843" priority="4573">
      <formula>MOD(ROW(),2)=0</formula>
    </cfRule>
  </conditionalFormatting>
  <conditionalFormatting sqref="S8">
    <cfRule type="expression" dxfId="4842" priority="4572">
      <formula>MOD(ROW(),2)=0</formula>
    </cfRule>
  </conditionalFormatting>
  <conditionalFormatting sqref="S16 S12:S13">
    <cfRule type="expression" dxfId="4841" priority="4571">
      <formula>MOD(ROW(),2)=0</formula>
    </cfRule>
  </conditionalFormatting>
  <conditionalFormatting sqref="S14 S17:S19 S21">
    <cfRule type="expression" dxfId="4840" priority="4570">
      <formula>MOD(ROW(),2)=0</formula>
    </cfRule>
  </conditionalFormatting>
  <conditionalFormatting sqref="S11">
    <cfRule type="expression" dxfId="4839" priority="4569">
      <formula>MOD(ROW(),2)=0</formula>
    </cfRule>
  </conditionalFormatting>
  <conditionalFormatting sqref="S22">
    <cfRule type="expression" dxfId="4838" priority="4568">
      <formula>MOD(ROW(),2)=0</formula>
    </cfRule>
  </conditionalFormatting>
  <conditionalFormatting sqref="S10">
    <cfRule type="expression" dxfId="4837" priority="4567">
      <formula>MOD(ROW(),2)=0</formula>
    </cfRule>
  </conditionalFormatting>
  <conditionalFormatting sqref="S9">
    <cfRule type="expression" dxfId="4836" priority="4566">
      <formula>MOD(ROW(),2)=0</formula>
    </cfRule>
  </conditionalFormatting>
  <conditionalFormatting sqref="S8">
    <cfRule type="expression" dxfId="4835" priority="4565">
      <formula>MOD(ROW(),2)=0</formula>
    </cfRule>
  </conditionalFormatting>
  <conditionalFormatting sqref="S16 S12:S13">
    <cfRule type="expression" dxfId="4834" priority="4564">
      <formula>MOD(ROW(),2)=0</formula>
    </cfRule>
  </conditionalFormatting>
  <conditionalFormatting sqref="S14 S17:S19 S21">
    <cfRule type="expression" dxfId="4833" priority="4563">
      <formula>MOD(ROW(),2)=0</formula>
    </cfRule>
  </conditionalFormatting>
  <conditionalFormatting sqref="S11">
    <cfRule type="expression" dxfId="4832" priority="4562">
      <formula>MOD(ROW(),2)=0</formula>
    </cfRule>
  </conditionalFormatting>
  <conditionalFormatting sqref="S22">
    <cfRule type="expression" dxfId="4831" priority="4561">
      <formula>MOD(ROW(),2)=0</formula>
    </cfRule>
  </conditionalFormatting>
  <conditionalFormatting sqref="S10">
    <cfRule type="expression" dxfId="4830" priority="4560">
      <formula>MOD(ROW(),2)=0</formula>
    </cfRule>
  </conditionalFormatting>
  <conditionalFormatting sqref="S9">
    <cfRule type="expression" dxfId="4829" priority="4559">
      <formula>MOD(ROW(),2)=0</formula>
    </cfRule>
  </conditionalFormatting>
  <conditionalFormatting sqref="S8">
    <cfRule type="expression" dxfId="4828" priority="4558">
      <formula>MOD(ROW(),2)=0</formula>
    </cfRule>
  </conditionalFormatting>
  <conditionalFormatting sqref="S16 S12:S13">
    <cfRule type="expression" dxfId="4827" priority="4557">
      <formula>MOD(ROW(),2)=0</formula>
    </cfRule>
  </conditionalFormatting>
  <conditionalFormatting sqref="S14 S17:S19 S21">
    <cfRule type="expression" dxfId="4826" priority="4556">
      <formula>MOD(ROW(),2)=0</formula>
    </cfRule>
  </conditionalFormatting>
  <conditionalFormatting sqref="S11">
    <cfRule type="expression" dxfId="4825" priority="4555">
      <formula>MOD(ROW(),2)=0</formula>
    </cfRule>
  </conditionalFormatting>
  <conditionalFormatting sqref="S22">
    <cfRule type="expression" dxfId="4824" priority="4554">
      <formula>MOD(ROW(),2)=0</formula>
    </cfRule>
  </conditionalFormatting>
  <conditionalFormatting sqref="S10">
    <cfRule type="expression" dxfId="4823" priority="4553">
      <formula>MOD(ROW(),2)=0</formula>
    </cfRule>
  </conditionalFormatting>
  <conditionalFormatting sqref="S9">
    <cfRule type="expression" dxfId="4822" priority="4552">
      <formula>MOD(ROW(),2)=0</formula>
    </cfRule>
  </conditionalFormatting>
  <conditionalFormatting sqref="S8">
    <cfRule type="expression" dxfId="4821" priority="4551">
      <formula>MOD(ROW(),2)=0</formula>
    </cfRule>
  </conditionalFormatting>
  <conditionalFormatting sqref="S16 S12:S13">
    <cfRule type="expression" dxfId="4820" priority="4550">
      <formula>MOD(ROW(),2)=0</formula>
    </cfRule>
  </conditionalFormatting>
  <conditionalFormatting sqref="S14 S17:S19 S21">
    <cfRule type="expression" dxfId="4819" priority="4549">
      <formula>MOD(ROW(),2)=0</formula>
    </cfRule>
  </conditionalFormatting>
  <conditionalFormatting sqref="S11">
    <cfRule type="expression" dxfId="4818" priority="4548">
      <formula>MOD(ROW(),2)=0</formula>
    </cfRule>
  </conditionalFormatting>
  <conditionalFormatting sqref="S22">
    <cfRule type="expression" dxfId="4817" priority="4547">
      <formula>MOD(ROW(),2)=0</formula>
    </cfRule>
  </conditionalFormatting>
  <conditionalFormatting sqref="S10">
    <cfRule type="expression" dxfId="4816" priority="4546">
      <formula>MOD(ROW(),2)=0</formula>
    </cfRule>
  </conditionalFormatting>
  <conditionalFormatting sqref="S9">
    <cfRule type="expression" dxfId="4815" priority="4545">
      <formula>MOD(ROW(),2)=0</formula>
    </cfRule>
  </conditionalFormatting>
  <conditionalFormatting sqref="S8">
    <cfRule type="expression" dxfId="4814" priority="4544">
      <formula>MOD(ROW(),2)=0</formula>
    </cfRule>
  </conditionalFormatting>
  <conditionalFormatting sqref="S16 S12:S13">
    <cfRule type="expression" dxfId="4813" priority="4543">
      <formula>MOD(ROW(),2)=0</formula>
    </cfRule>
  </conditionalFormatting>
  <conditionalFormatting sqref="S14 S17:S19 S21">
    <cfRule type="expression" dxfId="4812" priority="4542">
      <formula>MOD(ROW(),2)=0</formula>
    </cfRule>
  </conditionalFormatting>
  <conditionalFormatting sqref="S11">
    <cfRule type="expression" dxfId="4811" priority="4541">
      <formula>MOD(ROW(),2)=0</formula>
    </cfRule>
  </conditionalFormatting>
  <conditionalFormatting sqref="S10">
    <cfRule type="expression" dxfId="4810" priority="4540">
      <formula>MOD(ROW(),2)=0</formula>
    </cfRule>
  </conditionalFormatting>
  <conditionalFormatting sqref="S22">
    <cfRule type="expression" dxfId="4809" priority="4539">
      <formula>MOD(ROW(),2)=0</formula>
    </cfRule>
  </conditionalFormatting>
  <conditionalFormatting sqref="S9">
    <cfRule type="expression" dxfId="4808" priority="4538">
      <formula>MOD(ROW(),2)=0</formula>
    </cfRule>
  </conditionalFormatting>
  <conditionalFormatting sqref="S8">
    <cfRule type="expression" dxfId="4807" priority="4537">
      <formula>MOD(ROW(),2)=0</formula>
    </cfRule>
  </conditionalFormatting>
  <conditionalFormatting sqref="S16 S12:S13">
    <cfRule type="expression" dxfId="4806" priority="4536">
      <formula>MOD(ROW(),2)=0</formula>
    </cfRule>
  </conditionalFormatting>
  <conditionalFormatting sqref="S14 S17:S19 S21">
    <cfRule type="expression" dxfId="4805" priority="4535">
      <formula>MOD(ROW(),2)=0</formula>
    </cfRule>
  </conditionalFormatting>
  <conditionalFormatting sqref="S11">
    <cfRule type="expression" dxfId="4804" priority="4534">
      <formula>MOD(ROW(),2)=0</formula>
    </cfRule>
  </conditionalFormatting>
  <conditionalFormatting sqref="S22">
    <cfRule type="expression" dxfId="4803" priority="4533">
      <formula>MOD(ROW(),2)=0</formula>
    </cfRule>
  </conditionalFormatting>
  <conditionalFormatting sqref="S10">
    <cfRule type="expression" dxfId="4802" priority="4532">
      <formula>MOD(ROW(),2)=0</formula>
    </cfRule>
  </conditionalFormatting>
  <conditionalFormatting sqref="S9">
    <cfRule type="expression" dxfId="4801" priority="4531">
      <formula>MOD(ROW(),2)=0</formula>
    </cfRule>
  </conditionalFormatting>
  <conditionalFormatting sqref="S8">
    <cfRule type="expression" dxfId="4800" priority="4530">
      <formula>MOD(ROW(),2)=0</formula>
    </cfRule>
  </conditionalFormatting>
  <conditionalFormatting sqref="S16 S12:S13">
    <cfRule type="expression" dxfId="4799" priority="4529">
      <formula>MOD(ROW(),2)=0</formula>
    </cfRule>
  </conditionalFormatting>
  <conditionalFormatting sqref="S14 S17:S19 S21">
    <cfRule type="expression" dxfId="4798" priority="4528">
      <formula>MOD(ROW(),2)=0</formula>
    </cfRule>
  </conditionalFormatting>
  <conditionalFormatting sqref="S11">
    <cfRule type="expression" dxfId="4797" priority="4527">
      <formula>MOD(ROW(),2)=0</formula>
    </cfRule>
  </conditionalFormatting>
  <conditionalFormatting sqref="S22">
    <cfRule type="expression" dxfId="4796" priority="4526">
      <formula>MOD(ROW(),2)=0</formula>
    </cfRule>
  </conditionalFormatting>
  <conditionalFormatting sqref="S10">
    <cfRule type="expression" dxfId="4795" priority="4525">
      <formula>MOD(ROW(),2)=0</formula>
    </cfRule>
  </conditionalFormatting>
  <conditionalFormatting sqref="S9">
    <cfRule type="expression" dxfId="4794" priority="4524">
      <formula>MOD(ROW(),2)=0</formula>
    </cfRule>
  </conditionalFormatting>
  <conditionalFormatting sqref="S8">
    <cfRule type="expression" dxfId="4793" priority="4523">
      <formula>MOD(ROW(),2)=0</formula>
    </cfRule>
  </conditionalFormatting>
  <conditionalFormatting sqref="S16 S12:S13">
    <cfRule type="expression" dxfId="4792" priority="4522">
      <formula>MOD(ROW(),2)=0</formula>
    </cfRule>
  </conditionalFormatting>
  <conditionalFormatting sqref="S14 S17:S19 S21">
    <cfRule type="expression" dxfId="4791" priority="4521">
      <formula>MOD(ROW(),2)=0</formula>
    </cfRule>
  </conditionalFormatting>
  <conditionalFormatting sqref="S11">
    <cfRule type="expression" dxfId="4790" priority="4520">
      <formula>MOD(ROW(),2)=0</formula>
    </cfRule>
  </conditionalFormatting>
  <conditionalFormatting sqref="S22">
    <cfRule type="expression" dxfId="4789" priority="4519">
      <formula>MOD(ROW(),2)=0</formula>
    </cfRule>
  </conditionalFormatting>
  <conditionalFormatting sqref="S10">
    <cfRule type="expression" dxfId="4788" priority="4518">
      <formula>MOD(ROW(),2)=0</formula>
    </cfRule>
  </conditionalFormatting>
  <conditionalFormatting sqref="S9">
    <cfRule type="expression" dxfId="4787" priority="4517">
      <formula>MOD(ROW(),2)=0</formula>
    </cfRule>
  </conditionalFormatting>
  <conditionalFormatting sqref="S8">
    <cfRule type="expression" dxfId="4786" priority="4516">
      <formula>MOD(ROW(),2)=0</formula>
    </cfRule>
  </conditionalFormatting>
  <conditionalFormatting sqref="S16 S12:S13">
    <cfRule type="expression" dxfId="4785" priority="4515">
      <formula>MOD(ROW(),2)=0</formula>
    </cfRule>
  </conditionalFormatting>
  <conditionalFormatting sqref="S14 S17:S19 S21">
    <cfRule type="expression" dxfId="4784" priority="4514">
      <formula>MOD(ROW(),2)=0</formula>
    </cfRule>
  </conditionalFormatting>
  <conditionalFormatting sqref="S11">
    <cfRule type="expression" dxfId="4783" priority="4513">
      <formula>MOD(ROW(),2)=0</formula>
    </cfRule>
  </conditionalFormatting>
  <conditionalFormatting sqref="S22">
    <cfRule type="expression" dxfId="4782" priority="4512">
      <formula>MOD(ROW(),2)=0</formula>
    </cfRule>
  </conditionalFormatting>
  <conditionalFormatting sqref="S10">
    <cfRule type="expression" dxfId="4781" priority="4511">
      <formula>MOD(ROW(),2)=0</formula>
    </cfRule>
  </conditionalFormatting>
  <conditionalFormatting sqref="S9">
    <cfRule type="expression" dxfId="4780" priority="4510">
      <formula>MOD(ROW(),2)=0</formula>
    </cfRule>
  </conditionalFormatting>
  <conditionalFormatting sqref="S8">
    <cfRule type="expression" dxfId="4779" priority="4509">
      <formula>MOD(ROW(),2)=0</formula>
    </cfRule>
  </conditionalFormatting>
  <conditionalFormatting sqref="S16 S12:S13">
    <cfRule type="expression" dxfId="4778" priority="4508">
      <formula>MOD(ROW(),2)=0</formula>
    </cfRule>
  </conditionalFormatting>
  <conditionalFormatting sqref="S14 S17:S19 S21">
    <cfRule type="expression" dxfId="4777" priority="4507">
      <formula>MOD(ROW(),2)=0</formula>
    </cfRule>
  </conditionalFormatting>
  <conditionalFormatting sqref="S11">
    <cfRule type="expression" dxfId="4776" priority="4506">
      <formula>MOD(ROW(),2)=0</formula>
    </cfRule>
  </conditionalFormatting>
  <conditionalFormatting sqref="S22">
    <cfRule type="expression" dxfId="4775" priority="4505">
      <formula>MOD(ROW(),2)=0</formula>
    </cfRule>
  </conditionalFormatting>
  <conditionalFormatting sqref="S10">
    <cfRule type="expression" dxfId="4774" priority="4504">
      <formula>MOD(ROW(),2)=0</formula>
    </cfRule>
  </conditionalFormatting>
  <conditionalFormatting sqref="S9">
    <cfRule type="expression" dxfId="4773" priority="4503">
      <formula>MOD(ROW(),2)=0</formula>
    </cfRule>
  </conditionalFormatting>
  <conditionalFormatting sqref="S8">
    <cfRule type="expression" dxfId="4772" priority="4502">
      <formula>MOD(ROW(),2)=0</formula>
    </cfRule>
  </conditionalFormatting>
  <conditionalFormatting sqref="S16 S12:S13">
    <cfRule type="expression" dxfId="4771" priority="4501">
      <formula>MOD(ROW(),2)=0</formula>
    </cfRule>
  </conditionalFormatting>
  <conditionalFormatting sqref="S14 S17:S19 S21">
    <cfRule type="expression" dxfId="4770" priority="4500">
      <formula>MOD(ROW(),2)=0</formula>
    </cfRule>
  </conditionalFormatting>
  <conditionalFormatting sqref="S11">
    <cfRule type="expression" dxfId="4769" priority="4499">
      <formula>MOD(ROW(),2)=0</formula>
    </cfRule>
  </conditionalFormatting>
  <conditionalFormatting sqref="S22">
    <cfRule type="expression" dxfId="4768" priority="4498">
      <formula>MOD(ROW(),2)=0</formula>
    </cfRule>
  </conditionalFormatting>
  <conditionalFormatting sqref="S10">
    <cfRule type="expression" dxfId="4767" priority="4497">
      <formula>MOD(ROW(),2)=0</formula>
    </cfRule>
  </conditionalFormatting>
  <conditionalFormatting sqref="S9">
    <cfRule type="expression" dxfId="4766" priority="4496">
      <formula>MOD(ROW(),2)=0</formula>
    </cfRule>
  </conditionalFormatting>
  <conditionalFormatting sqref="S8">
    <cfRule type="expression" dxfId="4765" priority="4495">
      <formula>MOD(ROW(),2)=0</formula>
    </cfRule>
  </conditionalFormatting>
  <conditionalFormatting sqref="S16 S12:S13">
    <cfRule type="expression" dxfId="4764" priority="4494">
      <formula>MOD(ROW(),2)=0</formula>
    </cfRule>
  </conditionalFormatting>
  <conditionalFormatting sqref="S14 S17:S19 S21">
    <cfRule type="expression" dxfId="4763" priority="4493">
      <formula>MOD(ROW(),2)=0</formula>
    </cfRule>
  </conditionalFormatting>
  <conditionalFormatting sqref="S11">
    <cfRule type="expression" dxfId="4762" priority="4492">
      <formula>MOD(ROW(),2)=0</formula>
    </cfRule>
  </conditionalFormatting>
  <conditionalFormatting sqref="S22">
    <cfRule type="expression" dxfId="4761" priority="4491">
      <formula>MOD(ROW(),2)=0</formula>
    </cfRule>
  </conditionalFormatting>
  <conditionalFormatting sqref="S10">
    <cfRule type="expression" dxfId="4760" priority="4490">
      <formula>MOD(ROW(),2)=0</formula>
    </cfRule>
  </conditionalFormatting>
  <conditionalFormatting sqref="S9">
    <cfRule type="expression" dxfId="4759" priority="4489">
      <formula>MOD(ROW(),2)=0</formula>
    </cfRule>
  </conditionalFormatting>
  <conditionalFormatting sqref="S8">
    <cfRule type="expression" dxfId="4758" priority="4488">
      <formula>MOD(ROW(),2)=0</formula>
    </cfRule>
  </conditionalFormatting>
  <conditionalFormatting sqref="S16 S12:S13">
    <cfRule type="expression" dxfId="4757" priority="4487">
      <formula>MOD(ROW(),2)=0</formula>
    </cfRule>
  </conditionalFormatting>
  <conditionalFormatting sqref="S14 S17:S19 S21">
    <cfRule type="expression" dxfId="4756" priority="4486">
      <formula>MOD(ROW(),2)=0</formula>
    </cfRule>
  </conditionalFormatting>
  <conditionalFormatting sqref="S11">
    <cfRule type="expression" dxfId="4755" priority="4485">
      <formula>MOD(ROW(),2)=0</formula>
    </cfRule>
  </conditionalFormatting>
  <conditionalFormatting sqref="S10">
    <cfRule type="expression" dxfId="4754" priority="4484">
      <formula>MOD(ROW(),2)=0</formula>
    </cfRule>
  </conditionalFormatting>
  <conditionalFormatting sqref="S22">
    <cfRule type="expression" dxfId="4753" priority="4483">
      <formula>MOD(ROW(),2)=0</formula>
    </cfRule>
  </conditionalFormatting>
  <conditionalFormatting sqref="S9">
    <cfRule type="expression" dxfId="4752" priority="4482">
      <formula>MOD(ROW(),2)=0</formula>
    </cfRule>
  </conditionalFormatting>
  <conditionalFormatting sqref="S8">
    <cfRule type="expression" dxfId="4751" priority="4481">
      <formula>MOD(ROW(),2)=0</formula>
    </cfRule>
  </conditionalFormatting>
  <conditionalFormatting sqref="S16 S12:S13">
    <cfRule type="expression" dxfId="4750" priority="4480">
      <formula>MOD(ROW(),2)=0</formula>
    </cfRule>
  </conditionalFormatting>
  <conditionalFormatting sqref="S14 S17:S19 S21">
    <cfRule type="expression" dxfId="4749" priority="4479">
      <formula>MOD(ROW(),2)=0</formula>
    </cfRule>
  </conditionalFormatting>
  <conditionalFormatting sqref="S11">
    <cfRule type="expression" dxfId="4748" priority="4478">
      <formula>MOD(ROW(),2)=0</formula>
    </cfRule>
  </conditionalFormatting>
  <conditionalFormatting sqref="S22">
    <cfRule type="expression" dxfId="4747" priority="4477">
      <formula>MOD(ROW(),2)=0</formula>
    </cfRule>
  </conditionalFormatting>
  <conditionalFormatting sqref="S10">
    <cfRule type="expression" dxfId="4746" priority="4476">
      <formula>MOD(ROW(),2)=0</formula>
    </cfRule>
  </conditionalFormatting>
  <conditionalFormatting sqref="S15">
    <cfRule type="expression" dxfId="4745" priority="4475">
      <formula>MOD(ROW(),2)=0</formula>
    </cfRule>
  </conditionalFormatting>
  <conditionalFormatting sqref="S15">
    <cfRule type="expression" dxfId="4744" priority="4474">
      <formula>MOD(ROW(),2)=0</formula>
    </cfRule>
  </conditionalFormatting>
  <conditionalFormatting sqref="S15">
    <cfRule type="expression" dxfId="4743" priority="4473">
      <formula>MOD(ROW(),2)=0</formula>
    </cfRule>
  </conditionalFormatting>
  <conditionalFormatting sqref="S15">
    <cfRule type="expression" dxfId="4742" priority="4472">
      <formula>MOD(ROW(),2)=0</formula>
    </cfRule>
  </conditionalFormatting>
  <conditionalFormatting sqref="S15">
    <cfRule type="expression" dxfId="4741" priority="4471">
      <formula>MOD(ROW(),2)=0</formula>
    </cfRule>
  </conditionalFormatting>
  <conditionalFormatting sqref="S15">
    <cfRule type="expression" dxfId="4740" priority="4470">
      <formula>MOD(ROW(),2)=0</formula>
    </cfRule>
  </conditionalFormatting>
  <conditionalFormatting sqref="S15">
    <cfRule type="expression" dxfId="4739" priority="4469">
      <formula>MOD(ROW(),2)=0</formula>
    </cfRule>
  </conditionalFormatting>
  <conditionalFormatting sqref="S15">
    <cfRule type="expression" dxfId="4738" priority="4468">
      <formula>MOD(ROW(),2)=0</formula>
    </cfRule>
  </conditionalFormatting>
  <conditionalFormatting sqref="S15">
    <cfRule type="expression" dxfId="4737" priority="4467">
      <formula>MOD(ROW(),2)=0</formula>
    </cfRule>
  </conditionalFormatting>
  <conditionalFormatting sqref="S15">
    <cfRule type="expression" dxfId="4736" priority="4466">
      <formula>MOD(ROW(),2)=0</formula>
    </cfRule>
  </conditionalFormatting>
  <conditionalFormatting sqref="S15">
    <cfRule type="expression" dxfId="4735" priority="4465">
      <formula>MOD(ROW(),2)=0</formula>
    </cfRule>
  </conditionalFormatting>
  <conditionalFormatting sqref="S15">
    <cfRule type="expression" dxfId="4734" priority="4464">
      <formula>MOD(ROW(),2)=0</formula>
    </cfRule>
  </conditionalFormatting>
  <conditionalFormatting sqref="S15">
    <cfRule type="expression" dxfId="4733" priority="4463">
      <formula>MOD(ROW(),2)=0</formula>
    </cfRule>
  </conditionalFormatting>
  <conditionalFormatting sqref="S15">
    <cfRule type="expression" dxfId="4732" priority="4462">
      <formula>MOD(ROW(),2)=0</formula>
    </cfRule>
  </conditionalFormatting>
  <conditionalFormatting sqref="S15">
    <cfRule type="expression" dxfId="4731" priority="4461">
      <formula>MOD(ROW(),2)=0</formula>
    </cfRule>
  </conditionalFormatting>
  <conditionalFormatting sqref="S15">
    <cfRule type="expression" dxfId="4730" priority="4460">
      <formula>MOD(ROW(),2)=0</formula>
    </cfRule>
  </conditionalFormatting>
  <conditionalFormatting sqref="S20">
    <cfRule type="expression" dxfId="4729" priority="4459">
      <formula>MOD(ROW(),2)=0</formula>
    </cfRule>
  </conditionalFormatting>
  <conditionalFormatting sqref="S20">
    <cfRule type="expression" dxfId="4728" priority="4458">
      <formula>MOD(ROW(),2)=0</formula>
    </cfRule>
  </conditionalFormatting>
  <conditionalFormatting sqref="S20">
    <cfRule type="expression" dxfId="4727" priority="4457">
      <formula>MOD(ROW(),2)=0</formula>
    </cfRule>
  </conditionalFormatting>
  <conditionalFormatting sqref="S20">
    <cfRule type="expression" dxfId="4726" priority="4456">
      <formula>MOD(ROW(),2)=0</formula>
    </cfRule>
  </conditionalFormatting>
  <conditionalFormatting sqref="S20">
    <cfRule type="expression" dxfId="4725" priority="4455">
      <formula>MOD(ROW(),2)=0</formula>
    </cfRule>
  </conditionalFormatting>
  <conditionalFormatting sqref="S20">
    <cfRule type="expression" dxfId="4724" priority="4454">
      <formula>MOD(ROW(),2)=0</formula>
    </cfRule>
  </conditionalFormatting>
  <conditionalFormatting sqref="S20">
    <cfRule type="expression" dxfId="4723" priority="4453">
      <formula>MOD(ROW(),2)=0</formula>
    </cfRule>
  </conditionalFormatting>
  <conditionalFormatting sqref="S20">
    <cfRule type="expression" dxfId="4722" priority="4452">
      <formula>MOD(ROW(),2)=0</formula>
    </cfRule>
  </conditionalFormatting>
  <conditionalFormatting sqref="S20">
    <cfRule type="expression" dxfId="4721" priority="4451">
      <formula>MOD(ROW(),2)=0</formula>
    </cfRule>
  </conditionalFormatting>
  <conditionalFormatting sqref="S20">
    <cfRule type="expression" dxfId="4720" priority="4450">
      <formula>MOD(ROW(),2)=0</formula>
    </cfRule>
  </conditionalFormatting>
  <conditionalFormatting sqref="S20">
    <cfRule type="expression" dxfId="4719" priority="4449">
      <formula>MOD(ROW(),2)=0</formula>
    </cfRule>
  </conditionalFormatting>
  <conditionalFormatting sqref="S20">
    <cfRule type="expression" dxfId="4718" priority="4448">
      <formula>MOD(ROW(),2)=0</formula>
    </cfRule>
  </conditionalFormatting>
  <conditionalFormatting sqref="S20">
    <cfRule type="expression" dxfId="4717" priority="4447">
      <formula>MOD(ROW(),2)=0</formula>
    </cfRule>
  </conditionalFormatting>
  <conditionalFormatting sqref="S20">
    <cfRule type="expression" dxfId="4716" priority="4446">
      <formula>MOD(ROW(),2)=0</formula>
    </cfRule>
  </conditionalFormatting>
  <conditionalFormatting sqref="S20">
    <cfRule type="expression" dxfId="4715" priority="4445">
      <formula>MOD(ROW(),2)=0</formula>
    </cfRule>
  </conditionalFormatting>
  <conditionalFormatting sqref="S20">
    <cfRule type="expression" dxfId="4714" priority="4444">
      <formula>MOD(ROW(),2)=0</formula>
    </cfRule>
  </conditionalFormatting>
  <conditionalFormatting sqref="T9">
    <cfRule type="expression" dxfId="4713" priority="4443">
      <formula>MOD(ROW(),2)=0</formula>
    </cfRule>
  </conditionalFormatting>
  <conditionalFormatting sqref="T8">
    <cfRule type="expression" dxfId="4712" priority="4442">
      <formula>MOD(ROW(),2)=0</formula>
    </cfRule>
  </conditionalFormatting>
  <conditionalFormatting sqref="T16 T12:T13">
    <cfRule type="expression" dxfId="4711" priority="4441">
      <formula>MOD(ROW(),2)=0</formula>
    </cfRule>
  </conditionalFormatting>
  <conditionalFormatting sqref="T14 T17:T19 T21">
    <cfRule type="expression" dxfId="4710" priority="4440">
      <formula>MOD(ROW(),2)=0</formula>
    </cfRule>
  </conditionalFormatting>
  <conditionalFormatting sqref="T11">
    <cfRule type="expression" dxfId="4709" priority="4439">
      <formula>MOD(ROW(),2)=0</formula>
    </cfRule>
  </conditionalFormatting>
  <conditionalFormatting sqref="T22">
    <cfRule type="expression" dxfId="4708" priority="4438">
      <formula>MOD(ROW(),2)=0</formula>
    </cfRule>
  </conditionalFormatting>
  <conditionalFormatting sqref="T10">
    <cfRule type="expression" dxfId="4707" priority="4437">
      <formula>MOD(ROW(),2)=0</formula>
    </cfRule>
  </conditionalFormatting>
  <conditionalFormatting sqref="T9">
    <cfRule type="expression" dxfId="4706" priority="4436">
      <formula>MOD(ROW(),2)=0</formula>
    </cfRule>
  </conditionalFormatting>
  <conditionalFormatting sqref="T8">
    <cfRule type="expression" dxfId="4705" priority="4435">
      <formula>MOD(ROW(),2)=0</formula>
    </cfRule>
  </conditionalFormatting>
  <conditionalFormatting sqref="T16 T12:T13">
    <cfRule type="expression" dxfId="4704" priority="4434">
      <formula>MOD(ROW(),2)=0</formula>
    </cfRule>
  </conditionalFormatting>
  <conditionalFormatting sqref="T14 T17:T19 T21">
    <cfRule type="expression" dxfId="4703" priority="4433">
      <formula>MOD(ROW(),2)=0</formula>
    </cfRule>
  </conditionalFormatting>
  <conditionalFormatting sqref="T11">
    <cfRule type="expression" dxfId="4702" priority="4432">
      <formula>MOD(ROW(),2)=0</formula>
    </cfRule>
  </conditionalFormatting>
  <conditionalFormatting sqref="T22">
    <cfRule type="expression" dxfId="4701" priority="4431">
      <formula>MOD(ROW(),2)=0</formula>
    </cfRule>
  </conditionalFormatting>
  <conditionalFormatting sqref="T10">
    <cfRule type="expression" dxfId="4700" priority="4430">
      <formula>MOD(ROW(),2)=0</formula>
    </cfRule>
  </conditionalFormatting>
  <conditionalFormatting sqref="T9">
    <cfRule type="expression" dxfId="4699" priority="4429">
      <formula>MOD(ROW(),2)=0</formula>
    </cfRule>
  </conditionalFormatting>
  <conditionalFormatting sqref="T8">
    <cfRule type="expression" dxfId="4698" priority="4428">
      <formula>MOD(ROW(),2)=0</formula>
    </cfRule>
  </conditionalFormatting>
  <conditionalFormatting sqref="T16 T12:T13">
    <cfRule type="expression" dxfId="4697" priority="4427">
      <formula>MOD(ROW(),2)=0</formula>
    </cfRule>
  </conditionalFormatting>
  <conditionalFormatting sqref="T14 T17:T19 T21">
    <cfRule type="expression" dxfId="4696" priority="4426">
      <formula>MOD(ROW(),2)=0</formula>
    </cfRule>
  </conditionalFormatting>
  <conditionalFormatting sqref="T11">
    <cfRule type="expression" dxfId="4695" priority="4425">
      <formula>MOD(ROW(),2)=0</formula>
    </cfRule>
  </conditionalFormatting>
  <conditionalFormatting sqref="T22">
    <cfRule type="expression" dxfId="4694" priority="4424">
      <formula>MOD(ROW(),2)=0</formula>
    </cfRule>
  </conditionalFormatting>
  <conditionalFormatting sqref="T10">
    <cfRule type="expression" dxfId="4693" priority="4423">
      <formula>MOD(ROW(),2)=0</formula>
    </cfRule>
  </conditionalFormatting>
  <conditionalFormatting sqref="T9">
    <cfRule type="expression" dxfId="4692" priority="4422">
      <formula>MOD(ROW(),2)=0</formula>
    </cfRule>
  </conditionalFormatting>
  <conditionalFormatting sqref="T8">
    <cfRule type="expression" dxfId="4691" priority="4421">
      <formula>MOD(ROW(),2)=0</formula>
    </cfRule>
  </conditionalFormatting>
  <conditionalFormatting sqref="T16 T12:T13">
    <cfRule type="expression" dxfId="4690" priority="4420">
      <formula>MOD(ROW(),2)=0</formula>
    </cfRule>
  </conditionalFormatting>
  <conditionalFormatting sqref="T14 T17:T19 T21">
    <cfRule type="expression" dxfId="4689" priority="4419">
      <formula>MOD(ROW(),2)=0</formula>
    </cfRule>
  </conditionalFormatting>
  <conditionalFormatting sqref="T11">
    <cfRule type="expression" dxfId="4688" priority="4418">
      <formula>MOD(ROW(),2)=0</formula>
    </cfRule>
  </conditionalFormatting>
  <conditionalFormatting sqref="T22">
    <cfRule type="expression" dxfId="4687" priority="4417">
      <formula>MOD(ROW(),2)=0</formula>
    </cfRule>
  </conditionalFormatting>
  <conditionalFormatting sqref="T10">
    <cfRule type="expression" dxfId="4686" priority="4416">
      <formula>MOD(ROW(),2)=0</formula>
    </cfRule>
  </conditionalFormatting>
  <conditionalFormatting sqref="T9">
    <cfRule type="expression" dxfId="4685" priority="4415">
      <formula>MOD(ROW(),2)=0</formula>
    </cfRule>
  </conditionalFormatting>
  <conditionalFormatting sqref="T8">
    <cfRule type="expression" dxfId="4684" priority="4414">
      <formula>MOD(ROW(),2)=0</formula>
    </cfRule>
  </conditionalFormatting>
  <conditionalFormatting sqref="T16 T12:T13">
    <cfRule type="expression" dxfId="4683" priority="4413">
      <formula>MOD(ROW(),2)=0</formula>
    </cfRule>
  </conditionalFormatting>
  <conditionalFormatting sqref="T14 T17:T19 T21">
    <cfRule type="expression" dxfId="4682" priority="4412">
      <formula>MOD(ROW(),2)=0</formula>
    </cfRule>
  </conditionalFormatting>
  <conditionalFormatting sqref="T11">
    <cfRule type="expression" dxfId="4681" priority="4411">
      <formula>MOD(ROW(),2)=0</formula>
    </cfRule>
  </conditionalFormatting>
  <conditionalFormatting sqref="T22">
    <cfRule type="expression" dxfId="4680" priority="4410">
      <formula>MOD(ROW(),2)=0</formula>
    </cfRule>
  </conditionalFormatting>
  <conditionalFormatting sqref="T10">
    <cfRule type="expression" dxfId="4679" priority="4409">
      <formula>MOD(ROW(),2)=0</formula>
    </cfRule>
  </conditionalFormatting>
  <conditionalFormatting sqref="T9">
    <cfRule type="expression" dxfId="4678" priority="4408">
      <formula>MOD(ROW(),2)=0</formula>
    </cfRule>
  </conditionalFormatting>
  <conditionalFormatting sqref="T8">
    <cfRule type="expression" dxfId="4677" priority="4407">
      <formula>MOD(ROW(),2)=0</formula>
    </cfRule>
  </conditionalFormatting>
  <conditionalFormatting sqref="T16 T12:T13">
    <cfRule type="expression" dxfId="4676" priority="4406">
      <formula>MOD(ROW(),2)=0</formula>
    </cfRule>
  </conditionalFormatting>
  <conditionalFormatting sqref="T14 T17:T19 T21">
    <cfRule type="expression" dxfId="4675" priority="4405">
      <formula>MOD(ROW(),2)=0</formula>
    </cfRule>
  </conditionalFormatting>
  <conditionalFormatting sqref="T11">
    <cfRule type="expression" dxfId="4674" priority="4404">
      <formula>MOD(ROW(),2)=0</formula>
    </cfRule>
  </conditionalFormatting>
  <conditionalFormatting sqref="T22">
    <cfRule type="expression" dxfId="4673" priority="4403">
      <formula>MOD(ROW(),2)=0</formula>
    </cfRule>
  </conditionalFormatting>
  <conditionalFormatting sqref="T10">
    <cfRule type="expression" dxfId="4672" priority="4402">
      <formula>MOD(ROW(),2)=0</formula>
    </cfRule>
  </conditionalFormatting>
  <conditionalFormatting sqref="T9">
    <cfRule type="expression" dxfId="4671" priority="4401">
      <formula>MOD(ROW(),2)=0</formula>
    </cfRule>
  </conditionalFormatting>
  <conditionalFormatting sqref="T8">
    <cfRule type="expression" dxfId="4670" priority="4400">
      <formula>MOD(ROW(),2)=0</formula>
    </cfRule>
  </conditionalFormatting>
  <conditionalFormatting sqref="T16 T12:T13">
    <cfRule type="expression" dxfId="4669" priority="4399">
      <formula>MOD(ROW(),2)=0</formula>
    </cfRule>
  </conditionalFormatting>
  <conditionalFormatting sqref="T14 T17:T19 T21">
    <cfRule type="expression" dxfId="4668" priority="4398">
      <formula>MOD(ROW(),2)=0</formula>
    </cfRule>
  </conditionalFormatting>
  <conditionalFormatting sqref="T11">
    <cfRule type="expression" dxfId="4667" priority="4397">
      <formula>MOD(ROW(),2)=0</formula>
    </cfRule>
  </conditionalFormatting>
  <conditionalFormatting sqref="T10">
    <cfRule type="expression" dxfId="4666" priority="4396">
      <formula>MOD(ROW(),2)=0</formula>
    </cfRule>
  </conditionalFormatting>
  <conditionalFormatting sqref="T22">
    <cfRule type="expression" dxfId="4665" priority="4395">
      <formula>MOD(ROW(),2)=0</formula>
    </cfRule>
  </conditionalFormatting>
  <conditionalFormatting sqref="T9">
    <cfRule type="expression" dxfId="4664" priority="4394">
      <formula>MOD(ROW(),2)=0</formula>
    </cfRule>
  </conditionalFormatting>
  <conditionalFormatting sqref="T8">
    <cfRule type="expression" dxfId="4663" priority="4393">
      <formula>MOD(ROW(),2)=0</formula>
    </cfRule>
  </conditionalFormatting>
  <conditionalFormatting sqref="T16 T12:T13">
    <cfRule type="expression" dxfId="4662" priority="4392">
      <formula>MOD(ROW(),2)=0</formula>
    </cfRule>
  </conditionalFormatting>
  <conditionalFormatting sqref="T14 T17:T19 T21">
    <cfRule type="expression" dxfId="4661" priority="4391">
      <formula>MOD(ROW(),2)=0</formula>
    </cfRule>
  </conditionalFormatting>
  <conditionalFormatting sqref="T11">
    <cfRule type="expression" dxfId="4660" priority="4390">
      <formula>MOD(ROW(),2)=0</formula>
    </cfRule>
  </conditionalFormatting>
  <conditionalFormatting sqref="T22">
    <cfRule type="expression" dxfId="4659" priority="4389">
      <formula>MOD(ROW(),2)=0</formula>
    </cfRule>
  </conditionalFormatting>
  <conditionalFormatting sqref="T10">
    <cfRule type="expression" dxfId="4658" priority="4388">
      <formula>MOD(ROW(),2)=0</formula>
    </cfRule>
  </conditionalFormatting>
  <conditionalFormatting sqref="T9">
    <cfRule type="expression" dxfId="4657" priority="4387">
      <formula>MOD(ROW(),2)=0</formula>
    </cfRule>
  </conditionalFormatting>
  <conditionalFormatting sqref="T8">
    <cfRule type="expression" dxfId="4656" priority="4386">
      <formula>MOD(ROW(),2)=0</formula>
    </cfRule>
  </conditionalFormatting>
  <conditionalFormatting sqref="T16 T12:T13">
    <cfRule type="expression" dxfId="4655" priority="4385">
      <formula>MOD(ROW(),2)=0</formula>
    </cfRule>
  </conditionalFormatting>
  <conditionalFormatting sqref="T14 T17:T19 T21">
    <cfRule type="expression" dxfId="4654" priority="4384">
      <formula>MOD(ROW(),2)=0</formula>
    </cfRule>
  </conditionalFormatting>
  <conditionalFormatting sqref="T11">
    <cfRule type="expression" dxfId="4653" priority="4383">
      <formula>MOD(ROW(),2)=0</formula>
    </cfRule>
  </conditionalFormatting>
  <conditionalFormatting sqref="T22">
    <cfRule type="expression" dxfId="4652" priority="4382">
      <formula>MOD(ROW(),2)=0</formula>
    </cfRule>
  </conditionalFormatting>
  <conditionalFormatting sqref="T10">
    <cfRule type="expression" dxfId="4651" priority="4381">
      <formula>MOD(ROW(),2)=0</formula>
    </cfRule>
  </conditionalFormatting>
  <conditionalFormatting sqref="T9">
    <cfRule type="expression" dxfId="4650" priority="4380">
      <formula>MOD(ROW(),2)=0</formula>
    </cfRule>
  </conditionalFormatting>
  <conditionalFormatting sqref="T8">
    <cfRule type="expression" dxfId="4649" priority="4379">
      <formula>MOD(ROW(),2)=0</formula>
    </cfRule>
  </conditionalFormatting>
  <conditionalFormatting sqref="T16 T12:T13">
    <cfRule type="expression" dxfId="4648" priority="4378">
      <formula>MOD(ROW(),2)=0</formula>
    </cfRule>
  </conditionalFormatting>
  <conditionalFormatting sqref="T14 T17:T19 T21">
    <cfRule type="expression" dxfId="4647" priority="4377">
      <formula>MOD(ROW(),2)=0</formula>
    </cfRule>
  </conditionalFormatting>
  <conditionalFormatting sqref="T11">
    <cfRule type="expression" dxfId="4646" priority="4376">
      <formula>MOD(ROW(),2)=0</formula>
    </cfRule>
  </conditionalFormatting>
  <conditionalFormatting sqref="T22">
    <cfRule type="expression" dxfId="4645" priority="4375">
      <formula>MOD(ROW(),2)=0</formula>
    </cfRule>
  </conditionalFormatting>
  <conditionalFormatting sqref="T10">
    <cfRule type="expression" dxfId="4644" priority="4374">
      <formula>MOD(ROW(),2)=0</formula>
    </cfRule>
  </conditionalFormatting>
  <conditionalFormatting sqref="T9">
    <cfRule type="expression" dxfId="4643" priority="4373">
      <formula>MOD(ROW(),2)=0</formula>
    </cfRule>
  </conditionalFormatting>
  <conditionalFormatting sqref="T8">
    <cfRule type="expression" dxfId="4642" priority="4372">
      <formula>MOD(ROW(),2)=0</formula>
    </cfRule>
  </conditionalFormatting>
  <conditionalFormatting sqref="T16 T12:T13">
    <cfRule type="expression" dxfId="4641" priority="4371">
      <formula>MOD(ROW(),2)=0</formula>
    </cfRule>
  </conditionalFormatting>
  <conditionalFormatting sqref="T14 T17:T19 T21">
    <cfRule type="expression" dxfId="4640" priority="4370">
      <formula>MOD(ROW(),2)=0</formula>
    </cfRule>
  </conditionalFormatting>
  <conditionalFormatting sqref="T11">
    <cfRule type="expression" dxfId="4639" priority="4369">
      <formula>MOD(ROW(),2)=0</formula>
    </cfRule>
  </conditionalFormatting>
  <conditionalFormatting sqref="T22">
    <cfRule type="expression" dxfId="4638" priority="4368">
      <formula>MOD(ROW(),2)=0</formula>
    </cfRule>
  </conditionalFormatting>
  <conditionalFormatting sqref="T10">
    <cfRule type="expression" dxfId="4637" priority="4367">
      <formula>MOD(ROW(),2)=0</formula>
    </cfRule>
  </conditionalFormatting>
  <conditionalFormatting sqref="T9">
    <cfRule type="expression" dxfId="4636" priority="4366">
      <formula>MOD(ROW(),2)=0</formula>
    </cfRule>
  </conditionalFormatting>
  <conditionalFormatting sqref="T8">
    <cfRule type="expression" dxfId="4635" priority="4365">
      <formula>MOD(ROW(),2)=0</formula>
    </cfRule>
  </conditionalFormatting>
  <conditionalFormatting sqref="T16 T12:T13">
    <cfRule type="expression" dxfId="4634" priority="4364">
      <formula>MOD(ROW(),2)=0</formula>
    </cfRule>
  </conditionalFormatting>
  <conditionalFormatting sqref="T14 T17:T19 T21">
    <cfRule type="expression" dxfId="4633" priority="4363">
      <formula>MOD(ROW(),2)=0</formula>
    </cfRule>
  </conditionalFormatting>
  <conditionalFormatting sqref="T11">
    <cfRule type="expression" dxfId="4632" priority="4362">
      <formula>MOD(ROW(),2)=0</formula>
    </cfRule>
  </conditionalFormatting>
  <conditionalFormatting sqref="T22">
    <cfRule type="expression" dxfId="4631" priority="4361">
      <formula>MOD(ROW(),2)=0</formula>
    </cfRule>
  </conditionalFormatting>
  <conditionalFormatting sqref="T10">
    <cfRule type="expression" dxfId="4630" priority="4360">
      <formula>MOD(ROW(),2)=0</formula>
    </cfRule>
  </conditionalFormatting>
  <conditionalFormatting sqref="T9">
    <cfRule type="expression" dxfId="4629" priority="4359">
      <formula>MOD(ROW(),2)=0</formula>
    </cfRule>
  </conditionalFormatting>
  <conditionalFormatting sqref="T8">
    <cfRule type="expression" dxfId="4628" priority="4358">
      <formula>MOD(ROW(),2)=0</formula>
    </cfRule>
  </conditionalFormatting>
  <conditionalFormatting sqref="T16 T12:T13">
    <cfRule type="expression" dxfId="4627" priority="4357">
      <formula>MOD(ROW(),2)=0</formula>
    </cfRule>
  </conditionalFormatting>
  <conditionalFormatting sqref="T14 T17:T19 T21">
    <cfRule type="expression" dxfId="4626" priority="4356">
      <formula>MOD(ROW(),2)=0</formula>
    </cfRule>
  </conditionalFormatting>
  <conditionalFormatting sqref="T11">
    <cfRule type="expression" dxfId="4625" priority="4355">
      <formula>MOD(ROW(),2)=0</formula>
    </cfRule>
  </conditionalFormatting>
  <conditionalFormatting sqref="T22">
    <cfRule type="expression" dxfId="4624" priority="4354">
      <formula>MOD(ROW(),2)=0</formula>
    </cfRule>
  </conditionalFormatting>
  <conditionalFormatting sqref="T10">
    <cfRule type="expression" dxfId="4623" priority="4353">
      <formula>MOD(ROW(),2)=0</formula>
    </cfRule>
  </conditionalFormatting>
  <conditionalFormatting sqref="T9">
    <cfRule type="expression" dxfId="4622" priority="4352">
      <formula>MOD(ROW(),2)=0</formula>
    </cfRule>
  </conditionalFormatting>
  <conditionalFormatting sqref="T8">
    <cfRule type="expression" dxfId="4621" priority="4351">
      <formula>MOD(ROW(),2)=0</formula>
    </cfRule>
  </conditionalFormatting>
  <conditionalFormatting sqref="T16 T12:T13">
    <cfRule type="expression" dxfId="4620" priority="4350">
      <formula>MOD(ROW(),2)=0</formula>
    </cfRule>
  </conditionalFormatting>
  <conditionalFormatting sqref="T14 T17:T19 T21">
    <cfRule type="expression" dxfId="4619" priority="4349">
      <formula>MOD(ROW(),2)=0</formula>
    </cfRule>
  </conditionalFormatting>
  <conditionalFormatting sqref="T11">
    <cfRule type="expression" dxfId="4618" priority="4348">
      <formula>MOD(ROW(),2)=0</formula>
    </cfRule>
  </conditionalFormatting>
  <conditionalFormatting sqref="T22">
    <cfRule type="expression" dxfId="4617" priority="4347">
      <formula>MOD(ROW(),2)=0</formula>
    </cfRule>
  </conditionalFormatting>
  <conditionalFormatting sqref="T10">
    <cfRule type="expression" dxfId="4616" priority="4346">
      <formula>MOD(ROW(),2)=0</formula>
    </cfRule>
  </conditionalFormatting>
  <conditionalFormatting sqref="T9">
    <cfRule type="expression" dxfId="4615" priority="4345">
      <formula>MOD(ROW(),2)=0</formula>
    </cfRule>
  </conditionalFormatting>
  <conditionalFormatting sqref="T8">
    <cfRule type="expression" dxfId="4614" priority="4344">
      <formula>MOD(ROW(),2)=0</formula>
    </cfRule>
  </conditionalFormatting>
  <conditionalFormatting sqref="T16 T12:T13">
    <cfRule type="expression" dxfId="4613" priority="4343">
      <formula>MOD(ROW(),2)=0</formula>
    </cfRule>
  </conditionalFormatting>
  <conditionalFormatting sqref="T14 T17:T19 T21">
    <cfRule type="expression" dxfId="4612" priority="4342">
      <formula>MOD(ROW(),2)=0</formula>
    </cfRule>
  </conditionalFormatting>
  <conditionalFormatting sqref="T11">
    <cfRule type="expression" dxfId="4611" priority="4341">
      <formula>MOD(ROW(),2)=0</formula>
    </cfRule>
  </conditionalFormatting>
  <conditionalFormatting sqref="T10">
    <cfRule type="expression" dxfId="4610" priority="4340">
      <formula>MOD(ROW(),2)=0</formula>
    </cfRule>
  </conditionalFormatting>
  <conditionalFormatting sqref="T22">
    <cfRule type="expression" dxfId="4609" priority="4339">
      <formula>MOD(ROW(),2)=0</formula>
    </cfRule>
  </conditionalFormatting>
  <conditionalFormatting sqref="T9">
    <cfRule type="expression" dxfId="4608" priority="4338">
      <formula>MOD(ROW(),2)=0</formula>
    </cfRule>
  </conditionalFormatting>
  <conditionalFormatting sqref="T8">
    <cfRule type="expression" dxfId="4607" priority="4337">
      <formula>MOD(ROW(),2)=0</formula>
    </cfRule>
  </conditionalFormatting>
  <conditionalFormatting sqref="T16 T12:T13">
    <cfRule type="expression" dxfId="4606" priority="4336">
      <formula>MOD(ROW(),2)=0</formula>
    </cfRule>
  </conditionalFormatting>
  <conditionalFormatting sqref="T14 T17:T19 T21">
    <cfRule type="expression" dxfId="4605" priority="4335">
      <formula>MOD(ROW(),2)=0</formula>
    </cfRule>
  </conditionalFormatting>
  <conditionalFormatting sqref="T11">
    <cfRule type="expression" dxfId="4604" priority="4334">
      <formula>MOD(ROW(),2)=0</formula>
    </cfRule>
  </conditionalFormatting>
  <conditionalFormatting sqref="T22">
    <cfRule type="expression" dxfId="4603" priority="4333">
      <formula>MOD(ROW(),2)=0</formula>
    </cfRule>
  </conditionalFormatting>
  <conditionalFormatting sqref="T10">
    <cfRule type="expression" dxfId="4602" priority="4332">
      <formula>MOD(ROW(),2)=0</formula>
    </cfRule>
  </conditionalFormatting>
  <conditionalFormatting sqref="T15">
    <cfRule type="expression" dxfId="4601" priority="4331">
      <formula>MOD(ROW(),2)=0</formula>
    </cfRule>
  </conditionalFormatting>
  <conditionalFormatting sqref="T15">
    <cfRule type="expression" dxfId="4600" priority="4330">
      <formula>MOD(ROW(),2)=0</formula>
    </cfRule>
  </conditionalFormatting>
  <conditionalFormatting sqref="T15">
    <cfRule type="expression" dxfId="4599" priority="4329">
      <formula>MOD(ROW(),2)=0</formula>
    </cfRule>
  </conditionalFormatting>
  <conditionalFormatting sqref="T15">
    <cfRule type="expression" dxfId="4598" priority="4328">
      <formula>MOD(ROW(),2)=0</formula>
    </cfRule>
  </conditionalFormatting>
  <conditionalFormatting sqref="T15">
    <cfRule type="expression" dxfId="4597" priority="4327">
      <formula>MOD(ROW(),2)=0</formula>
    </cfRule>
  </conditionalFormatting>
  <conditionalFormatting sqref="T15">
    <cfRule type="expression" dxfId="4596" priority="4326">
      <formula>MOD(ROW(),2)=0</formula>
    </cfRule>
  </conditionalFormatting>
  <conditionalFormatting sqref="T15">
    <cfRule type="expression" dxfId="4595" priority="4325">
      <formula>MOD(ROW(),2)=0</formula>
    </cfRule>
  </conditionalFormatting>
  <conditionalFormatting sqref="T15">
    <cfRule type="expression" dxfId="4594" priority="4324">
      <formula>MOD(ROW(),2)=0</formula>
    </cfRule>
  </conditionalFormatting>
  <conditionalFormatting sqref="T15">
    <cfRule type="expression" dxfId="4593" priority="4323">
      <formula>MOD(ROW(),2)=0</formula>
    </cfRule>
  </conditionalFormatting>
  <conditionalFormatting sqref="T15">
    <cfRule type="expression" dxfId="4592" priority="4322">
      <formula>MOD(ROW(),2)=0</formula>
    </cfRule>
  </conditionalFormatting>
  <conditionalFormatting sqref="T15">
    <cfRule type="expression" dxfId="4591" priority="4321">
      <formula>MOD(ROW(),2)=0</formula>
    </cfRule>
  </conditionalFormatting>
  <conditionalFormatting sqref="T15">
    <cfRule type="expression" dxfId="4590" priority="4320">
      <formula>MOD(ROW(),2)=0</formula>
    </cfRule>
  </conditionalFormatting>
  <conditionalFormatting sqref="T15">
    <cfRule type="expression" dxfId="4589" priority="4319">
      <formula>MOD(ROW(),2)=0</formula>
    </cfRule>
  </conditionalFormatting>
  <conditionalFormatting sqref="T15">
    <cfRule type="expression" dxfId="4588" priority="4318">
      <formula>MOD(ROW(),2)=0</formula>
    </cfRule>
  </conditionalFormatting>
  <conditionalFormatting sqref="T15">
    <cfRule type="expression" dxfId="4587" priority="4317">
      <formula>MOD(ROW(),2)=0</formula>
    </cfRule>
  </conditionalFormatting>
  <conditionalFormatting sqref="T15">
    <cfRule type="expression" dxfId="4586" priority="4316">
      <formula>MOD(ROW(),2)=0</formula>
    </cfRule>
  </conditionalFormatting>
  <conditionalFormatting sqref="T20">
    <cfRule type="expression" dxfId="4585" priority="4315">
      <formula>MOD(ROW(),2)=0</formula>
    </cfRule>
  </conditionalFormatting>
  <conditionalFormatting sqref="T20">
    <cfRule type="expression" dxfId="4584" priority="4314">
      <formula>MOD(ROW(),2)=0</formula>
    </cfRule>
  </conditionalFormatting>
  <conditionalFormatting sqref="T20">
    <cfRule type="expression" dxfId="4583" priority="4313">
      <formula>MOD(ROW(),2)=0</formula>
    </cfRule>
  </conditionalFormatting>
  <conditionalFormatting sqref="T20">
    <cfRule type="expression" dxfId="4582" priority="4312">
      <formula>MOD(ROW(),2)=0</formula>
    </cfRule>
  </conditionalFormatting>
  <conditionalFormatting sqref="T20">
    <cfRule type="expression" dxfId="4581" priority="4311">
      <formula>MOD(ROW(),2)=0</formula>
    </cfRule>
  </conditionalFormatting>
  <conditionalFormatting sqref="T20">
    <cfRule type="expression" dxfId="4580" priority="4310">
      <formula>MOD(ROW(),2)=0</formula>
    </cfRule>
  </conditionalFormatting>
  <conditionalFormatting sqref="T20">
    <cfRule type="expression" dxfId="4579" priority="4309">
      <formula>MOD(ROW(),2)=0</formula>
    </cfRule>
  </conditionalFormatting>
  <conditionalFormatting sqref="T20">
    <cfRule type="expression" dxfId="4578" priority="4308">
      <formula>MOD(ROW(),2)=0</formula>
    </cfRule>
  </conditionalFormatting>
  <conditionalFormatting sqref="T20">
    <cfRule type="expression" dxfId="4577" priority="4307">
      <formula>MOD(ROW(),2)=0</formula>
    </cfRule>
  </conditionalFormatting>
  <conditionalFormatting sqref="T20">
    <cfRule type="expression" dxfId="4576" priority="4306">
      <formula>MOD(ROW(),2)=0</formula>
    </cfRule>
  </conditionalFormatting>
  <conditionalFormatting sqref="T20">
    <cfRule type="expression" dxfId="4575" priority="4305">
      <formula>MOD(ROW(),2)=0</formula>
    </cfRule>
  </conditionalFormatting>
  <conditionalFormatting sqref="T20">
    <cfRule type="expression" dxfId="4574" priority="4304">
      <formula>MOD(ROW(),2)=0</formula>
    </cfRule>
  </conditionalFormatting>
  <conditionalFormatting sqref="T20">
    <cfRule type="expression" dxfId="4573" priority="4303">
      <formula>MOD(ROW(),2)=0</formula>
    </cfRule>
  </conditionalFormatting>
  <conditionalFormatting sqref="T20">
    <cfRule type="expression" dxfId="4572" priority="4302">
      <formula>MOD(ROW(),2)=0</formula>
    </cfRule>
  </conditionalFormatting>
  <conditionalFormatting sqref="T20">
    <cfRule type="expression" dxfId="4571" priority="4301">
      <formula>MOD(ROW(),2)=0</formula>
    </cfRule>
  </conditionalFormatting>
  <conditionalFormatting sqref="T20">
    <cfRule type="expression" dxfId="4570" priority="4300">
      <formula>MOD(ROW(),2)=0</formula>
    </cfRule>
  </conditionalFormatting>
  <conditionalFormatting sqref="U9">
    <cfRule type="expression" dxfId="4569" priority="4299">
      <formula>MOD(ROW(),2)=0</formula>
    </cfRule>
  </conditionalFormatting>
  <conditionalFormatting sqref="U8">
    <cfRule type="expression" dxfId="4568" priority="4298">
      <formula>MOD(ROW(),2)=0</formula>
    </cfRule>
  </conditionalFormatting>
  <conditionalFormatting sqref="U16 U12:U13">
    <cfRule type="expression" dxfId="4567" priority="4297">
      <formula>MOD(ROW(),2)=0</formula>
    </cfRule>
  </conditionalFormatting>
  <conditionalFormatting sqref="U14 U17:U19 U21">
    <cfRule type="expression" dxfId="4566" priority="4296">
      <formula>MOD(ROW(),2)=0</formula>
    </cfRule>
  </conditionalFormatting>
  <conditionalFormatting sqref="U11">
    <cfRule type="expression" dxfId="4565" priority="4295">
      <formula>MOD(ROW(),2)=0</formula>
    </cfRule>
  </conditionalFormatting>
  <conditionalFormatting sqref="U22">
    <cfRule type="expression" dxfId="4564" priority="4294">
      <formula>MOD(ROW(),2)=0</formula>
    </cfRule>
  </conditionalFormatting>
  <conditionalFormatting sqref="U10">
    <cfRule type="expression" dxfId="4563" priority="4293">
      <formula>MOD(ROW(),2)=0</formula>
    </cfRule>
  </conditionalFormatting>
  <conditionalFormatting sqref="U9">
    <cfRule type="expression" dxfId="4562" priority="4292">
      <formula>MOD(ROW(),2)=0</formula>
    </cfRule>
  </conditionalFormatting>
  <conditionalFormatting sqref="U8">
    <cfRule type="expression" dxfId="4561" priority="4291">
      <formula>MOD(ROW(),2)=0</formula>
    </cfRule>
  </conditionalFormatting>
  <conditionalFormatting sqref="U16 U12:U13">
    <cfRule type="expression" dxfId="4560" priority="4290">
      <formula>MOD(ROW(),2)=0</formula>
    </cfRule>
  </conditionalFormatting>
  <conditionalFormatting sqref="U14 U17:U19 U21">
    <cfRule type="expression" dxfId="4559" priority="4289">
      <formula>MOD(ROW(),2)=0</formula>
    </cfRule>
  </conditionalFormatting>
  <conditionalFormatting sqref="U11">
    <cfRule type="expression" dxfId="4558" priority="4288">
      <formula>MOD(ROW(),2)=0</formula>
    </cfRule>
  </conditionalFormatting>
  <conditionalFormatting sqref="U22">
    <cfRule type="expression" dxfId="4557" priority="4287">
      <formula>MOD(ROW(),2)=0</formula>
    </cfRule>
  </conditionalFormatting>
  <conditionalFormatting sqref="U10">
    <cfRule type="expression" dxfId="4556" priority="4286">
      <formula>MOD(ROW(),2)=0</formula>
    </cfRule>
  </conditionalFormatting>
  <conditionalFormatting sqref="U9">
    <cfRule type="expression" dxfId="4555" priority="4285">
      <formula>MOD(ROW(),2)=0</formula>
    </cfRule>
  </conditionalFormatting>
  <conditionalFormatting sqref="U8">
    <cfRule type="expression" dxfId="4554" priority="4284">
      <formula>MOD(ROW(),2)=0</formula>
    </cfRule>
  </conditionalFormatting>
  <conditionalFormatting sqref="U16 U12:U13">
    <cfRule type="expression" dxfId="4553" priority="4283">
      <formula>MOD(ROW(),2)=0</formula>
    </cfRule>
  </conditionalFormatting>
  <conditionalFormatting sqref="U14 U17:U19 U21">
    <cfRule type="expression" dxfId="4552" priority="4282">
      <formula>MOD(ROW(),2)=0</formula>
    </cfRule>
  </conditionalFormatting>
  <conditionalFormatting sqref="U11">
    <cfRule type="expression" dxfId="4551" priority="4281">
      <formula>MOD(ROW(),2)=0</formula>
    </cfRule>
  </conditionalFormatting>
  <conditionalFormatting sqref="U22">
    <cfRule type="expression" dxfId="4550" priority="4280">
      <formula>MOD(ROW(),2)=0</formula>
    </cfRule>
  </conditionalFormatting>
  <conditionalFormatting sqref="U10">
    <cfRule type="expression" dxfId="4549" priority="4279">
      <formula>MOD(ROW(),2)=0</formula>
    </cfRule>
  </conditionalFormatting>
  <conditionalFormatting sqref="U9">
    <cfRule type="expression" dxfId="4548" priority="4278">
      <formula>MOD(ROW(),2)=0</formula>
    </cfRule>
  </conditionalFormatting>
  <conditionalFormatting sqref="U8">
    <cfRule type="expression" dxfId="4547" priority="4277">
      <formula>MOD(ROW(),2)=0</formula>
    </cfRule>
  </conditionalFormatting>
  <conditionalFormatting sqref="U16 U12:U13">
    <cfRule type="expression" dxfId="4546" priority="4276">
      <formula>MOD(ROW(),2)=0</formula>
    </cfRule>
  </conditionalFormatting>
  <conditionalFormatting sqref="U14 U17:U19 U21">
    <cfRule type="expression" dxfId="4545" priority="4275">
      <formula>MOD(ROW(),2)=0</formula>
    </cfRule>
  </conditionalFormatting>
  <conditionalFormatting sqref="U11">
    <cfRule type="expression" dxfId="4544" priority="4274">
      <formula>MOD(ROW(),2)=0</formula>
    </cfRule>
  </conditionalFormatting>
  <conditionalFormatting sqref="U22">
    <cfRule type="expression" dxfId="4543" priority="4273">
      <formula>MOD(ROW(),2)=0</formula>
    </cfRule>
  </conditionalFormatting>
  <conditionalFormatting sqref="U10">
    <cfRule type="expression" dxfId="4542" priority="4272">
      <formula>MOD(ROW(),2)=0</formula>
    </cfRule>
  </conditionalFormatting>
  <conditionalFormatting sqref="U9">
    <cfRule type="expression" dxfId="4541" priority="4271">
      <formula>MOD(ROW(),2)=0</formula>
    </cfRule>
  </conditionalFormatting>
  <conditionalFormatting sqref="U8">
    <cfRule type="expression" dxfId="4540" priority="4270">
      <formula>MOD(ROW(),2)=0</formula>
    </cfRule>
  </conditionalFormatting>
  <conditionalFormatting sqref="U16 U12:U13">
    <cfRule type="expression" dxfId="4539" priority="4269">
      <formula>MOD(ROW(),2)=0</formula>
    </cfRule>
  </conditionalFormatting>
  <conditionalFormatting sqref="U14 U17:U19 U21">
    <cfRule type="expression" dxfId="4538" priority="4268">
      <formula>MOD(ROW(),2)=0</formula>
    </cfRule>
  </conditionalFormatting>
  <conditionalFormatting sqref="U11">
    <cfRule type="expression" dxfId="4537" priority="4267">
      <formula>MOD(ROW(),2)=0</formula>
    </cfRule>
  </conditionalFormatting>
  <conditionalFormatting sqref="U22">
    <cfRule type="expression" dxfId="4536" priority="4266">
      <formula>MOD(ROW(),2)=0</formula>
    </cfRule>
  </conditionalFormatting>
  <conditionalFormatting sqref="U10">
    <cfRule type="expression" dxfId="4535" priority="4265">
      <formula>MOD(ROW(),2)=0</formula>
    </cfRule>
  </conditionalFormatting>
  <conditionalFormatting sqref="U9">
    <cfRule type="expression" dxfId="4534" priority="4264">
      <formula>MOD(ROW(),2)=0</formula>
    </cfRule>
  </conditionalFormatting>
  <conditionalFormatting sqref="U8">
    <cfRule type="expression" dxfId="4533" priority="4263">
      <formula>MOD(ROW(),2)=0</formula>
    </cfRule>
  </conditionalFormatting>
  <conditionalFormatting sqref="U16 U12:U13">
    <cfRule type="expression" dxfId="4532" priority="4262">
      <formula>MOD(ROW(),2)=0</formula>
    </cfRule>
  </conditionalFormatting>
  <conditionalFormatting sqref="U14 U17:U19 U21">
    <cfRule type="expression" dxfId="4531" priority="4261">
      <formula>MOD(ROW(),2)=0</formula>
    </cfRule>
  </conditionalFormatting>
  <conditionalFormatting sqref="U11">
    <cfRule type="expression" dxfId="4530" priority="4260">
      <formula>MOD(ROW(),2)=0</formula>
    </cfRule>
  </conditionalFormatting>
  <conditionalFormatting sqref="U22">
    <cfRule type="expression" dxfId="4529" priority="4259">
      <formula>MOD(ROW(),2)=0</formula>
    </cfRule>
  </conditionalFormatting>
  <conditionalFormatting sqref="U10">
    <cfRule type="expression" dxfId="4528" priority="4258">
      <formula>MOD(ROW(),2)=0</formula>
    </cfRule>
  </conditionalFormatting>
  <conditionalFormatting sqref="U9">
    <cfRule type="expression" dxfId="4527" priority="4257">
      <formula>MOD(ROW(),2)=0</formula>
    </cfRule>
  </conditionalFormatting>
  <conditionalFormatting sqref="U8">
    <cfRule type="expression" dxfId="4526" priority="4256">
      <formula>MOD(ROW(),2)=0</formula>
    </cfRule>
  </conditionalFormatting>
  <conditionalFormatting sqref="U16 U12:U13">
    <cfRule type="expression" dxfId="4525" priority="4255">
      <formula>MOD(ROW(),2)=0</formula>
    </cfRule>
  </conditionalFormatting>
  <conditionalFormatting sqref="U14 U17:U19 U21">
    <cfRule type="expression" dxfId="4524" priority="4254">
      <formula>MOD(ROW(),2)=0</formula>
    </cfRule>
  </conditionalFormatting>
  <conditionalFormatting sqref="U11">
    <cfRule type="expression" dxfId="4523" priority="4253">
      <formula>MOD(ROW(),2)=0</formula>
    </cfRule>
  </conditionalFormatting>
  <conditionalFormatting sqref="U10">
    <cfRule type="expression" dxfId="4522" priority="4252">
      <formula>MOD(ROW(),2)=0</formula>
    </cfRule>
  </conditionalFormatting>
  <conditionalFormatting sqref="U22">
    <cfRule type="expression" dxfId="4521" priority="4251">
      <formula>MOD(ROW(),2)=0</formula>
    </cfRule>
  </conditionalFormatting>
  <conditionalFormatting sqref="U9">
    <cfRule type="expression" dxfId="4520" priority="4250">
      <formula>MOD(ROW(),2)=0</formula>
    </cfRule>
  </conditionalFormatting>
  <conditionalFormatting sqref="U8">
    <cfRule type="expression" dxfId="4519" priority="4249">
      <formula>MOD(ROW(),2)=0</formula>
    </cfRule>
  </conditionalFormatting>
  <conditionalFormatting sqref="U16 U12:U13">
    <cfRule type="expression" dxfId="4518" priority="4248">
      <formula>MOD(ROW(),2)=0</formula>
    </cfRule>
  </conditionalFormatting>
  <conditionalFormatting sqref="U14 U17:U19 U21">
    <cfRule type="expression" dxfId="4517" priority="4247">
      <formula>MOD(ROW(),2)=0</formula>
    </cfRule>
  </conditionalFormatting>
  <conditionalFormatting sqref="U11">
    <cfRule type="expression" dxfId="4516" priority="4246">
      <formula>MOD(ROW(),2)=0</formula>
    </cfRule>
  </conditionalFormatting>
  <conditionalFormatting sqref="U22">
    <cfRule type="expression" dxfId="4515" priority="4245">
      <formula>MOD(ROW(),2)=0</formula>
    </cfRule>
  </conditionalFormatting>
  <conditionalFormatting sqref="U10">
    <cfRule type="expression" dxfId="4514" priority="4244">
      <formula>MOD(ROW(),2)=0</formula>
    </cfRule>
  </conditionalFormatting>
  <conditionalFormatting sqref="U9">
    <cfRule type="expression" dxfId="4513" priority="4243">
      <formula>MOD(ROW(),2)=0</formula>
    </cfRule>
  </conditionalFormatting>
  <conditionalFormatting sqref="U8">
    <cfRule type="expression" dxfId="4512" priority="4242">
      <formula>MOD(ROW(),2)=0</formula>
    </cfRule>
  </conditionalFormatting>
  <conditionalFormatting sqref="U16 U12:U13">
    <cfRule type="expression" dxfId="4511" priority="4241">
      <formula>MOD(ROW(),2)=0</formula>
    </cfRule>
  </conditionalFormatting>
  <conditionalFormatting sqref="U14 U17:U19 U21">
    <cfRule type="expression" dxfId="4510" priority="4240">
      <formula>MOD(ROW(),2)=0</formula>
    </cfRule>
  </conditionalFormatting>
  <conditionalFormatting sqref="U11">
    <cfRule type="expression" dxfId="4509" priority="4239">
      <formula>MOD(ROW(),2)=0</formula>
    </cfRule>
  </conditionalFormatting>
  <conditionalFormatting sqref="U22">
    <cfRule type="expression" dxfId="4508" priority="4238">
      <formula>MOD(ROW(),2)=0</formula>
    </cfRule>
  </conditionalFormatting>
  <conditionalFormatting sqref="U10">
    <cfRule type="expression" dxfId="4507" priority="4237">
      <formula>MOD(ROW(),2)=0</formula>
    </cfRule>
  </conditionalFormatting>
  <conditionalFormatting sqref="U9">
    <cfRule type="expression" dxfId="4506" priority="4236">
      <formula>MOD(ROW(),2)=0</formula>
    </cfRule>
  </conditionalFormatting>
  <conditionalFormatting sqref="U8">
    <cfRule type="expression" dxfId="4505" priority="4235">
      <formula>MOD(ROW(),2)=0</formula>
    </cfRule>
  </conditionalFormatting>
  <conditionalFormatting sqref="U16 U12:U13">
    <cfRule type="expression" dxfId="4504" priority="4234">
      <formula>MOD(ROW(),2)=0</formula>
    </cfRule>
  </conditionalFormatting>
  <conditionalFormatting sqref="U14 U17:U19 U21">
    <cfRule type="expression" dxfId="4503" priority="4233">
      <formula>MOD(ROW(),2)=0</formula>
    </cfRule>
  </conditionalFormatting>
  <conditionalFormatting sqref="U11">
    <cfRule type="expression" dxfId="4502" priority="4232">
      <formula>MOD(ROW(),2)=0</formula>
    </cfRule>
  </conditionalFormatting>
  <conditionalFormatting sqref="U22">
    <cfRule type="expression" dxfId="4501" priority="4231">
      <formula>MOD(ROW(),2)=0</formula>
    </cfRule>
  </conditionalFormatting>
  <conditionalFormatting sqref="U10">
    <cfRule type="expression" dxfId="4500" priority="4230">
      <formula>MOD(ROW(),2)=0</formula>
    </cfRule>
  </conditionalFormatting>
  <conditionalFormatting sqref="U9">
    <cfRule type="expression" dxfId="4499" priority="4229">
      <formula>MOD(ROW(),2)=0</formula>
    </cfRule>
  </conditionalFormatting>
  <conditionalFormatting sqref="U8">
    <cfRule type="expression" dxfId="4498" priority="4228">
      <formula>MOD(ROW(),2)=0</formula>
    </cfRule>
  </conditionalFormatting>
  <conditionalFormatting sqref="U16 U12:U13">
    <cfRule type="expression" dxfId="4497" priority="4227">
      <formula>MOD(ROW(),2)=0</formula>
    </cfRule>
  </conditionalFormatting>
  <conditionalFormatting sqref="U14 U17:U19 U21">
    <cfRule type="expression" dxfId="4496" priority="4226">
      <formula>MOD(ROW(),2)=0</formula>
    </cfRule>
  </conditionalFormatting>
  <conditionalFormatting sqref="U11">
    <cfRule type="expression" dxfId="4495" priority="4225">
      <formula>MOD(ROW(),2)=0</formula>
    </cfRule>
  </conditionalFormatting>
  <conditionalFormatting sqref="U22">
    <cfRule type="expression" dxfId="4494" priority="4224">
      <formula>MOD(ROW(),2)=0</formula>
    </cfRule>
  </conditionalFormatting>
  <conditionalFormatting sqref="U10">
    <cfRule type="expression" dxfId="4493" priority="4223">
      <formula>MOD(ROW(),2)=0</formula>
    </cfRule>
  </conditionalFormatting>
  <conditionalFormatting sqref="U9">
    <cfRule type="expression" dxfId="4492" priority="4222">
      <formula>MOD(ROW(),2)=0</formula>
    </cfRule>
  </conditionalFormatting>
  <conditionalFormatting sqref="U8">
    <cfRule type="expression" dxfId="4491" priority="4221">
      <formula>MOD(ROW(),2)=0</formula>
    </cfRule>
  </conditionalFormatting>
  <conditionalFormatting sqref="U16 U12:U13">
    <cfRule type="expression" dxfId="4490" priority="4220">
      <formula>MOD(ROW(),2)=0</formula>
    </cfRule>
  </conditionalFormatting>
  <conditionalFormatting sqref="U14 U17:U19 U21">
    <cfRule type="expression" dxfId="4489" priority="4219">
      <formula>MOD(ROW(),2)=0</formula>
    </cfRule>
  </conditionalFormatting>
  <conditionalFormatting sqref="U11">
    <cfRule type="expression" dxfId="4488" priority="4218">
      <formula>MOD(ROW(),2)=0</formula>
    </cfRule>
  </conditionalFormatting>
  <conditionalFormatting sqref="U22">
    <cfRule type="expression" dxfId="4487" priority="4217">
      <formula>MOD(ROW(),2)=0</formula>
    </cfRule>
  </conditionalFormatting>
  <conditionalFormatting sqref="U10">
    <cfRule type="expression" dxfId="4486" priority="4216">
      <formula>MOD(ROW(),2)=0</formula>
    </cfRule>
  </conditionalFormatting>
  <conditionalFormatting sqref="U9">
    <cfRule type="expression" dxfId="4485" priority="4215">
      <formula>MOD(ROW(),2)=0</formula>
    </cfRule>
  </conditionalFormatting>
  <conditionalFormatting sqref="U8">
    <cfRule type="expression" dxfId="4484" priority="4214">
      <formula>MOD(ROW(),2)=0</formula>
    </cfRule>
  </conditionalFormatting>
  <conditionalFormatting sqref="U16 U12:U13">
    <cfRule type="expression" dxfId="4483" priority="4213">
      <formula>MOD(ROW(),2)=0</formula>
    </cfRule>
  </conditionalFormatting>
  <conditionalFormatting sqref="U14 U17:U19 U21">
    <cfRule type="expression" dxfId="4482" priority="4212">
      <formula>MOD(ROW(),2)=0</formula>
    </cfRule>
  </conditionalFormatting>
  <conditionalFormatting sqref="U11">
    <cfRule type="expression" dxfId="4481" priority="4211">
      <formula>MOD(ROW(),2)=0</formula>
    </cfRule>
  </conditionalFormatting>
  <conditionalFormatting sqref="U22">
    <cfRule type="expression" dxfId="4480" priority="4210">
      <formula>MOD(ROW(),2)=0</formula>
    </cfRule>
  </conditionalFormatting>
  <conditionalFormatting sqref="U10">
    <cfRule type="expression" dxfId="4479" priority="4209">
      <formula>MOD(ROW(),2)=0</formula>
    </cfRule>
  </conditionalFormatting>
  <conditionalFormatting sqref="U9">
    <cfRule type="expression" dxfId="4478" priority="4208">
      <formula>MOD(ROW(),2)=0</formula>
    </cfRule>
  </conditionalFormatting>
  <conditionalFormatting sqref="U8">
    <cfRule type="expression" dxfId="4477" priority="4207">
      <formula>MOD(ROW(),2)=0</formula>
    </cfRule>
  </conditionalFormatting>
  <conditionalFormatting sqref="U16 U12:U13">
    <cfRule type="expression" dxfId="4476" priority="4206">
      <formula>MOD(ROW(),2)=0</formula>
    </cfRule>
  </conditionalFormatting>
  <conditionalFormatting sqref="U14 U17:U19 U21">
    <cfRule type="expression" dxfId="4475" priority="4205">
      <formula>MOD(ROW(),2)=0</formula>
    </cfRule>
  </conditionalFormatting>
  <conditionalFormatting sqref="U11">
    <cfRule type="expression" dxfId="4474" priority="4204">
      <formula>MOD(ROW(),2)=0</formula>
    </cfRule>
  </conditionalFormatting>
  <conditionalFormatting sqref="U22">
    <cfRule type="expression" dxfId="4473" priority="4203">
      <formula>MOD(ROW(),2)=0</formula>
    </cfRule>
  </conditionalFormatting>
  <conditionalFormatting sqref="U10">
    <cfRule type="expression" dxfId="4472" priority="4202">
      <formula>MOD(ROW(),2)=0</formula>
    </cfRule>
  </conditionalFormatting>
  <conditionalFormatting sqref="U9">
    <cfRule type="expression" dxfId="4471" priority="4201">
      <formula>MOD(ROW(),2)=0</formula>
    </cfRule>
  </conditionalFormatting>
  <conditionalFormatting sqref="U8">
    <cfRule type="expression" dxfId="4470" priority="4200">
      <formula>MOD(ROW(),2)=0</formula>
    </cfRule>
  </conditionalFormatting>
  <conditionalFormatting sqref="U16 U12:U13">
    <cfRule type="expression" dxfId="4469" priority="4199">
      <formula>MOD(ROW(),2)=0</formula>
    </cfRule>
  </conditionalFormatting>
  <conditionalFormatting sqref="U14 U17:U19 U21">
    <cfRule type="expression" dxfId="4468" priority="4198">
      <formula>MOD(ROW(),2)=0</formula>
    </cfRule>
  </conditionalFormatting>
  <conditionalFormatting sqref="U11">
    <cfRule type="expression" dxfId="4467" priority="4197">
      <formula>MOD(ROW(),2)=0</formula>
    </cfRule>
  </conditionalFormatting>
  <conditionalFormatting sqref="U10">
    <cfRule type="expression" dxfId="4466" priority="4196">
      <formula>MOD(ROW(),2)=0</formula>
    </cfRule>
  </conditionalFormatting>
  <conditionalFormatting sqref="U22">
    <cfRule type="expression" dxfId="4465" priority="4195">
      <formula>MOD(ROW(),2)=0</formula>
    </cfRule>
  </conditionalFormatting>
  <conditionalFormatting sqref="U9">
    <cfRule type="expression" dxfId="4464" priority="4194">
      <formula>MOD(ROW(),2)=0</formula>
    </cfRule>
  </conditionalFormatting>
  <conditionalFormatting sqref="U8">
    <cfRule type="expression" dxfId="4463" priority="4193">
      <formula>MOD(ROW(),2)=0</formula>
    </cfRule>
  </conditionalFormatting>
  <conditionalFormatting sqref="U16 U12:U13">
    <cfRule type="expression" dxfId="4462" priority="4192">
      <formula>MOD(ROW(),2)=0</formula>
    </cfRule>
  </conditionalFormatting>
  <conditionalFormatting sqref="U14 U17:U19 U21">
    <cfRule type="expression" dxfId="4461" priority="4191">
      <formula>MOD(ROW(),2)=0</formula>
    </cfRule>
  </conditionalFormatting>
  <conditionalFormatting sqref="U11">
    <cfRule type="expression" dxfId="4460" priority="4190">
      <formula>MOD(ROW(),2)=0</formula>
    </cfRule>
  </conditionalFormatting>
  <conditionalFormatting sqref="U22">
    <cfRule type="expression" dxfId="4459" priority="4189">
      <formula>MOD(ROW(),2)=0</formula>
    </cfRule>
  </conditionalFormatting>
  <conditionalFormatting sqref="U10">
    <cfRule type="expression" dxfId="4458" priority="4188">
      <formula>MOD(ROW(),2)=0</formula>
    </cfRule>
  </conditionalFormatting>
  <conditionalFormatting sqref="U15">
    <cfRule type="expression" dxfId="4457" priority="4187">
      <formula>MOD(ROW(),2)=0</formula>
    </cfRule>
  </conditionalFormatting>
  <conditionalFormatting sqref="U15">
    <cfRule type="expression" dxfId="4456" priority="4186">
      <formula>MOD(ROW(),2)=0</formula>
    </cfRule>
  </conditionalFormatting>
  <conditionalFormatting sqref="U15">
    <cfRule type="expression" dxfId="4455" priority="4185">
      <formula>MOD(ROW(),2)=0</formula>
    </cfRule>
  </conditionalFormatting>
  <conditionalFormatting sqref="U15">
    <cfRule type="expression" dxfId="4454" priority="4184">
      <formula>MOD(ROW(),2)=0</formula>
    </cfRule>
  </conditionalFormatting>
  <conditionalFormatting sqref="U15">
    <cfRule type="expression" dxfId="4453" priority="4183">
      <formula>MOD(ROW(),2)=0</formula>
    </cfRule>
  </conditionalFormatting>
  <conditionalFormatting sqref="U15">
    <cfRule type="expression" dxfId="4452" priority="4182">
      <formula>MOD(ROW(),2)=0</formula>
    </cfRule>
  </conditionalFormatting>
  <conditionalFormatting sqref="U15">
    <cfRule type="expression" dxfId="4451" priority="4181">
      <formula>MOD(ROW(),2)=0</formula>
    </cfRule>
  </conditionalFormatting>
  <conditionalFormatting sqref="U15">
    <cfRule type="expression" dxfId="4450" priority="4180">
      <formula>MOD(ROW(),2)=0</formula>
    </cfRule>
  </conditionalFormatting>
  <conditionalFormatting sqref="U15">
    <cfRule type="expression" dxfId="4449" priority="4179">
      <formula>MOD(ROW(),2)=0</formula>
    </cfRule>
  </conditionalFormatting>
  <conditionalFormatting sqref="U15">
    <cfRule type="expression" dxfId="4448" priority="4178">
      <formula>MOD(ROW(),2)=0</formula>
    </cfRule>
  </conditionalFormatting>
  <conditionalFormatting sqref="U15">
    <cfRule type="expression" dxfId="4447" priority="4177">
      <formula>MOD(ROW(),2)=0</formula>
    </cfRule>
  </conditionalFormatting>
  <conditionalFormatting sqref="U15">
    <cfRule type="expression" dxfId="4446" priority="4176">
      <formula>MOD(ROW(),2)=0</formula>
    </cfRule>
  </conditionalFormatting>
  <conditionalFormatting sqref="U15">
    <cfRule type="expression" dxfId="4445" priority="4175">
      <formula>MOD(ROW(),2)=0</formula>
    </cfRule>
  </conditionalFormatting>
  <conditionalFormatting sqref="U15">
    <cfRule type="expression" dxfId="4444" priority="4174">
      <formula>MOD(ROW(),2)=0</formula>
    </cfRule>
  </conditionalFormatting>
  <conditionalFormatting sqref="U15">
    <cfRule type="expression" dxfId="4443" priority="4173">
      <formula>MOD(ROW(),2)=0</formula>
    </cfRule>
  </conditionalFormatting>
  <conditionalFormatting sqref="U15">
    <cfRule type="expression" dxfId="4442" priority="4172">
      <formula>MOD(ROW(),2)=0</formula>
    </cfRule>
  </conditionalFormatting>
  <conditionalFormatting sqref="U20">
    <cfRule type="expression" dxfId="4441" priority="4171">
      <formula>MOD(ROW(),2)=0</formula>
    </cfRule>
  </conditionalFormatting>
  <conditionalFormatting sqref="U20">
    <cfRule type="expression" dxfId="4440" priority="4170">
      <formula>MOD(ROW(),2)=0</formula>
    </cfRule>
  </conditionalFormatting>
  <conditionalFormatting sqref="U20">
    <cfRule type="expression" dxfId="4439" priority="4169">
      <formula>MOD(ROW(),2)=0</formula>
    </cfRule>
  </conditionalFormatting>
  <conditionalFormatting sqref="U20">
    <cfRule type="expression" dxfId="4438" priority="4168">
      <formula>MOD(ROW(),2)=0</formula>
    </cfRule>
  </conditionalFormatting>
  <conditionalFormatting sqref="U20">
    <cfRule type="expression" dxfId="4437" priority="4167">
      <formula>MOD(ROW(),2)=0</formula>
    </cfRule>
  </conditionalFormatting>
  <conditionalFormatting sqref="U20">
    <cfRule type="expression" dxfId="4436" priority="4166">
      <formula>MOD(ROW(),2)=0</formula>
    </cfRule>
  </conditionalFormatting>
  <conditionalFormatting sqref="U20">
    <cfRule type="expression" dxfId="4435" priority="4165">
      <formula>MOD(ROW(),2)=0</formula>
    </cfRule>
  </conditionalFormatting>
  <conditionalFormatting sqref="U20">
    <cfRule type="expression" dxfId="4434" priority="4164">
      <formula>MOD(ROW(),2)=0</formula>
    </cfRule>
  </conditionalFormatting>
  <conditionalFormatting sqref="U20">
    <cfRule type="expression" dxfId="4433" priority="4163">
      <formula>MOD(ROW(),2)=0</formula>
    </cfRule>
  </conditionalFormatting>
  <conditionalFormatting sqref="U20">
    <cfRule type="expression" dxfId="4432" priority="4162">
      <formula>MOD(ROW(),2)=0</formula>
    </cfRule>
  </conditionalFormatting>
  <conditionalFormatting sqref="U20">
    <cfRule type="expression" dxfId="4431" priority="4161">
      <formula>MOD(ROW(),2)=0</formula>
    </cfRule>
  </conditionalFormatting>
  <conditionalFormatting sqref="U20">
    <cfRule type="expression" dxfId="4430" priority="4160">
      <formula>MOD(ROW(),2)=0</formula>
    </cfRule>
  </conditionalFormatting>
  <conditionalFormatting sqref="U20">
    <cfRule type="expression" dxfId="4429" priority="4159">
      <formula>MOD(ROW(),2)=0</formula>
    </cfRule>
  </conditionalFormatting>
  <conditionalFormatting sqref="U20">
    <cfRule type="expression" dxfId="4428" priority="4158">
      <formula>MOD(ROW(),2)=0</formula>
    </cfRule>
  </conditionalFormatting>
  <conditionalFormatting sqref="U20">
    <cfRule type="expression" dxfId="4427" priority="4157">
      <formula>MOD(ROW(),2)=0</formula>
    </cfRule>
  </conditionalFormatting>
  <conditionalFormatting sqref="U20">
    <cfRule type="expression" dxfId="4426" priority="4156">
      <formula>MOD(ROW(),2)=0</formula>
    </cfRule>
  </conditionalFormatting>
  <conditionalFormatting sqref="V9">
    <cfRule type="expression" dxfId="4425" priority="4155">
      <formula>MOD(ROW(),2)=0</formula>
    </cfRule>
  </conditionalFormatting>
  <conditionalFormatting sqref="V8">
    <cfRule type="expression" dxfId="4424" priority="4154">
      <formula>MOD(ROW(),2)=0</formula>
    </cfRule>
  </conditionalFormatting>
  <conditionalFormatting sqref="V16 V12:V13">
    <cfRule type="expression" dxfId="4423" priority="4153">
      <formula>MOD(ROW(),2)=0</formula>
    </cfRule>
  </conditionalFormatting>
  <conditionalFormatting sqref="V14 V17:V19 V21">
    <cfRule type="expression" dxfId="4422" priority="4152">
      <formula>MOD(ROW(),2)=0</formula>
    </cfRule>
  </conditionalFormatting>
  <conditionalFormatting sqref="V11">
    <cfRule type="expression" dxfId="4421" priority="4151">
      <formula>MOD(ROW(),2)=0</formula>
    </cfRule>
  </conditionalFormatting>
  <conditionalFormatting sqref="V22">
    <cfRule type="expression" dxfId="4420" priority="4150">
      <formula>MOD(ROW(),2)=0</formula>
    </cfRule>
  </conditionalFormatting>
  <conditionalFormatting sqref="V10">
    <cfRule type="expression" dxfId="4419" priority="4149">
      <formula>MOD(ROW(),2)=0</formula>
    </cfRule>
  </conditionalFormatting>
  <conditionalFormatting sqref="V9">
    <cfRule type="expression" dxfId="4418" priority="4148">
      <formula>MOD(ROW(),2)=0</formula>
    </cfRule>
  </conditionalFormatting>
  <conditionalFormatting sqref="V8">
    <cfRule type="expression" dxfId="4417" priority="4147">
      <formula>MOD(ROW(),2)=0</formula>
    </cfRule>
  </conditionalFormatting>
  <conditionalFormatting sqref="V16 V12:V13">
    <cfRule type="expression" dxfId="4416" priority="4146">
      <formula>MOD(ROW(),2)=0</formula>
    </cfRule>
  </conditionalFormatting>
  <conditionalFormatting sqref="V14 V17:V19 V21">
    <cfRule type="expression" dxfId="4415" priority="4145">
      <formula>MOD(ROW(),2)=0</formula>
    </cfRule>
  </conditionalFormatting>
  <conditionalFormatting sqref="V11">
    <cfRule type="expression" dxfId="4414" priority="4144">
      <formula>MOD(ROW(),2)=0</formula>
    </cfRule>
  </conditionalFormatting>
  <conditionalFormatting sqref="V22">
    <cfRule type="expression" dxfId="4413" priority="4143">
      <formula>MOD(ROW(),2)=0</formula>
    </cfRule>
  </conditionalFormatting>
  <conditionalFormatting sqref="V10">
    <cfRule type="expression" dxfId="4412" priority="4142">
      <formula>MOD(ROW(),2)=0</formula>
    </cfRule>
  </conditionalFormatting>
  <conditionalFormatting sqref="V9">
    <cfRule type="expression" dxfId="4411" priority="4141">
      <formula>MOD(ROW(),2)=0</formula>
    </cfRule>
  </conditionalFormatting>
  <conditionalFormatting sqref="V8">
    <cfRule type="expression" dxfId="4410" priority="4140">
      <formula>MOD(ROW(),2)=0</formula>
    </cfRule>
  </conditionalFormatting>
  <conditionalFormatting sqref="V16 V12:V13">
    <cfRule type="expression" dxfId="4409" priority="4139">
      <formula>MOD(ROW(),2)=0</formula>
    </cfRule>
  </conditionalFormatting>
  <conditionalFormatting sqref="V14 V17:V19 V21">
    <cfRule type="expression" dxfId="4408" priority="4138">
      <formula>MOD(ROW(),2)=0</formula>
    </cfRule>
  </conditionalFormatting>
  <conditionalFormatting sqref="V11">
    <cfRule type="expression" dxfId="4407" priority="4137">
      <formula>MOD(ROW(),2)=0</formula>
    </cfRule>
  </conditionalFormatting>
  <conditionalFormatting sqref="V22">
    <cfRule type="expression" dxfId="4406" priority="4136">
      <formula>MOD(ROW(),2)=0</formula>
    </cfRule>
  </conditionalFormatting>
  <conditionalFormatting sqref="V10">
    <cfRule type="expression" dxfId="4405" priority="4135">
      <formula>MOD(ROW(),2)=0</formula>
    </cfRule>
  </conditionalFormatting>
  <conditionalFormatting sqref="V9">
    <cfRule type="expression" dxfId="4404" priority="4134">
      <formula>MOD(ROW(),2)=0</formula>
    </cfRule>
  </conditionalFormatting>
  <conditionalFormatting sqref="V8">
    <cfRule type="expression" dxfId="4403" priority="4133">
      <formula>MOD(ROW(),2)=0</formula>
    </cfRule>
  </conditionalFormatting>
  <conditionalFormatting sqref="V16 V12:V13">
    <cfRule type="expression" dxfId="4402" priority="4132">
      <formula>MOD(ROW(),2)=0</formula>
    </cfRule>
  </conditionalFormatting>
  <conditionalFormatting sqref="V14 V17:V19 V21">
    <cfRule type="expression" dxfId="4401" priority="4131">
      <formula>MOD(ROW(),2)=0</formula>
    </cfRule>
  </conditionalFormatting>
  <conditionalFormatting sqref="V11">
    <cfRule type="expression" dxfId="4400" priority="4130">
      <formula>MOD(ROW(),2)=0</formula>
    </cfRule>
  </conditionalFormatting>
  <conditionalFormatting sqref="V22">
    <cfRule type="expression" dxfId="4399" priority="4129">
      <formula>MOD(ROW(),2)=0</formula>
    </cfRule>
  </conditionalFormatting>
  <conditionalFormatting sqref="V10">
    <cfRule type="expression" dxfId="4398" priority="4128">
      <formula>MOD(ROW(),2)=0</formula>
    </cfRule>
  </conditionalFormatting>
  <conditionalFormatting sqref="V9">
    <cfRule type="expression" dxfId="4397" priority="4127">
      <formula>MOD(ROW(),2)=0</formula>
    </cfRule>
  </conditionalFormatting>
  <conditionalFormatting sqref="V8">
    <cfRule type="expression" dxfId="4396" priority="4126">
      <formula>MOD(ROW(),2)=0</formula>
    </cfRule>
  </conditionalFormatting>
  <conditionalFormatting sqref="V16 V12:V13">
    <cfRule type="expression" dxfId="4395" priority="4125">
      <formula>MOD(ROW(),2)=0</formula>
    </cfRule>
  </conditionalFormatting>
  <conditionalFormatting sqref="V14 V17:V19 V21">
    <cfRule type="expression" dxfId="4394" priority="4124">
      <formula>MOD(ROW(),2)=0</formula>
    </cfRule>
  </conditionalFormatting>
  <conditionalFormatting sqref="V11">
    <cfRule type="expression" dxfId="4393" priority="4123">
      <formula>MOD(ROW(),2)=0</formula>
    </cfRule>
  </conditionalFormatting>
  <conditionalFormatting sqref="V22">
    <cfRule type="expression" dxfId="4392" priority="4122">
      <formula>MOD(ROW(),2)=0</formula>
    </cfRule>
  </conditionalFormatting>
  <conditionalFormatting sqref="V10">
    <cfRule type="expression" dxfId="4391" priority="4121">
      <formula>MOD(ROW(),2)=0</formula>
    </cfRule>
  </conditionalFormatting>
  <conditionalFormatting sqref="V9">
    <cfRule type="expression" dxfId="4390" priority="4120">
      <formula>MOD(ROW(),2)=0</formula>
    </cfRule>
  </conditionalFormatting>
  <conditionalFormatting sqref="V8">
    <cfRule type="expression" dxfId="4389" priority="4119">
      <formula>MOD(ROW(),2)=0</formula>
    </cfRule>
  </conditionalFormatting>
  <conditionalFormatting sqref="V16 V12:V13">
    <cfRule type="expression" dxfId="4388" priority="4118">
      <formula>MOD(ROW(),2)=0</formula>
    </cfRule>
  </conditionalFormatting>
  <conditionalFormatting sqref="V14 V17:V19 V21">
    <cfRule type="expression" dxfId="4387" priority="4117">
      <formula>MOD(ROW(),2)=0</formula>
    </cfRule>
  </conditionalFormatting>
  <conditionalFormatting sqref="V11">
    <cfRule type="expression" dxfId="4386" priority="4116">
      <formula>MOD(ROW(),2)=0</formula>
    </cfRule>
  </conditionalFormatting>
  <conditionalFormatting sqref="V22">
    <cfRule type="expression" dxfId="4385" priority="4115">
      <formula>MOD(ROW(),2)=0</formula>
    </cfRule>
  </conditionalFormatting>
  <conditionalFormatting sqref="V10">
    <cfRule type="expression" dxfId="4384" priority="4114">
      <formula>MOD(ROW(),2)=0</formula>
    </cfRule>
  </conditionalFormatting>
  <conditionalFormatting sqref="V9">
    <cfRule type="expression" dxfId="4383" priority="4113">
      <formula>MOD(ROW(),2)=0</formula>
    </cfRule>
  </conditionalFormatting>
  <conditionalFormatting sqref="V8">
    <cfRule type="expression" dxfId="4382" priority="4112">
      <formula>MOD(ROW(),2)=0</formula>
    </cfRule>
  </conditionalFormatting>
  <conditionalFormatting sqref="V16 V12:V13">
    <cfRule type="expression" dxfId="4381" priority="4111">
      <formula>MOD(ROW(),2)=0</formula>
    </cfRule>
  </conditionalFormatting>
  <conditionalFormatting sqref="V14 V17:V19 V21">
    <cfRule type="expression" dxfId="4380" priority="4110">
      <formula>MOD(ROW(),2)=0</formula>
    </cfRule>
  </conditionalFormatting>
  <conditionalFormatting sqref="V11">
    <cfRule type="expression" dxfId="4379" priority="4109">
      <formula>MOD(ROW(),2)=0</formula>
    </cfRule>
  </conditionalFormatting>
  <conditionalFormatting sqref="V10">
    <cfRule type="expression" dxfId="4378" priority="4108">
      <formula>MOD(ROW(),2)=0</formula>
    </cfRule>
  </conditionalFormatting>
  <conditionalFormatting sqref="V22">
    <cfRule type="expression" dxfId="4377" priority="4107">
      <formula>MOD(ROW(),2)=0</formula>
    </cfRule>
  </conditionalFormatting>
  <conditionalFormatting sqref="V9">
    <cfRule type="expression" dxfId="4376" priority="4106">
      <formula>MOD(ROW(),2)=0</formula>
    </cfRule>
  </conditionalFormatting>
  <conditionalFormatting sqref="V8">
    <cfRule type="expression" dxfId="4375" priority="4105">
      <formula>MOD(ROW(),2)=0</formula>
    </cfRule>
  </conditionalFormatting>
  <conditionalFormatting sqref="V16 V12:V13">
    <cfRule type="expression" dxfId="4374" priority="4104">
      <formula>MOD(ROW(),2)=0</formula>
    </cfRule>
  </conditionalFormatting>
  <conditionalFormatting sqref="V14 V17:V19 V21">
    <cfRule type="expression" dxfId="4373" priority="4103">
      <formula>MOD(ROW(),2)=0</formula>
    </cfRule>
  </conditionalFormatting>
  <conditionalFormatting sqref="V11">
    <cfRule type="expression" dxfId="4372" priority="4102">
      <formula>MOD(ROW(),2)=0</formula>
    </cfRule>
  </conditionalFormatting>
  <conditionalFormatting sqref="V22">
    <cfRule type="expression" dxfId="4371" priority="4101">
      <formula>MOD(ROW(),2)=0</formula>
    </cfRule>
  </conditionalFormatting>
  <conditionalFormatting sqref="V10">
    <cfRule type="expression" dxfId="4370" priority="4100">
      <formula>MOD(ROW(),2)=0</formula>
    </cfRule>
  </conditionalFormatting>
  <conditionalFormatting sqref="V9">
    <cfRule type="expression" dxfId="4369" priority="4099">
      <formula>MOD(ROW(),2)=0</formula>
    </cfRule>
  </conditionalFormatting>
  <conditionalFormatting sqref="V8">
    <cfRule type="expression" dxfId="4368" priority="4098">
      <formula>MOD(ROW(),2)=0</formula>
    </cfRule>
  </conditionalFormatting>
  <conditionalFormatting sqref="V16 V12:V13">
    <cfRule type="expression" dxfId="4367" priority="4097">
      <formula>MOD(ROW(),2)=0</formula>
    </cfRule>
  </conditionalFormatting>
  <conditionalFormatting sqref="V14 V17:V19 V21">
    <cfRule type="expression" dxfId="4366" priority="4096">
      <formula>MOD(ROW(),2)=0</formula>
    </cfRule>
  </conditionalFormatting>
  <conditionalFormatting sqref="V11">
    <cfRule type="expression" dxfId="4365" priority="4095">
      <formula>MOD(ROW(),2)=0</formula>
    </cfRule>
  </conditionalFormatting>
  <conditionalFormatting sqref="V22">
    <cfRule type="expression" dxfId="4364" priority="4094">
      <formula>MOD(ROW(),2)=0</formula>
    </cfRule>
  </conditionalFormatting>
  <conditionalFormatting sqref="V10">
    <cfRule type="expression" dxfId="4363" priority="4093">
      <formula>MOD(ROW(),2)=0</formula>
    </cfRule>
  </conditionalFormatting>
  <conditionalFormatting sqref="V9">
    <cfRule type="expression" dxfId="4362" priority="4092">
      <formula>MOD(ROW(),2)=0</formula>
    </cfRule>
  </conditionalFormatting>
  <conditionalFormatting sqref="V8">
    <cfRule type="expression" dxfId="4361" priority="4091">
      <formula>MOD(ROW(),2)=0</formula>
    </cfRule>
  </conditionalFormatting>
  <conditionalFormatting sqref="V16 V12:V13">
    <cfRule type="expression" dxfId="4360" priority="4090">
      <formula>MOD(ROW(),2)=0</formula>
    </cfRule>
  </conditionalFormatting>
  <conditionalFormatting sqref="V14 V17:V19 V21">
    <cfRule type="expression" dxfId="4359" priority="4089">
      <formula>MOD(ROW(),2)=0</formula>
    </cfRule>
  </conditionalFormatting>
  <conditionalFormatting sqref="V11">
    <cfRule type="expression" dxfId="4358" priority="4088">
      <formula>MOD(ROW(),2)=0</formula>
    </cfRule>
  </conditionalFormatting>
  <conditionalFormatting sqref="V22">
    <cfRule type="expression" dxfId="4357" priority="4087">
      <formula>MOD(ROW(),2)=0</formula>
    </cfRule>
  </conditionalFormatting>
  <conditionalFormatting sqref="V10">
    <cfRule type="expression" dxfId="4356" priority="4086">
      <formula>MOD(ROW(),2)=0</formula>
    </cfRule>
  </conditionalFormatting>
  <conditionalFormatting sqref="V9">
    <cfRule type="expression" dxfId="4355" priority="4085">
      <formula>MOD(ROW(),2)=0</formula>
    </cfRule>
  </conditionalFormatting>
  <conditionalFormatting sqref="V8">
    <cfRule type="expression" dxfId="4354" priority="4084">
      <formula>MOD(ROW(),2)=0</formula>
    </cfRule>
  </conditionalFormatting>
  <conditionalFormatting sqref="V16 V12:V13">
    <cfRule type="expression" dxfId="4353" priority="4083">
      <formula>MOD(ROW(),2)=0</formula>
    </cfRule>
  </conditionalFormatting>
  <conditionalFormatting sqref="V14 V17:V19 V21">
    <cfRule type="expression" dxfId="4352" priority="4082">
      <formula>MOD(ROW(),2)=0</formula>
    </cfRule>
  </conditionalFormatting>
  <conditionalFormatting sqref="V11">
    <cfRule type="expression" dxfId="4351" priority="4081">
      <formula>MOD(ROW(),2)=0</formula>
    </cfRule>
  </conditionalFormatting>
  <conditionalFormatting sqref="V22">
    <cfRule type="expression" dxfId="4350" priority="4080">
      <formula>MOD(ROW(),2)=0</formula>
    </cfRule>
  </conditionalFormatting>
  <conditionalFormatting sqref="V10">
    <cfRule type="expression" dxfId="4349" priority="4079">
      <formula>MOD(ROW(),2)=0</formula>
    </cfRule>
  </conditionalFormatting>
  <conditionalFormatting sqref="V9">
    <cfRule type="expression" dxfId="4348" priority="4078">
      <formula>MOD(ROW(),2)=0</formula>
    </cfRule>
  </conditionalFormatting>
  <conditionalFormatting sqref="V8">
    <cfRule type="expression" dxfId="4347" priority="4077">
      <formula>MOD(ROW(),2)=0</formula>
    </cfRule>
  </conditionalFormatting>
  <conditionalFormatting sqref="V16 V12:V13">
    <cfRule type="expression" dxfId="4346" priority="4076">
      <formula>MOD(ROW(),2)=0</formula>
    </cfRule>
  </conditionalFormatting>
  <conditionalFormatting sqref="V14 V17:V19 V21">
    <cfRule type="expression" dxfId="4345" priority="4075">
      <formula>MOD(ROW(),2)=0</formula>
    </cfRule>
  </conditionalFormatting>
  <conditionalFormatting sqref="V11">
    <cfRule type="expression" dxfId="4344" priority="4074">
      <formula>MOD(ROW(),2)=0</formula>
    </cfRule>
  </conditionalFormatting>
  <conditionalFormatting sqref="V22">
    <cfRule type="expression" dxfId="4343" priority="4073">
      <formula>MOD(ROW(),2)=0</formula>
    </cfRule>
  </conditionalFormatting>
  <conditionalFormatting sqref="V10">
    <cfRule type="expression" dxfId="4342" priority="4072">
      <formula>MOD(ROW(),2)=0</formula>
    </cfRule>
  </conditionalFormatting>
  <conditionalFormatting sqref="V9">
    <cfRule type="expression" dxfId="4341" priority="4071">
      <formula>MOD(ROW(),2)=0</formula>
    </cfRule>
  </conditionalFormatting>
  <conditionalFormatting sqref="V8">
    <cfRule type="expression" dxfId="4340" priority="4070">
      <formula>MOD(ROW(),2)=0</formula>
    </cfRule>
  </conditionalFormatting>
  <conditionalFormatting sqref="V16 V12:V13">
    <cfRule type="expression" dxfId="4339" priority="4069">
      <formula>MOD(ROW(),2)=0</formula>
    </cfRule>
  </conditionalFormatting>
  <conditionalFormatting sqref="V14 V17:V19 V21">
    <cfRule type="expression" dxfId="4338" priority="4068">
      <formula>MOD(ROW(),2)=0</formula>
    </cfRule>
  </conditionalFormatting>
  <conditionalFormatting sqref="V11">
    <cfRule type="expression" dxfId="4337" priority="4067">
      <formula>MOD(ROW(),2)=0</formula>
    </cfRule>
  </conditionalFormatting>
  <conditionalFormatting sqref="V22">
    <cfRule type="expression" dxfId="4336" priority="4066">
      <formula>MOD(ROW(),2)=0</formula>
    </cfRule>
  </conditionalFormatting>
  <conditionalFormatting sqref="V10">
    <cfRule type="expression" dxfId="4335" priority="4065">
      <formula>MOD(ROW(),2)=0</formula>
    </cfRule>
  </conditionalFormatting>
  <conditionalFormatting sqref="V9">
    <cfRule type="expression" dxfId="4334" priority="4064">
      <formula>MOD(ROW(),2)=0</formula>
    </cfRule>
  </conditionalFormatting>
  <conditionalFormatting sqref="V8">
    <cfRule type="expression" dxfId="4333" priority="4063">
      <formula>MOD(ROW(),2)=0</formula>
    </cfRule>
  </conditionalFormatting>
  <conditionalFormatting sqref="V16 V12:V13">
    <cfRule type="expression" dxfId="4332" priority="4062">
      <formula>MOD(ROW(),2)=0</formula>
    </cfRule>
  </conditionalFormatting>
  <conditionalFormatting sqref="V14 V17:V19 V21">
    <cfRule type="expression" dxfId="4331" priority="4061">
      <formula>MOD(ROW(),2)=0</formula>
    </cfRule>
  </conditionalFormatting>
  <conditionalFormatting sqref="V11">
    <cfRule type="expression" dxfId="4330" priority="4060">
      <formula>MOD(ROW(),2)=0</formula>
    </cfRule>
  </conditionalFormatting>
  <conditionalFormatting sqref="V22">
    <cfRule type="expression" dxfId="4329" priority="4059">
      <formula>MOD(ROW(),2)=0</formula>
    </cfRule>
  </conditionalFormatting>
  <conditionalFormatting sqref="V10">
    <cfRule type="expression" dxfId="4328" priority="4058">
      <formula>MOD(ROW(),2)=0</formula>
    </cfRule>
  </conditionalFormatting>
  <conditionalFormatting sqref="V9">
    <cfRule type="expression" dxfId="4327" priority="4057">
      <formula>MOD(ROW(),2)=0</formula>
    </cfRule>
  </conditionalFormatting>
  <conditionalFormatting sqref="V8">
    <cfRule type="expression" dxfId="4326" priority="4056">
      <formula>MOD(ROW(),2)=0</formula>
    </cfRule>
  </conditionalFormatting>
  <conditionalFormatting sqref="V16 V12:V13">
    <cfRule type="expression" dxfId="4325" priority="4055">
      <formula>MOD(ROW(),2)=0</formula>
    </cfRule>
  </conditionalFormatting>
  <conditionalFormatting sqref="V14 V17:V19 V21">
    <cfRule type="expression" dxfId="4324" priority="4054">
      <formula>MOD(ROW(),2)=0</formula>
    </cfRule>
  </conditionalFormatting>
  <conditionalFormatting sqref="V11">
    <cfRule type="expression" dxfId="4323" priority="4053">
      <formula>MOD(ROW(),2)=0</formula>
    </cfRule>
  </conditionalFormatting>
  <conditionalFormatting sqref="V10">
    <cfRule type="expression" dxfId="4322" priority="4052">
      <formula>MOD(ROW(),2)=0</formula>
    </cfRule>
  </conditionalFormatting>
  <conditionalFormatting sqref="V22">
    <cfRule type="expression" dxfId="4321" priority="4051">
      <formula>MOD(ROW(),2)=0</formula>
    </cfRule>
  </conditionalFormatting>
  <conditionalFormatting sqref="V9">
    <cfRule type="expression" dxfId="4320" priority="4050">
      <formula>MOD(ROW(),2)=0</formula>
    </cfRule>
  </conditionalFormatting>
  <conditionalFormatting sqref="V8">
    <cfRule type="expression" dxfId="4319" priority="4049">
      <formula>MOD(ROW(),2)=0</formula>
    </cfRule>
  </conditionalFormatting>
  <conditionalFormatting sqref="V16 V12:V13">
    <cfRule type="expression" dxfId="4318" priority="4048">
      <formula>MOD(ROW(),2)=0</formula>
    </cfRule>
  </conditionalFormatting>
  <conditionalFormatting sqref="V14 V17:V19 V21">
    <cfRule type="expression" dxfId="4317" priority="4047">
      <formula>MOD(ROW(),2)=0</formula>
    </cfRule>
  </conditionalFormatting>
  <conditionalFormatting sqref="V11">
    <cfRule type="expression" dxfId="4316" priority="4046">
      <formula>MOD(ROW(),2)=0</formula>
    </cfRule>
  </conditionalFormatting>
  <conditionalFormatting sqref="V22">
    <cfRule type="expression" dxfId="4315" priority="4045">
      <formula>MOD(ROW(),2)=0</formula>
    </cfRule>
  </conditionalFormatting>
  <conditionalFormatting sqref="V10">
    <cfRule type="expression" dxfId="4314" priority="4044">
      <formula>MOD(ROW(),2)=0</formula>
    </cfRule>
  </conditionalFormatting>
  <conditionalFormatting sqref="V15">
    <cfRule type="expression" dxfId="4313" priority="4043">
      <formula>MOD(ROW(),2)=0</formula>
    </cfRule>
  </conditionalFormatting>
  <conditionalFormatting sqref="V15">
    <cfRule type="expression" dxfId="4312" priority="4042">
      <formula>MOD(ROW(),2)=0</formula>
    </cfRule>
  </conditionalFormatting>
  <conditionalFormatting sqref="V15">
    <cfRule type="expression" dxfId="4311" priority="4041">
      <formula>MOD(ROW(),2)=0</formula>
    </cfRule>
  </conditionalFormatting>
  <conditionalFormatting sqref="V15">
    <cfRule type="expression" dxfId="4310" priority="4040">
      <formula>MOD(ROW(),2)=0</formula>
    </cfRule>
  </conditionalFormatting>
  <conditionalFormatting sqref="V15">
    <cfRule type="expression" dxfId="4309" priority="4039">
      <formula>MOD(ROW(),2)=0</formula>
    </cfRule>
  </conditionalFormatting>
  <conditionalFormatting sqref="V15">
    <cfRule type="expression" dxfId="4308" priority="4038">
      <formula>MOD(ROW(),2)=0</formula>
    </cfRule>
  </conditionalFormatting>
  <conditionalFormatting sqref="V15">
    <cfRule type="expression" dxfId="4307" priority="4037">
      <formula>MOD(ROW(),2)=0</formula>
    </cfRule>
  </conditionalFormatting>
  <conditionalFormatting sqref="V15">
    <cfRule type="expression" dxfId="4306" priority="4036">
      <formula>MOD(ROW(),2)=0</formula>
    </cfRule>
  </conditionalFormatting>
  <conditionalFormatting sqref="V15">
    <cfRule type="expression" dxfId="4305" priority="4035">
      <formula>MOD(ROW(),2)=0</formula>
    </cfRule>
  </conditionalFormatting>
  <conditionalFormatting sqref="V15">
    <cfRule type="expression" dxfId="4304" priority="4034">
      <formula>MOD(ROW(),2)=0</formula>
    </cfRule>
  </conditionalFormatting>
  <conditionalFormatting sqref="V15">
    <cfRule type="expression" dxfId="4303" priority="4033">
      <formula>MOD(ROW(),2)=0</formula>
    </cfRule>
  </conditionalFormatting>
  <conditionalFormatting sqref="V15">
    <cfRule type="expression" dxfId="4302" priority="4032">
      <formula>MOD(ROW(),2)=0</formula>
    </cfRule>
  </conditionalFormatting>
  <conditionalFormatting sqref="V15">
    <cfRule type="expression" dxfId="4301" priority="4031">
      <formula>MOD(ROW(),2)=0</formula>
    </cfRule>
  </conditionalFormatting>
  <conditionalFormatting sqref="V15">
    <cfRule type="expression" dxfId="4300" priority="4030">
      <formula>MOD(ROW(),2)=0</formula>
    </cfRule>
  </conditionalFormatting>
  <conditionalFormatting sqref="V15">
    <cfRule type="expression" dxfId="4299" priority="4029">
      <formula>MOD(ROW(),2)=0</formula>
    </cfRule>
  </conditionalFormatting>
  <conditionalFormatting sqref="V15">
    <cfRule type="expression" dxfId="4298" priority="4028">
      <formula>MOD(ROW(),2)=0</formula>
    </cfRule>
  </conditionalFormatting>
  <conditionalFormatting sqref="V20">
    <cfRule type="expression" dxfId="4297" priority="4027">
      <formula>MOD(ROW(),2)=0</formula>
    </cfRule>
  </conditionalFormatting>
  <conditionalFormatting sqref="V20">
    <cfRule type="expression" dxfId="4296" priority="4026">
      <formula>MOD(ROW(),2)=0</formula>
    </cfRule>
  </conditionalFormatting>
  <conditionalFormatting sqref="V20">
    <cfRule type="expression" dxfId="4295" priority="4025">
      <formula>MOD(ROW(),2)=0</formula>
    </cfRule>
  </conditionalFormatting>
  <conditionalFormatting sqref="V20">
    <cfRule type="expression" dxfId="4294" priority="4024">
      <formula>MOD(ROW(),2)=0</formula>
    </cfRule>
  </conditionalFormatting>
  <conditionalFormatting sqref="V20">
    <cfRule type="expression" dxfId="4293" priority="4023">
      <formula>MOD(ROW(),2)=0</formula>
    </cfRule>
  </conditionalFormatting>
  <conditionalFormatting sqref="V20">
    <cfRule type="expression" dxfId="4292" priority="4022">
      <formula>MOD(ROW(),2)=0</formula>
    </cfRule>
  </conditionalFormatting>
  <conditionalFormatting sqref="V20">
    <cfRule type="expression" dxfId="4291" priority="4021">
      <formula>MOD(ROW(),2)=0</formula>
    </cfRule>
  </conditionalFormatting>
  <conditionalFormatting sqref="V20">
    <cfRule type="expression" dxfId="4290" priority="4020">
      <formula>MOD(ROW(),2)=0</formula>
    </cfRule>
  </conditionalFormatting>
  <conditionalFormatting sqref="V20">
    <cfRule type="expression" dxfId="4289" priority="4019">
      <formula>MOD(ROW(),2)=0</formula>
    </cfRule>
  </conditionalFormatting>
  <conditionalFormatting sqref="V20">
    <cfRule type="expression" dxfId="4288" priority="4018">
      <formula>MOD(ROW(),2)=0</formula>
    </cfRule>
  </conditionalFormatting>
  <conditionalFormatting sqref="V20">
    <cfRule type="expression" dxfId="4287" priority="4017">
      <formula>MOD(ROW(),2)=0</formula>
    </cfRule>
  </conditionalFormatting>
  <conditionalFormatting sqref="V20">
    <cfRule type="expression" dxfId="4286" priority="4016">
      <formula>MOD(ROW(),2)=0</formula>
    </cfRule>
  </conditionalFormatting>
  <conditionalFormatting sqref="V20">
    <cfRule type="expression" dxfId="4285" priority="4015">
      <formula>MOD(ROW(),2)=0</formula>
    </cfRule>
  </conditionalFormatting>
  <conditionalFormatting sqref="V20">
    <cfRule type="expression" dxfId="4284" priority="4014">
      <formula>MOD(ROW(),2)=0</formula>
    </cfRule>
  </conditionalFormatting>
  <conditionalFormatting sqref="V20">
    <cfRule type="expression" dxfId="4283" priority="4013">
      <formula>MOD(ROW(),2)=0</formula>
    </cfRule>
  </conditionalFormatting>
  <conditionalFormatting sqref="V20">
    <cfRule type="expression" dxfId="4282" priority="4012">
      <formula>MOD(ROW(),2)=0</formula>
    </cfRule>
  </conditionalFormatting>
  <conditionalFormatting sqref="W9">
    <cfRule type="expression" dxfId="4281" priority="4011">
      <formula>MOD(ROW(),2)=0</formula>
    </cfRule>
  </conditionalFormatting>
  <conditionalFormatting sqref="W8">
    <cfRule type="expression" dxfId="4280" priority="4010">
      <formula>MOD(ROW(),2)=0</formula>
    </cfRule>
  </conditionalFormatting>
  <conditionalFormatting sqref="W16 W12:W13">
    <cfRule type="expression" dxfId="4279" priority="4009">
      <formula>MOD(ROW(),2)=0</formula>
    </cfRule>
  </conditionalFormatting>
  <conditionalFormatting sqref="W14 W17:W19 W21">
    <cfRule type="expression" dxfId="4278" priority="4008">
      <formula>MOD(ROW(),2)=0</formula>
    </cfRule>
  </conditionalFormatting>
  <conditionalFormatting sqref="W11">
    <cfRule type="expression" dxfId="4277" priority="4007">
      <formula>MOD(ROW(),2)=0</formula>
    </cfRule>
  </conditionalFormatting>
  <conditionalFormatting sqref="W22">
    <cfRule type="expression" dxfId="4276" priority="4006">
      <formula>MOD(ROW(),2)=0</formula>
    </cfRule>
  </conditionalFormatting>
  <conditionalFormatting sqref="W10">
    <cfRule type="expression" dxfId="4275" priority="4005">
      <formula>MOD(ROW(),2)=0</formula>
    </cfRule>
  </conditionalFormatting>
  <conditionalFormatting sqref="W9">
    <cfRule type="expression" dxfId="4274" priority="4004">
      <formula>MOD(ROW(),2)=0</formula>
    </cfRule>
  </conditionalFormatting>
  <conditionalFormatting sqref="W8">
    <cfRule type="expression" dxfId="4273" priority="4003">
      <formula>MOD(ROW(),2)=0</formula>
    </cfRule>
  </conditionalFormatting>
  <conditionalFormatting sqref="W16 W12:W13">
    <cfRule type="expression" dxfId="4272" priority="4002">
      <formula>MOD(ROW(),2)=0</formula>
    </cfRule>
  </conditionalFormatting>
  <conditionalFormatting sqref="W14 W17:W19 W21">
    <cfRule type="expression" dxfId="4271" priority="4001">
      <formula>MOD(ROW(),2)=0</formula>
    </cfRule>
  </conditionalFormatting>
  <conditionalFormatting sqref="W11">
    <cfRule type="expression" dxfId="4270" priority="4000">
      <formula>MOD(ROW(),2)=0</formula>
    </cfRule>
  </conditionalFormatting>
  <conditionalFormatting sqref="W22">
    <cfRule type="expression" dxfId="4269" priority="3999">
      <formula>MOD(ROW(),2)=0</formula>
    </cfRule>
  </conditionalFormatting>
  <conditionalFormatting sqref="W10">
    <cfRule type="expression" dxfId="4268" priority="3998">
      <formula>MOD(ROW(),2)=0</formula>
    </cfRule>
  </conditionalFormatting>
  <conditionalFormatting sqref="W9">
    <cfRule type="expression" dxfId="4267" priority="3997">
      <formula>MOD(ROW(),2)=0</formula>
    </cfRule>
  </conditionalFormatting>
  <conditionalFormatting sqref="W8">
    <cfRule type="expression" dxfId="4266" priority="3996">
      <formula>MOD(ROW(),2)=0</formula>
    </cfRule>
  </conditionalFormatting>
  <conditionalFormatting sqref="W16 W12:W13">
    <cfRule type="expression" dxfId="4265" priority="3995">
      <formula>MOD(ROW(),2)=0</formula>
    </cfRule>
  </conditionalFormatting>
  <conditionalFormatting sqref="W14 W17:W19 W21">
    <cfRule type="expression" dxfId="4264" priority="3994">
      <formula>MOD(ROW(),2)=0</formula>
    </cfRule>
  </conditionalFormatting>
  <conditionalFormatting sqref="W11">
    <cfRule type="expression" dxfId="4263" priority="3993">
      <formula>MOD(ROW(),2)=0</formula>
    </cfRule>
  </conditionalFormatting>
  <conditionalFormatting sqref="W22">
    <cfRule type="expression" dxfId="4262" priority="3992">
      <formula>MOD(ROW(),2)=0</formula>
    </cfRule>
  </conditionalFormatting>
  <conditionalFormatting sqref="W10">
    <cfRule type="expression" dxfId="4261" priority="3991">
      <formula>MOD(ROW(),2)=0</formula>
    </cfRule>
  </conditionalFormatting>
  <conditionalFormatting sqref="W9">
    <cfRule type="expression" dxfId="4260" priority="3990">
      <formula>MOD(ROW(),2)=0</formula>
    </cfRule>
  </conditionalFormatting>
  <conditionalFormatting sqref="W8">
    <cfRule type="expression" dxfId="4259" priority="3989">
      <formula>MOD(ROW(),2)=0</formula>
    </cfRule>
  </conditionalFormatting>
  <conditionalFormatting sqref="W16 W12:W13">
    <cfRule type="expression" dxfId="4258" priority="3988">
      <formula>MOD(ROW(),2)=0</formula>
    </cfRule>
  </conditionalFormatting>
  <conditionalFormatting sqref="W14 W17:W19 W21">
    <cfRule type="expression" dxfId="4257" priority="3987">
      <formula>MOD(ROW(),2)=0</formula>
    </cfRule>
  </conditionalFormatting>
  <conditionalFormatting sqref="W11">
    <cfRule type="expression" dxfId="4256" priority="3986">
      <formula>MOD(ROW(),2)=0</formula>
    </cfRule>
  </conditionalFormatting>
  <conditionalFormatting sqref="W22">
    <cfRule type="expression" dxfId="4255" priority="3985">
      <formula>MOD(ROW(),2)=0</formula>
    </cfRule>
  </conditionalFormatting>
  <conditionalFormatting sqref="W10">
    <cfRule type="expression" dxfId="4254" priority="3984">
      <formula>MOD(ROW(),2)=0</formula>
    </cfRule>
  </conditionalFormatting>
  <conditionalFormatting sqref="W9">
    <cfRule type="expression" dxfId="4253" priority="3983">
      <formula>MOD(ROW(),2)=0</formula>
    </cfRule>
  </conditionalFormatting>
  <conditionalFormatting sqref="W8">
    <cfRule type="expression" dxfId="4252" priority="3982">
      <formula>MOD(ROW(),2)=0</formula>
    </cfRule>
  </conditionalFormatting>
  <conditionalFormatting sqref="W16 W12:W13">
    <cfRule type="expression" dxfId="4251" priority="3981">
      <formula>MOD(ROW(),2)=0</formula>
    </cfRule>
  </conditionalFormatting>
  <conditionalFormatting sqref="W14 W17:W19 W21">
    <cfRule type="expression" dxfId="4250" priority="3980">
      <formula>MOD(ROW(),2)=0</formula>
    </cfRule>
  </conditionalFormatting>
  <conditionalFormatting sqref="W11">
    <cfRule type="expression" dxfId="4249" priority="3979">
      <formula>MOD(ROW(),2)=0</formula>
    </cfRule>
  </conditionalFormatting>
  <conditionalFormatting sqref="W22">
    <cfRule type="expression" dxfId="4248" priority="3978">
      <formula>MOD(ROW(),2)=0</formula>
    </cfRule>
  </conditionalFormatting>
  <conditionalFormatting sqref="W10">
    <cfRule type="expression" dxfId="4247" priority="3977">
      <formula>MOD(ROW(),2)=0</formula>
    </cfRule>
  </conditionalFormatting>
  <conditionalFormatting sqref="W9">
    <cfRule type="expression" dxfId="4246" priority="3976">
      <formula>MOD(ROW(),2)=0</formula>
    </cfRule>
  </conditionalFormatting>
  <conditionalFormatting sqref="W8">
    <cfRule type="expression" dxfId="4245" priority="3975">
      <formula>MOD(ROW(),2)=0</formula>
    </cfRule>
  </conditionalFormatting>
  <conditionalFormatting sqref="W16 W12:W13">
    <cfRule type="expression" dxfId="4244" priority="3974">
      <formula>MOD(ROW(),2)=0</formula>
    </cfRule>
  </conditionalFormatting>
  <conditionalFormatting sqref="W14 W17:W19 W21">
    <cfRule type="expression" dxfId="4243" priority="3973">
      <formula>MOD(ROW(),2)=0</formula>
    </cfRule>
  </conditionalFormatting>
  <conditionalFormatting sqref="W11">
    <cfRule type="expression" dxfId="4242" priority="3972">
      <formula>MOD(ROW(),2)=0</formula>
    </cfRule>
  </conditionalFormatting>
  <conditionalFormatting sqref="W22">
    <cfRule type="expression" dxfId="4241" priority="3971">
      <formula>MOD(ROW(),2)=0</formula>
    </cfRule>
  </conditionalFormatting>
  <conditionalFormatting sqref="W10">
    <cfRule type="expression" dxfId="4240" priority="3970">
      <formula>MOD(ROW(),2)=0</formula>
    </cfRule>
  </conditionalFormatting>
  <conditionalFormatting sqref="W9">
    <cfRule type="expression" dxfId="4239" priority="3969">
      <formula>MOD(ROW(),2)=0</formula>
    </cfRule>
  </conditionalFormatting>
  <conditionalFormatting sqref="W8">
    <cfRule type="expression" dxfId="4238" priority="3968">
      <formula>MOD(ROW(),2)=0</formula>
    </cfRule>
  </conditionalFormatting>
  <conditionalFormatting sqref="W16 W12:W13">
    <cfRule type="expression" dxfId="4237" priority="3967">
      <formula>MOD(ROW(),2)=0</formula>
    </cfRule>
  </conditionalFormatting>
  <conditionalFormatting sqref="W14 W17:W19 W21">
    <cfRule type="expression" dxfId="4236" priority="3966">
      <formula>MOD(ROW(),2)=0</formula>
    </cfRule>
  </conditionalFormatting>
  <conditionalFormatting sqref="W11">
    <cfRule type="expression" dxfId="4235" priority="3965">
      <formula>MOD(ROW(),2)=0</formula>
    </cfRule>
  </conditionalFormatting>
  <conditionalFormatting sqref="W10">
    <cfRule type="expression" dxfId="4234" priority="3964">
      <formula>MOD(ROW(),2)=0</formula>
    </cfRule>
  </conditionalFormatting>
  <conditionalFormatting sqref="W22">
    <cfRule type="expression" dxfId="4233" priority="3963">
      <formula>MOD(ROW(),2)=0</formula>
    </cfRule>
  </conditionalFormatting>
  <conditionalFormatting sqref="W9">
    <cfRule type="expression" dxfId="4232" priority="3962">
      <formula>MOD(ROW(),2)=0</formula>
    </cfRule>
  </conditionalFormatting>
  <conditionalFormatting sqref="W8">
    <cfRule type="expression" dxfId="4231" priority="3961">
      <formula>MOD(ROW(),2)=0</formula>
    </cfRule>
  </conditionalFormatting>
  <conditionalFormatting sqref="W16 W12:W13">
    <cfRule type="expression" dxfId="4230" priority="3960">
      <formula>MOD(ROW(),2)=0</formula>
    </cfRule>
  </conditionalFormatting>
  <conditionalFormatting sqref="W14 W17:W19 W21">
    <cfRule type="expression" dxfId="4229" priority="3959">
      <formula>MOD(ROW(),2)=0</formula>
    </cfRule>
  </conditionalFormatting>
  <conditionalFormatting sqref="W11">
    <cfRule type="expression" dxfId="4228" priority="3958">
      <formula>MOD(ROW(),2)=0</formula>
    </cfRule>
  </conditionalFormatting>
  <conditionalFormatting sqref="W22">
    <cfRule type="expression" dxfId="4227" priority="3957">
      <formula>MOD(ROW(),2)=0</formula>
    </cfRule>
  </conditionalFormatting>
  <conditionalFormatting sqref="W10">
    <cfRule type="expression" dxfId="4226" priority="3956">
      <formula>MOD(ROW(),2)=0</formula>
    </cfRule>
  </conditionalFormatting>
  <conditionalFormatting sqref="W9">
    <cfRule type="expression" dxfId="4225" priority="3955">
      <formula>MOD(ROW(),2)=0</formula>
    </cfRule>
  </conditionalFormatting>
  <conditionalFormatting sqref="W8">
    <cfRule type="expression" dxfId="4224" priority="3954">
      <formula>MOD(ROW(),2)=0</formula>
    </cfRule>
  </conditionalFormatting>
  <conditionalFormatting sqref="W16 W12:W13">
    <cfRule type="expression" dxfId="4223" priority="3953">
      <formula>MOD(ROW(),2)=0</formula>
    </cfRule>
  </conditionalFormatting>
  <conditionalFormatting sqref="W14 W17:W19 W21">
    <cfRule type="expression" dxfId="4222" priority="3952">
      <formula>MOD(ROW(),2)=0</formula>
    </cfRule>
  </conditionalFormatting>
  <conditionalFormatting sqref="W11">
    <cfRule type="expression" dxfId="4221" priority="3951">
      <formula>MOD(ROW(),2)=0</formula>
    </cfRule>
  </conditionalFormatting>
  <conditionalFormatting sqref="W22">
    <cfRule type="expression" dxfId="4220" priority="3950">
      <formula>MOD(ROW(),2)=0</formula>
    </cfRule>
  </conditionalFormatting>
  <conditionalFormatting sqref="W10">
    <cfRule type="expression" dxfId="4219" priority="3949">
      <formula>MOD(ROW(),2)=0</formula>
    </cfRule>
  </conditionalFormatting>
  <conditionalFormatting sqref="W9">
    <cfRule type="expression" dxfId="4218" priority="3948">
      <formula>MOD(ROW(),2)=0</formula>
    </cfRule>
  </conditionalFormatting>
  <conditionalFormatting sqref="W8">
    <cfRule type="expression" dxfId="4217" priority="3947">
      <formula>MOD(ROW(),2)=0</formula>
    </cfRule>
  </conditionalFormatting>
  <conditionalFormatting sqref="W16 W12:W13">
    <cfRule type="expression" dxfId="4216" priority="3946">
      <formula>MOD(ROW(),2)=0</formula>
    </cfRule>
  </conditionalFormatting>
  <conditionalFormatting sqref="W14 W17:W19 W21">
    <cfRule type="expression" dxfId="4215" priority="3945">
      <formula>MOD(ROW(),2)=0</formula>
    </cfRule>
  </conditionalFormatting>
  <conditionalFormatting sqref="W11">
    <cfRule type="expression" dxfId="4214" priority="3944">
      <formula>MOD(ROW(),2)=0</formula>
    </cfRule>
  </conditionalFormatting>
  <conditionalFormatting sqref="W22">
    <cfRule type="expression" dxfId="4213" priority="3943">
      <formula>MOD(ROW(),2)=0</formula>
    </cfRule>
  </conditionalFormatting>
  <conditionalFormatting sqref="W10">
    <cfRule type="expression" dxfId="4212" priority="3942">
      <formula>MOD(ROW(),2)=0</formula>
    </cfRule>
  </conditionalFormatting>
  <conditionalFormatting sqref="W9">
    <cfRule type="expression" dxfId="4211" priority="3941">
      <formula>MOD(ROW(),2)=0</formula>
    </cfRule>
  </conditionalFormatting>
  <conditionalFormatting sqref="W8">
    <cfRule type="expression" dxfId="4210" priority="3940">
      <formula>MOD(ROW(),2)=0</formula>
    </cfRule>
  </conditionalFormatting>
  <conditionalFormatting sqref="W16 W12:W13">
    <cfRule type="expression" dxfId="4209" priority="3939">
      <formula>MOD(ROW(),2)=0</formula>
    </cfRule>
  </conditionalFormatting>
  <conditionalFormatting sqref="W14 W17:W19 W21">
    <cfRule type="expression" dxfId="4208" priority="3938">
      <formula>MOD(ROW(),2)=0</formula>
    </cfRule>
  </conditionalFormatting>
  <conditionalFormatting sqref="W11">
    <cfRule type="expression" dxfId="4207" priority="3937">
      <formula>MOD(ROW(),2)=0</formula>
    </cfRule>
  </conditionalFormatting>
  <conditionalFormatting sqref="W22">
    <cfRule type="expression" dxfId="4206" priority="3936">
      <formula>MOD(ROW(),2)=0</formula>
    </cfRule>
  </conditionalFormatting>
  <conditionalFormatting sqref="W10">
    <cfRule type="expression" dxfId="4205" priority="3935">
      <formula>MOD(ROW(),2)=0</formula>
    </cfRule>
  </conditionalFormatting>
  <conditionalFormatting sqref="W9">
    <cfRule type="expression" dxfId="4204" priority="3934">
      <formula>MOD(ROW(),2)=0</formula>
    </cfRule>
  </conditionalFormatting>
  <conditionalFormatting sqref="W8">
    <cfRule type="expression" dxfId="4203" priority="3933">
      <formula>MOD(ROW(),2)=0</formula>
    </cfRule>
  </conditionalFormatting>
  <conditionalFormatting sqref="W16 W12:W13">
    <cfRule type="expression" dxfId="4202" priority="3932">
      <formula>MOD(ROW(),2)=0</formula>
    </cfRule>
  </conditionalFormatting>
  <conditionalFormatting sqref="W14 W17:W19 W21">
    <cfRule type="expression" dxfId="4201" priority="3931">
      <formula>MOD(ROW(),2)=0</formula>
    </cfRule>
  </conditionalFormatting>
  <conditionalFormatting sqref="W11">
    <cfRule type="expression" dxfId="4200" priority="3930">
      <formula>MOD(ROW(),2)=0</formula>
    </cfRule>
  </conditionalFormatting>
  <conditionalFormatting sqref="W22">
    <cfRule type="expression" dxfId="4199" priority="3929">
      <formula>MOD(ROW(),2)=0</formula>
    </cfRule>
  </conditionalFormatting>
  <conditionalFormatting sqref="W10">
    <cfRule type="expression" dxfId="4198" priority="3928">
      <formula>MOD(ROW(),2)=0</formula>
    </cfRule>
  </conditionalFormatting>
  <conditionalFormatting sqref="W9">
    <cfRule type="expression" dxfId="4197" priority="3927">
      <formula>MOD(ROW(),2)=0</formula>
    </cfRule>
  </conditionalFormatting>
  <conditionalFormatting sqref="W8">
    <cfRule type="expression" dxfId="4196" priority="3926">
      <formula>MOD(ROW(),2)=0</formula>
    </cfRule>
  </conditionalFormatting>
  <conditionalFormatting sqref="W16 W12:W13">
    <cfRule type="expression" dxfId="4195" priority="3925">
      <formula>MOD(ROW(),2)=0</formula>
    </cfRule>
  </conditionalFormatting>
  <conditionalFormatting sqref="W14 W17:W19 W21">
    <cfRule type="expression" dxfId="4194" priority="3924">
      <formula>MOD(ROW(),2)=0</formula>
    </cfRule>
  </conditionalFormatting>
  <conditionalFormatting sqref="W11">
    <cfRule type="expression" dxfId="4193" priority="3923">
      <formula>MOD(ROW(),2)=0</formula>
    </cfRule>
  </conditionalFormatting>
  <conditionalFormatting sqref="W22">
    <cfRule type="expression" dxfId="4192" priority="3922">
      <formula>MOD(ROW(),2)=0</formula>
    </cfRule>
  </conditionalFormatting>
  <conditionalFormatting sqref="W10">
    <cfRule type="expression" dxfId="4191" priority="3921">
      <formula>MOD(ROW(),2)=0</formula>
    </cfRule>
  </conditionalFormatting>
  <conditionalFormatting sqref="W9">
    <cfRule type="expression" dxfId="4190" priority="3920">
      <formula>MOD(ROW(),2)=0</formula>
    </cfRule>
  </conditionalFormatting>
  <conditionalFormatting sqref="W8">
    <cfRule type="expression" dxfId="4189" priority="3919">
      <formula>MOD(ROW(),2)=0</formula>
    </cfRule>
  </conditionalFormatting>
  <conditionalFormatting sqref="W16 W12:W13">
    <cfRule type="expression" dxfId="4188" priority="3918">
      <formula>MOD(ROW(),2)=0</formula>
    </cfRule>
  </conditionalFormatting>
  <conditionalFormatting sqref="W14 W17:W19 W21">
    <cfRule type="expression" dxfId="4187" priority="3917">
      <formula>MOD(ROW(),2)=0</formula>
    </cfRule>
  </conditionalFormatting>
  <conditionalFormatting sqref="W11">
    <cfRule type="expression" dxfId="4186" priority="3916">
      <formula>MOD(ROW(),2)=0</formula>
    </cfRule>
  </conditionalFormatting>
  <conditionalFormatting sqref="W22">
    <cfRule type="expression" dxfId="4185" priority="3915">
      <formula>MOD(ROW(),2)=0</formula>
    </cfRule>
  </conditionalFormatting>
  <conditionalFormatting sqref="W10">
    <cfRule type="expression" dxfId="4184" priority="3914">
      <formula>MOD(ROW(),2)=0</formula>
    </cfRule>
  </conditionalFormatting>
  <conditionalFormatting sqref="W9">
    <cfRule type="expression" dxfId="4183" priority="3913">
      <formula>MOD(ROW(),2)=0</formula>
    </cfRule>
  </conditionalFormatting>
  <conditionalFormatting sqref="W8">
    <cfRule type="expression" dxfId="4182" priority="3912">
      <formula>MOD(ROW(),2)=0</formula>
    </cfRule>
  </conditionalFormatting>
  <conditionalFormatting sqref="W16 W12:W13">
    <cfRule type="expression" dxfId="4181" priority="3911">
      <formula>MOD(ROW(),2)=0</formula>
    </cfRule>
  </conditionalFormatting>
  <conditionalFormatting sqref="W14 W17:W19 W21">
    <cfRule type="expression" dxfId="4180" priority="3910">
      <formula>MOD(ROW(),2)=0</formula>
    </cfRule>
  </conditionalFormatting>
  <conditionalFormatting sqref="W11">
    <cfRule type="expression" dxfId="4179" priority="3909">
      <formula>MOD(ROW(),2)=0</formula>
    </cfRule>
  </conditionalFormatting>
  <conditionalFormatting sqref="W10">
    <cfRule type="expression" dxfId="4178" priority="3908">
      <formula>MOD(ROW(),2)=0</formula>
    </cfRule>
  </conditionalFormatting>
  <conditionalFormatting sqref="W22">
    <cfRule type="expression" dxfId="4177" priority="3907">
      <formula>MOD(ROW(),2)=0</formula>
    </cfRule>
  </conditionalFormatting>
  <conditionalFormatting sqref="W9">
    <cfRule type="expression" dxfId="4176" priority="3906">
      <formula>MOD(ROW(),2)=0</formula>
    </cfRule>
  </conditionalFormatting>
  <conditionalFormatting sqref="W8">
    <cfRule type="expression" dxfId="4175" priority="3905">
      <formula>MOD(ROW(),2)=0</formula>
    </cfRule>
  </conditionalFormatting>
  <conditionalFormatting sqref="W16 W12:W13">
    <cfRule type="expression" dxfId="4174" priority="3904">
      <formula>MOD(ROW(),2)=0</formula>
    </cfRule>
  </conditionalFormatting>
  <conditionalFormatting sqref="W14 W17:W19 W21">
    <cfRule type="expression" dxfId="4173" priority="3903">
      <formula>MOD(ROW(),2)=0</formula>
    </cfRule>
  </conditionalFormatting>
  <conditionalFormatting sqref="W11">
    <cfRule type="expression" dxfId="4172" priority="3902">
      <formula>MOD(ROW(),2)=0</formula>
    </cfRule>
  </conditionalFormatting>
  <conditionalFormatting sqref="W22">
    <cfRule type="expression" dxfId="4171" priority="3901">
      <formula>MOD(ROW(),2)=0</formula>
    </cfRule>
  </conditionalFormatting>
  <conditionalFormatting sqref="W10">
    <cfRule type="expression" dxfId="4170" priority="3900">
      <formula>MOD(ROW(),2)=0</formula>
    </cfRule>
  </conditionalFormatting>
  <conditionalFormatting sqref="W15">
    <cfRule type="expression" dxfId="4169" priority="3899">
      <formula>MOD(ROW(),2)=0</formula>
    </cfRule>
  </conditionalFormatting>
  <conditionalFormatting sqref="W15">
    <cfRule type="expression" dxfId="4168" priority="3898">
      <formula>MOD(ROW(),2)=0</formula>
    </cfRule>
  </conditionalFormatting>
  <conditionalFormatting sqref="W15">
    <cfRule type="expression" dxfId="4167" priority="3897">
      <formula>MOD(ROW(),2)=0</formula>
    </cfRule>
  </conditionalFormatting>
  <conditionalFormatting sqref="W15">
    <cfRule type="expression" dxfId="4166" priority="3896">
      <formula>MOD(ROW(),2)=0</formula>
    </cfRule>
  </conditionalFormatting>
  <conditionalFormatting sqref="W15">
    <cfRule type="expression" dxfId="4165" priority="3895">
      <formula>MOD(ROW(),2)=0</formula>
    </cfRule>
  </conditionalFormatting>
  <conditionalFormatting sqref="W15">
    <cfRule type="expression" dxfId="4164" priority="3894">
      <formula>MOD(ROW(),2)=0</formula>
    </cfRule>
  </conditionalFormatting>
  <conditionalFormatting sqref="W15">
    <cfRule type="expression" dxfId="4163" priority="3893">
      <formula>MOD(ROW(),2)=0</formula>
    </cfRule>
  </conditionalFormatting>
  <conditionalFormatting sqref="W15">
    <cfRule type="expression" dxfId="4162" priority="3892">
      <formula>MOD(ROW(),2)=0</formula>
    </cfRule>
  </conditionalFormatting>
  <conditionalFormatting sqref="W15">
    <cfRule type="expression" dxfId="4161" priority="3891">
      <formula>MOD(ROW(),2)=0</formula>
    </cfRule>
  </conditionalFormatting>
  <conditionalFormatting sqref="W15">
    <cfRule type="expression" dxfId="4160" priority="3890">
      <formula>MOD(ROW(),2)=0</formula>
    </cfRule>
  </conditionalFormatting>
  <conditionalFormatting sqref="W15">
    <cfRule type="expression" dxfId="4159" priority="3889">
      <formula>MOD(ROW(),2)=0</formula>
    </cfRule>
  </conditionalFormatting>
  <conditionalFormatting sqref="W15">
    <cfRule type="expression" dxfId="4158" priority="3888">
      <formula>MOD(ROW(),2)=0</formula>
    </cfRule>
  </conditionalFormatting>
  <conditionalFormatting sqref="W15">
    <cfRule type="expression" dxfId="4157" priority="3887">
      <formula>MOD(ROW(),2)=0</formula>
    </cfRule>
  </conditionalFormatting>
  <conditionalFormatting sqref="W15">
    <cfRule type="expression" dxfId="4156" priority="3886">
      <formula>MOD(ROW(),2)=0</formula>
    </cfRule>
  </conditionalFormatting>
  <conditionalFormatting sqref="W15">
    <cfRule type="expression" dxfId="4155" priority="3885">
      <formula>MOD(ROW(),2)=0</formula>
    </cfRule>
  </conditionalFormatting>
  <conditionalFormatting sqref="W15">
    <cfRule type="expression" dxfId="4154" priority="3884">
      <formula>MOD(ROW(),2)=0</formula>
    </cfRule>
  </conditionalFormatting>
  <conditionalFormatting sqref="W20">
    <cfRule type="expression" dxfId="4153" priority="3883">
      <formula>MOD(ROW(),2)=0</formula>
    </cfRule>
  </conditionalFormatting>
  <conditionalFormatting sqref="W20">
    <cfRule type="expression" dxfId="4152" priority="3882">
      <formula>MOD(ROW(),2)=0</formula>
    </cfRule>
  </conditionalFormatting>
  <conditionalFormatting sqref="W20">
    <cfRule type="expression" dxfId="4151" priority="3881">
      <formula>MOD(ROW(),2)=0</formula>
    </cfRule>
  </conditionalFormatting>
  <conditionalFormatting sqref="W20">
    <cfRule type="expression" dxfId="4150" priority="3880">
      <formula>MOD(ROW(),2)=0</formula>
    </cfRule>
  </conditionalFormatting>
  <conditionalFormatting sqref="W20">
    <cfRule type="expression" dxfId="4149" priority="3879">
      <formula>MOD(ROW(),2)=0</formula>
    </cfRule>
  </conditionalFormatting>
  <conditionalFormatting sqref="W20">
    <cfRule type="expression" dxfId="4148" priority="3878">
      <formula>MOD(ROW(),2)=0</formula>
    </cfRule>
  </conditionalFormatting>
  <conditionalFormatting sqref="W20">
    <cfRule type="expression" dxfId="4147" priority="3877">
      <formula>MOD(ROW(),2)=0</formula>
    </cfRule>
  </conditionalFormatting>
  <conditionalFormatting sqref="W20">
    <cfRule type="expression" dxfId="4146" priority="3876">
      <formula>MOD(ROW(),2)=0</formula>
    </cfRule>
  </conditionalFormatting>
  <conditionalFormatting sqref="W20">
    <cfRule type="expression" dxfId="4145" priority="3875">
      <formula>MOD(ROW(),2)=0</formula>
    </cfRule>
  </conditionalFormatting>
  <conditionalFormatting sqref="W20">
    <cfRule type="expression" dxfId="4144" priority="3874">
      <formula>MOD(ROW(),2)=0</formula>
    </cfRule>
  </conditionalFormatting>
  <conditionalFormatting sqref="W20">
    <cfRule type="expression" dxfId="4143" priority="3873">
      <formula>MOD(ROW(),2)=0</formula>
    </cfRule>
  </conditionalFormatting>
  <conditionalFormatting sqref="W20">
    <cfRule type="expression" dxfId="4142" priority="3872">
      <formula>MOD(ROW(),2)=0</formula>
    </cfRule>
  </conditionalFormatting>
  <conditionalFormatting sqref="W20">
    <cfRule type="expression" dxfId="4141" priority="3871">
      <formula>MOD(ROW(),2)=0</formula>
    </cfRule>
  </conditionalFormatting>
  <conditionalFormatting sqref="W20">
    <cfRule type="expression" dxfId="4140" priority="3870">
      <formula>MOD(ROW(),2)=0</formula>
    </cfRule>
  </conditionalFormatting>
  <conditionalFormatting sqref="W20">
    <cfRule type="expression" dxfId="4139" priority="3869">
      <formula>MOD(ROW(),2)=0</formula>
    </cfRule>
  </conditionalFormatting>
  <conditionalFormatting sqref="W20">
    <cfRule type="expression" dxfId="4138" priority="3868">
      <formula>MOD(ROW(),2)=0</formula>
    </cfRule>
  </conditionalFormatting>
  <conditionalFormatting sqref="X9">
    <cfRule type="expression" dxfId="4137" priority="3867">
      <formula>MOD(ROW(),2)=0</formula>
    </cfRule>
  </conditionalFormatting>
  <conditionalFormatting sqref="X8">
    <cfRule type="expression" dxfId="4136" priority="3866">
      <formula>MOD(ROW(),2)=0</formula>
    </cfRule>
  </conditionalFormatting>
  <conditionalFormatting sqref="X16 X12:X13">
    <cfRule type="expression" dxfId="4135" priority="3865">
      <formula>MOD(ROW(),2)=0</formula>
    </cfRule>
  </conditionalFormatting>
  <conditionalFormatting sqref="X14 X17:X19 X21">
    <cfRule type="expression" dxfId="4134" priority="3864">
      <formula>MOD(ROW(),2)=0</formula>
    </cfRule>
  </conditionalFormatting>
  <conditionalFormatting sqref="X11">
    <cfRule type="expression" dxfId="4133" priority="3863">
      <formula>MOD(ROW(),2)=0</formula>
    </cfRule>
  </conditionalFormatting>
  <conditionalFormatting sqref="X22">
    <cfRule type="expression" dxfId="4132" priority="3862">
      <formula>MOD(ROW(),2)=0</formula>
    </cfRule>
  </conditionalFormatting>
  <conditionalFormatting sqref="X10">
    <cfRule type="expression" dxfId="4131" priority="3861">
      <formula>MOD(ROW(),2)=0</formula>
    </cfRule>
  </conditionalFormatting>
  <conditionalFormatting sqref="X9">
    <cfRule type="expression" dxfId="4130" priority="3860">
      <formula>MOD(ROW(),2)=0</formula>
    </cfRule>
  </conditionalFormatting>
  <conditionalFormatting sqref="X8">
    <cfRule type="expression" dxfId="4129" priority="3859">
      <formula>MOD(ROW(),2)=0</formula>
    </cfRule>
  </conditionalFormatting>
  <conditionalFormatting sqref="X16 X12:X13">
    <cfRule type="expression" dxfId="4128" priority="3858">
      <formula>MOD(ROW(),2)=0</formula>
    </cfRule>
  </conditionalFormatting>
  <conditionalFormatting sqref="X14 X17:X19 X21">
    <cfRule type="expression" dxfId="4127" priority="3857">
      <formula>MOD(ROW(),2)=0</formula>
    </cfRule>
  </conditionalFormatting>
  <conditionalFormatting sqref="X11">
    <cfRule type="expression" dxfId="4126" priority="3856">
      <formula>MOD(ROW(),2)=0</formula>
    </cfRule>
  </conditionalFormatting>
  <conditionalFormatting sqref="X22">
    <cfRule type="expression" dxfId="4125" priority="3855">
      <formula>MOD(ROW(),2)=0</formula>
    </cfRule>
  </conditionalFormatting>
  <conditionalFormatting sqref="X10">
    <cfRule type="expression" dxfId="4124" priority="3854">
      <formula>MOD(ROW(),2)=0</formula>
    </cfRule>
  </conditionalFormatting>
  <conditionalFormatting sqref="X9">
    <cfRule type="expression" dxfId="4123" priority="3853">
      <formula>MOD(ROW(),2)=0</formula>
    </cfRule>
  </conditionalFormatting>
  <conditionalFormatting sqref="X8">
    <cfRule type="expression" dxfId="4122" priority="3852">
      <formula>MOD(ROW(),2)=0</formula>
    </cfRule>
  </conditionalFormatting>
  <conditionalFormatting sqref="X16 X12:X13">
    <cfRule type="expression" dxfId="4121" priority="3851">
      <formula>MOD(ROW(),2)=0</formula>
    </cfRule>
  </conditionalFormatting>
  <conditionalFormatting sqref="X14 X17:X19 X21">
    <cfRule type="expression" dxfId="4120" priority="3850">
      <formula>MOD(ROW(),2)=0</formula>
    </cfRule>
  </conditionalFormatting>
  <conditionalFormatting sqref="X11">
    <cfRule type="expression" dxfId="4119" priority="3849">
      <formula>MOD(ROW(),2)=0</formula>
    </cfRule>
  </conditionalFormatting>
  <conditionalFormatting sqref="X22">
    <cfRule type="expression" dxfId="4118" priority="3848">
      <formula>MOD(ROW(),2)=0</formula>
    </cfRule>
  </conditionalFormatting>
  <conditionalFormatting sqref="X10">
    <cfRule type="expression" dxfId="4117" priority="3847">
      <formula>MOD(ROW(),2)=0</formula>
    </cfRule>
  </conditionalFormatting>
  <conditionalFormatting sqref="X9">
    <cfRule type="expression" dxfId="4116" priority="3846">
      <formula>MOD(ROW(),2)=0</formula>
    </cfRule>
  </conditionalFormatting>
  <conditionalFormatting sqref="X8">
    <cfRule type="expression" dxfId="4115" priority="3845">
      <formula>MOD(ROW(),2)=0</formula>
    </cfRule>
  </conditionalFormatting>
  <conditionalFormatting sqref="X16 X12:X13">
    <cfRule type="expression" dxfId="4114" priority="3844">
      <formula>MOD(ROW(),2)=0</formula>
    </cfRule>
  </conditionalFormatting>
  <conditionalFormatting sqref="X14 X17:X19 X21">
    <cfRule type="expression" dxfId="4113" priority="3843">
      <formula>MOD(ROW(),2)=0</formula>
    </cfRule>
  </conditionalFormatting>
  <conditionalFormatting sqref="X11">
    <cfRule type="expression" dxfId="4112" priority="3842">
      <formula>MOD(ROW(),2)=0</formula>
    </cfRule>
  </conditionalFormatting>
  <conditionalFormatting sqref="X22">
    <cfRule type="expression" dxfId="4111" priority="3841">
      <formula>MOD(ROW(),2)=0</formula>
    </cfRule>
  </conditionalFormatting>
  <conditionalFormatting sqref="X10">
    <cfRule type="expression" dxfId="4110" priority="3840">
      <formula>MOD(ROW(),2)=0</formula>
    </cfRule>
  </conditionalFormatting>
  <conditionalFormatting sqref="X9">
    <cfRule type="expression" dxfId="4109" priority="3839">
      <formula>MOD(ROW(),2)=0</formula>
    </cfRule>
  </conditionalFormatting>
  <conditionalFormatting sqref="X8">
    <cfRule type="expression" dxfId="4108" priority="3838">
      <formula>MOD(ROW(),2)=0</formula>
    </cfRule>
  </conditionalFormatting>
  <conditionalFormatting sqref="X16 X12:X13">
    <cfRule type="expression" dxfId="4107" priority="3837">
      <formula>MOD(ROW(),2)=0</formula>
    </cfRule>
  </conditionalFormatting>
  <conditionalFormatting sqref="X14 X17:X19 X21">
    <cfRule type="expression" dxfId="4106" priority="3836">
      <formula>MOD(ROW(),2)=0</formula>
    </cfRule>
  </conditionalFormatting>
  <conditionalFormatting sqref="X11">
    <cfRule type="expression" dxfId="4105" priority="3835">
      <formula>MOD(ROW(),2)=0</formula>
    </cfRule>
  </conditionalFormatting>
  <conditionalFormatting sqref="X22">
    <cfRule type="expression" dxfId="4104" priority="3834">
      <formula>MOD(ROW(),2)=0</formula>
    </cfRule>
  </conditionalFormatting>
  <conditionalFormatting sqref="X10">
    <cfRule type="expression" dxfId="4103" priority="3833">
      <formula>MOD(ROW(),2)=0</formula>
    </cfRule>
  </conditionalFormatting>
  <conditionalFormatting sqref="X9">
    <cfRule type="expression" dxfId="4102" priority="3832">
      <formula>MOD(ROW(),2)=0</formula>
    </cfRule>
  </conditionalFormatting>
  <conditionalFormatting sqref="X8">
    <cfRule type="expression" dxfId="4101" priority="3831">
      <formula>MOD(ROW(),2)=0</formula>
    </cfRule>
  </conditionalFormatting>
  <conditionalFormatting sqref="X16 X12:X13">
    <cfRule type="expression" dxfId="4100" priority="3830">
      <formula>MOD(ROW(),2)=0</formula>
    </cfRule>
  </conditionalFormatting>
  <conditionalFormatting sqref="X14 X17:X19 X21">
    <cfRule type="expression" dxfId="4099" priority="3829">
      <formula>MOD(ROW(),2)=0</formula>
    </cfRule>
  </conditionalFormatting>
  <conditionalFormatting sqref="X11">
    <cfRule type="expression" dxfId="4098" priority="3828">
      <formula>MOD(ROW(),2)=0</formula>
    </cfRule>
  </conditionalFormatting>
  <conditionalFormatting sqref="X22">
    <cfRule type="expression" dxfId="4097" priority="3827">
      <formula>MOD(ROW(),2)=0</formula>
    </cfRule>
  </conditionalFormatting>
  <conditionalFormatting sqref="X10">
    <cfRule type="expression" dxfId="4096" priority="3826">
      <formula>MOD(ROW(),2)=0</formula>
    </cfRule>
  </conditionalFormatting>
  <conditionalFormatting sqref="X9">
    <cfRule type="expression" dxfId="4095" priority="3825">
      <formula>MOD(ROW(),2)=0</formula>
    </cfRule>
  </conditionalFormatting>
  <conditionalFormatting sqref="X8">
    <cfRule type="expression" dxfId="4094" priority="3824">
      <formula>MOD(ROW(),2)=0</formula>
    </cfRule>
  </conditionalFormatting>
  <conditionalFormatting sqref="X16 X12:X13">
    <cfRule type="expression" dxfId="4093" priority="3823">
      <formula>MOD(ROW(),2)=0</formula>
    </cfRule>
  </conditionalFormatting>
  <conditionalFormatting sqref="X14 X17:X19 X21">
    <cfRule type="expression" dxfId="4092" priority="3822">
      <formula>MOD(ROW(),2)=0</formula>
    </cfRule>
  </conditionalFormatting>
  <conditionalFormatting sqref="X11">
    <cfRule type="expression" dxfId="4091" priority="3821">
      <formula>MOD(ROW(),2)=0</formula>
    </cfRule>
  </conditionalFormatting>
  <conditionalFormatting sqref="X10">
    <cfRule type="expression" dxfId="4090" priority="3820">
      <formula>MOD(ROW(),2)=0</formula>
    </cfRule>
  </conditionalFormatting>
  <conditionalFormatting sqref="X22">
    <cfRule type="expression" dxfId="4089" priority="3819">
      <formula>MOD(ROW(),2)=0</formula>
    </cfRule>
  </conditionalFormatting>
  <conditionalFormatting sqref="X9">
    <cfRule type="expression" dxfId="4088" priority="3818">
      <formula>MOD(ROW(),2)=0</formula>
    </cfRule>
  </conditionalFormatting>
  <conditionalFormatting sqref="X8">
    <cfRule type="expression" dxfId="4087" priority="3817">
      <formula>MOD(ROW(),2)=0</formula>
    </cfRule>
  </conditionalFormatting>
  <conditionalFormatting sqref="X16 X12:X13">
    <cfRule type="expression" dxfId="4086" priority="3816">
      <formula>MOD(ROW(),2)=0</formula>
    </cfRule>
  </conditionalFormatting>
  <conditionalFormatting sqref="X14 X17:X19 X21">
    <cfRule type="expression" dxfId="4085" priority="3815">
      <formula>MOD(ROW(),2)=0</formula>
    </cfRule>
  </conditionalFormatting>
  <conditionalFormatting sqref="X11">
    <cfRule type="expression" dxfId="4084" priority="3814">
      <formula>MOD(ROW(),2)=0</formula>
    </cfRule>
  </conditionalFormatting>
  <conditionalFormatting sqref="X22">
    <cfRule type="expression" dxfId="4083" priority="3813">
      <formula>MOD(ROW(),2)=0</formula>
    </cfRule>
  </conditionalFormatting>
  <conditionalFormatting sqref="X10">
    <cfRule type="expression" dxfId="4082" priority="3812">
      <formula>MOD(ROW(),2)=0</formula>
    </cfRule>
  </conditionalFormatting>
  <conditionalFormatting sqref="X9">
    <cfRule type="expression" dxfId="4081" priority="3811">
      <formula>MOD(ROW(),2)=0</formula>
    </cfRule>
  </conditionalFormatting>
  <conditionalFormatting sqref="X8">
    <cfRule type="expression" dxfId="4080" priority="3810">
      <formula>MOD(ROW(),2)=0</formula>
    </cfRule>
  </conditionalFormatting>
  <conditionalFormatting sqref="X16 X12:X13">
    <cfRule type="expression" dxfId="4079" priority="3809">
      <formula>MOD(ROW(),2)=0</formula>
    </cfRule>
  </conditionalFormatting>
  <conditionalFormatting sqref="X14 X17:X19 X21">
    <cfRule type="expression" dxfId="4078" priority="3808">
      <formula>MOD(ROW(),2)=0</formula>
    </cfRule>
  </conditionalFormatting>
  <conditionalFormatting sqref="X11">
    <cfRule type="expression" dxfId="4077" priority="3807">
      <formula>MOD(ROW(),2)=0</formula>
    </cfRule>
  </conditionalFormatting>
  <conditionalFormatting sqref="X22">
    <cfRule type="expression" dxfId="4076" priority="3806">
      <formula>MOD(ROW(),2)=0</formula>
    </cfRule>
  </conditionalFormatting>
  <conditionalFormatting sqref="X10">
    <cfRule type="expression" dxfId="4075" priority="3805">
      <formula>MOD(ROW(),2)=0</formula>
    </cfRule>
  </conditionalFormatting>
  <conditionalFormatting sqref="X9">
    <cfRule type="expression" dxfId="4074" priority="3804">
      <formula>MOD(ROW(),2)=0</formula>
    </cfRule>
  </conditionalFormatting>
  <conditionalFormatting sqref="X8">
    <cfRule type="expression" dxfId="4073" priority="3803">
      <formula>MOD(ROW(),2)=0</formula>
    </cfRule>
  </conditionalFormatting>
  <conditionalFormatting sqref="X16 X12:X13">
    <cfRule type="expression" dxfId="4072" priority="3802">
      <formula>MOD(ROW(),2)=0</formula>
    </cfRule>
  </conditionalFormatting>
  <conditionalFormatting sqref="X14 X17:X19 X21">
    <cfRule type="expression" dxfId="4071" priority="3801">
      <formula>MOD(ROW(),2)=0</formula>
    </cfRule>
  </conditionalFormatting>
  <conditionalFormatting sqref="X11">
    <cfRule type="expression" dxfId="4070" priority="3800">
      <formula>MOD(ROW(),2)=0</formula>
    </cfRule>
  </conditionalFormatting>
  <conditionalFormatting sqref="X22">
    <cfRule type="expression" dxfId="4069" priority="3799">
      <formula>MOD(ROW(),2)=0</formula>
    </cfRule>
  </conditionalFormatting>
  <conditionalFormatting sqref="X10">
    <cfRule type="expression" dxfId="4068" priority="3798">
      <formula>MOD(ROW(),2)=0</formula>
    </cfRule>
  </conditionalFormatting>
  <conditionalFormatting sqref="X9">
    <cfRule type="expression" dxfId="4067" priority="3797">
      <formula>MOD(ROW(),2)=0</formula>
    </cfRule>
  </conditionalFormatting>
  <conditionalFormatting sqref="X8">
    <cfRule type="expression" dxfId="4066" priority="3796">
      <formula>MOD(ROW(),2)=0</formula>
    </cfRule>
  </conditionalFormatting>
  <conditionalFormatting sqref="X16 X12:X13">
    <cfRule type="expression" dxfId="4065" priority="3795">
      <formula>MOD(ROW(),2)=0</formula>
    </cfRule>
  </conditionalFormatting>
  <conditionalFormatting sqref="X14 X17:X19 X21">
    <cfRule type="expression" dxfId="4064" priority="3794">
      <formula>MOD(ROW(),2)=0</formula>
    </cfRule>
  </conditionalFormatting>
  <conditionalFormatting sqref="X11">
    <cfRule type="expression" dxfId="4063" priority="3793">
      <formula>MOD(ROW(),2)=0</formula>
    </cfRule>
  </conditionalFormatting>
  <conditionalFormatting sqref="X22">
    <cfRule type="expression" dxfId="4062" priority="3792">
      <formula>MOD(ROW(),2)=0</formula>
    </cfRule>
  </conditionalFormatting>
  <conditionalFormatting sqref="X10">
    <cfRule type="expression" dxfId="4061" priority="3791">
      <formula>MOD(ROW(),2)=0</formula>
    </cfRule>
  </conditionalFormatting>
  <conditionalFormatting sqref="X9">
    <cfRule type="expression" dxfId="4060" priority="3790">
      <formula>MOD(ROW(),2)=0</formula>
    </cfRule>
  </conditionalFormatting>
  <conditionalFormatting sqref="X8">
    <cfRule type="expression" dxfId="4059" priority="3789">
      <formula>MOD(ROW(),2)=0</formula>
    </cfRule>
  </conditionalFormatting>
  <conditionalFormatting sqref="X16 X12:X13">
    <cfRule type="expression" dxfId="4058" priority="3788">
      <formula>MOD(ROW(),2)=0</formula>
    </cfRule>
  </conditionalFormatting>
  <conditionalFormatting sqref="X14 X17:X19 X21">
    <cfRule type="expression" dxfId="4057" priority="3787">
      <formula>MOD(ROW(),2)=0</formula>
    </cfRule>
  </conditionalFormatting>
  <conditionalFormatting sqref="X11">
    <cfRule type="expression" dxfId="4056" priority="3786">
      <formula>MOD(ROW(),2)=0</formula>
    </cfRule>
  </conditionalFormatting>
  <conditionalFormatting sqref="X22">
    <cfRule type="expression" dxfId="4055" priority="3785">
      <formula>MOD(ROW(),2)=0</formula>
    </cfRule>
  </conditionalFormatting>
  <conditionalFormatting sqref="X10">
    <cfRule type="expression" dxfId="4054" priority="3784">
      <formula>MOD(ROW(),2)=0</formula>
    </cfRule>
  </conditionalFormatting>
  <conditionalFormatting sqref="X9">
    <cfRule type="expression" dxfId="4053" priority="3783">
      <formula>MOD(ROW(),2)=0</formula>
    </cfRule>
  </conditionalFormatting>
  <conditionalFormatting sqref="X8">
    <cfRule type="expression" dxfId="4052" priority="3782">
      <formula>MOD(ROW(),2)=0</formula>
    </cfRule>
  </conditionalFormatting>
  <conditionalFormatting sqref="X16 X12:X13">
    <cfRule type="expression" dxfId="4051" priority="3781">
      <formula>MOD(ROW(),2)=0</formula>
    </cfRule>
  </conditionalFormatting>
  <conditionalFormatting sqref="X14 X17:X19 X21">
    <cfRule type="expression" dxfId="4050" priority="3780">
      <formula>MOD(ROW(),2)=0</formula>
    </cfRule>
  </conditionalFormatting>
  <conditionalFormatting sqref="X11">
    <cfRule type="expression" dxfId="4049" priority="3779">
      <formula>MOD(ROW(),2)=0</formula>
    </cfRule>
  </conditionalFormatting>
  <conditionalFormatting sqref="X22">
    <cfRule type="expression" dxfId="4048" priority="3778">
      <formula>MOD(ROW(),2)=0</formula>
    </cfRule>
  </conditionalFormatting>
  <conditionalFormatting sqref="X10">
    <cfRule type="expression" dxfId="4047" priority="3777">
      <formula>MOD(ROW(),2)=0</formula>
    </cfRule>
  </conditionalFormatting>
  <conditionalFormatting sqref="X9">
    <cfRule type="expression" dxfId="4046" priority="3776">
      <formula>MOD(ROW(),2)=0</formula>
    </cfRule>
  </conditionalFormatting>
  <conditionalFormatting sqref="X8">
    <cfRule type="expression" dxfId="4045" priority="3775">
      <formula>MOD(ROW(),2)=0</formula>
    </cfRule>
  </conditionalFormatting>
  <conditionalFormatting sqref="X16 X12:X13">
    <cfRule type="expression" dxfId="4044" priority="3774">
      <formula>MOD(ROW(),2)=0</formula>
    </cfRule>
  </conditionalFormatting>
  <conditionalFormatting sqref="X14 X17:X19 X21">
    <cfRule type="expression" dxfId="4043" priority="3773">
      <formula>MOD(ROW(),2)=0</formula>
    </cfRule>
  </conditionalFormatting>
  <conditionalFormatting sqref="X11">
    <cfRule type="expression" dxfId="4042" priority="3772">
      <formula>MOD(ROW(),2)=0</formula>
    </cfRule>
  </conditionalFormatting>
  <conditionalFormatting sqref="X22">
    <cfRule type="expression" dxfId="4041" priority="3771">
      <formula>MOD(ROW(),2)=0</formula>
    </cfRule>
  </conditionalFormatting>
  <conditionalFormatting sqref="X10">
    <cfRule type="expression" dxfId="4040" priority="3770">
      <formula>MOD(ROW(),2)=0</formula>
    </cfRule>
  </conditionalFormatting>
  <conditionalFormatting sqref="X9">
    <cfRule type="expression" dxfId="4039" priority="3769">
      <formula>MOD(ROW(),2)=0</formula>
    </cfRule>
  </conditionalFormatting>
  <conditionalFormatting sqref="X8">
    <cfRule type="expression" dxfId="4038" priority="3768">
      <formula>MOD(ROW(),2)=0</formula>
    </cfRule>
  </conditionalFormatting>
  <conditionalFormatting sqref="X16 X12:X13">
    <cfRule type="expression" dxfId="4037" priority="3767">
      <formula>MOD(ROW(),2)=0</formula>
    </cfRule>
  </conditionalFormatting>
  <conditionalFormatting sqref="X14 X17:X19 X21">
    <cfRule type="expression" dxfId="4036" priority="3766">
      <formula>MOD(ROW(),2)=0</formula>
    </cfRule>
  </conditionalFormatting>
  <conditionalFormatting sqref="X11">
    <cfRule type="expression" dxfId="4035" priority="3765">
      <formula>MOD(ROW(),2)=0</formula>
    </cfRule>
  </conditionalFormatting>
  <conditionalFormatting sqref="X10">
    <cfRule type="expression" dxfId="4034" priority="3764">
      <formula>MOD(ROW(),2)=0</formula>
    </cfRule>
  </conditionalFormatting>
  <conditionalFormatting sqref="X22">
    <cfRule type="expression" dxfId="4033" priority="3763">
      <formula>MOD(ROW(),2)=0</formula>
    </cfRule>
  </conditionalFormatting>
  <conditionalFormatting sqref="X9">
    <cfRule type="expression" dxfId="4032" priority="3762">
      <formula>MOD(ROW(),2)=0</formula>
    </cfRule>
  </conditionalFormatting>
  <conditionalFormatting sqref="X8">
    <cfRule type="expression" dxfId="4031" priority="3761">
      <formula>MOD(ROW(),2)=0</formula>
    </cfRule>
  </conditionalFormatting>
  <conditionalFormatting sqref="X16 X12:X13">
    <cfRule type="expression" dxfId="4030" priority="3760">
      <formula>MOD(ROW(),2)=0</formula>
    </cfRule>
  </conditionalFormatting>
  <conditionalFormatting sqref="X14 X17:X19 X21">
    <cfRule type="expression" dxfId="4029" priority="3759">
      <formula>MOD(ROW(),2)=0</formula>
    </cfRule>
  </conditionalFormatting>
  <conditionalFormatting sqref="X11">
    <cfRule type="expression" dxfId="4028" priority="3758">
      <formula>MOD(ROW(),2)=0</formula>
    </cfRule>
  </conditionalFormatting>
  <conditionalFormatting sqref="X22">
    <cfRule type="expression" dxfId="4027" priority="3757">
      <formula>MOD(ROW(),2)=0</formula>
    </cfRule>
  </conditionalFormatting>
  <conditionalFormatting sqref="X10">
    <cfRule type="expression" dxfId="4026" priority="3756">
      <formula>MOD(ROW(),2)=0</formula>
    </cfRule>
  </conditionalFormatting>
  <conditionalFormatting sqref="X15">
    <cfRule type="expression" dxfId="4025" priority="3755">
      <formula>MOD(ROW(),2)=0</formula>
    </cfRule>
  </conditionalFormatting>
  <conditionalFormatting sqref="X15">
    <cfRule type="expression" dxfId="4024" priority="3754">
      <formula>MOD(ROW(),2)=0</formula>
    </cfRule>
  </conditionalFormatting>
  <conditionalFormatting sqref="X15">
    <cfRule type="expression" dxfId="4023" priority="3753">
      <formula>MOD(ROW(),2)=0</formula>
    </cfRule>
  </conditionalFormatting>
  <conditionalFormatting sqref="X15">
    <cfRule type="expression" dxfId="4022" priority="3752">
      <formula>MOD(ROW(),2)=0</formula>
    </cfRule>
  </conditionalFormatting>
  <conditionalFormatting sqref="X15">
    <cfRule type="expression" dxfId="4021" priority="3751">
      <formula>MOD(ROW(),2)=0</formula>
    </cfRule>
  </conditionalFormatting>
  <conditionalFormatting sqref="X15">
    <cfRule type="expression" dxfId="4020" priority="3750">
      <formula>MOD(ROW(),2)=0</formula>
    </cfRule>
  </conditionalFormatting>
  <conditionalFormatting sqref="X15">
    <cfRule type="expression" dxfId="4019" priority="3749">
      <formula>MOD(ROW(),2)=0</formula>
    </cfRule>
  </conditionalFormatting>
  <conditionalFormatting sqref="X15">
    <cfRule type="expression" dxfId="4018" priority="3748">
      <formula>MOD(ROW(),2)=0</formula>
    </cfRule>
  </conditionalFormatting>
  <conditionalFormatting sqref="X15">
    <cfRule type="expression" dxfId="4017" priority="3747">
      <formula>MOD(ROW(),2)=0</formula>
    </cfRule>
  </conditionalFormatting>
  <conditionalFormatting sqref="X15">
    <cfRule type="expression" dxfId="4016" priority="3746">
      <formula>MOD(ROW(),2)=0</formula>
    </cfRule>
  </conditionalFormatting>
  <conditionalFormatting sqref="X15">
    <cfRule type="expression" dxfId="4015" priority="3745">
      <formula>MOD(ROW(),2)=0</formula>
    </cfRule>
  </conditionalFormatting>
  <conditionalFormatting sqref="X15">
    <cfRule type="expression" dxfId="4014" priority="3744">
      <formula>MOD(ROW(),2)=0</formula>
    </cfRule>
  </conditionalFormatting>
  <conditionalFormatting sqref="X15">
    <cfRule type="expression" dxfId="4013" priority="3743">
      <formula>MOD(ROW(),2)=0</formula>
    </cfRule>
  </conditionalFormatting>
  <conditionalFormatting sqref="X15">
    <cfRule type="expression" dxfId="4012" priority="3742">
      <formula>MOD(ROW(),2)=0</formula>
    </cfRule>
  </conditionalFormatting>
  <conditionalFormatting sqref="X15">
    <cfRule type="expression" dxfId="4011" priority="3741">
      <formula>MOD(ROW(),2)=0</formula>
    </cfRule>
  </conditionalFormatting>
  <conditionalFormatting sqref="X15">
    <cfRule type="expression" dxfId="4010" priority="3740">
      <formula>MOD(ROW(),2)=0</formula>
    </cfRule>
  </conditionalFormatting>
  <conditionalFormatting sqref="X20">
    <cfRule type="expression" dxfId="4009" priority="3739">
      <formula>MOD(ROW(),2)=0</formula>
    </cfRule>
  </conditionalFormatting>
  <conditionalFormatting sqref="X20">
    <cfRule type="expression" dxfId="4008" priority="3738">
      <formula>MOD(ROW(),2)=0</formula>
    </cfRule>
  </conditionalFormatting>
  <conditionalFormatting sqref="X20">
    <cfRule type="expression" dxfId="4007" priority="3737">
      <formula>MOD(ROW(),2)=0</formula>
    </cfRule>
  </conditionalFormatting>
  <conditionalFormatting sqref="X20">
    <cfRule type="expression" dxfId="4006" priority="3736">
      <formula>MOD(ROW(),2)=0</formula>
    </cfRule>
  </conditionalFormatting>
  <conditionalFormatting sqref="X20">
    <cfRule type="expression" dxfId="4005" priority="3735">
      <formula>MOD(ROW(),2)=0</formula>
    </cfRule>
  </conditionalFormatting>
  <conditionalFormatting sqref="X20">
    <cfRule type="expression" dxfId="4004" priority="3734">
      <formula>MOD(ROW(),2)=0</formula>
    </cfRule>
  </conditionalFormatting>
  <conditionalFormatting sqref="X20">
    <cfRule type="expression" dxfId="4003" priority="3733">
      <formula>MOD(ROW(),2)=0</formula>
    </cfRule>
  </conditionalFormatting>
  <conditionalFormatting sqref="X20">
    <cfRule type="expression" dxfId="4002" priority="3732">
      <formula>MOD(ROW(),2)=0</formula>
    </cfRule>
  </conditionalFormatting>
  <conditionalFormatting sqref="X20">
    <cfRule type="expression" dxfId="4001" priority="3731">
      <formula>MOD(ROW(),2)=0</formula>
    </cfRule>
  </conditionalFormatting>
  <conditionalFormatting sqref="X20">
    <cfRule type="expression" dxfId="4000" priority="3730">
      <formula>MOD(ROW(),2)=0</formula>
    </cfRule>
  </conditionalFormatting>
  <conditionalFormatting sqref="X20">
    <cfRule type="expression" dxfId="3999" priority="3729">
      <formula>MOD(ROW(),2)=0</formula>
    </cfRule>
  </conditionalFormatting>
  <conditionalFormatting sqref="X20">
    <cfRule type="expression" dxfId="3998" priority="3728">
      <formula>MOD(ROW(),2)=0</formula>
    </cfRule>
  </conditionalFormatting>
  <conditionalFormatting sqref="X20">
    <cfRule type="expression" dxfId="3997" priority="3727">
      <formula>MOD(ROW(),2)=0</formula>
    </cfRule>
  </conditionalFormatting>
  <conditionalFormatting sqref="X20">
    <cfRule type="expression" dxfId="3996" priority="3726">
      <formula>MOD(ROW(),2)=0</formula>
    </cfRule>
  </conditionalFormatting>
  <conditionalFormatting sqref="X20">
    <cfRule type="expression" dxfId="3995" priority="3725">
      <formula>MOD(ROW(),2)=0</formula>
    </cfRule>
  </conditionalFormatting>
  <conditionalFormatting sqref="X20">
    <cfRule type="expression" dxfId="3994" priority="3724">
      <formula>MOD(ROW(),2)=0</formula>
    </cfRule>
  </conditionalFormatting>
  <conditionalFormatting sqref="Y9">
    <cfRule type="expression" dxfId="3993" priority="3723">
      <formula>MOD(ROW(),2)=0</formula>
    </cfRule>
  </conditionalFormatting>
  <conditionalFormatting sqref="Y8">
    <cfRule type="expression" dxfId="3992" priority="3722">
      <formula>MOD(ROW(),2)=0</formula>
    </cfRule>
  </conditionalFormatting>
  <conditionalFormatting sqref="Y16 Y12:Y13">
    <cfRule type="expression" dxfId="3991" priority="3721">
      <formula>MOD(ROW(),2)=0</formula>
    </cfRule>
  </conditionalFormatting>
  <conditionalFormatting sqref="Y14 Y17:Y19 Y21">
    <cfRule type="expression" dxfId="3990" priority="3720">
      <formula>MOD(ROW(),2)=0</formula>
    </cfRule>
  </conditionalFormatting>
  <conditionalFormatting sqref="Y11">
    <cfRule type="expression" dxfId="3989" priority="3719">
      <formula>MOD(ROW(),2)=0</formula>
    </cfRule>
  </conditionalFormatting>
  <conditionalFormatting sqref="Y22">
    <cfRule type="expression" dxfId="3988" priority="3718">
      <formula>MOD(ROW(),2)=0</formula>
    </cfRule>
  </conditionalFormatting>
  <conditionalFormatting sqref="Y10">
    <cfRule type="expression" dxfId="3987" priority="3717">
      <formula>MOD(ROW(),2)=0</formula>
    </cfRule>
  </conditionalFormatting>
  <conditionalFormatting sqref="Y9">
    <cfRule type="expression" dxfId="3986" priority="3716">
      <formula>MOD(ROW(),2)=0</formula>
    </cfRule>
  </conditionalFormatting>
  <conditionalFormatting sqref="Y8">
    <cfRule type="expression" dxfId="3985" priority="3715">
      <formula>MOD(ROW(),2)=0</formula>
    </cfRule>
  </conditionalFormatting>
  <conditionalFormatting sqref="Y16 Y12:Y13">
    <cfRule type="expression" dxfId="3984" priority="3714">
      <formula>MOD(ROW(),2)=0</formula>
    </cfRule>
  </conditionalFormatting>
  <conditionalFormatting sqref="Y14 Y17:Y19 Y21">
    <cfRule type="expression" dxfId="3983" priority="3713">
      <formula>MOD(ROW(),2)=0</formula>
    </cfRule>
  </conditionalFormatting>
  <conditionalFormatting sqref="Y11">
    <cfRule type="expression" dxfId="3982" priority="3712">
      <formula>MOD(ROW(),2)=0</formula>
    </cfRule>
  </conditionalFormatting>
  <conditionalFormatting sqref="Y22">
    <cfRule type="expression" dxfId="3981" priority="3711">
      <formula>MOD(ROW(),2)=0</formula>
    </cfRule>
  </conditionalFormatting>
  <conditionalFormatting sqref="Y10">
    <cfRule type="expression" dxfId="3980" priority="3710">
      <formula>MOD(ROW(),2)=0</formula>
    </cfRule>
  </conditionalFormatting>
  <conditionalFormatting sqref="Y9">
    <cfRule type="expression" dxfId="3979" priority="3709">
      <formula>MOD(ROW(),2)=0</formula>
    </cfRule>
  </conditionalFormatting>
  <conditionalFormatting sqref="Y8">
    <cfRule type="expression" dxfId="3978" priority="3708">
      <formula>MOD(ROW(),2)=0</formula>
    </cfRule>
  </conditionalFormatting>
  <conditionalFormatting sqref="Y16 Y12:Y13">
    <cfRule type="expression" dxfId="3977" priority="3707">
      <formula>MOD(ROW(),2)=0</formula>
    </cfRule>
  </conditionalFormatting>
  <conditionalFormatting sqref="Y14 Y17:Y19 Y21">
    <cfRule type="expression" dxfId="3976" priority="3706">
      <formula>MOD(ROW(),2)=0</formula>
    </cfRule>
  </conditionalFormatting>
  <conditionalFormatting sqref="Y11">
    <cfRule type="expression" dxfId="3975" priority="3705">
      <formula>MOD(ROW(),2)=0</formula>
    </cfRule>
  </conditionalFormatting>
  <conditionalFormatting sqref="Y22">
    <cfRule type="expression" dxfId="3974" priority="3704">
      <formula>MOD(ROW(),2)=0</formula>
    </cfRule>
  </conditionalFormatting>
  <conditionalFormatting sqref="Y10">
    <cfRule type="expression" dxfId="3973" priority="3703">
      <formula>MOD(ROW(),2)=0</formula>
    </cfRule>
  </conditionalFormatting>
  <conditionalFormatting sqref="Y9">
    <cfRule type="expression" dxfId="3972" priority="3702">
      <formula>MOD(ROW(),2)=0</formula>
    </cfRule>
  </conditionalFormatting>
  <conditionalFormatting sqref="Y8">
    <cfRule type="expression" dxfId="3971" priority="3701">
      <formula>MOD(ROW(),2)=0</formula>
    </cfRule>
  </conditionalFormatting>
  <conditionalFormatting sqref="Y16 Y12:Y13">
    <cfRule type="expression" dxfId="3970" priority="3700">
      <formula>MOD(ROW(),2)=0</formula>
    </cfRule>
  </conditionalFormatting>
  <conditionalFormatting sqref="Y14 Y17:Y19 Y21">
    <cfRule type="expression" dxfId="3969" priority="3699">
      <formula>MOD(ROW(),2)=0</formula>
    </cfRule>
  </conditionalFormatting>
  <conditionalFormatting sqref="Y11">
    <cfRule type="expression" dxfId="3968" priority="3698">
      <formula>MOD(ROW(),2)=0</formula>
    </cfRule>
  </conditionalFormatting>
  <conditionalFormatting sqref="Y22">
    <cfRule type="expression" dxfId="3967" priority="3697">
      <formula>MOD(ROW(),2)=0</formula>
    </cfRule>
  </conditionalFormatting>
  <conditionalFormatting sqref="Y10">
    <cfRule type="expression" dxfId="3966" priority="3696">
      <formula>MOD(ROW(),2)=0</formula>
    </cfRule>
  </conditionalFormatting>
  <conditionalFormatting sqref="Y9">
    <cfRule type="expression" dxfId="3965" priority="3695">
      <formula>MOD(ROW(),2)=0</formula>
    </cfRule>
  </conditionalFormatting>
  <conditionalFormatting sqref="Y8">
    <cfRule type="expression" dxfId="3964" priority="3694">
      <formula>MOD(ROW(),2)=0</formula>
    </cfRule>
  </conditionalFormatting>
  <conditionalFormatting sqref="Y16 Y12:Y13">
    <cfRule type="expression" dxfId="3963" priority="3693">
      <formula>MOD(ROW(),2)=0</formula>
    </cfRule>
  </conditionalFormatting>
  <conditionalFormatting sqref="Y14 Y17:Y19 Y21">
    <cfRule type="expression" dxfId="3962" priority="3692">
      <formula>MOD(ROW(),2)=0</formula>
    </cfRule>
  </conditionalFormatting>
  <conditionalFormatting sqref="Y11">
    <cfRule type="expression" dxfId="3961" priority="3691">
      <formula>MOD(ROW(),2)=0</formula>
    </cfRule>
  </conditionalFormatting>
  <conditionalFormatting sqref="Y22">
    <cfRule type="expression" dxfId="3960" priority="3690">
      <formula>MOD(ROW(),2)=0</formula>
    </cfRule>
  </conditionalFormatting>
  <conditionalFormatting sqref="Y10">
    <cfRule type="expression" dxfId="3959" priority="3689">
      <formula>MOD(ROW(),2)=0</formula>
    </cfRule>
  </conditionalFormatting>
  <conditionalFormatting sqref="Y9">
    <cfRule type="expression" dxfId="3958" priority="3688">
      <formula>MOD(ROW(),2)=0</formula>
    </cfRule>
  </conditionalFormatting>
  <conditionalFormatting sqref="Y8">
    <cfRule type="expression" dxfId="3957" priority="3687">
      <formula>MOD(ROW(),2)=0</formula>
    </cfRule>
  </conditionalFormatting>
  <conditionalFormatting sqref="Y16 Y12:Y13">
    <cfRule type="expression" dxfId="3956" priority="3686">
      <formula>MOD(ROW(),2)=0</formula>
    </cfRule>
  </conditionalFormatting>
  <conditionalFormatting sqref="Y14 Y17:Y19 Y21">
    <cfRule type="expression" dxfId="3955" priority="3685">
      <formula>MOD(ROW(),2)=0</formula>
    </cfRule>
  </conditionalFormatting>
  <conditionalFormatting sqref="Y11">
    <cfRule type="expression" dxfId="3954" priority="3684">
      <formula>MOD(ROW(),2)=0</formula>
    </cfRule>
  </conditionalFormatting>
  <conditionalFormatting sqref="Y22">
    <cfRule type="expression" dxfId="3953" priority="3683">
      <formula>MOD(ROW(),2)=0</formula>
    </cfRule>
  </conditionalFormatting>
  <conditionalFormatting sqref="Y10">
    <cfRule type="expression" dxfId="3952" priority="3682">
      <formula>MOD(ROW(),2)=0</formula>
    </cfRule>
  </conditionalFormatting>
  <conditionalFormatting sqref="Y9">
    <cfRule type="expression" dxfId="3951" priority="3681">
      <formula>MOD(ROW(),2)=0</formula>
    </cfRule>
  </conditionalFormatting>
  <conditionalFormatting sqref="Y8">
    <cfRule type="expression" dxfId="3950" priority="3680">
      <formula>MOD(ROW(),2)=0</formula>
    </cfRule>
  </conditionalFormatting>
  <conditionalFormatting sqref="Y16 Y12:Y13">
    <cfRule type="expression" dxfId="3949" priority="3679">
      <formula>MOD(ROW(),2)=0</formula>
    </cfRule>
  </conditionalFormatting>
  <conditionalFormatting sqref="Y14 Y17:Y19 Y21">
    <cfRule type="expression" dxfId="3948" priority="3678">
      <formula>MOD(ROW(),2)=0</formula>
    </cfRule>
  </conditionalFormatting>
  <conditionalFormatting sqref="Y11">
    <cfRule type="expression" dxfId="3947" priority="3677">
      <formula>MOD(ROW(),2)=0</formula>
    </cfRule>
  </conditionalFormatting>
  <conditionalFormatting sqref="Y10">
    <cfRule type="expression" dxfId="3946" priority="3676">
      <formula>MOD(ROW(),2)=0</formula>
    </cfRule>
  </conditionalFormatting>
  <conditionalFormatting sqref="Y22">
    <cfRule type="expression" dxfId="3945" priority="3675">
      <formula>MOD(ROW(),2)=0</formula>
    </cfRule>
  </conditionalFormatting>
  <conditionalFormatting sqref="Y9">
    <cfRule type="expression" dxfId="3944" priority="3674">
      <formula>MOD(ROW(),2)=0</formula>
    </cfRule>
  </conditionalFormatting>
  <conditionalFormatting sqref="Y8">
    <cfRule type="expression" dxfId="3943" priority="3673">
      <formula>MOD(ROW(),2)=0</formula>
    </cfRule>
  </conditionalFormatting>
  <conditionalFormatting sqref="Y16 Y12:Y13">
    <cfRule type="expression" dxfId="3942" priority="3672">
      <formula>MOD(ROW(),2)=0</formula>
    </cfRule>
  </conditionalFormatting>
  <conditionalFormatting sqref="Y14 Y17:Y19 Y21">
    <cfRule type="expression" dxfId="3941" priority="3671">
      <formula>MOD(ROW(),2)=0</formula>
    </cfRule>
  </conditionalFormatting>
  <conditionalFormatting sqref="Y11">
    <cfRule type="expression" dxfId="3940" priority="3670">
      <formula>MOD(ROW(),2)=0</formula>
    </cfRule>
  </conditionalFormatting>
  <conditionalFormatting sqref="Y22">
    <cfRule type="expression" dxfId="3939" priority="3669">
      <formula>MOD(ROW(),2)=0</formula>
    </cfRule>
  </conditionalFormatting>
  <conditionalFormatting sqref="Y10">
    <cfRule type="expression" dxfId="3938" priority="3668">
      <formula>MOD(ROW(),2)=0</formula>
    </cfRule>
  </conditionalFormatting>
  <conditionalFormatting sqref="Y9">
    <cfRule type="expression" dxfId="3937" priority="3667">
      <formula>MOD(ROW(),2)=0</formula>
    </cfRule>
  </conditionalFormatting>
  <conditionalFormatting sqref="Y8">
    <cfRule type="expression" dxfId="3936" priority="3666">
      <formula>MOD(ROW(),2)=0</formula>
    </cfRule>
  </conditionalFormatting>
  <conditionalFormatting sqref="Y16 Y12:Y13">
    <cfRule type="expression" dxfId="3935" priority="3665">
      <formula>MOD(ROW(),2)=0</formula>
    </cfRule>
  </conditionalFormatting>
  <conditionalFormatting sqref="Y14 Y17:Y19 Y21">
    <cfRule type="expression" dxfId="3934" priority="3664">
      <formula>MOD(ROW(),2)=0</formula>
    </cfRule>
  </conditionalFormatting>
  <conditionalFormatting sqref="Y11">
    <cfRule type="expression" dxfId="3933" priority="3663">
      <formula>MOD(ROW(),2)=0</formula>
    </cfRule>
  </conditionalFormatting>
  <conditionalFormatting sqref="Y22">
    <cfRule type="expression" dxfId="3932" priority="3662">
      <formula>MOD(ROW(),2)=0</formula>
    </cfRule>
  </conditionalFormatting>
  <conditionalFormatting sqref="Y10">
    <cfRule type="expression" dxfId="3931" priority="3661">
      <formula>MOD(ROW(),2)=0</formula>
    </cfRule>
  </conditionalFormatting>
  <conditionalFormatting sqref="Y9">
    <cfRule type="expression" dxfId="3930" priority="3660">
      <formula>MOD(ROW(),2)=0</formula>
    </cfRule>
  </conditionalFormatting>
  <conditionalFormatting sqref="Y8">
    <cfRule type="expression" dxfId="3929" priority="3659">
      <formula>MOD(ROW(),2)=0</formula>
    </cfRule>
  </conditionalFormatting>
  <conditionalFormatting sqref="Y16 Y12:Y13">
    <cfRule type="expression" dxfId="3928" priority="3658">
      <formula>MOD(ROW(),2)=0</formula>
    </cfRule>
  </conditionalFormatting>
  <conditionalFormatting sqref="Y14 Y17:Y19 Y21">
    <cfRule type="expression" dxfId="3927" priority="3657">
      <formula>MOD(ROW(),2)=0</formula>
    </cfRule>
  </conditionalFormatting>
  <conditionalFormatting sqref="Y11">
    <cfRule type="expression" dxfId="3926" priority="3656">
      <formula>MOD(ROW(),2)=0</formula>
    </cfRule>
  </conditionalFormatting>
  <conditionalFormatting sqref="Y22">
    <cfRule type="expression" dxfId="3925" priority="3655">
      <formula>MOD(ROW(),2)=0</formula>
    </cfRule>
  </conditionalFormatting>
  <conditionalFormatting sqref="Y10">
    <cfRule type="expression" dxfId="3924" priority="3654">
      <formula>MOD(ROW(),2)=0</formula>
    </cfRule>
  </conditionalFormatting>
  <conditionalFormatting sqref="Y9">
    <cfRule type="expression" dxfId="3923" priority="3653">
      <formula>MOD(ROW(),2)=0</formula>
    </cfRule>
  </conditionalFormatting>
  <conditionalFormatting sqref="Y8">
    <cfRule type="expression" dxfId="3922" priority="3652">
      <formula>MOD(ROW(),2)=0</formula>
    </cfRule>
  </conditionalFormatting>
  <conditionalFormatting sqref="Y16 Y12:Y13">
    <cfRule type="expression" dxfId="3921" priority="3651">
      <formula>MOD(ROW(),2)=0</formula>
    </cfRule>
  </conditionalFormatting>
  <conditionalFormatting sqref="Y14 Y17:Y19 Y21">
    <cfRule type="expression" dxfId="3920" priority="3650">
      <formula>MOD(ROW(),2)=0</formula>
    </cfRule>
  </conditionalFormatting>
  <conditionalFormatting sqref="Y11">
    <cfRule type="expression" dxfId="3919" priority="3649">
      <formula>MOD(ROW(),2)=0</formula>
    </cfRule>
  </conditionalFormatting>
  <conditionalFormatting sqref="Y22">
    <cfRule type="expression" dxfId="3918" priority="3648">
      <formula>MOD(ROW(),2)=0</formula>
    </cfRule>
  </conditionalFormatting>
  <conditionalFormatting sqref="Y10">
    <cfRule type="expression" dxfId="3917" priority="3647">
      <formula>MOD(ROW(),2)=0</formula>
    </cfRule>
  </conditionalFormatting>
  <conditionalFormatting sqref="Y9">
    <cfRule type="expression" dxfId="3916" priority="3646">
      <formula>MOD(ROW(),2)=0</formula>
    </cfRule>
  </conditionalFormatting>
  <conditionalFormatting sqref="Y8">
    <cfRule type="expression" dxfId="3915" priority="3645">
      <formula>MOD(ROW(),2)=0</formula>
    </cfRule>
  </conditionalFormatting>
  <conditionalFormatting sqref="Y16 Y12:Y13">
    <cfRule type="expression" dxfId="3914" priority="3644">
      <formula>MOD(ROW(),2)=0</formula>
    </cfRule>
  </conditionalFormatting>
  <conditionalFormatting sqref="Y14 Y17:Y19 Y21">
    <cfRule type="expression" dxfId="3913" priority="3643">
      <formula>MOD(ROW(),2)=0</formula>
    </cfRule>
  </conditionalFormatting>
  <conditionalFormatting sqref="Y11">
    <cfRule type="expression" dxfId="3912" priority="3642">
      <formula>MOD(ROW(),2)=0</formula>
    </cfRule>
  </conditionalFormatting>
  <conditionalFormatting sqref="Y22">
    <cfRule type="expression" dxfId="3911" priority="3641">
      <formula>MOD(ROW(),2)=0</formula>
    </cfRule>
  </conditionalFormatting>
  <conditionalFormatting sqref="Y10">
    <cfRule type="expression" dxfId="3910" priority="3640">
      <formula>MOD(ROW(),2)=0</formula>
    </cfRule>
  </conditionalFormatting>
  <conditionalFormatting sqref="Y9">
    <cfRule type="expression" dxfId="3909" priority="3639">
      <formula>MOD(ROW(),2)=0</formula>
    </cfRule>
  </conditionalFormatting>
  <conditionalFormatting sqref="Y8">
    <cfRule type="expression" dxfId="3908" priority="3638">
      <formula>MOD(ROW(),2)=0</formula>
    </cfRule>
  </conditionalFormatting>
  <conditionalFormatting sqref="Y16 Y12:Y13">
    <cfRule type="expression" dxfId="3907" priority="3637">
      <formula>MOD(ROW(),2)=0</formula>
    </cfRule>
  </conditionalFormatting>
  <conditionalFormatting sqref="Y14 Y17:Y19 Y21">
    <cfRule type="expression" dxfId="3906" priority="3636">
      <formula>MOD(ROW(),2)=0</formula>
    </cfRule>
  </conditionalFormatting>
  <conditionalFormatting sqref="Y11">
    <cfRule type="expression" dxfId="3905" priority="3635">
      <formula>MOD(ROW(),2)=0</formula>
    </cfRule>
  </conditionalFormatting>
  <conditionalFormatting sqref="Y22">
    <cfRule type="expression" dxfId="3904" priority="3634">
      <formula>MOD(ROW(),2)=0</formula>
    </cfRule>
  </conditionalFormatting>
  <conditionalFormatting sqref="Y10">
    <cfRule type="expression" dxfId="3903" priority="3633">
      <formula>MOD(ROW(),2)=0</formula>
    </cfRule>
  </conditionalFormatting>
  <conditionalFormatting sqref="Y9">
    <cfRule type="expression" dxfId="3902" priority="3632">
      <formula>MOD(ROW(),2)=0</formula>
    </cfRule>
  </conditionalFormatting>
  <conditionalFormatting sqref="Y8">
    <cfRule type="expression" dxfId="3901" priority="3631">
      <formula>MOD(ROW(),2)=0</formula>
    </cfRule>
  </conditionalFormatting>
  <conditionalFormatting sqref="Y16 Y12:Y13">
    <cfRule type="expression" dxfId="3900" priority="3630">
      <formula>MOD(ROW(),2)=0</formula>
    </cfRule>
  </conditionalFormatting>
  <conditionalFormatting sqref="Y14 Y17:Y19 Y21">
    <cfRule type="expression" dxfId="3899" priority="3629">
      <formula>MOD(ROW(),2)=0</formula>
    </cfRule>
  </conditionalFormatting>
  <conditionalFormatting sqref="Y11">
    <cfRule type="expression" dxfId="3898" priority="3628">
      <formula>MOD(ROW(),2)=0</formula>
    </cfRule>
  </conditionalFormatting>
  <conditionalFormatting sqref="Y22">
    <cfRule type="expression" dxfId="3897" priority="3627">
      <formula>MOD(ROW(),2)=0</formula>
    </cfRule>
  </conditionalFormatting>
  <conditionalFormatting sqref="Y10">
    <cfRule type="expression" dxfId="3896" priority="3626">
      <formula>MOD(ROW(),2)=0</formula>
    </cfRule>
  </conditionalFormatting>
  <conditionalFormatting sqref="Y9">
    <cfRule type="expression" dxfId="3895" priority="3625">
      <formula>MOD(ROW(),2)=0</formula>
    </cfRule>
  </conditionalFormatting>
  <conditionalFormatting sqref="Y8">
    <cfRule type="expression" dxfId="3894" priority="3624">
      <formula>MOD(ROW(),2)=0</formula>
    </cfRule>
  </conditionalFormatting>
  <conditionalFormatting sqref="Y16 Y12:Y13">
    <cfRule type="expression" dxfId="3893" priority="3623">
      <formula>MOD(ROW(),2)=0</formula>
    </cfRule>
  </conditionalFormatting>
  <conditionalFormatting sqref="Y14 Y17:Y19 Y21">
    <cfRule type="expression" dxfId="3892" priority="3622">
      <formula>MOD(ROW(),2)=0</formula>
    </cfRule>
  </conditionalFormatting>
  <conditionalFormatting sqref="Y11">
    <cfRule type="expression" dxfId="3891" priority="3621">
      <formula>MOD(ROW(),2)=0</formula>
    </cfRule>
  </conditionalFormatting>
  <conditionalFormatting sqref="Y10">
    <cfRule type="expression" dxfId="3890" priority="3620">
      <formula>MOD(ROW(),2)=0</formula>
    </cfRule>
  </conditionalFormatting>
  <conditionalFormatting sqref="Y22">
    <cfRule type="expression" dxfId="3889" priority="3619">
      <formula>MOD(ROW(),2)=0</formula>
    </cfRule>
  </conditionalFormatting>
  <conditionalFormatting sqref="Y9">
    <cfRule type="expression" dxfId="3888" priority="3618">
      <formula>MOD(ROW(),2)=0</formula>
    </cfRule>
  </conditionalFormatting>
  <conditionalFormatting sqref="Y8">
    <cfRule type="expression" dxfId="3887" priority="3617">
      <formula>MOD(ROW(),2)=0</formula>
    </cfRule>
  </conditionalFormatting>
  <conditionalFormatting sqref="Y16 Y12:Y13">
    <cfRule type="expression" dxfId="3886" priority="3616">
      <formula>MOD(ROW(),2)=0</formula>
    </cfRule>
  </conditionalFormatting>
  <conditionalFormatting sqref="Y14 Y17:Y19 Y21">
    <cfRule type="expression" dxfId="3885" priority="3615">
      <formula>MOD(ROW(),2)=0</formula>
    </cfRule>
  </conditionalFormatting>
  <conditionalFormatting sqref="Y11">
    <cfRule type="expression" dxfId="3884" priority="3614">
      <formula>MOD(ROW(),2)=0</formula>
    </cfRule>
  </conditionalFormatting>
  <conditionalFormatting sqref="Y22">
    <cfRule type="expression" dxfId="3883" priority="3613">
      <formula>MOD(ROW(),2)=0</formula>
    </cfRule>
  </conditionalFormatting>
  <conditionalFormatting sqref="Y10">
    <cfRule type="expression" dxfId="3882" priority="3612">
      <formula>MOD(ROW(),2)=0</formula>
    </cfRule>
  </conditionalFormatting>
  <conditionalFormatting sqref="Y15">
    <cfRule type="expression" dxfId="3881" priority="3611">
      <formula>MOD(ROW(),2)=0</formula>
    </cfRule>
  </conditionalFormatting>
  <conditionalFormatting sqref="Y15">
    <cfRule type="expression" dxfId="3880" priority="3610">
      <formula>MOD(ROW(),2)=0</formula>
    </cfRule>
  </conditionalFormatting>
  <conditionalFormatting sqref="Y15">
    <cfRule type="expression" dxfId="3879" priority="3609">
      <formula>MOD(ROW(),2)=0</formula>
    </cfRule>
  </conditionalFormatting>
  <conditionalFormatting sqref="Y15">
    <cfRule type="expression" dxfId="3878" priority="3608">
      <formula>MOD(ROW(),2)=0</formula>
    </cfRule>
  </conditionalFormatting>
  <conditionalFormatting sqref="Y15">
    <cfRule type="expression" dxfId="3877" priority="3607">
      <formula>MOD(ROW(),2)=0</formula>
    </cfRule>
  </conditionalFormatting>
  <conditionalFormatting sqref="Y15">
    <cfRule type="expression" dxfId="3876" priority="3606">
      <formula>MOD(ROW(),2)=0</formula>
    </cfRule>
  </conditionalFormatting>
  <conditionalFormatting sqref="Y15">
    <cfRule type="expression" dxfId="3875" priority="3605">
      <formula>MOD(ROW(),2)=0</formula>
    </cfRule>
  </conditionalFormatting>
  <conditionalFormatting sqref="Y15">
    <cfRule type="expression" dxfId="3874" priority="3604">
      <formula>MOD(ROW(),2)=0</formula>
    </cfRule>
  </conditionalFormatting>
  <conditionalFormatting sqref="Y15">
    <cfRule type="expression" dxfId="3873" priority="3603">
      <formula>MOD(ROW(),2)=0</formula>
    </cfRule>
  </conditionalFormatting>
  <conditionalFormatting sqref="Y15">
    <cfRule type="expression" dxfId="3872" priority="3602">
      <formula>MOD(ROW(),2)=0</formula>
    </cfRule>
  </conditionalFormatting>
  <conditionalFormatting sqref="Y15">
    <cfRule type="expression" dxfId="3871" priority="3601">
      <formula>MOD(ROW(),2)=0</formula>
    </cfRule>
  </conditionalFormatting>
  <conditionalFormatting sqref="Y15">
    <cfRule type="expression" dxfId="3870" priority="3600">
      <formula>MOD(ROW(),2)=0</formula>
    </cfRule>
  </conditionalFormatting>
  <conditionalFormatting sqref="Y15">
    <cfRule type="expression" dxfId="3869" priority="3599">
      <formula>MOD(ROW(),2)=0</formula>
    </cfRule>
  </conditionalFormatting>
  <conditionalFormatting sqref="Y15">
    <cfRule type="expression" dxfId="3868" priority="3598">
      <formula>MOD(ROW(),2)=0</formula>
    </cfRule>
  </conditionalFormatting>
  <conditionalFormatting sqref="Y15">
    <cfRule type="expression" dxfId="3867" priority="3597">
      <formula>MOD(ROW(),2)=0</formula>
    </cfRule>
  </conditionalFormatting>
  <conditionalFormatting sqref="Y15">
    <cfRule type="expression" dxfId="3866" priority="3596">
      <formula>MOD(ROW(),2)=0</formula>
    </cfRule>
  </conditionalFormatting>
  <conditionalFormatting sqref="Y20">
    <cfRule type="expression" dxfId="3865" priority="3595">
      <formula>MOD(ROW(),2)=0</formula>
    </cfRule>
  </conditionalFormatting>
  <conditionalFormatting sqref="Y20">
    <cfRule type="expression" dxfId="3864" priority="3594">
      <formula>MOD(ROW(),2)=0</formula>
    </cfRule>
  </conditionalFormatting>
  <conditionalFormatting sqref="Y20">
    <cfRule type="expression" dxfId="3863" priority="3593">
      <formula>MOD(ROW(),2)=0</formula>
    </cfRule>
  </conditionalFormatting>
  <conditionalFormatting sqref="Y20">
    <cfRule type="expression" dxfId="3862" priority="3592">
      <formula>MOD(ROW(),2)=0</formula>
    </cfRule>
  </conditionalFormatting>
  <conditionalFormatting sqref="Y20">
    <cfRule type="expression" dxfId="3861" priority="3591">
      <formula>MOD(ROW(),2)=0</formula>
    </cfRule>
  </conditionalFormatting>
  <conditionalFormatting sqref="Y20">
    <cfRule type="expression" dxfId="3860" priority="3590">
      <formula>MOD(ROW(),2)=0</formula>
    </cfRule>
  </conditionalFormatting>
  <conditionalFormatting sqref="Y20">
    <cfRule type="expression" dxfId="3859" priority="3589">
      <formula>MOD(ROW(),2)=0</formula>
    </cfRule>
  </conditionalFormatting>
  <conditionalFormatting sqref="Y20">
    <cfRule type="expression" dxfId="3858" priority="3588">
      <formula>MOD(ROW(),2)=0</formula>
    </cfRule>
  </conditionalFormatting>
  <conditionalFormatting sqref="Y20">
    <cfRule type="expression" dxfId="3857" priority="3587">
      <formula>MOD(ROW(),2)=0</formula>
    </cfRule>
  </conditionalFormatting>
  <conditionalFormatting sqref="Y20">
    <cfRule type="expression" dxfId="3856" priority="3586">
      <formula>MOD(ROW(),2)=0</formula>
    </cfRule>
  </conditionalFormatting>
  <conditionalFormatting sqref="Y20">
    <cfRule type="expression" dxfId="3855" priority="3585">
      <formula>MOD(ROW(),2)=0</formula>
    </cfRule>
  </conditionalFormatting>
  <conditionalFormatting sqref="Y20">
    <cfRule type="expression" dxfId="3854" priority="3584">
      <formula>MOD(ROW(),2)=0</formula>
    </cfRule>
  </conditionalFormatting>
  <conditionalFormatting sqref="Y20">
    <cfRule type="expression" dxfId="3853" priority="3583">
      <formula>MOD(ROW(),2)=0</formula>
    </cfRule>
  </conditionalFormatting>
  <conditionalFormatting sqref="Y20">
    <cfRule type="expression" dxfId="3852" priority="3582">
      <formula>MOD(ROW(),2)=0</formula>
    </cfRule>
  </conditionalFormatting>
  <conditionalFormatting sqref="Y20">
    <cfRule type="expression" dxfId="3851" priority="3581">
      <formula>MOD(ROW(),2)=0</formula>
    </cfRule>
  </conditionalFormatting>
  <conditionalFormatting sqref="Y20">
    <cfRule type="expression" dxfId="3850" priority="3580">
      <formula>MOD(ROW(),2)=0</formula>
    </cfRule>
  </conditionalFormatting>
  <conditionalFormatting sqref="H21:M21">
    <cfRule type="expression" dxfId="3849" priority="923">
      <formula>MOD(ROW(),2)=0</formula>
    </cfRule>
  </conditionalFormatting>
  <conditionalFormatting sqref="H21:M21">
    <cfRule type="expression" dxfId="3848" priority="922">
      <formula>MOD(ROW(),2)=0</formula>
    </cfRule>
  </conditionalFormatting>
  <conditionalFormatting sqref="H21:M21">
    <cfRule type="expression" dxfId="3847" priority="921">
      <formula>MOD(ROW(),2)=0</formula>
    </cfRule>
  </conditionalFormatting>
  <conditionalFormatting sqref="H21:M21">
    <cfRule type="expression" dxfId="3846" priority="920">
      <formula>MOD(ROW(),2)=0</formula>
    </cfRule>
  </conditionalFormatting>
  <conditionalFormatting sqref="H21:M21">
    <cfRule type="expression" dxfId="3845" priority="919">
      <formula>MOD(ROW(),2)=0</formula>
    </cfRule>
  </conditionalFormatting>
  <conditionalFormatting sqref="H21:M21">
    <cfRule type="expression" dxfId="3844" priority="918">
      <formula>MOD(ROW(),2)=0</formula>
    </cfRule>
  </conditionalFormatting>
  <conditionalFormatting sqref="H21:M21">
    <cfRule type="expression" dxfId="3843" priority="917">
      <formula>MOD(ROW(),2)=0</formula>
    </cfRule>
  </conditionalFormatting>
  <conditionalFormatting sqref="H21:M21">
    <cfRule type="expression" dxfId="3842" priority="916">
      <formula>MOD(ROW(),2)=0</formula>
    </cfRule>
  </conditionalFormatting>
  <conditionalFormatting sqref="H21:M21">
    <cfRule type="expression" dxfId="3841" priority="915">
      <formula>MOD(ROW(),2)=0</formula>
    </cfRule>
  </conditionalFormatting>
  <conditionalFormatting sqref="H21:M21">
    <cfRule type="expression" dxfId="3840" priority="914">
      <formula>MOD(ROW(),2)=0</formula>
    </cfRule>
  </conditionalFormatting>
  <conditionalFormatting sqref="H21:M21">
    <cfRule type="expression" dxfId="3839" priority="913">
      <formula>MOD(ROW(),2)=0</formula>
    </cfRule>
  </conditionalFormatting>
  <conditionalFormatting sqref="H21:M21">
    <cfRule type="expression" dxfId="3838" priority="912">
      <formula>MOD(ROW(),2)=0</formula>
    </cfRule>
  </conditionalFormatting>
  <conditionalFormatting sqref="H21:M21">
    <cfRule type="expression" dxfId="3837" priority="911">
      <formula>MOD(ROW(),2)=0</formula>
    </cfRule>
  </conditionalFormatting>
  <conditionalFormatting sqref="H21:M21">
    <cfRule type="expression" dxfId="3836" priority="910">
      <formula>MOD(ROW(),2)=0</formula>
    </cfRule>
  </conditionalFormatting>
  <conditionalFormatting sqref="H21:M21">
    <cfRule type="expression" dxfId="3835" priority="909">
      <formula>MOD(ROW(),2)=0</formula>
    </cfRule>
  </conditionalFormatting>
  <conditionalFormatting sqref="H21:M21">
    <cfRule type="expression" dxfId="3834" priority="908">
      <formula>MOD(ROW(),2)=0</formula>
    </cfRule>
  </conditionalFormatting>
  <conditionalFormatting sqref="H9:M9">
    <cfRule type="expression" dxfId="3833" priority="907">
      <formula>MOD(ROW(),2)=0</formula>
    </cfRule>
  </conditionalFormatting>
  <conditionalFormatting sqref="H8:M8">
    <cfRule type="expression" dxfId="3832" priority="906">
      <formula>MOD(ROW(),2)=0</formula>
    </cfRule>
  </conditionalFormatting>
  <conditionalFormatting sqref="H16:M16 H13:M13">
    <cfRule type="expression" dxfId="3831" priority="905">
      <formula>MOD(ROW(),2)=0</formula>
    </cfRule>
  </conditionalFormatting>
  <conditionalFormatting sqref="H14:M14 H17:M19">
    <cfRule type="expression" dxfId="3830" priority="904">
      <formula>MOD(ROW(),2)=0</formula>
    </cfRule>
  </conditionalFormatting>
  <conditionalFormatting sqref="H11:M11">
    <cfRule type="expression" dxfId="3829" priority="903">
      <formula>MOD(ROW(),2)=0</formula>
    </cfRule>
  </conditionalFormatting>
  <conditionalFormatting sqref="H22:M22">
    <cfRule type="expression" dxfId="3828" priority="902">
      <formula>MOD(ROW(),2)=0</formula>
    </cfRule>
  </conditionalFormatting>
  <conditionalFormatting sqref="H10:M10">
    <cfRule type="expression" dxfId="3827" priority="901">
      <formula>MOD(ROW(),2)=0</formula>
    </cfRule>
  </conditionalFormatting>
  <conditionalFormatting sqref="H9:M9">
    <cfRule type="expression" dxfId="3826" priority="900">
      <formula>MOD(ROW(),2)=0</formula>
    </cfRule>
  </conditionalFormatting>
  <conditionalFormatting sqref="H8:M8">
    <cfRule type="expression" dxfId="3825" priority="899">
      <formula>MOD(ROW(),2)=0</formula>
    </cfRule>
  </conditionalFormatting>
  <conditionalFormatting sqref="H16:M16 H13:M13">
    <cfRule type="expression" dxfId="3824" priority="898">
      <formula>MOD(ROW(),2)=0</formula>
    </cfRule>
  </conditionalFormatting>
  <conditionalFormatting sqref="H14:M14 H17:M19">
    <cfRule type="expression" dxfId="3823" priority="897">
      <formula>MOD(ROW(),2)=0</formula>
    </cfRule>
  </conditionalFormatting>
  <conditionalFormatting sqref="H11:M11">
    <cfRule type="expression" dxfId="3822" priority="896">
      <formula>MOD(ROW(),2)=0</formula>
    </cfRule>
  </conditionalFormatting>
  <conditionalFormatting sqref="H22:M22">
    <cfRule type="expression" dxfId="3821" priority="895">
      <formula>MOD(ROW(),2)=0</formula>
    </cfRule>
  </conditionalFormatting>
  <conditionalFormatting sqref="H10:M10">
    <cfRule type="expression" dxfId="3820" priority="894">
      <formula>MOD(ROW(),2)=0</formula>
    </cfRule>
  </conditionalFormatting>
  <conditionalFormatting sqref="H9:M9">
    <cfRule type="expression" dxfId="3819" priority="893">
      <formula>MOD(ROW(),2)=0</formula>
    </cfRule>
  </conditionalFormatting>
  <conditionalFormatting sqref="H8:M8">
    <cfRule type="expression" dxfId="3818" priority="892">
      <formula>MOD(ROW(),2)=0</formula>
    </cfRule>
  </conditionalFormatting>
  <conditionalFormatting sqref="H16:M16 H13:M13">
    <cfRule type="expression" dxfId="3817" priority="891">
      <formula>MOD(ROW(),2)=0</formula>
    </cfRule>
  </conditionalFormatting>
  <conditionalFormatting sqref="H14:M14 H17:M19">
    <cfRule type="expression" dxfId="3816" priority="890">
      <formula>MOD(ROW(),2)=0</formula>
    </cfRule>
  </conditionalFormatting>
  <conditionalFormatting sqref="H11:M11">
    <cfRule type="expression" dxfId="3815" priority="889">
      <formula>MOD(ROW(),2)=0</formula>
    </cfRule>
  </conditionalFormatting>
  <conditionalFormatting sqref="H22:M22">
    <cfRule type="expression" dxfId="3814" priority="888">
      <formula>MOD(ROW(),2)=0</formula>
    </cfRule>
  </conditionalFormatting>
  <conditionalFormatting sqref="H10:M10">
    <cfRule type="expression" dxfId="3813" priority="887">
      <formula>MOD(ROW(),2)=0</formula>
    </cfRule>
  </conditionalFormatting>
  <conditionalFormatting sqref="H9:M9">
    <cfRule type="expression" dxfId="3812" priority="886">
      <formula>MOD(ROW(),2)=0</formula>
    </cfRule>
  </conditionalFormatting>
  <conditionalFormatting sqref="H8:M8">
    <cfRule type="expression" dxfId="3811" priority="885">
      <formula>MOD(ROW(),2)=0</formula>
    </cfRule>
  </conditionalFormatting>
  <conditionalFormatting sqref="H16:M16 H13:M13">
    <cfRule type="expression" dxfId="3810" priority="884">
      <formula>MOD(ROW(),2)=0</formula>
    </cfRule>
  </conditionalFormatting>
  <conditionalFormatting sqref="H14:M14 H17:M19">
    <cfRule type="expression" dxfId="3809" priority="883">
      <formula>MOD(ROW(),2)=0</formula>
    </cfRule>
  </conditionalFormatting>
  <conditionalFormatting sqref="H11:M11">
    <cfRule type="expression" dxfId="3808" priority="882">
      <formula>MOD(ROW(),2)=0</formula>
    </cfRule>
  </conditionalFormatting>
  <conditionalFormatting sqref="H22:M22">
    <cfRule type="expression" dxfId="3807" priority="881">
      <formula>MOD(ROW(),2)=0</formula>
    </cfRule>
  </conditionalFormatting>
  <conditionalFormatting sqref="H10:M10">
    <cfRule type="expression" dxfId="3806" priority="880">
      <formula>MOD(ROW(),2)=0</formula>
    </cfRule>
  </conditionalFormatting>
  <conditionalFormatting sqref="H9:M9">
    <cfRule type="expression" dxfId="3805" priority="879">
      <formula>MOD(ROW(),2)=0</formula>
    </cfRule>
  </conditionalFormatting>
  <conditionalFormatting sqref="H8:M8">
    <cfRule type="expression" dxfId="3804" priority="878">
      <formula>MOD(ROW(),2)=0</formula>
    </cfRule>
  </conditionalFormatting>
  <conditionalFormatting sqref="H16:M16 H13:M13">
    <cfRule type="expression" dxfId="3803" priority="877">
      <formula>MOD(ROW(),2)=0</formula>
    </cfRule>
  </conditionalFormatting>
  <conditionalFormatting sqref="H14:M14 H17:M19">
    <cfRule type="expression" dxfId="3802" priority="876">
      <formula>MOD(ROW(),2)=0</formula>
    </cfRule>
  </conditionalFormatting>
  <conditionalFormatting sqref="H11:M11">
    <cfRule type="expression" dxfId="3801" priority="875">
      <formula>MOD(ROW(),2)=0</formula>
    </cfRule>
  </conditionalFormatting>
  <conditionalFormatting sqref="H22:M22">
    <cfRule type="expression" dxfId="3800" priority="874">
      <formula>MOD(ROW(),2)=0</formula>
    </cfRule>
  </conditionalFormatting>
  <conditionalFormatting sqref="H10:M10">
    <cfRule type="expression" dxfId="3799" priority="873">
      <formula>MOD(ROW(),2)=0</formula>
    </cfRule>
  </conditionalFormatting>
  <conditionalFormatting sqref="H9:M9">
    <cfRule type="expression" dxfId="3798" priority="872">
      <formula>MOD(ROW(),2)=0</formula>
    </cfRule>
  </conditionalFormatting>
  <conditionalFormatting sqref="H8:M8">
    <cfRule type="expression" dxfId="3797" priority="871">
      <formula>MOD(ROW(),2)=0</formula>
    </cfRule>
  </conditionalFormatting>
  <conditionalFormatting sqref="H16:M16 H13:M13">
    <cfRule type="expression" dxfId="3796" priority="870">
      <formula>MOD(ROW(),2)=0</formula>
    </cfRule>
  </conditionalFormatting>
  <conditionalFormatting sqref="H14:M14 H17:M19">
    <cfRule type="expression" dxfId="3795" priority="869">
      <formula>MOD(ROW(),2)=0</formula>
    </cfRule>
  </conditionalFormatting>
  <conditionalFormatting sqref="H11:M11">
    <cfRule type="expression" dxfId="3794" priority="868">
      <formula>MOD(ROW(),2)=0</formula>
    </cfRule>
  </conditionalFormatting>
  <conditionalFormatting sqref="H22:M22">
    <cfRule type="expression" dxfId="3793" priority="867">
      <formula>MOD(ROW(),2)=0</formula>
    </cfRule>
  </conditionalFormatting>
  <conditionalFormatting sqref="H10:M10">
    <cfRule type="expression" dxfId="3792" priority="866">
      <formula>MOD(ROW(),2)=0</formula>
    </cfRule>
  </conditionalFormatting>
  <conditionalFormatting sqref="H9:M9">
    <cfRule type="expression" dxfId="3791" priority="865">
      <formula>MOD(ROW(),2)=0</formula>
    </cfRule>
  </conditionalFormatting>
  <conditionalFormatting sqref="H8:M8">
    <cfRule type="expression" dxfId="3790" priority="864">
      <formula>MOD(ROW(),2)=0</formula>
    </cfRule>
  </conditionalFormatting>
  <conditionalFormatting sqref="H16:M16 H13:M13">
    <cfRule type="expression" dxfId="3789" priority="863">
      <formula>MOD(ROW(),2)=0</formula>
    </cfRule>
  </conditionalFormatting>
  <conditionalFormatting sqref="H14:M14 H17:M19">
    <cfRule type="expression" dxfId="3788" priority="862">
      <formula>MOD(ROW(),2)=0</formula>
    </cfRule>
  </conditionalFormatting>
  <conditionalFormatting sqref="H11:M11">
    <cfRule type="expression" dxfId="3787" priority="861">
      <formula>MOD(ROW(),2)=0</formula>
    </cfRule>
  </conditionalFormatting>
  <conditionalFormatting sqref="H10:M10">
    <cfRule type="expression" dxfId="3786" priority="860">
      <formula>MOD(ROW(),2)=0</formula>
    </cfRule>
  </conditionalFormatting>
  <conditionalFormatting sqref="H22:M22">
    <cfRule type="expression" dxfId="3785" priority="859">
      <formula>MOD(ROW(),2)=0</formula>
    </cfRule>
  </conditionalFormatting>
  <conditionalFormatting sqref="H9:M9">
    <cfRule type="expression" dxfId="3784" priority="858">
      <formula>MOD(ROW(),2)=0</formula>
    </cfRule>
  </conditionalFormatting>
  <conditionalFormatting sqref="H8:M8">
    <cfRule type="expression" dxfId="3783" priority="857">
      <formula>MOD(ROW(),2)=0</formula>
    </cfRule>
  </conditionalFormatting>
  <conditionalFormatting sqref="H16:M16 H13:M13">
    <cfRule type="expression" dxfId="3782" priority="856">
      <formula>MOD(ROW(),2)=0</formula>
    </cfRule>
  </conditionalFormatting>
  <conditionalFormatting sqref="H14:M14 H17:M19">
    <cfRule type="expression" dxfId="3781" priority="855">
      <formula>MOD(ROW(),2)=0</formula>
    </cfRule>
  </conditionalFormatting>
  <conditionalFormatting sqref="H11:M11">
    <cfRule type="expression" dxfId="3780" priority="854">
      <formula>MOD(ROW(),2)=0</formula>
    </cfRule>
  </conditionalFormatting>
  <conditionalFormatting sqref="H22:M22">
    <cfRule type="expression" dxfId="3779" priority="853">
      <formula>MOD(ROW(),2)=0</formula>
    </cfRule>
  </conditionalFormatting>
  <conditionalFormatting sqref="H10:M10">
    <cfRule type="expression" dxfId="3778" priority="852">
      <formula>MOD(ROW(),2)=0</formula>
    </cfRule>
  </conditionalFormatting>
  <conditionalFormatting sqref="H9:M9">
    <cfRule type="expression" dxfId="3777" priority="851">
      <formula>MOD(ROW(),2)=0</formula>
    </cfRule>
  </conditionalFormatting>
  <conditionalFormatting sqref="H8:M8">
    <cfRule type="expression" dxfId="3776" priority="850">
      <formula>MOD(ROW(),2)=0</formula>
    </cfRule>
  </conditionalFormatting>
  <conditionalFormatting sqref="H16:M16 H13:M13">
    <cfRule type="expression" dxfId="3775" priority="849">
      <formula>MOD(ROW(),2)=0</formula>
    </cfRule>
  </conditionalFormatting>
  <conditionalFormatting sqref="H14:M14 H17:M19">
    <cfRule type="expression" dxfId="3774" priority="848">
      <formula>MOD(ROW(),2)=0</formula>
    </cfRule>
  </conditionalFormatting>
  <conditionalFormatting sqref="H11:M11">
    <cfRule type="expression" dxfId="3773" priority="847">
      <formula>MOD(ROW(),2)=0</formula>
    </cfRule>
  </conditionalFormatting>
  <conditionalFormatting sqref="H22:M22">
    <cfRule type="expression" dxfId="3772" priority="846">
      <formula>MOD(ROW(),2)=0</formula>
    </cfRule>
  </conditionalFormatting>
  <conditionalFormatting sqref="H10:M10">
    <cfRule type="expression" dxfId="3771" priority="845">
      <formula>MOD(ROW(),2)=0</formula>
    </cfRule>
  </conditionalFormatting>
  <conditionalFormatting sqref="H9:M9">
    <cfRule type="expression" dxfId="3770" priority="844">
      <formula>MOD(ROW(),2)=0</formula>
    </cfRule>
  </conditionalFormatting>
  <conditionalFormatting sqref="H8:M8">
    <cfRule type="expression" dxfId="3769" priority="843">
      <formula>MOD(ROW(),2)=0</formula>
    </cfRule>
  </conditionalFormatting>
  <conditionalFormatting sqref="H16:M16 H13:M13">
    <cfRule type="expression" dxfId="3768" priority="842">
      <formula>MOD(ROW(),2)=0</formula>
    </cfRule>
  </conditionalFormatting>
  <conditionalFormatting sqref="H14:M14 H17:M19">
    <cfRule type="expression" dxfId="3767" priority="841">
      <formula>MOD(ROW(),2)=0</formula>
    </cfRule>
  </conditionalFormatting>
  <conditionalFormatting sqref="H11:M11">
    <cfRule type="expression" dxfId="3766" priority="840">
      <formula>MOD(ROW(),2)=0</formula>
    </cfRule>
  </conditionalFormatting>
  <conditionalFormatting sqref="H22:M22">
    <cfRule type="expression" dxfId="3765" priority="839">
      <formula>MOD(ROW(),2)=0</formula>
    </cfRule>
  </conditionalFormatting>
  <conditionalFormatting sqref="H10:M10">
    <cfRule type="expression" dxfId="3764" priority="838">
      <formula>MOD(ROW(),2)=0</formula>
    </cfRule>
  </conditionalFormatting>
  <conditionalFormatting sqref="H9:M9">
    <cfRule type="expression" dxfId="3763" priority="837">
      <formula>MOD(ROW(),2)=0</formula>
    </cfRule>
  </conditionalFormatting>
  <conditionalFormatting sqref="H8:M8">
    <cfRule type="expression" dxfId="3762" priority="836">
      <formula>MOD(ROW(),2)=0</formula>
    </cfRule>
  </conditionalFormatting>
  <conditionalFormatting sqref="H16:M16 H13:M13">
    <cfRule type="expression" dxfId="3761" priority="835">
      <formula>MOD(ROW(),2)=0</formula>
    </cfRule>
  </conditionalFormatting>
  <conditionalFormatting sqref="H14:M14 H17:M19">
    <cfRule type="expression" dxfId="3760" priority="834">
      <formula>MOD(ROW(),2)=0</formula>
    </cfRule>
  </conditionalFormatting>
  <conditionalFormatting sqref="H11:M11">
    <cfRule type="expression" dxfId="3759" priority="833">
      <formula>MOD(ROW(),2)=0</formula>
    </cfRule>
  </conditionalFormatting>
  <conditionalFormatting sqref="H22:M22">
    <cfRule type="expression" dxfId="3758" priority="832">
      <formula>MOD(ROW(),2)=0</formula>
    </cfRule>
  </conditionalFormatting>
  <conditionalFormatting sqref="H10:M10">
    <cfRule type="expression" dxfId="3757" priority="831">
      <formula>MOD(ROW(),2)=0</formula>
    </cfRule>
  </conditionalFormatting>
  <conditionalFormatting sqref="H9:M9">
    <cfRule type="expression" dxfId="3756" priority="830">
      <formula>MOD(ROW(),2)=0</formula>
    </cfRule>
  </conditionalFormatting>
  <conditionalFormatting sqref="H8:M8">
    <cfRule type="expression" dxfId="3755" priority="829">
      <formula>MOD(ROW(),2)=0</formula>
    </cfRule>
  </conditionalFormatting>
  <conditionalFormatting sqref="H16:M16 H13:M13">
    <cfRule type="expression" dxfId="3754" priority="828">
      <formula>MOD(ROW(),2)=0</formula>
    </cfRule>
  </conditionalFormatting>
  <conditionalFormatting sqref="H14:M14 H17:M19">
    <cfRule type="expression" dxfId="3753" priority="827">
      <formula>MOD(ROW(),2)=0</formula>
    </cfRule>
  </conditionalFormatting>
  <conditionalFormatting sqref="H11:M11">
    <cfRule type="expression" dxfId="3752" priority="826">
      <formula>MOD(ROW(),2)=0</formula>
    </cfRule>
  </conditionalFormatting>
  <conditionalFormatting sqref="H22:M22">
    <cfRule type="expression" dxfId="3751" priority="825">
      <formula>MOD(ROW(),2)=0</formula>
    </cfRule>
  </conditionalFormatting>
  <conditionalFormatting sqref="H10:M10">
    <cfRule type="expression" dxfId="3750" priority="824">
      <formula>MOD(ROW(),2)=0</formula>
    </cfRule>
  </conditionalFormatting>
  <conditionalFormatting sqref="H9:M9">
    <cfRule type="expression" dxfId="3749" priority="823">
      <formula>MOD(ROW(),2)=0</formula>
    </cfRule>
  </conditionalFormatting>
  <conditionalFormatting sqref="H8:M8">
    <cfRule type="expression" dxfId="3748" priority="822">
      <formula>MOD(ROW(),2)=0</formula>
    </cfRule>
  </conditionalFormatting>
  <conditionalFormatting sqref="H16:M16 H13:M13">
    <cfRule type="expression" dxfId="3747" priority="821">
      <formula>MOD(ROW(),2)=0</formula>
    </cfRule>
  </conditionalFormatting>
  <conditionalFormatting sqref="H14:M14 H17:M19">
    <cfRule type="expression" dxfId="3746" priority="820">
      <formula>MOD(ROW(),2)=0</formula>
    </cfRule>
  </conditionalFormatting>
  <conditionalFormatting sqref="H11:M11">
    <cfRule type="expression" dxfId="3745" priority="819">
      <formula>MOD(ROW(),2)=0</formula>
    </cfRule>
  </conditionalFormatting>
  <conditionalFormatting sqref="H22:M22">
    <cfRule type="expression" dxfId="3744" priority="818">
      <formula>MOD(ROW(),2)=0</formula>
    </cfRule>
  </conditionalFormatting>
  <conditionalFormatting sqref="H10:M10">
    <cfRule type="expression" dxfId="3743" priority="817">
      <formula>MOD(ROW(),2)=0</formula>
    </cfRule>
  </conditionalFormatting>
  <conditionalFormatting sqref="H9:M9">
    <cfRule type="expression" dxfId="3742" priority="816">
      <formula>MOD(ROW(),2)=0</formula>
    </cfRule>
  </conditionalFormatting>
  <conditionalFormatting sqref="H8:M8">
    <cfRule type="expression" dxfId="3741" priority="815">
      <formula>MOD(ROW(),2)=0</formula>
    </cfRule>
  </conditionalFormatting>
  <conditionalFormatting sqref="H16:M16 H13:M13">
    <cfRule type="expression" dxfId="3740" priority="814">
      <formula>MOD(ROW(),2)=0</formula>
    </cfRule>
  </conditionalFormatting>
  <conditionalFormatting sqref="H14:M14 H17:M19">
    <cfRule type="expression" dxfId="3739" priority="813">
      <formula>MOD(ROW(),2)=0</formula>
    </cfRule>
  </conditionalFormatting>
  <conditionalFormatting sqref="H11:M11">
    <cfRule type="expression" dxfId="3738" priority="812">
      <formula>MOD(ROW(),2)=0</formula>
    </cfRule>
  </conditionalFormatting>
  <conditionalFormatting sqref="H22:M22">
    <cfRule type="expression" dxfId="3737" priority="811">
      <formula>MOD(ROW(),2)=0</formula>
    </cfRule>
  </conditionalFormatting>
  <conditionalFormatting sqref="H10:M10">
    <cfRule type="expression" dxfId="3736" priority="810">
      <formula>MOD(ROW(),2)=0</formula>
    </cfRule>
  </conditionalFormatting>
  <conditionalFormatting sqref="H9:M9">
    <cfRule type="expression" dxfId="3735" priority="809">
      <formula>MOD(ROW(),2)=0</formula>
    </cfRule>
  </conditionalFormatting>
  <conditionalFormatting sqref="H8:M8">
    <cfRule type="expression" dxfId="3734" priority="808">
      <formula>MOD(ROW(),2)=0</formula>
    </cfRule>
  </conditionalFormatting>
  <conditionalFormatting sqref="H16:M16 H13:M13">
    <cfRule type="expression" dxfId="3733" priority="807">
      <formula>MOD(ROW(),2)=0</formula>
    </cfRule>
  </conditionalFormatting>
  <conditionalFormatting sqref="H14:M14 H17:M19">
    <cfRule type="expression" dxfId="3732" priority="806">
      <formula>MOD(ROW(),2)=0</formula>
    </cfRule>
  </conditionalFormatting>
  <conditionalFormatting sqref="H11:M11">
    <cfRule type="expression" dxfId="3731" priority="805">
      <formula>MOD(ROW(),2)=0</formula>
    </cfRule>
  </conditionalFormatting>
  <conditionalFormatting sqref="H10:M10">
    <cfRule type="expression" dxfId="3730" priority="804">
      <formula>MOD(ROW(),2)=0</formula>
    </cfRule>
  </conditionalFormatting>
  <conditionalFormatting sqref="H22:M22">
    <cfRule type="expression" dxfId="3729" priority="803">
      <formula>MOD(ROW(),2)=0</formula>
    </cfRule>
  </conditionalFormatting>
  <conditionalFormatting sqref="H9:M9">
    <cfRule type="expression" dxfId="3728" priority="802">
      <formula>MOD(ROW(),2)=0</formula>
    </cfRule>
  </conditionalFormatting>
  <conditionalFormatting sqref="H8:M8">
    <cfRule type="expression" dxfId="3727" priority="801">
      <formula>MOD(ROW(),2)=0</formula>
    </cfRule>
  </conditionalFormatting>
  <conditionalFormatting sqref="H16:M16 H13:M13">
    <cfRule type="expression" dxfId="3726" priority="800">
      <formula>MOD(ROW(),2)=0</formula>
    </cfRule>
  </conditionalFormatting>
  <conditionalFormatting sqref="H14:M14 H17:M19">
    <cfRule type="expression" dxfId="3725" priority="799">
      <formula>MOD(ROW(),2)=0</formula>
    </cfRule>
  </conditionalFormatting>
  <conditionalFormatting sqref="H11:M11">
    <cfRule type="expression" dxfId="3724" priority="798">
      <formula>MOD(ROW(),2)=0</formula>
    </cfRule>
  </conditionalFormatting>
  <conditionalFormatting sqref="H22:M22">
    <cfRule type="expression" dxfId="3723" priority="797">
      <formula>MOD(ROW(),2)=0</formula>
    </cfRule>
  </conditionalFormatting>
  <conditionalFormatting sqref="H10:M10">
    <cfRule type="expression" dxfId="3722" priority="796">
      <formula>MOD(ROW(),2)=0</formula>
    </cfRule>
  </conditionalFormatting>
  <conditionalFormatting sqref="H20:M20">
    <cfRule type="expression" dxfId="3721" priority="795">
      <formula>MOD(ROW(),2)=0</formula>
    </cfRule>
  </conditionalFormatting>
  <conditionalFormatting sqref="H20:M20">
    <cfRule type="expression" dxfId="3720" priority="794">
      <formula>MOD(ROW(),2)=0</formula>
    </cfRule>
  </conditionalFormatting>
  <conditionalFormatting sqref="H20:M20">
    <cfRule type="expression" dxfId="3719" priority="793">
      <formula>MOD(ROW(),2)=0</formula>
    </cfRule>
  </conditionalFormatting>
  <conditionalFormatting sqref="H20:M20">
    <cfRule type="expression" dxfId="3718" priority="792">
      <formula>MOD(ROW(),2)=0</formula>
    </cfRule>
  </conditionalFormatting>
  <conditionalFormatting sqref="H20:M20">
    <cfRule type="expression" dxfId="3717" priority="791">
      <formula>MOD(ROW(),2)=0</formula>
    </cfRule>
  </conditionalFormatting>
  <conditionalFormatting sqref="H20:M20">
    <cfRule type="expression" dxfId="3716" priority="790">
      <formula>MOD(ROW(),2)=0</formula>
    </cfRule>
  </conditionalFormatting>
  <conditionalFormatting sqref="H20:M20">
    <cfRule type="expression" dxfId="3715" priority="789">
      <formula>MOD(ROW(),2)=0</formula>
    </cfRule>
  </conditionalFormatting>
  <conditionalFormatting sqref="H20:M20">
    <cfRule type="expression" dxfId="3714" priority="788">
      <formula>MOD(ROW(),2)=0</formula>
    </cfRule>
  </conditionalFormatting>
  <conditionalFormatting sqref="H20:M20">
    <cfRule type="expression" dxfId="3713" priority="787">
      <formula>MOD(ROW(),2)=0</formula>
    </cfRule>
  </conditionalFormatting>
  <conditionalFormatting sqref="H20:M20">
    <cfRule type="expression" dxfId="3712" priority="786">
      <formula>MOD(ROW(),2)=0</formula>
    </cfRule>
  </conditionalFormatting>
  <conditionalFormatting sqref="H20:M20">
    <cfRule type="expression" dxfId="3711" priority="785">
      <formula>MOD(ROW(),2)=0</formula>
    </cfRule>
  </conditionalFormatting>
  <conditionalFormatting sqref="H20:M20">
    <cfRule type="expression" dxfId="3710" priority="784">
      <formula>MOD(ROW(),2)=0</formula>
    </cfRule>
  </conditionalFormatting>
  <conditionalFormatting sqref="H20:M20">
    <cfRule type="expression" dxfId="3709" priority="783">
      <formula>MOD(ROW(),2)=0</formula>
    </cfRule>
  </conditionalFormatting>
  <conditionalFormatting sqref="H20:M20">
    <cfRule type="expression" dxfId="3708" priority="782">
      <formula>MOD(ROW(),2)=0</formula>
    </cfRule>
  </conditionalFormatting>
  <conditionalFormatting sqref="H20:M20">
    <cfRule type="expression" dxfId="3707" priority="781">
      <formula>MOD(ROW(),2)=0</formula>
    </cfRule>
  </conditionalFormatting>
  <conditionalFormatting sqref="H20:M20">
    <cfRule type="expression" dxfId="3706" priority="780">
      <formula>MOD(ROW(),2)=0</formula>
    </cfRule>
  </conditionalFormatting>
  <conditionalFormatting sqref="H12:M12">
    <cfRule type="expression" dxfId="3705" priority="779">
      <formula>MOD(ROW(),2)=0</formula>
    </cfRule>
  </conditionalFormatting>
  <conditionalFormatting sqref="H12:M12">
    <cfRule type="expression" dxfId="3704" priority="778">
      <formula>MOD(ROW(),2)=0</formula>
    </cfRule>
  </conditionalFormatting>
  <conditionalFormatting sqref="H12:M12">
    <cfRule type="expression" dxfId="3703" priority="777">
      <formula>MOD(ROW(),2)=0</formula>
    </cfRule>
  </conditionalFormatting>
  <conditionalFormatting sqref="H12:M12">
    <cfRule type="expression" dxfId="3702" priority="776">
      <formula>MOD(ROW(),2)=0</formula>
    </cfRule>
  </conditionalFormatting>
  <conditionalFormatting sqref="H12:M12">
    <cfRule type="expression" dxfId="3701" priority="775">
      <formula>MOD(ROW(),2)=0</formula>
    </cfRule>
  </conditionalFormatting>
  <conditionalFormatting sqref="H12:M12">
    <cfRule type="expression" dxfId="3700" priority="774">
      <formula>MOD(ROW(),2)=0</formula>
    </cfRule>
  </conditionalFormatting>
  <conditionalFormatting sqref="H12:M12">
    <cfRule type="expression" dxfId="3699" priority="773">
      <formula>MOD(ROW(),2)=0</formula>
    </cfRule>
  </conditionalFormatting>
  <conditionalFormatting sqref="H12:M12">
    <cfRule type="expression" dxfId="3698" priority="772">
      <formula>MOD(ROW(),2)=0</formula>
    </cfRule>
  </conditionalFormatting>
  <conditionalFormatting sqref="H12:M12">
    <cfRule type="expression" dxfId="3697" priority="771">
      <formula>MOD(ROW(),2)=0</formula>
    </cfRule>
  </conditionalFormatting>
  <conditionalFormatting sqref="H12:M12">
    <cfRule type="expression" dxfId="3696" priority="770">
      <formula>MOD(ROW(),2)=0</formula>
    </cfRule>
  </conditionalFormatting>
  <conditionalFormatting sqref="H12:M12">
    <cfRule type="expression" dxfId="3695" priority="769">
      <formula>MOD(ROW(),2)=0</formula>
    </cfRule>
  </conditionalFormatting>
  <conditionalFormatting sqref="H12:M12">
    <cfRule type="expression" dxfId="3694" priority="768">
      <formula>MOD(ROW(),2)=0</formula>
    </cfRule>
  </conditionalFormatting>
  <conditionalFormatting sqref="H12:M12">
    <cfRule type="expression" dxfId="3693" priority="767">
      <formula>MOD(ROW(),2)=0</formula>
    </cfRule>
  </conditionalFormatting>
  <conditionalFormatting sqref="H12:M12">
    <cfRule type="expression" dxfId="3692" priority="766">
      <formula>MOD(ROW(),2)=0</formula>
    </cfRule>
  </conditionalFormatting>
  <conditionalFormatting sqref="H12:M12">
    <cfRule type="expression" dxfId="3691" priority="765">
      <formula>MOD(ROW(),2)=0</formula>
    </cfRule>
  </conditionalFormatting>
  <conditionalFormatting sqref="H12:M12">
    <cfRule type="expression" dxfId="3690" priority="764">
      <formula>MOD(ROW(),2)=0</formula>
    </cfRule>
  </conditionalFormatting>
  <conditionalFormatting sqref="H15:M15">
    <cfRule type="expression" dxfId="3689" priority="763">
      <formula>MOD(ROW(),2)=0</formula>
    </cfRule>
  </conditionalFormatting>
  <conditionalFormatting sqref="H15:M15">
    <cfRule type="expression" dxfId="3688" priority="762">
      <formula>MOD(ROW(),2)=0</formula>
    </cfRule>
  </conditionalFormatting>
  <conditionalFormatting sqref="H15:M15">
    <cfRule type="expression" dxfId="3687" priority="761">
      <formula>MOD(ROW(),2)=0</formula>
    </cfRule>
  </conditionalFormatting>
  <conditionalFormatting sqref="H15:M15">
    <cfRule type="expression" dxfId="3686" priority="760">
      <formula>MOD(ROW(),2)=0</formula>
    </cfRule>
  </conditionalFormatting>
  <conditionalFormatting sqref="H15:M15">
    <cfRule type="expression" dxfId="3685" priority="759">
      <formula>MOD(ROW(),2)=0</formula>
    </cfRule>
  </conditionalFormatting>
  <conditionalFormatting sqref="H15:M15">
    <cfRule type="expression" dxfId="3684" priority="758">
      <formula>MOD(ROW(),2)=0</formula>
    </cfRule>
  </conditionalFormatting>
  <conditionalFormatting sqref="H15:M15">
    <cfRule type="expression" dxfId="3683" priority="757">
      <formula>MOD(ROW(),2)=0</formula>
    </cfRule>
  </conditionalFormatting>
  <conditionalFormatting sqref="H15:M15">
    <cfRule type="expression" dxfId="3682" priority="756">
      <formula>MOD(ROW(),2)=0</formula>
    </cfRule>
  </conditionalFormatting>
  <conditionalFormatting sqref="H15:M15">
    <cfRule type="expression" dxfId="3681" priority="755">
      <formula>MOD(ROW(),2)=0</formula>
    </cfRule>
  </conditionalFormatting>
  <conditionalFormatting sqref="H15:M15">
    <cfRule type="expression" dxfId="3680" priority="754">
      <formula>MOD(ROW(),2)=0</formula>
    </cfRule>
  </conditionalFormatting>
  <conditionalFormatting sqref="H15:M15">
    <cfRule type="expression" dxfId="3679" priority="753">
      <formula>MOD(ROW(),2)=0</formula>
    </cfRule>
  </conditionalFormatting>
  <conditionalFormatting sqref="H15:M15">
    <cfRule type="expression" dxfId="3678" priority="752">
      <formula>MOD(ROW(),2)=0</formula>
    </cfRule>
  </conditionalFormatting>
  <conditionalFormatting sqref="H15:M15">
    <cfRule type="expression" dxfId="3677" priority="751">
      <formula>MOD(ROW(),2)=0</formula>
    </cfRule>
  </conditionalFormatting>
  <conditionalFormatting sqref="H15:M15">
    <cfRule type="expression" dxfId="3676" priority="750">
      <formula>MOD(ROW(),2)=0</formula>
    </cfRule>
  </conditionalFormatting>
  <conditionalFormatting sqref="H15:M15">
    <cfRule type="expression" dxfId="3675" priority="749">
      <formula>MOD(ROW(),2)=0</formula>
    </cfRule>
  </conditionalFormatting>
  <conditionalFormatting sqref="H15:M15">
    <cfRule type="expression" dxfId="3674" priority="748">
      <formula>MOD(ROW(),2)=0</formula>
    </cfRule>
  </conditionalFormatting>
  <conditionalFormatting sqref="H103:AS104 B103:C107 H107:AS107">
    <cfRule type="expression" dxfId="3673" priority="747">
      <formula>MOD(ROW(),2)=0</formula>
    </cfRule>
  </conditionalFormatting>
  <conditionalFormatting sqref="G103:G104 G107">
    <cfRule type="expression" dxfId="3672" priority="746">
      <formula>MOD(ROW(),2)=0</formula>
    </cfRule>
  </conditionalFormatting>
  <conditionalFormatting sqref="E103:F104 E107:F107 E105:AS106">
    <cfRule type="expression" dxfId="3671" priority="745">
      <formula>MOD(ROW(),2)=0</formula>
    </cfRule>
  </conditionalFormatting>
  <conditionalFormatting sqref="D26:D85">
    <cfRule type="expression" dxfId="3670" priority="744">
      <formula>MOD(ROW(),2)=0</formula>
    </cfRule>
  </conditionalFormatting>
  <conditionalFormatting sqref="D27">
    <cfRule type="expression" dxfId="3669" priority="743">
      <formula>D$27&gt;(D$78+D$103)</formula>
    </cfRule>
  </conditionalFormatting>
  <conditionalFormatting sqref="D28:D77">
    <cfRule type="expression" dxfId="3668" priority="742">
      <formula>MOD(ROW(),2)=0</formula>
    </cfRule>
  </conditionalFormatting>
  <conditionalFormatting sqref="D23:D25">
    <cfRule type="expression" dxfId="3667" priority="741">
      <formula>MOD(ROW(),2)=0</formula>
    </cfRule>
  </conditionalFormatting>
  <conditionalFormatting sqref="D23:D25">
    <cfRule type="expression" dxfId="3666" priority="740">
      <formula>MOD(ROW(),2)=0</formula>
    </cfRule>
  </conditionalFormatting>
  <conditionalFormatting sqref="D23:D25">
    <cfRule type="expression" dxfId="3665" priority="739">
      <formula>MOD(ROW(),2)=0</formula>
    </cfRule>
  </conditionalFormatting>
  <conditionalFormatting sqref="D23:D25">
    <cfRule type="expression" dxfId="3664" priority="738">
      <formula>MOD(ROW(),2)=0</formula>
    </cfRule>
  </conditionalFormatting>
  <conditionalFormatting sqref="D23:D25">
    <cfRule type="expression" dxfId="3663" priority="737">
      <formula>MOD(ROW(),2)=0</formula>
    </cfRule>
  </conditionalFormatting>
  <conditionalFormatting sqref="D23:D25">
    <cfRule type="expression" dxfId="3662" priority="736">
      <formula>MOD(ROW(),2)=0</formula>
    </cfRule>
  </conditionalFormatting>
  <conditionalFormatting sqref="D23:D25">
    <cfRule type="expression" dxfId="3661" priority="735">
      <formula>MOD(ROW(),2)=0</formula>
    </cfRule>
  </conditionalFormatting>
  <conditionalFormatting sqref="D27">
    <cfRule type="expression" dxfId="3660" priority="734">
      <formula>MOD(ROW(),2)=0</formula>
    </cfRule>
  </conditionalFormatting>
  <conditionalFormatting sqref="D27">
    <cfRule type="expression" dxfId="3659" priority="733">
      <formula>D$27&gt;(D$78+D$103)</formula>
    </cfRule>
  </conditionalFormatting>
  <conditionalFormatting sqref="D27">
    <cfRule type="expression" dxfId="3658" priority="732">
      <formula>MOD(ROW(),2)=0</formula>
    </cfRule>
  </conditionalFormatting>
  <conditionalFormatting sqref="D27">
    <cfRule type="expression" dxfId="3657" priority="731">
      <formula>D$27&gt;(D$78+D$103)</formula>
    </cfRule>
  </conditionalFormatting>
  <conditionalFormatting sqref="D27">
    <cfRule type="expression" dxfId="3656" priority="730">
      <formula>MOD(ROW(),2)=0</formula>
    </cfRule>
  </conditionalFormatting>
  <conditionalFormatting sqref="D27">
    <cfRule type="expression" dxfId="3655" priority="729">
      <formula>D$27&gt;(D$78+D$103)</formula>
    </cfRule>
  </conditionalFormatting>
  <conditionalFormatting sqref="D27">
    <cfRule type="expression" dxfId="3654" priority="728">
      <formula>MOD(ROW(),2)=0</formula>
    </cfRule>
  </conditionalFormatting>
  <conditionalFormatting sqref="D27">
    <cfRule type="expression" dxfId="3653" priority="727">
      <formula>D$27&gt;(D$78+D$103)</formula>
    </cfRule>
  </conditionalFormatting>
  <conditionalFormatting sqref="D27">
    <cfRule type="expression" dxfId="3652" priority="726">
      <formula>MOD(ROW(),2)=0</formula>
    </cfRule>
  </conditionalFormatting>
  <conditionalFormatting sqref="D27">
    <cfRule type="expression" dxfId="3651" priority="725">
      <formula>D$27&gt;(D$78+D$103)</formula>
    </cfRule>
  </conditionalFormatting>
  <conditionalFormatting sqref="D27">
    <cfRule type="expression" dxfId="3650" priority="724">
      <formula>MOD(ROW(),2)=0</formula>
    </cfRule>
  </conditionalFormatting>
  <conditionalFormatting sqref="D27">
    <cfRule type="expression" dxfId="3649" priority="723">
      <formula>D$27&gt;(D$78+D$103)</formula>
    </cfRule>
  </conditionalFormatting>
  <conditionalFormatting sqref="D28:D77">
    <cfRule type="expression" dxfId="3648" priority="722">
      <formula>MOD(ROW(),2)=0</formula>
    </cfRule>
  </conditionalFormatting>
  <conditionalFormatting sqref="D28:D77">
    <cfRule type="expression" dxfId="3647" priority="721">
      <formula>MOD(ROW(),2)=0</formula>
    </cfRule>
  </conditionalFormatting>
  <conditionalFormatting sqref="D28:D77">
    <cfRule type="expression" dxfId="3646" priority="720">
      <formula>MOD(ROW(),2)=0</formula>
    </cfRule>
  </conditionalFormatting>
  <conditionalFormatting sqref="D28:D77">
    <cfRule type="expression" dxfId="3645" priority="719">
      <formula>MOD(ROW(),2)=0</formula>
    </cfRule>
  </conditionalFormatting>
  <conditionalFormatting sqref="D28:D77">
    <cfRule type="expression" dxfId="3644" priority="718">
      <formula>MOD(ROW(),2)=0</formula>
    </cfRule>
  </conditionalFormatting>
  <conditionalFormatting sqref="D28:D77">
    <cfRule type="expression" dxfId="3643" priority="717">
      <formula>MOD(ROW(),2)=0</formula>
    </cfRule>
  </conditionalFormatting>
  <conditionalFormatting sqref="D83">
    <cfRule type="expression" dxfId="3642" priority="716">
      <formula>MOD(ROW(),2)=0</formula>
    </cfRule>
  </conditionalFormatting>
  <conditionalFormatting sqref="D83">
    <cfRule type="expression" dxfId="3641" priority="715">
      <formula>MOD(ROW(),2)=0</formula>
    </cfRule>
  </conditionalFormatting>
  <conditionalFormatting sqref="D83">
    <cfRule type="expression" dxfId="3640" priority="714">
      <formula>MOD(ROW(),2)=0</formula>
    </cfRule>
  </conditionalFormatting>
  <conditionalFormatting sqref="D83">
    <cfRule type="expression" dxfId="3639" priority="713">
      <formula>MOD(ROW(),2)=0</formula>
    </cfRule>
  </conditionalFormatting>
  <conditionalFormatting sqref="D83">
    <cfRule type="expression" dxfId="3638" priority="712">
      <formula>MOD(ROW(),2)=0</formula>
    </cfRule>
  </conditionalFormatting>
  <conditionalFormatting sqref="D83">
    <cfRule type="expression" dxfId="3637" priority="711">
      <formula>MOD(ROW(),2)=0</formula>
    </cfRule>
  </conditionalFormatting>
  <conditionalFormatting sqref="D86:D92 D94:D102">
    <cfRule type="expression" dxfId="3636" priority="710">
      <formula>MOD(ROW(),2)=0</formula>
    </cfRule>
  </conditionalFormatting>
  <conditionalFormatting sqref="D93">
    <cfRule type="expression" dxfId="3635" priority="709">
      <formula>MOD(ROW(),2)=0</formula>
    </cfRule>
  </conditionalFormatting>
  <conditionalFormatting sqref="D86:D92 D94:D102">
    <cfRule type="expression" dxfId="3634" priority="708">
      <formula>MOD(ROW(),2)=0</formula>
    </cfRule>
  </conditionalFormatting>
  <conditionalFormatting sqref="D93">
    <cfRule type="expression" dxfId="3633" priority="707">
      <formula>MOD(ROW(),2)=0</formula>
    </cfRule>
  </conditionalFormatting>
  <conditionalFormatting sqref="D21:E21">
    <cfRule type="expression" dxfId="3632" priority="706">
      <formula>MOD(ROW(),2)=0</formula>
    </cfRule>
  </conditionalFormatting>
  <conditionalFormatting sqref="D21:E21">
    <cfRule type="expression" dxfId="3631" priority="705">
      <formula>MOD(ROW(),2)=0</formula>
    </cfRule>
  </conditionalFormatting>
  <conditionalFormatting sqref="D21:E21">
    <cfRule type="expression" dxfId="3630" priority="704">
      <formula>MOD(ROW(),2)=0</formula>
    </cfRule>
  </conditionalFormatting>
  <conditionalFormatting sqref="D21:E21">
    <cfRule type="expression" dxfId="3629" priority="703">
      <formula>MOD(ROW(),2)=0</formula>
    </cfRule>
  </conditionalFormatting>
  <conditionalFormatting sqref="D21:E21">
    <cfRule type="expression" dxfId="3628" priority="702">
      <formula>MOD(ROW(),2)=0</formula>
    </cfRule>
  </conditionalFormatting>
  <conditionalFormatting sqref="D21:E21">
    <cfRule type="expression" dxfId="3627" priority="701">
      <formula>MOD(ROW(),2)=0</formula>
    </cfRule>
  </conditionalFormatting>
  <conditionalFormatting sqref="D21:E21">
    <cfRule type="expression" dxfId="3626" priority="700">
      <formula>MOD(ROW(),2)=0</formula>
    </cfRule>
  </conditionalFormatting>
  <conditionalFormatting sqref="D21:E21">
    <cfRule type="expression" dxfId="3625" priority="699">
      <formula>MOD(ROW(),2)=0</formula>
    </cfRule>
  </conditionalFormatting>
  <conditionalFormatting sqref="D21:E21">
    <cfRule type="expression" dxfId="3624" priority="698">
      <formula>MOD(ROW(),2)=0</formula>
    </cfRule>
  </conditionalFormatting>
  <conditionalFormatting sqref="D21:E21">
    <cfRule type="expression" dxfId="3623" priority="697">
      <formula>MOD(ROW(),2)=0</formula>
    </cfRule>
  </conditionalFormatting>
  <conditionalFormatting sqref="D21:E21">
    <cfRule type="expression" dxfId="3622" priority="696">
      <formula>MOD(ROW(),2)=0</formula>
    </cfRule>
  </conditionalFormatting>
  <conditionalFormatting sqref="D21:E21">
    <cfRule type="expression" dxfId="3621" priority="695">
      <formula>MOD(ROW(),2)=0</formula>
    </cfRule>
  </conditionalFormatting>
  <conditionalFormatting sqref="D21:E21">
    <cfRule type="expression" dxfId="3620" priority="694">
      <formula>MOD(ROW(),2)=0</formula>
    </cfRule>
  </conditionalFormatting>
  <conditionalFormatting sqref="D21:E21">
    <cfRule type="expression" dxfId="3619" priority="693">
      <formula>MOD(ROW(),2)=0</formula>
    </cfRule>
  </conditionalFormatting>
  <conditionalFormatting sqref="D21:E21">
    <cfRule type="expression" dxfId="3618" priority="692">
      <formula>MOD(ROW(),2)=0</formula>
    </cfRule>
  </conditionalFormatting>
  <conditionalFormatting sqref="D21:E21">
    <cfRule type="expression" dxfId="3617" priority="691">
      <formula>MOD(ROW(),2)=0</formula>
    </cfRule>
  </conditionalFormatting>
  <conditionalFormatting sqref="D9:E9">
    <cfRule type="expression" dxfId="3616" priority="690">
      <formula>MOD(ROW(),2)=0</formula>
    </cfRule>
  </conditionalFormatting>
  <conditionalFormatting sqref="D8:E8">
    <cfRule type="expression" dxfId="3615" priority="689">
      <formula>MOD(ROW(),2)=0</formula>
    </cfRule>
  </conditionalFormatting>
  <conditionalFormatting sqref="D16:E16 D13:E13">
    <cfRule type="expression" dxfId="3614" priority="688">
      <formula>MOD(ROW(),2)=0</formula>
    </cfRule>
  </conditionalFormatting>
  <conditionalFormatting sqref="D14:E14 D17:E19">
    <cfRule type="expression" dxfId="3613" priority="687">
      <formula>MOD(ROW(),2)=0</formula>
    </cfRule>
  </conditionalFormatting>
  <conditionalFormatting sqref="D11:E11">
    <cfRule type="expression" dxfId="3612" priority="686">
      <formula>MOD(ROW(),2)=0</formula>
    </cfRule>
  </conditionalFormatting>
  <conditionalFormatting sqref="D22:E22">
    <cfRule type="expression" dxfId="3611" priority="685">
      <formula>MOD(ROW(),2)=0</formula>
    </cfRule>
  </conditionalFormatting>
  <conditionalFormatting sqref="D10:E10">
    <cfRule type="expression" dxfId="3610" priority="684">
      <formula>MOD(ROW(),2)=0</formula>
    </cfRule>
  </conditionalFormatting>
  <conditionalFormatting sqref="D9:E9">
    <cfRule type="expression" dxfId="3609" priority="683">
      <formula>MOD(ROW(),2)=0</formula>
    </cfRule>
  </conditionalFormatting>
  <conditionalFormatting sqref="D8:E8">
    <cfRule type="expression" dxfId="3608" priority="682">
      <formula>MOD(ROW(),2)=0</formula>
    </cfRule>
  </conditionalFormatting>
  <conditionalFormatting sqref="D16:E16 D13:E13">
    <cfRule type="expression" dxfId="3607" priority="681">
      <formula>MOD(ROW(),2)=0</formula>
    </cfRule>
  </conditionalFormatting>
  <conditionalFormatting sqref="D14:E14 D17:E19">
    <cfRule type="expression" dxfId="3606" priority="680">
      <formula>MOD(ROW(),2)=0</formula>
    </cfRule>
  </conditionalFormatting>
  <conditionalFormatting sqref="D11:E11">
    <cfRule type="expression" dxfId="3605" priority="679">
      <formula>MOD(ROW(),2)=0</formula>
    </cfRule>
  </conditionalFormatting>
  <conditionalFormatting sqref="D22:E22">
    <cfRule type="expression" dxfId="3604" priority="678">
      <formula>MOD(ROW(),2)=0</formula>
    </cfRule>
  </conditionalFormatting>
  <conditionalFormatting sqref="D10:E10">
    <cfRule type="expression" dxfId="3603" priority="677">
      <formula>MOD(ROW(),2)=0</formula>
    </cfRule>
  </conditionalFormatting>
  <conditionalFormatting sqref="D9:E9">
    <cfRule type="expression" dxfId="3602" priority="676">
      <formula>MOD(ROW(),2)=0</formula>
    </cfRule>
  </conditionalFormatting>
  <conditionalFormatting sqref="D8:E8">
    <cfRule type="expression" dxfId="3601" priority="675">
      <formula>MOD(ROW(),2)=0</formula>
    </cfRule>
  </conditionalFormatting>
  <conditionalFormatting sqref="D16:E16 D13:E13">
    <cfRule type="expression" dxfId="3600" priority="674">
      <formula>MOD(ROW(),2)=0</formula>
    </cfRule>
  </conditionalFormatting>
  <conditionalFormatting sqref="D14:E14 D17:E19">
    <cfRule type="expression" dxfId="3599" priority="673">
      <formula>MOD(ROW(),2)=0</formula>
    </cfRule>
  </conditionalFormatting>
  <conditionalFormatting sqref="D11:E11">
    <cfRule type="expression" dxfId="3598" priority="672">
      <formula>MOD(ROW(),2)=0</formula>
    </cfRule>
  </conditionalFormatting>
  <conditionalFormatting sqref="D22:E22">
    <cfRule type="expression" dxfId="3597" priority="671">
      <formula>MOD(ROW(),2)=0</formula>
    </cfRule>
  </conditionalFormatting>
  <conditionalFormatting sqref="D10:E10">
    <cfRule type="expression" dxfId="3596" priority="670">
      <formula>MOD(ROW(),2)=0</formula>
    </cfRule>
  </conditionalFormatting>
  <conditionalFormatting sqref="D9:E9">
    <cfRule type="expression" dxfId="3595" priority="669">
      <formula>MOD(ROW(),2)=0</formula>
    </cfRule>
  </conditionalFormatting>
  <conditionalFormatting sqref="D8:E8">
    <cfRule type="expression" dxfId="3594" priority="668">
      <formula>MOD(ROW(),2)=0</formula>
    </cfRule>
  </conditionalFormatting>
  <conditionalFormatting sqref="D16:E16 D13:E13">
    <cfRule type="expression" dxfId="3593" priority="667">
      <formula>MOD(ROW(),2)=0</formula>
    </cfRule>
  </conditionalFormatting>
  <conditionalFormatting sqref="D14:E14 D17:E19">
    <cfRule type="expression" dxfId="3592" priority="666">
      <formula>MOD(ROW(),2)=0</formula>
    </cfRule>
  </conditionalFormatting>
  <conditionalFormatting sqref="D11:E11">
    <cfRule type="expression" dxfId="3591" priority="665">
      <formula>MOD(ROW(),2)=0</formula>
    </cfRule>
  </conditionalFormatting>
  <conditionalFormatting sqref="D22:E22">
    <cfRule type="expression" dxfId="3590" priority="664">
      <formula>MOD(ROW(),2)=0</formula>
    </cfRule>
  </conditionalFormatting>
  <conditionalFormatting sqref="D10:E10">
    <cfRule type="expression" dxfId="3589" priority="663">
      <formula>MOD(ROW(),2)=0</formula>
    </cfRule>
  </conditionalFormatting>
  <conditionalFormatting sqref="D9:E9">
    <cfRule type="expression" dxfId="3588" priority="662">
      <formula>MOD(ROW(),2)=0</formula>
    </cfRule>
  </conditionalFormatting>
  <conditionalFormatting sqref="D8:E8">
    <cfRule type="expression" dxfId="3587" priority="661">
      <formula>MOD(ROW(),2)=0</formula>
    </cfRule>
  </conditionalFormatting>
  <conditionalFormatting sqref="D16:E16 D13:E13">
    <cfRule type="expression" dxfId="3586" priority="660">
      <formula>MOD(ROW(),2)=0</formula>
    </cfRule>
  </conditionalFormatting>
  <conditionalFormatting sqref="D14:E14 D17:E19">
    <cfRule type="expression" dxfId="3585" priority="659">
      <formula>MOD(ROW(),2)=0</formula>
    </cfRule>
  </conditionalFormatting>
  <conditionalFormatting sqref="D11:E11">
    <cfRule type="expression" dxfId="3584" priority="658">
      <formula>MOD(ROW(),2)=0</formula>
    </cfRule>
  </conditionalFormatting>
  <conditionalFormatting sqref="D22:E22">
    <cfRule type="expression" dxfId="3583" priority="657">
      <formula>MOD(ROW(),2)=0</formula>
    </cfRule>
  </conditionalFormatting>
  <conditionalFormatting sqref="D10:E10">
    <cfRule type="expression" dxfId="3582" priority="656">
      <formula>MOD(ROW(),2)=0</formula>
    </cfRule>
  </conditionalFormatting>
  <conditionalFormatting sqref="D9:E9">
    <cfRule type="expression" dxfId="3581" priority="655">
      <formula>MOD(ROW(),2)=0</formula>
    </cfRule>
  </conditionalFormatting>
  <conditionalFormatting sqref="D8:E8">
    <cfRule type="expression" dxfId="3580" priority="654">
      <formula>MOD(ROW(),2)=0</formula>
    </cfRule>
  </conditionalFormatting>
  <conditionalFormatting sqref="D16:E16 D13:E13">
    <cfRule type="expression" dxfId="3579" priority="653">
      <formula>MOD(ROW(),2)=0</formula>
    </cfRule>
  </conditionalFormatting>
  <conditionalFormatting sqref="D14:E14 D17:E19">
    <cfRule type="expression" dxfId="3578" priority="652">
      <formula>MOD(ROW(),2)=0</formula>
    </cfRule>
  </conditionalFormatting>
  <conditionalFormatting sqref="D11:E11">
    <cfRule type="expression" dxfId="3577" priority="651">
      <formula>MOD(ROW(),2)=0</formula>
    </cfRule>
  </conditionalFormatting>
  <conditionalFormatting sqref="D22:E22">
    <cfRule type="expression" dxfId="3576" priority="650">
      <formula>MOD(ROW(),2)=0</formula>
    </cfRule>
  </conditionalFormatting>
  <conditionalFormatting sqref="D10:E10">
    <cfRule type="expression" dxfId="3575" priority="649">
      <formula>MOD(ROW(),2)=0</formula>
    </cfRule>
  </conditionalFormatting>
  <conditionalFormatting sqref="D9:E9">
    <cfRule type="expression" dxfId="3574" priority="648">
      <formula>MOD(ROW(),2)=0</formula>
    </cfRule>
  </conditionalFormatting>
  <conditionalFormatting sqref="D8:E8">
    <cfRule type="expression" dxfId="3573" priority="647">
      <formula>MOD(ROW(),2)=0</formula>
    </cfRule>
  </conditionalFormatting>
  <conditionalFormatting sqref="D16:E16 D13:E13">
    <cfRule type="expression" dxfId="3572" priority="646">
      <formula>MOD(ROW(),2)=0</formula>
    </cfRule>
  </conditionalFormatting>
  <conditionalFormatting sqref="D14:E14 D17:E19">
    <cfRule type="expression" dxfId="3571" priority="645">
      <formula>MOD(ROW(),2)=0</formula>
    </cfRule>
  </conditionalFormatting>
  <conditionalFormatting sqref="D11:E11">
    <cfRule type="expression" dxfId="3570" priority="644">
      <formula>MOD(ROW(),2)=0</formula>
    </cfRule>
  </conditionalFormatting>
  <conditionalFormatting sqref="D10:E10">
    <cfRule type="expression" dxfId="3569" priority="643">
      <formula>MOD(ROW(),2)=0</formula>
    </cfRule>
  </conditionalFormatting>
  <conditionalFormatting sqref="D22:E22">
    <cfRule type="expression" dxfId="3568" priority="642">
      <formula>MOD(ROW(),2)=0</formula>
    </cfRule>
  </conditionalFormatting>
  <conditionalFormatting sqref="D9:E9">
    <cfRule type="expression" dxfId="3567" priority="641">
      <formula>MOD(ROW(),2)=0</formula>
    </cfRule>
  </conditionalFormatting>
  <conditionalFormatting sqref="D8:E8">
    <cfRule type="expression" dxfId="3566" priority="640">
      <formula>MOD(ROW(),2)=0</formula>
    </cfRule>
  </conditionalFormatting>
  <conditionalFormatting sqref="D16:E16 D13:E13">
    <cfRule type="expression" dxfId="3565" priority="639">
      <formula>MOD(ROW(),2)=0</formula>
    </cfRule>
  </conditionalFormatting>
  <conditionalFormatting sqref="D14:E14 D17:E19">
    <cfRule type="expression" dxfId="3564" priority="638">
      <formula>MOD(ROW(),2)=0</formula>
    </cfRule>
  </conditionalFormatting>
  <conditionalFormatting sqref="D11:E11">
    <cfRule type="expression" dxfId="3563" priority="637">
      <formula>MOD(ROW(),2)=0</formula>
    </cfRule>
  </conditionalFormatting>
  <conditionalFormatting sqref="D22:E22">
    <cfRule type="expression" dxfId="3562" priority="636">
      <formula>MOD(ROW(),2)=0</formula>
    </cfRule>
  </conditionalFormatting>
  <conditionalFormatting sqref="D10:E10">
    <cfRule type="expression" dxfId="3561" priority="635">
      <formula>MOD(ROW(),2)=0</formula>
    </cfRule>
  </conditionalFormatting>
  <conditionalFormatting sqref="D9:E9">
    <cfRule type="expression" dxfId="3560" priority="634">
      <formula>MOD(ROW(),2)=0</formula>
    </cfRule>
  </conditionalFormatting>
  <conditionalFormatting sqref="D8:E8">
    <cfRule type="expression" dxfId="3559" priority="633">
      <formula>MOD(ROW(),2)=0</formula>
    </cfRule>
  </conditionalFormatting>
  <conditionalFormatting sqref="D16:E16 D13:E13">
    <cfRule type="expression" dxfId="3558" priority="632">
      <formula>MOD(ROW(),2)=0</formula>
    </cfRule>
  </conditionalFormatting>
  <conditionalFormatting sqref="D14:E14 D17:E19">
    <cfRule type="expression" dxfId="3557" priority="631">
      <formula>MOD(ROW(),2)=0</formula>
    </cfRule>
  </conditionalFormatting>
  <conditionalFormatting sqref="D11:E11">
    <cfRule type="expression" dxfId="3556" priority="630">
      <formula>MOD(ROW(),2)=0</formula>
    </cfRule>
  </conditionalFormatting>
  <conditionalFormatting sqref="D22:E22">
    <cfRule type="expression" dxfId="3555" priority="629">
      <formula>MOD(ROW(),2)=0</formula>
    </cfRule>
  </conditionalFormatting>
  <conditionalFormatting sqref="D10:E10">
    <cfRule type="expression" dxfId="3554" priority="628">
      <formula>MOD(ROW(),2)=0</formula>
    </cfRule>
  </conditionalFormatting>
  <conditionalFormatting sqref="D9:E9">
    <cfRule type="expression" dxfId="3553" priority="627">
      <formula>MOD(ROW(),2)=0</formula>
    </cfRule>
  </conditionalFormatting>
  <conditionalFormatting sqref="D8:E8">
    <cfRule type="expression" dxfId="3552" priority="626">
      <formula>MOD(ROW(),2)=0</formula>
    </cfRule>
  </conditionalFormatting>
  <conditionalFormatting sqref="D16:E16 D13:E13">
    <cfRule type="expression" dxfId="3551" priority="625">
      <formula>MOD(ROW(),2)=0</formula>
    </cfRule>
  </conditionalFormatting>
  <conditionalFormatting sqref="D14:E14 D17:E19">
    <cfRule type="expression" dxfId="3550" priority="624">
      <formula>MOD(ROW(),2)=0</formula>
    </cfRule>
  </conditionalFormatting>
  <conditionalFormatting sqref="D11:E11">
    <cfRule type="expression" dxfId="3549" priority="623">
      <formula>MOD(ROW(),2)=0</formula>
    </cfRule>
  </conditionalFormatting>
  <conditionalFormatting sqref="D22:E22">
    <cfRule type="expression" dxfId="3548" priority="622">
      <formula>MOD(ROW(),2)=0</formula>
    </cfRule>
  </conditionalFormatting>
  <conditionalFormatting sqref="D10:E10">
    <cfRule type="expression" dxfId="3547" priority="621">
      <formula>MOD(ROW(),2)=0</formula>
    </cfRule>
  </conditionalFormatting>
  <conditionalFormatting sqref="D9:E9">
    <cfRule type="expression" dxfId="3546" priority="620">
      <formula>MOD(ROW(),2)=0</formula>
    </cfRule>
  </conditionalFormatting>
  <conditionalFormatting sqref="D8:E8">
    <cfRule type="expression" dxfId="3545" priority="619">
      <formula>MOD(ROW(),2)=0</formula>
    </cfRule>
  </conditionalFormatting>
  <conditionalFormatting sqref="D16:E16 D13:E13">
    <cfRule type="expression" dxfId="3544" priority="618">
      <formula>MOD(ROW(),2)=0</formula>
    </cfRule>
  </conditionalFormatting>
  <conditionalFormatting sqref="D14:E14 D17:E19">
    <cfRule type="expression" dxfId="3543" priority="617">
      <formula>MOD(ROW(),2)=0</formula>
    </cfRule>
  </conditionalFormatting>
  <conditionalFormatting sqref="D11:E11">
    <cfRule type="expression" dxfId="3542" priority="616">
      <formula>MOD(ROW(),2)=0</formula>
    </cfRule>
  </conditionalFormatting>
  <conditionalFormatting sqref="D22:E22">
    <cfRule type="expression" dxfId="3541" priority="615">
      <formula>MOD(ROW(),2)=0</formula>
    </cfRule>
  </conditionalFormatting>
  <conditionalFormatting sqref="D10:E10">
    <cfRule type="expression" dxfId="3540" priority="614">
      <formula>MOD(ROW(),2)=0</formula>
    </cfRule>
  </conditionalFormatting>
  <conditionalFormatting sqref="D9:E9">
    <cfRule type="expression" dxfId="3539" priority="613">
      <formula>MOD(ROW(),2)=0</formula>
    </cfRule>
  </conditionalFormatting>
  <conditionalFormatting sqref="D8:E8">
    <cfRule type="expression" dxfId="3538" priority="612">
      <formula>MOD(ROW(),2)=0</formula>
    </cfRule>
  </conditionalFormatting>
  <conditionalFormatting sqref="D16:E16 D13:E13">
    <cfRule type="expression" dxfId="3537" priority="611">
      <formula>MOD(ROW(),2)=0</formula>
    </cfRule>
  </conditionalFormatting>
  <conditionalFormatting sqref="D14:E14 D17:E19">
    <cfRule type="expression" dxfId="3536" priority="610">
      <formula>MOD(ROW(),2)=0</formula>
    </cfRule>
  </conditionalFormatting>
  <conditionalFormatting sqref="D11:E11">
    <cfRule type="expression" dxfId="3535" priority="609">
      <formula>MOD(ROW(),2)=0</formula>
    </cfRule>
  </conditionalFormatting>
  <conditionalFormatting sqref="D22:E22">
    <cfRule type="expression" dxfId="3534" priority="608">
      <formula>MOD(ROW(),2)=0</formula>
    </cfRule>
  </conditionalFormatting>
  <conditionalFormatting sqref="D10:E10">
    <cfRule type="expression" dxfId="3533" priority="607">
      <formula>MOD(ROW(),2)=0</formula>
    </cfRule>
  </conditionalFormatting>
  <conditionalFormatting sqref="D9:E9">
    <cfRule type="expression" dxfId="3532" priority="606">
      <formula>MOD(ROW(),2)=0</formula>
    </cfRule>
  </conditionalFormatting>
  <conditionalFormatting sqref="D8:E8">
    <cfRule type="expression" dxfId="3531" priority="605">
      <formula>MOD(ROW(),2)=0</formula>
    </cfRule>
  </conditionalFormatting>
  <conditionalFormatting sqref="D16:E16 D13:E13">
    <cfRule type="expression" dxfId="3530" priority="604">
      <formula>MOD(ROW(),2)=0</formula>
    </cfRule>
  </conditionalFormatting>
  <conditionalFormatting sqref="D14:E14 D17:E19">
    <cfRule type="expression" dxfId="3529" priority="603">
      <formula>MOD(ROW(),2)=0</formula>
    </cfRule>
  </conditionalFormatting>
  <conditionalFormatting sqref="D11:E11">
    <cfRule type="expression" dxfId="3528" priority="602">
      <formula>MOD(ROW(),2)=0</formula>
    </cfRule>
  </conditionalFormatting>
  <conditionalFormatting sqref="D22:E22">
    <cfRule type="expression" dxfId="3527" priority="601">
      <formula>MOD(ROW(),2)=0</formula>
    </cfRule>
  </conditionalFormatting>
  <conditionalFormatting sqref="D10:E10">
    <cfRule type="expression" dxfId="3526" priority="600">
      <formula>MOD(ROW(),2)=0</formula>
    </cfRule>
  </conditionalFormatting>
  <conditionalFormatting sqref="D9:E9">
    <cfRule type="expression" dxfId="3525" priority="599">
      <formula>MOD(ROW(),2)=0</formula>
    </cfRule>
  </conditionalFormatting>
  <conditionalFormatting sqref="D8:E8">
    <cfRule type="expression" dxfId="3524" priority="598">
      <formula>MOD(ROW(),2)=0</formula>
    </cfRule>
  </conditionalFormatting>
  <conditionalFormatting sqref="D16:E16 D13:E13">
    <cfRule type="expression" dxfId="3523" priority="597">
      <formula>MOD(ROW(),2)=0</formula>
    </cfRule>
  </conditionalFormatting>
  <conditionalFormatting sqref="D14:E14 D17:E19">
    <cfRule type="expression" dxfId="3522" priority="596">
      <formula>MOD(ROW(),2)=0</formula>
    </cfRule>
  </conditionalFormatting>
  <conditionalFormatting sqref="D11:E11">
    <cfRule type="expression" dxfId="3521" priority="595">
      <formula>MOD(ROW(),2)=0</formula>
    </cfRule>
  </conditionalFormatting>
  <conditionalFormatting sqref="D22:E22">
    <cfRule type="expression" dxfId="3520" priority="594">
      <formula>MOD(ROW(),2)=0</formula>
    </cfRule>
  </conditionalFormatting>
  <conditionalFormatting sqref="D10:E10">
    <cfRule type="expression" dxfId="3519" priority="593">
      <formula>MOD(ROW(),2)=0</formula>
    </cfRule>
  </conditionalFormatting>
  <conditionalFormatting sqref="D9:E9">
    <cfRule type="expression" dxfId="3518" priority="592">
      <formula>MOD(ROW(),2)=0</formula>
    </cfRule>
  </conditionalFormatting>
  <conditionalFormatting sqref="D8:E8">
    <cfRule type="expression" dxfId="3517" priority="591">
      <formula>MOD(ROW(),2)=0</formula>
    </cfRule>
  </conditionalFormatting>
  <conditionalFormatting sqref="D16:E16 D13:E13">
    <cfRule type="expression" dxfId="3516" priority="590">
      <formula>MOD(ROW(),2)=0</formula>
    </cfRule>
  </conditionalFormatting>
  <conditionalFormatting sqref="D14:E14 D17:E19">
    <cfRule type="expression" dxfId="3515" priority="589">
      <formula>MOD(ROW(),2)=0</formula>
    </cfRule>
  </conditionalFormatting>
  <conditionalFormatting sqref="D11:E11">
    <cfRule type="expression" dxfId="3514" priority="588">
      <formula>MOD(ROW(),2)=0</formula>
    </cfRule>
  </conditionalFormatting>
  <conditionalFormatting sqref="D10:E10">
    <cfRule type="expression" dxfId="3513" priority="587">
      <formula>MOD(ROW(),2)=0</formula>
    </cfRule>
  </conditionalFormatting>
  <conditionalFormatting sqref="D22:E22">
    <cfRule type="expression" dxfId="3512" priority="586">
      <formula>MOD(ROW(),2)=0</formula>
    </cfRule>
  </conditionalFormatting>
  <conditionalFormatting sqref="D9:E9">
    <cfRule type="expression" dxfId="3511" priority="585">
      <formula>MOD(ROW(),2)=0</formula>
    </cfRule>
  </conditionalFormatting>
  <conditionalFormatting sqref="D8:E8">
    <cfRule type="expression" dxfId="3510" priority="584">
      <formula>MOD(ROW(),2)=0</formula>
    </cfRule>
  </conditionalFormatting>
  <conditionalFormatting sqref="D16:E16 D13:E13">
    <cfRule type="expression" dxfId="3509" priority="583">
      <formula>MOD(ROW(),2)=0</formula>
    </cfRule>
  </conditionalFormatting>
  <conditionalFormatting sqref="D14:E14 D17:E19">
    <cfRule type="expression" dxfId="3508" priority="582">
      <formula>MOD(ROW(),2)=0</formula>
    </cfRule>
  </conditionalFormatting>
  <conditionalFormatting sqref="D11:E11">
    <cfRule type="expression" dxfId="3507" priority="581">
      <formula>MOD(ROW(),2)=0</formula>
    </cfRule>
  </conditionalFormatting>
  <conditionalFormatting sqref="D22:E22">
    <cfRule type="expression" dxfId="3506" priority="580">
      <formula>MOD(ROW(),2)=0</formula>
    </cfRule>
  </conditionalFormatting>
  <conditionalFormatting sqref="D10:E10">
    <cfRule type="expression" dxfId="3505" priority="579">
      <formula>MOD(ROW(),2)=0</formula>
    </cfRule>
  </conditionalFormatting>
  <conditionalFormatting sqref="D20:E20">
    <cfRule type="expression" dxfId="3504" priority="578">
      <formula>MOD(ROW(),2)=0</formula>
    </cfRule>
  </conditionalFormatting>
  <conditionalFormatting sqref="D20:E20">
    <cfRule type="expression" dxfId="3503" priority="577">
      <formula>MOD(ROW(),2)=0</formula>
    </cfRule>
  </conditionalFormatting>
  <conditionalFormatting sqref="D20:E20">
    <cfRule type="expression" dxfId="3502" priority="576">
      <formula>MOD(ROW(),2)=0</formula>
    </cfRule>
  </conditionalFormatting>
  <conditionalFormatting sqref="D20:E20">
    <cfRule type="expression" dxfId="3501" priority="575">
      <formula>MOD(ROW(),2)=0</formula>
    </cfRule>
  </conditionalFormatting>
  <conditionalFormatting sqref="D20:E20">
    <cfRule type="expression" dxfId="3500" priority="574">
      <formula>MOD(ROW(),2)=0</formula>
    </cfRule>
  </conditionalFormatting>
  <conditionalFormatting sqref="D20:E20">
    <cfRule type="expression" dxfId="3499" priority="573">
      <formula>MOD(ROW(),2)=0</formula>
    </cfRule>
  </conditionalFormatting>
  <conditionalFormatting sqref="D20:E20">
    <cfRule type="expression" dxfId="3498" priority="572">
      <formula>MOD(ROW(),2)=0</formula>
    </cfRule>
  </conditionalFormatting>
  <conditionalFormatting sqref="D20:E20">
    <cfRule type="expression" dxfId="3497" priority="571">
      <formula>MOD(ROW(),2)=0</formula>
    </cfRule>
  </conditionalFormatting>
  <conditionalFormatting sqref="D20:E20">
    <cfRule type="expression" dxfId="3496" priority="570">
      <formula>MOD(ROW(),2)=0</formula>
    </cfRule>
  </conditionalFormatting>
  <conditionalFormatting sqref="D20:E20">
    <cfRule type="expression" dxfId="3495" priority="569">
      <formula>MOD(ROW(),2)=0</formula>
    </cfRule>
  </conditionalFormatting>
  <conditionalFormatting sqref="D20:E20">
    <cfRule type="expression" dxfId="3494" priority="568">
      <formula>MOD(ROW(),2)=0</formula>
    </cfRule>
  </conditionalFormatting>
  <conditionalFormatting sqref="D20:E20">
    <cfRule type="expression" dxfId="3493" priority="567">
      <formula>MOD(ROW(),2)=0</formula>
    </cfRule>
  </conditionalFormatting>
  <conditionalFormatting sqref="D20:E20">
    <cfRule type="expression" dxfId="3492" priority="566">
      <formula>MOD(ROW(),2)=0</formula>
    </cfRule>
  </conditionalFormatting>
  <conditionalFormatting sqref="D20:E20">
    <cfRule type="expression" dxfId="3491" priority="565">
      <formula>MOD(ROW(),2)=0</formula>
    </cfRule>
  </conditionalFormatting>
  <conditionalFormatting sqref="D20:E20">
    <cfRule type="expression" dxfId="3490" priority="564">
      <formula>MOD(ROW(),2)=0</formula>
    </cfRule>
  </conditionalFormatting>
  <conditionalFormatting sqref="D20:E20">
    <cfRule type="expression" dxfId="3489" priority="563">
      <formula>MOD(ROW(),2)=0</formula>
    </cfRule>
  </conditionalFormatting>
  <conditionalFormatting sqref="D12:E12">
    <cfRule type="expression" dxfId="3488" priority="562">
      <formula>MOD(ROW(),2)=0</formula>
    </cfRule>
  </conditionalFormatting>
  <conditionalFormatting sqref="D12:E12">
    <cfRule type="expression" dxfId="3487" priority="561">
      <formula>MOD(ROW(),2)=0</formula>
    </cfRule>
  </conditionalFormatting>
  <conditionalFormatting sqref="D12:E12">
    <cfRule type="expression" dxfId="3486" priority="560">
      <formula>MOD(ROW(),2)=0</formula>
    </cfRule>
  </conditionalFormatting>
  <conditionalFormatting sqref="D12:E12">
    <cfRule type="expression" dxfId="3485" priority="559">
      <formula>MOD(ROW(),2)=0</formula>
    </cfRule>
  </conditionalFormatting>
  <conditionalFormatting sqref="D12:E12">
    <cfRule type="expression" dxfId="3484" priority="558">
      <formula>MOD(ROW(),2)=0</formula>
    </cfRule>
  </conditionalFormatting>
  <conditionalFormatting sqref="D12:E12">
    <cfRule type="expression" dxfId="3483" priority="557">
      <formula>MOD(ROW(),2)=0</formula>
    </cfRule>
  </conditionalFormatting>
  <conditionalFormatting sqref="D12:E12">
    <cfRule type="expression" dxfId="3482" priority="556">
      <formula>MOD(ROW(),2)=0</formula>
    </cfRule>
  </conditionalFormatting>
  <conditionalFormatting sqref="D12:E12">
    <cfRule type="expression" dxfId="3481" priority="555">
      <formula>MOD(ROW(),2)=0</formula>
    </cfRule>
  </conditionalFormatting>
  <conditionalFormatting sqref="D12:E12">
    <cfRule type="expression" dxfId="3480" priority="554">
      <formula>MOD(ROW(),2)=0</formula>
    </cfRule>
  </conditionalFormatting>
  <conditionalFormatting sqref="D12:E12">
    <cfRule type="expression" dxfId="3479" priority="553">
      <formula>MOD(ROW(),2)=0</formula>
    </cfRule>
  </conditionalFormatting>
  <conditionalFormatting sqref="D12:E12">
    <cfRule type="expression" dxfId="3478" priority="552">
      <formula>MOD(ROW(),2)=0</formula>
    </cfRule>
  </conditionalFormatting>
  <conditionalFormatting sqref="D12:E12">
    <cfRule type="expression" dxfId="3477" priority="551">
      <formula>MOD(ROW(),2)=0</formula>
    </cfRule>
  </conditionalFormatting>
  <conditionalFormatting sqref="D12:E12">
    <cfRule type="expression" dxfId="3476" priority="550">
      <formula>MOD(ROW(),2)=0</formula>
    </cfRule>
  </conditionalFormatting>
  <conditionalFormatting sqref="D12:E12">
    <cfRule type="expression" dxfId="3475" priority="549">
      <formula>MOD(ROW(),2)=0</formula>
    </cfRule>
  </conditionalFormatting>
  <conditionalFormatting sqref="D12:E12">
    <cfRule type="expression" dxfId="3474" priority="548">
      <formula>MOD(ROW(),2)=0</formula>
    </cfRule>
  </conditionalFormatting>
  <conditionalFormatting sqref="D12:E12">
    <cfRule type="expression" dxfId="3473" priority="547">
      <formula>MOD(ROW(),2)=0</formula>
    </cfRule>
  </conditionalFormatting>
  <conditionalFormatting sqref="D15:E15">
    <cfRule type="expression" dxfId="3472" priority="546">
      <formula>MOD(ROW(),2)=0</formula>
    </cfRule>
  </conditionalFormatting>
  <conditionalFormatting sqref="D15:E15">
    <cfRule type="expression" dxfId="3471" priority="545">
      <formula>MOD(ROW(),2)=0</formula>
    </cfRule>
  </conditionalFormatting>
  <conditionalFormatting sqref="D15:E15">
    <cfRule type="expression" dxfId="3470" priority="544">
      <formula>MOD(ROW(),2)=0</formula>
    </cfRule>
  </conditionalFormatting>
  <conditionalFormatting sqref="D15:E15">
    <cfRule type="expression" dxfId="3469" priority="543">
      <formula>MOD(ROW(),2)=0</formula>
    </cfRule>
  </conditionalFormatting>
  <conditionalFormatting sqref="D15:E15">
    <cfRule type="expression" dxfId="3468" priority="542">
      <formula>MOD(ROW(),2)=0</formula>
    </cfRule>
  </conditionalFormatting>
  <conditionalFormatting sqref="D15:E15">
    <cfRule type="expression" dxfId="3467" priority="541">
      <formula>MOD(ROW(),2)=0</formula>
    </cfRule>
  </conditionalFormatting>
  <conditionalFormatting sqref="D15:E15">
    <cfRule type="expression" dxfId="3466" priority="540">
      <formula>MOD(ROW(),2)=0</formula>
    </cfRule>
  </conditionalFormatting>
  <conditionalFormatting sqref="D15:E15">
    <cfRule type="expression" dxfId="3465" priority="539">
      <formula>MOD(ROW(),2)=0</formula>
    </cfRule>
  </conditionalFormatting>
  <conditionalFormatting sqref="D15:E15">
    <cfRule type="expression" dxfId="3464" priority="538">
      <formula>MOD(ROW(),2)=0</formula>
    </cfRule>
  </conditionalFormatting>
  <conditionalFormatting sqref="D15:E15">
    <cfRule type="expression" dxfId="3463" priority="537">
      <formula>MOD(ROW(),2)=0</formula>
    </cfRule>
  </conditionalFormatting>
  <conditionalFormatting sqref="D15:E15">
    <cfRule type="expression" dxfId="3462" priority="536">
      <formula>MOD(ROW(),2)=0</formula>
    </cfRule>
  </conditionalFormatting>
  <conditionalFormatting sqref="D15:E15">
    <cfRule type="expression" dxfId="3461" priority="535">
      <formula>MOD(ROW(),2)=0</formula>
    </cfRule>
  </conditionalFormatting>
  <conditionalFormatting sqref="D15:E15">
    <cfRule type="expression" dxfId="3460" priority="534">
      <formula>MOD(ROW(),2)=0</formula>
    </cfRule>
  </conditionalFormatting>
  <conditionalFormatting sqref="D15:E15">
    <cfRule type="expression" dxfId="3459" priority="533">
      <formula>MOD(ROW(),2)=0</formula>
    </cfRule>
  </conditionalFormatting>
  <conditionalFormatting sqref="D15:E15">
    <cfRule type="expression" dxfId="3458" priority="532">
      <formula>MOD(ROW(),2)=0</formula>
    </cfRule>
  </conditionalFormatting>
  <conditionalFormatting sqref="D15:E15">
    <cfRule type="expression" dxfId="3457" priority="531">
      <formula>MOD(ROW(),2)=0</formula>
    </cfRule>
  </conditionalFormatting>
  <conditionalFormatting sqref="D103:D104 D107">
    <cfRule type="expression" dxfId="3456" priority="530">
      <formula>MOD(ROW(),2)=0</formula>
    </cfRule>
  </conditionalFormatting>
  <conditionalFormatting sqref="D105:D106">
    <cfRule type="expression" dxfId="3455" priority="529">
      <formula>MOD(ROW(),2)=0</formula>
    </cfRule>
  </conditionalFormatting>
  <conditionalFormatting sqref="F21">
    <cfRule type="expression" dxfId="3454" priority="352">
      <formula>MOD(ROW(),2)=0</formula>
    </cfRule>
  </conditionalFormatting>
  <conditionalFormatting sqref="F21">
    <cfRule type="expression" dxfId="3453" priority="351">
      <formula>MOD(ROW(),2)=0</formula>
    </cfRule>
  </conditionalFormatting>
  <conditionalFormatting sqref="F21">
    <cfRule type="expression" dxfId="3452" priority="350">
      <formula>MOD(ROW(),2)=0</formula>
    </cfRule>
  </conditionalFormatting>
  <conditionalFormatting sqref="F21">
    <cfRule type="expression" dxfId="3451" priority="349">
      <formula>MOD(ROW(),2)=0</formula>
    </cfRule>
  </conditionalFormatting>
  <conditionalFormatting sqref="F21">
    <cfRule type="expression" dxfId="3450" priority="348">
      <formula>MOD(ROW(),2)=0</formula>
    </cfRule>
  </conditionalFormatting>
  <conditionalFormatting sqref="F21">
    <cfRule type="expression" dxfId="3449" priority="347">
      <formula>MOD(ROW(),2)=0</formula>
    </cfRule>
  </conditionalFormatting>
  <conditionalFormatting sqref="F21">
    <cfRule type="expression" dxfId="3448" priority="346">
      <formula>MOD(ROW(),2)=0</formula>
    </cfRule>
  </conditionalFormatting>
  <conditionalFormatting sqref="F21">
    <cfRule type="expression" dxfId="3447" priority="345">
      <formula>MOD(ROW(),2)=0</formula>
    </cfRule>
  </conditionalFormatting>
  <conditionalFormatting sqref="F21">
    <cfRule type="expression" dxfId="3446" priority="344">
      <formula>MOD(ROW(),2)=0</formula>
    </cfRule>
  </conditionalFormatting>
  <conditionalFormatting sqref="F21">
    <cfRule type="expression" dxfId="3445" priority="343">
      <formula>MOD(ROW(),2)=0</formula>
    </cfRule>
  </conditionalFormatting>
  <conditionalFormatting sqref="F21">
    <cfRule type="expression" dxfId="3444" priority="342">
      <formula>MOD(ROW(),2)=0</formula>
    </cfRule>
  </conditionalFormatting>
  <conditionalFormatting sqref="F21">
    <cfRule type="expression" dxfId="3443" priority="341">
      <formula>MOD(ROW(),2)=0</formula>
    </cfRule>
  </conditionalFormatting>
  <conditionalFormatting sqref="F21">
    <cfRule type="expression" dxfId="3442" priority="340">
      <formula>MOD(ROW(),2)=0</formula>
    </cfRule>
  </conditionalFormatting>
  <conditionalFormatting sqref="F21">
    <cfRule type="expression" dxfId="3441" priority="339">
      <formula>MOD(ROW(),2)=0</formula>
    </cfRule>
  </conditionalFormatting>
  <conditionalFormatting sqref="F21">
    <cfRule type="expression" dxfId="3440" priority="338">
      <formula>MOD(ROW(),2)=0</formula>
    </cfRule>
  </conditionalFormatting>
  <conditionalFormatting sqref="F21">
    <cfRule type="expression" dxfId="3439" priority="337">
      <formula>MOD(ROW(),2)=0</formula>
    </cfRule>
  </conditionalFormatting>
  <conditionalFormatting sqref="F9">
    <cfRule type="expression" dxfId="3438" priority="336">
      <formula>MOD(ROW(),2)=0</formula>
    </cfRule>
  </conditionalFormatting>
  <conditionalFormatting sqref="F8">
    <cfRule type="expression" dxfId="3437" priority="335">
      <formula>MOD(ROW(),2)=0</formula>
    </cfRule>
  </conditionalFormatting>
  <conditionalFormatting sqref="F16 F13">
    <cfRule type="expression" dxfId="3436" priority="334">
      <formula>MOD(ROW(),2)=0</formula>
    </cfRule>
  </conditionalFormatting>
  <conditionalFormatting sqref="F14 F17:F19">
    <cfRule type="expression" dxfId="3435" priority="333">
      <formula>MOD(ROW(),2)=0</formula>
    </cfRule>
  </conditionalFormatting>
  <conditionalFormatting sqref="F11">
    <cfRule type="expression" dxfId="3434" priority="332">
      <formula>MOD(ROW(),2)=0</formula>
    </cfRule>
  </conditionalFormatting>
  <conditionalFormatting sqref="F22">
    <cfRule type="expression" dxfId="3433" priority="331">
      <formula>MOD(ROW(),2)=0</formula>
    </cfRule>
  </conditionalFormatting>
  <conditionalFormatting sqref="F10">
    <cfRule type="expression" dxfId="3432" priority="330">
      <formula>MOD(ROW(),2)=0</formula>
    </cfRule>
  </conditionalFormatting>
  <conditionalFormatting sqref="F9">
    <cfRule type="expression" dxfId="3431" priority="329">
      <formula>MOD(ROW(),2)=0</formula>
    </cfRule>
  </conditionalFormatting>
  <conditionalFormatting sqref="F8">
    <cfRule type="expression" dxfId="3430" priority="328">
      <formula>MOD(ROW(),2)=0</formula>
    </cfRule>
  </conditionalFormatting>
  <conditionalFormatting sqref="F16 F13">
    <cfRule type="expression" dxfId="3429" priority="327">
      <formula>MOD(ROW(),2)=0</formula>
    </cfRule>
  </conditionalFormatting>
  <conditionalFormatting sqref="F14 F17:F19">
    <cfRule type="expression" dxfId="3428" priority="326">
      <formula>MOD(ROW(),2)=0</formula>
    </cfRule>
  </conditionalFormatting>
  <conditionalFormatting sqref="F11">
    <cfRule type="expression" dxfId="3427" priority="325">
      <formula>MOD(ROW(),2)=0</formula>
    </cfRule>
  </conditionalFormatting>
  <conditionalFormatting sqref="F22">
    <cfRule type="expression" dxfId="3426" priority="324">
      <formula>MOD(ROW(),2)=0</formula>
    </cfRule>
  </conditionalFormatting>
  <conditionalFormatting sqref="F10">
    <cfRule type="expression" dxfId="3425" priority="323">
      <formula>MOD(ROW(),2)=0</formula>
    </cfRule>
  </conditionalFormatting>
  <conditionalFormatting sqref="F9">
    <cfRule type="expression" dxfId="3424" priority="322">
      <formula>MOD(ROW(),2)=0</formula>
    </cfRule>
  </conditionalFormatting>
  <conditionalFormatting sqref="F8">
    <cfRule type="expression" dxfId="3423" priority="321">
      <formula>MOD(ROW(),2)=0</formula>
    </cfRule>
  </conditionalFormatting>
  <conditionalFormatting sqref="F16 F13">
    <cfRule type="expression" dxfId="3422" priority="320">
      <formula>MOD(ROW(),2)=0</formula>
    </cfRule>
  </conditionalFormatting>
  <conditionalFormatting sqref="F14 F17:F19">
    <cfRule type="expression" dxfId="3421" priority="319">
      <formula>MOD(ROW(),2)=0</formula>
    </cfRule>
  </conditionalFormatting>
  <conditionalFormatting sqref="F11">
    <cfRule type="expression" dxfId="3420" priority="318">
      <formula>MOD(ROW(),2)=0</formula>
    </cfRule>
  </conditionalFormatting>
  <conditionalFormatting sqref="F22">
    <cfRule type="expression" dxfId="3419" priority="317">
      <formula>MOD(ROW(),2)=0</formula>
    </cfRule>
  </conditionalFormatting>
  <conditionalFormatting sqref="F10">
    <cfRule type="expression" dxfId="3418" priority="316">
      <formula>MOD(ROW(),2)=0</formula>
    </cfRule>
  </conditionalFormatting>
  <conditionalFormatting sqref="F9">
    <cfRule type="expression" dxfId="3417" priority="315">
      <formula>MOD(ROW(),2)=0</formula>
    </cfRule>
  </conditionalFormatting>
  <conditionalFormatting sqref="F8">
    <cfRule type="expression" dxfId="3416" priority="314">
      <formula>MOD(ROW(),2)=0</formula>
    </cfRule>
  </conditionalFormatting>
  <conditionalFormatting sqref="F16 F13">
    <cfRule type="expression" dxfId="3415" priority="313">
      <formula>MOD(ROW(),2)=0</formula>
    </cfRule>
  </conditionalFormatting>
  <conditionalFormatting sqref="F14 F17:F19">
    <cfRule type="expression" dxfId="3414" priority="312">
      <formula>MOD(ROW(),2)=0</formula>
    </cfRule>
  </conditionalFormatting>
  <conditionalFormatting sqref="F11">
    <cfRule type="expression" dxfId="3413" priority="311">
      <formula>MOD(ROW(),2)=0</formula>
    </cfRule>
  </conditionalFormatting>
  <conditionalFormatting sqref="F22">
    <cfRule type="expression" dxfId="3412" priority="310">
      <formula>MOD(ROW(),2)=0</formula>
    </cfRule>
  </conditionalFormatting>
  <conditionalFormatting sqref="F10">
    <cfRule type="expression" dxfId="3411" priority="309">
      <formula>MOD(ROW(),2)=0</formula>
    </cfRule>
  </conditionalFormatting>
  <conditionalFormatting sqref="F9">
    <cfRule type="expression" dxfId="3410" priority="308">
      <formula>MOD(ROW(),2)=0</formula>
    </cfRule>
  </conditionalFormatting>
  <conditionalFormatting sqref="F8">
    <cfRule type="expression" dxfId="3409" priority="307">
      <formula>MOD(ROW(),2)=0</formula>
    </cfRule>
  </conditionalFormatting>
  <conditionalFormatting sqref="F16 F13">
    <cfRule type="expression" dxfId="3408" priority="306">
      <formula>MOD(ROW(),2)=0</formula>
    </cfRule>
  </conditionalFormatting>
  <conditionalFormatting sqref="F14 F17:F19">
    <cfRule type="expression" dxfId="3407" priority="305">
      <formula>MOD(ROW(),2)=0</formula>
    </cfRule>
  </conditionalFormatting>
  <conditionalFormatting sqref="F11">
    <cfRule type="expression" dxfId="3406" priority="304">
      <formula>MOD(ROW(),2)=0</formula>
    </cfRule>
  </conditionalFormatting>
  <conditionalFormatting sqref="F22">
    <cfRule type="expression" dxfId="3405" priority="303">
      <formula>MOD(ROW(),2)=0</formula>
    </cfRule>
  </conditionalFormatting>
  <conditionalFormatting sqref="F10">
    <cfRule type="expression" dxfId="3404" priority="302">
      <formula>MOD(ROW(),2)=0</formula>
    </cfRule>
  </conditionalFormatting>
  <conditionalFormatting sqref="F9">
    <cfRule type="expression" dxfId="3403" priority="301">
      <formula>MOD(ROW(),2)=0</formula>
    </cfRule>
  </conditionalFormatting>
  <conditionalFormatting sqref="F8">
    <cfRule type="expression" dxfId="3402" priority="300">
      <formula>MOD(ROW(),2)=0</formula>
    </cfRule>
  </conditionalFormatting>
  <conditionalFormatting sqref="F16 F13">
    <cfRule type="expression" dxfId="3401" priority="299">
      <formula>MOD(ROW(),2)=0</formula>
    </cfRule>
  </conditionalFormatting>
  <conditionalFormatting sqref="F14 F17:F19">
    <cfRule type="expression" dxfId="3400" priority="298">
      <formula>MOD(ROW(),2)=0</formula>
    </cfRule>
  </conditionalFormatting>
  <conditionalFormatting sqref="F11">
    <cfRule type="expression" dxfId="3399" priority="297">
      <formula>MOD(ROW(),2)=0</formula>
    </cfRule>
  </conditionalFormatting>
  <conditionalFormatting sqref="F22">
    <cfRule type="expression" dxfId="3398" priority="296">
      <formula>MOD(ROW(),2)=0</formula>
    </cfRule>
  </conditionalFormatting>
  <conditionalFormatting sqref="F10">
    <cfRule type="expression" dxfId="3397" priority="295">
      <formula>MOD(ROW(),2)=0</formula>
    </cfRule>
  </conditionalFormatting>
  <conditionalFormatting sqref="F9">
    <cfRule type="expression" dxfId="3396" priority="294">
      <formula>MOD(ROW(),2)=0</formula>
    </cfRule>
  </conditionalFormatting>
  <conditionalFormatting sqref="F8">
    <cfRule type="expression" dxfId="3395" priority="293">
      <formula>MOD(ROW(),2)=0</formula>
    </cfRule>
  </conditionalFormatting>
  <conditionalFormatting sqref="F16 F13">
    <cfRule type="expression" dxfId="3394" priority="292">
      <formula>MOD(ROW(),2)=0</formula>
    </cfRule>
  </conditionalFormatting>
  <conditionalFormatting sqref="F14 F17:F19">
    <cfRule type="expression" dxfId="3393" priority="291">
      <formula>MOD(ROW(),2)=0</formula>
    </cfRule>
  </conditionalFormatting>
  <conditionalFormatting sqref="F11">
    <cfRule type="expression" dxfId="3392" priority="290">
      <formula>MOD(ROW(),2)=0</formula>
    </cfRule>
  </conditionalFormatting>
  <conditionalFormatting sqref="F10">
    <cfRule type="expression" dxfId="3391" priority="289">
      <formula>MOD(ROW(),2)=0</formula>
    </cfRule>
  </conditionalFormatting>
  <conditionalFormatting sqref="F22">
    <cfRule type="expression" dxfId="3390" priority="288">
      <formula>MOD(ROW(),2)=0</formula>
    </cfRule>
  </conditionalFormatting>
  <conditionalFormatting sqref="F9">
    <cfRule type="expression" dxfId="3389" priority="287">
      <formula>MOD(ROW(),2)=0</formula>
    </cfRule>
  </conditionalFormatting>
  <conditionalFormatting sqref="F8">
    <cfRule type="expression" dxfId="3388" priority="286">
      <formula>MOD(ROW(),2)=0</formula>
    </cfRule>
  </conditionalFormatting>
  <conditionalFormatting sqref="F16 F13">
    <cfRule type="expression" dxfId="3387" priority="285">
      <formula>MOD(ROW(),2)=0</formula>
    </cfRule>
  </conditionalFormatting>
  <conditionalFormatting sqref="F14 F17:F19">
    <cfRule type="expression" dxfId="3386" priority="284">
      <formula>MOD(ROW(),2)=0</formula>
    </cfRule>
  </conditionalFormatting>
  <conditionalFormatting sqref="F11">
    <cfRule type="expression" dxfId="3385" priority="283">
      <formula>MOD(ROW(),2)=0</formula>
    </cfRule>
  </conditionalFormatting>
  <conditionalFormatting sqref="F22">
    <cfRule type="expression" dxfId="3384" priority="282">
      <formula>MOD(ROW(),2)=0</formula>
    </cfRule>
  </conditionalFormatting>
  <conditionalFormatting sqref="F10">
    <cfRule type="expression" dxfId="3383" priority="281">
      <formula>MOD(ROW(),2)=0</formula>
    </cfRule>
  </conditionalFormatting>
  <conditionalFormatting sqref="F9">
    <cfRule type="expression" dxfId="3382" priority="280">
      <formula>MOD(ROW(),2)=0</formula>
    </cfRule>
  </conditionalFormatting>
  <conditionalFormatting sqref="F8">
    <cfRule type="expression" dxfId="3381" priority="279">
      <formula>MOD(ROW(),2)=0</formula>
    </cfRule>
  </conditionalFormatting>
  <conditionalFormatting sqref="F16 F13">
    <cfRule type="expression" dxfId="3380" priority="278">
      <formula>MOD(ROW(),2)=0</formula>
    </cfRule>
  </conditionalFormatting>
  <conditionalFormatting sqref="F14 F17:F19">
    <cfRule type="expression" dxfId="3379" priority="277">
      <formula>MOD(ROW(),2)=0</formula>
    </cfRule>
  </conditionalFormatting>
  <conditionalFormatting sqref="F11">
    <cfRule type="expression" dxfId="3378" priority="276">
      <formula>MOD(ROW(),2)=0</formula>
    </cfRule>
  </conditionalFormatting>
  <conditionalFormatting sqref="F22">
    <cfRule type="expression" dxfId="3377" priority="275">
      <formula>MOD(ROW(),2)=0</formula>
    </cfRule>
  </conditionalFormatting>
  <conditionalFormatting sqref="F10">
    <cfRule type="expression" dxfId="3376" priority="274">
      <formula>MOD(ROW(),2)=0</formula>
    </cfRule>
  </conditionalFormatting>
  <conditionalFormatting sqref="F9">
    <cfRule type="expression" dxfId="3375" priority="273">
      <formula>MOD(ROW(),2)=0</formula>
    </cfRule>
  </conditionalFormatting>
  <conditionalFormatting sqref="F8">
    <cfRule type="expression" dxfId="3374" priority="272">
      <formula>MOD(ROW(),2)=0</formula>
    </cfRule>
  </conditionalFormatting>
  <conditionalFormatting sqref="F16 F13">
    <cfRule type="expression" dxfId="3373" priority="271">
      <formula>MOD(ROW(),2)=0</formula>
    </cfRule>
  </conditionalFormatting>
  <conditionalFormatting sqref="F14 F17:F19">
    <cfRule type="expression" dxfId="3372" priority="270">
      <formula>MOD(ROW(),2)=0</formula>
    </cfRule>
  </conditionalFormatting>
  <conditionalFormatting sqref="F11">
    <cfRule type="expression" dxfId="3371" priority="269">
      <formula>MOD(ROW(),2)=0</formula>
    </cfRule>
  </conditionalFormatting>
  <conditionalFormatting sqref="F22">
    <cfRule type="expression" dxfId="3370" priority="268">
      <formula>MOD(ROW(),2)=0</formula>
    </cfRule>
  </conditionalFormatting>
  <conditionalFormatting sqref="F10">
    <cfRule type="expression" dxfId="3369" priority="267">
      <formula>MOD(ROW(),2)=0</formula>
    </cfRule>
  </conditionalFormatting>
  <conditionalFormatting sqref="F9">
    <cfRule type="expression" dxfId="3368" priority="266">
      <formula>MOD(ROW(),2)=0</formula>
    </cfRule>
  </conditionalFormatting>
  <conditionalFormatting sqref="F8">
    <cfRule type="expression" dxfId="3367" priority="265">
      <formula>MOD(ROW(),2)=0</formula>
    </cfRule>
  </conditionalFormatting>
  <conditionalFormatting sqref="F16 F13">
    <cfRule type="expression" dxfId="3366" priority="264">
      <formula>MOD(ROW(),2)=0</formula>
    </cfRule>
  </conditionalFormatting>
  <conditionalFormatting sqref="F14 F17:F19">
    <cfRule type="expression" dxfId="3365" priority="263">
      <formula>MOD(ROW(),2)=0</formula>
    </cfRule>
  </conditionalFormatting>
  <conditionalFormatting sqref="F11">
    <cfRule type="expression" dxfId="3364" priority="262">
      <formula>MOD(ROW(),2)=0</formula>
    </cfRule>
  </conditionalFormatting>
  <conditionalFormatting sqref="F22">
    <cfRule type="expression" dxfId="3363" priority="261">
      <formula>MOD(ROW(),2)=0</formula>
    </cfRule>
  </conditionalFormatting>
  <conditionalFormatting sqref="F10">
    <cfRule type="expression" dxfId="3362" priority="260">
      <formula>MOD(ROW(),2)=0</formula>
    </cfRule>
  </conditionalFormatting>
  <conditionalFormatting sqref="F9">
    <cfRule type="expression" dxfId="3361" priority="259">
      <formula>MOD(ROW(),2)=0</formula>
    </cfRule>
  </conditionalFormatting>
  <conditionalFormatting sqref="F8">
    <cfRule type="expression" dxfId="3360" priority="258">
      <formula>MOD(ROW(),2)=0</formula>
    </cfRule>
  </conditionalFormatting>
  <conditionalFormatting sqref="F16 F13">
    <cfRule type="expression" dxfId="3359" priority="257">
      <formula>MOD(ROW(),2)=0</formula>
    </cfRule>
  </conditionalFormatting>
  <conditionalFormatting sqref="F14 F17:F19">
    <cfRule type="expression" dxfId="3358" priority="256">
      <formula>MOD(ROW(),2)=0</formula>
    </cfRule>
  </conditionalFormatting>
  <conditionalFormatting sqref="F11">
    <cfRule type="expression" dxfId="3357" priority="255">
      <formula>MOD(ROW(),2)=0</formula>
    </cfRule>
  </conditionalFormatting>
  <conditionalFormatting sqref="F22">
    <cfRule type="expression" dxfId="3356" priority="254">
      <formula>MOD(ROW(),2)=0</formula>
    </cfRule>
  </conditionalFormatting>
  <conditionalFormatting sqref="F10">
    <cfRule type="expression" dxfId="3355" priority="253">
      <formula>MOD(ROW(),2)=0</formula>
    </cfRule>
  </conditionalFormatting>
  <conditionalFormatting sqref="F9">
    <cfRule type="expression" dxfId="3354" priority="252">
      <formula>MOD(ROW(),2)=0</formula>
    </cfRule>
  </conditionalFormatting>
  <conditionalFormatting sqref="F8">
    <cfRule type="expression" dxfId="3353" priority="251">
      <formula>MOD(ROW(),2)=0</formula>
    </cfRule>
  </conditionalFormatting>
  <conditionalFormatting sqref="F16 F13">
    <cfRule type="expression" dxfId="3352" priority="250">
      <formula>MOD(ROW(),2)=0</formula>
    </cfRule>
  </conditionalFormatting>
  <conditionalFormatting sqref="F14 F17:F19">
    <cfRule type="expression" dxfId="3351" priority="249">
      <formula>MOD(ROW(),2)=0</formula>
    </cfRule>
  </conditionalFormatting>
  <conditionalFormatting sqref="F11">
    <cfRule type="expression" dxfId="3350" priority="248">
      <formula>MOD(ROW(),2)=0</formula>
    </cfRule>
  </conditionalFormatting>
  <conditionalFormatting sqref="F22">
    <cfRule type="expression" dxfId="3349" priority="247">
      <formula>MOD(ROW(),2)=0</formula>
    </cfRule>
  </conditionalFormatting>
  <conditionalFormatting sqref="F10">
    <cfRule type="expression" dxfId="3348" priority="246">
      <formula>MOD(ROW(),2)=0</formula>
    </cfRule>
  </conditionalFormatting>
  <conditionalFormatting sqref="F9">
    <cfRule type="expression" dxfId="3347" priority="245">
      <formula>MOD(ROW(),2)=0</formula>
    </cfRule>
  </conditionalFormatting>
  <conditionalFormatting sqref="F8">
    <cfRule type="expression" dxfId="3346" priority="244">
      <formula>MOD(ROW(),2)=0</formula>
    </cfRule>
  </conditionalFormatting>
  <conditionalFormatting sqref="F16 F13">
    <cfRule type="expression" dxfId="3345" priority="243">
      <formula>MOD(ROW(),2)=0</formula>
    </cfRule>
  </conditionalFormatting>
  <conditionalFormatting sqref="F14 F17:F19">
    <cfRule type="expression" dxfId="3344" priority="242">
      <formula>MOD(ROW(),2)=0</formula>
    </cfRule>
  </conditionalFormatting>
  <conditionalFormatting sqref="F11">
    <cfRule type="expression" dxfId="3343" priority="241">
      <formula>MOD(ROW(),2)=0</formula>
    </cfRule>
  </conditionalFormatting>
  <conditionalFormatting sqref="F22">
    <cfRule type="expression" dxfId="3342" priority="240">
      <formula>MOD(ROW(),2)=0</formula>
    </cfRule>
  </conditionalFormatting>
  <conditionalFormatting sqref="F10">
    <cfRule type="expression" dxfId="3341" priority="239">
      <formula>MOD(ROW(),2)=0</formula>
    </cfRule>
  </conditionalFormatting>
  <conditionalFormatting sqref="F9">
    <cfRule type="expression" dxfId="3340" priority="238">
      <formula>MOD(ROW(),2)=0</formula>
    </cfRule>
  </conditionalFormatting>
  <conditionalFormatting sqref="F8">
    <cfRule type="expression" dxfId="3339" priority="237">
      <formula>MOD(ROW(),2)=0</formula>
    </cfRule>
  </conditionalFormatting>
  <conditionalFormatting sqref="F16 F13">
    <cfRule type="expression" dxfId="3338" priority="236">
      <formula>MOD(ROW(),2)=0</formula>
    </cfRule>
  </conditionalFormatting>
  <conditionalFormatting sqref="F14 F17:F19">
    <cfRule type="expression" dxfId="3337" priority="235">
      <formula>MOD(ROW(),2)=0</formula>
    </cfRule>
  </conditionalFormatting>
  <conditionalFormatting sqref="F11">
    <cfRule type="expression" dxfId="3336" priority="234">
      <formula>MOD(ROW(),2)=0</formula>
    </cfRule>
  </conditionalFormatting>
  <conditionalFormatting sqref="F10">
    <cfRule type="expression" dxfId="3335" priority="233">
      <formula>MOD(ROW(),2)=0</formula>
    </cfRule>
  </conditionalFormatting>
  <conditionalFormatting sqref="F22">
    <cfRule type="expression" dxfId="3334" priority="232">
      <formula>MOD(ROW(),2)=0</formula>
    </cfRule>
  </conditionalFormatting>
  <conditionalFormatting sqref="F9">
    <cfRule type="expression" dxfId="3333" priority="231">
      <formula>MOD(ROW(),2)=0</formula>
    </cfRule>
  </conditionalFormatting>
  <conditionalFormatting sqref="F8">
    <cfRule type="expression" dxfId="3332" priority="230">
      <formula>MOD(ROW(),2)=0</formula>
    </cfRule>
  </conditionalFormatting>
  <conditionalFormatting sqref="F16 F13">
    <cfRule type="expression" dxfId="3331" priority="229">
      <formula>MOD(ROW(),2)=0</formula>
    </cfRule>
  </conditionalFormatting>
  <conditionalFormatting sqref="F14 F17:F19">
    <cfRule type="expression" dxfId="3330" priority="228">
      <formula>MOD(ROW(),2)=0</formula>
    </cfRule>
  </conditionalFormatting>
  <conditionalFormatting sqref="F11">
    <cfRule type="expression" dxfId="3329" priority="227">
      <formula>MOD(ROW(),2)=0</formula>
    </cfRule>
  </conditionalFormatting>
  <conditionalFormatting sqref="F22">
    <cfRule type="expression" dxfId="3328" priority="226">
      <formula>MOD(ROW(),2)=0</formula>
    </cfRule>
  </conditionalFormatting>
  <conditionalFormatting sqref="F10">
    <cfRule type="expression" dxfId="3327" priority="225">
      <formula>MOD(ROW(),2)=0</formula>
    </cfRule>
  </conditionalFormatting>
  <conditionalFormatting sqref="F20">
    <cfRule type="expression" dxfId="3326" priority="224">
      <formula>MOD(ROW(),2)=0</formula>
    </cfRule>
  </conditionalFormatting>
  <conditionalFormatting sqref="F20">
    <cfRule type="expression" dxfId="3325" priority="223">
      <formula>MOD(ROW(),2)=0</formula>
    </cfRule>
  </conditionalFormatting>
  <conditionalFormatting sqref="F20">
    <cfRule type="expression" dxfId="3324" priority="222">
      <formula>MOD(ROW(),2)=0</formula>
    </cfRule>
  </conditionalFormatting>
  <conditionalFormatting sqref="F20">
    <cfRule type="expression" dxfId="3323" priority="221">
      <formula>MOD(ROW(),2)=0</formula>
    </cfRule>
  </conditionalFormatting>
  <conditionalFormatting sqref="F20">
    <cfRule type="expression" dxfId="3322" priority="220">
      <formula>MOD(ROW(),2)=0</formula>
    </cfRule>
  </conditionalFormatting>
  <conditionalFormatting sqref="F20">
    <cfRule type="expression" dxfId="3321" priority="219">
      <formula>MOD(ROW(),2)=0</formula>
    </cfRule>
  </conditionalFormatting>
  <conditionalFormatting sqref="F20">
    <cfRule type="expression" dxfId="3320" priority="218">
      <formula>MOD(ROW(),2)=0</formula>
    </cfRule>
  </conditionalFormatting>
  <conditionalFormatting sqref="F20">
    <cfRule type="expression" dxfId="3319" priority="217">
      <formula>MOD(ROW(),2)=0</formula>
    </cfRule>
  </conditionalFormatting>
  <conditionalFormatting sqref="F20">
    <cfRule type="expression" dxfId="3318" priority="216">
      <formula>MOD(ROW(),2)=0</formula>
    </cfRule>
  </conditionalFormatting>
  <conditionalFormatting sqref="F20">
    <cfRule type="expression" dxfId="3317" priority="215">
      <formula>MOD(ROW(),2)=0</formula>
    </cfRule>
  </conditionalFormatting>
  <conditionalFormatting sqref="F20">
    <cfRule type="expression" dxfId="3316" priority="214">
      <formula>MOD(ROW(),2)=0</formula>
    </cfRule>
  </conditionalFormatting>
  <conditionalFormatting sqref="F20">
    <cfRule type="expression" dxfId="3315" priority="213">
      <formula>MOD(ROW(),2)=0</formula>
    </cfRule>
  </conditionalFormatting>
  <conditionalFormatting sqref="F20">
    <cfRule type="expression" dxfId="3314" priority="212">
      <formula>MOD(ROW(),2)=0</formula>
    </cfRule>
  </conditionalFormatting>
  <conditionalFormatting sqref="F20">
    <cfRule type="expression" dxfId="3313" priority="211">
      <formula>MOD(ROW(),2)=0</formula>
    </cfRule>
  </conditionalFormatting>
  <conditionalFormatting sqref="F20">
    <cfRule type="expression" dxfId="3312" priority="210">
      <formula>MOD(ROW(),2)=0</formula>
    </cfRule>
  </conditionalFormatting>
  <conditionalFormatting sqref="F20">
    <cfRule type="expression" dxfId="3311" priority="209">
      <formula>MOD(ROW(),2)=0</formula>
    </cfRule>
  </conditionalFormatting>
  <conditionalFormatting sqref="F12">
    <cfRule type="expression" dxfId="3310" priority="208">
      <formula>MOD(ROW(),2)=0</formula>
    </cfRule>
  </conditionalFormatting>
  <conditionalFormatting sqref="F12">
    <cfRule type="expression" dxfId="3309" priority="207">
      <formula>MOD(ROW(),2)=0</formula>
    </cfRule>
  </conditionalFormatting>
  <conditionalFormatting sqref="F12">
    <cfRule type="expression" dxfId="3308" priority="206">
      <formula>MOD(ROW(),2)=0</formula>
    </cfRule>
  </conditionalFormatting>
  <conditionalFormatting sqref="F12">
    <cfRule type="expression" dxfId="3307" priority="205">
      <formula>MOD(ROW(),2)=0</formula>
    </cfRule>
  </conditionalFormatting>
  <conditionalFormatting sqref="F12">
    <cfRule type="expression" dxfId="3306" priority="204">
      <formula>MOD(ROW(),2)=0</formula>
    </cfRule>
  </conditionalFormatting>
  <conditionalFormatting sqref="F12">
    <cfRule type="expression" dxfId="3305" priority="203">
      <formula>MOD(ROW(),2)=0</formula>
    </cfRule>
  </conditionalFormatting>
  <conditionalFormatting sqref="F12">
    <cfRule type="expression" dxfId="3304" priority="202">
      <formula>MOD(ROW(),2)=0</formula>
    </cfRule>
  </conditionalFormatting>
  <conditionalFormatting sqref="F12">
    <cfRule type="expression" dxfId="3303" priority="201">
      <formula>MOD(ROW(),2)=0</formula>
    </cfRule>
  </conditionalFormatting>
  <conditionalFormatting sqref="F12">
    <cfRule type="expression" dxfId="3302" priority="200">
      <formula>MOD(ROW(),2)=0</formula>
    </cfRule>
  </conditionalFormatting>
  <conditionalFormatting sqref="F12">
    <cfRule type="expression" dxfId="3301" priority="199">
      <formula>MOD(ROW(),2)=0</formula>
    </cfRule>
  </conditionalFormatting>
  <conditionalFormatting sqref="F12">
    <cfRule type="expression" dxfId="3300" priority="198">
      <formula>MOD(ROW(),2)=0</formula>
    </cfRule>
  </conditionalFormatting>
  <conditionalFormatting sqref="F12">
    <cfRule type="expression" dxfId="3299" priority="197">
      <formula>MOD(ROW(),2)=0</formula>
    </cfRule>
  </conditionalFormatting>
  <conditionalFormatting sqref="F12">
    <cfRule type="expression" dxfId="3298" priority="196">
      <formula>MOD(ROW(),2)=0</formula>
    </cfRule>
  </conditionalFormatting>
  <conditionalFormatting sqref="F12">
    <cfRule type="expression" dxfId="3297" priority="195">
      <formula>MOD(ROW(),2)=0</formula>
    </cfRule>
  </conditionalFormatting>
  <conditionalFormatting sqref="F12">
    <cfRule type="expression" dxfId="3296" priority="194">
      <formula>MOD(ROW(),2)=0</formula>
    </cfRule>
  </conditionalFormatting>
  <conditionalFormatting sqref="F12">
    <cfRule type="expression" dxfId="3295" priority="193">
      <formula>MOD(ROW(),2)=0</formula>
    </cfRule>
  </conditionalFormatting>
  <conditionalFormatting sqref="F15">
    <cfRule type="expression" dxfId="3294" priority="192">
      <formula>MOD(ROW(),2)=0</formula>
    </cfRule>
  </conditionalFormatting>
  <conditionalFormatting sqref="F15">
    <cfRule type="expression" dxfId="3293" priority="191">
      <formula>MOD(ROW(),2)=0</formula>
    </cfRule>
  </conditionalFormatting>
  <conditionalFormatting sqref="F15">
    <cfRule type="expression" dxfId="3292" priority="190">
      <formula>MOD(ROW(),2)=0</formula>
    </cfRule>
  </conditionalFormatting>
  <conditionalFormatting sqref="F15">
    <cfRule type="expression" dxfId="3291" priority="189">
      <formula>MOD(ROW(),2)=0</formula>
    </cfRule>
  </conditionalFormatting>
  <conditionalFormatting sqref="F15">
    <cfRule type="expression" dxfId="3290" priority="188">
      <formula>MOD(ROW(),2)=0</formula>
    </cfRule>
  </conditionalFormatting>
  <conditionalFormatting sqref="F15">
    <cfRule type="expression" dxfId="3289" priority="187">
      <formula>MOD(ROW(),2)=0</formula>
    </cfRule>
  </conditionalFormatting>
  <conditionalFormatting sqref="F15">
    <cfRule type="expression" dxfId="3288" priority="186">
      <formula>MOD(ROW(),2)=0</formula>
    </cfRule>
  </conditionalFormatting>
  <conditionalFormatting sqref="F15">
    <cfRule type="expression" dxfId="3287" priority="185">
      <formula>MOD(ROW(),2)=0</formula>
    </cfRule>
  </conditionalFormatting>
  <conditionalFormatting sqref="F15">
    <cfRule type="expression" dxfId="3286" priority="184">
      <formula>MOD(ROW(),2)=0</formula>
    </cfRule>
  </conditionalFormatting>
  <conditionalFormatting sqref="F15">
    <cfRule type="expression" dxfId="3285" priority="183">
      <formula>MOD(ROW(),2)=0</formula>
    </cfRule>
  </conditionalFormatting>
  <conditionalFormatting sqref="F15">
    <cfRule type="expression" dxfId="3284" priority="182">
      <formula>MOD(ROW(),2)=0</formula>
    </cfRule>
  </conditionalFormatting>
  <conditionalFormatting sqref="F15">
    <cfRule type="expression" dxfId="3283" priority="181">
      <formula>MOD(ROW(),2)=0</formula>
    </cfRule>
  </conditionalFormatting>
  <conditionalFormatting sqref="F15">
    <cfRule type="expression" dxfId="3282" priority="180">
      <formula>MOD(ROW(),2)=0</formula>
    </cfRule>
  </conditionalFormatting>
  <conditionalFormatting sqref="F15">
    <cfRule type="expression" dxfId="3281" priority="179">
      <formula>MOD(ROW(),2)=0</formula>
    </cfRule>
  </conditionalFormatting>
  <conditionalFormatting sqref="F15">
    <cfRule type="expression" dxfId="3280" priority="178">
      <formula>MOD(ROW(),2)=0</formula>
    </cfRule>
  </conditionalFormatting>
  <conditionalFormatting sqref="F15">
    <cfRule type="expression" dxfId="3279" priority="177">
      <formula>MOD(ROW(),2)=0</formula>
    </cfRule>
  </conditionalFormatting>
  <conditionalFormatting sqref="G21">
    <cfRule type="expression" dxfId="3278" priority="176">
      <formula>MOD(ROW(),2)=0</formula>
    </cfRule>
  </conditionalFormatting>
  <conditionalFormatting sqref="G21">
    <cfRule type="expression" dxfId="3277" priority="175">
      <formula>MOD(ROW(),2)=0</formula>
    </cfRule>
  </conditionalFormatting>
  <conditionalFormatting sqref="G21">
    <cfRule type="expression" dxfId="3276" priority="174">
      <formula>MOD(ROW(),2)=0</formula>
    </cfRule>
  </conditionalFormatting>
  <conditionalFormatting sqref="G21">
    <cfRule type="expression" dxfId="3275" priority="173">
      <formula>MOD(ROW(),2)=0</formula>
    </cfRule>
  </conditionalFormatting>
  <conditionalFormatting sqref="G21">
    <cfRule type="expression" dxfId="3274" priority="172">
      <formula>MOD(ROW(),2)=0</formula>
    </cfRule>
  </conditionalFormatting>
  <conditionalFormatting sqref="G21">
    <cfRule type="expression" dxfId="3273" priority="171">
      <formula>MOD(ROW(),2)=0</formula>
    </cfRule>
  </conditionalFormatting>
  <conditionalFormatting sqref="G21">
    <cfRule type="expression" dxfId="3272" priority="170">
      <formula>MOD(ROW(),2)=0</formula>
    </cfRule>
  </conditionalFormatting>
  <conditionalFormatting sqref="G21">
    <cfRule type="expression" dxfId="3271" priority="169">
      <formula>MOD(ROW(),2)=0</formula>
    </cfRule>
  </conditionalFormatting>
  <conditionalFormatting sqref="G21">
    <cfRule type="expression" dxfId="3270" priority="168">
      <formula>MOD(ROW(),2)=0</formula>
    </cfRule>
  </conditionalFormatting>
  <conditionalFormatting sqref="G21">
    <cfRule type="expression" dxfId="3269" priority="167">
      <formula>MOD(ROW(),2)=0</formula>
    </cfRule>
  </conditionalFormatting>
  <conditionalFormatting sqref="G21">
    <cfRule type="expression" dxfId="3268" priority="166">
      <formula>MOD(ROW(),2)=0</formula>
    </cfRule>
  </conditionalFormatting>
  <conditionalFormatting sqref="G21">
    <cfRule type="expression" dxfId="3267" priority="165">
      <formula>MOD(ROW(),2)=0</formula>
    </cfRule>
  </conditionalFormatting>
  <conditionalFormatting sqref="G21">
    <cfRule type="expression" dxfId="3266" priority="164">
      <formula>MOD(ROW(),2)=0</formula>
    </cfRule>
  </conditionalFormatting>
  <conditionalFormatting sqref="G21">
    <cfRule type="expression" dxfId="3265" priority="163">
      <formula>MOD(ROW(),2)=0</formula>
    </cfRule>
  </conditionalFormatting>
  <conditionalFormatting sqref="G21">
    <cfRule type="expression" dxfId="3264" priority="162">
      <formula>MOD(ROW(),2)=0</formula>
    </cfRule>
  </conditionalFormatting>
  <conditionalFormatting sqref="G21">
    <cfRule type="expression" dxfId="3263" priority="161">
      <formula>MOD(ROW(),2)=0</formula>
    </cfRule>
  </conditionalFormatting>
  <conditionalFormatting sqref="G9">
    <cfRule type="expression" dxfId="3262" priority="160">
      <formula>MOD(ROW(),2)=0</formula>
    </cfRule>
  </conditionalFormatting>
  <conditionalFormatting sqref="G8">
    <cfRule type="expression" dxfId="3261" priority="159">
      <formula>MOD(ROW(),2)=0</formula>
    </cfRule>
  </conditionalFormatting>
  <conditionalFormatting sqref="G16 G13">
    <cfRule type="expression" dxfId="3260" priority="158">
      <formula>MOD(ROW(),2)=0</formula>
    </cfRule>
  </conditionalFormatting>
  <conditionalFormatting sqref="G14 G17:G19">
    <cfRule type="expression" dxfId="3259" priority="157">
      <formula>MOD(ROW(),2)=0</formula>
    </cfRule>
  </conditionalFormatting>
  <conditionalFormatting sqref="G11">
    <cfRule type="expression" dxfId="3258" priority="156">
      <formula>MOD(ROW(),2)=0</formula>
    </cfRule>
  </conditionalFormatting>
  <conditionalFormatting sqref="G22">
    <cfRule type="expression" dxfId="3257" priority="155">
      <formula>MOD(ROW(),2)=0</formula>
    </cfRule>
  </conditionalFormatting>
  <conditionalFormatting sqref="G10">
    <cfRule type="expression" dxfId="3256" priority="154">
      <formula>MOD(ROW(),2)=0</formula>
    </cfRule>
  </conditionalFormatting>
  <conditionalFormatting sqref="G9">
    <cfRule type="expression" dxfId="3255" priority="153">
      <formula>MOD(ROW(),2)=0</formula>
    </cfRule>
  </conditionalFormatting>
  <conditionalFormatting sqref="G8">
    <cfRule type="expression" dxfId="3254" priority="152">
      <formula>MOD(ROW(),2)=0</formula>
    </cfRule>
  </conditionalFormatting>
  <conditionalFormatting sqref="G16 G13">
    <cfRule type="expression" dxfId="3253" priority="151">
      <formula>MOD(ROW(),2)=0</formula>
    </cfRule>
  </conditionalFormatting>
  <conditionalFormatting sqref="G14 G17:G19">
    <cfRule type="expression" dxfId="3252" priority="150">
      <formula>MOD(ROW(),2)=0</formula>
    </cfRule>
  </conditionalFormatting>
  <conditionalFormatting sqref="G11">
    <cfRule type="expression" dxfId="3251" priority="149">
      <formula>MOD(ROW(),2)=0</formula>
    </cfRule>
  </conditionalFormatting>
  <conditionalFormatting sqref="G22">
    <cfRule type="expression" dxfId="3250" priority="148">
      <formula>MOD(ROW(),2)=0</formula>
    </cfRule>
  </conditionalFormatting>
  <conditionalFormatting sqref="G10">
    <cfRule type="expression" dxfId="3249" priority="147">
      <formula>MOD(ROW(),2)=0</formula>
    </cfRule>
  </conditionalFormatting>
  <conditionalFormatting sqref="G9">
    <cfRule type="expression" dxfId="3248" priority="146">
      <formula>MOD(ROW(),2)=0</formula>
    </cfRule>
  </conditionalFormatting>
  <conditionalFormatting sqref="G8">
    <cfRule type="expression" dxfId="3247" priority="145">
      <formula>MOD(ROW(),2)=0</formula>
    </cfRule>
  </conditionalFormatting>
  <conditionalFormatting sqref="G16 G13">
    <cfRule type="expression" dxfId="3246" priority="144">
      <formula>MOD(ROW(),2)=0</formula>
    </cfRule>
  </conditionalFormatting>
  <conditionalFormatting sqref="G14 G17:G19">
    <cfRule type="expression" dxfId="3245" priority="143">
      <formula>MOD(ROW(),2)=0</formula>
    </cfRule>
  </conditionalFormatting>
  <conditionalFormatting sqref="G11">
    <cfRule type="expression" dxfId="3244" priority="142">
      <formula>MOD(ROW(),2)=0</formula>
    </cfRule>
  </conditionalFormatting>
  <conditionalFormatting sqref="G22">
    <cfRule type="expression" dxfId="3243" priority="141">
      <formula>MOD(ROW(),2)=0</formula>
    </cfRule>
  </conditionalFormatting>
  <conditionalFormatting sqref="G10">
    <cfRule type="expression" dxfId="3242" priority="140">
      <formula>MOD(ROW(),2)=0</formula>
    </cfRule>
  </conditionalFormatting>
  <conditionalFormatting sqref="G9">
    <cfRule type="expression" dxfId="3241" priority="139">
      <formula>MOD(ROW(),2)=0</formula>
    </cfRule>
  </conditionalFormatting>
  <conditionalFormatting sqref="G8">
    <cfRule type="expression" dxfId="3240" priority="138">
      <formula>MOD(ROW(),2)=0</formula>
    </cfRule>
  </conditionalFormatting>
  <conditionalFormatting sqref="G16 G13">
    <cfRule type="expression" dxfId="3239" priority="137">
      <formula>MOD(ROW(),2)=0</formula>
    </cfRule>
  </conditionalFormatting>
  <conditionalFormatting sqref="G14 G17:G19">
    <cfRule type="expression" dxfId="3238" priority="136">
      <formula>MOD(ROW(),2)=0</formula>
    </cfRule>
  </conditionalFormatting>
  <conditionalFormatting sqref="G11">
    <cfRule type="expression" dxfId="3237" priority="135">
      <formula>MOD(ROW(),2)=0</formula>
    </cfRule>
  </conditionalFormatting>
  <conditionalFormatting sqref="G22">
    <cfRule type="expression" dxfId="3236" priority="134">
      <formula>MOD(ROW(),2)=0</formula>
    </cfRule>
  </conditionalFormatting>
  <conditionalFormatting sqref="G10">
    <cfRule type="expression" dxfId="3235" priority="133">
      <formula>MOD(ROW(),2)=0</formula>
    </cfRule>
  </conditionalFormatting>
  <conditionalFormatting sqref="G9">
    <cfRule type="expression" dxfId="3234" priority="132">
      <formula>MOD(ROW(),2)=0</formula>
    </cfRule>
  </conditionalFormatting>
  <conditionalFormatting sqref="G8">
    <cfRule type="expression" dxfId="3233" priority="131">
      <formula>MOD(ROW(),2)=0</formula>
    </cfRule>
  </conditionalFormatting>
  <conditionalFormatting sqref="G16 G13">
    <cfRule type="expression" dxfId="3232" priority="130">
      <formula>MOD(ROW(),2)=0</formula>
    </cfRule>
  </conditionalFormatting>
  <conditionalFormatting sqref="G14 G17:G19">
    <cfRule type="expression" dxfId="3231" priority="129">
      <formula>MOD(ROW(),2)=0</formula>
    </cfRule>
  </conditionalFormatting>
  <conditionalFormatting sqref="G11">
    <cfRule type="expression" dxfId="3230" priority="128">
      <formula>MOD(ROW(),2)=0</formula>
    </cfRule>
  </conditionalFormatting>
  <conditionalFormatting sqref="G22">
    <cfRule type="expression" dxfId="3229" priority="127">
      <formula>MOD(ROW(),2)=0</formula>
    </cfRule>
  </conditionalFormatting>
  <conditionalFormatting sqref="G10">
    <cfRule type="expression" dxfId="3228" priority="126">
      <formula>MOD(ROW(),2)=0</formula>
    </cfRule>
  </conditionalFormatting>
  <conditionalFormatting sqref="G9">
    <cfRule type="expression" dxfId="3227" priority="125">
      <formula>MOD(ROW(),2)=0</formula>
    </cfRule>
  </conditionalFormatting>
  <conditionalFormatting sqref="G8">
    <cfRule type="expression" dxfId="3226" priority="124">
      <formula>MOD(ROW(),2)=0</formula>
    </cfRule>
  </conditionalFormatting>
  <conditionalFormatting sqref="G16 G13">
    <cfRule type="expression" dxfId="3225" priority="123">
      <formula>MOD(ROW(),2)=0</formula>
    </cfRule>
  </conditionalFormatting>
  <conditionalFormatting sqref="G14 G17:G19">
    <cfRule type="expression" dxfId="3224" priority="122">
      <formula>MOD(ROW(),2)=0</formula>
    </cfRule>
  </conditionalFormatting>
  <conditionalFormatting sqref="G11">
    <cfRule type="expression" dxfId="3223" priority="121">
      <formula>MOD(ROW(),2)=0</formula>
    </cfRule>
  </conditionalFormatting>
  <conditionalFormatting sqref="G22">
    <cfRule type="expression" dxfId="3222" priority="120">
      <formula>MOD(ROW(),2)=0</formula>
    </cfRule>
  </conditionalFormatting>
  <conditionalFormatting sqref="G10">
    <cfRule type="expression" dxfId="3221" priority="119">
      <formula>MOD(ROW(),2)=0</formula>
    </cfRule>
  </conditionalFormatting>
  <conditionalFormatting sqref="G9">
    <cfRule type="expression" dxfId="3220" priority="118">
      <formula>MOD(ROW(),2)=0</formula>
    </cfRule>
  </conditionalFormatting>
  <conditionalFormatting sqref="G8">
    <cfRule type="expression" dxfId="3219" priority="117">
      <formula>MOD(ROW(),2)=0</formula>
    </cfRule>
  </conditionalFormatting>
  <conditionalFormatting sqref="G16 G13">
    <cfRule type="expression" dxfId="3218" priority="116">
      <formula>MOD(ROW(),2)=0</formula>
    </cfRule>
  </conditionalFormatting>
  <conditionalFormatting sqref="G14 G17:G19">
    <cfRule type="expression" dxfId="3217" priority="115">
      <formula>MOD(ROW(),2)=0</formula>
    </cfRule>
  </conditionalFormatting>
  <conditionalFormatting sqref="G11">
    <cfRule type="expression" dxfId="3216" priority="114">
      <formula>MOD(ROW(),2)=0</formula>
    </cfRule>
  </conditionalFormatting>
  <conditionalFormatting sqref="G10">
    <cfRule type="expression" dxfId="3215" priority="113">
      <formula>MOD(ROW(),2)=0</formula>
    </cfRule>
  </conditionalFormatting>
  <conditionalFormatting sqref="G22">
    <cfRule type="expression" dxfId="3214" priority="112">
      <formula>MOD(ROW(),2)=0</formula>
    </cfRule>
  </conditionalFormatting>
  <conditionalFormatting sqref="G9">
    <cfRule type="expression" dxfId="3213" priority="111">
      <formula>MOD(ROW(),2)=0</formula>
    </cfRule>
  </conditionalFormatting>
  <conditionalFormatting sqref="G8">
    <cfRule type="expression" dxfId="3212" priority="110">
      <formula>MOD(ROW(),2)=0</formula>
    </cfRule>
  </conditionalFormatting>
  <conditionalFormatting sqref="G16 G13">
    <cfRule type="expression" dxfId="3211" priority="109">
      <formula>MOD(ROW(),2)=0</formula>
    </cfRule>
  </conditionalFormatting>
  <conditionalFormatting sqref="G14 G17:G19">
    <cfRule type="expression" dxfId="3210" priority="108">
      <formula>MOD(ROW(),2)=0</formula>
    </cfRule>
  </conditionalFormatting>
  <conditionalFormatting sqref="G11">
    <cfRule type="expression" dxfId="3209" priority="107">
      <formula>MOD(ROW(),2)=0</formula>
    </cfRule>
  </conditionalFormatting>
  <conditionalFormatting sqref="G22">
    <cfRule type="expression" dxfId="3208" priority="106">
      <formula>MOD(ROW(),2)=0</formula>
    </cfRule>
  </conditionalFormatting>
  <conditionalFormatting sqref="G10">
    <cfRule type="expression" dxfId="3207" priority="105">
      <formula>MOD(ROW(),2)=0</formula>
    </cfRule>
  </conditionalFormatting>
  <conditionalFormatting sqref="G9">
    <cfRule type="expression" dxfId="3206" priority="104">
      <formula>MOD(ROW(),2)=0</formula>
    </cfRule>
  </conditionalFormatting>
  <conditionalFormatting sqref="G8">
    <cfRule type="expression" dxfId="3205" priority="103">
      <formula>MOD(ROW(),2)=0</formula>
    </cfRule>
  </conditionalFormatting>
  <conditionalFormatting sqref="G16 G13">
    <cfRule type="expression" dxfId="3204" priority="102">
      <formula>MOD(ROW(),2)=0</formula>
    </cfRule>
  </conditionalFormatting>
  <conditionalFormatting sqref="G14 G17:G19">
    <cfRule type="expression" dxfId="3203" priority="101">
      <formula>MOD(ROW(),2)=0</formula>
    </cfRule>
  </conditionalFormatting>
  <conditionalFormatting sqref="G11">
    <cfRule type="expression" dxfId="3202" priority="100">
      <formula>MOD(ROW(),2)=0</formula>
    </cfRule>
  </conditionalFormatting>
  <conditionalFormatting sqref="G22">
    <cfRule type="expression" dxfId="3201" priority="99">
      <formula>MOD(ROW(),2)=0</formula>
    </cfRule>
  </conditionalFormatting>
  <conditionalFormatting sqref="G10">
    <cfRule type="expression" dxfId="3200" priority="98">
      <formula>MOD(ROW(),2)=0</formula>
    </cfRule>
  </conditionalFormatting>
  <conditionalFormatting sqref="G9">
    <cfRule type="expression" dxfId="3199" priority="97">
      <formula>MOD(ROW(),2)=0</formula>
    </cfRule>
  </conditionalFormatting>
  <conditionalFormatting sqref="G8">
    <cfRule type="expression" dxfId="3198" priority="96">
      <formula>MOD(ROW(),2)=0</formula>
    </cfRule>
  </conditionalFormatting>
  <conditionalFormatting sqref="G16 G13">
    <cfRule type="expression" dxfId="3197" priority="95">
      <formula>MOD(ROW(),2)=0</formula>
    </cfRule>
  </conditionalFormatting>
  <conditionalFormatting sqref="G14 G17:G19">
    <cfRule type="expression" dxfId="3196" priority="94">
      <formula>MOD(ROW(),2)=0</formula>
    </cfRule>
  </conditionalFormatting>
  <conditionalFormatting sqref="G11">
    <cfRule type="expression" dxfId="3195" priority="93">
      <formula>MOD(ROW(),2)=0</formula>
    </cfRule>
  </conditionalFormatting>
  <conditionalFormatting sqref="G22">
    <cfRule type="expression" dxfId="3194" priority="92">
      <formula>MOD(ROW(),2)=0</formula>
    </cfRule>
  </conditionalFormatting>
  <conditionalFormatting sqref="G10">
    <cfRule type="expression" dxfId="3193" priority="91">
      <formula>MOD(ROW(),2)=0</formula>
    </cfRule>
  </conditionalFormatting>
  <conditionalFormatting sqref="G9">
    <cfRule type="expression" dxfId="3192" priority="90">
      <formula>MOD(ROW(),2)=0</formula>
    </cfRule>
  </conditionalFormatting>
  <conditionalFormatting sqref="G8">
    <cfRule type="expression" dxfId="3191" priority="89">
      <formula>MOD(ROW(),2)=0</formula>
    </cfRule>
  </conditionalFormatting>
  <conditionalFormatting sqref="G16 G13">
    <cfRule type="expression" dxfId="3190" priority="88">
      <formula>MOD(ROW(),2)=0</formula>
    </cfRule>
  </conditionalFormatting>
  <conditionalFormatting sqref="G14 G17:G19">
    <cfRule type="expression" dxfId="3189" priority="87">
      <formula>MOD(ROW(),2)=0</formula>
    </cfRule>
  </conditionalFormatting>
  <conditionalFormatting sqref="G11">
    <cfRule type="expression" dxfId="3188" priority="86">
      <formula>MOD(ROW(),2)=0</formula>
    </cfRule>
  </conditionalFormatting>
  <conditionalFormatting sqref="G22">
    <cfRule type="expression" dxfId="3187" priority="85">
      <formula>MOD(ROW(),2)=0</formula>
    </cfRule>
  </conditionalFormatting>
  <conditionalFormatting sqref="G10">
    <cfRule type="expression" dxfId="3186" priority="84">
      <formula>MOD(ROW(),2)=0</formula>
    </cfRule>
  </conditionalFormatting>
  <conditionalFormatting sqref="G9">
    <cfRule type="expression" dxfId="3185" priority="83">
      <formula>MOD(ROW(),2)=0</formula>
    </cfRule>
  </conditionalFormatting>
  <conditionalFormatting sqref="G8">
    <cfRule type="expression" dxfId="3184" priority="82">
      <formula>MOD(ROW(),2)=0</formula>
    </cfRule>
  </conditionalFormatting>
  <conditionalFormatting sqref="G16 G13">
    <cfRule type="expression" dxfId="3183" priority="81">
      <formula>MOD(ROW(),2)=0</formula>
    </cfRule>
  </conditionalFormatting>
  <conditionalFormatting sqref="G14 G17:G19">
    <cfRule type="expression" dxfId="3182" priority="80">
      <formula>MOD(ROW(),2)=0</formula>
    </cfRule>
  </conditionalFormatting>
  <conditionalFormatting sqref="G11">
    <cfRule type="expression" dxfId="3181" priority="79">
      <formula>MOD(ROW(),2)=0</formula>
    </cfRule>
  </conditionalFormatting>
  <conditionalFormatting sqref="G22">
    <cfRule type="expression" dxfId="3180" priority="78">
      <formula>MOD(ROW(),2)=0</formula>
    </cfRule>
  </conditionalFormatting>
  <conditionalFormatting sqref="G10">
    <cfRule type="expression" dxfId="3179" priority="77">
      <formula>MOD(ROW(),2)=0</formula>
    </cfRule>
  </conditionalFormatting>
  <conditionalFormatting sqref="G9">
    <cfRule type="expression" dxfId="3178" priority="76">
      <formula>MOD(ROW(),2)=0</formula>
    </cfRule>
  </conditionalFormatting>
  <conditionalFormatting sqref="G8">
    <cfRule type="expression" dxfId="3177" priority="75">
      <formula>MOD(ROW(),2)=0</formula>
    </cfRule>
  </conditionalFormatting>
  <conditionalFormatting sqref="G16 G13">
    <cfRule type="expression" dxfId="3176" priority="74">
      <formula>MOD(ROW(),2)=0</formula>
    </cfRule>
  </conditionalFormatting>
  <conditionalFormatting sqref="G14 G17:G19">
    <cfRule type="expression" dxfId="3175" priority="73">
      <formula>MOD(ROW(),2)=0</formula>
    </cfRule>
  </conditionalFormatting>
  <conditionalFormatting sqref="G11">
    <cfRule type="expression" dxfId="3174" priority="72">
      <formula>MOD(ROW(),2)=0</formula>
    </cfRule>
  </conditionalFormatting>
  <conditionalFormatting sqref="G22">
    <cfRule type="expression" dxfId="3173" priority="71">
      <formula>MOD(ROW(),2)=0</formula>
    </cfRule>
  </conditionalFormatting>
  <conditionalFormatting sqref="G10">
    <cfRule type="expression" dxfId="3172" priority="70">
      <formula>MOD(ROW(),2)=0</formula>
    </cfRule>
  </conditionalFormatting>
  <conditionalFormatting sqref="G9">
    <cfRule type="expression" dxfId="3171" priority="69">
      <formula>MOD(ROW(),2)=0</formula>
    </cfRule>
  </conditionalFormatting>
  <conditionalFormatting sqref="G8">
    <cfRule type="expression" dxfId="3170" priority="68">
      <formula>MOD(ROW(),2)=0</formula>
    </cfRule>
  </conditionalFormatting>
  <conditionalFormatting sqref="G16 G13">
    <cfRule type="expression" dxfId="3169" priority="67">
      <formula>MOD(ROW(),2)=0</formula>
    </cfRule>
  </conditionalFormatting>
  <conditionalFormatting sqref="G14 G17:G19">
    <cfRule type="expression" dxfId="3168" priority="66">
      <formula>MOD(ROW(),2)=0</formula>
    </cfRule>
  </conditionalFormatting>
  <conditionalFormatting sqref="G11">
    <cfRule type="expression" dxfId="3167" priority="65">
      <formula>MOD(ROW(),2)=0</formula>
    </cfRule>
  </conditionalFormatting>
  <conditionalFormatting sqref="G22">
    <cfRule type="expression" dxfId="3166" priority="64">
      <formula>MOD(ROW(),2)=0</formula>
    </cfRule>
  </conditionalFormatting>
  <conditionalFormatting sqref="G10">
    <cfRule type="expression" dxfId="3165" priority="63">
      <formula>MOD(ROW(),2)=0</formula>
    </cfRule>
  </conditionalFormatting>
  <conditionalFormatting sqref="G9">
    <cfRule type="expression" dxfId="3164" priority="62">
      <formula>MOD(ROW(),2)=0</formula>
    </cfRule>
  </conditionalFormatting>
  <conditionalFormatting sqref="G8">
    <cfRule type="expression" dxfId="3163" priority="61">
      <formula>MOD(ROW(),2)=0</formula>
    </cfRule>
  </conditionalFormatting>
  <conditionalFormatting sqref="G16 G13">
    <cfRule type="expression" dxfId="3162" priority="60">
      <formula>MOD(ROW(),2)=0</formula>
    </cfRule>
  </conditionalFormatting>
  <conditionalFormatting sqref="G14 G17:G19">
    <cfRule type="expression" dxfId="3161" priority="59">
      <formula>MOD(ROW(),2)=0</formula>
    </cfRule>
  </conditionalFormatting>
  <conditionalFormatting sqref="G11">
    <cfRule type="expression" dxfId="3160" priority="58">
      <formula>MOD(ROW(),2)=0</formula>
    </cfRule>
  </conditionalFormatting>
  <conditionalFormatting sqref="G10">
    <cfRule type="expression" dxfId="3159" priority="57">
      <formula>MOD(ROW(),2)=0</formula>
    </cfRule>
  </conditionalFormatting>
  <conditionalFormatting sqref="G22">
    <cfRule type="expression" dxfId="3158" priority="56">
      <formula>MOD(ROW(),2)=0</formula>
    </cfRule>
  </conditionalFormatting>
  <conditionalFormatting sqref="G9">
    <cfRule type="expression" dxfId="3157" priority="55">
      <formula>MOD(ROW(),2)=0</formula>
    </cfRule>
  </conditionalFormatting>
  <conditionalFormatting sqref="G8">
    <cfRule type="expression" dxfId="3156" priority="54">
      <formula>MOD(ROW(),2)=0</formula>
    </cfRule>
  </conditionalFormatting>
  <conditionalFormatting sqref="G16 G13">
    <cfRule type="expression" dxfId="3155" priority="53">
      <formula>MOD(ROW(),2)=0</formula>
    </cfRule>
  </conditionalFormatting>
  <conditionalFormatting sqref="G14 G17:G19">
    <cfRule type="expression" dxfId="3154" priority="52">
      <formula>MOD(ROW(),2)=0</formula>
    </cfRule>
  </conditionalFormatting>
  <conditionalFormatting sqref="G11">
    <cfRule type="expression" dxfId="3153" priority="51">
      <formula>MOD(ROW(),2)=0</formula>
    </cfRule>
  </conditionalFormatting>
  <conditionalFormatting sqref="G22">
    <cfRule type="expression" dxfId="3152" priority="50">
      <formula>MOD(ROW(),2)=0</formula>
    </cfRule>
  </conditionalFormatting>
  <conditionalFormatting sqref="G10">
    <cfRule type="expression" dxfId="3151" priority="49">
      <formula>MOD(ROW(),2)=0</formula>
    </cfRule>
  </conditionalFormatting>
  <conditionalFormatting sqref="G20">
    <cfRule type="expression" dxfId="3150" priority="48">
      <formula>MOD(ROW(),2)=0</formula>
    </cfRule>
  </conditionalFormatting>
  <conditionalFormatting sqref="G20">
    <cfRule type="expression" dxfId="3149" priority="47">
      <formula>MOD(ROW(),2)=0</formula>
    </cfRule>
  </conditionalFormatting>
  <conditionalFormatting sqref="G20">
    <cfRule type="expression" dxfId="3148" priority="46">
      <formula>MOD(ROW(),2)=0</formula>
    </cfRule>
  </conditionalFormatting>
  <conditionalFormatting sqref="G20">
    <cfRule type="expression" dxfId="3147" priority="45">
      <formula>MOD(ROW(),2)=0</formula>
    </cfRule>
  </conditionalFormatting>
  <conditionalFormatting sqref="G20">
    <cfRule type="expression" dxfId="3146" priority="44">
      <formula>MOD(ROW(),2)=0</formula>
    </cfRule>
  </conditionalFormatting>
  <conditionalFormatting sqref="G20">
    <cfRule type="expression" dxfId="3145" priority="43">
      <formula>MOD(ROW(),2)=0</formula>
    </cfRule>
  </conditionalFormatting>
  <conditionalFormatting sqref="G20">
    <cfRule type="expression" dxfId="3144" priority="42">
      <formula>MOD(ROW(),2)=0</formula>
    </cfRule>
  </conditionalFormatting>
  <conditionalFormatting sqref="G20">
    <cfRule type="expression" dxfId="3143" priority="41">
      <formula>MOD(ROW(),2)=0</formula>
    </cfRule>
  </conditionalFormatting>
  <conditionalFormatting sqref="G20">
    <cfRule type="expression" dxfId="3142" priority="40">
      <formula>MOD(ROW(),2)=0</formula>
    </cfRule>
  </conditionalFormatting>
  <conditionalFormatting sqref="G20">
    <cfRule type="expression" dxfId="3141" priority="39">
      <formula>MOD(ROW(),2)=0</formula>
    </cfRule>
  </conditionalFormatting>
  <conditionalFormatting sqref="G20">
    <cfRule type="expression" dxfId="3140" priority="38">
      <formula>MOD(ROW(),2)=0</formula>
    </cfRule>
  </conditionalFormatting>
  <conditionalFormatting sqref="G20">
    <cfRule type="expression" dxfId="3139" priority="37">
      <formula>MOD(ROW(),2)=0</formula>
    </cfRule>
  </conditionalFormatting>
  <conditionalFormatting sqref="G20">
    <cfRule type="expression" dxfId="3138" priority="36">
      <formula>MOD(ROW(),2)=0</formula>
    </cfRule>
  </conditionalFormatting>
  <conditionalFormatting sqref="G20">
    <cfRule type="expression" dxfId="3137" priority="35">
      <formula>MOD(ROW(),2)=0</formula>
    </cfRule>
  </conditionalFormatting>
  <conditionalFormatting sqref="G20">
    <cfRule type="expression" dxfId="3136" priority="34">
      <formula>MOD(ROW(),2)=0</formula>
    </cfRule>
  </conditionalFormatting>
  <conditionalFormatting sqref="G20">
    <cfRule type="expression" dxfId="3135" priority="33">
      <formula>MOD(ROW(),2)=0</formula>
    </cfRule>
  </conditionalFormatting>
  <conditionalFormatting sqref="G12">
    <cfRule type="expression" dxfId="3134" priority="32">
      <formula>MOD(ROW(),2)=0</formula>
    </cfRule>
  </conditionalFormatting>
  <conditionalFormatting sqref="G12">
    <cfRule type="expression" dxfId="3133" priority="31">
      <formula>MOD(ROW(),2)=0</formula>
    </cfRule>
  </conditionalFormatting>
  <conditionalFormatting sqref="G12">
    <cfRule type="expression" dxfId="3132" priority="30">
      <formula>MOD(ROW(),2)=0</formula>
    </cfRule>
  </conditionalFormatting>
  <conditionalFormatting sqref="G12">
    <cfRule type="expression" dxfId="3131" priority="29">
      <formula>MOD(ROW(),2)=0</formula>
    </cfRule>
  </conditionalFormatting>
  <conditionalFormatting sqref="G12">
    <cfRule type="expression" dxfId="3130" priority="28">
      <formula>MOD(ROW(),2)=0</formula>
    </cfRule>
  </conditionalFormatting>
  <conditionalFormatting sqref="G12">
    <cfRule type="expression" dxfId="3129" priority="27">
      <formula>MOD(ROW(),2)=0</formula>
    </cfRule>
  </conditionalFormatting>
  <conditionalFormatting sqref="G12">
    <cfRule type="expression" dxfId="3128" priority="26">
      <formula>MOD(ROW(),2)=0</formula>
    </cfRule>
  </conditionalFormatting>
  <conditionalFormatting sqref="G12">
    <cfRule type="expression" dxfId="3127" priority="25">
      <formula>MOD(ROW(),2)=0</formula>
    </cfRule>
  </conditionalFormatting>
  <conditionalFormatting sqref="G12">
    <cfRule type="expression" dxfId="3126" priority="24">
      <formula>MOD(ROW(),2)=0</formula>
    </cfRule>
  </conditionalFormatting>
  <conditionalFormatting sqref="G12">
    <cfRule type="expression" dxfId="3125" priority="23">
      <formula>MOD(ROW(),2)=0</formula>
    </cfRule>
  </conditionalFormatting>
  <conditionalFormatting sqref="G12">
    <cfRule type="expression" dxfId="3124" priority="22">
      <formula>MOD(ROW(),2)=0</formula>
    </cfRule>
  </conditionalFormatting>
  <conditionalFormatting sqref="G12">
    <cfRule type="expression" dxfId="3123" priority="21">
      <formula>MOD(ROW(),2)=0</formula>
    </cfRule>
  </conditionalFormatting>
  <conditionalFormatting sqref="G12">
    <cfRule type="expression" dxfId="3122" priority="20">
      <formula>MOD(ROW(),2)=0</formula>
    </cfRule>
  </conditionalFormatting>
  <conditionalFormatting sqref="G12">
    <cfRule type="expression" dxfId="3121" priority="19">
      <formula>MOD(ROW(),2)=0</formula>
    </cfRule>
  </conditionalFormatting>
  <conditionalFormatting sqref="G12">
    <cfRule type="expression" dxfId="3120" priority="18">
      <formula>MOD(ROW(),2)=0</formula>
    </cfRule>
  </conditionalFormatting>
  <conditionalFormatting sqref="G12">
    <cfRule type="expression" dxfId="3119" priority="17">
      <formula>MOD(ROW(),2)=0</formula>
    </cfRule>
  </conditionalFormatting>
  <conditionalFormatting sqref="G15">
    <cfRule type="expression" dxfId="3118" priority="16">
      <formula>MOD(ROW(),2)=0</formula>
    </cfRule>
  </conditionalFormatting>
  <conditionalFormatting sqref="G15">
    <cfRule type="expression" dxfId="3117" priority="15">
      <formula>MOD(ROW(),2)=0</formula>
    </cfRule>
  </conditionalFormatting>
  <conditionalFormatting sqref="G15">
    <cfRule type="expression" dxfId="3116" priority="14">
      <formula>MOD(ROW(),2)=0</formula>
    </cfRule>
  </conditionalFormatting>
  <conditionalFormatting sqref="G15">
    <cfRule type="expression" dxfId="3115" priority="13">
      <formula>MOD(ROW(),2)=0</formula>
    </cfRule>
  </conditionalFormatting>
  <conditionalFormatting sqref="G15">
    <cfRule type="expression" dxfId="3114" priority="12">
      <formula>MOD(ROW(),2)=0</formula>
    </cfRule>
  </conditionalFormatting>
  <conditionalFormatting sqref="G15">
    <cfRule type="expression" dxfId="3113" priority="11">
      <formula>MOD(ROW(),2)=0</formula>
    </cfRule>
  </conditionalFormatting>
  <conditionalFormatting sqref="G15">
    <cfRule type="expression" dxfId="3112" priority="10">
      <formula>MOD(ROW(),2)=0</formula>
    </cfRule>
  </conditionalFormatting>
  <conditionalFormatting sqref="G15">
    <cfRule type="expression" dxfId="3111" priority="9">
      <formula>MOD(ROW(),2)=0</formula>
    </cfRule>
  </conditionalFormatting>
  <conditionalFormatting sqref="G15">
    <cfRule type="expression" dxfId="3110" priority="8">
      <formula>MOD(ROW(),2)=0</formula>
    </cfRule>
  </conditionalFormatting>
  <conditionalFormatting sqref="G15">
    <cfRule type="expression" dxfId="3109" priority="7">
      <formula>MOD(ROW(),2)=0</formula>
    </cfRule>
  </conditionalFormatting>
  <conditionalFormatting sqref="G15">
    <cfRule type="expression" dxfId="3108" priority="6">
      <formula>MOD(ROW(),2)=0</formula>
    </cfRule>
  </conditionalFormatting>
  <conditionalFormatting sqref="G15">
    <cfRule type="expression" dxfId="3107" priority="5">
      <formula>MOD(ROW(),2)=0</formula>
    </cfRule>
  </conditionalFormatting>
  <conditionalFormatting sqref="G15">
    <cfRule type="expression" dxfId="3106" priority="4">
      <formula>MOD(ROW(),2)=0</formula>
    </cfRule>
  </conditionalFormatting>
  <conditionalFormatting sqref="G15">
    <cfRule type="expression" dxfId="3105" priority="3">
      <formula>MOD(ROW(),2)=0</formula>
    </cfRule>
  </conditionalFormatting>
  <conditionalFormatting sqref="G15">
    <cfRule type="expression" dxfId="3104" priority="2">
      <formula>MOD(ROW(),2)=0</formula>
    </cfRule>
  </conditionalFormatting>
  <conditionalFormatting sqref="G15">
    <cfRule type="expression" dxfId="3103" priority="1">
      <formula>MOD(ROW(),2)=0</formula>
    </cfRule>
  </conditionalFormatting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&amp;R&amp;A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'Falhas por Modelo'!$C$1:$E$1</xm:f>
          </x14:formula1>
          <xm:sqref>D6:AR6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AU131"/>
  <sheetViews>
    <sheetView topLeftCell="A3" zoomScaleNormal="100" workbookViewId="0">
      <pane xSplit="3" topLeftCell="D1" activePane="topRight" state="frozen"/>
      <selection activeCell="G95" sqref="G95"/>
      <selection pane="topRight" activeCell="D10" sqref="D10"/>
    </sheetView>
  </sheetViews>
  <sheetFormatPr defaultColWidth="10.28515625" defaultRowHeight="12.75"/>
  <cols>
    <col min="1" max="1" width="3.28515625" style="192" bestFit="1" customWidth="1"/>
    <col min="2" max="2" width="5.5703125" style="192" customWidth="1"/>
    <col min="3" max="3" width="35.7109375" style="192" bestFit="1" customWidth="1"/>
    <col min="4" max="4" width="12" style="192" customWidth="1"/>
    <col min="5" max="7" width="12" style="192" bestFit="1" customWidth="1"/>
    <col min="8" max="8" width="12" style="192" customWidth="1"/>
    <col min="9" max="9" width="12" style="192" bestFit="1" customWidth="1"/>
    <col min="10" max="13" width="12" style="192" customWidth="1"/>
    <col min="14" max="14" width="12" style="192" bestFit="1" customWidth="1"/>
    <col min="15" max="20" width="12" style="192" customWidth="1"/>
    <col min="21" max="21" width="12" style="192" bestFit="1" customWidth="1"/>
    <col min="22" max="24" width="12" style="192" customWidth="1"/>
    <col min="25" max="25" width="12" style="192" bestFit="1" customWidth="1"/>
    <col min="26" max="27" width="12" style="192" customWidth="1"/>
    <col min="28" max="30" width="12" style="192" bestFit="1" customWidth="1"/>
    <col min="31" max="31" width="12" style="192" customWidth="1"/>
    <col min="32" max="32" width="12" style="192" bestFit="1" customWidth="1"/>
    <col min="33" max="44" width="12" style="192" customWidth="1"/>
    <col min="45" max="45" width="12.42578125" style="236" bestFit="1" customWidth="1"/>
    <col min="46" max="46" width="10.28515625" style="192" customWidth="1"/>
    <col min="47" max="47" width="26.85546875" style="192" bestFit="1" customWidth="1"/>
    <col min="48" max="16384" width="10.28515625" style="192"/>
  </cols>
  <sheetData>
    <row r="1" spans="1:46" ht="13.5" thickBot="1">
      <c r="C1" s="193" t="str">
        <f>AS2</f>
        <v>Dia</v>
      </c>
      <c r="AS1" s="194" t="s">
        <v>230</v>
      </c>
    </row>
    <row r="2" spans="1:46" ht="13.5" thickBot="1">
      <c r="B2" s="195" t="s">
        <v>195</v>
      </c>
      <c r="C2" s="196" t="s">
        <v>222</v>
      </c>
      <c r="D2" s="197" t="str">
        <f ca="1">'UM-1 - Dia'!D2</f>
        <v>03 / 2022</v>
      </c>
      <c r="E2" s="197"/>
      <c r="F2" s="197"/>
      <c r="G2" s="197"/>
      <c r="H2" s="197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8"/>
      <c r="AF2" s="198"/>
      <c r="AG2" s="198"/>
      <c r="AH2" s="198"/>
      <c r="AI2" s="198"/>
      <c r="AJ2" s="198"/>
      <c r="AK2" s="199"/>
      <c r="AL2" s="199"/>
      <c r="AM2" s="199"/>
      <c r="AN2" s="199"/>
      <c r="AO2" s="199"/>
      <c r="AP2" s="199"/>
      <c r="AQ2" s="199"/>
      <c r="AR2" s="199"/>
      <c r="AS2" s="258" t="s">
        <v>223</v>
      </c>
      <c r="AT2" s="259" t="s">
        <v>233</v>
      </c>
    </row>
    <row r="3" spans="1:46">
      <c r="A3" s="282" t="s">
        <v>191</v>
      </c>
      <c r="B3" s="201">
        <v>10</v>
      </c>
      <c r="C3" s="202" t="str">
        <f>VLOOKUP(B3,'Tipos de Defeitos'!B$4:D$106,Menu!$B$22+1,)</f>
        <v>Data da Montagem</v>
      </c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203" t="s">
        <v>26</v>
      </c>
      <c r="AT3" s="203"/>
    </row>
    <row r="4" spans="1:46">
      <c r="A4" s="283"/>
      <c r="B4" s="204">
        <f>(B3/10+1)*10</f>
        <v>20</v>
      </c>
      <c r="C4" s="205" t="str">
        <f>VLOOKUP(B4,'Tipos de Defeitos'!B$4:D$106,Menu!$B$22+1,)</f>
        <v>Data do Acabamento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206"/>
      <c r="AT4" s="206"/>
    </row>
    <row r="5" spans="1:46">
      <c r="A5" s="283"/>
      <c r="B5" s="204">
        <f t="shared" ref="B5:B68" si="0">(B4/10+1)*10</f>
        <v>30</v>
      </c>
      <c r="C5" s="205" t="str">
        <f>VLOOKUP(B5,'Tipos de Defeitos'!B$4:D$106,Menu!$B$22+1,)</f>
        <v>Descanso:</v>
      </c>
      <c r="D5" s="207" t="str">
        <f t="shared" ref="D5:F5" si="1">IF(D4="","",D4-D3)</f>
        <v/>
      </c>
      <c r="E5" s="207" t="str">
        <f t="shared" si="1"/>
        <v/>
      </c>
      <c r="F5" s="207" t="str">
        <f t="shared" si="1"/>
        <v/>
      </c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 t="str">
        <f t="shared" ref="AD5:AR5" si="2">IF(AD4="","",AD4-AD3)</f>
        <v/>
      </c>
      <c r="AE5" s="207" t="str">
        <f t="shared" si="2"/>
        <v/>
      </c>
      <c r="AF5" s="207" t="str">
        <f t="shared" si="2"/>
        <v/>
      </c>
      <c r="AG5" s="207" t="str">
        <f t="shared" si="2"/>
        <v/>
      </c>
      <c r="AH5" s="207" t="str">
        <f t="shared" si="2"/>
        <v/>
      </c>
      <c r="AI5" s="207" t="str">
        <f t="shared" si="2"/>
        <v/>
      </c>
      <c r="AJ5" s="207" t="str">
        <f t="shared" si="2"/>
        <v/>
      </c>
      <c r="AK5" s="207" t="str">
        <f t="shared" si="2"/>
        <v/>
      </c>
      <c r="AL5" s="207" t="str">
        <f t="shared" si="2"/>
        <v/>
      </c>
      <c r="AM5" s="207" t="str">
        <f t="shared" si="2"/>
        <v/>
      </c>
      <c r="AN5" s="207" t="str">
        <f t="shared" si="2"/>
        <v/>
      </c>
      <c r="AO5" s="207" t="str">
        <f t="shared" si="2"/>
        <v/>
      </c>
      <c r="AP5" s="207" t="str">
        <f t="shared" si="2"/>
        <v/>
      </c>
      <c r="AQ5" s="207" t="str">
        <f t="shared" si="2"/>
        <v/>
      </c>
      <c r="AR5" s="207" t="str">
        <f t="shared" si="2"/>
        <v/>
      </c>
      <c r="AS5" s="206"/>
      <c r="AT5" s="206"/>
    </row>
    <row r="6" spans="1:46">
      <c r="A6" s="283"/>
      <c r="B6" s="204">
        <f>(B5/10+1)*10</f>
        <v>40</v>
      </c>
      <c r="C6" s="205" t="str">
        <f>VLOOKUP(B6,'Tipos de Defeitos'!B$4:D$106,Menu!$B$22+1,)</f>
        <v>Modelo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206"/>
      <c r="AT6" s="206"/>
    </row>
    <row r="7" spans="1:46" ht="13.5" thickBot="1">
      <c r="A7" s="283"/>
      <c r="B7" s="208">
        <f t="shared" si="0"/>
        <v>50</v>
      </c>
      <c r="C7" s="209" t="str">
        <f>VLOOKUP(B7,'Tipos de Defeitos'!B$4:D$106,Menu!$B$22+1,)</f>
        <v>Qtd de Produção (pçs)</v>
      </c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210">
        <f t="array" ref="AS7">SUM(IF(D5:AJ5&lt;&gt;"",D7:AJ7))</f>
        <v>0</v>
      </c>
      <c r="AT7" s="210">
        <f>AS7+'UM-1 - Dia'!AS7</f>
        <v>0</v>
      </c>
    </row>
    <row r="8" spans="1:46">
      <c r="A8" s="284"/>
      <c r="B8" s="211">
        <f t="shared" si="0"/>
        <v>60</v>
      </c>
      <c r="C8" s="212" t="str">
        <f>VLOOKUP(B8,'Tipos de Defeitos'!B$4:D$106,Menu!$B$22+1,)</f>
        <v>GME - Fornecedor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253"/>
      <c r="AA8" s="253"/>
      <c r="AB8" s="253"/>
      <c r="AC8" s="253"/>
      <c r="AD8" s="253"/>
      <c r="AE8" s="181"/>
      <c r="AF8" s="181"/>
      <c r="AG8" s="181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213"/>
      <c r="AT8" s="213"/>
    </row>
    <row r="9" spans="1:46">
      <c r="A9" s="284"/>
      <c r="B9" s="214">
        <f t="shared" si="0"/>
        <v>70</v>
      </c>
      <c r="C9" s="215" t="str">
        <f>VLOOKUP(B9,'Tipos de Defeitos'!B$4:D$106,Menu!$B$22+1,)</f>
        <v>Nº Lote</v>
      </c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216"/>
      <c r="AT9" s="216"/>
    </row>
    <row r="10" spans="1:46">
      <c r="A10" s="284"/>
      <c r="B10" s="214">
        <f t="shared" si="0"/>
        <v>80</v>
      </c>
      <c r="C10" s="215" t="str">
        <f>VLOOKUP(B10,'Tipos de Defeitos'!B$4:D$106,Menu!$B$22+1,)</f>
        <v>Qtd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217"/>
      <c r="AT10" s="217"/>
    </row>
    <row r="11" spans="1:46">
      <c r="A11" s="284"/>
      <c r="B11" s="214">
        <f t="shared" si="0"/>
        <v>90</v>
      </c>
      <c r="C11" s="215" t="str">
        <f>VLOOKUP(B11,'Tipos de Defeitos'!B$4:D$106,Menu!$B$22+1,)</f>
        <v>GMT - Fornecedor</v>
      </c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26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217"/>
      <c r="AT11" s="217"/>
    </row>
    <row r="12" spans="1:46">
      <c r="A12" s="284"/>
      <c r="B12" s="214">
        <f t="shared" si="0"/>
        <v>100</v>
      </c>
      <c r="C12" s="215" t="str">
        <f>VLOOKUP(B12,'Tipos de Defeitos'!B$4:D$106,Menu!$B$22+1,)</f>
        <v>Nº Lote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5"/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180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217"/>
      <c r="AT12" s="217"/>
    </row>
    <row r="13" spans="1:46">
      <c r="A13" s="284"/>
      <c r="B13" s="214">
        <f t="shared" si="0"/>
        <v>110</v>
      </c>
      <c r="C13" s="215" t="str">
        <f>VLOOKUP(B13,'Tipos de Defeitos'!B$4:D$106,Menu!$B$22+1,)</f>
        <v>Qtd</v>
      </c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217"/>
      <c r="AT13" s="217"/>
    </row>
    <row r="14" spans="1:46">
      <c r="A14" s="284"/>
      <c r="B14" s="214">
        <f t="shared" si="0"/>
        <v>120</v>
      </c>
      <c r="C14" s="215" t="str">
        <f>VLOOKUP(B14,'Tipos de Defeitos'!B$4:D$106,Menu!$B$22+1,)</f>
        <v>GCA - Fornecedor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Y14" s="180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217"/>
      <c r="AT14" s="217"/>
    </row>
    <row r="15" spans="1:46">
      <c r="A15" s="284"/>
      <c r="B15" s="214">
        <f t="shared" si="0"/>
        <v>130</v>
      </c>
      <c r="C15" s="215" t="str">
        <f>VLOOKUP(B15,'Tipos de Defeitos'!B$4:D$106,Menu!$B$22+1,)</f>
        <v>Lot.</v>
      </c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4"/>
      <c r="S15" s="254"/>
      <c r="T15" s="254"/>
      <c r="U15" s="254"/>
      <c r="V15" s="254"/>
      <c r="W15" s="254"/>
      <c r="X15" s="254"/>
      <c r="Y15" s="254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217"/>
      <c r="AT15" s="217"/>
    </row>
    <row r="16" spans="1:46">
      <c r="A16" s="284"/>
      <c r="B16" s="214">
        <f t="shared" si="0"/>
        <v>140</v>
      </c>
      <c r="C16" s="215" t="str">
        <f>VLOOKUP(B16,'Tipos de Defeitos'!B$4:D$106,Menu!$B$22+1,)</f>
        <v>Qtd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217"/>
      <c r="AT16" s="217"/>
    </row>
    <row r="17" spans="1:47">
      <c r="A17" s="284"/>
      <c r="B17" s="214">
        <f t="shared" si="0"/>
        <v>150</v>
      </c>
      <c r="C17" s="215" t="str">
        <f>VLOOKUP(B17,'Tipos de Defeitos'!B$4:D$106,Menu!$B$22+1,)</f>
        <v>GZO - Fornecedor</v>
      </c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217"/>
      <c r="AT17" s="217"/>
    </row>
    <row r="18" spans="1:47">
      <c r="A18" s="284"/>
      <c r="B18" s="214">
        <f t="shared" si="0"/>
        <v>160</v>
      </c>
      <c r="C18" s="215" t="str">
        <f>VLOOKUP(B18,'Tipos de Defeitos'!B$4:D$106,Menu!$B$22+1,)</f>
        <v>Nº Lote</v>
      </c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2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218"/>
      <c r="AT18" s="218"/>
    </row>
    <row r="19" spans="1:47">
      <c r="A19" s="284"/>
      <c r="B19" s="214">
        <f t="shared" si="0"/>
        <v>170</v>
      </c>
      <c r="C19" s="215" t="str">
        <f>VLOOKUP(B19,'Tipos de Defeitos'!B$4:D$106,Menu!$B$22+1,)</f>
        <v>Qtd</v>
      </c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  <c r="AS19" s="218"/>
      <c r="AT19" s="218"/>
    </row>
    <row r="20" spans="1:47">
      <c r="A20" s="284"/>
      <c r="B20" s="214">
        <f t="shared" si="0"/>
        <v>180</v>
      </c>
      <c r="C20" s="215" t="str">
        <f>VLOOKUP(B20,'Tipos de Defeitos'!B$4:D$106,Menu!$B$22+1,)</f>
        <v>Solução nº 125 Qtd</v>
      </c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256"/>
      <c r="AA20" s="256"/>
      <c r="AB20" s="256"/>
      <c r="AC20" s="256"/>
      <c r="AD20" s="256"/>
      <c r="AE20" s="179"/>
      <c r="AF20" s="179"/>
      <c r="AG20" s="179"/>
      <c r="AH20" s="179"/>
      <c r="AI20" s="179"/>
      <c r="AJ20" s="179"/>
      <c r="AK20" s="179"/>
      <c r="AL20" s="179"/>
      <c r="AM20" s="179"/>
      <c r="AN20" s="179"/>
      <c r="AO20" s="179"/>
      <c r="AP20" s="179"/>
      <c r="AQ20" s="179"/>
      <c r="AR20" s="179"/>
      <c r="AS20" s="217"/>
      <c r="AT20" s="217"/>
    </row>
    <row r="21" spans="1:47" ht="12.75" customHeight="1">
      <c r="A21" s="284"/>
      <c r="B21" s="214">
        <f t="shared" si="0"/>
        <v>190</v>
      </c>
      <c r="C21" s="215" t="str">
        <f>VLOOKUP(B21,'Tipos de Defeitos'!B$4:D$106,Menu!$B$22+1,)</f>
        <v>Carvão - Fornecedor</v>
      </c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219"/>
      <c r="AT21" s="219"/>
    </row>
    <row r="22" spans="1:47" ht="13.5" thickBot="1">
      <c r="A22" s="285"/>
      <c r="B22" s="220">
        <f t="shared" si="0"/>
        <v>200</v>
      </c>
      <c r="C22" s="221" t="str">
        <f>VLOOKUP(B22,'Tipos de Defeitos'!B$4:D$106,Menu!$B$22+1,)</f>
        <v>Nº Lote</v>
      </c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223"/>
      <c r="AT22" s="223"/>
    </row>
    <row r="23" spans="1:47">
      <c r="A23" s="286" t="s">
        <v>192</v>
      </c>
      <c r="B23" s="224">
        <f t="shared" si="0"/>
        <v>210</v>
      </c>
      <c r="C23" s="225" t="str">
        <f>VLOOKUP(B23,'Tipos de Defeitos'!B$4:D$106,Menu!$B$22+1,)</f>
        <v>Qtd. Retestada (pçs)</v>
      </c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257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226">
        <f t="array" ref="AS23">SUM(IF(D$4:AJ$4&gt;0,D23:AJ23))</f>
        <v>0</v>
      </c>
      <c r="AT23" s="226">
        <f>AS23+'UM-1 - Dia'!AS23</f>
        <v>0</v>
      </c>
    </row>
    <row r="24" spans="1:47" ht="13.5" customHeight="1">
      <c r="A24" s="281"/>
      <c r="B24" s="214">
        <f t="shared" si="0"/>
        <v>220</v>
      </c>
      <c r="C24" s="227" t="str">
        <f>VLOOKUP(B24,'Tipos de Defeitos'!B$4:D$106,Menu!$B$22+1,)</f>
        <v>Defeitos (Qty)</v>
      </c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  <c r="AR24" s="129"/>
      <c r="AS24" s="228">
        <f t="array" ref="AS24">SUM(IF(D$4:AJ$4&gt;0,D24:AJ24))</f>
        <v>0</v>
      </c>
      <c r="AT24" s="228">
        <f>AS24+'UM-1 - Dia'!AS24</f>
        <v>0</v>
      </c>
    </row>
    <row r="25" spans="1:47">
      <c r="A25" s="281"/>
      <c r="B25" s="214">
        <f t="shared" si="0"/>
        <v>230</v>
      </c>
      <c r="C25" s="227" t="str">
        <f>VLOOKUP(B25,'Tipos de Defeitos'!B$4:D$106,Menu!$B$22+1,)</f>
        <v>Voltagem (Moda)</v>
      </c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  <c r="AP25" s="173"/>
      <c r="AQ25" s="173"/>
      <c r="AR25" s="173"/>
      <c r="AS25" s="219" t="e">
        <f>AVERAGE(D25:AJ25)</f>
        <v>#DIV/0!</v>
      </c>
      <c r="AT25" s="219"/>
    </row>
    <row r="26" spans="1:47">
      <c r="A26" s="281"/>
      <c r="B26" s="214">
        <f t="shared" si="0"/>
        <v>240</v>
      </c>
      <c r="C26" s="227" t="str">
        <f>VLOOKUP(B26,'Tipos de Defeitos'!B$4:D$106,Menu!$B$22+1,)</f>
        <v>Voltagem (ajustada)</v>
      </c>
      <c r="D26" s="230" t="str">
        <f t="shared" ref="D26:AC26" si="3">IF(D25&gt;0,D25-0.003,"")</f>
        <v/>
      </c>
      <c r="E26" s="230" t="str">
        <f t="shared" si="3"/>
        <v/>
      </c>
      <c r="F26" s="230" t="str">
        <f t="shared" si="3"/>
        <v/>
      </c>
      <c r="G26" s="230" t="str">
        <f t="shared" si="3"/>
        <v/>
      </c>
      <c r="H26" s="231" t="str">
        <f t="shared" si="3"/>
        <v/>
      </c>
      <c r="I26" s="231" t="str">
        <f t="shared" si="3"/>
        <v/>
      </c>
      <c r="J26" s="231" t="str">
        <f t="shared" si="3"/>
        <v/>
      </c>
      <c r="K26" s="230" t="str">
        <f t="shared" si="3"/>
        <v/>
      </c>
      <c r="L26" s="230" t="str">
        <f t="shared" si="3"/>
        <v/>
      </c>
      <c r="M26" s="230" t="str">
        <f t="shared" si="3"/>
        <v/>
      </c>
      <c r="N26" s="230" t="str">
        <f t="shared" si="3"/>
        <v/>
      </c>
      <c r="O26" s="230" t="str">
        <f t="shared" si="3"/>
        <v/>
      </c>
      <c r="P26" s="230" t="str">
        <f t="shared" si="3"/>
        <v/>
      </c>
      <c r="Q26" s="230" t="str">
        <f t="shared" si="3"/>
        <v/>
      </c>
      <c r="R26" s="230" t="str">
        <f t="shared" si="3"/>
        <v/>
      </c>
      <c r="S26" s="230" t="str">
        <f t="shared" si="3"/>
        <v/>
      </c>
      <c r="T26" s="230" t="str">
        <f t="shared" si="3"/>
        <v/>
      </c>
      <c r="U26" s="230" t="str">
        <f t="shared" si="3"/>
        <v/>
      </c>
      <c r="V26" s="230" t="str">
        <f t="shared" si="3"/>
        <v/>
      </c>
      <c r="W26" s="230" t="str">
        <f t="shared" si="3"/>
        <v/>
      </c>
      <c r="X26" s="230" t="str">
        <f t="shared" si="3"/>
        <v/>
      </c>
      <c r="Y26" s="230" t="str">
        <f t="shared" si="3"/>
        <v/>
      </c>
      <c r="Z26" s="230" t="str">
        <f t="shared" si="3"/>
        <v/>
      </c>
      <c r="AA26" s="230" t="str">
        <f t="shared" si="3"/>
        <v/>
      </c>
      <c r="AB26" s="230" t="str">
        <f t="shared" si="3"/>
        <v/>
      </c>
      <c r="AC26" s="230" t="str">
        <f t="shared" si="3"/>
        <v/>
      </c>
      <c r="AD26" s="230" t="str">
        <f t="shared" ref="AD26:AR26" si="4">IF(AD25&gt;0,AD25-0.003,"")</f>
        <v/>
      </c>
      <c r="AE26" s="230" t="str">
        <f t="shared" si="4"/>
        <v/>
      </c>
      <c r="AF26" s="230" t="str">
        <f t="shared" si="4"/>
        <v/>
      </c>
      <c r="AG26" s="230" t="str">
        <f t="shared" si="4"/>
        <v/>
      </c>
      <c r="AH26" s="230" t="str">
        <f t="shared" si="4"/>
        <v/>
      </c>
      <c r="AI26" s="230" t="str">
        <f t="shared" si="4"/>
        <v/>
      </c>
      <c r="AJ26" s="230" t="str">
        <f t="shared" si="4"/>
        <v/>
      </c>
      <c r="AK26" s="230" t="str">
        <f t="shared" si="4"/>
        <v/>
      </c>
      <c r="AL26" s="230" t="str">
        <f t="shared" si="4"/>
        <v/>
      </c>
      <c r="AM26" s="230" t="str">
        <f t="shared" si="4"/>
        <v/>
      </c>
      <c r="AN26" s="230" t="str">
        <f t="shared" si="4"/>
        <v/>
      </c>
      <c r="AO26" s="230" t="str">
        <f t="shared" si="4"/>
        <v/>
      </c>
      <c r="AP26" s="230" t="str">
        <f t="shared" si="4"/>
        <v/>
      </c>
      <c r="AQ26" s="230" t="str">
        <f t="shared" si="4"/>
        <v/>
      </c>
      <c r="AR26" s="230" t="str">
        <f t="shared" si="4"/>
        <v/>
      </c>
      <c r="AS26" s="219" t="e">
        <f>AVERAGE(D26:AJ26)</f>
        <v>#DIV/0!</v>
      </c>
      <c r="AT26" s="219"/>
    </row>
    <row r="27" spans="1:47" ht="13.5" thickBot="1">
      <c r="A27" s="287"/>
      <c r="B27" s="220">
        <f t="shared" si="0"/>
        <v>250</v>
      </c>
      <c r="C27" s="232" t="str">
        <f>VLOOKUP(B27,'Tipos de Defeitos'!B$4:D$106,Menu!$B$22+1,)</f>
        <v>Qtd. Analisada (pçs)</v>
      </c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233">
        <f t="array" ref="AS27">SUM(IF(D$4:AJ$4&gt;0,D27:AJ27))</f>
        <v>0</v>
      </c>
      <c r="AT27" s="233">
        <f>AS27+'UM-1 - Dia'!AS27</f>
        <v>0</v>
      </c>
      <c r="AU27" s="234"/>
    </row>
    <row r="28" spans="1:47">
      <c r="A28" s="286" t="s">
        <v>193</v>
      </c>
      <c r="B28" s="224">
        <f t="shared" si="0"/>
        <v>260</v>
      </c>
      <c r="C28" s="225" t="str">
        <f>VLOOKUP(B28,'Tipos de Defeitos'!B$4:D$106,Menu!$B$22+1,)</f>
        <v>Sem Papel Separador</v>
      </c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226">
        <f t="shared" ref="AS28:AS77" si="5">SUM(D28:AJ28)</f>
        <v>0</v>
      </c>
      <c r="AT28" s="226">
        <f>AS28+'UM-1 - Dia'!AS28</f>
        <v>0</v>
      </c>
    </row>
    <row r="29" spans="1:47">
      <c r="A29" s="281"/>
      <c r="B29" s="214">
        <f t="shared" si="0"/>
        <v>270</v>
      </c>
      <c r="C29" s="227" t="str">
        <f>VLOOKUP(B29,'Tipos de Defeitos'!B$4:D$106,Menu!$B$22+1,)</f>
        <v>Papel Separador Cortado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217">
        <f t="shared" si="5"/>
        <v>0</v>
      </c>
      <c r="AT29" s="217">
        <f>AS29+'UM-1 - Dia'!AS29</f>
        <v>0</v>
      </c>
    </row>
    <row r="30" spans="1:47">
      <c r="A30" s="281"/>
      <c r="B30" s="214">
        <f t="shared" si="0"/>
        <v>280</v>
      </c>
      <c r="C30" s="227" t="str">
        <f>VLOOKUP(B30,'Tipos de Defeitos'!B$4:D$106,Menu!$B$22+1,)</f>
        <v>Papel Separador Rasgado</v>
      </c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217">
        <f t="shared" si="5"/>
        <v>0</v>
      </c>
      <c r="AT30" s="217">
        <f>AS30+'UM-1 - Dia'!AS30</f>
        <v>0</v>
      </c>
    </row>
    <row r="31" spans="1:47">
      <c r="A31" s="281"/>
      <c r="B31" s="214">
        <f t="shared" si="0"/>
        <v>290</v>
      </c>
      <c r="C31" s="227" t="str">
        <f>VLOOKUP(B31,'Tipos de Defeitos'!B$4:D$106,Menu!$B$22+1,)</f>
        <v>Papel Dobrado Sup.</v>
      </c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217">
        <f t="shared" si="5"/>
        <v>0</v>
      </c>
      <c r="AT31" s="217">
        <f>AS31+'UM-1 - Dia'!AS31</f>
        <v>0</v>
      </c>
    </row>
    <row r="32" spans="1:47">
      <c r="A32" s="281"/>
      <c r="B32" s="214">
        <f t="shared" si="0"/>
        <v>300</v>
      </c>
      <c r="C32" s="227" t="str">
        <f>VLOOKUP(B32,'Tipos de Defeitos'!B$4:D$106,Menu!$B$22+1,)</f>
        <v>Papel Dobrado Meio</v>
      </c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25"/>
      <c r="AO32" s="125"/>
      <c r="AP32" s="125"/>
      <c r="AQ32" s="125"/>
      <c r="AR32" s="125"/>
      <c r="AS32" s="217">
        <f t="shared" si="5"/>
        <v>0</v>
      </c>
      <c r="AT32" s="217">
        <f>AS32+'UM-1 - Dia'!AS32</f>
        <v>0</v>
      </c>
    </row>
    <row r="33" spans="1:46">
      <c r="A33" s="281"/>
      <c r="B33" s="214">
        <f t="shared" si="0"/>
        <v>310</v>
      </c>
      <c r="C33" s="227" t="str">
        <f>VLOOKUP(B33,'Tipos de Defeitos'!B$4:D$106,Menu!$B$22+1,)</f>
        <v>Papel Dobrado Inf.</v>
      </c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25"/>
      <c r="AO33" s="125"/>
      <c r="AP33" s="125"/>
      <c r="AQ33" s="125"/>
      <c r="AR33" s="125"/>
      <c r="AS33" s="217">
        <f t="shared" si="5"/>
        <v>0</v>
      </c>
      <c r="AT33" s="217">
        <f>AS33+'UM-1 - Dia'!AS33</f>
        <v>0</v>
      </c>
    </row>
    <row r="34" spans="1:46">
      <c r="A34" s="281"/>
      <c r="B34" s="214">
        <f t="shared" si="0"/>
        <v>320</v>
      </c>
      <c r="C34" s="227" t="str">
        <f>VLOOKUP(B34,'Tipos de Defeitos'!B$4:D$106,Menu!$B$22+1,)</f>
        <v>Papel Afundado</v>
      </c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125"/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217">
        <f t="shared" si="5"/>
        <v>0</v>
      </c>
      <c r="AT34" s="217">
        <f>AS34+'UM-1 - Dia'!AS34</f>
        <v>0</v>
      </c>
    </row>
    <row r="35" spans="1:46">
      <c r="A35" s="281"/>
      <c r="B35" s="214">
        <f t="shared" si="0"/>
        <v>330</v>
      </c>
      <c r="C35" s="227" t="str">
        <f>VLOOKUP(B35,'Tipos de Defeitos'!B$4:D$106,Menu!$B$22+1,)</f>
        <v>Papel Deslocado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217">
        <f t="shared" si="5"/>
        <v>0</v>
      </c>
      <c r="AT35" s="217">
        <f>AS35+'UM-1 - Dia'!AS35</f>
        <v>0</v>
      </c>
    </row>
    <row r="36" spans="1:46" ht="12.75" customHeight="1">
      <c r="A36" s="281"/>
      <c r="B36" s="214">
        <f t="shared" si="0"/>
        <v>340</v>
      </c>
      <c r="C36" s="227" t="str">
        <f>VLOOKUP(B36,'Tipos de Defeitos'!B$4:D$106,Menu!$B$22+1,)</f>
        <v>Papel menor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217">
        <f t="shared" si="5"/>
        <v>0</v>
      </c>
      <c r="AT36" s="217">
        <f>AS36+'UM-1 - Dia'!AS36</f>
        <v>0</v>
      </c>
    </row>
    <row r="37" spans="1:46">
      <c r="A37" s="281"/>
      <c r="B37" s="214">
        <f t="shared" si="0"/>
        <v>350</v>
      </c>
      <c r="C37" s="227" t="str">
        <f>VLOOKUP(B37,'Tipos de Defeitos'!B$4:D$106,Menu!$B$22+1,)</f>
        <v>Sem Disco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217">
        <f t="shared" si="5"/>
        <v>0</v>
      </c>
      <c r="AT37" s="217">
        <f>AS37+'UM-1 - Dia'!AS37</f>
        <v>0</v>
      </c>
    </row>
    <row r="38" spans="1:46">
      <c r="A38" s="281"/>
      <c r="B38" s="214">
        <f t="shared" si="0"/>
        <v>360</v>
      </c>
      <c r="C38" s="227" t="str">
        <f>VLOOKUP(B38,'Tipos de Defeitos'!B$4:D$106,Menu!$B$22+1,)</f>
        <v>Disco Cortado</v>
      </c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217">
        <f t="shared" si="5"/>
        <v>0</v>
      </c>
      <c r="AT38" s="217">
        <f>AS38+'UM-1 - Dia'!AS38</f>
        <v>0</v>
      </c>
    </row>
    <row r="39" spans="1:46">
      <c r="A39" s="281"/>
      <c r="B39" s="214">
        <f t="shared" si="0"/>
        <v>370</v>
      </c>
      <c r="C39" s="227" t="str">
        <f>VLOOKUP(B39,'Tipos de Defeitos'!B$4:D$106,Menu!$B$22+1,)</f>
        <v>Disco Rasgado</v>
      </c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217">
        <f t="shared" si="5"/>
        <v>0</v>
      </c>
      <c r="AT39" s="217">
        <f>AS39+'UM-1 - Dia'!AS39</f>
        <v>0</v>
      </c>
    </row>
    <row r="40" spans="1:46">
      <c r="A40" s="281"/>
      <c r="B40" s="214">
        <f t="shared" si="0"/>
        <v>380</v>
      </c>
      <c r="C40" s="227" t="str">
        <f>VLOOKUP(B40,'Tipos de Defeitos'!B$4:D$106,Menu!$B$22+1,)</f>
        <v>Disco Furado</v>
      </c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217">
        <f t="shared" si="5"/>
        <v>0</v>
      </c>
      <c r="AT40" s="217">
        <f>AS40+'UM-1 - Dia'!AS40</f>
        <v>0</v>
      </c>
    </row>
    <row r="41" spans="1:46">
      <c r="A41" s="281"/>
      <c r="B41" s="214">
        <f t="shared" si="0"/>
        <v>390</v>
      </c>
      <c r="C41" s="227" t="str">
        <f>VLOOKUP(B41,'Tipos de Defeitos'!B$4:D$106,Menu!$B$22+1,)</f>
        <v>Disco Dobrado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217">
        <f t="shared" si="5"/>
        <v>0</v>
      </c>
      <c r="AT41" s="217">
        <f>AS41+'UM-1 - Dia'!AS41</f>
        <v>0</v>
      </c>
    </row>
    <row r="42" spans="1:46">
      <c r="A42" s="281"/>
      <c r="B42" s="214">
        <f t="shared" si="0"/>
        <v>400</v>
      </c>
      <c r="C42" s="227" t="str">
        <f>VLOOKUP(B42,'Tipos de Defeitos'!B$4:D$106,Menu!$B$22+1,)</f>
        <v>Disco fora de centro / deslocado</v>
      </c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217">
        <f t="shared" si="5"/>
        <v>0</v>
      </c>
      <c r="AT42" s="217">
        <f>AS42+'UM-1 - Dia'!AS42</f>
        <v>0</v>
      </c>
    </row>
    <row r="43" spans="1:46">
      <c r="A43" s="281"/>
      <c r="B43" s="214">
        <f t="shared" si="0"/>
        <v>410</v>
      </c>
      <c r="C43" s="227" t="str">
        <f>VLOOKUP(B43,'Tipos de Defeitos'!B$4:D$106,Menu!$B$22+1,)</f>
        <v>Isolador fora de centro</v>
      </c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217">
        <f t="shared" si="5"/>
        <v>0</v>
      </c>
      <c r="AT43" s="217">
        <f>AS43+'UM-1 - Dia'!AS43</f>
        <v>0</v>
      </c>
    </row>
    <row r="44" spans="1:46">
      <c r="A44" s="281"/>
      <c r="B44" s="214">
        <f t="shared" si="0"/>
        <v>420</v>
      </c>
      <c r="C44" s="227" t="str">
        <f>VLOOKUP(B44,'Tipos de Defeitos'!B$4:D$106,Menu!$B$22+1,)</f>
        <v>Isolador afundado</v>
      </c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125"/>
      <c r="V44" s="125"/>
      <c r="W44" s="125"/>
      <c r="X44" s="125"/>
      <c r="Y44" s="125"/>
      <c r="Z44" s="125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217">
        <f t="shared" si="5"/>
        <v>0</v>
      </c>
      <c r="AT44" s="217">
        <f>AS44+'UM-1 - Dia'!AS44</f>
        <v>0</v>
      </c>
    </row>
    <row r="45" spans="1:46">
      <c r="A45" s="281"/>
      <c r="B45" s="214">
        <f t="shared" si="0"/>
        <v>430</v>
      </c>
      <c r="C45" s="227" t="str">
        <f>VLOOKUP(B45,'Tipos de Defeitos'!B$4:D$106,Menu!$B$22+1,)</f>
        <v>Isolador Inclinado</v>
      </c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125"/>
      <c r="V45" s="125"/>
      <c r="W45" s="125"/>
      <c r="X45" s="125"/>
      <c r="Y45" s="125"/>
      <c r="Z45" s="125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217">
        <f t="shared" si="5"/>
        <v>0</v>
      </c>
      <c r="AT45" s="217">
        <f>AS45+'UM-1 - Dia'!AS45</f>
        <v>0</v>
      </c>
    </row>
    <row r="46" spans="1:46">
      <c r="A46" s="281"/>
      <c r="B46" s="214">
        <f t="shared" si="0"/>
        <v>440</v>
      </c>
      <c r="C46" s="227" t="str">
        <f>VLOOKUP(B46,'Tipos de Defeitos'!B$4:D$106,Menu!$B$22+1,)</f>
        <v>Papel sujo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217">
        <f t="shared" si="5"/>
        <v>0</v>
      </c>
      <c r="AT46" s="217">
        <f>AS46+'UM-1 - Dia'!AS46</f>
        <v>0</v>
      </c>
    </row>
    <row r="47" spans="1:46">
      <c r="A47" s="281"/>
      <c r="B47" s="214">
        <f t="shared" si="0"/>
        <v>450</v>
      </c>
      <c r="C47" s="227" t="str">
        <f>VLOOKUP(B47,'Tipos de Defeitos'!B$4:D$106,Menu!$B$22+1,)</f>
        <v>Manchado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217">
        <f t="shared" si="5"/>
        <v>0</v>
      </c>
      <c r="AT47" s="217">
        <f>AS47+'UM-1 - Dia'!AS47</f>
        <v>0</v>
      </c>
    </row>
    <row r="48" spans="1:46">
      <c r="A48" s="281"/>
      <c r="B48" s="214">
        <f t="shared" si="0"/>
        <v>460</v>
      </c>
      <c r="C48" s="227" t="str">
        <f>VLOOKUP(B48,'Tipos de Defeitos'!B$4:D$106,Menu!$B$22+1,)</f>
        <v>Manchado Superior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217">
        <f t="shared" si="5"/>
        <v>0</v>
      </c>
      <c r="AT48" s="217">
        <f>AS48+'UM-1 - Dia'!AS48</f>
        <v>0</v>
      </c>
    </row>
    <row r="49" spans="1:46">
      <c r="A49" s="281"/>
      <c r="B49" s="214">
        <f t="shared" si="0"/>
        <v>470</v>
      </c>
      <c r="C49" s="227" t="str">
        <f>VLOOKUP(B49,'Tipos de Defeitos'!B$4:D$106,Menu!$B$22+1,)</f>
        <v>Ferro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217">
        <f t="shared" si="5"/>
        <v>0</v>
      </c>
      <c r="AT49" s="217">
        <f>AS49+'UM-1 - Dia'!AS49</f>
        <v>0</v>
      </c>
    </row>
    <row r="50" spans="1:46">
      <c r="A50" s="281"/>
      <c r="B50" s="214">
        <f t="shared" si="0"/>
        <v>480</v>
      </c>
      <c r="C50" s="227" t="str">
        <f>VLOOKUP(B50,'Tipos de Defeitos'!B$4:D$106,Menu!$B$22+1,)</f>
        <v>Cobre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217">
        <f t="shared" si="5"/>
        <v>0</v>
      </c>
      <c r="AT50" s="217">
        <f>AS50+'UM-1 - Dia'!AS50</f>
        <v>0</v>
      </c>
    </row>
    <row r="51" spans="1:46">
      <c r="A51" s="281"/>
      <c r="B51" s="214">
        <f t="shared" si="0"/>
        <v>490</v>
      </c>
      <c r="C51" s="227" t="str">
        <f>VLOOKUP(B51,'Tipos de Defeitos'!B$4:D$106,Menu!$B$22+1,)</f>
        <v>Mistura no Tubo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217">
        <f t="shared" si="5"/>
        <v>0</v>
      </c>
      <c r="AT51" s="217">
        <f>AS51+'UM-1 - Dia'!AS51</f>
        <v>0</v>
      </c>
    </row>
    <row r="52" spans="1:46">
      <c r="A52" s="281"/>
      <c r="B52" s="214">
        <f t="shared" si="0"/>
        <v>500</v>
      </c>
      <c r="C52" s="227" t="str">
        <f>VLOOKUP(B52,'Tipos de Defeitos'!B$4:D$106,Menu!$B$22+1,)</f>
        <v>Pó de Mistura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217">
        <f t="shared" si="5"/>
        <v>0</v>
      </c>
      <c r="AT52" s="217">
        <f>AS52+'UM-1 - Dia'!AS52</f>
        <v>0</v>
      </c>
    </row>
    <row r="53" spans="1:46">
      <c r="A53" s="281"/>
      <c r="B53" s="214">
        <f t="shared" si="0"/>
        <v>510</v>
      </c>
      <c r="C53" s="227" t="str">
        <f>VLOOKUP(B53,'Tipos de Defeitos'!B$4:D$106,Menu!$B$22+1,)</f>
        <v>Bobina Baixa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217">
        <f t="shared" si="5"/>
        <v>0</v>
      </c>
      <c r="AT53" s="217">
        <f>AS53+'UM-1 - Dia'!AS53</f>
        <v>0</v>
      </c>
    </row>
    <row r="54" spans="1:46">
      <c r="A54" s="281"/>
      <c r="B54" s="214">
        <f t="shared" si="0"/>
        <v>520</v>
      </c>
      <c r="C54" s="227" t="str">
        <f>VLOOKUP(B54,'Tipos de Defeitos'!B$4:D$106,Menu!$B$22+1,)</f>
        <v>Bobina Alta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217">
        <f t="shared" si="5"/>
        <v>0</v>
      </c>
      <c r="AT54" s="217">
        <f>AS54+'UM-1 - Dia'!AS54</f>
        <v>0</v>
      </c>
    </row>
    <row r="55" spans="1:46">
      <c r="A55" s="281"/>
      <c r="B55" s="214">
        <f t="shared" si="0"/>
        <v>530</v>
      </c>
      <c r="C55" s="227" t="str">
        <f>VLOOKUP(B55,'Tipos de Defeitos'!B$4:D$106,Menu!$B$22+1,)</f>
        <v>Bobina Molhada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217">
        <f t="shared" si="5"/>
        <v>0</v>
      </c>
      <c r="AT55" s="217">
        <f>AS55+'UM-1 - Dia'!AS55</f>
        <v>0</v>
      </c>
    </row>
    <row r="56" spans="1:46">
      <c r="A56" s="281"/>
      <c r="B56" s="214">
        <f t="shared" si="0"/>
        <v>540</v>
      </c>
      <c r="C56" s="227" t="str">
        <f>VLOOKUP(B56,'Tipos de Defeitos'!B$4:D$106,Menu!$B$22+1,)</f>
        <v>Mistura seca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217">
        <f t="shared" si="5"/>
        <v>0</v>
      </c>
      <c r="AT56" s="217">
        <f>AS56+'UM-1 - Dia'!AS56</f>
        <v>0</v>
      </c>
    </row>
    <row r="57" spans="1:46">
      <c r="A57" s="281"/>
      <c r="B57" s="214">
        <f t="shared" si="0"/>
        <v>550</v>
      </c>
      <c r="C57" s="227" t="str">
        <f>VLOOKUP(B57,'Tipos de Defeitos'!B$4:D$106,Menu!$B$22+1,)</f>
        <v>Contem estranho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217">
        <f t="shared" si="5"/>
        <v>0</v>
      </c>
      <c r="AT57" s="217">
        <f>AS57+'UM-1 - Dia'!AS57</f>
        <v>0</v>
      </c>
    </row>
    <row r="58" spans="1:46">
      <c r="A58" s="281"/>
      <c r="B58" s="214">
        <f t="shared" si="0"/>
        <v>560</v>
      </c>
      <c r="C58" s="227" t="str">
        <f>VLOOKUP(B58,'Tipos de Defeitos'!B$4:D$106,Menu!$B$22+1,)</f>
        <v>Pedra de Óxido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217">
        <f t="shared" si="5"/>
        <v>0</v>
      </c>
      <c r="AT58" s="217">
        <f>AS58+'UM-1 - Dia'!AS58</f>
        <v>0</v>
      </c>
    </row>
    <row r="59" spans="1:46">
      <c r="A59" s="281"/>
      <c r="B59" s="214">
        <f t="shared" si="0"/>
        <v>570</v>
      </c>
      <c r="C59" s="227" t="str">
        <f>VLOOKUP(B59,'Tipos de Defeitos'!B$4:D$106,Menu!$B$22+1,)</f>
        <v>Carvão Quebrado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217">
        <f t="shared" si="5"/>
        <v>0</v>
      </c>
      <c r="AT59" s="217">
        <f>AS59+'UM-1 - Dia'!AS59</f>
        <v>0</v>
      </c>
    </row>
    <row r="60" spans="1:46">
      <c r="A60" s="281"/>
      <c r="B60" s="214">
        <f t="shared" si="0"/>
        <v>580</v>
      </c>
      <c r="C60" s="227" t="str">
        <f>VLOOKUP(B60,'Tipos de Defeitos'!B$4:D$106,Menu!$B$22+1,)</f>
        <v>Sem Selante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217">
        <f t="shared" si="5"/>
        <v>0</v>
      </c>
      <c r="AT60" s="217">
        <f>AS60+'UM-1 - Dia'!AS60</f>
        <v>0</v>
      </c>
    </row>
    <row r="61" spans="1:46">
      <c r="A61" s="281"/>
      <c r="B61" s="214">
        <f t="shared" si="0"/>
        <v>590</v>
      </c>
      <c r="C61" s="227" t="str">
        <f>VLOOKUP(B61,'Tipos de Defeitos'!B$4:D$106,Menu!$B$22+1,)</f>
        <v>PY c/ Falha de Injeção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217">
        <f t="shared" si="5"/>
        <v>0</v>
      </c>
      <c r="AT61" s="217">
        <f>AS61+'UM-1 - Dia'!AS61</f>
        <v>0</v>
      </c>
    </row>
    <row r="62" spans="1:46">
      <c r="A62" s="281"/>
      <c r="B62" s="214">
        <f t="shared" si="0"/>
        <v>600</v>
      </c>
      <c r="C62" s="227" t="str">
        <f>VLOOKUP(B62,'Tipos de Defeitos'!B$4:D$106,Menu!$B$22+1,)</f>
        <v>Sem PY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217">
        <f t="shared" si="5"/>
        <v>0</v>
      </c>
      <c r="AT62" s="217">
        <f>AS62+'UM-1 - Dia'!AS62</f>
        <v>0</v>
      </c>
    </row>
    <row r="63" spans="1:46">
      <c r="A63" s="281"/>
      <c r="B63" s="214">
        <f t="shared" si="0"/>
        <v>610</v>
      </c>
      <c r="C63" s="227" t="str">
        <f>VLOOKUP(B63,'Tipos de Defeitos'!B$4:D$106,Menu!$B$22+1,)</f>
        <v>PY Fora de Centro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217">
        <f t="shared" si="5"/>
        <v>0</v>
      </c>
      <c r="AT63" s="217">
        <f>AS63+'UM-1 - Dia'!AS63</f>
        <v>0</v>
      </c>
    </row>
    <row r="64" spans="1:46">
      <c r="A64" s="281"/>
      <c r="B64" s="214">
        <f t="shared" si="0"/>
        <v>620</v>
      </c>
      <c r="C64" s="227" t="str">
        <f>VLOOKUP(B64,'Tipos de Defeitos'!B$4:D$106,Menu!$B$22+1,)</f>
        <v>PY Queimado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217">
        <f t="shared" si="5"/>
        <v>0</v>
      </c>
      <c r="AT64" s="217">
        <f>AS64+'UM-1 - Dia'!AS64</f>
        <v>0</v>
      </c>
    </row>
    <row r="65" spans="1:47">
      <c r="A65" s="281"/>
      <c r="B65" s="214">
        <f t="shared" si="0"/>
        <v>630</v>
      </c>
      <c r="C65" s="227" t="str">
        <f>VLOOKUP(B65,'Tipos de Defeitos'!B$4:D$106,Menu!$B$22+1,)</f>
        <v>Tubo com Boca Amassada - Operador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217">
        <f t="shared" si="5"/>
        <v>0</v>
      </c>
      <c r="AT65" s="217">
        <f>AS65+'UM-1 - Dia'!AS65</f>
        <v>0</v>
      </c>
    </row>
    <row r="66" spans="1:47">
      <c r="A66" s="281"/>
      <c r="B66" s="214">
        <f t="shared" si="0"/>
        <v>640</v>
      </c>
      <c r="C66" s="227" t="str">
        <f>VLOOKUP(B66,'Tipos de Defeitos'!B$4:D$106,Menu!$B$22+1,)</f>
        <v>Tubo com Boca Amassada - Câmera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217">
        <f t="shared" si="5"/>
        <v>0</v>
      </c>
      <c r="AT66" s="217">
        <f>AS66+'UM-1 - Dia'!AS66</f>
        <v>0</v>
      </c>
    </row>
    <row r="67" spans="1:47">
      <c r="A67" s="281"/>
      <c r="B67" s="214">
        <f t="shared" si="0"/>
        <v>650</v>
      </c>
      <c r="C67" s="227" t="str">
        <f>VLOOKUP(B67,'Tipos de Defeitos'!B$4:D$106,Menu!$B$22+1,)</f>
        <v>Tubo com Boca Amassada - recuperada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217">
        <f t="shared" si="5"/>
        <v>0</v>
      </c>
      <c r="AT67" s="217">
        <f>AS67+'UM-1 - Dia'!AS67</f>
        <v>0</v>
      </c>
    </row>
    <row r="68" spans="1:47">
      <c r="A68" s="281"/>
      <c r="B68" s="214">
        <f t="shared" si="0"/>
        <v>660</v>
      </c>
      <c r="C68" s="227" t="str">
        <f>VLOOKUP(B68,'Tipos de Defeitos'!B$4:D$106,Menu!$B$22+1,)</f>
        <v>Tubo Rachado - Operador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217">
        <f t="shared" si="5"/>
        <v>0</v>
      </c>
      <c r="AT68" s="217">
        <f>AS68+'UM-1 - Dia'!AS68</f>
        <v>0</v>
      </c>
    </row>
    <row r="69" spans="1:47">
      <c r="A69" s="281"/>
      <c r="B69" s="214">
        <f t="shared" ref="B69:B75" si="6">(B68/10+1)*10</f>
        <v>670</v>
      </c>
      <c r="C69" s="227" t="str">
        <f>VLOOKUP(B69,'Tipos de Defeitos'!B$4:D$106,Menu!$B$22+1,)</f>
        <v>Tubo Rachado - Câmera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217">
        <f t="shared" si="5"/>
        <v>0</v>
      </c>
      <c r="AT69" s="217">
        <f>AS69+'UM-1 - Dia'!AS69</f>
        <v>0</v>
      </c>
    </row>
    <row r="70" spans="1:47">
      <c r="A70" s="281"/>
      <c r="B70" s="214">
        <f t="shared" si="6"/>
        <v>680</v>
      </c>
      <c r="C70" s="227" t="str">
        <f>VLOOKUP(B70,'Tipos de Defeitos'!B$4:D$106,Menu!$B$22+1,)</f>
        <v>Tubo de Zinco Amassado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217">
        <f t="shared" si="5"/>
        <v>0</v>
      </c>
      <c r="AT70" s="217">
        <f>AS70+'UM-1 - Dia'!AS70</f>
        <v>0</v>
      </c>
    </row>
    <row r="71" spans="1:47">
      <c r="A71" s="281"/>
      <c r="B71" s="214">
        <f t="shared" si="6"/>
        <v>690</v>
      </c>
      <c r="C71" s="227" t="str">
        <f>VLOOKUP(B71,'Tipos de Defeitos'!B$4:D$106,Menu!$B$22+1,)</f>
        <v>Tubo com Rebarba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217">
        <f t="shared" si="5"/>
        <v>0</v>
      </c>
      <c r="AT71" s="217">
        <f>AS71+'UM-1 - Dia'!AS71</f>
        <v>0</v>
      </c>
    </row>
    <row r="72" spans="1:47">
      <c r="A72" s="281"/>
      <c r="B72" s="214">
        <f t="shared" si="6"/>
        <v>700</v>
      </c>
      <c r="C72" s="227" t="str">
        <f>VLOOKUP(B72,'Tipos de Defeitos'!B$4:D$106,Menu!$B$22+1,)</f>
        <v>Curto Circuito Externo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217">
        <f t="shared" si="5"/>
        <v>0</v>
      </c>
      <c r="AT72" s="217">
        <f>AS72+'UM-1 - Dia'!AS72</f>
        <v>0</v>
      </c>
    </row>
    <row r="73" spans="1:47">
      <c r="A73" s="281"/>
      <c r="B73" s="214">
        <f t="shared" si="6"/>
        <v>710</v>
      </c>
      <c r="C73" s="227" t="str">
        <f>VLOOKUP(B73,'Tipos de Defeitos'!B$4:D$106,Menu!$B$22+1,)</f>
        <v>Curto Circ. Externo -  recuperada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217">
        <f t="shared" si="5"/>
        <v>0</v>
      </c>
      <c r="AT73" s="217">
        <f>AS73+'UM-1 - Dia'!AS73</f>
        <v>0</v>
      </c>
    </row>
    <row r="74" spans="1:47">
      <c r="A74" s="281"/>
      <c r="B74" s="214">
        <f>(B73/10+1)*10</f>
        <v>720</v>
      </c>
      <c r="C74" s="227" t="str">
        <f>VLOOKUP(B74,'Tipos de Defeitos'!B$4:D$106,Menu!$B$22+1,)</f>
        <v>Pilha recuperada do Acabamento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217">
        <f t="shared" si="5"/>
        <v>0</v>
      </c>
      <c r="AT74" s="217">
        <f>AS74+'UM-1 - Dia'!AS74</f>
        <v>0</v>
      </c>
    </row>
    <row r="75" spans="1:47">
      <c r="A75" s="281"/>
      <c r="B75" s="214">
        <f t="shared" si="6"/>
        <v>730</v>
      </c>
      <c r="C75" s="227" t="str">
        <f>VLOOKUP(B75,'Tipos de Defeitos'!B$4:D$106,Menu!$B$22+1,)</f>
        <v>Causa Desconhecida - Voltagem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217">
        <f t="shared" si="5"/>
        <v>0</v>
      </c>
      <c r="AT75" s="217">
        <f>AS75+'UM-1 - Dia'!AS75</f>
        <v>0</v>
      </c>
    </row>
    <row r="76" spans="1:47">
      <c r="A76" s="281"/>
      <c r="B76" s="214">
        <f>(B75/10+1)*10</f>
        <v>740</v>
      </c>
      <c r="C76" s="227" t="str">
        <f>VLOOKUP(B76,'Tipos de Defeitos'!B$4:D$106,Menu!$B$22+1,)</f>
        <v>Pilha Boa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217">
        <f t="shared" si="5"/>
        <v>0</v>
      </c>
      <c r="AT76" s="217">
        <f>AS76+'UM-1 - Dia'!AS76</f>
        <v>0</v>
      </c>
    </row>
    <row r="77" spans="1:47" ht="13.5" thickBot="1">
      <c r="A77" s="287"/>
      <c r="B77" s="220">
        <f>(B76/10+1)*10</f>
        <v>750</v>
      </c>
      <c r="C77" s="232" t="str">
        <f>VLOOKUP(B77,'Tipos de Defeitos'!B$4:D$106,Menu!$B$22+1,)</f>
        <v>Outros - Voltagem</v>
      </c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233">
        <f t="shared" si="5"/>
        <v>0</v>
      </c>
      <c r="AT77" s="233">
        <f>AS77+'UM-1 - Dia'!AS77</f>
        <v>0</v>
      </c>
    </row>
    <row r="78" spans="1:47">
      <c r="A78" s="286" t="s">
        <v>194</v>
      </c>
      <c r="B78" s="224">
        <f t="shared" ref="B78:B107" si="7">(B77/10+1)*10</f>
        <v>760</v>
      </c>
      <c r="C78" s="225" t="str">
        <f>VLOOKUP(B78,'Tipos de Defeitos'!B$4:D$106,Menu!$B$22+1,)</f>
        <v>Total (pçs)</v>
      </c>
      <c r="D78" s="237">
        <f t="shared" ref="D78:AC78" si="8">SUM(D28:D77)</f>
        <v>0</v>
      </c>
      <c r="E78" s="237">
        <f t="shared" si="8"/>
        <v>0</v>
      </c>
      <c r="F78" s="237">
        <f t="shared" si="8"/>
        <v>0</v>
      </c>
      <c r="G78" s="237">
        <f t="shared" si="8"/>
        <v>0</v>
      </c>
      <c r="H78" s="237">
        <f t="shared" si="8"/>
        <v>0</v>
      </c>
      <c r="I78" s="237">
        <f t="shared" si="8"/>
        <v>0</v>
      </c>
      <c r="J78" s="237">
        <f t="shared" si="8"/>
        <v>0</v>
      </c>
      <c r="K78" s="237">
        <f t="shared" si="8"/>
        <v>0</v>
      </c>
      <c r="L78" s="237">
        <f t="shared" si="8"/>
        <v>0</v>
      </c>
      <c r="M78" s="237">
        <f t="shared" si="8"/>
        <v>0</v>
      </c>
      <c r="N78" s="237">
        <f t="shared" si="8"/>
        <v>0</v>
      </c>
      <c r="O78" s="237">
        <f t="shared" si="8"/>
        <v>0</v>
      </c>
      <c r="P78" s="237">
        <f t="shared" si="8"/>
        <v>0</v>
      </c>
      <c r="Q78" s="237">
        <f t="shared" si="8"/>
        <v>0</v>
      </c>
      <c r="R78" s="237">
        <f t="shared" si="8"/>
        <v>0</v>
      </c>
      <c r="S78" s="237">
        <f t="shared" si="8"/>
        <v>0</v>
      </c>
      <c r="T78" s="237">
        <f t="shared" si="8"/>
        <v>0</v>
      </c>
      <c r="U78" s="237">
        <f t="shared" si="8"/>
        <v>0</v>
      </c>
      <c r="V78" s="237">
        <f t="shared" si="8"/>
        <v>0</v>
      </c>
      <c r="W78" s="237">
        <f t="shared" si="8"/>
        <v>0</v>
      </c>
      <c r="X78" s="237">
        <f t="shared" si="8"/>
        <v>0</v>
      </c>
      <c r="Y78" s="237">
        <f t="shared" si="8"/>
        <v>0</v>
      </c>
      <c r="Z78" s="237">
        <f t="shared" si="8"/>
        <v>0</v>
      </c>
      <c r="AA78" s="237">
        <f t="shared" si="8"/>
        <v>0</v>
      </c>
      <c r="AB78" s="237">
        <f t="shared" si="8"/>
        <v>0</v>
      </c>
      <c r="AC78" s="237">
        <f t="shared" si="8"/>
        <v>0</v>
      </c>
      <c r="AD78" s="237">
        <f t="shared" ref="AD78:AR78" si="9">SUM(AD28:AD77)</f>
        <v>0</v>
      </c>
      <c r="AE78" s="237">
        <f t="shared" si="9"/>
        <v>0</v>
      </c>
      <c r="AF78" s="237">
        <f t="shared" si="9"/>
        <v>0</v>
      </c>
      <c r="AG78" s="237">
        <f t="shared" si="9"/>
        <v>0</v>
      </c>
      <c r="AH78" s="237">
        <f t="shared" si="9"/>
        <v>0</v>
      </c>
      <c r="AI78" s="237">
        <f t="shared" si="9"/>
        <v>0</v>
      </c>
      <c r="AJ78" s="237">
        <f t="shared" si="9"/>
        <v>0</v>
      </c>
      <c r="AK78" s="237">
        <f t="shared" si="9"/>
        <v>0</v>
      </c>
      <c r="AL78" s="237">
        <f t="shared" si="9"/>
        <v>0</v>
      </c>
      <c r="AM78" s="237">
        <f t="shared" si="9"/>
        <v>0</v>
      </c>
      <c r="AN78" s="237">
        <f t="shared" si="9"/>
        <v>0</v>
      </c>
      <c r="AO78" s="237">
        <f t="shared" si="9"/>
        <v>0</v>
      </c>
      <c r="AP78" s="237">
        <f t="shared" si="9"/>
        <v>0</v>
      </c>
      <c r="AQ78" s="237">
        <f t="shared" si="9"/>
        <v>0</v>
      </c>
      <c r="AR78" s="237">
        <f t="shared" si="9"/>
        <v>0</v>
      </c>
      <c r="AS78" s="226">
        <f>SUM(AS28:AS77)</f>
        <v>0</v>
      </c>
      <c r="AT78" s="226">
        <f>AS78+'UM-1 - Dia'!AS78</f>
        <v>0</v>
      </c>
      <c r="AU78" s="234"/>
    </row>
    <row r="79" spans="1:47">
      <c r="A79" s="281"/>
      <c r="B79" s="214">
        <f t="shared" si="7"/>
        <v>770</v>
      </c>
      <c r="C79" s="227" t="str">
        <f>VLOOKUP(B79,'Tipos de Defeitos'!B$4:D$106,Menu!$B$22+1,)</f>
        <v>Taxa Defeituosa 1º Teste</v>
      </c>
      <c r="D79" s="238" t="str">
        <f t="shared" ref="D79:AC79" si="10">IF(D7&gt;0,D24/D7*1000000,"")</f>
        <v/>
      </c>
      <c r="E79" s="238" t="str">
        <f t="shared" si="10"/>
        <v/>
      </c>
      <c r="F79" s="238" t="str">
        <f t="shared" si="10"/>
        <v/>
      </c>
      <c r="G79" s="238" t="str">
        <f t="shared" si="10"/>
        <v/>
      </c>
      <c r="H79" s="238" t="str">
        <f t="shared" si="10"/>
        <v/>
      </c>
      <c r="I79" s="238" t="str">
        <f t="shared" si="10"/>
        <v/>
      </c>
      <c r="J79" s="238" t="str">
        <f t="shared" si="10"/>
        <v/>
      </c>
      <c r="K79" s="238" t="str">
        <f t="shared" si="10"/>
        <v/>
      </c>
      <c r="L79" s="238" t="str">
        <f t="shared" si="10"/>
        <v/>
      </c>
      <c r="M79" s="238" t="str">
        <f t="shared" si="10"/>
        <v/>
      </c>
      <c r="N79" s="238" t="str">
        <f t="shared" si="10"/>
        <v/>
      </c>
      <c r="O79" s="238" t="str">
        <f t="shared" si="10"/>
        <v/>
      </c>
      <c r="P79" s="238" t="str">
        <f t="shared" si="10"/>
        <v/>
      </c>
      <c r="Q79" s="238" t="str">
        <f t="shared" si="10"/>
        <v/>
      </c>
      <c r="R79" s="238" t="str">
        <f t="shared" si="10"/>
        <v/>
      </c>
      <c r="S79" s="238" t="str">
        <f t="shared" si="10"/>
        <v/>
      </c>
      <c r="T79" s="238" t="str">
        <f t="shared" si="10"/>
        <v/>
      </c>
      <c r="U79" s="238" t="str">
        <f t="shared" si="10"/>
        <v/>
      </c>
      <c r="V79" s="238" t="str">
        <f t="shared" si="10"/>
        <v/>
      </c>
      <c r="W79" s="238" t="str">
        <f t="shared" si="10"/>
        <v/>
      </c>
      <c r="X79" s="238" t="str">
        <f t="shared" si="10"/>
        <v/>
      </c>
      <c r="Y79" s="238" t="str">
        <f t="shared" si="10"/>
        <v/>
      </c>
      <c r="Z79" s="238" t="str">
        <f t="shared" si="10"/>
        <v/>
      </c>
      <c r="AA79" s="238" t="str">
        <f t="shared" si="10"/>
        <v/>
      </c>
      <c r="AB79" s="238" t="str">
        <f t="shared" si="10"/>
        <v/>
      </c>
      <c r="AC79" s="238" t="str">
        <f t="shared" si="10"/>
        <v/>
      </c>
      <c r="AD79" s="238" t="str">
        <f t="shared" ref="AD79:AR79" si="11">IF(AD7&gt;0,AD24/AD7*1000000,"")</f>
        <v/>
      </c>
      <c r="AE79" s="238" t="str">
        <f t="shared" si="11"/>
        <v/>
      </c>
      <c r="AF79" s="238" t="str">
        <f t="shared" si="11"/>
        <v/>
      </c>
      <c r="AG79" s="238" t="str">
        <f t="shared" si="11"/>
        <v/>
      </c>
      <c r="AH79" s="238" t="str">
        <f t="shared" si="11"/>
        <v/>
      </c>
      <c r="AI79" s="238" t="str">
        <f t="shared" si="11"/>
        <v/>
      </c>
      <c r="AJ79" s="238" t="str">
        <f t="shared" si="11"/>
        <v/>
      </c>
      <c r="AK79" s="238" t="str">
        <f t="shared" si="11"/>
        <v/>
      </c>
      <c r="AL79" s="238" t="str">
        <f t="shared" si="11"/>
        <v/>
      </c>
      <c r="AM79" s="238" t="str">
        <f t="shared" si="11"/>
        <v/>
      </c>
      <c r="AN79" s="238" t="str">
        <f t="shared" si="11"/>
        <v/>
      </c>
      <c r="AO79" s="238" t="str">
        <f t="shared" si="11"/>
        <v/>
      </c>
      <c r="AP79" s="238" t="str">
        <f t="shared" si="11"/>
        <v/>
      </c>
      <c r="AQ79" s="238" t="str">
        <f t="shared" si="11"/>
        <v/>
      </c>
      <c r="AR79" s="238" t="str">
        <f t="shared" si="11"/>
        <v/>
      </c>
      <c r="AS79" s="239">
        <f>IF(AS7&gt;0,AS23/AS7*1000000,0)</f>
        <v>0</v>
      </c>
      <c r="AT79" s="239" t="e">
        <f>AT23/AT7*1000000</f>
        <v>#DIV/0!</v>
      </c>
    </row>
    <row r="80" spans="1:47">
      <c r="A80" s="281"/>
      <c r="B80" s="214">
        <f t="shared" si="7"/>
        <v>780</v>
      </c>
      <c r="C80" s="227" t="str">
        <f>VLOOKUP(B80,'Tipos de Defeitos'!B$4:D$106,Menu!$B$22+1,)</f>
        <v>Taxa defeituosa (ppm)</v>
      </c>
      <c r="D80" s="207">
        <f t="shared" ref="D80:AC80" si="12">IF(ISERR(D78/D27*D24/D7),0,ROUND(D78/D27*D24/D7*1000000,0))</f>
        <v>0</v>
      </c>
      <c r="E80" s="207">
        <f t="shared" si="12"/>
        <v>0</v>
      </c>
      <c r="F80" s="207">
        <f t="shared" si="12"/>
        <v>0</v>
      </c>
      <c r="G80" s="207">
        <f t="shared" si="12"/>
        <v>0</v>
      </c>
      <c r="H80" s="207">
        <f t="shared" si="12"/>
        <v>0</v>
      </c>
      <c r="I80" s="207">
        <f t="shared" si="12"/>
        <v>0</v>
      </c>
      <c r="J80" s="207">
        <f t="shared" si="12"/>
        <v>0</v>
      </c>
      <c r="K80" s="207">
        <f t="shared" si="12"/>
        <v>0</v>
      </c>
      <c r="L80" s="207">
        <f t="shared" si="12"/>
        <v>0</v>
      </c>
      <c r="M80" s="207">
        <f t="shared" si="12"/>
        <v>0</v>
      </c>
      <c r="N80" s="207">
        <f t="shared" si="12"/>
        <v>0</v>
      </c>
      <c r="O80" s="207">
        <f t="shared" si="12"/>
        <v>0</v>
      </c>
      <c r="P80" s="207">
        <f t="shared" si="12"/>
        <v>0</v>
      </c>
      <c r="Q80" s="207">
        <f t="shared" si="12"/>
        <v>0</v>
      </c>
      <c r="R80" s="207">
        <f t="shared" si="12"/>
        <v>0</v>
      </c>
      <c r="S80" s="207">
        <f t="shared" si="12"/>
        <v>0</v>
      </c>
      <c r="T80" s="207">
        <f t="shared" si="12"/>
        <v>0</v>
      </c>
      <c r="U80" s="207">
        <f t="shared" si="12"/>
        <v>0</v>
      </c>
      <c r="V80" s="207">
        <f t="shared" si="12"/>
        <v>0</v>
      </c>
      <c r="W80" s="207">
        <f t="shared" si="12"/>
        <v>0</v>
      </c>
      <c r="X80" s="207">
        <f t="shared" si="12"/>
        <v>0</v>
      </c>
      <c r="Y80" s="207">
        <f t="shared" si="12"/>
        <v>0</v>
      </c>
      <c r="Z80" s="207">
        <f t="shared" si="12"/>
        <v>0</v>
      </c>
      <c r="AA80" s="207">
        <f t="shared" si="12"/>
        <v>0</v>
      </c>
      <c r="AB80" s="207">
        <f t="shared" si="12"/>
        <v>0</v>
      </c>
      <c r="AC80" s="207">
        <f t="shared" si="12"/>
        <v>0</v>
      </c>
      <c r="AD80" s="207">
        <f t="shared" ref="AD80:AR80" si="13">IF(ISERR(AD78/AD27*AD24/AD7),0,ROUND(AD78/AD27*AD24/AD7*1000000,0))</f>
        <v>0</v>
      </c>
      <c r="AE80" s="207">
        <f t="shared" si="13"/>
        <v>0</v>
      </c>
      <c r="AF80" s="207">
        <f t="shared" si="13"/>
        <v>0</v>
      </c>
      <c r="AG80" s="207">
        <f t="shared" si="13"/>
        <v>0</v>
      </c>
      <c r="AH80" s="207">
        <f t="shared" si="13"/>
        <v>0</v>
      </c>
      <c r="AI80" s="207">
        <f t="shared" si="13"/>
        <v>0</v>
      </c>
      <c r="AJ80" s="207">
        <f t="shared" si="13"/>
        <v>0</v>
      </c>
      <c r="AK80" s="207">
        <f t="shared" si="13"/>
        <v>0</v>
      </c>
      <c r="AL80" s="207">
        <f t="shared" si="13"/>
        <v>0</v>
      </c>
      <c r="AM80" s="207">
        <f t="shared" si="13"/>
        <v>0</v>
      </c>
      <c r="AN80" s="207">
        <f t="shared" si="13"/>
        <v>0</v>
      </c>
      <c r="AO80" s="207">
        <f t="shared" si="13"/>
        <v>0</v>
      </c>
      <c r="AP80" s="207">
        <f t="shared" si="13"/>
        <v>0</v>
      </c>
      <c r="AQ80" s="207">
        <f t="shared" si="13"/>
        <v>0</v>
      </c>
      <c r="AR80" s="207">
        <f t="shared" si="13"/>
        <v>0</v>
      </c>
      <c r="AS80" s="239">
        <f>IF(ISERR(AS78/AS27*AS24/AS7),0,ROUND(AS78/AS27*AS24/AS7*1000000,0))</f>
        <v>0</v>
      </c>
      <c r="AT80" s="239" t="e">
        <f>ROUNDDOWN($AT$78/$AT$27*$AT$24/$AT$7*1000000,0)</f>
        <v>#DIV/0!</v>
      </c>
    </row>
    <row r="81" spans="1:46">
      <c r="A81" s="281"/>
      <c r="B81" s="214">
        <f t="shared" si="7"/>
        <v>790</v>
      </c>
      <c r="C81" s="227" t="str">
        <f>VLOOKUP(B81,'Tipos de Defeitos'!B$4:D$106,Menu!$B$22+1,)</f>
        <v>Qtd. Defeitos internos (pçs)</v>
      </c>
      <c r="D81" s="207">
        <f t="shared" ref="D81:AC81" si="14">SUM(D28:D71,D86:D98)</f>
        <v>0</v>
      </c>
      <c r="E81" s="207">
        <f t="shared" si="14"/>
        <v>0</v>
      </c>
      <c r="F81" s="207">
        <f t="shared" si="14"/>
        <v>0</v>
      </c>
      <c r="G81" s="207">
        <f t="shared" si="14"/>
        <v>0</v>
      </c>
      <c r="H81" s="207">
        <f t="shared" si="14"/>
        <v>0</v>
      </c>
      <c r="I81" s="207">
        <f t="shared" si="14"/>
        <v>0</v>
      </c>
      <c r="J81" s="207">
        <f t="shared" si="14"/>
        <v>0</v>
      </c>
      <c r="K81" s="207">
        <f t="shared" si="14"/>
        <v>0</v>
      </c>
      <c r="L81" s="207">
        <f t="shared" si="14"/>
        <v>0</v>
      </c>
      <c r="M81" s="207">
        <f t="shared" si="14"/>
        <v>0</v>
      </c>
      <c r="N81" s="207">
        <f t="shared" si="14"/>
        <v>0</v>
      </c>
      <c r="O81" s="207">
        <f t="shared" si="14"/>
        <v>0</v>
      </c>
      <c r="P81" s="207">
        <f t="shared" si="14"/>
        <v>0</v>
      </c>
      <c r="Q81" s="207">
        <f t="shared" si="14"/>
        <v>0</v>
      </c>
      <c r="R81" s="207">
        <f t="shared" si="14"/>
        <v>0</v>
      </c>
      <c r="S81" s="207">
        <f t="shared" si="14"/>
        <v>0</v>
      </c>
      <c r="T81" s="207">
        <f t="shared" si="14"/>
        <v>0</v>
      </c>
      <c r="U81" s="207">
        <f t="shared" si="14"/>
        <v>0</v>
      </c>
      <c r="V81" s="207">
        <f t="shared" si="14"/>
        <v>0</v>
      </c>
      <c r="W81" s="207">
        <f t="shared" si="14"/>
        <v>0</v>
      </c>
      <c r="X81" s="207">
        <f t="shared" si="14"/>
        <v>0</v>
      </c>
      <c r="Y81" s="207">
        <f t="shared" si="14"/>
        <v>0</v>
      </c>
      <c r="Z81" s="207">
        <f t="shared" si="14"/>
        <v>0</v>
      </c>
      <c r="AA81" s="207">
        <f t="shared" si="14"/>
        <v>0</v>
      </c>
      <c r="AB81" s="207">
        <f t="shared" si="14"/>
        <v>0</v>
      </c>
      <c r="AC81" s="207">
        <f t="shared" si="14"/>
        <v>0</v>
      </c>
      <c r="AD81" s="207">
        <f t="shared" ref="AD81:AR81" si="15">SUM(AD28:AD71,AD86:AD98)</f>
        <v>0</v>
      </c>
      <c r="AE81" s="207">
        <f t="shared" si="15"/>
        <v>0</v>
      </c>
      <c r="AF81" s="207">
        <f t="shared" si="15"/>
        <v>0</v>
      </c>
      <c r="AG81" s="207">
        <f t="shared" si="15"/>
        <v>0</v>
      </c>
      <c r="AH81" s="207">
        <f t="shared" si="15"/>
        <v>0</v>
      </c>
      <c r="AI81" s="207">
        <f t="shared" si="15"/>
        <v>0</v>
      </c>
      <c r="AJ81" s="207">
        <f t="shared" si="15"/>
        <v>0</v>
      </c>
      <c r="AK81" s="207">
        <f t="shared" si="15"/>
        <v>0</v>
      </c>
      <c r="AL81" s="207">
        <f t="shared" si="15"/>
        <v>0</v>
      </c>
      <c r="AM81" s="207">
        <f t="shared" si="15"/>
        <v>0</v>
      </c>
      <c r="AN81" s="207">
        <f t="shared" si="15"/>
        <v>0</v>
      </c>
      <c r="AO81" s="207">
        <f t="shared" si="15"/>
        <v>0</v>
      </c>
      <c r="AP81" s="207">
        <f t="shared" si="15"/>
        <v>0</v>
      </c>
      <c r="AQ81" s="207">
        <f t="shared" si="15"/>
        <v>0</v>
      </c>
      <c r="AR81" s="207">
        <f t="shared" si="15"/>
        <v>0</v>
      </c>
      <c r="AS81" s="217">
        <f>SUM(AS28:AS77)</f>
        <v>0</v>
      </c>
      <c r="AT81" s="217"/>
    </row>
    <row r="82" spans="1:46" ht="13.5" thickBot="1">
      <c r="A82" s="287"/>
      <c r="B82" s="220">
        <f t="shared" si="7"/>
        <v>800</v>
      </c>
      <c r="C82" s="232" t="str">
        <f>VLOOKUP(B82,'Tipos de Defeitos'!B$4:D$106,Menu!$B$22+1,)</f>
        <v>Defeitos Internos - Taxa defeituosa (ppm)</v>
      </c>
      <c r="D82" s="222" t="str">
        <f t="shared" ref="D82:AC82" si="16">IF((D7&gt;0)*(D23&gt;0),ROUND(D81/D27*D24/D7*1000000,0),"")</f>
        <v/>
      </c>
      <c r="E82" s="222" t="str">
        <f t="shared" si="16"/>
        <v/>
      </c>
      <c r="F82" s="222" t="str">
        <f t="shared" si="16"/>
        <v/>
      </c>
      <c r="G82" s="222" t="str">
        <f t="shared" si="16"/>
        <v/>
      </c>
      <c r="H82" s="222" t="str">
        <f t="shared" si="16"/>
        <v/>
      </c>
      <c r="I82" s="222" t="str">
        <f t="shared" si="16"/>
        <v/>
      </c>
      <c r="J82" s="222" t="str">
        <f t="shared" si="16"/>
        <v/>
      </c>
      <c r="K82" s="222" t="str">
        <f t="shared" si="16"/>
        <v/>
      </c>
      <c r="L82" s="222" t="str">
        <f t="shared" si="16"/>
        <v/>
      </c>
      <c r="M82" s="222" t="str">
        <f t="shared" si="16"/>
        <v/>
      </c>
      <c r="N82" s="222" t="str">
        <f t="shared" si="16"/>
        <v/>
      </c>
      <c r="O82" s="222" t="str">
        <f t="shared" si="16"/>
        <v/>
      </c>
      <c r="P82" s="222" t="str">
        <f t="shared" si="16"/>
        <v/>
      </c>
      <c r="Q82" s="222" t="str">
        <f t="shared" si="16"/>
        <v/>
      </c>
      <c r="R82" s="222" t="str">
        <f t="shared" si="16"/>
        <v/>
      </c>
      <c r="S82" s="222" t="str">
        <f t="shared" si="16"/>
        <v/>
      </c>
      <c r="T82" s="222" t="str">
        <f t="shared" si="16"/>
        <v/>
      </c>
      <c r="U82" s="222" t="str">
        <f t="shared" si="16"/>
        <v/>
      </c>
      <c r="V82" s="222" t="str">
        <f t="shared" si="16"/>
        <v/>
      </c>
      <c r="W82" s="222" t="str">
        <f t="shared" si="16"/>
        <v/>
      </c>
      <c r="X82" s="222" t="str">
        <f t="shared" si="16"/>
        <v/>
      </c>
      <c r="Y82" s="222" t="str">
        <f t="shared" si="16"/>
        <v/>
      </c>
      <c r="Z82" s="222" t="str">
        <f t="shared" si="16"/>
        <v/>
      </c>
      <c r="AA82" s="222" t="str">
        <f t="shared" si="16"/>
        <v/>
      </c>
      <c r="AB82" s="222" t="str">
        <f t="shared" si="16"/>
        <v/>
      </c>
      <c r="AC82" s="222" t="str">
        <f t="shared" si="16"/>
        <v/>
      </c>
      <c r="AD82" s="222" t="str">
        <f t="shared" ref="AD82:AR82" si="17">IF((AD7&gt;0)*(AD23&gt;0),ROUND(AD81/AD27*AD24/AD7*1000000,0),"")</f>
        <v/>
      </c>
      <c r="AE82" s="222" t="str">
        <f t="shared" si="17"/>
        <v/>
      </c>
      <c r="AF82" s="222" t="str">
        <f t="shared" si="17"/>
        <v/>
      </c>
      <c r="AG82" s="222" t="str">
        <f t="shared" si="17"/>
        <v/>
      </c>
      <c r="AH82" s="222" t="str">
        <f t="shared" si="17"/>
        <v/>
      </c>
      <c r="AI82" s="222" t="str">
        <f t="shared" si="17"/>
        <v/>
      </c>
      <c r="AJ82" s="222" t="str">
        <f t="shared" si="17"/>
        <v/>
      </c>
      <c r="AK82" s="222" t="str">
        <f t="shared" si="17"/>
        <v/>
      </c>
      <c r="AL82" s="222" t="str">
        <f t="shared" si="17"/>
        <v/>
      </c>
      <c r="AM82" s="222" t="str">
        <f t="shared" si="17"/>
        <v/>
      </c>
      <c r="AN82" s="222" t="str">
        <f t="shared" si="17"/>
        <v/>
      </c>
      <c r="AO82" s="222" t="str">
        <f t="shared" si="17"/>
        <v/>
      </c>
      <c r="AP82" s="222" t="str">
        <f t="shared" si="17"/>
        <v/>
      </c>
      <c r="AQ82" s="222" t="str">
        <f t="shared" si="17"/>
        <v/>
      </c>
      <c r="AR82" s="222" t="str">
        <f t="shared" si="17"/>
        <v/>
      </c>
      <c r="AS82" s="240" t="str">
        <f>IF((AS7&gt;0)*(AS23&gt;0),ROUND(AS81/AS27*AS24/AS7*1000000,0),"")</f>
        <v/>
      </c>
      <c r="AT82" s="240"/>
    </row>
    <row r="83" spans="1:46" s="229" customFormat="1" ht="14.25" customHeight="1">
      <c r="A83" s="278" t="s">
        <v>192</v>
      </c>
      <c r="B83" s="241">
        <f t="shared" si="7"/>
        <v>810</v>
      </c>
      <c r="C83" s="242" t="str">
        <f>VLOOKUP(B83,'Tipos de Defeitos'!B$4:D$106,Menu!$B$22+1,)</f>
        <v>Amperagem (Moda)</v>
      </c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178"/>
      <c r="AJ83" s="178"/>
      <c r="AK83" s="178"/>
      <c r="AL83" s="178"/>
      <c r="AM83" s="178"/>
      <c r="AN83" s="178"/>
      <c r="AO83" s="178"/>
      <c r="AP83" s="178"/>
      <c r="AQ83" s="178"/>
      <c r="AR83" s="178"/>
      <c r="AS83" s="243" t="e">
        <f>AVERAGE(D83:AJ83)</f>
        <v>#DIV/0!</v>
      </c>
      <c r="AT83" s="243"/>
    </row>
    <row r="84" spans="1:46" s="229" customFormat="1">
      <c r="A84" s="279"/>
      <c r="B84" s="244">
        <f t="shared" si="7"/>
        <v>820</v>
      </c>
      <c r="C84" s="245" t="str">
        <f>VLOOKUP(B84,'Tipos de Defeitos'!B$4:D$106,Menu!$B$22+1,)</f>
        <v>Amperagem Ajustada</v>
      </c>
      <c r="D84" s="246" t="str">
        <f t="shared" ref="D84:AC84" si="18">IF(D83&gt;0,D83-1,"")</f>
        <v/>
      </c>
      <c r="E84" s="246" t="str">
        <f t="shared" si="18"/>
        <v/>
      </c>
      <c r="F84" s="246" t="str">
        <f t="shared" si="18"/>
        <v/>
      </c>
      <c r="G84" s="246" t="str">
        <f t="shared" si="18"/>
        <v/>
      </c>
      <c r="H84" s="246" t="str">
        <f t="shared" si="18"/>
        <v/>
      </c>
      <c r="I84" s="246" t="str">
        <f t="shared" si="18"/>
        <v/>
      </c>
      <c r="J84" s="246" t="str">
        <f t="shared" si="18"/>
        <v/>
      </c>
      <c r="K84" s="246" t="str">
        <f t="shared" si="18"/>
        <v/>
      </c>
      <c r="L84" s="246" t="str">
        <f t="shared" si="18"/>
        <v/>
      </c>
      <c r="M84" s="246" t="str">
        <f t="shared" si="18"/>
        <v/>
      </c>
      <c r="N84" s="246" t="str">
        <f t="shared" si="18"/>
        <v/>
      </c>
      <c r="O84" s="246" t="str">
        <f t="shared" si="18"/>
        <v/>
      </c>
      <c r="P84" s="246" t="str">
        <f t="shared" si="18"/>
        <v/>
      </c>
      <c r="Q84" s="246" t="str">
        <f t="shared" si="18"/>
        <v/>
      </c>
      <c r="R84" s="246" t="str">
        <f t="shared" si="18"/>
        <v/>
      </c>
      <c r="S84" s="246" t="str">
        <f t="shared" si="18"/>
        <v/>
      </c>
      <c r="T84" s="246" t="str">
        <f t="shared" si="18"/>
        <v/>
      </c>
      <c r="U84" s="246" t="str">
        <f t="shared" si="18"/>
        <v/>
      </c>
      <c r="V84" s="246" t="str">
        <f t="shared" si="18"/>
        <v/>
      </c>
      <c r="W84" s="246" t="str">
        <f t="shared" si="18"/>
        <v/>
      </c>
      <c r="X84" s="246" t="str">
        <f t="shared" si="18"/>
        <v/>
      </c>
      <c r="Y84" s="246" t="str">
        <f t="shared" si="18"/>
        <v/>
      </c>
      <c r="Z84" s="246" t="str">
        <f t="shared" si="18"/>
        <v/>
      </c>
      <c r="AA84" s="246" t="str">
        <f t="shared" si="18"/>
        <v/>
      </c>
      <c r="AB84" s="246" t="str">
        <f t="shared" si="18"/>
        <v/>
      </c>
      <c r="AC84" s="246" t="str">
        <f t="shared" si="18"/>
        <v/>
      </c>
      <c r="AD84" s="246" t="str">
        <f t="shared" ref="AD84:AR84" si="19">IF(AD83&gt;0,AD83-1,"")</f>
        <v/>
      </c>
      <c r="AE84" s="246" t="str">
        <f t="shared" si="19"/>
        <v/>
      </c>
      <c r="AF84" s="246" t="str">
        <f t="shared" si="19"/>
        <v/>
      </c>
      <c r="AG84" s="246" t="str">
        <f t="shared" si="19"/>
        <v/>
      </c>
      <c r="AH84" s="246" t="str">
        <f t="shared" si="19"/>
        <v/>
      </c>
      <c r="AI84" s="246" t="str">
        <f t="shared" si="19"/>
        <v/>
      </c>
      <c r="AJ84" s="246" t="str">
        <f t="shared" si="19"/>
        <v/>
      </c>
      <c r="AK84" s="246" t="str">
        <f t="shared" si="19"/>
        <v/>
      </c>
      <c r="AL84" s="246" t="str">
        <f t="shared" si="19"/>
        <v/>
      </c>
      <c r="AM84" s="246" t="str">
        <f t="shared" si="19"/>
        <v/>
      </c>
      <c r="AN84" s="246" t="str">
        <f t="shared" si="19"/>
        <v/>
      </c>
      <c r="AO84" s="246" t="str">
        <f t="shared" si="19"/>
        <v/>
      </c>
      <c r="AP84" s="246" t="str">
        <f t="shared" si="19"/>
        <v/>
      </c>
      <c r="AQ84" s="246" t="str">
        <f t="shared" si="19"/>
        <v/>
      </c>
      <c r="AR84" s="246" t="str">
        <f t="shared" si="19"/>
        <v/>
      </c>
      <c r="AS84" s="216" t="e">
        <f>AVERAGE(D84:AJ84)</f>
        <v>#DIV/0!</v>
      </c>
      <c r="AT84" s="216"/>
    </row>
    <row r="85" spans="1:46" ht="13.5" thickBot="1">
      <c r="A85" s="280"/>
      <c r="B85" s="220">
        <f t="shared" si="7"/>
        <v>830</v>
      </c>
      <c r="C85" s="232" t="str">
        <f>VLOOKUP(B85,'Tipos de Defeitos'!B$4:D$106,Menu!$B$22+1,)</f>
        <v>Qtd Baterias analisadas (pçs)</v>
      </c>
      <c r="D85" s="247">
        <f t="shared" ref="D85:AC85" si="20">SUM(D86:D102)</f>
        <v>0</v>
      </c>
      <c r="E85" s="247">
        <f t="shared" si="20"/>
        <v>0</v>
      </c>
      <c r="F85" s="247">
        <f t="shared" si="20"/>
        <v>0</v>
      </c>
      <c r="G85" s="247">
        <f t="shared" si="20"/>
        <v>0</v>
      </c>
      <c r="H85" s="247">
        <f t="shared" si="20"/>
        <v>0</v>
      </c>
      <c r="I85" s="247">
        <f t="shared" si="20"/>
        <v>0</v>
      </c>
      <c r="J85" s="247">
        <f t="shared" si="20"/>
        <v>0</v>
      </c>
      <c r="K85" s="247">
        <f t="shared" si="20"/>
        <v>0</v>
      </c>
      <c r="L85" s="247">
        <f t="shared" si="20"/>
        <v>0</v>
      </c>
      <c r="M85" s="247">
        <f t="shared" si="20"/>
        <v>0</v>
      </c>
      <c r="N85" s="247">
        <f t="shared" si="20"/>
        <v>0</v>
      </c>
      <c r="O85" s="247">
        <f t="shared" si="20"/>
        <v>0</v>
      </c>
      <c r="P85" s="247">
        <f t="shared" si="20"/>
        <v>0</v>
      </c>
      <c r="Q85" s="247">
        <f t="shared" si="20"/>
        <v>0</v>
      </c>
      <c r="R85" s="247">
        <f t="shared" si="20"/>
        <v>0</v>
      </c>
      <c r="S85" s="247">
        <f t="shared" si="20"/>
        <v>0</v>
      </c>
      <c r="T85" s="247">
        <f t="shared" si="20"/>
        <v>0</v>
      </c>
      <c r="U85" s="247">
        <f t="shared" si="20"/>
        <v>0</v>
      </c>
      <c r="V85" s="247">
        <f t="shared" si="20"/>
        <v>0</v>
      </c>
      <c r="W85" s="247">
        <f t="shared" si="20"/>
        <v>0</v>
      </c>
      <c r="X85" s="247">
        <f t="shared" si="20"/>
        <v>0</v>
      </c>
      <c r="Y85" s="247">
        <f t="shared" si="20"/>
        <v>0</v>
      </c>
      <c r="Z85" s="247">
        <f t="shared" si="20"/>
        <v>0</v>
      </c>
      <c r="AA85" s="247">
        <f t="shared" si="20"/>
        <v>0</v>
      </c>
      <c r="AB85" s="247">
        <f t="shared" si="20"/>
        <v>0</v>
      </c>
      <c r="AC85" s="247">
        <f t="shared" si="20"/>
        <v>0</v>
      </c>
      <c r="AD85" s="247">
        <f t="shared" ref="AD85:AR85" si="21">SUM(AD86:AD102)</f>
        <v>0</v>
      </c>
      <c r="AE85" s="247">
        <f t="shared" si="21"/>
        <v>0</v>
      </c>
      <c r="AF85" s="247">
        <f t="shared" si="21"/>
        <v>0</v>
      </c>
      <c r="AG85" s="247">
        <f t="shared" si="21"/>
        <v>0</v>
      </c>
      <c r="AH85" s="247">
        <f t="shared" si="21"/>
        <v>0</v>
      </c>
      <c r="AI85" s="247">
        <f t="shared" si="21"/>
        <v>0</v>
      </c>
      <c r="AJ85" s="247">
        <f t="shared" si="21"/>
        <v>0</v>
      </c>
      <c r="AK85" s="247">
        <f t="shared" si="21"/>
        <v>0</v>
      </c>
      <c r="AL85" s="247">
        <f t="shared" si="21"/>
        <v>0</v>
      </c>
      <c r="AM85" s="247">
        <f t="shared" si="21"/>
        <v>0</v>
      </c>
      <c r="AN85" s="247">
        <f t="shared" si="21"/>
        <v>0</v>
      </c>
      <c r="AO85" s="247">
        <f t="shared" si="21"/>
        <v>0</v>
      </c>
      <c r="AP85" s="247">
        <f t="shared" si="21"/>
        <v>0</v>
      </c>
      <c r="AQ85" s="247">
        <f t="shared" si="21"/>
        <v>0</v>
      </c>
      <c r="AR85" s="247">
        <f t="shared" si="21"/>
        <v>0</v>
      </c>
      <c r="AS85" s="248">
        <f>SUM(AS86:AS103)</f>
        <v>0</v>
      </c>
      <c r="AT85" s="248">
        <f>AS85+'UM-1 - Dia'!AS85</f>
        <v>0</v>
      </c>
    </row>
    <row r="86" spans="1:46" ht="13.5" customHeight="1">
      <c r="A86" s="281" t="s">
        <v>28</v>
      </c>
      <c r="B86" s="211">
        <f t="shared" si="7"/>
        <v>840</v>
      </c>
      <c r="C86" s="249" t="str">
        <f>VLOOKUP(B86,'Tipos de Defeitos'!B$4:D$106,Menu!$B$22+1,)</f>
        <v>Papel Separdor Duplo</v>
      </c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228">
        <f t="shared" ref="AS86:AS102" si="22">SUM(D86:AJ86)</f>
        <v>0</v>
      </c>
      <c r="AT86" s="228">
        <f>AS86+'UM-1 - Dia'!AS86</f>
        <v>0</v>
      </c>
    </row>
    <row r="87" spans="1:46">
      <c r="A87" s="281"/>
      <c r="B87" s="214">
        <f t="shared" si="7"/>
        <v>850</v>
      </c>
      <c r="C87" s="227" t="str">
        <f>VLOOKUP(B87,'Tipos de Defeitos'!B$4:D$106,Menu!$B$22+1,)</f>
        <v>Pedra de Negro</v>
      </c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  <c r="AS87" s="228">
        <f t="shared" si="22"/>
        <v>0</v>
      </c>
      <c r="AT87" s="228">
        <f>AS87+'UM-1 - Dia'!AS87</f>
        <v>0</v>
      </c>
    </row>
    <row r="88" spans="1:46">
      <c r="A88" s="281"/>
      <c r="B88" s="214">
        <f t="shared" si="7"/>
        <v>860</v>
      </c>
      <c r="C88" s="227" t="str">
        <f>VLOOKUP(B88,'Tipos de Defeitos'!B$4:D$106,Menu!$B$22+1,)</f>
        <v>Pedra de Cl de Amônia</v>
      </c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  <c r="AS88" s="228">
        <f t="shared" si="22"/>
        <v>0</v>
      </c>
      <c r="AT88" s="228">
        <f>AS88+'UM-1 - Dia'!AS88</f>
        <v>0</v>
      </c>
    </row>
    <row r="89" spans="1:46">
      <c r="A89" s="281"/>
      <c r="B89" s="214">
        <f t="shared" si="7"/>
        <v>870</v>
      </c>
      <c r="C89" s="227" t="str">
        <f>VLOOKUP(B89,'Tipos de Defeitos'!B$4:D$106,Menu!$B$22+1,)</f>
        <v>Pelota de Manganês</v>
      </c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228">
        <f t="shared" si="22"/>
        <v>0</v>
      </c>
      <c r="AT89" s="228">
        <f>AS89+'UM-1 - Dia'!AS89</f>
        <v>0</v>
      </c>
    </row>
    <row r="90" spans="1:46">
      <c r="A90" s="281"/>
      <c r="B90" s="214">
        <f t="shared" si="7"/>
        <v>880</v>
      </c>
      <c r="C90" s="227" t="str">
        <f>VLOOKUP(B90,'Tipos de Defeitos'!B$4:D$106,Menu!$B$22+1,)</f>
        <v>Bobina Baixa</v>
      </c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  <c r="AS90" s="228">
        <f t="shared" si="22"/>
        <v>0</v>
      </c>
      <c r="AT90" s="228">
        <f>AS90+'UM-1 - Dia'!AS90</f>
        <v>0</v>
      </c>
    </row>
    <row r="91" spans="1:46">
      <c r="A91" s="281"/>
      <c r="B91" s="214">
        <f t="shared" si="7"/>
        <v>890</v>
      </c>
      <c r="C91" s="227" t="str">
        <f>VLOOKUP(B91,'Tipos de Defeitos'!B$4:D$106,Menu!$B$22+1,)</f>
        <v>Bobina Rachada</v>
      </c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228">
        <f t="shared" si="22"/>
        <v>0</v>
      </c>
      <c r="AT91" s="228">
        <f>AS91+'UM-1 - Dia'!AS91</f>
        <v>0</v>
      </c>
    </row>
    <row r="92" spans="1:46">
      <c r="A92" s="281"/>
      <c r="B92" s="214">
        <f t="shared" si="7"/>
        <v>900</v>
      </c>
      <c r="C92" s="227" t="str">
        <f>VLOOKUP(B92,'Tipos de Defeitos'!B$4:D$106,Menu!$B$22+1,)</f>
        <v>Emenda de Papel</v>
      </c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  <c r="V92" s="125"/>
      <c r="W92" s="125"/>
      <c r="X92" s="125"/>
      <c r="Y92" s="125"/>
      <c r="Z92" s="125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/>
      <c r="AQ92" s="125"/>
      <c r="AR92" s="125"/>
      <c r="AS92" s="228">
        <f t="shared" si="22"/>
        <v>0</v>
      </c>
      <c r="AT92" s="228">
        <f>AS92+'UM-1 - Dia'!AS92</f>
        <v>0</v>
      </c>
    </row>
    <row r="93" spans="1:46">
      <c r="A93" s="281"/>
      <c r="B93" s="214">
        <f t="shared" si="7"/>
        <v>910</v>
      </c>
      <c r="C93" s="227" t="str">
        <f>VLOOKUP(B93,'Tipos de Defeitos'!B$4:D$106,Menu!$B$22+1,)</f>
        <v>Carvão Quebrado</v>
      </c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228">
        <f t="shared" si="22"/>
        <v>0</v>
      </c>
      <c r="AT93" s="228">
        <f>AS93+'UM-1 - Dia'!AS93</f>
        <v>0</v>
      </c>
    </row>
    <row r="94" spans="1:46">
      <c r="A94" s="281"/>
      <c r="B94" s="214">
        <f t="shared" si="7"/>
        <v>920</v>
      </c>
      <c r="C94" s="227" t="str">
        <f>VLOOKUP(B94,'Tipos de Defeitos'!B$4:D$106,Menu!$B$22+1,)</f>
        <v>Metade do Carvão</v>
      </c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228">
        <f t="shared" si="22"/>
        <v>0</v>
      </c>
      <c r="AT94" s="228">
        <f>AS94+'UM-1 - Dia'!AS94</f>
        <v>0</v>
      </c>
    </row>
    <row r="95" spans="1:46">
      <c r="A95" s="281"/>
      <c r="B95" s="214">
        <f t="shared" si="7"/>
        <v>930</v>
      </c>
      <c r="C95" s="227" t="str">
        <f>VLOOKUP(B95,'Tipos de Defeitos'!B$4:D$106,Menu!$B$22+1,)</f>
        <v>Carvão Frouxo</v>
      </c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228">
        <f t="shared" si="22"/>
        <v>0</v>
      </c>
      <c r="AT95" s="228">
        <f>AS95+'UM-1 - Dia'!AS95</f>
        <v>0</v>
      </c>
    </row>
    <row r="96" spans="1:46">
      <c r="A96" s="281"/>
      <c r="B96" s="214">
        <f t="shared" si="7"/>
        <v>940</v>
      </c>
      <c r="C96" s="227" t="str">
        <f>VLOOKUP(B96,'Tipos de Defeitos'!B$4:D$106,Menu!$B$22+1,)</f>
        <v>Tubo de Zinco Sujo</v>
      </c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  <c r="V96" s="125"/>
      <c r="W96" s="125"/>
      <c r="X96" s="125"/>
      <c r="Y96" s="125"/>
      <c r="Z96" s="125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/>
      <c r="AQ96" s="125"/>
      <c r="AR96" s="125"/>
      <c r="AS96" s="228">
        <f t="shared" si="22"/>
        <v>0</v>
      </c>
      <c r="AT96" s="228">
        <f>AS96+'UM-1 - Dia'!AS96</f>
        <v>0</v>
      </c>
    </row>
    <row r="97" spans="1:47">
      <c r="A97" s="281"/>
      <c r="B97" s="214">
        <f t="shared" si="7"/>
        <v>950</v>
      </c>
      <c r="C97" s="227" t="str">
        <f>VLOOKUP(B97,'Tipos de Defeitos'!B$4:D$106,Menu!$B$22+1,)</f>
        <v>Contem estranho</v>
      </c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/>
      <c r="AS97" s="228">
        <f t="shared" si="22"/>
        <v>0</v>
      </c>
      <c r="AT97" s="228">
        <f>AS97+'UM-1 - Dia'!AS97</f>
        <v>0</v>
      </c>
    </row>
    <row r="98" spans="1:47">
      <c r="A98" s="281"/>
      <c r="B98" s="214">
        <f t="shared" si="7"/>
        <v>960</v>
      </c>
      <c r="C98" s="227" t="str">
        <f>VLOOKUP(B98,'Tipos de Defeitos'!B$4:D$106,Menu!$B$22+1,)</f>
        <v>Mistura seca</v>
      </c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228">
        <f t="shared" si="22"/>
        <v>0</v>
      </c>
      <c r="AT98" s="228">
        <f>AS98+'UM-1 - Dia'!AS98</f>
        <v>0</v>
      </c>
    </row>
    <row r="99" spans="1:47">
      <c r="A99" s="281"/>
      <c r="B99" s="214">
        <f t="shared" si="7"/>
        <v>970</v>
      </c>
      <c r="C99" s="227" t="str">
        <f>VLOOKUP(B99,'Tipos de Defeitos'!B$4:D$106,Menu!$B$22+1,)</f>
        <v>Bottom Plate Amassado</v>
      </c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  <c r="V99" s="125"/>
      <c r="W99" s="125"/>
      <c r="X99" s="125"/>
      <c r="Y99" s="125"/>
      <c r="Z99" s="125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25"/>
      <c r="AO99" s="125"/>
      <c r="AP99" s="125"/>
      <c r="AQ99" s="125"/>
      <c r="AR99" s="125"/>
      <c r="AS99" s="228">
        <f t="shared" si="22"/>
        <v>0</v>
      </c>
      <c r="AT99" s="228">
        <f>AS99+'UM-1 - Dia'!AS99</f>
        <v>0</v>
      </c>
    </row>
    <row r="100" spans="1:47">
      <c r="A100" s="281"/>
      <c r="B100" s="214">
        <f t="shared" si="7"/>
        <v>980</v>
      </c>
      <c r="C100" s="227" t="str">
        <f>VLOOKUP(B100,'Tipos de Defeitos'!B$4:D$106,Menu!$B$22+1,)</f>
        <v>PVC Comprido</v>
      </c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228">
        <f t="shared" si="22"/>
        <v>0</v>
      </c>
      <c r="AT100" s="228">
        <f>AS100+'UM-1 - Dia'!AS100</f>
        <v>0</v>
      </c>
    </row>
    <row r="101" spans="1:47">
      <c r="A101" s="281"/>
      <c r="B101" s="214">
        <f t="shared" si="7"/>
        <v>990</v>
      </c>
      <c r="C101" s="227" t="str">
        <f>VLOOKUP(B101,'Tipos de Defeitos'!B$4:D$106,Menu!$B$22+1,)</f>
        <v>Causa Desconhecida - Amperagem</v>
      </c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228">
        <f t="shared" si="22"/>
        <v>0</v>
      </c>
      <c r="AT101" s="228">
        <f>AS101+'UM-1 - Dia'!AS101</f>
        <v>0</v>
      </c>
    </row>
    <row r="102" spans="1:47" ht="13.5" thickBot="1">
      <c r="A102" s="281"/>
      <c r="B102" s="250">
        <f t="shared" si="7"/>
        <v>1000</v>
      </c>
      <c r="C102" s="251" t="str">
        <f>VLOOKUP(B102,'Tipos de Defeitos'!B$4:D$106,Menu!$B$22+1,)</f>
        <v>Outros - Amperagem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228">
        <f t="shared" si="22"/>
        <v>0</v>
      </c>
      <c r="AT102" s="228">
        <f>AS102+'UM-1 - Dia'!AS102</f>
        <v>0</v>
      </c>
    </row>
    <row r="103" spans="1:47" ht="12.75" customHeight="1">
      <c r="A103" s="274" t="s">
        <v>194</v>
      </c>
      <c r="B103" s="123">
        <f t="shared" si="7"/>
        <v>1010</v>
      </c>
      <c r="C103" s="92" t="str">
        <f>VLOOKUP(B103,'[1]Tipos de Defeitos'!B$4:E$108,[1]Menu!$B$22+1,)</f>
        <v>Total</v>
      </c>
      <c r="D103" s="261">
        <f t="shared" ref="D103:AR103" si="23">SUM(D86:D102)</f>
        <v>0</v>
      </c>
      <c r="E103" s="261">
        <f t="shared" si="23"/>
        <v>0</v>
      </c>
      <c r="F103" s="261">
        <f t="shared" si="23"/>
        <v>0</v>
      </c>
      <c r="G103" s="261">
        <f t="shared" si="23"/>
        <v>0</v>
      </c>
      <c r="H103" s="261">
        <f t="shared" si="23"/>
        <v>0</v>
      </c>
      <c r="I103" s="261">
        <f t="shared" si="23"/>
        <v>0</v>
      </c>
      <c r="J103" s="261">
        <f t="shared" si="23"/>
        <v>0</v>
      </c>
      <c r="K103" s="261">
        <f t="shared" si="23"/>
        <v>0</v>
      </c>
      <c r="L103" s="261">
        <f t="shared" si="23"/>
        <v>0</v>
      </c>
      <c r="M103" s="261">
        <f t="shared" si="23"/>
        <v>0</v>
      </c>
      <c r="N103" s="261">
        <f t="shared" si="23"/>
        <v>0</v>
      </c>
      <c r="O103" s="261">
        <f t="shared" si="23"/>
        <v>0</v>
      </c>
      <c r="P103" s="261">
        <f t="shared" si="23"/>
        <v>0</v>
      </c>
      <c r="Q103" s="261">
        <f t="shared" si="23"/>
        <v>0</v>
      </c>
      <c r="R103" s="261">
        <f t="shared" si="23"/>
        <v>0</v>
      </c>
      <c r="S103" s="261">
        <f t="shared" si="23"/>
        <v>0</v>
      </c>
      <c r="T103" s="261">
        <f t="shared" si="23"/>
        <v>0</v>
      </c>
      <c r="U103" s="261">
        <f t="shared" si="23"/>
        <v>0</v>
      </c>
      <c r="V103" s="261">
        <f t="shared" si="23"/>
        <v>0</v>
      </c>
      <c r="W103" s="261">
        <f t="shared" si="23"/>
        <v>0</v>
      </c>
      <c r="X103" s="261">
        <f t="shared" si="23"/>
        <v>0</v>
      </c>
      <c r="Y103" s="261">
        <f t="shared" si="23"/>
        <v>0</v>
      </c>
      <c r="Z103" s="261">
        <f t="shared" si="23"/>
        <v>0</v>
      </c>
      <c r="AA103" s="261">
        <f t="shared" si="23"/>
        <v>0</v>
      </c>
      <c r="AB103" s="261">
        <f t="shared" si="23"/>
        <v>0</v>
      </c>
      <c r="AC103" s="261">
        <f t="shared" si="23"/>
        <v>0</v>
      </c>
      <c r="AD103" s="261">
        <f t="shared" si="23"/>
        <v>0</v>
      </c>
      <c r="AE103" s="261">
        <f t="shared" si="23"/>
        <v>0</v>
      </c>
      <c r="AF103" s="261">
        <f t="shared" si="23"/>
        <v>0</v>
      </c>
      <c r="AG103" s="261">
        <f t="shared" si="23"/>
        <v>0</v>
      </c>
      <c r="AH103" s="261">
        <f t="shared" si="23"/>
        <v>0</v>
      </c>
      <c r="AI103" s="261">
        <f t="shared" si="23"/>
        <v>0</v>
      </c>
      <c r="AJ103" s="261">
        <f t="shared" si="23"/>
        <v>0</v>
      </c>
      <c r="AK103" s="261">
        <f t="shared" si="23"/>
        <v>0</v>
      </c>
      <c r="AL103" s="261">
        <f t="shared" si="23"/>
        <v>0</v>
      </c>
      <c r="AM103" s="261">
        <f t="shared" si="23"/>
        <v>0</v>
      </c>
      <c r="AN103" s="261">
        <f t="shared" si="23"/>
        <v>0</v>
      </c>
      <c r="AO103" s="261">
        <f t="shared" si="23"/>
        <v>0</v>
      </c>
      <c r="AP103" s="261">
        <f t="shared" si="23"/>
        <v>0</v>
      </c>
      <c r="AQ103" s="261">
        <f t="shared" si="23"/>
        <v>0</v>
      </c>
      <c r="AR103" s="261">
        <f t="shared" si="23"/>
        <v>0</v>
      </c>
      <c r="AS103" s="262">
        <f>SUM(AS86:AS102)</f>
        <v>0</v>
      </c>
      <c r="AT103" s="262">
        <f>AS103+'UM-1 - Dia'!AS103</f>
        <v>0</v>
      </c>
      <c r="AU103" s="234"/>
    </row>
    <row r="104" spans="1:47">
      <c r="A104" s="275"/>
      <c r="B104" s="122">
        <f t="shared" si="7"/>
        <v>1020</v>
      </c>
      <c r="C104" s="83" t="str">
        <f>VLOOKUP(B104,'[1]Tipos de Defeitos'!B$4:E$108,[1]Menu!$B$22+1,)</f>
        <v>Taxa defeituosa (ppm)</v>
      </c>
      <c r="D104" s="263">
        <f t="shared" ref="D104:AR104" si="24">IF(ISERR(D103/D27*D24/D7*1000000),0,D103/D27*D24/D7*1000000)</f>
        <v>0</v>
      </c>
      <c r="E104" s="263">
        <f t="shared" si="24"/>
        <v>0</v>
      </c>
      <c r="F104" s="263">
        <f t="shared" si="24"/>
        <v>0</v>
      </c>
      <c r="G104" s="263">
        <f t="shared" si="24"/>
        <v>0</v>
      </c>
      <c r="H104" s="263">
        <f t="shared" si="24"/>
        <v>0</v>
      </c>
      <c r="I104" s="263">
        <f t="shared" si="24"/>
        <v>0</v>
      </c>
      <c r="J104" s="263">
        <f t="shared" si="24"/>
        <v>0</v>
      </c>
      <c r="K104" s="263">
        <f t="shared" si="24"/>
        <v>0</v>
      </c>
      <c r="L104" s="263">
        <f t="shared" si="24"/>
        <v>0</v>
      </c>
      <c r="M104" s="263">
        <f t="shared" si="24"/>
        <v>0</v>
      </c>
      <c r="N104" s="263">
        <f t="shared" si="24"/>
        <v>0</v>
      </c>
      <c r="O104" s="263">
        <f t="shared" si="24"/>
        <v>0</v>
      </c>
      <c r="P104" s="263">
        <f t="shared" si="24"/>
        <v>0</v>
      </c>
      <c r="Q104" s="263">
        <f t="shared" si="24"/>
        <v>0</v>
      </c>
      <c r="R104" s="263">
        <f t="shared" si="24"/>
        <v>0</v>
      </c>
      <c r="S104" s="263">
        <f t="shared" si="24"/>
        <v>0</v>
      </c>
      <c r="T104" s="263">
        <f t="shared" si="24"/>
        <v>0</v>
      </c>
      <c r="U104" s="263">
        <f t="shared" si="24"/>
        <v>0</v>
      </c>
      <c r="V104" s="263">
        <f t="shared" si="24"/>
        <v>0</v>
      </c>
      <c r="W104" s="263">
        <f t="shared" si="24"/>
        <v>0</v>
      </c>
      <c r="X104" s="263">
        <f t="shared" si="24"/>
        <v>0</v>
      </c>
      <c r="Y104" s="263">
        <f t="shared" si="24"/>
        <v>0</v>
      </c>
      <c r="Z104" s="263">
        <f t="shared" si="24"/>
        <v>0</v>
      </c>
      <c r="AA104" s="263">
        <f t="shared" si="24"/>
        <v>0</v>
      </c>
      <c r="AB104" s="263">
        <f t="shared" si="24"/>
        <v>0</v>
      </c>
      <c r="AC104" s="263">
        <f t="shared" si="24"/>
        <v>0</v>
      </c>
      <c r="AD104" s="263">
        <f t="shared" si="24"/>
        <v>0</v>
      </c>
      <c r="AE104" s="263">
        <f t="shared" si="24"/>
        <v>0</v>
      </c>
      <c r="AF104" s="263">
        <f t="shared" si="24"/>
        <v>0</v>
      </c>
      <c r="AG104" s="263">
        <f t="shared" si="24"/>
        <v>0</v>
      </c>
      <c r="AH104" s="263">
        <f t="shared" si="24"/>
        <v>0</v>
      </c>
      <c r="AI104" s="263">
        <f t="shared" si="24"/>
        <v>0</v>
      </c>
      <c r="AJ104" s="263">
        <f t="shared" si="24"/>
        <v>0</v>
      </c>
      <c r="AK104" s="263">
        <f t="shared" si="24"/>
        <v>0</v>
      </c>
      <c r="AL104" s="263">
        <f t="shared" si="24"/>
        <v>0</v>
      </c>
      <c r="AM104" s="263">
        <f t="shared" si="24"/>
        <v>0</v>
      </c>
      <c r="AN104" s="263">
        <f t="shared" si="24"/>
        <v>0</v>
      </c>
      <c r="AO104" s="263">
        <f t="shared" si="24"/>
        <v>0</v>
      </c>
      <c r="AP104" s="263">
        <f t="shared" si="24"/>
        <v>0</v>
      </c>
      <c r="AQ104" s="263">
        <f t="shared" si="24"/>
        <v>0</v>
      </c>
      <c r="AR104" s="263">
        <f t="shared" si="24"/>
        <v>0</v>
      </c>
      <c r="AS104" s="264">
        <f>IF(ISERR(AS103/AS27*AS24/AS7*1000000),0,ROUND(AS103/AS27*AS24/AS7*1000000,0))</f>
        <v>0</v>
      </c>
      <c r="AT104" s="264" t="e">
        <f>ROUNDDOWN($AT$103/$AT$27*$AT$24/$AT$7*1000000,0)</f>
        <v>#DIV/0!</v>
      </c>
    </row>
    <row r="105" spans="1:47">
      <c r="A105" s="276"/>
      <c r="B105" s="122">
        <f t="shared" si="7"/>
        <v>1030</v>
      </c>
      <c r="C105" s="83" t="str">
        <f>VLOOKUP(B105,'[1]Tipos de Defeitos'!B$4:E$108,[1]Menu!$B$22+1,)</f>
        <v>Qtd. Defeitos internos (pçs)</v>
      </c>
      <c r="D105" s="265">
        <f>SUM(D86:D98)</f>
        <v>0</v>
      </c>
      <c r="E105" s="265">
        <f t="shared" ref="E105:AR105" si="25">SUM(E86:E98)</f>
        <v>0</v>
      </c>
      <c r="F105" s="265">
        <f t="shared" si="25"/>
        <v>0</v>
      </c>
      <c r="G105" s="265">
        <f t="shared" si="25"/>
        <v>0</v>
      </c>
      <c r="H105" s="265">
        <f t="shared" si="25"/>
        <v>0</v>
      </c>
      <c r="I105" s="265">
        <f t="shared" si="25"/>
        <v>0</v>
      </c>
      <c r="J105" s="265">
        <f t="shared" si="25"/>
        <v>0</v>
      </c>
      <c r="K105" s="265">
        <f t="shared" si="25"/>
        <v>0</v>
      </c>
      <c r="L105" s="265">
        <f t="shared" si="25"/>
        <v>0</v>
      </c>
      <c r="M105" s="265">
        <f t="shared" si="25"/>
        <v>0</v>
      </c>
      <c r="N105" s="265">
        <f t="shared" si="25"/>
        <v>0</v>
      </c>
      <c r="O105" s="265">
        <f t="shared" si="25"/>
        <v>0</v>
      </c>
      <c r="P105" s="265">
        <f t="shared" si="25"/>
        <v>0</v>
      </c>
      <c r="Q105" s="265">
        <f t="shared" si="25"/>
        <v>0</v>
      </c>
      <c r="R105" s="265">
        <f t="shared" si="25"/>
        <v>0</v>
      </c>
      <c r="S105" s="265">
        <f t="shared" si="25"/>
        <v>0</v>
      </c>
      <c r="T105" s="265">
        <f t="shared" si="25"/>
        <v>0</v>
      </c>
      <c r="U105" s="265">
        <f t="shared" si="25"/>
        <v>0</v>
      </c>
      <c r="V105" s="265">
        <f t="shared" si="25"/>
        <v>0</v>
      </c>
      <c r="W105" s="265">
        <f t="shared" si="25"/>
        <v>0</v>
      </c>
      <c r="X105" s="265">
        <f t="shared" si="25"/>
        <v>0</v>
      </c>
      <c r="Y105" s="265">
        <f t="shared" si="25"/>
        <v>0</v>
      </c>
      <c r="Z105" s="265">
        <f t="shared" si="25"/>
        <v>0</v>
      </c>
      <c r="AA105" s="265">
        <f t="shared" si="25"/>
        <v>0</v>
      </c>
      <c r="AB105" s="265">
        <f t="shared" si="25"/>
        <v>0</v>
      </c>
      <c r="AC105" s="265">
        <f t="shared" si="25"/>
        <v>0</v>
      </c>
      <c r="AD105" s="265">
        <f t="shared" si="25"/>
        <v>0</v>
      </c>
      <c r="AE105" s="265">
        <f t="shared" si="25"/>
        <v>0</v>
      </c>
      <c r="AF105" s="265">
        <f t="shared" si="25"/>
        <v>0</v>
      </c>
      <c r="AG105" s="265">
        <f t="shared" si="25"/>
        <v>0</v>
      </c>
      <c r="AH105" s="265">
        <f t="shared" si="25"/>
        <v>0</v>
      </c>
      <c r="AI105" s="265">
        <f t="shared" si="25"/>
        <v>0</v>
      </c>
      <c r="AJ105" s="265">
        <f t="shared" si="25"/>
        <v>0</v>
      </c>
      <c r="AK105" s="265">
        <f t="shared" si="25"/>
        <v>0</v>
      </c>
      <c r="AL105" s="265">
        <f t="shared" si="25"/>
        <v>0</v>
      </c>
      <c r="AM105" s="265">
        <f t="shared" si="25"/>
        <v>0</v>
      </c>
      <c r="AN105" s="265">
        <f t="shared" si="25"/>
        <v>0</v>
      </c>
      <c r="AO105" s="265">
        <f t="shared" si="25"/>
        <v>0</v>
      </c>
      <c r="AP105" s="265">
        <f t="shared" si="25"/>
        <v>0</v>
      </c>
      <c r="AQ105" s="265">
        <f t="shared" si="25"/>
        <v>0</v>
      </c>
      <c r="AR105" s="265">
        <f t="shared" si="25"/>
        <v>0</v>
      </c>
      <c r="AS105" s="265" t="e">
        <f>SUM(AS86:AS98)/AS27*AS24</f>
        <v>#DIV/0!</v>
      </c>
      <c r="AT105" s="265">
        <f>SUM(AT86:AT99)</f>
        <v>0</v>
      </c>
    </row>
    <row r="106" spans="1:47">
      <c r="A106" s="276"/>
      <c r="B106" s="122">
        <f t="shared" si="7"/>
        <v>1040</v>
      </c>
      <c r="C106" s="83" t="str">
        <f>VLOOKUP(B106,'[1]Tipos de Defeitos'!B$4:E$108,[1]Menu!$B$22+1,)</f>
        <v>Defeitos Internos - Taxa defeituosa (ppm)</v>
      </c>
      <c r="D106" s="265" t="str">
        <f>IF((D$7&gt;0)*(D$23&gt;0),ROUND(D105/D$27*D$24/D$7*1000000,0),"")</f>
        <v/>
      </c>
      <c r="E106" s="265" t="str">
        <f t="shared" ref="E106:AR106" si="26">IF((E$7&gt;0)*(E$23&gt;0),ROUND(E105/E$27*E$24/E$7*1000000,0),"")</f>
        <v/>
      </c>
      <c r="F106" s="265" t="str">
        <f t="shared" si="26"/>
        <v/>
      </c>
      <c r="G106" s="265" t="str">
        <f t="shared" si="26"/>
        <v/>
      </c>
      <c r="H106" s="265" t="str">
        <f t="shared" si="26"/>
        <v/>
      </c>
      <c r="I106" s="265" t="str">
        <f t="shared" si="26"/>
        <v/>
      </c>
      <c r="J106" s="265" t="str">
        <f t="shared" si="26"/>
        <v/>
      </c>
      <c r="K106" s="265" t="str">
        <f t="shared" si="26"/>
        <v/>
      </c>
      <c r="L106" s="265" t="str">
        <f t="shared" si="26"/>
        <v/>
      </c>
      <c r="M106" s="265" t="str">
        <f t="shared" si="26"/>
        <v/>
      </c>
      <c r="N106" s="265" t="str">
        <f t="shared" si="26"/>
        <v/>
      </c>
      <c r="O106" s="265" t="str">
        <f t="shared" si="26"/>
        <v/>
      </c>
      <c r="P106" s="265" t="str">
        <f t="shared" si="26"/>
        <v/>
      </c>
      <c r="Q106" s="265" t="str">
        <f t="shared" si="26"/>
        <v/>
      </c>
      <c r="R106" s="265" t="str">
        <f t="shared" si="26"/>
        <v/>
      </c>
      <c r="S106" s="265" t="str">
        <f t="shared" si="26"/>
        <v/>
      </c>
      <c r="T106" s="265" t="str">
        <f t="shared" si="26"/>
        <v/>
      </c>
      <c r="U106" s="265" t="str">
        <f t="shared" si="26"/>
        <v/>
      </c>
      <c r="V106" s="265" t="str">
        <f t="shared" si="26"/>
        <v/>
      </c>
      <c r="W106" s="265" t="str">
        <f t="shared" si="26"/>
        <v/>
      </c>
      <c r="X106" s="265" t="str">
        <f t="shared" si="26"/>
        <v/>
      </c>
      <c r="Y106" s="265" t="str">
        <f t="shared" si="26"/>
        <v/>
      </c>
      <c r="Z106" s="265" t="str">
        <f t="shared" si="26"/>
        <v/>
      </c>
      <c r="AA106" s="265" t="str">
        <f t="shared" si="26"/>
        <v/>
      </c>
      <c r="AB106" s="265" t="str">
        <f t="shared" si="26"/>
        <v/>
      </c>
      <c r="AC106" s="265" t="str">
        <f t="shared" si="26"/>
        <v/>
      </c>
      <c r="AD106" s="265" t="str">
        <f t="shared" si="26"/>
        <v/>
      </c>
      <c r="AE106" s="265" t="str">
        <f t="shared" si="26"/>
        <v/>
      </c>
      <c r="AF106" s="265" t="str">
        <f t="shared" si="26"/>
        <v/>
      </c>
      <c r="AG106" s="265" t="str">
        <f t="shared" si="26"/>
        <v/>
      </c>
      <c r="AH106" s="265" t="str">
        <f t="shared" si="26"/>
        <v/>
      </c>
      <c r="AI106" s="265" t="str">
        <f t="shared" si="26"/>
        <v/>
      </c>
      <c r="AJ106" s="265" t="str">
        <f t="shared" si="26"/>
        <v/>
      </c>
      <c r="AK106" s="265" t="str">
        <f t="shared" si="26"/>
        <v/>
      </c>
      <c r="AL106" s="265" t="str">
        <f t="shared" si="26"/>
        <v/>
      </c>
      <c r="AM106" s="265" t="str">
        <f t="shared" si="26"/>
        <v/>
      </c>
      <c r="AN106" s="265" t="str">
        <f t="shared" si="26"/>
        <v/>
      </c>
      <c r="AO106" s="265" t="str">
        <f t="shared" si="26"/>
        <v/>
      </c>
      <c r="AP106" s="265" t="str">
        <f t="shared" si="26"/>
        <v/>
      </c>
      <c r="AQ106" s="265" t="str">
        <f t="shared" si="26"/>
        <v/>
      </c>
      <c r="AR106" s="265" t="str">
        <f t="shared" si="26"/>
        <v/>
      </c>
      <c r="AS106" s="265" t="str">
        <f>IF((AS$7&gt;0)*(AS$23&gt;0),ROUND(AS105/AS$7*1000000,0),"")</f>
        <v/>
      </c>
      <c r="AT106" s="265" t="str">
        <f>IF((AT$7&gt;0)*(AT$23&gt;0),ROUND(AT105/AT$7*1000000,0),"")</f>
        <v/>
      </c>
    </row>
    <row r="107" spans="1:47" ht="13.5" thickBot="1">
      <c r="A107" s="277"/>
      <c r="B107" s="122">
        <f t="shared" si="7"/>
        <v>1050</v>
      </c>
      <c r="C107" s="84" t="str">
        <f>VLOOKUP(B107,'[1]Tipos de Defeitos'!B$4:E$108,[1]Menu!$B$22+1,)</f>
        <v>Taxa Defeituosa Total (ppm)</v>
      </c>
      <c r="D107" s="266">
        <f t="shared" ref="D107:AR107" si="27">IF(ISERR(D24/D7*1000000),0,D24/D7*1000000)</f>
        <v>0</v>
      </c>
      <c r="E107" s="266">
        <f t="shared" si="27"/>
        <v>0</v>
      </c>
      <c r="F107" s="266">
        <f t="shared" si="27"/>
        <v>0</v>
      </c>
      <c r="G107" s="266">
        <f t="shared" si="27"/>
        <v>0</v>
      </c>
      <c r="H107" s="266">
        <f t="shared" si="27"/>
        <v>0</v>
      </c>
      <c r="I107" s="266">
        <f t="shared" si="27"/>
        <v>0</v>
      </c>
      <c r="J107" s="266">
        <f t="shared" si="27"/>
        <v>0</v>
      </c>
      <c r="K107" s="266">
        <f t="shared" si="27"/>
        <v>0</v>
      </c>
      <c r="L107" s="266">
        <f t="shared" si="27"/>
        <v>0</v>
      </c>
      <c r="M107" s="266">
        <f t="shared" si="27"/>
        <v>0</v>
      </c>
      <c r="N107" s="266">
        <f t="shared" si="27"/>
        <v>0</v>
      </c>
      <c r="O107" s="266">
        <f t="shared" si="27"/>
        <v>0</v>
      </c>
      <c r="P107" s="266">
        <f t="shared" si="27"/>
        <v>0</v>
      </c>
      <c r="Q107" s="266">
        <f t="shared" si="27"/>
        <v>0</v>
      </c>
      <c r="R107" s="266">
        <f t="shared" si="27"/>
        <v>0</v>
      </c>
      <c r="S107" s="266">
        <f t="shared" si="27"/>
        <v>0</v>
      </c>
      <c r="T107" s="266">
        <f t="shared" si="27"/>
        <v>0</v>
      </c>
      <c r="U107" s="266">
        <f t="shared" si="27"/>
        <v>0</v>
      </c>
      <c r="V107" s="266">
        <f t="shared" si="27"/>
        <v>0</v>
      </c>
      <c r="W107" s="266">
        <f t="shared" si="27"/>
        <v>0</v>
      </c>
      <c r="X107" s="266">
        <f t="shared" si="27"/>
        <v>0</v>
      </c>
      <c r="Y107" s="266">
        <f t="shared" si="27"/>
        <v>0</v>
      </c>
      <c r="Z107" s="266">
        <f t="shared" si="27"/>
        <v>0</v>
      </c>
      <c r="AA107" s="266">
        <f t="shared" si="27"/>
        <v>0</v>
      </c>
      <c r="AB107" s="266">
        <f t="shared" si="27"/>
        <v>0</v>
      </c>
      <c r="AC107" s="266">
        <f t="shared" si="27"/>
        <v>0</v>
      </c>
      <c r="AD107" s="266">
        <f t="shared" si="27"/>
        <v>0</v>
      </c>
      <c r="AE107" s="266">
        <f t="shared" si="27"/>
        <v>0</v>
      </c>
      <c r="AF107" s="266">
        <f t="shared" si="27"/>
        <v>0</v>
      </c>
      <c r="AG107" s="266">
        <f t="shared" si="27"/>
        <v>0</v>
      </c>
      <c r="AH107" s="266">
        <f t="shared" si="27"/>
        <v>0</v>
      </c>
      <c r="AI107" s="266">
        <f t="shared" si="27"/>
        <v>0</v>
      </c>
      <c r="AJ107" s="266">
        <f t="shared" si="27"/>
        <v>0</v>
      </c>
      <c r="AK107" s="266">
        <f t="shared" si="27"/>
        <v>0</v>
      </c>
      <c r="AL107" s="266">
        <f t="shared" si="27"/>
        <v>0</v>
      </c>
      <c r="AM107" s="266">
        <f t="shared" si="27"/>
        <v>0</v>
      </c>
      <c r="AN107" s="266">
        <f t="shared" si="27"/>
        <v>0</v>
      </c>
      <c r="AO107" s="266">
        <f t="shared" si="27"/>
        <v>0</v>
      </c>
      <c r="AP107" s="266">
        <f t="shared" si="27"/>
        <v>0</v>
      </c>
      <c r="AQ107" s="266">
        <f t="shared" si="27"/>
        <v>0</v>
      </c>
      <c r="AR107" s="266">
        <f t="shared" si="27"/>
        <v>0</v>
      </c>
      <c r="AS107" s="267" t="e">
        <f>ROUNDDOWN(AS24/AS7*1000000,0)</f>
        <v>#DIV/0!</v>
      </c>
      <c r="AT107" s="267" t="e">
        <f>ROUNDDOWN(AT24/AT7*1000000,0)</f>
        <v>#DIV/0!</v>
      </c>
    </row>
    <row r="108" spans="1:47">
      <c r="A108" s="260"/>
      <c r="B108" s="65"/>
      <c r="C108" s="188"/>
      <c r="D108" s="268"/>
      <c r="E108" s="268"/>
      <c r="F108" s="268"/>
      <c r="G108" s="268"/>
      <c r="H108" s="268"/>
      <c r="I108" s="268"/>
      <c r="J108" s="268"/>
      <c r="K108" s="268"/>
      <c r="L108" s="268"/>
      <c r="M108" s="268"/>
      <c r="N108" s="268"/>
      <c r="O108" s="268"/>
      <c r="P108" s="268"/>
      <c r="Q108" s="268"/>
      <c r="R108" s="268"/>
      <c r="S108" s="268"/>
      <c r="T108" s="268"/>
      <c r="U108" s="268"/>
      <c r="V108" s="268"/>
      <c r="W108" s="268"/>
      <c r="X108" s="268"/>
      <c r="Y108" s="268"/>
      <c r="Z108" s="268"/>
      <c r="AA108" s="268"/>
      <c r="AB108" s="268"/>
      <c r="AC108" s="268"/>
      <c r="AD108" s="268"/>
      <c r="AE108" s="268"/>
      <c r="AF108" s="268"/>
      <c r="AG108" s="268"/>
      <c r="AH108" s="268"/>
      <c r="AI108" s="268"/>
      <c r="AJ108" s="268"/>
      <c r="AK108" s="268"/>
      <c r="AL108" s="268"/>
      <c r="AM108" s="268"/>
      <c r="AN108" s="268"/>
      <c r="AO108" s="268"/>
      <c r="AP108" s="268"/>
      <c r="AQ108" s="268"/>
      <c r="AR108" s="268"/>
      <c r="AS108" s="268"/>
      <c r="AT108" s="188"/>
    </row>
    <row r="109" spans="1:47">
      <c r="A109" s="260"/>
      <c r="B109" s="65"/>
      <c r="C109" s="188"/>
      <c r="D109" s="268"/>
      <c r="E109" s="268"/>
      <c r="F109" s="268"/>
      <c r="G109" s="268"/>
      <c r="H109" s="268"/>
      <c r="I109" s="268"/>
      <c r="J109" s="268"/>
      <c r="K109" s="268"/>
      <c r="L109" s="268"/>
      <c r="M109" s="268"/>
      <c r="N109" s="268"/>
      <c r="O109" s="268"/>
      <c r="P109" s="268"/>
      <c r="Q109" s="268"/>
      <c r="R109" s="268"/>
      <c r="S109" s="268"/>
      <c r="T109" s="268"/>
      <c r="U109" s="268"/>
      <c r="V109" s="268"/>
      <c r="W109" s="268"/>
      <c r="X109" s="268"/>
      <c r="Y109" s="268"/>
      <c r="Z109" s="268"/>
      <c r="AA109" s="268"/>
      <c r="AB109" s="268"/>
      <c r="AC109" s="268"/>
      <c r="AD109" s="268"/>
      <c r="AE109" s="268"/>
      <c r="AF109" s="268"/>
      <c r="AG109" s="268"/>
      <c r="AH109" s="268"/>
      <c r="AI109" s="268"/>
      <c r="AJ109" s="268"/>
      <c r="AK109" s="268"/>
      <c r="AL109" s="268"/>
      <c r="AM109" s="268"/>
      <c r="AN109" s="268"/>
      <c r="AO109" s="268"/>
      <c r="AP109" s="268"/>
      <c r="AQ109" s="268"/>
      <c r="AR109" s="268" t="s">
        <v>337</v>
      </c>
      <c r="AS109" s="268">
        <f>IF(ISERR(AS78/$AS$27*$AS$24),0,AS78/AS27*$AS$24)</f>
        <v>0</v>
      </c>
      <c r="AT109" s="268">
        <f>IF(ISERR(AT78/$AT$27*$AT$24),0,AT78/AT27*$AT$24)</f>
        <v>0</v>
      </c>
    </row>
    <row r="110" spans="1:47">
      <c r="A110" s="260"/>
      <c r="B110" s="65"/>
      <c r="C110" s="188"/>
      <c r="D110" s="268"/>
      <c r="E110" s="268"/>
      <c r="F110" s="268"/>
      <c r="G110" s="268"/>
      <c r="H110" s="268"/>
      <c r="I110" s="268"/>
      <c r="J110" s="268"/>
      <c r="K110" s="268"/>
      <c r="L110" s="268"/>
      <c r="M110" s="268"/>
      <c r="N110" s="268"/>
      <c r="O110" s="268"/>
      <c r="P110" s="268"/>
      <c r="Q110" s="268"/>
      <c r="R110" s="268"/>
      <c r="S110" s="268"/>
      <c r="T110" s="268"/>
      <c r="U110" s="268"/>
      <c r="V110" s="268"/>
      <c r="W110" s="268"/>
      <c r="X110" s="268"/>
      <c r="Y110" s="268"/>
      <c r="Z110" s="268"/>
      <c r="AA110" s="268"/>
      <c r="AB110" s="268"/>
      <c r="AC110" s="268"/>
      <c r="AD110" s="268"/>
      <c r="AE110" s="268"/>
      <c r="AF110" s="268"/>
      <c r="AG110" s="268"/>
      <c r="AH110" s="268"/>
      <c r="AI110" s="268"/>
      <c r="AJ110" s="268"/>
      <c r="AK110" s="268"/>
      <c r="AL110" s="268"/>
      <c r="AM110" s="268"/>
      <c r="AN110" s="268"/>
      <c r="AO110" s="268"/>
      <c r="AP110" s="268"/>
      <c r="AQ110" s="268"/>
      <c r="AR110" s="268" t="s">
        <v>338</v>
      </c>
      <c r="AS110" s="268">
        <f>IF(ISERR(AS103/$AS$27*$AS$24),0,AS103/AS27*$AS$24)</f>
        <v>0</v>
      </c>
      <c r="AT110" s="268">
        <f>IF(ISERR(AT103/$AT$27*$AT$24),0,AT103/AT27*$AT$24)</f>
        <v>0</v>
      </c>
    </row>
    <row r="111" spans="1:47">
      <c r="D111" s="236"/>
      <c r="E111" s="236"/>
      <c r="F111" s="236"/>
      <c r="G111" s="236"/>
      <c r="H111" s="236"/>
      <c r="I111" s="236"/>
      <c r="J111" s="236"/>
      <c r="K111" s="236"/>
      <c r="L111" s="236"/>
      <c r="M111" s="236"/>
      <c r="N111" s="236"/>
      <c r="O111" s="236"/>
      <c r="P111" s="236"/>
      <c r="Q111" s="236"/>
      <c r="R111" s="236"/>
      <c r="S111" s="236"/>
      <c r="T111" s="236"/>
      <c r="U111" s="236"/>
      <c r="V111" s="236"/>
      <c r="W111" s="236"/>
      <c r="X111" s="236"/>
      <c r="Y111" s="236"/>
      <c r="Z111" s="236"/>
      <c r="AA111" s="236"/>
      <c r="AB111" s="236"/>
      <c r="AC111" s="236"/>
      <c r="AD111" s="236"/>
      <c r="AE111" s="236"/>
      <c r="AF111" s="236"/>
      <c r="AG111" s="236"/>
      <c r="AH111" s="236"/>
      <c r="AI111" s="236"/>
      <c r="AJ111" s="236"/>
      <c r="AK111" s="236"/>
      <c r="AL111" s="236"/>
      <c r="AM111" s="236"/>
      <c r="AN111" s="236"/>
      <c r="AO111" s="236"/>
      <c r="AP111" s="236"/>
      <c r="AQ111" s="236"/>
      <c r="AR111" s="236"/>
    </row>
    <row r="131" spans="4:44" s="236" customFormat="1">
      <c r="D131" s="252"/>
      <c r="E131" s="252"/>
      <c r="F131" s="252"/>
      <c r="G131" s="252"/>
      <c r="H131" s="252"/>
      <c r="I131" s="252"/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Z131" s="252"/>
      <c r="AA131" s="252"/>
      <c r="AB131" s="252"/>
      <c r="AC131" s="252"/>
      <c r="AD131" s="252"/>
      <c r="AE131" s="252"/>
      <c r="AF131" s="252"/>
      <c r="AG131" s="252">
        <f>AG2</f>
        <v>0</v>
      </c>
      <c r="AH131" s="252"/>
      <c r="AI131" s="252"/>
      <c r="AJ131" s="252"/>
      <c r="AK131" s="252"/>
      <c r="AL131" s="252"/>
      <c r="AM131" s="252"/>
      <c r="AN131" s="252"/>
      <c r="AO131" s="252"/>
      <c r="AP131" s="252"/>
      <c r="AQ131" s="252"/>
      <c r="AR131" s="252"/>
    </row>
  </sheetData>
  <sheetProtection algorithmName="SHA-512" hashValue="//fgLrd28BluMk/638o98e+j3eY/QwaWH9mwxaIRJ1SXHiZaxU0piP1+iYfN2jRVYmOFeM2QK5m9gU/hBeTt8A==" saltValue="OjQb9+lr8CD5fSJEV0UuRA==" spinCount="100000" sheet="1" objects="1" scenarios="1" selectLockedCells="1"/>
  <mergeCells count="7">
    <mergeCell ref="A103:A107"/>
    <mergeCell ref="A86:A102"/>
    <mergeCell ref="A3:A22"/>
    <mergeCell ref="A23:A27"/>
    <mergeCell ref="A28:A77"/>
    <mergeCell ref="A78:A82"/>
    <mergeCell ref="A83:A85"/>
  </mergeCells>
  <conditionalFormatting sqref="B3:C102 AS3:AS102">
    <cfRule type="expression" dxfId="3102" priority="6759">
      <formula>MOD(ROW(),2)=0</formula>
    </cfRule>
  </conditionalFormatting>
  <conditionalFormatting sqref="AS27">
    <cfRule type="expression" dxfId="3101" priority="6758">
      <formula>AS$27&gt;(AS$78+AS$103)</formula>
    </cfRule>
  </conditionalFormatting>
  <conditionalFormatting sqref="AT3:AT102">
    <cfRule type="expression" dxfId="3100" priority="3542">
      <formula>MOD(ROW(),2)=0</formula>
    </cfRule>
  </conditionalFormatting>
  <conditionalFormatting sqref="AT27">
    <cfRule type="expression" dxfId="3099" priority="3541">
      <formula>AT$27&gt;(AT$78+AT$103)</formula>
    </cfRule>
  </conditionalFormatting>
  <conditionalFormatting sqref="H23:I80 T86:AR102 H82:I102 G81:AR81 J26:AR80 T23:AR25 J82:AR85">
    <cfRule type="expression" dxfId="3098" priority="3084">
      <formula>MOD(ROW(),2)=0</formula>
    </cfRule>
  </conditionalFormatting>
  <conditionalFormatting sqref="H27:AR27">
    <cfRule type="expression" dxfId="3097" priority="3083">
      <formula>H$27&gt;(H$78+H$103)</formula>
    </cfRule>
  </conditionalFormatting>
  <conditionalFormatting sqref="J5:O5 AG3:AR5 AE3:AE5 Q5:AC5 U3:AC4">
    <cfRule type="expression" dxfId="3096" priority="3082">
      <formula>MOD(ROW(),2)=0</formula>
    </cfRule>
  </conditionalFormatting>
  <conditionalFormatting sqref="T3:T4">
    <cfRule type="expression" dxfId="3095" priority="3081">
      <formula>MOD(ROW(),2)=0</formula>
    </cfRule>
  </conditionalFormatting>
  <conditionalFormatting sqref="T3:T4">
    <cfRule type="expression" dxfId="3094" priority="3080">
      <formula>MOD(ROW(),2)=0</formula>
    </cfRule>
  </conditionalFormatting>
  <conditionalFormatting sqref="AE7:AR7 T7:AC7">
    <cfRule type="expression" dxfId="3093" priority="3079">
      <formula>MOD(ROW(),2)=0</formula>
    </cfRule>
  </conditionalFormatting>
  <conditionalFormatting sqref="H3:I5">
    <cfRule type="expression" dxfId="3092" priority="3078">
      <formula>MOD(ROW(),2)=0</formula>
    </cfRule>
  </conditionalFormatting>
  <conditionalFormatting sqref="H3:I4">
    <cfRule type="expression" dxfId="3091" priority="3077">
      <formula>MOD(ROW(),2)=0</formula>
    </cfRule>
  </conditionalFormatting>
  <conditionalFormatting sqref="H5:I5">
    <cfRule type="expression" dxfId="3090" priority="3076">
      <formula>MOD(ROW(),2)=0</formula>
    </cfRule>
  </conditionalFormatting>
  <conditionalFormatting sqref="H7:I7">
    <cfRule type="expression" dxfId="3089" priority="3075">
      <formula>MOD(ROW(),2)=0</formula>
    </cfRule>
  </conditionalFormatting>
  <conditionalFormatting sqref="AE7:AR7 T7:AC7">
    <cfRule type="expression" dxfId="3088" priority="3074">
      <formula>MOD(ROW(),2)=0</formula>
    </cfRule>
  </conditionalFormatting>
  <conditionalFormatting sqref="H3:I4">
    <cfRule type="expression" dxfId="3087" priority="3073">
      <formula>MOD(ROW(),2)=0</formula>
    </cfRule>
  </conditionalFormatting>
  <conditionalFormatting sqref="H3:I4">
    <cfRule type="expression" dxfId="3086" priority="3072">
      <formula>MOD(ROW(),2)=0</formula>
    </cfRule>
  </conditionalFormatting>
  <conditionalFormatting sqref="H3:I4">
    <cfRule type="expression" dxfId="3085" priority="3071">
      <formula>MOD(ROW(),2)=0</formula>
    </cfRule>
  </conditionalFormatting>
  <conditionalFormatting sqref="H7:I7">
    <cfRule type="expression" dxfId="3084" priority="3070">
      <formula>MOD(ROW(),2)=0</formula>
    </cfRule>
  </conditionalFormatting>
  <conditionalFormatting sqref="H7:I7">
    <cfRule type="expression" dxfId="3083" priority="3069">
      <formula>MOD(ROW(),2)=0</formula>
    </cfRule>
  </conditionalFormatting>
  <conditionalFormatting sqref="H23:I25">
    <cfRule type="expression" dxfId="3082" priority="3068">
      <formula>MOD(ROW(),2)=0</formula>
    </cfRule>
  </conditionalFormatting>
  <conditionalFormatting sqref="H27:I27">
    <cfRule type="expression" dxfId="3081" priority="3067">
      <formula>MOD(ROW(),2)=0</formula>
    </cfRule>
  </conditionalFormatting>
  <conditionalFormatting sqref="H28:I77">
    <cfRule type="expression" dxfId="3080" priority="3066">
      <formula>MOD(ROW(),2)=0</formula>
    </cfRule>
  </conditionalFormatting>
  <conditionalFormatting sqref="H83:I83">
    <cfRule type="expression" dxfId="3079" priority="3065">
      <formula>MOD(ROW(),2)=0</formula>
    </cfRule>
  </conditionalFormatting>
  <conditionalFormatting sqref="H7:I7">
    <cfRule type="expression" dxfId="3078" priority="3057">
      <formula>MOD(ROW(),2)=0</formula>
    </cfRule>
  </conditionalFormatting>
  <conditionalFormatting sqref="H7:I7">
    <cfRule type="expression" dxfId="3077" priority="3056">
      <formula>MOD(ROW(),2)=0</formula>
    </cfRule>
  </conditionalFormatting>
  <conditionalFormatting sqref="H3:I4">
    <cfRule type="expression" dxfId="3076" priority="3064">
      <formula>MOD(ROW(),2)=0</formula>
    </cfRule>
  </conditionalFormatting>
  <conditionalFormatting sqref="H3:I4">
    <cfRule type="expression" dxfId="3075" priority="3063">
      <formula>MOD(ROW(),2)=0</formula>
    </cfRule>
  </conditionalFormatting>
  <conditionalFormatting sqref="H3:I4">
    <cfRule type="expression" dxfId="3074" priority="3062">
      <formula>MOD(ROW(),2)=0</formula>
    </cfRule>
  </conditionalFormatting>
  <conditionalFormatting sqref="H3:I4">
    <cfRule type="expression" dxfId="3073" priority="3061">
      <formula>MOD(ROW(),2)=0</formula>
    </cfRule>
  </conditionalFormatting>
  <conditionalFormatting sqref="H3:I4">
    <cfRule type="expression" dxfId="3072" priority="3060">
      <formula>MOD(ROW(),2)=0</formula>
    </cfRule>
  </conditionalFormatting>
  <conditionalFormatting sqref="H7:I7">
    <cfRule type="expression" dxfId="3071" priority="3059">
      <formula>MOD(ROW(),2)=0</formula>
    </cfRule>
  </conditionalFormatting>
  <conditionalFormatting sqref="H7:I7">
    <cfRule type="expression" dxfId="3070" priority="3058">
      <formula>MOD(ROW(),2)=0</formula>
    </cfRule>
  </conditionalFormatting>
  <conditionalFormatting sqref="H83:I83">
    <cfRule type="expression" dxfId="3069" priority="3045">
      <formula>MOD(ROW(),2)=0</formula>
    </cfRule>
  </conditionalFormatting>
  <conditionalFormatting sqref="H3:I4">
    <cfRule type="expression" dxfId="3068" priority="3044">
      <formula>MOD(ROW(),2)=0</formula>
    </cfRule>
  </conditionalFormatting>
  <conditionalFormatting sqref="H3:I4">
    <cfRule type="expression" dxfId="3067" priority="3043">
      <formula>MOD(ROW(),2)=0</formula>
    </cfRule>
  </conditionalFormatting>
  <conditionalFormatting sqref="H23:I25">
    <cfRule type="expression" dxfId="3066" priority="3055">
      <formula>MOD(ROW(),2)=0</formula>
    </cfRule>
  </conditionalFormatting>
  <conditionalFormatting sqref="H23:I25">
    <cfRule type="expression" dxfId="3065" priority="3054">
      <formula>MOD(ROW(),2)=0</formula>
    </cfRule>
  </conditionalFormatting>
  <conditionalFormatting sqref="H23:I25">
    <cfRule type="expression" dxfId="3064" priority="3053">
      <formula>MOD(ROW(),2)=0</formula>
    </cfRule>
  </conditionalFormatting>
  <conditionalFormatting sqref="H83:I83">
    <cfRule type="expression" dxfId="3063" priority="3047">
      <formula>MOD(ROW(),2)=0</formula>
    </cfRule>
  </conditionalFormatting>
  <conditionalFormatting sqref="H83:I83">
    <cfRule type="expression" dxfId="3062" priority="3046">
      <formula>MOD(ROW(),2)=0</formula>
    </cfRule>
  </conditionalFormatting>
  <conditionalFormatting sqref="H28:I77">
    <cfRule type="expression" dxfId="3061" priority="3048">
      <formula>MOD(ROW(),2)=0</formula>
    </cfRule>
  </conditionalFormatting>
  <conditionalFormatting sqref="H7:I7">
    <cfRule type="expression" dxfId="3060" priority="3028">
      <formula>MOD(ROW(),2)=0</formula>
    </cfRule>
  </conditionalFormatting>
  <conditionalFormatting sqref="H27:I77">
    <cfRule type="expression" dxfId="3059" priority="3052">
      <formula>MOD(ROW(),2)=0</formula>
    </cfRule>
  </conditionalFormatting>
  <conditionalFormatting sqref="H27:I27">
    <cfRule type="expression" dxfId="3058" priority="3051">
      <formula>MOD(ROW(),2)=0</formula>
    </cfRule>
  </conditionalFormatting>
  <conditionalFormatting sqref="H27:I27">
    <cfRule type="expression" dxfId="3057" priority="3050">
      <formula>MOD(ROW(),2)=0</formula>
    </cfRule>
  </conditionalFormatting>
  <conditionalFormatting sqref="H28:I77">
    <cfRule type="expression" dxfId="3056" priority="3049">
      <formula>MOD(ROW(),2)=0</formula>
    </cfRule>
  </conditionalFormatting>
  <conditionalFormatting sqref="H3:I4">
    <cfRule type="expression" dxfId="3055" priority="3042">
      <formula>MOD(ROW(),2)=0</formula>
    </cfRule>
  </conditionalFormatting>
  <conditionalFormatting sqref="H3:I4">
    <cfRule type="expression" dxfId="3054" priority="3041">
      <formula>MOD(ROW(),2)=0</formula>
    </cfRule>
  </conditionalFormatting>
  <conditionalFormatting sqref="H3:I4">
    <cfRule type="expression" dxfId="3053" priority="3040">
      <formula>MOD(ROW(),2)=0</formula>
    </cfRule>
  </conditionalFormatting>
  <conditionalFormatting sqref="H3:I4">
    <cfRule type="expression" dxfId="3052" priority="3039">
      <formula>MOD(ROW(),2)=0</formula>
    </cfRule>
  </conditionalFormatting>
  <conditionalFormatting sqref="H3:I4">
    <cfRule type="expression" dxfId="3051" priority="3038">
      <formula>MOD(ROW(),2)=0</formula>
    </cfRule>
  </conditionalFormatting>
  <conditionalFormatting sqref="H3:I4">
    <cfRule type="expression" dxfId="3050" priority="3037">
      <formula>MOD(ROW(),2)=0</formula>
    </cfRule>
  </conditionalFormatting>
  <conditionalFormatting sqref="H3:I4">
    <cfRule type="expression" dxfId="3049" priority="3036">
      <formula>MOD(ROW(),2)=0</formula>
    </cfRule>
  </conditionalFormatting>
  <conditionalFormatting sqref="H7:I7">
    <cfRule type="expression" dxfId="3048" priority="3035">
      <formula>MOD(ROW(),2)=0</formula>
    </cfRule>
  </conditionalFormatting>
  <conditionalFormatting sqref="H7:I7">
    <cfRule type="expression" dxfId="3047" priority="3034">
      <formula>MOD(ROW(),2)=0</formula>
    </cfRule>
  </conditionalFormatting>
  <conditionalFormatting sqref="H7:I7">
    <cfRule type="expression" dxfId="3046" priority="3033">
      <formula>MOD(ROW(),2)=0</formula>
    </cfRule>
  </conditionalFormatting>
  <conditionalFormatting sqref="H7:I7">
    <cfRule type="expression" dxfId="3045" priority="3032">
      <formula>MOD(ROW(),2)=0</formula>
    </cfRule>
  </conditionalFormatting>
  <conditionalFormatting sqref="H7:I7">
    <cfRule type="expression" dxfId="3044" priority="3031">
      <formula>MOD(ROW(),2)=0</formula>
    </cfRule>
  </conditionalFormatting>
  <conditionalFormatting sqref="H7:I7">
    <cfRule type="expression" dxfId="3043" priority="3030">
      <formula>MOD(ROW(),2)=0</formula>
    </cfRule>
  </conditionalFormatting>
  <conditionalFormatting sqref="H7:I7">
    <cfRule type="expression" dxfId="3042" priority="3029">
      <formula>MOD(ROW(),2)=0</formula>
    </cfRule>
  </conditionalFormatting>
  <conditionalFormatting sqref="H23:I25">
    <cfRule type="expression" dxfId="3041" priority="3027">
      <formula>MOD(ROW(),2)=0</formula>
    </cfRule>
  </conditionalFormatting>
  <conditionalFormatting sqref="H23:I25">
    <cfRule type="expression" dxfId="3040" priority="3026">
      <formula>MOD(ROW(),2)=0</formula>
    </cfRule>
  </conditionalFormatting>
  <conditionalFormatting sqref="H23:I25">
    <cfRule type="expression" dxfId="3039" priority="3025">
      <formula>MOD(ROW(),2)=0</formula>
    </cfRule>
  </conditionalFormatting>
  <conditionalFormatting sqref="H23:I25">
    <cfRule type="expression" dxfId="3038" priority="3024">
      <formula>MOD(ROW(),2)=0</formula>
    </cfRule>
  </conditionalFormatting>
  <conditionalFormatting sqref="H23:I25">
    <cfRule type="expression" dxfId="3037" priority="3023">
      <formula>MOD(ROW(),2)=0</formula>
    </cfRule>
  </conditionalFormatting>
  <conditionalFormatting sqref="H23:I25">
    <cfRule type="expression" dxfId="3036" priority="3022">
      <formula>MOD(ROW(),2)=0</formula>
    </cfRule>
  </conditionalFormatting>
  <conditionalFormatting sqref="H23:I25">
    <cfRule type="expression" dxfId="3035" priority="3021">
      <formula>MOD(ROW(),2)=0</formula>
    </cfRule>
  </conditionalFormatting>
  <conditionalFormatting sqref="H27:I27">
    <cfRule type="expression" dxfId="3034" priority="3020">
      <formula>MOD(ROW(),2)=0</formula>
    </cfRule>
  </conditionalFormatting>
  <conditionalFormatting sqref="H27:I27">
    <cfRule type="expression" dxfId="3033" priority="3019">
      <formula>MOD(ROW(),2)=0</formula>
    </cfRule>
  </conditionalFormatting>
  <conditionalFormatting sqref="H27:I27">
    <cfRule type="expression" dxfId="3032" priority="3018">
      <formula>MOD(ROW(),2)=0</formula>
    </cfRule>
  </conditionalFormatting>
  <conditionalFormatting sqref="H27:I27">
    <cfRule type="expression" dxfId="3031" priority="3017">
      <formula>MOD(ROW(),2)=0</formula>
    </cfRule>
  </conditionalFormatting>
  <conditionalFormatting sqref="H27:I27">
    <cfRule type="expression" dxfId="3030" priority="3016">
      <formula>MOD(ROW(),2)=0</formula>
    </cfRule>
  </conditionalFormatting>
  <conditionalFormatting sqref="H27:I27">
    <cfRule type="expression" dxfId="3029" priority="3015">
      <formula>MOD(ROW(),2)=0</formula>
    </cfRule>
  </conditionalFormatting>
  <conditionalFormatting sqref="H27:I27">
    <cfRule type="expression" dxfId="3028" priority="3014">
      <formula>MOD(ROW(),2)=0</formula>
    </cfRule>
  </conditionalFormatting>
  <conditionalFormatting sqref="H28:I77">
    <cfRule type="expression" dxfId="3027" priority="3013">
      <formula>MOD(ROW(),2)=0</formula>
    </cfRule>
  </conditionalFormatting>
  <conditionalFormatting sqref="H28:I77">
    <cfRule type="expression" dxfId="3026" priority="3012">
      <formula>MOD(ROW(),2)=0</formula>
    </cfRule>
  </conditionalFormatting>
  <conditionalFormatting sqref="H28:I77">
    <cfRule type="expression" dxfId="3025" priority="3011">
      <formula>MOD(ROW(),2)=0</formula>
    </cfRule>
  </conditionalFormatting>
  <conditionalFormatting sqref="H28:I77">
    <cfRule type="expression" dxfId="3024" priority="3010">
      <formula>MOD(ROW(),2)=0</formula>
    </cfRule>
  </conditionalFormatting>
  <conditionalFormatting sqref="H28:I77">
    <cfRule type="expression" dxfId="3023" priority="3009">
      <formula>MOD(ROW(),2)=0</formula>
    </cfRule>
  </conditionalFormatting>
  <conditionalFormatting sqref="H28:I77">
    <cfRule type="expression" dxfId="3022" priority="3008">
      <formula>MOD(ROW(),2)=0</formula>
    </cfRule>
  </conditionalFormatting>
  <conditionalFormatting sqref="H28:I77">
    <cfRule type="expression" dxfId="3021" priority="3007">
      <formula>MOD(ROW(),2)=0</formula>
    </cfRule>
  </conditionalFormatting>
  <conditionalFormatting sqref="H83:I83">
    <cfRule type="expression" dxfId="3020" priority="3006">
      <formula>MOD(ROW(),2)=0</formula>
    </cfRule>
  </conditionalFormatting>
  <conditionalFormatting sqref="H83:I83">
    <cfRule type="expression" dxfId="3019" priority="3005">
      <formula>MOD(ROW(),2)=0</formula>
    </cfRule>
  </conditionalFormatting>
  <conditionalFormatting sqref="H83:I83">
    <cfRule type="expression" dxfId="3018" priority="3004">
      <formula>MOD(ROW(),2)=0</formula>
    </cfRule>
  </conditionalFormatting>
  <conditionalFormatting sqref="H83:I83">
    <cfRule type="expression" dxfId="3017" priority="3003">
      <formula>MOD(ROW(),2)=0</formula>
    </cfRule>
  </conditionalFormatting>
  <conditionalFormatting sqref="H83:I83">
    <cfRule type="expression" dxfId="3016" priority="3002">
      <formula>MOD(ROW(),2)=0</formula>
    </cfRule>
  </conditionalFormatting>
  <conditionalFormatting sqref="H83:I83">
    <cfRule type="expression" dxfId="3015" priority="3001">
      <formula>MOD(ROW(),2)=0</formula>
    </cfRule>
  </conditionalFormatting>
  <conditionalFormatting sqref="H83:I83">
    <cfRule type="expression" dxfId="3014" priority="3000">
      <formula>MOD(ROW(),2)=0</formula>
    </cfRule>
  </conditionalFormatting>
  <conditionalFormatting sqref="J28:R77">
    <cfRule type="expression" dxfId="3013" priority="2999">
      <formula>MOD(ROW(),2)=0</formula>
    </cfRule>
  </conditionalFormatting>
  <conditionalFormatting sqref="J3:R4">
    <cfRule type="expression" dxfId="3012" priority="2998">
      <formula>MOD(ROW(),2)=0</formula>
    </cfRule>
  </conditionalFormatting>
  <conditionalFormatting sqref="J3:R4">
    <cfRule type="expression" dxfId="3011" priority="2997">
      <formula>MOD(ROW(),2)=0</formula>
    </cfRule>
  </conditionalFormatting>
  <conditionalFormatting sqref="S3:S4">
    <cfRule type="expression" dxfId="3010" priority="2996">
      <formula>MOD(ROW(),2)=0</formula>
    </cfRule>
  </conditionalFormatting>
  <conditionalFormatting sqref="S3:S4">
    <cfRule type="expression" dxfId="3009" priority="2995">
      <formula>MOD(ROW(),2)=0</formula>
    </cfRule>
  </conditionalFormatting>
  <conditionalFormatting sqref="J3:R4">
    <cfRule type="expression" dxfId="3008" priority="2994">
      <formula>MOD(ROW(),2)=0</formula>
    </cfRule>
  </conditionalFormatting>
  <conditionalFormatting sqref="J3:R4">
    <cfRule type="expression" dxfId="3007" priority="2993">
      <formula>MOD(ROW(),2)=0</formula>
    </cfRule>
  </conditionalFormatting>
  <conditionalFormatting sqref="J3:R4">
    <cfRule type="expression" dxfId="3006" priority="2992">
      <formula>MOD(ROW(),2)=0</formula>
    </cfRule>
  </conditionalFormatting>
  <conditionalFormatting sqref="J3:R4">
    <cfRule type="expression" dxfId="3005" priority="2991">
      <formula>MOD(ROW(),2)=0</formula>
    </cfRule>
  </conditionalFormatting>
  <conditionalFormatting sqref="J3:R4">
    <cfRule type="expression" dxfId="3004" priority="2990">
      <formula>MOD(ROW(),2)=0</formula>
    </cfRule>
  </conditionalFormatting>
  <conditionalFormatting sqref="J3:R4">
    <cfRule type="expression" dxfId="3003" priority="2989">
      <formula>MOD(ROW(),2)=0</formula>
    </cfRule>
  </conditionalFormatting>
  <conditionalFormatting sqref="S3:S4">
    <cfRule type="expression" dxfId="3002" priority="2988">
      <formula>MOD(ROW(),2)=0</formula>
    </cfRule>
  </conditionalFormatting>
  <conditionalFormatting sqref="S3:S4">
    <cfRule type="expression" dxfId="3001" priority="2987">
      <formula>MOD(ROW(),2)=0</formula>
    </cfRule>
  </conditionalFormatting>
  <conditionalFormatting sqref="J3:R4">
    <cfRule type="expression" dxfId="3000" priority="2986">
      <formula>MOD(ROW(),2)=0</formula>
    </cfRule>
  </conditionalFormatting>
  <conditionalFormatting sqref="J3:R4">
    <cfRule type="expression" dxfId="2999" priority="2985">
      <formula>MOD(ROW(),2)=0</formula>
    </cfRule>
  </conditionalFormatting>
  <conditionalFormatting sqref="J3:R4">
    <cfRule type="expression" dxfId="2998" priority="2984">
      <formula>MOD(ROW(),2)=0</formula>
    </cfRule>
  </conditionalFormatting>
  <conditionalFormatting sqref="J3:R4">
    <cfRule type="expression" dxfId="2997" priority="2983">
      <formula>MOD(ROW(),2)=0</formula>
    </cfRule>
  </conditionalFormatting>
  <conditionalFormatting sqref="J3:R4">
    <cfRule type="expression" dxfId="2996" priority="2982">
      <formula>MOD(ROW(),2)=0</formula>
    </cfRule>
  </conditionalFormatting>
  <conditionalFormatting sqref="J3:R4">
    <cfRule type="expression" dxfId="2995" priority="2981">
      <formula>MOD(ROW(),2)=0</formula>
    </cfRule>
  </conditionalFormatting>
  <conditionalFormatting sqref="S3:S4">
    <cfRule type="expression" dxfId="2994" priority="2980">
      <formula>MOD(ROW(),2)=0</formula>
    </cfRule>
  </conditionalFormatting>
  <conditionalFormatting sqref="S3:S4">
    <cfRule type="expression" dxfId="2993" priority="2979">
      <formula>MOD(ROW(),2)=0</formula>
    </cfRule>
  </conditionalFormatting>
  <conditionalFormatting sqref="S3:S4">
    <cfRule type="expression" dxfId="2992" priority="2978">
      <formula>MOD(ROW(),2)=0</formula>
    </cfRule>
  </conditionalFormatting>
  <conditionalFormatting sqref="S3:S4">
    <cfRule type="expression" dxfId="2991" priority="2977">
      <formula>MOD(ROW(),2)=0</formula>
    </cfRule>
  </conditionalFormatting>
  <conditionalFormatting sqref="S3:S4">
    <cfRule type="expression" dxfId="2990" priority="2976">
      <formula>MOD(ROW(),2)=0</formula>
    </cfRule>
  </conditionalFormatting>
  <conditionalFormatting sqref="J3:R4">
    <cfRule type="expression" dxfId="2989" priority="2975">
      <formula>MOD(ROW(),2)=0</formula>
    </cfRule>
  </conditionalFormatting>
  <conditionalFormatting sqref="J3:R4">
    <cfRule type="expression" dxfId="2988" priority="2974">
      <formula>MOD(ROW(),2)=0</formula>
    </cfRule>
  </conditionalFormatting>
  <conditionalFormatting sqref="J3:R4">
    <cfRule type="expression" dxfId="2987" priority="2973">
      <formula>MOD(ROW(),2)=0</formula>
    </cfRule>
  </conditionalFormatting>
  <conditionalFormatting sqref="J3:R4">
    <cfRule type="expression" dxfId="2986" priority="2972">
      <formula>MOD(ROW(),2)=0</formula>
    </cfRule>
  </conditionalFormatting>
  <conditionalFormatting sqref="J3:R4">
    <cfRule type="expression" dxfId="2985" priority="2971">
      <formula>MOD(ROW(),2)=0</formula>
    </cfRule>
  </conditionalFormatting>
  <conditionalFormatting sqref="J3:R4">
    <cfRule type="expression" dxfId="2984" priority="2970">
      <formula>MOD(ROW(),2)=0</formula>
    </cfRule>
  </conditionalFormatting>
  <conditionalFormatting sqref="S3:S4">
    <cfRule type="expression" dxfId="2983" priority="2969">
      <formula>MOD(ROW(),2)=0</formula>
    </cfRule>
  </conditionalFormatting>
  <conditionalFormatting sqref="J23:S25">
    <cfRule type="expression" dxfId="2982" priority="2968">
      <formula>MOD(ROW(),2)=0</formula>
    </cfRule>
  </conditionalFormatting>
  <conditionalFormatting sqref="J7:R7">
    <cfRule type="expression" dxfId="2981" priority="2967">
      <formula>MOD(ROW(),2)=0</formula>
    </cfRule>
  </conditionalFormatting>
  <conditionalFormatting sqref="J7:R7">
    <cfRule type="expression" dxfId="2980" priority="2966">
      <formula>MOD(ROW(),2)=0</formula>
    </cfRule>
  </conditionalFormatting>
  <conditionalFormatting sqref="S7">
    <cfRule type="expression" dxfId="2979" priority="2964">
      <formula>MOD(ROW(),2)=0</formula>
    </cfRule>
  </conditionalFormatting>
  <conditionalFormatting sqref="S7">
    <cfRule type="expression" dxfId="2978" priority="2963">
      <formula>MOD(ROW(),2)=0</formula>
    </cfRule>
  </conditionalFormatting>
  <conditionalFormatting sqref="S23:S25">
    <cfRule type="expression" dxfId="2977" priority="2965">
      <formula>MOD(ROW(),2)=0</formula>
    </cfRule>
  </conditionalFormatting>
  <conditionalFormatting sqref="J7:R7">
    <cfRule type="expression" dxfId="2976" priority="2962">
      <formula>MOD(ROW(),2)=0</formula>
    </cfRule>
  </conditionalFormatting>
  <conditionalFormatting sqref="J7:R7">
    <cfRule type="expression" dxfId="2975" priority="2961">
      <formula>MOD(ROW(),2)=0</formula>
    </cfRule>
  </conditionalFormatting>
  <conditionalFormatting sqref="J7:R7">
    <cfRule type="expression" dxfId="2974" priority="2960">
      <formula>MOD(ROW(),2)=0</formula>
    </cfRule>
  </conditionalFormatting>
  <conditionalFormatting sqref="J7:R7">
    <cfRule type="expression" dxfId="2973" priority="2959">
      <formula>MOD(ROW(),2)=0</formula>
    </cfRule>
  </conditionalFormatting>
  <conditionalFormatting sqref="J23:R25">
    <cfRule type="expression" dxfId="2972" priority="2958">
      <formula>MOD(ROW(),2)=0</formula>
    </cfRule>
  </conditionalFormatting>
  <conditionalFormatting sqref="J23:R25">
    <cfRule type="expression" dxfId="2971" priority="2957">
      <formula>MOD(ROW(),2)=0</formula>
    </cfRule>
  </conditionalFormatting>
  <conditionalFormatting sqref="S7">
    <cfRule type="expression" dxfId="2970" priority="2956">
      <formula>MOD(ROW(),2)=0</formula>
    </cfRule>
  </conditionalFormatting>
  <conditionalFormatting sqref="S7">
    <cfRule type="expression" dxfId="2969" priority="2955">
      <formula>MOD(ROW(),2)=0</formula>
    </cfRule>
  </conditionalFormatting>
  <conditionalFormatting sqref="J7:R7">
    <cfRule type="expression" dxfId="2968" priority="2954">
      <formula>MOD(ROW(),2)=0</formula>
    </cfRule>
  </conditionalFormatting>
  <conditionalFormatting sqref="J7:R7">
    <cfRule type="expression" dxfId="2967" priority="2953">
      <formula>MOD(ROW(),2)=0</formula>
    </cfRule>
  </conditionalFormatting>
  <conditionalFormatting sqref="J7:R7">
    <cfRule type="expression" dxfId="2966" priority="2952">
      <formula>MOD(ROW(),2)=0</formula>
    </cfRule>
  </conditionalFormatting>
  <conditionalFormatting sqref="J7:R7">
    <cfRule type="expression" dxfId="2965" priority="2951">
      <formula>MOD(ROW(),2)=0</formula>
    </cfRule>
  </conditionalFormatting>
  <conditionalFormatting sqref="S7">
    <cfRule type="expression" dxfId="2964" priority="2950">
      <formula>MOD(ROW(),2)=0</formula>
    </cfRule>
  </conditionalFormatting>
  <conditionalFormatting sqref="S7">
    <cfRule type="expression" dxfId="2963" priority="2949">
      <formula>MOD(ROW(),2)=0</formula>
    </cfRule>
  </conditionalFormatting>
  <conditionalFormatting sqref="S7">
    <cfRule type="expression" dxfId="2962" priority="2948">
      <formula>MOD(ROW(),2)=0</formula>
    </cfRule>
  </conditionalFormatting>
  <conditionalFormatting sqref="J7:R7">
    <cfRule type="expression" dxfId="2961" priority="2947">
      <formula>MOD(ROW(),2)=0</formula>
    </cfRule>
  </conditionalFormatting>
  <conditionalFormatting sqref="J7:R7">
    <cfRule type="expression" dxfId="2960" priority="2946">
      <formula>MOD(ROW(),2)=0</formula>
    </cfRule>
  </conditionalFormatting>
  <conditionalFormatting sqref="J7:R7">
    <cfRule type="expression" dxfId="2959" priority="2945">
      <formula>MOD(ROW(),2)=0</formula>
    </cfRule>
  </conditionalFormatting>
  <conditionalFormatting sqref="J7:R7">
    <cfRule type="expression" dxfId="2958" priority="2944">
      <formula>MOD(ROW(),2)=0</formula>
    </cfRule>
  </conditionalFormatting>
  <conditionalFormatting sqref="S7">
    <cfRule type="expression" dxfId="2957" priority="2943">
      <formula>MOD(ROW(),2)=0</formula>
    </cfRule>
  </conditionalFormatting>
  <conditionalFormatting sqref="J23:R25">
    <cfRule type="expression" dxfId="2956" priority="2942">
      <formula>MOD(ROW(),2)=0</formula>
    </cfRule>
  </conditionalFormatting>
  <conditionalFormatting sqref="J23:R25">
    <cfRule type="expression" dxfId="2955" priority="2941">
      <formula>MOD(ROW(),2)=0</formula>
    </cfRule>
  </conditionalFormatting>
  <conditionalFormatting sqref="J23:R25">
    <cfRule type="expression" dxfId="2954" priority="2940">
      <formula>MOD(ROW(),2)=0</formula>
    </cfRule>
  </conditionalFormatting>
  <conditionalFormatting sqref="S23:S25">
    <cfRule type="expression" dxfId="2953" priority="2939">
      <formula>MOD(ROW(),2)=0</formula>
    </cfRule>
  </conditionalFormatting>
  <conditionalFormatting sqref="J23:R25">
    <cfRule type="expression" dxfId="2952" priority="2938">
      <formula>MOD(ROW(),2)=0</formula>
    </cfRule>
  </conditionalFormatting>
  <conditionalFormatting sqref="S23:S25">
    <cfRule type="expression" dxfId="2951" priority="2937">
      <formula>MOD(ROW(),2)=0</formula>
    </cfRule>
  </conditionalFormatting>
  <conditionalFormatting sqref="S27">
    <cfRule type="expression" dxfId="2950" priority="2936">
      <formula>MOD(ROW(),2)=0</formula>
    </cfRule>
  </conditionalFormatting>
  <conditionalFormatting sqref="S27">
    <cfRule type="expression" dxfId="2949" priority="2935">
      <formula>S$27&gt;(S$78+S$103)</formula>
    </cfRule>
  </conditionalFormatting>
  <conditionalFormatting sqref="J27:R27">
    <cfRule type="expression" dxfId="2948" priority="2934">
      <formula>MOD(ROW(),2)=0</formula>
    </cfRule>
  </conditionalFormatting>
  <conditionalFormatting sqref="J27:R27">
    <cfRule type="expression" dxfId="2947" priority="2933">
      <formula>J$27&gt;(J$78+J$103)</formula>
    </cfRule>
  </conditionalFormatting>
  <conditionalFormatting sqref="J27:R27">
    <cfRule type="expression" dxfId="2946" priority="2932">
      <formula>MOD(ROW(),2)=0</formula>
    </cfRule>
  </conditionalFormatting>
  <conditionalFormatting sqref="J27:R27">
    <cfRule type="expression" dxfId="2945" priority="2931">
      <formula>J$27&gt;(J$78+J$103)</formula>
    </cfRule>
  </conditionalFormatting>
  <conditionalFormatting sqref="J27:R27">
    <cfRule type="expression" dxfId="2944" priority="2930">
      <formula>MOD(ROW(),2)=0</formula>
    </cfRule>
  </conditionalFormatting>
  <conditionalFormatting sqref="J27:R27">
    <cfRule type="expression" dxfId="2943" priority="2929">
      <formula>J$27&gt;(J$78+J$103)</formula>
    </cfRule>
  </conditionalFormatting>
  <conditionalFormatting sqref="J27:R27">
    <cfRule type="expression" dxfId="2942" priority="2928">
      <formula>MOD(ROW(),2)=0</formula>
    </cfRule>
  </conditionalFormatting>
  <conditionalFormatting sqref="J27:R27">
    <cfRule type="expression" dxfId="2941" priority="2927">
      <formula>J$27&gt;(J$78+J$103)</formula>
    </cfRule>
  </conditionalFormatting>
  <conditionalFormatting sqref="J27:R27">
    <cfRule type="expression" dxfId="2940" priority="2926">
      <formula>MOD(ROW(),2)=0</formula>
    </cfRule>
  </conditionalFormatting>
  <conditionalFormatting sqref="J27:R27">
    <cfRule type="expression" dxfId="2939" priority="2925">
      <formula>J$27&gt;(J$78+J$103)</formula>
    </cfRule>
  </conditionalFormatting>
  <conditionalFormatting sqref="S27">
    <cfRule type="expression" dxfId="2938" priority="2924">
      <formula>MOD(ROW(),2)=0</formula>
    </cfRule>
  </conditionalFormatting>
  <conditionalFormatting sqref="S27">
    <cfRule type="expression" dxfId="2937" priority="2923">
      <formula>S$27&gt;(S$78+S$103)</formula>
    </cfRule>
  </conditionalFormatting>
  <conditionalFormatting sqref="J27:R27">
    <cfRule type="expression" dxfId="2936" priority="2922">
      <formula>MOD(ROW(),2)=0</formula>
    </cfRule>
  </conditionalFormatting>
  <conditionalFormatting sqref="J27:R27">
    <cfRule type="expression" dxfId="2935" priority="2921">
      <formula>J$27&gt;(J$78+J$103)</formula>
    </cfRule>
  </conditionalFormatting>
  <conditionalFormatting sqref="S27">
    <cfRule type="expression" dxfId="2934" priority="2920">
      <formula>MOD(ROW(),2)=0</formula>
    </cfRule>
  </conditionalFormatting>
  <conditionalFormatting sqref="S27">
    <cfRule type="expression" dxfId="2933" priority="2919">
      <formula>S$27&gt;(S$78+S$103)</formula>
    </cfRule>
  </conditionalFormatting>
  <conditionalFormatting sqref="S28:S77">
    <cfRule type="expression" dxfId="2932" priority="2918">
      <formula>MOD(ROW(),2)=0</formula>
    </cfRule>
  </conditionalFormatting>
  <conditionalFormatting sqref="J28:R77">
    <cfRule type="expression" dxfId="2931" priority="2917">
      <formula>MOD(ROW(),2)=0</formula>
    </cfRule>
  </conditionalFormatting>
  <conditionalFormatting sqref="J28:R77">
    <cfRule type="expression" dxfId="2930" priority="2916">
      <formula>MOD(ROW(),2)=0</formula>
    </cfRule>
  </conditionalFormatting>
  <conditionalFormatting sqref="J28:R77">
    <cfRule type="expression" dxfId="2929" priority="2915">
      <formula>MOD(ROW(),2)=0</formula>
    </cfRule>
  </conditionalFormatting>
  <conditionalFormatting sqref="J28:R77">
    <cfRule type="expression" dxfId="2928" priority="2914">
      <formula>MOD(ROW(),2)=0</formula>
    </cfRule>
  </conditionalFormatting>
  <conditionalFormatting sqref="J28:R77">
    <cfRule type="expression" dxfId="2927" priority="2913">
      <formula>MOD(ROW(),2)=0</formula>
    </cfRule>
  </conditionalFormatting>
  <conditionalFormatting sqref="S28:S77">
    <cfRule type="expression" dxfId="2926" priority="2912">
      <formula>MOD(ROW(),2)=0</formula>
    </cfRule>
  </conditionalFormatting>
  <conditionalFormatting sqref="J28:R77">
    <cfRule type="expression" dxfId="2925" priority="2911">
      <formula>MOD(ROW(),2)=0</formula>
    </cfRule>
  </conditionalFormatting>
  <conditionalFormatting sqref="S28:S77">
    <cfRule type="expression" dxfId="2924" priority="2910">
      <formula>MOD(ROW(),2)=0</formula>
    </cfRule>
  </conditionalFormatting>
  <conditionalFormatting sqref="S83">
    <cfRule type="expression" dxfId="2923" priority="2909">
      <formula>MOD(ROW(),2)=0</formula>
    </cfRule>
  </conditionalFormatting>
  <conditionalFormatting sqref="J83:R83">
    <cfRule type="expression" dxfId="2922" priority="2908">
      <formula>MOD(ROW(),2)=0</formula>
    </cfRule>
  </conditionalFormatting>
  <conditionalFormatting sqref="J83:R83">
    <cfRule type="expression" dxfId="2921" priority="2907">
      <formula>MOD(ROW(),2)=0</formula>
    </cfRule>
  </conditionalFormatting>
  <conditionalFormatting sqref="J83:R83">
    <cfRule type="expression" dxfId="2920" priority="2906">
      <formula>MOD(ROW(),2)=0</formula>
    </cfRule>
  </conditionalFormatting>
  <conditionalFormatting sqref="J83:R83">
    <cfRule type="expression" dxfId="2919" priority="2905">
      <formula>MOD(ROW(),2)=0</formula>
    </cfRule>
  </conditionalFormatting>
  <conditionalFormatting sqref="J83:R83">
    <cfRule type="expression" dxfId="2918" priority="2904">
      <formula>MOD(ROW(),2)=0</formula>
    </cfRule>
  </conditionalFormatting>
  <conditionalFormatting sqref="S83">
    <cfRule type="expression" dxfId="2917" priority="2903">
      <formula>MOD(ROW(),2)=0</formula>
    </cfRule>
  </conditionalFormatting>
  <conditionalFormatting sqref="J83:R83">
    <cfRule type="expression" dxfId="2916" priority="2902">
      <formula>MOD(ROW(),2)=0</formula>
    </cfRule>
  </conditionalFormatting>
  <conditionalFormatting sqref="S83">
    <cfRule type="expression" dxfId="2915" priority="2901">
      <formula>MOD(ROW(),2)=0</formula>
    </cfRule>
  </conditionalFormatting>
  <conditionalFormatting sqref="J86:R92 J94:R102">
    <cfRule type="expression" dxfId="2914" priority="2900">
      <formula>MOD(ROW(),2)=0</formula>
    </cfRule>
  </conditionalFormatting>
  <conditionalFormatting sqref="S86:S102">
    <cfRule type="expression" dxfId="2913" priority="2899">
      <formula>MOD(ROW(),2)=0</formula>
    </cfRule>
  </conditionalFormatting>
  <conditionalFormatting sqref="J93:R93">
    <cfRule type="expression" dxfId="2912" priority="2898">
      <formula>MOD(ROW(),2)=0</formula>
    </cfRule>
  </conditionalFormatting>
  <conditionalFormatting sqref="S86:S92 S94:S102">
    <cfRule type="expression" dxfId="2911" priority="2897">
      <formula>MOD(ROW(),2)=0</formula>
    </cfRule>
  </conditionalFormatting>
  <conditionalFormatting sqref="J86:R92 J94:R102">
    <cfRule type="expression" dxfId="2910" priority="2896">
      <formula>MOD(ROW(),2)=0</formula>
    </cfRule>
  </conditionalFormatting>
  <conditionalFormatting sqref="J93:R93">
    <cfRule type="expression" dxfId="2909" priority="2895">
      <formula>MOD(ROW(),2)=0</formula>
    </cfRule>
  </conditionalFormatting>
  <conditionalFormatting sqref="S93">
    <cfRule type="expression" dxfId="2908" priority="2894">
      <formula>MOD(ROW(),2)=0</formula>
    </cfRule>
  </conditionalFormatting>
  <conditionalFormatting sqref="AE9:AR9">
    <cfRule type="expression" dxfId="2907" priority="2893">
      <formula>MOD(ROW(),2)=0</formula>
    </cfRule>
  </conditionalFormatting>
  <conditionalFormatting sqref="AE8:AR8">
    <cfRule type="expression" dxfId="2906" priority="2892">
      <formula>MOD(ROW(),2)=0</formula>
    </cfRule>
  </conditionalFormatting>
  <conditionalFormatting sqref="AE15:AR16 AE12:AR13">
    <cfRule type="expression" dxfId="2905" priority="2891">
      <formula>MOD(ROW(),2)=0</formula>
    </cfRule>
  </conditionalFormatting>
  <conditionalFormatting sqref="AE14:AR14 AE17:AR21">
    <cfRule type="expression" dxfId="2904" priority="2890">
      <formula>MOD(ROW(),2)=0</formula>
    </cfRule>
  </conditionalFormatting>
  <conditionalFormatting sqref="AE11:AR11">
    <cfRule type="expression" dxfId="2903" priority="2889">
      <formula>MOD(ROW(),2)=0</formula>
    </cfRule>
  </conditionalFormatting>
  <conditionalFormatting sqref="AE22:AR22">
    <cfRule type="expression" dxfId="2902" priority="2888">
      <formula>MOD(ROW(),2)=0</formula>
    </cfRule>
  </conditionalFormatting>
  <conditionalFormatting sqref="AE10:AR10">
    <cfRule type="expression" dxfId="2901" priority="2887">
      <formula>MOD(ROW(),2)=0</formula>
    </cfRule>
  </conditionalFormatting>
  <conditionalFormatting sqref="AE9:AR9">
    <cfRule type="expression" dxfId="2900" priority="2886">
      <formula>MOD(ROW(),2)=0</formula>
    </cfRule>
  </conditionalFormatting>
  <conditionalFormatting sqref="AE8:AR8">
    <cfRule type="expression" dxfId="2899" priority="2885">
      <formula>MOD(ROW(),2)=0</formula>
    </cfRule>
  </conditionalFormatting>
  <conditionalFormatting sqref="AE15:AR16 AE12:AR13">
    <cfRule type="expression" dxfId="2898" priority="2884">
      <formula>MOD(ROW(),2)=0</formula>
    </cfRule>
  </conditionalFormatting>
  <conditionalFormatting sqref="AE14:AR14 AE17:AR21">
    <cfRule type="expression" dxfId="2897" priority="2883">
      <formula>MOD(ROW(),2)=0</formula>
    </cfRule>
  </conditionalFormatting>
  <conditionalFormatting sqref="AE11:AR11">
    <cfRule type="expression" dxfId="2896" priority="2882">
      <formula>MOD(ROW(),2)=0</formula>
    </cfRule>
  </conditionalFormatting>
  <conditionalFormatting sqref="AE22:AR22">
    <cfRule type="expression" dxfId="2895" priority="2881">
      <formula>MOD(ROW(),2)=0</formula>
    </cfRule>
  </conditionalFormatting>
  <conditionalFormatting sqref="AE10:AR10">
    <cfRule type="expression" dxfId="2894" priority="2880">
      <formula>MOD(ROW(),2)=0</formula>
    </cfRule>
  </conditionalFormatting>
  <conditionalFormatting sqref="AE9:AR9">
    <cfRule type="expression" dxfId="2893" priority="2879">
      <formula>MOD(ROW(),2)=0</formula>
    </cfRule>
  </conditionalFormatting>
  <conditionalFormatting sqref="AE8:AR8">
    <cfRule type="expression" dxfId="2892" priority="2878">
      <formula>MOD(ROW(),2)=0</formula>
    </cfRule>
  </conditionalFormatting>
  <conditionalFormatting sqref="AE15:AR16 AE12:AR13">
    <cfRule type="expression" dxfId="2891" priority="2877">
      <formula>MOD(ROW(),2)=0</formula>
    </cfRule>
  </conditionalFormatting>
  <conditionalFormatting sqref="AE14:AR14 AE17:AR21">
    <cfRule type="expression" dxfId="2890" priority="2876">
      <formula>MOD(ROW(),2)=0</formula>
    </cfRule>
  </conditionalFormatting>
  <conditionalFormatting sqref="AE11:AR11">
    <cfRule type="expression" dxfId="2889" priority="2875">
      <formula>MOD(ROW(),2)=0</formula>
    </cfRule>
  </conditionalFormatting>
  <conditionalFormatting sqref="AE22:AR22">
    <cfRule type="expression" dxfId="2888" priority="2874">
      <formula>MOD(ROW(),2)=0</formula>
    </cfRule>
  </conditionalFormatting>
  <conditionalFormatting sqref="AE10:AR10">
    <cfRule type="expression" dxfId="2887" priority="2873">
      <formula>MOD(ROW(),2)=0</formula>
    </cfRule>
  </conditionalFormatting>
  <conditionalFormatting sqref="AE9:AR9">
    <cfRule type="expression" dxfId="2886" priority="2872">
      <formula>MOD(ROW(),2)=0</formula>
    </cfRule>
  </conditionalFormatting>
  <conditionalFormatting sqref="AE8:AR8">
    <cfRule type="expression" dxfId="2885" priority="2871">
      <formula>MOD(ROW(),2)=0</formula>
    </cfRule>
  </conditionalFormatting>
  <conditionalFormatting sqref="AE15:AR16 AE12:AR13">
    <cfRule type="expression" dxfId="2884" priority="2870">
      <formula>MOD(ROW(),2)=0</formula>
    </cfRule>
  </conditionalFormatting>
  <conditionalFormatting sqref="AE14:AR14 AE17:AR21">
    <cfRule type="expression" dxfId="2883" priority="2869">
      <formula>MOD(ROW(),2)=0</formula>
    </cfRule>
  </conditionalFormatting>
  <conditionalFormatting sqref="AE11:AR11">
    <cfRule type="expression" dxfId="2882" priority="2868">
      <formula>MOD(ROW(),2)=0</formula>
    </cfRule>
  </conditionalFormatting>
  <conditionalFormatting sqref="AE22:AR22">
    <cfRule type="expression" dxfId="2881" priority="2867">
      <formula>MOD(ROW(),2)=0</formula>
    </cfRule>
  </conditionalFormatting>
  <conditionalFormatting sqref="AE10:AR10">
    <cfRule type="expression" dxfId="2880" priority="2866">
      <formula>MOD(ROW(),2)=0</formula>
    </cfRule>
  </conditionalFormatting>
  <conditionalFormatting sqref="AE9:AR9">
    <cfRule type="expression" dxfId="2879" priority="2865">
      <formula>MOD(ROW(),2)=0</formula>
    </cfRule>
  </conditionalFormatting>
  <conditionalFormatting sqref="AE8:AR8">
    <cfRule type="expression" dxfId="2878" priority="2864">
      <formula>MOD(ROW(),2)=0</formula>
    </cfRule>
  </conditionalFormatting>
  <conditionalFormatting sqref="AE15:AR16 AE12:AR13">
    <cfRule type="expression" dxfId="2877" priority="2863">
      <formula>MOD(ROW(),2)=0</formula>
    </cfRule>
  </conditionalFormatting>
  <conditionalFormatting sqref="AE14:AR14 AE17:AR21">
    <cfRule type="expression" dxfId="2876" priority="2862">
      <formula>MOD(ROW(),2)=0</formula>
    </cfRule>
  </conditionalFormatting>
  <conditionalFormatting sqref="AE11:AR11">
    <cfRule type="expression" dxfId="2875" priority="2861">
      <formula>MOD(ROW(),2)=0</formula>
    </cfRule>
  </conditionalFormatting>
  <conditionalFormatting sqref="AE22:AR22">
    <cfRule type="expression" dxfId="2874" priority="2860">
      <formula>MOD(ROW(),2)=0</formula>
    </cfRule>
  </conditionalFormatting>
  <conditionalFormatting sqref="AE10:AR10">
    <cfRule type="expression" dxfId="2873" priority="2859">
      <formula>MOD(ROW(),2)=0</formula>
    </cfRule>
  </conditionalFormatting>
  <conditionalFormatting sqref="AE9:AR9">
    <cfRule type="expression" dxfId="2872" priority="2858">
      <formula>MOD(ROW(),2)=0</formula>
    </cfRule>
  </conditionalFormatting>
  <conditionalFormatting sqref="AE8:AR8">
    <cfRule type="expression" dxfId="2871" priority="2857">
      <formula>MOD(ROW(),2)=0</formula>
    </cfRule>
  </conditionalFormatting>
  <conditionalFormatting sqref="AE15:AR16 AE12:AR13">
    <cfRule type="expression" dxfId="2870" priority="2856">
      <formula>MOD(ROW(),2)=0</formula>
    </cfRule>
  </conditionalFormatting>
  <conditionalFormatting sqref="AE14:AR14 AE17:AR21">
    <cfRule type="expression" dxfId="2869" priority="2855">
      <formula>MOD(ROW(),2)=0</formula>
    </cfRule>
  </conditionalFormatting>
  <conditionalFormatting sqref="AE11:AR11">
    <cfRule type="expression" dxfId="2868" priority="2854">
      <formula>MOD(ROW(),2)=0</formula>
    </cfRule>
  </conditionalFormatting>
  <conditionalFormatting sqref="AE22:AR22">
    <cfRule type="expression" dxfId="2867" priority="2853">
      <formula>MOD(ROW(),2)=0</formula>
    </cfRule>
  </conditionalFormatting>
  <conditionalFormatting sqref="AE10:AR10">
    <cfRule type="expression" dxfId="2866" priority="2852">
      <formula>MOD(ROW(),2)=0</formula>
    </cfRule>
  </conditionalFormatting>
  <conditionalFormatting sqref="AE9:AR9">
    <cfRule type="expression" dxfId="2865" priority="2851">
      <formula>MOD(ROW(),2)=0</formula>
    </cfRule>
  </conditionalFormatting>
  <conditionalFormatting sqref="AE8:AR8">
    <cfRule type="expression" dxfId="2864" priority="2850">
      <formula>MOD(ROW(),2)=0</formula>
    </cfRule>
  </conditionalFormatting>
  <conditionalFormatting sqref="AE15:AR16 AE12:AR13">
    <cfRule type="expression" dxfId="2863" priority="2849">
      <formula>MOD(ROW(),2)=0</formula>
    </cfRule>
  </conditionalFormatting>
  <conditionalFormatting sqref="AE14:AR14 AE17:AR21">
    <cfRule type="expression" dxfId="2862" priority="2848">
      <formula>MOD(ROW(),2)=0</formula>
    </cfRule>
  </conditionalFormatting>
  <conditionalFormatting sqref="AE11:AR11">
    <cfRule type="expression" dxfId="2861" priority="2847">
      <formula>MOD(ROW(),2)=0</formula>
    </cfRule>
  </conditionalFormatting>
  <conditionalFormatting sqref="AE10:AR10">
    <cfRule type="expression" dxfId="2860" priority="2846">
      <formula>MOD(ROW(),2)=0</formula>
    </cfRule>
  </conditionalFormatting>
  <conditionalFormatting sqref="AE22:AR22">
    <cfRule type="expression" dxfId="2859" priority="2845">
      <formula>MOD(ROW(),2)=0</formula>
    </cfRule>
  </conditionalFormatting>
  <conditionalFormatting sqref="AE9:AR9">
    <cfRule type="expression" dxfId="2858" priority="2844">
      <formula>MOD(ROW(),2)=0</formula>
    </cfRule>
  </conditionalFormatting>
  <conditionalFormatting sqref="AE8:AR8">
    <cfRule type="expression" dxfId="2857" priority="2843">
      <formula>MOD(ROW(),2)=0</formula>
    </cfRule>
  </conditionalFormatting>
  <conditionalFormatting sqref="AE15:AR16 AE12:AR13">
    <cfRule type="expression" dxfId="2856" priority="2842">
      <formula>MOD(ROW(),2)=0</formula>
    </cfRule>
  </conditionalFormatting>
  <conditionalFormatting sqref="AE14:AR14 AE17:AR21">
    <cfRule type="expression" dxfId="2855" priority="2841">
      <formula>MOD(ROW(),2)=0</formula>
    </cfRule>
  </conditionalFormatting>
  <conditionalFormatting sqref="AE11:AR11">
    <cfRule type="expression" dxfId="2854" priority="2840">
      <formula>MOD(ROW(),2)=0</formula>
    </cfRule>
  </conditionalFormatting>
  <conditionalFormatting sqref="AE22:AR22">
    <cfRule type="expression" dxfId="2853" priority="2839">
      <formula>MOD(ROW(),2)=0</formula>
    </cfRule>
  </conditionalFormatting>
  <conditionalFormatting sqref="AE10:AR10">
    <cfRule type="expression" dxfId="2852" priority="2838">
      <formula>MOD(ROW(),2)=0</formula>
    </cfRule>
  </conditionalFormatting>
  <conditionalFormatting sqref="G23:G80 G82:G102">
    <cfRule type="expression" dxfId="2851" priority="2837">
      <formula>MOD(ROW(),2)=0</formula>
    </cfRule>
  </conditionalFormatting>
  <conditionalFormatting sqref="G27">
    <cfRule type="expression" dxfId="2850" priority="2836">
      <formula>G$27&gt;(G$78+G$103)</formula>
    </cfRule>
  </conditionalFormatting>
  <conditionalFormatting sqref="I7 I3:I5">
    <cfRule type="expression" dxfId="2849" priority="2835">
      <formula>MOD(ROW(),2)=0</formula>
    </cfRule>
  </conditionalFormatting>
  <conditionalFormatting sqref="Q6:AR6 D6:O6">
    <cfRule type="expression" dxfId="2848" priority="2834">
      <formula>MOD(ROW(),2)=0</formula>
    </cfRule>
  </conditionalFormatting>
  <conditionalFormatting sqref="Q6:AR6 D6:O6">
    <cfRule type="expression" dxfId="2847" priority="2833">
      <formula>MOD(ROW(),2)=0</formula>
    </cfRule>
  </conditionalFormatting>
  <conditionalFormatting sqref="H7 H3:H5">
    <cfRule type="expression" dxfId="2846" priority="2832">
      <formula>MOD(ROW(),2)=0</formula>
    </cfRule>
  </conditionalFormatting>
  <conditionalFormatting sqref="AF3:AF5">
    <cfRule type="expression" dxfId="2845" priority="2831">
      <formula>MOD(ROW(),2)=0</formula>
    </cfRule>
  </conditionalFormatting>
  <conditionalFormatting sqref="AD3:AD5">
    <cfRule type="expression" dxfId="2844" priority="2830">
      <formula>MOD(ROW(),2)=0</formula>
    </cfRule>
  </conditionalFormatting>
  <conditionalFormatting sqref="AD7">
    <cfRule type="expression" dxfId="2843" priority="2829">
      <formula>MOD(ROW(),2)=0</formula>
    </cfRule>
  </conditionalFormatting>
  <conditionalFormatting sqref="AD7">
    <cfRule type="expression" dxfId="2842" priority="2828">
      <formula>MOD(ROW(),2)=0</formula>
    </cfRule>
  </conditionalFormatting>
  <conditionalFormatting sqref="G3:G4">
    <cfRule type="expression" dxfId="2841" priority="2827">
      <formula>MOD(ROW(),2)=0</formula>
    </cfRule>
  </conditionalFormatting>
  <conditionalFormatting sqref="G7">
    <cfRule type="expression" dxfId="2840" priority="2826">
      <formula>MOD(ROW(),2)=0</formula>
    </cfRule>
  </conditionalFormatting>
  <conditionalFormatting sqref="G7">
    <cfRule type="expression" dxfId="2839" priority="2825">
      <formula>MOD(ROW(),2)=0</formula>
    </cfRule>
  </conditionalFormatting>
  <conditionalFormatting sqref="P5">
    <cfRule type="expression" dxfId="2838" priority="2824">
      <formula>MOD(ROW(),2)=0</formula>
    </cfRule>
  </conditionalFormatting>
  <conditionalFormatting sqref="P3:P4">
    <cfRule type="expression" dxfId="2837" priority="2823">
      <formula>MOD(ROW(),2)=0</formula>
    </cfRule>
  </conditionalFormatting>
  <conditionalFormatting sqref="P3:P4">
    <cfRule type="expression" dxfId="2836" priority="2822">
      <formula>MOD(ROW(),2)=0</formula>
    </cfRule>
  </conditionalFormatting>
  <conditionalFormatting sqref="P3:P4">
    <cfRule type="expression" dxfId="2835" priority="2821">
      <formula>MOD(ROW(),2)=0</formula>
    </cfRule>
  </conditionalFormatting>
  <conditionalFormatting sqref="P3:P4">
    <cfRule type="expression" dxfId="2834" priority="2820">
      <formula>MOD(ROW(),2)=0</formula>
    </cfRule>
  </conditionalFormatting>
  <conditionalFormatting sqref="P3:P4">
    <cfRule type="expression" dxfId="2833" priority="2819">
      <formula>MOD(ROW(),2)=0</formula>
    </cfRule>
  </conditionalFormatting>
  <conditionalFormatting sqref="P3:P4">
    <cfRule type="expression" dxfId="2832" priority="2818">
      <formula>MOD(ROW(),2)=0</formula>
    </cfRule>
  </conditionalFormatting>
  <conditionalFormatting sqref="P3:P4">
    <cfRule type="expression" dxfId="2831" priority="2817">
      <formula>MOD(ROW(),2)=0</formula>
    </cfRule>
  </conditionalFormatting>
  <conditionalFormatting sqref="P3:P4">
    <cfRule type="expression" dxfId="2830" priority="2816">
      <formula>MOD(ROW(),2)=0</formula>
    </cfRule>
  </conditionalFormatting>
  <conditionalFormatting sqref="P3:P4">
    <cfRule type="expression" dxfId="2829" priority="2815">
      <formula>MOD(ROW(),2)=0</formula>
    </cfRule>
  </conditionalFormatting>
  <conditionalFormatting sqref="P3:P4">
    <cfRule type="expression" dxfId="2828" priority="2814">
      <formula>MOD(ROW(),2)=0</formula>
    </cfRule>
  </conditionalFormatting>
  <conditionalFormatting sqref="P3:P4">
    <cfRule type="expression" dxfId="2827" priority="2813">
      <formula>MOD(ROW(),2)=0</formula>
    </cfRule>
  </conditionalFormatting>
  <conditionalFormatting sqref="P3:P4">
    <cfRule type="expression" dxfId="2826" priority="2812">
      <formula>MOD(ROW(),2)=0</formula>
    </cfRule>
  </conditionalFormatting>
  <conditionalFormatting sqref="P3:P4">
    <cfRule type="expression" dxfId="2825" priority="2811">
      <formula>MOD(ROW(),2)=0</formula>
    </cfRule>
  </conditionalFormatting>
  <conditionalFormatting sqref="P3:P4">
    <cfRule type="expression" dxfId="2824" priority="2810">
      <formula>MOD(ROW(),2)=0</formula>
    </cfRule>
  </conditionalFormatting>
  <conditionalFormatting sqref="P3:P4">
    <cfRule type="expression" dxfId="2823" priority="2809">
      <formula>MOD(ROW(),2)=0</formula>
    </cfRule>
  </conditionalFormatting>
  <conditionalFormatting sqref="P3:P4">
    <cfRule type="expression" dxfId="2822" priority="2808">
      <formula>MOD(ROW(),2)=0</formula>
    </cfRule>
  </conditionalFormatting>
  <conditionalFormatting sqref="P3:P4">
    <cfRule type="expression" dxfId="2821" priority="2807">
      <formula>MOD(ROW(),2)=0</formula>
    </cfRule>
  </conditionalFormatting>
  <conditionalFormatting sqref="P3:P4">
    <cfRule type="expression" dxfId="2820" priority="2806">
      <formula>MOD(ROW(),2)=0</formula>
    </cfRule>
  </conditionalFormatting>
  <conditionalFormatting sqref="P3:P4">
    <cfRule type="expression" dxfId="2819" priority="2805">
      <formula>MOD(ROW(),2)=0</formula>
    </cfRule>
  </conditionalFormatting>
  <conditionalFormatting sqref="P3:P4">
    <cfRule type="expression" dxfId="2818" priority="2804">
      <formula>MOD(ROW(),2)=0</formula>
    </cfRule>
  </conditionalFormatting>
  <conditionalFormatting sqref="P6">
    <cfRule type="expression" dxfId="2817" priority="2803">
      <formula>MOD(ROW(),2)=0</formula>
    </cfRule>
  </conditionalFormatting>
  <conditionalFormatting sqref="P6">
    <cfRule type="expression" dxfId="2816" priority="2802">
      <formula>MOD(ROW(),2)=0</formula>
    </cfRule>
  </conditionalFormatting>
  <conditionalFormatting sqref="AC9">
    <cfRule type="expression" dxfId="2815" priority="2801">
      <formula>MOD(ROW(),2)=0</formula>
    </cfRule>
  </conditionalFormatting>
  <conditionalFormatting sqref="AC8">
    <cfRule type="expression" dxfId="2814" priority="2800">
      <formula>MOD(ROW(),2)=0</formula>
    </cfRule>
  </conditionalFormatting>
  <conditionalFormatting sqref="AC15:AC16 AC12:AC13">
    <cfRule type="expression" dxfId="2813" priority="2799">
      <formula>MOD(ROW(),2)=0</formula>
    </cfRule>
  </conditionalFormatting>
  <conditionalFormatting sqref="AC14 AC17:AC21">
    <cfRule type="expression" dxfId="2812" priority="2798">
      <formula>MOD(ROW(),2)=0</formula>
    </cfRule>
  </conditionalFormatting>
  <conditionalFormatting sqref="AC11">
    <cfRule type="expression" dxfId="2811" priority="2797">
      <formula>MOD(ROW(),2)=0</formula>
    </cfRule>
  </conditionalFormatting>
  <conditionalFormatting sqref="AC22">
    <cfRule type="expression" dxfId="2810" priority="2796">
      <formula>MOD(ROW(),2)=0</formula>
    </cfRule>
  </conditionalFormatting>
  <conditionalFormatting sqref="AC10">
    <cfRule type="expression" dxfId="2809" priority="2795">
      <formula>MOD(ROW(),2)=0</formula>
    </cfRule>
  </conditionalFormatting>
  <conditionalFormatting sqref="AC9">
    <cfRule type="expression" dxfId="2808" priority="2794">
      <formula>MOD(ROW(),2)=0</formula>
    </cfRule>
  </conditionalFormatting>
  <conditionalFormatting sqref="AC8">
    <cfRule type="expression" dxfId="2807" priority="2793">
      <formula>MOD(ROW(),2)=0</formula>
    </cfRule>
  </conditionalFormatting>
  <conditionalFormatting sqref="AC15:AC16 AC12:AC13">
    <cfRule type="expression" dxfId="2806" priority="2792">
      <formula>MOD(ROW(),2)=0</formula>
    </cfRule>
  </conditionalFormatting>
  <conditionalFormatting sqref="AC14 AC17:AC21">
    <cfRule type="expression" dxfId="2805" priority="2791">
      <formula>MOD(ROW(),2)=0</formula>
    </cfRule>
  </conditionalFormatting>
  <conditionalFormatting sqref="AC11">
    <cfRule type="expression" dxfId="2804" priority="2790">
      <formula>MOD(ROW(),2)=0</formula>
    </cfRule>
  </conditionalFormatting>
  <conditionalFormatting sqref="AC22">
    <cfRule type="expression" dxfId="2803" priority="2789">
      <formula>MOD(ROW(),2)=0</formula>
    </cfRule>
  </conditionalFormatting>
  <conditionalFormatting sqref="AC10">
    <cfRule type="expression" dxfId="2802" priority="2788">
      <formula>MOD(ROW(),2)=0</formula>
    </cfRule>
  </conditionalFormatting>
  <conditionalFormatting sqref="AC9">
    <cfRule type="expression" dxfId="2801" priority="2787">
      <formula>MOD(ROW(),2)=0</formula>
    </cfRule>
  </conditionalFormatting>
  <conditionalFormatting sqref="AC8">
    <cfRule type="expression" dxfId="2800" priority="2786">
      <formula>MOD(ROW(),2)=0</formula>
    </cfRule>
  </conditionalFormatting>
  <conditionalFormatting sqref="AC15:AC16 AC12:AC13">
    <cfRule type="expression" dxfId="2799" priority="2785">
      <formula>MOD(ROW(),2)=0</formula>
    </cfRule>
  </conditionalFormatting>
  <conditionalFormatting sqref="AC14 AC17:AC21">
    <cfRule type="expression" dxfId="2798" priority="2784">
      <formula>MOD(ROW(),2)=0</formula>
    </cfRule>
  </conditionalFormatting>
  <conditionalFormatting sqref="AC11">
    <cfRule type="expression" dxfId="2797" priority="2783">
      <formula>MOD(ROW(),2)=0</formula>
    </cfRule>
  </conditionalFormatting>
  <conditionalFormatting sqref="AC22">
    <cfRule type="expression" dxfId="2796" priority="2782">
      <formula>MOD(ROW(),2)=0</formula>
    </cfRule>
  </conditionalFormatting>
  <conditionalFormatting sqref="AC10">
    <cfRule type="expression" dxfId="2795" priority="2781">
      <formula>MOD(ROW(),2)=0</formula>
    </cfRule>
  </conditionalFormatting>
  <conditionalFormatting sqref="AC9">
    <cfRule type="expression" dxfId="2794" priority="2780">
      <formula>MOD(ROW(),2)=0</formula>
    </cfRule>
  </conditionalFormatting>
  <conditionalFormatting sqref="AC8">
    <cfRule type="expression" dxfId="2793" priority="2779">
      <formula>MOD(ROW(),2)=0</formula>
    </cfRule>
  </conditionalFormatting>
  <conditionalFormatting sqref="AC15:AC16 AC12:AC13">
    <cfRule type="expression" dxfId="2792" priority="2778">
      <formula>MOD(ROW(),2)=0</formula>
    </cfRule>
  </conditionalFormatting>
  <conditionalFormatting sqref="AC14 AC17:AC21">
    <cfRule type="expression" dxfId="2791" priority="2777">
      <formula>MOD(ROW(),2)=0</formula>
    </cfRule>
  </conditionalFormatting>
  <conditionalFormatting sqref="AC11">
    <cfRule type="expression" dxfId="2790" priority="2776">
      <formula>MOD(ROW(),2)=0</formula>
    </cfRule>
  </conditionalFormatting>
  <conditionalFormatting sqref="AC22">
    <cfRule type="expression" dxfId="2789" priority="2775">
      <formula>MOD(ROW(),2)=0</formula>
    </cfRule>
  </conditionalFormatting>
  <conditionalFormatting sqref="AC10">
    <cfRule type="expression" dxfId="2788" priority="2774">
      <formula>MOD(ROW(),2)=0</formula>
    </cfRule>
  </conditionalFormatting>
  <conditionalFormatting sqref="AC9">
    <cfRule type="expression" dxfId="2787" priority="2773">
      <formula>MOD(ROW(),2)=0</formula>
    </cfRule>
  </conditionalFormatting>
  <conditionalFormatting sqref="AC8">
    <cfRule type="expression" dxfId="2786" priority="2772">
      <formula>MOD(ROW(),2)=0</formula>
    </cfRule>
  </conditionalFormatting>
  <conditionalFormatting sqref="AC15:AC16 AC12:AC13">
    <cfRule type="expression" dxfId="2785" priority="2771">
      <formula>MOD(ROW(),2)=0</formula>
    </cfRule>
  </conditionalFormatting>
  <conditionalFormatting sqref="AC14 AC17:AC21">
    <cfRule type="expression" dxfId="2784" priority="2770">
      <formula>MOD(ROW(),2)=0</formula>
    </cfRule>
  </conditionalFormatting>
  <conditionalFormatting sqref="AC11">
    <cfRule type="expression" dxfId="2783" priority="2769">
      <formula>MOD(ROW(),2)=0</formula>
    </cfRule>
  </conditionalFormatting>
  <conditionalFormatting sqref="AC22">
    <cfRule type="expression" dxfId="2782" priority="2768">
      <formula>MOD(ROW(),2)=0</formula>
    </cfRule>
  </conditionalFormatting>
  <conditionalFormatting sqref="AC10">
    <cfRule type="expression" dxfId="2781" priority="2767">
      <formula>MOD(ROW(),2)=0</formula>
    </cfRule>
  </conditionalFormatting>
  <conditionalFormatting sqref="AC9">
    <cfRule type="expression" dxfId="2780" priority="2766">
      <formula>MOD(ROW(),2)=0</formula>
    </cfRule>
  </conditionalFormatting>
  <conditionalFormatting sqref="AC8">
    <cfRule type="expression" dxfId="2779" priority="2765">
      <formula>MOD(ROW(),2)=0</formula>
    </cfRule>
  </conditionalFormatting>
  <conditionalFormatting sqref="AC15:AC16 AC12:AC13">
    <cfRule type="expression" dxfId="2778" priority="2764">
      <formula>MOD(ROW(),2)=0</formula>
    </cfRule>
  </conditionalFormatting>
  <conditionalFormatting sqref="AC14 AC17:AC21">
    <cfRule type="expression" dxfId="2777" priority="2763">
      <formula>MOD(ROW(),2)=0</formula>
    </cfRule>
  </conditionalFormatting>
  <conditionalFormatting sqref="AC11">
    <cfRule type="expression" dxfId="2776" priority="2762">
      <formula>MOD(ROW(),2)=0</formula>
    </cfRule>
  </conditionalFormatting>
  <conditionalFormatting sqref="AC22">
    <cfRule type="expression" dxfId="2775" priority="2761">
      <formula>MOD(ROW(),2)=0</formula>
    </cfRule>
  </conditionalFormatting>
  <conditionalFormatting sqref="AC10">
    <cfRule type="expression" dxfId="2774" priority="2760">
      <formula>MOD(ROW(),2)=0</formula>
    </cfRule>
  </conditionalFormatting>
  <conditionalFormatting sqref="AC9">
    <cfRule type="expression" dxfId="2773" priority="2759">
      <formula>MOD(ROW(),2)=0</formula>
    </cfRule>
  </conditionalFormatting>
  <conditionalFormatting sqref="AC8">
    <cfRule type="expression" dxfId="2772" priority="2758">
      <formula>MOD(ROW(),2)=0</formula>
    </cfRule>
  </conditionalFormatting>
  <conditionalFormatting sqref="AC15:AC16 AC12:AC13">
    <cfRule type="expression" dxfId="2771" priority="2757">
      <formula>MOD(ROW(),2)=0</formula>
    </cfRule>
  </conditionalFormatting>
  <conditionalFormatting sqref="AC14 AC17:AC21">
    <cfRule type="expression" dxfId="2770" priority="2756">
      <formula>MOD(ROW(),2)=0</formula>
    </cfRule>
  </conditionalFormatting>
  <conditionalFormatting sqref="AC11">
    <cfRule type="expression" dxfId="2769" priority="2755">
      <formula>MOD(ROW(),2)=0</formula>
    </cfRule>
  </conditionalFormatting>
  <conditionalFormatting sqref="AC10">
    <cfRule type="expression" dxfId="2768" priority="2754">
      <formula>MOD(ROW(),2)=0</formula>
    </cfRule>
  </conditionalFormatting>
  <conditionalFormatting sqref="AC22">
    <cfRule type="expression" dxfId="2767" priority="2753">
      <formula>MOD(ROW(),2)=0</formula>
    </cfRule>
  </conditionalFormatting>
  <conditionalFormatting sqref="AC9">
    <cfRule type="expression" dxfId="2766" priority="2752">
      <formula>MOD(ROW(),2)=0</formula>
    </cfRule>
  </conditionalFormatting>
  <conditionalFormatting sqref="AC8">
    <cfRule type="expression" dxfId="2765" priority="2751">
      <formula>MOD(ROW(),2)=0</formula>
    </cfRule>
  </conditionalFormatting>
  <conditionalFormatting sqref="AC15:AC16 AC12:AC13">
    <cfRule type="expression" dxfId="2764" priority="2750">
      <formula>MOD(ROW(),2)=0</formula>
    </cfRule>
  </conditionalFormatting>
  <conditionalFormatting sqref="AC14 AC17:AC21">
    <cfRule type="expression" dxfId="2763" priority="2749">
      <formula>MOD(ROW(),2)=0</formula>
    </cfRule>
  </conditionalFormatting>
  <conditionalFormatting sqref="AC11">
    <cfRule type="expression" dxfId="2762" priority="2748">
      <formula>MOD(ROW(),2)=0</formula>
    </cfRule>
  </conditionalFormatting>
  <conditionalFormatting sqref="AC22">
    <cfRule type="expression" dxfId="2761" priority="2747">
      <formula>MOD(ROW(),2)=0</formula>
    </cfRule>
  </conditionalFormatting>
  <conditionalFormatting sqref="AC10">
    <cfRule type="expression" dxfId="2760" priority="2746">
      <formula>MOD(ROW(),2)=0</formula>
    </cfRule>
  </conditionalFormatting>
  <conditionalFormatting sqref="AC9">
    <cfRule type="expression" dxfId="2759" priority="2745">
      <formula>MOD(ROW(),2)=0</formula>
    </cfRule>
  </conditionalFormatting>
  <conditionalFormatting sqref="AC8">
    <cfRule type="expression" dxfId="2758" priority="2744">
      <formula>MOD(ROW(),2)=0</formula>
    </cfRule>
  </conditionalFormatting>
  <conditionalFormatting sqref="AC15:AC16 AC12:AC13">
    <cfRule type="expression" dxfId="2757" priority="2743">
      <formula>MOD(ROW(),2)=0</formula>
    </cfRule>
  </conditionalFormatting>
  <conditionalFormatting sqref="AC14 AC17:AC21">
    <cfRule type="expression" dxfId="2756" priority="2742">
      <formula>MOD(ROW(),2)=0</formula>
    </cfRule>
  </conditionalFormatting>
  <conditionalFormatting sqref="AC11">
    <cfRule type="expression" dxfId="2755" priority="2741">
      <formula>MOD(ROW(),2)=0</formula>
    </cfRule>
  </conditionalFormatting>
  <conditionalFormatting sqref="AC22">
    <cfRule type="expression" dxfId="2754" priority="2740">
      <formula>MOD(ROW(),2)=0</formula>
    </cfRule>
  </conditionalFormatting>
  <conditionalFormatting sqref="AC10">
    <cfRule type="expression" dxfId="2753" priority="2739">
      <formula>MOD(ROW(),2)=0</formula>
    </cfRule>
  </conditionalFormatting>
  <conditionalFormatting sqref="AC9">
    <cfRule type="expression" dxfId="2752" priority="2738">
      <formula>MOD(ROW(),2)=0</formula>
    </cfRule>
  </conditionalFormatting>
  <conditionalFormatting sqref="AC8">
    <cfRule type="expression" dxfId="2751" priority="2737">
      <formula>MOD(ROW(),2)=0</formula>
    </cfRule>
  </conditionalFormatting>
  <conditionalFormatting sqref="AC15:AC16 AC12:AC13">
    <cfRule type="expression" dxfId="2750" priority="2736">
      <formula>MOD(ROW(),2)=0</formula>
    </cfRule>
  </conditionalFormatting>
  <conditionalFormatting sqref="AC14 AC17:AC21">
    <cfRule type="expression" dxfId="2749" priority="2735">
      <formula>MOD(ROW(),2)=0</formula>
    </cfRule>
  </conditionalFormatting>
  <conditionalFormatting sqref="AC11">
    <cfRule type="expression" dxfId="2748" priority="2734">
      <formula>MOD(ROW(),2)=0</formula>
    </cfRule>
  </conditionalFormatting>
  <conditionalFormatting sqref="AC22">
    <cfRule type="expression" dxfId="2747" priority="2733">
      <formula>MOD(ROW(),2)=0</formula>
    </cfRule>
  </conditionalFormatting>
  <conditionalFormatting sqref="AC10">
    <cfRule type="expression" dxfId="2746" priority="2732">
      <formula>MOD(ROW(),2)=0</formula>
    </cfRule>
  </conditionalFormatting>
  <conditionalFormatting sqref="AC9">
    <cfRule type="expression" dxfId="2745" priority="2731">
      <formula>MOD(ROW(),2)=0</formula>
    </cfRule>
  </conditionalFormatting>
  <conditionalFormatting sqref="AC8">
    <cfRule type="expression" dxfId="2744" priority="2730">
      <formula>MOD(ROW(),2)=0</formula>
    </cfRule>
  </conditionalFormatting>
  <conditionalFormatting sqref="AC15:AC16 AC12:AC13">
    <cfRule type="expression" dxfId="2743" priority="2729">
      <formula>MOD(ROW(),2)=0</formula>
    </cfRule>
  </conditionalFormatting>
  <conditionalFormatting sqref="AC14 AC17:AC21">
    <cfRule type="expression" dxfId="2742" priority="2728">
      <formula>MOD(ROW(),2)=0</formula>
    </cfRule>
  </conditionalFormatting>
  <conditionalFormatting sqref="AC11">
    <cfRule type="expression" dxfId="2741" priority="2727">
      <formula>MOD(ROW(),2)=0</formula>
    </cfRule>
  </conditionalFormatting>
  <conditionalFormatting sqref="AC22">
    <cfRule type="expression" dxfId="2740" priority="2726">
      <formula>MOD(ROW(),2)=0</formula>
    </cfRule>
  </conditionalFormatting>
  <conditionalFormatting sqref="AC10">
    <cfRule type="expression" dxfId="2739" priority="2725">
      <formula>MOD(ROW(),2)=0</formula>
    </cfRule>
  </conditionalFormatting>
  <conditionalFormatting sqref="AC9">
    <cfRule type="expression" dxfId="2738" priority="2724">
      <formula>MOD(ROW(),2)=0</formula>
    </cfRule>
  </conditionalFormatting>
  <conditionalFormatting sqref="AC8">
    <cfRule type="expression" dxfId="2737" priority="2723">
      <formula>MOD(ROW(),2)=0</formula>
    </cfRule>
  </conditionalFormatting>
  <conditionalFormatting sqref="AC15:AC16 AC12:AC13">
    <cfRule type="expression" dxfId="2736" priority="2722">
      <formula>MOD(ROW(),2)=0</formula>
    </cfRule>
  </conditionalFormatting>
  <conditionalFormatting sqref="AC14 AC17:AC21">
    <cfRule type="expression" dxfId="2735" priority="2721">
      <formula>MOD(ROW(),2)=0</formula>
    </cfRule>
  </conditionalFormatting>
  <conditionalFormatting sqref="AC11">
    <cfRule type="expression" dxfId="2734" priority="2720">
      <formula>MOD(ROW(),2)=0</formula>
    </cfRule>
  </conditionalFormatting>
  <conditionalFormatting sqref="AC22">
    <cfRule type="expression" dxfId="2733" priority="2719">
      <formula>MOD(ROW(),2)=0</formula>
    </cfRule>
  </conditionalFormatting>
  <conditionalFormatting sqref="AC10">
    <cfRule type="expression" dxfId="2732" priority="2718">
      <formula>MOD(ROW(),2)=0</formula>
    </cfRule>
  </conditionalFormatting>
  <conditionalFormatting sqref="AC9">
    <cfRule type="expression" dxfId="2731" priority="2717">
      <formula>MOD(ROW(),2)=0</formula>
    </cfRule>
  </conditionalFormatting>
  <conditionalFormatting sqref="AC8">
    <cfRule type="expression" dxfId="2730" priority="2716">
      <formula>MOD(ROW(),2)=0</formula>
    </cfRule>
  </conditionalFormatting>
  <conditionalFormatting sqref="AC15:AC16 AC12:AC13">
    <cfRule type="expression" dxfId="2729" priority="2715">
      <formula>MOD(ROW(),2)=0</formula>
    </cfRule>
  </conditionalFormatting>
  <conditionalFormatting sqref="AC14 AC17:AC21">
    <cfRule type="expression" dxfId="2728" priority="2714">
      <formula>MOD(ROW(),2)=0</formula>
    </cfRule>
  </conditionalFormatting>
  <conditionalFormatting sqref="AC11">
    <cfRule type="expression" dxfId="2727" priority="2713">
      <formula>MOD(ROW(),2)=0</formula>
    </cfRule>
  </conditionalFormatting>
  <conditionalFormatting sqref="AC22">
    <cfRule type="expression" dxfId="2726" priority="2712">
      <formula>MOD(ROW(),2)=0</formula>
    </cfRule>
  </conditionalFormatting>
  <conditionalFormatting sqref="AC10">
    <cfRule type="expression" dxfId="2725" priority="2711">
      <formula>MOD(ROW(),2)=0</formula>
    </cfRule>
  </conditionalFormatting>
  <conditionalFormatting sqref="AC9">
    <cfRule type="expression" dxfId="2724" priority="2710">
      <formula>MOD(ROW(),2)=0</formula>
    </cfRule>
  </conditionalFormatting>
  <conditionalFormatting sqref="AC8">
    <cfRule type="expression" dxfId="2723" priority="2709">
      <formula>MOD(ROW(),2)=0</formula>
    </cfRule>
  </conditionalFormatting>
  <conditionalFormatting sqref="AC15:AC16 AC12:AC13">
    <cfRule type="expression" dxfId="2722" priority="2708">
      <formula>MOD(ROW(),2)=0</formula>
    </cfRule>
  </conditionalFormatting>
  <conditionalFormatting sqref="AC14 AC17:AC21">
    <cfRule type="expression" dxfId="2721" priority="2707">
      <formula>MOD(ROW(),2)=0</formula>
    </cfRule>
  </conditionalFormatting>
  <conditionalFormatting sqref="AC11">
    <cfRule type="expression" dxfId="2720" priority="2706">
      <formula>MOD(ROW(),2)=0</formula>
    </cfRule>
  </conditionalFormatting>
  <conditionalFormatting sqref="AC22">
    <cfRule type="expression" dxfId="2719" priority="2705">
      <formula>MOD(ROW(),2)=0</formula>
    </cfRule>
  </conditionalFormatting>
  <conditionalFormatting sqref="AC10">
    <cfRule type="expression" dxfId="2718" priority="2704">
      <formula>MOD(ROW(),2)=0</formula>
    </cfRule>
  </conditionalFormatting>
  <conditionalFormatting sqref="AC9">
    <cfRule type="expression" dxfId="2717" priority="2703">
      <formula>MOD(ROW(),2)=0</formula>
    </cfRule>
  </conditionalFormatting>
  <conditionalFormatting sqref="AC8">
    <cfRule type="expression" dxfId="2716" priority="2702">
      <formula>MOD(ROW(),2)=0</formula>
    </cfRule>
  </conditionalFormatting>
  <conditionalFormatting sqref="AC15:AC16 AC12:AC13">
    <cfRule type="expression" dxfId="2715" priority="2701">
      <formula>MOD(ROW(),2)=0</formula>
    </cfRule>
  </conditionalFormatting>
  <conditionalFormatting sqref="AC14 AC17:AC21">
    <cfRule type="expression" dxfId="2714" priority="2700">
      <formula>MOD(ROW(),2)=0</formula>
    </cfRule>
  </conditionalFormatting>
  <conditionalFormatting sqref="AC11">
    <cfRule type="expression" dxfId="2713" priority="2699">
      <formula>MOD(ROW(),2)=0</formula>
    </cfRule>
  </conditionalFormatting>
  <conditionalFormatting sqref="AC10">
    <cfRule type="expression" dxfId="2712" priority="2698">
      <formula>MOD(ROW(),2)=0</formula>
    </cfRule>
  </conditionalFormatting>
  <conditionalFormatting sqref="AC22">
    <cfRule type="expression" dxfId="2711" priority="2697">
      <formula>MOD(ROW(),2)=0</formula>
    </cfRule>
  </conditionalFormatting>
  <conditionalFormatting sqref="AC9">
    <cfRule type="expression" dxfId="2710" priority="2696">
      <formula>MOD(ROW(),2)=0</formula>
    </cfRule>
  </conditionalFormatting>
  <conditionalFormatting sqref="AC8">
    <cfRule type="expression" dxfId="2709" priority="2695">
      <formula>MOD(ROW(),2)=0</formula>
    </cfRule>
  </conditionalFormatting>
  <conditionalFormatting sqref="AC15:AC16 AC12:AC13">
    <cfRule type="expression" dxfId="2708" priority="2694">
      <formula>MOD(ROW(),2)=0</formula>
    </cfRule>
  </conditionalFormatting>
  <conditionalFormatting sqref="AC14 AC17:AC21">
    <cfRule type="expression" dxfId="2707" priority="2693">
      <formula>MOD(ROW(),2)=0</formula>
    </cfRule>
  </conditionalFormatting>
  <conditionalFormatting sqref="AC11">
    <cfRule type="expression" dxfId="2706" priority="2692">
      <formula>MOD(ROW(),2)=0</formula>
    </cfRule>
  </conditionalFormatting>
  <conditionalFormatting sqref="AC22">
    <cfRule type="expression" dxfId="2705" priority="2691">
      <formula>MOD(ROW(),2)=0</formula>
    </cfRule>
  </conditionalFormatting>
  <conditionalFormatting sqref="AC10">
    <cfRule type="expression" dxfId="2704" priority="2690">
      <formula>MOD(ROW(),2)=0</formula>
    </cfRule>
  </conditionalFormatting>
  <conditionalFormatting sqref="AD9">
    <cfRule type="expression" dxfId="2703" priority="2689">
      <formula>MOD(ROW(),2)=0</formula>
    </cfRule>
  </conditionalFormatting>
  <conditionalFormatting sqref="AD8">
    <cfRule type="expression" dxfId="2702" priority="2688">
      <formula>MOD(ROW(),2)=0</formula>
    </cfRule>
  </conditionalFormatting>
  <conditionalFormatting sqref="AD15:AD16 AD12:AD13">
    <cfRule type="expression" dxfId="2701" priority="2687">
      <formula>MOD(ROW(),2)=0</formula>
    </cfRule>
  </conditionalFormatting>
  <conditionalFormatting sqref="AD14 AD17:AD21">
    <cfRule type="expression" dxfId="2700" priority="2686">
      <formula>MOD(ROW(),2)=0</formula>
    </cfRule>
  </conditionalFormatting>
  <conditionalFormatting sqref="AD11">
    <cfRule type="expression" dxfId="2699" priority="2685">
      <formula>MOD(ROW(),2)=0</formula>
    </cfRule>
  </conditionalFormatting>
  <conditionalFormatting sqref="AD22">
    <cfRule type="expression" dxfId="2698" priority="2684">
      <formula>MOD(ROW(),2)=0</formula>
    </cfRule>
  </conditionalFormatting>
  <conditionalFormatting sqref="AD10">
    <cfRule type="expression" dxfId="2697" priority="2683">
      <formula>MOD(ROW(),2)=0</formula>
    </cfRule>
  </conditionalFormatting>
  <conditionalFormatting sqref="AD9">
    <cfRule type="expression" dxfId="2696" priority="2682">
      <formula>MOD(ROW(),2)=0</formula>
    </cfRule>
  </conditionalFormatting>
  <conditionalFormatting sqref="AD8">
    <cfRule type="expression" dxfId="2695" priority="2681">
      <formula>MOD(ROW(),2)=0</formula>
    </cfRule>
  </conditionalFormatting>
  <conditionalFormatting sqref="AD15:AD16 AD12:AD13">
    <cfRule type="expression" dxfId="2694" priority="2680">
      <formula>MOD(ROW(),2)=0</formula>
    </cfRule>
  </conditionalFormatting>
  <conditionalFormatting sqref="AD14 AD17:AD21">
    <cfRule type="expression" dxfId="2693" priority="2679">
      <formula>MOD(ROW(),2)=0</formula>
    </cfRule>
  </conditionalFormatting>
  <conditionalFormatting sqref="AD11">
    <cfRule type="expression" dxfId="2692" priority="2678">
      <formula>MOD(ROW(),2)=0</formula>
    </cfRule>
  </conditionalFormatting>
  <conditionalFormatting sqref="AD22">
    <cfRule type="expression" dxfId="2691" priority="2677">
      <formula>MOD(ROW(),2)=0</formula>
    </cfRule>
  </conditionalFormatting>
  <conditionalFormatting sqref="AD10">
    <cfRule type="expression" dxfId="2690" priority="2676">
      <formula>MOD(ROW(),2)=0</formula>
    </cfRule>
  </conditionalFormatting>
  <conditionalFormatting sqref="AD9">
    <cfRule type="expression" dxfId="2689" priority="2675">
      <formula>MOD(ROW(),2)=0</formula>
    </cfRule>
  </conditionalFormatting>
  <conditionalFormatting sqref="AD8">
    <cfRule type="expression" dxfId="2688" priority="2674">
      <formula>MOD(ROW(),2)=0</formula>
    </cfRule>
  </conditionalFormatting>
  <conditionalFormatting sqref="AD15:AD16 AD12:AD13">
    <cfRule type="expression" dxfId="2687" priority="2673">
      <formula>MOD(ROW(),2)=0</formula>
    </cfRule>
  </conditionalFormatting>
  <conditionalFormatting sqref="AD14 AD17:AD21">
    <cfRule type="expression" dxfId="2686" priority="2672">
      <formula>MOD(ROW(),2)=0</formula>
    </cfRule>
  </conditionalFormatting>
  <conditionalFormatting sqref="AD11">
    <cfRule type="expression" dxfId="2685" priority="2671">
      <formula>MOD(ROW(),2)=0</formula>
    </cfRule>
  </conditionalFormatting>
  <conditionalFormatting sqref="AD22">
    <cfRule type="expression" dxfId="2684" priority="2670">
      <formula>MOD(ROW(),2)=0</formula>
    </cfRule>
  </conditionalFormatting>
  <conditionalFormatting sqref="AD10">
    <cfRule type="expression" dxfId="2683" priority="2669">
      <formula>MOD(ROW(),2)=0</formula>
    </cfRule>
  </conditionalFormatting>
  <conditionalFormatting sqref="AD9">
    <cfRule type="expression" dxfId="2682" priority="2668">
      <formula>MOD(ROW(),2)=0</formula>
    </cfRule>
  </conditionalFormatting>
  <conditionalFormatting sqref="AD8">
    <cfRule type="expression" dxfId="2681" priority="2667">
      <formula>MOD(ROW(),2)=0</formula>
    </cfRule>
  </conditionalFormatting>
  <conditionalFormatting sqref="AD15:AD16 AD12:AD13">
    <cfRule type="expression" dxfId="2680" priority="2666">
      <formula>MOD(ROW(),2)=0</formula>
    </cfRule>
  </conditionalFormatting>
  <conditionalFormatting sqref="AD14 AD17:AD21">
    <cfRule type="expression" dxfId="2679" priority="2665">
      <formula>MOD(ROW(),2)=0</formula>
    </cfRule>
  </conditionalFormatting>
  <conditionalFormatting sqref="AD11">
    <cfRule type="expression" dxfId="2678" priority="2664">
      <formula>MOD(ROW(),2)=0</formula>
    </cfRule>
  </conditionalFormatting>
  <conditionalFormatting sqref="AD22">
    <cfRule type="expression" dxfId="2677" priority="2663">
      <formula>MOD(ROW(),2)=0</formula>
    </cfRule>
  </conditionalFormatting>
  <conditionalFormatting sqref="AD10">
    <cfRule type="expression" dxfId="2676" priority="2662">
      <formula>MOD(ROW(),2)=0</formula>
    </cfRule>
  </conditionalFormatting>
  <conditionalFormatting sqref="AD9">
    <cfRule type="expression" dxfId="2675" priority="2661">
      <formula>MOD(ROW(),2)=0</formula>
    </cfRule>
  </conditionalFormatting>
  <conditionalFormatting sqref="AD8">
    <cfRule type="expression" dxfId="2674" priority="2660">
      <formula>MOD(ROW(),2)=0</formula>
    </cfRule>
  </conditionalFormatting>
  <conditionalFormatting sqref="AD15:AD16 AD12:AD13">
    <cfRule type="expression" dxfId="2673" priority="2659">
      <formula>MOD(ROW(),2)=0</formula>
    </cfRule>
  </conditionalFormatting>
  <conditionalFormatting sqref="AD14 AD17:AD21">
    <cfRule type="expression" dxfId="2672" priority="2658">
      <formula>MOD(ROW(),2)=0</formula>
    </cfRule>
  </conditionalFormatting>
  <conditionalFormatting sqref="AD11">
    <cfRule type="expression" dxfId="2671" priority="2657">
      <formula>MOD(ROW(),2)=0</formula>
    </cfRule>
  </conditionalFormatting>
  <conditionalFormatting sqref="AD22">
    <cfRule type="expression" dxfId="2670" priority="2656">
      <formula>MOD(ROW(),2)=0</formula>
    </cfRule>
  </conditionalFormatting>
  <conditionalFormatting sqref="AD10">
    <cfRule type="expression" dxfId="2669" priority="2655">
      <formula>MOD(ROW(),2)=0</formula>
    </cfRule>
  </conditionalFormatting>
  <conditionalFormatting sqref="AD9">
    <cfRule type="expression" dxfId="2668" priority="2654">
      <formula>MOD(ROW(),2)=0</formula>
    </cfRule>
  </conditionalFormatting>
  <conditionalFormatting sqref="AD8">
    <cfRule type="expression" dxfId="2667" priority="2653">
      <formula>MOD(ROW(),2)=0</formula>
    </cfRule>
  </conditionalFormatting>
  <conditionalFormatting sqref="AD15:AD16 AD12:AD13">
    <cfRule type="expression" dxfId="2666" priority="2652">
      <formula>MOD(ROW(),2)=0</formula>
    </cfRule>
  </conditionalFormatting>
  <conditionalFormatting sqref="AD14 AD17:AD21">
    <cfRule type="expression" dxfId="2665" priority="2651">
      <formula>MOD(ROW(),2)=0</formula>
    </cfRule>
  </conditionalFormatting>
  <conditionalFormatting sqref="AD11">
    <cfRule type="expression" dxfId="2664" priority="2650">
      <formula>MOD(ROW(),2)=0</formula>
    </cfRule>
  </conditionalFormatting>
  <conditionalFormatting sqref="AD22">
    <cfRule type="expression" dxfId="2663" priority="2649">
      <formula>MOD(ROW(),2)=0</formula>
    </cfRule>
  </conditionalFormatting>
  <conditionalFormatting sqref="AD10">
    <cfRule type="expression" dxfId="2662" priority="2648">
      <formula>MOD(ROW(),2)=0</formula>
    </cfRule>
  </conditionalFormatting>
  <conditionalFormatting sqref="AD9">
    <cfRule type="expression" dxfId="2661" priority="2647">
      <formula>MOD(ROW(),2)=0</formula>
    </cfRule>
  </conditionalFormatting>
  <conditionalFormatting sqref="AD8">
    <cfRule type="expression" dxfId="2660" priority="2646">
      <formula>MOD(ROW(),2)=0</formula>
    </cfRule>
  </conditionalFormatting>
  <conditionalFormatting sqref="AD15:AD16 AD12:AD13">
    <cfRule type="expression" dxfId="2659" priority="2645">
      <formula>MOD(ROW(),2)=0</formula>
    </cfRule>
  </conditionalFormatting>
  <conditionalFormatting sqref="AD14 AD17:AD21">
    <cfRule type="expression" dxfId="2658" priority="2644">
      <formula>MOD(ROW(),2)=0</formula>
    </cfRule>
  </conditionalFormatting>
  <conditionalFormatting sqref="AD11">
    <cfRule type="expression" dxfId="2657" priority="2643">
      <formula>MOD(ROW(),2)=0</formula>
    </cfRule>
  </conditionalFormatting>
  <conditionalFormatting sqref="AD10">
    <cfRule type="expression" dxfId="2656" priority="2642">
      <formula>MOD(ROW(),2)=0</formula>
    </cfRule>
  </conditionalFormatting>
  <conditionalFormatting sqref="AD22">
    <cfRule type="expression" dxfId="2655" priority="2641">
      <formula>MOD(ROW(),2)=0</formula>
    </cfRule>
  </conditionalFormatting>
  <conditionalFormatting sqref="AD9">
    <cfRule type="expression" dxfId="2654" priority="2640">
      <formula>MOD(ROW(),2)=0</formula>
    </cfRule>
  </conditionalFormatting>
  <conditionalFormatting sqref="AD8">
    <cfRule type="expression" dxfId="2653" priority="2639">
      <formula>MOD(ROW(),2)=0</formula>
    </cfRule>
  </conditionalFormatting>
  <conditionalFormatting sqref="AD15:AD16 AD12:AD13">
    <cfRule type="expression" dxfId="2652" priority="2638">
      <formula>MOD(ROW(),2)=0</formula>
    </cfRule>
  </conditionalFormatting>
  <conditionalFormatting sqref="AD14 AD17:AD21">
    <cfRule type="expression" dxfId="2651" priority="2637">
      <formula>MOD(ROW(),2)=0</formula>
    </cfRule>
  </conditionalFormatting>
  <conditionalFormatting sqref="AD11">
    <cfRule type="expression" dxfId="2650" priority="2636">
      <formula>MOD(ROW(),2)=0</formula>
    </cfRule>
  </conditionalFormatting>
  <conditionalFormatting sqref="AD22">
    <cfRule type="expression" dxfId="2649" priority="2635">
      <formula>MOD(ROW(),2)=0</formula>
    </cfRule>
  </conditionalFormatting>
  <conditionalFormatting sqref="AD10">
    <cfRule type="expression" dxfId="2648" priority="2634">
      <formula>MOD(ROW(),2)=0</formula>
    </cfRule>
  </conditionalFormatting>
  <conditionalFormatting sqref="AD9">
    <cfRule type="expression" dxfId="2647" priority="2633">
      <formula>MOD(ROW(),2)=0</formula>
    </cfRule>
  </conditionalFormatting>
  <conditionalFormatting sqref="AD8">
    <cfRule type="expression" dxfId="2646" priority="2632">
      <formula>MOD(ROW(),2)=0</formula>
    </cfRule>
  </conditionalFormatting>
  <conditionalFormatting sqref="AD15:AD16 AD12:AD13">
    <cfRule type="expression" dxfId="2645" priority="2631">
      <formula>MOD(ROW(),2)=0</formula>
    </cfRule>
  </conditionalFormatting>
  <conditionalFormatting sqref="AD14 AD17:AD21">
    <cfRule type="expression" dxfId="2644" priority="2630">
      <formula>MOD(ROW(),2)=0</formula>
    </cfRule>
  </conditionalFormatting>
  <conditionalFormatting sqref="AD11">
    <cfRule type="expression" dxfId="2643" priority="2629">
      <formula>MOD(ROW(),2)=0</formula>
    </cfRule>
  </conditionalFormatting>
  <conditionalFormatting sqref="AD22">
    <cfRule type="expression" dxfId="2642" priority="2628">
      <formula>MOD(ROW(),2)=0</formula>
    </cfRule>
  </conditionalFormatting>
  <conditionalFormatting sqref="AD10">
    <cfRule type="expression" dxfId="2641" priority="2627">
      <formula>MOD(ROW(),2)=0</formula>
    </cfRule>
  </conditionalFormatting>
  <conditionalFormatting sqref="AD9">
    <cfRule type="expression" dxfId="2640" priority="2626">
      <formula>MOD(ROW(),2)=0</formula>
    </cfRule>
  </conditionalFormatting>
  <conditionalFormatting sqref="AD8">
    <cfRule type="expression" dxfId="2639" priority="2625">
      <formula>MOD(ROW(),2)=0</formula>
    </cfRule>
  </conditionalFormatting>
  <conditionalFormatting sqref="AD15:AD16 AD12:AD13">
    <cfRule type="expression" dxfId="2638" priority="2624">
      <formula>MOD(ROW(),2)=0</formula>
    </cfRule>
  </conditionalFormatting>
  <conditionalFormatting sqref="AD14 AD17:AD21">
    <cfRule type="expression" dxfId="2637" priority="2623">
      <formula>MOD(ROW(),2)=0</formula>
    </cfRule>
  </conditionalFormatting>
  <conditionalFormatting sqref="AD11">
    <cfRule type="expression" dxfId="2636" priority="2622">
      <formula>MOD(ROW(),2)=0</formula>
    </cfRule>
  </conditionalFormatting>
  <conditionalFormatting sqref="AD22">
    <cfRule type="expression" dxfId="2635" priority="2621">
      <formula>MOD(ROW(),2)=0</formula>
    </cfRule>
  </conditionalFormatting>
  <conditionalFormatting sqref="AD10">
    <cfRule type="expression" dxfId="2634" priority="2620">
      <formula>MOD(ROW(),2)=0</formula>
    </cfRule>
  </conditionalFormatting>
  <conditionalFormatting sqref="AD9">
    <cfRule type="expression" dxfId="2633" priority="2619">
      <formula>MOD(ROW(),2)=0</formula>
    </cfRule>
  </conditionalFormatting>
  <conditionalFormatting sqref="AD8">
    <cfRule type="expression" dxfId="2632" priority="2618">
      <formula>MOD(ROW(),2)=0</formula>
    </cfRule>
  </conditionalFormatting>
  <conditionalFormatting sqref="AD15:AD16 AD12:AD13">
    <cfRule type="expression" dxfId="2631" priority="2617">
      <formula>MOD(ROW(),2)=0</formula>
    </cfRule>
  </conditionalFormatting>
  <conditionalFormatting sqref="AD14 AD17:AD21">
    <cfRule type="expression" dxfId="2630" priority="2616">
      <formula>MOD(ROW(),2)=0</formula>
    </cfRule>
  </conditionalFormatting>
  <conditionalFormatting sqref="AD11">
    <cfRule type="expression" dxfId="2629" priority="2615">
      <formula>MOD(ROW(),2)=0</formula>
    </cfRule>
  </conditionalFormatting>
  <conditionalFormatting sqref="AD22">
    <cfRule type="expression" dxfId="2628" priority="2614">
      <formula>MOD(ROW(),2)=0</formula>
    </cfRule>
  </conditionalFormatting>
  <conditionalFormatting sqref="AD10">
    <cfRule type="expression" dxfId="2627" priority="2613">
      <formula>MOD(ROW(),2)=0</formula>
    </cfRule>
  </conditionalFormatting>
  <conditionalFormatting sqref="AD9">
    <cfRule type="expression" dxfId="2626" priority="2612">
      <formula>MOD(ROW(),2)=0</formula>
    </cfRule>
  </conditionalFormatting>
  <conditionalFormatting sqref="AD8">
    <cfRule type="expression" dxfId="2625" priority="2611">
      <formula>MOD(ROW(),2)=0</formula>
    </cfRule>
  </conditionalFormatting>
  <conditionalFormatting sqref="AD15:AD16 AD12:AD13">
    <cfRule type="expression" dxfId="2624" priority="2610">
      <formula>MOD(ROW(),2)=0</formula>
    </cfRule>
  </conditionalFormatting>
  <conditionalFormatting sqref="AD14 AD17:AD21">
    <cfRule type="expression" dxfId="2623" priority="2609">
      <formula>MOD(ROW(),2)=0</formula>
    </cfRule>
  </conditionalFormatting>
  <conditionalFormatting sqref="AD11">
    <cfRule type="expression" dxfId="2622" priority="2608">
      <formula>MOD(ROW(),2)=0</formula>
    </cfRule>
  </conditionalFormatting>
  <conditionalFormatting sqref="AD22">
    <cfRule type="expression" dxfId="2621" priority="2607">
      <formula>MOD(ROW(),2)=0</formula>
    </cfRule>
  </conditionalFormatting>
  <conditionalFormatting sqref="AD10">
    <cfRule type="expression" dxfId="2620" priority="2606">
      <formula>MOD(ROW(),2)=0</formula>
    </cfRule>
  </conditionalFormatting>
  <conditionalFormatting sqref="AD9">
    <cfRule type="expression" dxfId="2619" priority="2605">
      <formula>MOD(ROW(),2)=0</formula>
    </cfRule>
  </conditionalFormatting>
  <conditionalFormatting sqref="AD8">
    <cfRule type="expression" dxfId="2618" priority="2604">
      <formula>MOD(ROW(),2)=0</formula>
    </cfRule>
  </conditionalFormatting>
  <conditionalFormatting sqref="AD15:AD16 AD12:AD13">
    <cfRule type="expression" dxfId="2617" priority="2603">
      <formula>MOD(ROW(),2)=0</formula>
    </cfRule>
  </conditionalFormatting>
  <conditionalFormatting sqref="AD14 AD17:AD21">
    <cfRule type="expression" dxfId="2616" priority="2602">
      <formula>MOD(ROW(),2)=0</formula>
    </cfRule>
  </conditionalFormatting>
  <conditionalFormatting sqref="AD11">
    <cfRule type="expression" dxfId="2615" priority="2601">
      <formula>MOD(ROW(),2)=0</formula>
    </cfRule>
  </conditionalFormatting>
  <conditionalFormatting sqref="AD22">
    <cfRule type="expression" dxfId="2614" priority="2600">
      <formula>MOD(ROW(),2)=0</formula>
    </cfRule>
  </conditionalFormatting>
  <conditionalFormatting sqref="AD10">
    <cfRule type="expression" dxfId="2613" priority="2599">
      <formula>MOD(ROW(),2)=0</formula>
    </cfRule>
  </conditionalFormatting>
  <conditionalFormatting sqref="AD9">
    <cfRule type="expression" dxfId="2612" priority="2598">
      <formula>MOD(ROW(),2)=0</formula>
    </cfRule>
  </conditionalFormatting>
  <conditionalFormatting sqref="AD8">
    <cfRule type="expression" dxfId="2611" priority="2597">
      <formula>MOD(ROW(),2)=0</formula>
    </cfRule>
  </conditionalFormatting>
  <conditionalFormatting sqref="AD15:AD16 AD12:AD13">
    <cfRule type="expression" dxfId="2610" priority="2596">
      <formula>MOD(ROW(),2)=0</formula>
    </cfRule>
  </conditionalFormatting>
  <conditionalFormatting sqref="AD14 AD17:AD21">
    <cfRule type="expression" dxfId="2609" priority="2595">
      <formula>MOD(ROW(),2)=0</formula>
    </cfRule>
  </conditionalFormatting>
  <conditionalFormatting sqref="AD11">
    <cfRule type="expression" dxfId="2608" priority="2594">
      <formula>MOD(ROW(),2)=0</formula>
    </cfRule>
  </conditionalFormatting>
  <conditionalFormatting sqref="AD22">
    <cfRule type="expression" dxfId="2607" priority="2593">
      <formula>MOD(ROW(),2)=0</formula>
    </cfRule>
  </conditionalFormatting>
  <conditionalFormatting sqref="AD10">
    <cfRule type="expression" dxfId="2606" priority="2592">
      <formula>MOD(ROW(),2)=0</formula>
    </cfRule>
  </conditionalFormatting>
  <conditionalFormatting sqref="AD9">
    <cfRule type="expression" dxfId="2605" priority="2591">
      <formula>MOD(ROW(),2)=0</formula>
    </cfRule>
  </conditionalFormatting>
  <conditionalFormatting sqref="AD8">
    <cfRule type="expression" dxfId="2604" priority="2590">
      <formula>MOD(ROW(),2)=0</formula>
    </cfRule>
  </conditionalFormatting>
  <conditionalFormatting sqref="AD15:AD16 AD12:AD13">
    <cfRule type="expression" dxfId="2603" priority="2589">
      <formula>MOD(ROW(),2)=0</formula>
    </cfRule>
  </conditionalFormatting>
  <conditionalFormatting sqref="AD14 AD17:AD21">
    <cfRule type="expression" dxfId="2602" priority="2588">
      <formula>MOD(ROW(),2)=0</formula>
    </cfRule>
  </conditionalFormatting>
  <conditionalFormatting sqref="AD11">
    <cfRule type="expression" dxfId="2601" priority="2587">
      <formula>MOD(ROW(),2)=0</formula>
    </cfRule>
  </conditionalFormatting>
  <conditionalFormatting sqref="AD10">
    <cfRule type="expression" dxfId="2600" priority="2586">
      <formula>MOD(ROW(),2)=0</formula>
    </cfRule>
  </conditionalFormatting>
  <conditionalFormatting sqref="AD22">
    <cfRule type="expression" dxfId="2599" priority="2585">
      <formula>MOD(ROW(),2)=0</formula>
    </cfRule>
  </conditionalFormatting>
  <conditionalFormatting sqref="AD9">
    <cfRule type="expression" dxfId="2598" priority="2584">
      <formula>MOD(ROW(),2)=0</formula>
    </cfRule>
  </conditionalFormatting>
  <conditionalFormatting sqref="AD8">
    <cfRule type="expression" dxfId="2597" priority="2583">
      <formula>MOD(ROW(),2)=0</formula>
    </cfRule>
  </conditionalFormatting>
  <conditionalFormatting sqref="AD15:AD16 AD12:AD13">
    <cfRule type="expression" dxfId="2596" priority="2582">
      <formula>MOD(ROW(),2)=0</formula>
    </cfRule>
  </conditionalFormatting>
  <conditionalFormatting sqref="AD14 AD17:AD21">
    <cfRule type="expression" dxfId="2595" priority="2581">
      <formula>MOD(ROW(),2)=0</formula>
    </cfRule>
  </conditionalFormatting>
  <conditionalFormatting sqref="AD11">
    <cfRule type="expression" dxfId="2594" priority="2580">
      <formula>MOD(ROW(),2)=0</formula>
    </cfRule>
  </conditionalFormatting>
  <conditionalFormatting sqref="AD22">
    <cfRule type="expression" dxfId="2593" priority="2579">
      <formula>MOD(ROW(),2)=0</formula>
    </cfRule>
  </conditionalFormatting>
  <conditionalFormatting sqref="AD10">
    <cfRule type="expression" dxfId="2592" priority="2578">
      <formula>MOD(ROW(),2)=0</formula>
    </cfRule>
  </conditionalFormatting>
  <conditionalFormatting sqref="D23:F102">
    <cfRule type="expression" dxfId="2591" priority="2577">
      <formula>MOD(ROW(),2)=0</formula>
    </cfRule>
  </conditionalFormatting>
  <conditionalFormatting sqref="D27:F27">
    <cfRule type="expression" dxfId="2590" priority="2576">
      <formula>D$27&gt;(D$78+D$103)</formula>
    </cfRule>
  </conditionalFormatting>
  <conditionalFormatting sqref="AA14">
    <cfRule type="expression" dxfId="2589" priority="2575">
      <formula>MOD(ROW(),2)=0</formula>
    </cfRule>
  </conditionalFormatting>
  <conditionalFormatting sqref="AA14">
    <cfRule type="expression" dxfId="2588" priority="2574">
      <formula>MOD(ROW(),2)=0</formula>
    </cfRule>
  </conditionalFormatting>
  <conditionalFormatting sqref="AA14">
    <cfRule type="expression" dxfId="2587" priority="2573">
      <formula>MOD(ROW(),2)=0</formula>
    </cfRule>
  </conditionalFormatting>
  <conditionalFormatting sqref="AA14">
    <cfRule type="expression" dxfId="2586" priority="2572">
      <formula>MOD(ROW(),2)=0</formula>
    </cfRule>
  </conditionalFormatting>
  <conditionalFormatting sqref="AA14">
    <cfRule type="expression" dxfId="2585" priority="2571">
      <formula>MOD(ROW(),2)=0</formula>
    </cfRule>
  </conditionalFormatting>
  <conditionalFormatting sqref="AA14">
    <cfRule type="expression" dxfId="2584" priority="2570">
      <formula>MOD(ROW(),2)=0</formula>
    </cfRule>
  </conditionalFormatting>
  <conditionalFormatting sqref="AA14">
    <cfRule type="expression" dxfId="2583" priority="2569">
      <formula>MOD(ROW(),2)=0</formula>
    </cfRule>
  </conditionalFormatting>
  <conditionalFormatting sqref="AA14">
    <cfRule type="expression" dxfId="2582" priority="2568">
      <formula>MOD(ROW(),2)=0</formula>
    </cfRule>
  </conditionalFormatting>
  <conditionalFormatting sqref="AA14">
    <cfRule type="expression" dxfId="2581" priority="2567">
      <formula>MOD(ROW(),2)=0</formula>
    </cfRule>
  </conditionalFormatting>
  <conditionalFormatting sqref="AA14">
    <cfRule type="expression" dxfId="2580" priority="2566">
      <formula>MOD(ROW(),2)=0</formula>
    </cfRule>
  </conditionalFormatting>
  <conditionalFormatting sqref="AA14">
    <cfRule type="expression" dxfId="2579" priority="2565">
      <formula>MOD(ROW(),2)=0</formula>
    </cfRule>
  </conditionalFormatting>
  <conditionalFormatting sqref="AA14">
    <cfRule type="expression" dxfId="2578" priority="2564">
      <formula>MOD(ROW(),2)=0</formula>
    </cfRule>
  </conditionalFormatting>
  <conditionalFormatting sqref="AA14">
    <cfRule type="expression" dxfId="2577" priority="2563">
      <formula>MOD(ROW(),2)=0</formula>
    </cfRule>
  </conditionalFormatting>
  <conditionalFormatting sqref="AA14">
    <cfRule type="expression" dxfId="2576" priority="2562">
      <formula>MOD(ROW(),2)=0</formula>
    </cfRule>
  </conditionalFormatting>
  <conditionalFormatting sqref="AA14">
    <cfRule type="expression" dxfId="2575" priority="2561">
      <formula>MOD(ROW(),2)=0</formula>
    </cfRule>
  </conditionalFormatting>
  <conditionalFormatting sqref="AA14">
    <cfRule type="expression" dxfId="2574" priority="2560">
      <formula>MOD(ROW(),2)=0</formula>
    </cfRule>
  </conditionalFormatting>
  <conditionalFormatting sqref="AA14">
    <cfRule type="expression" dxfId="2573" priority="2559">
      <formula>MOD(ROW(),2)=0</formula>
    </cfRule>
  </conditionalFormatting>
  <conditionalFormatting sqref="AA14">
    <cfRule type="expression" dxfId="2572" priority="2558">
      <formula>MOD(ROW(),2)=0</formula>
    </cfRule>
  </conditionalFormatting>
  <conditionalFormatting sqref="AA14">
    <cfRule type="expression" dxfId="2571" priority="2557">
      <formula>MOD(ROW(),2)=0</formula>
    </cfRule>
  </conditionalFormatting>
  <conditionalFormatting sqref="AA14">
    <cfRule type="expression" dxfId="2570" priority="2556">
      <formula>MOD(ROW(),2)=0</formula>
    </cfRule>
  </conditionalFormatting>
  <conditionalFormatting sqref="AA14">
    <cfRule type="expression" dxfId="2569" priority="2555">
      <formula>MOD(ROW(),2)=0</formula>
    </cfRule>
  </conditionalFormatting>
  <conditionalFormatting sqref="AA14">
    <cfRule type="expression" dxfId="2568" priority="2554">
      <formula>MOD(ROW(),2)=0</formula>
    </cfRule>
  </conditionalFormatting>
  <conditionalFormatting sqref="AA14">
    <cfRule type="expression" dxfId="2567" priority="2553">
      <formula>MOD(ROW(),2)=0</formula>
    </cfRule>
  </conditionalFormatting>
  <conditionalFormatting sqref="AA14">
    <cfRule type="expression" dxfId="2566" priority="2552">
      <formula>MOD(ROW(),2)=0</formula>
    </cfRule>
  </conditionalFormatting>
  <conditionalFormatting sqref="AA14">
    <cfRule type="expression" dxfId="2565" priority="2551">
      <formula>MOD(ROW(),2)=0</formula>
    </cfRule>
  </conditionalFormatting>
  <conditionalFormatting sqref="AA14">
    <cfRule type="expression" dxfId="2564" priority="2550">
      <formula>MOD(ROW(),2)=0</formula>
    </cfRule>
  </conditionalFormatting>
  <conditionalFormatting sqref="AA14">
    <cfRule type="expression" dxfId="2563" priority="2549">
      <formula>MOD(ROW(),2)=0</formula>
    </cfRule>
  </conditionalFormatting>
  <conditionalFormatting sqref="AA14">
    <cfRule type="expression" dxfId="2562" priority="2548">
      <formula>MOD(ROW(),2)=0</formula>
    </cfRule>
  </conditionalFormatting>
  <conditionalFormatting sqref="AA14">
    <cfRule type="expression" dxfId="2561" priority="2547">
      <formula>MOD(ROW(),2)=0</formula>
    </cfRule>
  </conditionalFormatting>
  <conditionalFormatting sqref="AA14">
    <cfRule type="expression" dxfId="2560" priority="2546">
      <formula>MOD(ROW(),2)=0</formula>
    </cfRule>
  </conditionalFormatting>
  <conditionalFormatting sqref="AA14">
    <cfRule type="expression" dxfId="2559" priority="2545">
      <formula>MOD(ROW(),2)=0</formula>
    </cfRule>
  </conditionalFormatting>
  <conditionalFormatting sqref="AA14">
    <cfRule type="expression" dxfId="2558" priority="2544">
      <formula>MOD(ROW(),2)=0</formula>
    </cfRule>
  </conditionalFormatting>
  <conditionalFormatting sqref="AA9">
    <cfRule type="expression" dxfId="2557" priority="2543">
      <formula>MOD(ROW(),2)=0</formula>
    </cfRule>
  </conditionalFormatting>
  <conditionalFormatting sqref="AA8">
    <cfRule type="expression" dxfId="2556" priority="2542">
      <formula>MOD(ROW(),2)=0</formula>
    </cfRule>
  </conditionalFormatting>
  <conditionalFormatting sqref="AA12:AA13 AA15:AA17">
    <cfRule type="expression" dxfId="2555" priority="2541">
      <formula>MOD(ROW(),2)=0</formula>
    </cfRule>
  </conditionalFormatting>
  <conditionalFormatting sqref="AA15 AA17:AA22">
    <cfRule type="expression" dxfId="2554" priority="2540">
      <formula>MOD(ROW(),2)=0</formula>
    </cfRule>
  </conditionalFormatting>
  <conditionalFormatting sqref="AA11">
    <cfRule type="expression" dxfId="2553" priority="2539">
      <formula>MOD(ROW(),2)=0</formula>
    </cfRule>
  </conditionalFormatting>
  <conditionalFormatting sqref="AA22">
    <cfRule type="expression" dxfId="2552" priority="2538">
      <formula>MOD(ROW(),2)=0</formula>
    </cfRule>
  </conditionalFormatting>
  <conditionalFormatting sqref="AA10">
    <cfRule type="expression" dxfId="2551" priority="2537">
      <formula>MOD(ROW(),2)=0</formula>
    </cfRule>
  </conditionalFormatting>
  <conditionalFormatting sqref="AA9">
    <cfRule type="expression" dxfId="2550" priority="2536">
      <formula>MOD(ROW(),2)=0</formula>
    </cfRule>
  </conditionalFormatting>
  <conditionalFormatting sqref="AA8">
    <cfRule type="expression" dxfId="2549" priority="2535">
      <formula>MOD(ROW(),2)=0</formula>
    </cfRule>
  </conditionalFormatting>
  <conditionalFormatting sqref="AA12:AA13 AA15:AA17">
    <cfRule type="expression" dxfId="2548" priority="2534">
      <formula>MOD(ROW(),2)=0</formula>
    </cfRule>
  </conditionalFormatting>
  <conditionalFormatting sqref="AA15 AA17:AA22">
    <cfRule type="expression" dxfId="2547" priority="2533">
      <formula>MOD(ROW(),2)=0</formula>
    </cfRule>
  </conditionalFormatting>
  <conditionalFormatting sqref="AA11">
    <cfRule type="expression" dxfId="2546" priority="2532">
      <formula>MOD(ROW(),2)=0</formula>
    </cfRule>
  </conditionalFormatting>
  <conditionalFormatting sqref="AA22">
    <cfRule type="expression" dxfId="2545" priority="2531">
      <formula>MOD(ROW(),2)=0</formula>
    </cfRule>
  </conditionalFormatting>
  <conditionalFormatting sqref="AA10">
    <cfRule type="expression" dxfId="2544" priority="2530">
      <formula>MOD(ROW(),2)=0</formula>
    </cfRule>
  </conditionalFormatting>
  <conditionalFormatting sqref="AA9">
    <cfRule type="expression" dxfId="2543" priority="2529">
      <formula>MOD(ROW(),2)=0</formula>
    </cfRule>
  </conditionalFormatting>
  <conditionalFormatting sqref="AA8">
    <cfRule type="expression" dxfId="2542" priority="2528">
      <formula>MOD(ROW(),2)=0</formula>
    </cfRule>
  </conditionalFormatting>
  <conditionalFormatting sqref="AA12:AA13 AA15:AA17">
    <cfRule type="expression" dxfId="2541" priority="2527">
      <formula>MOD(ROW(),2)=0</formula>
    </cfRule>
  </conditionalFormatting>
  <conditionalFormatting sqref="AA15 AA17:AA22">
    <cfRule type="expression" dxfId="2540" priority="2526">
      <formula>MOD(ROW(),2)=0</formula>
    </cfRule>
  </conditionalFormatting>
  <conditionalFormatting sqref="AA11">
    <cfRule type="expression" dxfId="2539" priority="2525">
      <formula>MOD(ROW(),2)=0</formula>
    </cfRule>
  </conditionalFormatting>
  <conditionalFormatting sqref="AA22">
    <cfRule type="expression" dxfId="2538" priority="2524">
      <formula>MOD(ROW(),2)=0</formula>
    </cfRule>
  </conditionalFormatting>
  <conditionalFormatting sqref="AA10">
    <cfRule type="expression" dxfId="2537" priority="2523">
      <formula>MOD(ROW(),2)=0</formula>
    </cfRule>
  </conditionalFormatting>
  <conditionalFormatting sqref="AA9">
    <cfRule type="expression" dxfId="2536" priority="2522">
      <formula>MOD(ROW(),2)=0</formula>
    </cfRule>
  </conditionalFormatting>
  <conditionalFormatting sqref="AA8">
    <cfRule type="expression" dxfId="2535" priority="2521">
      <formula>MOD(ROW(),2)=0</formula>
    </cfRule>
  </conditionalFormatting>
  <conditionalFormatting sqref="AA12:AA13 AA15:AA17">
    <cfRule type="expression" dxfId="2534" priority="2520">
      <formula>MOD(ROW(),2)=0</formula>
    </cfRule>
  </conditionalFormatting>
  <conditionalFormatting sqref="AA15 AA17:AA22">
    <cfRule type="expression" dxfId="2533" priority="2519">
      <formula>MOD(ROW(),2)=0</formula>
    </cfRule>
  </conditionalFormatting>
  <conditionalFormatting sqref="AA11">
    <cfRule type="expression" dxfId="2532" priority="2518">
      <formula>MOD(ROW(),2)=0</formula>
    </cfRule>
  </conditionalFormatting>
  <conditionalFormatting sqref="AA22">
    <cfRule type="expression" dxfId="2531" priority="2517">
      <formula>MOD(ROW(),2)=0</formula>
    </cfRule>
  </conditionalFormatting>
  <conditionalFormatting sqref="AA10">
    <cfRule type="expression" dxfId="2530" priority="2516">
      <formula>MOD(ROW(),2)=0</formula>
    </cfRule>
  </conditionalFormatting>
  <conditionalFormatting sqref="AA9">
    <cfRule type="expression" dxfId="2529" priority="2515">
      <formula>MOD(ROW(),2)=0</formula>
    </cfRule>
  </conditionalFormatting>
  <conditionalFormatting sqref="AA8">
    <cfRule type="expression" dxfId="2528" priority="2514">
      <formula>MOD(ROW(),2)=0</formula>
    </cfRule>
  </conditionalFormatting>
  <conditionalFormatting sqref="AA12:AA13 AA15:AA17">
    <cfRule type="expression" dxfId="2527" priority="2513">
      <formula>MOD(ROW(),2)=0</formula>
    </cfRule>
  </conditionalFormatting>
  <conditionalFormatting sqref="AA15 AA17:AA22">
    <cfRule type="expression" dxfId="2526" priority="2512">
      <formula>MOD(ROW(),2)=0</formula>
    </cfRule>
  </conditionalFormatting>
  <conditionalFormatting sqref="AA11">
    <cfRule type="expression" dxfId="2525" priority="2511">
      <formula>MOD(ROW(),2)=0</formula>
    </cfRule>
  </conditionalFormatting>
  <conditionalFormatting sqref="AA22">
    <cfRule type="expression" dxfId="2524" priority="2510">
      <formula>MOD(ROW(),2)=0</formula>
    </cfRule>
  </conditionalFormatting>
  <conditionalFormatting sqref="AA10">
    <cfRule type="expression" dxfId="2523" priority="2509">
      <formula>MOD(ROW(),2)=0</formula>
    </cfRule>
  </conditionalFormatting>
  <conditionalFormatting sqref="AA9">
    <cfRule type="expression" dxfId="2522" priority="2508">
      <formula>MOD(ROW(),2)=0</formula>
    </cfRule>
  </conditionalFormatting>
  <conditionalFormatting sqref="AA8">
    <cfRule type="expression" dxfId="2521" priority="2507">
      <formula>MOD(ROW(),2)=0</formula>
    </cfRule>
  </conditionalFormatting>
  <conditionalFormatting sqref="AA12:AA13 AA15:AA17">
    <cfRule type="expression" dxfId="2520" priority="2506">
      <formula>MOD(ROW(),2)=0</formula>
    </cfRule>
  </conditionalFormatting>
  <conditionalFormatting sqref="AA15 AA17:AA22">
    <cfRule type="expression" dxfId="2519" priority="2505">
      <formula>MOD(ROW(),2)=0</formula>
    </cfRule>
  </conditionalFormatting>
  <conditionalFormatting sqref="AA11">
    <cfRule type="expression" dxfId="2518" priority="2504">
      <formula>MOD(ROW(),2)=0</formula>
    </cfRule>
  </conditionalFormatting>
  <conditionalFormatting sqref="AA22">
    <cfRule type="expression" dxfId="2517" priority="2503">
      <formula>MOD(ROW(),2)=0</formula>
    </cfRule>
  </conditionalFormatting>
  <conditionalFormatting sqref="AA10">
    <cfRule type="expression" dxfId="2516" priority="2502">
      <formula>MOD(ROW(),2)=0</formula>
    </cfRule>
  </conditionalFormatting>
  <conditionalFormatting sqref="AA9">
    <cfRule type="expression" dxfId="2515" priority="2501">
      <formula>MOD(ROW(),2)=0</formula>
    </cfRule>
  </conditionalFormatting>
  <conditionalFormatting sqref="AA8">
    <cfRule type="expression" dxfId="2514" priority="2500">
      <formula>MOD(ROW(),2)=0</formula>
    </cfRule>
  </conditionalFormatting>
  <conditionalFormatting sqref="AA12:AA13 AA15:AA17">
    <cfRule type="expression" dxfId="2513" priority="2499">
      <formula>MOD(ROW(),2)=0</formula>
    </cfRule>
  </conditionalFormatting>
  <conditionalFormatting sqref="AA15 AA17:AA22">
    <cfRule type="expression" dxfId="2512" priority="2498">
      <formula>MOD(ROW(),2)=0</formula>
    </cfRule>
  </conditionalFormatting>
  <conditionalFormatting sqref="AA11">
    <cfRule type="expression" dxfId="2511" priority="2497">
      <formula>MOD(ROW(),2)=0</formula>
    </cfRule>
  </conditionalFormatting>
  <conditionalFormatting sqref="AA10">
    <cfRule type="expression" dxfId="2510" priority="2496">
      <formula>MOD(ROW(),2)=0</formula>
    </cfRule>
  </conditionalFormatting>
  <conditionalFormatting sqref="AA22">
    <cfRule type="expression" dxfId="2509" priority="2495">
      <formula>MOD(ROW(),2)=0</formula>
    </cfRule>
  </conditionalFormatting>
  <conditionalFormatting sqref="AA9">
    <cfRule type="expression" dxfId="2508" priority="2494">
      <formula>MOD(ROW(),2)=0</formula>
    </cfRule>
  </conditionalFormatting>
  <conditionalFormatting sqref="AA8">
    <cfRule type="expression" dxfId="2507" priority="2493">
      <formula>MOD(ROW(),2)=0</formula>
    </cfRule>
  </conditionalFormatting>
  <conditionalFormatting sqref="AA12:AA13 AA15:AA17">
    <cfRule type="expression" dxfId="2506" priority="2492">
      <formula>MOD(ROW(),2)=0</formula>
    </cfRule>
  </conditionalFormatting>
  <conditionalFormatting sqref="AA15 AA17:AA22">
    <cfRule type="expression" dxfId="2505" priority="2491">
      <formula>MOD(ROW(),2)=0</formula>
    </cfRule>
  </conditionalFormatting>
  <conditionalFormatting sqref="AA11">
    <cfRule type="expression" dxfId="2504" priority="2490">
      <formula>MOD(ROW(),2)=0</formula>
    </cfRule>
  </conditionalFormatting>
  <conditionalFormatting sqref="AA22">
    <cfRule type="expression" dxfId="2503" priority="2489">
      <formula>MOD(ROW(),2)=0</formula>
    </cfRule>
  </conditionalFormatting>
  <conditionalFormatting sqref="AA10">
    <cfRule type="expression" dxfId="2502" priority="2488">
      <formula>MOD(ROW(),2)=0</formula>
    </cfRule>
  </conditionalFormatting>
  <conditionalFormatting sqref="AA9">
    <cfRule type="expression" dxfId="2501" priority="2487">
      <formula>MOD(ROW(),2)=0</formula>
    </cfRule>
  </conditionalFormatting>
  <conditionalFormatting sqref="AA8">
    <cfRule type="expression" dxfId="2500" priority="2486">
      <formula>MOD(ROW(),2)=0</formula>
    </cfRule>
  </conditionalFormatting>
  <conditionalFormatting sqref="AA12:AA13 AA15:AA17">
    <cfRule type="expression" dxfId="2499" priority="2485">
      <formula>MOD(ROW(),2)=0</formula>
    </cfRule>
  </conditionalFormatting>
  <conditionalFormatting sqref="AA15 AA17:AA22">
    <cfRule type="expression" dxfId="2498" priority="2484">
      <formula>MOD(ROW(),2)=0</formula>
    </cfRule>
  </conditionalFormatting>
  <conditionalFormatting sqref="AA11">
    <cfRule type="expression" dxfId="2497" priority="2483">
      <formula>MOD(ROW(),2)=0</formula>
    </cfRule>
  </conditionalFormatting>
  <conditionalFormatting sqref="AA22">
    <cfRule type="expression" dxfId="2496" priority="2482">
      <formula>MOD(ROW(),2)=0</formula>
    </cfRule>
  </conditionalFormatting>
  <conditionalFormatting sqref="AA10">
    <cfRule type="expression" dxfId="2495" priority="2481">
      <formula>MOD(ROW(),2)=0</formula>
    </cfRule>
  </conditionalFormatting>
  <conditionalFormatting sqref="AA9">
    <cfRule type="expression" dxfId="2494" priority="2480">
      <formula>MOD(ROW(),2)=0</formula>
    </cfRule>
  </conditionalFormatting>
  <conditionalFormatting sqref="AA8">
    <cfRule type="expression" dxfId="2493" priority="2479">
      <formula>MOD(ROW(),2)=0</formula>
    </cfRule>
  </conditionalFormatting>
  <conditionalFormatting sqref="AA12:AA13 AA15:AA17">
    <cfRule type="expression" dxfId="2492" priority="2478">
      <formula>MOD(ROW(),2)=0</formula>
    </cfRule>
  </conditionalFormatting>
  <conditionalFormatting sqref="AA15 AA17:AA22">
    <cfRule type="expression" dxfId="2491" priority="2477">
      <formula>MOD(ROW(),2)=0</formula>
    </cfRule>
  </conditionalFormatting>
  <conditionalFormatting sqref="AA11">
    <cfRule type="expression" dxfId="2490" priority="2476">
      <formula>MOD(ROW(),2)=0</formula>
    </cfRule>
  </conditionalFormatting>
  <conditionalFormatting sqref="AA22">
    <cfRule type="expression" dxfId="2489" priority="2475">
      <formula>MOD(ROW(),2)=0</formula>
    </cfRule>
  </conditionalFormatting>
  <conditionalFormatting sqref="AA10">
    <cfRule type="expression" dxfId="2488" priority="2474">
      <formula>MOD(ROW(),2)=0</formula>
    </cfRule>
  </conditionalFormatting>
  <conditionalFormatting sqref="AA9">
    <cfRule type="expression" dxfId="2487" priority="2473">
      <formula>MOD(ROW(),2)=0</formula>
    </cfRule>
  </conditionalFormatting>
  <conditionalFormatting sqref="AA8">
    <cfRule type="expression" dxfId="2486" priority="2472">
      <formula>MOD(ROW(),2)=0</formula>
    </cfRule>
  </conditionalFormatting>
  <conditionalFormatting sqref="AA12:AA13 AA15:AA17">
    <cfRule type="expression" dxfId="2485" priority="2471">
      <formula>MOD(ROW(),2)=0</formula>
    </cfRule>
  </conditionalFormatting>
  <conditionalFormatting sqref="AA15 AA17:AA22">
    <cfRule type="expression" dxfId="2484" priority="2470">
      <formula>MOD(ROW(),2)=0</formula>
    </cfRule>
  </conditionalFormatting>
  <conditionalFormatting sqref="AA11">
    <cfRule type="expression" dxfId="2483" priority="2469">
      <formula>MOD(ROW(),2)=0</formula>
    </cfRule>
  </conditionalFormatting>
  <conditionalFormatting sqref="AA22">
    <cfRule type="expression" dxfId="2482" priority="2468">
      <formula>MOD(ROW(),2)=0</formula>
    </cfRule>
  </conditionalFormatting>
  <conditionalFormatting sqref="AA10">
    <cfRule type="expression" dxfId="2481" priority="2467">
      <formula>MOD(ROW(),2)=0</formula>
    </cfRule>
  </conditionalFormatting>
  <conditionalFormatting sqref="AA9">
    <cfRule type="expression" dxfId="2480" priority="2466">
      <formula>MOD(ROW(),2)=0</formula>
    </cfRule>
  </conditionalFormatting>
  <conditionalFormatting sqref="AA8">
    <cfRule type="expression" dxfId="2479" priority="2465">
      <formula>MOD(ROW(),2)=0</formula>
    </cfRule>
  </conditionalFormatting>
  <conditionalFormatting sqref="AA12:AA13 AA15:AA17">
    <cfRule type="expression" dxfId="2478" priority="2464">
      <formula>MOD(ROW(),2)=0</formula>
    </cfRule>
  </conditionalFormatting>
  <conditionalFormatting sqref="AA15 AA17:AA22">
    <cfRule type="expression" dxfId="2477" priority="2463">
      <formula>MOD(ROW(),2)=0</formula>
    </cfRule>
  </conditionalFormatting>
  <conditionalFormatting sqref="AA11">
    <cfRule type="expression" dxfId="2476" priority="2462">
      <formula>MOD(ROW(),2)=0</formula>
    </cfRule>
  </conditionalFormatting>
  <conditionalFormatting sqref="AA22">
    <cfRule type="expression" dxfId="2475" priority="2461">
      <formula>MOD(ROW(),2)=0</formula>
    </cfRule>
  </conditionalFormatting>
  <conditionalFormatting sqref="AA10">
    <cfRule type="expression" dxfId="2474" priority="2460">
      <formula>MOD(ROW(),2)=0</formula>
    </cfRule>
  </conditionalFormatting>
  <conditionalFormatting sqref="AA9">
    <cfRule type="expression" dxfId="2473" priority="2459">
      <formula>MOD(ROW(),2)=0</formula>
    </cfRule>
  </conditionalFormatting>
  <conditionalFormatting sqref="AA8">
    <cfRule type="expression" dxfId="2472" priority="2458">
      <formula>MOD(ROW(),2)=0</formula>
    </cfRule>
  </conditionalFormatting>
  <conditionalFormatting sqref="AA12:AA13 AA15:AA17">
    <cfRule type="expression" dxfId="2471" priority="2457">
      <formula>MOD(ROW(),2)=0</formula>
    </cfRule>
  </conditionalFormatting>
  <conditionalFormatting sqref="AA15 AA17:AA22">
    <cfRule type="expression" dxfId="2470" priority="2456">
      <formula>MOD(ROW(),2)=0</formula>
    </cfRule>
  </conditionalFormatting>
  <conditionalFormatting sqref="AA11">
    <cfRule type="expression" dxfId="2469" priority="2455">
      <formula>MOD(ROW(),2)=0</formula>
    </cfRule>
  </conditionalFormatting>
  <conditionalFormatting sqref="AA22">
    <cfRule type="expression" dxfId="2468" priority="2454">
      <formula>MOD(ROW(),2)=0</formula>
    </cfRule>
  </conditionalFormatting>
  <conditionalFormatting sqref="AA10">
    <cfRule type="expression" dxfId="2467" priority="2453">
      <formula>MOD(ROW(),2)=0</formula>
    </cfRule>
  </conditionalFormatting>
  <conditionalFormatting sqref="AA9">
    <cfRule type="expression" dxfId="2466" priority="2452">
      <formula>MOD(ROW(),2)=0</formula>
    </cfRule>
  </conditionalFormatting>
  <conditionalFormatting sqref="AA8">
    <cfRule type="expression" dxfId="2465" priority="2451">
      <formula>MOD(ROW(),2)=0</formula>
    </cfRule>
  </conditionalFormatting>
  <conditionalFormatting sqref="AA12:AA13 AA15:AA17">
    <cfRule type="expression" dxfId="2464" priority="2450">
      <formula>MOD(ROW(),2)=0</formula>
    </cfRule>
  </conditionalFormatting>
  <conditionalFormatting sqref="AA15 AA17:AA22">
    <cfRule type="expression" dxfId="2463" priority="2449">
      <formula>MOD(ROW(),2)=0</formula>
    </cfRule>
  </conditionalFormatting>
  <conditionalFormatting sqref="AA11">
    <cfRule type="expression" dxfId="2462" priority="2448">
      <formula>MOD(ROW(),2)=0</formula>
    </cfRule>
  </conditionalFormatting>
  <conditionalFormatting sqref="AA22">
    <cfRule type="expression" dxfId="2461" priority="2447">
      <formula>MOD(ROW(),2)=0</formula>
    </cfRule>
  </conditionalFormatting>
  <conditionalFormatting sqref="AA10">
    <cfRule type="expression" dxfId="2460" priority="2446">
      <formula>MOD(ROW(),2)=0</formula>
    </cfRule>
  </conditionalFormatting>
  <conditionalFormatting sqref="AA9">
    <cfRule type="expression" dxfId="2459" priority="2445">
      <formula>MOD(ROW(),2)=0</formula>
    </cfRule>
  </conditionalFormatting>
  <conditionalFormatting sqref="AA8">
    <cfRule type="expression" dxfId="2458" priority="2444">
      <formula>MOD(ROW(),2)=0</formula>
    </cfRule>
  </conditionalFormatting>
  <conditionalFormatting sqref="AA12:AA13 AA15:AA17">
    <cfRule type="expression" dxfId="2457" priority="2443">
      <formula>MOD(ROW(),2)=0</formula>
    </cfRule>
  </conditionalFormatting>
  <conditionalFormatting sqref="AA15 AA17:AA22">
    <cfRule type="expression" dxfId="2456" priority="2442">
      <formula>MOD(ROW(),2)=0</formula>
    </cfRule>
  </conditionalFormatting>
  <conditionalFormatting sqref="AA11">
    <cfRule type="expression" dxfId="2455" priority="2441">
      <formula>MOD(ROW(),2)=0</formula>
    </cfRule>
  </conditionalFormatting>
  <conditionalFormatting sqref="AA10">
    <cfRule type="expression" dxfId="2454" priority="2440">
      <formula>MOD(ROW(),2)=0</formula>
    </cfRule>
  </conditionalFormatting>
  <conditionalFormatting sqref="AA22">
    <cfRule type="expression" dxfId="2453" priority="2439">
      <formula>MOD(ROW(),2)=0</formula>
    </cfRule>
  </conditionalFormatting>
  <conditionalFormatting sqref="AA9">
    <cfRule type="expression" dxfId="2452" priority="2438">
      <formula>MOD(ROW(),2)=0</formula>
    </cfRule>
  </conditionalFormatting>
  <conditionalFormatting sqref="AA8">
    <cfRule type="expression" dxfId="2451" priority="2437">
      <formula>MOD(ROW(),2)=0</formula>
    </cfRule>
  </conditionalFormatting>
  <conditionalFormatting sqref="AA12:AA13 AA15:AA17">
    <cfRule type="expression" dxfId="2450" priority="2436">
      <formula>MOD(ROW(),2)=0</formula>
    </cfRule>
  </conditionalFormatting>
  <conditionalFormatting sqref="AA15 AA17:AA22">
    <cfRule type="expression" dxfId="2449" priority="2435">
      <formula>MOD(ROW(),2)=0</formula>
    </cfRule>
  </conditionalFormatting>
  <conditionalFormatting sqref="AA11">
    <cfRule type="expression" dxfId="2448" priority="2434">
      <formula>MOD(ROW(),2)=0</formula>
    </cfRule>
  </conditionalFormatting>
  <conditionalFormatting sqref="AA22">
    <cfRule type="expression" dxfId="2447" priority="2433">
      <formula>MOD(ROW(),2)=0</formula>
    </cfRule>
  </conditionalFormatting>
  <conditionalFormatting sqref="AA10">
    <cfRule type="expression" dxfId="2446" priority="2432">
      <formula>MOD(ROW(),2)=0</formula>
    </cfRule>
  </conditionalFormatting>
  <conditionalFormatting sqref="AB14">
    <cfRule type="expression" dxfId="2445" priority="2431">
      <formula>MOD(ROW(),2)=0</formula>
    </cfRule>
  </conditionalFormatting>
  <conditionalFormatting sqref="AB14">
    <cfRule type="expression" dxfId="2444" priority="2430">
      <formula>MOD(ROW(),2)=0</formula>
    </cfRule>
  </conditionalFormatting>
  <conditionalFormatting sqref="AB14">
    <cfRule type="expression" dxfId="2443" priority="2429">
      <formula>MOD(ROW(),2)=0</formula>
    </cfRule>
  </conditionalFormatting>
  <conditionalFormatting sqref="AB14">
    <cfRule type="expression" dxfId="2442" priority="2428">
      <formula>MOD(ROW(),2)=0</formula>
    </cfRule>
  </conditionalFormatting>
  <conditionalFormatting sqref="AB14">
    <cfRule type="expression" dxfId="2441" priority="2427">
      <formula>MOD(ROW(),2)=0</formula>
    </cfRule>
  </conditionalFormatting>
  <conditionalFormatting sqref="AB14">
    <cfRule type="expression" dxfId="2440" priority="2426">
      <formula>MOD(ROW(),2)=0</formula>
    </cfRule>
  </conditionalFormatting>
  <conditionalFormatting sqref="AB14">
    <cfRule type="expression" dxfId="2439" priority="2425">
      <formula>MOD(ROW(),2)=0</formula>
    </cfRule>
  </conditionalFormatting>
  <conditionalFormatting sqref="AB14">
    <cfRule type="expression" dxfId="2438" priority="2424">
      <formula>MOD(ROW(),2)=0</formula>
    </cfRule>
  </conditionalFormatting>
  <conditionalFormatting sqref="AB14">
    <cfRule type="expression" dxfId="2437" priority="2423">
      <formula>MOD(ROW(),2)=0</formula>
    </cfRule>
  </conditionalFormatting>
  <conditionalFormatting sqref="AB14">
    <cfRule type="expression" dxfId="2436" priority="2422">
      <formula>MOD(ROW(),2)=0</formula>
    </cfRule>
  </conditionalFormatting>
  <conditionalFormatting sqref="AB14">
    <cfRule type="expression" dxfId="2435" priority="2421">
      <formula>MOD(ROW(),2)=0</formula>
    </cfRule>
  </conditionalFormatting>
  <conditionalFormatting sqref="AB14">
    <cfRule type="expression" dxfId="2434" priority="2420">
      <formula>MOD(ROW(),2)=0</formula>
    </cfRule>
  </conditionalFormatting>
  <conditionalFormatting sqref="AB14">
    <cfRule type="expression" dxfId="2433" priority="2419">
      <formula>MOD(ROW(),2)=0</formula>
    </cfRule>
  </conditionalFormatting>
  <conditionalFormatting sqref="AB14">
    <cfRule type="expression" dxfId="2432" priority="2418">
      <formula>MOD(ROW(),2)=0</formula>
    </cfRule>
  </conditionalFormatting>
  <conditionalFormatting sqref="AB14">
    <cfRule type="expression" dxfId="2431" priority="2417">
      <formula>MOD(ROW(),2)=0</formula>
    </cfRule>
  </conditionalFormatting>
  <conditionalFormatting sqref="AB14">
    <cfRule type="expression" dxfId="2430" priority="2416">
      <formula>MOD(ROW(),2)=0</formula>
    </cfRule>
  </conditionalFormatting>
  <conditionalFormatting sqref="AB14">
    <cfRule type="expression" dxfId="2429" priority="2415">
      <formula>MOD(ROW(),2)=0</formula>
    </cfRule>
  </conditionalFormatting>
  <conditionalFormatting sqref="AB14">
    <cfRule type="expression" dxfId="2428" priority="2414">
      <formula>MOD(ROW(),2)=0</formula>
    </cfRule>
  </conditionalFormatting>
  <conditionalFormatting sqref="AB14">
    <cfRule type="expression" dxfId="2427" priority="2413">
      <formula>MOD(ROW(),2)=0</formula>
    </cfRule>
  </conditionalFormatting>
  <conditionalFormatting sqref="AB14">
    <cfRule type="expression" dxfId="2426" priority="2412">
      <formula>MOD(ROW(),2)=0</formula>
    </cfRule>
  </conditionalFormatting>
  <conditionalFormatting sqref="AB14">
    <cfRule type="expression" dxfId="2425" priority="2411">
      <formula>MOD(ROW(),2)=0</formula>
    </cfRule>
  </conditionalFormatting>
  <conditionalFormatting sqref="AB14">
    <cfRule type="expression" dxfId="2424" priority="2410">
      <formula>MOD(ROW(),2)=0</formula>
    </cfRule>
  </conditionalFormatting>
  <conditionalFormatting sqref="AB14">
    <cfRule type="expression" dxfId="2423" priority="2409">
      <formula>MOD(ROW(),2)=0</formula>
    </cfRule>
  </conditionalFormatting>
  <conditionalFormatting sqref="AB14">
    <cfRule type="expression" dxfId="2422" priority="2408">
      <formula>MOD(ROW(),2)=0</formula>
    </cfRule>
  </conditionalFormatting>
  <conditionalFormatting sqref="AB14">
    <cfRule type="expression" dxfId="2421" priority="2407">
      <formula>MOD(ROW(),2)=0</formula>
    </cfRule>
  </conditionalFormatting>
  <conditionalFormatting sqref="AB14">
    <cfRule type="expression" dxfId="2420" priority="2406">
      <formula>MOD(ROW(),2)=0</formula>
    </cfRule>
  </conditionalFormatting>
  <conditionalFormatting sqref="AB14">
    <cfRule type="expression" dxfId="2419" priority="2405">
      <formula>MOD(ROW(),2)=0</formula>
    </cfRule>
  </conditionalFormatting>
  <conditionalFormatting sqref="AB14">
    <cfRule type="expression" dxfId="2418" priority="2404">
      <formula>MOD(ROW(),2)=0</formula>
    </cfRule>
  </conditionalFormatting>
  <conditionalFormatting sqref="AB14">
    <cfRule type="expression" dxfId="2417" priority="2403">
      <formula>MOD(ROW(),2)=0</formula>
    </cfRule>
  </conditionalFormatting>
  <conditionalFormatting sqref="AB14">
    <cfRule type="expression" dxfId="2416" priority="2402">
      <formula>MOD(ROW(),2)=0</formula>
    </cfRule>
  </conditionalFormatting>
  <conditionalFormatting sqref="AB14">
    <cfRule type="expression" dxfId="2415" priority="2401">
      <formula>MOD(ROW(),2)=0</formula>
    </cfRule>
  </conditionalFormatting>
  <conditionalFormatting sqref="AB14">
    <cfRule type="expression" dxfId="2414" priority="2400">
      <formula>MOD(ROW(),2)=0</formula>
    </cfRule>
  </conditionalFormatting>
  <conditionalFormatting sqref="AB9">
    <cfRule type="expression" dxfId="2413" priority="2399">
      <formula>MOD(ROW(),2)=0</formula>
    </cfRule>
  </conditionalFormatting>
  <conditionalFormatting sqref="AB8">
    <cfRule type="expression" dxfId="2412" priority="2398">
      <formula>MOD(ROW(),2)=0</formula>
    </cfRule>
  </conditionalFormatting>
  <conditionalFormatting sqref="AB12:AB13 AB15:AB17">
    <cfRule type="expression" dxfId="2411" priority="2397">
      <formula>MOD(ROW(),2)=0</formula>
    </cfRule>
  </conditionalFormatting>
  <conditionalFormatting sqref="AB15 AB17:AB22">
    <cfRule type="expression" dxfId="2410" priority="2396">
      <formula>MOD(ROW(),2)=0</formula>
    </cfRule>
  </conditionalFormatting>
  <conditionalFormatting sqref="AB11">
    <cfRule type="expression" dxfId="2409" priority="2395">
      <formula>MOD(ROW(),2)=0</formula>
    </cfRule>
  </conditionalFormatting>
  <conditionalFormatting sqref="AB22">
    <cfRule type="expression" dxfId="2408" priority="2394">
      <formula>MOD(ROW(),2)=0</formula>
    </cfRule>
  </conditionalFormatting>
  <conditionalFormatting sqref="AB10">
    <cfRule type="expression" dxfId="2407" priority="2393">
      <formula>MOD(ROW(),2)=0</formula>
    </cfRule>
  </conditionalFormatting>
  <conditionalFormatting sqref="AB9">
    <cfRule type="expression" dxfId="2406" priority="2392">
      <formula>MOD(ROW(),2)=0</formula>
    </cfRule>
  </conditionalFormatting>
  <conditionalFormatting sqref="AB8">
    <cfRule type="expression" dxfId="2405" priority="2391">
      <formula>MOD(ROW(),2)=0</formula>
    </cfRule>
  </conditionalFormatting>
  <conditionalFormatting sqref="AB12:AB13 AB15:AB17">
    <cfRule type="expression" dxfId="2404" priority="2390">
      <formula>MOD(ROW(),2)=0</formula>
    </cfRule>
  </conditionalFormatting>
  <conditionalFormatting sqref="AB15 AB17:AB22">
    <cfRule type="expression" dxfId="2403" priority="2389">
      <formula>MOD(ROW(),2)=0</formula>
    </cfRule>
  </conditionalFormatting>
  <conditionalFormatting sqref="AB11">
    <cfRule type="expression" dxfId="2402" priority="2388">
      <formula>MOD(ROW(),2)=0</formula>
    </cfRule>
  </conditionalFormatting>
  <conditionalFormatting sqref="AB22">
    <cfRule type="expression" dxfId="2401" priority="2387">
      <formula>MOD(ROW(),2)=0</formula>
    </cfRule>
  </conditionalFormatting>
  <conditionalFormatting sqref="AB10">
    <cfRule type="expression" dxfId="2400" priority="2386">
      <formula>MOD(ROW(),2)=0</formula>
    </cfRule>
  </conditionalFormatting>
  <conditionalFormatting sqref="AB9">
    <cfRule type="expression" dxfId="2399" priority="2385">
      <formula>MOD(ROW(),2)=0</formula>
    </cfRule>
  </conditionalFormatting>
  <conditionalFormatting sqref="AB8">
    <cfRule type="expression" dxfId="2398" priority="2384">
      <formula>MOD(ROW(),2)=0</formula>
    </cfRule>
  </conditionalFormatting>
  <conditionalFormatting sqref="AB12:AB13 AB15:AB17">
    <cfRule type="expression" dxfId="2397" priority="2383">
      <formula>MOD(ROW(),2)=0</formula>
    </cfRule>
  </conditionalFormatting>
  <conditionalFormatting sqref="AB15 AB17:AB22">
    <cfRule type="expression" dxfId="2396" priority="2382">
      <formula>MOD(ROW(),2)=0</formula>
    </cfRule>
  </conditionalFormatting>
  <conditionalFormatting sqref="AB11">
    <cfRule type="expression" dxfId="2395" priority="2381">
      <formula>MOD(ROW(),2)=0</formula>
    </cfRule>
  </conditionalFormatting>
  <conditionalFormatting sqref="AB22">
    <cfRule type="expression" dxfId="2394" priority="2380">
      <formula>MOD(ROW(),2)=0</formula>
    </cfRule>
  </conditionalFormatting>
  <conditionalFormatting sqref="AB10">
    <cfRule type="expression" dxfId="2393" priority="2379">
      <formula>MOD(ROW(),2)=0</formula>
    </cfRule>
  </conditionalFormatting>
  <conditionalFormatting sqref="AB9">
    <cfRule type="expression" dxfId="2392" priority="2378">
      <formula>MOD(ROW(),2)=0</formula>
    </cfRule>
  </conditionalFormatting>
  <conditionalFormatting sqref="AB8">
    <cfRule type="expression" dxfId="2391" priority="2377">
      <formula>MOD(ROW(),2)=0</formula>
    </cfRule>
  </conditionalFormatting>
  <conditionalFormatting sqref="AB12:AB13 AB15:AB17">
    <cfRule type="expression" dxfId="2390" priority="2376">
      <formula>MOD(ROW(),2)=0</formula>
    </cfRule>
  </conditionalFormatting>
  <conditionalFormatting sqref="AB15 AB17:AB22">
    <cfRule type="expression" dxfId="2389" priority="2375">
      <formula>MOD(ROW(),2)=0</formula>
    </cfRule>
  </conditionalFormatting>
  <conditionalFormatting sqref="AB11">
    <cfRule type="expression" dxfId="2388" priority="2374">
      <formula>MOD(ROW(),2)=0</formula>
    </cfRule>
  </conditionalFormatting>
  <conditionalFormatting sqref="AB22">
    <cfRule type="expression" dxfId="2387" priority="2373">
      <formula>MOD(ROW(),2)=0</formula>
    </cfRule>
  </conditionalFormatting>
  <conditionalFormatting sqref="AB10">
    <cfRule type="expression" dxfId="2386" priority="2372">
      <formula>MOD(ROW(),2)=0</formula>
    </cfRule>
  </conditionalFormatting>
  <conditionalFormatting sqref="AB9">
    <cfRule type="expression" dxfId="2385" priority="2371">
      <formula>MOD(ROW(),2)=0</formula>
    </cfRule>
  </conditionalFormatting>
  <conditionalFormatting sqref="AB8">
    <cfRule type="expression" dxfId="2384" priority="2370">
      <formula>MOD(ROW(),2)=0</formula>
    </cfRule>
  </conditionalFormatting>
  <conditionalFormatting sqref="AB12:AB13 AB15:AB17">
    <cfRule type="expression" dxfId="2383" priority="2369">
      <formula>MOD(ROW(),2)=0</formula>
    </cfRule>
  </conditionalFormatting>
  <conditionalFormatting sqref="AB15 AB17:AB22">
    <cfRule type="expression" dxfId="2382" priority="2368">
      <formula>MOD(ROW(),2)=0</formula>
    </cfRule>
  </conditionalFormatting>
  <conditionalFormatting sqref="AB11">
    <cfRule type="expression" dxfId="2381" priority="2367">
      <formula>MOD(ROW(),2)=0</formula>
    </cfRule>
  </conditionalFormatting>
  <conditionalFormatting sqref="AB22">
    <cfRule type="expression" dxfId="2380" priority="2366">
      <formula>MOD(ROW(),2)=0</formula>
    </cfRule>
  </conditionalFormatting>
  <conditionalFormatting sqref="AB10">
    <cfRule type="expression" dxfId="2379" priority="2365">
      <formula>MOD(ROW(),2)=0</formula>
    </cfRule>
  </conditionalFormatting>
  <conditionalFormatting sqref="AB9">
    <cfRule type="expression" dxfId="2378" priority="2364">
      <formula>MOD(ROW(),2)=0</formula>
    </cfRule>
  </conditionalFormatting>
  <conditionalFormatting sqref="AB8">
    <cfRule type="expression" dxfId="2377" priority="2363">
      <formula>MOD(ROW(),2)=0</formula>
    </cfRule>
  </conditionalFormatting>
  <conditionalFormatting sqref="AB12:AB13 AB15:AB17">
    <cfRule type="expression" dxfId="2376" priority="2362">
      <formula>MOD(ROW(),2)=0</formula>
    </cfRule>
  </conditionalFormatting>
  <conditionalFormatting sqref="AB15 AB17:AB22">
    <cfRule type="expression" dxfId="2375" priority="2361">
      <formula>MOD(ROW(),2)=0</formula>
    </cfRule>
  </conditionalFormatting>
  <conditionalFormatting sqref="AB11">
    <cfRule type="expression" dxfId="2374" priority="2360">
      <formula>MOD(ROW(),2)=0</formula>
    </cfRule>
  </conditionalFormatting>
  <conditionalFormatting sqref="AB22">
    <cfRule type="expression" dxfId="2373" priority="2359">
      <formula>MOD(ROW(),2)=0</formula>
    </cfRule>
  </conditionalFormatting>
  <conditionalFormatting sqref="AB10">
    <cfRule type="expression" dxfId="2372" priority="2358">
      <formula>MOD(ROW(),2)=0</formula>
    </cfRule>
  </conditionalFormatting>
  <conditionalFormatting sqref="AB9">
    <cfRule type="expression" dxfId="2371" priority="2357">
      <formula>MOD(ROW(),2)=0</formula>
    </cfRule>
  </conditionalFormatting>
  <conditionalFormatting sqref="AB8">
    <cfRule type="expression" dxfId="2370" priority="2356">
      <formula>MOD(ROW(),2)=0</formula>
    </cfRule>
  </conditionalFormatting>
  <conditionalFormatting sqref="AB12:AB13 AB15:AB17">
    <cfRule type="expression" dxfId="2369" priority="2355">
      <formula>MOD(ROW(),2)=0</formula>
    </cfRule>
  </conditionalFormatting>
  <conditionalFormatting sqref="AB15 AB17:AB22">
    <cfRule type="expression" dxfId="2368" priority="2354">
      <formula>MOD(ROW(),2)=0</formula>
    </cfRule>
  </conditionalFormatting>
  <conditionalFormatting sqref="AB11">
    <cfRule type="expression" dxfId="2367" priority="2353">
      <formula>MOD(ROW(),2)=0</formula>
    </cfRule>
  </conditionalFormatting>
  <conditionalFormatting sqref="AB10">
    <cfRule type="expression" dxfId="2366" priority="2352">
      <formula>MOD(ROW(),2)=0</formula>
    </cfRule>
  </conditionalFormatting>
  <conditionalFormatting sqref="AB22">
    <cfRule type="expression" dxfId="2365" priority="2351">
      <formula>MOD(ROW(),2)=0</formula>
    </cfRule>
  </conditionalFormatting>
  <conditionalFormatting sqref="AB9">
    <cfRule type="expression" dxfId="2364" priority="2350">
      <formula>MOD(ROW(),2)=0</formula>
    </cfRule>
  </conditionalFormatting>
  <conditionalFormatting sqref="AB8">
    <cfRule type="expression" dxfId="2363" priority="2349">
      <formula>MOD(ROW(),2)=0</formula>
    </cfRule>
  </conditionalFormatting>
  <conditionalFormatting sqref="AB12:AB13 AB15:AB17">
    <cfRule type="expression" dxfId="2362" priority="2348">
      <formula>MOD(ROW(),2)=0</formula>
    </cfRule>
  </conditionalFormatting>
  <conditionalFormatting sqref="AB15 AB17:AB22">
    <cfRule type="expression" dxfId="2361" priority="2347">
      <formula>MOD(ROW(),2)=0</formula>
    </cfRule>
  </conditionalFormatting>
  <conditionalFormatting sqref="AB11">
    <cfRule type="expression" dxfId="2360" priority="2346">
      <formula>MOD(ROW(),2)=0</formula>
    </cfRule>
  </conditionalFormatting>
  <conditionalFormatting sqref="AB22">
    <cfRule type="expression" dxfId="2359" priority="2345">
      <formula>MOD(ROW(),2)=0</formula>
    </cfRule>
  </conditionalFormatting>
  <conditionalFormatting sqref="AB10">
    <cfRule type="expression" dxfId="2358" priority="2344">
      <formula>MOD(ROW(),2)=0</formula>
    </cfRule>
  </conditionalFormatting>
  <conditionalFormatting sqref="AB9">
    <cfRule type="expression" dxfId="2357" priority="2343">
      <formula>MOD(ROW(),2)=0</formula>
    </cfRule>
  </conditionalFormatting>
  <conditionalFormatting sqref="AB8">
    <cfRule type="expression" dxfId="2356" priority="2342">
      <formula>MOD(ROW(),2)=0</formula>
    </cfRule>
  </conditionalFormatting>
  <conditionalFormatting sqref="AB12:AB13 AB15:AB17">
    <cfRule type="expression" dxfId="2355" priority="2341">
      <formula>MOD(ROW(),2)=0</formula>
    </cfRule>
  </conditionalFormatting>
  <conditionalFormatting sqref="AB15 AB17:AB22">
    <cfRule type="expression" dxfId="2354" priority="2340">
      <formula>MOD(ROW(),2)=0</formula>
    </cfRule>
  </conditionalFormatting>
  <conditionalFormatting sqref="AB11">
    <cfRule type="expression" dxfId="2353" priority="2339">
      <formula>MOD(ROW(),2)=0</formula>
    </cfRule>
  </conditionalFormatting>
  <conditionalFormatting sqref="AB22">
    <cfRule type="expression" dxfId="2352" priority="2338">
      <formula>MOD(ROW(),2)=0</formula>
    </cfRule>
  </conditionalFormatting>
  <conditionalFormatting sqref="AB10">
    <cfRule type="expression" dxfId="2351" priority="2337">
      <formula>MOD(ROW(),2)=0</formula>
    </cfRule>
  </conditionalFormatting>
  <conditionalFormatting sqref="AB9">
    <cfRule type="expression" dxfId="2350" priority="2336">
      <formula>MOD(ROW(),2)=0</formula>
    </cfRule>
  </conditionalFormatting>
  <conditionalFormatting sqref="AB8">
    <cfRule type="expression" dxfId="2349" priority="2335">
      <formula>MOD(ROW(),2)=0</formula>
    </cfRule>
  </conditionalFormatting>
  <conditionalFormatting sqref="AB12:AB13 AB15:AB17">
    <cfRule type="expression" dxfId="2348" priority="2334">
      <formula>MOD(ROW(),2)=0</formula>
    </cfRule>
  </conditionalFormatting>
  <conditionalFormatting sqref="AB15 AB17:AB22">
    <cfRule type="expression" dxfId="2347" priority="2333">
      <formula>MOD(ROW(),2)=0</formula>
    </cfRule>
  </conditionalFormatting>
  <conditionalFormatting sqref="AB11">
    <cfRule type="expression" dxfId="2346" priority="2332">
      <formula>MOD(ROW(),2)=0</formula>
    </cfRule>
  </conditionalFormatting>
  <conditionalFormatting sqref="AB22">
    <cfRule type="expression" dxfId="2345" priority="2331">
      <formula>MOD(ROW(),2)=0</formula>
    </cfRule>
  </conditionalFormatting>
  <conditionalFormatting sqref="AB10">
    <cfRule type="expression" dxfId="2344" priority="2330">
      <formula>MOD(ROW(),2)=0</formula>
    </cfRule>
  </conditionalFormatting>
  <conditionalFormatting sqref="AB9">
    <cfRule type="expression" dxfId="2343" priority="2329">
      <formula>MOD(ROW(),2)=0</formula>
    </cfRule>
  </conditionalFormatting>
  <conditionalFormatting sqref="AB8">
    <cfRule type="expression" dxfId="2342" priority="2328">
      <formula>MOD(ROW(),2)=0</formula>
    </cfRule>
  </conditionalFormatting>
  <conditionalFormatting sqref="AB12:AB13 AB15:AB17">
    <cfRule type="expression" dxfId="2341" priority="2327">
      <formula>MOD(ROW(),2)=0</formula>
    </cfRule>
  </conditionalFormatting>
  <conditionalFormatting sqref="AB15 AB17:AB22">
    <cfRule type="expression" dxfId="2340" priority="2326">
      <formula>MOD(ROW(),2)=0</formula>
    </cfRule>
  </conditionalFormatting>
  <conditionalFormatting sqref="AB11">
    <cfRule type="expression" dxfId="2339" priority="2325">
      <formula>MOD(ROW(),2)=0</formula>
    </cfRule>
  </conditionalFormatting>
  <conditionalFormatting sqref="AB22">
    <cfRule type="expression" dxfId="2338" priority="2324">
      <formula>MOD(ROW(),2)=0</formula>
    </cfRule>
  </conditionalFormatting>
  <conditionalFormatting sqref="AB10">
    <cfRule type="expression" dxfId="2337" priority="2323">
      <formula>MOD(ROW(),2)=0</formula>
    </cfRule>
  </conditionalFormatting>
  <conditionalFormatting sqref="AB9">
    <cfRule type="expression" dxfId="2336" priority="2322">
      <formula>MOD(ROW(),2)=0</formula>
    </cfRule>
  </conditionalFormatting>
  <conditionalFormatting sqref="AB8">
    <cfRule type="expression" dxfId="2335" priority="2321">
      <formula>MOD(ROW(),2)=0</formula>
    </cfRule>
  </conditionalFormatting>
  <conditionalFormatting sqref="AB12:AB13 AB15:AB17">
    <cfRule type="expression" dxfId="2334" priority="2320">
      <formula>MOD(ROW(),2)=0</formula>
    </cfRule>
  </conditionalFormatting>
  <conditionalFormatting sqref="AB15 AB17:AB22">
    <cfRule type="expression" dxfId="2333" priority="2319">
      <formula>MOD(ROW(),2)=0</formula>
    </cfRule>
  </conditionalFormatting>
  <conditionalFormatting sqref="AB11">
    <cfRule type="expression" dxfId="2332" priority="2318">
      <formula>MOD(ROW(),2)=0</formula>
    </cfRule>
  </conditionalFormatting>
  <conditionalFormatting sqref="AB22">
    <cfRule type="expression" dxfId="2331" priority="2317">
      <formula>MOD(ROW(),2)=0</formula>
    </cfRule>
  </conditionalFormatting>
  <conditionalFormatting sqref="AB10">
    <cfRule type="expression" dxfId="2330" priority="2316">
      <formula>MOD(ROW(),2)=0</formula>
    </cfRule>
  </conditionalFormatting>
  <conditionalFormatting sqref="AB9">
    <cfRule type="expression" dxfId="2329" priority="2315">
      <formula>MOD(ROW(),2)=0</formula>
    </cfRule>
  </conditionalFormatting>
  <conditionalFormatting sqref="AB8">
    <cfRule type="expression" dxfId="2328" priority="2314">
      <formula>MOD(ROW(),2)=0</formula>
    </cfRule>
  </conditionalFormatting>
  <conditionalFormatting sqref="AB12:AB13 AB15:AB17">
    <cfRule type="expression" dxfId="2327" priority="2313">
      <formula>MOD(ROW(),2)=0</formula>
    </cfRule>
  </conditionalFormatting>
  <conditionalFormatting sqref="AB15 AB17:AB22">
    <cfRule type="expression" dxfId="2326" priority="2312">
      <formula>MOD(ROW(),2)=0</formula>
    </cfRule>
  </conditionalFormatting>
  <conditionalFormatting sqref="AB11">
    <cfRule type="expression" dxfId="2325" priority="2311">
      <formula>MOD(ROW(),2)=0</formula>
    </cfRule>
  </conditionalFormatting>
  <conditionalFormatting sqref="AB22">
    <cfRule type="expression" dxfId="2324" priority="2310">
      <formula>MOD(ROW(),2)=0</formula>
    </cfRule>
  </conditionalFormatting>
  <conditionalFormatting sqref="AB10">
    <cfRule type="expression" dxfId="2323" priority="2309">
      <formula>MOD(ROW(),2)=0</formula>
    </cfRule>
  </conditionalFormatting>
  <conditionalFormatting sqref="AB9">
    <cfRule type="expression" dxfId="2322" priority="2308">
      <formula>MOD(ROW(),2)=0</formula>
    </cfRule>
  </conditionalFormatting>
  <conditionalFormatting sqref="AB8">
    <cfRule type="expression" dxfId="2321" priority="2307">
      <formula>MOD(ROW(),2)=0</formula>
    </cfRule>
  </conditionalFormatting>
  <conditionalFormatting sqref="AB12:AB13 AB15:AB17">
    <cfRule type="expression" dxfId="2320" priority="2306">
      <formula>MOD(ROW(),2)=0</formula>
    </cfRule>
  </conditionalFormatting>
  <conditionalFormatting sqref="AB15 AB17:AB22">
    <cfRule type="expression" dxfId="2319" priority="2305">
      <formula>MOD(ROW(),2)=0</formula>
    </cfRule>
  </conditionalFormatting>
  <conditionalFormatting sqref="AB11">
    <cfRule type="expression" dxfId="2318" priority="2304">
      <formula>MOD(ROW(),2)=0</formula>
    </cfRule>
  </conditionalFormatting>
  <conditionalFormatting sqref="AB22">
    <cfRule type="expression" dxfId="2317" priority="2303">
      <formula>MOD(ROW(),2)=0</formula>
    </cfRule>
  </conditionalFormatting>
  <conditionalFormatting sqref="AB10">
    <cfRule type="expression" dxfId="2316" priority="2302">
      <formula>MOD(ROW(),2)=0</formula>
    </cfRule>
  </conditionalFormatting>
  <conditionalFormatting sqref="AB9">
    <cfRule type="expression" dxfId="2315" priority="2301">
      <formula>MOD(ROW(),2)=0</formula>
    </cfRule>
  </conditionalFormatting>
  <conditionalFormatting sqref="AB8">
    <cfRule type="expression" dxfId="2314" priority="2300">
      <formula>MOD(ROW(),2)=0</formula>
    </cfRule>
  </conditionalFormatting>
  <conditionalFormatting sqref="AB12:AB13 AB15:AB17">
    <cfRule type="expression" dxfId="2313" priority="2299">
      <formula>MOD(ROW(),2)=0</formula>
    </cfRule>
  </conditionalFormatting>
  <conditionalFormatting sqref="AB15 AB17:AB22">
    <cfRule type="expression" dxfId="2312" priority="2298">
      <formula>MOD(ROW(),2)=0</formula>
    </cfRule>
  </conditionalFormatting>
  <conditionalFormatting sqref="AB11">
    <cfRule type="expression" dxfId="2311" priority="2297">
      <formula>MOD(ROW(),2)=0</formula>
    </cfRule>
  </conditionalFormatting>
  <conditionalFormatting sqref="AB10">
    <cfRule type="expression" dxfId="2310" priority="2296">
      <formula>MOD(ROW(),2)=0</formula>
    </cfRule>
  </conditionalFormatting>
  <conditionalFormatting sqref="AB22">
    <cfRule type="expression" dxfId="2309" priority="2295">
      <formula>MOD(ROW(),2)=0</formula>
    </cfRule>
  </conditionalFormatting>
  <conditionalFormatting sqref="AB9">
    <cfRule type="expression" dxfId="2308" priority="2294">
      <formula>MOD(ROW(),2)=0</formula>
    </cfRule>
  </conditionalFormatting>
  <conditionalFormatting sqref="AB8">
    <cfRule type="expression" dxfId="2307" priority="2293">
      <formula>MOD(ROW(),2)=0</formula>
    </cfRule>
  </conditionalFormatting>
  <conditionalFormatting sqref="AB12:AB13 AB15:AB17">
    <cfRule type="expression" dxfId="2306" priority="2292">
      <formula>MOD(ROW(),2)=0</formula>
    </cfRule>
  </conditionalFormatting>
  <conditionalFormatting sqref="AB15 AB17:AB22">
    <cfRule type="expression" dxfId="2305" priority="2291">
      <formula>MOD(ROW(),2)=0</formula>
    </cfRule>
  </conditionalFormatting>
  <conditionalFormatting sqref="AB11">
    <cfRule type="expression" dxfId="2304" priority="2290">
      <formula>MOD(ROW(),2)=0</formula>
    </cfRule>
  </conditionalFormatting>
  <conditionalFormatting sqref="AB22">
    <cfRule type="expression" dxfId="2303" priority="2289">
      <formula>MOD(ROW(),2)=0</formula>
    </cfRule>
  </conditionalFormatting>
  <conditionalFormatting sqref="AB10">
    <cfRule type="expression" dxfId="2302" priority="2288">
      <formula>MOD(ROW(),2)=0</formula>
    </cfRule>
  </conditionalFormatting>
  <conditionalFormatting sqref="G5">
    <cfRule type="expression" dxfId="2301" priority="2287">
      <formula>MOD(ROW(),2)=0</formula>
    </cfRule>
  </conditionalFormatting>
  <conditionalFormatting sqref="Q3:Q4">
    <cfRule type="expression" dxfId="2300" priority="2286">
      <formula>MOD(ROW(),2)=0</formula>
    </cfRule>
  </conditionalFormatting>
  <conditionalFormatting sqref="Q3:Q4">
    <cfRule type="expression" dxfId="2299" priority="2285">
      <formula>MOD(ROW(),2)=0</formula>
    </cfRule>
  </conditionalFormatting>
  <conditionalFormatting sqref="Q3:Q4">
    <cfRule type="expression" dxfId="2298" priority="2284">
      <formula>MOD(ROW(),2)=0</formula>
    </cfRule>
  </conditionalFormatting>
  <conditionalFormatting sqref="Q3:Q4">
    <cfRule type="expression" dxfId="2297" priority="2283">
      <formula>MOD(ROW(),2)=0</formula>
    </cfRule>
  </conditionalFormatting>
  <conditionalFormatting sqref="Q3:Q4">
    <cfRule type="expression" dxfId="2296" priority="2282">
      <formula>MOD(ROW(),2)=0</formula>
    </cfRule>
  </conditionalFormatting>
  <conditionalFormatting sqref="Q3:Q4">
    <cfRule type="expression" dxfId="2295" priority="2281">
      <formula>MOD(ROW(),2)=0</formula>
    </cfRule>
  </conditionalFormatting>
  <conditionalFormatting sqref="Q3:Q4">
    <cfRule type="expression" dxfId="2294" priority="2280">
      <formula>MOD(ROW(),2)=0</formula>
    </cfRule>
  </conditionalFormatting>
  <conditionalFormatting sqref="Q3:Q4">
    <cfRule type="expression" dxfId="2293" priority="2279">
      <formula>MOD(ROW(),2)=0</formula>
    </cfRule>
  </conditionalFormatting>
  <conditionalFormatting sqref="Q3:Q4">
    <cfRule type="expression" dxfId="2292" priority="2278">
      <formula>MOD(ROW(),2)=0</formula>
    </cfRule>
  </conditionalFormatting>
  <conditionalFormatting sqref="Q3:Q4">
    <cfRule type="expression" dxfId="2291" priority="2277">
      <formula>MOD(ROW(),2)=0</formula>
    </cfRule>
  </conditionalFormatting>
  <conditionalFormatting sqref="Q3:Q4">
    <cfRule type="expression" dxfId="2290" priority="2276">
      <formula>MOD(ROW(),2)=0</formula>
    </cfRule>
  </conditionalFormatting>
  <conditionalFormatting sqref="Q3:Q4">
    <cfRule type="expression" dxfId="2289" priority="2275">
      <formula>MOD(ROW(),2)=0</formula>
    </cfRule>
  </conditionalFormatting>
  <conditionalFormatting sqref="Q3:Q4">
    <cfRule type="expression" dxfId="2288" priority="2274">
      <formula>MOD(ROW(),2)=0</formula>
    </cfRule>
  </conditionalFormatting>
  <conditionalFormatting sqref="Q3:Q4">
    <cfRule type="expression" dxfId="2287" priority="2273">
      <formula>MOD(ROW(),2)=0</formula>
    </cfRule>
  </conditionalFormatting>
  <conditionalFormatting sqref="Q3:Q4">
    <cfRule type="expression" dxfId="2286" priority="2272">
      <formula>MOD(ROW(),2)=0</formula>
    </cfRule>
  </conditionalFormatting>
  <conditionalFormatting sqref="Q3:Q4">
    <cfRule type="expression" dxfId="2285" priority="2271">
      <formula>MOD(ROW(),2)=0</formula>
    </cfRule>
  </conditionalFormatting>
  <conditionalFormatting sqref="Q3:Q4">
    <cfRule type="expression" dxfId="2284" priority="2270">
      <formula>MOD(ROW(),2)=0</formula>
    </cfRule>
  </conditionalFormatting>
  <conditionalFormatting sqref="Q3:Q4">
    <cfRule type="expression" dxfId="2283" priority="2269">
      <formula>MOD(ROW(),2)=0</formula>
    </cfRule>
  </conditionalFormatting>
  <conditionalFormatting sqref="Q3:Q4">
    <cfRule type="expression" dxfId="2282" priority="2268">
      <formula>MOD(ROW(),2)=0</formula>
    </cfRule>
  </conditionalFormatting>
  <conditionalFormatting sqref="Q3:Q4">
    <cfRule type="expression" dxfId="2281" priority="2267">
      <formula>MOD(ROW(),2)=0</formula>
    </cfRule>
  </conditionalFormatting>
  <conditionalFormatting sqref="Z8">
    <cfRule type="expression" dxfId="2280" priority="2266">
      <formula>MOD(ROW(),2)=0</formula>
    </cfRule>
  </conditionalFormatting>
  <conditionalFormatting sqref="Z15:Z16 Z12:Z13">
    <cfRule type="expression" dxfId="2279" priority="2265">
      <formula>MOD(ROW(),2)=0</formula>
    </cfRule>
  </conditionalFormatting>
  <conditionalFormatting sqref="Z14 Z17 Z19:Z21">
    <cfRule type="expression" dxfId="2278" priority="2264">
      <formula>MOD(ROW(),2)=0</formula>
    </cfRule>
  </conditionalFormatting>
  <conditionalFormatting sqref="Z11">
    <cfRule type="expression" dxfId="2277" priority="2263">
      <formula>MOD(ROW(),2)=0</formula>
    </cfRule>
  </conditionalFormatting>
  <conditionalFormatting sqref="Z22">
    <cfRule type="expression" dxfId="2276" priority="2262">
      <formula>MOD(ROW(),2)=0</formula>
    </cfRule>
  </conditionalFormatting>
  <conditionalFormatting sqref="Z8">
    <cfRule type="expression" dxfId="2275" priority="2261">
      <formula>MOD(ROW(),2)=0</formula>
    </cfRule>
  </conditionalFormatting>
  <conditionalFormatting sqref="Z15:Z16 Z12:Z13">
    <cfRule type="expression" dxfId="2274" priority="2260">
      <formula>MOD(ROW(),2)=0</formula>
    </cfRule>
  </conditionalFormatting>
  <conditionalFormatting sqref="Z14 Z17 Z19:Z21">
    <cfRule type="expression" dxfId="2273" priority="2259">
      <formula>MOD(ROW(),2)=0</formula>
    </cfRule>
  </conditionalFormatting>
  <conditionalFormatting sqref="Z11">
    <cfRule type="expression" dxfId="2272" priority="2258">
      <formula>MOD(ROW(),2)=0</formula>
    </cfRule>
  </conditionalFormatting>
  <conditionalFormatting sqref="Z22">
    <cfRule type="expression" dxfId="2271" priority="2257">
      <formula>MOD(ROW(),2)=0</formula>
    </cfRule>
  </conditionalFormatting>
  <conditionalFormatting sqref="Z8">
    <cfRule type="expression" dxfId="2270" priority="2256">
      <formula>MOD(ROW(),2)=0</formula>
    </cfRule>
  </conditionalFormatting>
  <conditionalFormatting sqref="Z15:Z16 Z12:Z13">
    <cfRule type="expression" dxfId="2269" priority="2255">
      <formula>MOD(ROW(),2)=0</formula>
    </cfRule>
  </conditionalFormatting>
  <conditionalFormatting sqref="Z14 Z17 Z19:Z21">
    <cfRule type="expression" dxfId="2268" priority="2254">
      <formula>MOD(ROW(),2)=0</formula>
    </cfRule>
  </conditionalFormatting>
  <conditionalFormatting sqref="Z11">
    <cfRule type="expression" dxfId="2267" priority="2253">
      <formula>MOD(ROW(),2)=0</formula>
    </cfRule>
  </conditionalFormatting>
  <conditionalFormatting sqref="Z22">
    <cfRule type="expression" dxfId="2266" priority="2252">
      <formula>MOD(ROW(),2)=0</formula>
    </cfRule>
  </conditionalFormatting>
  <conditionalFormatting sqref="Z8">
    <cfRule type="expression" dxfId="2265" priority="2251">
      <formula>MOD(ROW(),2)=0</formula>
    </cfRule>
  </conditionalFormatting>
  <conditionalFormatting sqref="Z15:Z16 Z12:Z13">
    <cfRule type="expression" dxfId="2264" priority="2250">
      <formula>MOD(ROW(),2)=0</formula>
    </cfRule>
  </conditionalFormatting>
  <conditionalFormatting sqref="Z14 Z17 Z19:Z21">
    <cfRule type="expression" dxfId="2263" priority="2249">
      <formula>MOD(ROW(),2)=0</formula>
    </cfRule>
  </conditionalFormatting>
  <conditionalFormatting sqref="Z11">
    <cfRule type="expression" dxfId="2262" priority="2248">
      <formula>MOD(ROW(),2)=0</formula>
    </cfRule>
  </conditionalFormatting>
  <conditionalFormatting sqref="Z22">
    <cfRule type="expression" dxfId="2261" priority="2247">
      <formula>MOD(ROW(),2)=0</formula>
    </cfRule>
  </conditionalFormatting>
  <conditionalFormatting sqref="Z8">
    <cfRule type="expression" dxfId="2260" priority="2246">
      <formula>MOD(ROW(),2)=0</formula>
    </cfRule>
  </conditionalFormatting>
  <conditionalFormatting sqref="Z15:Z16 Z12:Z13">
    <cfRule type="expression" dxfId="2259" priority="2245">
      <formula>MOD(ROW(),2)=0</formula>
    </cfRule>
  </conditionalFormatting>
  <conditionalFormatting sqref="Z14 Z17 Z19:Z21">
    <cfRule type="expression" dxfId="2258" priority="2244">
      <formula>MOD(ROW(),2)=0</formula>
    </cfRule>
  </conditionalFormatting>
  <conditionalFormatting sqref="Z11">
    <cfRule type="expression" dxfId="2257" priority="2243">
      <formula>MOD(ROW(),2)=0</formula>
    </cfRule>
  </conditionalFormatting>
  <conditionalFormatting sqref="Z22">
    <cfRule type="expression" dxfId="2256" priority="2242">
      <formula>MOD(ROW(),2)=0</formula>
    </cfRule>
  </conditionalFormatting>
  <conditionalFormatting sqref="Z8">
    <cfRule type="expression" dxfId="2255" priority="2241">
      <formula>MOD(ROW(),2)=0</formula>
    </cfRule>
  </conditionalFormatting>
  <conditionalFormatting sqref="Z15:Z16 Z12:Z13">
    <cfRule type="expression" dxfId="2254" priority="2240">
      <formula>MOD(ROW(),2)=0</formula>
    </cfRule>
  </conditionalFormatting>
  <conditionalFormatting sqref="Z14 Z17 Z19:Z21">
    <cfRule type="expression" dxfId="2253" priority="2239">
      <formula>MOD(ROW(),2)=0</formula>
    </cfRule>
  </conditionalFormatting>
  <conditionalFormatting sqref="Z11">
    <cfRule type="expression" dxfId="2252" priority="2238">
      <formula>MOD(ROW(),2)=0</formula>
    </cfRule>
  </conditionalFormatting>
  <conditionalFormatting sqref="Z22">
    <cfRule type="expression" dxfId="2251" priority="2237">
      <formula>MOD(ROW(),2)=0</formula>
    </cfRule>
  </conditionalFormatting>
  <conditionalFormatting sqref="Z8">
    <cfRule type="expression" dxfId="2250" priority="2236">
      <formula>MOD(ROW(),2)=0</formula>
    </cfRule>
  </conditionalFormatting>
  <conditionalFormatting sqref="Z15:Z16 Z12:Z13">
    <cfRule type="expression" dxfId="2249" priority="2235">
      <formula>MOD(ROW(),2)=0</formula>
    </cfRule>
  </conditionalFormatting>
  <conditionalFormatting sqref="Z14 Z17 Z19:Z21">
    <cfRule type="expression" dxfId="2248" priority="2234">
      <formula>MOD(ROW(),2)=0</formula>
    </cfRule>
  </conditionalFormatting>
  <conditionalFormatting sqref="Z11">
    <cfRule type="expression" dxfId="2247" priority="2233">
      <formula>MOD(ROW(),2)=0</formula>
    </cfRule>
  </conditionalFormatting>
  <conditionalFormatting sqref="Z22">
    <cfRule type="expression" dxfId="2246" priority="2232">
      <formula>MOD(ROW(),2)=0</formula>
    </cfRule>
  </conditionalFormatting>
  <conditionalFormatting sqref="Z8">
    <cfRule type="expression" dxfId="2245" priority="2231">
      <formula>MOD(ROW(),2)=0</formula>
    </cfRule>
  </conditionalFormatting>
  <conditionalFormatting sqref="Z15:Z16 Z12:Z13">
    <cfRule type="expression" dxfId="2244" priority="2230">
      <formula>MOD(ROW(),2)=0</formula>
    </cfRule>
  </conditionalFormatting>
  <conditionalFormatting sqref="Z14 Z17 Z19:Z21">
    <cfRule type="expression" dxfId="2243" priority="2229">
      <formula>MOD(ROW(),2)=0</formula>
    </cfRule>
  </conditionalFormatting>
  <conditionalFormatting sqref="Z11">
    <cfRule type="expression" dxfId="2242" priority="2228">
      <formula>MOD(ROW(),2)=0</formula>
    </cfRule>
  </conditionalFormatting>
  <conditionalFormatting sqref="Z22">
    <cfRule type="expression" dxfId="2241" priority="2227">
      <formula>MOD(ROW(),2)=0</formula>
    </cfRule>
  </conditionalFormatting>
  <conditionalFormatting sqref="Z8">
    <cfRule type="expression" dxfId="2240" priority="2226">
      <formula>MOD(ROW(),2)=0</formula>
    </cfRule>
  </conditionalFormatting>
  <conditionalFormatting sqref="Z15:Z16 Z12:Z13">
    <cfRule type="expression" dxfId="2239" priority="2225">
      <formula>MOD(ROW(),2)=0</formula>
    </cfRule>
  </conditionalFormatting>
  <conditionalFormatting sqref="Z14 Z17 Z19:Z21">
    <cfRule type="expression" dxfId="2238" priority="2224">
      <formula>MOD(ROW(),2)=0</formula>
    </cfRule>
  </conditionalFormatting>
  <conditionalFormatting sqref="Z11">
    <cfRule type="expression" dxfId="2237" priority="2223">
      <formula>MOD(ROW(),2)=0</formula>
    </cfRule>
  </conditionalFormatting>
  <conditionalFormatting sqref="Z22">
    <cfRule type="expression" dxfId="2236" priority="2222">
      <formula>MOD(ROW(),2)=0</formula>
    </cfRule>
  </conditionalFormatting>
  <conditionalFormatting sqref="Z8">
    <cfRule type="expression" dxfId="2235" priority="2221">
      <formula>MOD(ROW(),2)=0</formula>
    </cfRule>
  </conditionalFormatting>
  <conditionalFormatting sqref="Z15:Z16 Z12:Z13">
    <cfRule type="expression" dxfId="2234" priority="2220">
      <formula>MOD(ROW(),2)=0</formula>
    </cfRule>
  </conditionalFormatting>
  <conditionalFormatting sqref="Z14 Z17 Z19:Z21">
    <cfRule type="expression" dxfId="2233" priority="2219">
      <formula>MOD(ROW(),2)=0</formula>
    </cfRule>
  </conditionalFormatting>
  <conditionalFormatting sqref="Z11">
    <cfRule type="expression" dxfId="2232" priority="2218">
      <formula>MOD(ROW(),2)=0</formula>
    </cfRule>
  </conditionalFormatting>
  <conditionalFormatting sqref="Z22">
    <cfRule type="expression" dxfId="2231" priority="2217">
      <formula>MOD(ROW(),2)=0</formula>
    </cfRule>
  </conditionalFormatting>
  <conditionalFormatting sqref="Z8">
    <cfRule type="expression" dxfId="2230" priority="2216">
      <formula>MOD(ROW(),2)=0</formula>
    </cfRule>
  </conditionalFormatting>
  <conditionalFormatting sqref="Z15:Z16 Z12:Z13">
    <cfRule type="expression" dxfId="2229" priority="2215">
      <formula>MOD(ROW(),2)=0</formula>
    </cfRule>
  </conditionalFormatting>
  <conditionalFormatting sqref="Z14 Z17 Z19:Z21">
    <cfRule type="expression" dxfId="2228" priority="2214">
      <formula>MOD(ROW(),2)=0</formula>
    </cfRule>
  </conditionalFormatting>
  <conditionalFormatting sqref="Z11">
    <cfRule type="expression" dxfId="2227" priority="2213">
      <formula>MOD(ROW(),2)=0</formula>
    </cfRule>
  </conditionalFormatting>
  <conditionalFormatting sqref="Z22">
    <cfRule type="expression" dxfId="2226" priority="2212">
      <formula>MOD(ROW(),2)=0</formula>
    </cfRule>
  </conditionalFormatting>
  <conditionalFormatting sqref="Z8">
    <cfRule type="expression" dxfId="2225" priority="2211">
      <formula>MOD(ROW(),2)=0</formula>
    </cfRule>
  </conditionalFormatting>
  <conditionalFormatting sqref="Z15:Z16 Z12:Z13">
    <cfRule type="expression" dxfId="2224" priority="2210">
      <formula>MOD(ROW(),2)=0</formula>
    </cfRule>
  </conditionalFormatting>
  <conditionalFormatting sqref="Z14 Z17 Z19:Z21">
    <cfRule type="expression" dxfId="2223" priority="2209">
      <formula>MOD(ROW(),2)=0</formula>
    </cfRule>
  </conditionalFormatting>
  <conditionalFormatting sqref="Z11">
    <cfRule type="expression" dxfId="2222" priority="2208">
      <formula>MOD(ROW(),2)=0</formula>
    </cfRule>
  </conditionalFormatting>
  <conditionalFormatting sqref="Z22">
    <cfRule type="expression" dxfId="2221" priority="2207">
      <formula>MOD(ROW(),2)=0</formula>
    </cfRule>
  </conditionalFormatting>
  <conditionalFormatting sqref="Z8">
    <cfRule type="expression" dxfId="2220" priority="2206">
      <formula>MOD(ROW(),2)=0</formula>
    </cfRule>
  </conditionalFormatting>
  <conditionalFormatting sqref="Z15:Z16 Z12:Z13">
    <cfRule type="expression" dxfId="2219" priority="2205">
      <formula>MOD(ROW(),2)=0</formula>
    </cfRule>
  </conditionalFormatting>
  <conditionalFormatting sqref="Z14 Z17 Z19:Z21">
    <cfRule type="expression" dxfId="2218" priority="2204">
      <formula>MOD(ROW(),2)=0</formula>
    </cfRule>
  </conditionalFormatting>
  <conditionalFormatting sqref="Z11">
    <cfRule type="expression" dxfId="2217" priority="2203">
      <formula>MOD(ROW(),2)=0</formula>
    </cfRule>
  </conditionalFormatting>
  <conditionalFormatting sqref="Z22">
    <cfRule type="expression" dxfId="2216" priority="2202">
      <formula>MOD(ROW(),2)=0</formula>
    </cfRule>
  </conditionalFormatting>
  <conditionalFormatting sqref="Z8">
    <cfRule type="expression" dxfId="2215" priority="2201">
      <formula>MOD(ROW(),2)=0</formula>
    </cfRule>
  </conditionalFormatting>
  <conditionalFormatting sqref="Z15:Z16 Z12:Z13">
    <cfRule type="expression" dxfId="2214" priority="2200">
      <formula>MOD(ROW(),2)=0</formula>
    </cfRule>
  </conditionalFormatting>
  <conditionalFormatting sqref="Z14 Z17 Z19:Z21">
    <cfRule type="expression" dxfId="2213" priority="2199">
      <formula>MOD(ROW(),2)=0</formula>
    </cfRule>
  </conditionalFormatting>
  <conditionalFormatting sqref="Z11">
    <cfRule type="expression" dxfId="2212" priority="2198">
      <formula>MOD(ROW(),2)=0</formula>
    </cfRule>
  </conditionalFormatting>
  <conditionalFormatting sqref="Z22">
    <cfRule type="expression" dxfId="2211" priority="2197">
      <formula>MOD(ROW(),2)=0</formula>
    </cfRule>
  </conditionalFormatting>
  <conditionalFormatting sqref="Z8">
    <cfRule type="expression" dxfId="2210" priority="2196">
      <formula>MOD(ROW(),2)=0</formula>
    </cfRule>
  </conditionalFormatting>
  <conditionalFormatting sqref="Z15:Z16 Z12:Z13">
    <cfRule type="expression" dxfId="2209" priority="2195">
      <formula>MOD(ROW(),2)=0</formula>
    </cfRule>
  </conditionalFormatting>
  <conditionalFormatting sqref="Z14 Z17 Z19:Z21">
    <cfRule type="expression" dxfId="2208" priority="2194">
      <formula>MOD(ROW(),2)=0</formula>
    </cfRule>
  </conditionalFormatting>
  <conditionalFormatting sqref="Z11">
    <cfRule type="expression" dxfId="2207" priority="2193">
      <formula>MOD(ROW(),2)=0</formula>
    </cfRule>
  </conditionalFormatting>
  <conditionalFormatting sqref="Z22">
    <cfRule type="expression" dxfId="2206" priority="2192">
      <formula>MOD(ROW(),2)=0</formula>
    </cfRule>
  </conditionalFormatting>
  <conditionalFormatting sqref="Z8">
    <cfRule type="expression" dxfId="2205" priority="2191">
      <formula>MOD(ROW(),2)=0</formula>
    </cfRule>
  </conditionalFormatting>
  <conditionalFormatting sqref="Z15:Z16 Z12:Z13">
    <cfRule type="expression" dxfId="2204" priority="2190">
      <formula>MOD(ROW(),2)=0</formula>
    </cfRule>
  </conditionalFormatting>
  <conditionalFormatting sqref="Z14 Z17 Z19:Z21">
    <cfRule type="expression" dxfId="2203" priority="2189">
      <formula>MOD(ROW(),2)=0</formula>
    </cfRule>
  </conditionalFormatting>
  <conditionalFormatting sqref="Z11">
    <cfRule type="expression" dxfId="2202" priority="2188">
      <formula>MOD(ROW(),2)=0</formula>
    </cfRule>
  </conditionalFormatting>
  <conditionalFormatting sqref="Z22">
    <cfRule type="expression" dxfId="2201" priority="2187">
      <formula>MOD(ROW(),2)=0</formula>
    </cfRule>
  </conditionalFormatting>
  <conditionalFormatting sqref="Z10">
    <cfRule type="expression" dxfId="2200" priority="2186">
      <formula>MOD(ROW(),2)=0</formula>
    </cfRule>
  </conditionalFormatting>
  <conditionalFormatting sqref="Z10">
    <cfRule type="expression" dxfId="2199" priority="2185">
      <formula>MOD(ROW(),2)=0</formula>
    </cfRule>
  </conditionalFormatting>
  <conditionalFormatting sqref="Z10">
    <cfRule type="expression" dxfId="2198" priority="2184">
      <formula>MOD(ROW(),2)=0</formula>
    </cfRule>
  </conditionalFormatting>
  <conditionalFormatting sqref="Z10">
    <cfRule type="expression" dxfId="2197" priority="2183">
      <formula>MOD(ROW(),2)=0</formula>
    </cfRule>
  </conditionalFormatting>
  <conditionalFormatting sqref="Z10">
    <cfRule type="expression" dxfId="2196" priority="2182">
      <formula>MOD(ROW(),2)=0</formula>
    </cfRule>
  </conditionalFormatting>
  <conditionalFormatting sqref="Z10">
    <cfRule type="expression" dxfId="2195" priority="2181">
      <formula>MOD(ROW(),2)=0</formula>
    </cfRule>
  </conditionalFormatting>
  <conditionalFormatting sqref="Z10">
    <cfRule type="expression" dxfId="2194" priority="2180">
      <formula>MOD(ROW(),2)=0</formula>
    </cfRule>
  </conditionalFormatting>
  <conditionalFormatting sqref="Z10">
    <cfRule type="expression" dxfId="2193" priority="2179">
      <formula>MOD(ROW(),2)=0</formula>
    </cfRule>
  </conditionalFormatting>
  <conditionalFormatting sqref="Z10">
    <cfRule type="expression" dxfId="2192" priority="2178">
      <formula>MOD(ROW(),2)=0</formula>
    </cfRule>
  </conditionalFormatting>
  <conditionalFormatting sqref="Z10">
    <cfRule type="expression" dxfId="2191" priority="2177">
      <formula>MOD(ROW(),2)=0</formula>
    </cfRule>
  </conditionalFormatting>
  <conditionalFormatting sqref="Z10">
    <cfRule type="expression" dxfId="2190" priority="2176">
      <formula>MOD(ROW(),2)=0</formula>
    </cfRule>
  </conditionalFormatting>
  <conditionalFormatting sqref="Z10">
    <cfRule type="expression" dxfId="2189" priority="2175">
      <formula>MOD(ROW(),2)=0</formula>
    </cfRule>
  </conditionalFormatting>
  <conditionalFormatting sqref="Z10">
    <cfRule type="expression" dxfId="2188" priority="2174">
      <formula>MOD(ROW(),2)=0</formula>
    </cfRule>
  </conditionalFormatting>
  <conditionalFormatting sqref="Z10">
    <cfRule type="expression" dxfId="2187" priority="2173">
      <formula>MOD(ROW(),2)=0</formula>
    </cfRule>
  </conditionalFormatting>
  <conditionalFormatting sqref="Z10">
    <cfRule type="expression" dxfId="2186" priority="2172">
      <formula>MOD(ROW(),2)=0</formula>
    </cfRule>
  </conditionalFormatting>
  <conditionalFormatting sqref="Z10">
    <cfRule type="expression" dxfId="2185" priority="2171">
      <formula>MOD(ROW(),2)=0</formula>
    </cfRule>
  </conditionalFormatting>
  <conditionalFormatting sqref="Z18">
    <cfRule type="expression" dxfId="2184" priority="2170">
      <formula>MOD(ROW(),2)=0</formula>
    </cfRule>
  </conditionalFormatting>
  <conditionalFormatting sqref="Z18">
    <cfRule type="expression" dxfId="2183" priority="2169">
      <formula>MOD(ROW(),2)=0</formula>
    </cfRule>
  </conditionalFormatting>
  <conditionalFormatting sqref="Z18">
    <cfRule type="expression" dxfId="2182" priority="2168">
      <formula>MOD(ROW(),2)=0</formula>
    </cfRule>
  </conditionalFormatting>
  <conditionalFormatting sqref="Z18">
    <cfRule type="expression" dxfId="2181" priority="2167">
      <formula>MOD(ROW(),2)=0</formula>
    </cfRule>
  </conditionalFormatting>
  <conditionalFormatting sqref="Z18">
    <cfRule type="expression" dxfId="2180" priority="2166">
      <formula>MOD(ROW(),2)=0</formula>
    </cfRule>
  </conditionalFormatting>
  <conditionalFormatting sqref="Z18">
    <cfRule type="expression" dxfId="2179" priority="2165">
      <formula>MOD(ROW(),2)=0</formula>
    </cfRule>
  </conditionalFormatting>
  <conditionalFormatting sqref="Z18">
    <cfRule type="expression" dxfId="2178" priority="2164">
      <formula>MOD(ROW(),2)=0</formula>
    </cfRule>
  </conditionalFormatting>
  <conditionalFormatting sqref="Z18">
    <cfRule type="expression" dxfId="2177" priority="2163">
      <formula>MOD(ROW(),2)=0</formula>
    </cfRule>
  </conditionalFormatting>
  <conditionalFormatting sqref="Z18">
    <cfRule type="expression" dxfId="2176" priority="2162">
      <formula>MOD(ROW(),2)=0</formula>
    </cfRule>
  </conditionalFormatting>
  <conditionalFormatting sqref="Z18">
    <cfRule type="expression" dxfId="2175" priority="2161">
      <formula>MOD(ROW(),2)=0</formula>
    </cfRule>
  </conditionalFormatting>
  <conditionalFormatting sqref="Z18">
    <cfRule type="expression" dxfId="2174" priority="2160">
      <formula>MOD(ROW(),2)=0</formula>
    </cfRule>
  </conditionalFormatting>
  <conditionalFormatting sqref="Z18">
    <cfRule type="expression" dxfId="2173" priority="2159">
      <formula>MOD(ROW(),2)=0</formula>
    </cfRule>
  </conditionalFormatting>
  <conditionalFormatting sqref="Z18">
    <cfRule type="expression" dxfId="2172" priority="2158">
      <formula>MOD(ROW(),2)=0</formula>
    </cfRule>
  </conditionalFormatting>
  <conditionalFormatting sqref="Z18">
    <cfRule type="expression" dxfId="2171" priority="2157">
      <formula>MOD(ROW(),2)=0</formula>
    </cfRule>
  </conditionalFormatting>
  <conditionalFormatting sqref="Z18">
    <cfRule type="expression" dxfId="2170" priority="2156">
      <formula>MOD(ROW(),2)=0</formula>
    </cfRule>
  </conditionalFormatting>
  <conditionalFormatting sqref="Z18">
    <cfRule type="expression" dxfId="2169" priority="2155">
      <formula>MOD(ROW(),2)=0</formula>
    </cfRule>
  </conditionalFormatting>
  <conditionalFormatting sqref="Z12">
    <cfRule type="expression" dxfId="2168" priority="2154">
      <formula>MOD(ROW(),2)=0</formula>
    </cfRule>
  </conditionalFormatting>
  <conditionalFormatting sqref="Z12">
    <cfRule type="expression" dxfId="2167" priority="2153">
      <formula>MOD(ROW(),2)=0</formula>
    </cfRule>
  </conditionalFormatting>
  <conditionalFormatting sqref="Z12">
    <cfRule type="expression" dxfId="2166" priority="2152">
      <formula>MOD(ROW(),2)=0</formula>
    </cfRule>
  </conditionalFormatting>
  <conditionalFormatting sqref="Z12">
    <cfRule type="expression" dxfId="2165" priority="2151">
      <formula>MOD(ROW(),2)=0</formula>
    </cfRule>
  </conditionalFormatting>
  <conditionalFormatting sqref="Z12">
    <cfRule type="expression" dxfId="2164" priority="2150">
      <formula>MOD(ROW(),2)=0</formula>
    </cfRule>
  </conditionalFormatting>
  <conditionalFormatting sqref="Z12">
    <cfRule type="expression" dxfId="2163" priority="2149">
      <formula>MOD(ROW(),2)=0</formula>
    </cfRule>
  </conditionalFormatting>
  <conditionalFormatting sqref="Z12">
    <cfRule type="expression" dxfId="2162" priority="2148">
      <formula>MOD(ROW(),2)=0</formula>
    </cfRule>
  </conditionalFormatting>
  <conditionalFormatting sqref="Z12">
    <cfRule type="expression" dxfId="2161" priority="2147">
      <formula>MOD(ROW(),2)=0</formula>
    </cfRule>
  </conditionalFormatting>
  <conditionalFormatting sqref="Z12">
    <cfRule type="expression" dxfId="2160" priority="2146">
      <formula>MOD(ROW(),2)=0</formula>
    </cfRule>
  </conditionalFormatting>
  <conditionalFormatting sqref="Z12">
    <cfRule type="expression" dxfId="2159" priority="2145">
      <formula>MOD(ROW(),2)=0</formula>
    </cfRule>
  </conditionalFormatting>
  <conditionalFormatting sqref="Z12">
    <cfRule type="expression" dxfId="2158" priority="2144">
      <formula>MOD(ROW(),2)=0</formula>
    </cfRule>
  </conditionalFormatting>
  <conditionalFormatting sqref="Z12">
    <cfRule type="expression" dxfId="2157" priority="2143">
      <formula>MOD(ROW(),2)=0</formula>
    </cfRule>
  </conditionalFormatting>
  <conditionalFormatting sqref="Z12">
    <cfRule type="expression" dxfId="2156" priority="2142">
      <formula>MOD(ROW(),2)=0</formula>
    </cfRule>
  </conditionalFormatting>
  <conditionalFormatting sqref="Z12">
    <cfRule type="expression" dxfId="2155" priority="2141">
      <formula>MOD(ROW(),2)=0</formula>
    </cfRule>
  </conditionalFormatting>
  <conditionalFormatting sqref="Z12">
    <cfRule type="expression" dxfId="2154" priority="2140">
      <formula>MOD(ROW(),2)=0</formula>
    </cfRule>
  </conditionalFormatting>
  <conditionalFormatting sqref="Z12">
    <cfRule type="expression" dxfId="2153" priority="2139">
      <formula>MOD(ROW(),2)=0</formula>
    </cfRule>
  </conditionalFormatting>
  <conditionalFormatting sqref="Z11">
    <cfRule type="expression" dxfId="2152" priority="2138">
      <formula>MOD(ROW(),2)=0</formula>
    </cfRule>
  </conditionalFormatting>
  <conditionalFormatting sqref="Z11">
    <cfRule type="expression" dxfId="2151" priority="2137">
      <formula>MOD(ROW(),2)=0</formula>
    </cfRule>
  </conditionalFormatting>
  <conditionalFormatting sqref="Z11">
    <cfRule type="expression" dxfId="2150" priority="2136">
      <formula>MOD(ROW(),2)=0</formula>
    </cfRule>
  </conditionalFormatting>
  <conditionalFormatting sqref="Z11">
    <cfRule type="expression" dxfId="2149" priority="2135">
      <formula>MOD(ROW(),2)=0</formula>
    </cfRule>
  </conditionalFormatting>
  <conditionalFormatting sqref="Z11">
    <cfRule type="expression" dxfId="2148" priority="2134">
      <formula>MOD(ROW(),2)=0</formula>
    </cfRule>
  </conditionalFormatting>
  <conditionalFormatting sqref="Z11">
    <cfRule type="expression" dxfId="2147" priority="2133">
      <formula>MOD(ROW(),2)=0</formula>
    </cfRule>
  </conditionalFormatting>
  <conditionalFormatting sqref="Z11">
    <cfRule type="expression" dxfId="2146" priority="2132">
      <formula>MOD(ROW(),2)=0</formula>
    </cfRule>
  </conditionalFormatting>
  <conditionalFormatting sqref="Z11">
    <cfRule type="expression" dxfId="2145" priority="2131">
      <formula>MOD(ROW(),2)=0</formula>
    </cfRule>
  </conditionalFormatting>
  <conditionalFormatting sqref="Z11">
    <cfRule type="expression" dxfId="2144" priority="2130">
      <formula>MOD(ROW(),2)=0</formula>
    </cfRule>
  </conditionalFormatting>
  <conditionalFormatting sqref="Z11">
    <cfRule type="expression" dxfId="2143" priority="2129">
      <formula>MOD(ROW(),2)=0</formula>
    </cfRule>
  </conditionalFormatting>
  <conditionalFormatting sqref="Z11">
    <cfRule type="expression" dxfId="2142" priority="2128">
      <formula>MOD(ROW(),2)=0</formula>
    </cfRule>
  </conditionalFormatting>
  <conditionalFormatting sqref="Z11">
    <cfRule type="expression" dxfId="2141" priority="2127">
      <formula>MOD(ROW(),2)=0</formula>
    </cfRule>
  </conditionalFormatting>
  <conditionalFormatting sqref="Z11">
    <cfRule type="expression" dxfId="2140" priority="2126">
      <formula>MOD(ROW(),2)=0</formula>
    </cfRule>
  </conditionalFormatting>
  <conditionalFormatting sqref="Z11">
    <cfRule type="expression" dxfId="2139" priority="2125">
      <formula>MOD(ROW(),2)=0</formula>
    </cfRule>
  </conditionalFormatting>
  <conditionalFormatting sqref="Z11">
    <cfRule type="expression" dxfId="2138" priority="2124">
      <formula>MOD(ROW(),2)=0</formula>
    </cfRule>
  </conditionalFormatting>
  <conditionalFormatting sqref="Z11">
    <cfRule type="expression" dxfId="2137" priority="2123">
      <formula>MOD(ROW(),2)=0</formula>
    </cfRule>
  </conditionalFormatting>
  <conditionalFormatting sqref="Z9">
    <cfRule type="expression" dxfId="2136" priority="2122">
      <formula>MOD(ROW(),2)=0</formula>
    </cfRule>
  </conditionalFormatting>
  <conditionalFormatting sqref="Z9">
    <cfRule type="expression" dxfId="2135" priority="2121">
      <formula>MOD(ROW(),2)=0</formula>
    </cfRule>
  </conditionalFormatting>
  <conditionalFormatting sqref="Z9">
    <cfRule type="expression" dxfId="2134" priority="2120">
      <formula>MOD(ROW(),2)=0</formula>
    </cfRule>
  </conditionalFormatting>
  <conditionalFormatting sqref="Z9">
    <cfRule type="expression" dxfId="2133" priority="2119">
      <formula>MOD(ROW(),2)=0</formula>
    </cfRule>
  </conditionalFormatting>
  <conditionalFormatting sqref="Z9">
    <cfRule type="expression" dxfId="2132" priority="2118">
      <formula>MOD(ROW(),2)=0</formula>
    </cfRule>
  </conditionalFormatting>
  <conditionalFormatting sqref="Z9">
    <cfRule type="expression" dxfId="2131" priority="2117">
      <formula>MOD(ROW(),2)=0</formula>
    </cfRule>
  </conditionalFormatting>
  <conditionalFormatting sqref="Z9">
    <cfRule type="expression" dxfId="2130" priority="2116">
      <formula>MOD(ROW(),2)=0</formula>
    </cfRule>
  </conditionalFormatting>
  <conditionalFormatting sqref="Z9">
    <cfRule type="expression" dxfId="2129" priority="2115">
      <formula>MOD(ROW(),2)=0</formula>
    </cfRule>
  </conditionalFormatting>
  <conditionalFormatting sqref="Z9">
    <cfRule type="expression" dxfId="2128" priority="2114">
      <formula>MOD(ROW(),2)=0</formula>
    </cfRule>
  </conditionalFormatting>
  <conditionalFormatting sqref="Z9">
    <cfRule type="expression" dxfId="2127" priority="2113">
      <formula>MOD(ROW(),2)=0</formula>
    </cfRule>
  </conditionalFormatting>
  <conditionalFormatting sqref="Z9">
    <cfRule type="expression" dxfId="2126" priority="2112">
      <formula>MOD(ROW(),2)=0</formula>
    </cfRule>
  </conditionalFormatting>
  <conditionalFormatting sqref="Z9">
    <cfRule type="expression" dxfId="2125" priority="2111">
      <formula>MOD(ROW(),2)=0</formula>
    </cfRule>
  </conditionalFormatting>
  <conditionalFormatting sqref="Z9">
    <cfRule type="expression" dxfId="2124" priority="2110">
      <formula>MOD(ROW(),2)=0</formula>
    </cfRule>
  </conditionalFormatting>
  <conditionalFormatting sqref="Z9">
    <cfRule type="expression" dxfId="2123" priority="2109">
      <formula>MOD(ROW(),2)=0</formula>
    </cfRule>
  </conditionalFormatting>
  <conditionalFormatting sqref="Z9">
    <cfRule type="expression" dxfId="2122" priority="2108">
      <formula>MOD(ROW(),2)=0</formula>
    </cfRule>
  </conditionalFormatting>
  <conditionalFormatting sqref="Z9">
    <cfRule type="expression" dxfId="2121" priority="2107">
      <formula>MOD(ROW(),2)=0</formula>
    </cfRule>
  </conditionalFormatting>
  <conditionalFormatting sqref="D5:F5">
    <cfRule type="expression" dxfId="2120" priority="2106">
      <formula>MOD(ROW(),2)=0</formula>
    </cfRule>
  </conditionalFormatting>
  <conditionalFormatting sqref="D3:E4">
    <cfRule type="expression" dxfId="2119" priority="2105">
      <formula>MOD(ROW(),2)=0</formula>
    </cfRule>
  </conditionalFormatting>
  <conditionalFormatting sqref="D3:E4">
    <cfRule type="expression" dxfId="2118" priority="2104">
      <formula>MOD(ROW(),2)=0</formula>
    </cfRule>
  </conditionalFormatting>
  <conditionalFormatting sqref="F3:F4">
    <cfRule type="expression" dxfId="2117" priority="2103">
      <formula>MOD(ROW(),2)=0</formula>
    </cfRule>
  </conditionalFormatting>
  <conditionalFormatting sqref="F3:F4">
    <cfRule type="expression" dxfId="2116" priority="2102">
      <formula>MOD(ROW(),2)=0</formula>
    </cfRule>
  </conditionalFormatting>
  <conditionalFormatting sqref="D3:E4">
    <cfRule type="expression" dxfId="2115" priority="2101">
      <formula>MOD(ROW(),2)=0</formula>
    </cfRule>
  </conditionalFormatting>
  <conditionalFormatting sqref="D3:E4">
    <cfRule type="expression" dxfId="2114" priority="2100">
      <formula>MOD(ROW(),2)=0</formula>
    </cfRule>
  </conditionalFormatting>
  <conditionalFormatting sqref="D3:E4">
    <cfRule type="expression" dxfId="2113" priority="2099">
      <formula>MOD(ROW(),2)=0</formula>
    </cfRule>
  </conditionalFormatting>
  <conditionalFormatting sqref="D3:E4">
    <cfRule type="expression" dxfId="2112" priority="2098">
      <formula>MOD(ROW(),2)=0</formula>
    </cfRule>
  </conditionalFormatting>
  <conditionalFormatting sqref="D3:E4">
    <cfRule type="expression" dxfId="2111" priority="2097">
      <formula>MOD(ROW(),2)=0</formula>
    </cfRule>
  </conditionalFormatting>
  <conditionalFormatting sqref="D3:E4">
    <cfRule type="expression" dxfId="2110" priority="2096">
      <formula>MOD(ROW(),2)=0</formula>
    </cfRule>
  </conditionalFormatting>
  <conditionalFormatting sqref="F3:F4">
    <cfRule type="expression" dxfId="2109" priority="2095">
      <formula>MOD(ROW(),2)=0</formula>
    </cfRule>
  </conditionalFormatting>
  <conditionalFormatting sqref="F3:F4">
    <cfRule type="expression" dxfId="2108" priority="2094">
      <formula>MOD(ROW(),2)=0</formula>
    </cfRule>
  </conditionalFormatting>
  <conditionalFormatting sqref="D3:E4">
    <cfRule type="expression" dxfId="2107" priority="2093">
      <formula>MOD(ROW(),2)=0</formula>
    </cfRule>
  </conditionalFormatting>
  <conditionalFormatting sqref="D3:E4">
    <cfRule type="expression" dxfId="2106" priority="2092">
      <formula>MOD(ROW(),2)=0</formula>
    </cfRule>
  </conditionalFormatting>
  <conditionalFormatting sqref="D3:E4">
    <cfRule type="expression" dxfId="2105" priority="2091">
      <formula>MOD(ROW(),2)=0</formula>
    </cfRule>
  </conditionalFormatting>
  <conditionalFormatting sqref="D3:E4">
    <cfRule type="expression" dxfId="2104" priority="2090">
      <formula>MOD(ROW(),2)=0</formula>
    </cfRule>
  </conditionalFormatting>
  <conditionalFormatting sqref="D3:E4">
    <cfRule type="expression" dxfId="2103" priority="2089">
      <formula>MOD(ROW(),2)=0</formula>
    </cfRule>
  </conditionalFormatting>
  <conditionalFormatting sqref="D3:E4">
    <cfRule type="expression" dxfId="2102" priority="2088">
      <formula>MOD(ROW(),2)=0</formula>
    </cfRule>
  </conditionalFormatting>
  <conditionalFormatting sqref="F3:F4">
    <cfRule type="expression" dxfId="2101" priority="2087">
      <formula>MOD(ROW(),2)=0</formula>
    </cfRule>
  </conditionalFormatting>
  <conditionalFormatting sqref="F3:F4">
    <cfRule type="expression" dxfId="2100" priority="2086">
      <formula>MOD(ROW(),2)=0</formula>
    </cfRule>
  </conditionalFormatting>
  <conditionalFormatting sqref="F3:F4">
    <cfRule type="expression" dxfId="2099" priority="2085">
      <formula>MOD(ROW(),2)=0</formula>
    </cfRule>
  </conditionalFormatting>
  <conditionalFormatting sqref="F3:F4">
    <cfRule type="expression" dxfId="2098" priority="2084">
      <formula>MOD(ROW(),2)=0</formula>
    </cfRule>
  </conditionalFormatting>
  <conditionalFormatting sqref="F3:F4">
    <cfRule type="expression" dxfId="2097" priority="2083">
      <formula>MOD(ROW(),2)=0</formula>
    </cfRule>
  </conditionalFormatting>
  <conditionalFormatting sqref="D3:E4">
    <cfRule type="expression" dxfId="2096" priority="2082">
      <formula>MOD(ROW(),2)=0</formula>
    </cfRule>
  </conditionalFormatting>
  <conditionalFormatting sqref="D3:E4">
    <cfRule type="expression" dxfId="2095" priority="2081">
      <formula>MOD(ROW(),2)=0</formula>
    </cfRule>
  </conditionalFormatting>
  <conditionalFormatting sqref="D3:E4">
    <cfRule type="expression" dxfId="2094" priority="2080">
      <formula>MOD(ROW(),2)=0</formula>
    </cfRule>
  </conditionalFormatting>
  <conditionalFormatting sqref="D3:E4">
    <cfRule type="expression" dxfId="2093" priority="2079">
      <formula>MOD(ROW(),2)=0</formula>
    </cfRule>
  </conditionalFormatting>
  <conditionalFormatting sqref="D3:E4">
    <cfRule type="expression" dxfId="2092" priority="2078">
      <formula>MOD(ROW(),2)=0</formula>
    </cfRule>
  </conditionalFormatting>
  <conditionalFormatting sqref="D3:E4">
    <cfRule type="expression" dxfId="2091" priority="2077">
      <formula>MOD(ROW(),2)=0</formula>
    </cfRule>
  </conditionalFormatting>
  <conditionalFormatting sqref="F3:F4">
    <cfRule type="expression" dxfId="2090" priority="2076">
      <formula>MOD(ROW(),2)=0</formula>
    </cfRule>
  </conditionalFormatting>
  <conditionalFormatting sqref="D3:D4 E4">
    <cfRule type="expression" dxfId="2089" priority="2075">
      <formula>MOD(ROW(),2)=0</formula>
    </cfRule>
  </conditionalFormatting>
  <conditionalFormatting sqref="D3:D4 E4">
    <cfRule type="expression" dxfId="2088" priority="2074">
      <formula>MOD(ROW(),2)=0</formula>
    </cfRule>
  </conditionalFormatting>
  <conditionalFormatting sqref="D3:D4 E4">
    <cfRule type="expression" dxfId="2087" priority="2073">
      <formula>MOD(ROW(),2)=0</formula>
    </cfRule>
  </conditionalFormatting>
  <conditionalFormatting sqref="D3:D4 E4">
    <cfRule type="expression" dxfId="2086" priority="2072">
      <formula>MOD(ROW(),2)=0</formula>
    </cfRule>
  </conditionalFormatting>
  <conditionalFormatting sqref="D3:D4 E4">
    <cfRule type="expression" dxfId="2085" priority="2071">
      <formula>MOD(ROW(),2)=0</formula>
    </cfRule>
  </conditionalFormatting>
  <conditionalFormatting sqref="D3:D4 E4">
    <cfRule type="expression" dxfId="2084" priority="2070">
      <formula>MOD(ROW(),2)=0</formula>
    </cfRule>
  </conditionalFormatting>
  <conditionalFormatting sqref="D3:D4 E4">
    <cfRule type="expression" dxfId="2083" priority="2069">
      <formula>MOD(ROW(),2)=0</formula>
    </cfRule>
  </conditionalFormatting>
  <conditionalFormatting sqref="D3:D4 E4">
    <cfRule type="expression" dxfId="2082" priority="2068">
      <formula>MOD(ROW(),2)=0</formula>
    </cfRule>
  </conditionalFormatting>
  <conditionalFormatting sqref="D3:D4 E4">
    <cfRule type="expression" dxfId="2081" priority="2067">
      <formula>MOD(ROW(),2)=0</formula>
    </cfRule>
  </conditionalFormatting>
  <conditionalFormatting sqref="D3:D4 E4">
    <cfRule type="expression" dxfId="2080" priority="2066">
      <formula>MOD(ROW(),2)=0</formula>
    </cfRule>
  </conditionalFormatting>
  <conditionalFormatting sqref="D3:D4 E4">
    <cfRule type="expression" dxfId="2079" priority="2065">
      <formula>MOD(ROW(),2)=0</formula>
    </cfRule>
  </conditionalFormatting>
  <conditionalFormatting sqref="D3:D4 E4">
    <cfRule type="expression" dxfId="2078" priority="2064">
      <formula>MOD(ROW(),2)=0</formula>
    </cfRule>
  </conditionalFormatting>
  <conditionalFormatting sqref="D3:D4 E4">
    <cfRule type="expression" dxfId="2077" priority="2063">
      <formula>MOD(ROW(),2)=0</formula>
    </cfRule>
  </conditionalFormatting>
  <conditionalFormatting sqref="D3:D4 E4">
    <cfRule type="expression" dxfId="2076" priority="2062">
      <formula>MOD(ROW(),2)=0</formula>
    </cfRule>
  </conditionalFormatting>
  <conditionalFormatting sqref="D3:D4 E4">
    <cfRule type="expression" dxfId="2075" priority="2061">
      <formula>MOD(ROW(),2)=0</formula>
    </cfRule>
  </conditionalFormatting>
  <conditionalFormatting sqref="D3:D4 E4">
    <cfRule type="expression" dxfId="2074" priority="2060">
      <formula>MOD(ROW(),2)=0</formula>
    </cfRule>
  </conditionalFormatting>
  <conditionalFormatting sqref="D3:D4 E4">
    <cfRule type="expression" dxfId="2073" priority="2059">
      <formula>MOD(ROW(),2)=0</formula>
    </cfRule>
  </conditionalFormatting>
  <conditionalFormatting sqref="D3:D4 E4">
    <cfRule type="expression" dxfId="2072" priority="2058">
      <formula>MOD(ROW(),2)=0</formula>
    </cfRule>
  </conditionalFormatting>
  <conditionalFormatting sqref="D3:D4 E4">
    <cfRule type="expression" dxfId="2071" priority="2057">
      <formula>MOD(ROW(),2)=0</formula>
    </cfRule>
  </conditionalFormatting>
  <conditionalFormatting sqref="D3:D4 E4">
    <cfRule type="expression" dxfId="2070" priority="2056">
      <formula>MOD(ROW(),2)=0</formula>
    </cfRule>
  </conditionalFormatting>
  <conditionalFormatting sqref="D7:F7">
    <cfRule type="expression" dxfId="2069" priority="2055">
      <formula>MOD(ROW(),2)=0</formula>
    </cfRule>
  </conditionalFormatting>
  <conditionalFormatting sqref="D7:F7">
    <cfRule type="expression" dxfId="2068" priority="2054">
      <formula>MOD(ROW(),2)=0</formula>
    </cfRule>
  </conditionalFormatting>
  <conditionalFormatting sqref="M9">
    <cfRule type="expression" dxfId="2067" priority="2053">
      <formula>MOD(ROW(),2)=0</formula>
    </cfRule>
  </conditionalFormatting>
  <conditionalFormatting sqref="M8">
    <cfRule type="expression" dxfId="2066" priority="2052">
      <formula>MOD(ROW(),2)=0</formula>
    </cfRule>
  </conditionalFormatting>
  <conditionalFormatting sqref="M16 M12:M13">
    <cfRule type="expression" dxfId="2065" priority="2051">
      <formula>MOD(ROW(),2)=0</formula>
    </cfRule>
  </conditionalFormatting>
  <conditionalFormatting sqref="M14 M17:M19 M21">
    <cfRule type="expression" dxfId="2064" priority="2050">
      <formula>MOD(ROW(),2)=0</formula>
    </cfRule>
  </conditionalFormatting>
  <conditionalFormatting sqref="M11">
    <cfRule type="expression" dxfId="2063" priority="2049">
      <formula>MOD(ROW(),2)=0</formula>
    </cfRule>
  </conditionalFormatting>
  <conditionalFormatting sqref="M22">
    <cfRule type="expression" dxfId="2062" priority="2048">
      <formula>MOD(ROW(),2)=0</formula>
    </cfRule>
  </conditionalFormatting>
  <conditionalFormatting sqref="M10">
    <cfRule type="expression" dxfId="2061" priority="2047">
      <formula>MOD(ROW(),2)=0</formula>
    </cfRule>
  </conditionalFormatting>
  <conditionalFormatting sqref="M9">
    <cfRule type="expression" dxfId="2060" priority="2046">
      <formula>MOD(ROW(),2)=0</formula>
    </cfRule>
  </conditionalFormatting>
  <conditionalFormatting sqref="M8">
    <cfRule type="expression" dxfId="2059" priority="2045">
      <formula>MOD(ROW(),2)=0</formula>
    </cfRule>
  </conditionalFormatting>
  <conditionalFormatting sqref="M16 M12:M13">
    <cfRule type="expression" dxfId="2058" priority="2044">
      <formula>MOD(ROW(),2)=0</formula>
    </cfRule>
  </conditionalFormatting>
  <conditionalFormatting sqref="M14 M17:M19 M21">
    <cfRule type="expression" dxfId="2057" priority="2043">
      <formula>MOD(ROW(),2)=0</formula>
    </cfRule>
  </conditionalFormatting>
  <conditionalFormatting sqref="M11">
    <cfRule type="expression" dxfId="2056" priority="2042">
      <formula>MOD(ROW(),2)=0</formula>
    </cfRule>
  </conditionalFormatting>
  <conditionalFormatting sqref="M22">
    <cfRule type="expression" dxfId="2055" priority="2041">
      <formula>MOD(ROW(),2)=0</formula>
    </cfRule>
  </conditionalFormatting>
  <conditionalFormatting sqref="M10">
    <cfRule type="expression" dxfId="2054" priority="2040">
      <formula>MOD(ROW(),2)=0</formula>
    </cfRule>
  </conditionalFormatting>
  <conditionalFormatting sqref="M9">
    <cfRule type="expression" dxfId="2053" priority="2039">
      <formula>MOD(ROW(),2)=0</formula>
    </cfRule>
  </conditionalFormatting>
  <conditionalFormatting sqref="M8">
    <cfRule type="expression" dxfId="2052" priority="2038">
      <formula>MOD(ROW(),2)=0</formula>
    </cfRule>
  </conditionalFormatting>
  <conditionalFormatting sqref="M16 M12:M13">
    <cfRule type="expression" dxfId="2051" priority="2037">
      <formula>MOD(ROW(),2)=0</formula>
    </cfRule>
  </conditionalFormatting>
  <conditionalFormatting sqref="M14 M17:M19 M21">
    <cfRule type="expression" dxfId="2050" priority="2036">
      <formula>MOD(ROW(),2)=0</formula>
    </cfRule>
  </conditionalFormatting>
  <conditionalFormatting sqref="M11">
    <cfRule type="expression" dxfId="2049" priority="2035">
      <formula>MOD(ROW(),2)=0</formula>
    </cfRule>
  </conditionalFormatting>
  <conditionalFormatting sqref="M22">
    <cfRule type="expression" dxfId="2048" priority="2034">
      <formula>MOD(ROW(),2)=0</formula>
    </cfRule>
  </conditionalFormatting>
  <conditionalFormatting sqref="M10">
    <cfRule type="expression" dxfId="2047" priority="2033">
      <formula>MOD(ROW(),2)=0</formula>
    </cfRule>
  </conditionalFormatting>
  <conditionalFormatting sqref="M9">
    <cfRule type="expression" dxfId="2046" priority="2032">
      <formula>MOD(ROW(),2)=0</formula>
    </cfRule>
  </conditionalFormatting>
  <conditionalFormatting sqref="M8">
    <cfRule type="expression" dxfId="2045" priority="2031">
      <formula>MOD(ROW(),2)=0</formula>
    </cfRule>
  </conditionalFormatting>
  <conditionalFormatting sqref="M16 M12:M13">
    <cfRule type="expression" dxfId="2044" priority="2030">
      <formula>MOD(ROW(),2)=0</formula>
    </cfRule>
  </conditionalFormatting>
  <conditionalFormatting sqref="M14 M17:M19 M21">
    <cfRule type="expression" dxfId="2043" priority="2029">
      <formula>MOD(ROW(),2)=0</formula>
    </cfRule>
  </conditionalFormatting>
  <conditionalFormatting sqref="M11">
    <cfRule type="expression" dxfId="2042" priority="2028">
      <formula>MOD(ROW(),2)=0</formula>
    </cfRule>
  </conditionalFormatting>
  <conditionalFormatting sqref="M22">
    <cfRule type="expression" dxfId="2041" priority="2027">
      <formula>MOD(ROW(),2)=0</formula>
    </cfRule>
  </conditionalFormatting>
  <conditionalFormatting sqref="M10">
    <cfRule type="expression" dxfId="2040" priority="2026">
      <formula>MOD(ROW(),2)=0</formula>
    </cfRule>
  </conditionalFormatting>
  <conditionalFormatting sqref="M9">
    <cfRule type="expression" dxfId="2039" priority="2025">
      <formula>MOD(ROW(),2)=0</formula>
    </cfRule>
  </conditionalFormatting>
  <conditionalFormatting sqref="M8">
    <cfRule type="expression" dxfId="2038" priority="2024">
      <formula>MOD(ROW(),2)=0</formula>
    </cfRule>
  </conditionalFormatting>
  <conditionalFormatting sqref="M16 M12:M13">
    <cfRule type="expression" dxfId="2037" priority="2023">
      <formula>MOD(ROW(),2)=0</formula>
    </cfRule>
  </conditionalFormatting>
  <conditionalFormatting sqref="M14 M17:M19 M21">
    <cfRule type="expression" dxfId="2036" priority="2022">
      <formula>MOD(ROW(),2)=0</formula>
    </cfRule>
  </conditionalFormatting>
  <conditionalFormatting sqref="M11">
    <cfRule type="expression" dxfId="2035" priority="2021">
      <formula>MOD(ROW(),2)=0</formula>
    </cfRule>
  </conditionalFormatting>
  <conditionalFormatting sqref="M22">
    <cfRule type="expression" dxfId="2034" priority="2020">
      <formula>MOD(ROW(),2)=0</formula>
    </cfRule>
  </conditionalFormatting>
  <conditionalFormatting sqref="M10">
    <cfRule type="expression" dxfId="2033" priority="2019">
      <formula>MOD(ROW(),2)=0</formula>
    </cfRule>
  </conditionalFormatting>
  <conditionalFormatting sqref="M9">
    <cfRule type="expression" dxfId="2032" priority="2018">
      <formula>MOD(ROW(),2)=0</formula>
    </cfRule>
  </conditionalFormatting>
  <conditionalFormatting sqref="M8">
    <cfRule type="expression" dxfId="2031" priority="2017">
      <formula>MOD(ROW(),2)=0</formula>
    </cfRule>
  </conditionalFormatting>
  <conditionalFormatting sqref="M16 M12:M13">
    <cfRule type="expression" dxfId="2030" priority="2016">
      <formula>MOD(ROW(),2)=0</formula>
    </cfRule>
  </conditionalFormatting>
  <conditionalFormatting sqref="M14 M17:M19 M21">
    <cfRule type="expression" dxfId="2029" priority="2015">
      <formula>MOD(ROW(),2)=0</formula>
    </cfRule>
  </conditionalFormatting>
  <conditionalFormatting sqref="M11">
    <cfRule type="expression" dxfId="2028" priority="2014">
      <formula>MOD(ROW(),2)=0</formula>
    </cfRule>
  </conditionalFormatting>
  <conditionalFormatting sqref="M22">
    <cfRule type="expression" dxfId="2027" priority="2013">
      <formula>MOD(ROW(),2)=0</formula>
    </cfRule>
  </conditionalFormatting>
  <conditionalFormatting sqref="M10">
    <cfRule type="expression" dxfId="2026" priority="2012">
      <formula>MOD(ROW(),2)=0</formula>
    </cfRule>
  </conditionalFormatting>
  <conditionalFormatting sqref="M9">
    <cfRule type="expression" dxfId="2025" priority="2011">
      <formula>MOD(ROW(),2)=0</formula>
    </cfRule>
  </conditionalFormatting>
  <conditionalFormatting sqref="M8">
    <cfRule type="expression" dxfId="2024" priority="2010">
      <formula>MOD(ROW(),2)=0</formula>
    </cfRule>
  </conditionalFormatting>
  <conditionalFormatting sqref="M16 M12:M13">
    <cfRule type="expression" dxfId="2023" priority="2009">
      <formula>MOD(ROW(),2)=0</formula>
    </cfRule>
  </conditionalFormatting>
  <conditionalFormatting sqref="M14 M17:M19 M21">
    <cfRule type="expression" dxfId="2022" priority="2008">
      <formula>MOD(ROW(),2)=0</formula>
    </cfRule>
  </conditionalFormatting>
  <conditionalFormatting sqref="M11">
    <cfRule type="expression" dxfId="2021" priority="2007">
      <formula>MOD(ROW(),2)=0</formula>
    </cfRule>
  </conditionalFormatting>
  <conditionalFormatting sqref="M10">
    <cfRule type="expression" dxfId="2020" priority="2006">
      <formula>MOD(ROW(),2)=0</formula>
    </cfRule>
  </conditionalFormatting>
  <conditionalFormatting sqref="M22">
    <cfRule type="expression" dxfId="2019" priority="2005">
      <formula>MOD(ROW(),2)=0</formula>
    </cfRule>
  </conditionalFormatting>
  <conditionalFormatting sqref="M9">
    <cfRule type="expression" dxfId="2018" priority="2004">
      <formula>MOD(ROW(),2)=0</formula>
    </cfRule>
  </conditionalFormatting>
  <conditionalFormatting sqref="M8">
    <cfRule type="expression" dxfId="2017" priority="2003">
      <formula>MOD(ROW(),2)=0</formula>
    </cfRule>
  </conditionalFormatting>
  <conditionalFormatting sqref="M16 M12:M13">
    <cfRule type="expression" dxfId="2016" priority="2002">
      <formula>MOD(ROW(),2)=0</formula>
    </cfRule>
  </conditionalFormatting>
  <conditionalFormatting sqref="M14 M17:M19 M21">
    <cfRule type="expression" dxfId="2015" priority="2001">
      <formula>MOD(ROW(),2)=0</formula>
    </cfRule>
  </conditionalFormatting>
  <conditionalFormatting sqref="M11">
    <cfRule type="expression" dxfId="2014" priority="2000">
      <formula>MOD(ROW(),2)=0</formula>
    </cfRule>
  </conditionalFormatting>
  <conditionalFormatting sqref="M22">
    <cfRule type="expression" dxfId="2013" priority="1999">
      <formula>MOD(ROW(),2)=0</formula>
    </cfRule>
  </conditionalFormatting>
  <conditionalFormatting sqref="M10">
    <cfRule type="expression" dxfId="2012" priority="1998">
      <formula>MOD(ROW(),2)=0</formula>
    </cfRule>
  </conditionalFormatting>
  <conditionalFormatting sqref="M9">
    <cfRule type="expression" dxfId="2011" priority="1997">
      <formula>MOD(ROW(),2)=0</formula>
    </cfRule>
  </conditionalFormatting>
  <conditionalFormatting sqref="M8">
    <cfRule type="expression" dxfId="2010" priority="1996">
      <formula>MOD(ROW(),2)=0</formula>
    </cfRule>
  </conditionalFormatting>
  <conditionalFormatting sqref="M16 M12:M13">
    <cfRule type="expression" dxfId="2009" priority="1995">
      <formula>MOD(ROW(),2)=0</formula>
    </cfRule>
  </conditionalFormatting>
  <conditionalFormatting sqref="M14 M17:M19 M21">
    <cfRule type="expression" dxfId="2008" priority="1994">
      <formula>MOD(ROW(),2)=0</formula>
    </cfRule>
  </conditionalFormatting>
  <conditionalFormatting sqref="M11">
    <cfRule type="expression" dxfId="2007" priority="1993">
      <formula>MOD(ROW(),2)=0</formula>
    </cfRule>
  </conditionalFormatting>
  <conditionalFormatting sqref="M22">
    <cfRule type="expression" dxfId="2006" priority="1992">
      <formula>MOD(ROW(),2)=0</formula>
    </cfRule>
  </conditionalFormatting>
  <conditionalFormatting sqref="M10">
    <cfRule type="expression" dxfId="2005" priority="1991">
      <formula>MOD(ROW(),2)=0</formula>
    </cfRule>
  </conditionalFormatting>
  <conditionalFormatting sqref="M9">
    <cfRule type="expression" dxfId="2004" priority="1990">
      <formula>MOD(ROW(),2)=0</formula>
    </cfRule>
  </conditionalFormatting>
  <conditionalFormatting sqref="M8">
    <cfRule type="expression" dxfId="2003" priority="1989">
      <formula>MOD(ROW(),2)=0</formula>
    </cfRule>
  </conditionalFormatting>
  <conditionalFormatting sqref="M16 M12:M13">
    <cfRule type="expression" dxfId="2002" priority="1988">
      <formula>MOD(ROW(),2)=0</formula>
    </cfRule>
  </conditionalFormatting>
  <conditionalFormatting sqref="M14 M17:M19 M21">
    <cfRule type="expression" dxfId="2001" priority="1987">
      <formula>MOD(ROW(),2)=0</formula>
    </cfRule>
  </conditionalFormatting>
  <conditionalFormatting sqref="M11">
    <cfRule type="expression" dxfId="2000" priority="1986">
      <formula>MOD(ROW(),2)=0</formula>
    </cfRule>
  </conditionalFormatting>
  <conditionalFormatting sqref="M22">
    <cfRule type="expression" dxfId="1999" priority="1985">
      <formula>MOD(ROW(),2)=0</formula>
    </cfRule>
  </conditionalFormatting>
  <conditionalFormatting sqref="M10">
    <cfRule type="expression" dxfId="1998" priority="1984">
      <formula>MOD(ROW(),2)=0</formula>
    </cfRule>
  </conditionalFormatting>
  <conditionalFormatting sqref="M9">
    <cfRule type="expression" dxfId="1997" priority="1983">
      <formula>MOD(ROW(),2)=0</formula>
    </cfRule>
  </conditionalFormatting>
  <conditionalFormatting sqref="M8">
    <cfRule type="expression" dxfId="1996" priority="1982">
      <formula>MOD(ROW(),2)=0</formula>
    </cfRule>
  </conditionalFormatting>
  <conditionalFormatting sqref="M16 M12:M13">
    <cfRule type="expression" dxfId="1995" priority="1981">
      <formula>MOD(ROW(),2)=0</formula>
    </cfRule>
  </conditionalFormatting>
  <conditionalFormatting sqref="M14 M17:M19 M21">
    <cfRule type="expression" dxfId="1994" priority="1980">
      <formula>MOD(ROW(),2)=0</formula>
    </cfRule>
  </conditionalFormatting>
  <conditionalFormatting sqref="M11">
    <cfRule type="expression" dxfId="1993" priority="1979">
      <formula>MOD(ROW(),2)=0</formula>
    </cfRule>
  </conditionalFormatting>
  <conditionalFormatting sqref="M22">
    <cfRule type="expression" dxfId="1992" priority="1978">
      <formula>MOD(ROW(),2)=0</formula>
    </cfRule>
  </conditionalFormatting>
  <conditionalFormatting sqref="M10">
    <cfRule type="expression" dxfId="1991" priority="1977">
      <formula>MOD(ROW(),2)=0</formula>
    </cfRule>
  </conditionalFormatting>
  <conditionalFormatting sqref="M9">
    <cfRule type="expression" dxfId="1990" priority="1976">
      <formula>MOD(ROW(),2)=0</formula>
    </cfRule>
  </conditionalFormatting>
  <conditionalFormatting sqref="M8">
    <cfRule type="expression" dxfId="1989" priority="1975">
      <formula>MOD(ROW(),2)=0</formula>
    </cfRule>
  </conditionalFormatting>
  <conditionalFormatting sqref="M16 M12:M13">
    <cfRule type="expression" dxfId="1988" priority="1974">
      <formula>MOD(ROW(),2)=0</formula>
    </cfRule>
  </conditionalFormatting>
  <conditionalFormatting sqref="M14 M17:M19 M21">
    <cfRule type="expression" dxfId="1987" priority="1973">
      <formula>MOD(ROW(),2)=0</formula>
    </cfRule>
  </conditionalFormatting>
  <conditionalFormatting sqref="M11">
    <cfRule type="expression" dxfId="1986" priority="1972">
      <formula>MOD(ROW(),2)=0</formula>
    </cfRule>
  </conditionalFormatting>
  <conditionalFormatting sqref="M22">
    <cfRule type="expression" dxfId="1985" priority="1971">
      <formula>MOD(ROW(),2)=0</formula>
    </cfRule>
  </conditionalFormatting>
  <conditionalFormatting sqref="M10">
    <cfRule type="expression" dxfId="1984" priority="1970">
      <formula>MOD(ROW(),2)=0</formula>
    </cfRule>
  </conditionalFormatting>
  <conditionalFormatting sqref="M9">
    <cfRule type="expression" dxfId="1983" priority="1969">
      <formula>MOD(ROW(),2)=0</formula>
    </cfRule>
  </conditionalFormatting>
  <conditionalFormatting sqref="M8">
    <cfRule type="expression" dxfId="1982" priority="1968">
      <formula>MOD(ROW(),2)=0</formula>
    </cfRule>
  </conditionalFormatting>
  <conditionalFormatting sqref="M16 M12:M13">
    <cfRule type="expression" dxfId="1981" priority="1967">
      <formula>MOD(ROW(),2)=0</formula>
    </cfRule>
  </conditionalFormatting>
  <conditionalFormatting sqref="M14 M17:M19 M21">
    <cfRule type="expression" dxfId="1980" priority="1966">
      <formula>MOD(ROW(),2)=0</formula>
    </cfRule>
  </conditionalFormatting>
  <conditionalFormatting sqref="M11">
    <cfRule type="expression" dxfId="1979" priority="1965">
      <formula>MOD(ROW(),2)=0</formula>
    </cfRule>
  </conditionalFormatting>
  <conditionalFormatting sqref="M22">
    <cfRule type="expression" dxfId="1978" priority="1964">
      <formula>MOD(ROW(),2)=0</formula>
    </cfRule>
  </conditionalFormatting>
  <conditionalFormatting sqref="M10">
    <cfRule type="expression" dxfId="1977" priority="1963">
      <formula>MOD(ROW(),2)=0</formula>
    </cfRule>
  </conditionalFormatting>
  <conditionalFormatting sqref="M9">
    <cfRule type="expression" dxfId="1976" priority="1962">
      <formula>MOD(ROW(),2)=0</formula>
    </cfRule>
  </conditionalFormatting>
  <conditionalFormatting sqref="M8">
    <cfRule type="expression" dxfId="1975" priority="1961">
      <formula>MOD(ROW(),2)=0</formula>
    </cfRule>
  </conditionalFormatting>
  <conditionalFormatting sqref="M16 M12:M13">
    <cfRule type="expression" dxfId="1974" priority="1960">
      <formula>MOD(ROW(),2)=0</formula>
    </cfRule>
  </conditionalFormatting>
  <conditionalFormatting sqref="M14 M17:M19 M21">
    <cfRule type="expression" dxfId="1973" priority="1959">
      <formula>MOD(ROW(),2)=0</formula>
    </cfRule>
  </conditionalFormatting>
  <conditionalFormatting sqref="M11">
    <cfRule type="expression" dxfId="1972" priority="1958">
      <formula>MOD(ROW(),2)=0</formula>
    </cfRule>
  </conditionalFormatting>
  <conditionalFormatting sqref="M22">
    <cfRule type="expression" dxfId="1971" priority="1957">
      <formula>MOD(ROW(),2)=0</formula>
    </cfRule>
  </conditionalFormatting>
  <conditionalFormatting sqref="M10">
    <cfRule type="expression" dxfId="1970" priority="1956">
      <formula>MOD(ROW(),2)=0</formula>
    </cfRule>
  </conditionalFormatting>
  <conditionalFormatting sqref="M9">
    <cfRule type="expression" dxfId="1969" priority="1955">
      <formula>MOD(ROW(),2)=0</formula>
    </cfRule>
  </conditionalFormatting>
  <conditionalFormatting sqref="M8">
    <cfRule type="expression" dxfId="1968" priority="1954">
      <formula>MOD(ROW(),2)=0</formula>
    </cfRule>
  </conditionalFormatting>
  <conditionalFormatting sqref="M16 M12:M13">
    <cfRule type="expression" dxfId="1967" priority="1953">
      <formula>MOD(ROW(),2)=0</formula>
    </cfRule>
  </conditionalFormatting>
  <conditionalFormatting sqref="M14 M17:M19 M21">
    <cfRule type="expression" dxfId="1966" priority="1952">
      <formula>MOD(ROW(),2)=0</formula>
    </cfRule>
  </conditionalFormatting>
  <conditionalFormatting sqref="M11">
    <cfRule type="expression" dxfId="1965" priority="1951">
      <formula>MOD(ROW(),2)=0</formula>
    </cfRule>
  </conditionalFormatting>
  <conditionalFormatting sqref="M10">
    <cfRule type="expression" dxfId="1964" priority="1950">
      <formula>MOD(ROW(),2)=0</formula>
    </cfRule>
  </conditionalFormatting>
  <conditionalFormatting sqref="M22">
    <cfRule type="expression" dxfId="1963" priority="1949">
      <formula>MOD(ROW(),2)=0</formula>
    </cfRule>
  </conditionalFormatting>
  <conditionalFormatting sqref="M9">
    <cfRule type="expression" dxfId="1962" priority="1948">
      <formula>MOD(ROW(),2)=0</formula>
    </cfRule>
  </conditionalFormatting>
  <conditionalFormatting sqref="M8">
    <cfRule type="expression" dxfId="1961" priority="1947">
      <formula>MOD(ROW(),2)=0</formula>
    </cfRule>
  </conditionalFormatting>
  <conditionalFormatting sqref="M16 M12:M13">
    <cfRule type="expression" dxfId="1960" priority="1946">
      <formula>MOD(ROW(),2)=0</formula>
    </cfRule>
  </conditionalFormatting>
  <conditionalFormatting sqref="M14 M17:M19 M21">
    <cfRule type="expression" dxfId="1959" priority="1945">
      <formula>MOD(ROW(),2)=0</formula>
    </cfRule>
  </conditionalFormatting>
  <conditionalFormatting sqref="M11">
    <cfRule type="expression" dxfId="1958" priority="1944">
      <formula>MOD(ROW(),2)=0</formula>
    </cfRule>
  </conditionalFormatting>
  <conditionalFormatting sqref="M22">
    <cfRule type="expression" dxfId="1957" priority="1943">
      <formula>MOD(ROW(),2)=0</formula>
    </cfRule>
  </conditionalFormatting>
  <conditionalFormatting sqref="M10">
    <cfRule type="expression" dxfId="1956" priority="1942">
      <formula>MOD(ROW(),2)=0</formula>
    </cfRule>
  </conditionalFormatting>
  <conditionalFormatting sqref="M15">
    <cfRule type="expression" dxfId="1955" priority="1941">
      <formula>MOD(ROW(),2)=0</formula>
    </cfRule>
  </conditionalFormatting>
  <conditionalFormatting sqref="M15">
    <cfRule type="expression" dxfId="1954" priority="1940">
      <formula>MOD(ROW(),2)=0</formula>
    </cfRule>
  </conditionalFormatting>
  <conditionalFormatting sqref="M15">
    <cfRule type="expression" dxfId="1953" priority="1939">
      <formula>MOD(ROW(),2)=0</formula>
    </cfRule>
  </conditionalFormatting>
  <conditionalFormatting sqref="M15">
    <cfRule type="expression" dxfId="1952" priority="1938">
      <formula>MOD(ROW(),2)=0</formula>
    </cfRule>
  </conditionalFormatting>
  <conditionalFormatting sqref="M15">
    <cfRule type="expression" dxfId="1951" priority="1937">
      <formula>MOD(ROW(),2)=0</formula>
    </cfRule>
  </conditionalFormatting>
  <conditionalFormatting sqref="M15">
    <cfRule type="expression" dxfId="1950" priority="1936">
      <formula>MOD(ROW(),2)=0</formula>
    </cfRule>
  </conditionalFormatting>
  <conditionalFormatting sqref="M15">
    <cfRule type="expression" dxfId="1949" priority="1935">
      <formula>MOD(ROW(),2)=0</formula>
    </cfRule>
  </conditionalFormatting>
  <conditionalFormatting sqref="M15">
    <cfRule type="expression" dxfId="1948" priority="1934">
      <formula>MOD(ROW(),2)=0</formula>
    </cfRule>
  </conditionalFormatting>
  <conditionalFormatting sqref="M15">
    <cfRule type="expression" dxfId="1947" priority="1933">
      <formula>MOD(ROW(),2)=0</formula>
    </cfRule>
  </conditionalFormatting>
  <conditionalFormatting sqref="M15">
    <cfRule type="expression" dxfId="1946" priority="1932">
      <formula>MOD(ROW(),2)=0</formula>
    </cfRule>
  </conditionalFormatting>
  <conditionalFormatting sqref="M15">
    <cfRule type="expression" dxfId="1945" priority="1931">
      <formula>MOD(ROW(),2)=0</formula>
    </cfRule>
  </conditionalFormatting>
  <conditionalFormatting sqref="M15">
    <cfRule type="expression" dxfId="1944" priority="1930">
      <formula>MOD(ROW(),2)=0</formula>
    </cfRule>
  </conditionalFormatting>
  <conditionalFormatting sqref="M15">
    <cfRule type="expression" dxfId="1943" priority="1929">
      <formula>MOD(ROW(),2)=0</formula>
    </cfRule>
  </conditionalFormatting>
  <conditionalFormatting sqref="M15">
    <cfRule type="expression" dxfId="1942" priority="1928">
      <formula>MOD(ROW(),2)=0</formula>
    </cfRule>
  </conditionalFormatting>
  <conditionalFormatting sqref="M15">
    <cfRule type="expression" dxfId="1941" priority="1927">
      <formula>MOD(ROW(),2)=0</formula>
    </cfRule>
  </conditionalFormatting>
  <conditionalFormatting sqref="M15">
    <cfRule type="expression" dxfId="1940" priority="1926">
      <formula>MOD(ROW(),2)=0</formula>
    </cfRule>
  </conditionalFormatting>
  <conditionalFormatting sqref="M20">
    <cfRule type="expression" dxfId="1939" priority="1925">
      <formula>MOD(ROW(),2)=0</formula>
    </cfRule>
  </conditionalFormatting>
  <conditionalFormatting sqref="M20">
    <cfRule type="expression" dxfId="1938" priority="1924">
      <formula>MOD(ROW(),2)=0</formula>
    </cfRule>
  </conditionalFormatting>
  <conditionalFormatting sqref="M20">
    <cfRule type="expression" dxfId="1937" priority="1923">
      <formula>MOD(ROW(),2)=0</formula>
    </cfRule>
  </conditionalFormatting>
  <conditionalFormatting sqref="M20">
    <cfRule type="expression" dxfId="1936" priority="1922">
      <formula>MOD(ROW(),2)=0</formula>
    </cfRule>
  </conditionalFormatting>
  <conditionalFormatting sqref="M20">
    <cfRule type="expression" dxfId="1935" priority="1921">
      <formula>MOD(ROW(),2)=0</formula>
    </cfRule>
  </conditionalFormatting>
  <conditionalFormatting sqref="M20">
    <cfRule type="expression" dxfId="1934" priority="1920">
      <formula>MOD(ROW(),2)=0</formula>
    </cfRule>
  </conditionalFormatting>
  <conditionalFormatting sqref="M20">
    <cfRule type="expression" dxfId="1933" priority="1919">
      <formula>MOD(ROW(),2)=0</formula>
    </cfRule>
  </conditionalFormatting>
  <conditionalFormatting sqref="M20">
    <cfRule type="expression" dxfId="1932" priority="1918">
      <formula>MOD(ROW(),2)=0</formula>
    </cfRule>
  </conditionalFormatting>
  <conditionalFormatting sqref="M20">
    <cfRule type="expression" dxfId="1931" priority="1917">
      <formula>MOD(ROW(),2)=0</formula>
    </cfRule>
  </conditionalFormatting>
  <conditionalFormatting sqref="M20">
    <cfRule type="expression" dxfId="1930" priority="1916">
      <formula>MOD(ROW(),2)=0</formula>
    </cfRule>
  </conditionalFormatting>
  <conditionalFormatting sqref="M20">
    <cfRule type="expression" dxfId="1929" priority="1915">
      <formula>MOD(ROW(),2)=0</formula>
    </cfRule>
  </conditionalFormatting>
  <conditionalFormatting sqref="M20">
    <cfRule type="expression" dxfId="1928" priority="1914">
      <formula>MOD(ROW(),2)=0</formula>
    </cfRule>
  </conditionalFormatting>
  <conditionalFormatting sqref="M20">
    <cfRule type="expression" dxfId="1927" priority="1913">
      <formula>MOD(ROW(),2)=0</formula>
    </cfRule>
  </conditionalFormatting>
  <conditionalFormatting sqref="M20">
    <cfRule type="expression" dxfId="1926" priority="1912">
      <formula>MOD(ROW(),2)=0</formula>
    </cfRule>
  </conditionalFormatting>
  <conditionalFormatting sqref="M20">
    <cfRule type="expression" dxfId="1925" priority="1911">
      <formula>MOD(ROW(),2)=0</formula>
    </cfRule>
  </conditionalFormatting>
  <conditionalFormatting sqref="M20">
    <cfRule type="expression" dxfId="1924" priority="1910">
      <formula>MOD(ROW(),2)=0</formula>
    </cfRule>
  </conditionalFormatting>
  <conditionalFormatting sqref="N9">
    <cfRule type="expression" dxfId="1923" priority="1909">
      <formula>MOD(ROW(),2)=0</formula>
    </cfRule>
  </conditionalFormatting>
  <conditionalFormatting sqref="N8">
    <cfRule type="expression" dxfId="1922" priority="1908">
      <formula>MOD(ROW(),2)=0</formula>
    </cfRule>
  </conditionalFormatting>
  <conditionalFormatting sqref="N16 N12:N13">
    <cfRule type="expression" dxfId="1921" priority="1907">
      <formula>MOD(ROW(),2)=0</formula>
    </cfRule>
  </conditionalFormatting>
  <conditionalFormatting sqref="N14 N17:N19 N21">
    <cfRule type="expression" dxfId="1920" priority="1906">
      <formula>MOD(ROW(),2)=0</formula>
    </cfRule>
  </conditionalFormatting>
  <conditionalFormatting sqref="N11">
    <cfRule type="expression" dxfId="1919" priority="1905">
      <formula>MOD(ROW(),2)=0</formula>
    </cfRule>
  </conditionalFormatting>
  <conditionalFormatting sqref="N22">
    <cfRule type="expression" dxfId="1918" priority="1904">
      <formula>MOD(ROW(),2)=0</formula>
    </cfRule>
  </conditionalFormatting>
  <conditionalFormatting sqref="N10">
    <cfRule type="expression" dxfId="1917" priority="1903">
      <formula>MOD(ROW(),2)=0</formula>
    </cfRule>
  </conditionalFormatting>
  <conditionalFormatting sqref="N9">
    <cfRule type="expression" dxfId="1916" priority="1902">
      <formula>MOD(ROW(),2)=0</formula>
    </cfRule>
  </conditionalFormatting>
  <conditionalFormatting sqref="N8">
    <cfRule type="expression" dxfId="1915" priority="1901">
      <formula>MOD(ROW(),2)=0</formula>
    </cfRule>
  </conditionalFormatting>
  <conditionalFormatting sqref="N16 N12:N13">
    <cfRule type="expression" dxfId="1914" priority="1900">
      <formula>MOD(ROW(),2)=0</formula>
    </cfRule>
  </conditionalFormatting>
  <conditionalFormatting sqref="N14 N17:N19 N21">
    <cfRule type="expression" dxfId="1913" priority="1899">
      <formula>MOD(ROW(),2)=0</formula>
    </cfRule>
  </conditionalFormatting>
  <conditionalFormatting sqref="N11">
    <cfRule type="expression" dxfId="1912" priority="1898">
      <formula>MOD(ROW(),2)=0</formula>
    </cfRule>
  </conditionalFormatting>
  <conditionalFormatting sqref="N22">
    <cfRule type="expression" dxfId="1911" priority="1897">
      <formula>MOD(ROW(),2)=0</formula>
    </cfRule>
  </conditionalFormatting>
  <conditionalFormatting sqref="N10">
    <cfRule type="expression" dxfId="1910" priority="1896">
      <formula>MOD(ROW(),2)=0</formula>
    </cfRule>
  </conditionalFormatting>
  <conditionalFormatting sqref="N9">
    <cfRule type="expression" dxfId="1909" priority="1895">
      <formula>MOD(ROW(),2)=0</formula>
    </cfRule>
  </conditionalFormatting>
  <conditionalFormatting sqref="N8">
    <cfRule type="expression" dxfId="1908" priority="1894">
      <formula>MOD(ROW(),2)=0</formula>
    </cfRule>
  </conditionalFormatting>
  <conditionalFormatting sqref="N16 N12:N13">
    <cfRule type="expression" dxfId="1907" priority="1893">
      <formula>MOD(ROW(),2)=0</formula>
    </cfRule>
  </conditionalFormatting>
  <conditionalFormatting sqref="N14 N17:N19 N21">
    <cfRule type="expression" dxfId="1906" priority="1892">
      <formula>MOD(ROW(),2)=0</formula>
    </cfRule>
  </conditionalFormatting>
  <conditionalFormatting sqref="N11">
    <cfRule type="expression" dxfId="1905" priority="1891">
      <formula>MOD(ROW(),2)=0</formula>
    </cfRule>
  </conditionalFormatting>
  <conditionalFormatting sqref="N22">
    <cfRule type="expression" dxfId="1904" priority="1890">
      <formula>MOD(ROW(),2)=0</formula>
    </cfRule>
  </conditionalFormatting>
  <conditionalFormatting sqref="N10">
    <cfRule type="expression" dxfId="1903" priority="1889">
      <formula>MOD(ROW(),2)=0</formula>
    </cfRule>
  </conditionalFormatting>
  <conditionalFormatting sqref="N9">
    <cfRule type="expression" dxfId="1902" priority="1888">
      <formula>MOD(ROW(),2)=0</formula>
    </cfRule>
  </conditionalFormatting>
  <conditionalFormatting sqref="N8">
    <cfRule type="expression" dxfId="1901" priority="1887">
      <formula>MOD(ROW(),2)=0</formula>
    </cfRule>
  </conditionalFormatting>
  <conditionalFormatting sqref="N16 N12:N13">
    <cfRule type="expression" dxfId="1900" priority="1886">
      <formula>MOD(ROW(),2)=0</formula>
    </cfRule>
  </conditionalFormatting>
  <conditionalFormatting sqref="N14 N17:N19 N21">
    <cfRule type="expression" dxfId="1899" priority="1885">
      <formula>MOD(ROW(),2)=0</formula>
    </cfRule>
  </conditionalFormatting>
  <conditionalFormatting sqref="N11">
    <cfRule type="expression" dxfId="1898" priority="1884">
      <formula>MOD(ROW(),2)=0</formula>
    </cfRule>
  </conditionalFormatting>
  <conditionalFormatting sqref="N22">
    <cfRule type="expression" dxfId="1897" priority="1883">
      <formula>MOD(ROW(),2)=0</formula>
    </cfRule>
  </conditionalFormatting>
  <conditionalFormatting sqref="N10">
    <cfRule type="expression" dxfId="1896" priority="1882">
      <formula>MOD(ROW(),2)=0</formula>
    </cfRule>
  </conditionalFormatting>
  <conditionalFormatting sqref="N9">
    <cfRule type="expression" dxfId="1895" priority="1881">
      <formula>MOD(ROW(),2)=0</formula>
    </cfRule>
  </conditionalFormatting>
  <conditionalFormatting sqref="N8">
    <cfRule type="expression" dxfId="1894" priority="1880">
      <formula>MOD(ROW(),2)=0</formula>
    </cfRule>
  </conditionalFormatting>
  <conditionalFormatting sqref="N16 N12:N13">
    <cfRule type="expression" dxfId="1893" priority="1879">
      <formula>MOD(ROW(),2)=0</formula>
    </cfRule>
  </conditionalFormatting>
  <conditionalFormatting sqref="N14 N17:N19 N21">
    <cfRule type="expression" dxfId="1892" priority="1878">
      <formula>MOD(ROW(),2)=0</formula>
    </cfRule>
  </conditionalFormatting>
  <conditionalFormatting sqref="N11">
    <cfRule type="expression" dxfId="1891" priority="1877">
      <formula>MOD(ROW(),2)=0</formula>
    </cfRule>
  </conditionalFormatting>
  <conditionalFormatting sqref="N22">
    <cfRule type="expression" dxfId="1890" priority="1876">
      <formula>MOD(ROW(),2)=0</formula>
    </cfRule>
  </conditionalFormatting>
  <conditionalFormatting sqref="N10">
    <cfRule type="expression" dxfId="1889" priority="1875">
      <formula>MOD(ROW(),2)=0</formula>
    </cfRule>
  </conditionalFormatting>
  <conditionalFormatting sqref="N9">
    <cfRule type="expression" dxfId="1888" priority="1874">
      <formula>MOD(ROW(),2)=0</formula>
    </cfRule>
  </conditionalFormatting>
  <conditionalFormatting sqref="N8">
    <cfRule type="expression" dxfId="1887" priority="1873">
      <formula>MOD(ROW(),2)=0</formula>
    </cfRule>
  </conditionalFormatting>
  <conditionalFormatting sqref="N16 N12:N13">
    <cfRule type="expression" dxfId="1886" priority="1872">
      <formula>MOD(ROW(),2)=0</formula>
    </cfRule>
  </conditionalFormatting>
  <conditionalFormatting sqref="N14 N17:N19 N21">
    <cfRule type="expression" dxfId="1885" priority="1871">
      <formula>MOD(ROW(),2)=0</formula>
    </cfRule>
  </conditionalFormatting>
  <conditionalFormatting sqref="N11">
    <cfRule type="expression" dxfId="1884" priority="1870">
      <formula>MOD(ROW(),2)=0</formula>
    </cfRule>
  </conditionalFormatting>
  <conditionalFormatting sqref="N22">
    <cfRule type="expression" dxfId="1883" priority="1869">
      <formula>MOD(ROW(),2)=0</formula>
    </cfRule>
  </conditionalFormatting>
  <conditionalFormatting sqref="N10">
    <cfRule type="expression" dxfId="1882" priority="1868">
      <formula>MOD(ROW(),2)=0</formula>
    </cfRule>
  </conditionalFormatting>
  <conditionalFormatting sqref="N9">
    <cfRule type="expression" dxfId="1881" priority="1867">
      <formula>MOD(ROW(),2)=0</formula>
    </cfRule>
  </conditionalFormatting>
  <conditionalFormatting sqref="N8">
    <cfRule type="expression" dxfId="1880" priority="1866">
      <formula>MOD(ROW(),2)=0</formula>
    </cfRule>
  </conditionalFormatting>
  <conditionalFormatting sqref="N16 N12:N13">
    <cfRule type="expression" dxfId="1879" priority="1865">
      <formula>MOD(ROW(),2)=0</formula>
    </cfRule>
  </conditionalFormatting>
  <conditionalFormatting sqref="N14 N17:N19 N21">
    <cfRule type="expression" dxfId="1878" priority="1864">
      <formula>MOD(ROW(),2)=0</formula>
    </cfRule>
  </conditionalFormatting>
  <conditionalFormatting sqref="N11">
    <cfRule type="expression" dxfId="1877" priority="1863">
      <formula>MOD(ROW(),2)=0</formula>
    </cfRule>
  </conditionalFormatting>
  <conditionalFormatting sqref="N10">
    <cfRule type="expression" dxfId="1876" priority="1862">
      <formula>MOD(ROW(),2)=0</formula>
    </cfRule>
  </conditionalFormatting>
  <conditionalFormatting sqref="N22">
    <cfRule type="expression" dxfId="1875" priority="1861">
      <formula>MOD(ROW(),2)=0</formula>
    </cfRule>
  </conditionalFormatting>
  <conditionalFormatting sqref="N9">
    <cfRule type="expression" dxfId="1874" priority="1860">
      <formula>MOD(ROW(),2)=0</formula>
    </cfRule>
  </conditionalFormatting>
  <conditionalFormatting sqref="N8">
    <cfRule type="expression" dxfId="1873" priority="1859">
      <formula>MOD(ROW(),2)=0</formula>
    </cfRule>
  </conditionalFormatting>
  <conditionalFormatting sqref="N16 N12:N13">
    <cfRule type="expression" dxfId="1872" priority="1858">
      <formula>MOD(ROW(),2)=0</formula>
    </cfRule>
  </conditionalFormatting>
  <conditionalFormatting sqref="N14 N17:N19 N21">
    <cfRule type="expression" dxfId="1871" priority="1857">
      <formula>MOD(ROW(),2)=0</formula>
    </cfRule>
  </conditionalFormatting>
  <conditionalFormatting sqref="N11">
    <cfRule type="expression" dxfId="1870" priority="1856">
      <formula>MOD(ROW(),2)=0</formula>
    </cfRule>
  </conditionalFormatting>
  <conditionalFormatting sqref="N22">
    <cfRule type="expression" dxfId="1869" priority="1855">
      <formula>MOD(ROW(),2)=0</formula>
    </cfRule>
  </conditionalFormatting>
  <conditionalFormatting sqref="N10">
    <cfRule type="expression" dxfId="1868" priority="1854">
      <formula>MOD(ROW(),2)=0</formula>
    </cfRule>
  </conditionalFormatting>
  <conditionalFormatting sqref="N9">
    <cfRule type="expression" dxfId="1867" priority="1853">
      <formula>MOD(ROW(),2)=0</formula>
    </cfRule>
  </conditionalFormatting>
  <conditionalFormatting sqref="N8">
    <cfRule type="expression" dxfId="1866" priority="1852">
      <formula>MOD(ROW(),2)=0</formula>
    </cfRule>
  </conditionalFormatting>
  <conditionalFormatting sqref="N16 N12:N13">
    <cfRule type="expression" dxfId="1865" priority="1851">
      <formula>MOD(ROW(),2)=0</formula>
    </cfRule>
  </conditionalFormatting>
  <conditionalFormatting sqref="N14 N17:N19 N21">
    <cfRule type="expression" dxfId="1864" priority="1850">
      <formula>MOD(ROW(),2)=0</formula>
    </cfRule>
  </conditionalFormatting>
  <conditionalFormatting sqref="N11">
    <cfRule type="expression" dxfId="1863" priority="1849">
      <formula>MOD(ROW(),2)=0</formula>
    </cfRule>
  </conditionalFormatting>
  <conditionalFormatting sqref="N22">
    <cfRule type="expression" dxfId="1862" priority="1848">
      <formula>MOD(ROW(),2)=0</formula>
    </cfRule>
  </conditionalFormatting>
  <conditionalFormatting sqref="N10">
    <cfRule type="expression" dxfId="1861" priority="1847">
      <formula>MOD(ROW(),2)=0</formula>
    </cfRule>
  </conditionalFormatting>
  <conditionalFormatting sqref="N9">
    <cfRule type="expression" dxfId="1860" priority="1846">
      <formula>MOD(ROW(),2)=0</formula>
    </cfRule>
  </conditionalFormatting>
  <conditionalFormatting sqref="N8">
    <cfRule type="expression" dxfId="1859" priority="1845">
      <formula>MOD(ROW(),2)=0</formula>
    </cfRule>
  </conditionalFormatting>
  <conditionalFormatting sqref="N16 N12:N13">
    <cfRule type="expression" dxfId="1858" priority="1844">
      <formula>MOD(ROW(),2)=0</formula>
    </cfRule>
  </conditionalFormatting>
  <conditionalFormatting sqref="N14 N17:N19 N21">
    <cfRule type="expression" dxfId="1857" priority="1843">
      <formula>MOD(ROW(),2)=0</formula>
    </cfRule>
  </conditionalFormatting>
  <conditionalFormatting sqref="N11">
    <cfRule type="expression" dxfId="1856" priority="1842">
      <formula>MOD(ROW(),2)=0</formula>
    </cfRule>
  </conditionalFormatting>
  <conditionalFormatting sqref="N22">
    <cfRule type="expression" dxfId="1855" priority="1841">
      <formula>MOD(ROW(),2)=0</formula>
    </cfRule>
  </conditionalFormatting>
  <conditionalFormatting sqref="N10">
    <cfRule type="expression" dxfId="1854" priority="1840">
      <formula>MOD(ROW(),2)=0</formula>
    </cfRule>
  </conditionalFormatting>
  <conditionalFormatting sqref="N9">
    <cfRule type="expression" dxfId="1853" priority="1839">
      <formula>MOD(ROW(),2)=0</formula>
    </cfRule>
  </conditionalFormatting>
  <conditionalFormatting sqref="N8">
    <cfRule type="expression" dxfId="1852" priority="1838">
      <formula>MOD(ROW(),2)=0</formula>
    </cfRule>
  </conditionalFormatting>
  <conditionalFormatting sqref="N16 N12:N13">
    <cfRule type="expression" dxfId="1851" priority="1837">
      <formula>MOD(ROW(),2)=0</formula>
    </cfRule>
  </conditionalFormatting>
  <conditionalFormatting sqref="N14 N17:N19 N21">
    <cfRule type="expression" dxfId="1850" priority="1836">
      <formula>MOD(ROW(),2)=0</formula>
    </cfRule>
  </conditionalFormatting>
  <conditionalFormatting sqref="N11">
    <cfRule type="expression" dxfId="1849" priority="1835">
      <formula>MOD(ROW(),2)=0</formula>
    </cfRule>
  </conditionalFormatting>
  <conditionalFormatting sqref="N22">
    <cfRule type="expression" dxfId="1848" priority="1834">
      <formula>MOD(ROW(),2)=0</formula>
    </cfRule>
  </conditionalFormatting>
  <conditionalFormatting sqref="N10">
    <cfRule type="expression" dxfId="1847" priority="1833">
      <formula>MOD(ROW(),2)=0</formula>
    </cfRule>
  </conditionalFormatting>
  <conditionalFormatting sqref="N9">
    <cfRule type="expression" dxfId="1846" priority="1832">
      <formula>MOD(ROW(),2)=0</formula>
    </cfRule>
  </conditionalFormatting>
  <conditionalFormatting sqref="N8">
    <cfRule type="expression" dxfId="1845" priority="1831">
      <formula>MOD(ROW(),2)=0</formula>
    </cfRule>
  </conditionalFormatting>
  <conditionalFormatting sqref="N16 N12:N13">
    <cfRule type="expression" dxfId="1844" priority="1830">
      <formula>MOD(ROW(),2)=0</formula>
    </cfRule>
  </conditionalFormatting>
  <conditionalFormatting sqref="N14 N17:N19 N21">
    <cfRule type="expression" dxfId="1843" priority="1829">
      <formula>MOD(ROW(),2)=0</formula>
    </cfRule>
  </conditionalFormatting>
  <conditionalFormatting sqref="N11">
    <cfRule type="expression" dxfId="1842" priority="1828">
      <formula>MOD(ROW(),2)=0</formula>
    </cfRule>
  </conditionalFormatting>
  <conditionalFormatting sqref="N22">
    <cfRule type="expression" dxfId="1841" priority="1827">
      <formula>MOD(ROW(),2)=0</formula>
    </cfRule>
  </conditionalFormatting>
  <conditionalFormatting sqref="N10">
    <cfRule type="expression" dxfId="1840" priority="1826">
      <formula>MOD(ROW(),2)=0</formula>
    </cfRule>
  </conditionalFormatting>
  <conditionalFormatting sqref="N9">
    <cfRule type="expression" dxfId="1839" priority="1825">
      <formula>MOD(ROW(),2)=0</formula>
    </cfRule>
  </conditionalFormatting>
  <conditionalFormatting sqref="N8">
    <cfRule type="expression" dxfId="1838" priority="1824">
      <formula>MOD(ROW(),2)=0</formula>
    </cfRule>
  </conditionalFormatting>
  <conditionalFormatting sqref="N16 N12:N13">
    <cfRule type="expression" dxfId="1837" priority="1823">
      <formula>MOD(ROW(),2)=0</formula>
    </cfRule>
  </conditionalFormatting>
  <conditionalFormatting sqref="N14 N17:N19 N21">
    <cfRule type="expression" dxfId="1836" priority="1822">
      <formula>MOD(ROW(),2)=0</formula>
    </cfRule>
  </conditionalFormatting>
  <conditionalFormatting sqref="N11">
    <cfRule type="expression" dxfId="1835" priority="1821">
      <formula>MOD(ROW(),2)=0</formula>
    </cfRule>
  </conditionalFormatting>
  <conditionalFormatting sqref="N22">
    <cfRule type="expression" dxfId="1834" priority="1820">
      <formula>MOD(ROW(),2)=0</formula>
    </cfRule>
  </conditionalFormatting>
  <conditionalFormatting sqref="N10">
    <cfRule type="expression" dxfId="1833" priority="1819">
      <formula>MOD(ROW(),2)=0</formula>
    </cfRule>
  </conditionalFormatting>
  <conditionalFormatting sqref="N9">
    <cfRule type="expression" dxfId="1832" priority="1818">
      <formula>MOD(ROW(),2)=0</formula>
    </cfRule>
  </conditionalFormatting>
  <conditionalFormatting sqref="N8">
    <cfRule type="expression" dxfId="1831" priority="1817">
      <formula>MOD(ROW(),2)=0</formula>
    </cfRule>
  </conditionalFormatting>
  <conditionalFormatting sqref="N16 N12:N13">
    <cfRule type="expression" dxfId="1830" priority="1816">
      <formula>MOD(ROW(),2)=0</formula>
    </cfRule>
  </conditionalFormatting>
  <conditionalFormatting sqref="N14 N17:N19 N21">
    <cfRule type="expression" dxfId="1829" priority="1815">
      <formula>MOD(ROW(),2)=0</formula>
    </cfRule>
  </conditionalFormatting>
  <conditionalFormatting sqref="N11">
    <cfRule type="expression" dxfId="1828" priority="1814">
      <formula>MOD(ROW(),2)=0</formula>
    </cfRule>
  </conditionalFormatting>
  <conditionalFormatting sqref="N22">
    <cfRule type="expression" dxfId="1827" priority="1813">
      <formula>MOD(ROW(),2)=0</formula>
    </cfRule>
  </conditionalFormatting>
  <conditionalFormatting sqref="N10">
    <cfRule type="expression" dxfId="1826" priority="1812">
      <formula>MOD(ROW(),2)=0</formula>
    </cfRule>
  </conditionalFormatting>
  <conditionalFormatting sqref="N9">
    <cfRule type="expression" dxfId="1825" priority="1811">
      <formula>MOD(ROW(),2)=0</formula>
    </cfRule>
  </conditionalFormatting>
  <conditionalFormatting sqref="N8">
    <cfRule type="expression" dxfId="1824" priority="1810">
      <formula>MOD(ROW(),2)=0</formula>
    </cfRule>
  </conditionalFormatting>
  <conditionalFormatting sqref="N16 N12:N13">
    <cfRule type="expression" dxfId="1823" priority="1809">
      <formula>MOD(ROW(),2)=0</formula>
    </cfRule>
  </conditionalFormatting>
  <conditionalFormatting sqref="N14 N17:N19 N21">
    <cfRule type="expression" dxfId="1822" priority="1808">
      <formula>MOD(ROW(),2)=0</formula>
    </cfRule>
  </conditionalFormatting>
  <conditionalFormatting sqref="N11">
    <cfRule type="expression" dxfId="1821" priority="1807">
      <formula>MOD(ROW(),2)=0</formula>
    </cfRule>
  </conditionalFormatting>
  <conditionalFormatting sqref="N10">
    <cfRule type="expression" dxfId="1820" priority="1806">
      <formula>MOD(ROW(),2)=0</formula>
    </cfRule>
  </conditionalFormatting>
  <conditionalFormatting sqref="N22">
    <cfRule type="expression" dxfId="1819" priority="1805">
      <formula>MOD(ROW(),2)=0</formula>
    </cfRule>
  </conditionalFormatting>
  <conditionalFormatting sqref="N9">
    <cfRule type="expression" dxfId="1818" priority="1804">
      <formula>MOD(ROW(),2)=0</formula>
    </cfRule>
  </conditionalFormatting>
  <conditionalFormatting sqref="N8">
    <cfRule type="expression" dxfId="1817" priority="1803">
      <formula>MOD(ROW(),2)=0</formula>
    </cfRule>
  </conditionalFormatting>
  <conditionalFormatting sqref="N16 N12:N13">
    <cfRule type="expression" dxfId="1816" priority="1802">
      <formula>MOD(ROW(),2)=0</formula>
    </cfRule>
  </conditionalFormatting>
  <conditionalFormatting sqref="N14 N17:N19 N21">
    <cfRule type="expression" dxfId="1815" priority="1801">
      <formula>MOD(ROW(),2)=0</formula>
    </cfRule>
  </conditionalFormatting>
  <conditionalFormatting sqref="N11">
    <cfRule type="expression" dxfId="1814" priority="1800">
      <formula>MOD(ROW(),2)=0</formula>
    </cfRule>
  </conditionalFormatting>
  <conditionalFormatting sqref="N22">
    <cfRule type="expression" dxfId="1813" priority="1799">
      <formula>MOD(ROW(),2)=0</formula>
    </cfRule>
  </conditionalFormatting>
  <conditionalFormatting sqref="N10">
    <cfRule type="expression" dxfId="1812" priority="1798">
      <formula>MOD(ROW(),2)=0</formula>
    </cfRule>
  </conditionalFormatting>
  <conditionalFormatting sqref="N15">
    <cfRule type="expression" dxfId="1811" priority="1797">
      <formula>MOD(ROW(),2)=0</formula>
    </cfRule>
  </conditionalFormatting>
  <conditionalFormatting sqref="N15">
    <cfRule type="expression" dxfId="1810" priority="1796">
      <formula>MOD(ROW(),2)=0</formula>
    </cfRule>
  </conditionalFormatting>
  <conditionalFormatting sqref="N15">
    <cfRule type="expression" dxfId="1809" priority="1795">
      <formula>MOD(ROW(),2)=0</formula>
    </cfRule>
  </conditionalFormatting>
  <conditionalFormatting sqref="N15">
    <cfRule type="expression" dxfId="1808" priority="1794">
      <formula>MOD(ROW(),2)=0</formula>
    </cfRule>
  </conditionalFormatting>
  <conditionalFormatting sqref="N15">
    <cfRule type="expression" dxfId="1807" priority="1793">
      <formula>MOD(ROW(),2)=0</formula>
    </cfRule>
  </conditionalFormatting>
  <conditionalFormatting sqref="N15">
    <cfRule type="expression" dxfId="1806" priority="1792">
      <formula>MOD(ROW(),2)=0</formula>
    </cfRule>
  </conditionalFormatting>
  <conditionalFormatting sqref="N15">
    <cfRule type="expression" dxfId="1805" priority="1791">
      <formula>MOD(ROW(),2)=0</formula>
    </cfRule>
  </conditionalFormatting>
  <conditionalFormatting sqref="N15">
    <cfRule type="expression" dxfId="1804" priority="1790">
      <formula>MOD(ROW(),2)=0</formula>
    </cfRule>
  </conditionalFormatting>
  <conditionalFormatting sqref="N15">
    <cfRule type="expression" dxfId="1803" priority="1789">
      <formula>MOD(ROW(),2)=0</formula>
    </cfRule>
  </conditionalFormatting>
  <conditionalFormatting sqref="N15">
    <cfRule type="expression" dxfId="1802" priority="1788">
      <formula>MOD(ROW(),2)=0</formula>
    </cfRule>
  </conditionalFormatting>
  <conditionalFormatting sqref="N15">
    <cfRule type="expression" dxfId="1801" priority="1787">
      <formula>MOD(ROW(),2)=0</formula>
    </cfRule>
  </conditionalFormatting>
  <conditionalFormatting sqref="N15">
    <cfRule type="expression" dxfId="1800" priority="1786">
      <formula>MOD(ROW(),2)=0</formula>
    </cfRule>
  </conditionalFormatting>
  <conditionalFormatting sqref="N15">
    <cfRule type="expression" dxfId="1799" priority="1785">
      <formula>MOD(ROW(),2)=0</formula>
    </cfRule>
  </conditionalFormatting>
  <conditionalFormatting sqref="N15">
    <cfRule type="expression" dxfId="1798" priority="1784">
      <formula>MOD(ROW(),2)=0</formula>
    </cfRule>
  </conditionalFormatting>
  <conditionalFormatting sqref="N15">
    <cfRule type="expression" dxfId="1797" priority="1783">
      <formula>MOD(ROW(),2)=0</formula>
    </cfRule>
  </conditionalFormatting>
  <conditionalFormatting sqref="N15">
    <cfRule type="expression" dxfId="1796" priority="1782">
      <formula>MOD(ROW(),2)=0</formula>
    </cfRule>
  </conditionalFormatting>
  <conditionalFormatting sqref="N20">
    <cfRule type="expression" dxfId="1795" priority="1781">
      <formula>MOD(ROW(),2)=0</formula>
    </cfRule>
  </conditionalFormatting>
  <conditionalFormatting sqref="N20">
    <cfRule type="expression" dxfId="1794" priority="1780">
      <formula>MOD(ROW(),2)=0</formula>
    </cfRule>
  </conditionalFormatting>
  <conditionalFormatting sqref="N20">
    <cfRule type="expression" dxfId="1793" priority="1779">
      <formula>MOD(ROW(),2)=0</formula>
    </cfRule>
  </conditionalFormatting>
  <conditionalFormatting sqref="N20">
    <cfRule type="expression" dxfId="1792" priority="1778">
      <formula>MOD(ROW(),2)=0</formula>
    </cfRule>
  </conditionalFormatting>
  <conditionalFormatting sqref="N20">
    <cfRule type="expression" dxfId="1791" priority="1777">
      <formula>MOD(ROW(),2)=0</formula>
    </cfRule>
  </conditionalFormatting>
  <conditionalFormatting sqref="N20">
    <cfRule type="expression" dxfId="1790" priority="1776">
      <formula>MOD(ROW(),2)=0</formula>
    </cfRule>
  </conditionalFormatting>
  <conditionalFormatting sqref="N20">
    <cfRule type="expression" dxfId="1789" priority="1775">
      <formula>MOD(ROW(),2)=0</formula>
    </cfRule>
  </conditionalFormatting>
  <conditionalFormatting sqref="N20">
    <cfRule type="expression" dxfId="1788" priority="1774">
      <formula>MOD(ROW(),2)=0</formula>
    </cfRule>
  </conditionalFormatting>
  <conditionalFormatting sqref="N20">
    <cfRule type="expression" dxfId="1787" priority="1773">
      <formula>MOD(ROW(),2)=0</formula>
    </cfRule>
  </conditionalFormatting>
  <conditionalFormatting sqref="N20">
    <cfRule type="expression" dxfId="1786" priority="1772">
      <formula>MOD(ROW(),2)=0</formula>
    </cfRule>
  </conditionalFormatting>
  <conditionalFormatting sqref="N20">
    <cfRule type="expression" dxfId="1785" priority="1771">
      <formula>MOD(ROW(),2)=0</formula>
    </cfRule>
  </conditionalFormatting>
  <conditionalFormatting sqref="N20">
    <cfRule type="expression" dxfId="1784" priority="1770">
      <formula>MOD(ROW(),2)=0</formula>
    </cfRule>
  </conditionalFormatting>
  <conditionalFormatting sqref="N20">
    <cfRule type="expression" dxfId="1783" priority="1769">
      <formula>MOD(ROW(),2)=0</formula>
    </cfRule>
  </conditionalFormatting>
  <conditionalFormatting sqref="N20">
    <cfRule type="expression" dxfId="1782" priority="1768">
      <formula>MOD(ROW(),2)=0</formula>
    </cfRule>
  </conditionalFormatting>
  <conditionalFormatting sqref="N20">
    <cfRule type="expression" dxfId="1781" priority="1767">
      <formula>MOD(ROW(),2)=0</formula>
    </cfRule>
  </conditionalFormatting>
  <conditionalFormatting sqref="N20">
    <cfRule type="expression" dxfId="1780" priority="1766">
      <formula>MOD(ROW(),2)=0</formula>
    </cfRule>
  </conditionalFormatting>
  <conditionalFormatting sqref="O9">
    <cfRule type="expression" dxfId="1779" priority="1765">
      <formula>MOD(ROW(),2)=0</formula>
    </cfRule>
  </conditionalFormatting>
  <conditionalFormatting sqref="O8">
    <cfRule type="expression" dxfId="1778" priority="1764">
      <formula>MOD(ROW(),2)=0</formula>
    </cfRule>
  </conditionalFormatting>
  <conditionalFormatting sqref="O16 O12:O13">
    <cfRule type="expression" dxfId="1777" priority="1763">
      <formula>MOD(ROW(),2)=0</formula>
    </cfRule>
  </conditionalFormatting>
  <conditionalFormatting sqref="O14 O17:O19 O21">
    <cfRule type="expression" dxfId="1776" priority="1762">
      <formula>MOD(ROW(),2)=0</formula>
    </cfRule>
  </conditionalFormatting>
  <conditionalFormatting sqref="O11">
    <cfRule type="expression" dxfId="1775" priority="1761">
      <formula>MOD(ROW(),2)=0</formula>
    </cfRule>
  </conditionalFormatting>
  <conditionalFormatting sqref="O22">
    <cfRule type="expression" dxfId="1774" priority="1760">
      <formula>MOD(ROW(),2)=0</formula>
    </cfRule>
  </conditionalFormatting>
  <conditionalFormatting sqref="O10">
    <cfRule type="expression" dxfId="1773" priority="1759">
      <formula>MOD(ROW(),2)=0</formula>
    </cfRule>
  </conditionalFormatting>
  <conditionalFormatting sqref="O9">
    <cfRule type="expression" dxfId="1772" priority="1758">
      <formula>MOD(ROW(),2)=0</formula>
    </cfRule>
  </conditionalFormatting>
  <conditionalFormatting sqref="O8">
    <cfRule type="expression" dxfId="1771" priority="1757">
      <formula>MOD(ROW(),2)=0</formula>
    </cfRule>
  </conditionalFormatting>
  <conditionalFormatting sqref="O16 O12:O13">
    <cfRule type="expression" dxfId="1770" priority="1756">
      <formula>MOD(ROW(),2)=0</formula>
    </cfRule>
  </conditionalFormatting>
  <conditionalFormatting sqref="O14 O17:O19 O21">
    <cfRule type="expression" dxfId="1769" priority="1755">
      <formula>MOD(ROW(),2)=0</formula>
    </cfRule>
  </conditionalFormatting>
  <conditionalFormatting sqref="O11">
    <cfRule type="expression" dxfId="1768" priority="1754">
      <formula>MOD(ROW(),2)=0</formula>
    </cfRule>
  </conditionalFormatting>
  <conditionalFormatting sqref="O22">
    <cfRule type="expression" dxfId="1767" priority="1753">
      <formula>MOD(ROW(),2)=0</formula>
    </cfRule>
  </conditionalFormatting>
  <conditionalFormatting sqref="O10">
    <cfRule type="expression" dxfId="1766" priority="1752">
      <formula>MOD(ROW(),2)=0</formula>
    </cfRule>
  </conditionalFormatting>
  <conditionalFormatting sqref="O9">
    <cfRule type="expression" dxfId="1765" priority="1751">
      <formula>MOD(ROW(),2)=0</formula>
    </cfRule>
  </conditionalFormatting>
  <conditionalFormatting sqref="O8">
    <cfRule type="expression" dxfId="1764" priority="1750">
      <formula>MOD(ROW(),2)=0</formula>
    </cfRule>
  </conditionalFormatting>
  <conditionalFormatting sqref="O16 O12:O13">
    <cfRule type="expression" dxfId="1763" priority="1749">
      <formula>MOD(ROW(),2)=0</formula>
    </cfRule>
  </conditionalFormatting>
  <conditionalFormatting sqref="O14 O17:O19 O21">
    <cfRule type="expression" dxfId="1762" priority="1748">
      <formula>MOD(ROW(),2)=0</formula>
    </cfRule>
  </conditionalFormatting>
  <conditionalFormatting sqref="O11">
    <cfRule type="expression" dxfId="1761" priority="1747">
      <formula>MOD(ROW(),2)=0</formula>
    </cfRule>
  </conditionalFormatting>
  <conditionalFormatting sqref="O22">
    <cfRule type="expression" dxfId="1760" priority="1746">
      <formula>MOD(ROW(),2)=0</formula>
    </cfRule>
  </conditionalFormatting>
  <conditionalFormatting sqref="O10">
    <cfRule type="expression" dxfId="1759" priority="1745">
      <formula>MOD(ROW(),2)=0</formula>
    </cfRule>
  </conditionalFormatting>
  <conditionalFormatting sqref="O9">
    <cfRule type="expression" dxfId="1758" priority="1744">
      <formula>MOD(ROW(),2)=0</formula>
    </cfRule>
  </conditionalFormatting>
  <conditionalFormatting sqref="O8">
    <cfRule type="expression" dxfId="1757" priority="1743">
      <formula>MOD(ROW(),2)=0</formula>
    </cfRule>
  </conditionalFormatting>
  <conditionalFormatting sqref="O16 O12:O13">
    <cfRule type="expression" dxfId="1756" priority="1742">
      <formula>MOD(ROW(),2)=0</formula>
    </cfRule>
  </conditionalFormatting>
  <conditionalFormatting sqref="O14 O17:O19 O21">
    <cfRule type="expression" dxfId="1755" priority="1741">
      <formula>MOD(ROW(),2)=0</formula>
    </cfRule>
  </conditionalFormatting>
  <conditionalFormatting sqref="O11">
    <cfRule type="expression" dxfId="1754" priority="1740">
      <formula>MOD(ROW(),2)=0</formula>
    </cfRule>
  </conditionalFormatting>
  <conditionalFormatting sqref="O22">
    <cfRule type="expression" dxfId="1753" priority="1739">
      <formula>MOD(ROW(),2)=0</formula>
    </cfRule>
  </conditionalFormatting>
  <conditionalFormatting sqref="O10">
    <cfRule type="expression" dxfId="1752" priority="1738">
      <formula>MOD(ROW(),2)=0</formula>
    </cfRule>
  </conditionalFormatting>
  <conditionalFormatting sqref="O9">
    <cfRule type="expression" dxfId="1751" priority="1737">
      <formula>MOD(ROW(),2)=0</formula>
    </cfRule>
  </conditionalFormatting>
  <conditionalFormatting sqref="O8">
    <cfRule type="expression" dxfId="1750" priority="1736">
      <formula>MOD(ROW(),2)=0</formula>
    </cfRule>
  </conditionalFormatting>
  <conditionalFormatting sqref="O16 O12:O13">
    <cfRule type="expression" dxfId="1749" priority="1735">
      <formula>MOD(ROW(),2)=0</formula>
    </cfRule>
  </conditionalFormatting>
  <conditionalFormatting sqref="O14 O17:O19 O21">
    <cfRule type="expression" dxfId="1748" priority="1734">
      <formula>MOD(ROW(),2)=0</formula>
    </cfRule>
  </conditionalFormatting>
  <conditionalFormatting sqref="O11">
    <cfRule type="expression" dxfId="1747" priority="1733">
      <formula>MOD(ROW(),2)=0</formula>
    </cfRule>
  </conditionalFormatting>
  <conditionalFormatting sqref="O22">
    <cfRule type="expression" dxfId="1746" priority="1732">
      <formula>MOD(ROW(),2)=0</formula>
    </cfRule>
  </conditionalFormatting>
  <conditionalFormatting sqref="O10">
    <cfRule type="expression" dxfId="1745" priority="1731">
      <formula>MOD(ROW(),2)=0</formula>
    </cfRule>
  </conditionalFormatting>
  <conditionalFormatting sqref="O9">
    <cfRule type="expression" dxfId="1744" priority="1730">
      <formula>MOD(ROW(),2)=0</formula>
    </cfRule>
  </conditionalFormatting>
  <conditionalFormatting sqref="O8">
    <cfRule type="expression" dxfId="1743" priority="1729">
      <formula>MOD(ROW(),2)=0</formula>
    </cfRule>
  </conditionalFormatting>
  <conditionalFormatting sqref="O16 O12:O13">
    <cfRule type="expression" dxfId="1742" priority="1728">
      <formula>MOD(ROW(),2)=0</formula>
    </cfRule>
  </conditionalFormatting>
  <conditionalFormatting sqref="O14 O17:O19 O21">
    <cfRule type="expression" dxfId="1741" priority="1727">
      <formula>MOD(ROW(),2)=0</formula>
    </cfRule>
  </conditionalFormatting>
  <conditionalFormatting sqref="O11">
    <cfRule type="expression" dxfId="1740" priority="1726">
      <formula>MOD(ROW(),2)=0</formula>
    </cfRule>
  </conditionalFormatting>
  <conditionalFormatting sqref="O22">
    <cfRule type="expression" dxfId="1739" priority="1725">
      <formula>MOD(ROW(),2)=0</formula>
    </cfRule>
  </conditionalFormatting>
  <conditionalFormatting sqref="O10">
    <cfRule type="expression" dxfId="1738" priority="1724">
      <formula>MOD(ROW(),2)=0</formula>
    </cfRule>
  </conditionalFormatting>
  <conditionalFormatting sqref="O9">
    <cfRule type="expression" dxfId="1737" priority="1723">
      <formula>MOD(ROW(),2)=0</formula>
    </cfRule>
  </conditionalFormatting>
  <conditionalFormatting sqref="O8">
    <cfRule type="expression" dxfId="1736" priority="1722">
      <formula>MOD(ROW(),2)=0</formula>
    </cfRule>
  </conditionalFormatting>
  <conditionalFormatting sqref="O16 O12:O13">
    <cfRule type="expression" dxfId="1735" priority="1721">
      <formula>MOD(ROW(),2)=0</formula>
    </cfRule>
  </conditionalFormatting>
  <conditionalFormatting sqref="O14 O17:O19 O21">
    <cfRule type="expression" dxfId="1734" priority="1720">
      <formula>MOD(ROW(),2)=0</formula>
    </cfRule>
  </conditionalFormatting>
  <conditionalFormatting sqref="O11">
    <cfRule type="expression" dxfId="1733" priority="1719">
      <formula>MOD(ROW(),2)=0</formula>
    </cfRule>
  </conditionalFormatting>
  <conditionalFormatting sqref="O10">
    <cfRule type="expression" dxfId="1732" priority="1718">
      <formula>MOD(ROW(),2)=0</formula>
    </cfRule>
  </conditionalFormatting>
  <conditionalFormatting sqref="O22">
    <cfRule type="expression" dxfId="1731" priority="1717">
      <formula>MOD(ROW(),2)=0</formula>
    </cfRule>
  </conditionalFormatting>
  <conditionalFormatting sqref="O9">
    <cfRule type="expression" dxfId="1730" priority="1716">
      <formula>MOD(ROW(),2)=0</formula>
    </cfRule>
  </conditionalFormatting>
  <conditionalFormatting sqref="O8">
    <cfRule type="expression" dxfId="1729" priority="1715">
      <formula>MOD(ROW(),2)=0</formula>
    </cfRule>
  </conditionalFormatting>
  <conditionalFormatting sqref="O16 O12:O13">
    <cfRule type="expression" dxfId="1728" priority="1714">
      <formula>MOD(ROW(),2)=0</formula>
    </cfRule>
  </conditionalFormatting>
  <conditionalFormatting sqref="O14 O17:O19 O21">
    <cfRule type="expression" dxfId="1727" priority="1713">
      <formula>MOD(ROW(),2)=0</formula>
    </cfRule>
  </conditionalFormatting>
  <conditionalFormatting sqref="O11">
    <cfRule type="expression" dxfId="1726" priority="1712">
      <formula>MOD(ROW(),2)=0</formula>
    </cfRule>
  </conditionalFormatting>
  <conditionalFormatting sqref="O22">
    <cfRule type="expression" dxfId="1725" priority="1711">
      <formula>MOD(ROW(),2)=0</formula>
    </cfRule>
  </conditionalFormatting>
  <conditionalFormatting sqref="O10">
    <cfRule type="expression" dxfId="1724" priority="1710">
      <formula>MOD(ROW(),2)=0</formula>
    </cfRule>
  </conditionalFormatting>
  <conditionalFormatting sqref="O9">
    <cfRule type="expression" dxfId="1723" priority="1709">
      <formula>MOD(ROW(),2)=0</formula>
    </cfRule>
  </conditionalFormatting>
  <conditionalFormatting sqref="O8">
    <cfRule type="expression" dxfId="1722" priority="1708">
      <formula>MOD(ROW(),2)=0</formula>
    </cfRule>
  </conditionalFormatting>
  <conditionalFormatting sqref="O16 O12:O13">
    <cfRule type="expression" dxfId="1721" priority="1707">
      <formula>MOD(ROW(),2)=0</formula>
    </cfRule>
  </conditionalFormatting>
  <conditionalFormatting sqref="O14 O17:O19 O21">
    <cfRule type="expression" dxfId="1720" priority="1706">
      <formula>MOD(ROW(),2)=0</formula>
    </cfRule>
  </conditionalFormatting>
  <conditionalFormatting sqref="O11">
    <cfRule type="expression" dxfId="1719" priority="1705">
      <formula>MOD(ROW(),2)=0</formula>
    </cfRule>
  </conditionalFormatting>
  <conditionalFormatting sqref="O22">
    <cfRule type="expression" dxfId="1718" priority="1704">
      <formula>MOD(ROW(),2)=0</formula>
    </cfRule>
  </conditionalFormatting>
  <conditionalFormatting sqref="O10">
    <cfRule type="expression" dxfId="1717" priority="1703">
      <formula>MOD(ROW(),2)=0</formula>
    </cfRule>
  </conditionalFormatting>
  <conditionalFormatting sqref="O9">
    <cfRule type="expression" dxfId="1716" priority="1702">
      <formula>MOD(ROW(),2)=0</formula>
    </cfRule>
  </conditionalFormatting>
  <conditionalFormatting sqref="O8">
    <cfRule type="expression" dxfId="1715" priority="1701">
      <formula>MOD(ROW(),2)=0</formula>
    </cfRule>
  </conditionalFormatting>
  <conditionalFormatting sqref="O16 O12:O13">
    <cfRule type="expression" dxfId="1714" priority="1700">
      <formula>MOD(ROW(),2)=0</formula>
    </cfRule>
  </conditionalFormatting>
  <conditionalFormatting sqref="O14 O17:O19 O21">
    <cfRule type="expression" dxfId="1713" priority="1699">
      <formula>MOD(ROW(),2)=0</formula>
    </cfRule>
  </conditionalFormatting>
  <conditionalFormatting sqref="O11">
    <cfRule type="expression" dxfId="1712" priority="1698">
      <formula>MOD(ROW(),2)=0</formula>
    </cfRule>
  </conditionalFormatting>
  <conditionalFormatting sqref="O22">
    <cfRule type="expression" dxfId="1711" priority="1697">
      <formula>MOD(ROW(),2)=0</formula>
    </cfRule>
  </conditionalFormatting>
  <conditionalFormatting sqref="O10">
    <cfRule type="expression" dxfId="1710" priority="1696">
      <formula>MOD(ROW(),2)=0</formula>
    </cfRule>
  </conditionalFormatting>
  <conditionalFormatting sqref="O9">
    <cfRule type="expression" dxfId="1709" priority="1695">
      <formula>MOD(ROW(),2)=0</formula>
    </cfRule>
  </conditionalFormatting>
  <conditionalFormatting sqref="O8">
    <cfRule type="expression" dxfId="1708" priority="1694">
      <formula>MOD(ROW(),2)=0</formula>
    </cfRule>
  </conditionalFormatting>
  <conditionalFormatting sqref="O16 O12:O13">
    <cfRule type="expression" dxfId="1707" priority="1693">
      <formula>MOD(ROW(),2)=0</formula>
    </cfRule>
  </conditionalFormatting>
  <conditionalFormatting sqref="O14 O17:O19 O21">
    <cfRule type="expression" dxfId="1706" priority="1692">
      <formula>MOD(ROW(),2)=0</formula>
    </cfRule>
  </conditionalFormatting>
  <conditionalFormatting sqref="O11">
    <cfRule type="expression" dxfId="1705" priority="1691">
      <formula>MOD(ROW(),2)=0</formula>
    </cfRule>
  </conditionalFormatting>
  <conditionalFormatting sqref="O22">
    <cfRule type="expression" dxfId="1704" priority="1690">
      <formula>MOD(ROW(),2)=0</formula>
    </cfRule>
  </conditionalFormatting>
  <conditionalFormatting sqref="O10">
    <cfRule type="expression" dxfId="1703" priority="1689">
      <formula>MOD(ROW(),2)=0</formula>
    </cfRule>
  </conditionalFormatting>
  <conditionalFormatting sqref="O9">
    <cfRule type="expression" dxfId="1702" priority="1688">
      <formula>MOD(ROW(),2)=0</formula>
    </cfRule>
  </conditionalFormatting>
  <conditionalFormatting sqref="O8">
    <cfRule type="expression" dxfId="1701" priority="1687">
      <formula>MOD(ROW(),2)=0</formula>
    </cfRule>
  </conditionalFormatting>
  <conditionalFormatting sqref="O16 O12:O13">
    <cfRule type="expression" dxfId="1700" priority="1686">
      <formula>MOD(ROW(),2)=0</formula>
    </cfRule>
  </conditionalFormatting>
  <conditionalFormatting sqref="O14 O17:O19 O21">
    <cfRule type="expression" dxfId="1699" priority="1685">
      <formula>MOD(ROW(),2)=0</formula>
    </cfRule>
  </conditionalFormatting>
  <conditionalFormatting sqref="O11">
    <cfRule type="expression" dxfId="1698" priority="1684">
      <formula>MOD(ROW(),2)=0</formula>
    </cfRule>
  </conditionalFormatting>
  <conditionalFormatting sqref="O22">
    <cfRule type="expression" dxfId="1697" priority="1683">
      <formula>MOD(ROW(),2)=0</formula>
    </cfRule>
  </conditionalFormatting>
  <conditionalFormatting sqref="O10">
    <cfRule type="expression" dxfId="1696" priority="1682">
      <formula>MOD(ROW(),2)=0</formula>
    </cfRule>
  </conditionalFormatting>
  <conditionalFormatting sqref="O9">
    <cfRule type="expression" dxfId="1695" priority="1681">
      <formula>MOD(ROW(),2)=0</formula>
    </cfRule>
  </conditionalFormatting>
  <conditionalFormatting sqref="O8">
    <cfRule type="expression" dxfId="1694" priority="1680">
      <formula>MOD(ROW(),2)=0</formula>
    </cfRule>
  </conditionalFormatting>
  <conditionalFormatting sqref="O16 O12:O13">
    <cfRule type="expression" dxfId="1693" priority="1679">
      <formula>MOD(ROW(),2)=0</formula>
    </cfRule>
  </conditionalFormatting>
  <conditionalFormatting sqref="O14 O17:O19 O21">
    <cfRule type="expression" dxfId="1692" priority="1678">
      <formula>MOD(ROW(),2)=0</formula>
    </cfRule>
  </conditionalFormatting>
  <conditionalFormatting sqref="O11">
    <cfRule type="expression" dxfId="1691" priority="1677">
      <formula>MOD(ROW(),2)=0</formula>
    </cfRule>
  </conditionalFormatting>
  <conditionalFormatting sqref="O22">
    <cfRule type="expression" dxfId="1690" priority="1676">
      <formula>MOD(ROW(),2)=0</formula>
    </cfRule>
  </conditionalFormatting>
  <conditionalFormatting sqref="O10">
    <cfRule type="expression" dxfId="1689" priority="1675">
      <formula>MOD(ROW(),2)=0</formula>
    </cfRule>
  </conditionalFormatting>
  <conditionalFormatting sqref="O9">
    <cfRule type="expression" dxfId="1688" priority="1674">
      <formula>MOD(ROW(),2)=0</formula>
    </cfRule>
  </conditionalFormatting>
  <conditionalFormatting sqref="O8">
    <cfRule type="expression" dxfId="1687" priority="1673">
      <formula>MOD(ROW(),2)=0</formula>
    </cfRule>
  </conditionalFormatting>
  <conditionalFormatting sqref="O16 O12:O13">
    <cfRule type="expression" dxfId="1686" priority="1672">
      <formula>MOD(ROW(),2)=0</formula>
    </cfRule>
  </conditionalFormatting>
  <conditionalFormatting sqref="O14 O17:O19 O21">
    <cfRule type="expression" dxfId="1685" priority="1671">
      <formula>MOD(ROW(),2)=0</formula>
    </cfRule>
  </conditionalFormatting>
  <conditionalFormatting sqref="O11">
    <cfRule type="expression" dxfId="1684" priority="1670">
      <formula>MOD(ROW(),2)=0</formula>
    </cfRule>
  </conditionalFormatting>
  <conditionalFormatting sqref="O22">
    <cfRule type="expression" dxfId="1683" priority="1669">
      <formula>MOD(ROW(),2)=0</formula>
    </cfRule>
  </conditionalFormatting>
  <conditionalFormatting sqref="O10">
    <cfRule type="expression" dxfId="1682" priority="1668">
      <formula>MOD(ROW(),2)=0</formula>
    </cfRule>
  </conditionalFormatting>
  <conditionalFormatting sqref="O9">
    <cfRule type="expression" dxfId="1681" priority="1667">
      <formula>MOD(ROW(),2)=0</formula>
    </cfRule>
  </conditionalFormatting>
  <conditionalFormatting sqref="O8">
    <cfRule type="expression" dxfId="1680" priority="1666">
      <formula>MOD(ROW(),2)=0</formula>
    </cfRule>
  </conditionalFormatting>
  <conditionalFormatting sqref="O16 O12:O13">
    <cfRule type="expression" dxfId="1679" priority="1665">
      <formula>MOD(ROW(),2)=0</formula>
    </cfRule>
  </conditionalFormatting>
  <conditionalFormatting sqref="O14 O17:O19 O21">
    <cfRule type="expression" dxfId="1678" priority="1664">
      <formula>MOD(ROW(),2)=0</formula>
    </cfRule>
  </conditionalFormatting>
  <conditionalFormatting sqref="O11">
    <cfRule type="expression" dxfId="1677" priority="1663">
      <formula>MOD(ROW(),2)=0</formula>
    </cfRule>
  </conditionalFormatting>
  <conditionalFormatting sqref="O10">
    <cfRule type="expression" dxfId="1676" priority="1662">
      <formula>MOD(ROW(),2)=0</formula>
    </cfRule>
  </conditionalFormatting>
  <conditionalFormatting sqref="O22">
    <cfRule type="expression" dxfId="1675" priority="1661">
      <formula>MOD(ROW(),2)=0</formula>
    </cfRule>
  </conditionalFormatting>
  <conditionalFormatting sqref="O9">
    <cfRule type="expression" dxfId="1674" priority="1660">
      <formula>MOD(ROW(),2)=0</formula>
    </cfRule>
  </conditionalFormatting>
  <conditionalFormatting sqref="O8">
    <cfRule type="expression" dxfId="1673" priority="1659">
      <formula>MOD(ROW(),2)=0</formula>
    </cfRule>
  </conditionalFormatting>
  <conditionalFormatting sqref="O16 O12:O13">
    <cfRule type="expression" dxfId="1672" priority="1658">
      <formula>MOD(ROW(),2)=0</formula>
    </cfRule>
  </conditionalFormatting>
  <conditionalFormatting sqref="O14 O17:O19 O21">
    <cfRule type="expression" dxfId="1671" priority="1657">
      <formula>MOD(ROW(),2)=0</formula>
    </cfRule>
  </conditionalFormatting>
  <conditionalFormatting sqref="O11">
    <cfRule type="expression" dxfId="1670" priority="1656">
      <formula>MOD(ROW(),2)=0</formula>
    </cfRule>
  </conditionalFormatting>
  <conditionalFormatting sqref="O22">
    <cfRule type="expression" dxfId="1669" priority="1655">
      <formula>MOD(ROW(),2)=0</formula>
    </cfRule>
  </conditionalFormatting>
  <conditionalFormatting sqref="O10">
    <cfRule type="expression" dxfId="1668" priority="1654">
      <formula>MOD(ROW(),2)=0</formula>
    </cfRule>
  </conditionalFormatting>
  <conditionalFormatting sqref="O15">
    <cfRule type="expression" dxfId="1667" priority="1653">
      <formula>MOD(ROW(),2)=0</formula>
    </cfRule>
  </conditionalFormatting>
  <conditionalFormatting sqref="O15">
    <cfRule type="expression" dxfId="1666" priority="1652">
      <formula>MOD(ROW(),2)=0</formula>
    </cfRule>
  </conditionalFormatting>
  <conditionalFormatting sqref="O15">
    <cfRule type="expression" dxfId="1665" priority="1651">
      <formula>MOD(ROW(),2)=0</formula>
    </cfRule>
  </conditionalFormatting>
  <conditionalFormatting sqref="O15">
    <cfRule type="expression" dxfId="1664" priority="1650">
      <formula>MOD(ROW(),2)=0</formula>
    </cfRule>
  </conditionalFormatting>
  <conditionalFormatting sqref="O15">
    <cfRule type="expression" dxfId="1663" priority="1649">
      <formula>MOD(ROW(),2)=0</formula>
    </cfRule>
  </conditionalFormatting>
  <conditionalFormatting sqref="O15">
    <cfRule type="expression" dxfId="1662" priority="1648">
      <formula>MOD(ROW(),2)=0</formula>
    </cfRule>
  </conditionalFormatting>
  <conditionalFormatting sqref="O15">
    <cfRule type="expression" dxfId="1661" priority="1647">
      <formula>MOD(ROW(),2)=0</formula>
    </cfRule>
  </conditionalFormatting>
  <conditionalFormatting sqref="O15">
    <cfRule type="expression" dxfId="1660" priority="1646">
      <formula>MOD(ROW(),2)=0</formula>
    </cfRule>
  </conditionalFormatting>
  <conditionalFormatting sqref="O15">
    <cfRule type="expression" dxfId="1659" priority="1645">
      <formula>MOD(ROW(),2)=0</formula>
    </cfRule>
  </conditionalFormatting>
  <conditionalFormatting sqref="O15">
    <cfRule type="expression" dxfId="1658" priority="1644">
      <formula>MOD(ROW(),2)=0</formula>
    </cfRule>
  </conditionalFormatting>
  <conditionalFormatting sqref="O15">
    <cfRule type="expression" dxfId="1657" priority="1643">
      <formula>MOD(ROW(),2)=0</formula>
    </cfRule>
  </conditionalFormatting>
  <conditionalFormatting sqref="O15">
    <cfRule type="expression" dxfId="1656" priority="1642">
      <formula>MOD(ROW(),2)=0</formula>
    </cfRule>
  </conditionalFormatting>
  <conditionalFormatting sqref="O15">
    <cfRule type="expression" dxfId="1655" priority="1641">
      <formula>MOD(ROW(),2)=0</formula>
    </cfRule>
  </conditionalFormatting>
  <conditionalFormatting sqref="O15">
    <cfRule type="expression" dxfId="1654" priority="1640">
      <formula>MOD(ROW(),2)=0</formula>
    </cfRule>
  </conditionalFormatting>
  <conditionalFormatting sqref="O15">
    <cfRule type="expression" dxfId="1653" priority="1639">
      <formula>MOD(ROW(),2)=0</formula>
    </cfRule>
  </conditionalFormatting>
  <conditionalFormatting sqref="O15">
    <cfRule type="expression" dxfId="1652" priority="1638">
      <formula>MOD(ROW(),2)=0</formula>
    </cfRule>
  </conditionalFormatting>
  <conditionalFormatting sqref="O20">
    <cfRule type="expression" dxfId="1651" priority="1637">
      <formula>MOD(ROW(),2)=0</formula>
    </cfRule>
  </conditionalFormatting>
  <conditionalFormatting sqref="O20">
    <cfRule type="expression" dxfId="1650" priority="1636">
      <formula>MOD(ROW(),2)=0</formula>
    </cfRule>
  </conditionalFormatting>
  <conditionalFormatting sqref="O20">
    <cfRule type="expression" dxfId="1649" priority="1635">
      <formula>MOD(ROW(),2)=0</formula>
    </cfRule>
  </conditionalFormatting>
  <conditionalFormatting sqref="O20">
    <cfRule type="expression" dxfId="1648" priority="1634">
      <formula>MOD(ROW(),2)=0</formula>
    </cfRule>
  </conditionalFormatting>
  <conditionalFormatting sqref="O20">
    <cfRule type="expression" dxfId="1647" priority="1633">
      <formula>MOD(ROW(),2)=0</formula>
    </cfRule>
  </conditionalFormatting>
  <conditionalFormatting sqref="O20">
    <cfRule type="expression" dxfId="1646" priority="1632">
      <formula>MOD(ROW(),2)=0</formula>
    </cfRule>
  </conditionalFormatting>
  <conditionalFormatting sqref="O20">
    <cfRule type="expression" dxfId="1645" priority="1631">
      <formula>MOD(ROW(),2)=0</formula>
    </cfRule>
  </conditionalFormatting>
  <conditionalFormatting sqref="O20">
    <cfRule type="expression" dxfId="1644" priority="1630">
      <formula>MOD(ROW(),2)=0</formula>
    </cfRule>
  </conditionalFormatting>
  <conditionalFormatting sqref="O20">
    <cfRule type="expression" dxfId="1643" priority="1629">
      <formula>MOD(ROW(),2)=0</formula>
    </cfRule>
  </conditionalFormatting>
  <conditionalFormatting sqref="O20">
    <cfRule type="expression" dxfId="1642" priority="1628">
      <formula>MOD(ROW(),2)=0</formula>
    </cfRule>
  </conditionalFormatting>
  <conditionalFormatting sqref="O20">
    <cfRule type="expression" dxfId="1641" priority="1627">
      <formula>MOD(ROW(),2)=0</formula>
    </cfRule>
  </conditionalFormatting>
  <conditionalFormatting sqref="O20">
    <cfRule type="expression" dxfId="1640" priority="1626">
      <formula>MOD(ROW(),2)=0</formula>
    </cfRule>
  </conditionalFormatting>
  <conditionalFormatting sqref="O20">
    <cfRule type="expression" dxfId="1639" priority="1625">
      <formula>MOD(ROW(),2)=0</formula>
    </cfRule>
  </conditionalFormatting>
  <conditionalFormatting sqref="O20">
    <cfRule type="expression" dxfId="1638" priority="1624">
      <formula>MOD(ROW(),2)=0</formula>
    </cfRule>
  </conditionalFormatting>
  <conditionalFormatting sqref="O20">
    <cfRule type="expression" dxfId="1637" priority="1623">
      <formula>MOD(ROW(),2)=0</formula>
    </cfRule>
  </conditionalFormatting>
  <conditionalFormatting sqref="O20">
    <cfRule type="expression" dxfId="1636" priority="1622">
      <formula>MOD(ROW(),2)=0</formula>
    </cfRule>
  </conditionalFormatting>
  <conditionalFormatting sqref="P9">
    <cfRule type="expression" dxfId="1635" priority="1621">
      <formula>MOD(ROW(),2)=0</formula>
    </cfRule>
  </conditionalFormatting>
  <conditionalFormatting sqref="P8">
    <cfRule type="expression" dxfId="1634" priority="1620">
      <formula>MOD(ROW(),2)=0</formula>
    </cfRule>
  </conditionalFormatting>
  <conditionalFormatting sqref="P16 P12:P13">
    <cfRule type="expression" dxfId="1633" priority="1619">
      <formula>MOD(ROW(),2)=0</formula>
    </cfRule>
  </conditionalFormatting>
  <conditionalFormatting sqref="P14 P17:P19 P21">
    <cfRule type="expression" dxfId="1632" priority="1618">
      <formula>MOD(ROW(),2)=0</formula>
    </cfRule>
  </conditionalFormatting>
  <conditionalFormatting sqref="P11">
    <cfRule type="expression" dxfId="1631" priority="1617">
      <formula>MOD(ROW(),2)=0</formula>
    </cfRule>
  </conditionalFormatting>
  <conditionalFormatting sqref="P22">
    <cfRule type="expression" dxfId="1630" priority="1616">
      <formula>MOD(ROW(),2)=0</formula>
    </cfRule>
  </conditionalFormatting>
  <conditionalFormatting sqref="P10">
    <cfRule type="expression" dxfId="1629" priority="1615">
      <formula>MOD(ROW(),2)=0</formula>
    </cfRule>
  </conditionalFormatting>
  <conditionalFormatting sqref="P9">
    <cfRule type="expression" dxfId="1628" priority="1614">
      <formula>MOD(ROW(),2)=0</formula>
    </cfRule>
  </conditionalFormatting>
  <conditionalFormatting sqref="P8">
    <cfRule type="expression" dxfId="1627" priority="1613">
      <formula>MOD(ROW(),2)=0</formula>
    </cfRule>
  </conditionalFormatting>
  <conditionalFormatting sqref="P16 P12:P13">
    <cfRule type="expression" dxfId="1626" priority="1612">
      <formula>MOD(ROW(),2)=0</formula>
    </cfRule>
  </conditionalFormatting>
  <conditionalFormatting sqref="P14 P17:P19 P21">
    <cfRule type="expression" dxfId="1625" priority="1611">
      <formula>MOD(ROW(),2)=0</formula>
    </cfRule>
  </conditionalFormatting>
  <conditionalFormatting sqref="P11">
    <cfRule type="expression" dxfId="1624" priority="1610">
      <formula>MOD(ROW(),2)=0</formula>
    </cfRule>
  </conditionalFormatting>
  <conditionalFormatting sqref="P22">
    <cfRule type="expression" dxfId="1623" priority="1609">
      <formula>MOD(ROW(),2)=0</formula>
    </cfRule>
  </conditionalFormatting>
  <conditionalFormatting sqref="P10">
    <cfRule type="expression" dxfId="1622" priority="1608">
      <formula>MOD(ROW(),2)=0</formula>
    </cfRule>
  </conditionalFormatting>
  <conditionalFormatting sqref="P9">
    <cfRule type="expression" dxfId="1621" priority="1607">
      <formula>MOD(ROW(),2)=0</formula>
    </cfRule>
  </conditionalFormatting>
  <conditionalFormatting sqref="P8">
    <cfRule type="expression" dxfId="1620" priority="1606">
      <formula>MOD(ROW(),2)=0</formula>
    </cfRule>
  </conditionalFormatting>
  <conditionalFormatting sqref="P16 P12:P13">
    <cfRule type="expression" dxfId="1619" priority="1605">
      <formula>MOD(ROW(),2)=0</formula>
    </cfRule>
  </conditionalFormatting>
  <conditionalFormatting sqref="P14 P17:P19 P21">
    <cfRule type="expression" dxfId="1618" priority="1604">
      <formula>MOD(ROW(),2)=0</formula>
    </cfRule>
  </conditionalFormatting>
  <conditionalFormatting sqref="P11">
    <cfRule type="expression" dxfId="1617" priority="1603">
      <formula>MOD(ROW(),2)=0</formula>
    </cfRule>
  </conditionalFormatting>
  <conditionalFormatting sqref="P22">
    <cfRule type="expression" dxfId="1616" priority="1602">
      <formula>MOD(ROW(),2)=0</formula>
    </cfRule>
  </conditionalFormatting>
  <conditionalFormatting sqref="P10">
    <cfRule type="expression" dxfId="1615" priority="1601">
      <formula>MOD(ROW(),2)=0</formula>
    </cfRule>
  </conditionalFormatting>
  <conditionalFormatting sqref="P9">
    <cfRule type="expression" dxfId="1614" priority="1600">
      <formula>MOD(ROW(),2)=0</formula>
    </cfRule>
  </conditionalFormatting>
  <conditionalFormatting sqref="P8">
    <cfRule type="expression" dxfId="1613" priority="1599">
      <formula>MOD(ROW(),2)=0</formula>
    </cfRule>
  </conditionalFormatting>
  <conditionalFormatting sqref="P16 P12:P13">
    <cfRule type="expression" dxfId="1612" priority="1598">
      <formula>MOD(ROW(),2)=0</formula>
    </cfRule>
  </conditionalFormatting>
  <conditionalFormatting sqref="P14 P17:P19 P21">
    <cfRule type="expression" dxfId="1611" priority="1597">
      <formula>MOD(ROW(),2)=0</formula>
    </cfRule>
  </conditionalFormatting>
  <conditionalFormatting sqref="P11">
    <cfRule type="expression" dxfId="1610" priority="1596">
      <formula>MOD(ROW(),2)=0</formula>
    </cfRule>
  </conditionalFormatting>
  <conditionalFormatting sqref="P22">
    <cfRule type="expression" dxfId="1609" priority="1595">
      <formula>MOD(ROW(),2)=0</formula>
    </cfRule>
  </conditionalFormatting>
  <conditionalFormatting sqref="P10">
    <cfRule type="expression" dxfId="1608" priority="1594">
      <formula>MOD(ROW(),2)=0</formula>
    </cfRule>
  </conditionalFormatting>
  <conditionalFormatting sqref="P9">
    <cfRule type="expression" dxfId="1607" priority="1593">
      <formula>MOD(ROW(),2)=0</formula>
    </cfRule>
  </conditionalFormatting>
  <conditionalFormatting sqref="P8">
    <cfRule type="expression" dxfId="1606" priority="1592">
      <formula>MOD(ROW(),2)=0</formula>
    </cfRule>
  </conditionalFormatting>
  <conditionalFormatting sqref="P16 P12:P13">
    <cfRule type="expression" dxfId="1605" priority="1591">
      <formula>MOD(ROW(),2)=0</formula>
    </cfRule>
  </conditionalFormatting>
  <conditionalFormatting sqref="P14 P17:P19 P21">
    <cfRule type="expression" dxfId="1604" priority="1590">
      <formula>MOD(ROW(),2)=0</formula>
    </cfRule>
  </conditionalFormatting>
  <conditionalFormatting sqref="P11">
    <cfRule type="expression" dxfId="1603" priority="1589">
      <formula>MOD(ROW(),2)=0</formula>
    </cfRule>
  </conditionalFormatting>
  <conditionalFormatting sqref="P22">
    <cfRule type="expression" dxfId="1602" priority="1588">
      <formula>MOD(ROW(),2)=0</formula>
    </cfRule>
  </conditionalFormatting>
  <conditionalFormatting sqref="P10">
    <cfRule type="expression" dxfId="1601" priority="1587">
      <formula>MOD(ROW(),2)=0</formula>
    </cfRule>
  </conditionalFormatting>
  <conditionalFormatting sqref="P9">
    <cfRule type="expression" dxfId="1600" priority="1586">
      <formula>MOD(ROW(),2)=0</formula>
    </cfRule>
  </conditionalFormatting>
  <conditionalFormatting sqref="P8">
    <cfRule type="expression" dxfId="1599" priority="1585">
      <formula>MOD(ROW(),2)=0</formula>
    </cfRule>
  </conditionalFormatting>
  <conditionalFormatting sqref="P16 P12:P13">
    <cfRule type="expression" dxfId="1598" priority="1584">
      <formula>MOD(ROW(),2)=0</formula>
    </cfRule>
  </conditionalFormatting>
  <conditionalFormatting sqref="P14 P17:P19 P21">
    <cfRule type="expression" dxfId="1597" priority="1583">
      <formula>MOD(ROW(),2)=0</formula>
    </cfRule>
  </conditionalFormatting>
  <conditionalFormatting sqref="P11">
    <cfRule type="expression" dxfId="1596" priority="1582">
      <formula>MOD(ROW(),2)=0</formula>
    </cfRule>
  </conditionalFormatting>
  <conditionalFormatting sqref="P22">
    <cfRule type="expression" dxfId="1595" priority="1581">
      <formula>MOD(ROW(),2)=0</formula>
    </cfRule>
  </conditionalFormatting>
  <conditionalFormatting sqref="P10">
    <cfRule type="expression" dxfId="1594" priority="1580">
      <formula>MOD(ROW(),2)=0</formula>
    </cfRule>
  </conditionalFormatting>
  <conditionalFormatting sqref="P9">
    <cfRule type="expression" dxfId="1593" priority="1579">
      <formula>MOD(ROW(),2)=0</formula>
    </cfRule>
  </conditionalFormatting>
  <conditionalFormatting sqref="P8">
    <cfRule type="expression" dxfId="1592" priority="1578">
      <formula>MOD(ROW(),2)=0</formula>
    </cfRule>
  </conditionalFormatting>
  <conditionalFormatting sqref="P16 P12:P13">
    <cfRule type="expression" dxfId="1591" priority="1577">
      <formula>MOD(ROW(),2)=0</formula>
    </cfRule>
  </conditionalFormatting>
  <conditionalFormatting sqref="P14 P17:P19 P21">
    <cfRule type="expression" dxfId="1590" priority="1576">
      <formula>MOD(ROW(),2)=0</formula>
    </cfRule>
  </conditionalFormatting>
  <conditionalFormatting sqref="P11">
    <cfRule type="expression" dxfId="1589" priority="1575">
      <formula>MOD(ROW(),2)=0</formula>
    </cfRule>
  </conditionalFormatting>
  <conditionalFormatting sqref="P10">
    <cfRule type="expression" dxfId="1588" priority="1574">
      <formula>MOD(ROW(),2)=0</formula>
    </cfRule>
  </conditionalFormatting>
  <conditionalFormatting sqref="P22">
    <cfRule type="expression" dxfId="1587" priority="1573">
      <formula>MOD(ROW(),2)=0</formula>
    </cfRule>
  </conditionalFormatting>
  <conditionalFormatting sqref="P9">
    <cfRule type="expression" dxfId="1586" priority="1572">
      <formula>MOD(ROW(),2)=0</formula>
    </cfRule>
  </conditionalFormatting>
  <conditionalFormatting sqref="P8">
    <cfRule type="expression" dxfId="1585" priority="1571">
      <formula>MOD(ROW(),2)=0</formula>
    </cfRule>
  </conditionalFormatting>
  <conditionalFormatting sqref="P16 P12:P13">
    <cfRule type="expression" dxfId="1584" priority="1570">
      <formula>MOD(ROW(),2)=0</formula>
    </cfRule>
  </conditionalFormatting>
  <conditionalFormatting sqref="P14 P17:P19 P21">
    <cfRule type="expression" dxfId="1583" priority="1569">
      <formula>MOD(ROW(),2)=0</formula>
    </cfRule>
  </conditionalFormatting>
  <conditionalFormatting sqref="P11">
    <cfRule type="expression" dxfId="1582" priority="1568">
      <formula>MOD(ROW(),2)=0</formula>
    </cfRule>
  </conditionalFormatting>
  <conditionalFormatting sqref="P22">
    <cfRule type="expression" dxfId="1581" priority="1567">
      <formula>MOD(ROW(),2)=0</formula>
    </cfRule>
  </conditionalFormatting>
  <conditionalFormatting sqref="P10">
    <cfRule type="expression" dxfId="1580" priority="1566">
      <formula>MOD(ROW(),2)=0</formula>
    </cfRule>
  </conditionalFormatting>
  <conditionalFormatting sqref="P9">
    <cfRule type="expression" dxfId="1579" priority="1565">
      <formula>MOD(ROW(),2)=0</formula>
    </cfRule>
  </conditionalFormatting>
  <conditionalFormatting sqref="P8">
    <cfRule type="expression" dxfId="1578" priority="1564">
      <formula>MOD(ROW(),2)=0</formula>
    </cfRule>
  </conditionalFormatting>
  <conditionalFormatting sqref="P16 P12:P13">
    <cfRule type="expression" dxfId="1577" priority="1563">
      <formula>MOD(ROW(),2)=0</formula>
    </cfRule>
  </conditionalFormatting>
  <conditionalFormatting sqref="P14 P17:P19 P21">
    <cfRule type="expression" dxfId="1576" priority="1562">
      <formula>MOD(ROW(),2)=0</formula>
    </cfRule>
  </conditionalFormatting>
  <conditionalFormatting sqref="P11">
    <cfRule type="expression" dxfId="1575" priority="1561">
      <formula>MOD(ROW(),2)=0</formula>
    </cfRule>
  </conditionalFormatting>
  <conditionalFormatting sqref="P22">
    <cfRule type="expression" dxfId="1574" priority="1560">
      <formula>MOD(ROW(),2)=0</formula>
    </cfRule>
  </conditionalFormatting>
  <conditionalFormatting sqref="P10">
    <cfRule type="expression" dxfId="1573" priority="1559">
      <formula>MOD(ROW(),2)=0</formula>
    </cfRule>
  </conditionalFormatting>
  <conditionalFormatting sqref="P9">
    <cfRule type="expression" dxfId="1572" priority="1558">
      <formula>MOD(ROW(),2)=0</formula>
    </cfRule>
  </conditionalFormatting>
  <conditionalFormatting sqref="P8">
    <cfRule type="expression" dxfId="1571" priority="1557">
      <formula>MOD(ROW(),2)=0</formula>
    </cfRule>
  </conditionalFormatting>
  <conditionalFormatting sqref="P16 P12:P13">
    <cfRule type="expression" dxfId="1570" priority="1556">
      <formula>MOD(ROW(),2)=0</formula>
    </cfRule>
  </conditionalFormatting>
  <conditionalFormatting sqref="P14 P17:P19 P21">
    <cfRule type="expression" dxfId="1569" priority="1555">
      <formula>MOD(ROW(),2)=0</formula>
    </cfRule>
  </conditionalFormatting>
  <conditionalFormatting sqref="P11">
    <cfRule type="expression" dxfId="1568" priority="1554">
      <formula>MOD(ROW(),2)=0</formula>
    </cfRule>
  </conditionalFormatting>
  <conditionalFormatting sqref="P22">
    <cfRule type="expression" dxfId="1567" priority="1553">
      <formula>MOD(ROW(),2)=0</formula>
    </cfRule>
  </conditionalFormatting>
  <conditionalFormatting sqref="P10">
    <cfRule type="expression" dxfId="1566" priority="1552">
      <formula>MOD(ROW(),2)=0</formula>
    </cfRule>
  </conditionalFormatting>
  <conditionalFormatting sqref="P9">
    <cfRule type="expression" dxfId="1565" priority="1551">
      <formula>MOD(ROW(),2)=0</formula>
    </cfRule>
  </conditionalFormatting>
  <conditionalFormatting sqref="P8">
    <cfRule type="expression" dxfId="1564" priority="1550">
      <formula>MOD(ROW(),2)=0</formula>
    </cfRule>
  </conditionalFormatting>
  <conditionalFormatting sqref="P16 P12:P13">
    <cfRule type="expression" dxfId="1563" priority="1549">
      <formula>MOD(ROW(),2)=0</formula>
    </cfRule>
  </conditionalFormatting>
  <conditionalFormatting sqref="P14 P17:P19 P21">
    <cfRule type="expression" dxfId="1562" priority="1548">
      <formula>MOD(ROW(),2)=0</formula>
    </cfRule>
  </conditionalFormatting>
  <conditionalFormatting sqref="P11">
    <cfRule type="expression" dxfId="1561" priority="1547">
      <formula>MOD(ROW(),2)=0</formula>
    </cfRule>
  </conditionalFormatting>
  <conditionalFormatting sqref="P22">
    <cfRule type="expression" dxfId="1560" priority="1546">
      <formula>MOD(ROW(),2)=0</formula>
    </cfRule>
  </conditionalFormatting>
  <conditionalFormatting sqref="P10">
    <cfRule type="expression" dxfId="1559" priority="1545">
      <formula>MOD(ROW(),2)=0</formula>
    </cfRule>
  </conditionalFormatting>
  <conditionalFormatting sqref="P9">
    <cfRule type="expression" dxfId="1558" priority="1544">
      <formula>MOD(ROW(),2)=0</formula>
    </cfRule>
  </conditionalFormatting>
  <conditionalFormatting sqref="P8">
    <cfRule type="expression" dxfId="1557" priority="1543">
      <formula>MOD(ROW(),2)=0</formula>
    </cfRule>
  </conditionalFormatting>
  <conditionalFormatting sqref="P16 P12:P13">
    <cfRule type="expression" dxfId="1556" priority="1542">
      <formula>MOD(ROW(),2)=0</formula>
    </cfRule>
  </conditionalFormatting>
  <conditionalFormatting sqref="P14 P17:P19 P21">
    <cfRule type="expression" dxfId="1555" priority="1541">
      <formula>MOD(ROW(),2)=0</formula>
    </cfRule>
  </conditionalFormatting>
  <conditionalFormatting sqref="P11">
    <cfRule type="expression" dxfId="1554" priority="1540">
      <formula>MOD(ROW(),2)=0</formula>
    </cfRule>
  </conditionalFormatting>
  <conditionalFormatting sqref="P22">
    <cfRule type="expression" dxfId="1553" priority="1539">
      <formula>MOD(ROW(),2)=0</formula>
    </cfRule>
  </conditionalFormatting>
  <conditionalFormatting sqref="P10">
    <cfRule type="expression" dxfId="1552" priority="1538">
      <formula>MOD(ROW(),2)=0</formula>
    </cfRule>
  </conditionalFormatting>
  <conditionalFormatting sqref="P9">
    <cfRule type="expression" dxfId="1551" priority="1537">
      <formula>MOD(ROW(),2)=0</formula>
    </cfRule>
  </conditionalFormatting>
  <conditionalFormatting sqref="P8">
    <cfRule type="expression" dxfId="1550" priority="1536">
      <formula>MOD(ROW(),2)=0</formula>
    </cfRule>
  </conditionalFormatting>
  <conditionalFormatting sqref="P16 P12:P13">
    <cfRule type="expression" dxfId="1549" priority="1535">
      <formula>MOD(ROW(),2)=0</formula>
    </cfRule>
  </conditionalFormatting>
  <conditionalFormatting sqref="P14 P17:P19 P21">
    <cfRule type="expression" dxfId="1548" priority="1534">
      <formula>MOD(ROW(),2)=0</formula>
    </cfRule>
  </conditionalFormatting>
  <conditionalFormatting sqref="P11">
    <cfRule type="expression" dxfId="1547" priority="1533">
      <formula>MOD(ROW(),2)=0</formula>
    </cfRule>
  </conditionalFormatting>
  <conditionalFormatting sqref="P22">
    <cfRule type="expression" dxfId="1546" priority="1532">
      <formula>MOD(ROW(),2)=0</formula>
    </cfRule>
  </conditionalFormatting>
  <conditionalFormatting sqref="P10">
    <cfRule type="expression" dxfId="1545" priority="1531">
      <formula>MOD(ROW(),2)=0</formula>
    </cfRule>
  </conditionalFormatting>
  <conditionalFormatting sqref="P9">
    <cfRule type="expression" dxfId="1544" priority="1530">
      <formula>MOD(ROW(),2)=0</formula>
    </cfRule>
  </conditionalFormatting>
  <conditionalFormatting sqref="P8">
    <cfRule type="expression" dxfId="1543" priority="1529">
      <formula>MOD(ROW(),2)=0</formula>
    </cfRule>
  </conditionalFormatting>
  <conditionalFormatting sqref="P16 P12:P13">
    <cfRule type="expression" dxfId="1542" priority="1528">
      <formula>MOD(ROW(),2)=0</formula>
    </cfRule>
  </conditionalFormatting>
  <conditionalFormatting sqref="P14 P17:P19 P21">
    <cfRule type="expression" dxfId="1541" priority="1527">
      <formula>MOD(ROW(),2)=0</formula>
    </cfRule>
  </conditionalFormatting>
  <conditionalFormatting sqref="P11">
    <cfRule type="expression" dxfId="1540" priority="1526">
      <formula>MOD(ROW(),2)=0</formula>
    </cfRule>
  </conditionalFormatting>
  <conditionalFormatting sqref="P22">
    <cfRule type="expression" dxfId="1539" priority="1525">
      <formula>MOD(ROW(),2)=0</formula>
    </cfRule>
  </conditionalFormatting>
  <conditionalFormatting sqref="P10">
    <cfRule type="expression" dxfId="1538" priority="1524">
      <formula>MOD(ROW(),2)=0</formula>
    </cfRule>
  </conditionalFormatting>
  <conditionalFormatting sqref="P9">
    <cfRule type="expression" dxfId="1537" priority="1523">
      <formula>MOD(ROW(),2)=0</formula>
    </cfRule>
  </conditionalFormatting>
  <conditionalFormatting sqref="P8">
    <cfRule type="expression" dxfId="1536" priority="1522">
      <formula>MOD(ROW(),2)=0</formula>
    </cfRule>
  </conditionalFormatting>
  <conditionalFormatting sqref="P16 P12:P13">
    <cfRule type="expression" dxfId="1535" priority="1521">
      <formula>MOD(ROW(),2)=0</formula>
    </cfRule>
  </conditionalFormatting>
  <conditionalFormatting sqref="P14 P17:P19 P21">
    <cfRule type="expression" dxfId="1534" priority="1520">
      <formula>MOD(ROW(),2)=0</formula>
    </cfRule>
  </conditionalFormatting>
  <conditionalFormatting sqref="P11">
    <cfRule type="expression" dxfId="1533" priority="1519">
      <formula>MOD(ROW(),2)=0</formula>
    </cfRule>
  </conditionalFormatting>
  <conditionalFormatting sqref="P10">
    <cfRule type="expression" dxfId="1532" priority="1518">
      <formula>MOD(ROW(),2)=0</formula>
    </cfRule>
  </conditionalFormatting>
  <conditionalFormatting sqref="P22">
    <cfRule type="expression" dxfId="1531" priority="1517">
      <formula>MOD(ROW(),2)=0</formula>
    </cfRule>
  </conditionalFormatting>
  <conditionalFormatting sqref="P9">
    <cfRule type="expression" dxfId="1530" priority="1516">
      <formula>MOD(ROW(),2)=0</formula>
    </cfRule>
  </conditionalFormatting>
  <conditionalFormatting sqref="P8">
    <cfRule type="expression" dxfId="1529" priority="1515">
      <formula>MOD(ROW(),2)=0</formula>
    </cfRule>
  </conditionalFormatting>
  <conditionalFormatting sqref="P16 P12:P13">
    <cfRule type="expression" dxfId="1528" priority="1514">
      <formula>MOD(ROW(),2)=0</formula>
    </cfRule>
  </conditionalFormatting>
  <conditionalFormatting sqref="P14 P17:P19 P21">
    <cfRule type="expression" dxfId="1527" priority="1513">
      <formula>MOD(ROW(),2)=0</formula>
    </cfRule>
  </conditionalFormatting>
  <conditionalFormatting sqref="P11">
    <cfRule type="expression" dxfId="1526" priority="1512">
      <formula>MOD(ROW(),2)=0</formula>
    </cfRule>
  </conditionalFormatting>
  <conditionalFormatting sqref="P22">
    <cfRule type="expression" dxfId="1525" priority="1511">
      <formula>MOD(ROW(),2)=0</formula>
    </cfRule>
  </conditionalFormatting>
  <conditionalFormatting sqref="P10">
    <cfRule type="expression" dxfId="1524" priority="1510">
      <formula>MOD(ROW(),2)=0</formula>
    </cfRule>
  </conditionalFormatting>
  <conditionalFormatting sqref="P15">
    <cfRule type="expression" dxfId="1523" priority="1509">
      <formula>MOD(ROW(),2)=0</formula>
    </cfRule>
  </conditionalFormatting>
  <conditionalFormatting sqref="P15">
    <cfRule type="expression" dxfId="1522" priority="1508">
      <formula>MOD(ROW(),2)=0</formula>
    </cfRule>
  </conditionalFormatting>
  <conditionalFormatting sqref="P15">
    <cfRule type="expression" dxfId="1521" priority="1507">
      <formula>MOD(ROW(),2)=0</formula>
    </cfRule>
  </conditionalFormatting>
  <conditionalFormatting sqref="P15">
    <cfRule type="expression" dxfId="1520" priority="1506">
      <formula>MOD(ROW(),2)=0</formula>
    </cfRule>
  </conditionalFormatting>
  <conditionalFormatting sqref="P15">
    <cfRule type="expression" dxfId="1519" priority="1505">
      <formula>MOD(ROW(),2)=0</formula>
    </cfRule>
  </conditionalFormatting>
  <conditionalFormatting sqref="P15">
    <cfRule type="expression" dxfId="1518" priority="1504">
      <formula>MOD(ROW(),2)=0</formula>
    </cfRule>
  </conditionalFormatting>
  <conditionalFormatting sqref="P15">
    <cfRule type="expression" dxfId="1517" priority="1503">
      <formula>MOD(ROW(),2)=0</formula>
    </cfRule>
  </conditionalFormatting>
  <conditionalFormatting sqref="P15">
    <cfRule type="expression" dxfId="1516" priority="1502">
      <formula>MOD(ROW(),2)=0</formula>
    </cfRule>
  </conditionalFormatting>
  <conditionalFormatting sqref="P15">
    <cfRule type="expression" dxfId="1515" priority="1501">
      <formula>MOD(ROW(),2)=0</formula>
    </cfRule>
  </conditionalFormatting>
  <conditionalFormatting sqref="P15">
    <cfRule type="expression" dxfId="1514" priority="1500">
      <formula>MOD(ROW(),2)=0</formula>
    </cfRule>
  </conditionalFormatting>
  <conditionalFormatting sqref="P15">
    <cfRule type="expression" dxfId="1513" priority="1499">
      <formula>MOD(ROW(),2)=0</formula>
    </cfRule>
  </conditionalFormatting>
  <conditionalFormatting sqref="P15">
    <cfRule type="expression" dxfId="1512" priority="1498">
      <formula>MOD(ROW(),2)=0</formula>
    </cfRule>
  </conditionalFormatting>
  <conditionalFormatting sqref="P15">
    <cfRule type="expression" dxfId="1511" priority="1497">
      <formula>MOD(ROW(),2)=0</formula>
    </cfRule>
  </conditionalFormatting>
  <conditionalFormatting sqref="P15">
    <cfRule type="expression" dxfId="1510" priority="1496">
      <formula>MOD(ROW(),2)=0</formula>
    </cfRule>
  </conditionalFormatting>
  <conditionalFormatting sqref="P15">
    <cfRule type="expression" dxfId="1509" priority="1495">
      <formula>MOD(ROW(),2)=0</formula>
    </cfRule>
  </conditionalFormatting>
  <conditionalFormatting sqref="P15">
    <cfRule type="expression" dxfId="1508" priority="1494">
      <formula>MOD(ROW(),2)=0</formula>
    </cfRule>
  </conditionalFormatting>
  <conditionalFormatting sqref="P20">
    <cfRule type="expression" dxfId="1507" priority="1493">
      <formula>MOD(ROW(),2)=0</formula>
    </cfRule>
  </conditionalFormatting>
  <conditionalFormatting sqref="P20">
    <cfRule type="expression" dxfId="1506" priority="1492">
      <formula>MOD(ROW(),2)=0</formula>
    </cfRule>
  </conditionalFormatting>
  <conditionalFormatting sqref="P20">
    <cfRule type="expression" dxfId="1505" priority="1491">
      <formula>MOD(ROW(),2)=0</formula>
    </cfRule>
  </conditionalFormatting>
  <conditionalFormatting sqref="P20">
    <cfRule type="expression" dxfId="1504" priority="1490">
      <formula>MOD(ROW(),2)=0</formula>
    </cfRule>
  </conditionalFormatting>
  <conditionalFormatting sqref="P20">
    <cfRule type="expression" dxfId="1503" priority="1489">
      <formula>MOD(ROW(),2)=0</formula>
    </cfRule>
  </conditionalFormatting>
  <conditionalFormatting sqref="P20">
    <cfRule type="expression" dxfId="1502" priority="1488">
      <formula>MOD(ROW(),2)=0</formula>
    </cfRule>
  </conditionalFormatting>
  <conditionalFormatting sqref="P20">
    <cfRule type="expression" dxfId="1501" priority="1487">
      <formula>MOD(ROW(),2)=0</formula>
    </cfRule>
  </conditionalFormatting>
  <conditionalFormatting sqref="P20">
    <cfRule type="expression" dxfId="1500" priority="1486">
      <formula>MOD(ROW(),2)=0</formula>
    </cfRule>
  </conditionalFormatting>
  <conditionalFormatting sqref="P20">
    <cfRule type="expression" dxfId="1499" priority="1485">
      <formula>MOD(ROW(),2)=0</formula>
    </cfRule>
  </conditionalFormatting>
  <conditionalFormatting sqref="P20">
    <cfRule type="expression" dxfId="1498" priority="1484">
      <formula>MOD(ROW(),2)=0</formula>
    </cfRule>
  </conditionalFormatting>
  <conditionalFormatting sqref="P20">
    <cfRule type="expression" dxfId="1497" priority="1483">
      <formula>MOD(ROW(),2)=0</formula>
    </cfRule>
  </conditionalFormatting>
  <conditionalFormatting sqref="P20">
    <cfRule type="expression" dxfId="1496" priority="1482">
      <formula>MOD(ROW(),2)=0</formula>
    </cfRule>
  </conditionalFormatting>
  <conditionalFormatting sqref="P20">
    <cfRule type="expression" dxfId="1495" priority="1481">
      <formula>MOD(ROW(),2)=0</formula>
    </cfRule>
  </conditionalFormatting>
  <conditionalFormatting sqref="P20">
    <cfRule type="expression" dxfId="1494" priority="1480">
      <formula>MOD(ROW(),2)=0</formula>
    </cfRule>
  </conditionalFormatting>
  <conditionalFormatting sqref="P20">
    <cfRule type="expression" dxfId="1493" priority="1479">
      <formula>MOD(ROW(),2)=0</formula>
    </cfRule>
  </conditionalFormatting>
  <conditionalFormatting sqref="P20">
    <cfRule type="expression" dxfId="1492" priority="1478">
      <formula>MOD(ROW(),2)=0</formula>
    </cfRule>
  </conditionalFormatting>
  <conditionalFormatting sqref="Q9">
    <cfRule type="expression" dxfId="1491" priority="1477">
      <formula>MOD(ROW(),2)=0</formula>
    </cfRule>
  </conditionalFormatting>
  <conditionalFormatting sqref="Q8">
    <cfRule type="expression" dxfId="1490" priority="1476">
      <formula>MOD(ROW(),2)=0</formula>
    </cfRule>
  </conditionalFormatting>
  <conditionalFormatting sqref="Q16 Q12:Q13">
    <cfRule type="expression" dxfId="1489" priority="1475">
      <formula>MOD(ROW(),2)=0</formula>
    </cfRule>
  </conditionalFormatting>
  <conditionalFormatting sqref="Q14 Q17:Q19 Q21">
    <cfRule type="expression" dxfId="1488" priority="1474">
      <formula>MOD(ROW(),2)=0</formula>
    </cfRule>
  </conditionalFormatting>
  <conditionalFormatting sqref="Q11">
    <cfRule type="expression" dxfId="1487" priority="1473">
      <formula>MOD(ROW(),2)=0</formula>
    </cfRule>
  </conditionalFormatting>
  <conditionalFormatting sqref="Q22">
    <cfRule type="expression" dxfId="1486" priority="1472">
      <formula>MOD(ROW(),2)=0</formula>
    </cfRule>
  </conditionalFormatting>
  <conditionalFormatting sqref="Q10">
    <cfRule type="expression" dxfId="1485" priority="1471">
      <formula>MOD(ROW(),2)=0</formula>
    </cfRule>
  </conditionalFormatting>
  <conditionalFormatting sqref="Q9">
    <cfRule type="expression" dxfId="1484" priority="1470">
      <formula>MOD(ROW(),2)=0</formula>
    </cfRule>
  </conditionalFormatting>
  <conditionalFormatting sqref="Q8">
    <cfRule type="expression" dxfId="1483" priority="1469">
      <formula>MOD(ROW(),2)=0</formula>
    </cfRule>
  </conditionalFormatting>
  <conditionalFormatting sqref="Q16 Q12:Q13">
    <cfRule type="expression" dxfId="1482" priority="1468">
      <formula>MOD(ROW(),2)=0</formula>
    </cfRule>
  </conditionalFormatting>
  <conditionalFormatting sqref="Q14 Q17:Q19 Q21">
    <cfRule type="expression" dxfId="1481" priority="1467">
      <formula>MOD(ROW(),2)=0</formula>
    </cfRule>
  </conditionalFormatting>
  <conditionalFormatting sqref="Q11">
    <cfRule type="expression" dxfId="1480" priority="1466">
      <formula>MOD(ROW(),2)=0</formula>
    </cfRule>
  </conditionalFormatting>
  <conditionalFormatting sqref="Q22">
    <cfRule type="expression" dxfId="1479" priority="1465">
      <formula>MOD(ROW(),2)=0</formula>
    </cfRule>
  </conditionalFormatting>
  <conditionalFormatting sqref="Q10">
    <cfRule type="expression" dxfId="1478" priority="1464">
      <formula>MOD(ROW(),2)=0</formula>
    </cfRule>
  </conditionalFormatting>
  <conditionalFormatting sqref="Q9">
    <cfRule type="expression" dxfId="1477" priority="1463">
      <formula>MOD(ROW(),2)=0</formula>
    </cfRule>
  </conditionalFormatting>
  <conditionalFormatting sqref="Q8">
    <cfRule type="expression" dxfId="1476" priority="1462">
      <formula>MOD(ROW(),2)=0</formula>
    </cfRule>
  </conditionalFormatting>
  <conditionalFormatting sqref="Q16 Q12:Q13">
    <cfRule type="expression" dxfId="1475" priority="1461">
      <formula>MOD(ROW(),2)=0</formula>
    </cfRule>
  </conditionalFormatting>
  <conditionalFormatting sqref="Q14 Q17:Q19 Q21">
    <cfRule type="expression" dxfId="1474" priority="1460">
      <formula>MOD(ROW(),2)=0</formula>
    </cfRule>
  </conditionalFormatting>
  <conditionalFormatting sqref="Q11">
    <cfRule type="expression" dxfId="1473" priority="1459">
      <formula>MOD(ROW(),2)=0</formula>
    </cfRule>
  </conditionalFormatting>
  <conditionalFormatting sqref="Q22">
    <cfRule type="expression" dxfId="1472" priority="1458">
      <formula>MOD(ROW(),2)=0</formula>
    </cfRule>
  </conditionalFormatting>
  <conditionalFormatting sqref="Q10">
    <cfRule type="expression" dxfId="1471" priority="1457">
      <formula>MOD(ROW(),2)=0</formula>
    </cfRule>
  </conditionalFormatting>
  <conditionalFormatting sqref="Q9">
    <cfRule type="expression" dxfId="1470" priority="1456">
      <formula>MOD(ROW(),2)=0</formula>
    </cfRule>
  </conditionalFormatting>
  <conditionalFormatting sqref="Q8">
    <cfRule type="expression" dxfId="1469" priority="1455">
      <formula>MOD(ROW(),2)=0</formula>
    </cfRule>
  </conditionalFormatting>
  <conditionalFormatting sqref="Q16 Q12:Q13">
    <cfRule type="expression" dxfId="1468" priority="1454">
      <formula>MOD(ROW(),2)=0</formula>
    </cfRule>
  </conditionalFormatting>
  <conditionalFormatting sqref="Q14 Q17:Q19 Q21">
    <cfRule type="expression" dxfId="1467" priority="1453">
      <formula>MOD(ROW(),2)=0</formula>
    </cfRule>
  </conditionalFormatting>
  <conditionalFormatting sqref="Q11">
    <cfRule type="expression" dxfId="1466" priority="1452">
      <formula>MOD(ROW(),2)=0</formula>
    </cfRule>
  </conditionalFormatting>
  <conditionalFormatting sqref="Q22">
    <cfRule type="expression" dxfId="1465" priority="1451">
      <formula>MOD(ROW(),2)=0</formula>
    </cfRule>
  </conditionalFormatting>
  <conditionalFormatting sqref="Q10">
    <cfRule type="expression" dxfId="1464" priority="1450">
      <formula>MOD(ROW(),2)=0</formula>
    </cfRule>
  </conditionalFormatting>
  <conditionalFormatting sqref="Q9">
    <cfRule type="expression" dxfId="1463" priority="1449">
      <formula>MOD(ROW(),2)=0</formula>
    </cfRule>
  </conditionalFormatting>
  <conditionalFormatting sqref="Q8">
    <cfRule type="expression" dxfId="1462" priority="1448">
      <formula>MOD(ROW(),2)=0</formula>
    </cfRule>
  </conditionalFormatting>
  <conditionalFormatting sqref="Q16 Q12:Q13">
    <cfRule type="expression" dxfId="1461" priority="1447">
      <formula>MOD(ROW(),2)=0</formula>
    </cfRule>
  </conditionalFormatting>
  <conditionalFormatting sqref="Q14 Q17:Q19 Q21">
    <cfRule type="expression" dxfId="1460" priority="1446">
      <formula>MOD(ROW(),2)=0</formula>
    </cfRule>
  </conditionalFormatting>
  <conditionalFormatting sqref="Q11">
    <cfRule type="expression" dxfId="1459" priority="1445">
      <formula>MOD(ROW(),2)=0</formula>
    </cfRule>
  </conditionalFormatting>
  <conditionalFormatting sqref="Q22">
    <cfRule type="expression" dxfId="1458" priority="1444">
      <formula>MOD(ROW(),2)=0</formula>
    </cfRule>
  </conditionalFormatting>
  <conditionalFormatting sqref="Q10">
    <cfRule type="expression" dxfId="1457" priority="1443">
      <formula>MOD(ROW(),2)=0</formula>
    </cfRule>
  </conditionalFormatting>
  <conditionalFormatting sqref="Q9">
    <cfRule type="expression" dxfId="1456" priority="1442">
      <formula>MOD(ROW(),2)=0</formula>
    </cfRule>
  </conditionalFormatting>
  <conditionalFormatting sqref="Q8">
    <cfRule type="expression" dxfId="1455" priority="1441">
      <formula>MOD(ROW(),2)=0</formula>
    </cfRule>
  </conditionalFormatting>
  <conditionalFormatting sqref="Q16 Q12:Q13">
    <cfRule type="expression" dxfId="1454" priority="1440">
      <formula>MOD(ROW(),2)=0</formula>
    </cfRule>
  </conditionalFormatting>
  <conditionalFormatting sqref="Q14 Q17:Q19 Q21">
    <cfRule type="expression" dxfId="1453" priority="1439">
      <formula>MOD(ROW(),2)=0</formula>
    </cfRule>
  </conditionalFormatting>
  <conditionalFormatting sqref="Q11">
    <cfRule type="expression" dxfId="1452" priority="1438">
      <formula>MOD(ROW(),2)=0</formula>
    </cfRule>
  </conditionalFormatting>
  <conditionalFormatting sqref="Q22">
    <cfRule type="expression" dxfId="1451" priority="1437">
      <formula>MOD(ROW(),2)=0</formula>
    </cfRule>
  </conditionalFormatting>
  <conditionalFormatting sqref="Q10">
    <cfRule type="expression" dxfId="1450" priority="1436">
      <formula>MOD(ROW(),2)=0</formula>
    </cfRule>
  </conditionalFormatting>
  <conditionalFormatting sqref="Q9">
    <cfRule type="expression" dxfId="1449" priority="1435">
      <formula>MOD(ROW(),2)=0</formula>
    </cfRule>
  </conditionalFormatting>
  <conditionalFormatting sqref="Q8">
    <cfRule type="expression" dxfId="1448" priority="1434">
      <formula>MOD(ROW(),2)=0</formula>
    </cfRule>
  </conditionalFormatting>
  <conditionalFormatting sqref="Q16 Q12:Q13">
    <cfRule type="expression" dxfId="1447" priority="1433">
      <formula>MOD(ROW(),2)=0</formula>
    </cfRule>
  </conditionalFormatting>
  <conditionalFormatting sqref="Q14 Q17:Q19 Q21">
    <cfRule type="expression" dxfId="1446" priority="1432">
      <formula>MOD(ROW(),2)=0</formula>
    </cfRule>
  </conditionalFormatting>
  <conditionalFormatting sqref="Q11">
    <cfRule type="expression" dxfId="1445" priority="1431">
      <formula>MOD(ROW(),2)=0</formula>
    </cfRule>
  </conditionalFormatting>
  <conditionalFormatting sqref="Q10">
    <cfRule type="expression" dxfId="1444" priority="1430">
      <formula>MOD(ROW(),2)=0</formula>
    </cfRule>
  </conditionalFormatting>
  <conditionalFormatting sqref="Q22">
    <cfRule type="expression" dxfId="1443" priority="1429">
      <formula>MOD(ROW(),2)=0</formula>
    </cfRule>
  </conditionalFormatting>
  <conditionalFormatting sqref="Q9">
    <cfRule type="expression" dxfId="1442" priority="1428">
      <formula>MOD(ROW(),2)=0</formula>
    </cfRule>
  </conditionalFormatting>
  <conditionalFormatting sqref="Q8">
    <cfRule type="expression" dxfId="1441" priority="1427">
      <formula>MOD(ROW(),2)=0</formula>
    </cfRule>
  </conditionalFormatting>
  <conditionalFormatting sqref="Q16 Q12:Q13">
    <cfRule type="expression" dxfId="1440" priority="1426">
      <formula>MOD(ROW(),2)=0</formula>
    </cfRule>
  </conditionalFormatting>
  <conditionalFormatting sqref="Q14 Q17:Q19 Q21">
    <cfRule type="expression" dxfId="1439" priority="1425">
      <formula>MOD(ROW(),2)=0</formula>
    </cfRule>
  </conditionalFormatting>
  <conditionalFormatting sqref="Q11">
    <cfRule type="expression" dxfId="1438" priority="1424">
      <formula>MOD(ROW(),2)=0</formula>
    </cfRule>
  </conditionalFormatting>
  <conditionalFormatting sqref="Q22">
    <cfRule type="expression" dxfId="1437" priority="1423">
      <formula>MOD(ROW(),2)=0</formula>
    </cfRule>
  </conditionalFormatting>
  <conditionalFormatting sqref="Q10">
    <cfRule type="expression" dxfId="1436" priority="1422">
      <formula>MOD(ROW(),2)=0</formula>
    </cfRule>
  </conditionalFormatting>
  <conditionalFormatting sqref="Q9">
    <cfRule type="expression" dxfId="1435" priority="1421">
      <formula>MOD(ROW(),2)=0</formula>
    </cfRule>
  </conditionalFormatting>
  <conditionalFormatting sqref="Q8">
    <cfRule type="expression" dxfId="1434" priority="1420">
      <formula>MOD(ROW(),2)=0</formula>
    </cfRule>
  </conditionalFormatting>
  <conditionalFormatting sqref="Q16 Q12:Q13">
    <cfRule type="expression" dxfId="1433" priority="1419">
      <formula>MOD(ROW(),2)=0</formula>
    </cfRule>
  </conditionalFormatting>
  <conditionalFormatting sqref="Q14 Q17:Q19 Q21">
    <cfRule type="expression" dxfId="1432" priority="1418">
      <formula>MOD(ROW(),2)=0</formula>
    </cfRule>
  </conditionalFormatting>
  <conditionalFormatting sqref="Q11">
    <cfRule type="expression" dxfId="1431" priority="1417">
      <formula>MOD(ROW(),2)=0</formula>
    </cfRule>
  </conditionalFormatting>
  <conditionalFormatting sqref="Q22">
    <cfRule type="expression" dxfId="1430" priority="1416">
      <formula>MOD(ROW(),2)=0</formula>
    </cfRule>
  </conditionalFormatting>
  <conditionalFormatting sqref="Q10">
    <cfRule type="expression" dxfId="1429" priority="1415">
      <formula>MOD(ROW(),2)=0</formula>
    </cfRule>
  </conditionalFormatting>
  <conditionalFormatting sqref="Q9">
    <cfRule type="expression" dxfId="1428" priority="1414">
      <formula>MOD(ROW(),2)=0</formula>
    </cfRule>
  </conditionalFormatting>
  <conditionalFormatting sqref="Q8">
    <cfRule type="expression" dxfId="1427" priority="1413">
      <formula>MOD(ROW(),2)=0</formula>
    </cfRule>
  </conditionalFormatting>
  <conditionalFormatting sqref="Q16 Q12:Q13">
    <cfRule type="expression" dxfId="1426" priority="1412">
      <formula>MOD(ROW(),2)=0</formula>
    </cfRule>
  </conditionalFormatting>
  <conditionalFormatting sqref="Q14 Q17:Q19 Q21">
    <cfRule type="expression" dxfId="1425" priority="1411">
      <formula>MOD(ROW(),2)=0</formula>
    </cfRule>
  </conditionalFormatting>
  <conditionalFormatting sqref="Q11">
    <cfRule type="expression" dxfId="1424" priority="1410">
      <formula>MOD(ROW(),2)=0</formula>
    </cfRule>
  </conditionalFormatting>
  <conditionalFormatting sqref="Q22">
    <cfRule type="expression" dxfId="1423" priority="1409">
      <formula>MOD(ROW(),2)=0</formula>
    </cfRule>
  </conditionalFormatting>
  <conditionalFormatting sqref="Q10">
    <cfRule type="expression" dxfId="1422" priority="1408">
      <formula>MOD(ROW(),2)=0</formula>
    </cfRule>
  </conditionalFormatting>
  <conditionalFormatting sqref="Q9">
    <cfRule type="expression" dxfId="1421" priority="1407">
      <formula>MOD(ROW(),2)=0</formula>
    </cfRule>
  </conditionalFormatting>
  <conditionalFormatting sqref="Q8">
    <cfRule type="expression" dxfId="1420" priority="1406">
      <formula>MOD(ROW(),2)=0</formula>
    </cfRule>
  </conditionalFormatting>
  <conditionalFormatting sqref="Q16 Q12:Q13">
    <cfRule type="expression" dxfId="1419" priority="1405">
      <formula>MOD(ROW(),2)=0</formula>
    </cfRule>
  </conditionalFormatting>
  <conditionalFormatting sqref="Q14 Q17:Q19 Q21">
    <cfRule type="expression" dxfId="1418" priority="1404">
      <formula>MOD(ROW(),2)=0</formula>
    </cfRule>
  </conditionalFormatting>
  <conditionalFormatting sqref="Q11">
    <cfRule type="expression" dxfId="1417" priority="1403">
      <formula>MOD(ROW(),2)=0</formula>
    </cfRule>
  </conditionalFormatting>
  <conditionalFormatting sqref="Q22">
    <cfRule type="expression" dxfId="1416" priority="1402">
      <formula>MOD(ROW(),2)=0</formula>
    </cfRule>
  </conditionalFormatting>
  <conditionalFormatting sqref="Q10">
    <cfRule type="expression" dxfId="1415" priority="1401">
      <formula>MOD(ROW(),2)=0</formula>
    </cfRule>
  </conditionalFormatting>
  <conditionalFormatting sqref="Q9">
    <cfRule type="expression" dxfId="1414" priority="1400">
      <formula>MOD(ROW(),2)=0</formula>
    </cfRule>
  </conditionalFormatting>
  <conditionalFormatting sqref="Q8">
    <cfRule type="expression" dxfId="1413" priority="1399">
      <formula>MOD(ROW(),2)=0</formula>
    </cfRule>
  </conditionalFormatting>
  <conditionalFormatting sqref="Q16 Q12:Q13">
    <cfRule type="expression" dxfId="1412" priority="1398">
      <formula>MOD(ROW(),2)=0</formula>
    </cfRule>
  </conditionalFormatting>
  <conditionalFormatting sqref="Q14 Q17:Q19 Q21">
    <cfRule type="expression" dxfId="1411" priority="1397">
      <formula>MOD(ROW(),2)=0</formula>
    </cfRule>
  </conditionalFormatting>
  <conditionalFormatting sqref="Q11">
    <cfRule type="expression" dxfId="1410" priority="1396">
      <formula>MOD(ROW(),2)=0</formula>
    </cfRule>
  </conditionalFormatting>
  <conditionalFormatting sqref="Q22">
    <cfRule type="expression" dxfId="1409" priority="1395">
      <formula>MOD(ROW(),2)=0</formula>
    </cfRule>
  </conditionalFormatting>
  <conditionalFormatting sqref="Q10">
    <cfRule type="expression" dxfId="1408" priority="1394">
      <formula>MOD(ROW(),2)=0</formula>
    </cfRule>
  </conditionalFormatting>
  <conditionalFormatting sqref="Q9">
    <cfRule type="expression" dxfId="1407" priority="1393">
      <formula>MOD(ROW(),2)=0</formula>
    </cfRule>
  </conditionalFormatting>
  <conditionalFormatting sqref="Q8">
    <cfRule type="expression" dxfId="1406" priority="1392">
      <formula>MOD(ROW(),2)=0</formula>
    </cfRule>
  </conditionalFormatting>
  <conditionalFormatting sqref="Q16 Q12:Q13">
    <cfRule type="expression" dxfId="1405" priority="1391">
      <formula>MOD(ROW(),2)=0</formula>
    </cfRule>
  </conditionalFormatting>
  <conditionalFormatting sqref="Q14 Q17:Q19 Q21">
    <cfRule type="expression" dxfId="1404" priority="1390">
      <formula>MOD(ROW(),2)=0</formula>
    </cfRule>
  </conditionalFormatting>
  <conditionalFormatting sqref="Q11">
    <cfRule type="expression" dxfId="1403" priority="1389">
      <formula>MOD(ROW(),2)=0</formula>
    </cfRule>
  </conditionalFormatting>
  <conditionalFormatting sqref="Q22">
    <cfRule type="expression" dxfId="1402" priority="1388">
      <formula>MOD(ROW(),2)=0</formula>
    </cfRule>
  </conditionalFormatting>
  <conditionalFormatting sqref="Q10">
    <cfRule type="expression" dxfId="1401" priority="1387">
      <formula>MOD(ROW(),2)=0</formula>
    </cfRule>
  </conditionalFormatting>
  <conditionalFormatting sqref="Q9">
    <cfRule type="expression" dxfId="1400" priority="1386">
      <formula>MOD(ROW(),2)=0</formula>
    </cfRule>
  </conditionalFormatting>
  <conditionalFormatting sqref="Q8">
    <cfRule type="expression" dxfId="1399" priority="1385">
      <formula>MOD(ROW(),2)=0</formula>
    </cfRule>
  </conditionalFormatting>
  <conditionalFormatting sqref="Q16 Q12:Q13">
    <cfRule type="expression" dxfId="1398" priority="1384">
      <formula>MOD(ROW(),2)=0</formula>
    </cfRule>
  </conditionalFormatting>
  <conditionalFormatting sqref="Q14 Q17:Q19 Q21">
    <cfRule type="expression" dxfId="1397" priority="1383">
      <formula>MOD(ROW(),2)=0</formula>
    </cfRule>
  </conditionalFormatting>
  <conditionalFormatting sqref="Q11">
    <cfRule type="expression" dxfId="1396" priority="1382">
      <formula>MOD(ROW(),2)=0</formula>
    </cfRule>
  </conditionalFormatting>
  <conditionalFormatting sqref="Q22">
    <cfRule type="expression" dxfId="1395" priority="1381">
      <formula>MOD(ROW(),2)=0</formula>
    </cfRule>
  </conditionalFormatting>
  <conditionalFormatting sqref="Q10">
    <cfRule type="expression" dxfId="1394" priority="1380">
      <formula>MOD(ROW(),2)=0</formula>
    </cfRule>
  </conditionalFormatting>
  <conditionalFormatting sqref="Q9">
    <cfRule type="expression" dxfId="1393" priority="1379">
      <formula>MOD(ROW(),2)=0</formula>
    </cfRule>
  </conditionalFormatting>
  <conditionalFormatting sqref="Q8">
    <cfRule type="expression" dxfId="1392" priority="1378">
      <formula>MOD(ROW(),2)=0</formula>
    </cfRule>
  </conditionalFormatting>
  <conditionalFormatting sqref="Q16 Q12:Q13">
    <cfRule type="expression" dxfId="1391" priority="1377">
      <formula>MOD(ROW(),2)=0</formula>
    </cfRule>
  </conditionalFormatting>
  <conditionalFormatting sqref="Q14 Q17:Q19 Q21">
    <cfRule type="expression" dxfId="1390" priority="1376">
      <formula>MOD(ROW(),2)=0</formula>
    </cfRule>
  </conditionalFormatting>
  <conditionalFormatting sqref="Q11">
    <cfRule type="expression" dxfId="1389" priority="1375">
      <formula>MOD(ROW(),2)=0</formula>
    </cfRule>
  </conditionalFormatting>
  <conditionalFormatting sqref="Q10">
    <cfRule type="expression" dxfId="1388" priority="1374">
      <formula>MOD(ROW(),2)=0</formula>
    </cfRule>
  </conditionalFormatting>
  <conditionalFormatting sqref="Q22">
    <cfRule type="expression" dxfId="1387" priority="1373">
      <formula>MOD(ROW(),2)=0</formula>
    </cfRule>
  </conditionalFormatting>
  <conditionalFormatting sqref="Q9">
    <cfRule type="expression" dxfId="1386" priority="1372">
      <formula>MOD(ROW(),2)=0</formula>
    </cfRule>
  </conditionalFormatting>
  <conditionalFormatting sqref="Q8">
    <cfRule type="expression" dxfId="1385" priority="1371">
      <formula>MOD(ROW(),2)=0</formula>
    </cfRule>
  </conditionalFormatting>
  <conditionalFormatting sqref="Q16 Q12:Q13">
    <cfRule type="expression" dxfId="1384" priority="1370">
      <formula>MOD(ROW(),2)=0</formula>
    </cfRule>
  </conditionalFormatting>
  <conditionalFormatting sqref="Q14 Q17:Q19 Q21">
    <cfRule type="expression" dxfId="1383" priority="1369">
      <formula>MOD(ROW(),2)=0</formula>
    </cfRule>
  </conditionalFormatting>
  <conditionalFormatting sqref="Q11">
    <cfRule type="expression" dxfId="1382" priority="1368">
      <formula>MOD(ROW(),2)=0</formula>
    </cfRule>
  </conditionalFormatting>
  <conditionalFormatting sqref="Q22">
    <cfRule type="expression" dxfId="1381" priority="1367">
      <formula>MOD(ROW(),2)=0</formula>
    </cfRule>
  </conditionalFormatting>
  <conditionalFormatting sqref="Q10">
    <cfRule type="expression" dxfId="1380" priority="1366">
      <formula>MOD(ROW(),2)=0</formula>
    </cfRule>
  </conditionalFormatting>
  <conditionalFormatting sqref="Q15">
    <cfRule type="expression" dxfId="1379" priority="1365">
      <formula>MOD(ROW(),2)=0</formula>
    </cfRule>
  </conditionalFormatting>
  <conditionalFormatting sqref="Q15">
    <cfRule type="expression" dxfId="1378" priority="1364">
      <formula>MOD(ROW(),2)=0</formula>
    </cfRule>
  </conditionalFormatting>
  <conditionalFormatting sqref="Q15">
    <cfRule type="expression" dxfId="1377" priority="1363">
      <formula>MOD(ROW(),2)=0</formula>
    </cfRule>
  </conditionalFormatting>
  <conditionalFormatting sqref="Q15">
    <cfRule type="expression" dxfId="1376" priority="1362">
      <formula>MOD(ROW(),2)=0</formula>
    </cfRule>
  </conditionalFormatting>
  <conditionalFormatting sqref="Q15">
    <cfRule type="expression" dxfId="1375" priority="1361">
      <formula>MOD(ROW(),2)=0</formula>
    </cfRule>
  </conditionalFormatting>
  <conditionalFormatting sqref="Q15">
    <cfRule type="expression" dxfId="1374" priority="1360">
      <formula>MOD(ROW(),2)=0</formula>
    </cfRule>
  </conditionalFormatting>
  <conditionalFormatting sqref="Q15">
    <cfRule type="expression" dxfId="1373" priority="1359">
      <formula>MOD(ROW(),2)=0</formula>
    </cfRule>
  </conditionalFormatting>
  <conditionalFormatting sqref="Q15">
    <cfRule type="expression" dxfId="1372" priority="1358">
      <formula>MOD(ROW(),2)=0</formula>
    </cfRule>
  </conditionalFormatting>
  <conditionalFormatting sqref="Q15">
    <cfRule type="expression" dxfId="1371" priority="1357">
      <formula>MOD(ROW(),2)=0</formula>
    </cfRule>
  </conditionalFormatting>
  <conditionalFormatting sqref="Q15">
    <cfRule type="expression" dxfId="1370" priority="1356">
      <formula>MOD(ROW(),2)=0</formula>
    </cfRule>
  </conditionalFormatting>
  <conditionalFormatting sqref="Q15">
    <cfRule type="expression" dxfId="1369" priority="1355">
      <formula>MOD(ROW(),2)=0</formula>
    </cfRule>
  </conditionalFormatting>
  <conditionalFormatting sqref="Q15">
    <cfRule type="expression" dxfId="1368" priority="1354">
      <formula>MOD(ROW(),2)=0</formula>
    </cfRule>
  </conditionalFormatting>
  <conditionalFormatting sqref="Q15">
    <cfRule type="expression" dxfId="1367" priority="1353">
      <formula>MOD(ROW(),2)=0</formula>
    </cfRule>
  </conditionalFormatting>
  <conditionalFormatting sqref="Q15">
    <cfRule type="expression" dxfId="1366" priority="1352">
      <formula>MOD(ROW(),2)=0</formula>
    </cfRule>
  </conditionalFormatting>
  <conditionalFormatting sqref="Q15">
    <cfRule type="expression" dxfId="1365" priority="1351">
      <formula>MOD(ROW(),2)=0</formula>
    </cfRule>
  </conditionalFormatting>
  <conditionalFormatting sqref="Q15">
    <cfRule type="expression" dxfId="1364" priority="1350">
      <formula>MOD(ROW(),2)=0</formula>
    </cfRule>
  </conditionalFormatting>
  <conditionalFormatting sqref="Q20">
    <cfRule type="expression" dxfId="1363" priority="1349">
      <formula>MOD(ROW(),2)=0</formula>
    </cfRule>
  </conditionalFormatting>
  <conditionalFormatting sqref="Q20">
    <cfRule type="expression" dxfId="1362" priority="1348">
      <formula>MOD(ROW(),2)=0</formula>
    </cfRule>
  </conditionalFormatting>
  <conditionalFormatting sqref="Q20">
    <cfRule type="expression" dxfId="1361" priority="1347">
      <formula>MOD(ROW(),2)=0</formula>
    </cfRule>
  </conditionalFormatting>
  <conditionalFormatting sqref="Q20">
    <cfRule type="expression" dxfId="1360" priority="1346">
      <formula>MOD(ROW(),2)=0</formula>
    </cfRule>
  </conditionalFormatting>
  <conditionalFormatting sqref="Q20">
    <cfRule type="expression" dxfId="1359" priority="1345">
      <formula>MOD(ROW(),2)=0</formula>
    </cfRule>
  </conditionalFormatting>
  <conditionalFormatting sqref="Q20">
    <cfRule type="expression" dxfId="1358" priority="1344">
      <formula>MOD(ROW(),2)=0</formula>
    </cfRule>
  </conditionalFormatting>
  <conditionalFormatting sqref="Q20">
    <cfRule type="expression" dxfId="1357" priority="1343">
      <formula>MOD(ROW(),2)=0</formula>
    </cfRule>
  </conditionalFormatting>
  <conditionalFormatting sqref="Q20">
    <cfRule type="expression" dxfId="1356" priority="1342">
      <formula>MOD(ROW(),2)=0</formula>
    </cfRule>
  </conditionalFormatting>
  <conditionalFormatting sqref="Q20">
    <cfRule type="expression" dxfId="1355" priority="1341">
      <formula>MOD(ROW(),2)=0</formula>
    </cfRule>
  </conditionalFormatting>
  <conditionalFormatting sqref="Q20">
    <cfRule type="expression" dxfId="1354" priority="1340">
      <formula>MOD(ROW(),2)=0</formula>
    </cfRule>
  </conditionalFormatting>
  <conditionalFormatting sqref="Q20">
    <cfRule type="expression" dxfId="1353" priority="1339">
      <formula>MOD(ROW(),2)=0</formula>
    </cfRule>
  </conditionalFormatting>
  <conditionalFormatting sqref="Q20">
    <cfRule type="expression" dxfId="1352" priority="1338">
      <formula>MOD(ROW(),2)=0</formula>
    </cfRule>
  </conditionalFormatting>
  <conditionalFormatting sqref="Q20">
    <cfRule type="expression" dxfId="1351" priority="1337">
      <formula>MOD(ROW(),2)=0</formula>
    </cfRule>
  </conditionalFormatting>
  <conditionalFormatting sqref="Q20">
    <cfRule type="expression" dxfId="1350" priority="1336">
      <formula>MOD(ROW(),2)=0</formula>
    </cfRule>
  </conditionalFormatting>
  <conditionalFormatting sqref="Q20">
    <cfRule type="expression" dxfId="1349" priority="1335">
      <formula>MOD(ROW(),2)=0</formula>
    </cfRule>
  </conditionalFormatting>
  <conditionalFormatting sqref="Q20">
    <cfRule type="expression" dxfId="1348" priority="1334">
      <formula>MOD(ROW(),2)=0</formula>
    </cfRule>
  </conditionalFormatting>
  <conditionalFormatting sqref="R9">
    <cfRule type="expression" dxfId="1347" priority="1333">
      <formula>MOD(ROW(),2)=0</formula>
    </cfRule>
  </conditionalFormatting>
  <conditionalFormatting sqref="R8">
    <cfRule type="expression" dxfId="1346" priority="1332">
      <formula>MOD(ROW(),2)=0</formula>
    </cfRule>
  </conditionalFormatting>
  <conditionalFormatting sqref="R16 R12:R13">
    <cfRule type="expression" dxfId="1345" priority="1331">
      <formula>MOD(ROW(),2)=0</formula>
    </cfRule>
  </conditionalFormatting>
  <conditionalFormatting sqref="R14 R17:R19 R21">
    <cfRule type="expression" dxfId="1344" priority="1330">
      <formula>MOD(ROW(),2)=0</formula>
    </cfRule>
  </conditionalFormatting>
  <conditionalFormatting sqref="R11">
    <cfRule type="expression" dxfId="1343" priority="1329">
      <formula>MOD(ROW(),2)=0</formula>
    </cfRule>
  </conditionalFormatting>
  <conditionalFormatting sqref="R22">
    <cfRule type="expression" dxfId="1342" priority="1328">
      <formula>MOD(ROW(),2)=0</formula>
    </cfRule>
  </conditionalFormatting>
  <conditionalFormatting sqref="R10">
    <cfRule type="expression" dxfId="1341" priority="1327">
      <formula>MOD(ROW(),2)=0</formula>
    </cfRule>
  </conditionalFormatting>
  <conditionalFormatting sqref="R9">
    <cfRule type="expression" dxfId="1340" priority="1326">
      <formula>MOD(ROW(),2)=0</formula>
    </cfRule>
  </conditionalFormatting>
  <conditionalFormatting sqref="R8">
    <cfRule type="expression" dxfId="1339" priority="1325">
      <formula>MOD(ROW(),2)=0</formula>
    </cfRule>
  </conditionalFormatting>
  <conditionalFormatting sqref="R16 R12:R13">
    <cfRule type="expression" dxfId="1338" priority="1324">
      <formula>MOD(ROW(),2)=0</formula>
    </cfRule>
  </conditionalFormatting>
  <conditionalFormatting sqref="R14 R17:R19 R21">
    <cfRule type="expression" dxfId="1337" priority="1323">
      <formula>MOD(ROW(),2)=0</formula>
    </cfRule>
  </conditionalFormatting>
  <conditionalFormatting sqref="R11">
    <cfRule type="expression" dxfId="1336" priority="1322">
      <formula>MOD(ROW(),2)=0</formula>
    </cfRule>
  </conditionalFormatting>
  <conditionalFormatting sqref="R22">
    <cfRule type="expression" dxfId="1335" priority="1321">
      <formula>MOD(ROW(),2)=0</formula>
    </cfRule>
  </conditionalFormatting>
  <conditionalFormatting sqref="R10">
    <cfRule type="expression" dxfId="1334" priority="1320">
      <formula>MOD(ROW(),2)=0</formula>
    </cfRule>
  </conditionalFormatting>
  <conditionalFormatting sqref="R9">
    <cfRule type="expression" dxfId="1333" priority="1319">
      <formula>MOD(ROW(),2)=0</formula>
    </cfRule>
  </conditionalFormatting>
  <conditionalFormatting sqref="R8">
    <cfRule type="expression" dxfId="1332" priority="1318">
      <formula>MOD(ROW(),2)=0</formula>
    </cfRule>
  </conditionalFormatting>
  <conditionalFormatting sqref="R16 R12:R13">
    <cfRule type="expression" dxfId="1331" priority="1317">
      <formula>MOD(ROW(),2)=0</formula>
    </cfRule>
  </conditionalFormatting>
  <conditionalFormatting sqref="R14 R17:R19 R21">
    <cfRule type="expression" dxfId="1330" priority="1316">
      <formula>MOD(ROW(),2)=0</formula>
    </cfRule>
  </conditionalFormatting>
  <conditionalFormatting sqref="R11">
    <cfRule type="expression" dxfId="1329" priority="1315">
      <formula>MOD(ROW(),2)=0</formula>
    </cfRule>
  </conditionalFormatting>
  <conditionalFormatting sqref="R22">
    <cfRule type="expression" dxfId="1328" priority="1314">
      <formula>MOD(ROW(),2)=0</formula>
    </cfRule>
  </conditionalFormatting>
  <conditionalFormatting sqref="R10">
    <cfRule type="expression" dxfId="1327" priority="1313">
      <formula>MOD(ROW(),2)=0</formula>
    </cfRule>
  </conditionalFormatting>
  <conditionalFormatting sqref="R9">
    <cfRule type="expression" dxfId="1326" priority="1312">
      <formula>MOD(ROW(),2)=0</formula>
    </cfRule>
  </conditionalFormatting>
  <conditionalFormatting sqref="R8">
    <cfRule type="expression" dxfId="1325" priority="1311">
      <formula>MOD(ROW(),2)=0</formula>
    </cfRule>
  </conditionalFormatting>
  <conditionalFormatting sqref="R16 R12:R13">
    <cfRule type="expression" dxfId="1324" priority="1310">
      <formula>MOD(ROW(),2)=0</formula>
    </cfRule>
  </conditionalFormatting>
  <conditionalFormatting sqref="R14 R17:R19 R21">
    <cfRule type="expression" dxfId="1323" priority="1309">
      <formula>MOD(ROW(),2)=0</formula>
    </cfRule>
  </conditionalFormatting>
  <conditionalFormatting sqref="R11">
    <cfRule type="expression" dxfId="1322" priority="1308">
      <formula>MOD(ROW(),2)=0</formula>
    </cfRule>
  </conditionalFormatting>
  <conditionalFormatting sqref="R22">
    <cfRule type="expression" dxfId="1321" priority="1307">
      <formula>MOD(ROW(),2)=0</formula>
    </cfRule>
  </conditionalFormatting>
  <conditionalFormatting sqref="R10">
    <cfRule type="expression" dxfId="1320" priority="1306">
      <formula>MOD(ROW(),2)=0</formula>
    </cfRule>
  </conditionalFormatting>
  <conditionalFormatting sqref="R9">
    <cfRule type="expression" dxfId="1319" priority="1305">
      <formula>MOD(ROW(),2)=0</formula>
    </cfRule>
  </conditionalFormatting>
  <conditionalFormatting sqref="R8">
    <cfRule type="expression" dxfId="1318" priority="1304">
      <formula>MOD(ROW(),2)=0</formula>
    </cfRule>
  </conditionalFormatting>
  <conditionalFormatting sqref="R16 R12:R13">
    <cfRule type="expression" dxfId="1317" priority="1303">
      <formula>MOD(ROW(),2)=0</formula>
    </cfRule>
  </conditionalFormatting>
  <conditionalFormatting sqref="R14 R17:R19 R21">
    <cfRule type="expression" dxfId="1316" priority="1302">
      <formula>MOD(ROW(),2)=0</formula>
    </cfRule>
  </conditionalFormatting>
  <conditionalFormatting sqref="R11">
    <cfRule type="expression" dxfId="1315" priority="1301">
      <formula>MOD(ROW(),2)=0</formula>
    </cfRule>
  </conditionalFormatting>
  <conditionalFormatting sqref="R22">
    <cfRule type="expression" dxfId="1314" priority="1300">
      <formula>MOD(ROW(),2)=0</formula>
    </cfRule>
  </conditionalFormatting>
  <conditionalFormatting sqref="R10">
    <cfRule type="expression" dxfId="1313" priority="1299">
      <formula>MOD(ROW(),2)=0</formula>
    </cfRule>
  </conditionalFormatting>
  <conditionalFormatting sqref="R9">
    <cfRule type="expression" dxfId="1312" priority="1298">
      <formula>MOD(ROW(),2)=0</formula>
    </cfRule>
  </conditionalFormatting>
  <conditionalFormatting sqref="R8">
    <cfRule type="expression" dxfId="1311" priority="1297">
      <formula>MOD(ROW(),2)=0</formula>
    </cfRule>
  </conditionalFormatting>
  <conditionalFormatting sqref="R16 R12:R13">
    <cfRule type="expression" dxfId="1310" priority="1296">
      <formula>MOD(ROW(),2)=0</formula>
    </cfRule>
  </conditionalFormatting>
  <conditionalFormatting sqref="R14 R17:R19 R21">
    <cfRule type="expression" dxfId="1309" priority="1295">
      <formula>MOD(ROW(),2)=0</formula>
    </cfRule>
  </conditionalFormatting>
  <conditionalFormatting sqref="R11">
    <cfRule type="expression" dxfId="1308" priority="1294">
      <formula>MOD(ROW(),2)=0</formula>
    </cfRule>
  </conditionalFormatting>
  <conditionalFormatting sqref="R22">
    <cfRule type="expression" dxfId="1307" priority="1293">
      <formula>MOD(ROW(),2)=0</formula>
    </cfRule>
  </conditionalFormatting>
  <conditionalFormatting sqref="R10">
    <cfRule type="expression" dxfId="1306" priority="1292">
      <formula>MOD(ROW(),2)=0</formula>
    </cfRule>
  </conditionalFormatting>
  <conditionalFormatting sqref="R9">
    <cfRule type="expression" dxfId="1305" priority="1291">
      <formula>MOD(ROW(),2)=0</formula>
    </cfRule>
  </conditionalFormatting>
  <conditionalFormatting sqref="R8">
    <cfRule type="expression" dxfId="1304" priority="1290">
      <formula>MOD(ROW(),2)=0</formula>
    </cfRule>
  </conditionalFormatting>
  <conditionalFormatting sqref="R16 R12:R13">
    <cfRule type="expression" dxfId="1303" priority="1289">
      <formula>MOD(ROW(),2)=0</formula>
    </cfRule>
  </conditionalFormatting>
  <conditionalFormatting sqref="R14 R17:R19 R21">
    <cfRule type="expression" dxfId="1302" priority="1288">
      <formula>MOD(ROW(),2)=0</formula>
    </cfRule>
  </conditionalFormatting>
  <conditionalFormatting sqref="R11">
    <cfRule type="expression" dxfId="1301" priority="1287">
      <formula>MOD(ROW(),2)=0</formula>
    </cfRule>
  </conditionalFormatting>
  <conditionalFormatting sqref="R10">
    <cfRule type="expression" dxfId="1300" priority="1286">
      <formula>MOD(ROW(),2)=0</formula>
    </cfRule>
  </conditionalFormatting>
  <conditionalFormatting sqref="R22">
    <cfRule type="expression" dxfId="1299" priority="1285">
      <formula>MOD(ROW(),2)=0</formula>
    </cfRule>
  </conditionalFormatting>
  <conditionalFormatting sqref="R9">
    <cfRule type="expression" dxfId="1298" priority="1284">
      <formula>MOD(ROW(),2)=0</formula>
    </cfRule>
  </conditionalFormatting>
  <conditionalFormatting sqref="R8">
    <cfRule type="expression" dxfId="1297" priority="1283">
      <formula>MOD(ROW(),2)=0</formula>
    </cfRule>
  </conditionalFormatting>
  <conditionalFormatting sqref="R16 R12:R13">
    <cfRule type="expression" dxfId="1296" priority="1282">
      <formula>MOD(ROW(),2)=0</formula>
    </cfRule>
  </conditionalFormatting>
  <conditionalFormatting sqref="R14 R17:R19 R21">
    <cfRule type="expression" dxfId="1295" priority="1281">
      <formula>MOD(ROW(),2)=0</formula>
    </cfRule>
  </conditionalFormatting>
  <conditionalFormatting sqref="R11">
    <cfRule type="expression" dxfId="1294" priority="1280">
      <formula>MOD(ROW(),2)=0</formula>
    </cfRule>
  </conditionalFormatting>
  <conditionalFormatting sqref="R22">
    <cfRule type="expression" dxfId="1293" priority="1279">
      <formula>MOD(ROW(),2)=0</formula>
    </cfRule>
  </conditionalFormatting>
  <conditionalFormatting sqref="R10">
    <cfRule type="expression" dxfId="1292" priority="1278">
      <formula>MOD(ROW(),2)=0</formula>
    </cfRule>
  </conditionalFormatting>
  <conditionalFormatting sqref="R9">
    <cfRule type="expression" dxfId="1291" priority="1277">
      <formula>MOD(ROW(),2)=0</formula>
    </cfRule>
  </conditionalFormatting>
  <conditionalFormatting sqref="R8">
    <cfRule type="expression" dxfId="1290" priority="1276">
      <formula>MOD(ROW(),2)=0</formula>
    </cfRule>
  </conditionalFormatting>
  <conditionalFormatting sqref="R16 R12:R13">
    <cfRule type="expression" dxfId="1289" priority="1275">
      <formula>MOD(ROW(),2)=0</formula>
    </cfRule>
  </conditionalFormatting>
  <conditionalFormatting sqref="R14 R17:R19 R21">
    <cfRule type="expression" dxfId="1288" priority="1274">
      <formula>MOD(ROW(),2)=0</formula>
    </cfRule>
  </conditionalFormatting>
  <conditionalFormatting sqref="R11">
    <cfRule type="expression" dxfId="1287" priority="1273">
      <formula>MOD(ROW(),2)=0</formula>
    </cfRule>
  </conditionalFormatting>
  <conditionalFormatting sqref="R22">
    <cfRule type="expression" dxfId="1286" priority="1272">
      <formula>MOD(ROW(),2)=0</formula>
    </cfRule>
  </conditionalFormatting>
  <conditionalFormatting sqref="R10">
    <cfRule type="expression" dxfId="1285" priority="1271">
      <formula>MOD(ROW(),2)=0</formula>
    </cfRule>
  </conditionalFormatting>
  <conditionalFormatting sqref="R9">
    <cfRule type="expression" dxfId="1284" priority="1270">
      <formula>MOD(ROW(),2)=0</formula>
    </cfRule>
  </conditionalFormatting>
  <conditionalFormatting sqref="R8">
    <cfRule type="expression" dxfId="1283" priority="1269">
      <formula>MOD(ROW(),2)=0</formula>
    </cfRule>
  </conditionalFormatting>
  <conditionalFormatting sqref="R16 R12:R13">
    <cfRule type="expression" dxfId="1282" priority="1268">
      <formula>MOD(ROW(),2)=0</formula>
    </cfRule>
  </conditionalFormatting>
  <conditionalFormatting sqref="R14 R17:R19 R21">
    <cfRule type="expression" dxfId="1281" priority="1267">
      <formula>MOD(ROW(),2)=0</formula>
    </cfRule>
  </conditionalFormatting>
  <conditionalFormatting sqref="R11">
    <cfRule type="expression" dxfId="1280" priority="1266">
      <formula>MOD(ROW(),2)=0</formula>
    </cfRule>
  </conditionalFormatting>
  <conditionalFormatting sqref="R22">
    <cfRule type="expression" dxfId="1279" priority="1265">
      <formula>MOD(ROW(),2)=0</formula>
    </cfRule>
  </conditionalFormatting>
  <conditionalFormatting sqref="R10">
    <cfRule type="expression" dxfId="1278" priority="1264">
      <formula>MOD(ROW(),2)=0</formula>
    </cfRule>
  </conditionalFormatting>
  <conditionalFormatting sqref="R9">
    <cfRule type="expression" dxfId="1277" priority="1263">
      <formula>MOD(ROW(),2)=0</formula>
    </cfRule>
  </conditionalFormatting>
  <conditionalFormatting sqref="R8">
    <cfRule type="expression" dxfId="1276" priority="1262">
      <formula>MOD(ROW(),2)=0</formula>
    </cfRule>
  </conditionalFormatting>
  <conditionalFormatting sqref="R16 R12:R13">
    <cfRule type="expression" dxfId="1275" priority="1261">
      <formula>MOD(ROW(),2)=0</formula>
    </cfRule>
  </conditionalFormatting>
  <conditionalFormatting sqref="R14 R17:R19 R21">
    <cfRule type="expression" dxfId="1274" priority="1260">
      <formula>MOD(ROW(),2)=0</formula>
    </cfRule>
  </conditionalFormatting>
  <conditionalFormatting sqref="R11">
    <cfRule type="expression" dxfId="1273" priority="1259">
      <formula>MOD(ROW(),2)=0</formula>
    </cfRule>
  </conditionalFormatting>
  <conditionalFormatting sqref="R22">
    <cfRule type="expression" dxfId="1272" priority="1258">
      <formula>MOD(ROW(),2)=0</formula>
    </cfRule>
  </conditionalFormatting>
  <conditionalFormatting sqref="R10">
    <cfRule type="expression" dxfId="1271" priority="1257">
      <formula>MOD(ROW(),2)=0</formula>
    </cfRule>
  </conditionalFormatting>
  <conditionalFormatting sqref="R9">
    <cfRule type="expression" dxfId="1270" priority="1256">
      <formula>MOD(ROW(),2)=0</formula>
    </cfRule>
  </conditionalFormatting>
  <conditionalFormatting sqref="R8">
    <cfRule type="expression" dxfId="1269" priority="1255">
      <formula>MOD(ROW(),2)=0</formula>
    </cfRule>
  </conditionalFormatting>
  <conditionalFormatting sqref="R16 R12:R13">
    <cfRule type="expression" dxfId="1268" priority="1254">
      <formula>MOD(ROW(),2)=0</formula>
    </cfRule>
  </conditionalFormatting>
  <conditionalFormatting sqref="R14 R17:R19 R21">
    <cfRule type="expression" dxfId="1267" priority="1253">
      <formula>MOD(ROW(),2)=0</formula>
    </cfRule>
  </conditionalFormatting>
  <conditionalFormatting sqref="R11">
    <cfRule type="expression" dxfId="1266" priority="1252">
      <formula>MOD(ROW(),2)=0</formula>
    </cfRule>
  </conditionalFormatting>
  <conditionalFormatting sqref="R22">
    <cfRule type="expression" dxfId="1265" priority="1251">
      <formula>MOD(ROW(),2)=0</formula>
    </cfRule>
  </conditionalFormatting>
  <conditionalFormatting sqref="R10">
    <cfRule type="expression" dxfId="1264" priority="1250">
      <formula>MOD(ROW(),2)=0</formula>
    </cfRule>
  </conditionalFormatting>
  <conditionalFormatting sqref="R9">
    <cfRule type="expression" dxfId="1263" priority="1249">
      <formula>MOD(ROW(),2)=0</formula>
    </cfRule>
  </conditionalFormatting>
  <conditionalFormatting sqref="R8">
    <cfRule type="expression" dxfId="1262" priority="1248">
      <formula>MOD(ROW(),2)=0</formula>
    </cfRule>
  </conditionalFormatting>
  <conditionalFormatting sqref="R16 R12:R13">
    <cfRule type="expression" dxfId="1261" priority="1247">
      <formula>MOD(ROW(),2)=0</formula>
    </cfRule>
  </conditionalFormatting>
  <conditionalFormatting sqref="R14 R17:R19 R21">
    <cfRule type="expression" dxfId="1260" priority="1246">
      <formula>MOD(ROW(),2)=0</formula>
    </cfRule>
  </conditionalFormatting>
  <conditionalFormatting sqref="R11">
    <cfRule type="expression" dxfId="1259" priority="1245">
      <formula>MOD(ROW(),2)=0</formula>
    </cfRule>
  </conditionalFormatting>
  <conditionalFormatting sqref="R22">
    <cfRule type="expression" dxfId="1258" priority="1244">
      <formula>MOD(ROW(),2)=0</formula>
    </cfRule>
  </conditionalFormatting>
  <conditionalFormatting sqref="R10">
    <cfRule type="expression" dxfId="1257" priority="1243">
      <formula>MOD(ROW(),2)=0</formula>
    </cfRule>
  </conditionalFormatting>
  <conditionalFormatting sqref="R9">
    <cfRule type="expression" dxfId="1256" priority="1242">
      <formula>MOD(ROW(),2)=0</formula>
    </cfRule>
  </conditionalFormatting>
  <conditionalFormatting sqref="R8">
    <cfRule type="expression" dxfId="1255" priority="1241">
      <formula>MOD(ROW(),2)=0</formula>
    </cfRule>
  </conditionalFormatting>
  <conditionalFormatting sqref="R16 R12:R13">
    <cfRule type="expression" dxfId="1254" priority="1240">
      <formula>MOD(ROW(),2)=0</formula>
    </cfRule>
  </conditionalFormatting>
  <conditionalFormatting sqref="R14 R17:R19 R21">
    <cfRule type="expression" dxfId="1253" priority="1239">
      <formula>MOD(ROW(),2)=0</formula>
    </cfRule>
  </conditionalFormatting>
  <conditionalFormatting sqref="R11">
    <cfRule type="expression" dxfId="1252" priority="1238">
      <formula>MOD(ROW(),2)=0</formula>
    </cfRule>
  </conditionalFormatting>
  <conditionalFormatting sqref="R22">
    <cfRule type="expression" dxfId="1251" priority="1237">
      <formula>MOD(ROW(),2)=0</formula>
    </cfRule>
  </conditionalFormatting>
  <conditionalFormatting sqref="R10">
    <cfRule type="expression" dxfId="1250" priority="1236">
      <formula>MOD(ROW(),2)=0</formula>
    </cfRule>
  </conditionalFormatting>
  <conditionalFormatting sqref="R9">
    <cfRule type="expression" dxfId="1249" priority="1235">
      <formula>MOD(ROW(),2)=0</formula>
    </cfRule>
  </conditionalFormatting>
  <conditionalFormatting sqref="R8">
    <cfRule type="expression" dxfId="1248" priority="1234">
      <formula>MOD(ROW(),2)=0</formula>
    </cfRule>
  </conditionalFormatting>
  <conditionalFormatting sqref="R16 R12:R13">
    <cfRule type="expression" dxfId="1247" priority="1233">
      <formula>MOD(ROW(),2)=0</formula>
    </cfRule>
  </conditionalFormatting>
  <conditionalFormatting sqref="R14 R17:R19 R21">
    <cfRule type="expression" dxfId="1246" priority="1232">
      <formula>MOD(ROW(),2)=0</formula>
    </cfRule>
  </conditionalFormatting>
  <conditionalFormatting sqref="R11">
    <cfRule type="expression" dxfId="1245" priority="1231">
      <formula>MOD(ROW(),2)=0</formula>
    </cfRule>
  </conditionalFormatting>
  <conditionalFormatting sqref="R10">
    <cfRule type="expression" dxfId="1244" priority="1230">
      <formula>MOD(ROW(),2)=0</formula>
    </cfRule>
  </conditionalFormatting>
  <conditionalFormatting sqref="R22">
    <cfRule type="expression" dxfId="1243" priority="1229">
      <formula>MOD(ROW(),2)=0</formula>
    </cfRule>
  </conditionalFormatting>
  <conditionalFormatting sqref="R9">
    <cfRule type="expression" dxfId="1242" priority="1228">
      <formula>MOD(ROW(),2)=0</formula>
    </cfRule>
  </conditionalFormatting>
  <conditionalFormatting sqref="R8">
    <cfRule type="expression" dxfId="1241" priority="1227">
      <formula>MOD(ROW(),2)=0</formula>
    </cfRule>
  </conditionalFormatting>
  <conditionalFormatting sqref="R16 R12:R13">
    <cfRule type="expression" dxfId="1240" priority="1226">
      <formula>MOD(ROW(),2)=0</formula>
    </cfRule>
  </conditionalFormatting>
  <conditionalFormatting sqref="R14 R17:R19 R21">
    <cfRule type="expression" dxfId="1239" priority="1225">
      <formula>MOD(ROW(),2)=0</formula>
    </cfRule>
  </conditionalFormatting>
  <conditionalFormatting sqref="R11">
    <cfRule type="expression" dxfId="1238" priority="1224">
      <formula>MOD(ROW(),2)=0</formula>
    </cfRule>
  </conditionalFormatting>
  <conditionalFormatting sqref="R22">
    <cfRule type="expression" dxfId="1237" priority="1223">
      <formula>MOD(ROW(),2)=0</formula>
    </cfRule>
  </conditionalFormatting>
  <conditionalFormatting sqref="R10">
    <cfRule type="expression" dxfId="1236" priority="1222">
      <formula>MOD(ROW(),2)=0</formula>
    </cfRule>
  </conditionalFormatting>
  <conditionalFormatting sqref="R15">
    <cfRule type="expression" dxfId="1235" priority="1221">
      <formula>MOD(ROW(),2)=0</formula>
    </cfRule>
  </conditionalFormatting>
  <conditionalFormatting sqref="R15">
    <cfRule type="expression" dxfId="1234" priority="1220">
      <formula>MOD(ROW(),2)=0</formula>
    </cfRule>
  </conditionalFormatting>
  <conditionalFormatting sqref="R15">
    <cfRule type="expression" dxfId="1233" priority="1219">
      <formula>MOD(ROW(),2)=0</formula>
    </cfRule>
  </conditionalFormatting>
  <conditionalFormatting sqref="R15">
    <cfRule type="expression" dxfId="1232" priority="1218">
      <formula>MOD(ROW(),2)=0</formula>
    </cfRule>
  </conditionalFormatting>
  <conditionalFormatting sqref="R15">
    <cfRule type="expression" dxfId="1231" priority="1217">
      <formula>MOD(ROW(),2)=0</formula>
    </cfRule>
  </conditionalFormatting>
  <conditionalFormatting sqref="R15">
    <cfRule type="expression" dxfId="1230" priority="1216">
      <formula>MOD(ROW(),2)=0</formula>
    </cfRule>
  </conditionalFormatting>
  <conditionalFormatting sqref="R15">
    <cfRule type="expression" dxfId="1229" priority="1215">
      <formula>MOD(ROW(),2)=0</formula>
    </cfRule>
  </conditionalFormatting>
  <conditionalFormatting sqref="R15">
    <cfRule type="expression" dxfId="1228" priority="1214">
      <formula>MOD(ROW(),2)=0</formula>
    </cfRule>
  </conditionalFormatting>
  <conditionalFormatting sqref="R15">
    <cfRule type="expression" dxfId="1227" priority="1213">
      <formula>MOD(ROW(),2)=0</formula>
    </cfRule>
  </conditionalFormatting>
  <conditionalFormatting sqref="R15">
    <cfRule type="expression" dxfId="1226" priority="1212">
      <formula>MOD(ROW(),2)=0</formula>
    </cfRule>
  </conditionalFormatting>
  <conditionalFormatting sqref="R15">
    <cfRule type="expression" dxfId="1225" priority="1211">
      <formula>MOD(ROW(),2)=0</formula>
    </cfRule>
  </conditionalFormatting>
  <conditionalFormatting sqref="R15">
    <cfRule type="expression" dxfId="1224" priority="1210">
      <formula>MOD(ROW(),2)=0</formula>
    </cfRule>
  </conditionalFormatting>
  <conditionalFormatting sqref="R15">
    <cfRule type="expression" dxfId="1223" priority="1209">
      <formula>MOD(ROW(),2)=0</formula>
    </cfRule>
  </conditionalFormatting>
  <conditionalFormatting sqref="R15">
    <cfRule type="expression" dxfId="1222" priority="1208">
      <formula>MOD(ROW(),2)=0</formula>
    </cfRule>
  </conditionalFormatting>
  <conditionalFormatting sqref="R15">
    <cfRule type="expression" dxfId="1221" priority="1207">
      <formula>MOD(ROW(),2)=0</formula>
    </cfRule>
  </conditionalFormatting>
  <conditionalFormatting sqref="R15">
    <cfRule type="expression" dxfId="1220" priority="1206">
      <formula>MOD(ROW(),2)=0</formula>
    </cfRule>
  </conditionalFormatting>
  <conditionalFormatting sqref="R20">
    <cfRule type="expression" dxfId="1219" priority="1205">
      <formula>MOD(ROW(),2)=0</formula>
    </cfRule>
  </conditionalFormatting>
  <conditionalFormatting sqref="R20">
    <cfRule type="expression" dxfId="1218" priority="1204">
      <formula>MOD(ROW(),2)=0</formula>
    </cfRule>
  </conditionalFormatting>
  <conditionalFormatting sqref="R20">
    <cfRule type="expression" dxfId="1217" priority="1203">
      <formula>MOD(ROW(),2)=0</formula>
    </cfRule>
  </conditionalFormatting>
  <conditionalFormatting sqref="R20">
    <cfRule type="expression" dxfId="1216" priority="1202">
      <formula>MOD(ROW(),2)=0</formula>
    </cfRule>
  </conditionalFormatting>
  <conditionalFormatting sqref="R20">
    <cfRule type="expression" dxfId="1215" priority="1201">
      <formula>MOD(ROW(),2)=0</formula>
    </cfRule>
  </conditionalFormatting>
  <conditionalFormatting sqref="R20">
    <cfRule type="expression" dxfId="1214" priority="1200">
      <formula>MOD(ROW(),2)=0</formula>
    </cfRule>
  </conditionalFormatting>
  <conditionalFormatting sqref="R20">
    <cfRule type="expression" dxfId="1213" priority="1199">
      <formula>MOD(ROW(),2)=0</formula>
    </cfRule>
  </conditionalFormatting>
  <conditionalFormatting sqref="R20">
    <cfRule type="expression" dxfId="1212" priority="1198">
      <formula>MOD(ROW(),2)=0</formula>
    </cfRule>
  </conditionalFormatting>
  <conditionalFormatting sqref="R20">
    <cfRule type="expression" dxfId="1211" priority="1197">
      <formula>MOD(ROW(),2)=0</formula>
    </cfRule>
  </conditionalFormatting>
  <conditionalFormatting sqref="R20">
    <cfRule type="expression" dxfId="1210" priority="1196">
      <formula>MOD(ROW(),2)=0</formula>
    </cfRule>
  </conditionalFormatting>
  <conditionalFormatting sqref="R20">
    <cfRule type="expression" dxfId="1209" priority="1195">
      <formula>MOD(ROW(),2)=0</formula>
    </cfRule>
  </conditionalFormatting>
  <conditionalFormatting sqref="R20">
    <cfRule type="expression" dxfId="1208" priority="1194">
      <formula>MOD(ROW(),2)=0</formula>
    </cfRule>
  </conditionalFormatting>
  <conditionalFormatting sqref="R20">
    <cfRule type="expression" dxfId="1207" priority="1193">
      <formula>MOD(ROW(),2)=0</formula>
    </cfRule>
  </conditionalFormatting>
  <conditionalFormatting sqref="R20">
    <cfRule type="expression" dxfId="1206" priority="1192">
      <formula>MOD(ROW(),2)=0</formula>
    </cfRule>
  </conditionalFormatting>
  <conditionalFormatting sqref="R20">
    <cfRule type="expression" dxfId="1205" priority="1191">
      <formula>MOD(ROW(),2)=0</formula>
    </cfRule>
  </conditionalFormatting>
  <conditionalFormatting sqref="R20">
    <cfRule type="expression" dxfId="1204" priority="1190">
      <formula>MOD(ROW(),2)=0</formula>
    </cfRule>
  </conditionalFormatting>
  <conditionalFormatting sqref="S9">
    <cfRule type="expression" dxfId="1203" priority="1189">
      <formula>MOD(ROW(),2)=0</formula>
    </cfRule>
  </conditionalFormatting>
  <conditionalFormatting sqref="S8">
    <cfRule type="expression" dxfId="1202" priority="1188">
      <formula>MOD(ROW(),2)=0</formula>
    </cfRule>
  </conditionalFormatting>
  <conditionalFormatting sqref="S16 S12:S13">
    <cfRule type="expression" dxfId="1201" priority="1187">
      <formula>MOD(ROW(),2)=0</formula>
    </cfRule>
  </conditionalFormatting>
  <conditionalFormatting sqref="S14 S17:S19 S21">
    <cfRule type="expression" dxfId="1200" priority="1186">
      <formula>MOD(ROW(),2)=0</formula>
    </cfRule>
  </conditionalFormatting>
  <conditionalFormatting sqref="S11">
    <cfRule type="expression" dxfId="1199" priority="1185">
      <formula>MOD(ROW(),2)=0</formula>
    </cfRule>
  </conditionalFormatting>
  <conditionalFormatting sqref="S22">
    <cfRule type="expression" dxfId="1198" priority="1184">
      <formula>MOD(ROW(),2)=0</formula>
    </cfRule>
  </conditionalFormatting>
  <conditionalFormatting sqref="S10">
    <cfRule type="expression" dxfId="1197" priority="1183">
      <formula>MOD(ROW(),2)=0</formula>
    </cfRule>
  </conditionalFormatting>
  <conditionalFormatting sqref="S9">
    <cfRule type="expression" dxfId="1196" priority="1182">
      <formula>MOD(ROW(),2)=0</formula>
    </cfRule>
  </conditionalFormatting>
  <conditionalFormatting sqref="S8">
    <cfRule type="expression" dxfId="1195" priority="1181">
      <formula>MOD(ROW(),2)=0</formula>
    </cfRule>
  </conditionalFormatting>
  <conditionalFormatting sqref="S16 S12:S13">
    <cfRule type="expression" dxfId="1194" priority="1180">
      <formula>MOD(ROW(),2)=0</formula>
    </cfRule>
  </conditionalFormatting>
  <conditionalFormatting sqref="S14 S17:S19 S21">
    <cfRule type="expression" dxfId="1193" priority="1179">
      <formula>MOD(ROW(),2)=0</formula>
    </cfRule>
  </conditionalFormatting>
  <conditionalFormatting sqref="S11">
    <cfRule type="expression" dxfId="1192" priority="1178">
      <formula>MOD(ROW(),2)=0</formula>
    </cfRule>
  </conditionalFormatting>
  <conditionalFormatting sqref="S22">
    <cfRule type="expression" dxfId="1191" priority="1177">
      <formula>MOD(ROW(),2)=0</formula>
    </cfRule>
  </conditionalFormatting>
  <conditionalFormatting sqref="S10">
    <cfRule type="expression" dxfId="1190" priority="1176">
      <formula>MOD(ROW(),2)=0</formula>
    </cfRule>
  </conditionalFormatting>
  <conditionalFormatting sqref="S9">
    <cfRule type="expression" dxfId="1189" priority="1175">
      <formula>MOD(ROW(),2)=0</formula>
    </cfRule>
  </conditionalFormatting>
  <conditionalFormatting sqref="S8">
    <cfRule type="expression" dxfId="1188" priority="1174">
      <formula>MOD(ROW(),2)=0</formula>
    </cfRule>
  </conditionalFormatting>
  <conditionalFormatting sqref="S16 S12:S13">
    <cfRule type="expression" dxfId="1187" priority="1173">
      <formula>MOD(ROW(),2)=0</formula>
    </cfRule>
  </conditionalFormatting>
  <conditionalFormatting sqref="S14 S17:S19 S21">
    <cfRule type="expression" dxfId="1186" priority="1172">
      <formula>MOD(ROW(),2)=0</formula>
    </cfRule>
  </conditionalFormatting>
  <conditionalFormatting sqref="S11">
    <cfRule type="expression" dxfId="1185" priority="1171">
      <formula>MOD(ROW(),2)=0</formula>
    </cfRule>
  </conditionalFormatting>
  <conditionalFormatting sqref="S22">
    <cfRule type="expression" dxfId="1184" priority="1170">
      <formula>MOD(ROW(),2)=0</formula>
    </cfRule>
  </conditionalFormatting>
  <conditionalFormatting sqref="S10">
    <cfRule type="expression" dxfId="1183" priority="1169">
      <formula>MOD(ROW(),2)=0</formula>
    </cfRule>
  </conditionalFormatting>
  <conditionalFormatting sqref="S9">
    <cfRule type="expression" dxfId="1182" priority="1168">
      <formula>MOD(ROW(),2)=0</formula>
    </cfRule>
  </conditionalFormatting>
  <conditionalFormatting sqref="S8">
    <cfRule type="expression" dxfId="1181" priority="1167">
      <formula>MOD(ROW(),2)=0</formula>
    </cfRule>
  </conditionalFormatting>
  <conditionalFormatting sqref="S16 S12:S13">
    <cfRule type="expression" dxfId="1180" priority="1166">
      <formula>MOD(ROW(),2)=0</formula>
    </cfRule>
  </conditionalFormatting>
  <conditionalFormatting sqref="S14 S17:S19 S21">
    <cfRule type="expression" dxfId="1179" priority="1165">
      <formula>MOD(ROW(),2)=0</formula>
    </cfRule>
  </conditionalFormatting>
  <conditionalFormatting sqref="S11">
    <cfRule type="expression" dxfId="1178" priority="1164">
      <formula>MOD(ROW(),2)=0</formula>
    </cfRule>
  </conditionalFormatting>
  <conditionalFormatting sqref="S22">
    <cfRule type="expression" dxfId="1177" priority="1163">
      <formula>MOD(ROW(),2)=0</formula>
    </cfRule>
  </conditionalFormatting>
  <conditionalFormatting sqref="S10">
    <cfRule type="expression" dxfId="1176" priority="1162">
      <formula>MOD(ROW(),2)=0</formula>
    </cfRule>
  </conditionalFormatting>
  <conditionalFormatting sqref="S9">
    <cfRule type="expression" dxfId="1175" priority="1161">
      <formula>MOD(ROW(),2)=0</formula>
    </cfRule>
  </conditionalFormatting>
  <conditionalFormatting sqref="S8">
    <cfRule type="expression" dxfId="1174" priority="1160">
      <formula>MOD(ROW(),2)=0</formula>
    </cfRule>
  </conditionalFormatting>
  <conditionalFormatting sqref="S16 S12:S13">
    <cfRule type="expression" dxfId="1173" priority="1159">
      <formula>MOD(ROW(),2)=0</formula>
    </cfRule>
  </conditionalFormatting>
  <conditionalFormatting sqref="S14 S17:S19 S21">
    <cfRule type="expression" dxfId="1172" priority="1158">
      <formula>MOD(ROW(),2)=0</formula>
    </cfRule>
  </conditionalFormatting>
  <conditionalFormatting sqref="S11">
    <cfRule type="expression" dxfId="1171" priority="1157">
      <formula>MOD(ROW(),2)=0</formula>
    </cfRule>
  </conditionalFormatting>
  <conditionalFormatting sqref="S22">
    <cfRule type="expression" dxfId="1170" priority="1156">
      <formula>MOD(ROW(),2)=0</formula>
    </cfRule>
  </conditionalFormatting>
  <conditionalFormatting sqref="S10">
    <cfRule type="expression" dxfId="1169" priority="1155">
      <formula>MOD(ROW(),2)=0</formula>
    </cfRule>
  </conditionalFormatting>
  <conditionalFormatting sqref="S9">
    <cfRule type="expression" dxfId="1168" priority="1154">
      <formula>MOD(ROW(),2)=0</formula>
    </cfRule>
  </conditionalFormatting>
  <conditionalFormatting sqref="S8">
    <cfRule type="expression" dxfId="1167" priority="1153">
      <formula>MOD(ROW(),2)=0</formula>
    </cfRule>
  </conditionalFormatting>
  <conditionalFormatting sqref="S16 S12:S13">
    <cfRule type="expression" dxfId="1166" priority="1152">
      <formula>MOD(ROW(),2)=0</formula>
    </cfRule>
  </conditionalFormatting>
  <conditionalFormatting sqref="S14 S17:S19 S21">
    <cfRule type="expression" dxfId="1165" priority="1151">
      <formula>MOD(ROW(),2)=0</formula>
    </cfRule>
  </conditionalFormatting>
  <conditionalFormatting sqref="S11">
    <cfRule type="expression" dxfId="1164" priority="1150">
      <formula>MOD(ROW(),2)=0</formula>
    </cfRule>
  </conditionalFormatting>
  <conditionalFormatting sqref="S22">
    <cfRule type="expression" dxfId="1163" priority="1149">
      <formula>MOD(ROW(),2)=0</formula>
    </cfRule>
  </conditionalFormatting>
  <conditionalFormatting sqref="S10">
    <cfRule type="expression" dxfId="1162" priority="1148">
      <formula>MOD(ROW(),2)=0</formula>
    </cfRule>
  </conditionalFormatting>
  <conditionalFormatting sqref="S9">
    <cfRule type="expression" dxfId="1161" priority="1147">
      <formula>MOD(ROW(),2)=0</formula>
    </cfRule>
  </conditionalFormatting>
  <conditionalFormatting sqref="S8">
    <cfRule type="expression" dxfId="1160" priority="1146">
      <formula>MOD(ROW(),2)=0</formula>
    </cfRule>
  </conditionalFormatting>
  <conditionalFormatting sqref="S16 S12:S13">
    <cfRule type="expression" dxfId="1159" priority="1145">
      <formula>MOD(ROW(),2)=0</formula>
    </cfRule>
  </conditionalFormatting>
  <conditionalFormatting sqref="S14 S17:S19 S21">
    <cfRule type="expression" dxfId="1158" priority="1144">
      <formula>MOD(ROW(),2)=0</formula>
    </cfRule>
  </conditionalFormatting>
  <conditionalFormatting sqref="S11">
    <cfRule type="expression" dxfId="1157" priority="1143">
      <formula>MOD(ROW(),2)=0</formula>
    </cfRule>
  </conditionalFormatting>
  <conditionalFormatting sqref="S10">
    <cfRule type="expression" dxfId="1156" priority="1142">
      <formula>MOD(ROW(),2)=0</formula>
    </cfRule>
  </conditionalFormatting>
  <conditionalFormatting sqref="S22">
    <cfRule type="expression" dxfId="1155" priority="1141">
      <formula>MOD(ROW(),2)=0</formula>
    </cfRule>
  </conditionalFormatting>
  <conditionalFormatting sqref="S9">
    <cfRule type="expression" dxfId="1154" priority="1140">
      <formula>MOD(ROW(),2)=0</formula>
    </cfRule>
  </conditionalFormatting>
  <conditionalFormatting sqref="S8">
    <cfRule type="expression" dxfId="1153" priority="1139">
      <formula>MOD(ROW(),2)=0</formula>
    </cfRule>
  </conditionalFormatting>
  <conditionalFormatting sqref="S16 S12:S13">
    <cfRule type="expression" dxfId="1152" priority="1138">
      <formula>MOD(ROW(),2)=0</formula>
    </cfRule>
  </conditionalFormatting>
  <conditionalFormatting sqref="S14 S17:S19 S21">
    <cfRule type="expression" dxfId="1151" priority="1137">
      <formula>MOD(ROW(),2)=0</formula>
    </cfRule>
  </conditionalFormatting>
  <conditionalFormatting sqref="S11">
    <cfRule type="expression" dxfId="1150" priority="1136">
      <formula>MOD(ROW(),2)=0</formula>
    </cfRule>
  </conditionalFormatting>
  <conditionalFormatting sqref="S22">
    <cfRule type="expression" dxfId="1149" priority="1135">
      <formula>MOD(ROW(),2)=0</formula>
    </cfRule>
  </conditionalFormatting>
  <conditionalFormatting sqref="S10">
    <cfRule type="expression" dxfId="1148" priority="1134">
      <formula>MOD(ROW(),2)=0</formula>
    </cfRule>
  </conditionalFormatting>
  <conditionalFormatting sqref="S9">
    <cfRule type="expression" dxfId="1147" priority="1133">
      <formula>MOD(ROW(),2)=0</formula>
    </cfRule>
  </conditionalFormatting>
  <conditionalFormatting sqref="S8">
    <cfRule type="expression" dxfId="1146" priority="1132">
      <formula>MOD(ROW(),2)=0</formula>
    </cfRule>
  </conditionalFormatting>
  <conditionalFormatting sqref="S16 S12:S13">
    <cfRule type="expression" dxfId="1145" priority="1131">
      <formula>MOD(ROW(),2)=0</formula>
    </cfRule>
  </conditionalFormatting>
  <conditionalFormatting sqref="S14 S17:S19 S21">
    <cfRule type="expression" dxfId="1144" priority="1130">
      <formula>MOD(ROW(),2)=0</formula>
    </cfRule>
  </conditionalFormatting>
  <conditionalFormatting sqref="S11">
    <cfRule type="expression" dxfId="1143" priority="1129">
      <formula>MOD(ROW(),2)=0</formula>
    </cfRule>
  </conditionalFormatting>
  <conditionalFormatting sqref="S22">
    <cfRule type="expression" dxfId="1142" priority="1128">
      <formula>MOD(ROW(),2)=0</formula>
    </cfRule>
  </conditionalFormatting>
  <conditionalFormatting sqref="S10">
    <cfRule type="expression" dxfId="1141" priority="1127">
      <formula>MOD(ROW(),2)=0</formula>
    </cfRule>
  </conditionalFormatting>
  <conditionalFormatting sqref="S9">
    <cfRule type="expression" dxfId="1140" priority="1126">
      <formula>MOD(ROW(),2)=0</formula>
    </cfRule>
  </conditionalFormatting>
  <conditionalFormatting sqref="S8">
    <cfRule type="expression" dxfId="1139" priority="1125">
      <formula>MOD(ROW(),2)=0</formula>
    </cfRule>
  </conditionalFormatting>
  <conditionalFormatting sqref="S16 S12:S13">
    <cfRule type="expression" dxfId="1138" priority="1124">
      <formula>MOD(ROW(),2)=0</formula>
    </cfRule>
  </conditionalFormatting>
  <conditionalFormatting sqref="S14 S17:S19 S21">
    <cfRule type="expression" dxfId="1137" priority="1123">
      <formula>MOD(ROW(),2)=0</formula>
    </cfRule>
  </conditionalFormatting>
  <conditionalFormatting sqref="S11">
    <cfRule type="expression" dxfId="1136" priority="1122">
      <formula>MOD(ROW(),2)=0</formula>
    </cfRule>
  </conditionalFormatting>
  <conditionalFormatting sqref="S22">
    <cfRule type="expression" dxfId="1135" priority="1121">
      <formula>MOD(ROW(),2)=0</formula>
    </cfRule>
  </conditionalFormatting>
  <conditionalFormatting sqref="S10">
    <cfRule type="expression" dxfId="1134" priority="1120">
      <formula>MOD(ROW(),2)=0</formula>
    </cfRule>
  </conditionalFormatting>
  <conditionalFormatting sqref="S9">
    <cfRule type="expression" dxfId="1133" priority="1119">
      <formula>MOD(ROW(),2)=0</formula>
    </cfRule>
  </conditionalFormatting>
  <conditionalFormatting sqref="S8">
    <cfRule type="expression" dxfId="1132" priority="1118">
      <formula>MOD(ROW(),2)=0</formula>
    </cfRule>
  </conditionalFormatting>
  <conditionalFormatting sqref="S16 S12:S13">
    <cfRule type="expression" dxfId="1131" priority="1117">
      <formula>MOD(ROW(),2)=0</formula>
    </cfRule>
  </conditionalFormatting>
  <conditionalFormatting sqref="S14 S17:S19 S21">
    <cfRule type="expression" dxfId="1130" priority="1116">
      <formula>MOD(ROW(),2)=0</formula>
    </cfRule>
  </conditionalFormatting>
  <conditionalFormatting sqref="S11">
    <cfRule type="expression" dxfId="1129" priority="1115">
      <formula>MOD(ROW(),2)=0</formula>
    </cfRule>
  </conditionalFormatting>
  <conditionalFormatting sqref="S22">
    <cfRule type="expression" dxfId="1128" priority="1114">
      <formula>MOD(ROW(),2)=0</formula>
    </cfRule>
  </conditionalFormatting>
  <conditionalFormatting sqref="S10">
    <cfRule type="expression" dxfId="1127" priority="1113">
      <formula>MOD(ROW(),2)=0</formula>
    </cfRule>
  </conditionalFormatting>
  <conditionalFormatting sqref="S9">
    <cfRule type="expression" dxfId="1126" priority="1112">
      <formula>MOD(ROW(),2)=0</formula>
    </cfRule>
  </conditionalFormatting>
  <conditionalFormatting sqref="S8">
    <cfRule type="expression" dxfId="1125" priority="1111">
      <formula>MOD(ROW(),2)=0</formula>
    </cfRule>
  </conditionalFormatting>
  <conditionalFormatting sqref="S16 S12:S13">
    <cfRule type="expression" dxfId="1124" priority="1110">
      <formula>MOD(ROW(),2)=0</formula>
    </cfRule>
  </conditionalFormatting>
  <conditionalFormatting sqref="S14 S17:S19 S21">
    <cfRule type="expression" dxfId="1123" priority="1109">
      <formula>MOD(ROW(),2)=0</formula>
    </cfRule>
  </conditionalFormatting>
  <conditionalFormatting sqref="S11">
    <cfRule type="expression" dxfId="1122" priority="1108">
      <formula>MOD(ROW(),2)=0</formula>
    </cfRule>
  </conditionalFormatting>
  <conditionalFormatting sqref="S22">
    <cfRule type="expression" dxfId="1121" priority="1107">
      <formula>MOD(ROW(),2)=0</formula>
    </cfRule>
  </conditionalFormatting>
  <conditionalFormatting sqref="S10">
    <cfRule type="expression" dxfId="1120" priority="1106">
      <formula>MOD(ROW(),2)=0</formula>
    </cfRule>
  </conditionalFormatting>
  <conditionalFormatting sqref="S9">
    <cfRule type="expression" dxfId="1119" priority="1105">
      <formula>MOD(ROW(),2)=0</formula>
    </cfRule>
  </conditionalFormatting>
  <conditionalFormatting sqref="S8">
    <cfRule type="expression" dxfId="1118" priority="1104">
      <formula>MOD(ROW(),2)=0</formula>
    </cfRule>
  </conditionalFormatting>
  <conditionalFormatting sqref="S16 S12:S13">
    <cfRule type="expression" dxfId="1117" priority="1103">
      <formula>MOD(ROW(),2)=0</formula>
    </cfRule>
  </conditionalFormatting>
  <conditionalFormatting sqref="S14 S17:S19 S21">
    <cfRule type="expression" dxfId="1116" priority="1102">
      <formula>MOD(ROW(),2)=0</formula>
    </cfRule>
  </conditionalFormatting>
  <conditionalFormatting sqref="S11">
    <cfRule type="expression" dxfId="1115" priority="1101">
      <formula>MOD(ROW(),2)=0</formula>
    </cfRule>
  </conditionalFormatting>
  <conditionalFormatting sqref="S22">
    <cfRule type="expression" dxfId="1114" priority="1100">
      <formula>MOD(ROW(),2)=0</formula>
    </cfRule>
  </conditionalFormatting>
  <conditionalFormatting sqref="S10">
    <cfRule type="expression" dxfId="1113" priority="1099">
      <formula>MOD(ROW(),2)=0</formula>
    </cfRule>
  </conditionalFormatting>
  <conditionalFormatting sqref="S9">
    <cfRule type="expression" dxfId="1112" priority="1098">
      <formula>MOD(ROW(),2)=0</formula>
    </cfRule>
  </conditionalFormatting>
  <conditionalFormatting sqref="S8">
    <cfRule type="expression" dxfId="1111" priority="1097">
      <formula>MOD(ROW(),2)=0</formula>
    </cfRule>
  </conditionalFormatting>
  <conditionalFormatting sqref="S16 S12:S13">
    <cfRule type="expression" dxfId="1110" priority="1096">
      <formula>MOD(ROW(),2)=0</formula>
    </cfRule>
  </conditionalFormatting>
  <conditionalFormatting sqref="S14 S17:S19 S21">
    <cfRule type="expression" dxfId="1109" priority="1095">
      <formula>MOD(ROW(),2)=0</formula>
    </cfRule>
  </conditionalFormatting>
  <conditionalFormatting sqref="S11">
    <cfRule type="expression" dxfId="1108" priority="1094">
      <formula>MOD(ROW(),2)=0</formula>
    </cfRule>
  </conditionalFormatting>
  <conditionalFormatting sqref="S22">
    <cfRule type="expression" dxfId="1107" priority="1093">
      <formula>MOD(ROW(),2)=0</formula>
    </cfRule>
  </conditionalFormatting>
  <conditionalFormatting sqref="S10">
    <cfRule type="expression" dxfId="1106" priority="1092">
      <formula>MOD(ROW(),2)=0</formula>
    </cfRule>
  </conditionalFormatting>
  <conditionalFormatting sqref="S9">
    <cfRule type="expression" dxfId="1105" priority="1091">
      <formula>MOD(ROW(),2)=0</formula>
    </cfRule>
  </conditionalFormatting>
  <conditionalFormatting sqref="S8">
    <cfRule type="expression" dxfId="1104" priority="1090">
      <formula>MOD(ROW(),2)=0</formula>
    </cfRule>
  </conditionalFormatting>
  <conditionalFormatting sqref="S16 S12:S13">
    <cfRule type="expression" dxfId="1103" priority="1089">
      <formula>MOD(ROW(),2)=0</formula>
    </cfRule>
  </conditionalFormatting>
  <conditionalFormatting sqref="S14 S17:S19 S21">
    <cfRule type="expression" dxfId="1102" priority="1088">
      <formula>MOD(ROW(),2)=0</formula>
    </cfRule>
  </conditionalFormatting>
  <conditionalFormatting sqref="S11">
    <cfRule type="expression" dxfId="1101" priority="1087">
      <formula>MOD(ROW(),2)=0</formula>
    </cfRule>
  </conditionalFormatting>
  <conditionalFormatting sqref="S10">
    <cfRule type="expression" dxfId="1100" priority="1086">
      <formula>MOD(ROW(),2)=0</formula>
    </cfRule>
  </conditionalFormatting>
  <conditionalFormatting sqref="S22">
    <cfRule type="expression" dxfId="1099" priority="1085">
      <formula>MOD(ROW(),2)=0</formula>
    </cfRule>
  </conditionalFormatting>
  <conditionalFormatting sqref="S9">
    <cfRule type="expression" dxfId="1098" priority="1084">
      <formula>MOD(ROW(),2)=0</formula>
    </cfRule>
  </conditionalFormatting>
  <conditionalFormatting sqref="S8">
    <cfRule type="expression" dxfId="1097" priority="1083">
      <formula>MOD(ROW(),2)=0</formula>
    </cfRule>
  </conditionalFormatting>
  <conditionalFormatting sqref="S16 S12:S13">
    <cfRule type="expression" dxfId="1096" priority="1082">
      <formula>MOD(ROW(),2)=0</formula>
    </cfRule>
  </conditionalFormatting>
  <conditionalFormatting sqref="S14 S17:S19 S21">
    <cfRule type="expression" dxfId="1095" priority="1081">
      <formula>MOD(ROW(),2)=0</formula>
    </cfRule>
  </conditionalFormatting>
  <conditionalFormatting sqref="S11">
    <cfRule type="expression" dxfId="1094" priority="1080">
      <formula>MOD(ROW(),2)=0</formula>
    </cfRule>
  </conditionalFormatting>
  <conditionalFormatting sqref="S22">
    <cfRule type="expression" dxfId="1093" priority="1079">
      <formula>MOD(ROW(),2)=0</formula>
    </cfRule>
  </conditionalFormatting>
  <conditionalFormatting sqref="S10">
    <cfRule type="expression" dxfId="1092" priority="1078">
      <formula>MOD(ROW(),2)=0</formula>
    </cfRule>
  </conditionalFormatting>
  <conditionalFormatting sqref="S15">
    <cfRule type="expression" dxfId="1091" priority="1077">
      <formula>MOD(ROW(),2)=0</formula>
    </cfRule>
  </conditionalFormatting>
  <conditionalFormatting sqref="S15">
    <cfRule type="expression" dxfId="1090" priority="1076">
      <formula>MOD(ROW(),2)=0</formula>
    </cfRule>
  </conditionalFormatting>
  <conditionalFormatting sqref="S15">
    <cfRule type="expression" dxfId="1089" priority="1075">
      <formula>MOD(ROW(),2)=0</formula>
    </cfRule>
  </conditionalFormatting>
  <conditionalFormatting sqref="S15">
    <cfRule type="expression" dxfId="1088" priority="1074">
      <formula>MOD(ROW(),2)=0</formula>
    </cfRule>
  </conditionalFormatting>
  <conditionalFormatting sqref="S15">
    <cfRule type="expression" dxfId="1087" priority="1073">
      <formula>MOD(ROW(),2)=0</formula>
    </cfRule>
  </conditionalFormatting>
  <conditionalFormatting sqref="S15">
    <cfRule type="expression" dxfId="1086" priority="1072">
      <formula>MOD(ROW(),2)=0</formula>
    </cfRule>
  </conditionalFormatting>
  <conditionalFormatting sqref="S15">
    <cfRule type="expression" dxfId="1085" priority="1071">
      <formula>MOD(ROW(),2)=0</formula>
    </cfRule>
  </conditionalFormatting>
  <conditionalFormatting sqref="S15">
    <cfRule type="expression" dxfId="1084" priority="1070">
      <formula>MOD(ROW(),2)=0</formula>
    </cfRule>
  </conditionalFormatting>
  <conditionalFormatting sqref="S15">
    <cfRule type="expression" dxfId="1083" priority="1069">
      <formula>MOD(ROW(),2)=0</formula>
    </cfRule>
  </conditionalFormatting>
  <conditionalFormatting sqref="S15">
    <cfRule type="expression" dxfId="1082" priority="1068">
      <formula>MOD(ROW(),2)=0</formula>
    </cfRule>
  </conditionalFormatting>
  <conditionalFormatting sqref="S15">
    <cfRule type="expression" dxfId="1081" priority="1067">
      <formula>MOD(ROW(),2)=0</formula>
    </cfRule>
  </conditionalFormatting>
  <conditionalFormatting sqref="S15">
    <cfRule type="expression" dxfId="1080" priority="1066">
      <formula>MOD(ROW(),2)=0</formula>
    </cfRule>
  </conditionalFormatting>
  <conditionalFormatting sqref="S15">
    <cfRule type="expression" dxfId="1079" priority="1065">
      <formula>MOD(ROW(),2)=0</formula>
    </cfRule>
  </conditionalFormatting>
  <conditionalFormatting sqref="S15">
    <cfRule type="expression" dxfId="1078" priority="1064">
      <formula>MOD(ROW(),2)=0</formula>
    </cfRule>
  </conditionalFormatting>
  <conditionalFormatting sqref="S15">
    <cfRule type="expression" dxfId="1077" priority="1063">
      <formula>MOD(ROW(),2)=0</formula>
    </cfRule>
  </conditionalFormatting>
  <conditionalFormatting sqref="S15">
    <cfRule type="expression" dxfId="1076" priority="1062">
      <formula>MOD(ROW(),2)=0</formula>
    </cfRule>
  </conditionalFormatting>
  <conditionalFormatting sqref="S20">
    <cfRule type="expression" dxfId="1075" priority="1061">
      <formula>MOD(ROW(),2)=0</formula>
    </cfRule>
  </conditionalFormatting>
  <conditionalFormatting sqref="S20">
    <cfRule type="expression" dxfId="1074" priority="1060">
      <formula>MOD(ROW(),2)=0</formula>
    </cfRule>
  </conditionalFormatting>
  <conditionalFormatting sqref="S20">
    <cfRule type="expression" dxfId="1073" priority="1059">
      <formula>MOD(ROW(),2)=0</formula>
    </cfRule>
  </conditionalFormatting>
  <conditionalFormatting sqref="S20">
    <cfRule type="expression" dxfId="1072" priority="1058">
      <formula>MOD(ROW(),2)=0</formula>
    </cfRule>
  </conditionalFormatting>
  <conditionalFormatting sqref="S20">
    <cfRule type="expression" dxfId="1071" priority="1057">
      <formula>MOD(ROW(),2)=0</formula>
    </cfRule>
  </conditionalFormatting>
  <conditionalFormatting sqref="S20">
    <cfRule type="expression" dxfId="1070" priority="1056">
      <formula>MOD(ROW(),2)=0</formula>
    </cfRule>
  </conditionalFormatting>
  <conditionalFormatting sqref="S20">
    <cfRule type="expression" dxfId="1069" priority="1055">
      <formula>MOD(ROW(),2)=0</formula>
    </cfRule>
  </conditionalFormatting>
  <conditionalFormatting sqref="S20">
    <cfRule type="expression" dxfId="1068" priority="1054">
      <formula>MOD(ROW(),2)=0</formula>
    </cfRule>
  </conditionalFormatting>
  <conditionalFormatting sqref="S20">
    <cfRule type="expression" dxfId="1067" priority="1053">
      <formula>MOD(ROW(),2)=0</formula>
    </cfRule>
  </conditionalFormatting>
  <conditionalFormatting sqref="S20">
    <cfRule type="expression" dxfId="1066" priority="1052">
      <formula>MOD(ROW(),2)=0</formula>
    </cfRule>
  </conditionalFormatting>
  <conditionalFormatting sqref="S20">
    <cfRule type="expression" dxfId="1065" priority="1051">
      <formula>MOD(ROW(),2)=0</formula>
    </cfRule>
  </conditionalFormatting>
  <conditionalFormatting sqref="S20">
    <cfRule type="expression" dxfId="1064" priority="1050">
      <formula>MOD(ROW(),2)=0</formula>
    </cfRule>
  </conditionalFormatting>
  <conditionalFormatting sqref="S20">
    <cfRule type="expression" dxfId="1063" priority="1049">
      <formula>MOD(ROW(),2)=0</formula>
    </cfRule>
  </conditionalFormatting>
  <conditionalFormatting sqref="S20">
    <cfRule type="expression" dxfId="1062" priority="1048">
      <formula>MOD(ROW(),2)=0</formula>
    </cfRule>
  </conditionalFormatting>
  <conditionalFormatting sqref="S20">
    <cfRule type="expression" dxfId="1061" priority="1047">
      <formula>MOD(ROW(),2)=0</formula>
    </cfRule>
  </conditionalFormatting>
  <conditionalFormatting sqref="S20">
    <cfRule type="expression" dxfId="1060" priority="1046">
      <formula>MOD(ROW(),2)=0</formula>
    </cfRule>
  </conditionalFormatting>
  <conditionalFormatting sqref="T9">
    <cfRule type="expression" dxfId="1059" priority="1045">
      <formula>MOD(ROW(),2)=0</formula>
    </cfRule>
  </conditionalFormatting>
  <conditionalFormatting sqref="T8">
    <cfRule type="expression" dxfId="1058" priority="1044">
      <formula>MOD(ROW(),2)=0</formula>
    </cfRule>
  </conditionalFormatting>
  <conditionalFormatting sqref="T16 T12:T13">
    <cfRule type="expression" dxfId="1057" priority="1043">
      <formula>MOD(ROW(),2)=0</formula>
    </cfRule>
  </conditionalFormatting>
  <conditionalFormatting sqref="T14 T17:T19 T21">
    <cfRule type="expression" dxfId="1056" priority="1042">
      <formula>MOD(ROW(),2)=0</formula>
    </cfRule>
  </conditionalFormatting>
  <conditionalFormatting sqref="T11">
    <cfRule type="expression" dxfId="1055" priority="1041">
      <formula>MOD(ROW(),2)=0</formula>
    </cfRule>
  </conditionalFormatting>
  <conditionalFormatting sqref="T22">
    <cfRule type="expression" dxfId="1054" priority="1040">
      <formula>MOD(ROW(),2)=0</formula>
    </cfRule>
  </conditionalFormatting>
  <conditionalFormatting sqref="T10">
    <cfRule type="expression" dxfId="1053" priority="1039">
      <formula>MOD(ROW(),2)=0</formula>
    </cfRule>
  </conditionalFormatting>
  <conditionalFormatting sqref="T9">
    <cfRule type="expression" dxfId="1052" priority="1038">
      <formula>MOD(ROW(),2)=0</formula>
    </cfRule>
  </conditionalFormatting>
  <conditionalFormatting sqref="T8">
    <cfRule type="expression" dxfId="1051" priority="1037">
      <formula>MOD(ROW(),2)=0</formula>
    </cfRule>
  </conditionalFormatting>
  <conditionalFormatting sqref="T16 T12:T13">
    <cfRule type="expression" dxfId="1050" priority="1036">
      <formula>MOD(ROW(),2)=0</formula>
    </cfRule>
  </conditionalFormatting>
  <conditionalFormatting sqref="T14 T17:T19 T21">
    <cfRule type="expression" dxfId="1049" priority="1035">
      <formula>MOD(ROW(),2)=0</formula>
    </cfRule>
  </conditionalFormatting>
  <conditionalFormatting sqref="T11">
    <cfRule type="expression" dxfId="1048" priority="1034">
      <formula>MOD(ROW(),2)=0</formula>
    </cfRule>
  </conditionalFormatting>
  <conditionalFormatting sqref="T22">
    <cfRule type="expression" dxfId="1047" priority="1033">
      <formula>MOD(ROW(),2)=0</formula>
    </cfRule>
  </conditionalFormatting>
  <conditionalFormatting sqref="T10">
    <cfRule type="expression" dxfId="1046" priority="1032">
      <formula>MOD(ROW(),2)=0</formula>
    </cfRule>
  </conditionalFormatting>
  <conditionalFormatting sqref="T9">
    <cfRule type="expression" dxfId="1045" priority="1031">
      <formula>MOD(ROW(),2)=0</formula>
    </cfRule>
  </conditionalFormatting>
  <conditionalFormatting sqref="T8">
    <cfRule type="expression" dxfId="1044" priority="1030">
      <formula>MOD(ROW(),2)=0</formula>
    </cfRule>
  </conditionalFormatting>
  <conditionalFormatting sqref="T16 T12:T13">
    <cfRule type="expression" dxfId="1043" priority="1029">
      <formula>MOD(ROW(),2)=0</formula>
    </cfRule>
  </conditionalFormatting>
  <conditionalFormatting sqref="T14 T17:T19 T21">
    <cfRule type="expression" dxfId="1042" priority="1028">
      <formula>MOD(ROW(),2)=0</formula>
    </cfRule>
  </conditionalFormatting>
  <conditionalFormatting sqref="T11">
    <cfRule type="expression" dxfId="1041" priority="1027">
      <formula>MOD(ROW(),2)=0</formula>
    </cfRule>
  </conditionalFormatting>
  <conditionalFormatting sqref="T22">
    <cfRule type="expression" dxfId="1040" priority="1026">
      <formula>MOD(ROW(),2)=0</formula>
    </cfRule>
  </conditionalFormatting>
  <conditionalFormatting sqref="T10">
    <cfRule type="expression" dxfId="1039" priority="1025">
      <formula>MOD(ROW(),2)=0</formula>
    </cfRule>
  </conditionalFormatting>
  <conditionalFormatting sqref="T9">
    <cfRule type="expression" dxfId="1038" priority="1024">
      <formula>MOD(ROW(),2)=0</formula>
    </cfRule>
  </conditionalFormatting>
  <conditionalFormatting sqref="T8">
    <cfRule type="expression" dxfId="1037" priority="1023">
      <formula>MOD(ROW(),2)=0</formula>
    </cfRule>
  </conditionalFormatting>
  <conditionalFormatting sqref="T16 T12:T13">
    <cfRule type="expression" dxfId="1036" priority="1022">
      <formula>MOD(ROW(),2)=0</formula>
    </cfRule>
  </conditionalFormatting>
  <conditionalFormatting sqref="T14 T17:T19 T21">
    <cfRule type="expression" dxfId="1035" priority="1021">
      <formula>MOD(ROW(),2)=0</formula>
    </cfRule>
  </conditionalFormatting>
  <conditionalFormatting sqref="T11">
    <cfRule type="expression" dxfId="1034" priority="1020">
      <formula>MOD(ROW(),2)=0</formula>
    </cfRule>
  </conditionalFormatting>
  <conditionalFormatting sqref="T22">
    <cfRule type="expression" dxfId="1033" priority="1019">
      <formula>MOD(ROW(),2)=0</formula>
    </cfRule>
  </conditionalFormatting>
  <conditionalFormatting sqref="T10">
    <cfRule type="expression" dxfId="1032" priority="1018">
      <formula>MOD(ROW(),2)=0</formula>
    </cfRule>
  </conditionalFormatting>
  <conditionalFormatting sqref="T9">
    <cfRule type="expression" dxfId="1031" priority="1017">
      <formula>MOD(ROW(),2)=0</formula>
    </cfRule>
  </conditionalFormatting>
  <conditionalFormatting sqref="T8">
    <cfRule type="expression" dxfId="1030" priority="1016">
      <formula>MOD(ROW(),2)=0</formula>
    </cfRule>
  </conditionalFormatting>
  <conditionalFormatting sqref="T16 T12:T13">
    <cfRule type="expression" dxfId="1029" priority="1015">
      <formula>MOD(ROW(),2)=0</formula>
    </cfRule>
  </conditionalFormatting>
  <conditionalFormatting sqref="T14 T17:T19 T21">
    <cfRule type="expression" dxfId="1028" priority="1014">
      <formula>MOD(ROW(),2)=0</formula>
    </cfRule>
  </conditionalFormatting>
  <conditionalFormatting sqref="T11">
    <cfRule type="expression" dxfId="1027" priority="1013">
      <formula>MOD(ROW(),2)=0</formula>
    </cfRule>
  </conditionalFormatting>
  <conditionalFormatting sqref="T22">
    <cfRule type="expression" dxfId="1026" priority="1012">
      <formula>MOD(ROW(),2)=0</formula>
    </cfRule>
  </conditionalFormatting>
  <conditionalFormatting sqref="T10">
    <cfRule type="expression" dxfId="1025" priority="1011">
      <formula>MOD(ROW(),2)=0</formula>
    </cfRule>
  </conditionalFormatting>
  <conditionalFormatting sqref="T9">
    <cfRule type="expression" dxfId="1024" priority="1010">
      <formula>MOD(ROW(),2)=0</formula>
    </cfRule>
  </conditionalFormatting>
  <conditionalFormatting sqref="T8">
    <cfRule type="expression" dxfId="1023" priority="1009">
      <formula>MOD(ROW(),2)=0</formula>
    </cfRule>
  </conditionalFormatting>
  <conditionalFormatting sqref="T16 T12:T13">
    <cfRule type="expression" dxfId="1022" priority="1008">
      <formula>MOD(ROW(),2)=0</formula>
    </cfRule>
  </conditionalFormatting>
  <conditionalFormatting sqref="T14 T17:T19 T21">
    <cfRule type="expression" dxfId="1021" priority="1007">
      <formula>MOD(ROW(),2)=0</formula>
    </cfRule>
  </conditionalFormatting>
  <conditionalFormatting sqref="T11">
    <cfRule type="expression" dxfId="1020" priority="1006">
      <formula>MOD(ROW(),2)=0</formula>
    </cfRule>
  </conditionalFormatting>
  <conditionalFormatting sqref="T22">
    <cfRule type="expression" dxfId="1019" priority="1005">
      <formula>MOD(ROW(),2)=0</formula>
    </cfRule>
  </conditionalFormatting>
  <conditionalFormatting sqref="T10">
    <cfRule type="expression" dxfId="1018" priority="1004">
      <formula>MOD(ROW(),2)=0</formula>
    </cfRule>
  </conditionalFormatting>
  <conditionalFormatting sqref="T9">
    <cfRule type="expression" dxfId="1017" priority="1003">
      <formula>MOD(ROW(),2)=0</formula>
    </cfRule>
  </conditionalFormatting>
  <conditionalFormatting sqref="T8">
    <cfRule type="expression" dxfId="1016" priority="1002">
      <formula>MOD(ROW(),2)=0</formula>
    </cfRule>
  </conditionalFormatting>
  <conditionalFormatting sqref="T16 T12:T13">
    <cfRule type="expression" dxfId="1015" priority="1001">
      <formula>MOD(ROW(),2)=0</formula>
    </cfRule>
  </conditionalFormatting>
  <conditionalFormatting sqref="T14 T17:T19 T21">
    <cfRule type="expression" dxfId="1014" priority="1000">
      <formula>MOD(ROW(),2)=0</formula>
    </cfRule>
  </conditionalFormatting>
  <conditionalFormatting sqref="T11">
    <cfRule type="expression" dxfId="1013" priority="999">
      <formula>MOD(ROW(),2)=0</formula>
    </cfRule>
  </conditionalFormatting>
  <conditionalFormatting sqref="T10">
    <cfRule type="expression" dxfId="1012" priority="998">
      <formula>MOD(ROW(),2)=0</formula>
    </cfRule>
  </conditionalFormatting>
  <conditionalFormatting sqref="T22">
    <cfRule type="expression" dxfId="1011" priority="997">
      <formula>MOD(ROW(),2)=0</formula>
    </cfRule>
  </conditionalFormatting>
  <conditionalFormatting sqref="T9">
    <cfRule type="expression" dxfId="1010" priority="996">
      <formula>MOD(ROW(),2)=0</formula>
    </cfRule>
  </conditionalFormatting>
  <conditionalFormatting sqref="T8">
    <cfRule type="expression" dxfId="1009" priority="995">
      <formula>MOD(ROW(),2)=0</formula>
    </cfRule>
  </conditionalFormatting>
  <conditionalFormatting sqref="T16 T12:T13">
    <cfRule type="expression" dxfId="1008" priority="994">
      <formula>MOD(ROW(),2)=0</formula>
    </cfRule>
  </conditionalFormatting>
  <conditionalFormatting sqref="T14 T17:T19 T21">
    <cfRule type="expression" dxfId="1007" priority="993">
      <formula>MOD(ROW(),2)=0</formula>
    </cfRule>
  </conditionalFormatting>
  <conditionalFormatting sqref="T11">
    <cfRule type="expression" dxfId="1006" priority="992">
      <formula>MOD(ROW(),2)=0</formula>
    </cfRule>
  </conditionalFormatting>
  <conditionalFormatting sqref="T22">
    <cfRule type="expression" dxfId="1005" priority="991">
      <formula>MOD(ROW(),2)=0</formula>
    </cfRule>
  </conditionalFormatting>
  <conditionalFormatting sqref="T10">
    <cfRule type="expression" dxfId="1004" priority="990">
      <formula>MOD(ROW(),2)=0</formula>
    </cfRule>
  </conditionalFormatting>
  <conditionalFormatting sqref="T9">
    <cfRule type="expression" dxfId="1003" priority="989">
      <formula>MOD(ROW(),2)=0</formula>
    </cfRule>
  </conditionalFormatting>
  <conditionalFormatting sqref="T8">
    <cfRule type="expression" dxfId="1002" priority="988">
      <formula>MOD(ROW(),2)=0</formula>
    </cfRule>
  </conditionalFormatting>
  <conditionalFormatting sqref="T16 T12:T13">
    <cfRule type="expression" dxfId="1001" priority="987">
      <formula>MOD(ROW(),2)=0</formula>
    </cfRule>
  </conditionalFormatting>
  <conditionalFormatting sqref="T14 T17:T19 T21">
    <cfRule type="expression" dxfId="1000" priority="986">
      <formula>MOD(ROW(),2)=0</formula>
    </cfRule>
  </conditionalFormatting>
  <conditionalFormatting sqref="T11">
    <cfRule type="expression" dxfId="999" priority="985">
      <formula>MOD(ROW(),2)=0</formula>
    </cfRule>
  </conditionalFormatting>
  <conditionalFormatting sqref="T22">
    <cfRule type="expression" dxfId="998" priority="984">
      <formula>MOD(ROW(),2)=0</formula>
    </cfRule>
  </conditionalFormatting>
  <conditionalFormatting sqref="T10">
    <cfRule type="expression" dxfId="997" priority="983">
      <formula>MOD(ROW(),2)=0</formula>
    </cfRule>
  </conditionalFormatting>
  <conditionalFormatting sqref="T9">
    <cfRule type="expression" dxfId="996" priority="982">
      <formula>MOD(ROW(),2)=0</formula>
    </cfRule>
  </conditionalFormatting>
  <conditionalFormatting sqref="T8">
    <cfRule type="expression" dxfId="995" priority="981">
      <formula>MOD(ROW(),2)=0</formula>
    </cfRule>
  </conditionalFormatting>
  <conditionalFormatting sqref="T16 T12:T13">
    <cfRule type="expression" dxfId="994" priority="980">
      <formula>MOD(ROW(),2)=0</formula>
    </cfRule>
  </conditionalFormatting>
  <conditionalFormatting sqref="T14 T17:T19 T21">
    <cfRule type="expression" dxfId="993" priority="979">
      <formula>MOD(ROW(),2)=0</formula>
    </cfRule>
  </conditionalFormatting>
  <conditionalFormatting sqref="T11">
    <cfRule type="expression" dxfId="992" priority="978">
      <formula>MOD(ROW(),2)=0</formula>
    </cfRule>
  </conditionalFormatting>
  <conditionalFormatting sqref="T22">
    <cfRule type="expression" dxfId="991" priority="977">
      <formula>MOD(ROW(),2)=0</formula>
    </cfRule>
  </conditionalFormatting>
  <conditionalFormatting sqref="T10">
    <cfRule type="expression" dxfId="990" priority="976">
      <formula>MOD(ROW(),2)=0</formula>
    </cfRule>
  </conditionalFormatting>
  <conditionalFormatting sqref="T9">
    <cfRule type="expression" dxfId="989" priority="975">
      <formula>MOD(ROW(),2)=0</formula>
    </cfRule>
  </conditionalFormatting>
  <conditionalFormatting sqref="T8">
    <cfRule type="expression" dxfId="988" priority="974">
      <formula>MOD(ROW(),2)=0</formula>
    </cfRule>
  </conditionalFormatting>
  <conditionalFormatting sqref="T16 T12:T13">
    <cfRule type="expression" dxfId="987" priority="973">
      <formula>MOD(ROW(),2)=0</formula>
    </cfRule>
  </conditionalFormatting>
  <conditionalFormatting sqref="T14 T17:T19 T21">
    <cfRule type="expression" dxfId="986" priority="972">
      <formula>MOD(ROW(),2)=0</formula>
    </cfRule>
  </conditionalFormatting>
  <conditionalFormatting sqref="T11">
    <cfRule type="expression" dxfId="985" priority="971">
      <formula>MOD(ROW(),2)=0</formula>
    </cfRule>
  </conditionalFormatting>
  <conditionalFormatting sqref="T22">
    <cfRule type="expression" dxfId="984" priority="970">
      <formula>MOD(ROW(),2)=0</formula>
    </cfRule>
  </conditionalFormatting>
  <conditionalFormatting sqref="T10">
    <cfRule type="expression" dxfId="983" priority="969">
      <formula>MOD(ROW(),2)=0</formula>
    </cfRule>
  </conditionalFormatting>
  <conditionalFormatting sqref="T9">
    <cfRule type="expression" dxfId="982" priority="968">
      <formula>MOD(ROW(),2)=0</formula>
    </cfRule>
  </conditionalFormatting>
  <conditionalFormatting sqref="T8">
    <cfRule type="expression" dxfId="981" priority="967">
      <formula>MOD(ROW(),2)=0</formula>
    </cfRule>
  </conditionalFormatting>
  <conditionalFormatting sqref="T16 T12:T13">
    <cfRule type="expression" dxfId="980" priority="966">
      <formula>MOD(ROW(),2)=0</formula>
    </cfRule>
  </conditionalFormatting>
  <conditionalFormatting sqref="T14 T17:T19 T21">
    <cfRule type="expression" dxfId="979" priority="965">
      <formula>MOD(ROW(),2)=0</formula>
    </cfRule>
  </conditionalFormatting>
  <conditionalFormatting sqref="T11">
    <cfRule type="expression" dxfId="978" priority="964">
      <formula>MOD(ROW(),2)=0</formula>
    </cfRule>
  </conditionalFormatting>
  <conditionalFormatting sqref="T22">
    <cfRule type="expression" dxfId="977" priority="963">
      <formula>MOD(ROW(),2)=0</formula>
    </cfRule>
  </conditionalFormatting>
  <conditionalFormatting sqref="T10">
    <cfRule type="expression" dxfId="976" priority="962">
      <formula>MOD(ROW(),2)=0</formula>
    </cfRule>
  </conditionalFormatting>
  <conditionalFormatting sqref="T9">
    <cfRule type="expression" dxfId="975" priority="961">
      <formula>MOD(ROW(),2)=0</formula>
    </cfRule>
  </conditionalFormatting>
  <conditionalFormatting sqref="T8">
    <cfRule type="expression" dxfId="974" priority="960">
      <formula>MOD(ROW(),2)=0</formula>
    </cfRule>
  </conditionalFormatting>
  <conditionalFormatting sqref="T16 T12:T13">
    <cfRule type="expression" dxfId="973" priority="959">
      <formula>MOD(ROW(),2)=0</formula>
    </cfRule>
  </conditionalFormatting>
  <conditionalFormatting sqref="T14 T17:T19 T21">
    <cfRule type="expression" dxfId="972" priority="958">
      <formula>MOD(ROW(),2)=0</formula>
    </cfRule>
  </conditionalFormatting>
  <conditionalFormatting sqref="T11">
    <cfRule type="expression" dxfId="971" priority="957">
      <formula>MOD(ROW(),2)=0</formula>
    </cfRule>
  </conditionalFormatting>
  <conditionalFormatting sqref="T22">
    <cfRule type="expression" dxfId="970" priority="956">
      <formula>MOD(ROW(),2)=0</formula>
    </cfRule>
  </conditionalFormatting>
  <conditionalFormatting sqref="T10">
    <cfRule type="expression" dxfId="969" priority="955">
      <formula>MOD(ROW(),2)=0</formula>
    </cfRule>
  </conditionalFormatting>
  <conditionalFormatting sqref="T9">
    <cfRule type="expression" dxfId="968" priority="954">
      <formula>MOD(ROW(),2)=0</formula>
    </cfRule>
  </conditionalFormatting>
  <conditionalFormatting sqref="T8">
    <cfRule type="expression" dxfId="967" priority="953">
      <formula>MOD(ROW(),2)=0</formula>
    </cfRule>
  </conditionalFormatting>
  <conditionalFormatting sqref="T16 T12:T13">
    <cfRule type="expression" dxfId="966" priority="952">
      <formula>MOD(ROW(),2)=0</formula>
    </cfRule>
  </conditionalFormatting>
  <conditionalFormatting sqref="T14 T17:T19 T21">
    <cfRule type="expression" dxfId="965" priority="951">
      <formula>MOD(ROW(),2)=0</formula>
    </cfRule>
  </conditionalFormatting>
  <conditionalFormatting sqref="T11">
    <cfRule type="expression" dxfId="964" priority="950">
      <formula>MOD(ROW(),2)=0</formula>
    </cfRule>
  </conditionalFormatting>
  <conditionalFormatting sqref="T22">
    <cfRule type="expression" dxfId="963" priority="949">
      <formula>MOD(ROW(),2)=0</formula>
    </cfRule>
  </conditionalFormatting>
  <conditionalFormatting sqref="T10">
    <cfRule type="expression" dxfId="962" priority="948">
      <formula>MOD(ROW(),2)=0</formula>
    </cfRule>
  </conditionalFormatting>
  <conditionalFormatting sqref="T9">
    <cfRule type="expression" dxfId="961" priority="947">
      <formula>MOD(ROW(),2)=0</formula>
    </cfRule>
  </conditionalFormatting>
  <conditionalFormatting sqref="T8">
    <cfRule type="expression" dxfId="960" priority="946">
      <formula>MOD(ROW(),2)=0</formula>
    </cfRule>
  </conditionalFormatting>
  <conditionalFormatting sqref="T16 T12:T13">
    <cfRule type="expression" dxfId="959" priority="945">
      <formula>MOD(ROW(),2)=0</formula>
    </cfRule>
  </conditionalFormatting>
  <conditionalFormatting sqref="T14 T17:T19 T21">
    <cfRule type="expression" dxfId="958" priority="944">
      <formula>MOD(ROW(),2)=0</formula>
    </cfRule>
  </conditionalFormatting>
  <conditionalFormatting sqref="T11">
    <cfRule type="expression" dxfId="957" priority="943">
      <formula>MOD(ROW(),2)=0</formula>
    </cfRule>
  </conditionalFormatting>
  <conditionalFormatting sqref="T10">
    <cfRule type="expression" dxfId="956" priority="942">
      <formula>MOD(ROW(),2)=0</formula>
    </cfRule>
  </conditionalFormatting>
  <conditionalFormatting sqref="T22">
    <cfRule type="expression" dxfId="955" priority="941">
      <formula>MOD(ROW(),2)=0</formula>
    </cfRule>
  </conditionalFormatting>
  <conditionalFormatting sqref="T9">
    <cfRule type="expression" dxfId="954" priority="940">
      <formula>MOD(ROW(),2)=0</formula>
    </cfRule>
  </conditionalFormatting>
  <conditionalFormatting sqref="T8">
    <cfRule type="expression" dxfId="953" priority="939">
      <formula>MOD(ROW(),2)=0</formula>
    </cfRule>
  </conditionalFormatting>
  <conditionalFormatting sqref="T16 T12:T13">
    <cfRule type="expression" dxfId="952" priority="938">
      <formula>MOD(ROW(),2)=0</formula>
    </cfRule>
  </conditionalFormatting>
  <conditionalFormatting sqref="T14 T17:T19 T21">
    <cfRule type="expression" dxfId="951" priority="937">
      <formula>MOD(ROW(),2)=0</formula>
    </cfRule>
  </conditionalFormatting>
  <conditionalFormatting sqref="T11">
    <cfRule type="expression" dxfId="950" priority="936">
      <formula>MOD(ROW(),2)=0</formula>
    </cfRule>
  </conditionalFormatting>
  <conditionalFormatting sqref="T22">
    <cfRule type="expression" dxfId="949" priority="935">
      <formula>MOD(ROW(),2)=0</formula>
    </cfRule>
  </conditionalFormatting>
  <conditionalFormatting sqref="T10">
    <cfRule type="expression" dxfId="948" priority="934">
      <formula>MOD(ROW(),2)=0</formula>
    </cfRule>
  </conditionalFormatting>
  <conditionalFormatting sqref="T15">
    <cfRule type="expression" dxfId="947" priority="933">
      <formula>MOD(ROW(),2)=0</formula>
    </cfRule>
  </conditionalFormatting>
  <conditionalFormatting sqref="T15">
    <cfRule type="expression" dxfId="946" priority="932">
      <formula>MOD(ROW(),2)=0</formula>
    </cfRule>
  </conditionalFormatting>
  <conditionalFormatting sqref="T15">
    <cfRule type="expression" dxfId="945" priority="931">
      <formula>MOD(ROW(),2)=0</formula>
    </cfRule>
  </conditionalFormatting>
  <conditionalFormatting sqref="T15">
    <cfRule type="expression" dxfId="944" priority="930">
      <formula>MOD(ROW(),2)=0</formula>
    </cfRule>
  </conditionalFormatting>
  <conditionalFormatting sqref="T15">
    <cfRule type="expression" dxfId="943" priority="929">
      <formula>MOD(ROW(),2)=0</formula>
    </cfRule>
  </conditionalFormatting>
  <conditionalFormatting sqref="T15">
    <cfRule type="expression" dxfId="942" priority="928">
      <formula>MOD(ROW(),2)=0</formula>
    </cfRule>
  </conditionalFormatting>
  <conditionalFormatting sqref="T15">
    <cfRule type="expression" dxfId="941" priority="927">
      <formula>MOD(ROW(),2)=0</formula>
    </cfRule>
  </conditionalFormatting>
  <conditionalFormatting sqref="T15">
    <cfRule type="expression" dxfId="940" priority="926">
      <formula>MOD(ROW(),2)=0</formula>
    </cfRule>
  </conditionalFormatting>
  <conditionalFormatting sqref="T15">
    <cfRule type="expression" dxfId="939" priority="925">
      <formula>MOD(ROW(),2)=0</formula>
    </cfRule>
  </conditionalFormatting>
  <conditionalFormatting sqref="T15">
    <cfRule type="expression" dxfId="938" priority="924">
      <formula>MOD(ROW(),2)=0</formula>
    </cfRule>
  </conditionalFormatting>
  <conditionalFormatting sqref="T15">
    <cfRule type="expression" dxfId="937" priority="923">
      <formula>MOD(ROW(),2)=0</formula>
    </cfRule>
  </conditionalFormatting>
  <conditionalFormatting sqref="T15">
    <cfRule type="expression" dxfId="936" priority="922">
      <formula>MOD(ROW(),2)=0</formula>
    </cfRule>
  </conditionalFormatting>
  <conditionalFormatting sqref="T15">
    <cfRule type="expression" dxfId="935" priority="921">
      <formula>MOD(ROW(),2)=0</formula>
    </cfRule>
  </conditionalFormatting>
  <conditionalFormatting sqref="T15">
    <cfRule type="expression" dxfId="934" priority="920">
      <formula>MOD(ROW(),2)=0</formula>
    </cfRule>
  </conditionalFormatting>
  <conditionalFormatting sqref="T15">
    <cfRule type="expression" dxfId="933" priority="919">
      <formula>MOD(ROW(),2)=0</formula>
    </cfRule>
  </conditionalFormatting>
  <conditionalFormatting sqref="T15">
    <cfRule type="expression" dxfId="932" priority="918">
      <formula>MOD(ROW(),2)=0</formula>
    </cfRule>
  </conditionalFormatting>
  <conditionalFormatting sqref="T20">
    <cfRule type="expression" dxfId="931" priority="917">
      <formula>MOD(ROW(),2)=0</formula>
    </cfRule>
  </conditionalFormatting>
  <conditionalFormatting sqref="T20">
    <cfRule type="expression" dxfId="930" priority="916">
      <formula>MOD(ROW(),2)=0</formula>
    </cfRule>
  </conditionalFormatting>
  <conditionalFormatting sqref="T20">
    <cfRule type="expression" dxfId="929" priority="915">
      <formula>MOD(ROW(),2)=0</formula>
    </cfRule>
  </conditionalFormatting>
  <conditionalFormatting sqref="T20">
    <cfRule type="expression" dxfId="928" priority="914">
      <formula>MOD(ROW(),2)=0</formula>
    </cfRule>
  </conditionalFormatting>
  <conditionalFormatting sqref="T20">
    <cfRule type="expression" dxfId="927" priority="913">
      <formula>MOD(ROW(),2)=0</formula>
    </cfRule>
  </conditionalFormatting>
  <conditionalFormatting sqref="T20">
    <cfRule type="expression" dxfId="926" priority="912">
      <formula>MOD(ROW(),2)=0</formula>
    </cfRule>
  </conditionalFormatting>
  <conditionalFormatting sqref="T20">
    <cfRule type="expression" dxfId="925" priority="911">
      <formula>MOD(ROW(),2)=0</formula>
    </cfRule>
  </conditionalFormatting>
  <conditionalFormatting sqref="T20">
    <cfRule type="expression" dxfId="924" priority="910">
      <formula>MOD(ROW(),2)=0</formula>
    </cfRule>
  </conditionalFormatting>
  <conditionalFormatting sqref="T20">
    <cfRule type="expression" dxfId="923" priority="909">
      <formula>MOD(ROW(),2)=0</formula>
    </cfRule>
  </conditionalFormatting>
  <conditionalFormatting sqref="T20">
    <cfRule type="expression" dxfId="922" priority="908">
      <formula>MOD(ROW(),2)=0</formula>
    </cfRule>
  </conditionalFormatting>
  <conditionalFormatting sqref="T20">
    <cfRule type="expression" dxfId="921" priority="907">
      <formula>MOD(ROW(),2)=0</formula>
    </cfRule>
  </conditionalFormatting>
  <conditionalFormatting sqref="T20">
    <cfRule type="expression" dxfId="920" priority="906">
      <formula>MOD(ROW(),2)=0</formula>
    </cfRule>
  </conditionalFormatting>
  <conditionalFormatting sqref="T20">
    <cfRule type="expression" dxfId="919" priority="905">
      <formula>MOD(ROW(),2)=0</formula>
    </cfRule>
  </conditionalFormatting>
  <conditionalFormatting sqref="T20">
    <cfRule type="expression" dxfId="918" priority="904">
      <formula>MOD(ROW(),2)=0</formula>
    </cfRule>
  </conditionalFormatting>
  <conditionalFormatting sqref="T20">
    <cfRule type="expression" dxfId="917" priority="903">
      <formula>MOD(ROW(),2)=0</formula>
    </cfRule>
  </conditionalFormatting>
  <conditionalFormatting sqref="T20">
    <cfRule type="expression" dxfId="916" priority="902">
      <formula>MOD(ROW(),2)=0</formula>
    </cfRule>
  </conditionalFormatting>
  <conditionalFormatting sqref="U9">
    <cfRule type="expression" dxfId="915" priority="901">
      <formula>MOD(ROW(),2)=0</formula>
    </cfRule>
  </conditionalFormatting>
  <conditionalFormatting sqref="U8">
    <cfRule type="expression" dxfId="914" priority="900">
      <formula>MOD(ROW(),2)=0</formula>
    </cfRule>
  </conditionalFormatting>
  <conditionalFormatting sqref="U16 U12:U13">
    <cfRule type="expression" dxfId="913" priority="899">
      <formula>MOD(ROW(),2)=0</formula>
    </cfRule>
  </conditionalFormatting>
  <conditionalFormatting sqref="U14 U17:U19 U21">
    <cfRule type="expression" dxfId="912" priority="898">
      <formula>MOD(ROW(),2)=0</formula>
    </cfRule>
  </conditionalFormatting>
  <conditionalFormatting sqref="U11">
    <cfRule type="expression" dxfId="911" priority="897">
      <formula>MOD(ROW(),2)=0</formula>
    </cfRule>
  </conditionalFormatting>
  <conditionalFormatting sqref="U22">
    <cfRule type="expression" dxfId="910" priority="896">
      <formula>MOD(ROW(),2)=0</formula>
    </cfRule>
  </conditionalFormatting>
  <conditionalFormatting sqref="U10">
    <cfRule type="expression" dxfId="909" priority="895">
      <formula>MOD(ROW(),2)=0</formula>
    </cfRule>
  </conditionalFormatting>
  <conditionalFormatting sqref="U9">
    <cfRule type="expression" dxfId="908" priority="894">
      <formula>MOD(ROW(),2)=0</formula>
    </cfRule>
  </conditionalFormatting>
  <conditionalFormatting sqref="U8">
    <cfRule type="expression" dxfId="907" priority="893">
      <formula>MOD(ROW(),2)=0</formula>
    </cfRule>
  </conditionalFormatting>
  <conditionalFormatting sqref="U16 U12:U13">
    <cfRule type="expression" dxfId="906" priority="892">
      <formula>MOD(ROW(),2)=0</formula>
    </cfRule>
  </conditionalFormatting>
  <conditionalFormatting sqref="U14 U17:U19 U21">
    <cfRule type="expression" dxfId="905" priority="891">
      <formula>MOD(ROW(),2)=0</formula>
    </cfRule>
  </conditionalFormatting>
  <conditionalFormatting sqref="U11">
    <cfRule type="expression" dxfId="904" priority="890">
      <formula>MOD(ROW(),2)=0</formula>
    </cfRule>
  </conditionalFormatting>
  <conditionalFormatting sqref="U22">
    <cfRule type="expression" dxfId="903" priority="889">
      <formula>MOD(ROW(),2)=0</formula>
    </cfRule>
  </conditionalFormatting>
  <conditionalFormatting sqref="U10">
    <cfRule type="expression" dxfId="902" priority="888">
      <formula>MOD(ROW(),2)=0</formula>
    </cfRule>
  </conditionalFormatting>
  <conditionalFormatting sqref="U9">
    <cfRule type="expression" dxfId="901" priority="887">
      <formula>MOD(ROW(),2)=0</formula>
    </cfRule>
  </conditionalFormatting>
  <conditionalFormatting sqref="U8">
    <cfRule type="expression" dxfId="900" priority="886">
      <formula>MOD(ROW(),2)=0</formula>
    </cfRule>
  </conditionalFormatting>
  <conditionalFormatting sqref="U16 U12:U13">
    <cfRule type="expression" dxfId="899" priority="885">
      <formula>MOD(ROW(),2)=0</formula>
    </cfRule>
  </conditionalFormatting>
  <conditionalFormatting sqref="U14 U17:U19 U21">
    <cfRule type="expression" dxfId="898" priority="884">
      <formula>MOD(ROW(),2)=0</formula>
    </cfRule>
  </conditionalFormatting>
  <conditionalFormatting sqref="U11">
    <cfRule type="expression" dxfId="897" priority="883">
      <formula>MOD(ROW(),2)=0</formula>
    </cfRule>
  </conditionalFormatting>
  <conditionalFormatting sqref="U22">
    <cfRule type="expression" dxfId="896" priority="882">
      <formula>MOD(ROW(),2)=0</formula>
    </cfRule>
  </conditionalFormatting>
  <conditionalFormatting sqref="U10">
    <cfRule type="expression" dxfId="895" priority="881">
      <formula>MOD(ROW(),2)=0</formula>
    </cfRule>
  </conditionalFormatting>
  <conditionalFormatting sqref="U9">
    <cfRule type="expression" dxfId="894" priority="880">
      <formula>MOD(ROW(),2)=0</formula>
    </cfRule>
  </conditionalFormatting>
  <conditionalFormatting sqref="U8">
    <cfRule type="expression" dxfId="893" priority="879">
      <formula>MOD(ROW(),2)=0</formula>
    </cfRule>
  </conditionalFormatting>
  <conditionalFormatting sqref="U16 U12:U13">
    <cfRule type="expression" dxfId="892" priority="878">
      <formula>MOD(ROW(),2)=0</formula>
    </cfRule>
  </conditionalFormatting>
  <conditionalFormatting sqref="U14 U17:U19 U21">
    <cfRule type="expression" dxfId="891" priority="877">
      <formula>MOD(ROW(),2)=0</formula>
    </cfRule>
  </conditionalFormatting>
  <conditionalFormatting sqref="U11">
    <cfRule type="expression" dxfId="890" priority="876">
      <formula>MOD(ROW(),2)=0</formula>
    </cfRule>
  </conditionalFormatting>
  <conditionalFormatting sqref="U22">
    <cfRule type="expression" dxfId="889" priority="875">
      <formula>MOD(ROW(),2)=0</formula>
    </cfRule>
  </conditionalFormatting>
  <conditionalFormatting sqref="U10">
    <cfRule type="expression" dxfId="888" priority="874">
      <formula>MOD(ROW(),2)=0</formula>
    </cfRule>
  </conditionalFormatting>
  <conditionalFormatting sqref="U9">
    <cfRule type="expression" dxfId="887" priority="873">
      <formula>MOD(ROW(),2)=0</formula>
    </cfRule>
  </conditionalFormatting>
  <conditionalFormatting sqref="U8">
    <cfRule type="expression" dxfId="886" priority="872">
      <formula>MOD(ROW(),2)=0</formula>
    </cfRule>
  </conditionalFormatting>
  <conditionalFormatting sqref="U16 U12:U13">
    <cfRule type="expression" dxfId="885" priority="871">
      <formula>MOD(ROW(),2)=0</formula>
    </cfRule>
  </conditionalFormatting>
  <conditionalFormatting sqref="U14 U17:U19 U21">
    <cfRule type="expression" dxfId="884" priority="870">
      <formula>MOD(ROW(),2)=0</formula>
    </cfRule>
  </conditionalFormatting>
  <conditionalFormatting sqref="U11">
    <cfRule type="expression" dxfId="883" priority="869">
      <formula>MOD(ROW(),2)=0</formula>
    </cfRule>
  </conditionalFormatting>
  <conditionalFormatting sqref="U22">
    <cfRule type="expression" dxfId="882" priority="868">
      <formula>MOD(ROW(),2)=0</formula>
    </cfRule>
  </conditionalFormatting>
  <conditionalFormatting sqref="U10">
    <cfRule type="expression" dxfId="881" priority="867">
      <formula>MOD(ROW(),2)=0</formula>
    </cfRule>
  </conditionalFormatting>
  <conditionalFormatting sqref="U9">
    <cfRule type="expression" dxfId="880" priority="866">
      <formula>MOD(ROW(),2)=0</formula>
    </cfRule>
  </conditionalFormatting>
  <conditionalFormatting sqref="U8">
    <cfRule type="expression" dxfId="879" priority="865">
      <formula>MOD(ROW(),2)=0</formula>
    </cfRule>
  </conditionalFormatting>
  <conditionalFormatting sqref="U16 U12:U13">
    <cfRule type="expression" dxfId="878" priority="864">
      <formula>MOD(ROW(),2)=0</formula>
    </cfRule>
  </conditionalFormatting>
  <conditionalFormatting sqref="U14 U17:U19 U21">
    <cfRule type="expression" dxfId="877" priority="863">
      <formula>MOD(ROW(),2)=0</formula>
    </cfRule>
  </conditionalFormatting>
  <conditionalFormatting sqref="U11">
    <cfRule type="expression" dxfId="876" priority="862">
      <formula>MOD(ROW(),2)=0</formula>
    </cfRule>
  </conditionalFormatting>
  <conditionalFormatting sqref="U22">
    <cfRule type="expression" dxfId="875" priority="861">
      <formula>MOD(ROW(),2)=0</formula>
    </cfRule>
  </conditionalFormatting>
  <conditionalFormatting sqref="U10">
    <cfRule type="expression" dxfId="874" priority="860">
      <formula>MOD(ROW(),2)=0</formula>
    </cfRule>
  </conditionalFormatting>
  <conditionalFormatting sqref="U9">
    <cfRule type="expression" dxfId="873" priority="859">
      <formula>MOD(ROW(),2)=0</formula>
    </cfRule>
  </conditionalFormatting>
  <conditionalFormatting sqref="U8">
    <cfRule type="expression" dxfId="872" priority="858">
      <formula>MOD(ROW(),2)=0</formula>
    </cfRule>
  </conditionalFormatting>
  <conditionalFormatting sqref="U16 U12:U13">
    <cfRule type="expression" dxfId="871" priority="857">
      <formula>MOD(ROW(),2)=0</formula>
    </cfRule>
  </conditionalFormatting>
  <conditionalFormatting sqref="U14 U17:U19 U21">
    <cfRule type="expression" dxfId="870" priority="856">
      <formula>MOD(ROW(),2)=0</formula>
    </cfRule>
  </conditionalFormatting>
  <conditionalFormatting sqref="U11">
    <cfRule type="expression" dxfId="869" priority="855">
      <formula>MOD(ROW(),2)=0</formula>
    </cfRule>
  </conditionalFormatting>
  <conditionalFormatting sqref="U10">
    <cfRule type="expression" dxfId="868" priority="854">
      <formula>MOD(ROW(),2)=0</formula>
    </cfRule>
  </conditionalFormatting>
  <conditionalFormatting sqref="U22">
    <cfRule type="expression" dxfId="867" priority="853">
      <formula>MOD(ROW(),2)=0</formula>
    </cfRule>
  </conditionalFormatting>
  <conditionalFormatting sqref="U9">
    <cfRule type="expression" dxfId="866" priority="852">
      <formula>MOD(ROW(),2)=0</formula>
    </cfRule>
  </conditionalFormatting>
  <conditionalFormatting sqref="U8">
    <cfRule type="expression" dxfId="865" priority="851">
      <formula>MOD(ROW(),2)=0</formula>
    </cfRule>
  </conditionalFormatting>
  <conditionalFormatting sqref="U16 U12:U13">
    <cfRule type="expression" dxfId="864" priority="850">
      <formula>MOD(ROW(),2)=0</formula>
    </cfRule>
  </conditionalFormatting>
  <conditionalFormatting sqref="U14 U17:U19 U21">
    <cfRule type="expression" dxfId="863" priority="849">
      <formula>MOD(ROW(),2)=0</formula>
    </cfRule>
  </conditionalFormatting>
  <conditionalFormatting sqref="U11">
    <cfRule type="expression" dxfId="862" priority="848">
      <formula>MOD(ROW(),2)=0</formula>
    </cfRule>
  </conditionalFormatting>
  <conditionalFormatting sqref="U22">
    <cfRule type="expression" dxfId="861" priority="847">
      <formula>MOD(ROW(),2)=0</formula>
    </cfRule>
  </conditionalFormatting>
  <conditionalFormatting sqref="U10">
    <cfRule type="expression" dxfId="860" priority="846">
      <formula>MOD(ROW(),2)=0</formula>
    </cfRule>
  </conditionalFormatting>
  <conditionalFormatting sqref="U9">
    <cfRule type="expression" dxfId="859" priority="845">
      <formula>MOD(ROW(),2)=0</formula>
    </cfRule>
  </conditionalFormatting>
  <conditionalFormatting sqref="U8">
    <cfRule type="expression" dxfId="858" priority="844">
      <formula>MOD(ROW(),2)=0</formula>
    </cfRule>
  </conditionalFormatting>
  <conditionalFormatting sqref="U16 U12:U13">
    <cfRule type="expression" dxfId="857" priority="843">
      <formula>MOD(ROW(),2)=0</formula>
    </cfRule>
  </conditionalFormatting>
  <conditionalFormatting sqref="U14 U17:U19 U21">
    <cfRule type="expression" dxfId="856" priority="842">
      <formula>MOD(ROW(),2)=0</formula>
    </cfRule>
  </conditionalFormatting>
  <conditionalFormatting sqref="U11">
    <cfRule type="expression" dxfId="855" priority="841">
      <formula>MOD(ROW(),2)=0</formula>
    </cfRule>
  </conditionalFormatting>
  <conditionalFormatting sqref="U22">
    <cfRule type="expression" dxfId="854" priority="840">
      <formula>MOD(ROW(),2)=0</formula>
    </cfRule>
  </conditionalFormatting>
  <conditionalFormatting sqref="U10">
    <cfRule type="expression" dxfId="853" priority="839">
      <formula>MOD(ROW(),2)=0</formula>
    </cfRule>
  </conditionalFormatting>
  <conditionalFormatting sqref="U9">
    <cfRule type="expression" dxfId="852" priority="838">
      <formula>MOD(ROW(),2)=0</formula>
    </cfRule>
  </conditionalFormatting>
  <conditionalFormatting sqref="U8">
    <cfRule type="expression" dxfId="851" priority="837">
      <formula>MOD(ROW(),2)=0</formula>
    </cfRule>
  </conditionalFormatting>
  <conditionalFormatting sqref="U16 U12:U13">
    <cfRule type="expression" dxfId="850" priority="836">
      <formula>MOD(ROW(),2)=0</formula>
    </cfRule>
  </conditionalFormatting>
  <conditionalFormatting sqref="U14 U17:U19 U21">
    <cfRule type="expression" dxfId="849" priority="835">
      <formula>MOD(ROW(),2)=0</formula>
    </cfRule>
  </conditionalFormatting>
  <conditionalFormatting sqref="U11">
    <cfRule type="expression" dxfId="848" priority="834">
      <formula>MOD(ROW(),2)=0</formula>
    </cfRule>
  </conditionalFormatting>
  <conditionalFormatting sqref="U22">
    <cfRule type="expression" dxfId="847" priority="833">
      <formula>MOD(ROW(),2)=0</formula>
    </cfRule>
  </conditionalFormatting>
  <conditionalFormatting sqref="U10">
    <cfRule type="expression" dxfId="846" priority="832">
      <formula>MOD(ROW(),2)=0</formula>
    </cfRule>
  </conditionalFormatting>
  <conditionalFormatting sqref="U9">
    <cfRule type="expression" dxfId="845" priority="831">
      <formula>MOD(ROW(),2)=0</formula>
    </cfRule>
  </conditionalFormatting>
  <conditionalFormatting sqref="U8">
    <cfRule type="expression" dxfId="844" priority="830">
      <formula>MOD(ROW(),2)=0</formula>
    </cfRule>
  </conditionalFormatting>
  <conditionalFormatting sqref="U16 U12:U13">
    <cfRule type="expression" dxfId="843" priority="829">
      <formula>MOD(ROW(),2)=0</formula>
    </cfRule>
  </conditionalFormatting>
  <conditionalFormatting sqref="U14 U17:U19 U21">
    <cfRule type="expression" dxfId="842" priority="828">
      <formula>MOD(ROW(),2)=0</formula>
    </cfRule>
  </conditionalFormatting>
  <conditionalFormatting sqref="U11">
    <cfRule type="expression" dxfId="841" priority="827">
      <formula>MOD(ROW(),2)=0</formula>
    </cfRule>
  </conditionalFormatting>
  <conditionalFormatting sqref="U22">
    <cfRule type="expression" dxfId="840" priority="826">
      <formula>MOD(ROW(),2)=0</formula>
    </cfRule>
  </conditionalFormatting>
  <conditionalFormatting sqref="U10">
    <cfRule type="expression" dxfId="839" priority="825">
      <formula>MOD(ROW(),2)=0</formula>
    </cfRule>
  </conditionalFormatting>
  <conditionalFormatting sqref="U9">
    <cfRule type="expression" dxfId="838" priority="824">
      <formula>MOD(ROW(),2)=0</formula>
    </cfRule>
  </conditionalFormatting>
  <conditionalFormatting sqref="U8">
    <cfRule type="expression" dxfId="837" priority="823">
      <formula>MOD(ROW(),2)=0</formula>
    </cfRule>
  </conditionalFormatting>
  <conditionalFormatting sqref="U16 U12:U13">
    <cfRule type="expression" dxfId="836" priority="822">
      <formula>MOD(ROW(),2)=0</formula>
    </cfRule>
  </conditionalFormatting>
  <conditionalFormatting sqref="U14 U17:U19 U21">
    <cfRule type="expression" dxfId="835" priority="821">
      <formula>MOD(ROW(),2)=0</formula>
    </cfRule>
  </conditionalFormatting>
  <conditionalFormatting sqref="U11">
    <cfRule type="expression" dxfId="834" priority="820">
      <formula>MOD(ROW(),2)=0</formula>
    </cfRule>
  </conditionalFormatting>
  <conditionalFormatting sqref="U22">
    <cfRule type="expression" dxfId="833" priority="819">
      <formula>MOD(ROW(),2)=0</formula>
    </cfRule>
  </conditionalFormatting>
  <conditionalFormatting sqref="U10">
    <cfRule type="expression" dxfId="832" priority="818">
      <formula>MOD(ROW(),2)=0</formula>
    </cfRule>
  </conditionalFormatting>
  <conditionalFormatting sqref="U9">
    <cfRule type="expression" dxfId="831" priority="817">
      <formula>MOD(ROW(),2)=0</formula>
    </cfRule>
  </conditionalFormatting>
  <conditionalFormatting sqref="U8">
    <cfRule type="expression" dxfId="830" priority="816">
      <formula>MOD(ROW(),2)=0</formula>
    </cfRule>
  </conditionalFormatting>
  <conditionalFormatting sqref="U16 U12:U13">
    <cfRule type="expression" dxfId="829" priority="815">
      <formula>MOD(ROW(),2)=0</formula>
    </cfRule>
  </conditionalFormatting>
  <conditionalFormatting sqref="U14 U17:U19 U21">
    <cfRule type="expression" dxfId="828" priority="814">
      <formula>MOD(ROW(),2)=0</formula>
    </cfRule>
  </conditionalFormatting>
  <conditionalFormatting sqref="U11">
    <cfRule type="expression" dxfId="827" priority="813">
      <formula>MOD(ROW(),2)=0</formula>
    </cfRule>
  </conditionalFormatting>
  <conditionalFormatting sqref="U22">
    <cfRule type="expression" dxfId="826" priority="812">
      <formula>MOD(ROW(),2)=0</formula>
    </cfRule>
  </conditionalFormatting>
  <conditionalFormatting sqref="U10">
    <cfRule type="expression" dxfId="825" priority="811">
      <formula>MOD(ROW(),2)=0</formula>
    </cfRule>
  </conditionalFormatting>
  <conditionalFormatting sqref="U9">
    <cfRule type="expression" dxfId="824" priority="810">
      <formula>MOD(ROW(),2)=0</formula>
    </cfRule>
  </conditionalFormatting>
  <conditionalFormatting sqref="U8">
    <cfRule type="expression" dxfId="823" priority="809">
      <formula>MOD(ROW(),2)=0</formula>
    </cfRule>
  </conditionalFormatting>
  <conditionalFormatting sqref="U16 U12:U13">
    <cfRule type="expression" dxfId="822" priority="808">
      <formula>MOD(ROW(),2)=0</formula>
    </cfRule>
  </conditionalFormatting>
  <conditionalFormatting sqref="U14 U17:U19 U21">
    <cfRule type="expression" dxfId="821" priority="807">
      <formula>MOD(ROW(),2)=0</formula>
    </cfRule>
  </conditionalFormatting>
  <conditionalFormatting sqref="U11">
    <cfRule type="expression" dxfId="820" priority="806">
      <formula>MOD(ROW(),2)=0</formula>
    </cfRule>
  </conditionalFormatting>
  <conditionalFormatting sqref="U22">
    <cfRule type="expression" dxfId="819" priority="805">
      <formula>MOD(ROW(),2)=0</formula>
    </cfRule>
  </conditionalFormatting>
  <conditionalFormatting sqref="U10">
    <cfRule type="expression" dxfId="818" priority="804">
      <formula>MOD(ROW(),2)=0</formula>
    </cfRule>
  </conditionalFormatting>
  <conditionalFormatting sqref="U9">
    <cfRule type="expression" dxfId="817" priority="803">
      <formula>MOD(ROW(),2)=0</formula>
    </cfRule>
  </conditionalFormatting>
  <conditionalFormatting sqref="U8">
    <cfRule type="expression" dxfId="816" priority="802">
      <formula>MOD(ROW(),2)=0</formula>
    </cfRule>
  </conditionalFormatting>
  <conditionalFormatting sqref="U16 U12:U13">
    <cfRule type="expression" dxfId="815" priority="801">
      <formula>MOD(ROW(),2)=0</formula>
    </cfRule>
  </conditionalFormatting>
  <conditionalFormatting sqref="U14 U17:U19 U21">
    <cfRule type="expression" dxfId="814" priority="800">
      <formula>MOD(ROW(),2)=0</formula>
    </cfRule>
  </conditionalFormatting>
  <conditionalFormatting sqref="U11">
    <cfRule type="expression" dxfId="813" priority="799">
      <formula>MOD(ROW(),2)=0</formula>
    </cfRule>
  </conditionalFormatting>
  <conditionalFormatting sqref="U10">
    <cfRule type="expression" dxfId="812" priority="798">
      <formula>MOD(ROW(),2)=0</formula>
    </cfRule>
  </conditionalFormatting>
  <conditionalFormatting sqref="U22">
    <cfRule type="expression" dxfId="811" priority="797">
      <formula>MOD(ROW(),2)=0</formula>
    </cfRule>
  </conditionalFormatting>
  <conditionalFormatting sqref="U9">
    <cfRule type="expression" dxfId="810" priority="796">
      <formula>MOD(ROW(),2)=0</formula>
    </cfRule>
  </conditionalFormatting>
  <conditionalFormatting sqref="U8">
    <cfRule type="expression" dxfId="809" priority="795">
      <formula>MOD(ROW(),2)=0</formula>
    </cfRule>
  </conditionalFormatting>
  <conditionalFormatting sqref="U16 U12:U13">
    <cfRule type="expression" dxfId="808" priority="794">
      <formula>MOD(ROW(),2)=0</formula>
    </cfRule>
  </conditionalFormatting>
  <conditionalFormatting sqref="U14 U17:U19 U21">
    <cfRule type="expression" dxfId="807" priority="793">
      <formula>MOD(ROW(),2)=0</formula>
    </cfRule>
  </conditionalFormatting>
  <conditionalFormatting sqref="U11">
    <cfRule type="expression" dxfId="806" priority="792">
      <formula>MOD(ROW(),2)=0</formula>
    </cfRule>
  </conditionalFormatting>
  <conditionalFormatting sqref="U22">
    <cfRule type="expression" dxfId="805" priority="791">
      <formula>MOD(ROW(),2)=0</formula>
    </cfRule>
  </conditionalFormatting>
  <conditionalFormatting sqref="U10">
    <cfRule type="expression" dxfId="804" priority="790">
      <formula>MOD(ROW(),2)=0</formula>
    </cfRule>
  </conditionalFormatting>
  <conditionalFormatting sqref="U15">
    <cfRule type="expression" dxfId="803" priority="789">
      <formula>MOD(ROW(),2)=0</formula>
    </cfRule>
  </conditionalFormatting>
  <conditionalFormatting sqref="U15">
    <cfRule type="expression" dxfId="802" priority="788">
      <formula>MOD(ROW(),2)=0</formula>
    </cfRule>
  </conditionalFormatting>
  <conditionalFormatting sqref="U15">
    <cfRule type="expression" dxfId="801" priority="787">
      <formula>MOD(ROW(),2)=0</formula>
    </cfRule>
  </conditionalFormatting>
  <conditionalFormatting sqref="U15">
    <cfRule type="expression" dxfId="800" priority="786">
      <formula>MOD(ROW(),2)=0</formula>
    </cfRule>
  </conditionalFormatting>
  <conditionalFormatting sqref="U15">
    <cfRule type="expression" dxfId="799" priority="785">
      <formula>MOD(ROW(),2)=0</formula>
    </cfRule>
  </conditionalFormatting>
  <conditionalFormatting sqref="U15">
    <cfRule type="expression" dxfId="798" priority="784">
      <formula>MOD(ROW(),2)=0</formula>
    </cfRule>
  </conditionalFormatting>
  <conditionalFormatting sqref="U15">
    <cfRule type="expression" dxfId="797" priority="783">
      <formula>MOD(ROW(),2)=0</formula>
    </cfRule>
  </conditionalFormatting>
  <conditionalFormatting sqref="U15">
    <cfRule type="expression" dxfId="796" priority="782">
      <formula>MOD(ROW(),2)=0</formula>
    </cfRule>
  </conditionalFormatting>
  <conditionalFormatting sqref="U15">
    <cfRule type="expression" dxfId="795" priority="781">
      <formula>MOD(ROW(),2)=0</formula>
    </cfRule>
  </conditionalFormatting>
  <conditionalFormatting sqref="U15">
    <cfRule type="expression" dxfId="794" priority="780">
      <formula>MOD(ROW(),2)=0</formula>
    </cfRule>
  </conditionalFormatting>
  <conditionalFormatting sqref="U15">
    <cfRule type="expression" dxfId="793" priority="779">
      <formula>MOD(ROW(),2)=0</formula>
    </cfRule>
  </conditionalFormatting>
  <conditionalFormatting sqref="U15">
    <cfRule type="expression" dxfId="792" priority="778">
      <formula>MOD(ROW(),2)=0</formula>
    </cfRule>
  </conditionalFormatting>
  <conditionalFormatting sqref="U15">
    <cfRule type="expression" dxfId="791" priority="777">
      <formula>MOD(ROW(),2)=0</formula>
    </cfRule>
  </conditionalFormatting>
  <conditionalFormatting sqref="U15">
    <cfRule type="expression" dxfId="790" priority="776">
      <formula>MOD(ROW(),2)=0</formula>
    </cfRule>
  </conditionalFormatting>
  <conditionalFormatting sqref="U15">
    <cfRule type="expression" dxfId="789" priority="775">
      <formula>MOD(ROW(),2)=0</formula>
    </cfRule>
  </conditionalFormatting>
  <conditionalFormatting sqref="U15">
    <cfRule type="expression" dxfId="788" priority="774">
      <formula>MOD(ROW(),2)=0</formula>
    </cfRule>
  </conditionalFormatting>
  <conditionalFormatting sqref="U20">
    <cfRule type="expression" dxfId="787" priority="773">
      <formula>MOD(ROW(),2)=0</formula>
    </cfRule>
  </conditionalFormatting>
  <conditionalFormatting sqref="U20">
    <cfRule type="expression" dxfId="786" priority="772">
      <formula>MOD(ROW(),2)=0</formula>
    </cfRule>
  </conditionalFormatting>
  <conditionalFormatting sqref="U20">
    <cfRule type="expression" dxfId="785" priority="771">
      <formula>MOD(ROW(),2)=0</formula>
    </cfRule>
  </conditionalFormatting>
  <conditionalFormatting sqref="U20">
    <cfRule type="expression" dxfId="784" priority="770">
      <formula>MOD(ROW(),2)=0</formula>
    </cfRule>
  </conditionalFormatting>
  <conditionalFormatting sqref="U20">
    <cfRule type="expression" dxfId="783" priority="769">
      <formula>MOD(ROW(),2)=0</formula>
    </cfRule>
  </conditionalFormatting>
  <conditionalFormatting sqref="U20">
    <cfRule type="expression" dxfId="782" priority="768">
      <formula>MOD(ROW(),2)=0</formula>
    </cfRule>
  </conditionalFormatting>
  <conditionalFormatting sqref="U20">
    <cfRule type="expression" dxfId="781" priority="767">
      <formula>MOD(ROW(),2)=0</formula>
    </cfRule>
  </conditionalFormatting>
  <conditionalFormatting sqref="U20">
    <cfRule type="expression" dxfId="780" priority="766">
      <formula>MOD(ROW(),2)=0</formula>
    </cfRule>
  </conditionalFormatting>
  <conditionalFormatting sqref="U20">
    <cfRule type="expression" dxfId="779" priority="765">
      <formula>MOD(ROW(),2)=0</formula>
    </cfRule>
  </conditionalFormatting>
  <conditionalFormatting sqref="U20">
    <cfRule type="expression" dxfId="778" priority="764">
      <formula>MOD(ROW(),2)=0</formula>
    </cfRule>
  </conditionalFormatting>
  <conditionalFormatting sqref="U20">
    <cfRule type="expression" dxfId="777" priority="763">
      <formula>MOD(ROW(),2)=0</formula>
    </cfRule>
  </conditionalFormatting>
  <conditionalFormatting sqref="U20">
    <cfRule type="expression" dxfId="776" priority="762">
      <formula>MOD(ROW(),2)=0</formula>
    </cfRule>
  </conditionalFormatting>
  <conditionalFormatting sqref="U20">
    <cfRule type="expression" dxfId="775" priority="761">
      <formula>MOD(ROW(),2)=0</formula>
    </cfRule>
  </conditionalFormatting>
  <conditionalFormatting sqref="U20">
    <cfRule type="expression" dxfId="774" priority="760">
      <formula>MOD(ROW(),2)=0</formula>
    </cfRule>
  </conditionalFormatting>
  <conditionalFormatting sqref="U20">
    <cfRule type="expression" dxfId="773" priority="759">
      <formula>MOD(ROW(),2)=0</formula>
    </cfRule>
  </conditionalFormatting>
  <conditionalFormatting sqref="U20">
    <cfRule type="expression" dxfId="772" priority="758">
      <formula>MOD(ROW(),2)=0</formula>
    </cfRule>
  </conditionalFormatting>
  <conditionalFormatting sqref="V9">
    <cfRule type="expression" dxfId="771" priority="757">
      <formula>MOD(ROW(),2)=0</formula>
    </cfRule>
  </conditionalFormatting>
  <conditionalFormatting sqref="V8">
    <cfRule type="expression" dxfId="770" priority="756">
      <formula>MOD(ROW(),2)=0</formula>
    </cfRule>
  </conditionalFormatting>
  <conditionalFormatting sqref="V16 V12:V13">
    <cfRule type="expression" dxfId="769" priority="755">
      <formula>MOD(ROW(),2)=0</formula>
    </cfRule>
  </conditionalFormatting>
  <conditionalFormatting sqref="V14 V17:V19 V21">
    <cfRule type="expression" dxfId="768" priority="754">
      <formula>MOD(ROW(),2)=0</formula>
    </cfRule>
  </conditionalFormatting>
  <conditionalFormatting sqref="V11">
    <cfRule type="expression" dxfId="767" priority="753">
      <formula>MOD(ROW(),2)=0</formula>
    </cfRule>
  </conditionalFormatting>
  <conditionalFormatting sqref="V22">
    <cfRule type="expression" dxfId="766" priority="752">
      <formula>MOD(ROW(),2)=0</formula>
    </cfRule>
  </conditionalFormatting>
  <conditionalFormatting sqref="V10">
    <cfRule type="expression" dxfId="765" priority="751">
      <formula>MOD(ROW(),2)=0</formula>
    </cfRule>
  </conditionalFormatting>
  <conditionalFormatting sqref="V9">
    <cfRule type="expression" dxfId="764" priority="750">
      <formula>MOD(ROW(),2)=0</formula>
    </cfRule>
  </conditionalFormatting>
  <conditionalFormatting sqref="V8">
    <cfRule type="expression" dxfId="763" priority="749">
      <formula>MOD(ROW(),2)=0</formula>
    </cfRule>
  </conditionalFormatting>
  <conditionalFormatting sqref="V16 V12:V13">
    <cfRule type="expression" dxfId="762" priority="748">
      <formula>MOD(ROW(),2)=0</formula>
    </cfRule>
  </conditionalFormatting>
  <conditionalFormatting sqref="V14 V17:V19 V21">
    <cfRule type="expression" dxfId="761" priority="747">
      <formula>MOD(ROW(),2)=0</formula>
    </cfRule>
  </conditionalFormatting>
  <conditionalFormatting sqref="V11">
    <cfRule type="expression" dxfId="760" priority="746">
      <formula>MOD(ROW(),2)=0</formula>
    </cfRule>
  </conditionalFormatting>
  <conditionalFormatting sqref="V22">
    <cfRule type="expression" dxfId="759" priority="745">
      <formula>MOD(ROW(),2)=0</formula>
    </cfRule>
  </conditionalFormatting>
  <conditionalFormatting sqref="V10">
    <cfRule type="expression" dxfId="758" priority="744">
      <formula>MOD(ROW(),2)=0</formula>
    </cfRule>
  </conditionalFormatting>
  <conditionalFormatting sqref="V9">
    <cfRule type="expression" dxfId="757" priority="743">
      <formula>MOD(ROW(),2)=0</formula>
    </cfRule>
  </conditionalFormatting>
  <conditionalFormatting sqref="V8">
    <cfRule type="expression" dxfId="756" priority="742">
      <formula>MOD(ROW(),2)=0</formula>
    </cfRule>
  </conditionalFormatting>
  <conditionalFormatting sqref="V16 V12:V13">
    <cfRule type="expression" dxfId="755" priority="741">
      <formula>MOD(ROW(),2)=0</formula>
    </cfRule>
  </conditionalFormatting>
  <conditionalFormatting sqref="V14 V17:V19 V21">
    <cfRule type="expression" dxfId="754" priority="740">
      <formula>MOD(ROW(),2)=0</formula>
    </cfRule>
  </conditionalFormatting>
  <conditionalFormatting sqref="V11">
    <cfRule type="expression" dxfId="753" priority="739">
      <formula>MOD(ROW(),2)=0</formula>
    </cfRule>
  </conditionalFormatting>
  <conditionalFormatting sqref="V22">
    <cfRule type="expression" dxfId="752" priority="738">
      <formula>MOD(ROW(),2)=0</formula>
    </cfRule>
  </conditionalFormatting>
  <conditionalFormatting sqref="V10">
    <cfRule type="expression" dxfId="751" priority="737">
      <formula>MOD(ROW(),2)=0</formula>
    </cfRule>
  </conditionalFormatting>
  <conditionalFormatting sqref="V9">
    <cfRule type="expression" dxfId="750" priority="736">
      <formula>MOD(ROW(),2)=0</formula>
    </cfRule>
  </conditionalFormatting>
  <conditionalFormatting sqref="V8">
    <cfRule type="expression" dxfId="749" priority="735">
      <formula>MOD(ROW(),2)=0</formula>
    </cfRule>
  </conditionalFormatting>
  <conditionalFormatting sqref="V16 V12:V13">
    <cfRule type="expression" dxfId="748" priority="734">
      <formula>MOD(ROW(),2)=0</formula>
    </cfRule>
  </conditionalFormatting>
  <conditionalFormatting sqref="V14 V17:V19 V21">
    <cfRule type="expression" dxfId="747" priority="733">
      <formula>MOD(ROW(),2)=0</formula>
    </cfRule>
  </conditionalFormatting>
  <conditionalFormatting sqref="V11">
    <cfRule type="expression" dxfId="746" priority="732">
      <formula>MOD(ROW(),2)=0</formula>
    </cfRule>
  </conditionalFormatting>
  <conditionalFormatting sqref="V22">
    <cfRule type="expression" dxfId="745" priority="731">
      <formula>MOD(ROW(),2)=0</formula>
    </cfRule>
  </conditionalFormatting>
  <conditionalFormatting sqref="V10">
    <cfRule type="expression" dxfId="744" priority="730">
      <formula>MOD(ROW(),2)=0</formula>
    </cfRule>
  </conditionalFormatting>
  <conditionalFormatting sqref="V9">
    <cfRule type="expression" dxfId="743" priority="729">
      <formula>MOD(ROW(),2)=0</formula>
    </cfRule>
  </conditionalFormatting>
  <conditionalFormatting sqref="V8">
    <cfRule type="expression" dxfId="742" priority="728">
      <formula>MOD(ROW(),2)=0</formula>
    </cfRule>
  </conditionalFormatting>
  <conditionalFormatting sqref="V16 V12:V13">
    <cfRule type="expression" dxfId="741" priority="727">
      <formula>MOD(ROW(),2)=0</formula>
    </cfRule>
  </conditionalFormatting>
  <conditionalFormatting sqref="V14 V17:V19 V21">
    <cfRule type="expression" dxfId="740" priority="726">
      <formula>MOD(ROW(),2)=0</formula>
    </cfRule>
  </conditionalFormatting>
  <conditionalFormatting sqref="V11">
    <cfRule type="expression" dxfId="739" priority="725">
      <formula>MOD(ROW(),2)=0</formula>
    </cfRule>
  </conditionalFormatting>
  <conditionalFormatting sqref="V22">
    <cfRule type="expression" dxfId="738" priority="724">
      <formula>MOD(ROW(),2)=0</formula>
    </cfRule>
  </conditionalFormatting>
  <conditionalFormatting sqref="V10">
    <cfRule type="expression" dxfId="737" priority="723">
      <formula>MOD(ROW(),2)=0</formula>
    </cfRule>
  </conditionalFormatting>
  <conditionalFormatting sqref="V9">
    <cfRule type="expression" dxfId="736" priority="722">
      <formula>MOD(ROW(),2)=0</formula>
    </cfRule>
  </conditionalFormatting>
  <conditionalFormatting sqref="V8">
    <cfRule type="expression" dxfId="735" priority="721">
      <formula>MOD(ROW(),2)=0</formula>
    </cfRule>
  </conditionalFormatting>
  <conditionalFormatting sqref="V16 V12:V13">
    <cfRule type="expression" dxfId="734" priority="720">
      <formula>MOD(ROW(),2)=0</formula>
    </cfRule>
  </conditionalFormatting>
  <conditionalFormatting sqref="V14 V17:V19 V21">
    <cfRule type="expression" dxfId="733" priority="719">
      <formula>MOD(ROW(),2)=0</formula>
    </cfRule>
  </conditionalFormatting>
  <conditionalFormatting sqref="V11">
    <cfRule type="expression" dxfId="732" priority="718">
      <formula>MOD(ROW(),2)=0</formula>
    </cfRule>
  </conditionalFormatting>
  <conditionalFormatting sqref="V22">
    <cfRule type="expression" dxfId="731" priority="717">
      <formula>MOD(ROW(),2)=0</formula>
    </cfRule>
  </conditionalFormatting>
  <conditionalFormatting sqref="V10">
    <cfRule type="expression" dxfId="730" priority="716">
      <formula>MOD(ROW(),2)=0</formula>
    </cfRule>
  </conditionalFormatting>
  <conditionalFormatting sqref="V9">
    <cfRule type="expression" dxfId="729" priority="715">
      <formula>MOD(ROW(),2)=0</formula>
    </cfRule>
  </conditionalFormatting>
  <conditionalFormatting sqref="V8">
    <cfRule type="expression" dxfId="728" priority="714">
      <formula>MOD(ROW(),2)=0</formula>
    </cfRule>
  </conditionalFormatting>
  <conditionalFormatting sqref="V16 V12:V13">
    <cfRule type="expression" dxfId="727" priority="713">
      <formula>MOD(ROW(),2)=0</formula>
    </cfRule>
  </conditionalFormatting>
  <conditionalFormatting sqref="V14 V17:V19 V21">
    <cfRule type="expression" dxfId="726" priority="712">
      <formula>MOD(ROW(),2)=0</formula>
    </cfRule>
  </conditionalFormatting>
  <conditionalFormatting sqref="V11">
    <cfRule type="expression" dxfId="725" priority="711">
      <formula>MOD(ROW(),2)=0</formula>
    </cfRule>
  </conditionalFormatting>
  <conditionalFormatting sqref="V10">
    <cfRule type="expression" dxfId="724" priority="710">
      <formula>MOD(ROW(),2)=0</formula>
    </cfRule>
  </conditionalFormatting>
  <conditionalFormatting sqref="V22">
    <cfRule type="expression" dxfId="723" priority="709">
      <formula>MOD(ROW(),2)=0</formula>
    </cfRule>
  </conditionalFormatting>
  <conditionalFormatting sqref="V9">
    <cfRule type="expression" dxfId="722" priority="708">
      <formula>MOD(ROW(),2)=0</formula>
    </cfRule>
  </conditionalFormatting>
  <conditionalFormatting sqref="V8">
    <cfRule type="expression" dxfId="721" priority="707">
      <formula>MOD(ROW(),2)=0</formula>
    </cfRule>
  </conditionalFormatting>
  <conditionalFormatting sqref="V16 V12:V13">
    <cfRule type="expression" dxfId="720" priority="706">
      <formula>MOD(ROW(),2)=0</formula>
    </cfRule>
  </conditionalFormatting>
  <conditionalFormatting sqref="V14 V17:V19 V21">
    <cfRule type="expression" dxfId="719" priority="705">
      <formula>MOD(ROW(),2)=0</formula>
    </cfRule>
  </conditionalFormatting>
  <conditionalFormatting sqref="V11">
    <cfRule type="expression" dxfId="718" priority="704">
      <formula>MOD(ROW(),2)=0</formula>
    </cfRule>
  </conditionalFormatting>
  <conditionalFormatting sqref="V22">
    <cfRule type="expression" dxfId="717" priority="703">
      <formula>MOD(ROW(),2)=0</formula>
    </cfRule>
  </conditionalFormatting>
  <conditionalFormatting sqref="V10">
    <cfRule type="expression" dxfId="716" priority="702">
      <formula>MOD(ROW(),2)=0</formula>
    </cfRule>
  </conditionalFormatting>
  <conditionalFormatting sqref="V9">
    <cfRule type="expression" dxfId="715" priority="701">
      <formula>MOD(ROW(),2)=0</formula>
    </cfRule>
  </conditionalFormatting>
  <conditionalFormatting sqref="V8">
    <cfRule type="expression" dxfId="714" priority="700">
      <formula>MOD(ROW(),2)=0</formula>
    </cfRule>
  </conditionalFormatting>
  <conditionalFormatting sqref="V16 V12:V13">
    <cfRule type="expression" dxfId="713" priority="699">
      <formula>MOD(ROW(),2)=0</formula>
    </cfRule>
  </conditionalFormatting>
  <conditionalFormatting sqref="V14 V17:V19 V21">
    <cfRule type="expression" dxfId="712" priority="698">
      <formula>MOD(ROW(),2)=0</formula>
    </cfRule>
  </conditionalFormatting>
  <conditionalFormatting sqref="V11">
    <cfRule type="expression" dxfId="711" priority="697">
      <formula>MOD(ROW(),2)=0</formula>
    </cfRule>
  </conditionalFormatting>
  <conditionalFormatting sqref="V22">
    <cfRule type="expression" dxfId="710" priority="696">
      <formula>MOD(ROW(),2)=0</formula>
    </cfRule>
  </conditionalFormatting>
  <conditionalFormatting sqref="V10">
    <cfRule type="expression" dxfId="709" priority="695">
      <formula>MOD(ROW(),2)=0</formula>
    </cfRule>
  </conditionalFormatting>
  <conditionalFormatting sqref="V9">
    <cfRule type="expression" dxfId="708" priority="694">
      <formula>MOD(ROW(),2)=0</formula>
    </cfRule>
  </conditionalFormatting>
  <conditionalFormatting sqref="V8">
    <cfRule type="expression" dxfId="707" priority="693">
      <formula>MOD(ROW(),2)=0</formula>
    </cfRule>
  </conditionalFormatting>
  <conditionalFormatting sqref="V16 V12:V13">
    <cfRule type="expression" dxfId="706" priority="692">
      <formula>MOD(ROW(),2)=0</formula>
    </cfRule>
  </conditionalFormatting>
  <conditionalFormatting sqref="V14 V17:V19 V21">
    <cfRule type="expression" dxfId="705" priority="691">
      <formula>MOD(ROW(),2)=0</formula>
    </cfRule>
  </conditionalFormatting>
  <conditionalFormatting sqref="V11">
    <cfRule type="expression" dxfId="704" priority="690">
      <formula>MOD(ROW(),2)=0</formula>
    </cfRule>
  </conditionalFormatting>
  <conditionalFormatting sqref="V22">
    <cfRule type="expression" dxfId="703" priority="689">
      <formula>MOD(ROW(),2)=0</formula>
    </cfRule>
  </conditionalFormatting>
  <conditionalFormatting sqref="V10">
    <cfRule type="expression" dxfId="702" priority="688">
      <formula>MOD(ROW(),2)=0</formula>
    </cfRule>
  </conditionalFormatting>
  <conditionalFormatting sqref="V9">
    <cfRule type="expression" dxfId="701" priority="687">
      <formula>MOD(ROW(),2)=0</formula>
    </cfRule>
  </conditionalFormatting>
  <conditionalFormatting sqref="V8">
    <cfRule type="expression" dxfId="700" priority="686">
      <formula>MOD(ROW(),2)=0</formula>
    </cfRule>
  </conditionalFormatting>
  <conditionalFormatting sqref="V16 V12:V13">
    <cfRule type="expression" dxfId="699" priority="685">
      <formula>MOD(ROW(),2)=0</formula>
    </cfRule>
  </conditionalFormatting>
  <conditionalFormatting sqref="V14 V17:V19 V21">
    <cfRule type="expression" dxfId="698" priority="684">
      <formula>MOD(ROW(),2)=0</formula>
    </cfRule>
  </conditionalFormatting>
  <conditionalFormatting sqref="V11">
    <cfRule type="expression" dxfId="697" priority="683">
      <formula>MOD(ROW(),2)=0</formula>
    </cfRule>
  </conditionalFormatting>
  <conditionalFormatting sqref="V22">
    <cfRule type="expression" dxfId="696" priority="682">
      <formula>MOD(ROW(),2)=0</formula>
    </cfRule>
  </conditionalFormatting>
  <conditionalFormatting sqref="V10">
    <cfRule type="expression" dxfId="695" priority="681">
      <formula>MOD(ROW(),2)=0</formula>
    </cfRule>
  </conditionalFormatting>
  <conditionalFormatting sqref="V9">
    <cfRule type="expression" dxfId="694" priority="680">
      <formula>MOD(ROW(),2)=0</formula>
    </cfRule>
  </conditionalFormatting>
  <conditionalFormatting sqref="V8">
    <cfRule type="expression" dxfId="693" priority="679">
      <formula>MOD(ROW(),2)=0</formula>
    </cfRule>
  </conditionalFormatting>
  <conditionalFormatting sqref="V16 V12:V13">
    <cfRule type="expression" dxfId="692" priority="678">
      <formula>MOD(ROW(),2)=0</formula>
    </cfRule>
  </conditionalFormatting>
  <conditionalFormatting sqref="V14 V17:V19 V21">
    <cfRule type="expression" dxfId="691" priority="677">
      <formula>MOD(ROW(),2)=0</formula>
    </cfRule>
  </conditionalFormatting>
  <conditionalFormatting sqref="V11">
    <cfRule type="expression" dxfId="690" priority="676">
      <formula>MOD(ROW(),2)=0</formula>
    </cfRule>
  </conditionalFormatting>
  <conditionalFormatting sqref="V22">
    <cfRule type="expression" dxfId="689" priority="675">
      <formula>MOD(ROW(),2)=0</formula>
    </cfRule>
  </conditionalFormatting>
  <conditionalFormatting sqref="V10">
    <cfRule type="expression" dxfId="688" priority="674">
      <formula>MOD(ROW(),2)=0</formula>
    </cfRule>
  </conditionalFormatting>
  <conditionalFormatting sqref="V9">
    <cfRule type="expression" dxfId="687" priority="673">
      <formula>MOD(ROW(),2)=0</formula>
    </cfRule>
  </conditionalFormatting>
  <conditionalFormatting sqref="V8">
    <cfRule type="expression" dxfId="686" priority="672">
      <formula>MOD(ROW(),2)=0</formula>
    </cfRule>
  </conditionalFormatting>
  <conditionalFormatting sqref="V16 V12:V13">
    <cfRule type="expression" dxfId="685" priority="671">
      <formula>MOD(ROW(),2)=0</formula>
    </cfRule>
  </conditionalFormatting>
  <conditionalFormatting sqref="V14 V17:V19 V21">
    <cfRule type="expression" dxfId="684" priority="670">
      <formula>MOD(ROW(),2)=0</formula>
    </cfRule>
  </conditionalFormatting>
  <conditionalFormatting sqref="V11">
    <cfRule type="expression" dxfId="683" priority="669">
      <formula>MOD(ROW(),2)=0</formula>
    </cfRule>
  </conditionalFormatting>
  <conditionalFormatting sqref="V22">
    <cfRule type="expression" dxfId="682" priority="668">
      <formula>MOD(ROW(),2)=0</formula>
    </cfRule>
  </conditionalFormatting>
  <conditionalFormatting sqref="V10">
    <cfRule type="expression" dxfId="681" priority="667">
      <formula>MOD(ROW(),2)=0</formula>
    </cfRule>
  </conditionalFormatting>
  <conditionalFormatting sqref="V9">
    <cfRule type="expression" dxfId="680" priority="666">
      <formula>MOD(ROW(),2)=0</formula>
    </cfRule>
  </conditionalFormatting>
  <conditionalFormatting sqref="V8">
    <cfRule type="expression" dxfId="679" priority="665">
      <formula>MOD(ROW(),2)=0</formula>
    </cfRule>
  </conditionalFormatting>
  <conditionalFormatting sqref="V16 V12:V13">
    <cfRule type="expression" dxfId="678" priority="664">
      <formula>MOD(ROW(),2)=0</formula>
    </cfRule>
  </conditionalFormatting>
  <conditionalFormatting sqref="V14 V17:V19 V21">
    <cfRule type="expression" dxfId="677" priority="663">
      <formula>MOD(ROW(),2)=0</formula>
    </cfRule>
  </conditionalFormatting>
  <conditionalFormatting sqref="V11">
    <cfRule type="expression" dxfId="676" priority="662">
      <formula>MOD(ROW(),2)=0</formula>
    </cfRule>
  </conditionalFormatting>
  <conditionalFormatting sqref="V22">
    <cfRule type="expression" dxfId="675" priority="661">
      <formula>MOD(ROW(),2)=0</formula>
    </cfRule>
  </conditionalFormatting>
  <conditionalFormatting sqref="V10">
    <cfRule type="expression" dxfId="674" priority="660">
      <formula>MOD(ROW(),2)=0</formula>
    </cfRule>
  </conditionalFormatting>
  <conditionalFormatting sqref="V9">
    <cfRule type="expression" dxfId="673" priority="659">
      <formula>MOD(ROW(),2)=0</formula>
    </cfRule>
  </conditionalFormatting>
  <conditionalFormatting sqref="V8">
    <cfRule type="expression" dxfId="672" priority="658">
      <formula>MOD(ROW(),2)=0</formula>
    </cfRule>
  </conditionalFormatting>
  <conditionalFormatting sqref="V16 V12:V13">
    <cfRule type="expression" dxfId="671" priority="657">
      <formula>MOD(ROW(),2)=0</formula>
    </cfRule>
  </conditionalFormatting>
  <conditionalFormatting sqref="V14 V17:V19 V21">
    <cfRule type="expression" dxfId="670" priority="656">
      <formula>MOD(ROW(),2)=0</formula>
    </cfRule>
  </conditionalFormatting>
  <conditionalFormatting sqref="V11">
    <cfRule type="expression" dxfId="669" priority="655">
      <formula>MOD(ROW(),2)=0</formula>
    </cfRule>
  </conditionalFormatting>
  <conditionalFormatting sqref="V10">
    <cfRule type="expression" dxfId="668" priority="654">
      <formula>MOD(ROW(),2)=0</formula>
    </cfRule>
  </conditionalFormatting>
  <conditionalFormatting sqref="V22">
    <cfRule type="expression" dxfId="667" priority="653">
      <formula>MOD(ROW(),2)=0</formula>
    </cfRule>
  </conditionalFormatting>
  <conditionalFormatting sqref="V9">
    <cfRule type="expression" dxfId="666" priority="652">
      <formula>MOD(ROW(),2)=0</formula>
    </cfRule>
  </conditionalFormatting>
  <conditionalFormatting sqref="V8">
    <cfRule type="expression" dxfId="665" priority="651">
      <formula>MOD(ROW(),2)=0</formula>
    </cfRule>
  </conditionalFormatting>
  <conditionalFormatting sqref="V16 V12:V13">
    <cfRule type="expression" dxfId="664" priority="650">
      <formula>MOD(ROW(),2)=0</formula>
    </cfRule>
  </conditionalFormatting>
  <conditionalFormatting sqref="V14 V17:V19 V21">
    <cfRule type="expression" dxfId="663" priority="649">
      <formula>MOD(ROW(),2)=0</formula>
    </cfRule>
  </conditionalFormatting>
  <conditionalFormatting sqref="V11">
    <cfRule type="expression" dxfId="662" priority="648">
      <formula>MOD(ROW(),2)=0</formula>
    </cfRule>
  </conditionalFormatting>
  <conditionalFormatting sqref="V22">
    <cfRule type="expression" dxfId="661" priority="647">
      <formula>MOD(ROW(),2)=0</formula>
    </cfRule>
  </conditionalFormatting>
  <conditionalFormatting sqref="V10">
    <cfRule type="expression" dxfId="660" priority="646">
      <formula>MOD(ROW(),2)=0</formula>
    </cfRule>
  </conditionalFormatting>
  <conditionalFormatting sqref="V15">
    <cfRule type="expression" dxfId="659" priority="645">
      <formula>MOD(ROW(),2)=0</formula>
    </cfRule>
  </conditionalFormatting>
  <conditionalFormatting sqref="V15">
    <cfRule type="expression" dxfId="658" priority="644">
      <formula>MOD(ROW(),2)=0</formula>
    </cfRule>
  </conditionalFormatting>
  <conditionalFormatting sqref="V15">
    <cfRule type="expression" dxfId="657" priority="643">
      <formula>MOD(ROW(),2)=0</formula>
    </cfRule>
  </conditionalFormatting>
  <conditionalFormatting sqref="V15">
    <cfRule type="expression" dxfId="656" priority="642">
      <formula>MOD(ROW(),2)=0</formula>
    </cfRule>
  </conditionalFormatting>
  <conditionalFormatting sqref="V15">
    <cfRule type="expression" dxfId="655" priority="641">
      <formula>MOD(ROW(),2)=0</formula>
    </cfRule>
  </conditionalFormatting>
  <conditionalFormatting sqref="V15">
    <cfRule type="expression" dxfId="654" priority="640">
      <formula>MOD(ROW(),2)=0</formula>
    </cfRule>
  </conditionalFormatting>
  <conditionalFormatting sqref="V15">
    <cfRule type="expression" dxfId="653" priority="639">
      <formula>MOD(ROW(),2)=0</formula>
    </cfRule>
  </conditionalFormatting>
  <conditionalFormatting sqref="V15">
    <cfRule type="expression" dxfId="652" priority="638">
      <formula>MOD(ROW(),2)=0</formula>
    </cfRule>
  </conditionalFormatting>
  <conditionalFormatting sqref="V15">
    <cfRule type="expression" dxfId="651" priority="637">
      <formula>MOD(ROW(),2)=0</formula>
    </cfRule>
  </conditionalFormatting>
  <conditionalFormatting sqref="V15">
    <cfRule type="expression" dxfId="650" priority="636">
      <formula>MOD(ROW(),2)=0</formula>
    </cfRule>
  </conditionalFormatting>
  <conditionalFormatting sqref="V15">
    <cfRule type="expression" dxfId="649" priority="635">
      <formula>MOD(ROW(),2)=0</formula>
    </cfRule>
  </conditionalFormatting>
  <conditionalFormatting sqref="V15">
    <cfRule type="expression" dxfId="648" priority="634">
      <formula>MOD(ROW(),2)=0</formula>
    </cfRule>
  </conditionalFormatting>
  <conditionalFormatting sqref="V15">
    <cfRule type="expression" dxfId="647" priority="633">
      <formula>MOD(ROW(),2)=0</formula>
    </cfRule>
  </conditionalFormatting>
  <conditionalFormatting sqref="V15">
    <cfRule type="expression" dxfId="646" priority="632">
      <formula>MOD(ROW(),2)=0</formula>
    </cfRule>
  </conditionalFormatting>
  <conditionalFormatting sqref="V15">
    <cfRule type="expression" dxfId="645" priority="631">
      <formula>MOD(ROW(),2)=0</formula>
    </cfRule>
  </conditionalFormatting>
  <conditionalFormatting sqref="V15">
    <cfRule type="expression" dxfId="644" priority="630">
      <formula>MOD(ROW(),2)=0</formula>
    </cfRule>
  </conditionalFormatting>
  <conditionalFormatting sqref="V20">
    <cfRule type="expression" dxfId="643" priority="629">
      <formula>MOD(ROW(),2)=0</formula>
    </cfRule>
  </conditionalFormatting>
  <conditionalFormatting sqref="V20">
    <cfRule type="expression" dxfId="642" priority="628">
      <formula>MOD(ROW(),2)=0</formula>
    </cfRule>
  </conditionalFormatting>
  <conditionalFormatting sqref="V20">
    <cfRule type="expression" dxfId="641" priority="627">
      <formula>MOD(ROW(),2)=0</formula>
    </cfRule>
  </conditionalFormatting>
  <conditionalFormatting sqref="V20">
    <cfRule type="expression" dxfId="640" priority="626">
      <formula>MOD(ROW(),2)=0</formula>
    </cfRule>
  </conditionalFormatting>
  <conditionalFormatting sqref="V20">
    <cfRule type="expression" dxfId="639" priority="625">
      <formula>MOD(ROW(),2)=0</formula>
    </cfRule>
  </conditionalFormatting>
  <conditionalFormatting sqref="V20">
    <cfRule type="expression" dxfId="638" priority="624">
      <formula>MOD(ROW(),2)=0</formula>
    </cfRule>
  </conditionalFormatting>
  <conditionalFormatting sqref="V20">
    <cfRule type="expression" dxfId="637" priority="623">
      <formula>MOD(ROW(),2)=0</formula>
    </cfRule>
  </conditionalFormatting>
  <conditionalFormatting sqref="V20">
    <cfRule type="expression" dxfId="636" priority="622">
      <formula>MOD(ROW(),2)=0</formula>
    </cfRule>
  </conditionalFormatting>
  <conditionalFormatting sqref="V20">
    <cfRule type="expression" dxfId="635" priority="621">
      <formula>MOD(ROW(),2)=0</formula>
    </cfRule>
  </conditionalFormatting>
  <conditionalFormatting sqref="V20">
    <cfRule type="expression" dxfId="634" priority="620">
      <formula>MOD(ROW(),2)=0</formula>
    </cfRule>
  </conditionalFormatting>
  <conditionalFormatting sqref="V20">
    <cfRule type="expression" dxfId="633" priority="619">
      <formula>MOD(ROW(),2)=0</formula>
    </cfRule>
  </conditionalFormatting>
  <conditionalFormatting sqref="V20">
    <cfRule type="expression" dxfId="632" priority="618">
      <formula>MOD(ROW(),2)=0</formula>
    </cfRule>
  </conditionalFormatting>
  <conditionalFormatting sqref="V20">
    <cfRule type="expression" dxfId="631" priority="617">
      <formula>MOD(ROW(),2)=0</formula>
    </cfRule>
  </conditionalFormatting>
  <conditionalFormatting sqref="V20">
    <cfRule type="expression" dxfId="630" priority="616">
      <formula>MOD(ROW(),2)=0</formula>
    </cfRule>
  </conditionalFormatting>
  <conditionalFormatting sqref="V20">
    <cfRule type="expression" dxfId="629" priority="615">
      <formula>MOD(ROW(),2)=0</formula>
    </cfRule>
  </conditionalFormatting>
  <conditionalFormatting sqref="V20">
    <cfRule type="expression" dxfId="628" priority="614">
      <formula>MOD(ROW(),2)=0</formula>
    </cfRule>
  </conditionalFormatting>
  <conditionalFormatting sqref="W9">
    <cfRule type="expression" dxfId="627" priority="613">
      <formula>MOD(ROW(),2)=0</formula>
    </cfRule>
  </conditionalFormatting>
  <conditionalFormatting sqref="W8">
    <cfRule type="expression" dxfId="626" priority="612">
      <formula>MOD(ROW(),2)=0</formula>
    </cfRule>
  </conditionalFormatting>
  <conditionalFormatting sqref="W16 W12:W13">
    <cfRule type="expression" dxfId="625" priority="611">
      <formula>MOD(ROW(),2)=0</formula>
    </cfRule>
  </conditionalFormatting>
  <conditionalFormatting sqref="W14 W17:W19 W21">
    <cfRule type="expression" dxfId="624" priority="610">
      <formula>MOD(ROW(),2)=0</formula>
    </cfRule>
  </conditionalFormatting>
  <conditionalFormatting sqref="W11">
    <cfRule type="expression" dxfId="623" priority="609">
      <formula>MOD(ROW(),2)=0</formula>
    </cfRule>
  </conditionalFormatting>
  <conditionalFormatting sqref="W22">
    <cfRule type="expression" dxfId="622" priority="608">
      <formula>MOD(ROW(),2)=0</formula>
    </cfRule>
  </conditionalFormatting>
  <conditionalFormatting sqref="W10">
    <cfRule type="expression" dxfId="621" priority="607">
      <formula>MOD(ROW(),2)=0</formula>
    </cfRule>
  </conditionalFormatting>
  <conditionalFormatting sqref="W9">
    <cfRule type="expression" dxfId="620" priority="606">
      <formula>MOD(ROW(),2)=0</formula>
    </cfRule>
  </conditionalFormatting>
  <conditionalFormatting sqref="W8">
    <cfRule type="expression" dxfId="619" priority="605">
      <formula>MOD(ROW(),2)=0</formula>
    </cfRule>
  </conditionalFormatting>
  <conditionalFormatting sqref="W16 W12:W13">
    <cfRule type="expression" dxfId="618" priority="604">
      <formula>MOD(ROW(),2)=0</formula>
    </cfRule>
  </conditionalFormatting>
  <conditionalFormatting sqref="W14 W17:W19 W21">
    <cfRule type="expression" dxfId="617" priority="603">
      <formula>MOD(ROW(),2)=0</formula>
    </cfRule>
  </conditionalFormatting>
  <conditionalFormatting sqref="W11">
    <cfRule type="expression" dxfId="616" priority="602">
      <formula>MOD(ROW(),2)=0</formula>
    </cfRule>
  </conditionalFormatting>
  <conditionalFormatting sqref="W22">
    <cfRule type="expression" dxfId="615" priority="601">
      <formula>MOD(ROW(),2)=0</formula>
    </cfRule>
  </conditionalFormatting>
  <conditionalFormatting sqref="W10">
    <cfRule type="expression" dxfId="614" priority="600">
      <formula>MOD(ROW(),2)=0</formula>
    </cfRule>
  </conditionalFormatting>
  <conditionalFormatting sqref="W9">
    <cfRule type="expression" dxfId="613" priority="599">
      <formula>MOD(ROW(),2)=0</formula>
    </cfRule>
  </conditionalFormatting>
  <conditionalFormatting sqref="W8">
    <cfRule type="expression" dxfId="612" priority="598">
      <formula>MOD(ROW(),2)=0</formula>
    </cfRule>
  </conditionalFormatting>
  <conditionalFormatting sqref="W16 W12:W13">
    <cfRule type="expression" dxfId="611" priority="597">
      <formula>MOD(ROW(),2)=0</formula>
    </cfRule>
  </conditionalFormatting>
  <conditionalFormatting sqref="W14 W17:W19 W21">
    <cfRule type="expression" dxfId="610" priority="596">
      <formula>MOD(ROW(),2)=0</formula>
    </cfRule>
  </conditionalFormatting>
  <conditionalFormatting sqref="W11">
    <cfRule type="expression" dxfId="609" priority="595">
      <formula>MOD(ROW(),2)=0</formula>
    </cfRule>
  </conditionalFormatting>
  <conditionalFormatting sqref="W22">
    <cfRule type="expression" dxfId="608" priority="594">
      <formula>MOD(ROW(),2)=0</formula>
    </cfRule>
  </conditionalFormatting>
  <conditionalFormatting sqref="W10">
    <cfRule type="expression" dxfId="607" priority="593">
      <formula>MOD(ROW(),2)=0</formula>
    </cfRule>
  </conditionalFormatting>
  <conditionalFormatting sqref="W9">
    <cfRule type="expression" dxfId="606" priority="592">
      <formula>MOD(ROW(),2)=0</formula>
    </cfRule>
  </conditionalFormatting>
  <conditionalFormatting sqref="W8">
    <cfRule type="expression" dxfId="605" priority="591">
      <formula>MOD(ROW(),2)=0</formula>
    </cfRule>
  </conditionalFormatting>
  <conditionalFormatting sqref="W16 W12:W13">
    <cfRule type="expression" dxfId="604" priority="590">
      <formula>MOD(ROW(),2)=0</formula>
    </cfRule>
  </conditionalFormatting>
  <conditionalFormatting sqref="W14 W17:W19 W21">
    <cfRule type="expression" dxfId="603" priority="589">
      <formula>MOD(ROW(),2)=0</formula>
    </cfRule>
  </conditionalFormatting>
  <conditionalFormatting sqref="W11">
    <cfRule type="expression" dxfId="602" priority="588">
      <formula>MOD(ROW(),2)=0</formula>
    </cfRule>
  </conditionalFormatting>
  <conditionalFormatting sqref="W22">
    <cfRule type="expression" dxfId="601" priority="587">
      <formula>MOD(ROW(),2)=0</formula>
    </cfRule>
  </conditionalFormatting>
  <conditionalFormatting sqref="W10">
    <cfRule type="expression" dxfId="600" priority="586">
      <formula>MOD(ROW(),2)=0</formula>
    </cfRule>
  </conditionalFormatting>
  <conditionalFormatting sqref="W9">
    <cfRule type="expression" dxfId="599" priority="585">
      <formula>MOD(ROW(),2)=0</formula>
    </cfRule>
  </conditionalFormatting>
  <conditionalFormatting sqref="W8">
    <cfRule type="expression" dxfId="598" priority="584">
      <formula>MOD(ROW(),2)=0</formula>
    </cfRule>
  </conditionalFormatting>
  <conditionalFormatting sqref="W16 W12:W13">
    <cfRule type="expression" dxfId="597" priority="583">
      <formula>MOD(ROW(),2)=0</formula>
    </cfRule>
  </conditionalFormatting>
  <conditionalFormatting sqref="W14 W17:W19 W21">
    <cfRule type="expression" dxfId="596" priority="582">
      <formula>MOD(ROW(),2)=0</formula>
    </cfRule>
  </conditionalFormatting>
  <conditionalFormatting sqref="W11">
    <cfRule type="expression" dxfId="595" priority="581">
      <formula>MOD(ROW(),2)=0</formula>
    </cfRule>
  </conditionalFormatting>
  <conditionalFormatting sqref="W22">
    <cfRule type="expression" dxfId="594" priority="580">
      <formula>MOD(ROW(),2)=0</formula>
    </cfRule>
  </conditionalFormatting>
  <conditionalFormatting sqref="W10">
    <cfRule type="expression" dxfId="593" priority="579">
      <formula>MOD(ROW(),2)=0</formula>
    </cfRule>
  </conditionalFormatting>
  <conditionalFormatting sqref="W9">
    <cfRule type="expression" dxfId="592" priority="578">
      <formula>MOD(ROW(),2)=0</formula>
    </cfRule>
  </conditionalFormatting>
  <conditionalFormatting sqref="W8">
    <cfRule type="expression" dxfId="591" priority="577">
      <formula>MOD(ROW(),2)=0</formula>
    </cfRule>
  </conditionalFormatting>
  <conditionalFormatting sqref="W16 W12:W13">
    <cfRule type="expression" dxfId="590" priority="576">
      <formula>MOD(ROW(),2)=0</formula>
    </cfRule>
  </conditionalFormatting>
  <conditionalFormatting sqref="W14 W17:W19 W21">
    <cfRule type="expression" dxfId="589" priority="575">
      <formula>MOD(ROW(),2)=0</formula>
    </cfRule>
  </conditionalFormatting>
  <conditionalFormatting sqref="W11">
    <cfRule type="expression" dxfId="588" priority="574">
      <formula>MOD(ROW(),2)=0</formula>
    </cfRule>
  </conditionalFormatting>
  <conditionalFormatting sqref="W22">
    <cfRule type="expression" dxfId="587" priority="573">
      <formula>MOD(ROW(),2)=0</formula>
    </cfRule>
  </conditionalFormatting>
  <conditionalFormatting sqref="W10">
    <cfRule type="expression" dxfId="586" priority="572">
      <formula>MOD(ROW(),2)=0</formula>
    </cfRule>
  </conditionalFormatting>
  <conditionalFormatting sqref="W9">
    <cfRule type="expression" dxfId="585" priority="571">
      <formula>MOD(ROW(),2)=0</formula>
    </cfRule>
  </conditionalFormatting>
  <conditionalFormatting sqref="W8">
    <cfRule type="expression" dxfId="584" priority="570">
      <formula>MOD(ROW(),2)=0</formula>
    </cfRule>
  </conditionalFormatting>
  <conditionalFormatting sqref="W16 W12:W13">
    <cfRule type="expression" dxfId="583" priority="569">
      <formula>MOD(ROW(),2)=0</formula>
    </cfRule>
  </conditionalFormatting>
  <conditionalFormatting sqref="W14 W17:W19 W21">
    <cfRule type="expression" dxfId="582" priority="568">
      <formula>MOD(ROW(),2)=0</formula>
    </cfRule>
  </conditionalFormatting>
  <conditionalFormatting sqref="W11">
    <cfRule type="expression" dxfId="581" priority="567">
      <formula>MOD(ROW(),2)=0</formula>
    </cfRule>
  </conditionalFormatting>
  <conditionalFormatting sqref="W10">
    <cfRule type="expression" dxfId="580" priority="566">
      <formula>MOD(ROW(),2)=0</formula>
    </cfRule>
  </conditionalFormatting>
  <conditionalFormatting sqref="W22">
    <cfRule type="expression" dxfId="579" priority="565">
      <formula>MOD(ROW(),2)=0</formula>
    </cfRule>
  </conditionalFormatting>
  <conditionalFormatting sqref="W9">
    <cfRule type="expression" dxfId="578" priority="564">
      <formula>MOD(ROW(),2)=0</formula>
    </cfRule>
  </conditionalFormatting>
  <conditionalFormatting sqref="W8">
    <cfRule type="expression" dxfId="577" priority="563">
      <formula>MOD(ROW(),2)=0</formula>
    </cfRule>
  </conditionalFormatting>
  <conditionalFormatting sqref="W16 W12:W13">
    <cfRule type="expression" dxfId="576" priority="562">
      <formula>MOD(ROW(),2)=0</formula>
    </cfRule>
  </conditionalFormatting>
  <conditionalFormatting sqref="W14 W17:W19 W21">
    <cfRule type="expression" dxfId="575" priority="561">
      <formula>MOD(ROW(),2)=0</formula>
    </cfRule>
  </conditionalFormatting>
  <conditionalFormatting sqref="W11">
    <cfRule type="expression" dxfId="574" priority="560">
      <formula>MOD(ROW(),2)=0</formula>
    </cfRule>
  </conditionalFormatting>
  <conditionalFormatting sqref="W22">
    <cfRule type="expression" dxfId="573" priority="559">
      <formula>MOD(ROW(),2)=0</formula>
    </cfRule>
  </conditionalFormatting>
  <conditionalFormatting sqref="W10">
    <cfRule type="expression" dxfId="572" priority="558">
      <formula>MOD(ROW(),2)=0</formula>
    </cfRule>
  </conditionalFormatting>
  <conditionalFormatting sqref="W9">
    <cfRule type="expression" dxfId="571" priority="557">
      <formula>MOD(ROW(),2)=0</formula>
    </cfRule>
  </conditionalFormatting>
  <conditionalFormatting sqref="W8">
    <cfRule type="expression" dxfId="570" priority="556">
      <formula>MOD(ROW(),2)=0</formula>
    </cfRule>
  </conditionalFormatting>
  <conditionalFormatting sqref="W16 W12:W13">
    <cfRule type="expression" dxfId="569" priority="555">
      <formula>MOD(ROW(),2)=0</formula>
    </cfRule>
  </conditionalFormatting>
  <conditionalFormatting sqref="W14 W17:W19 W21">
    <cfRule type="expression" dxfId="568" priority="554">
      <formula>MOD(ROW(),2)=0</formula>
    </cfRule>
  </conditionalFormatting>
  <conditionalFormatting sqref="W11">
    <cfRule type="expression" dxfId="567" priority="553">
      <formula>MOD(ROW(),2)=0</formula>
    </cfRule>
  </conditionalFormatting>
  <conditionalFormatting sqref="W22">
    <cfRule type="expression" dxfId="566" priority="552">
      <formula>MOD(ROW(),2)=0</formula>
    </cfRule>
  </conditionalFormatting>
  <conditionalFormatting sqref="W10">
    <cfRule type="expression" dxfId="565" priority="551">
      <formula>MOD(ROW(),2)=0</formula>
    </cfRule>
  </conditionalFormatting>
  <conditionalFormatting sqref="W9">
    <cfRule type="expression" dxfId="564" priority="550">
      <formula>MOD(ROW(),2)=0</formula>
    </cfRule>
  </conditionalFormatting>
  <conditionalFormatting sqref="W8">
    <cfRule type="expression" dxfId="563" priority="549">
      <formula>MOD(ROW(),2)=0</formula>
    </cfRule>
  </conditionalFormatting>
  <conditionalFormatting sqref="W16 W12:W13">
    <cfRule type="expression" dxfId="562" priority="548">
      <formula>MOD(ROW(),2)=0</formula>
    </cfRule>
  </conditionalFormatting>
  <conditionalFormatting sqref="W14 W17:W19 W21">
    <cfRule type="expression" dxfId="561" priority="547">
      <formula>MOD(ROW(),2)=0</formula>
    </cfRule>
  </conditionalFormatting>
  <conditionalFormatting sqref="W11">
    <cfRule type="expression" dxfId="560" priority="546">
      <formula>MOD(ROW(),2)=0</formula>
    </cfRule>
  </conditionalFormatting>
  <conditionalFormatting sqref="W22">
    <cfRule type="expression" dxfId="559" priority="545">
      <formula>MOD(ROW(),2)=0</formula>
    </cfRule>
  </conditionalFormatting>
  <conditionalFormatting sqref="W10">
    <cfRule type="expression" dxfId="558" priority="544">
      <formula>MOD(ROW(),2)=0</formula>
    </cfRule>
  </conditionalFormatting>
  <conditionalFormatting sqref="W9">
    <cfRule type="expression" dxfId="557" priority="543">
      <formula>MOD(ROW(),2)=0</formula>
    </cfRule>
  </conditionalFormatting>
  <conditionalFormatting sqref="W8">
    <cfRule type="expression" dxfId="556" priority="542">
      <formula>MOD(ROW(),2)=0</formula>
    </cfRule>
  </conditionalFormatting>
  <conditionalFormatting sqref="W16 W12:W13">
    <cfRule type="expression" dxfId="555" priority="541">
      <formula>MOD(ROW(),2)=0</formula>
    </cfRule>
  </conditionalFormatting>
  <conditionalFormatting sqref="W14 W17:W19 W21">
    <cfRule type="expression" dxfId="554" priority="540">
      <formula>MOD(ROW(),2)=0</formula>
    </cfRule>
  </conditionalFormatting>
  <conditionalFormatting sqref="W11">
    <cfRule type="expression" dxfId="553" priority="539">
      <formula>MOD(ROW(),2)=0</formula>
    </cfRule>
  </conditionalFormatting>
  <conditionalFormatting sqref="W22">
    <cfRule type="expression" dxfId="552" priority="538">
      <formula>MOD(ROW(),2)=0</formula>
    </cfRule>
  </conditionalFormatting>
  <conditionalFormatting sqref="W10">
    <cfRule type="expression" dxfId="551" priority="537">
      <formula>MOD(ROW(),2)=0</formula>
    </cfRule>
  </conditionalFormatting>
  <conditionalFormatting sqref="W9">
    <cfRule type="expression" dxfId="550" priority="536">
      <formula>MOD(ROW(),2)=0</formula>
    </cfRule>
  </conditionalFormatting>
  <conditionalFormatting sqref="W8">
    <cfRule type="expression" dxfId="549" priority="535">
      <formula>MOD(ROW(),2)=0</formula>
    </cfRule>
  </conditionalFormatting>
  <conditionalFormatting sqref="W16 W12:W13">
    <cfRule type="expression" dxfId="548" priority="534">
      <formula>MOD(ROW(),2)=0</formula>
    </cfRule>
  </conditionalFormatting>
  <conditionalFormatting sqref="W14 W17:W19 W21">
    <cfRule type="expression" dxfId="547" priority="533">
      <formula>MOD(ROW(),2)=0</formula>
    </cfRule>
  </conditionalFormatting>
  <conditionalFormatting sqref="W11">
    <cfRule type="expression" dxfId="546" priority="532">
      <formula>MOD(ROW(),2)=0</formula>
    </cfRule>
  </conditionalFormatting>
  <conditionalFormatting sqref="W22">
    <cfRule type="expression" dxfId="545" priority="531">
      <formula>MOD(ROW(),2)=0</formula>
    </cfRule>
  </conditionalFormatting>
  <conditionalFormatting sqref="W10">
    <cfRule type="expression" dxfId="544" priority="530">
      <formula>MOD(ROW(),2)=0</formula>
    </cfRule>
  </conditionalFormatting>
  <conditionalFormatting sqref="W9">
    <cfRule type="expression" dxfId="543" priority="529">
      <formula>MOD(ROW(),2)=0</formula>
    </cfRule>
  </conditionalFormatting>
  <conditionalFormatting sqref="W8">
    <cfRule type="expression" dxfId="542" priority="528">
      <formula>MOD(ROW(),2)=0</formula>
    </cfRule>
  </conditionalFormatting>
  <conditionalFormatting sqref="W16 W12:W13">
    <cfRule type="expression" dxfId="541" priority="527">
      <formula>MOD(ROW(),2)=0</formula>
    </cfRule>
  </conditionalFormatting>
  <conditionalFormatting sqref="W14 W17:W19 W21">
    <cfRule type="expression" dxfId="540" priority="526">
      <formula>MOD(ROW(),2)=0</formula>
    </cfRule>
  </conditionalFormatting>
  <conditionalFormatting sqref="W11">
    <cfRule type="expression" dxfId="539" priority="525">
      <formula>MOD(ROW(),2)=0</formula>
    </cfRule>
  </conditionalFormatting>
  <conditionalFormatting sqref="W22">
    <cfRule type="expression" dxfId="538" priority="524">
      <formula>MOD(ROW(),2)=0</formula>
    </cfRule>
  </conditionalFormatting>
  <conditionalFormatting sqref="W10">
    <cfRule type="expression" dxfId="537" priority="523">
      <formula>MOD(ROW(),2)=0</formula>
    </cfRule>
  </conditionalFormatting>
  <conditionalFormatting sqref="W9">
    <cfRule type="expression" dxfId="536" priority="522">
      <formula>MOD(ROW(),2)=0</formula>
    </cfRule>
  </conditionalFormatting>
  <conditionalFormatting sqref="W8">
    <cfRule type="expression" dxfId="535" priority="521">
      <formula>MOD(ROW(),2)=0</formula>
    </cfRule>
  </conditionalFormatting>
  <conditionalFormatting sqref="W16 W12:W13">
    <cfRule type="expression" dxfId="534" priority="520">
      <formula>MOD(ROW(),2)=0</formula>
    </cfRule>
  </conditionalFormatting>
  <conditionalFormatting sqref="W14 W17:W19 W21">
    <cfRule type="expression" dxfId="533" priority="519">
      <formula>MOD(ROW(),2)=0</formula>
    </cfRule>
  </conditionalFormatting>
  <conditionalFormatting sqref="W11">
    <cfRule type="expression" dxfId="532" priority="518">
      <formula>MOD(ROW(),2)=0</formula>
    </cfRule>
  </conditionalFormatting>
  <conditionalFormatting sqref="W22">
    <cfRule type="expression" dxfId="531" priority="517">
      <formula>MOD(ROW(),2)=0</formula>
    </cfRule>
  </conditionalFormatting>
  <conditionalFormatting sqref="W10">
    <cfRule type="expression" dxfId="530" priority="516">
      <formula>MOD(ROW(),2)=0</formula>
    </cfRule>
  </conditionalFormatting>
  <conditionalFormatting sqref="W9">
    <cfRule type="expression" dxfId="529" priority="515">
      <formula>MOD(ROW(),2)=0</formula>
    </cfRule>
  </conditionalFormatting>
  <conditionalFormatting sqref="W8">
    <cfRule type="expression" dxfId="528" priority="514">
      <formula>MOD(ROW(),2)=0</formula>
    </cfRule>
  </conditionalFormatting>
  <conditionalFormatting sqref="W16 W12:W13">
    <cfRule type="expression" dxfId="527" priority="513">
      <formula>MOD(ROW(),2)=0</formula>
    </cfRule>
  </conditionalFormatting>
  <conditionalFormatting sqref="W14 W17:W19 W21">
    <cfRule type="expression" dxfId="526" priority="512">
      <formula>MOD(ROW(),2)=0</formula>
    </cfRule>
  </conditionalFormatting>
  <conditionalFormatting sqref="W11">
    <cfRule type="expression" dxfId="525" priority="511">
      <formula>MOD(ROW(),2)=0</formula>
    </cfRule>
  </conditionalFormatting>
  <conditionalFormatting sqref="W10">
    <cfRule type="expression" dxfId="524" priority="510">
      <formula>MOD(ROW(),2)=0</formula>
    </cfRule>
  </conditionalFormatting>
  <conditionalFormatting sqref="W22">
    <cfRule type="expression" dxfId="523" priority="509">
      <formula>MOD(ROW(),2)=0</formula>
    </cfRule>
  </conditionalFormatting>
  <conditionalFormatting sqref="W9">
    <cfRule type="expression" dxfId="522" priority="508">
      <formula>MOD(ROW(),2)=0</formula>
    </cfRule>
  </conditionalFormatting>
  <conditionalFormatting sqref="W8">
    <cfRule type="expression" dxfId="521" priority="507">
      <formula>MOD(ROW(),2)=0</formula>
    </cfRule>
  </conditionalFormatting>
  <conditionalFormatting sqref="W16 W12:W13">
    <cfRule type="expression" dxfId="520" priority="506">
      <formula>MOD(ROW(),2)=0</formula>
    </cfRule>
  </conditionalFormatting>
  <conditionalFormatting sqref="W14 W17:W19 W21">
    <cfRule type="expression" dxfId="519" priority="505">
      <formula>MOD(ROW(),2)=0</formula>
    </cfRule>
  </conditionalFormatting>
  <conditionalFormatting sqref="W11">
    <cfRule type="expression" dxfId="518" priority="504">
      <formula>MOD(ROW(),2)=0</formula>
    </cfRule>
  </conditionalFormatting>
  <conditionalFormatting sqref="W22">
    <cfRule type="expression" dxfId="517" priority="503">
      <formula>MOD(ROW(),2)=0</formula>
    </cfRule>
  </conditionalFormatting>
  <conditionalFormatting sqref="W10">
    <cfRule type="expression" dxfId="516" priority="502">
      <formula>MOD(ROW(),2)=0</formula>
    </cfRule>
  </conditionalFormatting>
  <conditionalFormatting sqref="W15">
    <cfRule type="expression" dxfId="515" priority="501">
      <formula>MOD(ROW(),2)=0</formula>
    </cfRule>
  </conditionalFormatting>
  <conditionalFormatting sqref="W15">
    <cfRule type="expression" dxfId="514" priority="500">
      <formula>MOD(ROW(),2)=0</formula>
    </cfRule>
  </conditionalFormatting>
  <conditionalFormatting sqref="W15">
    <cfRule type="expression" dxfId="513" priority="499">
      <formula>MOD(ROW(),2)=0</formula>
    </cfRule>
  </conditionalFormatting>
  <conditionalFormatting sqref="W15">
    <cfRule type="expression" dxfId="512" priority="498">
      <formula>MOD(ROW(),2)=0</formula>
    </cfRule>
  </conditionalFormatting>
  <conditionalFormatting sqref="W15">
    <cfRule type="expression" dxfId="511" priority="497">
      <formula>MOD(ROW(),2)=0</formula>
    </cfRule>
  </conditionalFormatting>
  <conditionalFormatting sqref="W15">
    <cfRule type="expression" dxfId="510" priority="496">
      <formula>MOD(ROW(),2)=0</formula>
    </cfRule>
  </conditionalFormatting>
  <conditionalFormatting sqref="W15">
    <cfRule type="expression" dxfId="509" priority="495">
      <formula>MOD(ROW(),2)=0</formula>
    </cfRule>
  </conditionalFormatting>
  <conditionalFormatting sqref="W15">
    <cfRule type="expression" dxfId="508" priority="494">
      <formula>MOD(ROW(),2)=0</formula>
    </cfRule>
  </conditionalFormatting>
  <conditionalFormatting sqref="W15">
    <cfRule type="expression" dxfId="507" priority="493">
      <formula>MOD(ROW(),2)=0</formula>
    </cfRule>
  </conditionalFormatting>
  <conditionalFormatting sqref="W15">
    <cfRule type="expression" dxfId="506" priority="492">
      <formula>MOD(ROW(),2)=0</formula>
    </cfRule>
  </conditionalFormatting>
  <conditionalFormatting sqref="W15">
    <cfRule type="expression" dxfId="505" priority="491">
      <formula>MOD(ROW(),2)=0</formula>
    </cfRule>
  </conditionalFormatting>
  <conditionalFormatting sqref="W15">
    <cfRule type="expression" dxfId="504" priority="490">
      <formula>MOD(ROW(),2)=0</formula>
    </cfRule>
  </conditionalFormatting>
  <conditionalFormatting sqref="W15">
    <cfRule type="expression" dxfId="503" priority="489">
      <formula>MOD(ROW(),2)=0</formula>
    </cfRule>
  </conditionalFormatting>
  <conditionalFormatting sqref="W15">
    <cfRule type="expression" dxfId="502" priority="488">
      <formula>MOD(ROW(),2)=0</formula>
    </cfRule>
  </conditionalFormatting>
  <conditionalFormatting sqref="W15">
    <cfRule type="expression" dxfId="501" priority="487">
      <formula>MOD(ROW(),2)=0</formula>
    </cfRule>
  </conditionalFormatting>
  <conditionalFormatting sqref="W15">
    <cfRule type="expression" dxfId="500" priority="486">
      <formula>MOD(ROW(),2)=0</formula>
    </cfRule>
  </conditionalFormatting>
  <conditionalFormatting sqref="W20">
    <cfRule type="expression" dxfId="499" priority="485">
      <formula>MOD(ROW(),2)=0</formula>
    </cfRule>
  </conditionalFormatting>
  <conditionalFormatting sqref="W20">
    <cfRule type="expression" dxfId="498" priority="484">
      <formula>MOD(ROW(),2)=0</formula>
    </cfRule>
  </conditionalFormatting>
  <conditionalFormatting sqref="W20">
    <cfRule type="expression" dxfId="497" priority="483">
      <formula>MOD(ROW(),2)=0</formula>
    </cfRule>
  </conditionalFormatting>
  <conditionalFormatting sqref="W20">
    <cfRule type="expression" dxfId="496" priority="482">
      <formula>MOD(ROW(),2)=0</formula>
    </cfRule>
  </conditionalFormatting>
  <conditionalFormatting sqref="W20">
    <cfRule type="expression" dxfId="495" priority="481">
      <formula>MOD(ROW(),2)=0</formula>
    </cfRule>
  </conditionalFormatting>
  <conditionalFormatting sqref="W20">
    <cfRule type="expression" dxfId="494" priority="480">
      <formula>MOD(ROW(),2)=0</formula>
    </cfRule>
  </conditionalFormatting>
  <conditionalFormatting sqref="W20">
    <cfRule type="expression" dxfId="493" priority="479">
      <formula>MOD(ROW(),2)=0</formula>
    </cfRule>
  </conditionalFormatting>
  <conditionalFormatting sqref="W20">
    <cfRule type="expression" dxfId="492" priority="478">
      <formula>MOD(ROW(),2)=0</formula>
    </cfRule>
  </conditionalFormatting>
  <conditionalFormatting sqref="W20">
    <cfRule type="expression" dxfId="491" priority="477">
      <formula>MOD(ROW(),2)=0</formula>
    </cfRule>
  </conditionalFormatting>
  <conditionalFormatting sqref="W20">
    <cfRule type="expression" dxfId="490" priority="476">
      <formula>MOD(ROW(),2)=0</formula>
    </cfRule>
  </conditionalFormatting>
  <conditionalFormatting sqref="W20">
    <cfRule type="expression" dxfId="489" priority="475">
      <formula>MOD(ROW(),2)=0</formula>
    </cfRule>
  </conditionalFormatting>
  <conditionalFormatting sqref="W20">
    <cfRule type="expression" dxfId="488" priority="474">
      <formula>MOD(ROW(),2)=0</formula>
    </cfRule>
  </conditionalFormatting>
  <conditionalFormatting sqref="W20">
    <cfRule type="expression" dxfId="487" priority="473">
      <formula>MOD(ROW(),2)=0</formula>
    </cfRule>
  </conditionalFormatting>
  <conditionalFormatting sqref="W20">
    <cfRule type="expression" dxfId="486" priority="472">
      <formula>MOD(ROW(),2)=0</formula>
    </cfRule>
  </conditionalFormatting>
  <conditionalFormatting sqref="W20">
    <cfRule type="expression" dxfId="485" priority="471">
      <formula>MOD(ROW(),2)=0</formula>
    </cfRule>
  </conditionalFormatting>
  <conditionalFormatting sqref="W20">
    <cfRule type="expression" dxfId="484" priority="470">
      <formula>MOD(ROW(),2)=0</formula>
    </cfRule>
  </conditionalFormatting>
  <conditionalFormatting sqref="X9">
    <cfRule type="expression" dxfId="483" priority="469">
      <formula>MOD(ROW(),2)=0</formula>
    </cfRule>
  </conditionalFormatting>
  <conditionalFormatting sqref="X8">
    <cfRule type="expression" dxfId="482" priority="468">
      <formula>MOD(ROW(),2)=0</formula>
    </cfRule>
  </conditionalFormatting>
  <conditionalFormatting sqref="X16 X12:X13">
    <cfRule type="expression" dxfId="481" priority="467">
      <formula>MOD(ROW(),2)=0</formula>
    </cfRule>
  </conditionalFormatting>
  <conditionalFormatting sqref="X14 X17:X19 X21">
    <cfRule type="expression" dxfId="480" priority="466">
      <formula>MOD(ROW(),2)=0</formula>
    </cfRule>
  </conditionalFormatting>
  <conditionalFormatting sqref="X11">
    <cfRule type="expression" dxfId="479" priority="465">
      <formula>MOD(ROW(),2)=0</formula>
    </cfRule>
  </conditionalFormatting>
  <conditionalFormatting sqref="X22">
    <cfRule type="expression" dxfId="478" priority="464">
      <formula>MOD(ROW(),2)=0</formula>
    </cfRule>
  </conditionalFormatting>
  <conditionalFormatting sqref="X10">
    <cfRule type="expression" dxfId="477" priority="463">
      <formula>MOD(ROW(),2)=0</formula>
    </cfRule>
  </conditionalFormatting>
  <conditionalFormatting sqref="X9">
    <cfRule type="expression" dxfId="476" priority="462">
      <formula>MOD(ROW(),2)=0</formula>
    </cfRule>
  </conditionalFormatting>
  <conditionalFormatting sqref="X8">
    <cfRule type="expression" dxfId="475" priority="461">
      <formula>MOD(ROW(),2)=0</formula>
    </cfRule>
  </conditionalFormatting>
  <conditionalFormatting sqref="X16 X12:X13">
    <cfRule type="expression" dxfId="474" priority="460">
      <formula>MOD(ROW(),2)=0</formula>
    </cfRule>
  </conditionalFormatting>
  <conditionalFormatting sqref="X14 X17:X19 X21">
    <cfRule type="expression" dxfId="473" priority="459">
      <formula>MOD(ROW(),2)=0</formula>
    </cfRule>
  </conditionalFormatting>
  <conditionalFormatting sqref="X11">
    <cfRule type="expression" dxfId="472" priority="458">
      <formula>MOD(ROW(),2)=0</formula>
    </cfRule>
  </conditionalFormatting>
  <conditionalFormatting sqref="X22">
    <cfRule type="expression" dxfId="471" priority="457">
      <formula>MOD(ROW(),2)=0</formula>
    </cfRule>
  </conditionalFormatting>
  <conditionalFormatting sqref="X10">
    <cfRule type="expression" dxfId="470" priority="456">
      <formula>MOD(ROW(),2)=0</formula>
    </cfRule>
  </conditionalFormatting>
  <conditionalFormatting sqref="X9">
    <cfRule type="expression" dxfId="469" priority="455">
      <formula>MOD(ROW(),2)=0</formula>
    </cfRule>
  </conditionalFormatting>
  <conditionalFormatting sqref="X8">
    <cfRule type="expression" dxfId="468" priority="454">
      <formula>MOD(ROW(),2)=0</formula>
    </cfRule>
  </conditionalFormatting>
  <conditionalFormatting sqref="X16 X12:X13">
    <cfRule type="expression" dxfId="467" priority="453">
      <formula>MOD(ROW(),2)=0</formula>
    </cfRule>
  </conditionalFormatting>
  <conditionalFormatting sqref="X14 X17:X19 X21">
    <cfRule type="expression" dxfId="466" priority="452">
      <formula>MOD(ROW(),2)=0</formula>
    </cfRule>
  </conditionalFormatting>
  <conditionalFormatting sqref="X11">
    <cfRule type="expression" dxfId="465" priority="451">
      <formula>MOD(ROW(),2)=0</formula>
    </cfRule>
  </conditionalFormatting>
  <conditionalFormatting sqref="X22">
    <cfRule type="expression" dxfId="464" priority="450">
      <formula>MOD(ROW(),2)=0</formula>
    </cfRule>
  </conditionalFormatting>
  <conditionalFormatting sqref="X10">
    <cfRule type="expression" dxfId="463" priority="449">
      <formula>MOD(ROW(),2)=0</formula>
    </cfRule>
  </conditionalFormatting>
  <conditionalFormatting sqref="X9">
    <cfRule type="expression" dxfId="462" priority="448">
      <formula>MOD(ROW(),2)=0</formula>
    </cfRule>
  </conditionalFormatting>
  <conditionalFormatting sqref="X8">
    <cfRule type="expression" dxfId="461" priority="447">
      <formula>MOD(ROW(),2)=0</formula>
    </cfRule>
  </conditionalFormatting>
  <conditionalFormatting sqref="X16 X12:X13">
    <cfRule type="expression" dxfId="460" priority="446">
      <formula>MOD(ROW(),2)=0</formula>
    </cfRule>
  </conditionalFormatting>
  <conditionalFormatting sqref="X14 X17:X19 X21">
    <cfRule type="expression" dxfId="459" priority="445">
      <formula>MOD(ROW(),2)=0</formula>
    </cfRule>
  </conditionalFormatting>
  <conditionalFormatting sqref="X11">
    <cfRule type="expression" dxfId="458" priority="444">
      <formula>MOD(ROW(),2)=0</formula>
    </cfRule>
  </conditionalFormatting>
  <conditionalFormatting sqref="X22">
    <cfRule type="expression" dxfId="457" priority="443">
      <formula>MOD(ROW(),2)=0</formula>
    </cfRule>
  </conditionalFormatting>
  <conditionalFormatting sqref="X10">
    <cfRule type="expression" dxfId="456" priority="442">
      <formula>MOD(ROW(),2)=0</formula>
    </cfRule>
  </conditionalFormatting>
  <conditionalFormatting sqref="X9">
    <cfRule type="expression" dxfId="455" priority="441">
      <formula>MOD(ROW(),2)=0</formula>
    </cfRule>
  </conditionalFormatting>
  <conditionalFormatting sqref="X8">
    <cfRule type="expression" dxfId="454" priority="440">
      <formula>MOD(ROW(),2)=0</formula>
    </cfRule>
  </conditionalFormatting>
  <conditionalFormatting sqref="X16 X12:X13">
    <cfRule type="expression" dxfId="453" priority="439">
      <formula>MOD(ROW(),2)=0</formula>
    </cfRule>
  </conditionalFormatting>
  <conditionalFormatting sqref="X14 X17:X19 X21">
    <cfRule type="expression" dxfId="452" priority="438">
      <formula>MOD(ROW(),2)=0</formula>
    </cfRule>
  </conditionalFormatting>
  <conditionalFormatting sqref="X11">
    <cfRule type="expression" dxfId="451" priority="437">
      <formula>MOD(ROW(),2)=0</formula>
    </cfRule>
  </conditionalFormatting>
  <conditionalFormatting sqref="X22">
    <cfRule type="expression" dxfId="450" priority="436">
      <formula>MOD(ROW(),2)=0</formula>
    </cfRule>
  </conditionalFormatting>
  <conditionalFormatting sqref="X10">
    <cfRule type="expression" dxfId="449" priority="435">
      <formula>MOD(ROW(),2)=0</formula>
    </cfRule>
  </conditionalFormatting>
  <conditionalFormatting sqref="X9">
    <cfRule type="expression" dxfId="448" priority="434">
      <formula>MOD(ROW(),2)=0</formula>
    </cfRule>
  </conditionalFormatting>
  <conditionalFormatting sqref="X8">
    <cfRule type="expression" dxfId="447" priority="433">
      <formula>MOD(ROW(),2)=0</formula>
    </cfRule>
  </conditionalFormatting>
  <conditionalFormatting sqref="X16 X12:X13">
    <cfRule type="expression" dxfId="446" priority="432">
      <formula>MOD(ROW(),2)=0</formula>
    </cfRule>
  </conditionalFormatting>
  <conditionalFormatting sqref="X14 X17:X19 X21">
    <cfRule type="expression" dxfId="445" priority="431">
      <formula>MOD(ROW(),2)=0</formula>
    </cfRule>
  </conditionalFormatting>
  <conditionalFormatting sqref="X11">
    <cfRule type="expression" dxfId="444" priority="430">
      <formula>MOD(ROW(),2)=0</formula>
    </cfRule>
  </conditionalFormatting>
  <conditionalFormatting sqref="X22">
    <cfRule type="expression" dxfId="443" priority="429">
      <formula>MOD(ROW(),2)=0</formula>
    </cfRule>
  </conditionalFormatting>
  <conditionalFormatting sqref="X10">
    <cfRule type="expression" dxfId="442" priority="428">
      <formula>MOD(ROW(),2)=0</formula>
    </cfRule>
  </conditionalFormatting>
  <conditionalFormatting sqref="X9">
    <cfRule type="expression" dxfId="441" priority="427">
      <formula>MOD(ROW(),2)=0</formula>
    </cfRule>
  </conditionalFormatting>
  <conditionalFormatting sqref="X8">
    <cfRule type="expression" dxfId="440" priority="426">
      <formula>MOD(ROW(),2)=0</formula>
    </cfRule>
  </conditionalFormatting>
  <conditionalFormatting sqref="X16 X12:X13">
    <cfRule type="expression" dxfId="439" priority="425">
      <formula>MOD(ROW(),2)=0</formula>
    </cfRule>
  </conditionalFormatting>
  <conditionalFormatting sqref="X14 X17:X19 X21">
    <cfRule type="expression" dxfId="438" priority="424">
      <formula>MOD(ROW(),2)=0</formula>
    </cfRule>
  </conditionalFormatting>
  <conditionalFormatting sqref="X11">
    <cfRule type="expression" dxfId="437" priority="423">
      <formula>MOD(ROW(),2)=0</formula>
    </cfRule>
  </conditionalFormatting>
  <conditionalFormatting sqref="X10">
    <cfRule type="expression" dxfId="436" priority="422">
      <formula>MOD(ROW(),2)=0</formula>
    </cfRule>
  </conditionalFormatting>
  <conditionalFormatting sqref="X22">
    <cfRule type="expression" dxfId="435" priority="421">
      <formula>MOD(ROW(),2)=0</formula>
    </cfRule>
  </conditionalFormatting>
  <conditionalFormatting sqref="X9">
    <cfRule type="expression" dxfId="434" priority="420">
      <formula>MOD(ROW(),2)=0</formula>
    </cfRule>
  </conditionalFormatting>
  <conditionalFormatting sqref="X8">
    <cfRule type="expression" dxfId="433" priority="419">
      <formula>MOD(ROW(),2)=0</formula>
    </cfRule>
  </conditionalFormatting>
  <conditionalFormatting sqref="X16 X12:X13">
    <cfRule type="expression" dxfId="432" priority="418">
      <formula>MOD(ROW(),2)=0</formula>
    </cfRule>
  </conditionalFormatting>
  <conditionalFormatting sqref="X14 X17:X19 X21">
    <cfRule type="expression" dxfId="431" priority="417">
      <formula>MOD(ROW(),2)=0</formula>
    </cfRule>
  </conditionalFormatting>
  <conditionalFormatting sqref="X11">
    <cfRule type="expression" dxfId="430" priority="416">
      <formula>MOD(ROW(),2)=0</formula>
    </cfRule>
  </conditionalFormatting>
  <conditionalFormatting sqref="X22">
    <cfRule type="expression" dxfId="429" priority="415">
      <formula>MOD(ROW(),2)=0</formula>
    </cfRule>
  </conditionalFormatting>
  <conditionalFormatting sqref="X10">
    <cfRule type="expression" dxfId="428" priority="414">
      <formula>MOD(ROW(),2)=0</formula>
    </cfRule>
  </conditionalFormatting>
  <conditionalFormatting sqref="X9">
    <cfRule type="expression" dxfId="427" priority="413">
      <formula>MOD(ROW(),2)=0</formula>
    </cfRule>
  </conditionalFormatting>
  <conditionalFormatting sqref="X8">
    <cfRule type="expression" dxfId="426" priority="412">
      <formula>MOD(ROW(),2)=0</formula>
    </cfRule>
  </conditionalFormatting>
  <conditionalFormatting sqref="X16 X12:X13">
    <cfRule type="expression" dxfId="425" priority="411">
      <formula>MOD(ROW(),2)=0</formula>
    </cfRule>
  </conditionalFormatting>
  <conditionalFormatting sqref="X14 X17:X19 X21">
    <cfRule type="expression" dxfId="424" priority="410">
      <formula>MOD(ROW(),2)=0</formula>
    </cfRule>
  </conditionalFormatting>
  <conditionalFormatting sqref="X11">
    <cfRule type="expression" dxfId="423" priority="409">
      <formula>MOD(ROW(),2)=0</formula>
    </cfRule>
  </conditionalFormatting>
  <conditionalFormatting sqref="X22">
    <cfRule type="expression" dxfId="422" priority="408">
      <formula>MOD(ROW(),2)=0</formula>
    </cfRule>
  </conditionalFormatting>
  <conditionalFormatting sqref="X10">
    <cfRule type="expression" dxfId="421" priority="407">
      <formula>MOD(ROW(),2)=0</formula>
    </cfRule>
  </conditionalFormatting>
  <conditionalFormatting sqref="X9">
    <cfRule type="expression" dxfId="420" priority="406">
      <formula>MOD(ROW(),2)=0</formula>
    </cfRule>
  </conditionalFormatting>
  <conditionalFormatting sqref="X8">
    <cfRule type="expression" dxfId="419" priority="405">
      <formula>MOD(ROW(),2)=0</formula>
    </cfRule>
  </conditionalFormatting>
  <conditionalFormatting sqref="X16 X12:X13">
    <cfRule type="expression" dxfId="418" priority="404">
      <formula>MOD(ROW(),2)=0</formula>
    </cfRule>
  </conditionalFormatting>
  <conditionalFormatting sqref="X14 X17:X19 X21">
    <cfRule type="expression" dxfId="417" priority="403">
      <formula>MOD(ROW(),2)=0</formula>
    </cfRule>
  </conditionalFormatting>
  <conditionalFormatting sqref="X11">
    <cfRule type="expression" dxfId="416" priority="402">
      <formula>MOD(ROW(),2)=0</formula>
    </cfRule>
  </conditionalFormatting>
  <conditionalFormatting sqref="X22">
    <cfRule type="expression" dxfId="415" priority="401">
      <formula>MOD(ROW(),2)=0</formula>
    </cfRule>
  </conditionalFormatting>
  <conditionalFormatting sqref="X10">
    <cfRule type="expression" dxfId="414" priority="400">
      <formula>MOD(ROW(),2)=0</formula>
    </cfRule>
  </conditionalFormatting>
  <conditionalFormatting sqref="X9">
    <cfRule type="expression" dxfId="413" priority="399">
      <formula>MOD(ROW(),2)=0</formula>
    </cfRule>
  </conditionalFormatting>
  <conditionalFormatting sqref="X8">
    <cfRule type="expression" dxfId="412" priority="398">
      <formula>MOD(ROW(),2)=0</formula>
    </cfRule>
  </conditionalFormatting>
  <conditionalFormatting sqref="X16 X12:X13">
    <cfRule type="expression" dxfId="411" priority="397">
      <formula>MOD(ROW(),2)=0</formula>
    </cfRule>
  </conditionalFormatting>
  <conditionalFormatting sqref="X14 X17:X19 X21">
    <cfRule type="expression" dxfId="410" priority="396">
      <formula>MOD(ROW(),2)=0</formula>
    </cfRule>
  </conditionalFormatting>
  <conditionalFormatting sqref="X11">
    <cfRule type="expression" dxfId="409" priority="395">
      <formula>MOD(ROW(),2)=0</formula>
    </cfRule>
  </conditionalFormatting>
  <conditionalFormatting sqref="X22">
    <cfRule type="expression" dxfId="408" priority="394">
      <formula>MOD(ROW(),2)=0</formula>
    </cfRule>
  </conditionalFormatting>
  <conditionalFormatting sqref="X10">
    <cfRule type="expression" dxfId="407" priority="393">
      <formula>MOD(ROW(),2)=0</formula>
    </cfRule>
  </conditionalFormatting>
  <conditionalFormatting sqref="X9">
    <cfRule type="expression" dxfId="406" priority="392">
      <formula>MOD(ROW(),2)=0</formula>
    </cfRule>
  </conditionalFormatting>
  <conditionalFormatting sqref="X8">
    <cfRule type="expression" dxfId="405" priority="391">
      <formula>MOD(ROW(),2)=0</formula>
    </cfRule>
  </conditionalFormatting>
  <conditionalFormatting sqref="X16 X12:X13">
    <cfRule type="expression" dxfId="404" priority="390">
      <formula>MOD(ROW(),2)=0</formula>
    </cfRule>
  </conditionalFormatting>
  <conditionalFormatting sqref="X14 X17:X19 X21">
    <cfRule type="expression" dxfId="403" priority="389">
      <formula>MOD(ROW(),2)=0</formula>
    </cfRule>
  </conditionalFormatting>
  <conditionalFormatting sqref="X11">
    <cfRule type="expression" dxfId="402" priority="388">
      <formula>MOD(ROW(),2)=0</formula>
    </cfRule>
  </conditionalFormatting>
  <conditionalFormatting sqref="X22">
    <cfRule type="expression" dxfId="401" priority="387">
      <formula>MOD(ROW(),2)=0</formula>
    </cfRule>
  </conditionalFormatting>
  <conditionalFormatting sqref="X10">
    <cfRule type="expression" dxfId="400" priority="386">
      <formula>MOD(ROW(),2)=0</formula>
    </cfRule>
  </conditionalFormatting>
  <conditionalFormatting sqref="X9">
    <cfRule type="expression" dxfId="399" priority="385">
      <formula>MOD(ROW(),2)=0</formula>
    </cfRule>
  </conditionalFormatting>
  <conditionalFormatting sqref="X8">
    <cfRule type="expression" dxfId="398" priority="384">
      <formula>MOD(ROW(),2)=0</formula>
    </cfRule>
  </conditionalFormatting>
  <conditionalFormatting sqref="X16 X12:X13">
    <cfRule type="expression" dxfId="397" priority="383">
      <formula>MOD(ROW(),2)=0</formula>
    </cfRule>
  </conditionalFormatting>
  <conditionalFormatting sqref="X14 X17:X19 X21">
    <cfRule type="expression" dxfId="396" priority="382">
      <formula>MOD(ROW(),2)=0</formula>
    </cfRule>
  </conditionalFormatting>
  <conditionalFormatting sqref="X11">
    <cfRule type="expression" dxfId="395" priority="381">
      <formula>MOD(ROW(),2)=0</formula>
    </cfRule>
  </conditionalFormatting>
  <conditionalFormatting sqref="X22">
    <cfRule type="expression" dxfId="394" priority="380">
      <formula>MOD(ROW(),2)=0</formula>
    </cfRule>
  </conditionalFormatting>
  <conditionalFormatting sqref="X10">
    <cfRule type="expression" dxfId="393" priority="379">
      <formula>MOD(ROW(),2)=0</formula>
    </cfRule>
  </conditionalFormatting>
  <conditionalFormatting sqref="X9">
    <cfRule type="expression" dxfId="392" priority="378">
      <formula>MOD(ROW(),2)=0</formula>
    </cfRule>
  </conditionalFormatting>
  <conditionalFormatting sqref="X8">
    <cfRule type="expression" dxfId="391" priority="377">
      <formula>MOD(ROW(),2)=0</formula>
    </cfRule>
  </conditionalFormatting>
  <conditionalFormatting sqref="X16 X12:X13">
    <cfRule type="expression" dxfId="390" priority="376">
      <formula>MOD(ROW(),2)=0</formula>
    </cfRule>
  </conditionalFormatting>
  <conditionalFormatting sqref="X14 X17:X19 X21">
    <cfRule type="expression" dxfId="389" priority="375">
      <formula>MOD(ROW(),2)=0</formula>
    </cfRule>
  </conditionalFormatting>
  <conditionalFormatting sqref="X11">
    <cfRule type="expression" dxfId="388" priority="374">
      <formula>MOD(ROW(),2)=0</formula>
    </cfRule>
  </conditionalFormatting>
  <conditionalFormatting sqref="X22">
    <cfRule type="expression" dxfId="387" priority="373">
      <formula>MOD(ROW(),2)=0</formula>
    </cfRule>
  </conditionalFormatting>
  <conditionalFormatting sqref="X10">
    <cfRule type="expression" dxfId="386" priority="372">
      <formula>MOD(ROW(),2)=0</formula>
    </cfRule>
  </conditionalFormatting>
  <conditionalFormatting sqref="X9">
    <cfRule type="expression" dxfId="385" priority="371">
      <formula>MOD(ROW(),2)=0</formula>
    </cfRule>
  </conditionalFormatting>
  <conditionalFormatting sqref="X8">
    <cfRule type="expression" dxfId="384" priority="370">
      <formula>MOD(ROW(),2)=0</formula>
    </cfRule>
  </conditionalFormatting>
  <conditionalFormatting sqref="X16 X12:X13">
    <cfRule type="expression" dxfId="383" priority="369">
      <formula>MOD(ROW(),2)=0</formula>
    </cfRule>
  </conditionalFormatting>
  <conditionalFormatting sqref="X14 X17:X19 X21">
    <cfRule type="expression" dxfId="382" priority="368">
      <formula>MOD(ROW(),2)=0</formula>
    </cfRule>
  </conditionalFormatting>
  <conditionalFormatting sqref="X11">
    <cfRule type="expression" dxfId="381" priority="367">
      <formula>MOD(ROW(),2)=0</formula>
    </cfRule>
  </conditionalFormatting>
  <conditionalFormatting sqref="X10">
    <cfRule type="expression" dxfId="380" priority="366">
      <formula>MOD(ROW(),2)=0</formula>
    </cfRule>
  </conditionalFormatting>
  <conditionalFormatting sqref="X22">
    <cfRule type="expression" dxfId="379" priority="365">
      <formula>MOD(ROW(),2)=0</formula>
    </cfRule>
  </conditionalFormatting>
  <conditionalFormatting sqref="X9">
    <cfRule type="expression" dxfId="378" priority="364">
      <formula>MOD(ROW(),2)=0</formula>
    </cfRule>
  </conditionalFormatting>
  <conditionalFormatting sqref="X8">
    <cfRule type="expression" dxfId="377" priority="363">
      <formula>MOD(ROW(),2)=0</formula>
    </cfRule>
  </conditionalFormatting>
  <conditionalFormatting sqref="X16 X12:X13">
    <cfRule type="expression" dxfId="376" priority="362">
      <formula>MOD(ROW(),2)=0</formula>
    </cfRule>
  </conditionalFormatting>
  <conditionalFormatting sqref="X14 X17:X19 X21">
    <cfRule type="expression" dxfId="375" priority="361">
      <formula>MOD(ROW(),2)=0</formula>
    </cfRule>
  </conditionalFormatting>
  <conditionalFormatting sqref="X11">
    <cfRule type="expression" dxfId="374" priority="360">
      <formula>MOD(ROW(),2)=0</formula>
    </cfRule>
  </conditionalFormatting>
  <conditionalFormatting sqref="X22">
    <cfRule type="expression" dxfId="373" priority="359">
      <formula>MOD(ROW(),2)=0</formula>
    </cfRule>
  </conditionalFormatting>
  <conditionalFormatting sqref="X10">
    <cfRule type="expression" dxfId="372" priority="358">
      <formula>MOD(ROW(),2)=0</formula>
    </cfRule>
  </conditionalFormatting>
  <conditionalFormatting sqref="X15">
    <cfRule type="expression" dxfId="371" priority="357">
      <formula>MOD(ROW(),2)=0</formula>
    </cfRule>
  </conditionalFormatting>
  <conditionalFormatting sqref="X15">
    <cfRule type="expression" dxfId="370" priority="356">
      <formula>MOD(ROW(),2)=0</formula>
    </cfRule>
  </conditionalFormatting>
  <conditionalFormatting sqref="X15">
    <cfRule type="expression" dxfId="369" priority="355">
      <formula>MOD(ROW(),2)=0</formula>
    </cfRule>
  </conditionalFormatting>
  <conditionalFormatting sqref="X15">
    <cfRule type="expression" dxfId="368" priority="354">
      <formula>MOD(ROW(),2)=0</formula>
    </cfRule>
  </conditionalFormatting>
  <conditionalFormatting sqref="X15">
    <cfRule type="expression" dxfId="367" priority="353">
      <formula>MOD(ROW(),2)=0</formula>
    </cfRule>
  </conditionalFormatting>
  <conditionalFormatting sqref="X15">
    <cfRule type="expression" dxfId="366" priority="352">
      <formula>MOD(ROW(),2)=0</formula>
    </cfRule>
  </conditionalFormatting>
  <conditionalFormatting sqref="X15">
    <cfRule type="expression" dxfId="365" priority="351">
      <formula>MOD(ROW(),2)=0</formula>
    </cfRule>
  </conditionalFormatting>
  <conditionalFormatting sqref="X15">
    <cfRule type="expression" dxfId="364" priority="350">
      <formula>MOD(ROW(),2)=0</formula>
    </cfRule>
  </conditionalFormatting>
  <conditionalFormatting sqref="X15">
    <cfRule type="expression" dxfId="363" priority="349">
      <formula>MOD(ROW(),2)=0</formula>
    </cfRule>
  </conditionalFormatting>
  <conditionalFormatting sqref="X15">
    <cfRule type="expression" dxfId="362" priority="348">
      <formula>MOD(ROW(),2)=0</formula>
    </cfRule>
  </conditionalFormatting>
  <conditionalFormatting sqref="X15">
    <cfRule type="expression" dxfId="361" priority="347">
      <formula>MOD(ROW(),2)=0</formula>
    </cfRule>
  </conditionalFormatting>
  <conditionalFormatting sqref="X15">
    <cfRule type="expression" dxfId="360" priority="346">
      <formula>MOD(ROW(),2)=0</formula>
    </cfRule>
  </conditionalFormatting>
  <conditionalFormatting sqref="X15">
    <cfRule type="expression" dxfId="359" priority="345">
      <formula>MOD(ROW(),2)=0</formula>
    </cfRule>
  </conditionalFormatting>
  <conditionalFormatting sqref="X15">
    <cfRule type="expression" dxfId="358" priority="344">
      <formula>MOD(ROW(),2)=0</formula>
    </cfRule>
  </conditionalFormatting>
  <conditionalFormatting sqref="X15">
    <cfRule type="expression" dxfId="357" priority="343">
      <formula>MOD(ROW(),2)=0</formula>
    </cfRule>
  </conditionalFormatting>
  <conditionalFormatting sqref="X15">
    <cfRule type="expression" dxfId="356" priority="342">
      <formula>MOD(ROW(),2)=0</formula>
    </cfRule>
  </conditionalFormatting>
  <conditionalFormatting sqref="X20">
    <cfRule type="expression" dxfId="355" priority="341">
      <formula>MOD(ROW(),2)=0</formula>
    </cfRule>
  </conditionalFormatting>
  <conditionalFormatting sqref="X20">
    <cfRule type="expression" dxfId="354" priority="340">
      <formula>MOD(ROW(),2)=0</formula>
    </cfRule>
  </conditionalFormatting>
  <conditionalFormatting sqref="X20">
    <cfRule type="expression" dxfId="353" priority="339">
      <formula>MOD(ROW(),2)=0</formula>
    </cfRule>
  </conditionalFormatting>
  <conditionalFormatting sqref="X20">
    <cfRule type="expression" dxfId="352" priority="338">
      <formula>MOD(ROW(),2)=0</formula>
    </cfRule>
  </conditionalFormatting>
  <conditionalFormatting sqref="X20">
    <cfRule type="expression" dxfId="351" priority="337">
      <formula>MOD(ROW(),2)=0</formula>
    </cfRule>
  </conditionalFormatting>
  <conditionalFormatting sqref="X20">
    <cfRule type="expression" dxfId="350" priority="336">
      <formula>MOD(ROW(),2)=0</formula>
    </cfRule>
  </conditionalFormatting>
  <conditionalFormatting sqref="X20">
    <cfRule type="expression" dxfId="349" priority="335">
      <formula>MOD(ROW(),2)=0</formula>
    </cfRule>
  </conditionalFormatting>
  <conditionalFormatting sqref="X20">
    <cfRule type="expression" dxfId="348" priority="334">
      <formula>MOD(ROW(),2)=0</formula>
    </cfRule>
  </conditionalFormatting>
  <conditionalFormatting sqref="X20">
    <cfRule type="expression" dxfId="347" priority="333">
      <formula>MOD(ROW(),2)=0</formula>
    </cfRule>
  </conditionalFormatting>
  <conditionalFormatting sqref="X20">
    <cfRule type="expression" dxfId="346" priority="332">
      <formula>MOD(ROW(),2)=0</formula>
    </cfRule>
  </conditionalFormatting>
  <conditionalFormatting sqref="X20">
    <cfRule type="expression" dxfId="345" priority="331">
      <formula>MOD(ROW(),2)=0</formula>
    </cfRule>
  </conditionalFormatting>
  <conditionalFormatting sqref="X20">
    <cfRule type="expression" dxfId="344" priority="330">
      <formula>MOD(ROW(),2)=0</formula>
    </cfRule>
  </conditionalFormatting>
  <conditionalFormatting sqref="X20">
    <cfRule type="expression" dxfId="343" priority="329">
      <formula>MOD(ROW(),2)=0</formula>
    </cfRule>
  </conditionalFormatting>
  <conditionalFormatting sqref="X20">
    <cfRule type="expression" dxfId="342" priority="328">
      <formula>MOD(ROW(),2)=0</formula>
    </cfRule>
  </conditionalFormatting>
  <conditionalFormatting sqref="X20">
    <cfRule type="expression" dxfId="341" priority="327">
      <formula>MOD(ROW(),2)=0</formula>
    </cfRule>
  </conditionalFormatting>
  <conditionalFormatting sqref="X20">
    <cfRule type="expression" dxfId="340" priority="326">
      <formula>MOD(ROW(),2)=0</formula>
    </cfRule>
  </conditionalFormatting>
  <conditionalFormatting sqref="Y9">
    <cfRule type="expression" dxfId="339" priority="325">
      <formula>MOD(ROW(),2)=0</formula>
    </cfRule>
  </conditionalFormatting>
  <conditionalFormatting sqref="Y8">
    <cfRule type="expression" dxfId="338" priority="324">
      <formula>MOD(ROW(),2)=0</formula>
    </cfRule>
  </conditionalFormatting>
  <conditionalFormatting sqref="Y16 Y12:Y13">
    <cfRule type="expression" dxfId="337" priority="323">
      <formula>MOD(ROW(),2)=0</formula>
    </cfRule>
  </conditionalFormatting>
  <conditionalFormatting sqref="Y14 Y17:Y19 Y21">
    <cfRule type="expression" dxfId="336" priority="322">
      <formula>MOD(ROW(),2)=0</formula>
    </cfRule>
  </conditionalFormatting>
  <conditionalFormatting sqref="Y11">
    <cfRule type="expression" dxfId="335" priority="321">
      <formula>MOD(ROW(),2)=0</formula>
    </cfRule>
  </conditionalFormatting>
  <conditionalFormatting sqref="Y22">
    <cfRule type="expression" dxfId="334" priority="320">
      <formula>MOD(ROW(),2)=0</formula>
    </cfRule>
  </conditionalFormatting>
  <conditionalFormatting sqref="Y10">
    <cfRule type="expression" dxfId="333" priority="319">
      <formula>MOD(ROW(),2)=0</formula>
    </cfRule>
  </conditionalFormatting>
  <conditionalFormatting sqref="Y9">
    <cfRule type="expression" dxfId="332" priority="318">
      <formula>MOD(ROW(),2)=0</formula>
    </cfRule>
  </conditionalFormatting>
  <conditionalFormatting sqref="Y8">
    <cfRule type="expression" dxfId="331" priority="317">
      <formula>MOD(ROW(),2)=0</formula>
    </cfRule>
  </conditionalFormatting>
  <conditionalFormatting sqref="Y16 Y12:Y13">
    <cfRule type="expression" dxfId="330" priority="316">
      <formula>MOD(ROW(),2)=0</formula>
    </cfRule>
  </conditionalFormatting>
  <conditionalFormatting sqref="Y14 Y17:Y19 Y21">
    <cfRule type="expression" dxfId="329" priority="315">
      <formula>MOD(ROW(),2)=0</formula>
    </cfRule>
  </conditionalFormatting>
  <conditionalFormatting sqref="Y11">
    <cfRule type="expression" dxfId="328" priority="314">
      <formula>MOD(ROW(),2)=0</formula>
    </cfRule>
  </conditionalFormatting>
  <conditionalFormatting sqref="Y22">
    <cfRule type="expression" dxfId="327" priority="313">
      <formula>MOD(ROW(),2)=0</formula>
    </cfRule>
  </conditionalFormatting>
  <conditionalFormatting sqref="Y10">
    <cfRule type="expression" dxfId="326" priority="312">
      <formula>MOD(ROW(),2)=0</formula>
    </cfRule>
  </conditionalFormatting>
  <conditionalFormatting sqref="Y9">
    <cfRule type="expression" dxfId="325" priority="311">
      <formula>MOD(ROW(),2)=0</formula>
    </cfRule>
  </conditionalFormatting>
  <conditionalFormatting sqref="Y8">
    <cfRule type="expression" dxfId="324" priority="310">
      <formula>MOD(ROW(),2)=0</formula>
    </cfRule>
  </conditionalFormatting>
  <conditionalFormatting sqref="Y16 Y12:Y13">
    <cfRule type="expression" dxfId="323" priority="309">
      <formula>MOD(ROW(),2)=0</formula>
    </cfRule>
  </conditionalFormatting>
  <conditionalFormatting sqref="Y14 Y17:Y19 Y21">
    <cfRule type="expression" dxfId="322" priority="308">
      <formula>MOD(ROW(),2)=0</formula>
    </cfRule>
  </conditionalFormatting>
  <conditionalFormatting sqref="Y11">
    <cfRule type="expression" dxfId="321" priority="307">
      <formula>MOD(ROW(),2)=0</formula>
    </cfRule>
  </conditionalFormatting>
  <conditionalFormatting sqref="Y22">
    <cfRule type="expression" dxfId="320" priority="306">
      <formula>MOD(ROW(),2)=0</formula>
    </cfRule>
  </conditionalFormatting>
  <conditionalFormatting sqref="Y10">
    <cfRule type="expression" dxfId="319" priority="305">
      <formula>MOD(ROW(),2)=0</formula>
    </cfRule>
  </conditionalFormatting>
  <conditionalFormatting sqref="Y9">
    <cfRule type="expression" dxfId="318" priority="304">
      <formula>MOD(ROW(),2)=0</formula>
    </cfRule>
  </conditionalFormatting>
  <conditionalFormatting sqref="Y8">
    <cfRule type="expression" dxfId="317" priority="303">
      <formula>MOD(ROW(),2)=0</formula>
    </cfRule>
  </conditionalFormatting>
  <conditionalFormatting sqref="Y16 Y12:Y13">
    <cfRule type="expression" dxfId="316" priority="302">
      <formula>MOD(ROW(),2)=0</formula>
    </cfRule>
  </conditionalFormatting>
  <conditionalFormatting sqref="Y14 Y17:Y19 Y21">
    <cfRule type="expression" dxfId="315" priority="301">
      <formula>MOD(ROW(),2)=0</formula>
    </cfRule>
  </conditionalFormatting>
  <conditionalFormatting sqref="Y11">
    <cfRule type="expression" dxfId="314" priority="300">
      <formula>MOD(ROW(),2)=0</formula>
    </cfRule>
  </conditionalFormatting>
  <conditionalFormatting sqref="Y22">
    <cfRule type="expression" dxfId="313" priority="299">
      <formula>MOD(ROW(),2)=0</formula>
    </cfRule>
  </conditionalFormatting>
  <conditionalFormatting sqref="Y10">
    <cfRule type="expression" dxfId="312" priority="298">
      <formula>MOD(ROW(),2)=0</formula>
    </cfRule>
  </conditionalFormatting>
  <conditionalFormatting sqref="Y9">
    <cfRule type="expression" dxfId="311" priority="297">
      <formula>MOD(ROW(),2)=0</formula>
    </cfRule>
  </conditionalFormatting>
  <conditionalFormatting sqref="Y8">
    <cfRule type="expression" dxfId="310" priority="296">
      <formula>MOD(ROW(),2)=0</formula>
    </cfRule>
  </conditionalFormatting>
  <conditionalFormatting sqref="Y16 Y12:Y13">
    <cfRule type="expression" dxfId="309" priority="295">
      <formula>MOD(ROW(),2)=0</formula>
    </cfRule>
  </conditionalFormatting>
  <conditionalFormatting sqref="Y14 Y17:Y19 Y21">
    <cfRule type="expression" dxfId="308" priority="294">
      <formula>MOD(ROW(),2)=0</formula>
    </cfRule>
  </conditionalFormatting>
  <conditionalFormatting sqref="Y11">
    <cfRule type="expression" dxfId="307" priority="293">
      <formula>MOD(ROW(),2)=0</formula>
    </cfRule>
  </conditionalFormatting>
  <conditionalFormatting sqref="Y22">
    <cfRule type="expression" dxfId="306" priority="292">
      <formula>MOD(ROW(),2)=0</formula>
    </cfRule>
  </conditionalFormatting>
  <conditionalFormatting sqref="Y10">
    <cfRule type="expression" dxfId="305" priority="291">
      <formula>MOD(ROW(),2)=0</formula>
    </cfRule>
  </conditionalFormatting>
  <conditionalFormatting sqref="Y9">
    <cfRule type="expression" dxfId="304" priority="290">
      <formula>MOD(ROW(),2)=0</formula>
    </cfRule>
  </conditionalFormatting>
  <conditionalFormatting sqref="Y8">
    <cfRule type="expression" dxfId="303" priority="289">
      <formula>MOD(ROW(),2)=0</formula>
    </cfRule>
  </conditionalFormatting>
  <conditionalFormatting sqref="Y16 Y12:Y13">
    <cfRule type="expression" dxfId="302" priority="288">
      <formula>MOD(ROW(),2)=0</formula>
    </cfRule>
  </conditionalFormatting>
  <conditionalFormatting sqref="Y14 Y17:Y19 Y21">
    <cfRule type="expression" dxfId="301" priority="287">
      <formula>MOD(ROW(),2)=0</formula>
    </cfRule>
  </conditionalFormatting>
  <conditionalFormatting sqref="Y11">
    <cfRule type="expression" dxfId="300" priority="286">
      <formula>MOD(ROW(),2)=0</formula>
    </cfRule>
  </conditionalFormatting>
  <conditionalFormatting sqref="Y22">
    <cfRule type="expression" dxfId="299" priority="285">
      <formula>MOD(ROW(),2)=0</formula>
    </cfRule>
  </conditionalFormatting>
  <conditionalFormatting sqref="Y10">
    <cfRule type="expression" dxfId="298" priority="284">
      <formula>MOD(ROW(),2)=0</formula>
    </cfRule>
  </conditionalFormatting>
  <conditionalFormatting sqref="Y9">
    <cfRule type="expression" dxfId="297" priority="283">
      <formula>MOD(ROW(),2)=0</formula>
    </cfRule>
  </conditionalFormatting>
  <conditionalFormatting sqref="Y8">
    <cfRule type="expression" dxfId="296" priority="282">
      <formula>MOD(ROW(),2)=0</formula>
    </cfRule>
  </conditionalFormatting>
  <conditionalFormatting sqref="Y16 Y12:Y13">
    <cfRule type="expression" dxfId="295" priority="281">
      <formula>MOD(ROW(),2)=0</formula>
    </cfRule>
  </conditionalFormatting>
  <conditionalFormatting sqref="Y14 Y17:Y19 Y21">
    <cfRule type="expression" dxfId="294" priority="280">
      <formula>MOD(ROW(),2)=0</formula>
    </cfRule>
  </conditionalFormatting>
  <conditionalFormatting sqref="Y11">
    <cfRule type="expression" dxfId="293" priority="279">
      <formula>MOD(ROW(),2)=0</formula>
    </cfRule>
  </conditionalFormatting>
  <conditionalFormatting sqref="Y10">
    <cfRule type="expression" dxfId="292" priority="278">
      <formula>MOD(ROW(),2)=0</formula>
    </cfRule>
  </conditionalFormatting>
  <conditionalFormatting sqref="Y22">
    <cfRule type="expression" dxfId="291" priority="277">
      <formula>MOD(ROW(),2)=0</formula>
    </cfRule>
  </conditionalFormatting>
  <conditionalFormatting sqref="Y9">
    <cfRule type="expression" dxfId="290" priority="276">
      <formula>MOD(ROW(),2)=0</formula>
    </cfRule>
  </conditionalFormatting>
  <conditionalFormatting sqref="Y8">
    <cfRule type="expression" dxfId="289" priority="275">
      <formula>MOD(ROW(),2)=0</formula>
    </cfRule>
  </conditionalFormatting>
  <conditionalFormatting sqref="Y16 Y12:Y13">
    <cfRule type="expression" dxfId="288" priority="274">
      <formula>MOD(ROW(),2)=0</formula>
    </cfRule>
  </conditionalFormatting>
  <conditionalFormatting sqref="Y14 Y17:Y19 Y21">
    <cfRule type="expression" dxfId="287" priority="273">
      <formula>MOD(ROW(),2)=0</formula>
    </cfRule>
  </conditionalFormatting>
  <conditionalFormatting sqref="Y11">
    <cfRule type="expression" dxfId="286" priority="272">
      <formula>MOD(ROW(),2)=0</formula>
    </cfRule>
  </conditionalFormatting>
  <conditionalFormatting sqref="Y22">
    <cfRule type="expression" dxfId="285" priority="271">
      <formula>MOD(ROW(),2)=0</formula>
    </cfRule>
  </conditionalFormatting>
  <conditionalFormatting sqref="Y10">
    <cfRule type="expression" dxfId="284" priority="270">
      <formula>MOD(ROW(),2)=0</formula>
    </cfRule>
  </conditionalFormatting>
  <conditionalFormatting sqref="Y9">
    <cfRule type="expression" dxfId="283" priority="269">
      <formula>MOD(ROW(),2)=0</formula>
    </cfRule>
  </conditionalFormatting>
  <conditionalFormatting sqref="Y8">
    <cfRule type="expression" dxfId="282" priority="268">
      <formula>MOD(ROW(),2)=0</formula>
    </cfRule>
  </conditionalFormatting>
  <conditionalFormatting sqref="Y16 Y12:Y13">
    <cfRule type="expression" dxfId="281" priority="267">
      <formula>MOD(ROW(),2)=0</formula>
    </cfRule>
  </conditionalFormatting>
  <conditionalFormatting sqref="Y14 Y17:Y19 Y21">
    <cfRule type="expression" dxfId="280" priority="266">
      <formula>MOD(ROW(),2)=0</formula>
    </cfRule>
  </conditionalFormatting>
  <conditionalFormatting sqref="Y11">
    <cfRule type="expression" dxfId="279" priority="265">
      <formula>MOD(ROW(),2)=0</formula>
    </cfRule>
  </conditionalFormatting>
  <conditionalFormatting sqref="Y22">
    <cfRule type="expression" dxfId="278" priority="264">
      <formula>MOD(ROW(),2)=0</formula>
    </cfRule>
  </conditionalFormatting>
  <conditionalFormatting sqref="Y10">
    <cfRule type="expression" dxfId="277" priority="263">
      <formula>MOD(ROW(),2)=0</formula>
    </cfRule>
  </conditionalFormatting>
  <conditionalFormatting sqref="Y9">
    <cfRule type="expression" dxfId="276" priority="262">
      <formula>MOD(ROW(),2)=0</formula>
    </cfRule>
  </conditionalFormatting>
  <conditionalFormatting sqref="Y8">
    <cfRule type="expression" dxfId="275" priority="261">
      <formula>MOD(ROW(),2)=0</formula>
    </cfRule>
  </conditionalFormatting>
  <conditionalFormatting sqref="Y16 Y12:Y13">
    <cfRule type="expression" dxfId="274" priority="260">
      <formula>MOD(ROW(),2)=0</formula>
    </cfRule>
  </conditionalFormatting>
  <conditionalFormatting sqref="Y14 Y17:Y19 Y21">
    <cfRule type="expression" dxfId="273" priority="259">
      <formula>MOD(ROW(),2)=0</formula>
    </cfRule>
  </conditionalFormatting>
  <conditionalFormatting sqref="Y11">
    <cfRule type="expression" dxfId="272" priority="258">
      <formula>MOD(ROW(),2)=0</formula>
    </cfRule>
  </conditionalFormatting>
  <conditionalFormatting sqref="Y22">
    <cfRule type="expression" dxfId="271" priority="257">
      <formula>MOD(ROW(),2)=0</formula>
    </cfRule>
  </conditionalFormatting>
  <conditionalFormatting sqref="Y10">
    <cfRule type="expression" dxfId="270" priority="256">
      <formula>MOD(ROW(),2)=0</formula>
    </cfRule>
  </conditionalFormatting>
  <conditionalFormatting sqref="Y9">
    <cfRule type="expression" dxfId="269" priority="255">
      <formula>MOD(ROW(),2)=0</formula>
    </cfRule>
  </conditionalFormatting>
  <conditionalFormatting sqref="Y8">
    <cfRule type="expression" dxfId="268" priority="254">
      <formula>MOD(ROW(),2)=0</formula>
    </cfRule>
  </conditionalFormatting>
  <conditionalFormatting sqref="Y16 Y12:Y13">
    <cfRule type="expression" dxfId="267" priority="253">
      <formula>MOD(ROW(),2)=0</formula>
    </cfRule>
  </conditionalFormatting>
  <conditionalFormatting sqref="Y14 Y17:Y19 Y21">
    <cfRule type="expression" dxfId="266" priority="252">
      <formula>MOD(ROW(),2)=0</formula>
    </cfRule>
  </conditionalFormatting>
  <conditionalFormatting sqref="Y11">
    <cfRule type="expression" dxfId="265" priority="251">
      <formula>MOD(ROW(),2)=0</formula>
    </cfRule>
  </conditionalFormatting>
  <conditionalFormatting sqref="Y22">
    <cfRule type="expression" dxfId="264" priority="250">
      <formula>MOD(ROW(),2)=0</formula>
    </cfRule>
  </conditionalFormatting>
  <conditionalFormatting sqref="Y10">
    <cfRule type="expression" dxfId="263" priority="249">
      <formula>MOD(ROW(),2)=0</formula>
    </cfRule>
  </conditionalFormatting>
  <conditionalFormatting sqref="Y9">
    <cfRule type="expression" dxfId="262" priority="248">
      <formula>MOD(ROW(),2)=0</formula>
    </cfRule>
  </conditionalFormatting>
  <conditionalFormatting sqref="Y8">
    <cfRule type="expression" dxfId="261" priority="247">
      <formula>MOD(ROW(),2)=0</formula>
    </cfRule>
  </conditionalFormatting>
  <conditionalFormatting sqref="Y16 Y12:Y13">
    <cfRule type="expression" dxfId="260" priority="246">
      <formula>MOD(ROW(),2)=0</formula>
    </cfRule>
  </conditionalFormatting>
  <conditionalFormatting sqref="Y14 Y17:Y19 Y21">
    <cfRule type="expression" dxfId="259" priority="245">
      <formula>MOD(ROW(),2)=0</formula>
    </cfRule>
  </conditionalFormatting>
  <conditionalFormatting sqref="Y11">
    <cfRule type="expression" dxfId="258" priority="244">
      <formula>MOD(ROW(),2)=0</formula>
    </cfRule>
  </conditionalFormatting>
  <conditionalFormatting sqref="Y22">
    <cfRule type="expression" dxfId="257" priority="243">
      <formula>MOD(ROW(),2)=0</formula>
    </cfRule>
  </conditionalFormatting>
  <conditionalFormatting sqref="Y10">
    <cfRule type="expression" dxfId="256" priority="242">
      <formula>MOD(ROW(),2)=0</formula>
    </cfRule>
  </conditionalFormatting>
  <conditionalFormatting sqref="Y9">
    <cfRule type="expression" dxfId="255" priority="241">
      <formula>MOD(ROW(),2)=0</formula>
    </cfRule>
  </conditionalFormatting>
  <conditionalFormatting sqref="Y8">
    <cfRule type="expression" dxfId="254" priority="240">
      <formula>MOD(ROW(),2)=0</formula>
    </cfRule>
  </conditionalFormatting>
  <conditionalFormatting sqref="Y16 Y12:Y13">
    <cfRule type="expression" dxfId="253" priority="239">
      <formula>MOD(ROW(),2)=0</formula>
    </cfRule>
  </conditionalFormatting>
  <conditionalFormatting sqref="Y14 Y17:Y19 Y21">
    <cfRule type="expression" dxfId="252" priority="238">
      <formula>MOD(ROW(),2)=0</formula>
    </cfRule>
  </conditionalFormatting>
  <conditionalFormatting sqref="Y11">
    <cfRule type="expression" dxfId="251" priority="237">
      <formula>MOD(ROW(),2)=0</formula>
    </cfRule>
  </conditionalFormatting>
  <conditionalFormatting sqref="Y22">
    <cfRule type="expression" dxfId="250" priority="236">
      <formula>MOD(ROW(),2)=0</formula>
    </cfRule>
  </conditionalFormatting>
  <conditionalFormatting sqref="Y10">
    <cfRule type="expression" dxfId="249" priority="235">
      <formula>MOD(ROW(),2)=0</formula>
    </cfRule>
  </conditionalFormatting>
  <conditionalFormatting sqref="Y9">
    <cfRule type="expression" dxfId="248" priority="234">
      <formula>MOD(ROW(),2)=0</formula>
    </cfRule>
  </conditionalFormatting>
  <conditionalFormatting sqref="Y8">
    <cfRule type="expression" dxfId="247" priority="233">
      <formula>MOD(ROW(),2)=0</formula>
    </cfRule>
  </conditionalFormatting>
  <conditionalFormatting sqref="Y16 Y12:Y13">
    <cfRule type="expression" dxfId="246" priority="232">
      <formula>MOD(ROW(),2)=0</formula>
    </cfRule>
  </conditionalFormatting>
  <conditionalFormatting sqref="Y14 Y17:Y19 Y21">
    <cfRule type="expression" dxfId="245" priority="231">
      <formula>MOD(ROW(),2)=0</formula>
    </cfRule>
  </conditionalFormatting>
  <conditionalFormatting sqref="Y11">
    <cfRule type="expression" dxfId="244" priority="230">
      <formula>MOD(ROW(),2)=0</formula>
    </cfRule>
  </conditionalFormatting>
  <conditionalFormatting sqref="Y22">
    <cfRule type="expression" dxfId="243" priority="229">
      <formula>MOD(ROW(),2)=0</formula>
    </cfRule>
  </conditionalFormatting>
  <conditionalFormatting sqref="Y10">
    <cfRule type="expression" dxfId="242" priority="228">
      <formula>MOD(ROW(),2)=0</formula>
    </cfRule>
  </conditionalFormatting>
  <conditionalFormatting sqref="Y9">
    <cfRule type="expression" dxfId="241" priority="227">
      <formula>MOD(ROW(),2)=0</formula>
    </cfRule>
  </conditionalFormatting>
  <conditionalFormatting sqref="Y8">
    <cfRule type="expression" dxfId="240" priority="226">
      <formula>MOD(ROW(),2)=0</formula>
    </cfRule>
  </conditionalFormatting>
  <conditionalFormatting sqref="Y16 Y12:Y13">
    <cfRule type="expression" dxfId="239" priority="225">
      <formula>MOD(ROW(),2)=0</formula>
    </cfRule>
  </conditionalFormatting>
  <conditionalFormatting sqref="Y14 Y17:Y19 Y21">
    <cfRule type="expression" dxfId="238" priority="224">
      <formula>MOD(ROW(),2)=0</formula>
    </cfRule>
  </conditionalFormatting>
  <conditionalFormatting sqref="Y11">
    <cfRule type="expression" dxfId="237" priority="223">
      <formula>MOD(ROW(),2)=0</formula>
    </cfRule>
  </conditionalFormatting>
  <conditionalFormatting sqref="Y10">
    <cfRule type="expression" dxfId="236" priority="222">
      <formula>MOD(ROW(),2)=0</formula>
    </cfRule>
  </conditionalFormatting>
  <conditionalFormatting sqref="Y22">
    <cfRule type="expression" dxfId="235" priority="221">
      <formula>MOD(ROW(),2)=0</formula>
    </cfRule>
  </conditionalFormatting>
  <conditionalFormatting sqref="Y9">
    <cfRule type="expression" dxfId="234" priority="220">
      <formula>MOD(ROW(),2)=0</formula>
    </cfRule>
  </conditionalFormatting>
  <conditionalFormatting sqref="Y8">
    <cfRule type="expression" dxfId="233" priority="219">
      <formula>MOD(ROW(),2)=0</formula>
    </cfRule>
  </conditionalFormatting>
  <conditionalFormatting sqref="Y16 Y12:Y13">
    <cfRule type="expression" dxfId="232" priority="218">
      <formula>MOD(ROW(),2)=0</formula>
    </cfRule>
  </conditionalFormatting>
  <conditionalFormatting sqref="Y14 Y17:Y19 Y21">
    <cfRule type="expression" dxfId="231" priority="217">
      <formula>MOD(ROW(),2)=0</formula>
    </cfRule>
  </conditionalFormatting>
  <conditionalFormatting sqref="Y11">
    <cfRule type="expression" dxfId="230" priority="216">
      <formula>MOD(ROW(),2)=0</formula>
    </cfRule>
  </conditionalFormatting>
  <conditionalFormatting sqref="Y22">
    <cfRule type="expression" dxfId="229" priority="215">
      <formula>MOD(ROW(),2)=0</formula>
    </cfRule>
  </conditionalFormatting>
  <conditionalFormatting sqref="Y10">
    <cfRule type="expression" dxfId="228" priority="214">
      <formula>MOD(ROW(),2)=0</formula>
    </cfRule>
  </conditionalFormatting>
  <conditionalFormatting sqref="Y15">
    <cfRule type="expression" dxfId="227" priority="213">
      <formula>MOD(ROW(),2)=0</formula>
    </cfRule>
  </conditionalFormatting>
  <conditionalFormatting sqref="Y15">
    <cfRule type="expression" dxfId="226" priority="212">
      <formula>MOD(ROW(),2)=0</formula>
    </cfRule>
  </conditionalFormatting>
  <conditionalFormatting sqref="Y15">
    <cfRule type="expression" dxfId="225" priority="211">
      <formula>MOD(ROW(),2)=0</formula>
    </cfRule>
  </conditionalFormatting>
  <conditionalFormatting sqref="Y15">
    <cfRule type="expression" dxfId="224" priority="210">
      <formula>MOD(ROW(),2)=0</formula>
    </cfRule>
  </conditionalFormatting>
  <conditionalFormatting sqref="Y15">
    <cfRule type="expression" dxfId="223" priority="209">
      <formula>MOD(ROW(),2)=0</formula>
    </cfRule>
  </conditionalFormatting>
  <conditionalFormatting sqref="Y15">
    <cfRule type="expression" dxfId="222" priority="208">
      <formula>MOD(ROW(),2)=0</formula>
    </cfRule>
  </conditionalFormatting>
  <conditionalFormatting sqref="Y15">
    <cfRule type="expression" dxfId="221" priority="207">
      <formula>MOD(ROW(),2)=0</formula>
    </cfRule>
  </conditionalFormatting>
  <conditionalFormatting sqref="Y15">
    <cfRule type="expression" dxfId="220" priority="206">
      <formula>MOD(ROW(),2)=0</formula>
    </cfRule>
  </conditionalFormatting>
  <conditionalFormatting sqref="Y15">
    <cfRule type="expression" dxfId="219" priority="205">
      <formula>MOD(ROW(),2)=0</formula>
    </cfRule>
  </conditionalFormatting>
  <conditionalFormatting sqref="Y15">
    <cfRule type="expression" dxfId="218" priority="204">
      <formula>MOD(ROW(),2)=0</formula>
    </cfRule>
  </conditionalFormatting>
  <conditionalFormatting sqref="Y15">
    <cfRule type="expression" dxfId="217" priority="203">
      <formula>MOD(ROW(),2)=0</formula>
    </cfRule>
  </conditionalFormatting>
  <conditionalFormatting sqref="Y15">
    <cfRule type="expression" dxfId="216" priority="202">
      <formula>MOD(ROW(),2)=0</formula>
    </cfRule>
  </conditionalFormatting>
  <conditionalFormatting sqref="Y15">
    <cfRule type="expression" dxfId="215" priority="201">
      <formula>MOD(ROW(),2)=0</formula>
    </cfRule>
  </conditionalFormatting>
  <conditionalFormatting sqref="Y15">
    <cfRule type="expression" dxfId="214" priority="200">
      <formula>MOD(ROW(),2)=0</formula>
    </cfRule>
  </conditionalFormatting>
  <conditionalFormatting sqref="Y15">
    <cfRule type="expression" dxfId="213" priority="199">
      <formula>MOD(ROW(),2)=0</formula>
    </cfRule>
  </conditionalFormatting>
  <conditionalFormatting sqref="Y15">
    <cfRule type="expression" dxfId="212" priority="198">
      <formula>MOD(ROW(),2)=0</formula>
    </cfRule>
  </conditionalFormatting>
  <conditionalFormatting sqref="Y20">
    <cfRule type="expression" dxfId="211" priority="197">
      <formula>MOD(ROW(),2)=0</formula>
    </cfRule>
  </conditionalFormatting>
  <conditionalFormatting sqref="Y20">
    <cfRule type="expression" dxfId="210" priority="196">
      <formula>MOD(ROW(),2)=0</formula>
    </cfRule>
  </conditionalFormatting>
  <conditionalFormatting sqref="Y20">
    <cfRule type="expression" dxfId="209" priority="195">
      <formula>MOD(ROW(),2)=0</formula>
    </cfRule>
  </conditionalFormatting>
  <conditionalFormatting sqref="Y20">
    <cfRule type="expression" dxfId="208" priority="194">
      <formula>MOD(ROW(),2)=0</formula>
    </cfRule>
  </conditionalFormatting>
  <conditionalFormatting sqref="Y20">
    <cfRule type="expression" dxfId="207" priority="193">
      <formula>MOD(ROW(),2)=0</formula>
    </cfRule>
  </conditionalFormatting>
  <conditionalFormatting sqref="Y20">
    <cfRule type="expression" dxfId="206" priority="192">
      <formula>MOD(ROW(),2)=0</formula>
    </cfRule>
  </conditionalFormatting>
  <conditionalFormatting sqref="Y20">
    <cfRule type="expression" dxfId="205" priority="191">
      <formula>MOD(ROW(),2)=0</formula>
    </cfRule>
  </conditionalFormatting>
  <conditionalFormatting sqref="Y20">
    <cfRule type="expression" dxfId="204" priority="190">
      <formula>MOD(ROW(),2)=0</formula>
    </cfRule>
  </conditionalFormatting>
  <conditionalFormatting sqref="Y20">
    <cfRule type="expression" dxfId="203" priority="189">
      <formula>MOD(ROW(),2)=0</formula>
    </cfRule>
  </conditionalFormatting>
  <conditionalFormatting sqref="Y20">
    <cfRule type="expression" dxfId="202" priority="188">
      <formula>MOD(ROW(),2)=0</formula>
    </cfRule>
  </conditionalFormatting>
  <conditionalFormatting sqref="Y20">
    <cfRule type="expression" dxfId="201" priority="187">
      <formula>MOD(ROW(),2)=0</formula>
    </cfRule>
  </conditionalFormatting>
  <conditionalFormatting sqref="Y20">
    <cfRule type="expression" dxfId="200" priority="186">
      <formula>MOD(ROW(),2)=0</formula>
    </cfRule>
  </conditionalFormatting>
  <conditionalFormatting sqref="Y20">
    <cfRule type="expression" dxfId="199" priority="185">
      <formula>MOD(ROW(),2)=0</formula>
    </cfRule>
  </conditionalFormatting>
  <conditionalFormatting sqref="Y20">
    <cfRule type="expression" dxfId="198" priority="184">
      <formula>MOD(ROW(),2)=0</formula>
    </cfRule>
  </conditionalFormatting>
  <conditionalFormatting sqref="Y20">
    <cfRule type="expression" dxfId="197" priority="183">
      <formula>MOD(ROW(),2)=0</formula>
    </cfRule>
  </conditionalFormatting>
  <conditionalFormatting sqref="Y20">
    <cfRule type="expression" dxfId="196" priority="182">
      <formula>MOD(ROW(),2)=0</formula>
    </cfRule>
  </conditionalFormatting>
  <conditionalFormatting sqref="D21:L21">
    <cfRule type="expression" dxfId="195" priority="181">
      <formula>MOD(ROW(),2)=0</formula>
    </cfRule>
  </conditionalFormatting>
  <conditionalFormatting sqref="D21:L21">
    <cfRule type="expression" dxfId="194" priority="180">
      <formula>MOD(ROW(),2)=0</formula>
    </cfRule>
  </conditionalFormatting>
  <conditionalFormatting sqref="D21:L21">
    <cfRule type="expression" dxfId="193" priority="179">
      <formula>MOD(ROW(),2)=0</formula>
    </cfRule>
  </conditionalFormatting>
  <conditionalFormatting sqref="D21:L21">
    <cfRule type="expression" dxfId="192" priority="178">
      <formula>MOD(ROW(),2)=0</formula>
    </cfRule>
  </conditionalFormatting>
  <conditionalFormatting sqref="D21:L21">
    <cfRule type="expression" dxfId="191" priority="177">
      <formula>MOD(ROW(),2)=0</formula>
    </cfRule>
  </conditionalFormatting>
  <conditionalFormatting sqref="D21:L21">
    <cfRule type="expression" dxfId="190" priority="176">
      <formula>MOD(ROW(),2)=0</formula>
    </cfRule>
  </conditionalFormatting>
  <conditionalFormatting sqref="D21:L21">
    <cfRule type="expression" dxfId="189" priority="175">
      <formula>MOD(ROW(),2)=0</formula>
    </cfRule>
  </conditionalFormatting>
  <conditionalFormatting sqref="D21:L21">
    <cfRule type="expression" dxfId="188" priority="174">
      <formula>MOD(ROW(),2)=0</formula>
    </cfRule>
  </conditionalFormatting>
  <conditionalFormatting sqref="D21:L21">
    <cfRule type="expression" dxfId="187" priority="173">
      <formula>MOD(ROW(),2)=0</formula>
    </cfRule>
  </conditionalFormatting>
  <conditionalFormatting sqref="D21:L21">
    <cfRule type="expression" dxfId="186" priority="172">
      <formula>MOD(ROW(),2)=0</formula>
    </cfRule>
  </conditionalFormatting>
  <conditionalFormatting sqref="D21:L21">
    <cfRule type="expression" dxfId="185" priority="171">
      <formula>MOD(ROW(),2)=0</formula>
    </cfRule>
  </conditionalFormatting>
  <conditionalFormatting sqref="D21:L21">
    <cfRule type="expression" dxfId="184" priority="170">
      <formula>MOD(ROW(),2)=0</formula>
    </cfRule>
  </conditionalFormatting>
  <conditionalFormatting sqref="D21:L21">
    <cfRule type="expression" dxfId="183" priority="169">
      <formula>MOD(ROW(),2)=0</formula>
    </cfRule>
  </conditionalFormatting>
  <conditionalFormatting sqref="D21:L21">
    <cfRule type="expression" dxfId="182" priority="168">
      <formula>MOD(ROW(),2)=0</formula>
    </cfRule>
  </conditionalFormatting>
  <conditionalFormatting sqref="D21:L21">
    <cfRule type="expression" dxfId="181" priority="167">
      <formula>MOD(ROW(),2)=0</formula>
    </cfRule>
  </conditionalFormatting>
  <conditionalFormatting sqref="D21:L21">
    <cfRule type="expression" dxfId="180" priority="166">
      <formula>MOD(ROW(),2)=0</formula>
    </cfRule>
  </conditionalFormatting>
  <conditionalFormatting sqref="D9:L9">
    <cfRule type="expression" dxfId="179" priority="165">
      <formula>MOD(ROW(),2)=0</formula>
    </cfRule>
  </conditionalFormatting>
  <conditionalFormatting sqref="D8:L8">
    <cfRule type="expression" dxfId="178" priority="164">
      <formula>MOD(ROW(),2)=0</formula>
    </cfRule>
  </conditionalFormatting>
  <conditionalFormatting sqref="D16:L16 D13:L13">
    <cfRule type="expression" dxfId="177" priority="163">
      <formula>MOD(ROW(),2)=0</formula>
    </cfRule>
  </conditionalFormatting>
  <conditionalFormatting sqref="D14:L14 D17:L19">
    <cfRule type="expression" dxfId="176" priority="162">
      <formula>MOD(ROW(),2)=0</formula>
    </cfRule>
  </conditionalFormatting>
  <conditionalFormatting sqref="D11:L11">
    <cfRule type="expression" dxfId="175" priority="161">
      <formula>MOD(ROW(),2)=0</formula>
    </cfRule>
  </conditionalFormatting>
  <conditionalFormatting sqref="D22:L22">
    <cfRule type="expression" dxfId="174" priority="160">
      <formula>MOD(ROW(),2)=0</formula>
    </cfRule>
  </conditionalFormatting>
  <conditionalFormatting sqref="D10:L10">
    <cfRule type="expression" dxfId="173" priority="159">
      <formula>MOD(ROW(),2)=0</formula>
    </cfRule>
  </conditionalFormatting>
  <conditionalFormatting sqref="D9:L9">
    <cfRule type="expression" dxfId="172" priority="158">
      <formula>MOD(ROW(),2)=0</formula>
    </cfRule>
  </conditionalFormatting>
  <conditionalFormatting sqref="D8:L8">
    <cfRule type="expression" dxfId="171" priority="157">
      <formula>MOD(ROW(),2)=0</formula>
    </cfRule>
  </conditionalFormatting>
  <conditionalFormatting sqref="D16:L16 D13:L13">
    <cfRule type="expression" dxfId="170" priority="156">
      <formula>MOD(ROW(),2)=0</formula>
    </cfRule>
  </conditionalFormatting>
  <conditionalFormatting sqref="D14:L14 D17:L19">
    <cfRule type="expression" dxfId="169" priority="155">
      <formula>MOD(ROW(),2)=0</formula>
    </cfRule>
  </conditionalFormatting>
  <conditionalFormatting sqref="D11:L11">
    <cfRule type="expression" dxfId="168" priority="154">
      <formula>MOD(ROW(),2)=0</formula>
    </cfRule>
  </conditionalFormatting>
  <conditionalFormatting sqref="D22:L22">
    <cfRule type="expression" dxfId="167" priority="153">
      <formula>MOD(ROW(),2)=0</formula>
    </cfRule>
  </conditionalFormatting>
  <conditionalFormatting sqref="D10:L10">
    <cfRule type="expression" dxfId="166" priority="152">
      <formula>MOD(ROW(),2)=0</formula>
    </cfRule>
  </conditionalFormatting>
  <conditionalFormatting sqref="D9:L9">
    <cfRule type="expression" dxfId="165" priority="151">
      <formula>MOD(ROW(),2)=0</formula>
    </cfRule>
  </conditionalFormatting>
  <conditionalFormatting sqref="D8:L8">
    <cfRule type="expression" dxfId="164" priority="150">
      <formula>MOD(ROW(),2)=0</formula>
    </cfRule>
  </conditionalFormatting>
  <conditionalFormatting sqref="D16:L16 D13:L13">
    <cfRule type="expression" dxfId="163" priority="149">
      <formula>MOD(ROW(),2)=0</formula>
    </cfRule>
  </conditionalFormatting>
  <conditionalFormatting sqref="D14:L14 D17:L19">
    <cfRule type="expression" dxfId="162" priority="148">
      <formula>MOD(ROW(),2)=0</formula>
    </cfRule>
  </conditionalFormatting>
  <conditionalFormatting sqref="D11:L11">
    <cfRule type="expression" dxfId="161" priority="147">
      <formula>MOD(ROW(),2)=0</formula>
    </cfRule>
  </conditionalFormatting>
  <conditionalFormatting sqref="D22:L22">
    <cfRule type="expression" dxfId="160" priority="146">
      <formula>MOD(ROW(),2)=0</formula>
    </cfRule>
  </conditionalFormatting>
  <conditionalFormatting sqref="D10:L10">
    <cfRule type="expression" dxfId="159" priority="145">
      <formula>MOD(ROW(),2)=0</formula>
    </cfRule>
  </conditionalFormatting>
  <conditionalFormatting sqref="D9:L9">
    <cfRule type="expression" dxfId="158" priority="144">
      <formula>MOD(ROW(),2)=0</formula>
    </cfRule>
  </conditionalFormatting>
  <conditionalFormatting sqref="D8:L8">
    <cfRule type="expression" dxfId="157" priority="143">
      <formula>MOD(ROW(),2)=0</formula>
    </cfRule>
  </conditionalFormatting>
  <conditionalFormatting sqref="D16:L16 D13:L13">
    <cfRule type="expression" dxfId="156" priority="142">
      <formula>MOD(ROW(),2)=0</formula>
    </cfRule>
  </conditionalFormatting>
  <conditionalFormatting sqref="D14:L14 D17:L19">
    <cfRule type="expression" dxfId="155" priority="141">
      <formula>MOD(ROW(),2)=0</formula>
    </cfRule>
  </conditionalFormatting>
  <conditionalFormatting sqref="D11:L11">
    <cfRule type="expression" dxfId="154" priority="140">
      <formula>MOD(ROW(),2)=0</formula>
    </cfRule>
  </conditionalFormatting>
  <conditionalFormatting sqref="D22:L22">
    <cfRule type="expression" dxfId="153" priority="139">
      <formula>MOD(ROW(),2)=0</formula>
    </cfRule>
  </conditionalFormatting>
  <conditionalFormatting sqref="D10:L10">
    <cfRule type="expression" dxfId="152" priority="138">
      <formula>MOD(ROW(),2)=0</formula>
    </cfRule>
  </conditionalFormatting>
  <conditionalFormatting sqref="D9:L9">
    <cfRule type="expression" dxfId="151" priority="137">
      <formula>MOD(ROW(),2)=0</formula>
    </cfRule>
  </conditionalFormatting>
  <conditionalFormatting sqref="D8:L8">
    <cfRule type="expression" dxfId="150" priority="136">
      <formula>MOD(ROW(),2)=0</formula>
    </cfRule>
  </conditionalFormatting>
  <conditionalFormatting sqref="D16:L16 D13:L13">
    <cfRule type="expression" dxfId="149" priority="135">
      <formula>MOD(ROW(),2)=0</formula>
    </cfRule>
  </conditionalFormatting>
  <conditionalFormatting sqref="D14:L14 D17:L19">
    <cfRule type="expression" dxfId="148" priority="134">
      <formula>MOD(ROW(),2)=0</formula>
    </cfRule>
  </conditionalFormatting>
  <conditionalFormatting sqref="D11:L11">
    <cfRule type="expression" dxfId="147" priority="133">
      <formula>MOD(ROW(),2)=0</formula>
    </cfRule>
  </conditionalFormatting>
  <conditionalFormatting sqref="D22:L22">
    <cfRule type="expression" dxfId="146" priority="132">
      <formula>MOD(ROW(),2)=0</formula>
    </cfRule>
  </conditionalFormatting>
  <conditionalFormatting sqref="D10:L10">
    <cfRule type="expression" dxfId="145" priority="131">
      <formula>MOD(ROW(),2)=0</formula>
    </cfRule>
  </conditionalFormatting>
  <conditionalFormatting sqref="D9:L9">
    <cfRule type="expression" dxfId="144" priority="130">
      <formula>MOD(ROW(),2)=0</formula>
    </cfRule>
  </conditionalFormatting>
  <conditionalFormatting sqref="D8:L8">
    <cfRule type="expression" dxfId="143" priority="129">
      <formula>MOD(ROW(),2)=0</formula>
    </cfRule>
  </conditionalFormatting>
  <conditionalFormatting sqref="D16:L16 D13:L13">
    <cfRule type="expression" dxfId="142" priority="128">
      <formula>MOD(ROW(),2)=0</formula>
    </cfRule>
  </conditionalFormatting>
  <conditionalFormatting sqref="D14:L14 D17:L19">
    <cfRule type="expression" dxfId="141" priority="127">
      <formula>MOD(ROW(),2)=0</formula>
    </cfRule>
  </conditionalFormatting>
  <conditionalFormatting sqref="D11:L11">
    <cfRule type="expression" dxfId="140" priority="126">
      <formula>MOD(ROW(),2)=0</formula>
    </cfRule>
  </conditionalFormatting>
  <conditionalFormatting sqref="D22:L22">
    <cfRule type="expression" dxfId="139" priority="125">
      <formula>MOD(ROW(),2)=0</formula>
    </cfRule>
  </conditionalFormatting>
  <conditionalFormatting sqref="D10:L10">
    <cfRule type="expression" dxfId="138" priority="124">
      <formula>MOD(ROW(),2)=0</formula>
    </cfRule>
  </conditionalFormatting>
  <conditionalFormatting sqref="D9:L9">
    <cfRule type="expression" dxfId="137" priority="123">
      <formula>MOD(ROW(),2)=0</formula>
    </cfRule>
  </conditionalFormatting>
  <conditionalFormatting sqref="D8:L8">
    <cfRule type="expression" dxfId="136" priority="122">
      <formula>MOD(ROW(),2)=0</formula>
    </cfRule>
  </conditionalFormatting>
  <conditionalFormatting sqref="D16:L16 D13:L13">
    <cfRule type="expression" dxfId="135" priority="121">
      <formula>MOD(ROW(),2)=0</formula>
    </cfRule>
  </conditionalFormatting>
  <conditionalFormatting sqref="D14:L14 D17:L19">
    <cfRule type="expression" dxfId="134" priority="120">
      <formula>MOD(ROW(),2)=0</formula>
    </cfRule>
  </conditionalFormatting>
  <conditionalFormatting sqref="D11:L11">
    <cfRule type="expression" dxfId="133" priority="119">
      <formula>MOD(ROW(),2)=0</formula>
    </cfRule>
  </conditionalFormatting>
  <conditionalFormatting sqref="D10:L10">
    <cfRule type="expression" dxfId="132" priority="118">
      <formula>MOD(ROW(),2)=0</formula>
    </cfRule>
  </conditionalFormatting>
  <conditionalFormatting sqref="D22:L22">
    <cfRule type="expression" dxfId="131" priority="117">
      <formula>MOD(ROW(),2)=0</formula>
    </cfRule>
  </conditionalFormatting>
  <conditionalFormatting sqref="D9:L9">
    <cfRule type="expression" dxfId="130" priority="116">
      <formula>MOD(ROW(),2)=0</formula>
    </cfRule>
  </conditionalFormatting>
  <conditionalFormatting sqref="D8:L8">
    <cfRule type="expression" dxfId="129" priority="115">
      <formula>MOD(ROW(),2)=0</formula>
    </cfRule>
  </conditionalFormatting>
  <conditionalFormatting sqref="D16:L16 D13:L13">
    <cfRule type="expression" dxfId="128" priority="114">
      <formula>MOD(ROW(),2)=0</formula>
    </cfRule>
  </conditionalFormatting>
  <conditionalFormatting sqref="D14:L14 D17:L19">
    <cfRule type="expression" dxfId="127" priority="113">
      <formula>MOD(ROW(),2)=0</formula>
    </cfRule>
  </conditionalFormatting>
  <conditionalFormatting sqref="D11:L11">
    <cfRule type="expression" dxfId="126" priority="112">
      <formula>MOD(ROW(),2)=0</formula>
    </cfRule>
  </conditionalFormatting>
  <conditionalFormatting sqref="D22:L22">
    <cfRule type="expression" dxfId="125" priority="111">
      <formula>MOD(ROW(),2)=0</formula>
    </cfRule>
  </conditionalFormatting>
  <conditionalFormatting sqref="D10:L10">
    <cfRule type="expression" dxfId="124" priority="110">
      <formula>MOD(ROW(),2)=0</formula>
    </cfRule>
  </conditionalFormatting>
  <conditionalFormatting sqref="D9:L9">
    <cfRule type="expression" dxfId="123" priority="109">
      <formula>MOD(ROW(),2)=0</formula>
    </cfRule>
  </conditionalFormatting>
  <conditionalFormatting sqref="D8:L8">
    <cfRule type="expression" dxfId="122" priority="108">
      <formula>MOD(ROW(),2)=0</formula>
    </cfRule>
  </conditionalFormatting>
  <conditionalFormatting sqref="D16:L16 D13:L13">
    <cfRule type="expression" dxfId="121" priority="107">
      <formula>MOD(ROW(),2)=0</formula>
    </cfRule>
  </conditionalFormatting>
  <conditionalFormatting sqref="D14:L14 D17:L19">
    <cfRule type="expression" dxfId="120" priority="106">
      <formula>MOD(ROW(),2)=0</formula>
    </cfRule>
  </conditionalFormatting>
  <conditionalFormatting sqref="D11:L11">
    <cfRule type="expression" dxfId="119" priority="105">
      <formula>MOD(ROW(),2)=0</formula>
    </cfRule>
  </conditionalFormatting>
  <conditionalFormatting sqref="D22:L22">
    <cfRule type="expression" dxfId="118" priority="104">
      <formula>MOD(ROW(),2)=0</formula>
    </cfRule>
  </conditionalFormatting>
  <conditionalFormatting sqref="D10:L10">
    <cfRule type="expression" dxfId="117" priority="103">
      <formula>MOD(ROW(),2)=0</formula>
    </cfRule>
  </conditionalFormatting>
  <conditionalFormatting sqref="D9:L9">
    <cfRule type="expression" dxfId="116" priority="102">
      <formula>MOD(ROW(),2)=0</formula>
    </cfRule>
  </conditionalFormatting>
  <conditionalFormatting sqref="D8:L8">
    <cfRule type="expression" dxfId="115" priority="101">
      <formula>MOD(ROW(),2)=0</formula>
    </cfRule>
  </conditionalFormatting>
  <conditionalFormatting sqref="D16:L16 D13:L13">
    <cfRule type="expression" dxfId="114" priority="100">
      <formula>MOD(ROW(),2)=0</formula>
    </cfRule>
  </conditionalFormatting>
  <conditionalFormatting sqref="D14:L14 D17:L19">
    <cfRule type="expression" dxfId="113" priority="99">
      <formula>MOD(ROW(),2)=0</formula>
    </cfRule>
  </conditionalFormatting>
  <conditionalFormatting sqref="D11:L11">
    <cfRule type="expression" dxfId="112" priority="98">
      <formula>MOD(ROW(),2)=0</formula>
    </cfRule>
  </conditionalFormatting>
  <conditionalFormatting sqref="D22:L22">
    <cfRule type="expression" dxfId="111" priority="97">
      <formula>MOD(ROW(),2)=0</formula>
    </cfRule>
  </conditionalFormatting>
  <conditionalFormatting sqref="D10:L10">
    <cfRule type="expression" dxfId="110" priority="96">
      <formula>MOD(ROW(),2)=0</formula>
    </cfRule>
  </conditionalFormatting>
  <conditionalFormatting sqref="D9:L9">
    <cfRule type="expression" dxfId="109" priority="95">
      <formula>MOD(ROW(),2)=0</formula>
    </cfRule>
  </conditionalFormatting>
  <conditionalFormatting sqref="D8:L8">
    <cfRule type="expression" dxfId="108" priority="94">
      <formula>MOD(ROW(),2)=0</formula>
    </cfRule>
  </conditionalFormatting>
  <conditionalFormatting sqref="D16:L16 D13:L13">
    <cfRule type="expression" dxfId="107" priority="93">
      <formula>MOD(ROW(),2)=0</formula>
    </cfRule>
  </conditionalFormatting>
  <conditionalFormatting sqref="D14:L14 D17:L19">
    <cfRule type="expression" dxfId="106" priority="92">
      <formula>MOD(ROW(),2)=0</formula>
    </cfRule>
  </conditionalFormatting>
  <conditionalFormatting sqref="D11:L11">
    <cfRule type="expression" dxfId="105" priority="91">
      <formula>MOD(ROW(),2)=0</formula>
    </cfRule>
  </conditionalFormatting>
  <conditionalFormatting sqref="D22:L22">
    <cfRule type="expression" dxfId="104" priority="90">
      <formula>MOD(ROW(),2)=0</formula>
    </cfRule>
  </conditionalFormatting>
  <conditionalFormatting sqref="D10:L10">
    <cfRule type="expression" dxfId="103" priority="89">
      <formula>MOD(ROW(),2)=0</formula>
    </cfRule>
  </conditionalFormatting>
  <conditionalFormatting sqref="D9:L9">
    <cfRule type="expression" dxfId="102" priority="88">
      <formula>MOD(ROW(),2)=0</formula>
    </cfRule>
  </conditionalFormatting>
  <conditionalFormatting sqref="D8:L8">
    <cfRule type="expression" dxfId="101" priority="87">
      <formula>MOD(ROW(),2)=0</formula>
    </cfRule>
  </conditionalFormatting>
  <conditionalFormatting sqref="D16:L16 D13:L13">
    <cfRule type="expression" dxfId="100" priority="86">
      <formula>MOD(ROW(),2)=0</formula>
    </cfRule>
  </conditionalFormatting>
  <conditionalFormatting sqref="D14:L14 D17:L19">
    <cfRule type="expression" dxfId="99" priority="85">
      <formula>MOD(ROW(),2)=0</formula>
    </cfRule>
  </conditionalFormatting>
  <conditionalFormatting sqref="D11:L11">
    <cfRule type="expression" dxfId="98" priority="84">
      <formula>MOD(ROW(),2)=0</formula>
    </cfRule>
  </conditionalFormatting>
  <conditionalFormatting sqref="D22:L22">
    <cfRule type="expression" dxfId="97" priority="83">
      <formula>MOD(ROW(),2)=0</formula>
    </cfRule>
  </conditionalFormatting>
  <conditionalFormatting sqref="D10:L10">
    <cfRule type="expression" dxfId="96" priority="82">
      <formula>MOD(ROW(),2)=0</formula>
    </cfRule>
  </conditionalFormatting>
  <conditionalFormatting sqref="D9:L9">
    <cfRule type="expression" dxfId="95" priority="81">
      <formula>MOD(ROW(),2)=0</formula>
    </cfRule>
  </conditionalFormatting>
  <conditionalFormatting sqref="D8:L8">
    <cfRule type="expression" dxfId="94" priority="80">
      <formula>MOD(ROW(),2)=0</formula>
    </cfRule>
  </conditionalFormatting>
  <conditionalFormatting sqref="D16:L16 D13:L13">
    <cfRule type="expression" dxfId="93" priority="79">
      <formula>MOD(ROW(),2)=0</formula>
    </cfRule>
  </conditionalFormatting>
  <conditionalFormatting sqref="D14:L14 D17:L19">
    <cfRule type="expression" dxfId="92" priority="78">
      <formula>MOD(ROW(),2)=0</formula>
    </cfRule>
  </conditionalFormatting>
  <conditionalFormatting sqref="D11:L11">
    <cfRule type="expression" dxfId="91" priority="77">
      <formula>MOD(ROW(),2)=0</formula>
    </cfRule>
  </conditionalFormatting>
  <conditionalFormatting sqref="D22:L22">
    <cfRule type="expression" dxfId="90" priority="76">
      <formula>MOD(ROW(),2)=0</formula>
    </cfRule>
  </conditionalFormatting>
  <conditionalFormatting sqref="D10:L10">
    <cfRule type="expression" dxfId="89" priority="75">
      <formula>MOD(ROW(),2)=0</formula>
    </cfRule>
  </conditionalFormatting>
  <conditionalFormatting sqref="D9:L9">
    <cfRule type="expression" dxfId="88" priority="74">
      <formula>MOD(ROW(),2)=0</formula>
    </cfRule>
  </conditionalFormatting>
  <conditionalFormatting sqref="D8:L8">
    <cfRule type="expression" dxfId="87" priority="73">
      <formula>MOD(ROW(),2)=0</formula>
    </cfRule>
  </conditionalFormatting>
  <conditionalFormatting sqref="D16:L16 D13:L13">
    <cfRule type="expression" dxfId="86" priority="72">
      <formula>MOD(ROW(),2)=0</formula>
    </cfRule>
  </conditionalFormatting>
  <conditionalFormatting sqref="D14:L14 D17:L19">
    <cfRule type="expression" dxfId="85" priority="71">
      <formula>MOD(ROW(),2)=0</formula>
    </cfRule>
  </conditionalFormatting>
  <conditionalFormatting sqref="D11:L11">
    <cfRule type="expression" dxfId="84" priority="70">
      <formula>MOD(ROW(),2)=0</formula>
    </cfRule>
  </conditionalFormatting>
  <conditionalFormatting sqref="D22:L22">
    <cfRule type="expression" dxfId="83" priority="69">
      <formula>MOD(ROW(),2)=0</formula>
    </cfRule>
  </conditionalFormatting>
  <conditionalFormatting sqref="D10:L10">
    <cfRule type="expression" dxfId="82" priority="68">
      <formula>MOD(ROW(),2)=0</formula>
    </cfRule>
  </conditionalFormatting>
  <conditionalFormatting sqref="D9:L9">
    <cfRule type="expression" dxfId="81" priority="67">
      <formula>MOD(ROW(),2)=0</formula>
    </cfRule>
  </conditionalFormatting>
  <conditionalFormatting sqref="D8:L8">
    <cfRule type="expression" dxfId="80" priority="66">
      <formula>MOD(ROW(),2)=0</formula>
    </cfRule>
  </conditionalFormatting>
  <conditionalFormatting sqref="D16:L16 D13:L13">
    <cfRule type="expression" dxfId="79" priority="65">
      <formula>MOD(ROW(),2)=0</formula>
    </cfRule>
  </conditionalFormatting>
  <conditionalFormatting sqref="D14:L14 D17:L19">
    <cfRule type="expression" dxfId="78" priority="64">
      <formula>MOD(ROW(),2)=0</formula>
    </cfRule>
  </conditionalFormatting>
  <conditionalFormatting sqref="D11:L11">
    <cfRule type="expression" dxfId="77" priority="63">
      <formula>MOD(ROW(),2)=0</formula>
    </cfRule>
  </conditionalFormatting>
  <conditionalFormatting sqref="D10:L10">
    <cfRule type="expression" dxfId="76" priority="62">
      <formula>MOD(ROW(),2)=0</formula>
    </cfRule>
  </conditionalFormatting>
  <conditionalFormatting sqref="D22:L22">
    <cfRule type="expression" dxfId="75" priority="61">
      <formula>MOD(ROW(),2)=0</formula>
    </cfRule>
  </conditionalFormatting>
  <conditionalFormatting sqref="D9:L9">
    <cfRule type="expression" dxfId="74" priority="60">
      <formula>MOD(ROW(),2)=0</formula>
    </cfRule>
  </conditionalFormatting>
  <conditionalFormatting sqref="D8:L8">
    <cfRule type="expression" dxfId="73" priority="59">
      <formula>MOD(ROW(),2)=0</formula>
    </cfRule>
  </conditionalFormatting>
  <conditionalFormatting sqref="D16:L16 D13:L13">
    <cfRule type="expression" dxfId="72" priority="58">
      <formula>MOD(ROW(),2)=0</formula>
    </cfRule>
  </conditionalFormatting>
  <conditionalFormatting sqref="D14:L14 D17:L19">
    <cfRule type="expression" dxfId="71" priority="57">
      <formula>MOD(ROW(),2)=0</formula>
    </cfRule>
  </conditionalFormatting>
  <conditionalFormatting sqref="D11:L11">
    <cfRule type="expression" dxfId="70" priority="56">
      <formula>MOD(ROW(),2)=0</formula>
    </cfRule>
  </conditionalFormatting>
  <conditionalFormatting sqref="D22:L22">
    <cfRule type="expression" dxfId="69" priority="55">
      <formula>MOD(ROW(),2)=0</formula>
    </cfRule>
  </conditionalFormatting>
  <conditionalFormatting sqref="D10:L10">
    <cfRule type="expression" dxfId="68" priority="54">
      <formula>MOD(ROW(),2)=0</formula>
    </cfRule>
  </conditionalFormatting>
  <conditionalFormatting sqref="D20:L20">
    <cfRule type="expression" dxfId="67" priority="53">
      <formula>MOD(ROW(),2)=0</formula>
    </cfRule>
  </conditionalFormatting>
  <conditionalFormatting sqref="D20:L20">
    <cfRule type="expression" dxfId="66" priority="52">
      <formula>MOD(ROW(),2)=0</formula>
    </cfRule>
  </conditionalFormatting>
  <conditionalFormatting sqref="D20:L20">
    <cfRule type="expression" dxfId="65" priority="51">
      <formula>MOD(ROW(),2)=0</formula>
    </cfRule>
  </conditionalFormatting>
  <conditionalFormatting sqref="D20:L20">
    <cfRule type="expression" dxfId="64" priority="50">
      <formula>MOD(ROW(),2)=0</formula>
    </cfRule>
  </conditionalFormatting>
  <conditionalFormatting sqref="D20:L20">
    <cfRule type="expression" dxfId="63" priority="49">
      <formula>MOD(ROW(),2)=0</formula>
    </cfRule>
  </conditionalFormatting>
  <conditionalFormatting sqref="D20:L20">
    <cfRule type="expression" dxfId="62" priority="48">
      <formula>MOD(ROW(),2)=0</formula>
    </cfRule>
  </conditionalFormatting>
  <conditionalFormatting sqref="D20:L20">
    <cfRule type="expression" dxfId="61" priority="47">
      <formula>MOD(ROW(),2)=0</formula>
    </cfRule>
  </conditionalFormatting>
  <conditionalFormatting sqref="D20:L20">
    <cfRule type="expression" dxfId="60" priority="46">
      <formula>MOD(ROW(),2)=0</formula>
    </cfRule>
  </conditionalFormatting>
  <conditionalFormatting sqref="D20:L20">
    <cfRule type="expression" dxfId="59" priority="45">
      <formula>MOD(ROW(),2)=0</formula>
    </cfRule>
  </conditionalFormatting>
  <conditionalFormatting sqref="D20:L20">
    <cfRule type="expression" dxfId="58" priority="44">
      <formula>MOD(ROW(),2)=0</formula>
    </cfRule>
  </conditionalFormatting>
  <conditionalFormatting sqref="D20:L20">
    <cfRule type="expression" dxfId="57" priority="43">
      <formula>MOD(ROW(),2)=0</formula>
    </cfRule>
  </conditionalFormatting>
  <conditionalFormatting sqref="D20:L20">
    <cfRule type="expression" dxfId="56" priority="42">
      <formula>MOD(ROW(),2)=0</formula>
    </cfRule>
  </conditionalFormatting>
  <conditionalFormatting sqref="D20:L20">
    <cfRule type="expression" dxfId="55" priority="41">
      <formula>MOD(ROW(),2)=0</formula>
    </cfRule>
  </conditionalFormatting>
  <conditionalFormatting sqref="D20:L20">
    <cfRule type="expression" dxfId="54" priority="40">
      <formula>MOD(ROW(),2)=0</formula>
    </cfRule>
  </conditionalFormatting>
  <conditionalFormatting sqref="D20:L20">
    <cfRule type="expression" dxfId="53" priority="39">
      <formula>MOD(ROW(),2)=0</formula>
    </cfRule>
  </conditionalFormatting>
  <conditionalFormatting sqref="D20:L20">
    <cfRule type="expression" dxfId="52" priority="38">
      <formula>MOD(ROW(),2)=0</formula>
    </cfRule>
  </conditionalFormatting>
  <conditionalFormatting sqref="D12:L12">
    <cfRule type="expression" dxfId="51" priority="37">
      <formula>MOD(ROW(),2)=0</formula>
    </cfRule>
  </conditionalFormatting>
  <conditionalFormatting sqref="D12:L12">
    <cfRule type="expression" dxfId="50" priority="36">
      <formula>MOD(ROW(),2)=0</formula>
    </cfRule>
  </conditionalFormatting>
  <conditionalFormatting sqref="D12:L12">
    <cfRule type="expression" dxfId="49" priority="35">
      <formula>MOD(ROW(),2)=0</formula>
    </cfRule>
  </conditionalFormatting>
  <conditionalFormatting sqref="D12:L12">
    <cfRule type="expression" dxfId="48" priority="34">
      <formula>MOD(ROW(),2)=0</formula>
    </cfRule>
  </conditionalFormatting>
  <conditionalFormatting sqref="D12:L12">
    <cfRule type="expression" dxfId="47" priority="33">
      <formula>MOD(ROW(),2)=0</formula>
    </cfRule>
  </conditionalFormatting>
  <conditionalFormatting sqref="D12:L12">
    <cfRule type="expression" dxfId="46" priority="32">
      <formula>MOD(ROW(),2)=0</formula>
    </cfRule>
  </conditionalFormatting>
  <conditionalFormatting sqref="D12:L12">
    <cfRule type="expression" dxfId="45" priority="31">
      <formula>MOD(ROW(),2)=0</formula>
    </cfRule>
  </conditionalFormatting>
  <conditionalFormatting sqref="D12:L12">
    <cfRule type="expression" dxfId="44" priority="30">
      <formula>MOD(ROW(),2)=0</formula>
    </cfRule>
  </conditionalFormatting>
  <conditionalFormatting sqref="D12:L12">
    <cfRule type="expression" dxfId="43" priority="29">
      <formula>MOD(ROW(),2)=0</formula>
    </cfRule>
  </conditionalFormatting>
  <conditionalFormatting sqref="D12:L12">
    <cfRule type="expression" dxfId="42" priority="28">
      <formula>MOD(ROW(),2)=0</formula>
    </cfRule>
  </conditionalFormatting>
  <conditionalFormatting sqref="D12:L12">
    <cfRule type="expression" dxfId="41" priority="27">
      <formula>MOD(ROW(),2)=0</formula>
    </cfRule>
  </conditionalFormatting>
  <conditionalFormatting sqref="D12:L12">
    <cfRule type="expression" dxfId="40" priority="26">
      <formula>MOD(ROW(),2)=0</formula>
    </cfRule>
  </conditionalFormatting>
  <conditionalFormatting sqref="D12:L12">
    <cfRule type="expression" dxfId="39" priority="25">
      <formula>MOD(ROW(),2)=0</formula>
    </cfRule>
  </conditionalFormatting>
  <conditionalFormatting sqref="D12:L12">
    <cfRule type="expression" dxfId="38" priority="24">
      <formula>MOD(ROW(),2)=0</formula>
    </cfRule>
  </conditionalFormatting>
  <conditionalFormatting sqref="D12:L12">
    <cfRule type="expression" dxfId="37" priority="23">
      <formula>MOD(ROW(),2)=0</formula>
    </cfRule>
  </conditionalFormatting>
  <conditionalFormatting sqref="D12:L12">
    <cfRule type="expression" dxfId="36" priority="22">
      <formula>MOD(ROW(),2)=0</formula>
    </cfRule>
  </conditionalFormatting>
  <conditionalFormatting sqref="D15:L15">
    <cfRule type="expression" dxfId="35" priority="21">
      <formula>MOD(ROW(),2)=0</formula>
    </cfRule>
  </conditionalFormatting>
  <conditionalFormatting sqref="D15:L15">
    <cfRule type="expression" dxfId="34" priority="20">
      <formula>MOD(ROW(),2)=0</formula>
    </cfRule>
  </conditionalFormatting>
  <conditionalFormatting sqref="D15:L15">
    <cfRule type="expression" dxfId="33" priority="19">
      <formula>MOD(ROW(),2)=0</formula>
    </cfRule>
  </conditionalFormatting>
  <conditionalFormatting sqref="D15:L15">
    <cfRule type="expression" dxfId="32" priority="18">
      <formula>MOD(ROW(),2)=0</formula>
    </cfRule>
  </conditionalFormatting>
  <conditionalFormatting sqref="D15:L15">
    <cfRule type="expression" dxfId="31" priority="17">
      <formula>MOD(ROW(),2)=0</formula>
    </cfRule>
  </conditionalFormatting>
  <conditionalFormatting sqref="D15:L15">
    <cfRule type="expression" dxfId="30" priority="16">
      <formula>MOD(ROW(),2)=0</formula>
    </cfRule>
  </conditionalFormatting>
  <conditionalFormatting sqref="D15:L15">
    <cfRule type="expression" dxfId="29" priority="15">
      <formula>MOD(ROW(),2)=0</formula>
    </cfRule>
  </conditionalFormatting>
  <conditionalFormatting sqref="D15:L15">
    <cfRule type="expression" dxfId="28" priority="14">
      <formula>MOD(ROW(),2)=0</formula>
    </cfRule>
  </conditionalFormatting>
  <conditionalFormatting sqref="D15:L15">
    <cfRule type="expression" dxfId="27" priority="13">
      <formula>MOD(ROW(),2)=0</formula>
    </cfRule>
  </conditionalFormatting>
  <conditionalFormatting sqref="D15:L15">
    <cfRule type="expression" dxfId="26" priority="12">
      <formula>MOD(ROW(),2)=0</formula>
    </cfRule>
  </conditionalFormatting>
  <conditionalFormatting sqref="D15:L15">
    <cfRule type="expression" dxfId="25" priority="11">
      <formula>MOD(ROW(),2)=0</formula>
    </cfRule>
  </conditionalFormatting>
  <conditionalFormatting sqref="D15:L15">
    <cfRule type="expression" dxfId="24" priority="10">
      <formula>MOD(ROW(),2)=0</formula>
    </cfRule>
  </conditionalFormatting>
  <conditionalFormatting sqref="D15:L15">
    <cfRule type="expression" dxfId="23" priority="9">
      <formula>MOD(ROW(),2)=0</formula>
    </cfRule>
  </conditionalFormatting>
  <conditionalFormatting sqref="D15:L15">
    <cfRule type="expression" dxfId="22" priority="8">
      <formula>MOD(ROW(),2)=0</formula>
    </cfRule>
  </conditionalFormatting>
  <conditionalFormatting sqref="D15:L15">
    <cfRule type="expression" dxfId="21" priority="7">
      <formula>MOD(ROW(),2)=0</formula>
    </cfRule>
  </conditionalFormatting>
  <conditionalFormatting sqref="D15:L15">
    <cfRule type="expression" dxfId="20" priority="6">
      <formula>MOD(ROW(),2)=0</formula>
    </cfRule>
  </conditionalFormatting>
  <conditionalFormatting sqref="H103:AS104 B103:C107 H107:AS107">
    <cfRule type="expression" dxfId="19" priority="5">
      <formula>MOD(ROW(),2)=0</formula>
    </cfRule>
  </conditionalFormatting>
  <conditionalFormatting sqref="G103:G104 G107">
    <cfRule type="expression" dxfId="18" priority="4">
      <formula>MOD(ROW(),2)=0</formula>
    </cfRule>
  </conditionalFormatting>
  <conditionalFormatting sqref="D103:F104 D107:F107 D105:AS106">
    <cfRule type="expression" dxfId="17" priority="3">
      <formula>MOD(ROW(),2)=0</formula>
    </cfRule>
  </conditionalFormatting>
  <conditionalFormatting sqref="AT103:AT104 AT107">
    <cfRule type="expression" dxfId="16" priority="2">
      <formula>MOD(ROW(),2)=0</formula>
    </cfRule>
  </conditionalFormatting>
  <conditionalFormatting sqref="AT105:AT106">
    <cfRule type="expression" dxfId="15" priority="1">
      <formula>MOD(ROW(),2)=0</formula>
    </cfRule>
  </conditionalFormatting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&amp;R&amp;A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'Falhas por Modelo'!$C$1:$E$1</xm:f>
          </x14:formula1>
          <xm:sqref>D6:AR6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O23"/>
  <sheetViews>
    <sheetView workbookViewId="0">
      <selection activeCell="B2" sqref="B2"/>
    </sheetView>
  </sheetViews>
  <sheetFormatPr defaultRowHeight="12.75"/>
  <cols>
    <col min="1" max="1" width="5.5703125" bestFit="1" customWidth="1"/>
    <col min="2" max="2" width="14.140625" bestFit="1" customWidth="1"/>
    <col min="3" max="12" width="11.7109375" customWidth="1"/>
    <col min="13" max="13" width="10.140625" bestFit="1" customWidth="1"/>
    <col min="14" max="14" width="9.7109375" bestFit="1" customWidth="1"/>
  </cols>
  <sheetData>
    <row r="1" spans="1:15">
      <c r="A1" s="290" t="s">
        <v>48</v>
      </c>
      <c r="B1" s="25" t="s">
        <v>49</v>
      </c>
      <c r="C1" s="27" t="s">
        <v>50</v>
      </c>
      <c r="D1" s="27" t="s">
        <v>76</v>
      </c>
      <c r="E1" s="27">
        <v>1250</v>
      </c>
      <c r="F1" s="27"/>
      <c r="G1" s="27"/>
      <c r="H1" s="27"/>
      <c r="I1" s="27"/>
      <c r="J1" s="27"/>
      <c r="K1" s="27"/>
      <c r="L1" s="28"/>
      <c r="M1" s="38" t="s">
        <v>45</v>
      </c>
      <c r="N1" s="38" t="s">
        <v>73</v>
      </c>
      <c r="O1" s="31" t="s">
        <v>64</v>
      </c>
    </row>
    <row r="2" spans="1:15">
      <c r="A2" s="291"/>
      <c r="B2" s="17" t="s">
        <v>2</v>
      </c>
      <c r="C2" s="23">
        <f t="array" ref="C2">SUM(IF(('UM-1 - Dia'!$D$6:$AR$6='Falhas por Modelo'!C$1)*('UM-1 - Dia'!$D$5:$AR$5&lt;&gt;""),'UM-1 - Dia'!$D7:$AR7))</f>
        <v>0</v>
      </c>
      <c r="D2" s="23">
        <f t="array" ref="D2">SUM(IF(('UM-1 - Dia'!$D$6:$AR$6='Falhas por Modelo'!D$1)*('UM-1 - Dia'!$D5:$AR5&lt;&gt;""),'UM-1 - Dia'!$D7:$AR7))</f>
        <v>0</v>
      </c>
      <c r="E2" s="23">
        <f t="array" ref="E2">SUM(IF(('UM-1 - Dia'!$D$6:$AR$6='Falhas por Modelo'!E$1)*('UM-1 - Dia'!$D5:$AR5&lt;&gt;""),'UM-1 - Dia'!$D7:$AR7))</f>
        <v>0</v>
      </c>
      <c r="F2" s="23">
        <f t="array" ref="F2">SUM(IF(('UM-1 - Dia'!$D$6:$AR$6='Falhas por Modelo'!F$1)*('UM-1 - Dia'!$D5:$AR5&lt;&gt;""),'UM-1 - Dia'!$D7:$AR7))</f>
        <v>0</v>
      </c>
      <c r="G2" s="23">
        <f t="array" ref="G2">SUM(IF(('UM-1 - Dia'!$D$6:$AR$6='Falhas por Modelo'!G$1)*('UM-1 - Dia'!$D5:$AR5&lt;&gt;""),'UM-1 - Dia'!$D7:$AR7))</f>
        <v>0</v>
      </c>
      <c r="H2" s="23">
        <f t="array" ref="H2">SUM(IF(('UM-1 - Dia'!$D$6:$AR$6='Falhas por Modelo'!H$1)*('UM-1 - Dia'!$D5:$AR5&lt;&gt;""),'UM-1 - Dia'!$D7:$AR7))</f>
        <v>0</v>
      </c>
      <c r="I2" s="23">
        <f t="array" ref="I2">SUM(IF(('UM-1 - Dia'!$D$6:$AR$6='Falhas por Modelo'!I$1)*('UM-1 - Dia'!$D5:$AR5&lt;&gt;""),'UM-1 - Dia'!$D7:$AR7))</f>
        <v>0</v>
      </c>
      <c r="J2" s="23">
        <f t="array" ref="J2">SUM(IF(('UM-1 - Dia'!$D$6:$AR$6='Falhas por Modelo'!J$1)*('UM-1 - Dia'!$D5:$AR5&lt;&gt;""),'UM-1 - Dia'!$D7:$AR7))</f>
        <v>0</v>
      </c>
      <c r="K2" s="23">
        <f t="array" ref="K2">SUM(IF(('UM-1 - Dia'!$D$6:$AR$6='Falhas por Modelo'!K$1)*('UM-1 - Dia'!$D5:$AR5&lt;&gt;""),'UM-1 - Dia'!$D7:$AR7))</f>
        <v>0</v>
      </c>
      <c r="L2" s="29">
        <f t="array" ref="L2">SUM(IF(('UM-1 - Dia'!$D$6:$AR$6='Falhas por Modelo'!L$1)*('UM-1 - Dia'!$D5:$AR5&lt;&gt;""),'UM-1 - Dia'!$D7:$AR7))</f>
        <v>0</v>
      </c>
      <c r="M2" s="39">
        <f t="shared" ref="M2:M12" si="0">SUM(C2:L2)</f>
        <v>0</v>
      </c>
      <c r="N2" s="39">
        <f>'UM-1 - Dia'!AS7-M2</f>
        <v>0</v>
      </c>
      <c r="O2" s="26"/>
    </row>
    <row r="3" spans="1:15">
      <c r="A3" s="291"/>
      <c r="B3" s="17" t="s">
        <v>3</v>
      </c>
      <c r="C3" s="23">
        <f t="array" ref="C3">SUM(IF(('UM-1 - Dia'!$D$6:$AR$6='Falhas por Modelo'!C$1)*('UM-1 - Dia'!$D$5:$AR$5&lt;&gt;""),'UM-1 - Dia'!$D23:$AR23))</f>
        <v>0</v>
      </c>
      <c r="D3" s="23">
        <f t="array" ref="D3">SUM(IF(('UM-1 - Dia'!$D$6:$AR$6='Falhas por Modelo'!D$1)*('UM-1 - Dia'!$D$5:$AR$5&lt;&gt;""),'UM-1 - Dia'!$D23:$AR23))</f>
        <v>0</v>
      </c>
      <c r="E3" s="23">
        <f t="array" ref="E3">SUM(IF(('UM-1 - Dia'!$D$6:$AR$6='Falhas por Modelo'!E$1)*('UM-1 - Dia'!$D$5:$AR$5&lt;&gt;""),'UM-1 - Dia'!$D23:$AR23))</f>
        <v>0</v>
      </c>
      <c r="F3" s="23">
        <f t="array" ref="F3">SUM(IF(('UM-1 - Dia'!$D$6:$AR$6='Falhas por Modelo'!F$1)*('UM-1 - Dia'!$D$5:$AR$5&lt;&gt;""),'UM-1 - Dia'!$D23:$AR23))</f>
        <v>0</v>
      </c>
      <c r="G3" s="23">
        <f t="array" ref="G3">SUM(IF(('UM-1 - Dia'!$D$6:$AR$6='Falhas por Modelo'!G$1)*('UM-1 - Dia'!$D$5:$AR$5&lt;&gt;""),'UM-1 - Dia'!$D23:$AR23))</f>
        <v>0</v>
      </c>
      <c r="H3" s="23">
        <f t="array" ref="H3">SUM(IF(('UM-1 - Dia'!$D$6:$AR$6='Falhas por Modelo'!H$1)*('UM-1 - Dia'!$D$5:$AR$5&lt;&gt;""),'UM-1 - Dia'!$D23:$AR23))</f>
        <v>0</v>
      </c>
      <c r="I3" s="23">
        <f t="array" ref="I3">SUM(IF(('UM-1 - Dia'!$D$6:$AR$6='Falhas por Modelo'!I$1)*('UM-1 - Dia'!$D$5:$AR$5&lt;&gt;""),'UM-1 - Dia'!$D23:$AR23))</f>
        <v>0</v>
      </c>
      <c r="J3" s="23">
        <f t="array" ref="J3">SUM(IF(('UM-1 - Dia'!$D$6:$AR$6='Falhas por Modelo'!J$1)*('UM-1 - Dia'!$D$5:$AR$5&lt;&gt;""),'UM-1 - Dia'!$D23:$AR23))</f>
        <v>0</v>
      </c>
      <c r="K3" s="23">
        <f t="array" ref="K3">SUM(IF(('UM-1 - Dia'!$D$6:$AR$6='Falhas por Modelo'!K$1)*('UM-1 - Dia'!$D$5:$AR$5&lt;&gt;""),'UM-1 - Dia'!$D23:$AR23))</f>
        <v>0</v>
      </c>
      <c r="L3" s="29">
        <f t="array" ref="L3">SUM(IF(('UM-1 - Dia'!$D$6:$AR$6='Falhas por Modelo'!L$1)*('UM-1 - Dia'!$D$5:$AR$5&lt;&gt;""),'UM-1 - Dia'!$D23:$AR23))</f>
        <v>0</v>
      </c>
      <c r="M3" s="39">
        <f t="shared" si="0"/>
        <v>0</v>
      </c>
      <c r="N3" s="39">
        <f>'UM-1 - Dia'!AS23-M3</f>
        <v>0</v>
      </c>
      <c r="O3" s="22" t="e">
        <f>M3/M2*1000000</f>
        <v>#DIV/0!</v>
      </c>
    </row>
    <row r="4" spans="1:15">
      <c r="A4" s="291"/>
      <c r="B4" s="17" t="s">
        <v>51</v>
      </c>
      <c r="C4" s="23">
        <f t="array" ref="C4">SUM(IF(('UM-1 - Dia'!$D$6:$AR$6='Falhas por Modelo'!C$1)*('UM-1 - Dia'!$D$5:$AR$5&lt;&gt;""),'UM-1 - Dia'!$D24:$AR24))</f>
        <v>0</v>
      </c>
      <c r="D4" s="23">
        <f t="array" ref="D4">SUM(IF(('UM-1 - Dia'!$D$6:$AR$6='Falhas por Modelo'!D$1)*('UM-1 - Dia'!$D$5:$AR$5&lt;&gt;""),'UM-1 - Dia'!$D24:$AR24))</f>
        <v>0</v>
      </c>
      <c r="E4" s="23">
        <f t="array" ref="E4">SUM(IF(('UM-1 - Dia'!$D$6:$AR$6='Falhas por Modelo'!E$1)*('UM-1 - Dia'!$D$5:$AR$5&lt;&gt;""),'UM-1 - Dia'!$D24:$AR24))</f>
        <v>0</v>
      </c>
      <c r="F4" s="23">
        <f t="array" ref="F4">SUM(IF(('UM-1 - Dia'!$D$6:$AR$6='Falhas por Modelo'!F$1)*('UM-1 - Dia'!$D$5:$AR$5&lt;&gt;""),'UM-1 - Dia'!$D24:$AR24))</f>
        <v>0</v>
      </c>
      <c r="G4" s="23">
        <f t="array" ref="G4">SUM(IF(('UM-1 - Dia'!$D$6:$AR$6='Falhas por Modelo'!G$1)*('UM-1 - Dia'!$D$5:$AR$5&lt;&gt;""),'UM-1 - Dia'!$D24:$AR24))</f>
        <v>0</v>
      </c>
      <c r="H4" s="23">
        <f t="array" ref="H4">SUM(IF(('UM-1 - Dia'!$D$6:$AR$6='Falhas por Modelo'!H$1)*('UM-1 - Dia'!$D$5:$AR$5&lt;&gt;""),'UM-1 - Dia'!$D24:$AR24))</f>
        <v>0</v>
      </c>
      <c r="I4" s="23">
        <f t="array" ref="I4">SUM(IF(('UM-1 - Dia'!$D$6:$AR$6='Falhas por Modelo'!I$1)*('UM-1 - Dia'!$D$5:$AR$5&lt;&gt;""),'UM-1 - Dia'!$D24:$AR24))</f>
        <v>0</v>
      </c>
      <c r="J4" s="23">
        <f t="array" ref="J4">SUM(IF(('UM-1 - Dia'!$D$6:$AR$6='Falhas por Modelo'!J$1)*('UM-1 - Dia'!$D$5:$AR$5&lt;&gt;""),'UM-1 - Dia'!$D24:$AR24))</f>
        <v>0</v>
      </c>
      <c r="K4" s="23">
        <f t="array" ref="K4">SUM(IF(('UM-1 - Dia'!$D$6:$AR$6='Falhas por Modelo'!K$1)*('UM-1 - Dia'!$D$5:$AR$5&lt;&gt;""),'UM-1 - Dia'!$D24:$AR24))</f>
        <v>0</v>
      </c>
      <c r="L4" s="29">
        <f t="array" ref="L4">SUM(IF(('UM-1 - Dia'!$D$6:$AR$6='Falhas por Modelo'!L$1)*('UM-1 - Dia'!$D$5:$AR$5&lt;&gt;""),'UM-1 - Dia'!$D24:$AR24))</f>
        <v>0</v>
      </c>
      <c r="M4" s="39">
        <f t="shared" si="0"/>
        <v>0</v>
      </c>
      <c r="N4" s="39">
        <f>'UM-1 - Dia'!AS24-M4</f>
        <v>0</v>
      </c>
      <c r="O4" s="44" t="e">
        <f>M4/C17*1000000</f>
        <v>#DIV/0!</v>
      </c>
    </row>
    <row r="5" spans="1:15">
      <c r="A5" s="292"/>
      <c r="B5" s="19" t="s">
        <v>80</v>
      </c>
      <c r="C5" s="23">
        <f t="array" ref="C5">SUM(IF(('UM-1 - Dia'!$D$6:$AR$6='Falhas por Modelo'!C$1)*('UM-1 - Dia'!$D$5:$AR$5&lt;&gt;""),'UM-1 - Dia'!$D23:$AR23))</f>
        <v>0</v>
      </c>
      <c r="D5" s="23">
        <f t="array" ref="D5">SUM(IF(('UM-1 - Dia'!$D$6:$AR$6='Falhas por Modelo'!D$1)*('UM-1 - Dia'!$D$5:$AR$5&lt;&gt;""),'UM-1 - Dia'!$D23:$AR23))</f>
        <v>0</v>
      </c>
      <c r="E5" s="23">
        <f t="array" ref="E5">SUM(IF(('UM-1 - Dia'!$D$6:$AR$6='Falhas por Modelo'!E$1)*('UM-1 - Dia'!$D$5:$AR$5&lt;&gt;""),'UM-1 - Dia'!$D23:$AR23))</f>
        <v>0</v>
      </c>
      <c r="F5" s="23">
        <f t="array" ref="F5">SUM(IF(('UM-1 - Dia'!$D$6:$AR$6='Falhas por Modelo'!F$1)*('UM-1 - Dia'!$D$5:$AR$5&lt;&gt;""),'UM-1 - Dia'!$D23:$AR23))</f>
        <v>0</v>
      </c>
      <c r="G5" s="23">
        <f t="array" ref="G5">SUM(IF(('UM-1 - Dia'!$D$6:$AR$6='Falhas por Modelo'!G$1)*('UM-1 - Dia'!$D$5:$AR$5&lt;&gt;""),'UM-1 - Dia'!$D23:$AR23))</f>
        <v>0</v>
      </c>
      <c r="H5" s="23">
        <f t="array" ref="H5">SUM(IF(('UM-1 - Dia'!$D$6:$AR$6='Falhas por Modelo'!H$1)*('UM-1 - Dia'!$D$5:$AR$5&lt;&gt;""),'UM-1 - Dia'!$D23:$AR23))</f>
        <v>0</v>
      </c>
      <c r="I5" s="23">
        <f t="array" ref="I5">SUM(IF(('UM-1 - Dia'!$D$6:$AR$6='Falhas por Modelo'!I$1)*('UM-1 - Dia'!$D$5:$AR$5&lt;&gt;""),'UM-1 - Dia'!$D23:$AR23))</f>
        <v>0</v>
      </c>
      <c r="J5" s="24">
        <f t="array" ref="J5">SUM(IF(('UM-1 - Dia'!$D$6:$AR$6='Falhas por Modelo'!J$1)*('UM-1 - Dia'!$D$5:$AR$5&lt;&gt;""),'UM-1 - Dia'!$D23:$AR23))</f>
        <v>0</v>
      </c>
      <c r="K5" s="24">
        <f t="array" ref="K5">SUM(IF(('UM-1 - Dia'!$D$6:$AR$6='Falhas por Modelo'!K$1)*('UM-1 - Dia'!$D$5:$AR$5&lt;&gt;""),'UM-1 - Dia'!$D23:$AR23))</f>
        <v>0</v>
      </c>
      <c r="L5" s="30">
        <f t="array" ref="L5">SUM(IF(('UM-1 - Dia'!$D$6:$AR$6='Falhas por Modelo'!L$1)*('UM-1 - Dia'!$D$5:$AR$5&lt;&gt;""),'UM-1 - Dia'!$D23:$AR23))</f>
        <v>0</v>
      </c>
      <c r="M5" s="39">
        <f t="shared" si="0"/>
        <v>0</v>
      </c>
      <c r="N5" s="39">
        <f>'UM-1 - Dia'!AS23-M5</f>
        <v>0</v>
      </c>
      <c r="O5" s="47"/>
    </row>
    <row r="6" spans="1:15" ht="13.5" thickBot="1">
      <c r="A6" s="292"/>
      <c r="B6" s="19" t="s">
        <v>52</v>
      </c>
      <c r="C6" s="24">
        <f>C2-C4</f>
        <v>0</v>
      </c>
      <c r="D6" s="24">
        <f t="shared" ref="D6:L6" si="1">D2-D4</f>
        <v>0</v>
      </c>
      <c r="E6" s="24">
        <f t="shared" si="1"/>
        <v>0</v>
      </c>
      <c r="F6" s="24">
        <f t="shared" si="1"/>
        <v>0</v>
      </c>
      <c r="G6" s="24">
        <f t="shared" si="1"/>
        <v>0</v>
      </c>
      <c r="H6" s="24">
        <f t="shared" si="1"/>
        <v>0</v>
      </c>
      <c r="I6" s="24">
        <f t="shared" si="1"/>
        <v>0</v>
      </c>
      <c r="J6" s="24">
        <f t="shared" si="1"/>
        <v>0</v>
      </c>
      <c r="K6" s="24">
        <f t="shared" si="1"/>
        <v>0</v>
      </c>
      <c r="L6" s="30">
        <f t="shared" si="1"/>
        <v>0</v>
      </c>
      <c r="M6" s="66">
        <f t="shared" si="0"/>
        <v>0</v>
      </c>
      <c r="N6" s="66"/>
      <c r="O6" s="76"/>
    </row>
    <row r="7" spans="1:15">
      <c r="A7" s="290" t="s">
        <v>53</v>
      </c>
      <c r="B7" s="16" t="s">
        <v>2</v>
      </c>
      <c r="C7" s="79">
        <f t="array" ref="C7">SUM(IF(('UM-1 - Noite'!$D$6:$AR$6='Falhas por Modelo'!C$1)*('UM-1 - Noite'!$D$5:$AR$5&lt;&gt;""),'UM-1 - Noite'!$D12:$AR12))</f>
        <v>0</v>
      </c>
      <c r="D7" s="79">
        <f t="array" ref="D7">SUM(IF(('UM-1 - Noite'!$D$6:$AR$6='Falhas por Modelo'!D$1)*('UM-1 - Noite'!$D10:$AR10&lt;&gt;""),'UM-1 - Noite'!$D12:$AR12))</f>
        <v>0</v>
      </c>
      <c r="E7" s="79">
        <f t="array" ref="E7">SUM(IF(('UM-1 - Noite'!$D$6:$AR$6='Falhas por Modelo'!E$1)*('UM-1 - Noite'!$D10:$AR10&lt;&gt;""),'UM-1 - Noite'!$D12:$AR12))</f>
        <v>0</v>
      </c>
      <c r="F7" s="79">
        <f t="array" ref="F7">SUM(IF(('UM-1 - Noite'!$D$6:$AR$6='Falhas por Modelo'!F$1)*('UM-1 - Noite'!$D10:$AR10&lt;&gt;""),'UM-1 - Noite'!$D12:$AR12))</f>
        <v>0</v>
      </c>
      <c r="G7" s="79">
        <f t="array" ref="G7">SUM(IF(('UM-1 - Noite'!$D$6:$AR$6='Falhas por Modelo'!G$1)*('UM-1 - Noite'!$D10:$AR10&lt;&gt;""),'UM-1 - Noite'!$D12:$AR12))</f>
        <v>0</v>
      </c>
      <c r="H7" s="79">
        <f t="array" ref="H7">SUM(IF(('UM-1 - Noite'!$D$6:$AR$6='Falhas por Modelo'!H$1)*('UM-1 - Noite'!$D10:$AR10&lt;&gt;""),'UM-1 - Noite'!$D12:$AR12))</f>
        <v>0</v>
      </c>
      <c r="I7" s="79">
        <f t="array" ref="I7">SUM(IF(('UM-1 - Noite'!$D$6:$AR$6='Falhas por Modelo'!I$1)*('UM-1 - Noite'!$D10:$AR10&lt;&gt;""),'UM-1 - Noite'!$D12:$AR12))</f>
        <v>0</v>
      </c>
      <c r="J7" s="79">
        <f t="array" ref="J7">SUM(IF(('UM-1 - Noite'!$D$6:$AR$6='Falhas por Modelo'!J$1)*('UM-1 - Noite'!$D10:$AR10&lt;&gt;""),'UM-1 - Noite'!$D12:$AR12))</f>
        <v>0</v>
      </c>
      <c r="K7" s="79">
        <f t="array" ref="K7">SUM(IF(('UM-1 - Noite'!$D$6:$AR$6='Falhas por Modelo'!K$1)*('UM-1 - Noite'!$D10:$AR10&lt;&gt;""),'UM-1 - Noite'!$D12:$AR12))</f>
        <v>0</v>
      </c>
      <c r="L7" s="80">
        <f t="array" ref="L7">SUM(IF(('UM-1 - Noite'!$D$6:$AR$6='Falhas por Modelo'!L$1)*('UM-1 - Noite'!$D10:$AR10&lt;&gt;""),'UM-1 - Noite'!$D12:$AR12))</f>
        <v>0</v>
      </c>
      <c r="M7" s="70">
        <f t="shared" si="0"/>
        <v>0</v>
      </c>
      <c r="N7" s="73"/>
      <c r="O7" s="33"/>
    </row>
    <row r="8" spans="1:15">
      <c r="A8" s="291"/>
      <c r="B8" s="17" t="s">
        <v>3</v>
      </c>
      <c r="C8" s="23">
        <f t="array" ref="C8">SUM(IF(('UM-1 - Noite'!$D$6:$AR$6='Falhas por Modelo'!C$1)*('UM-1 - Noite'!$D$5:$AR$5&lt;&gt;""),'UM-1 - Noite'!$D28:$AR28))</f>
        <v>0</v>
      </c>
      <c r="D8" s="23">
        <f t="array" ref="D8">SUM(IF(('UM-1 - Noite'!$D$6:$AR$6='Falhas por Modelo'!D$1)*('UM-1 - Noite'!$D$5:$AR$5&lt;&gt;""),'UM-1 - Noite'!$D28:$AR28))</f>
        <v>0</v>
      </c>
      <c r="E8" s="23">
        <f t="array" ref="E8">SUM(IF(('UM-1 - Noite'!$D$6:$AR$6='Falhas por Modelo'!E$1)*('UM-1 - Noite'!$D$5:$AR$5&lt;&gt;""),'UM-1 - Noite'!$D28:$AR28))</f>
        <v>0</v>
      </c>
      <c r="F8" s="23">
        <f t="array" ref="F8">SUM(IF(('UM-1 - Noite'!$D$6:$AR$6='Falhas por Modelo'!F$1)*('UM-1 - Noite'!$D$5:$AR$5&lt;&gt;""),'UM-1 - Noite'!$D28:$AR28))</f>
        <v>0</v>
      </c>
      <c r="G8" s="23">
        <f t="array" ref="G8">SUM(IF(('UM-1 - Noite'!$D$6:$AR$6='Falhas por Modelo'!G$1)*('UM-1 - Noite'!$D$5:$AR$5&lt;&gt;""),'UM-1 - Noite'!$D28:$AR28))</f>
        <v>0</v>
      </c>
      <c r="H8" s="23">
        <f t="array" ref="H8">SUM(IF(('UM-1 - Noite'!$D$6:$AR$6='Falhas por Modelo'!H$1)*('UM-1 - Noite'!$D$5:$AR$5&lt;&gt;""),'UM-1 - Noite'!$D28:$AR28))</f>
        <v>0</v>
      </c>
      <c r="I8" s="23">
        <f t="array" ref="I8">SUM(IF(('UM-1 - Noite'!$D$6:$AR$6='Falhas por Modelo'!I$1)*('UM-1 - Noite'!$D$5:$AR$5&lt;&gt;""),'UM-1 - Noite'!$D28:$AR28))</f>
        <v>0</v>
      </c>
      <c r="J8" s="23">
        <f t="array" ref="J8">SUM(IF(('UM-1 - Noite'!$D$6:$AR$6='Falhas por Modelo'!J$1)*('UM-1 - Noite'!$D$5:$AR$5&lt;&gt;""),'UM-1 - Noite'!$D28:$AR28))</f>
        <v>0</v>
      </c>
      <c r="K8" s="23">
        <f t="array" ref="K8">SUM(IF(('UM-1 - Noite'!$D$6:$AR$6='Falhas por Modelo'!K$1)*('UM-1 - Noite'!$D$5:$AR$5&lt;&gt;""),'UM-1 - Noite'!$D28:$AR28))</f>
        <v>0</v>
      </c>
      <c r="L8" s="29">
        <f t="array" ref="L8">SUM(IF(('UM-1 - Noite'!$D$6:$AR$6='Falhas por Modelo'!L$1)*('UM-1 - Noite'!$D$5:$AR$5&lt;&gt;""),'UM-1 - Noite'!$D28:$AR28))</f>
        <v>0</v>
      </c>
      <c r="M8" s="71">
        <f t="shared" si="0"/>
        <v>0</v>
      </c>
      <c r="N8" s="74"/>
      <c r="O8" s="22" t="e">
        <f>M8/M7*1000000</f>
        <v>#DIV/0!</v>
      </c>
    </row>
    <row r="9" spans="1:15">
      <c r="A9" s="291"/>
      <c r="B9" s="17" t="s">
        <v>51</v>
      </c>
      <c r="C9" s="23">
        <f t="array" ref="C9">SUM(IF(('UM-1 - Noite'!$D$6:$AR$6='Falhas por Modelo'!C$1)*('UM-1 - Noite'!$D$5:$AR$5&lt;&gt;""),'UM-1 - Noite'!$D29:$AR29))</f>
        <v>0</v>
      </c>
      <c r="D9" s="23">
        <f t="array" ref="D9">SUM(IF(('UM-1 - Noite'!$D$6:$AR$6='Falhas por Modelo'!D$1)*('UM-1 - Noite'!$D$5:$AR$5&lt;&gt;""),'UM-1 - Noite'!$D29:$AR29))</f>
        <v>0</v>
      </c>
      <c r="E9" s="23">
        <f t="array" ref="E9">SUM(IF(('UM-1 - Noite'!$D$6:$AR$6='Falhas por Modelo'!E$1)*('UM-1 - Noite'!$D$5:$AR$5&lt;&gt;""),'UM-1 - Noite'!$D29:$AR29))</f>
        <v>0</v>
      </c>
      <c r="F9" s="23">
        <f t="array" ref="F9">SUM(IF(('UM-1 - Noite'!$D$6:$AR$6='Falhas por Modelo'!F$1)*('UM-1 - Noite'!$D$5:$AR$5&lt;&gt;""),'UM-1 - Noite'!$D29:$AR29))</f>
        <v>0</v>
      </c>
      <c r="G9" s="23">
        <f t="array" ref="G9">SUM(IF(('UM-1 - Noite'!$D$6:$AR$6='Falhas por Modelo'!G$1)*('UM-1 - Noite'!$D$5:$AR$5&lt;&gt;""),'UM-1 - Noite'!$D29:$AR29))</f>
        <v>0</v>
      </c>
      <c r="H9" s="23">
        <f t="array" ref="H9">SUM(IF(('UM-1 - Noite'!$D$6:$AR$6='Falhas por Modelo'!H$1)*('UM-1 - Noite'!$D$5:$AR$5&lt;&gt;""),'UM-1 - Noite'!$D29:$AR29))</f>
        <v>0</v>
      </c>
      <c r="I9" s="23">
        <f t="array" ref="I9">SUM(IF(('UM-1 - Noite'!$D$6:$AR$6='Falhas por Modelo'!I$1)*('UM-1 - Noite'!$D$5:$AR$5&lt;&gt;""),'UM-1 - Noite'!$D29:$AR29))</f>
        <v>0</v>
      </c>
      <c r="J9" s="23">
        <f t="array" ref="J9">SUM(IF(('UM-1 - Noite'!$D$6:$AR$6='Falhas por Modelo'!J$1)*('UM-1 - Noite'!$D$5:$AR$5&lt;&gt;""),'UM-1 - Noite'!$D29:$AR29))</f>
        <v>0</v>
      </c>
      <c r="K9" s="23">
        <f t="array" ref="K9">SUM(IF(('UM-1 - Noite'!$D$6:$AR$6='Falhas por Modelo'!K$1)*('UM-1 - Noite'!$D$5:$AR$5&lt;&gt;""),'UM-1 - Noite'!$D29:$AR29))</f>
        <v>0</v>
      </c>
      <c r="L9" s="29">
        <f t="array" ref="L9">SUM(IF(('UM-1 - Noite'!$D$6:$AR$6='Falhas por Modelo'!L$1)*('UM-1 - Noite'!$D$5:$AR$5&lt;&gt;""),'UM-1 - Noite'!$D29:$AR29))</f>
        <v>0</v>
      </c>
      <c r="M9" s="71">
        <f t="shared" si="0"/>
        <v>0</v>
      </c>
      <c r="N9" s="74"/>
      <c r="O9" s="22" t="e">
        <f>M9/C18*1000000</f>
        <v>#DIV/0!</v>
      </c>
    </row>
    <row r="10" spans="1:15">
      <c r="A10" s="292"/>
      <c r="B10" s="19" t="s">
        <v>80</v>
      </c>
      <c r="C10" s="23">
        <f t="array" ref="C10">SUM(IF(('UM-1 - Noite'!$D$6:$AR$6='Falhas por Modelo'!C$1)*('UM-1 - Noite'!$D$5:$AR$5&lt;&gt;""),'UM-1 - Noite'!$D28:$AR28))</f>
        <v>0</v>
      </c>
      <c r="D10" s="23">
        <f t="array" ref="D10">SUM(IF(('UM-1 - Noite'!$D$6:$AR$6='Falhas por Modelo'!D$1)*('UM-1 - Noite'!$D$5:$AR$5&lt;&gt;""),'UM-1 - Noite'!$D28:$AR28))</f>
        <v>0</v>
      </c>
      <c r="E10" s="23">
        <f t="array" ref="E10">SUM(IF(('UM-1 - Noite'!$D$6:$AR$6='Falhas por Modelo'!E$1)*('UM-1 - Noite'!$D$5:$AR$5&lt;&gt;""),'UM-1 - Noite'!$D28:$AR28))</f>
        <v>0</v>
      </c>
      <c r="F10" s="23">
        <f t="array" ref="F10">SUM(IF(('UM-1 - Noite'!$D$6:$AR$6='Falhas por Modelo'!F$1)*('UM-1 - Noite'!$D$5:$AR$5&lt;&gt;""),'UM-1 - Noite'!$D28:$AR28))</f>
        <v>0</v>
      </c>
      <c r="G10" s="23">
        <f t="array" ref="G10">SUM(IF(('UM-1 - Noite'!$D$6:$AR$6='Falhas por Modelo'!G$1)*('UM-1 - Noite'!$D$5:$AR$5&lt;&gt;""),'UM-1 - Noite'!$D28:$AR28))</f>
        <v>0</v>
      </c>
      <c r="H10" s="23">
        <f t="array" ref="H10">SUM(IF(('UM-1 - Noite'!$D$6:$AR$6='Falhas por Modelo'!H$1)*('UM-1 - Noite'!$D$5:$AR$5&lt;&gt;""),'UM-1 - Noite'!$D28:$AR28))</f>
        <v>0</v>
      </c>
      <c r="I10" s="23">
        <f t="array" ref="I10">SUM(IF(('UM-1 - Noite'!$D$6:$AR$6='Falhas por Modelo'!I$1)*('UM-1 - Noite'!$D$5:$AR$5&lt;&gt;""),'UM-1 - Noite'!$D28:$AR28))</f>
        <v>0</v>
      </c>
      <c r="J10" s="23">
        <f t="array" ref="J10">SUM(IF(('UM-1 - Noite'!$D$6:$AR$6='Falhas por Modelo'!J$1)*('UM-1 - Noite'!$D$5:$AR$5&lt;&gt;""),'UM-1 - Noite'!$D28:$AR28))</f>
        <v>0</v>
      </c>
      <c r="K10" s="23">
        <f t="array" ref="K10">SUM(IF(('UM-1 - Noite'!$D$6:$AR$6='Falhas por Modelo'!K$1)*('UM-1 - Noite'!$D$5:$AR$5&lt;&gt;""),'UM-1 - Noite'!$D28:$AR28))</f>
        <v>0</v>
      </c>
      <c r="L10" s="29">
        <f t="array" ref="L10">SUM(IF(('UM-1 - Noite'!$D$6:$AR$6='Falhas por Modelo'!L$1)*('UM-1 - Noite'!$D$5:$AR$5&lt;&gt;""),'UM-1 - Noite'!$D28:$AR28))</f>
        <v>0</v>
      </c>
      <c r="M10" s="71">
        <f t="shared" si="0"/>
        <v>0</v>
      </c>
      <c r="N10" s="74"/>
      <c r="O10" s="47"/>
    </row>
    <row r="11" spans="1:15" ht="13.5" thickBot="1">
      <c r="A11" s="293"/>
      <c r="B11" s="18" t="s">
        <v>52</v>
      </c>
      <c r="C11" s="81">
        <f>C7-C9</f>
        <v>0</v>
      </c>
      <c r="D11" s="81">
        <f t="shared" ref="D11:L11" si="2">D7-D9</f>
        <v>0</v>
      </c>
      <c r="E11" s="81">
        <f t="shared" si="2"/>
        <v>0</v>
      </c>
      <c r="F11" s="81">
        <f t="shared" si="2"/>
        <v>0</v>
      </c>
      <c r="G11" s="81">
        <f t="shared" si="2"/>
        <v>0</v>
      </c>
      <c r="H11" s="81">
        <f t="shared" si="2"/>
        <v>0</v>
      </c>
      <c r="I11" s="81">
        <f t="shared" si="2"/>
        <v>0</v>
      </c>
      <c r="J11" s="81">
        <f t="shared" si="2"/>
        <v>0</v>
      </c>
      <c r="K11" s="81">
        <f t="shared" si="2"/>
        <v>0</v>
      </c>
      <c r="L11" s="82">
        <f t="shared" si="2"/>
        <v>0</v>
      </c>
      <c r="M11" s="72">
        <f t="shared" si="0"/>
        <v>0</v>
      </c>
      <c r="N11" s="75"/>
      <c r="O11" s="32"/>
    </row>
    <row r="12" spans="1:15" ht="13.5" thickBot="1">
      <c r="A12" s="294" t="s">
        <v>26</v>
      </c>
      <c r="B12" s="295"/>
      <c r="C12" s="40">
        <f>C2+C7</f>
        <v>0</v>
      </c>
      <c r="D12" s="40">
        <f t="shared" ref="D12:L12" si="3">D2+D7</f>
        <v>0</v>
      </c>
      <c r="E12" s="40">
        <f t="shared" si="3"/>
        <v>0</v>
      </c>
      <c r="F12" s="40">
        <f t="shared" si="3"/>
        <v>0</v>
      </c>
      <c r="G12" s="40">
        <f t="shared" si="3"/>
        <v>0</v>
      </c>
      <c r="H12" s="40">
        <f t="shared" si="3"/>
        <v>0</v>
      </c>
      <c r="I12" s="40">
        <f t="shared" si="3"/>
        <v>0</v>
      </c>
      <c r="J12" s="40">
        <f t="shared" si="3"/>
        <v>0</v>
      </c>
      <c r="K12" s="40">
        <f t="shared" si="3"/>
        <v>0</v>
      </c>
      <c r="L12" s="41">
        <f t="shared" si="3"/>
        <v>0</v>
      </c>
      <c r="M12" s="67">
        <f t="shared" si="0"/>
        <v>0</v>
      </c>
      <c r="N12" s="77">
        <f>N7+N2</f>
        <v>0</v>
      </c>
      <c r="O12" s="78"/>
    </row>
    <row r="13" spans="1:15" ht="13.5" thickBot="1">
      <c r="A13" s="298" t="s">
        <v>79</v>
      </c>
      <c r="B13" s="299"/>
      <c r="C13" s="42">
        <f>C4+C9</f>
        <v>0</v>
      </c>
      <c r="D13" s="42">
        <f t="shared" ref="D13:N13" si="4">D4+D9</f>
        <v>0</v>
      </c>
      <c r="E13" s="42">
        <f t="shared" si="4"/>
        <v>0</v>
      </c>
      <c r="F13" s="42">
        <f t="shared" si="4"/>
        <v>0</v>
      </c>
      <c r="G13" s="42">
        <f t="shared" si="4"/>
        <v>0</v>
      </c>
      <c r="H13" s="42">
        <f t="shared" si="4"/>
        <v>0</v>
      </c>
      <c r="I13" s="42">
        <f t="shared" si="4"/>
        <v>0</v>
      </c>
      <c r="J13" s="42">
        <f t="shared" si="4"/>
        <v>0</v>
      </c>
      <c r="K13" s="42">
        <f t="shared" si="4"/>
        <v>0</v>
      </c>
      <c r="L13" s="43">
        <f t="shared" si="4"/>
        <v>0</v>
      </c>
      <c r="M13" s="67">
        <f t="shared" si="4"/>
        <v>0</v>
      </c>
      <c r="N13" s="68">
        <f t="shared" si="4"/>
        <v>0</v>
      </c>
      <c r="O13" s="69"/>
    </row>
    <row r="14" spans="1:15" ht="13.5" thickBot="1">
      <c r="A14" s="20"/>
      <c r="B14" s="20"/>
    </row>
    <row r="15" spans="1:15" ht="13.5" thickBot="1">
      <c r="A15" s="296" t="s">
        <v>26</v>
      </c>
      <c r="B15" s="297"/>
      <c r="C15" s="36" t="s">
        <v>54</v>
      </c>
      <c r="D15" s="37" t="s">
        <v>47</v>
      </c>
      <c r="F15" s="289" t="s">
        <v>65</v>
      </c>
      <c r="G15" s="289"/>
      <c r="H15" s="289"/>
    </row>
    <row r="16" spans="1:15" ht="13.5" thickBot="1">
      <c r="A16" s="21" t="s">
        <v>55</v>
      </c>
      <c r="B16" s="17"/>
      <c r="C16" s="23">
        <f>SUM('UM-1 - Dia'!D7:AJ7,'UM-1 - Noite'!D7:AR7)</f>
        <v>0</v>
      </c>
      <c r="D16" s="35"/>
      <c r="F16" s="48"/>
      <c r="G16" s="49" t="s">
        <v>83</v>
      </c>
      <c r="H16" s="49"/>
    </row>
    <row r="17" spans="1:8" ht="13.5" thickBot="1">
      <c r="A17" s="21" t="s">
        <v>67</v>
      </c>
      <c r="B17" s="17"/>
      <c r="C17" s="23">
        <f t="array" ref="C17">SUM(IF('UM-1 - Dia'!D5:AJ5&lt;&gt;"",'UM-1 - Dia'!D7:AJ7))</f>
        <v>0</v>
      </c>
      <c r="D17" s="35"/>
      <c r="F17" s="50"/>
      <c r="G17" s="288" t="s">
        <v>84</v>
      </c>
      <c r="H17" s="288"/>
    </row>
    <row r="18" spans="1:8" ht="13.5" thickBot="1">
      <c r="A18" s="21" t="s">
        <v>68</v>
      </c>
      <c r="B18" s="17"/>
      <c r="C18" s="23"/>
      <c r="D18" s="35"/>
      <c r="F18" s="51"/>
      <c r="G18" s="49" t="s">
        <v>85</v>
      </c>
      <c r="H18" s="49"/>
    </row>
    <row r="19" spans="1:8">
      <c r="A19" s="21" t="s">
        <v>69</v>
      </c>
      <c r="B19" s="17"/>
      <c r="C19" s="23">
        <f>M12</f>
        <v>0</v>
      </c>
      <c r="D19" s="35"/>
    </row>
    <row r="20" spans="1:8">
      <c r="A20" s="21" t="s">
        <v>56</v>
      </c>
      <c r="B20" s="17"/>
      <c r="C20" s="23">
        <f>M3+M8</f>
        <v>0</v>
      </c>
      <c r="D20" s="34" t="e">
        <f>C20/C19*1000000</f>
        <v>#DIV/0!</v>
      </c>
    </row>
    <row r="21" spans="1:8">
      <c r="A21" s="182" t="s">
        <v>231</v>
      </c>
      <c r="B21" s="185" t="s">
        <v>57</v>
      </c>
      <c r="C21" s="23">
        <f>M4+M9</f>
        <v>0</v>
      </c>
      <c r="D21" s="44" t="e">
        <f>C21/C19*1000000</f>
        <v>#DIV/0!</v>
      </c>
    </row>
    <row r="22" spans="1:8">
      <c r="A22" s="183" t="s">
        <v>232</v>
      </c>
      <c r="B22" s="186" t="s">
        <v>57</v>
      </c>
      <c r="C22" s="24">
        <f>'UM-1 - Dia'!AS108</f>
        <v>0</v>
      </c>
      <c r="D22" s="184"/>
    </row>
    <row r="23" spans="1:8" ht="13.5" thickBot="1">
      <c r="A23" s="45" t="s">
        <v>81</v>
      </c>
      <c r="B23" s="18"/>
      <c r="C23" s="55"/>
      <c r="D23" s="46" t="e">
        <f>C23/(M5+M10)*C21/C19*1000000</f>
        <v>#DIV/0!</v>
      </c>
    </row>
  </sheetData>
  <sheetProtection algorithmName="SHA-512" hashValue="9kySqhCoEpVJrJkAaKZ4YqLSvzdpRFKeRNnc3JWXFeGlSp39BBonu29lHshEeLZhP0dQcy+zbUX4CV4tW+/oEg==" saltValue="oq4oo0luCyMMCMj5kO32Qg==" spinCount="100000" sheet="1" objects="1" scenarios="1" selectLockedCells="1"/>
  <mergeCells count="7">
    <mergeCell ref="G17:H17"/>
    <mergeCell ref="F15:H15"/>
    <mergeCell ref="A1:A6"/>
    <mergeCell ref="A7:A11"/>
    <mergeCell ref="A12:B12"/>
    <mergeCell ref="A15:B15"/>
    <mergeCell ref="A13:B13"/>
  </mergeCells>
  <phoneticPr fontId="0" type="noConversion"/>
  <conditionalFormatting sqref="C16">
    <cfRule type="cellIs" dxfId="14" priority="1" stopIfTrue="1" operator="notEqual">
      <formula>$M$12</formula>
    </cfRule>
  </conditionalFormatting>
  <conditionalFormatting sqref="N12 N2:N5 N7:N10">
    <cfRule type="cellIs" dxfId="13" priority="2" stopIfTrue="1" operator="notEqual">
      <formula>0</formula>
    </cfRule>
  </conditionalFormatting>
  <conditionalFormatting sqref="O9">
    <cfRule type="cellIs" dxfId="12" priority="3" stopIfTrue="1" operator="greaterThan">
      <formula>200</formula>
    </cfRule>
    <cfRule type="cellIs" dxfId="11" priority="4" stopIfTrue="1" operator="between">
      <formula>101</formula>
      <formula>200</formula>
    </cfRule>
    <cfRule type="cellIs" dxfId="10" priority="5" stopIfTrue="1" operator="lessThan">
      <formula>100</formula>
    </cfRule>
  </conditionalFormatting>
  <conditionalFormatting sqref="D21:D22 O4">
    <cfRule type="cellIs" dxfId="9" priority="6" stopIfTrue="1" operator="greaterThan">
      <formula>322</formula>
    </cfRule>
    <cfRule type="cellIs" dxfId="8" priority="7" stopIfTrue="1" operator="between">
      <formula>161</formula>
      <formula>322</formula>
    </cfRule>
    <cfRule type="cellIs" dxfId="7" priority="8" stopIfTrue="1" operator="lessThan">
      <formula>161</formula>
    </cfRule>
  </conditionalFormatting>
  <printOptions horizontalCentered="1"/>
  <pageMargins left="0.39370078740157483" right="0.39370078740157483" top="1.5748031496062993" bottom="0.39370078740157483" header="0.98425196850393704" footer="0.59055118110236227"/>
  <pageSetup paperSize="9" orientation="landscape" r:id="rId1"/>
  <headerFooter alignWithMargins="0">
    <oddHeader>&amp;L&amp;"SwitzerlandBlack,Negrito"&amp;16Panasonic
&amp;"Arial,Negrito"&amp;9PILHAS / BATERIAS&amp;C&amp;14RESUMO DE FALHAS DE V/A&amp;RNOVEMBRO</oddHeader>
    <oddFooter>&amp;L&amp;A&amp;R&amp;F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>
    <pageSetUpPr fitToPage="1"/>
  </sheetPr>
  <dimension ref="A1:E106"/>
  <sheetViews>
    <sheetView workbookViewId="0">
      <selection activeCell="G84" sqref="G84"/>
    </sheetView>
  </sheetViews>
  <sheetFormatPr defaultRowHeight="12.75"/>
  <cols>
    <col min="1" max="1" width="3.28515625" style="110" bestFit="1" customWidth="1"/>
    <col min="2" max="2" width="9.140625" style="121"/>
    <col min="3" max="3" width="29.28515625" style="110" bestFit="1" customWidth="1"/>
    <col min="4" max="4" width="39.140625" style="110" bestFit="1" customWidth="1"/>
    <col min="5" max="5" width="35.42578125" style="110" bestFit="1" customWidth="1"/>
    <col min="6" max="16384" width="9.140625" style="110"/>
  </cols>
  <sheetData>
    <row r="1" spans="1:5">
      <c r="B1" s="111"/>
    </row>
    <row r="2" spans="1:5" ht="13.5" thickBot="1">
      <c r="B2" s="111"/>
    </row>
    <row r="3" spans="1:5" ht="13.5" thickBot="1">
      <c r="B3" s="112" t="s">
        <v>86</v>
      </c>
      <c r="C3" s="113" t="s">
        <v>159</v>
      </c>
      <c r="D3" s="114" t="s">
        <v>160</v>
      </c>
      <c r="E3" s="114" t="s">
        <v>296</v>
      </c>
    </row>
    <row r="4" spans="1:5" ht="12.75" customHeight="1">
      <c r="A4" s="303" t="s">
        <v>191</v>
      </c>
      <c r="B4" s="88">
        <v>10</v>
      </c>
      <c r="C4" s="86" t="s">
        <v>176</v>
      </c>
      <c r="D4" s="94" t="s">
        <v>178</v>
      </c>
      <c r="E4" s="94" t="s">
        <v>310</v>
      </c>
    </row>
    <row r="5" spans="1:5">
      <c r="A5" s="304"/>
      <c r="B5" s="54">
        <f>(B4/10+1)*10</f>
        <v>20</v>
      </c>
      <c r="C5" s="85" t="s">
        <v>177</v>
      </c>
      <c r="D5" s="95" t="s">
        <v>0</v>
      </c>
      <c r="E5" s="95" t="s">
        <v>311</v>
      </c>
    </row>
    <row r="6" spans="1:5">
      <c r="A6" s="304"/>
      <c r="B6" s="54">
        <f t="shared" ref="B6:B72" si="0">(B5/10+1)*10</f>
        <v>30</v>
      </c>
      <c r="C6" s="85" t="s">
        <v>1</v>
      </c>
      <c r="D6" s="95" t="s">
        <v>179</v>
      </c>
      <c r="E6" s="95" t="s">
        <v>312</v>
      </c>
    </row>
    <row r="7" spans="1:5">
      <c r="A7" s="304"/>
      <c r="B7" s="54">
        <f t="shared" si="0"/>
        <v>40</v>
      </c>
      <c r="C7" s="103" t="s">
        <v>210</v>
      </c>
      <c r="D7" s="104" t="s">
        <v>49</v>
      </c>
      <c r="E7" s="104" t="s">
        <v>313</v>
      </c>
    </row>
    <row r="8" spans="1:5">
      <c r="A8" s="304"/>
      <c r="B8" s="115">
        <f t="shared" si="0"/>
        <v>50</v>
      </c>
      <c r="C8" s="103" t="s">
        <v>180</v>
      </c>
      <c r="D8" s="104" t="s">
        <v>181</v>
      </c>
      <c r="E8" s="104" t="s">
        <v>314</v>
      </c>
    </row>
    <row r="9" spans="1:5" ht="12.75" customHeight="1">
      <c r="A9" s="304"/>
      <c r="B9" s="54">
        <f t="shared" si="0"/>
        <v>60</v>
      </c>
      <c r="C9" s="116" t="s">
        <v>211</v>
      </c>
      <c r="D9" s="91" t="s">
        <v>196</v>
      </c>
      <c r="E9" s="91" t="s">
        <v>315</v>
      </c>
    </row>
    <row r="10" spans="1:5">
      <c r="A10" s="304"/>
      <c r="B10" s="54">
        <f t="shared" si="0"/>
        <v>70</v>
      </c>
      <c r="C10" s="83" t="s">
        <v>212</v>
      </c>
      <c r="D10" s="91" t="s">
        <v>197</v>
      </c>
      <c r="E10" s="91" t="s">
        <v>316</v>
      </c>
    </row>
    <row r="11" spans="1:5">
      <c r="A11" s="304"/>
      <c r="B11" s="54">
        <f t="shared" si="0"/>
        <v>80</v>
      </c>
      <c r="C11" s="83" t="s">
        <v>190</v>
      </c>
      <c r="D11" s="91" t="s">
        <v>198</v>
      </c>
      <c r="E11" s="91" t="s">
        <v>317</v>
      </c>
    </row>
    <row r="12" spans="1:5">
      <c r="A12" s="304"/>
      <c r="B12" s="54">
        <f t="shared" si="0"/>
        <v>90</v>
      </c>
      <c r="C12" s="83" t="s">
        <v>187</v>
      </c>
      <c r="D12" s="117" t="s">
        <v>213</v>
      </c>
      <c r="E12" s="117" t="s">
        <v>318</v>
      </c>
    </row>
    <row r="13" spans="1:5">
      <c r="A13" s="304"/>
      <c r="B13" s="54">
        <f t="shared" si="0"/>
        <v>100</v>
      </c>
      <c r="C13" s="83" t="s">
        <v>212</v>
      </c>
      <c r="D13" s="91" t="s">
        <v>197</v>
      </c>
      <c r="E13" s="91" t="s">
        <v>316</v>
      </c>
    </row>
    <row r="14" spans="1:5">
      <c r="A14" s="304"/>
      <c r="B14" s="54">
        <f t="shared" si="0"/>
        <v>110</v>
      </c>
      <c r="C14" s="83" t="s">
        <v>190</v>
      </c>
      <c r="D14" s="91" t="s">
        <v>198</v>
      </c>
      <c r="E14" s="91" t="s">
        <v>317</v>
      </c>
    </row>
    <row r="15" spans="1:5">
      <c r="A15" s="304"/>
      <c r="B15" s="54">
        <f t="shared" si="0"/>
        <v>120</v>
      </c>
      <c r="C15" s="83" t="s">
        <v>189</v>
      </c>
      <c r="D15" s="91" t="s">
        <v>199</v>
      </c>
      <c r="E15" s="91" t="s">
        <v>319</v>
      </c>
    </row>
    <row r="16" spans="1:5">
      <c r="A16" s="304"/>
      <c r="B16" s="54">
        <f t="shared" si="0"/>
        <v>130</v>
      </c>
      <c r="C16" s="83" t="s">
        <v>214</v>
      </c>
      <c r="D16" s="91" t="s">
        <v>188</v>
      </c>
      <c r="E16" s="91" t="s">
        <v>320</v>
      </c>
    </row>
    <row r="17" spans="1:5">
      <c r="A17" s="304"/>
      <c r="B17" s="54">
        <f t="shared" si="0"/>
        <v>140</v>
      </c>
      <c r="C17" s="83" t="s">
        <v>190</v>
      </c>
      <c r="D17" s="91" t="s">
        <v>198</v>
      </c>
      <c r="E17" s="91" t="s">
        <v>317</v>
      </c>
    </row>
    <row r="18" spans="1:5">
      <c r="A18" s="304"/>
      <c r="B18" s="54">
        <f t="shared" si="0"/>
        <v>150</v>
      </c>
      <c r="C18" s="83" t="s">
        <v>200</v>
      </c>
      <c r="D18" s="117" t="s">
        <v>215</v>
      </c>
      <c r="E18" s="117" t="s">
        <v>321</v>
      </c>
    </row>
    <row r="19" spans="1:5">
      <c r="A19" s="304"/>
      <c r="B19" s="54">
        <f t="shared" si="0"/>
        <v>160</v>
      </c>
      <c r="C19" s="83" t="s">
        <v>188</v>
      </c>
      <c r="D19" s="91" t="s">
        <v>197</v>
      </c>
      <c r="E19" s="91" t="s">
        <v>316</v>
      </c>
    </row>
    <row r="20" spans="1:5">
      <c r="A20" s="304"/>
      <c r="B20" s="54">
        <f t="shared" si="0"/>
        <v>170</v>
      </c>
      <c r="C20" s="83" t="s">
        <v>198</v>
      </c>
      <c r="D20" s="91" t="s">
        <v>198</v>
      </c>
      <c r="E20" s="91" t="s">
        <v>317</v>
      </c>
    </row>
    <row r="21" spans="1:5">
      <c r="A21" s="304"/>
      <c r="B21" s="54">
        <f t="shared" si="0"/>
        <v>180</v>
      </c>
      <c r="C21" s="116" t="s">
        <v>216</v>
      </c>
      <c r="D21" s="117" t="s">
        <v>217</v>
      </c>
      <c r="E21" s="117" t="s">
        <v>322</v>
      </c>
    </row>
    <row r="22" spans="1:5">
      <c r="A22" s="304"/>
      <c r="B22" s="54">
        <f t="shared" si="0"/>
        <v>190</v>
      </c>
      <c r="C22" s="83" t="s">
        <v>218</v>
      </c>
      <c r="D22" s="91" t="s">
        <v>219</v>
      </c>
      <c r="E22" s="91" t="s">
        <v>323</v>
      </c>
    </row>
    <row r="23" spans="1:5" ht="13.5" thickBot="1">
      <c r="A23" s="305"/>
      <c r="B23" s="90">
        <f t="shared" si="0"/>
        <v>200</v>
      </c>
      <c r="C23" s="84" t="s">
        <v>214</v>
      </c>
      <c r="D23" s="93" t="s">
        <v>197</v>
      </c>
      <c r="E23" s="93" t="s">
        <v>316</v>
      </c>
    </row>
    <row r="24" spans="1:5">
      <c r="A24" s="304" t="s">
        <v>192</v>
      </c>
      <c r="B24" s="118">
        <f t="shared" si="0"/>
        <v>210</v>
      </c>
      <c r="C24" s="105" t="s">
        <v>173</v>
      </c>
      <c r="D24" s="102" t="s">
        <v>182</v>
      </c>
      <c r="E24" s="102" t="s">
        <v>324</v>
      </c>
    </row>
    <row r="25" spans="1:5">
      <c r="A25" s="304"/>
      <c r="B25" s="108">
        <f t="shared" si="0"/>
        <v>220</v>
      </c>
      <c r="C25" s="106" t="s">
        <v>174</v>
      </c>
      <c r="D25" s="95" t="s">
        <v>183</v>
      </c>
      <c r="E25" s="95" t="s">
        <v>325</v>
      </c>
    </row>
    <row r="26" spans="1:5">
      <c r="A26" s="304"/>
      <c r="B26" s="108">
        <f t="shared" si="0"/>
        <v>230</v>
      </c>
      <c r="C26" s="106" t="s">
        <v>164</v>
      </c>
      <c r="D26" s="95" t="s">
        <v>184</v>
      </c>
      <c r="E26" s="95" t="s">
        <v>326</v>
      </c>
    </row>
    <row r="27" spans="1:5">
      <c r="A27" s="304"/>
      <c r="B27" s="108">
        <f t="shared" si="0"/>
        <v>240</v>
      </c>
      <c r="C27" s="106" t="s">
        <v>165</v>
      </c>
      <c r="D27" s="95" t="s">
        <v>185</v>
      </c>
      <c r="E27" s="95" t="s">
        <v>327</v>
      </c>
    </row>
    <row r="28" spans="1:5" ht="13.5" thickBot="1">
      <c r="A28" s="305"/>
      <c r="B28" s="109">
        <f t="shared" si="0"/>
        <v>250</v>
      </c>
      <c r="C28" s="107" t="s">
        <v>166</v>
      </c>
      <c r="D28" s="99" t="s">
        <v>186</v>
      </c>
      <c r="E28" s="99" t="s">
        <v>328</v>
      </c>
    </row>
    <row r="29" spans="1:5">
      <c r="A29" s="304" t="s">
        <v>193</v>
      </c>
      <c r="B29" s="88">
        <f t="shared" si="0"/>
        <v>260</v>
      </c>
      <c r="C29" s="92" t="s">
        <v>103</v>
      </c>
      <c r="D29" s="89" t="s">
        <v>4</v>
      </c>
      <c r="E29" s="89" t="s">
        <v>243</v>
      </c>
    </row>
    <row r="30" spans="1:5">
      <c r="A30" s="304"/>
      <c r="B30" s="54">
        <f t="shared" si="0"/>
        <v>270</v>
      </c>
      <c r="C30" s="83" t="s">
        <v>104</v>
      </c>
      <c r="D30" s="91" t="s">
        <v>40</v>
      </c>
      <c r="E30" s="91" t="s">
        <v>244</v>
      </c>
    </row>
    <row r="31" spans="1:5">
      <c r="A31" s="304"/>
      <c r="B31" s="54">
        <f t="shared" si="0"/>
        <v>280</v>
      </c>
      <c r="C31" s="83" t="s">
        <v>105</v>
      </c>
      <c r="D31" s="91" t="s">
        <v>77</v>
      </c>
      <c r="E31" s="91" t="s">
        <v>245</v>
      </c>
    </row>
    <row r="32" spans="1:5">
      <c r="A32" s="304"/>
      <c r="B32" s="54">
        <f t="shared" si="0"/>
        <v>290</v>
      </c>
      <c r="C32" s="83" t="s">
        <v>106</v>
      </c>
      <c r="D32" s="91" t="s">
        <v>5</v>
      </c>
      <c r="E32" s="91" t="s">
        <v>246</v>
      </c>
    </row>
    <row r="33" spans="1:5">
      <c r="A33" s="304"/>
      <c r="B33" s="54">
        <f t="shared" si="0"/>
        <v>300</v>
      </c>
      <c r="C33" s="83" t="s">
        <v>107</v>
      </c>
      <c r="D33" s="91" t="s">
        <v>6</v>
      </c>
      <c r="E33" s="91" t="s">
        <v>247</v>
      </c>
    </row>
    <row r="34" spans="1:5">
      <c r="A34" s="304"/>
      <c r="B34" s="54">
        <f t="shared" si="0"/>
        <v>310</v>
      </c>
      <c r="C34" s="83" t="s">
        <v>108</v>
      </c>
      <c r="D34" s="91" t="s">
        <v>7</v>
      </c>
      <c r="E34" s="91" t="s">
        <v>248</v>
      </c>
    </row>
    <row r="35" spans="1:5">
      <c r="A35" s="304"/>
      <c r="B35" s="54">
        <f t="shared" si="0"/>
        <v>320</v>
      </c>
      <c r="C35" s="83" t="s">
        <v>109</v>
      </c>
      <c r="D35" s="91" t="s">
        <v>8</v>
      </c>
      <c r="E35" s="91" t="s">
        <v>249</v>
      </c>
    </row>
    <row r="36" spans="1:5">
      <c r="A36" s="304"/>
      <c r="B36" s="54">
        <f t="shared" si="0"/>
        <v>330</v>
      </c>
      <c r="C36" s="83" t="s">
        <v>110</v>
      </c>
      <c r="D36" s="91" t="s">
        <v>9</v>
      </c>
      <c r="E36" s="91" t="s">
        <v>250</v>
      </c>
    </row>
    <row r="37" spans="1:5">
      <c r="A37" s="304"/>
      <c r="B37" s="54">
        <f t="shared" si="0"/>
        <v>340</v>
      </c>
      <c r="C37" s="83" t="s">
        <v>111</v>
      </c>
      <c r="D37" s="91" t="s">
        <v>89</v>
      </c>
      <c r="E37" s="91" t="s">
        <v>251</v>
      </c>
    </row>
    <row r="38" spans="1:5">
      <c r="A38" s="304"/>
      <c r="B38" s="54">
        <f t="shared" si="0"/>
        <v>350</v>
      </c>
      <c r="C38" s="83" t="s">
        <v>112</v>
      </c>
      <c r="D38" s="91" t="s">
        <v>10</v>
      </c>
      <c r="E38" s="91" t="s">
        <v>252</v>
      </c>
    </row>
    <row r="39" spans="1:5">
      <c r="A39" s="304"/>
      <c r="B39" s="54">
        <f t="shared" si="0"/>
        <v>360</v>
      </c>
      <c r="C39" s="83" t="s">
        <v>113</v>
      </c>
      <c r="D39" s="91" t="s">
        <v>60</v>
      </c>
      <c r="E39" s="91" t="s">
        <v>253</v>
      </c>
    </row>
    <row r="40" spans="1:5">
      <c r="A40" s="304"/>
      <c r="B40" s="54">
        <f t="shared" si="0"/>
        <v>370</v>
      </c>
      <c r="C40" s="83" t="s">
        <v>114</v>
      </c>
      <c r="D40" s="91" t="s">
        <v>71</v>
      </c>
      <c r="E40" s="91" t="s">
        <v>254</v>
      </c>
    </row>
    <row r="41" spans="1:5">
      <c r="A41" s="304"/>
      <c r="B41" s="54">
        <f t="shared" si="0"/>
        <v>380</v>
      </c>
      <c r="C41" s="83" t="s">
        <v>115</v>
      </c>
      <c r="D41" s="91" t="s">
        <v>72</v>
      </c>
      <c r="E41" s="91" t="s">
        <v>255</v>
      </c>
    </row>
    <row r="42" spans="1:5">
      <c r="A42" s="304"/>
      <c r="B42" s="54">
        <f t="shared" si="0"/>
        <v>390</v>
      </c>
      <c r="C42" s="83" t="s">
        <v>116</v>
      </c>
      <c r="D42" s="91" t="s">
        <v>59</v>
      </c>
      <c r="E42" s="91" t="s">
        <v>256</v>
      </c>
    </row>
    <row r="43" spans="1:5">
      <c r="A43" s="304"/>
      <c r="B43" s="54">
        <f t="shared" si="0"/>
        <v>400</v>
      </c>
      <c r="C43" s="83" t="s">
        <v>117</v>
      </c>
      <c r="D43" s="91" t="s">
        <v>66</v>
      </c>
      <c r="E43" s="91" t="s">
        <v>257</v>
      </c>
    </row>
    <row r="44" spans="1:5">
      <c r="A44" s="304"/>
      <c r="B44" s="54">
        <f t="shared" si="0"/>
        <v>410</v>
      </c>
      <c r="C44" s="83" t="s">
        <v>118</v>
      </c>
      <c r="D44" s="91" t="s">
        <v>11</v>
      </c>
      <c r="E44" s="91" t="s">
        <v>258</v>
      </c>
    </row>
    <row r="45" spans="1:5">
      <c r="A45" s="304"/>
      <c r="B45" s="54">
        <f t="shared" si="0"/>
        <v>420</v>
      </c>
      <c r="C45" s="83" t="s">
        <v>119</v>
      </c>
      <c r="D45" s="91" t="s">
        <v>61</v>
      </c>
      <c r="E45" s="91" t="s">
        <v>259</v>
      </c>
    </row>
    <row r="46" spans="1:5">
      <c r="A46" s="304"/>
      <c r="B46" s="54">
        <f t="shared" si="0"/>
        <v>430</v>
      </c>
      <c r="C46" s="83" t="s">
        <v>120</v>
      </c>
      <c r="D46" s="91" t="s">
        <v>70</v>
      </c>
      <c r="E46" s="91" t="s">
        <v>260</v>
      </c>
    </row>
    <row r="47" spans="1:5">
      <c r="A47" s="304"/>
      <c r="B47" s="54">
        <f t="shared" si="0"/>
        <v>440</v>
      </c>
      <c r="C47" s="83" t="s">
        <v>121</v>
      </c>
      <c r="D47" s="91" t="s">
        <v>12</v>
      </c>
      <c r="E47" s="91" t="s">
        <v>261</v>
      </c>
    </row>
    <row r="48" spans="1:5">
      <c r="A48" s="304"/>
      <c r="B48" s="54">
        <f t="shared" si="0"/>
        <v>450</v>
      </c>
      <c r="C48" s="83" t="s">
        <v>122</v>
      </c>
      <c r="D48" s="91" t="s">
        <v>13</v>
      </c>
      <c r="E48" s="91" t="s">
        <v>262</v>
      </c>
    </row>
    <row r="49" spans="1:5">
      <c r="A49" s="304"/>
      <c r="B49" s="54">
        <f t="shared" si="0"/>
        <v>460</v>
      </c>
      <c r="C49" s="83" t="s">
        <v>123</v>
      </c>
      <c r="D49" s="91" t="s">
        <v>100</v>
      </c>
      <c r="E49" s="91" t="s">
        <v>263</v>
      </c>
    </row>
    <row r="50" spans="1:5">
      <c r="A50" s="304"/>
      <c r="B50" s="54">
        <f t="shared" si="0"/>
        <v>470</v>
      </c>
      <c r="C50" s="83" t="s">
        <v>124</v>
      </c>
      <c r="D50" s="91" t="s">
        <v>14</v>
      </c>
      <c r="E50" s="91" t="s">
        <v>264</v>
      </c>
    </row>
    <row r="51" spans="1:5">
      <c r="A51" s="304"/>
      <c r="B51" s="54">
        <f t="shared" si="0"/>
        <v>480</v>
      </c>
      <c r="C51" s="83" t="s">
        <v>125</v>
      </c>
      <c r="D51" s="91" t="s">
        <v>15</v>
      </c>
      <c r="E51" s="91" t="s">
        <v>265</v>
      </c>
    </row>
    <row r="52" spans="1:5">
      <c r="A52" s="304"/>
      <c r="B52" s="54">
        <f t="shared" si="0"/>
        <v>490</v>
      </c>
      <c r="C52" s="83" t="s">
        <v>126</v>
      </c>
      <c r="D52" s="91" t="s">
        <v>16</v>
      </c>
      <c r="E52" s="91" t="s">
        <v>266</v>
      </c>
    </row>
    <row r="53" spans="1:5">
      <c r="A53" s="304"/>
      <c r="B53" s="54">
        <f t="shared" si="0"/>
        <v>500</v>
      </c>
      <c r="C53" s="83" t="s">
        <v>170</v>
      </c>
      <c r="D53" s="91" t="s">
        <v>17</v>
      </c>
      <c r="E53" s="91" t="s">
        <v>267</v>
      </c>
    </row>
    <row r="54" spans="1:5">
      <c r="A54" s="304"/>
      <c r="B54" s="54">
        <f t="shared" si="0"/>
        <v>510</v>
      </c>
      <c r="C54" s="83" t="s">
        <v>151</v>
      </c>
      <c r="D54" s="91" t="s">
        <v>18</v>
      </c>
      <c r="E54" s="91" t="s">
        <v>268</v>
      </c>
    </row>
    <row r="55" spans="1:5">
      <c r="A55" s="304"/>
      <c r="B55" s="54">
        <f t="shared" si="0"/>
        <v>520</v>
      </c>
      <c r="C55" s="83" t="s">
        <v>171</v>
      </c>
      <c r="D55" s="91" t="s">
        <v>19</v>
      </c>
      <c r="E55" s="91" t="s">
        <v>269</v>
      </c>
    </row>
    <row r="56" spans="1:5">
      <c r="A56" s="304"/>
      <c r="B56" s="54">
        <f t="shared" si="0"/>
        <v>530</v>
      </c>
      <c r="C56" s="83" t="s">
        <v>172</v>
      </c>
      <c r="D56" s="91" t="s">
        <v>20</v>
      </c>
      <c r="E56" s="91" t="s">
        <v>270</v>
      </c>
    </row>
    <row r="57" spans="1:5">
      <c r="A57" s="304"/>
      <c r="B57" s="54">
        <f t="shared" si="0"/>
        <v>540</v>
      </c>
      <c r="C57" s="83" t="s">
        <v>21</v>
      </c>
      <c r="D57" s="91" t="s">
        <v>21</v>
      </c>
      <c r="E57" s="91" t="s">
        <v>271</v>
      </c>
    </row>
    <row r="58" spans="1:5">
      <c r="A58" s="304"/>
      <c r="B58" s="54">
        <f t="shared" si="0"/>
        <v>550</v>
      </c>
      <c r="C58" s="83" t="s">
        <v>127</v>
      </c>
      <c r="D58" s="91" t="s">
        <v>22</v>
      </c>
      <c r="E58" s="91" t="s">
        <v>272</v>
      </c>
    </row>
    <row r="59" spans="1:5">
      <c r="A59" s="304"/>
      <c r="B59" s="54">
        <f t="shared" si="0"/>
        <v>560</v>
      </c>
      <c r="C59" s="83" t="s">
        <v>128</v>
      </c>
      <c r="D59" s="91" t="s">
        <v>75</v>
      </c>
      <c r="E59" s="91" t="s">
        <v>273</v>
      </c>
    </row>
    <row r="60" spans="1:5">
      <c r="A60" s="304"/>
      <c r="B60" s="54">
        <f t="shared" si="0"/>
        <v>570</v>
      </c>
      <c r="C60" s="83" t="s">
        <v>129</v>
      </c>
      <c r="D60" s="91" t="s">
        <v>23</v>
      </c>
      <c r="E60" s="91" t="s">
        <v>274</v>
      </c>
    </row>
    <row r="61" spans="1:5">
      <c r="A61" s="304"/>
      <c r="B61" s="54">
        <f t="shared" si="0"/>
        <v>580</v>
      </c>
      <c r="C61" s="83" t="s">
        <v>130</v>
      </c>
      <c r="D61" s="91" t="s">
        <v>24</v>
      </c>
      <c r="E61" s="91" t="s">
        <v>275</v>
      </c>
    </row>
    <row r="62" spans="1:5">
      <c r="A62" s="304"/>
      <c r="B62" s="54">
        <f t="shared" si="0"/>
        <v>590</v>
      </c>
      <c r="C62" s="83" t="s">
        <v>131</v>
      </c>
      <c r="D62" s="91" t="s">
        <v>78</v>
      </c>
      <c r="E62" s="91" t="s">
        <v>276</v>
      </c>
    </row>
    <row r="63" spans="1:5">
      <c r="A63" s="304"/>
      <c r="B63" s="54">
        <f t="shared" si="0"/>
        <v>600</v>
      </c>
      <c r="C63" s="83" t="s">
        <v>220</v>
      </c>
      <c r="D63" s="91" t="s">
        <v>221</v>
      </c>
      <c r="E63" s="91" t="s">
        <v>277</v>
      </c>
    </row>
    <row r="64" spans="1:5">
      <c r="A64" s="304"/>
      <c r="B64" s="54">
        <f t="shared" si="0"/>
        <v>610</v>
      </c>
      <c r="C64" s="83" t="s">
        <v>132</v>
      </c>
      <c r="D64" s="91" t="s">
        <v>58</v>
      </c>
      <c r="E64" s="91" t="s">
        <v>278</v>
      </c>
    </row>
    <row r="65" spans="1:5">
      <c r="A65" s="304"/>
      <c r="B65" s="54">
        <f t="shared" si="0"/>
        <v>620</v>
      </c>
      <c r="C65" s="83" t="s">
        <v>133</v>
      </c>
      <c r="D65" s="91" t="s">
        <v>74</v>
      </c>
      <c r="E65" s="91" t="s">
        <v>279</v>
      </c>
    </row>
    <row r="66" spans="1:5">
      <c r="A66" s="304"/>
      <c r="B66" s="54">
        <f t="shared" si="0"/>
        <v>630</v>
      </c>
      <c r="C66" s="83" t="s">
        <v>134</v>
      </c>
      <c r="D66" s="91" t="s">
        <v>290</v>
      </c>
      <c r="E66" s="91" t="s">
        <v>293</v>
      </c>
    </row>
    <row r="67" spans="1:5">
      <c r="A67" s="304"/>
      <c r="B67" s="54">
        <f t="shared" si="0"/>
        <v>640</v>
      </c>
      <c r="C67" s="83" t="s">
        <v>135</v>
      </c>
      <c r="D67" s="91" t="s">
        <v>291</v>
      </c>
      <c r="E67" s="91" t="s">
        <v>294</v>
      </c>
    </row>
    <row r="68" spans="1:5">
      <c r="A68" s="304"/>
      <c r="B68" s="54">
        <f t="shared" si="0"/>
        <v>650</v>
      </c>
      <c r="C68" s="83" t="s">
        <v>136</v>
      </c>
      <c r="D68" s="91" t="s">
        <v>292</v>
      </c>
      <c r="E68" s="91" t="s">
        <v>295</v>
      </c>
    </row>
    <row r="69" spans="1:5">
      <c r="A69" s="304"/>
      <c r="B69" s="54">
        <f t="shared" si="0"/>
        <v>660</v>
      </c>
      <c r="C69" s="83" t="s">
        <v>137</v>
      </c>
      <c r="D69" s="91" t="s">
        <v>94</v>
      </c>
      <c r="E69" s="91" t="s">
        <v>280</v>
      </c>
    </row>
    <row r="70" spans="1:5">
      <c r="A70" s="304"/>
      <c r="B70" s="54">
        <f t="shared" si="0"/>
        <v>670</v>
      </c>
      <c r="C70" s="83" t="s">
        <v>138</v>
      </c>
      <c r="D70" s="91" t="s">
        <v>93</v>
      </c>
      <c r="E70" s="91" t="s">
        <v>281</v>
      </c>
    </row>
    <row r="71" spans="1:5">
      <c r="A71" s="304"/>
      <c r="B71" s="54">
        <f t="shared" si="0"/>
        <v>680</v>
      </c>
      <c r="C71" s="83" t="s">
        <v>139</v>
      </c>
      <c r="D71" s="91" t="s">
        <v>41</v>
      </c>
      <c r="E71" s="91" t="s">
        <v>282</v>
      </c>
    </row>
    <row r="72" spans="1:5">
      <c r="A72" s="304"/>
      <c r="B72" s="54">
        <f t="shared" si="0"/>
        <v>690</v>
      </c>
      <c r="C72" s="83" t="s">
        <v>140</v>
      </c>
      <c r="D72" s="91" t="s">
        <v>46</v>
      </c>
      <c r="E72" s="91" t="s">
        <v>283</v>
      </c>
    </row>
    <row r="73" spans="1:5">
      <c r="A73" s="304"/>
      <c r="B73" s="54">
        <f t="shared" ref="B73:B106" si="1">(B72/10+1)*10</f>
        <v>700</v>
      </c>
      <c r="C73" s="83" t="s">
        <v>141</v>
      </c>
      <c r="D73" s="91" t="s">
        <v>25</v>
      </c>
      <c r="E73" s="91" t="s">
        <v>284</v>
      </c>
    </row>
    <row r="74" spans="1:5">
      <c r="A74" s="304"/>
      <c r="B74" s="54">
        <f t="shared" si="1"/>
        <v>710</v>
      </c>
      <c r="C74" s="83" t="s">
        <v>142</v>
      </c>
      <c r="D74" s="91" t="s">
        <v>63</v>
      </c>
      <c r="E74" s="91" t="s">
        <v>285</v>
      </c>
    </row>
    <row r="75" spans="1:5">
      <c r="A75" s="304"/>
      <c r="B75" s="54">
        <f t="shared" si="1"/>
        <v>720</v>
      </c>
      <c r="C75" s="83" t="s">
        <v>143</v>
      </c>
      <c r="D75" s="91" t="s">
        <v>95</v>
      </c>
      <c r="E75" s="91" t="s">
        <v>286</v>
      </c>
    </row>
    <row r="76" spans="1:5">
      <c r="A76" s="304"/>
      <c r="B76" s="54">
        <f t="shared" si="1"/>
        <v>730</v>
      </c>
      <c r="C76" s="83" t="s">
        <v>144</v>
      </c>
      <c r="D76" s="91" t="s">
        <v>102</v>
      </c>
      <c r="E76" s="91" t="s">
        <v>287</v>
      </c>
    </row>
    <row r="77" spans="1:5">
      <c r="A77" s="304"/>
      <c r="B77" s="54">
        <f t="shared" si="1"/>
        <v>740</v>
      </c>
      <c r="C77" s="83" t="s">
        <v>145</v>
      </c>
      <c r="D77" s="91" t="s">
        <v>62</v>
      </c>
      <c r="E77" s="91" t="s">
        <v>288</v>
      </c>
    </row>
    <row r="78" spans="1:5" ht="13.5" thickBot="1">
      <c r="A78" s="304"/>
      <c r="B78" s="90">
        <f t="shared" si="1"/>
        <v>750</v>
      </c>
      <c r="C78" s="84" t="s">
        <v>146</v>
      </c>
      <c r="D78" s="93" t="s">
        <v>88</v>
      </c>
      <c r="E78" s="93" t="s">
        <v>289</v>
      </c>
    </row>
    <row r="79" spans="1:5">
      <c r="A79" s="303" t="s">
        <v>194</v>
      </c>
      <c r="B79" s="88">
        <f t="shared" si="1"/>
        <v>760</v>
      </c>
      <c r="C79" s="86" t="s">
        <v>175</v>
      </c>
      <c r="D79" s="94" t="s">
        <v>201</v>
      </c>
      <c r="E79" s="94" t="s">
        <v>329</v>
      </c>
    </row>
    <row r="80" spans="1:5">
      <c r="A80" s="304"/>
      <c r="B80" s="54">
        <f t="shared" si="1"/>
        <v>770</v>
      </c>
      <c r="C80" s="98" t="s">
        <v>225</v>
      </c>
      <c r="D80" s="101" t="s">
        <v>224</v>
      </c>
      <c r="E80" s="101" t="s">
        <v>330</v>
      </c>
    </row>
    <row r="81" spans="1:5">
      <c r="A81" s="304"/>
      <c r="B81" s="54">
        <f t="shared" si="1"/>
        <v>780</v>
      </c>
      <c r="C81" s="85" t="s">
        <v>163</v>
      </c>
      <c r="D81" s="95" t="s">
        <v>27</v>
      </c>
      <c r="E81" s="95" t="s">
        <v>331</v>
      </c>
    </row>
    <row r="82" spans="1:5">
      <c r="A82" s="304"/>
      <c r="B82" s="54">
        <f t="shared" si="1"/>
        <v>790</v>
      </c>
      <c r="C82" s="85" t="s">
        <v>161</v>
      </c>
      <c r="D82" s="95" t="s">
        <v>202</v>
      </c>
      <c r="E82" s="95" t="s">
        <v>332</v>
      </c>
    </row>
    <row r="83" spans="1:5" ht="13.5" thickBot="1">
      <c r="A83" s="305"/>
      <c r="B83" s="90">
        <f t="shared" si="1"/>
        <v>800</v>
      </c>
      <c r="C83" s="87" t="s">
        <v>162</v>
      </c>
      <c r="D83" s="96" t="s">
        <v>203</v>
      </c>
      <c r="E83" s="96" t="s">
        <v>333</v>
      </c>
    </row>
    <row r="84" spans="1:5">
      <c r="A84" s="306" t="s">
        <v>192</v>
      </c>
      <c r="B84" s="88">
        <f t="shared" si="1"/>
        <v>810</v>
      </c>
      <c r="C84" s="97" t="s">
        <v>204</v>
      </c>
      <c r="D84" s="100" t="s">
        <v>206</v>
      </c>
      <c r="E84" s="100" t="s">
        <v>334</v>
      </c>
    </row>
    <row r="85" spans="1:5">
      <c r="A85" s="307"/>
      <c r="B85" s="54">
        <f t="shared" si="1"/>
        <v>820</v>
      </c>
      <c r="C85" s="98" t="s">
        <v>205</v>
      </c>
      <c r="D85" s="101" t="s">
        <v>29</v>
      </c>
      <c r="E85" s="101" t="s">
        <v>335</v>
      </c>
    </row>
    <row r="86" spans="1:5" ht="13.5" thickBot="1">
      <c r="A86" s="308"/>
      <c r="B86" s="90">
        <f t="shared" si="1"/>
        <v>830</v>
      </c>
      <c r="C86" s="87" t="s">
        <v>166</v>
      </c>
      <c r="D86" s="96" t="s">
        <v>207</v>
      </c>
      <c r="E86" s="96" t="s">
        <v>336</v>
      </c>
    </row>
    <row r="87" spans="1:5">
      <c r="A87" s="303" t="s">
        <v>28</v>
      </c>
      <c r="B87" s="88">
        <f t="shared" si="1"/>
        <v>840</v>
      </c>
      <c r="C87" s="92" t="s">
        <v>147</v>
      </c>
      <c r="D87" s="89" t="s">
        <v>30</v>
      </c>
      <c r="E87" s="89" t="s">
        <v>297</v>
      </c>
    </row>
    <row r="88" spans="1:5">
      <c r="A88" s="304"/>
      <c r="B88" s="54">
        <f t="shared" si="1"/>
        <v>850</v>
      </c>
      <c r="C88" s="83" t="s">
        <v>148</v>
      </c>
      <c r="D88" s="91" t="s">
        <v>31</v>
      </c>
      <c r="E88" s="91" t="s">
        <v>298</v>
      </c>
    </row>
    <row r="89" spans="1:5">
      <c r="A89" s="304"/>
      <c r="B89" s="54">
        <f t="shared" si="1"/>
        <v>860</v>
      </c>
      <c r="C89" s="119" t="s">
        <v>149</v>
      </c>
      <c r="D89" s="91" t="s">
        <v>32</v>
      </c>
      <c r="E89" s="91" t="s">
        <v>299</v>
      </c>
    </row>
    <row r="90" spans="1:5">
      <c r="A90" s="304"/>
      <c r="B90" s="54">
        <f t="shared" si="1"/>
        <v>870</v>
      </c>
      <c r="C90" s="83" t="s">
        <v>150</v>
      </c>
      <c r="D90" s="91" t="s">
        <v>82</v>
      </c>
      <c r="E90" s="91" t="s">
        <v>300</v>
      </c>
    </row>
    <row r="91" spans="1:5">
      <c r="A91" s="304"/>
      <c r="B91" s="54">
        <f t="shared" si="1"/>
        <v>880</v>
      </c>
      <c r="C91" s="83" t="s">
        <v>151</v>
      </c>
      <c r="D91" s="91" t="s">
        <v>18</v>
      </c>
      <c r="E91" s="91" t="s">
        <v>268</v>
      </c>
    </row>
    <row r="92" spans="1:5">
      <c r="A92" s="304"/>
      <c r="B92" s="54">
        <f t="shared" si="1"/>
        <v>890</v>
      </c>
      <c r="C92" s="83" t="s">
        <v>152</v>
      </c>
      <c r="D92" s="91" t="s">
        <v>33</v>
      </c>
      <c r="E92" s="91" t="s">
        <v>301</v>
      </c>
    </row>
    <row r="93" spans="1:5">
      <c r="A93" s="304"/>
      <c r="B93" s="54">
        <f t="shared" si="1"/>
        <v>900</v>
      </c>
      <c r="C93" s="83" t="s">
        <v>153</v>
      </c>
      <c r="D93" s="91" t="s">
        <v>34</v>
      </c>
      <c r="E93" s="91" t="s">
        <v>302</v>
      </c>
    </row>
    <row r="94" spans="1:5">
      <c r="A94" s="304"/>
      <c r="B94" s="54">
        <f t="shared" si="1"/>
        <v>910</v>
      </c>
      <c r="C94" s="83" t="s">
        <v>129</v>
      </c>
      <c r="D94" s="91" t="s">
        <v>23</v>
      </c>
      <c r="E94" s="91" t="s">
        <v>274</v>
      </c>
    </row>
    <row r="95" spans="1:5">
      <c r="A95" s="304"/>
      <c r="B95" s="54">
        <f t="shared" si="1"/>
        <v>920</v>
      </c>
      <c r="C95" s="83" t="s">
        <v>154</v>
      </c>
      <c r="D95" s="91" t="s">
        <v>35</v>
      </c>
      <c r="E95" s="91" t="s">
        <v>303</v>
      </c>
    </row>
    <row r="96" spans="1:5">
      <c r="A96" s="304"/>
      <c r="B96" s="54">
        <f t="shared" si="1"/>
        <v>930</v>
      </c>
      <c r="C96" s="83" t="s">
        <v>169</v>
      </c>
      <c r="D96" s="91" t="s">
        <v>36</v>
      </c>
      <c r="E96" s="91" t="s">
        <v>304</v>
      </c>
    </row>
    <row r="97" spans="1:5">
      <c r="A97" s="304"/>
      <c r="B97" s="54">
        <f t="shared" si="1"/>
        <v>940</v>
      </c>
      <c r="C97" s="83" t="s">
        <v>155</v>
      </c>
      <c r="D97" s="91" t="s">
        <v>37</v>
      </c>
      <c r="E97" s="91" t="s">
        <v>305</v>
      </c>
    </row>
    <row r="98" spans="1:5">
      <c r="A98" s="304"/>
      <c r="B98" s="54">
        <f t="shared" si="1"/>
        <v>950</v>
      </c>
      <c r="C98" s="83" t="s">
        <v>127</v>
      </c>
      <c r="D98" s="91" t="s">
        <v>22</v>
      </c>
      <c r="E98" s="91" t="s">
        <v>272</v>
      </c>
    </row>
    <row r="99" spans="1:5">
      <c r="A99" s="304"/>
      <c r="B99" s="54">
        <f t="shared" si="1"/>
        <v>960</v>
      </c>
      <c r="C99" s="83" t="s">
        <v>156</v>
      </c>
      <c r="D99" s="91" t="s">
        <v>21</v>
      </c>
      <c r="E99" s="91" t="s">
        <v>271</v>
      </c>
    </row>
    <row r="100" spans="1:5">
      <c r="A100" s="304"/>
      <c r="B100" s="54">
        <f t="shared" si="1"/>
        <v>970</v>
      </c>
      <c r="C100" s="83" t="s">
        <v>157</v>
      </c>
      <c r="D100" s="91" t="s">
        <v>38</v>
      </c>
      <c r="E100" s="91" t="s">
        <v>306</v>
      </c>
    </row>
    <row r="101" spans="1:5">
      <c r="A101" s="304"/>
      <c r="B101" s="54">
        <f t="shared" si="1"/>
        <v>980</v>
      </c>
      <c r="C101" s="83" t="s">
        <v>168</v>
      </c>
      <c r="D101" s="91" t="s">
        <v>39</v>
      </c>
      <c r="E101" s="91" t="s">
        <v>307</v>
      </c>
    </row>
    <row r="102" spans="1:5">
      <c r="A102" s="304"/>
      <c r="B102" s="54">
        <f t="shared" si="1"/>
        <v>990</v>
      </c>
      <c r="C102" s="83" t="s">
        <v>144</v>
      </c>
      <c r="D102" s="91" t="s">
        <v>101</v>
      </c>
      <c r="E102" s="91" t="s">
        <v>308</v>
      </c>
    </row>
    <row r="103" spans="1:5" ht="13.5" thickBot="1">
      <c r="A103" s="305"/>
      <c r="B103" s="90">
        <f t="shared" si="1"/>
        <v>1000</v>
      </c>
      <c r="C103" s="84" t="s">
        <v>158</v>
      </c>
      <c r="D103" s="93" t="s">
        <v>87</v>
      </c>
      <c r="E103" s="93" t="s">
        <v>309</v>
      </c>
    </row>
    <row r="104" spans="1:5">
      <c r="A104" s="300" t="s">
        <v>194</v>
      </c>
      <c r="B104" s="88">
        <f t="shared" si="1"/>
        <v>1010</v>
      </c>
      <c r="C104" s="97" t="s">
        <v>208</v>
      </c>
      <c r="D104" s="94" t="s">
        <v>26</v>
      </c>
      <c r="E104" s="94"/>
    </row>
    <row r="105" spans="1:5">
      <c r="A105" s="301"/>
      <c r="B105" s="54">
        <f t="shared" si="1"/>
        <v>1020</v>
      </c>
      <c r="C105" s="85" t="s">
        <v>163</v>
      </c>
      <c r="D105" s="95" t="s">
        <v>27</v>
      </c>
      <c r="E105" s="95"/>
    </row>
    <row r="106" spans="1:5" ht="13.5" thickBot="1">
      <c r="A106" s="302"/>
      <c r="B106" s="90">
        <f t="shared" si="1"/>
        <v>1030</v>
      </c>
      <c r="C106" s="87" t="s">
        <v>167</v>
      </c>
      <c r="D106" s="120" t="s">
        <v>209</v>
      </c>
      <c r="E106" s="120"/>
    </row>
  </sheetData>
  <sheetProtection algorithmName="SHA-512" hashValue="UhlJPR10PW4HSK8wt+UM/sbNo91xS7HXg81BfP1YAyqEoc17obJeFZ5oJzfmI7HtZVLnImtJSBjeNjBRmfqNJg==" saltValue="8AT6QlGUqnydgvw5plfEIQ==" spinCount="100000" sheet="1" objects="1" scenarios="1" selectLockedCells="1"/>
  <mergeCells count="7">
    <mergeCell ref="A104:A106"/>
    <mergeCell ref="A4:A23"/>
    <mergeCell ref="A24:A28"/>
    <mergeCell ref="A29:A78"/>
    <mergeCell ref="A79:A83"/>
    <mergeCell ref="A84:A86"/>
    <mergeCell ref="A87:A103"/>
  </mergeCells>
  <conditionalFormatting sqref="B4:D106">
    <cfRule type="expression" dxfId="6" priority="2">
      <formula>MOD(ROW(),2)=0</formula>
    </cfRule>
  </conditionalFormatting>
  <conditionalFormatting sqref="E4:E106">
    <cfRule type="expression" dxfId="5" priority="1">
      <formula>MOD(ROW(),2)=0</formula>
    </cfRule>
  </conditionalFormatting>
  <pageMargins left="0.98425196850393704" right="0.39370078740157483" top="0.39370078740157483" bottom="0.59055118110236227" header="0.31496062992125984" footer="0.31496062992125984"/>
  <pageSetup paperSize="9" scale="89" orientation="portrait" r:id="rId1"/>
  <headerFooter>
    <oddFooter>&amp;R&amp;8&amp;Z&amp;F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E56"/>
  <sheetViews>
    <sheetView workbookViewId="0">
      <selection activeCell="B1" sqref="B1"/>
    </sheetView>
  </sheetViews>
  <sheetFormatPr defaultRowHeight="12.75"/>
  <sheetData>
    <row r="56" spans="5:5">
      <c r="E56" s="190" t="s">
        <v>242</v>
      </c>
    </row>
  </sheetData>
  <sheetProtection algorithmName="SHA-512" hashValue="G+6JXQXizQRaJgE5LRiQxXRG2GPgbjCkTuvzyDI2t5f69aigmcuxV2SAD19eE94u0I41pkSA52zteklIOFegkg==" saltValue="wQ0XFfEwuHeudXy7Nt642g==" spinCount="100000"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S101"/>
  <sheetViews>
    <sheetView tabSelected="1" zoomScaleNormal="50" workbookViewId="0">
      <pane xSplit="4" ySplit="11" topLeftCell="E12" activePane="bottomRight" state="frozen"/>
      <selection pane="topRight" activeCell="D1" sqref="D1"/>
      <selection pane="bottomLeft" activeCell="A12" sqref="A12"/>
      <selection pane="bottomRight" activeCell="B1" sqref="B1"/>
    </sheetView>
  </sheetViews>
  <sheetFormatPr defaultColWidth="10.28515625" defaultRowHeight="12.75"/>
  <cols>
    <col min="1" max="1" width="3.28515625" style="52" bestFit="1" customWidth="1"/>
    <col min="2" max="2" width="3.28515625" style="52" customWidth="1"/>
    <col min="3" max="3" width="5" style="52" bestFit="1" customWidth="1"/>
    <col min="4" max="4" width="33.7109375" style="52" customWidth="1"/>
    <col min="5" max="5" width="12.42578125" style="52" bestFit="1" customWidth="1"/>
    <col min="6" max="6" width="10.28515625" style="52" customWidth="1"/>
    <col min="7" max="7" width="14.42578125" style="52" customWidth="1"/>
    <col min="8" max="8" width="11" style="52" bestFit="1" customWidth="1"/>
    <col min="9" max="9" width="15" style="52" bestFit="1" customWidth="1"/>
    <col min="10" max="10" width="1.85546875" style="52" customWidth="1"/>
    <col min="11" max="11" width="30.7109375" style="162" customWidth="1"/>
    <col min="12" max="16384" width="10.28515625" style="52"/>
  </cols>
  <sheetData>
    <row r="1" spans="1:19" ht="13.5" thickBot="1">
      <c r="D1" s="52" t="s">
        <v>42</v>
      </c>
      <c r="E1" s="53" t="str">
        <f>'UM-1 - Dia'!AS2</f>
        <v>Dia</v>
      </c>
    </row>
    <row r="2" spans="1:19">
      <c r="B2" s="138"/>
      <c r="C2" s="123">
        <v>10</v>
      </c>
      <c r="D2" s="92" t="str">
        <f>VLOOKUP(C2,'Tipos de Defeitos'!B$4:E$106,Menu!$B$22+1,)</f>
        <v>Data da Montagem</v>
      </c>
      <c r="E2" s="139" t="str">
        <f>'UM-1 - Dia'!AS3</f>
        <v>Total</v>
      </c>
      <c r="F2" s="139"/>
      <c r="G2" s="140"/>
      <c r="H2" s="140"/>
      <c r="I2" s="141"/>
      <c r="R2" s="188" t="s">
        <v>238</v>
      </c>
      <c r="S2" s="189">
        <f>COUNTIF($N$12:$N$78,"&lt;100")+1</f>
        <v>1</v>
      </c>
    </row>
    <row r="3" spans="1:19">
      <c r="B3" s="142"/>
      <c r="C3" s="122">
        <v>20</v>
      </c>
      <c r="D3" s="83" t="str">
        <f>VLOOKUP(C3,'Tipos de Defeitos'!B$4:E$106,Menu!$B$22+1,)</f>
        <v>Data do Acabamento</v>
      </c>
      <c r="E3" s="133">
        <f>'UM-1 - Dia'!AS4</f>
        <v>0</v>
      </c>
      <c r="F3" s="133"/>
      <c r="G3" s="132"/>
      <c r="H3" s="132"/>
      <c r="I3" s="143"/>
      <c r="R3" s="188" t="s">
        <v>239</v>
      </c>
      <c r="S3" s="52" t="str">
        <f ca="1">OFFSET($K$12,0,0,COUNTIF($N$12:$N$78,"&lt;100")+1,1)</f>
        <v>Causa Desconhecida - Amperagem</v>
      </c>
    </row>
    <row r="4" spans="1:19">
      <c r="B4" s="142"/>
      <c r="C4" s="122">
        <v>30</v>
      </c>
      <c r="D4" s="83" t="str">
        <f>VLOOKUP(C4,'Tipos de Defeitos'!B$4:E$106,Menu!$B$22+1,)</f>
        <v>Descanso:</v>
      </c>
      <c r="E4" s="134">
        <f>'UM-1 - Dia'!AS5</f>
        <v>0</v>
      </c>
      <c r="F4" s="135"/>
      <c r="G4" s="132"/>
      <c r="H4" s="132"/>
      <c r="I4" s="143"/>
      <c r="R4" s="188" t="s">
        <v>240</v>
      </c>
      <c r="S4" s="52" t="e">
        <f ca="1">OFFSET($O$12,0,0,COUNTIF($N$12:$N$78,"&lt;100")+1,1)</f>
        <v>#DIV/0!</v>
      </c>
    </row>
    <row r="5" spans="1:19">
      <c r="B5" s="142"/>
      <c r="C5" s="122">
        <v>40</v>
      </c>
      <c r="D5" s="83" t="str">
        <f>VLOOKUP(C5,'Tipos de Defeitos'!B$4:E$106,Menu!$B$22+1,)</f>
        <v>Modelo</v>
      </c>
      <c r="E5" s="135">
        <f>'UM-1 - Dia'!AS6</f>
        <v>0</v>
      </c>
      <c r="F5" s="135"/>
      <c r="G5" s="132"/>
      <c r="H5" s="132"/>
      <c r="I5" s="143"/>
      <c r="R5" s="188" t="s">
        <v>241</v>
      </c>
      <c r="S5" s="52" t="e">
        <f ca="1">OFFSET($P$12,0,0,COUNTIF($N$12:$N$78,"&lt;100")+1,1)</f>
        <v>#DIV/0!</v>
      </c>
    </row>
    <row r="6" spans="1:19">
      <c r="B6" s="142"/>
      <c r="C6" s="122">
        <v>50</v>
      </c>
      <c r="D6" s="83" t="str">
        <f>VLOOKUP(C6,'Tipos de Defeitos'!B$4:E$106,Menu!$B$22+1,)</f>
        <v>Qtd de Produção (pçs)</v>
      </c>
      <c r="E6" s="136">
        <f>'UM-1 - Dia'!AS7</f>
        <v>0</v>
      </c>
      <c r="F6" s="136"/>
      <c r="G6" s="132"/>
      <c r="H6" s="132"/>
      <c r="I6" s="143"/>
    </row>
    <row r="7" spans="1:19">
      <c r="B7" s="142"/>
      <c r="C7" s="122">
        <v>210</v>
      </c>
      <c r="D7" s="83" t="str">
        <f>VLOOKUP(C7,'Tipos de Defeitos'!B$4:E$106,Menu!$B$22+1,)</f>
        <v>Qtd. Retestada (pçs)</v>
      </c>
      <c r="E7" s="136">
        <f>'UM-1 - Dia'!AS23</f>
        <v>0</v>
      </c>
      <c r="F7" s="136"/>
      <c r="G7" s="132"/>
      <c r="H7" s="132"/>
      <c r="I7" s="143"/>
    </row>
    <row r="8" spans="1:19">
      <c r="B8" s="142"/>
      <c r="C8" s="122">
        <v>220</v>
      </c>
      <c r="D8" s="83" t="str">
        <f>VLOOKUP(C8,'Tipos de Defeitos'!B$4:E$106,Menu!$B$22+1,)</f>
        <v>Defeitos (Qty)</v>
      </c>
      <c r="E8" s="135">
        <f>'UM-1 - Dia'!AS24</f>
        <v>0</v>
      </c>
      <c r="F8" s="135"/>
      <c r="G8" s="187" t="e">
        <f>E8/E6*1000000</f>
        <v>#DIV/0!</v>
      </c>
      <c r="H8" s="132"/>
      <c r="I8" s="143"/>
    </row>
    <row r="9" spans="1:19" ht="12.75" customHeight="1">
      <c r="B9" s="144"/>
      <c r="C9" s="122">
        <v>230</v>
      </c>
      <c r="D9" s="83" t="str">
        <f>VLOOKUP(C9,'Tipos de Defeitos'!B$4:E$106,Menu!$B$22+1,)</f>
        <v>Voltagem (Moda)</v>
      </c>
      <c r="E9" s="137" t="e">
        <f>'UM-1 - Dia'!AS25</f>
        <v>#DIV/0!</v>
      </c>
      <c r="F9" s="137"/>
      <c r="G9" s="132"/>
      <c r="H9" s="132"/>
      <c r="I9" s="143"/>
    </row>
    <row r="10" spans="1:19" ht="13.5" thickBot="1">
      <c r="A10" s="149"/>
      <c r="B10" s="144"/>
      <c r="C10" s="122">
        <v>240</v>
      </c>
      <c r="D10" s="83" t="str">
        <f>VLOOKUP(C10,'Tipos de Defeitos'!B$4:E$106,Menu!$B$22+1,)</f>
        <v>Voltagem (ajustada)</v>
      </c>
      <c r="E10" s="137" t="e">
        <f>'UM-1 - Dia'!AS26</f>
        <v>#DIV/0!</v>
      </c>
      <c r="F10" s="137"/>
      <c r="G10" s="132"/>
      <c r="H10" s="132"/>
      <c r="I10" s="143"/>
    </row>
    <row r="11" spans="1:19" ht="13.5" thickBot="1">
      <c r="A11" s="149"/>
      <c r="B11" s="145"/>
      <c r="C11" s="124">
        <v>250</v>
      </c>
      <c r="D11" s="84" t="str">
        <f>VLOOKUP(C11,'Tipos de Defeitos'!B$4:E$106,Menu!$B$22+1,)</f>
        <v>Qtd. Analisada (pçs)</v>
      </c>
      <c r="E11" s="146">
        <f>'UM-1 - Dia'!AS27</f>
        <v>0</v>
      </c>
      <c r="F11" s="146"/>
      <c r="G11" s="147" t="s">
        <v>90</v>
      </c>
      <c r="H11" s="147" t="s">
        <v>91</v>
      </c>
      <c r="I11" s="148" t="s">
        <v>92</v>
      </c>
      <c r="K11" s="166" t="s">
        <v>229</v>
      </c>
      <c r="L11" s="167" t="s">
        <v>226</v>
      </c>
      <c r="M11" s="167" t="s">
        <v>227</v>
      </c>
      <c r="N11" s="167" t="s">
        <v>228</v>
      </c>
      <c r="O11" s="168" t="s">
        <v>47</v>
      </c>
      <c r="P11" s="168" t="s">
        <v>237</v>
      </c>
    </row>
    <row r="12" spans="1:19" ht="13.5" customHeight="1">
      <c r="A12" s="149"/>
      <c r="B12" s="150">
        <v>1</v>
      </c>
      <c r="C12" s="123">
        <v>260</v>
      </c>
      <c r="D12" s="92" t="str">
        <f>VLOOKUP(C12,'Tipos de Defeitos'!B$4:E$106,Menu!$B$22+1,)</f>
        <v>Sem Papel Separador</v>
      </c>
      <c r="E12" s="151">
        <f>'UM-1 - Dia'!AS28</f>
        <v>0</v>
      </c>
      <c r="F12" s="151"/>
      <c r="G12" s="140">
        <f>(E12+F12)*100000000+B12*1000+C12</f>
        <v>1260</v>
      </c>
      <c r="H12" s="140">
        <f>LARGE(G$12:G$77,B12)</f>
        <v>66990</v>
      </c>
      <c r="I12" s="141">
        <f>MATCH(H12,G$12:G$77,0)</f>
        <v>66</v>
      </c>
      <c r="K12" s="163" t="str">
        <f>VLOOKUP(I12,B$12:F$78,3,)</f>
        <v>Causa Desconhecida - Amperagem</v>
      </c>
      <c r="L12" s="157">
        <f>VLOOKUP(I12,B$12:F$78,4,)</f>
        <v>0</v>
      </c>
      <c r="M12" s="158">
        <f>L12</f>
        <v>0</v>
      </c>
      <c r="N12" s="169" t="e">
        <f>ROUND(M12/M$78*100,1)</f>
        <v>#DIV/0!</v>
      </c>
      <c r="O12" s="159" t="e">
        <f>ROUND(L12/E$11*E$8/E$6*1000000,0)</f>
        <v>#DIV/0!</v>
      </c>
      <c r="P12" s="159" t="e">
        <f>IF(($G$8&gt;180)*(Rascunho!N12&lt;80),Rascunho!O12,0)</f>
        <v>#DIV/0!</v>
      </c>
    </row>
    <row r="13" spans="1:19">
      <c r="A13" s="149"/>
      <c r="B13" s="152">
        <v>2</v>
      </c>
      <c r="C13" s="122">
        <v>270</v>
      </c>
      <c r="D13" s="83" t="str">
        <f>VLOOKUP(C13,'Tipos de Defeitos'!B$4:E$106,Menu!$B$22+1,)</f>
        <v>Papel Separador Cortado</v>
      </c>
      <c r="E13" s="135">
        <f>'UM-1 - Dia'!AS29</f>
        <v>0</v>
      </c>
      <c r="F13" s="135"/>
      <c r="G13" s="132">
        <f t="shared" ref="G13:G77" si="0">(E13+F13)*100000000+B13*1000+C13</f>
        <v>2270</v>
      </c>
      <c r="H13" s="132">
        <f t="shared" ref="H13:H77" si="1">LARGE(G$12:G$77,B13)</f>
        <v>65980</v>
      </c>
      <c r="I13" s="143">
        <f t="shared" ref="I13:I77" si="2">MATCH(H13,G$12:G$77,0)</f>
        <v>65</v>
      </c>
      <c r="K13" s="164" t="str">
        <f t="shared" ref="K13:K76" si="3">VLOOKUP(I13,B$12:F$78,3,)</f>
        <v>PVC Comprido</v>
      </c>
      <c r="L13" s="122">
        <f t="shared" ref="L13:L76" si="4">VLOOKUP(I13,B$12:F$78,4,)</f>
        <v>0</v>
      </c>
      <c r="M13" s="83">
        <f>L13+M12</f>
        <v>0</v>
      </c>
      <c r="N13" s="134" t="e">
        <f t="shared" ref="N13:N76" si="5">ROUND(M13/M$78*100,1)</f>
        <v>#DIV/0!</v>
      </c>
      <c r="O13" s="174" t="e">
        <f>ROUND(L13/E$11*E$8/E$6*1000000,0)</f>
        <v>#DIV/0!</v>
      </c>
      <c r="P13" s="174" t="e">
        <f>IF(($G$8&gt;180)*(Rascunho!N13&lt;80),Rascunho!O13,0)</f>
        <v>#DIV/0!</v>
      </c>
    </row>
    <row r="14" spans="1:19">
      <c r="A14" s="149"/>
      <c r="B14" s="152">
        <v>3</v>
      </c>
      <c r="C14" s="122">
        <v>280</v>
      </c>
      <c r="D14" s="83" t="str">
        <f>VLOOKUP(C14,'Tipos de Defeitos'!B$4:E$106,Menu!$B$22+1,)</f>
        <v>Papel Separador Rasgado</v>
      </c>
      <c r="E14" s="135">
        <f>'UM-1 - Dia'!AS30</f>
        <v>0</v>
      </c>
      <c r="F14" s="135"/>
      <c r="G14" s="132">
        <f t="shared" si="0"/>
        <v>3280</v>
      </c>
      <c r="H14" s="132">
        <f t="shared" si="1"/>
        <v>64970</v>
      </c>
      <c r="I14" s="143">
        <f t="shared" si="2"/>
        <v>64</v>
      </c>
      <c r="K14" s="164" t="str">
        <f t="shared" si="3"/>
        <v>Bottom Plate Amassado</v>
      </c>
      <c r="L14" s="122">
        <f t="shared" si="4"/>
        <v>0</v>
      </c>
      <c r="M14" s="83">
        <f t="shared" ref="M14:M77" si="6">L14+M13</f>
        <v>0</v>
      </c>
      <c r="N14" s="134" t="e">
        <f t="shared" si="5"/>
        <v>#DIV/0!</v>
      </c>
      <c r="O14" s="160" t="e">
        <f t="shared" ref="O14:O76" si="7">ROUND(L14/E$11*E$8/E$6*1000000,0)</f>
        <v>#DIV/0!</v>
      </c>
      <c r="P14" s="160" t="e">
        <f>IF(($G$8&gt;180)*(Rascunho!N14&lt;80),Rascunho!O14,0)</f>
        <v>#DIV/0!</v>
      </c>
    </row>
    <row r="15" spans="1:19">
      <c r="A15" s="149"/>
      <c r="B15" s="152">
        <v>4</v>
      </c>
      <c r="C15" s="122">
        <v>290</v>
      </c>
      <c r="D15" s="83" t="str">
        <f>VLOOKUP(C15,'Tipos de Defeitos'!B$4:E$106,Menu!$B$22+1,)</f>
        <v>Papel Dobrado Sup.</v>
      </c>
      <c r="E15" s="135">
        <f>'UM-1 - Dia'!AS31</f>
        <v>0</v>
      </c>
      <c r="F15" s="135"/>
      <c r="G15" s="132">
        <f t="shared" si="0"/>
        <v>4290</v>
      </c>
      <c r="H15" s="132">
        <f t="shared" si="1"/>
        <v>63960</v>
      </c>
      <c r="I15" s="143">
        <f t="shared" si="2"/>
        <v>63</v>
      </c>
      <c r="K15" s="164" t="str">
        <f t="shared" si="3"/>
        <v>Mistura seca</v>
      </c>
      <c r="L15" s="122">
        <f t="shared" si="4"/>
        <v>0</v>
      </c>
      <c r="M15" s="83">
        <f t="shared" si="6"/>
        <v>0</v>
      </c>
      <c r="N15" s="134" t="e">
        <f t="shared" si="5"/>
        <v>#DIV/0!</v>
      </c>
      <c r="O15" s="160" t="e">
        <f t="shared" si="7"/>
        <v>#DIV/0!</v>
      </c>
      <c r="P15" s="160" t="e">
        <f>IF(($G$8&gt;180)*(Rascunho!N15&lt;80),Rascunho!O15,0)</f>
        <v>#DIV/0!</v>
      </c>
    </row>
    <row r="16" spans="1:19">
      <c r="A16" s="149"/>
      <c r="B16" s="152">
        <v>5</v>
      </c>
      <c r="C16" s="122">
        <v>300</v>
      </c>
      <c r="D16" s="83" t="str">
        <f>VLOOKUP(C16,'Tipos de Defeitos'!B$4:E$106,Menu!$B$22+1,)</f>
        <v>Papel Dobrado Meio</v>
      </c>
      <c r="E16" s="135">
        <f>'UM-1 - Dia'!AS32</f>
        <v>0</v>
      </c>
      <c r="F16" s="135"/>
      <c r="G16" s="132">
        <f t="shared" si="0"/>
        <v>5300</v>
      </c>
      <c r="H16" s="132">
        <f t="shared" si="1"/>
        <v>62950</v>
      </c>
      <c r="I16" s="143">
        <f t="shared" si="2"/>
        <v>62</v>
      </c>
      <c r="K16" s="164" t="str">
        <f t="shared" si="3"/>
        <v>Contem estranho</v>
      </c>
      <c r="L16" s="122">
        <f t="shared" si="4"/>
        <v>0</v>
      </c>
      <c r="M16" s="83">
        <f t="shared" si="6"/>
        <v>0</v>
      </c>
      <c r="N16" s="134" t="e">
        <f t="shared" si="5"/>
        <v>#DIV/0!</v>
      </c>
      <c r="O16" s="160" t="e">
        <f t="shared" si="7"/>
        <v>#DIV/0!</v>
      </c>
      <c r="P16" s="160" t="e">
        <f>IF(($G$8&gt;180)*(Rascunho!N16&lt;80),Rascunho!O16,0)</f>
        <v>#DIV/0!</v>
      </c>
    </row>
    <row r="17" spans="1:16">
      <c r="A17" s="149"/>
      <c r="B17" s="152">
        <v>6</v>
      </c>
      <c r="C17" s="122">
        <v>310</v>
      </c>
      <c r="D17" s="83" t="str">
        <f>VLOOKUP(C17,'Tipos de Defeitos'!B$4:E$106,Menu!$B$22+1,)</f>
        <v>Papel Dobrado Inf.</v>
      </c>
      <c r="E17" s="135">
        <f>'UM-1 - Dia'!AS33</f>
        <v>0</v>
      </c>
      <c r="F17" s="135"/>
      <c r="G17" s="132">
        <f t="shared" si="0"/>
        <v>6310</v>
      </c>
      <c r="H17" s="132">
        <f t="shared" si="1"/>
        <v>61940</v>
      </c>
      <c r="I17" s="143">
        <f t="shared" si="2"/>
        <v>61</v>
      </c>
      <c r="K17" s="164" t="str">
        <f t="shared" si="3"/>
        <v>Tubo de Zinco Sujo</v>
      </c>
      <c r="L17" s="122">
        <f t="shared" si="4"/>
        <v>0</v>
      </c>
      <c r="M17" s="83">
        <f t="shared" si="6"/>
        <v>0</v>
      </c>
      <c r="N17" s="134" t="e">
        <f t="shared" si="5"/>
        <v>#DIV/0!</v>
      </c>
      <c r="O17" s="160" t="e">
        <f t="shared" si="7"/>
        <v>#DIV/0!</v>
      </c>
      <c r="P17" s="160" t="e">
        <f>IF(($G$8&gt;180)*(Rascunho!N17&lt;80),Rascunho!O17,0)</f>
        <v>#DIV/0!</v>
      </c>
    </row>
    <row r="18" spans="1:16">
      <c r="A18" s="149"/>
      <c r="B18" s="152">
        <v>7</v>
      </c>
      <c r="C18" s="122">
        <v>320</v>
      </c>
      <c r="D18" s="83" t="str">
        <f>VLOOKUP(C18,'Tipos de Defeitos'!B$4:E$106,Menu!$B$22+1,)</f>
        <v>Papel Afundado</v>
      </c>
      <c r="E18" s="135">
        <f>'UM-1 - Dia'!AS34</f>
        <v>0</v>
      </c>
      <c r="F18" s="135"/>
      <c r="G18" s="132">
        <f t="shared" si="0"/>
        <v>7320</v>
      </c>
      <c r="H18" s="132">
        <f t="shared" si="1"/>
        <v>60930</v>
      </c>
      <c r="I18" s="143">
        <f t="shared" si="2"/>
        <v>60</v>
      </c>
      <c r="K18" s="164" t="str">
        <f t="shared" si="3"/>
        <v>Carvão Frouxo</v>
      </c>
      <c r="L18" s="122">
        <f t="shared" si="4"/>
        <v>0</v>
      </c>
      <c r="M18" s="83">
        <f t="shared" si="6"/>
        <v>0</v>
      </c>
      <c r="N18" s="134" t="e">
        <f t="shared" si="5"/>
        <v>#DIV/0!</v>
      </c>
      <c r="O18" s="160" t="e">
        <f t="shared" si="7"/>
        <v>#DIV/0!</v>
      </c>
      <c r="P18" s="160" t="e">
        <f>IF(($G$8&gt;180)*(Rascunho!N18&lt;80),Rascunho!O18,0)</f>
        <v>#DIV/0!</v>
      </c>
    </row>
    <row r="19" spans="1:16">
      <c r="A19" s="149"/>
      <c r="B19" s="152">
        <v>8</v>
      </c>
      <c r="C19" s="122">
        <v>330</v>
      </c>
      <c r="D19" s="83" t="str">
        <f>VLOOKUP(C19,'Tipos de Defeitos'!B$4:E$106,Menu!$B$22+1,)</f>
        <v>Papel Deslocado</v>
      </c>
      <c r="E19" s="135">
        <f>'UM-1 - Dia'!AS35</f>
        <v>0</v>
      </c>
      <c r="F19" s="135"/>
      <c r="G19" s="132">
        <f t="shared" si="0"/>
        <v>8330</v>
      </c>
      <c r="H19" s="132">
        <f t="shared" si="1"/>
        <v>59920</v>
      </c>
      <c r="I19" s="143">
        <f t="shared" si="2"/>
        <v>59</v>
      </c>
      <c r="K19" s="164" t="str">
        <f t="shared" si="3"/>
        <v>Metade do Carvão</v>
      </c>
      <c r="L19" s="122">
        <f t="shared" si="4"/>
        <v>0</v>
      </c>
      <c r="M19" s="83">
        <f t="shared" si="6"/>
        <v>0</v>
      </c>
      <c r="N19" s="134" t="e">
        <f t="shared" si="5"/>
        <v>#DIV/0!</v>
      </c>
      <c r="O19" s="160" t="e">
        <f t="shared" si="7"/>
        <v>#DIV/0!</v>
      </c>
      <c r="P19" s="160" t="e">
        <f>IF(($G$8&gt;180)*(Rascunho!N19&lt;80),Rascunho!O19,0)</f>
        <v>#DIV/0!</v>
      </c>
    </row>
    <row r="20" spans="1:16">
      <c r="A20" s="149"/>
      <c r="B20" s="152">
        <v>9</v>
      </c>
      <c r="C20" s="122">
        <v>340</v>
      </c>
      <c r="D20" s="83" t="str">
        <f>VLOOKUP(C20,'Tipos de Defeitos'!B$4:E$106,Menu!$B$22+1,)</f>
        <v>Papel menor</v>
      </c>
      <c r="E20" s="135">
        <f>'UM-1 - Dia'!AS36</f>
        <v>0</v>
      </c>
      <c r="F20" s="135"/>
      <c r="G20" s="132">
        <f t="shared" si="0"/>
        <v>9340</v>
      </c>
      <c r="H20" s="132">
        <f t="shared" si="1"/>
        <v>58910</v>
      </c>
      <c r="I20" s="143">
        <f t="shared" si="2"/>
        <v>58</v>
      </c>
      <c r="K20" s="164" t="str">
        <f t="shared" si="3"/>
        <v>Carvão Quebrado</v>
      </c>
      <c r="L20" s="122">
        <f t="shared" si="4"/>
        <v>0</v>
      </c>
      <c r="M20" s="83">
        <f t="shared" si="6"/>
        <v>0</v>
      </c>
      <c r="N20" s="134" t="e">
        <f t="shared" si="5"/>
        <v>#DIV/0!</v>
      </c>
      <c r="O20" s="160" t="e">
        <f t="shared" si="7"/>
        <v>#DIV/0!</v>
      </c>
      <c r="P20" s="160" t="e">
        <f>IF(($G$8&gt;180)*(Rascunho!N20&lt;80),Rascunho!O20,0)</f>
        <v>#DIV/0!</v>
      </c>
    </row>
    <row r="21" spans="1:16">
      <c r="A21" s="149"/>
      <c r="B21" s="152">
        <v>10</v>
      </c>
      <c r="C21" s="122">
        <v>350</v>
      </c>
      <c r="D21" s="83" t="str">
        <f>VLOOKUP(C21,'Tipos de Defeitos'!B$4:E$106,Menu!$B$22+1,)</f>
        <v>Sem Disco</v>
      </c>
      <c r="E21" s="135">
        <f>'UM-1 - Dia'!AS37</f>
        <v>0</v>
      </c>
      <c r="F21" s="135"/>
      <c r="G21" s="132">
        <f t="shared" si="0"/>
        <v>10350</v>
      </c>
      <c r="H21" s="132">
        <f t="shared" si="1"/>
        <v>57900</v>
      </c>
      <c r="I21" s="143">
        <f t="shared" si="2"/>
        <v>57</v>
      </c>
      <c r="K21" s="164" t="str">
        <f t="shared" si="3"/>
        <v>Emenda de Papel</v>
      </c>
      <c r="L21" s="122">
        <f t="shared" si="4"/>
        <v>0</v>
      </c>
      <c r="M21" s="83">
        <f t="shared" si="6"/>
        <v>0</v>
      </c>
      <c r="N21" s="134" t="e">
        <f t="shared" si="5"/>
        <v>#DIV/0!</v>
      </c>
      <c r="O21" s="160" t="e">
        <f t="shared" si="7"/>
        <v>#DIV/0!</v>
      </c>
      <c r="P21" s="160" t="e">
        <f>IF(($G$8&gt;180)*(Rascunho!N21&lt;80),Rascunho!O21,0)</f>
        <v>#DIV/0!</v>
      </c>
    </row>
    <row r="22" spans="1:16">
      <c r="A22" s="149"/>
      <c r="B22" s="152">
        <v>11</v>
      </c>
      <c r="C22" s="122">
        <v>360</v>
      </c>
      <c r="D22" s="83" t="str">
        <f>VLOOKUP(C22,'Tipos de Defeitos'!B$4:E$106,Menu!$B$22+1,)</f>
        <v>Disco Cortado</v>
      </c>
      <c r="E22" s="135">
        <f>'UM-1 - Dia'!AS38</f>
        <v>0</v>
      </c>
      <c r="F22" s="135"/>
      <c r="G22" s="132">
        <f t="shared" si="0"/>
        <v>11360</v>
      </c>
      <c r="H22" s="132">
        <f t="shared" si="1"/>
        <v>56890</v>
      </c>
      <c r="I22" s="143">
        <f t="shared" si="2"/>
        <v>56</v>
      </c>
      <c r="K22" s="164" t="str">
        <f t="shared" si="3"/>
        <v>Bobina Rachada</v>
      </c>
      <c r="L22" s="122">
        <f t="shared" si="4"/>
        <v>0</v>
      </c>
      <c r="M22" s="83">
        <f t="shared" si="6"/>
        <v>0</v>
      </c>
      <c r="N22" s="134" t="e">
        <f t="shared" si="5"/>
        <v>#DIV/0!</v>
      </c>
      <c r="O22" s="160" t="e">
        <f t="shared" si="7"/>
        <v>#DIV/0!</v>
      </c>
      <c r="P22" s="160" t="e">
        <f>IF(($G$8&gt;180)*(Rascunho!N22&lt;80),Rascunho!O22,0)</f>
        <v>#DIV/0!</v>
      </c>
    </row>
    <row r="23" spans="1:16">
      <c r="A23" s="149"/>
      <c r="B23" s="152">
        <v>12</v>
      </c>
      <c r="C23" s="122">
        <v>370</v>
      </c>
      <c r="D23" s="83" t="str">
        <f>VLOOKUP(C23,'Tipos de Defeitos'!B$4:E$106,Menu!$B$22+1,)</f>
        <v>Disco Rasgado</v>
      </c>
      <c r="E23" s="135">
        <f>'UM-1 - Dia'!AS39</f>
        <v>0</v>
      </c>
      <c r="F23" s="135"/>
      <c r="G23" s="132">
        <f t="shared" si="0"/>
        <v>12370</v>
      </c>
      <c r="H23" s="132">
        <f t="shared" si="1"/>
        <v>55880</v>
      </c>
      <c r="I23" s="143">
        <f t="shared" si="2"/>
        <v>55</v>
      </c>
      <c r="K23" s="164" t="str">
        <f t="shared" si="3"/>
        <v>Bobina Baixa</v>
      </c>
      <c r="L23" s="122">
        <f t="shared" si="4"/>
        <v>0</v>
      </c>
      <c r="M23" s="83">
        <f t="shared" si="6"/>
        <v>0</v>
      </c>
      <c r="N23" s="134" t="e">
        <f t="shared" si="5"/>
        <v>#DIV/0!</v>
      </c>
      <c r="O23" s="160" t="e">
        <f t="shared" si="7"/>
        <v>#DIV/0!</v>
      </c>
      <c r="P23" s="160" t="e">
        <f>IF(($G$8&gt;180)*(Rascunho!N23&lt;80),Rascunho!O23,0)</f>
        <v>#DIV/0!</v>
      </c>
    </row>
    <row r="24" spans="1:16" ht="12.75" customHeight="1">
      <c r="A24" s="149"/>
      <c r="B24" s="152">
        <v>13</v>
      </c>
      <c r="C24" s="122">
        <v>380</v>
      </c>
      <c r="D24" s="83" t="str">
        <f>VLOOKUP(C24,'Tipos de Defeitos'!B$4:E$106,Menu!$B$22+1,)</f>
        <v>Disco Furado</v>
      </c>
      <c r="E24" s="135">
        <f>'UM-1 - Dia'!AS40</f>
        <v>0</v>
      </c>
      <c r="F24" s="135"/>
      <c r="G24" s="132">
        <f t="shared" si="0"/>
        <v>13380</v>
      </c>
      <c r="H24" s="132">
        <f t="shared" si="1"/>
        <v>54870</v>
      </c>
      <c r="I24" s="143">
        <f t="shared" si="2"/>
        <v>54</v>
      </c>
      <c r="K24" s="164" t="str">
        <f t="shared" si="3"/>
        <v>Pelota de Manganês</v>
      </c>
      <c r="L24" s="122">
        <f t="shared" si="4"/>
        <v>0</v>
      </c>
      <c r="M24" s="83">
        <f t="shared" si="6"/>
        <v>0</v>
      </c>
      <c r="N24" s="134" t="e">
        <f t="shared" si="5"/>
        <v>#DIV/0!</v>
      </c>
      <c r="O24" s="160" t="e">
        <f t="shared" si="7"/>
        <v>#DIV/0!</v>
      </c>
      <c r="P24" s="160" t="e">
        <f>IF(($G$8&gt;180)*(Rascunho!N24&lt;80),Rascunho!O24,0)</f>
        <v>#DIV/0!</v>
      </c>
    </row>
    <row r="25" spans="1:16">
      <c r="A25" s="149"/>
      <c r="B25" s="152">
        <v>14</v>
      </c>
      <c r="C25" s="122">
        <v>390</v>
      </c>
      <c r="D25" s="83" t="str">
        <f>VLOOKUP(C25,'Tipos de Defeitos'!B$4:E$106,Menu!$B$22+1,)</f>
        <v>Disco Dobrado</v>
      </c>
      <c r="E25" s="135">
        <f>'UM-1 - Dia'!AS41</f>
        <v>0</v>
      </c>
      <c r="F25" s="135"/>
      <c r="G25" s="132">
        <f t="shared" si="0"/>
        <v>14390</v>
      </c>
      <c r="H25" s="132">
        <f t="shared" si="1"/>
        <v>53860</v>
      </c>
      <c r="I25" s="143">
        <f t="shared" si="2"/>
        <v>53</v>
      </c>
      <c r="K25" s="164" t="str">
        <f t="shared" si="3"/>
        <v>Pedra de Cl de Amônia</v>
      </c>
      <c r="L25" s="122">
        <f t="shared" si="4"/>
        <v>0</v>
      </c>
      <c r="M25" s="83">
        <f t="shared" si="6"/>
        <v>0</v>
      </c>
      <c r="N25" s="134" t="e">
        <f t="shared" si="5"/>
        <v>#DIV/0!</v>
      </c>
      <c r="O25" s="160" t="e">
        <f t="shared" si="7"/>
        <v>#DIV/0!</v>
      </c>
      <c r="P25" s="160" t="e">
        <f>IF(($G$8&gt;180)*(Rascunho!N25&lt;80),Rascunho!O25,0)</f>
        <v>#DIV/0!</v>
      </c>
    </row>
    <row r="26" spans="1:16">
      <c r="A26" s="149"/>
      <c r="B26" s="152">
        <v>15</v>
      </c>
      <c r="C26" s="122">
        <v>400</v>
      </c>
      <c r="D26" s="83" t="str">
        <f>VLOOKUP(C26,'Tipos de Defeitos'!B$4:E$106,Menu!$B$22+1,)</f>
        <v>Disco fora de centro / deslocado</v>
      </c>
      <c r="E26" s="135">
        <f>'UM-1 - Dia'!AS42</f>
        <v>0</v>
      </c>
      <c r="F26" s="135"/>
      <c r="G26" s="132">
        <f t="shared" si="0"/>
        <v>15400</v>
      </c>
      <c r="H26" s="132">
        <f t="shared" si="1"/>
        <v>52850</v>
      </c>
      <c r="I26" s="143">
        <f t="shared" si="2"/>
        <v>52</v>
      </c>
      <c r="K26" s="164" t="str">
        <f t="shared" si="3"/>
        <v>Pedra de Negro</v>
      </c>
      <c r="L26" s="122">
        <f t="shared" si="4"/>
        <v>0</v>
      </c>
      <c r="M26" s="83">
        <f t="shared" si="6"/>
        <v>0</v>
      </c>
      <c r="N26" s="134" t="e">
        <f t="shared" si="5"/>
        <v>#DIV/0!</v>
      </c>
      <c r="O26" s="160" t="e">
        <f t="shared" si="7"/>
        <v>#DIV/0!</v>
      </c>
      <c r="P26" s="160" t="e">
        <f>IF(($G$8&gt;180)*(Rascunho!N26&lt;80),Rascunho!O26,0)</f>
        <v>#DIV/0!</v>
      </c>
    </row>
    <row r="27" spans="1:16">
      <c r="A27" s="149"/>
      <c r="B27" s="152">
        <v>16</v>
      </c>
      <c r="C27" s="122">
        <v>410</v>
      </c>
      <c r="D27" s="83" t="str">
        <f>VLOOKUP(C27,'Tipos de Defeitos'!B$4:E$106,Menu!$B$22+1,)</f>
        <v>Isolador fora de centro</v>
      </c>
      <c r="E27" s="135">
        <f>'UM-1 - Dia'!AS43</f>
        <v>0</v>
      </c>
      <c r="F27" s="135"/>
      <c r="G27" s="132">
        <f t="shared" si="0"/>
        <v>16410</v>
      </c>
      <c r="H27" s="132">
        <f t="shared" si="1"/>
        <v>51840</v>
      </c>
      <c r="I27" s="143">
        <f t="shared" si="2"/>
        <v>51</v>
      </c>
      <c r="K27" s="164" t="str">
        <f t="shared" si="3"/>
        <v>Papel Separdor Duplo</v>
      </c>
      <c r="L27" s="122">
        <f t="shared" si="4"/>
        <v>0</v>
      </c>
      <c r="M27" s="83">
        <f t="shared" si="6"/>
        <v>0</v>
      </c>
      <c r="N27" s="134" t="e">
        <f t="shared" si="5"/>
        <v>#DIV/0!</v>
      </c>
      <c r="O27" s="160" t="e">
        <f t="shared" si="7"/>
        <v>#DIV/0!</v>
      </c>
      <c r="P27" s="160" t="e">
        <f>IF(($G$8&gt;180)*(Rascunho!N27&lt;80),Rascunho!O27,0)</f>
        <v>#DIV/0!</v>
      </c>
    </row>
    <row r="28" spans="1:16">
      <c r="A28" s="149"/>
      <c r="B28" s="152">
        <v>17</v>
      </c>
      <c r="C28" s="122">
        <v>420</v>
      </c>
      <c r="D28" s="83" t="str">
        <f>VLOOKUP(C28,'Tipos de Defeitos'!B$4:E$106,Menu!$B$22+1,)</f>
        <v>Isolador afundado</v>
      </c>
      <c r="E28" s="135">
        <f>'UM-1 - Dia'!AS44</f>
        <v>0</v>
      </c>
      <c r="F28" s="135"/>
      <c r="G28" s="132">
        <f t="shared" si="0"/>
        <v>17420</v>
      </c>
      <c r="H28" s="132">
        <f t="shared" si="1"/>
        <v>50750</v>
      </c>
      <c r="I28" s="143">
        <f t="shared" si="2"/>
        <v>50</v>
      </c>
      <c r="K28" s="164" t="str">
        <f t="shared" si="3"/>
        <v>Outros - Voltagem</v>
      </c>
      <c r="L28" s="122">
        <f t="shared" si="4"/>
        <v>0</v>
      </c>
      <c r="M28" s="83">
        <f t="shared" si="6"/>
        <v>0</v>
      </c>
      <c r="N28" s="134" t="e">
        <f t="shared" si="5"/>
        <v>#DIV/0!</v>
      </c>
      <c r="O28" s="160" t="e">
        <f t="shared" si="7"/>
        <v>#DIV/0!</v>
      </c>
      <c r="P28" s="160" t="e">
        <f>IF(($G$8&gt;180)*(Rascunho!N28&lt;80),Rascunho!O28,0)</f>
        <v>#DIV/0!</v>
      </c>
    </row>
    <row r="29" spans="1:16">
      <c r="A29" s="149"/>
      <c r="B29" s="152">
        <v>18</v>
      </c>
      <c r="C29" s="122">
        <v>430</v>
      </c>
      <c r="D29" s="83" t="str">
        <f>VLOOKUP(C29,'Tipos de Defeitos'!B$4:E$106,Menu!$B$22+1,)</f>
        <v>Isolador Inclinado</v>
      </c>
      <c r="E29" s="135">
        <f>'UM-1 - Dia'!AS45</f>
        <v>0</v>
      </c>
      <c r="F29" s="135"/>
      <c r="G29" s="132">
        <f t="shared" si="0"/>
        <v>18430</v>
      </c>
      <c r="H29" s="132">
        <f t="shared" si="1"/>
        <v>49740</v>
      </c>
      <c r="I29" s="143">
        <f t="shared" si="2"/>
        <v>49</v>
      </c>
      <c r="K29" s="164" t="str">
        <f t="shared" si="3"/>
        <v>Pilha Boa</v>
      </c>
      <c r="L29" s="122">
        <f t="shared" si="4"/>
        <v>0</v>
      </c>
      <c r="M29" s="83">
        <f t="shared" si="6"/>
        <v>0</v>
      </c>
      <c r="N29" s="134" t="e">
        <f t="shared" si="5"/>
        <v>#DIV/0!</v>
      </c>
      <c r="O29" s="160" t="e">
        <f t="shared" si="7"/>
        <v>#DIV/0!</v>
      </c>
      <c r="P29" s="160" t="e">
        <f>IF(($G$8&gt;180)*(Rascunho!N29&lt;80),Rascunho!O29,0)</f>
        <v>#DIV/0!</v>
      </c>
    </row>
    <row r="30" spans="1:16">
      <c r="A30" s="149"/>
      <c r="B30" s="152">
        <v>19</v>
      </c>
      <c r="C30" s="122">
        <v>440</v>
      </c>
      <c r="D30" s="83" t="str">
        <f>VLOOKUP(C30,'Tipos de Defeitos'!B$4:E$106,Menu!$B$22+1,)</f>
        <v>Papel sujo</v>
      </c>
      <c r="E30" s="135">
        <f>'UM-1 - Dia'!AS46</f>
        <v>0</v>
      </c>
      <c r="F30" s="135"/>
      <c r="G30" s="132">
        <f t="shared" si="0"/>
        <v>19440</v>
      </c>
      <c r="H30" s="132">
        <f t="shared" si="1"/>
        <v>48730</v>
      </c>
      <c r="I30" s="143">
        <f t="shared" si="2"/>
        <v>48</v>
      </c>
      <c r="K30" s="164" t="str">
        <f t="shared" si="3"/>
        <v>Causa Desconhecida - Voltagem</v>
      </c>
      <c r="L30" s="122">
        <f t="shared" si="4"/>
        <v>0</v>
      </c>
      <c r="M30" s="83">
        <f t="shared" si="6"/>
        <v>0</v>
      </c>
      <c r="N30" s="134" t="e">
        <f t="shared" si="5"/>
        <v>#DIV/0!</v>
      </c>
      <c r="O30" s="160" t="e">
        <f t="shared" si="7"/>
        <v>#DIV/0!</v>
      </c>
      <c r="P30" s="160" t="e">
        <f>IF(($G$8&gt;180)*(Rascunho!N30&lt;80),Rascunho!O30,0)</f>
        <v>#DIV/0!</v>
      </c>
    </row>
    <row r="31" spans="1:16">
      <c r="A31" s="149"/>
      <c r="B31" s="152">
        <v>20</v>
      </c>
      <c r="C31" s="122">
        <v>450</v>
      </c>
      <c r="D31" s="83" t="str">
        <f>VLOOKUP(C31,'Tipos de Defeitos'!B$4:E$106,Menu!$B$22+1,)</f>
        <v>Manchado</v>
      </c>
      <c r="E31" s="135">
        <f>'UM-1 - Dia'!AS47</f>
        <v>0</v>
      </c>
      <c r="F31" s="135"/>
      <c r="G31" s="132">
        <f t="shared" si="0"/>
        <v>20450</v>
      </c>
      <c r="H31" s="132">
        <f t="shared" si="1"/>
        <v>47720</v>
      </c>
      <c r="I31" s="143">
        <f t="shared" si="2"/>
        <v>47</v>
      </c>
      <c r="K31" s="164" t="str">
        <f t="shared" si="3"/>
        <v>Pilha recuperada do Acabamento</v>
      </c>
      <c r="L31" s="122">
        <f t="shared" si="4"/>
        <v>0</v>
      </c>
      <c r="M31" s="83">
        <f t="shared" si="6"/>
        <v>0</v>
      </c>
      <c r="N31" s="134" t="e">
        <f t="shared" si="5"/>
        <v>#DIV/0!</v>
      </c>
      <c r="O31" s="160" t="e">
        <f t="shared" si="7"/>
        <v>#DIV/0!</v>
      </c>
      <c r="P31" s="160" t="e">
        <f>IF(($G$8&gt;180)*(Rascunho!N31&lt;80),Rascunho!O31,0)</f>
        <v>#DIV/0!</v>
      </c>
    </row>
    <row r="32" spans="1:16">
      <c r="A32" s="149"/>
      <c r="B32" s="152">
        <v>21</v>
      </c>
      <c r="C32" s="122">
        <v>460</v>
      </c>
      <c r="D32" s="83" t="str">
        <f>VLOOKUP(C32,'Tipos de Defeitos'!B$4:E$106,Menu!$B$22+1,)</f>
        <v>Manchado Superior</v>
      </c>
      <c r="E32" s="135">
        <f>'UM-1 - Dia'!AS48</f>
        <v>0</v>
      </c>
      <c r="F32" s="135"/>
      <c r="G32" s="132">
        <f t="shared" si="0"/>
        <v>21460</v>
      </c>
      <c r="H32" s="132">
        <f t="shared" si="1"/>
        <v>46710</v>
      </c>
      <c r="I32" s="143">
        <f t="shared" si="2"/>
        <v>46</v>
      </c>
      <c r="K32" s="164" t="str">
        <f t="shared" si="3"/>
        <v>Curto Circ. Externo -  recuperada</v>
      </c>
      <c r="L32" s="122">
        <f t="shared" si="4"/>
        <v>0</v>
      </c>
      <c r="M32" s="83">
        <f t="shared" si="6"/>
        <v>0</v>
      </c>
      <c r="N32" s="134" t="e">
        <f t="shared" si="5"/>
        <v>#DIV/0!</v>
      </c>
      <c r="O32" s="160" t="e">
        <f t="shared" si="7"/>
        <v>#DIV/0!</v>
      </c>
      <c r="P32" s="160" t="e">
        <f>IF(($G$8&gt;180)*(Rascunho!N32&lt;80),Rascunho!O32,0)</f>
        <v>#DIV/0!</v>
      </c>
    </row>
    <row r="33" spans="1:16">
      <c r="A33" s="149"/>
      <c r="B33" s="152">
        <v>22</v>
      </c>
      <c r="C33" s="122">
        <v>470</v>
      </c>
      <c r="D33" s="83" t="str">
        <f>VLOOKUP(C33,'Tipos de Defeitos'!B$4:E$106,Menu!$B$22+1,)</f>
        <v>Ferro</v>
      </c>
      <c r="E33" s="135">
        <f>'UM-1 - Dia'!AS49</f>
        <v>0</v>
      </c>
      <c r="F33" s="135"/>
      <c r="G33" s="132">
        <f t="shared" si="0"/>
        <v>22470</v>
      </c>
      <c r="H33" s="132">
        <f t="shared" si="1"/>
        <v>45700</v>
      </c>
      <c r="I33" s="143">
        <f t="shared" si="2"/>
        <v>45</v>
      </c>
      <c r="K33" s="164" t="str">
        <f t="shared" si="3"/>
        <v>Curto Circuito Externo</v>
      </c>
      <c r="L33" s="122">
        <f t="shared" si="4"/>
        <v>0</v>
      </c>
      <c r="M33" s="83">
        <f t="shared" si="6"/>
        <v>0</v>
      </c>
      <c r="N33" s="134" t="e">
        <f t="shared" si="5"/>
        <v>#DIV/0!</v>
      </c>
      <c r="O33" s="160" t="e">
        <f t="shared" si="7"/>
        <v>#DIV/0!</v>
      </c>
      <c r="P33" s="160" t="e">
        <f>IF(($G$8&gt;180)*(Rascunho!N33&lt;80),Rascunho!O33,0)</f>
        <v>#DIV/0!</v>
      </c>
    </row>
    <row r="34" spans="1:16">
      <c r="A34" s="149"/>
      <c r="B34" s="152">
        <v>23</v>
      </c>
      <c r="C34" s="122">
        <v>480</v>
      </c>
      <c r="D34" s="83" t="str">
        <f>VLOOKUP(C34,'Tipos de Defeitos'!B$4:E$106,Menu!$B$22+1,)</f>
        <v>Cobre</v>
      </c>
      <c r="E34" s="135">
        <f>'UM-1 - Dia'!AS50</f>
        <v>0</v>
      </c>
      <c r="F34" s="135"/>
      <c r="G34" s="132">
        <f t="shared" si="0"/>
        <v>23480</v>
      </c>
      <c r="H34" s="132">
        <f t="shared" si="1"/>
        <v>44690</v>
      </c>
      <c r="I34" s="143">
        <f t="shared" si="2"/>
        <v>44</v>
      </c>
      <c r="K34" s="164" t="str">
        <f t="shared" si="3"/>
        <v>Tubo com Rebarba</v>
      </c>
      <c r="L34" s="122">
        <f t="shared" si="4"/>
        <v>0</v>
      </c>
      <c r="M34" s="83">
        <f t="shared" si="6"/>
        <v>0</v>
      </c>
      <c r="N34" s="134" t="e">
        <f t="shared" si="5"/>
        <v>#DIV/0!</v>
      </c>
      <c r="O34" s="160" t="e">
        <f t="shared" si="7"/>
        <v>#DIV/0!</v>
      </c>
      <c r="P34" s="160" t="e">
        <f>IF(($G$8&gt;180)*(Rascunho!N34&lt;80),Rascunho!O34,0)</f>
        <v>#DIV/0!</v>
      </c>
    </row>
    <row r="35" spans="1:16">
      <c r="A35" s="149"/>
      <c r="B35" s="152">
        <v>24</v>
      </c>
      <c r="C35" s="122">
        <v>490</v>
      </c>
      <c r="D35" s="83" t="str">
        <f>VLOOKUP(C35,'Tipos de Defeitos'!B$4:E$106,Menu!$B$22+1,)</f>
        <v>Mistura no Tubo</v>
      </c>
      <c r="E35" s="135">
        <f>'UM-1 - Dia'!AS51</f>
        <v>0</v>
      </c>
      <c r="F35" s="135"/>
      <c r="G35" s="132">
        <f t="shared" si="0"/>
        <v>24490</v>
      </c>
      <c r="H35" s="132">
        <f t="shared" si="1"/>
        <v>43680</v>
      </c>
      <c r="I35" s="143">
        <f t="shared" si="2"/>
        <v>43</v>
      </c>
      <c r="K35" s="164" t="str">
        <f t="shared" si="3"/>
        <v>Tubo de Zinco Amassado</v>
      </c>
      <c r="L35" s="122">
        <f t="shared" si="4"/>
        <v>0</v>
      </c>
      <c r="M35" s="83">
        <f t="shared" si="6"/>
        <v>0</v>
      </c>
      <c r="N35" s="134" t="e">
        <f t="shared" si="5"/>
        <v>#DIV/0!</v>
      </c>
      <c r="O35" s="160" t="e">
        <f t="shared" si="7"/>
        <v>#DIV/0!</v>
      </c>
      <c r="P35" s="160" t="e">
        <f>IF(($G$8&gt;180)*(Rascunho!N35&lt;80),Rascunho!O35,0)</f>
        <v>#DIV/0!</v>
      </c>
    </row>
    <row r="36" spans="1:16">
      <c r="A36" s="149"/>
      <c r="B36" s="152">
        <v>25</v>
      </c>
      <c r="C36" s="122">
        <v>500</v>
      </c>
      <c r="D36" s="83" t="str">
        <f>VLOOKUP(C36,'Tipos de Defeitos'!B$4:E$106,Menu!$B$22+1,)</f>
        <v>Pó de Mistura</v>
      </c>
      <c r="E36" s="135">
        <f>'UM-1 - Dia'!AS52</f>
        <v>0</v>
      </c>
      <c r="F36" s="135"/>
      <c r="G36" s="132">
        <f t="shared" si="0"/>
        <v>25500</v>
      </c>
      <c r="H36" s="132">
        <f t="shared" si="1"/>
        <v>42670</v>
      </c>
      <c r="I36" s="143">
        <f t="shared" si="2"/>
        <v>42</v>
      </c>
      <c r="K36" s="164" t="str">
        <f t="shared" si="3"/>
        <v>Tubo Rachado - Câmera</v>
      </c>
      <c r="L36" s="122">
        <f t="shared" si="4"/>
        <v>0</v>
      </c>
      <c r="M36" s="83">
        <f t="shared" si="6"/>
        <v>0</v>
      </c>
      <c r="N36" s="134" t="e">
        <f t="shared" si="5"/>
        <v>#DIV/0!</v>
      </c>
      <c r="O36" s="160" t="e">
        <f t="shared" si="7"/>
        <v>#DIV/0!</v>
      </c>
      <c r="P36" s="160" t="e">
        <f>IF(($G$8&gt;180)*(Rascunho!N36&lt;80),Rascunho!O36,0)</f>
        <v>#DIV/0!</v>
      </c>
    </row>
    <row r="37" spans="1:16">
      <c r="A37" s="149"/>
      <c r="B37" s="152">
        <v>26</v>
      </c>
      <c r="C37" s="122">
        <v>510</v>
      </c>
      <c r="D37" s="83" t="str">
        <f>VLOOKUP(C37,'Tipos de Defeitos'!B$4:E$106,Menu!$B$22+1,)</f>
        <v>Bobina Baixa</v>
      </c>
      <c r="E37" s="135">
        <f>'UM-1 - Dia'!AS53</f>
        <v>0</v>
      </c>
      <c r="F37" s="135"/>
      <c r="G37" s="132">
        <f t="shared" si="0"/>
        <v>26510</v>
      </c>
      <c r="H37" s="132">
        <f t="shared" si="1"/>
        <v>41660</v>
      </c>
      <c r="I37" s="143">
        <f t="shared" si="2"/>
        <v>41</v>
      </c>
      <c r="K37" s="164" t="str">
        <f t="shared" si="3"/>
        <v>Tubo Rachado - Operador</v>
      </c>
      <c r="L37" s="122">
        <f t="shared" si="4"/>
        <v>0</v>
      </c>
      <c r="M37" s="83">
        <f t="shared" si="6"/>
        <v>0</v>
      </c>
      <c r="N37" s="134" t="e">
        <f t="shared" si="5"/>
        <v>#DIV/0!</v>
      </c>
      <c r="O37" s="160" t="e">
        <f t="shared" si="7"/>
        <v>#DIV/0!</v>
      </c>
      <c r="P37" s="160" t="e">
        <f>IF(($G$8&gt;180)*(Rascunho!N37&lt;80),Rascunho!O37,0)</f>
        <v>#DIV/0!</v>
      </c>
    </row>
    <row r="38" spans="1:16">
      <c r="A38" s="149"/>
      <c r="B38" s="152">
        <v>27</v>
      </c>
      <c r="C38" s="122">
        <v>520</v>
      </c>
      <c r="D38" s="83" t="str">
        <f>VLOOKUP(C38,'Tipos de Defeitos'!B$4:E$106,Menu!$B$22+1,)</f>
        <v>Bobina Alta</v>
      </c>
      <c r="E38" s="135">
        <f>'UM-1 - Dia'!AS54</f>
        <v>0</v>
      </c>
      <c r="F38" s="135"/>
      <c r="G38" s="132">
        <f t="shared" si="0"/>
        <v>27520</v>
      </c>
      <c r="H38" s="132">
        <f t="shared" si="1"/>
        <v>40650</v>
      </c>
      <c r="I38" s="143">
        <f t="shared" si="2"/>
        <v>40</v>
      </c>
      <c r="K38" s="164" t="str">
        <f t="shared" si="3"/>
        <v>Tubo com Boca Amassada - recuperada</v>
      </c>
      <c r="L38" s="122">
        <f t="shared" si="4"/>
        <v>0</v>
      </c>
      <c r="M38" s="83">
        <f t="shared" si="6"/>
        <v>0</v>
      </c>
      <c r="N38" s="134" t="e">
        <f t="shared" si="5"/>
        <v>#DIV/0!</v>
      </c>
      <c r="O38" s="160" t="e">
        <f t="shared" si="7"/>
        <v>#DIV/0!</v>
      </c>
      <c r="P38" s="160" t="e">
        <f>IF(($G$8&gt;180)*(Rascunho!N38&lt;80),Rascunho!O38,0)</f>
        <v>#DIV/0!</v>
      </c>
    </row>
    <row r="39" spans="1:16">
      <c r="A39" s="149"/>
      <c r="B39" s="152">
        <v>28</v>
      </c>
      <c r="C39" s="122">
        <v>530</v>
      </c>
      <c r="D39" s="83" t="str">
        <f>VLOOKUP(C39,'Tipos de Defeitos'!B$4:E$106,Menu!$B$22+1,)</f>
        <v>Bobina Molhada</v>
      </c>
      <c r="E39" s="135">
        <f>'UM-1 - Dia'!AS55</f>
        <v>0</v>
      </c>
      <c r="F39" s="135"/>
      <c r="G39" s="132">
        <f t="shared" si="0"/>
        <v>28530</v>
      </c>
      <c r="H39" s="132">
        <f t="shared" si="1"/>
        <v>39640</v>
      </c>
      <c r="I39" s="143">
        <f t="shared" si="2"/>
        <v>39</v>
      </c>
      <c r="K39" s="164" t="str">
        <f t="shared" si="3"/>
        <v>Tubo com Boca Amassada - Câmera</v>
      </c>
      <c r="L39" s="122">
        <f t="shared" si="4"/>
        <v>0</v>
      </c>
      <c r="M39" s="83">
        <f t="shared" si="6"/>
        <v>0</v>
      </c>
      <c r="N39" s="134" t="e">
        <f t="shared" si="5"/>
        <v>#DIV/0!</v>
      </c>
      <c r="O39" s="160" t="e">
        <f t="shared" si="7"/>
        <v>#DIV/0!</v>
      </c>
      <c r="P39" s="160" t="e">
        <f>IF(($G$8&gt;180)*(Rascunho!N39&lt;80),Rascunho!O39,0)</f>
        <v>#DIV/0!</v>
      </c>
    </row>
    <row r="40" spans="1:16">
      <c r="A40" s="149"/>
      <c r="B40" s="152">
        <v>29</v>
      </c>
      <c r="C40" s="122">
        <v>540</v>
      </c>
      <c r="D40" s="83" t="str">
        <f>VLOOKUP(C40,'Tipos de Defeitos'!B$4:E$106,Menu!$B$22+1,)</f>
        <v>Mistura seca</v>
      </c>
      <c r="E40" s="135">
        <f>'UM-1 - Dia'!AS56</f>
        <v>0</v>
      </c>
      <c r="F40" s="135"/>
      <c r="G40" s="132">
        <f t="shared" si="0"/>
        <v>29540</v>
      </c>
      <c r="H40" s="132">
        <f t="shared" si="1"/>
        <v>38630</v>
      </c>
      <c r="I40" s="143">
        <f t="shared" si="2"/>
        <v>38</v>
      </c>
      <c r="K40" s="164" t="str">
        <f t="shared" si="3"/>
        <v>Tubo com Boca Amassada - Operador</v>
      </c>
      <c r="L40" s="122">
        <f t="shared" si="4"/>
        <v>0</v>
      </c>
      <c r="M40" s="83">
        <f t="shared" si="6"/>
        <v>0</v>
      </c>
      <c r="N40" s="134" t="e">
        <f t="shared" si="5"/>
        <v>#DIV/0!</v>
      </c>
      <c r="O40" s="160" t="e">
        <f t="shared" si="7"/>
        <v>#DIV/0!</v>
      </c>
      <c r="P40" s="160" t="e">
        <f>IF(($G$8&gt;180)*(Rascunho!N40&lt;80),Rascunho!O40,0)</f>
        <v>#DIV/0!</v>
      </c>
    </row>
    <row r="41" spans="1:16">
      <c r="A41" s="149"/>
      <c r="B41" s="152">
        <v>30</v>
      </c>
      <c r="C41" s="122">
        <v>550</v>
      </c>
      <c r="D41" s="83" t="str">
        <f>VLOOKUP(C41,'Tipos de Defeitos'!B$4:E$106,Menu!$B$22+1,)</f>
        <v>Contem estranho</v>
      </c>
      <c r="E41" s="135">
        <f>'UM-1 - Dia'!AS57</f>
        <v>0</v>
      </c>
      <c r="F41" s="135"/>
      <c r="G41" s="132">
        <f t="shared" si="0"/>
        <v>30550</v>
      </c>
      <c r="H41" s="132">
        <f t="shared" si="1"/>
        <v>37620</v>
      </c>
      <c r="I41" s="143">
        <f t="shared" si="2"/>
        <v>37</v>
      </c>
      <c r="K41" s="164" t="str">
        <f t="shared" si="3"/>
        <v>PY Queimado</v>
      </c>
      <c r="L41" s="122">
        <f t="shared" si="4"/>
        <v>0</v>
      </c>
      <c r="M41" s="83">
        <f t="shared" si="6"/>
        <v>0</v>
      </c>
      <c r="N41" s="134" t="e">
        <f t="shared" si="5"/>
        <v>#DIV/0!</v>
      </c>
      <c r="O41" s="160" t="e">
        <f t="shared" si="7"/>
        <v>#DIV/0!</v>
      </c>
      <c r="P41" s="160" t="e">
        <f>IF(($G$8&gt;180)*(Rascunho!N41&lt;80),Rascunho!O41,0)</f>
        <v>#DIV/0!</v>
      </c>
    </row>
    <row r="42" spans="1:16">
      <c r="A42" s="149"/>
      <c r="B42" s="152">
        <v>31</v>
      </c>
      <c r="C42" s="122">
        <v>560</v>
      </c>
      <c r="D42" s="83" t="str">
        <f>VLOOKUP(C42,'Tipos de Defeitos'!B$4:E$106,Menu!$B$22+1,)</f>
        <v>Pedra de Óxido</v>
      </c>
      <c r="E42" s="135">
        <f>'UM-1 - Dia'!AS58</f>
        <v>0</v>
      </c>
      <c r="F42" s="135"/>
      <c r="G42" s="132">
        <f t="shared" si="0"/>
        <v>31560</v>
      </c>
      <c r="H42" s="132">
        <f t="shared" si="1"/>
        <v>36610</v>
      </c>
      <c r="I42" s="143">
        <f t="shared" si="2"/>
        <v>36</v>
      </c>
      <c r="K42" s="164" t="str">
        <f t="shared" si="3"/>
        <v>PY Fora de Centro</v>
      </c>
      <c r="L42" s="122">
        <f t="shared" si="4"/>
        <v>0</v>
      </c>
      <c r="M42" s="83">
        <f t="shared" si="6"/>
        <v>0</v>
      </c>
      <c r="N42" s="134" t="e">
        <f t="shared" si="5"/>
        <v>#DIV/0!</v>
      </c>
      <c r="O42" s="160" t="e">
        <f t="shared" si="7"/>
        <v>#DIV/0!</v>
      </c>
      <c r="P42" s="160" t="e">
        <f>IF(($G$8&gt;180)*(Rascunho!N42&lt;80),Rascunho!O42,0)</f>
        <v>#DIV/0!</v>
      </c>
    </row>
    <row r="43" spans="1:16">
      <c r="A43" s="149"/>
      <c r="B43" s="152">
        <v>32</v>
      </c>
      <c r="C43" s="122">
        <v>570</v>
      </c>
      <c r="D43" s="83" t="str">
        <f>VLOOKUP(C43,'Tipos de Defeitos'!B$4:E$106,Menu!$B$22+1,)</f>
        <v>Carvão Quebrado</v>
      </c>
      <c r="E43" s="135">
        <f>'UM-1 - Dia'!AS59</f>
        <v>0</v>
      </c>
      <c r="F43" s="135"/>
      <c r="G43" s="132">
        <f t="shared" si="0"/>
        <v>32570</v>
      </c>
      <c r="H43" s="132">
        <f t="shared" si="1"/>
        <v>35600</v>
      </c>
      <c r="I43" s="143">
        <f t="shared" si="2"/>
        <v>35</v>
      </c>
      <c r="K43" s="164" t="str">
        <f t="shared" si="3"/>
        <v>Sem PY</v>
      </c>
      <c r="L43" s="122">
        <f t="shared" si="4"/>
        <v>0</v>
      </c>
      <c r="M43" s="83">
        <f t="shared" si="6"/>
        <v>0</v>
      </c>
      <c r="N43" s="134" t="e">
        <f t="shared" si="5"/>
        <v>#DIV/0!</v>
      </c>
      <c r="O43" s="160" t="e">
        <f t="shared" si="7"/>
        <v>#DIV/0!</v>
      </c>
      <c r="P43" s="160" t="e">
        <f>IF(($G$8&gt;180)*(Rascunho!N43&lt;80),Rascunho!O43,0)</f>
        <v>#DIV/0!</v>
      </c>
    </row>
    <row r="44" spans="1:16">
      <c r="A44" s="149"/>
      <c r="B44" s="152">
        <v>33</v>
      </c>
      <c r="C44" s="122">
        <v>580</v>
      </c>
      <c r="D44" s="83" t="str">
        <f>VLOOKUP(C44,'Tipos de Defeitos'!B$4:E$106,Menu!$B$22+1,)</f>
        <v>Sem Selante</v>
      </c>
      <c r="E44" s="135">
        <f>'UM-1 - Dia'!AS60</f>
        <v>0</v>
      </c>
      <c r="F44" s="135"/>
      <c r="G44" s="132">
        <f t="shared" si="0"/>
        <v>33580</v>
      </c>
      <c r="H44" s="132">
        <f t="shared" si="1"/>
        <v>34590</v>
      </c>
      <c r="I44" s="143">
        <f t="shared" si="2"/>
        <v>34</v>
      </c>
      <c r="K44" s="164" t="str">
        <f t="shared" si="3"/>
        <v>PY c/ Falha de Injeção</v>
      </c>
      <c r="L44" s="122">
        <f t="shared" si="4"/>
        <v>0</v>
      </c>
      <c r="M44" s="83">
        <f t="shared" si="6"/>
        <v>0</v>
      </c>
      <c r="N44" s="134" t="e">
        <f t="shared" si="5"/>
        <v>#DIV/0!</v>
      </c>
      <c r="O44" s="160" t="e">
        <f t="shared" si="7"/>
        <v>#DIV/0!</v>
      </c>
      <c r="P44" s="160" t="e">
        <f>IF(($G$8&gt;180)*(Rascunho!N44&lt;80),Rascunho!O44,0)</f>
        <v>#DIV/0!</v>
      </c>
    </row>
    <row r="45" spans="1:16">
      <c r="A45" s="149"/>
      <c r="B45" s="152">
        <v>34</v>
      </c>
      <c r="C45" s="122">
        <v>590</v>
      </c>
      <c r="D45" s="83" t="str">
        <f>VLOOKUP(C45,'Tipos de Defeitos'!B$4:E$106,Menu!$B$22+1,)</f>
        <v>PY c/ Falha de Injeção</v>
      </c>
      <c r="E45" s="135">
        <f>'UM-1 - Dia'!AS61</f>
        <v>0</v>
      </c>
      <c r="F45" s="135"/>
      <c r="G45" s="132">
        <f t="shared" si="0"/>
        <v>34590</v>
      </c>
      <c r="H45" s="132">
        <f t="shared" si="1"/>
        <v>33580</v>
      </c>
      <c r="I45" s="143">
        <f t="shared" si="2"/>
        <v>33</v>
      </c>
      <c r="K45" s="164" t="str">
        <f t="shared" si="3"/>
        <v>Sem Selante</v>
      </c>
      <c r="L45" s="122">
        <f t="shared" si="4"/>
        <v>0</v>
      </c>
      <c r="M45" s="83">
        <f t="shared" si="6"/>
        <v>0</v>
      </c>
      <c r="N45" s="134" t="e">
        <f t="shared" si="5"/>
        <v>#DIV/0!</v>
      </c>
      <c r="O45" s="160" t="e">
        <f t="shared" si="7"/>
        <v>#DIV/0!</v>
      </c>
      <c r="P45" s="160" t="e">
        <f>IF(($G$8&gt;180)*(Rascunho!N45&lt;80),Rascunho!O45,0)</f>
        <v>#DIV/0!</v>
      </c>
    </row>
    <row r="46" spans="1:16">
      <c r="A46" s="149"/>
      <c r="B46" s="152">
        <v>35</v>
      </c>
      <c r="C46" s="122">
        <v>600</v>
      </c>
      <c r="D46" s="83" t="str">
        <f>VLOOKUP(C46,'Tipos de Defeitos'!B$4:E$106,Menu!$B$22+1,)</f>
        <v>Sem PY</v>
      </c>
      <c r="E46" s="135">
        <f>'UM-1 - Dia'!AS62</f>
        <v>0</v>
      </c>
      <c r="F46" s="135"/>
      <c r="G46" s="132">
        <f t="shared" si="0"/>
        <v>35600</v>
      </c>
      <c r="H46" s="132">
        <f t="shared" si="1"/>
        <v>32570</v>
      </c>
      <c r="I46" s="143">
        <f t="shared" si="2"/>
        <v>32</v>
      </c>
      <c r="K46" s="164" t="str">
        <f t="shared" si="3"/>
        <v>Carvão Quebrado</v>
      </c>
      <c r="L46" s="122">
        <f t="shared" si="4"/>
        <v>0</v>
      </c>
      <c r="M46" s="83">
        <f t="shared" si="6"/>
        <v>0</v>
      </c>
      <c r="N46" s="134" t="e">
        <f t="shared" si="5"/>
        <v>#DIV/0!</v>
      </c>
      <c r="O46" s="160" t="e">
        <f t="shared" si="7"/>
        <v>#DIV/0!</v>
      </c>
      <c r="P46" s="160" t="e">
        <f>IF(($G$8&gt;180)*(Rascunho!N46&lt;80),Rascunho!O46,0)</f>
        <v>#DIV/0!</v>
      </c>
    </row>
    <row r="47" spans="1:16">
      <c r="A47" s="149"/>
      <c r="B47" s="152">
        <v>36</v>
      </c>
      <c r="C47" s="122">
        <v>610</v>
      </c>
      <c r="D47" s="83" t="str">
        <f>VLOOKUP(C47,'Tipos de Defeitos'!B$4:E$106,Menu!$B$22+1,)</f>
        <v>PY Fora de Centro</v>
      </c>
      <c r="E47" s="135">
        <f>'UM-1 - Dia'!AS63</f>
        <v>0</v>
      </c>
      <c r="F47" s="135"/>
      <c r="G47" s="132">
        <f t="shared" si="0"/>
        <v>36610</v>
      </c>
      <c r="H47" s="132">
        <f t="shared" si="1"/>
        <v>31560</v>
      </c>
      <c r="I47" s="143">
        <f t="shared" si="2"/>
        <v>31</v>
      </c>
      <c r="K47" s="164" t="str">
        <f t="shared" si="3"/>
        <v>Pedra de Óxido</v>
      </c>
      <c r="L47" s="122">
        <f t="shared" si="4"/>
        <v>0</v>
      </c>
      <c r="M47" s="83">
        <f t="shared" si="6"/>
        <v>0</v>
      </c>
      <c r="N47" s="134" t="e">
        <f t="shared" si="5"/>
        <v>#DIV/0!</v>
      </c>
      <c r="O47" s="160" t="e">
        <f t="shared" si="7"/>
        <v>#DIV/0!</v>
      </c>
      <c r="P47" s="160" t="e">
        <f>IF(($G$8&gt;180)*(Rascunho!N47&lt;80),Rascunho!O47,0)</f>
        <v>#DIV/0!</v>
      </c>
    </row>
    <row r="48" spans="1:16">
      <c r="A48" s="149"/>
      <c r="B48" s="152">
        <v>37</v>
      </c>
      <c r="C48" s="122">
        <v>620</v>
      </c>
      <c r="D48" s="83" t="str">
        <f>VLOOKUP(C48,'Tipos de Defeitos'!B$4:E$106,Menu!$B$22+1,)</f>
        <v>PY Queimado</v>
      </c>
      <c r="E48" s="135">
        <f>'UM-1 - Dia'!AS64</f>
        <v>0</v>
      </c>
      <c r="F48" s="135"/>
      <c r="G48" s="132">
        <f t="shared" si="0"/>
        <v>37620</v>
      </c>
      <c r="H48" s="132">
        <f t="shared" si="1"/>
        <v>30550</v>
      </c>
      <c r="I48" s="143">
        <f t="shared" si="2"/>
        <v>30</v>
      </c>
      <c r="K48" s="164" t="str">
        <f t="shared" si="3"/>
        <v>Contem estranho</v>
      </c>
      <c r="L48" s="122">
        <f t="shared" si="4"/>
        <v>0</v>
      </c>
      <c r="M48" s="83">
        <f t="shared" si="6"/>
        <v>0</v>
      </c>
      <c r="N48" s="134" t="e">
        <f t="shared" si="5"/>
        <v>#DIV/0!</v>
      </c>
      <c r="O48" s="160" t="e">
        <f t="shared" si="7"/>
        <v>#DIV/0!</v>
      </c>
      <c r="P48" s="160" t="e">
        <f>IF(($G$8&gt;180)*(Rascunho!N48&lt;80),Rascunho!O48,0)</f>
        <v>#DIV/0!</v>
      </c>
    </row>
    <row r="49" spans="1:16">
      <c r="A49" s="149"/>
      <c r="B49" s="152">
        <v>38</v>
      </c>
      <c r="C49" s="122">
        <v>630</v>
      </c>
      <c r="D49" s="83" t="str">
        <f>VLOOKUP(C49,'Tipos de Defeitos'!B$4:E$106,Menu!$B$22+1,)</f>
        <v>Tubo com Boca Amassada - Operador</v>
      </c>
      <c r="E49" s="135">
        <f>'UM-1 - Dia'!AS65</f>
        <v>0</v>
      </c>
      <c r="F49" s="135"/>
      <c r="G49" s="132">
        <f t="shared" si="0"/>
        <v>38630</v>
      </c>
      <c r="H49" s="132">
        <f t="shared" si="1"/>
        <v>29540</v>
      </c>
      <c r="I49" s="143">
        <f t="shared" si="2"/>
        <v>29</v>
      </c>
      <c r="K49" s="164" t="str">
        <f t="shared" si="3"/>
        <v>Mistura seca</v>
      </c>
      <c r="L49" s="122">
        <f t="shared" si="4"/>
        <v>0</v>
      </c>
      <c r="M49" s="83">
        <f t="shared" si="6"/>
        <v>0</v>
      </c>
      <c r="N49" s="134" t="e">
        <f t="shared" si="5"/>
        <v>#DIV/0!</v>
      </c>
      <c r="O49" s="160" t="e">
        <f t="shared" si="7"/>
        <v>#DIV/0!</v>
      </c>
      <c r="P49" s="160" t="e">
        <f>IF(($G$8&gt;180)*(Rascunho!N49&lt;80),Rascunho!O49,0)</f>
        <v>#DIV/0!</v>
      </c>
    </row>
    <row r="50" spans="1:16">
      <c r="A50" s="149"/>
      <c r="B50" s="152">
        <v>39</v>
      </c>
      <c r="C50" s="122">
        <v>640</v>
      </c>
      <c r="D50" s="83" t="str">
        <f>VLOOKUP(C50,'Tipos de Defeitos'!B$4:E$106,Menu!$B$22+1,)</f>
        <v>Tubo com Boca Amassada - Câmera</v>
      </c>
      <c r="E50" s="135">
        <f>'UM-1 - Dia'!AS66</f>
        <v>0</v>
      </c>
      <c r="F50" s="135"/>
      <c r="G50" s="132">
        <f t="shared" si="0"/>
        <v>39640</v>
      </c>
      <c r="H50" s="132">
        <f t="shared" si="1"/>
        <v>28530</v>
      </c>
      <c r="I50" s="143">
        <f t="shared" si="2"/>
        <v>28</v>
      </c>
      <c r="K50" s="164" t="str">
        <f t="shared" si="3"/>
        <v>Bobina Molhada</v>
      </c>
      <c r="L50" s="122">
        <f t="shared" si="4"/>
        <v>0</v>
      </c>
      <c r="M50" s="83">
        <f t="shared" si="6"/>
        <v>0</v>
      </c>
      <c r="N50" s="134" t="e">
        <f t="shared" si="5"/>
        <v>#DIV/0!</v>
      </c>
      <c r="O50" s="160" t="e">
        <f t="shared" si="7"/>
        <v>#DIV/0!</v>
      </c>
      <c r="P50" s="160" t="e">
        <f>IF(($G$8&gt;180)*(Rascunho!N50&lt;80),Rascunho!O50,0)</f>
        <v>#DIV/0!</v>
      </c>
    </row>
    <row r="51" spans="1:16">
      <c r="A51" s="149"/>
      <c r="B51" s="152">
        <v>40</v>
      </c>
      <c r="C51" s="122">
        <v>650</v>
      </c>
      <c r="D51" s="83" t="str">
        <f>VLOOKUP(C51,'Tipos de Defeitos'!B$4:E$106,Menu!$B$22+1,)</f>
        <v>Tubo com Boca Amassada - recuperada</v>
      </c>
      <c r="E51" s="135">
        <f>'UM-1 - Dia'!AS67</f>
        <v>0</v>
      </c>
      <c r="F51" s="135"/>
      <c r="G51" s="132">
        <f t="shared" si="0"/>
        <v>40650</v>
      </c>
      <c r="H51" s="132">
        <f t="shared" si="1"/>
        <v>27520</v>
      </c>
      <c r="I51" s="143">
        <f t="shared" si="2"/>
        <v>27</v>
      </c>
      <c r="K51" s="164" t="str">
        <f t="shared" si="3"/>
        <v>Bobina Alta</v>
      </c>
      <c r="L51" s="122">
        <f t="shared" si="4"/>
        <v>0</v>
      </c>
      <c r="M51" s="83">
        <f t="shared" si="6"/>
        <v>0</v>
      </c>
      <c r="N51" s="134" t="e">
        <f t="shared" si="5"/>
        <v>#DIV/0!</v>
      </c>
      <c r="O51" s="160" t="e">
        <f t="shared" si="7"/>
        <v>#DIV/0!</v>
      </c>
      <c r="P51" s="160" t="e">
        <f>IF(($G$8&gt;180)*(Rascunho!N51&lt;80),Rascunho!O51,0)</f>
        <v>#DIV/0!</v>
      </c>
    </row>
    <row r="52" spans="1:16">
      <c r="A52" s="149"/>
      <c r="B52" s="152">
        <v>41</v>
      </c>
      <c r="C52" s="122">
        <v>660</v>
      </c>
      <c r="D52" s="83" t="str">
        <f>VLOOKUP(C52,'Tipos de Defeitos'!B$4:E$106,Menu!$B$22+1,)</f>
        <v>Tubo Rachado - Operador</v>
      </c>
      <c r="E52" s="135">
        <f>'UM-1 - Dia'!AS68</f>
        <v>0</v>
      </c>
      <c r="F52" s="135"/>
      <c r="G52" s="132">
        <f t="shared" si="0"/>
        <v>41660</v>
      </c>
      <c r="H52" s="132">
        <f t="shared" si="1"/>
        <v>26510</v>
      </c>
      <c r="I52" s="143">
        <f t="shared" si="2"/>
        <v>26</v>
      </c>
      <c r="K52" s="164" t="str">
        <f t="shared" si="3"/>
        <v>Bobina Baixa</v>
      </c>
      <c r="L52" s="122">
        <f t="shared" si="4"/>
        <v>0</v>
      </c>
      <c r="M52" s="83">
        <f t="shared" si="6"/>
        <v>0</v>
      </c>
      <c r="N52" s="134" t="e">
        <f t="shared" si="5"/>
        <v>#DIV/0!</v>
      </c>
      <c r="O52" s="160" t="e">
        <f t="shared" si="7"/>
        <v>#DIV/0!</v>
      </c>
      <c r="P52" s="160" t="e">
        <f>IF(($G$8&gt;180)*(Rascunho!N52&lt;80),Rascunho!O52,0)</f>
        <v>#DIV/0!</v>
      </c>
    </row>
    <row r="53" spans="1:16">
      <c r="A53" s="149"/>
      <c r="B53" s="152">
        <v>42</v>
      </c>
      <c r="C53" s="122">
        <v>670</v>
      </c>
      <c r="D53" s="83" t="str">
        <f>VLOOKUP(C53,'Tipos de Defeitos'!B$4:E$106,Menu!$B$22+1,)</f>
        <v>Tubo Rachado - Câmera</v>
      </c>
      <c r="E53" s="135">
        <f>'UM-1 - Dia'!AS69</f>
        <v>0</v>
      </c>
      <c r="F53" s="135"/>
      <c r="G53" s="132">
        <f t="shared" si="0"/>
        <v>42670</v>
      </c>
      <c r="H53" s="132">
        <f t="shared" si="1"/>
        <v>25500</v>
      </c>
      <c r="I53" s="143">
        <f t="shared" si="2"/>
        <v>25</v>
      </c>
      <c r="K53" s="164" t="str">
        <f t="shared" si="3"/>
        <v>Pó de Mistura</v>
      </c>
      <c r="L53" s="122">
        <f t="shared" si="4"/>
        <v>0</v>
      </c>
      <c r="M53" s="83">
        <f t="shared" si="6"/>
        <v>0</v>
      </c>
      <c r="N53" s="134" t="e">
        <f t="shared" si="5"/>
        <v>#DIV/0!</v>
      </c>
      <c r="O53" s="160" t="e">
        <f t="shared" si="7"/>
        <v>#DIV/0!</v>
      </c>
      <c r="P53" s="160" t="e">
        <f>IF(($G$8&gt;180)*(Rascunho!N53&lt;80),Rascunho!O53,0)</f>
        <v>#DIV/0!</v>
      </c>
    </row>
    <row r="54" spans="1:16">
      <c r="A54" s="149"/>
      <c r="B54" s="152">
        <v>43</v>
      </c>
      <c r="C54" s="122">
        <v>680</v>
      </c>
      <c r="D54" s="83" t="str">
        <f>VLOOKUP(C54,'Tipos de Defeitos'!B$4:E$106,Menu!$B$22+1,)</f>
        <v>Tubo de Zinco Amassado</v>
      </c>
      <c r="E54" s="135">
        <f>'UM-1 - Dia'!AS70</f>
        <v>0</v>
      </c>
      <c r="F54" s="135"/>
      <c r="G54" s="132">
        <f t="shared" si="0"/>
        <v>43680</v>
      </c>
      <c r="H54" s="132">
        <f t="shared" si="1"/>
        <v>24490</v>
      </c>
      <c r="I54" s="143">
        <f t="shared" si="2"/>
        <v>24</v>
      </c>
      <c r="K54" s="164" t="str">
        <f t="shared" si="3"/>
        <v>Mistura no Tubo</v>
      </c>
      <c r="L54" s="122">
        <f t="shared" si="4"/>
        <v>0</v>
      </c>
      <c r="M54" s="83">
        <f t="shared" si="6"/>
        <v>0</v>
      </c>
      <c r="N54" s="134" t="e">
        <f t="shared" si="5"/>
        <v>#DIV/0!</v>
      </c>
      <c r="O54" s="160" t="e">
        <f t="shared" si="7"/>
        <v>#DIV/0!</v>
      </c>
      <c r="P54" s="160" t="e">
        <f>IF(($G$8&gt;180)*(Rascunho!N54&lt;80),Rascunho!O54,0)</f>
        <v>#DIV/0!</v>
      </c>
    </row>
    <row r="55" spans="1:16">
      <c r="A55" s="149"/>
      <c r="B55" s="152">
        <v>44</v>
      </c>
      <c r="C55" s="122">
        <v>690</v>
      </c>
      <c r="D55" s="83" t="str">
        <f>VLOOKUP(C55,'Tipos de Defeitos'!B$4:E$106,Menu!$B$22+1,)</f>
        <v>Tubo com Rebarba</v>
      </c>
      <c r="E55" s="135">
        <f>'UM-1 - Dia'!AS71</f>
        <v>0</v>
      </c>
      <c r="F55" s="135"/>
      <c r="G55" s="132">
        <f t="shared" si="0"/>
        <v>44690</v>
      </c>
      <c r="H55" s="132">
        <f t="shared" si="1"/>
        <v>23480</v>
      </c>
      <c r="I55" s="143">
        <f t="shared" si="2"/>
        <v>23</v>
      </c>
      <c r="K55" s="164" t="str">
        <f t="shared" si="3"/>
        <v>Cobre</v>
      </c>
      <c r="L55" s="122">
        <f t="shared" si="4"/>
        <v>0</v>
      </c>
      <c r="M55" s="83">
        <f t="shared" si="6"/>
        <v>0</v>
      </c>
      <c r="N55" s="134" t="e">
        <f t="shared" si="5"/>
        <v>#DIV/0!</v>
      </c>
      <c r="O55" s="160" t="e">
        <f t="shared" si="7"/>
        <v>#DIV/0!</v>
      </c>
      <c r="P55" s="160" t="e">
        <f>IF(($G$8&gt;180)*(Rascunho!N55&lt;80),Rascunho!O55,0)</f>
        <v>#DIV/0!</v>
      </c>
    </row>
    <row r="56" spans="1:16">
      <c r="A56" s="149"/>
      <c r="B56" s="152">
        <v>45</v>
      </c>
      <c r="C56" s="122">
        <v>700</v>
      </c>
      <c r="D56" s="83" t="str">
        <f>VLOOKUP(C56,'Tipos de Defeitos'!B$4:E$106,Menu!$B$22+1,)</f>
        <v>Curto Circuito Externo</v>
      </c>
      <c r="E56" s="135">
        <f>'UM-1 - Dia'!AS72</f>
        <v>0</v>
      </c>
      <c r="F56" s="135"/>
      <c r="G56" s="132">
        <f t="shared" si="0"/>
        <v>45700</v>
      </c>
      <c r="H56" s="132">
        <f t="shared" si="1"/>
        <v>22470</v>
      </c>
      <c r="I56" s="143">
        <f t="shared" si="2"/>
        <v>22</v>
      </c>
      <c r="K56" s="164" t="str">
        <f t="shared" si="3"/>
        <v>Ferro</v>
      </c>
      <c r="L56" s="122">
        <f t="shared" si="4"/>
        <v>0</v>
      </c>
      <c r="M56" s="83">
        <f t="shared" si="6"/>
        <v>0</v>
      </c>
      <c r="N56" s="134" t="e">
        <f t="shared" si="5"/>
        <v>#DIV/0!</v>
      </c>
      <c r="O56" s="160" t="e">
        <f t="shared" si="7"/>
        <v>#DIV/0!</v>
      </c>
      <c r="P56" s="160" t="e">
        <f>IF(($G$8&gt;180)*(Rascunho!N56&lt;80),Rascunho!O56,0)</f>
        <v>#DIV/0!</v>
      </c>
    </row>
    <row r="57" spans="1:16">
      <c r="A57" s="149"/>
      <c r="B57" s="152">
        <v>46</v>
      </c>
      <c r="C57" s="122">
        <v>710</v>
      </c>
      <c r="D57" s="83" t="str">
        <f>VLOOKUP(C57,'Tipos de Defeitos'!B$4:E$106,Menu!$B$22+1,)</f>
        <v>Curto Circ. Externo -  recuperada</v>
      </c>
      <c r="E57" s="135">
        <f>'UM-1 - Dia'!AS73</f>
        <v>0</v>
      </c>
      <c r="F57" s="135"/>
      <c r="G57" s="132">
        <f t="shared" si="0"/>
        <v>46710</v>
      </c>
      <c r="H57" s="132">
        <f t="shared" si="1"/>
        <v>21460</v>
      </c>
      <c r="I57" s="143">
        <f t="shared" si="2"/>
        <v>21</v>
      </c>
      <c r="K57" s="164" t="str">
        <f t="shared" si="3"/>
        <v>Manchado Superior</v>
      </c>
      <c r="L57" s="122">
        <f t="shared" si="4"/>
        <v>0</v>
      </c>
      <c r="M57" s="83">
        <f t="shared" si="6"/>
        <v>0</v>
      </c>
      <c r="N57" s="134" t="e">
        <f t="shared" si="5"/>
        <v>#DIV/0!</v>
      </c>
      <c r="O57" s="160" t="e">
        <f t="shared" si="7"/>
        <v>#DIV/0!</v>
      </c>
      <c r="P57" s="160" t="e">
        <f>IF(($G$8&gt;180)*(Rascunho!N57&lt;80),Rascunho!O57,0)</f>
        <v>#DIV/0!</v>
      </c>
    </row>
    <row r="58" spans="1:16">
      <c r="A58" s="149"/>
      <c r="B58" s="152">
        <v>47</v>
      </c>
      <c r="C58" s="122">
        <v>720</v>
      </c>
      <c r="D58" s="83" t="str">
        <f>VLOOKUP(C58,'Tipos de Defeitos'!B$4:E$106,Menu!$B$22+1,)</f>
        <v>Pilha recuperada do Acabamento</v>
      </c>
      <c r="E58" s="135">
        <f>'UM-1 - Dia'!AS74</f>
        <v>0</v>
      </c>
      <c r="F58" s="135"/>
      <c r="G58" s="132">
        <f t="shared" si="0"/>
        <v>47720</v>
      </c>
      <c r="H58" s="132">
        <f t="shared" si="1"/>
        <v>20450</v>
      </c>
      <c r="I58" s="143">
        <f t="shared" si="2"/>
        <v>20</v>
      </c>
      <c r="K58" s="164" t="str">
        <f t="shared" si="3"/>
        <v>Manchado</v>
      </c>
      <c r="L58" s="122">
        <f t="shared" si="4"/>
        <v>0</v>
      </c>
      <c r="M58" s="83">
        <f t="shared" si="6"/>
        <v>0</v>
      </c>
      <c r="N58" s="134" t="e">
        <f t="shared" si="5"/>
        <v>#DIV/0!</v>
      </c>
      <c r="O58" s="160" t="e">
        <f t="shared" si="7"/>
        <v>#DIV/0!</v>
      </c>
      <c r="P58" s="160" t="e">
        <f>IF(($G$8&gt;180)*(Rascunho!N58&lt;80),Rascunho!O58,0)</f>
        <v>#DIV/0!</v>
      </c>
    </row>
    <row r="59" spans="1:16">
      <c r="A59" s="149"/>
      <c r="B59" s="152">
        <v>48</v>
      </c>
      <c r="C59" s="122">
        <v>730</v>
      </c>
      <c r="D59" s="83" t="str">
        <f>VLOOKUP(C59,'Tipos de Defeitos'!B$4:E$106,Menu!$B$22+1,)</f>
        <v>Causa Desconhecida - Voltagem</v>
      </c>
      <c r="E59" s="135">
        <f>'UM-1 - Dia'!AS75</f>
        <v>0</v>
      </c>
      <c r="F59" s="135"/>
      <c r="G59" s="132">
        <f t="shared" si="0"/>
        <v>48730</v>
      </c>
      <c r="H59" s="132">
        <f t="shared" si="1"/>
        <v>19440</v>
      </c>
      <c r="I59" s="143">
        <f t="shared" si="2"/>
        <v>19</v>
      </c>
      <c r="K59" s="164" t="str">
        <f t="shared" si="3"/>
        <v>Papel sujo</v>
      </c>
      <c r="L59" s="122">
        <f t="shared" si="4"/>
        <v>0</v>
      </c>
      <c r="M59" s="83">
        <f t="shared" si="6"/>
        <v>0</v>
      </c>
      <c r="N59" s="134" t="e">
        <f t="shared" si="5"/>
        <v>#DIV/0!</v>
      </c>
      <c r="O59" s="160" t="e">
        <f t="shared" si="7"/>
        <v>#DIV/0!</v>
      </c>
      <c r="P59" s="160" t="e">
        <f>IF(($G$8&gt;180)*(Rascunho!N59&lt;80),Rascunho!O59,0)</f>
        <v>#DIV/0!</v>
      </c>
    </row>
    <row r="60" spans="1:16" ht="13.5" customHeight="1">
      <c r="A60" s="309"/>
      <c r="B60" s="152">
        <v>49</v>
      </c>
      <c r="C60" s="122">
        <v>740</v>
      </c>
      <c r="D60" s="83" t="str">
        <f>VLOOKUP(C60,'Tipos de Defeitos'!B$4:E$106,Menu!$B$22+1,)</f>
        <v>Pilha Boa</v>
      </c>
      <c r="E60" s="135">
        <f>'UM-1 - Dia'!AS76</f>
        <v>0</v>
      </c>
      <c r="F60" s="135"/>
      <c r="G60" s="132">
        <f t="shared" si="0"/>
        <v>49740</v>
      </c>
      <c r="H60" s="132">
        <f t="shared" si="1"/>
        <v>18430</v>
      </c>
      <c r="I60" s="143">
        <f t="shared" si="2"/>
        <v>18</v>
      </c>
      <c r="K60" s="164" t="str">
        <f t="shared" si="3"/>
        <v>Isolador Inclinado</v>
      </c>
      <c r="L60" s="122">
        <f t="shared" si="4"/>
        <v>0</v>
      </c>
      <c r="M60" s="83">
        <f t="shared" si="6"/>
        <v>0</v>
      </c>
      <c r="N60" s="134" t="e">
        <f t="shared" si="5"/>
        <v>#DIV/0!</v>
      </c>
      <c r="O60" s="160" t="e">
        <f t="shared" si="7"/>
        <v>#DIV/0!</v>
      </c>
      <c r="P60" s="160" t="e">
        <f>IF(($G$8&gt;180)*(Rascunho!N60&lt;80),Rascunho!O60,0)</f>
        <v>#DIV/0!</v>
      </c>
    </row>
    <row r="61" spans="1:16" ht="13.5" thickBot="1">
      <c r="A61" s="309"/>
      <c r="B61" s="153">
        <v>50</v>
      </c>
      <c r="C61" s="124">
        <v>750</v>
      </c>
      <c r="D61" s="84" t="str">
        <f>VLOOKUP(C61,'Tipos de Defeitos'!B$4:E$106,Menu!$B$22+1,)</f>
        <v>Outros - Voltagem</v>
      </c>
      <c r="E61" s="146">
        <f>'UM-1 - Dia'!AS77</f>
        <v>0</v>
      </c>
      <c r="F61" s="146"/>
      <c r="G61" s="147">
        <f t="shared" si="0"/>
        <v>50750</v>
      </c>
      <c r="H61" s="147">
        <f t="shared" si="1"/>
        <v>17420</v>
      </c>
      <c r="I61" s="148">
        <f t="shared" si="2"/>
        <v>17</v>
      </c>
      <c r="K61" s="164" t="str">
        <f t="shared" si="3"/>
        <v>Isolador afundado</v>
      </c>
      <c r="L61" s="122">
        <f t="shared" si="4"/>
        <v>0</v>
      </c>
      <c r="M61" s="83">
        <f t="shared" si="6"/>
        <v>0</v>
      </c>
      <c r="N61" s="134" t="e">
        <f t="shared" si="5"/>
        <v>#DIV/0!</v>
      </c>
      <c r="O61" s="160" t="e">
        <f t="shared" si="7"/>
        <v>#DIV/0!</v>
      </c>
      <c r="P61" s="160" t="e">
        <f>IF(($G$8&gt;180)*(Rascunho!N61&lt;80),Rascunho!O61,0)</f>
        <v>#DIV/0!</v>
      </c>
    </row>
    <row r="62" spans="1:16">
      <c r="A62" s="309"/>
      <c r="B62" s="150">
        <v>51</v>
      </c>
      <c r="C62" s="123">
        <v>840</v>
      </c>
      <c r="D62" s="92" t="str">
        <f>VLOOKUP(C62,'Tipos de Defeitos'!B$4:E$106,Menu!$B$22+1,)</f>
        <v>Papel Separdor Duplo</v>
      </c>
      <c r="E62" s="151">
        <f>'UM-1 - Dia'!AS86</f>
        <v>0</v>
      </c>
      <c r="F62" s="151"/>
      <c r="G62" s="140">
        <f t="shared" si="0"/>
        <v>51840</v>
      </c>
      <c r="H62" s="140">
        <f t="shared" si="1"/>
        <v>16410</v>
      </c>
      <c r="I62" s="141">
        <f t="shared" si="2"/>
        <v>16</v>
      </c>
      <c r="K62" s="164" t="str">
        <f t="shared" si="3"/>
        <v>Isolador fora de centro</v>
      </c>
      <c r="L62" s="122">
        <f t="shared" si="4"/>
        <v>0</v>
      </c>
      <c r="M62" s="83">
        <f t="shared" si="6"/>
        <v>0</v>
      </c>
      <c r="N62" s="134" t="e">
        <f t="shared" si="5"/>
        <v>#DIV/0!</v>
      </c>
      <c r="O62" s="160" t="e">
        <f t="shared" si="7"/>
        <v>#DIV/0!</v>
      </c>
      <c r="P62" s="160" t="e">
        <f>IF(($G$8&gt;180)*(Rascunho!N62&lt;80),Rascunho!O62,0)</f>
        <v>#DIV/0!</v>
      </c>
    </row>
    <row r="63" spans="1:16">
      <c r="A63" s="309"/>
      <c r="B63" s="152">
        <v>52</v>
      </c>
      <c r="C63" s="122">
        <v>850</v>
      </c>
      <c r="D63" s="83" t="str">
        <f>VLOOKUP(C63,'Tipos de Defeitos'!B$4:E$106,Menu!$B$22+1,)</f>
        <v>Pedra de Negro</v>
      </c>
      <c r="E63" s="135">
        <f>'UM-1 - Dia'!AS87</f>
        <v>0</v>
      </c>
      <c r="F63" s="135"/>
      <c r="G63" s="132">
        <f t="shared" si="0"/>
        <v>52850</v>
      </c>
      <c r="H63" s="132">
        <f t="shared" si="1"/>
        <v>15400</v>
      </c>
      <c r="I63" s="143">
        <f t="shared" si="2"/>
        <v>15</v>
      </c>
      <c r="K63" s="164" t="str">
        <f t="shared" si="3"/>
        <v>Disco fora de centro / deslocado</v>
      </c>
      <c r="L63" s="122">
        <f t="shared" si="4"/>
        <v>0</v>
      </c>
      <c r="M63" s="83">
        <f t="shared" si="6"/>
        <v>0</v>
      </c>
      <c r="N63" s="134" t="e">
        <f t="shared" si="5"/>
        <v>#DIV/0!</v>
      </c>
      <c r="O63" s="160" t="e">
        <f t="shared" si="7"/>
        <v>#DIV/0!</v>
      </c>
      <c r="P63" s="160" t="e">
        <f>IF(($G$8&gt;180)*(Rascunho!N63&lt;80),Rascunho!O63,0)</f>
        <v>#DIV/0!</v>
      </c>
    </row>
    <row r="64" spans="1:16">
      <c r="A64" s="309"/>
      <c r="B64" s="152">
        <v>53</v>
      </c>
      <c r="C64" s="122">
        <v>860</v>
      </c>
      <c r="D64" s="83" t="str">
        <f>VLOOKUP(C64,'Tipos de Defeitos'!B$4:E$106,Menu!$B$22+1,)</f>
        <v>Pedra de Cl de Amônia</v>
      </c>
      <c r="E64" s="135">
        <f>'UM-1 - Dia'!AS88</f>
        <v>0</v>
      </c>
      <c r="F64" s="135"/>
      <c r="G64" s="132">
        <f t="shared" si="0"/>
        <v>53860</v>
      </c>
      <c r="H64" s="132">
        <f t="shared" si="1"/>
        <v>14390</v>
      </c>
      <c r="I64" s="143">
        <f t="shared" si="2"/>
        <v>14</v>
      </c>
      <c r="K64" s="164" t="str">
        <f t="shared" si="3"/>
        <v>Disco Dobrado</v>
      </c>
      <c r="L64" s="122">
        <f t="shared" si="4"/>
        <v>0</v>
      </c>
      <c r="M64" s="83">
        <f t="shared" si="6"/>
        <v>0</v>
      </c>
      <c r="N64" s="134" t="e">
        <f t="shared" si="5"/>
        <v>#DIV/0!</v>
      </c>
      <c r="O64" s="160" t="e">
        <f t="shared" si="7"/>
        <v>#DIV/0!</v>
      </c>
      <c r="P64" s="160" t="e">
        <f>IF(($G$8&gt;180)*(Rascunho!N64&lt;80),Rascunho!O64,0)</f>
        <v>#DIV/0!</v>
      </c>
    </row>
    <row r="65" spans="1:16">
      <c r="A65" s="309"/>
      <c r="B65" s="152">
        <v>54</v>
      </c>
      <c r="C65" s="122">
        <v>870</v>
      </c>
      <c r="D65" s="83" t="str">
        <f>VLOOKUP(C65,'Tipos de Defeitos'!B$4:E$106,Menu!$B$22+1,)</f>
        <v>Pelota de Manganês</v>
      </c>
      <c r="E65" s="135">
        <f>'UM-1 - Dia'!AS89</f>
        <v>0</v>
      </c>
      <c r="F65" s="135"/>
      <c r="G65" s="132">
        <f t="shared" si="0"/>
        <v>54870</v>
      </c>
      <c r="H65" s="132">
        <f t="shared" si="1"/>
        <v>13380</v>
      </c>
      <c r="I65" s="143">
        <f t="shared" si="2"/>
        <v>13</v>
      </c>
      <c r="K65" s="164" t="str">
        <f t="shared" si="3"/>
        <v>Disco Furado</v>
      </c>
      <c r="L65" s="122">
        <f t="shared" si="4"/>
        <v>0</v>
      </c>
      <c r="M65" s="83">
        <f t="shared" si="6"/>
        <v>0</v>
      </c>
      <c r="N65" s="134" t="e">
        <f t="shared" si="5"/>
        <v>#DIV/0!</v>
      </c>
      <c r="O65" s="160" t="e">
        <f t="shared" si="7"/>
        <v>#DIV/0!</v>
      </c>
      <c r="P65" s="160" t="e">
        <f>IF(($G$8&gt;180)*(Rascunho!N65&lt;80),Rascunho!O65,0)</f>
        <v>#DIV/0!</v>
      </c>
    </row>
    <row r="66" spans="1:16">
      <c r="A66" s="309"/>
      <c r="B66" s="152">
        <v>55</v>
      </c>
      <c r="C66" s="122">
        <v>880</v>
      </c>
      <c r="D66" s="83" t="str">
        <f>VLOOKUP(C66,'Tipos de Defeitos'!B$4:E$106,Menu!$B$22+1,)</f>
        <v>Bobina Baixa</v>
      </c>
      <c r="E66" s="135">
        <f>'UM-1 - Dia'!AS90</f>
        <v>0</v>
      </c>
      <c r="F66" s="135"/>
      <c r="G66" s="132">
        <f t="shared" si="0"/>
        <v>55880</v>
      </c>
      <c r="H66" s="132">
        <f t="shared" si="1"/>
        <v>12370</v>
      </c>
      <c r="I66" s="143">
        <f t="shared" si="2"/>
        <v>12</v>
      </c>
      <c r="K66" s="164" t="str">
        <f t="shared" si="3"/>
        <v>Disco Rasgado</v>
      </c>
      <c r="L66" s="122">
        <f t="shared" si="4"/>
        <v>0</v>
      </c>
      <c r="M66" s="83">
        <f t="shared" si="6"/>
        <v>0</v>
      </c>
      <c r="N66" s="134" t="e">
        <f t="shared" si="5"/>
        <v>#DIV/0!</v>
      </c>
      <c r="O66" s="160" t="e">
        <f t="shared" si="7"/>
        <v>#DIV/0!</v>
      </c>
      <c r="P66" s="160" t="e">
        <f>IF(($G$8&gt;180)*(Rascunho!N66&lt;80),Rascunho!O66,0)</f>
        <v>#DIV/0!</v>
      </c>
    </row>
    <row r="67" spans="1:16">
      <c r="A67" s="309"/>
      <c r="B67" s="152">
        <v>56</v>
      </c>
      <c r="C67" s="122">
        <v>890</v>
      </c>
      <c r="D67" s="83" t="str">
        <f>VLOOKUP(C67,'Tipos de Defeitos'!B$4:E$106,Menu!$B$22+1,)</f>
        <v>Bobina Rachada</v>
      </c>
      <c r="E67" s="135">
        <f>'UM-1 - Dia'!AS91</f>
        <v>0</v>
      </c>
      <c r="F67" s="135"/>
      <c r="G67" s="132">
        <f t="shared" si="0"/>
        <v>56890</v>
      </c>
      <c r="H67" s="132">
        <f t="shared" si="1"/>
        <v>11360</v>
      </c>
      <c r="I67" s="143">
        <f t="shared" si="2"/>
        <v>11</v>
      </c>
      <c r="K67" s="164" t="str">
        <f t="shared" si="3"/>
        <v>Disco Cortado</v>
      </c>
      <c r="L67" s="122">
        <f t="shared" si="4"/>
        <v>0</v>
      </c>
      <c r="M67" s="83">
        <f t="shared" si="6"/>
        <v>0</v>
      </c>
      <c r="N67" s="134" t="e">
        <f t="shared" si="5"/>
        <v>#DIV/0!</v>
      </c>
      <c r="O67" s="160" t="e">
        <f t="shared" si="7"/>
        <v>#DIV/0!</v>
      </c>
      <c r="P67" s="160" t="e">
        <f>IF(($G$8&gt;180)*(Rascunho!N67&lt;80),Rascunho!O67,0)</f>
        <v>#DIV/0!</v>
      </c>
    </row>
    <row r="68" spans="1:16">
      <c r="A68" s="309"/>
      <c r="B68" s="152">
        <v>57</v>
      </c>
      <c r="C68" s="122">
        <v>900</v>
      </c>
      <c r="D68" s="83" t="str">
        <f>VLOOKUP(C68,'Tipos de Defeitos'!B$4:E$106,Menu!$B$22+1,)</f>
        <v>Emenda de Papel</v>
      </c>
      <c r="E68" s="135">
        <f>'UM-1 - Dia'!AS92</f>
        <v>0</v>
      </c>
      <c r="F68" s="135"/>
      <c r="G68" s="132">
        <f t="shared" si="0"/>
        <v>57900</v>
      </c>
      <c r="H68" s="132">
        <f t="shared" si="1"/>
        <v>10350</v>
      </c>
      <c r="I68" s="143">
        <f t="shared" si="2"/>
        <v>10</v>
      </c>
      <c r="K68" s="164" t="str">
        <f t="shared" si="3"/>
        <v>Sem Disco</v>
      </c>
      <c r="L68" s="122">
        <f t="shared" si="4"/>
        <v>0</v>
      </c>
      <c r="M68" s="83">
        <f t="shared" si="6"/>
        <v>0</v>
      </c>
      <c r="N68" s="134" t="e">
        <f t="shared" si="5"/>
        <v>#DIV/0!</v>
      </c>
      <c r="O68" s="160" t="e">
        <f t="shared" si="7"/>
        <v>#DIV/0!</v>
      </c>
      <c r="P68" s="160" t="e">
        <f>IF(($G$8&gt;180)*(Rascunho!N68&lt;80),Rascunho!O68,0)</f>
        <v>#DIV/0!</v>
      </c>
    </row>
    <row r="69" spans="1:16">
      <c r="A69" s="309"/>
      <c r="B69" s="152">
        <v>58</v>
      </c>
      <c r="C69" s="122">
        <v>910</v>
      </c>
      <c r="D69" s="83" t="str">
        <f>VLOOKUP(C69,'Tipos de Defeitos'!B$4:E$106,Menu!$B$22+1,)</f>
        <v>Carvão Quebrado</v>
      </c>
      <c r="E69" s="135">
        <f>'UM-1 - Dia'!AS93</f>
        <v>0</v>
      </c>
      <c r="F69" s="135"/>
      <c r="G69" s="132">
        <f t="shared" si="0"/>
        <v>58910</v>
      </c>
      <c r="H69" s="132">
        <f t="shared" si="1"/>
        <v>9340</v>
      </c>
      <c r="I69" s="143">
        <f t="shared" si="2"/>
        <v>9</v>
      </c>
      <c r="K69" s="164" t="str">
        <f t="shared" si="3"/>
        <v>Papel menor</v>
      </c>
      <c r="L69" s="122">
        <f t="shared" si="4"/>
        <v>0</v>
      </c>
      <c r="M69" s="83">
        <f t="shared" si="6"/>
        <v>0</v>
      </c>
      <c r="N69" s="134" t="e">
        <f t="shared" si="5"/>
        <v>#DIV/0!</v>
      </c>
      <c r="O69" s="160" t="e">
        <f t="shared" si="7"/>
        <v>#DIV/0!</v>
      </c>
      <c r="P69" s="160" t="e">
        <f>IF(($G$8&gt;180)*(Rascunho!N69&lt;80),Rascunho!O69,0)</f>
        <v>#DIV/0!</v>
      </c>
    </row>
    <row r="70" spans="1:16">
      <c r="A70" s="309"/>
      <c r="B70" s="152">
        <v>59</v>
      </c>
      <c r="C70" s="122">
        <v>920</v>
      </c>
      <c r="D70" s="83" t="str">
        <f>VLOOKUP(C70,'Tipos de Defeitos'!B$4:E$106,Menu!$B$22+1,)</f>
        <v>Metade do Carvão</v>
      </c>
      <c r="E70" s="135">
        <f>'UM-1 - Dia'!AS94</f>
        <v>0</v>
      </c>
      <c r="F70" s="135"/>
      <c r="G70" s="132">
        <f t="shared" si="0"/>
        <v>59920</v>
      </c>
      <c r="H70" s="132">
        <f t="shared" si="1"/>
        <v>8330</v>
      </c>
      <c r="I70" s="143">
        <f t="shared" si="2"/>
        <v>8</v>
      </c>
      <c r="K70" s="164" t="str">
        <f t="shared" si="3"/>
        <v>Papel Deslocado</v>
      </c>
      <c r="L70" s="122">
        <f t="shared" si="4"/>
        <v>0</v>
      </c>
      <c r="M70" s="83">
        <f t="shared" si="6"/>
        <v>0</v>
      </c>
      <c r="N70" s="134" t="e">
        <f t="shared" si="5"/>
        <v>#DIV/0!</v>
      </c>
      <c r="O70" s="160" t="e">
        <f t="shared" si="7"/>
        <v>#DIV/0!</v>
      </c>
      <c r="P70" s="160" t="e">
        <f>IF(($G$8&gt;180)*(Rascunho!N70&lt;80),Rascunho!O70,0)</f>
        <v>#DIV/0!</v>
      </c>
    </row>
    <row r="71" spans="1:16">
      <c r="A71" s="309"/>
      <c r="B71" s="152">
        <v>60</v>
      </c>
      <c r="C71" s="122">
        <v>930</v>
      </c>
      <c r="D71" s="83" t="str">
        <f>VLOOKUP(C71,'Tipos de Defeitos'!B$4:E$106,Menu!$B$22+1,)</f>
        <v>Carvão Frouxo</v>
      </c>
      <c r="E71" s="135">
        <f>'UM-1 - Dia'!AS95</f>
        <v>0</v>
      </c>
      <c r="F71" s="135"/>
      <c r="G71" s="132">
        <f t="shared" si="0"/>
        <v>60930</v>
      </c>
      <c r="H71" s="132">
        <f t="shared" si="1"/>
        <v>7320</v>
      </c>
      <c r="I71" s="143">
        <f t="shared" si="2"/>
        <v>7</v>
      </c>
      <c r="K71" s="164" t="str">
        <f t="shared" si="3"/>
        <v>Papel Afundado</v>
      </c>
      <c r="L71" s="122">
        <f t="shared" si="4"/>
        <v>0</v>
      </c>
      <c r="M71" s="83">
        <f t="shared" si="6"/>
        <v>0</v>
      </c>
      <c r="N71" s="134" t="e">
        <f t="shared" si="5"/>
        <v>#DIV/0!</v>
      </c>
      <c r="O71" s="160" t="e">
        <f t="shared" si="7"/>
        <v>#DIV/0!</v>
      </c>
      <c r="P71" s="160" t="e">
        <f>IF(($G$8&gt;180)*(Rascunho!N71&lt;80),Rascunho!O71,0)</f>
        <v>#DIV/0!</v>
      </c>
    </row>
    <row r="72" spans="1:16">
      <c r="A72" s="309"/>
      <c r="B72" s="152">
        <v>61</v>
      </c>
      <c r="C72" s="122">
        <v>940</v>
      </c>
      <c r="D72" s="83" t="str">
        <f>VLOOKUP(C72,'Tipos de Defeitos'!B$4:E$106,Menu!$B$22+1,)</f>
        <v>Tubo de Zinco Sujo</v>
      </c>
      <c r="E72" s="135">
        <f>'UM-1 - Dia'!AS96</f>
        <v>0</v>
      </c>
      <c r="F72" s="135"/>
      <c r="G72" s="132">
        <f t="shared" si="0"/>
        <v>61940</v>
      </c>
      <c r="H72" s="132">
        <f t="shared" si="1"/>
        <v>6310</v>
      </c>
      <c r="I72" s="143">
        <f t="shared" si="2"/>
        <v>6</v>
      </c>
      <c r="K72" s="164" t="str">
        <f t="shared" si="3"/>
        <v>Papel Dobrado Inf.</v>
      </c>
      <c r="L72" s="122">
        <f t="shared" si="4"/>
        <v>0</v>
      </c>
      <c r="M72" s="83">
        <f t="shared" si="6"/>
        <v>0</v>
      </c>
      <c r="N72" s="134" t="e">
        <f t="shared" si="5"/>
        <v>#DIV/0!</v>
      </c>
      <c r="O72" s="160" t="e">
        <f t="shared" si="7"/>
        <v>#DIV/0!</v>
      </c>
      <c r="P72" s="160" t="e">
        <f>IF(($G$8&gt;180)*(Rascunho!N72&lt;80),Rascunho!O72,0)</f>
        <v>#DIV/0!</v>
      </c>
    </row>
    <row r="73" spans="1:16">
      <c r="A73" s="309"/>
      <c r="B73" s="152">
        <v>62</v>
      </c>
      <c r="C73" s="122">
        <v>950</v>
      </c>
      <c r="D73" s="83" t="str">
        <f>VLOOKUP(C73,'Tipos de Defeitos'!B$4:E$106,Menu!$B$22+1,)</f>
        <v>Contem estranho</v>
      </c>
      <c r="E73" s="135">
        <f>'UM-1 - Dia'!AS97</f>
        <v>0</v>
      </c>
      <c r="F73" s="135"/>
      <c r="G73" s="132">
        <f t="shared" si="0"/>
        <v>62950</v>
      </c>
      <c r="H73" s="132">
        <f t="shared" si="1"/>
        <v>5300</v>
      </c>
      <c r="I73" s="143">
        <f t="shared" si="2"/>
        <v>5</v>
      </c>
      <c r="K73" s="164" t="str">
        <f t="shared" si="3"/>
        <v>Papel Dobrado Meio</v>
      </c>
      <c r="L73" s="122">
        <f t="shared" si="4"/>
        <v>0</v>
      </c>
      <c r="M73" s="83">
        <f t="shared" si="6"/>
        <v>0</v>
      </c>
      <c r="N73" s="134" t="e">
        <f t="shared" si="5"/>
        <v>#DIV/0!</v>
      </c>
      <c r="O73" s="160" t="e">
        <f t="shared" si="7"/>
        <v>#DIV/0!</v>
      </c>
      <c r="P73" s="160" t="e">
        <f>IF(($G$8&gt;180)*(Rascunho!N73&lt;80),Rascunho!O73,0)</f>
        <v>#DIV/0!</v>
      </c>
    </row>
    <row r="74" spans="1:16">
      <c r="A74" s="309"/>
      <c r="B74" s="152">
        <v>63</v>
      </c>
      <c r="C74" s="122">
        <v>960</v>
      </c>
      <c r="D74" s="83" t="str">
        <f>VLOOKUP(C74,'Tipos de Defeitos'!B$4:E$106,Menu!$B$22+1,)</f>
        <v>Mistura seca</v>
      </c>
      <c r="E74" s="135">
        <f>'UM-1 - Dia'!AS98</f>
        <v>0</v>
      </c>
      <c r="F74" s="135"/>
      <c r="G74" s="132">
        <f t="shared" si="0"/>
        <v>63960</v>
      </c>
      <c r="H74" s="132">
        <f t="shared" si="1"/>
        <v>4290</v>
      </c>
      <c r="I74" s="143">
        <f t="shared" si="2"/>
        <v>4</v>
      </c>
      <c r="K74" s="164" t="str">
        <f t="shared" si="3"/>
        <v>Papel Dobrado Sup.</v>
      </c>
      <c r="L74" s="122">
        <f t="shared" si="4"/>
        <v>0</v>
      </c>
      <c r="M74" s="83">
        <f t="shared" si="6"/>
        <v>0</v>
      </c>
      <c r="N74" s="134" t="e">
        <f t="shared" si="5"/>
        <v>#DIV/0!</v>
      </c>
      <c r="O74" s="160" t="e">
        <f t="shared" si="7"/>
        <v>#DIV/0!</v>
      </c>
      <c r="P74" s="160" t="e">
        <f>IF(($G$8&gt;180)*(Rascunho!N74&lt;80),Rascunho!O74,0)</f>
        <v>#DIV/0!</v>
      </c>
    </row>
    <row r="75" spans="1:16">
      <c r="A75" s="309"/>
      <c r="B75" s="152">
        <v>64</v>
      </c>
      <c r="C75" s="122">
        <v>970</v>
      </c>
      <c r="D75" s="83" t="str">
        <f>VLOOKUP(C75,'Tipos de Defeitos'!B$4:E$106,Menu!$B$22+1,)</f>
        <v>Bottom Plate Amassado</v>
      </c>
      <c r="E75" s="135">
        <f>'UM-1 - Dia'!AS99</f>
        <v>0</v>
      </c>
      <c r="F75" s="135"/>
      <c r="G75" s="132">
        <f t="shared" si="0"/>
        <v>64970</v>
      </c>
      <c r="H75" s="132">
        <f t="shared" si="1"/>
        <v>3280</v>
      </c>
      <c r="I75" s="143">
        <f t="shared" si="2"/>
        <v>3</v>
      </c>
      <c r="K75" s="164" t="str">
        <f t="shared" si="3"/>
        <v>Papel Separador Rasgado</v>
      </c>
      <c r="L75" s="122">
        <f t="shared" si="4"/>
        <v>0</v>
      </c>
      <c r="M75" s="83">
        <f t="shared" si="6"/>
        <v>0</v>
      </c>
      <c r="N75" s="134" t="e">
        <f t="shared" si="5"/>
        <v>#DIV/0!</v>
      </c>
      <c r="O75" s="160" t="e">
        <f t="shared" si="7"/>
        <v>#DIV/0!</v>
      </c>
      <c r="P75" s="160" t="e">
        <f>IF(($G$8&gt;180)*(Rascunho!N75&lt;80),Rascunho!O75,0)</f>
        <v>#DIV/0!</v>
      </c>
    </row>
    <row r="76" spans="1:16">
      <c r="A76" s="309"/>
      <c r="B76" s="152">
        <v>65</v>
      </c>
      <c r="C76" s="122">
        <v>980</v>
      </c>
      <c r="D76" s="83" t="str">
        <f>VLOOKUP(C76,'Tipos de Defeitos'!B$4:E$106,Menu!$B$22+1,)</f>
        <v>PVC Comprido</v>
      </c>
      <c r="E76" s="135">
        <f>'UM-1 - Dia'!AS100</f>
        <v>0</v>
      </c>
      <c r="F76" s="135"/>
      <c r="G76" s="132">
        <f t="shared" si="0"/>
        <v>65980</v>
      </c>
      <c r="H76" s="132">
        <f t="shared" si="1"/>
        <v>2270</v>
      </c>
      <c r="I76" s="143">
        <f t="shared" si="2"/>
        <v>2</v>
      </c>
      <c r="K76" s="164" t="str">
        <f t="shared" si="3"/>
        <v>Papel Separador Cortado</v>
      </c>
      <c r="L76" s="122">
        <f t="shared" si="4"/>
        <v>0</v>
      </c>
      <c r="M76" s="83">
        <f t="shared" si="6"/>
        <v>0</v>
      </c>
      <c r="N76" s="134" t="e">
        <f t="shared" si="5"/>
        <v>#DIV/0!</v>
      </c>
      <c r="O76" s="160" t="e">
        <f t="shared" si="7"/>
        <v>#DIV/0!</v>
      </c>
      <c r="P76" s="160" t="e">
        <f>IF(($G$8&gt;180)*(Rascunho!N76&lt;80),Rascunho!O76,0)</f>
        <v>#DIV/0!</v>
      </c>
    </row>
    <row r="77" spans="1:16">
      <c r="A77" s="309"/>
      <c r="B77" s="152">
        <v>66</v>
      </c>
      <c r="C77" s="122">
        <v>990</v>
      </c>
      <c r="D77" s="83" t="str">
        <f>VLOOKUP(C77,'Tipos de Defeitos'!B$4:E$106,Menu!$B$22+1,)</f>
        <v>Causa Desconhecida - Amperagem</v>
      </c>
      <c r="E77" s="135">
        <f>'UM-1 - Dia'!AS101</f>
        <v>0</v>
      </c>
      <c r="F77" s="135"/>
      <c r="G77" s="132">
        <f t="shared" si="0"/>
        <v>66990</v>
      </c>
      <c r="H77" s="132">
        <f t="shared" si="1"/>
        <v>1260</v>
      </c>
      <c r="I77" s="143">
        <f t="shared" si="2"/>
        <v>1</v>
      </c>
      <c r="K77" s="164" t="str">
        <f>VLOOKUP(I77,B$12:F$78,3,)</f>
        <v>Sem Papel Separador</v>
      </c>
      <c r="L77" s="122">
        <f>VLOOKUP(I77,B$12:F$78,4,)</f>
        <v>0</v>
      </c>
      <c r="M77" s="83">
        <f t="shared" si="6"/>
        <v>0</v>
      </c>
      <c r="N77" s="134" t="e">
        <f>ROUND(M77/M$78*100,1)</f>
        <v>#DIV/0!</v>
      </c>
      <c r="O77" s="160" t="e">
        <f>ROUND(L77/E$11*E$8/E$6*1000000,0)</f>
        <v>#DIV/0!</v>
      </c>
      <c r="P77" s="160" t="e">
        <f>IF(($G$8&gt;180)*(Rascunho!N77&lt;80),Rascunho!O77,0)</f>
        <v>#DIV/0!</v>
      </c>
    </row>
    <row r="78" spans="1:16" ht="13.5" thickBot="1">
      <c r="B78" s="153">
        <v>67</v>
      </c>
      <c r="C78" s="124">
        <v>1000</v>
      </c>
      <c r="D78" s="84" t="str">
        <f>VLOOKUP(C78,'Tipos de Defeitos'!B$4:E$106,Menu!$B$22+1,)</f>
        <v>Outros - Amperagem</v>
      </c>
      <c r="E78" s="154">
        <f>'UM-1 - Dia'!AS102</f>
        <v>0</v>
      </c>
      <c r="F78" s="147"/>
      <c r="G78" s="147">
        <f>(E78+F78)*100000000+B78*1000+C78</f>
        <v>68000</v>
      </c>
      <c r="H78" s="147">
        <f>LARGE(G$12:G$78,B78)</f>
        <v>1260</v>
      </c>
      <c r="I78" s="148">
        <f>MATCH(H78,G$12:G$77,0)</f>
        <v>1</v>
      </c>
      <c r="K78" s="165" t="str">
        <f>VLOOKUP(I78,B$12:F$78,3,)</f>
        <v>Sem Papel Separador</v>
      </c>
      <c r="L78" s="124">
        <f>VLOOKUP(I78,B$12:F$78,4,)</f>
        <v>0</v>
      </c>
      <c r="M78" s="84">
        <f>L78+M77</f>
        <v>0</v>
      </c>
      <c r="N78" s="170" t="e">
        <f>ROUND(M78/M$78*100,1)</f>
        <v>#DIV/0!</v>
      </c>
      <c r="O78" s="161" t="e">
        <f>ROUND(L78/E$11*E$8/E$6*1000000,0)</f>
        <v>#DIV/0!</v>
      </c>
      <c r="P78" s="161" t="e">
        <f>IF(($G$8&gt;180)*(Rascunho!N78&lt;80),Rascunho!O78,0)</f>
        <v>#DIV/0!</v>
      </c>
    </row>
    <row r="79" spans="1:16">
      <c r="C79" s="65"/>
    </row>
    <row r="101" spans="11:11" s="53" customFormat="1">
      <c r="K101" s="162"/>
    </row>
  </sheetData>
  <sheetProtection algorithmName="SHA-512" hashValue="LDTTx0GsAA6AU9uCwN6P0MrFqlEFhN1hxmRvi57GE55QGwt3AQ+FHSAdGLhLnMeRB49DpAnnucKKSmsCkaEjjg==" saltValue="fodi9uoiYh0bRQqlKqseaQ==" spinCount="100000" sheet="1" objects="1" scenarios="1" selectLockedCells="1"/>
  <mergeCells count="1">
    <mergeCell ref="A60:A77"/>
  </mergeCells>
  <phoneticPr fontId="3"/>
  <conditionalFormatting sqref="B2:I78">
    <cfRule type="expression" dxfId="4" priority="5">
      <formula>MOD(ROW(),2)=0</formula>
    </cfRule>
  </conditionalFormatting>
  <conditionalFormatting sqref="K12:O12">
    <cfRule type="expression" dxfId="3" priority="4">
      <formula>MOD(ROW(),2)=0</formula>
    </cfRule>
  </conditionalFormatting>
  <conditionalFormatting sqref="K13:O78">
    <cfRule type="expression" dxfId="2" priority="3">
      <formula>MOD(ROW(),2)=0</formula>
    </cfRule>
  </conditionalFormatting>
  <conditionalFormatting sqref="P12">
    <cfRule type="expression" dxfId="1" priority="2">
      <formula>MOD(ROW(),2)=0</formula>
    </cfRule>
  </conditionalFormatting>
  <conditionalFormatting sqref="P13:P78">
    <cfRule type="expression" dxfId="0" priority="1">
      <formula>MOD(ROW(),2)=0</formula>
    </cfRule>
  </conditionalFormatting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Menu</vt:lpstr>
      <vt:lpstr>UM-1 - Dia</vt:lpstr>
      <vt:lpstr>UM-1 - Noite</vt:lpstr>
      <vt:lpstr>Falhas por Modelo</vt:lpstr>
      <vt:lpstr>Tipos de Defeitos</vt:lpstr>
      <vt:lpstr>Gráfico</vt:lpstr>
      <vt:lpstr>Rascunho</vt:lpstr>
      <vt:lpstr>'UM-1 - Noite'!A_RATIO</vt:lpstr>
      <vt:lpstr>'Tipos de Defeitos'!PRODUTOS</vt:lpstr>
      <vt:lpstr>PRODUTOS</vt:lpstr>
      <vt:lpstr>Rascunho!Total_Falhas_Dia</vt:lpstr>
      <vt:lpstr>'UM-1 - Noite'!Total_Falhas_Dia</vt:lpstr>
      <vt:lpstr>Total_Falhas_Dia</vt:lpstr>
      <vt:lpstr>Turno</vt:lpstr>
      <vt:lpstr>'UM-1 - Noite'!V_RATIO</vt:lpstr>
      <vt:lpstr>'UM-1 - Noite'!VA_RATIO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2021-12-06T17:03:31Z</cp:lastPrinted>
  <dcterms:created xsi:type="dcterms:W3CDTF">2003-07-23T18:28:53Z</dcterms:created>
  <dcterms:modified xsi:type="dcterms:W3CDTF">2022-02-21T10:55:20Z</dcterms:modified>
</cp:coreProperties>
</file>